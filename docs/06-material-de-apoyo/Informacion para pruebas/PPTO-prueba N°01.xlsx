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ICTOR\CLAUDE CODE\pg_control_proyectos\docs\06-material-de-apoyo\Informacion para pruebas\"/>
    </mc:Choice>
  </mc:AlternateContent>
  <xr:revisionPtr revIDLastSave="0" documentId="13_ncr:1_{051E65F3-FCCA-4E30-AD09-48BFFBAC02FE}" xr6:coauthVersionLast="47" xr6:coauthVersionMax="47" xr10:uidLastSave="{00000000-0000-0000-0000-000000000000}"/>
  <bookViews>
    <workbookView xWindow="768" yWindow="1188" windowWidth="22272" windowHeight="11052" activeTab="1" xr2:uid="{00000000-000D-0000-FFFF-FFFF00000000}"/>
  </bookViews>
  <sheets>
    <sheet name="PRESUPUESTO" sheetId="1" r:id="rId1"/>
    <sheet name="CD" sheetId="2" r:id="rId2"/>
    <sheet name="APU" sheetId="3" r:id="rId3"/>
    <sheet name="PS.." sheetId="4" state="hidden" r:id="rId4"/>
    <sheet name="GG" sheetId="5" r:id="rId5"/>
  </sheets>
  <definedNames>
    <definedName name="_xlnm.Print_Area" localSheetId="2">APU!$A$1:$H$167</definedName>
    <definedName name="_xlnm.Print_Area" localSheetId="1">CD!$A$1:$H$30</definedName>
    <definedName name="_xlnm.Print_Area" localSheetId="4">GG!$A$1:$I$75</definedName>
    <definedName name="_xlnm.Print_Area" localSheetId="0">PRESUPUESTO!$A$1:$V$108</definedName>
    <definedName name="_xlnm.Print_Area" localSheetId="3">'PS..'!$A$1:$H$51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3" l="1"/>
  <c r="I70" i="5"/>
  <c r="I69" i="5"/>
  <c r="G69" i="5"/>
  <c r="I68" i="5"/>
  <c r="I67" i="5"/>
  <c r="I71" i="5" s="1"/>
  <c r="I63" i="5"/>
  <c r="H62" i="5"/>
  <c r="I62" i="5" s="1"/>
  <c r="H61" i="5"/>
  <c r="I61" i="5" s="1"/>
  <c r="H60" i="5"/>
  <c r="I60" i="5" s="1"/>
  <c r="H59" i="5"/>
  <c r="I59" i="5" s="1"/>
  <c r="H58" i="5"/>
  <c r="I58" i="5" s="1"/>
  <c r="I65" i="5" s="1"/>
  <c r="I56" i="5"/>
  <c r="I54" i="5"/>
  <c r="I53" i="5"/>
  <c r="I52" i="5"/>
  <c r="I49" i="5"/>
  <c r="I48" i="5"/>
  <c r="I42" i="5"/>
  <c r="G41" i="5"/>
  <c r="I41" i="5" s="1"/>
  <c r="I40" i="5"/>
  <c r="G40" i="5"/>
  <c r="I39" i="5"/>
  <c r="I38" i="5"/>
  <c r="G38" i="5"/>
  <c r="G37" i="5"/>
  <c r="I37" i="5" s="1"/>
  <c r="G33" i="5"/>
  <c r="I33" i="5" s="1"/>
  <c r="I32" i="5"/>
  <c r="I35" i="5" s="1"/>
  <c r="G32" i="5"/>
  <c r="E29" i="5"/>
  <c r="H26" i="5"/>
  <c r="I26" i="5" s="1"/>
  <c r="I29" i="5" s="1"/>
  <c r="I25" i="5"/>
  <c r="H25" i="5"/>
  <c r="E23" i="5"/>
  <c r="G21" i="5"/>
  <c r="H21" i="5" s="1"/>
  <c r="I21" i="5" s="1"/>
  <c r="H20" i="5"/>
  <c r="I20" i="5" s="1"/>
  <c r="G20" i="5"/>
  <c r="I19" i="5"/>
  <c r="H19" i="5"/>
  <c r="G19" i="5"/>
  <c r="H18" i="5"/>
  <c r="I18" i="5" s="1"/>
  <c r="G18" i="5"/>
  <c r="H17" i="5"/>
  <c r="I17" i="5" s="1"/>
  <c r="I23" i="5" s="1"/>
  <c r="G49" i="4"/>
  <c r="H49" i="4" s="1"/>
  <c r="H48" i="4" s="1"/>
  <c r="G47" i="4"/>
  <c r="H47" i="4" s="1"/>
  <c r="G46" i="4"/>
  <c r="H46" i="4" s="1"/>
  <c r="G45" i="4"/>
  <c r="H45" i="4" s="1"/>
  <c r="H44" i="4" s="1"/>
  <c r="G43" i="4"/>
  <c r="H43" i="4" s="1"/>
  <c r="G42" i="4"/>
  <c r="H42" i="4" s="1"/>
  <c r="H41" i="4" s="1"/>
  <c r="G40" i="4"/>
  <c r="H40" i="4" s="1"/>
  <c r="G39" i="4"/>
  <c r="H39" i="4" s="1"/>
  <c r="H38" i="4" s="1"/>
  <c r="H37" i="4"/>
  <c r="H35" i="4"/>
  <c r="H34" i="4"/>
  <c r="H33" i="4"/>
  <c r="H32" i="4"/>
  <c r="H31" i="4"/>
  <c r="H30" i="4"/>
  <c r="H29" i="4"/>
  <c r="H28" i="4"/>
  <c r="H27" i="4"/>
  <c r="H26" i="4"/>
  <c r="H25" i="4"/>
  <c r="H23" i="4"/>
  <c r="H18" i="4" s="1"/>
  <c r="H21" i="4"/>
  <c r="H20" i="4"/>
  <c r="H19" i="4"/>
  <c r="H17" i="4"/>
  <c r="H16" i="4"/>
  <c r="H15" i="4"/>
  <c r="H14" i="4"/>
  <c r="H13" i="4"/>
  <c r="G12" i="4"/>
  <c r="H12" i="4" s="1"/>
  <c r="G11" i="4"/>
  <c r="H11" i="4" s="1"/>
  <c r="H7" i="4" s="1"/>
  <c r="H10" i="4"/>
  <c r="H9" i="4"/>
  <c r="H8" i="4"/>
  <c r="F5" i="4"/>
  <c r="F116" i="3"/>
  <c r="H116" i="3" s="1"/>
  <c r="F115" i="3"/>
  <c r="H115" i="3" s="1"/>
  <c r="XBU114" i="3"/>
  <c r="XBW114" i="3" s="1"/>
  <c r="XBM114" i="3"/>
  <c r="XBO114" i="3" s="1"/>
  <c r="XBE114" i="3"/>
  <c r="XBG114" i="3" s="1"/>
  <c r="XAW114" i="3"/>
  <c r="XAY114" i="3" s="1"/>
  <c r="XAO114" i="3"/>
  <c r="XAQ114" i="3" s="1"/>
  <c r="XAG114" i="3"/>
  <c r="XAI114" i="3" s="1"/>
  <c r="WZY114" i="3"/>
  <c r="XAA114" i="3" s="1"/>
  <c r="WZQ114" i="3"/>
  <c r="WZS114" i="3" s="1"/>
  <c r="WZI114" i="3"/>
  <c r="WZK114" i="3" s="1"/>
  <c r="WZA114" i="3"/>
  <c r="WZC114" i="3" s="1"/>
  <c r="WYS114" i="3"/>
  <c r="WYU114" i="3" s="1"/>
  <c r="WYK114" i="3"/>
  <c r="WYM114" i="3" s="1"/>
  <c r="WYC114" i="3"/>
  <c r="WYE114" i="3" s="1"/>
  <c r="WXU114" i="3"/>
  <c r="WXW114" i="3" s="1"/>
  <c r="WXM114" i="3"/>
  <c r="WXO114" i="3" s="1"/>
  <c r="WXE114" i="3"/>
  <c r="WXG114" i="3" s="1"/>
  <c r="WWW114" i="3"/>
  <c r="WWY114" i="3" s="1"/>
  <c r="WWO114" i="3"/>
  <c r="WWQ114" i="3" s="1"/>
  <c r="WWG114" i="3"/>
  <c r="WWI114" i="3" s="1"/>
  <c r="WVY114" i="3"/>
  <c r="WWA114" i="3" s="1"/>
  <c r="WVQ114" i="3"/>
  <c r="WVS114" i="3" s="1"/>
  <c r="WVI114" i="3"/>
  <c r="WVK114" i="3" s="1"/>
  <c r="WVA114" i="3"/>
  <c r="WVC114" i="3" s="1"/>
  <c r="WUS114" i="3"/>
  <c r="WUU114" i="3" s="1"/>
  <c r="WUM114" i="3"/>
  <c r="WUK114" i="3"/>
  <c r="WUC114" i="3"/>
  <c r="WUE114" i="3" s="1"/>
  <c r="WTU114" i="3"/>
  <c r="WTW114" i="3" s="1"/>
  <c r="WTO114" i="3"/>
  <c r="WTM114" i="3"/>
  <c r="WTE114" i="3"/>
  <c r="WTG114" i="3" s="1"/>
  <c r="WSW114" i="3"/>
  <c r="WSY114" i="3" s="1"/>
  <c r="WSO114" i="3"/>
  <c r="WSQ114" i="3" s="1"/>
  <c r="WSG114" i="3"/>
  <c r="WSI114" i="3" s="1"/>
  <c r="WRY114" i="3"/>
  <c r="WSA114" i="3" s="1"/>
  <c r="WRQ114" i="3"/>
  <c r="WRS114" i="3" s="1"/>
  <c r="WRI114" i="3"/>
  <c r="WRK114" i="3" s="1"/>
  <c r="WRA114" i="3"/>
  <c r="WRC114" i="3" s="1"/>
  <c r="WQS114" i="3"/>
  <c r="WQU114" i="3" s="1"/>
  <c r="WQK114" i="3"/>
  <c r="WQM114" i="3" s="1"/>
  <c r="WQC114" i="3"/>
  <c r="WQE114" i="3" s="1"/>
  <c r="WPU114" i="3"/>
  <c r="WPW114" i="3" s="1"/>
  <c r="WPM114" i="3"/>
  <c r="WPO114" i="3" s="1"/>
  <c r="WPE114" i="3"/>
  <c r="WPG114" i="3" s="1"/>
  <c r="WOW114" i="3"/>
  <c r="WOY114" i="3" s="1"/>
  <c r="WOO114" i="3"/>
  <c r="WOQ114" i="3" s="1"/>
  <c r="WOG114" i="3"/>
  <c r="WOI114" i="3" s="1"/>
  <c r="WNY114" i="3"/>
  <c r="WOA114" i="3" s="1"/>
  <c r="WNQ114" i="3"/>
  <c r="WNS114" i="3" s="1"/>
  <c r="WNI114" i="3"/>
  <c r="WNK114" i="3" s="1"/>
  <c r="WNC114" i="3"/>
  <c r="WNA114" i="3"/>
  <c r="WMU114" i="3"/>
  <c r="WMS114" i="3"/>
  <c r="WMK114" i="3"/>
  <c r="WMM114" i="3" s="1"/>
  <c r="WMC114" i="3"/>
  <c r="WME114" i="3" s="1"/>
  <c r="WLU114" i="3"/>
  <c r="WLW114" i="3" s="1"/>
  <c r="WLM114" i="3"/>
  <c r="WLO114" i="3" s="1"/>
  <c r="WLE114" i="3"/>
  <c r="WLG114" i="3" s="1"/>
  <c r="WKW114" i="3"/>
  <c r="WKY114" i="3" s="1"/>
  <c r="WKO114" i="3"/>
  <c r="WKQ114" i="3" s="1"/>
  <c r="WKI114" i="3"/>
  <c r="WKG114" i="3"/>
  <c r="WJY114" i="3"/>
  <c r="WKA114" i="3" s="1"/>
  <c r="WJS114" i="3"/>
  <c r="WJQ114" i="3"/>
  <c r="WJI114" i="3"/>
  <c r="WJK114" i="3" s="1"/>
  <c r="WJA114" i="3"/>
  <c r="WJC114" i="3" s="1"/>
  <c r="WIS114" i="3"/>
  <c r="WIU114" i="3" s="1"/>
  <c r="WIM114" i="3"/>
  <c r="WIK114" i="3"/>
  <c r="WIC114" i="3"/>
  <c r="WIE114" i="3" s="1"/>
  <c r="WHU114" i="3"/>
  <c r="WHW114" i="3" s="1"/>
  <c r="WHM114" i="3"/>
  <c r="WHO114" i="3" s="1"/>
  <c r="WHE114" i="3"/>
  <c r="WHG114" i="3" s="1"/>
  <c r="WGW114" i="3"/>
  <c r="WGY114" i="3" s="1"/>
  <c r="WGO114" i="3"/>
  <c r="WGQ114" i="3" s="1"/>
  <c r="WGG114" i="3"/>
  <c r="WGI114" i="3" s="1"/>
  <c r="WFY114" i="3"/>
  <c r="WGA114" i="3" s="1"/>
  <c r="WFQ114" i="3"/>
  <c r="WFS114" i="3" s="1"/>
  <c r="WFI114" i="3"/>
  <c r="WFK114" i="3" s="1"/>
  <c r="WFC114" i="3"/>
  <c r="WFA114" i="3"/>
  <c r="WEU114" i="3"/>
  <c r="WES114" i="3"/>
  <c r="WEK114" i="3"/>
  <c r="WEM114" i="3" s="1"/>
  <c r="WEC114" i="3"/>
  <c r="WEE114" i="3" s="1"/>
  <c r="WDU114" i="3"/>
  <c r="WDW114" i="3" s="1"/>
  <c r="WDO114" i="3"/>
  <c r="WDM114" i="3"/>
  <c r="WDE114" i="3"/>
  <c r="WDG114" i="3" s="1"/>
  <c r="WCW114" i="3"/>
  <c r="WCY114" i="3" s="1"/>
  <c r="WCO114" i="3"/>
  <c r="WCQ114" i="3" s="1"/>
  <c r="WCG114" i="3"/>
  <c r="WCI114" i="3" s="1"/>
  <c r="WBY114" i="3"/>
  <c r="WCA114" i="3" s="1"/>
  <c r="WBQ114" i="3"/>
  <c r="WBS114" i="3" s="1"/>
  <c r="WBI114" i="3"/>
  <c r="WBK114" i="3" s="1"/>
  <c r="WBA114" i="3"/>
  <c r="WBC114" i="3" s="1"/>
  <c r="WAS114" i="3"/>
  <c r="WAU114" i="3" s="1"/>
  <c r="WAK114" i="3"/>
  <c r="WAM114" i="3" s="1"/>
  <c r="WAE114" i="3"/>
  <c r="WAC114" i="3"/>
  <c r="VZU114" i="3"/>
  <c r="VZW114" i="3" s="1"/>
  <c r="VZO114" i="3"/>
  <c r="VZM114" i="3"/>
  <c r="VZE114" i="3"/>
  <c r="VZG114" i="3" s="1"/>
  <c r="VYW114" i="3"/>
  <c r="VYY114" i="3" s="1"/>
  <c r="VYQ114" i="3"/>
  <c r="VYO114" i="3"/>
  <c r="VYI114" i="3"/>
  <c r="VYG114" i="3"/>
  <c r="VXY114" i="3"/>
  <c r="VYA114" i="3" s="1"/>
  <c r="VXQ114" i="3"/>
  <c r="VXS114" i="3" s="1"/>
  <c r="VXI114" i="3"/>
  <c r="VXK114" i="3" s="1"/>
  <c r="VXA114" i="3"/>
  <c r="VXC114" i="3" s="1"/>
  <c r="VWS114" i="3"/>
  <c r="VWU114" i="3" s="1"/>
  <c r="VWK114" i="3"/>
  <c r="VWM114" i="3" s="1"/>
  <c r="VWE114" i="3"/>
  <c r="VWC114" i="3"/>
  <c r="VVU114" i="3"/>
  <c r="VVW114" i="3" s="1"/>
  <c r="VVO114" i="3"/>
  <c r="VVM114" i="3"/>
  <c r="VVE114" i="3"/>
  <c r="VVG114" i="3" s="1"/>
  <c r="VUW114" i="3"/>
  <c r="VUY114" i="3" s="1"/>
  <c r="VUQ114" i="3"/>
  <c r="VUO114" i="3"/>
  <c r="VUG114" i="3"/>
  <c r="VUI114" i="3" s="1"/>
  <c r="VTY114" i="3"/>
  <c r="VUA114" i="3" s="1"/>
  <c r="VTS114" i="3"/>
  <c r="VTQ114" i="3"/>
  <c r="VTI114" i="3"/>
  <c r="VTK114" i="3" s="1"/>
  <c r="VTA114" i="3"/>
  <c r="VTC114" i="3" s="1"/>
  <c r="VSS114" i="3"/>
  <c r="VSU114" i="3" s="1"/>
  <c r="VSK114" i="3"/>
  <c r="VSM114" i="3" s="1"/>
  <c r="VSC114" i="3"/>
  <c r="VSE114" i="3" s="1"/>
  <c r="VRW114" i="3"/>
  <c r="VRU114" i="3"/>
  <c r="VRM114" i="3"/>
  <c r="VRO114" i="3" s="1"/>
  <c r="VRE114" i="3"/>
  <c r="VRG114" i="3" s="1"/>
  <c r="VQY114" i="3"/>
  <c r="VQW114" i="3"/>
  <c r="VQO114" i="3"/>
  <c r="VQQ114" i="3" s="1"/>
  <c r="VQG114" i="3"/>
  <c r="VQI114" i="3" s="1"/>
  <c r="VPY114" i="3"/>
  <c r="VQA114" i="3" s="1"/>
  <c r="VPQ114" i="3"/>
  <c r="VPS114" i="3" s="1"/>
  <c r="VPI114" i="3"/>
  <c r="VPK114" i="3" s="1"/>
  <c r="VPA114" i="3"/>
  <c r="VPC114" i="3" s="1"/>
  <c r="VOS114" i="3"/>
  <c r="VOU114" i="3" s="1"/>
  <c r="VOK114" i="3"/>
  <c r="VOM114" i="3" s="1"/>
  <c r="VOC114" i="3"/>
  <c r="VOE114" i="3" s="1"/>
  <c r="VNU114" i="3"/>
  <c r="VNW114" i="3" s="1"/>
  <c r="VNO114" i="3"/>
  <c r="VNM114" i="3"/>
  <c r="VNE114" i="3"/>
  <c r="VNG114" i="3" s="1"/>
  <c r="VMY114" i="3"/>
  <c r="VMW114" i="3"/>
  <c r="VMQ114" i="3"/>
  <c r="VMO114" i="3"/>
  <c r="VMG114" i="3"/>
  <c r="VMI114" i="3" s="1"/>
  <c r="VLY114" i="3"/>
  <c r="VMA114" i="3" s="1"/>
  <c r="VLQ114" i="3"/>
  <c r="VLS114" i="3" s="1"/>
  <c r="VLK114" i="3"/>
  <c r="VLI114" i="3"/>
  <c r="VLA114" i="3"/>
  <c r="VLC114" i="3" s="1"/>
  <c r="VKS114" i="3"/>
  <c r="VKU114" i="3" s="1"/>
  <c r="VKK114" i="3"/>
  <c r="VKM114" i="3" s="1"/>
  <c r="VKC114" i="3"/>
  <c r="VKE114" i="3" s="1"/>
  <c r="VJU114" i="3"/>
  <c r="VJW114" i="3" s="1"/>
  <c r="VJM114" i="3"/>
  <c r="VJO114" i="3" s="1"/>
  <c r="VJE114" i="3"/>
  <c r="VJG114" i="3" s="1"/>
  <c r="VIW114" i="3"/>
  <c r="VIY114" i="3" s="1"/>
  <c r="VIQ114" i="3"/>
  <c r="VIO114" i="3"/>
  <c r="VIG114" i="3"/>
  <c r="VII114" i="3" s="1"/>
  <c r="VHY114" i="3"/>
  <c r="VIA114" i="3" s="1"/>
  <c r="VHQ114" i="3"/>
  <c r="VHS114" i="3" s="1"/>
  <c r="VHI114" i="3"/>
  <c r="VHK114" i="3" s="1"/>
  <c r="VHA114" i="3"/>
  <c r="VHC114" i="3" s="1"/>
  <c r="VGS114" i="3"/>
  <c r="VGU114" i="3" s="1"/>
  <c r="VGK114" i="3"/>
  <c r="VGM114" i="3" s="1"/>
  <c r="VGE114" i="3"/>
  <c r="VGC114" i="3"/>
  <c r="VFU114" i="3"/>
  <c r="VFW114" i="3" s="1"/>
  <c r="VFO114" i="3"/>
  <c r="VFM114" i="3"/>
  <c r="VFE114" i="3"/>
  <c r="VFG114" i="3" s="1"/>
  <c r="VEW114" i="3"/>
  <c r="VEY114" i="3" s="1"/>
  <c r="VEO114" i="3"/>
  <c r="VEQ114" i="3" s="1"/>
  <c r="VEG114" i="3"/>
  <c r="VEI114" i="3" s="1"/>
  <c r="VDY114" i="3"/>
  <c r="VEA114" i="3" s="1"/>
  <c r="VDQ114" i="3"/>
  <c r="VDS114" i="3" s="1"/>
  <c r="VDI114" i="3"/>
  <c r="VDK114" i="3" s="1"/>
  <c r="VDC114" i="3"/>
  <c r="VDA114" i="3"/>
  <c r="VCS114" i="3"/>
  <c r="VCU114" i="3" s="1"/>
  <c r="VCM114" i="3"/>
  <c r="VCK114" i="3"/>
  <c r="VCC114" i="3"/>
  <c r="VCE114" i="3" s="1"/>
  <c r="VBU114" i="3"/>
  <c r="VBW114" i="3" s="1"/>
  <c r="VBO114" i="3"/>
  <c r="VBM114" i="3"/>
  <c r="VBE114" i="3"/>
  <c r="VBG114" i="3" s="1"/>
  <c r="VAW114" i="3"/>
  <c r="VAY114" i="3" s="1"/>
  <c r="VAO114" i="3"/>
  <c r="VAQ114" i="3" s="1"/>
  <c r="VAG114" i="3"/>
  <c r="VAI114" i="3" s="1"/>
  <c r="UZY114" i="3"/>
  <c r="VAA114" i="3" s="1"/>
  <c r="UZQ114" i="3"/>
  <c r="UZS114" i="3" s="1"/>
  <c r="UZI114" i="3"/>
  <c r="UZK114" i="3" s="1"/>
  <c r="UZA114" i="3"/>
  <c r="UZC114" i="3" s="1"/>
  <c r="UYU114" i="3"/>
  <c r="UYS114" i="3"/>
  <c r="UYK114" i="3"/>
  <c r="UYM114" i="3" s="1"/>
  <c r="UYC114" i="3"/>
  <c r="UYE114" i="3" s="1"/>
  <c r="UXU114" i="3"/>
  <c r="UXW114" i="3" s="1"/>
  <c r="UXM114" i="3"/>
  <c r="UXO114" i="3" s="1"/>
  <c r="UXE114" i="3"/>
  <c r="UXG114" i="3" s="1"/>
  <c r="UWW114" i="3"/>
  <c r="UWY114" i="3" s="1"/>
  <c r="UWO114" i="3"/>
  <c r="UWQ114" i="3" s="1"/>
  <c r="UWG114" i="3"/>
  <c r="UWI114" i="3" s="1"/>
  <c r="UWA114" i="3"/>
  <c r="UVY114" i="3"/>
  <c r="UVQ114" i="3"/>
  <c r="UVS114" i="3" s="1"/>
  <c r="UVI114" i="3"/>
  <c r="UVK114" i="3" s="1"/>
  <c r="UVA114" i="3"/>
  <c r="UVC114" i="3" s="1"/>
  <c r="UUU114" i="3"/>
  <c r="UUS114" i="3"/>
  <c r="UUK114" i="3"/>
  <c r="UUM114" i="3" s="1"/>
  <c r="UUC114" i="3"/>
  <c r="UUE114" i="3" s="1"/>
  <c r="UTU114" i="3"/>
  <c r="UTW114" i="3" s="1"/>
  <c r="UTM114" i="3"/>
  <c r="UTO114" i="3" s="1"/>
  <c r="UTG114" i="3"/>
  <c r="UTE114" i="3"/>
  <c r="USW114" i="3"/>
  <c r="USY114" i="3" s="1"/>
  <c r="USO114" i="3"/>
  <c r="USQ114" i="3" s="1"/>
  <c r="USG114" i="3"/>
  <c r="USI114" i="3" s="1"/>
  <c r="USA114" i="3"/>
  <c r="URY114" i="3"/>
  <c r="URQ114" i="3"/>
  <c r="URS114" i="3" s="1"/>
  <c r="URI114" i="3"/>
  <c r="URK114" i="3" s="1"/>
  <c r="URA114" i="3"/>
  <c r="URC114" i="3" s="1"/>
  <c r="UQS114" i="3"/>
  <c r="UQU114" i="3" s="1"/>
  <c r="UQK114" i="3"/>
  <c r="UQM114" i="3" s="1"/>
  <c r="UQC114" i="3"/>
  <c r="UQE114" i="3" s="1"/>
  <c r="UPU114" i="3"/>
  <c r="UPW114" i="3" s="1"/>
  <c r="UPM114" i="3"/>
  <c r="UPO114" i="3" s="1"/>
  <c r="UPE114" i="3"/>
  <c r="UPG114" i="3" s="1"/>
  <c r="UOW114" i="3"/>
  <c r="UOY114" i="3" s="1"/>
  <c r="UOO114" i="3"/>
  <c r="UOQ114" i="3" s="1"/>
  <c r="UOG114" i="3"/>
  <c r="UOI114" i="3" s="1"/>
  <c r="UNY114" i="3"/>
  <c r="UOA114" i="3" s="1"/>
  <c r="UNQ114" i="3"/>
  <c r="UNS114" i="3" s="1"/>
  <c r="UNK114" i="3"/>
  <c r="UNI114" i="3"/>
  <c r="UNA114" i="3"/>
  <c r="UNC114" i="3" s="1"/>
  <c r="UMU114" i="3"/>
  <c r="UMS114" i="3"/>
  <c r="UMK114" i="3"/>
  <c r="UMM114" i="3" s="1"/>
  <c r="UMC114" i="3"/>
  <c r="UME114" i="3" s="1"/>
  <c r="ULU114" i="3"/>
  <c r="ULW114" i="3" s="1"/>
  <c r="ULM114" i="3"/>
  <c r="ULO114" i="3" s="1"/>
  <c r="ULG114" i="3"/>
  <c r="ULE114" i="3"/>
  <c r="UKW114" i="3"/>
  <c r="UKY114" i="3" s="1"/>
  <c r="UKQ114" i="3"/>
  <c r="UKO114" i="3"/>
  <c r="UKG114" i="3"/>
  <c r="UKI114" i="3" s="1"/>
  <c r="UKA114" i="3"/>
  <c r="UJY114" i="3"/>
  <c r="UJS114" i="3"/>
  <c r="UJQ114" i="3"/>
  <c r="UJI114" i="3"/>
  <c r="UJK114" i="3" s="1"/>
  <c r="UJA114" i="3"/>
  <c r="UJC114" i="3" s="1"/>
  <c r="UIS114" i="3"/>
  <c r="UIU114" i="3" s="1"/>
  <c r="UIK114" i="3"/>
  <c r="UIM114" i="3" s="1"/>
  <c r="UIC114" i="3"/>
  <c r="UIE114" i="3" s="1"/>
  <c r="UHU114" i="3"/>
  <c r="UHW114" i="3" s="1"/>
  <c r="UHM114" i="3"/>
  <c r="UHO114" i="3" s="1"/>
  <c r="UHE114" i="3"/>
  <c r="UHG114" i="3" s="1"/>
  <c r="UGW114" i="3"/>
  <c r="UGY114" i="3" s="1"/>
  <c r="UGO114" i="3"/>
  <c r="UGQ114" i="3" s="1"/>
  <c r="UGG114" i="3"/>
  <c r="UGI114" i="3" s="1"/>
  <c r="UFY114" i="3"/>
  <c r="UGA114" i="3" s="1"/>
  <c r="UFQ114" i="3"/>
  <c r="UFS114" i="3" s="1"/>
  <c r="UFK114" i="3"/>
  <c r="UFI114" i="3"/>
  <c r="UFC114" i="3"/>
  <c r="UFA114" i="3"/>
  <c r="UES114" i="3"/>
  <c r="UEU114" i="3" s="1"/>
  <c r="UEK114" i="3"/>
  <c r="UEM114" i="3" s="1"/>
  <c r="UEC114" i="3"/>
  <c r="UEE114" i="3" s="1"/>
  <c r="UDW114" i="3"/>
  <c r="UDU114" i="3"/>
  <c r="UDM114" i="3"/>
  <c r="UDO114" i="3" s="1"/>
  <c r="UDE114" i="3"/>
  <c r="UDG114" i="3" s="1"/>
  <c r="UCW114" i="3"/>
  <c r="UCY114" i="3" s="1"/>
  <c r="UCQ114" i="3"/>
  <c r="UCO114" i="3"/>
  <c r="UCI114" i="3"/>
  <c r="UCG114" i="3"/>
  <c r="UBY114" i="3"/>
  <c r="UCA114" i="3" s="1"/>
  <c r="UBQ114" i="3"/>
  <c r="UBS114" i="3" s="1"/>
  <c r="UBI114" i="3"/>
  <c r="UBK114" i="3" s="1"/>
  <c r="UBA114" i="3"/>
  <c r="UBC114" i="3" s="1"/>
  <c r="UAS114" i="3"/>
  <c r="UAU114" i="3" s="1"/>
  <c r="UAK114" i="3"/>
  <c r="UAM114" i="3" s="1"/>
  <c r="UAC114" i="3"/>
  <c r="UAE114" i="3" s="1"/>
  <c r="TZW114" i="3"/>
  <c r="TZU114" i="3"/>
  <c r="TZO114" i="3"/>
  <c r="TZM114" i="3"/>
  <c r="TZE114" i="3"/>
  <c r="TZG114" i="3" s="1"/>
  <c r="TYW114" i="3"/>
  <c r="TYY114" i="3" s="1"/>
  <c r="TYO114" i="3"/>
  <c r="TYQ114" i="3" s="1"/>
  <c r="TYI114" i="3"/>
  <c r="TYG114" i="3"/>
  <c r="TXY114" i="3"/>
  <c r="TYA114" i="3" s="1"/>
  <c r="TXS114" i="3"/>
  <c r="TXQ114" i="3"/>
  <c r="TXI114" i="3"/>
  <c r="TXK114" i="3" s="1"/>
  <c r="TXC114" i="3"/>
  <c r="TXA114" i="3"/>
  <c r="TWS114" i="3"/>
  <c r="TWU114" i="3" s="1"/>
  <c r="TWK114" i="3"/>
  <c r="TWM114" i="3" s="1"/>
  <c r="TWC114" i="3"/>
  <c r="TWE114" i="3" s="1"/>
  <c r="TVW114" i="3"/>
  <c r="TVU114" i="3"/>
  <c r="TVM114" i="3"/>
  <c r="TVO114" i="3" s="1"/>
  <c r="TVE114" i="3"/>
  <c r="TVG114" i="3" s="1"/>
  <c r="TUW114" i="3"/>
  <c r="TUY114" i="3" s="1"/>
  <c r="TUQ114" i="3"/>
  <c r="TUO114" i="3"/>
  <c r="TUG114" i="3"/>
  <c r="TUI114" i="3" s="1"/>
  <c r="TTY114" i="3"/>
  <c r="TUA114" i="3" s="1"/>
  <c r="TTQ114" i="3"/>
  <c r="TTS114" i="3" s="1"/>
  <c r="TTI114" i="3"/>
  <c r="TTK114" i="3" s="1"/>
  <c r="TTC114" i="3"/>
  <c r="TTA114" i="3"/>
  <c r="TSS114" i="3"/>
  <c r="TSU114" i="3" s="1"/>
  <c r="TSK114" i="3"/>
  <c r="TSM114" i="3" s="1"/>
  <c r="TSE114" i="3"/>
  <c r="TSC114" i="3"/>
  <c r="TRU114" i="3"/>
  <c r="TRW114" i="3" s="1"/>
  <c r="TRM114" i="3"/>
  <c r="TRO114" i="3" s="1"/>
  <c r="TRG114" i="3"/>
  <c r="TRE114" i="3"/>
  <c r="TQW114" i="3"/>
  <c r="TQY114" i="3" s="1"/>
  <c r="TQQ114" i="3"/>
  <c r="TQO114" i="3"/>
  <c r="TQG114" i="3"/>
  <c r="TQI114" i="3" s="1"/>
  <c r="TPY114" i="3"/>
  <c r="TQA114" i="3" s="1"/>
  <c r="TPQ114" i="3"/>
  <c r="TPS114" i="3" s="1"/>
  <c r="TPI114" i="3"/>
  <c r="TPK114" i="3" s="1"/>
  <c r="TPC114" i="3"/>
  <c r="TPA114" i="3"/>
  <c r="TOS114" i="3"/>
  <c r="TOU114" i="3" s="1"/>
  <c r="TOM114" i="3"/>
  <c r="TOK114" i="3"/>
  <c r="TOC114" i="3"/>
  <c r="TOE114" i="3" s="1"/>
  <c r="TNU114" i="3"/>
  <c r="TNW114" i="3" s="1"/>
  <c r="TNM114" i="3"/>
  <c r="TNO114" i="3" s="1"/>
  <c r="TNG114" i="3"/>
  <c r="TNE114" i="3"/>
  <c r="TMW114" i="3"/>
  <c r="TMY114" i="3" s="1"/>
  <c r="TMO114" i="3"/>
  <c r="TMQ114" i="3" s="1"/>
  <c r="TMG114" i="3"/>
  <c r="TMI114" i="3" s="1"/>
  <c r="TLY114" i="3"/>
  <c r="TMA114" i="3" s="1"/>
  <c r="TLQ114" i="3"/>
  <c r="TLS114" i="3" s="1"/>
  <c r="TLK114" i="3"/>
  <c r="TLI114" i="3"/>
  <c r="TLA114" i="3"/>
  <c r="TLC114" i="3" s="1"/>
  <c r="TKU114" i="3"/>
  <c r="TKS114" i="3"/>
  <c r="TKK114" i="3"/>
  <c r="TKM114" i="3" s="1"/>
  <c r="TKC114" i="3"/>
  <c r="TKE114" i="3" s="1"/>
  <c r="TJU114" i="3"/>
  <c r="TJW114" i="3" s="1"/>
  <c r="TJM114" i="3"/>
  <c r="TJO114" i="3" s="1"/>
  <c r="TJE114" i="3"/>
  <c r="TJG114" i="3" s="1"/>
  <c r="TIY114" i="3"/>
  <c r="TIW114" i="3"/>
  <c r="TIO114" i="3"/>
  <c r="TIQ114" i="3" s="1"/>
  <c r="TIG114" i="3"/>
  <c r="TII114" i="3" s="1"/>
  <c r="THY114" i="3"/>
  <c r="TIA114" i="3" s="1"/>
  <c r="THQ114" i="3"/>
  <c r="THS114" i="3" s="1"/>
  <c r="THI114" i="3"/>
  <c r="THK114" i="3" s="1"/>
  <c r="THA114" i="3"/>
  <c r="THC114" i="3" s="1"/>
  <c r="TGS114" i="3"/>
  <c r="TGU114" i="3" s="1"/>
  <c r="TGK114" i="3"/>
  <c r="TGM114" i="3" s="1"/>
  <c r="TGC114" i="3"/>
  <c r="TGE114" i="3" s="1"/>
  <c r="TFU114" i="3"/>
  <c r="TFW114" i="3" s="1"/>
  <c r="TFM114" i="3"/>
  <c r="TFO114" i="3" s="1"/>
  <c r="TFG114" i="3"/>
  <c r="TFE114" i="3"/>
  <c r="TEW114" i="3"/>
  <c r="TEY114" i="3" s="1"/>
  <c r="TEO114" i="3"/>
  <c r="TEQ114" i="3" s="1"/>
  <c r="TEG114" i="3"/>
  <c r="TEI114" i="3" s="1"/>
  <c r="TDY114" i="3"/>
  <c r="TEA114" i="3" s="1"/>
  <c r="TDQ114" i="3"/>
  <c r="TDS114" i="3" s="1"/>
  <c r="TDK114" i="3"/>
  <c r="TDI114" i="3"/>
  <c r="TDA114" i="3"/>
  <c r="TDC114" i="3" s="1"/>
  <c r="TCS114" i="3"/>
  <c r="TCU114" i="3" s="1"/>
  <c r="TCM114" i="3"/>
  <c r="TCK114" i="3"/>
  <c r="TCE114" i="3"/>
  <c r="TCC114" i="3"/>
  <c r="TBW114" i="3"/>
  <c r="TBU114" i="3"/>
  <c r="TBM114" i="3"/>
  <c r="TBO114" i="3" s="1"/>
  <c r="TBE114" i="3"/>
  <c r="TBG114" i="3" s="1"/>
  <c r="TAW114" i="3"/>
  <c r="TAY114" i="3" s="1"/>
  <c r="TAO114" i="3"/>
  <c r="TAQ114" i="3" s="1"/>
  <c r="TAG114" i="3"/>
  <c r="TAI114" i="3" s="1"/>
  <c r="SZY114" i="3"/>
  <c r="TAA114" i="3" s="1"/>
  <c r="SZQ114" i="3"/>
  <c r="SZS114" i="3" s="1"/>
  <c r="SZI114" i="3"/>
  <c r="SZK114" i="3" s="1"/>
  <c r="SZA114" i="3"/>
  <c r="SZC114" i="3" s="1"/>
  <c r="SYS114" i="3"/>
  <c r="SYU114" i="3" s="1"/>
  <c r="SYK114" i="3"/>
  <c r="SYM114" i="3" s="1"/>
  <c r="SYC114" i="3"/>
  <c r="SYE114" i="3" s="1"/>
  <c r="SXU114" i="3"/>
  <c r="SXW114" i="3" s="1"/>
  <c r="SXM114" i="3"/>
  <c r="SXO114" i="3" s="1"/>
  <c r="SXE114" i="3"/>
  <c r="SXG114" i="3" s="1"/>
  <c r="SWY114" i="3"/>
  <c r="SWW114" i="3"/>
  <c r="SWO114" i="3"/>
  <c r="SWQ114" i="3" s="1"/>
  <c r="SWG114" i="3"/>
  <c r="SWI114" i="3" s="1"/>
  <c r="SWA114" i="3"/>
  <c r="SVY114" i="3"/>
  <c r="SVQ114" i="3"/>
  <c r="SVS114" i="3" s="1"/>
  <c r="SVI114" i="3"/>
  <c r="SVK114" i="3" s="1"/>
  <c r="SVA114" i="3"/>
  <c r="SVC114" i="3" s="1"/>
  <c r="SUS114" i="3"/>
  <c r="SUU114" i="3" s="1"/>
  <c r="SUK114" i="3"/>
  <c r="SUM114" i="3" s="1"/>
  <c r="SUC114" i="3"/>
  <c r="SUE114" i="3" s="1"/>
  <c r="STU114" i="3"/>
  <c r="STW114" i="3" s="1"/>
  <c r="STM114" i="3"/>
  <c r="STO114" i="3" s="1"/>
  <c r="STE114" i="3"/>
  <c r="STG114" i="3" s="1"/>
  <c r="SSY114" i="3"/>
  <c r="SSW114" i="3"/>
  <c r="SSO114" i="3"/>
  <c r="SSQ114" i="3" s="1"/>
  <c r="SSG114" i="3"/>
  <c r="SSI114" i="3" s="1"/>
  <c r="SRY114" i="3"/>
  <c r="SSA114" i="3" s="1"/>
  <c r="SRQ114" i="3"/>
  <c r="SRS114" i="3" s="1"/>
  <c r="SRI114" i="3"/>
  <c r="SRK114" i="3" s="1"/>
  <c r="SRA114" i="3"/>
  <c r="SRC114" i="3" s="1"/>
  <c r="SQS114" i="3"/>
  <c r="SQU114" i="3" s="1"/>
  <c r="SQK114" i="3"/>
  <c r="SQM114" i="3" s="1"/>
  <c r="SQC114" i="3"/>
  <c r="SQE114" i="3" s="1"/>
  <c r="SPU114" i="3"/>
  <c r="SPW114" i="3" s="1"/>
  <c r="SPO114" i="3"/>
  <c r="SPM114" i="3"/>
  <c r="SPE114" i="3"/>
  <c r="SPG114" i="3" s="1"/>
  <c r="SOW114" i="3"/>
  <c r="SOY114" i="3" s="1"/>
  <c r="SOQ114" i="3"/>
  <c r="SOO114" i="3"/>
  <c r="SOG114" i="3"/>
  <c r="SOI114" i="3" s="1"/>
  <c r="SNY114" i="3"/>
  <c r="SOA114" i="3" s="1"/>
  <c r="SNQ114" i="3"/>
  <c r="SNS114" i="3" s="1"/>
  <c r="SNI114" i="3"/>
  <c r="SNK114" i="3" s="1"/>
  <c r="SNA114" i="3"/>
  <c r="SNC114" i="3" s="1"/>
  <c r="SMS114" i="3"/>
  <c r="SMU114" i="3" s="1"/>
  <c r="SMK114" i="3"/>
  <c r="SMM114" i="3" s="1"/>
  <c r="SMC114" i="3"/>
  <c r="SME114" i="3" s="1"/>
  <c r="SLU114" i="3"/>
  <c r="SLW114" i="3" s="1"/>
  <c r="SLM114" i="3"/>
  <c r="SLO114" i="3" s="1"/>
  <c r="SLG114" i="3"/>
  <c r="SLE114" i="3"/>
  <c r="SKW114" i="3"/>
  <c r="SKY114" i="3" s="1"/>
  <c r="SKO114" i="3"/>
  <c r="SKQ114" i="3" s="1"/>
  <c r="SKI114" i="3"/>
  <c r="SKG114" i="3"/>
  <c r="SJY114" i="3"/>
  <c r="SKA114" i="3" s="1"/>
  <c r="SJS114" i="3"/>
  <c r="SJQ114" i="3"/>
  <c r="SJK114" i="3"/>
  <c r="SJI114" i="3"/>
  <c r="SJC114" i="3"/>
  <c r="SJA114" i="3"/>
  <c r="SIS114" i="3"/>
  <c r="SIU114" i="3" s="1"/>
  <c r="SIK114" i="3"/>
  <c r="SIM114" i="3" s="1"/>
  <c r="SIC114" i="3"/>
  <c r="SIE114" i="3" s="1"/>
  <c r="SHU114" i="3"/>
  <c r="SHW114" i="3" s="1"/>
  <c r="SHM114" i="3"/>
  <c r="SHO114" i="3" s="1"/>
  <c r="SHE114" i="3"/>
  <c r="SHG114" i="3" s="1"/>
  <c r="SGW114" i="3"/>
  <c r="SGY114" i="3" s="1"/>
  <c r="SGO114" i="3"/>
  <c r="SGQ114" i="3" s="1"/>
  <c r="SGI114" i="3"/>
  <c r="SGG114" i="3"/>
  <c r="SFY114" i="3"/>
  <c r="SGA114" i="3" s="1"/>
  <c r="SFQ114" i="3"/>
  <c r="SFS114" i="3" s="1"/>
  <c r="SFK114" i="3"/>
  <c r="SFI114" i="3"/>
  <c r="SFA114" i="3"/>
  <c r="SFC114" i="3" s="1"/>
  <c r="SES114" i="3"/>
  <c r="SEU114" i="3" s="1"/>
  <c r="SEK114" i="3"/>
  <c r="SEM114" i="3" s="1"/>
  <c r="SEC114" i="3"/>
  <c r="SEE114" i="3" s="1"/>
  <c r="SDU114" i="3"/>
  <c r="SDW114" i="3" s="1"/>
  <c r="SDO114" i="3"/>
  <c r="SDM114" i="3"/>
  <c r="SDE114" i="3"/>
  <c r="SDG114" i="3" s="1"/>
  <c r="SCW114" i="3"/>
  <c r="SCY114" i="3" s="1"/>
  <c r="SCO114" i="3"/>
  <c r="SCQ114" i="3" s="1"/>
  <c r="SCG114" i="3"/>
  <c r="SCI114" i="3" s="1"/>
  <c r="SBY114" i="3"/>
  <c r="SCA114" i="3" s="1"/>
  <c r="SBQ114" i="3"/>
  <c r="SBS114" i="3" s="1"/>
  <c r="SBI114" i="3"/>
  <c r="SBK114" i="3" s="1"/>
  <c r="SBA114" i="3"/>
  <c r="SBC114" i="3" s="1"/>
  <c r="SAU114" i="3"/>
  <c r="SAS114" i="3"/>
  <c r="SAK114" i="3"/>
  <c r="SAM114" i="3" s="1"/>
  <c r="SAC114" i="3"/>
  <c r="SAE114" i="3" s="1"/>
  <c r="RZU114" i="3"/>
  <c r="RZW114" i="3" s="1"/>
  <c r="RZM114" i="3"/>
  <c r="RZO114" i="3" s="1"/>
  <c r="RZE114" i="3"/>
  <c r="RZG114" i="3" s="1"/>
  <c r="RYW114" i="3"/>
  <c r="RYY114" i="3" s="1"/>
  <c r="RYO114" i="3"/>
  <c r="RYQ114" i="3" s="1"/>
  <c r="RYI114" i="3"/>
  <c r="RYG114" i="3"/>
  <c r="RXY114" i="3"/>
  <c r="RYA114" i="3" s="1"/>
  <c r="RXQ114" i="3"/>
  <c r="RXS114" i="3" s="1"/>
  <c r="RXI114" i="3"/>
  <c r="RXK114" i="3" s="1"/>
  <c r="RXA114" i="3"/>
  <c r="RXC114" i="3" s="1"/>
  <c r="RWS114" i="3"/>
  <c r="RWU114" i="3" s="1"/>
  <c r="RWK114" i="3"/>
  <c r="RWM114" i="3" s="1"/>
  <c r="RWE114" i="3"/>
  <c r="RWC114" i="3"/>
  <c r="RVU114" i="3"/>
  <c r="RVW114" i="3" s="1"/>
  <c r="RVM114" i="3"/>
  <c r="RVO114" i="3" s="1"/>
  <c r="RVE114" i="3"/>
  <c r="RVG114" i="3" s="1"/>
  <c r="RUW114" i="3"/>
  <c r="RUY114" i="3" s="1"/>
  <c r="RUO114" i="3"/>
  <c r="RUQ114" i="3" s="1"/>
  <c r="RUI114" i="3"/>
  <c r="RUG114" i="3"/>
  <c r="RTY114" i="3"/>
  <c r="RUA114" i="3" s="1"/>
  <c r="RTQ114" i="3"/>
  <c r="RTS114" i="3" s="1"/>
  <c r="RTI114" i="3"/>
  <c r="RTK114" i="3" s="1"/>
  <c r="RTA114" i="3"/>
  <c r="RTC114" i="3" s="1"/>
  <c r="RSU114" i="3"/>
  <c r="RSS114" i="3"/>
  <c r="RSK114" i="3"/>
  <c r="RSM114" i="3" s="1"/>
  <c r="RSC114" i="3"/>
  <c r="RSE114" i="3" s="1"/>
  <c r="RRU114" i="3"/>
  <c r="RRW114" i="3" s="1"/>
  <c r="RRM114" i="3"/>
  <c r="RRO114" i="3" s="1"/>
  <c r="RRE114" i="3"/>
  <c r="RRG114" i="3" s="1"/>
  <c r="RQW114" i="3"/>
  <c r="RQY114" i="3" s="1"/>
  <c r="RQO114" i="3"/>
  <c r="RQQ114" i="3" s="1"/>
  <c r="RQG114" i="3"/>
  <c r="RQI114" i="3" s="1"/>
  <c r="RPY114" i="3"/>
  <c r="RQA114" i="3" s="1"/>
  <c r="RPQ114" i="3"/>
  <c r="RPS114" i="3" s="1"/>
  <c r="RPI114" i="3"/>
  <c r="RPK114" i="3" s="1"/>
  <c r="RPA114" i="3"/>
  <c r="RPC114" i="3" s="1"/>
  <c r="ROS114" i="3"/>
  <c r="ROU114" i="3" s="1"/>
  <c r="ROK114" i="3"/>
  <c r="ROM114" i="3" s="1"/>
  <c r="ROE114" i="3"/>
  <c r="ROC114" i="3"/>
  <c r="RNW114" i="3"/>
  <c r="RNU114" i="3"/>
  <c r="RNM114" i="3"/>
  <c r="RNO114" i="3" s="1"/>
  <c r="RNE114" i="3"/>
  <c r="RNG114" i="3" s="1"/>
  <c r="RMY114" i="3"/>
  <c r="RMW114" i="3"/>
  <c r="RMO114" i="3"/>
  <c r="RMQ114" i="3" s="1"/>
  <c r="RMG114" i="3"/>
  <c r="RMI114" i="3" s="1"/>
  <c r="RLY114" i="3"/>
  <c r="RMA114" i="3" s="1"/>
  <c r="RLQ114" i="3"/>
  <c r="RLS114" i="3" s="1"/>
  <c r="RLI114" i="3"/>
  <c r="RLK114" i="3" s="1"/>
  <c r="RLC114" i="3"/>
  <c r="RLA114" i="3"/>
  <c r="RKS114" i="3"/>
  <c r="RKU114" i="3" s="1"/>
  <c r="RKK114" i="3"/>
  <c r="RKM114" i="3" s="1"/>
  <c r="RKC114" i="3"/>
  <c r="RKE114" i="3" s="1"/>
  <c r="RJU114" i="3"/>
  <c r="RJW114" i="3" s="1"/>
  <c r="RJM114" i="3"/>
  <c r="RJO114" i="3" s="1"/>
  <c r="RJE114" i="3"/>
  <c r="RJG114" i="3" s="1"/>
  <c r="RIW114" i="3"/>
  <c r="RIY114" i="3" s="1"/>
  <c r="RIO114" i="3"/>
  <c r="RIQ114" i="3" s="1"/>
  <c r="RIG114" i="3"/>
  <c r="RII114" i="3" s="1"/>
  <c r="RHY114" i="3"/>
  <c r="RIA114" i="3" s="1"/>
  <c r="RHQ114" i="3"/>
  <c r="RHS114" i="3" s="1"/>
  <c r="RHI114" i="3"/>
  <c r="RHK114" i="3" s="1"/>
  <c r="RHA114" i="3"/>
  <c r="RHC114" i="3" s="1"/>
  <c r="RGU114" i="3"/>
  <c r="RGS114" i="3"/>
  <c r="RGK114" i="3"/>
  <c r="RGM114" i="3" s="1"/>
  <c r="RGC114" i="3"/>
  <c r="RGE114" i="3" s="1"/>
  <c r="RFU114" i="3"/>
  <c r="RFW114" i="3" s="1"/>
  <c r="RFM114" i="3"/>
  <c r="RFO114" i="3" s="1"/>
  <c r="RFE114" i="3"/>
  <c r="RFG114" i="3" s="1"/>
  <c r="REW114" i="3"/>
  <c r="REY114" i="3" s="1"/>
  <c r="REO114" i="3"/>
  <c r="REQ114" i="3" s="1"/>
  <c r="REG114" i="3"/>
  <c r="REI114" i="3" s="1"/>
  <c r="RDY114" i="3"/>
  <c r="REA114" i="3" s="1"/>
  <c r="RDQ114" i="3"/>
  <c r="RDS114" i="3" s="1"/>
  <c r="RDI114" i="3"/>
  <c r="RDK114" i="3" s="1"/>
  <c r="RDC114" i="3"/>
  <c r="RDA114" i="3"/>
  <c r="RCS114" i="3"/>
  <c r="RCU114" i="3" s="1"/>
  <c r="RCK114" i="3"/>
  <c r="RCM114" i="3" s="1"/>
  <c r="RCC114" i="3"/>
  <c r="RCE114" i="3" s="1"/>
  <c r="RBU114" i="3"/>
  <c r="RBW114" i="3" s="1"/>
  <c r="RBO114" i="3"/>
  <c r="RBM114" i="3"/>
  <c r="RBE114" i="3"/>
  <c r="RBG114" i="3" s="1"/>
  <c r="RAW114" i="3"/>
  <c r="RAY114" i="3" s="1"/>
  <c r="RAO114" i="3"/>
  <c r="RAQ114" i="3" s="1"/>
  <c r="RAG114" i="3"/>
  <c r="RAI114" i="3" s="1"/>
  <c r="QZY114" i="3"/>
  <c r="RAA114" i="3" s="1"/>
  <c r="QZQ114" i="3"/>
  <c r="QZS114" i="3" s="1"/>
  <c r="QZI114" i="3"/>
  <c r="QZK114" i="3" s="1"/>
  <c r="QZA114" i="3"/>
  <c r="QZC114" i="3" s="1"/>
  <c r="QYS114" i="3"/>
  <c r="QYU114" i="3" s="1"/>
  <c r="QYK114" i="3"/>
  <c r="QYM114" i="3" s="1"/>
  <c r="QYC114" i="3"/>
  <c r="QYE114" i="3" s="1"/>
  <c r="QXU114" i="3"/>
  <c r="QXW114" i="3" s="1"/>
  <c r="QXO114" i="3"/>
  <c r="QXM114" i="3"/>
  <c r="QXE114" i="3"/>
  <c r="QXG114" i="3" s="1"/>
  <c r="QWW114" i="3"/>
  <c r="QWY114" i="3" s="1"/>
  <c r="QWO114" i="3"/>
  <c r="QWQ114" i="3" s="1"/>
  <c r="QWG114" i="3"/>
  <c r="QWI114" i="3" s="1"/>
  <c r="QVY114" i="3"/>
  <c r="QWA114" i="3" s="1"/>
  <c r="QVQ114" i="3"/>
  <c r="QVS114" i="3" s="1"/>
  <c r="QVI114" i="3"/>
  <c r="QVK114" i="3" s="1"/>
  <c r="QVA114" i="3"/>
  <c r="QVC114" i="3" s="1"/>
  <c r="QUS114" i="3"/>
  <c r="QUU114" i="3" s="1"/>
  <c r="QUK114" i="3"/>
  <c r="QUM114" i="3" s="1"/>
  <c r="QUC114" i="3"/>
  <c r="QUE114" i="3" s="1"/>
  <c r="QTU114" i="3"/>
  <c r="QTW114" i="3" s="1"/>
  <c r="QTM114" i="3"/>
  <c r="QTO114" i="3" s="1"/>
  <c r="QTE114" i="3"/>
  <c r="QTG114" i="3" s="1"/>
  <c r="QSW114" i="3"/>
  <c r="QSY114" i="3" s="1"/>
  <c r="QSO114" i="3"/>
  <c r="QSQ114" i="3" s="1"/>
  <c r="QSG114" i="3"/>
  <c r="QSI114" i="3" s="1"/>
  <c r="QRY114" i="3"/>
  <c r="QSA114" i="3" s="1"/>
  <c r="QRQ114" i="3"/>
  <c r="QRS114" i="3" s="1"/>
  <c r="QRI114" i="3"/>
  <c r="QRK114" i="3" s="1"/>
  <c r="QRA114" i="3"/>
  <c r="QRC114" i="3" s="1"/>
  <c r="QQS114" i="3"/>
  <c r="QQU114" i="3" s="1"/>
  <c r="QQK114" i="3"/>
  <c r="QQM114" i="3" s="1"/>
  <c r="QQC114" i="3"/>
  <c r="QQE114" i="3" s="1"/>
  <c r="QPU114" i="3"/>
  <c r="QPW114" i="3" s="1"/>
  <c r="QPM114" i="3"/>
  <c r="QPO114" i="3" s="1"/>
  <c r="QPE114" i="3"/>
  <c r="QPG114" i="3" s="1"/>
  <c r="QOW114" i="3"/>
  <c r="QOY114" i="3" s="1"/>
  <c r="QOO114" i="3"/>
  <c r="QOQ114" i="3" s="1"/>
  <c r="QOG114" i="3"/>
  <c r="QOI114" i="3" s="1"/>
  <c r="QNY114" i="3"/>
  <c r="QOA114" i="3" s="1"/>
  <c r="QNS114" i="3"/>
  <c r="QNQ114" i="3"/>
  <c r="QNK114" i="3"/>
  <c r="QNI114" i="3"/>
  <c r="QNA114" i="3"/>
  <c r="QNC114" i="3" s="1"/>
  <c r="QMS114" i="3"/>
  <c r="QMU114" i="3" s="1"/>
  <c r="QMK114" i="3"/>
  <c r="QMM114" i="3" s="1"/>
  <c r="QMC114" i="3"/>
  <c r="QME114" i="3" s="1"/>
  <c r="QLU114" i="3"/>
  <c r="QLW114" i="3" s="1"/>
  <c r="QLM114" i="3"/>
  <c r="QLO114" i="3" s="1"/>
  <c r="QLE114" i="3"/>
  <c r="QLG114" i="3" s="1"/>
  <c r="QKW114" i="3"/>
  <c r="QKY114" i="3" s="1"/>
  <c r="QKQ114" i="3"/>
  <c r="QKO114" i="3"/>
  <c r="QKG114" i="3"/>
  <c r="QKI114" i="3" s="1"/>
  <c r="QJY114" i="3"/>
  <c r="QKA114" i="3" s="1"/>
  <c r="QJQ114" i="3"/>
  <c r="QJS114" i="3" s="1"/>
  <c r="QJK114" i="3"/>
  <c r="QJI114" i="3"/>
  <c r="QJA114" i="3"/>
  <c r="QJC114" i="3" s="1"/>
  <c r="QIS114" i="3"/>
  <c r="QIU114" i="3" s="1"/>
  <c r="QIK114" i="3"/>
  <c r="QIM114" i="3" s="1"/>
  <c r="QIC114" i="3"/>
  <c r="QIE114" i="3" s="1"/>
  <c r="QHU114" i="3"/>
  <c r="QHW114" i="3" s="1"/>
  <c r="QHM114" i="3"/>
  <c r="QHO114" i="3" s="1"/>
  <c r="QHE114" i="3"/>
  <c r="QHG114" i="3" s="1"/>
  <c r="QGY114" i="3"/>
  <c r="QGW114" i="3"/>
  <c r="QGO114" i="3"/>
  <c r="QGQ114" i="3" s="1"/>
  <c r="QGG114" i="3"/>
  <c r="QGI114" i="3" s="1"/>
  <c r="QFY114" i="3"/>
  <c r="QGA114" i="3" s="1"/>
  <c r="QFS114" i="3"/>
  <c r="QFQ114" i="3"/>
  <c r="QFK114" i="3"/>
  <c r="QFI114" i="3"/>
  <c r="QFA114" i="3"/>
  <c r="QFC114" i="3" s="1"/>
  <c r="QES114" i="3"/>
  <c r="QEU114" i="3" s="1"/>
  <c r="QEK114" i="3"/>
  <c r="QEM114" i="3" s="1"/>
  <c r="QEC114" i="3"/>
  <c r="QEE114" i="3" s="1"/>
  <c r="QDW114" i="3"/>
  <c r="QDU114" i="3"/>
  <c r="QDM114" i="3"/>
  <c r="QDO114" i="3" s="1"/>
  <c r="QDE114" i="3"/>
  <c r="QDG114" i="3" s="1"/>
  <c r="QCW114" i="3"/>
  <c r="QCY114" i="3" s="1"/>
  <c r="QCO114" i="3"/>
  <c r="QCQ114" i="3" s="1"/>
  <c r="QCG114" i="3"/>
  <c r="QCI114" i="3" s="1"/>
  <c r="QBY114" i="3"/>
  <c r="QCA114" i="3" s="1"/>
  <c r="QBS114" i="3"/>
  <c r="QBQ114" i="3"/>
  <c r="QBK114" i="3"/>
  <c r="QBI114" i="3"/>
  <c r="QBA114" i="3"/>
  <c r="QBC114" i="3" s="1"/>
  <c r="QAS114" i="3"/>
  <c r="QAU114" i="3" s="1"/>
  <c r="QAK114" i="3"/>
  <c r="QAM114" i="3" s="1"/>
  <c r="QAC114" i="3"/>
  <c r="QAE114" i="3" s="1"/>
  <c r="PZU114" i="3"/>
  <c r="PZW114" i="3" s="1"/>
  <c r="PZM114" i="3"/>
  <c r="PZO114" i="3" s="1"/>
  <c r="PZE114" i="3"/>
  <c r="PZG114" i="3" s="1"/>
  <c r="PYW114" i="3"/>
  <c r="PYY114" i="3" s="1"/>
  <c r="PYO114" i="3"/>
  <c r="PYQ114" i="3" s="1"/>
  <c r="PYG114" i="3"/>
  <c r="PYI114" i="3" s="1"/>
  <c r="PXY114" i="3"/>
  <c r="PYA114" i="3" s="1"/>
  <c r="PXQ114" i="3"/>
  <c r="PXS114" i="3" s="1"/>
  <c r="PXI114" i="3"/>
  <c r="PXK114" i="3" s="1"/>
  <c r="PXA114" i="3"/>
  <c r="PXC114" i="3" s="1"/>
  <c r="PWS114" i="3"/>
  <c r="PWU114" i="3" s="1"/>
  <c r="PWM114" i="3"/>
  <c r="PWK114" i="3"/>
  <c r="PWC114" i="3"/>
  <c r="PWE114" i="3" s="1"/>
  <c r="PVU114" i="3"/>
  <c r="PVW114" i="3" s="1"/>
  <c r="PVM114" i="3"/>
  <c r="PVO114" i="3" s="1"/>
  <c r="PVG114" i="3"/>
  <c r="PVE114" i="3"/>
  <c r="PUW114" i="3"/>
  <c r="PUY114" i="3" s="1"/>
  <c r="PUO114" i="3"/>
  <c r="PUQ114" i="3" s="1"/>
  <c r="PUG114" i="3"/>
  <c r="PUI114" i="3" s="1"/>
  <c r="PTY114" i="3"/>
  <c r="PUA114" i="3" s="1"/>
  <c r="PTQ114" i="3"/>
  <c r="PTS114" i="3" s="1"/>
  <c r="PTI114" i="3"/>
  <c r="PTK114" i="3" s="1"/>
  <c r="PTA114" i="3"/>
  <c r="PTC114" i="3" s="1"/>
  <c r="PSS114" i="3"/>
  <c r="PSU114" i="3" s="1"/>
  <c r="PSK114" i="3"/>
  <c r="PSM114" i="3" s="1"/>
  <c r="PSC114" i="3"/>
  <c r="PSE114" i="3" s="1"/>
  <c r="PRU114" i="3"/>
  <c r="PRW114" i="3" s="1"/>
  <c r="PRM114" i="3"/>
  <c r="PRO114" i="3" s="1"/>
  <c r="PRE114" i="3"/>
  <c r="PRG114" i="3" s="1"/>
  <c r="PQW114" i="3"/>
  <c r="PQY114" i="3" s="1"/>
  <c r="PQO114" i="3"/>
  <c r="PQQ114" i="3" s="1"/>
  <c r="PQG114" i="3"/>
  <c r="PQI114" i="3" s="1"/>
  <c r="PPY114" i="3"/>
  <c r="PQA114" i="3" s="1"/>
  <c r="PPQ114" i="3"/>
  <c r="PPS114" i="3" s="1"/>
  <c r="PPI114" i="3"/>
  <c r="PPK114" i="3" s="1"/>
  <c r="PPA114" i="3"/>
  <c r="PPC114" i="3" s="1"/>
  <c r="POU114" i="3"/>
  <c r="POS114" i="3"/>
  <c r="POK114" i="3"/>
  <c r="POM114" i="3" s="1"/>
  <c r="POC114" i="3"/>
  <c r="POE114" i="3" s="1"/>
  <c r="PNU114" i="3"/>
  <c r="PNW114" i="3" s="1"/>
  <c r="PNM114" i="3"/>
  <c r="PNO114" i="3" s="1"/>
  <c r="PNE114" i="3"/>
  <c r="PNG114" i="3" s="1"/>
  <c r="PMW114" i="3"/>
  <c r="PMY114" i="3" s="1"/>
  <c r="PMO114" i="3"/>
  <c r="PMQ114" i="3" s="1"/>
  <c r="PMG114" i="3"/>
  <c r="PMI114" i="3" s="1"/>
  <c r="PLY114" i="3"/>
  <c r="PMA114" i="3" s="1"/>
  <c r="PLQ114" i="3"/>
  <c r="PLS114" i="3" s="1"/>
  <c r="PLI114" i="3"/>
  <c r="PLK114" i="3" s="1"/>
  <c r="PLA114" i="3"/>
  <c r="PLC114" i="3" s="1"/>
  <c r="PKS114" i="3"/>
  <c r="PKU114" i="3" s="1"/>
  <c r="PKK114" i="3"/>
  <c r="PKM114" i="3" s="1"/>
  <c r="PKC114" i="3"/>
  <c r="PKE114" i="3" s="1"/>
  <c r="PJU114" i="3"/>
  <c r="PJW114" i="3" s="1"/>
  <c r="PJM114" i="3"/>
  <c r="PJO114" i="3" s="1"/>
  <c r="PJE114" i="3"/>
  <c r="PJG114" i="3" s="1"/>
  <c r="PIW114" i="3"/>
  <c r="PIY114" i="3" s="1"/>
  <c r="PIO114" i="3"/>
  <c r="PIQ114" i="3" s="1"/>
  <c r="PIG114" i="3"/>
  <c r="PII114" i="3" s="1"/>
  <c r="PHY114" i="3"/>
  <c r="PIA114" i="3" s="1"/>
  <c r="PHQ114" i="3"/>
  <c r="PHS114" i="3" s="1"/>
  <c r="PHI114" i="3"/>
  <c r="PHK114" i="3" s="1"/>
  <c r="PHA114" i="3"/>
  <c r="PHC114" i="3" s="1"/>
  <c r="PGS114" i="3"/>
  <c r="PGU114" i="3" s="1"/>
  <c r="PGK114" i="3"/>
  <c r="PGM114" i="3" s="1"/>
  <c r="PGC114" i="3"/>
  <c r="PGE114" i="3" s="1"/>
  <c r="PFU114" i="3"/>
  <c r="PFW114" i="3" s="1"/>
  <c r="PFM114" i="3"/>
  <c r="PFO114" i="3" s="1"/>
  <c r="PFE114" i="3"/>
  <c r="PFG114" i="3" s="1"/>
  <c r="PEW114" i="3"/>
  <c r="PEY114" i="3" s="1"/>
  <c r="PEO114" i="3"/>
  <c r="PEQ114" i="3" s="1"/>
  <c r="PEG114" i="3"/>
  <c r="PEI114" i="3" s="1"/>
  <c r="PDY114" i="3"/>
  <c r="PEA114" i="3" s="1"/>
  <c r="PDQ114" i="3"/>
  <c r="PDS114" i="3" s="1"/>
  <c r="PDI114" i="3"/>
  <c r="PDK114" i="3" s="1"/>
  <c r="PDA114" i="3"/>
  <c r="PDC114" i="3" s="1"/>
  <c r="PCS114" i="3"/>
  <c r="PCU114" i="3" s="1"/>
  <c r="PCK114" i="3"/>
  <c r="PCM114" i="3" s="1"/>
  <c r="PCC114" i="3"/>
  <c r="PCE114" i="3" s="1"/>
  <c r="PBU114" i="3"/>
  <c r="PBW114" i="3" s="1"/>
  <c r="PBM114" i="3"/>
  <c r="PBO114" i="3" s="1"/>
  <c r="PBE114" i="3"/>
  <c r="PBG114" i="3" s="1"/>
  <c r="PAW114" i="3"/>
  <c r="PAY114" i="3" s="1"/>
  <c r="PAQ114" i="3"/>
  <c r="PAO114" i="3"/>
  <c r="PAG114" i="3"/>
  <c r="PAI114" i="3" s="1"/>
  <c r="OZY114" i="3"/>
  <c r="PAA114" i="3" s="1"/>
  <c r="OZS114" i="3"/>
  <c r="OZQ114" i="3"/>
  <c r="OZI114" i="3"/>
  <c r="OZK114" i="3" s="1"/>
  <c r="OZA114" i="3"/>
  <c r="OZC114" i="3" s="1"/>
  <c r="OYS114" i="3"/>
  <c r="OYU114" i="3" s="1"/>
  <c r="OYK114" i="3"/>
  <c r="OYM114" i="3" s="1"/>
  <c r="OYC114" i="3"/>
  <c r="OYE114" i="3" s="1"/>
  <c r="OXU114" i="3"/>
  <c r="OXW114" i="3" s="1"/>
  <c r="OXM114" i="3"/>
  <c r="OXO114" i="3" s="1"/>
  <c r="OXE114" i="3"/>
  <c r="OXG114" i="3" s="1"/>
  <c r="OWW114" i="3"/>
  <c r="OWY114" i="3" s="1"/>
  <c r="OWO114" i="3"/>
  <c r="OWQ114" i="3" s="1"/>
  <c r="OWG114" i="3"/>
  <c r="OWI114" i="3" s="1"/>
  <c r="OVY114" i="3"/>
  <c r="OWA114" i="3" s="1"/>
  <c r="OVQ114" i="3"/>
  <c r="OVS114" i="3" s="1"/>
  <c r="OVI114" i="3"/>
  <c r="OVK114" i="3" s="1"/>
  <c r="OVA114" i="3"/>
  <c r="OVC114" i="3" s="1"/>
  <c r="OUS114" i="3"/>
  <c r="OUU114" i="3" s="1"/>
  <c r="OUK114" i="3"/>
  <c r="OUM114" i="3" s="1"/>
  <c r="OUC114" i="3"/>
  <c r="OUE114" i="3" s="1"/>
  <c r="OTU114" i="3"/>
  <c r="OTW114" i="3" s="1"/>
  <c r="OTO114" i="3"/>
  <c r="OTM114" i="3"/>
  <c r="OTE114" i="3"/>
  <c r="OTG114" i="3" s="1"/>
  <c r="OSW114" i="3"/>
  <c r="OSY114" i="3" s="1"/>
  <c r="OSO114" i="3"/>
  <c r="OSQ114" i="3" s="1"/>
  <c r="OSI114" i="3"/>
  <c r="OSG114" i="3"/>
  <c r="ORY114" i="3"/>
  <c r="OSA114" i="3" s="1"/>
  <c r="ORQ114" i="3"/>
  <c r="ORS114" i="3" s="1"/>
  <c r="ORI114" i="3"/>
  <c r="ORK114" i="3" s="1"/>
  <c r="ORA114" i="3"/>
  <c r="ORC114" i="3" s="1"/>
  <c r="OQU114" i="3"/>
  <c r="OQS114" i="3"/>
  <c r="OQK114" i="3"/>
  <c r="OQM114" i="3" s="1"/>
  <c r="OQC114" i="3"/>
  <c r="OQE114" i="3" s="1"/>
  <c r="OPU114" i="3"/>
  <c r="OPW114" i="3" s="1"/>
  <c r="OPM114" i="3"/>
  <c r="OPO114" i="3" s="1"/>
  <c r="OPE114" i="3"/>
  <c r="OPG114" i="3" s="1"/>
  <c r="OOW114" i="3"/>
  <c r="OOY114" i="3" s="1"/>
  <c r="OOQ114" i="3"/>
  <c r="OOO114" i="3"/>
  <c r="OOG114" i="3"/>
  <c r="OOI114" i="3" s="1"/>
  <c r="ONY114" i="3"/>
  <c r="OOA114" i="3" s="1"/>
  <c r="ONQ114" i="3"/>
  <c r="ONS114" i="3" s="1"/>
  <c r="ONI114" i="3"/>
  <c r="ONK114" i="3" s="1"/>
  <c r="ONA114" i="3"/>
  <c r="ONC114" i="3" s="1"/>
  <c r="OMS114" i="3"/>
  <c r="OMU114" i="3" s="1"/>
  <c r="OMK114" i="3"/>
  <c r="OMM114" i="3" s="1"/>
  <c r="OME114" i="3"/>
  <c r="OMC114" i="3"/>
  <c r="OLU114" i="3"/>
  <c r="OLW114" i="3" s="1"/>
  <c r="OLO114" i="3"/>
  <c r="OLM114" i="3"/>
  <c r="OLG114" i="3"/>
  <c r="OLE114" i="3"/>
  <c r="OKW114" i="3"/>
  <c r="OKY114" i="3" s="1"/>
  <c r="OKO114" i="3"/>
  <c r="OKQ114" i="3" s="1"/>
  <c r="OKG114" i="3"/>
  <c r="OKI114" i="3" s="1"/>
  <c r="OJY114" i="3"/>
  <c r="OKA114" i="3" s="1"/>
  <c r="OJS114" i="3"/>
  <c r="OJQ114" i="3"/>
  <c r="OJI114" i="3"/>
  <c r="OJK114" i="3" s="1"/>
  <c r="OJA114" i="3"/>
  <c r="OJC114" i="3" s="1"/>
  <c r="OIS114" i="3"/>
  <c r="OIU114" i="3" s="1"/>
  <c r="OIK114" i="3"/>
  <c r="OIM114" i="3" s="1"/>
  <c r="OIE114" i="3"/>
  <c r="OIC114" i="3"/>
  <c r="OHU114" i="3"/>
  <c r="OHW114" i="3" s="1"/>
  <c r="OHM114" i="3"/>
  <c r="OHO114" i="3" s="1"/>
  <c r="OHE114" i="3"/>
  <c r="OHG114" i="3" s="1"/>
  <c r="OGW114" i="3"/>
  <c r="OGY114" i="3" s="1"/>
  <c r="OGQ114" i="3"/>
  <c r="OGO114" i="3"/>
  <c r="OGG114" i="3"/>
  <c r="OGI114" i="3" s="1"/>
  <c r="OFY114" i="3"/>
  <c r="OGA114" i="3" s="1"/>
  <c r="OFS114" i="3"/>
  <c r="OFQ114" i="3"/>
  <c r="OFI114" i="3"/>
  <c r="OFK114" i="3" s="1"/>
  <c r="OFA114" i="3"/>
  <c r="OFC114" i="3" s="1"/>
  <c r="OES114" i="3"/>
  <c r="OEU114" i="3" s="1"/>
  <c r="OEK114" i="3"/>
  <c r="OEM114" i="3" s="1"/>
  <c r="OEE114" i="3"/>
  <c r="OEC114" i="3"/>
  <c r="ODU114" i="3"/>
  <c r="ODW114" i="3" s="1"/>
  <c r="ODO114" i="3"/>
  <c r="ODM114" i="3"/>
  <c r="ODE114" i="3"/>
  <c r="ODG114" i="3" s="1"/>
  <c r="OCW114" i="3"/>
  <c r="OCY114" i="3" s="1"/>
  <c r="OCO114" i="3"/>
  <c r="OCQ114" i="3" s="1"/>
  <c r="OCG114" i="3"/>
  <c r="OCI114" i="3" s="1"/>
  <c r="OBY114" i="3"/>
  <c r="OCA114" i="3" s="1"/>
  <c r="OBQ114" i="3"/>
  <c r="OBS114" i="3" s="1"/>
  <c r="OBI114" i="3"/>
  <c r="OBK114" i="3" s="1"/>
  <c r="OBC114" i="3"/>
  <c r="OBA114" i="3"/>
  <c r="OAS114" i="3"/>
  <c r="OAU114" i="3" s="1"/>
  <c r="OAM114" i="3"/>
  <c r="OAK114" i="3"/>
  <c r="OAE114" i="3"/>
  <c r="OAC114" i="3"/>
  <c r="NZU114" i="3"/>
  <c r="NZW114" i="3" s="1"/>
  <c r="NZM114" i="3"/>
  <c r="NZO114" i="3" s="1"/>
  <c r="NZE114" i="3"/>
  <c r="NZG114" i="3" s="1"/>
  <c r="NYW114" i="3"/>
  <c r="NYY114" i="3" s="1"/>
  <c r="NYO114" i="3"/>
  <c r="NYQ114" i="3" s="1"/>
  <c r="NYG114" i="3"/>
  <c r="NYI114" i="3" s="1"/>
  <c r="NXY114" i="3"/>
  <c r="NYA114" i="3" s="1"/>
  <c r="NXQ114" i="3"/>
  <c r="NXS114" i="3" s="1"/>
  <c r="NXI114" i="3"/>
  <c r="NXK114" i="3" s="1"/>
  <c r="NXA114" i="3"/>
  <c r="NXC114" i="3" s="1"/>
  <c r="NWS114" i="3"/>
  <c r="NWU114" i="3" s="1"/>
  <c r="NWK114" i="3"/>
  <c r="NWM114" i="3" s="1"/>
  <c r="NWC114" i="3"/>
  <c r="NWE114" i="3" s="1"/>
  <c r="NVU114" i="3"/>
  <c r="NVW114" i="3" s="1"/>
  <c r="NVM114" i="3"/>
  <c r="NVO114" i="3" s="1"/>
  <c r="NVE114" i="3"/>
  <c r="NVG114" i="3" s="1"/>
  <c r="NUW114" i="3"/>
  <c r="NUY114" i="3" s="1"/>
  <c r="NUO114" i="3"/>
  <c r="NUQ114" i="3" s="1"/>
  <c r="NUG114" i="3"/>
  <c r="NUI114" i="3" s="1"/>
  <c r="NTY114" i="3"/>
  <c r="NUA114" i="3" s="1"/>
  <c r="NTQ114" i="3"/>
  <c r="NTS114" i="3" s="1"/>
  <c r="NTI114" i="3"/>
  <c r="NTK114" i="3" s="1"/>
  <c r="NTA114" i="3"/>
  <c r="NTC114" i="3" s="1"/>
  <c r="NSS114" i="3"/>
  <c r="NSU114" i="3" s="1"/>
  <c r="NSK114" i="3"/>
  <c r="NSM114" i="3" s="1"/>
  <c r="NSC114" i="3"/>
  <c r="NSE114" i="3" s="1"/>
  <c r="NRU114" i="3"/>
  <c r="NRW114" i="3" s="1"/>
  <c r="NRM114" i="3"/>
  <c r="NRO114" i="3" s="1"/>
  <c r="NRE114" i="3"/>
  <c r="NRG114" i="3" s="1"/>
  <c r="NQW114" i="3"/>
  <c r="NQY114" i="3" s="1"/>
  <c r="NQO114" i="3"/>
  <c r="NQQ114" i="3" s="1"/>
  <c r="NQG114" i="3"/>
  <c r="NQI114" i="3" s="1"/>
  <c r="NQA114" i="3"/>
  <c r="NPY114" i="3"/>
  <c r="NPQ114" i="3"/>
  <c r="NPS114" i="3" s="1"/>
  <c r="NPI114" i="3"/>
  <c r="NPK114" i="3" s="1"/>
  <c r="NPA114" i="3"/>
  <c r="NPC114" i="3" s="1"/>
  <c r="NOS114" i="3"/>
  <c r="NOU114" i="3" s="1"/>
  <c r="NOK114" i="3"/>
  <c r="NOM114" i="3" s="1"/>
  <c r="NOC114" i="3"/>
  <c r="NOE114" i="3" s="1"/>
  <c r="NNU114" i="3"/>
  <c r="NNW114" i="3" s="1"/>
  <c r="NNM114" i="3"/>
  <c r="NNO114" i="3" s="1"/>
  <c r="NNE114" i="3"/>
  <c r="NNG114" i="3" s="1"/>
  <c r="NMY114" i="3"/>
  <c r="NMW114" i="3"/>
  <c r="NMO114" i="3"/>
  <c r="NMQ114" i="3" s="1"/>
  <c r="NMG114" i="3"/>
  <c r="NMI114" i="3" s="1"/>
  <c r="NLY114" i="3"/>
  <c r="NMA114" i="3" s="1"/>
  <c r="NLQ114" i="3"/>
  <c r="NLS114" i="3" s="1"/>
  <c r="NLK114" i="3"/>
  <c r="NLI114" i="3"/>
  <c r="NLA114" i="3"/>
  <c r="NLC114" i="3" s="1"/>
  <c r="NKS114" i="3"/>
  <c r="NKU114" i="3" s="1"/>
  <c r="NKK114" i="3"/>
  <c r="NKM114" i="3" s="1"/>
  <c r="NKC114" i="3"/>
  <c r="NKE114" i="3" s="1"/>
  <c r="NJU114" i="3"/>
  <c r="NJW114" i="3" s="1"/>
  <c r="NJM114" i="3"/>
  <c r="NJO114" i="3" s="1"/>
  <c r="NJE114" i="3"/>
  <c r="NJG114" i="3" s="1"/>
  <c r="NIW114" i="3"/>
  <c r="NIY114" i="3" s="1"/>
  <c r="NIO114" i="3"/>
  <c r="NIQ114" i="3" s="1"/>
  <c r="NIG114" i="3"/>
  <c r="NII114" i="3" s="1"/>
  <c r="NHY114" i="3"/>
  <c r="NIA114" i="3" s="1"/>
  <c r="NHQ114" i="3"/>
  <c r="NHS114" i="3" s="1"/>
  <c r="NHI114" i="3"/>
  <c r="NHK114" i="3" s="1"/>
  <c r="NHA114" i="3"/>
  <c r="NHC114" i="3" s="1"/>
  <c r="NGS114" i="3"/>
  <c r="NGU114" i="3" s="1"/>
  <c r="NGK114" i="3"/>
  <c r="NGM114" i="3" s="1"/>
  <c r="NGC114" i="3"/>
  <c r="NGE114" i="3" s="1"/>
  <c r="NFU114" i="3"/>
  <c r="NFW114" i="3" s="1"/>
  <c r="NFM114" i="3"/>
  <c r="NFO114" i="3" s="1"/>
  <c r="NFE114" i="3"/>
  <c r="NFG114" i="3" s="1"/>
  <c r="NEW114" i="3"/>
  <c r="NEY114" i="3" s="1"/>
  <c r="NEO114" i="3"/>
  <c r="NEQ114" i="3" s="1"/>
  <c r="NEG114" i="3"/>
  <c r="NEI114" i="3" s="1"/>
  <c r="NDY114" i="3"/>
  <c r="NEA114" i="3" s="1"/>
  <c r="NDQ114" i="3"/>
  <c r="NDS114" i="3" s="1"/>
  <c r="NDI114" i="3"/>
  <c r="NDK114" i="3" s="1"/>
  <c r="NDA114" i="3"/>
  <c r="NDC114" i="3" s="1"/>
  <c r="NCS114" i="3"/>
  <c r="NCU114" i="3" s="1"/>
  <c r="NCK114" i="3"/>
  <c r="NCM114" i="3" s="1"/>
  <c r="NCC114" i="3"/>
  <c r="NCE114" i="3" s="1"/>
  <c r="NBU114" i="3"/>
  <c r="NBW114" i="3" s="1"/>
  <c r="NBM114" i="3"/>
  <c r="NBO114" i="3" s="1"/>
  <c r="NBE114" i="3"/>
  <c r="NBG114" i="3" s="1"/>
  <c r="NAW114" i="3"/>
  <c r="NAY114" i="3" s="1"/>
  <c r="NAO114" i="3"/>
  <c r="NAQ114" i="3" s="1"/>
  <c r="NAG114" i="3"/>
  <c r="NAI114" i="3" s="1"/>
  <c r="MZY114" i="3"/>
  <c r="NAA114" i="3" s="1"/>
  <c r="MZQ114" i="3"/>
  <c r="MZS114" i="3" s="1"/>
  <c r="MZI114" i="3"/>
  <c r="MZK114" i="3" s="1"/>
  <c r="MZA114" i="3"/>
  <c r="MZC114" i="3" s="1"/>
  <c r="MYS114" i="3"/>
  <c r="MYU114" i="3" s="1"/>
  <c r="MYK114" i="3"/>
  <c r="MYM114" i="3" s="1"/>
  <c r="MYE114" i="3"/>
  <c r="MYC114" i="3"/>
  <c r="MXU114" i="3"/>
  <c r="MXW114" i="3" s="1"/>
  <c r="MXM114" i="3"/>
  <c r="MXO114" i="3" s="1"/>
  <c r="MXE114" i="3"/>
  <c r="MXG114" i="3" s="1"/>
  <c r="MWW114" i="3"/>
  <c r="MWY114" i="3" s="1"/>
  <c r="MWO114" i="3"/>
  <c r="MWQ114" i="3" s="1"/>
  <c r="MWG114" i="3"/>
  <c r="MWI114" i="3" s="1"/>
  <c r="MVY114" i="3"/>
  <c r="MWA114" i="3" s="1"/>
  <c r="MVQ114" i="3"/>
  <c r="MVS114" i="3" s="1"/>
  <c r="MVI114" i="3"/>
  <c r="MVK114" i="3" s="1"/>
  <c r="MVA114" i="3"/>
  <c r="MVC114" i="3" s="1"/>
  <c r="MUS114" i="3"/>
  <c r="MUU114" i="3" s="1"/>
  <c r="MUK114" i="3"/>
  <c r="MUM114" i="3" s="1"/>
  <c r="MUC114" i="3"/>
  <c r="MUE114" i="3" s="1"/>
  <c r="MTU114" i="3"/>
  <c r="MTW114" i="3" s="1"/>
  <c r="MTM114" i="3"/>
  <c r="MTO114" i="3" s="1"/>
  <c r="MTE114" i="3"/>
  <c r="MTG114" i="3" s="1"/>
  <c r="MSW114" i="3"/>
  <c r="MSY114" i="3" s="1"/>
  <c r="MSO114" i="3"/>
  <c r="MSQ114" i="3" s="1"/>
  <c r="MSG114" i="3"/>
  <c r="MSI114" i="3" s="1"/>
  <c r="MRY114" i="3"/>
  <c r="MSA114" i="3" s="1"/>
  <c r="MRQ114" i="3"/>
  <c r="MRS114" i="3" s="1"/>
  <c r="MRI114" i="3"/>
  <c r="MRK114" i="3" s="1"/>
  <c r="MRA114" i="3"/>
  <c r="MRC114" i="3" s="1"/>
  <c r="MQS114" i="3"/>
  <c r="MQU114" i="3" s="1"/>
  <c r="MQK114" i="3"/>
  <c r="MQM114" i="3" s="1"/>
  <c r="MQC114" i="3"/>
  <c r="MQE114" i="3" s="1"/>
  <c r="MPU114" i="3"/>
  <c r="MPW114" i="3" s="1"/>
  <c r="MPM114" i="3"/>
  <c r="MPO114" i="3" s="1"/>
  <c r="MPE114" i="3"/>
  <c r="MPG114" i="3" s="1"/>
  <c r="MOW114" i="3"/>
  <c r="MOY114" i="3" s="1"/>
  <c r="MOO114" i="3"/>
  <c r="MOQ114" i="3" s="1"/>
  <c r="MOG114" i="3"/>
  <c r="MOI114" i="3" s="1"/>
  <c r="MNY114" i="3"/>
  <c r="MOA114" i="3" s="1"/>
  <c r="MNQ114" i="3"/>
  <c r="MNS114" i="3" s="1"/>
  <c r="MNI114" i="3"/>
  <c r="MNK114" i="3" s="1"/>
  <c r="MNA114" i="3"/>
  <c r="MNC114" i="3" s="1"/>
  <c r="MMS114" i="3"/>
  <c r="MMU114" i="3" s="1"/>
  <c r="MMK114" i="3"/>
  <c r="MMM114" i="3" s="1"/>
  <c r="MMC114" i="3"/>
  <c r="MME114" i="3" s="1"/>
  <c r="MLU114" i="3"/>
  <c r="MLW114" i="3" s="1"/>
  <c r="MLM114" i="3"/>
  <c r="MLO114" i="3" s="1"/>
  <c r="MLE114" i="3"/>
  <c r="MLG114" i="3" s="1"/>
  <c r="MKW114" i="3"/>
  <c r="MKY114" i="3" s="1"/>
  <c r="MKO114" i="3"/>
  <c r="MKQ114" i="3" s="1"/>
  <c r="MKG114" i="3"/>
  <c r="MKI114" i="3" s="1"/>
  <c r="MJY114" i="3"/>
  <c r="MKA114" i="3" s="1"/>
  <c r="MJQ114" i="3"/>
  <c r="MJS114" i="3" s="1"/>
  <c r="MJI114" i="3"/>
  <c r="MJK114" i="3" s="1"/>
  <c r="MJA114" i="3"/>
  <c r="MJC114" i="3" s="1"/>
  <c r="MIS114" i="3"/>
  <c r="MIU114" i="3" s="1"/>
  <c r="MIK114" i="3"/>
  <c r="MIM114" i="3" s="1"/>
  <c r="MIC114" i="3"/>
  <c r="MIE114" i="3" s="1"/>
  <c r="MHU114" i="3"/>
  <c r="MHW114" i="3" s="1"/>
  <c r="MHM114" i="3"/>
  <c r="MHO114" i="3" s="1"/>
  <c r="MHE114" i="3"/>
  <c r="MHG114" i="3" s="1"/>
  <c r="MGW114" i="3"/>
  <c r="MGY114" i="3" s="1"/>
  <c r="MGO114" i="3"/>
  <c r="MGQ114" i="3" s="1"/>
  <c r="MGG114" i="3"/>
  <c r="MGI114" i="3" s="1"/>
  <c r="MFY114" i="3"/>
  <c r="MGA114" i="3" s="1"/>
  <c r="MFQ114" i="3"/>
  <c r="MFS114" i="3" s="1"/>
  <c r="MFI114" i="3"/>
  <c r="MFK114" i="3" s="1"/>
  <c r="MFA114" i="3"/>
  <c r="MFC114" i="3" s="1"/>
  <c r="MES114" i="3"/>
  <c r="MEU114" i="3" s="1"/>
  <c r="MEK114" i="3"/>
  <c r="MEM114" i="3" s="1"/>
  <c r="MEC114" i="3"/>
  <c r="MEE114" i="3" s="1"/>
  <c r="MDU114" i="3"/>
  <c r="MDW114" i="3" s="1"/>
  <c r="MDO114" i="3"/>
  <c r="MDM114" i="3"/>
  <c r="MDE114" i="3"/>
  <c r="MDG114" i="3" s="1"/>
  <c r="MCW114" i="3"/>
  <c r="MCY114" i="3" s="1"/>
  <c r="MCO114" i="3"/>
  <c r="MCQ114" i="3" s="1"/>
  <c r="MCG114" i="3"/>
  <c r="MCI114" i="3" s="1"/>
  <c r="MBY114" i="3"/>
  <c r="MCA114" i="3" s="1"/>
  <c r="MBQ114" i="3"/>
  <c r="MBS114" i="3" s="1"/>
  <c r="MBI114" i="3"/>
  <c r="MBK114" i="3" s="1"/>
  <c r="MBA114" i="3"/>
  <c r="MBC114" i="3" s="1"/>
  <c r="MAS114" i="3"/>
  <c r="MAU114" i="3" s="1"/>
  <c r="MAK114" i="3"/>
  <c r="MAM114" i="3" s="1"/>
  <c r="MAC114" i="3"/>
  <c r="MAE114" i="3" s="1"/>
  <c r="LZU114" i="3"/>
  <c r="LZW114" i="3" s="1"/>
  <c r="LZM114" i="3"/>
  <c r="LZO114" i="3" s="1"/>
  <c r="LZE114" i="3"/>
  <c r="LZG114" i="3" s="1"/>
  <c r="LYW114" i="3"/>
  <c r="LYY114" i="3" s="1"/>
  <c r="LYO114" i="3"/>
  <c r="LYQ114" i="3" s="1"/>
  <c r="LYG114" i="3"/>
  <c r="LYI114" i="3" s="1"/>
  <c r="LXY114" i="3"/>
  <c r="LYA114" i="3" s="1"/>
  <c r="LXQ114" i="3"/>
  <c r="LXS114" i="3" s="1"/>
  <c r="LXI114" i="3"/>
  <c r="LXK114" i="3" s="1"/>
  <c r="LXA114" i="3"/>
  <c r="LXC114" i="3" s="1"/>
  <c r="LWS114" i="3"/>
  <c r="LWU114" i="3" s="1"/>
  <c r="LWK114" i="3"/>
  <c r="LWM114" i="3" s="1"/>
  <c r="LWC114" i="3"/>
  <c r="LWE114" i="3" s="1"/>
  <c r="LVU114" i="3"/>
  <c r="LVW114" i="3" s="1"/>
  <c r="LVM114" i="3"/>
  <c r="LVO114" i="3" s="1"/>
  <c r="LVE114" i="3"/>
  <c r="LVG114" i="3" s="1"/>
  <c r="LUW114" i="3"/>
  <c r="LUY114" i="3" s="1"/>
  <c r="LUO114" i="3"/>
  <c r="LUQ114" i="3" s="1"/>
  <c r="LUG114" i="3"/>
  <c r="LUI114" i="3" s="1"/>
  <c r="LTY114" i="3"/>
  <c r="LUA114" i="3" s="1"/>
  <c r="LTQ114" i="3"/>
  <c r="LTS114" i="3" s="1"/>
  <c r="LTI114" i="3"/>
  <c r="LTK114" i="3" s="1"/>
  <c r="LTA114" i="3"/>
  <c r="LTC114" i="3" s="1"/>
  <c r="LSS114" i="3"/>
  <c r="LSU114" i="3" s="1"/>
  <c r="LSK114" i="3"/>
  <c r="LSM114" i="3" s="1"/>
  <c r="LSC114" i="3"/>
  <c r="LSE114" i="3" s="1"/>
  <c r="LRU114" i="3"/>
  <c r="LRW114" i="3" s="1"/>
  <c r="LRM114" i="3"/>
  <c r="LRO114" i="3" s="1"/>
  <c r="LRE114" i="3"/>
  <c r="LRG114" i="3" s="1"/>
  <c r="LQY114" i="3"/>
  <c r="LQW114" i="3"/>
  <c r="LQO114" i="3"/>
  <c r="LQQ114" i="3" s="1"/>
  <c r="LQG114" i="3"/>
  <c r="LQI114" i="3" s="1"/>
  <c r="LPY114" i="3"/>
  <c r="LQA114" i="3" s="1"/>
  <c r="LPQ114" i="3"/>
  <c r="LPS114" i="3" s="1"/>
  <c r="LPI114" i="3"/>
  <c r="LPK114" i="3" s="1"/>
  <c r="LPA114" i="3"/>
  <c r="LPC114" i="3" s="1"/>
  <c r="LOU114" i="3"/>
  <c r="LOS114" i="3"/>
  <c r="LOK114" i="3"/>
  <c r="LOM114" i="3" s="1"/>
  <c r="LOC114" i="3"/>
  <c r="LOE114" i="3" s="1"/>
  <c r="LNU114" i="3"/>
  <c r="LNW114" i="3" s="1"/>
  <c r="LNM114" i="3"/>
  <c r="LNO114" i="3" s="1"/>
  <c r="LNE114" i="3"/>
  <c r="LNG114" i="3" s="1"/>
  <c r="LMW114" i="3"/>
  <c r="LMY114" i="3" s="1"/>
  <c r="LMO114" i="3"/>
  <c r="LMQ114" i="3" s="1"/>
  <c r="LMG114" i="3"/>
  <c r="LMI114" i="3" s="1"/>
  <c r="LLY114" i="3"/>
  <c r="LMA114" i="3" s="1"/>
  <c r="LLQ114" i="3"/>
  <c r="LLS114" i="3" s="1"/>
  <c r="LLI114" i="3"/>
  <c r="LLK114" i="3" s="1"/>
  <c r="LLA114" i="3"/>
  <c r="LLC114" i="3" s="1"/>
  <c r="LKS114" i="3"/>
  <c r="LKU114" i="3" s="1"/>
  <c r="LKK114" i="3"/>
  <c r="LKM114" i="3" s="1"/>
  <c r="LKC114" i="3"/>
  <c r="LKE114" i="3" s="1"/>
  <c r="LJU114" i="3"/>
  <c r="LJW114" i="3" s="1"/>
  <c r="LJM114" i="3"/>
  <c r="LJO114" i="3" s="1"/>
  <c r="LJE114" i="3"/>
  <c r="LJG114" i="3" s="1"/>
  <c r="LIW114" i="3"/>
  <c r="LIY114" i="3" s="1"/>
  <c r="LIO114" i="3"/>
  <c r="LIQ114" i="3" s="1"/>
  <c r="LIG114" i="3"/>
  <c r="LII114" i="3" s="1"/>
  <c r="LHY114" i="3"/>
  <c r="LIA114" i="3" s="1"/>
  <c r="LHQ114" i="3"/>
  <c r="LHS114" i="3" s="1"/>
  <c r="LHI114" i="3"/>
  <c r="LHK114" i="3" s="1"/>
  <c r="LHA114" i="3"/>
  <c r="LHC114" i="3" s="1"/>
  <c r="LGS114" i="3"/>
  <c r="LGU114" i="3" s="1"/>
  <c r="LGK114" i="3"/>
  <c r="LGM114" i="3" s="1"/>
  <c r="LGC114" i="3"/>
  <c r="LGE114" i="3" s="1"/>
  <c r="LFU114" i="3"/>
  <c r="LFW114" i="3" s="1"/>
  <c r="LFM114" i="3"/>
  <c r="LFO114" i="3" s="1"/>
  <c r="LFE114" i="3"/>
  <c r="LFG114" i="3" s="1"/>
  <c r="LEW114" i="3"/>
  <c r="LEY114" i="3" s="1"/>
  <c r="LEO114" i="3"/>
  <c r="LEQ114" i="3" s="1"/>
  <c r="LEG114" i="3"/>
  <c r="LEI114" i="3" s="1"/>
  <c r="LDY114" i="3"/>
  <c r="LEA114" i="3" s="1"/>
  <c r="LDQ114" i="3"/>
  <c r="LDS114" i="3" s="1"/>
  <c r="LDI114" i="3"/>
  <c r="LDK114" i="3" s="1"/>
  <c r="LDA114" i="3"/>
  <c r="LDC114" i="3" s="1"/>
  <c r="LCU114" i="3"/>
  <c r="LCS114" i="3"/>
  <c r="LCK114" i="3"/>
  <c r="LCM114" i="3" s="1"/>
  <c r="LCC114" i="3"/>
  <c r="LCE114" i="3" s="1"/>
  <c r="LBU114" i="3"/>
  <c r="LBW114" i="3" s="1"/>
  <c r="LBM114" i="3"/>
  <c r="LBO114" i="3" s="1"/>
  <c r="LBE114" i="3"/>
  <c r="LBG114" i="3" s="1"/>
  <c r="LAW114" i="3"/>
  <c r="LAY114" i="3" s="1"/>
  <c r="LAO114" i="3"/>
  <c r="LAQ114" i="3" s="1"/>
  <c r="LAG114" i="3"/>
  <c r="LAI114" i="3" s="1"/>
  <c r="KZY114" i="3"/>
  <c r="LAA114" i="3" s="1"/>
  <c r="KZQ114" i="3"/>
  <c r="KZS114" i="3" s="1"/>
  <c r="KZI114" i="3"/>
  <c r="KZK114" i="3" s="1"/>
  <c r="KZA114" i="3"/>
  <c r="KZC114" i="3" s="1"/>
  <c r="KYS114" i="3"/>
  <c r="KYU114" i="3" s="1"/>
  <c r="KYM114" i="3"/>
  <c r="KYK114" i="3"/>
  <c r="KYC114" i="3"/>
  <c r="KYE114" i="3" s="1"/>
  <c r="KXU114" i="3"/>
  <c r="KXW114" i="3" s="1"/>
  <c r="KXM114" i="3"/>
  <c r="KXO114" i="3" s="1"/>
  <c r="KXE114" i="3"/>
  <c r="KXG114" i="3" s="1"/>
  <c r="KWW114" i="3"/>
  <c r="KWY114" i="3" s="1"/>
  <c r="KWO114" i="3"/>
  <c r="KWQ114" i="3" s="1"/>
  <c r="KWG114" i="3"/>
  <c r="KWI114" i="3" s="1"/>
  <c r="KVY114" i="3"/>
  <c r="KWA114" i="3" s="1"/>
  <c r="KVQ114" i="3"/>
  <c r="KVS114" i="3" s="1"/>
  <c r="KVK114" i="3"/>
  <c r="KVI114" i="3"/>
  <c r="KVA114" i="3"/>
  <c r="KVC114" i="3" s="1"/>
  <c r="KUU114" i="3"/>
  <c r="KUS114" i="3"/>
  <c r="KUM114" i="3"/>
  <c r="KUK114" i="3"/>
  <c r="KUC114" i="3"/>
  <c r="KUE114" i="3" s="1"/>
  <c r="KTU114" i="3"/>
  <c r="KTW114" i="3" s="1"/>
  <c r="KTM114" i="3"/>
  <c r="KTO114" i="3" s="1"/>
  <c r="KTE114" i="3"/>
  <c r="KTG114" i="3" s="1"/>
  <c r="KSW114" i="3"/>
  <c r="KSY114" i="3" s="1"/>
  <c r="KSO114" i="3"/>
  <c r="KSQ114" i="3" s="1"/>
  <c r="KSG114" i="3"/>
  <c r="KSI114" i="3" s="1"/>
  <c r="KRY114" i="3"/>
  <c r="KSA114" i="3" s="1"/>
  <c r="KRQ114" i="3"/>
  <c r="KRS114" i="3" s="1"/>
  <c r="KRK114" i="3"/>
  <c r="KRI114" i="3"/>
  <c r="KRA114" i="3"/>
  <c r="KRC114" i="3" s="1"/>
  <c r="KQS114" i="3"/>
  <c r="KQU114" i="3" s="1"/>
  <c r="KQK114" i="3"/>
  <c r="KQM114" i="3" s="1"/>
  <c r="KQC114" i="3"/>
  <c r="KQE114" i="3" s="1"/>
  <c r="KPU114" i="3"/>
  <c r="KPW114" i="3" s="1"/>
  <c r="KPM114" i="3"/>
  <c r="KPO114" i="3" s="1"/>
  <c r="KPE114" i="3"/>
  <c r="KPG114" i="3" s="1"/>
  <c r="KOW114" i="3"/>
  <c r="KOY114" i="3" s="1"/>
  <c r="KOO114" i="3"/>
  <c r="KOQ114" i="3" s="1"/>
  <c r="KOG114" i="3"/>
  <c r="KOI114" i="3" s="1"/>
  <c r="KNY114" i="3"/>
  <c r="KOA114" i="3" s="1"/>
  <c r="KNQ114" i="3"/>
  <c r="KNS114" i="3" s="1"/>
  <c r="KNI114" i="3"/>
  <c r="KNK114" i="3" s="1"/>
  <c r="KNA114" i="3"/>
  <c r="KNC114" i="3" s="1"/>
  <c r="KMS114" i="3"/>
  <c r="KMU114" i="3" s="1"/>
  <c r="KMK114" i="3"/>
  <c r="KMM114" i="3" s="1"/>
  <c r="KMC114" i="3"/>
  <c r="KME114" i="3" s="1"/>
  <c r="KLU114" i="3"/>
  <c r="KLW114" i="3" s="1"/>
  <c r="KLM114" i="3"/>
  <c r="KLO114" i="3" s="1"/>
  <c r="KLE114" i="3"/>
  <c r="KLG114" i="3" s="1"/>
  <c r="KKW114" i="3"/>
  <c r="KKY114" i="3" s="1"/>
  <c r="KKO114" i="3"/>
  <c r="KKQ114" i="3" s="1"/>
  <c r="KKG114" i="3"/>
  <c r="KKI114" i="3" s="1"/>
  <c r="KKA114" i="3"/>
  <c r="KJY114" i="3"/>
  <c r="KJQ114" i="3"/>
  <c r="KJS114" i="3" s="1"/>
  <c r="KJI114" i="3"/>
  <c r="KJK114" i="3" s="1"/>
  <c r="KJA114" i="3"/>
  <c r="KJC114" i="3" s="1"/>
  <c r="KIS114" i="3"/>
  <c r="KIU114" i="3" s="1"/>
  <c r="KIK114" i="3"/>
  <c r="KIM114" i="3" s="1"/>
  <c r="KIC114" i="3"/>
  <c r="KIE114" i="3" s="1"/>
  <c r="KHU114" i="3"/>
  <c r="KHW114" i="3" s="1"/>
  <c r="KHM114" i="3"/>
  <c r="KHO114" i="3" s="1"/>
  <c r="KHE114" i="3"/>
  <c r="KHG114" i="3" s="1"/>
  <c r="KGW114" i="3"/>
  <c r="KGY114" i="3" s="1"/>
  <c r="KGQ114" i="3"/>
  <c r="KGO114" i="3"/>
  <c r="KGG114" i="3"/>
  <c r="KGI114" i="3" s="1"/>
  <c r="KFY114" i="3"/>
  <c r="KGA114" i="3" s="1"/>
  <c r="KFQ114" i="3"/>
  <c r="KFS114" i="3" s="1"/>
  <c r="KFI114" i="3"/>
  <c r="KFK114" i="3" s="1"/>
  <c r="KFA114" i="3"/>
  <c r="KFC114" i="3" s="1"/>
  <c r="KES114" i="3"/>
  <c r="KEU114" i="3" s="1"/>
  <c r="KEK114" i="3"/>
  <c r="KEM114" i="3" s="1"/>
  <c r="KEC114" i="3"/>
  <c r="KEE114" i="3" s="1"/>
  <c r="KDU114" i="3"/>
  <c r="KDW114" i="3" s="1"/>
  <c r="KDM114" i="3"/>
  <c r="KDO114" i="3" s="1"/>
  <c r="KDE114" i="3"/>
  <c r="KDG114" i="3" s="1"/>
  <c r="KCY114" i="3"/>
  <c r="KCW114" i="3"/>
  <c r="KCQ114" i="3"/>
  <c r="KCO114" i="3"/>
  <c r="KCG114" i="3"/>
  <c r="KCI114" i="3" s="1"/>
  <c r="KBY114" i="3"/>
  <c r="KCA114" i="3" s="1"/>
  <c r="KBQ114" i="3"/>
  <c r="KBS114" i="3" s="1"/>
  <c r="KBI114" i="3"/>
  <c r="KBK114" i="3" s="1"/>
  <c r="KBA114" i="3"/>
  <c r="KBC114" i="3" s="1"/>
  <c r="KAU114" i="3"/>
  <c r="KAS114" i="3"/>
  <c r="KAK114" i="3"/>
  <c r="KAM114" i="3" s="1"/>
  <c r="KAC114" i="3"/>
  <c r="KAE114" i="3" s="1"/>
  <c r="JZU114" i="3"/>
  <c r="JZW114" i="3" s="1"/>
  <c r="JZM114" i="3"/>
  <c r="JZO114" i="3" s="1"/>
  <c r="JZE114" i="3"/>
  <c r="JZG114" i="3" s="1"/>
  <c r="JYW114" i="3"/>
  <c r="JYY114" i="3" s="1"/>
  <c r="JYQ114" i="3"/>
  <c r="JYO114" i="3"/>
  <c r="JYG114" i="3"/>
  <c r="JYI114" i="3" s="1"/>
  <c r="JXY114" i="3"/>
  <c r="JYA114" i="3" s="1"/>
  <c r="JXQ114" i="3"/>
  <c r="JXS114" i="3" s="1"/>
  <c r="JXI114" i="3"/>
  <c r="JXK114" i="3" s="1"/>
  <c r="JXA114" i="3"/>
  <c r="JXC114" i="3" s="1"/>
  <c r="JWS114" i="3"/>
  <c r="JWU114" i="3" s="1"/>
  <c r="JWK114" i="3"/>
  <c r="JWM114" i="3" s="1"/>
  <c r="JWC114" i="3"/>
  <c r="JWE114" i="3" s="1"/>
  <c r="JVU114" i="3"/>
  <c r="JVW114" i="3" s="1"/>
  <c r="JVM114" i="3"/>
  <c r="JVO114" i="3" s="1"/>
  <c r="JVE114" i="3"/>
  <c r="JVG114" i="3" s="1"/>
  <c r="JUW114" i="3"/>
  <c r="JUY114" i="3" s="1"/>
  <c r="JUO114" i="3"/>
  <c r="JUQ114" i="3" s="1"/>
  <c r="JUI114" i="3"/>
  <c r="JUG114" i="3"/>
  <c r="JTY114" i="3"/>
  <c r="JUA114" i="3" s="1"/>
  <c r="JTQ114" i="3"/>
  <c r="JTS114" i="3" s="1"/>
  <c r="JTI114" i="3"/>
  <c r="JTK114" i="3" s="1"/>
  <c r="JTC114" i="3"/>
  <c r="JTA114" i="3"/>
  <c r="JSS114" i="3"/>
  <c r="JSU114" i="3" s="1"/>
  <c r="JSK114" i="3"/>
  <c r="JSM114" i="3" s="1"/>
  <c r="JSC114" i="3"/>
  <c r="JSE114" i="3" s="1"/>
  <c r="JRU114" i="3"/>
  <c r="JRW114" i="3" s="1"/>
  <c r="JRM114" i="3"/>
  <c r="JRO114" i="3" s="1"/>
  <c r="JRG114" i="3"/>
  <c r="JRE114" i="3"/>
  <c r="JQW114" i="3"/>
  <c r="JQY114" i="3" s="1"/>
  <c r="JQO114" i="3"/>
  <c r="JQQ114" i="3" s="1"/>
  <c r="JQG114" i="3"/>
  <c r="JQI114" i="3" s="1"/>
  <c r="JPY114" i="3"/>
  <c r="JQA114" i="3" s="1"/>
  <c r="JPQ114" i="3"/>
  <c r="JPS114" i="3" s="1"/>
  <c r="JPI114" i="3"/>
  <c r="JPK114" i="3" s="1"/>
  <c r="JPA114" i="3"/>
  <c r="JPC114" i="3" s="1"/>
  <c r="JOS114" i="3"/>
  <c r="JOU114" i="3" s="1"/>
  <c r="JOK114" i="3"/>
  <c r="JOM114" i="3" s="1"/>
  <c r="JOC114" i="3"/>
  <c r="JOE114" i="3" s="1"/>
  <c r="JNU114" i="3"/>
  <c r="JNW114" i="3" s="1"/>
  <c r="JNM114" i="3"/>
  <c r="JNO114" i="3" s="1"/>
  <c r="JNE114" i="3"/>
  <c r="JNG114" i="3" s="1"/>
  <c r="JMY114" i="3"/>
  <c r="JMW114" i="3"/>
  <c r="JMO114" i="3"/>
  <c r="JMQ114" i="3" s="1"/>
  <c r="JMG114" i="3"/>
  <c r="JMI114" i="3" s="1"/>
  <c r="JLY114" i="3"/>
  <c r="JMA114" i="3" s="1"/>
  <c r="JLQ114" i="3"/>
  <c r="JLS114" i="3" s="1"/>
  <c r="JLI114" i="3"/>
  <c r="JLK114" i="3" s="1"/>
  <c r="JLA114" i="3"/>
  <c r="JLC114" i="3" s="1"/>
  <c r="JKS114" i="3"/>
  <c r="JKU114" i="3" s="1"/>
  <c r="JKM114" i="3"/>
  <c r="JKK114" i="3"/>
  <c r="JKC114" i="3"/>
  <c r="JKE114" i="3" s="1"/>
  <c r="JJW114" i="3"/>
  <c r="JJU114" i="3"/>
  <c r="JJM114" i="3"/>
  <c r="JJO114" i="3" s="1"/>
  <c r="JJE114" i="3"/>
  <c r="JJG114" i="3" s="1"/>
  <c r="JIW114" i="3"/>
  <c r="JIY114" i="3" s="1"/>
  <c r="JIO114" i="3"/>
  <c r="JIQ114" i="3" s="1"/>
  <c r="JIG114" i="3"/>
  <c r="JII114" i="3" s="1"/>
  <c r="JHY114" i="3"/>
  <c r="JIA114" i="3" s="1"/>
  <c r="JHQ114" i="3"/>
  <c r="JHS114" i="3" s="1"/>
  <c r="JHI114" i="3"/>
  <c r="JHK114" i="3" s="1"/>
  <c r="JHA114" i="3"/>
  <c r="JHC114" i="3" s="1"/>
  <c r="JGS114" i="3"/>
  <c r="JGU114" i="3" s="1"/>
  <c r="JGK114" i="3"/>
  <c r="JGM114" i="3" s="1"/>
  <c r="JGC114" i="3"/>
  <c r="JGE114" i="3" s="1"/>
  <c r="JFW114" i="3"/>
  <c r="JFU114" i="3"/>
  <c r="JFM114" i="3"/>
  <c r="JFO114" i="3" s="1"/>
  <c r="JFE114" i="3"/>
  <c r="JFG114" i="3" s="1"/>
  <c r="JEY114" i="3"/>
  <c r="JEW114" i="3"/>
  <c r="JEO114" i="3"/>
  <c r="JEQ114" i="3" s="1"/>
  <c r="JEG114" i="3"/>
  <c r="JEI114" i="3" s="1"/>
  <c r="JDY114" i="3"/>
  <c r="JEA114" i="3" s="1"/>
  <c r="JDQ114" i="3"/>
  <c r="JDS114" i="3" s="1"/>
  <c r="JDI114" i="3"/>
  <c r="JDK114" i="3" s="1"/>
  <c r="JDA114" i="3"/>
  <c r="JDC114" i="3" s="1"/>
  <c r="JCS114" i="3"/>
  <c r="JCU114" i="3" s="1"/>
  <c r="JCK114" i="3"/>
  <c r="JCM114" i="3" s="1"/>
  <c r="JCC114" i="3"/>
  <c r="JCE114" i="3" s="1"/>
  <c r="JBU114" i="3"/>
  <c r="JBW114" i="3" s="1"/>
  <c r="JBM114" i="3"/>
  <c r="JBO114" i="3" s="1"/>
  <c r="JBE114" i="3"/>
  <c r="JBG114" i="3" s="1"/>
  <c r="JAW114" i="3"/>
  <c r="JAY114" i="3" s="1"/>
  <c r="JAO114" i="3"/>
  <c r="JAQ114" i="3" s="1"/>
  <c r="JAG114" i="3"/>
  <c r="JAI114" i="3" s="1"/>
  <c r="IZY114" i="3"/>
  <c r="JAA114" i="3" s="1"/>
  <c r="IZQ114" i="3"/>
  <c r="IZS114" i="3" s="1"/>
  <c r="IZI114" i="3"/>
  <c r="IZK114" i="3" s="1"/>
  <c r="IZA114" i="3"/>
  <c r="IZC114" i="3" s="1"/>
  <c r="IYS114" i="3"/>
  <c r="IYU114" i="3" s="1"/>
  <c r="IYK114" i="3"/>
  <c r="IYM114" i="3" s="1"/>
  <c r="IYC114" i="3"/>
  <c r="IYE114" i="3" s="1"/>
  <c r="IXU114" i="3"/>
  <c r="IXW114" i="3" s="1"/>
  <c r="IXM114" i="3"/>
  <c r="IXO114" i="3" s="1"/>
  <c r="IXE114" i="3"/>
  <c r="IXG114" i="3" s="1"/>
  <c r="IWW114" i="3"/>
  <c r="IWY114" i="3" s="1"/>
  <c r="IWO114" i="3"/>
  <c r="IWQ114" i="3" s="1"/>
  <c r="IWG114" i="3"/>
  <c r="IWI114" i="3" s="1"/>
  <c r="IVY114" i="3"/>
  <c r="IWA114" i="3" s="1"/>
  <c r="IVS114" i="3"/>
  <c r="IVQ114" i="3"/>
  <c r="IVI114" i="3"/>
  <c r="IVK114" i="3" s="1"/>
  <c r="IVA114" i="3"/>
  <c r="IVC114" i="3" s="1"/>
  <c r="IUS114" i="3"/>
  <c r="IUU114" i="3" s="1"/>
  <c r="IUM114" i="3"/>
  <c r="IUK114" i="3"/>
  <c r="IUC114" i="3"/>
  <c r="IUE114" i="3" s="1"/>
  <c r="ITU114" i="3"/>
  <c r="ITW114" i="3" s="1"/>
  <c r="ITM114" i="3"/>
  <c r="ITO114" i="3" s="1"/>
  <c r="ITE114" i="3"/>
  <c r="ITG114" i="3" s="1"/>
  <c r="ISW114" i="3"/>
  <c r="ISY114" i="3" s="1"/>
  <c r="ISO114" i="3"/>
  <c r="ISQ114" i="3" s="1"/>
  <c r="ISG114" i="3"/>
  <c r="ISI114" i="3" s="1"/>
  <c r="ISA114" i="3"/>
  <c r="IRY114" i="3"/>
  <c r="IRS114" i="3"/>
  <c r="IRQ114" i="3"/>
  <c r="IRI114" i="3"/>
  <c r="IRK114" i="3" s="1"/>
  <c r="IRA114" i="3"/>
  <c r="IRC114" i="3" s="1"/>
  <c r="IQS114" i="3"/>
  <c r="IQU114" i="3" s="1"/>
  <c r="IQK114" i="3"/>
  <c r="IQM114" i="3" s="1"/>
  <c r="IQC114" i="3"/>
  <c r="IQE114" i="3" s="1"/>
  <c r="IPU114" i="3"/>
  <c r="IPW114" i="3" s="1"/>
  <c r="IPM114" i="3"/>
  <c r="IPO114" i="3" s="1"/>
  <c r="IPE114" i="3"/>
  <c r="IPG114" i="3" s="1"/>
  <c r="IOY114" i="3"/>
  <c r="IOW114" i="3"/>
  <c r="IOO114" i="3"/>
  <c r="IOQ114" i="3" s="1"/>
  <c r="IOI114" i="3"/>
  <c r="IOG114" i="3"/>
  <c r="INY114" i="3"/>
  <c r="IOA114" i="3" s="1"/>
  <c r="INQ114" i="3"/>
  <c r="INS114" i="3" s="1"/>
  <c r="INI114" i="3"/>
  <c r="INK114" i="3" s="1"/>
  <c r="INA114" i="3"/>
  <c r="INC114" i="3" s="1"/>
  <c r="IMS114" i="3"/>
  <c r="IMU114" i="3" s="1"/>
  <c r="IMM114" i="3"/>
  <c r="IMK114" i="3"/>
  <c r="IMC114" i="3"/>
  <c r="IME114" i="3" s="1"/>
  <c r="ILU114" i="3"/>
  <c r="ILW114" i="3" s="1"/>
  <c r="ILM114" i="3"/>
  <c r="ILO114" i="3" s="1"/>
  <c r="ILE114" i="3"/>
  <c r="ILG114" i="3" s="1"/>
  <c r="IKW114" i="3"/>
  <c r="IKY114" i="3" s="1"/>
  <c r="IKO114" i="3"/>
  <c r="IKQ114" i="3" s="1"/>
  <c r="IKG114" i="3"/>
  <c r="IKI114" i="3" s="1"/>
  <c r="IKA114" i="3"/>
  <c r="IJY114" i="3"/>
  <c r="IJS114" i="3"/>
  <c r="IJQ114" i="3"/>
  <c r="IJI114" i="3"/>
  <c r="IJK114" i="3" s="1"/>
  <c r="IJA114" i="3"/>
  <c r="IJC114" i="3" s="1"/>
  <c r="IIU114" i="3"/>
  <c r="IIS114" i="3"/>
  <c r="IIK114" i="3"/>
  <c r="IIM114" i="3" s="1"/>
  <c r="IIC114" i="3"/>
  <c r="IIE114" i="3" s="1"/>
  <c r="IHU114" i="3"/>
  <c r="IHW114" i="3" s="1"/>
  <c r="IHM114" i="3"/>
  <c r="IHO114" i="3" s="1"/>
  <c r="IHE114" i="3"/>
  <c r="IHG114" i="3" s="1"/>
  <c r="IGW114" i="3"/>
  <c r="IGY114" i="3" s="1"/>
  <c r="IGQ114" i="3"/>
  <c r="IGO114" i="3"/>
  <c r="IGI114" i="3"/>
  <c r="IGG114" i="3"/>
  <c r="IGA114" i="3"/>
  <c r="IFY114" i="3"/>
  <c r="IFS114" i="3"/>
  <c r="IFQ114" i="3"/>
  <c r="IFI114" i="3"/>
  <c r="IFK114" i="3" s="1"/>
  <c r="IFA114" i="3"/>
  <c r="IFC114" i="3" s="1"/>
  <c r="IES114" i="3"/>
  <c r="IEU114" i="3" s="1"/>
  <c r="IEK114" i="3"/>
  <c r="IEM114" i="3" s="1"/>
  <c r="IEC114" i="3"/>
  <c r="IEE114" i="3" s="1"/>
  <c r="IDU114" i="3"/>
  <c r="IDW114" i="3" s="1"/>
  <c r="IDM114" i="3"/>
  <c r="IDO114" i="3" s="1"/>
  <c r="IDE114" i="3"/>
  <c r="IDG114" i="3" s="1"/>
  <c r="ICW114" i="3"/>
  <c r="ICY114" i="3" s="1"/>
  <c r="ICO114" i="3"/>
  <c r="ICQ114" i="3" s="1"/>
  <c r="ICI114" i="3"/>
  <c r="ICG114" i="3"/>
  <c r="IBY114" i="3"/>
  <c r="ICA114" i="3" s="1"/>
  <c r="IBQ114" i="3"/>
  <c r="IBS114" i="3" s="1"/>
  <c r="IBI114" i="3"/>
  <c r="IBK114" i="3" s="1"/>
  <c r="IBA114" i="3"/>
  <c r="IBC114" i="3" s="1"/>
  <c r="IAS114" i="3"/>
  <c r="IAU114" i="3" s="1"/>
  <c r="IAK114" i="3"/>
  <c r="IAM114" i="3" s="1"/>
  <c r="IAC114" i="3"/>
  <c r="IAE114" i="3" s="1"/>
  <c r="HZU114" i="3"/>
  <c r="HZW114" i="3" s="1"/>
  <c r="HZO114" i="3"/>
  <c r="HZM114" i="3"/>
  <c r="HZE114" i="3"/>
  <c r="HZG114" i="3" s="1"/>
  <c r="HYW114" i="3"/>
  <c r="HYY114" i="3" s="1"/>
  <c r="HYO114" i="3"/>
  <c r="HYQ114" i="3" s="1"/>
  <c r="HYI114" i="3"/>
  <c r="HYG114" i="3"/>
  <c r="HXY114" i="3"/>
  <c r="HYA114" i="3" s="1"/>
  <c r="HXQ114" i="3"/>
  <c r="HXS114" i="3" s="1"/>
  <c r="HXI114" i="3"/>
  <c r="HXK114" i="3" s="1"/>
  <c r="HXA114" i="3"/>
  <c r="HXC114" i="3" s="1"/>
  <c r="HWS114" i="3"/>
  <c r="HWU114" i="3" s="1"/>
  <c r="HWK114" i="3"/>
  <c r="HWM114" i="3" s="1"/>
  <c r="HWC114" i="3"/>
  <c r="HWE114" i="3" s="1"/>
  <c r="HVU114" i="3"/>
  <c r="HVW114" i="3" s="1"/>
  <c r="HVO114" i="3"/>
  <c r="HVM114" i="3"/>
  <c r="HVE114" i="3"/>
  <c r="HVG114" i="3" s="1"/>
  <c r="HUW114" i="3"/>
  <c r="HUY114" i="3" s="1"/>
  <c r="HUO114" i="3"/>
  <c r="HUQ114" i="3" s="1"/>
  <c r="HUG114" i="3"/>
  <c r="HUI114" i="3" s="1"/>
  <c r="HTY114" i="3"/>
  <c r="HUA114" i="3" s="1"/>
  <c r="HTQ114" i="3"/>
  <c r="HTS114" i="3" s="1"/>
  <c r="HTI114" i="3"/>
  <c r="HTK114" i="3" s="1"/>
  <c r="HTA114" i="3"/>
  <c r="HTC114" i="3" s="1"/>
  <c r="HSS114" i="3"/>
  <c r="HSU114" i="3" s="1"/>
  <c r="HSK114" i="3"/>
  <c r="HSM114" i="3" s="1"/>
  <c r="HSE114" i="3"/>
  <c r="HSC114" i="3"/>
  <c r="HRU114" i="3"/>
  <c r="HRW114" i="3" s="1"/>
  <c r="HRM114" i="3"/>
  <c r="HRO114" i="3" s="1"/>
  <c r="HRE114" i="3"/>
  <c r="HRG114" i="3" s="1"/>
  <c r="HQW114" i="3"/>
  <c r="HQY114" i="3" s="1"/>
  <c r="HQO114" i="3"/>
  <c r="HQQ114" i="3" s="1"/>
  <c r="HQG114" i="3"/>
  <c r="HQI114" i="3" s="1"/>
  <c r="HPY114" i="3"/>
  <c r="HQA114" i="3" s="1"/>
  <c r="HPQ114" i="3"/>
  <c r="HPS114" i="3" s="1"/>
  <c r="HPI114" i="3"/>
  <c r="HPK114" i="3" s="1"/>
  <c r="HPA114" i="3"/>
  <c r="HPC114" i="3" s="1"/>
  <c r="HOS114" i="3"/>
  <c r="HOU114" i="3" s="1"/>
  <c r="HOK114" i="3"/>
  <c r="HOM114" i="3" s="1"/>
  <c r="HOC114" i="3"/>
  <c r="HOE114" i="3" s="1"/>
  <c r="HNU114" i="3"/>
  <c r="HNW114" i="3" s="1"/>
  <c r="HNM114" i="3"/>
  <c r="HNO114" i="3" s="1"/>
  <c r="HNE114" i="3"/>
  <c r="HNG114" i="3" s="1"/>
  <c r="HMW114" i="3"/>
  <c r="HMY114" i="3" s="1"/>
  <c r="HMO114" i="3"/>
  <c r="HMQ114" i="3" s="1"/>
  <c r="HMI114" i="3"/>
  <c r="HMG114" i="3"/>
  <c r="HLY114" i="3"/>
  <c r="HMA114" i="3" s="1"/>
  <c r="HLQ114" i="3"/>
  <c r="HLS114" i="3" s="1"/>
  <c r="HLI114" i="3"/>
  <c r="HLK114" i="3" s="1"/>
  <c r="HLA114" i="3"/>
  <c r="HLC114" i="3" s="1"/>
  <c r="HKS114" i="3"/>
  <c r="HKU114" i="3" s="1"/>
  <c r="HKK114" i="3"/>
  <c r="HKM114" i="3" s="1"/>
  <c r="HKC114" i="3"/>
  <c r="HKE114" i="3" s="1"/>
  <c r="HJW114" i="3"/>
  <c r="HJU114" i="3"/>
  <c r="HJM114" i="3"/>
  <c r="HJO114" i="3" s="1"/>
  <c r="HJE114" i="3"/>
  <c r="HJG114" i="3" s="1"/>
  <c r="HIW114" i="3"/>
  <c r="HIY114" i="3" s="1"/>
  <c r="HIO114" i="3"/>
  <c r="HIQ114" i="3" s="1"/>
  <c r="HIG114" i="3"/>
  <c r="HII114" i="3" s="1"/>
  <c r="HHY114" i="3"/>
  <c r="HIA114" i="3" s="1"/>
  <c r="HHQ114" i="3"/>
  <c r="HHS114" i="3" s="1"/>
  <c r="HHI114" i="3"/>
  <c r="HHK114" i="3" s="1"/>
  <c r="HHA114" i="3"/>
  <c r="HHC114" i="3" s="1"/>
  <c r="HGS114" i="3"/>
  <c r="HGU114" i="3" s="1"/>
  <c r="HGK114" i="3"/>
  <c r="HGM114" i="3" s="1"/>
  <c r="HGE114" i="3"/>
  <c r="HGC114" i="3"/>
  <c r="HFU114" i="3"/>
  <c r="HFW114" i="3" s="1"/>
  <c r="HFM114" i="3"/>
  <c r="HFO114" i="3" s="1"/>
  <c r="HFE114" i="3"/>
  <c r="HFG114" i="3" s="1"/>
  <c r="HEW114" i="3"/>
  <c r="HEY114" i="3" s="1"/>
  <c r="HEO114" i="3"/>
  <c r="HEQ114" i="3" s="1"/>
  <c r="HEG114" i="3"/>
  <c r="HEI114" i="3" s="1"/>
  <c r="HDY114" i="3"/>
  <c r="HEA114" i="3" s="1"/>
  <c r="HDQ114" i="3"/>
  <c r="HDS114" i="3" s="1"/>
  <c r="HDK114" i="3"/>
  <c r="HDI114" i="3"/>
  <c r="HDA114" i="3"/>
  <c r="HDC114" i="3" s="1"/>
  <c r="HCS114" i="3"/>
  <c r="HCU114" i="3" s="1"/>
  <c r="HCK114" i="3"/>
  <c r="HCM114" i="3" s="1"/>
  <c r="HCE114" i="3"/>
  <c r="HCC114" i="3"/>
  <c r="HBU114" i="3"/>
  <c r="HBW114" i="3" s="1"/>
  <c r="HBM114" i="3"/>
  <c r="HBO114" i="3" s="1"/>
  <c r="HBE114" i="3"/>
  <c r="HBG114" i="3" s="1"/>
  <c r="HAW114" i="3"/>
  <c r="HAY114" i="3" s="1"/>
  <c r="HAO114" i="3"/>
  <c r="HAQ114" i="3" s="1"/>
  <c r="HAG114" i="3"/>
  <c r="HAI114" i="3" s="1"/>
  <c r="GZY114" i="3"/>
  <c r="HAA114" i="3" s="1"/>
  <c r="GZQ114" i="3"/>
  <c r="GZS114" i="3" s="1"/>
  <c r="GZI114" i="3"/>
  <c r="GZK114" i="3" s="1"/>
  <c r="GZA114" i="3"/>
  <c r="GZC114" i="3" s="1"/>
  <c r="GYS114" i="3"/>
  <c r="GYU114" i="3" s="1"/>
  <c r="GYK114" i="3"/>
  <c r="GYM114" i="3" s="1"/>
  <c r="GYC114" i="3"/>
  <c r="GYE114" i="3" s="1"/>
  <c r="GXU114" i="3"/>
  <c r="GXW114" i="3" s="1"/>
  <c r="GXM114" i="3"/>
  <c r="GXO114" i="3" s="1"/>
  <c r="GXE114" i="3"/>
  <c r="GXG114" i="3" s="1"/>
  <c r="GWW114" i="3"/>
  <c r="GWY114" i="3" s="1"/>
  <c r="GWO114" i="3"/>
  <c r="GWQ114" i="3" s="1"/>
  <c r="GWG114" i="3"/>
  <c r="GWI114" i="3" s="1"/>
  <c r="GVY114" i="3"/>
  <c r="GWA114" i="3" s="1"/>
  <c r="GVQ114" i="3"/>
  <c r="GVS114" i="3" s="1"/>
  <c r="GVK114" i="3"/>
  <c r="GVI114" i="3"/>
  <c r="GVA114" i="3"/>
  <c r="GVC114" i="3" s="1"/>
  <c r="GUS114" i="3"/>
  <c r="GUU114" i="3" s="1"/>
  <c r="GUK114" i="3"/>
  <c r="GUM114" i="3" s="1"/>
  <c r="GUC114" i="3"/>
  <c r="GUE114" i="3" s="1"/>
  <c r="GTU114" i="3"/>
  <c r="GTW114" i="3" s="1"/>
  <c r="GTM114" i="3"/>
  <c r="GTO114" i="3" s="1"/>
  <c r="GTE114" i="3"/>
  <c r="GTG114" i="3" s="1"/>
  <c r="GSW114" i="3"/>
  <c r="GSY114" i="3" s="1"/>
  <c r="GSO114" i="3"/>
  <c r="GSQ114" i="3" s="1"/>
  <c r="GSG114" i="3"/>
  <c r="GSI114" i="3" s="1"/>
  <c r="GRY114" i="3"/>
  <c r="GSA114" i="3" s="1"/>
  <c r="GRS114" i="3"/>
  <c r="GRQ114" i="3"/>
  <c r="GRI114" i="3"/>
  <c r="GRK114" i="3" s="1"/>
  <c r="GRA114" i="3"/>
  <c r="GRC114" i="3" s="1"/>
  <c r="GQS114" i="3"/>
  <c r="GQU114" i="3" s="1"/>
  <c r="GQK114" i="3"/>
  <c r="GQM114" i="3" s="1"/>
  <c r="GQE114" i="3"/>
  <c r="GQC114" i="3"/>
  <c r="GPU114" i="3"/>
  <c r="GPW114" i="3" s="1"/>
  <c r="GPM114" i="3"/>
  <c r="GPO114" i="3" s="1"/>
  <c r="GPE114" i="3"/>
  <c r="GPG114" i="3" s="1"/>
  <c r="GOW114" i="3"/>
  <c r="GOY114" i="3" s="1"/>
  <c r="GOO114" i="3"/>
  <c r="GOQ114" i="3" s="1"/>
  <c r="GOG114" i="3"/>
  <c r="GOI114" i="3" s="1"/>
  <c r="GNY114" i="3"/>
  <c r="GOA114" i="3" s="1"/>
  <c r="GNQ114" i="3"/>
  <c r="GNS114" i="3" s="1"/>
  <c r="GNI114" i="3"/>
  <c r="GNK114" i="3" s="1"/>
  <c r="GNA114" i="3"/>
  <c r="GNC114" i="3" s="1"/>
  <c r="GMS114" i="3"/>
  <c r="GMU114" i="3" s="1"/>
  <c r="GMM114" i="3"/>
  <c r="GMK114" i="3"/>
  <c r="GMC114" i="3"/>
  <c r="GME114" i="3" s="1"/>
  <c r="GLU114" i="3"/>
  <c r="GLW114" i="3" s="1"/>
  <c r="GLM114" i="3"/>
  <c r="GLO114" i="3" s="1"/>
  <c r="GLE114" i="3"/>
  <c r="GLG114" i="3" s="1"/>
  <c r="GKW114" i="3"/>
  <c r="GKY114" i="3" s="1"/>
  <c r="GKO114" i="3"/>
  <c r="GKQ114" i="3" s="1"/>
  <c r="GKG114" i="3"/>
  <c r="GKI114" i="3" s="1"/>
  <c r="GJY114" i="3"/>
  <c r="GKA114" i="3" s="1"/>
  <c r="GJQ114" i="3"/>
  <c r="GJS114" i="3" s="1"/>
  <c r="GJI114" i="3"/>
  <c r="GJK114" i="3" s="1"/>
  <c r="GJA114" i="3"/>
  <c r="GJC114" i="3" s="1"/>
  <c r="GIS114" i="3"/>
  <c r="GIU114" i="3" s="1"/>
  <c r="GIM114" i="3"/>
  <c r="GIK114" i="3"/>
  <c r="GIC114" i="3"/>
  <c r="GIE114" i="3" s="1"/>
  <c r="GHU114" i="3"/>
  <c r="GHW114" i="3" s="1"/>
  <c r="GHM114" i="3"/>
  <c r="GHO114" i="3" s="1"/>
  <c r="GHG114" i="3"/>
  <c r="GHE114" i="3"/>
  <c r="GGY114" i="3"/>
  <c r="GGW114" i="3"/>
  <c r="GGO114" i="3"/>
  <c r="GGQ114" i="3" s="1"/>
  <c r="GGG114" i="3"/>
  <c r="GGI114" i="3" s="1"/>
  <c r="GGA114" i="3"/>
  <c r="GFY114" i="3"/>
  <c r="GFQ114" i="3"/>
  <c r="GFS114" i="3" s="1"/>
  <c r="GFI114" i="3"/>
  <c r="GFK114" i="3" s="1"/>
  <c r="GFA114" i="3"/>
  <c r="GFC114" i="3" s="1"/>
  <c r="GES114" i="3"/>
  <c r="GEU114" i="3" s="1"/>
  <c r="GEK114" i="3"/>
  <c r="GEM114" i="3" s="1"/>
  <c r="GEC114" i="3"/>
  <c r="GEE114" i="3" s="1"/>
  <c r="GDU114" i="3"/>
  <c r="GDW114" i="3" s="1"/>
  <c r="GDM114" i="3"/>
  <c r="GDO114" i="3" s="1"/>
  <c r="GDE114" i="3"/>
  <c r="GDG114" i="3" s="1"/>
  <c r="GCY114" i="3"/>
  <c r="GCW114" i="3"/>
  <c r="GCQ114" i="3"/>
  <c r="GCO114" i="3"/>
  <c r="GCG114" i="3"/>
  <c r="GCI114" i="3" s="1"/>
  <c r="GBY114" i="3"/>
  <c r="GCA114" i="3" s="1"/>
  <c r="GBQ114" i="3"/>
  <c r="GBS114" i="3" s="1"/>
  <c r="GBI114" i="3"/>
  <c r="GBK114" i="3" s="1"/>
  <c r="GBA114" i="3"/>
  <c r="GBC114" i="3" s="1"/>
  <c r="GAS114" i="3"/>
  <c r="GAU114" i="3" s="1"/>
  <c r="GAK114" i="3"/>
  <c r="GAM114" i="3" s="1"/>
  <c r="GAC114" i="3"/>
  <c r="GAE114" i="3" s="1"/>
  <c r="FZW114" i="3"/>
  <c r="FZU114" i="3"/>
  <c r="FZM114" i="3"/>
  <c r="FZO114" i="3" s="1"/>
  <c r="FZE114" i="3"/>
  <c r="FZG114" i="3" s="1"/>
  <c r="FYW114" i="3"/>
  <c r="FYY114" i="3" s="1"/>
  <c r="FYO114" i="3"/>
  <c r="FYQ114" i="3" s="1"/>
  <c r="FYG114" i="3"/>
  <c r="FYI114" i="3" s="1"/>
  <c r="FYA114" i="3"/>
  <c r="FXY114" i="3"/>
  <c r="FXQ114" i="3"/>
  <c r="FXS114" i="3" s="1"/>
  <c r="FXI114" i="3"/>
  <c r="FXK114" i="3" s="1"/>
  <c r="FXA114" i="3"/>
  <c r="FXC114" i="3" s="1"/>
  <c r="FWS114" i="3"/>
  <c r="FWU114" i="3" s="1"/>
  <c r="FWK114" i="3"/>
  <c r="FWM114" i="3" s="1"/>
  <c r="FWC114" i="3"/>
  <c r="FWE114" i="3" s="1"/>
  <c r="FVU114" i="3"/>
  <c r="FVW114" i="3" s="1"/>
  <c r="FVM114" i="3"/>
  <c r="FVO114" i="3" s="1"/>
  <c r="FVE114" i="3"/>
  <c r="FVG114" i="3" s="1"/>
  <c r="FUW114" i="3"/>
  <c r="FUY114" i="3" s="1"/>
  <c r="FUO114" i="3"/>
  <c r="FUQ114" i="3" s="1"/>
  <c r="FUG114" i="3"/>
  <c r="FUI114" i="3" s="1"/>
  <c r="FTY114" i="3"/>
  <c r="FUA114" i="3" s="1"/>
  <c r="FTQ114" i="3"/>
  <c r="FTS114" i="3" s="1"/>
  <c r="FTI114" i="3"/>
  <c r="FTK114" i="3" s="1"/>
  <c r="FTA114" i="3"/>
  <c r="FTC114" i="3" s="1"/>
  <c r="FSS114" i="3"/>
  <c r="FSU114" i="3" s="1"/>
  <c r="FSK114" i="3"/>
  <c r="FSM114" i="3" s="1"/>
  <c r="FSE114" i="3"/>
  <c r="FSC114" i="3"/>
  <c r="FRW114" i="3"/>
  <c r="FRU114" i="3"/>
  <c r="FRM114" i="3"/>
  <c r="FRO114" i="3" s="1"/>
  <c r="FRE114" i="3"/>
  <c r="FRG114" i="3" s="1"/>
  <c r="FQW114" i="3"/>
  <c r="FQY114" i="3" s="1"/>
  <c r="FQO114" i="3"/>
  <c r="FQQ114" i="3" s="1"/>
  <c r="FQG114" i="3"/>
  <c r="FQI114" i="3" s="1"/>
  <c r="FPY114" i="3"/>
  <c r="FQA114" i="3" s="1"/>
  <c r="FPQ114" i="3"/>
  <c r="FPS114" i="3" s="1"/>
  <c r="FPI114" i="3"/>
  <c r="FPK114" i="3" s="1"/>
  <c r="FPA114" i="3"/>
  <c r="FPC114" i="3" s="1"/>
  <c r="FOS114" i="3"/>
  <c r="FOU114" i="3" s="1"/>
  <c r="FOK114" i="3"/>
  <c r="FOM114" i="3" s="1"/>
  <c r="FOC114" i="3"/>
  <c r="FOE114" i="3" s="1"/>
  <c r="FNU114" i="3"/>
  <c r="FNW114" i="3" s="1"/>
  <c r="FNO114" i="3"/>
  <c r="FNM114" i="3"/>
  <c r="FNE114" i="3"/>
  <c r="FNG114" i="3" s="1"/>
  <c r="FMW114" i="3"/>
  <c r="FMY114" i="3" s="1"/>
  <c r="FMO114" i="3"/>
  <c r="FMQ114" i="3" s="1"/>
  <c r="FMG114" i="3"/>
  <c r="FMI114" i="3" s="1"/>
  <c r="FLY114" i="3"/>
  <c r="FMA114" i="3" s="1"/>
  <c r="FLQ114" i="3"/>
  <c r="FLS114" i="3" s="1"/>
  <c r="FLI114" i="3"/>
  <c r="FLK114" i="3" s="1"/>
  <c r="FLA114" i="3"/>
  <c r="FLC114" i="3" s="1"/>
  <c r="FKS114" i="3"/>
  <c r="FKU114" i="3" s="1"/>
  <c r="FKK114" i="3"/>
  <c r="FKM114" i="3" s="1"/>
  <c r="FKC114" i="3"/>
  <c r="FKE114" i="3" s="1"/>
  <c r="FJU114" i="3"/>
  <c r="FJW114" i="3" s="1"/>
  <c r="FJM114" i="3"/>
  <c r="FJO114" i="3" s="1"/>
  <c r="FJE114" i="3"/>
  <c r="FJG114" i="3" s="1"/>
  <c r="FIW114" i="3"/>
  <c r="FIY114" i="3" s="1"/>
  <c r="FIQ114" i="3"/>
  <c r="FIO114" i="3"/>
  <c r="FIG114" i="3"/>
  <c r="FII114" i="3" s="1"/>
  <c r="FHY114" i="3"/>
  <c r="FIA114" i="3" s="1"/>
  <c r="FHQ114" i="3"/>
  <c r="FHS114" i="3" s="1"/>
  <c r="FHI114" i="3"/>
  <c r="FHK114" i="3" s="1"/>
  <c r="FHC114" i="3"/>
  <c r="FHA114" i="3"/>
  <c r="FGS114" i="3"/>
  <c r="FGU114" i="3" s="1"/>
  <c r="FGK114" i="3"/>
  <c r="FGM114" i="3" s="1"/>
  <c r="FGC114" i="3"/>
  <c r="FGE114" i="3" s="1"/>
  <c r="FFU114" i="3"/>
  <c r="FFW114" i="3" s="1"/>
  <c r="FFM114" i="3"/>
  <c r="FFO114" i="3" s="1"/>
  <c r="FFE114" i="3"/>
  <c r="FFG114" i="3" s="1"/>
  <c r="FEW114" i="3"/>
  <c r="FEY114" i="3" s="1"/>
  <c r="FEO114" i="3"/>
  <c r="FEQ114" i="3" s="1"/>
  <c r="FEG114" i="3"/>
  <c r="FEI114" i="3" s="1"/>
  <c r="FDY114" i="3"/>
  <c r="FEA114" i="3" s="1"/>
  <c r="FDS114" i="3"/>
  <c r="FDQ114" i="3"/>
  <c r="FDI114" i="3"/>
  <c r="FDK114" i="3" s="1"/>
  <c r="FDA114" i="3"/>
  <c r="FDC114" i="3" s="1"/>
  <c r="FCU114" i="3"/>
  <c r="FCS114" i="3"/>
  <c r="FCK114" i="3"/>
  <c r="FCM114" i="3" s="1"/>
  <c r="FCC114" i="3"/>
  <c r="FCE114" i="3" s="1"/>
  <c r="FBU114" i="3"/>
  <c r="FBW114" i="3" s="1"/>
  <c r="FBM114" i="3"/>
  <c r="FBO114" i="3" s="1"/>
  <c r="FBE114" i="3"/>
  <c r="FBG114" i="3" s="1"/>
  <c r="FAW114" i="3"/>
  <c r="FAY114" i="3" s="1"/>
  <c r="FAO114" i="3"/>
  <c r="FAQ114" i="3" s="1"/>
  <c r="FAG114" i="3"/>
  <c r="FAI114" i="3" s="1"/>
  <c r="EZY114" i="3"/>
  <c r="FAA114" i="3" s="1"/>
  <c r="EZS114" i="3"/>
  <c r="EZQ114" i="3"/>
  <c r="EZI114" i="3"/>
  <c r="EZK114" i="3" s="1"/>
  <c r="EZC114" i="3"/>
  <c r="EZA114" i="3"/>
  <c r="EYS114" i="3"/>
  <c r="EYU114" i="3" s="1"/>
  <c r="EYK114" i="3"/>
  <c r="EYM114" i="3" s="1"/>
  <c r="EYC114" i="3"/>
  <c r="EYE114" i="3" s="1"/>
  <c r="EXU114" i="3"/>
  <c r="EXW114" i="3" s="1"/>
  <c r="EXM114" i="3"/>
  <c r="EXO114" i="3" s="1"/>
  <c r="EXE114" i="3"/>
  <c r="EXG114" i="3" s="1"/>
  <c r="EWW114" i="3"/>
  <c r="EWY114" i="3" s="1"/>
  <c r="EWO114" i="3"/>
  <c r="EWQ114" i="3" s="1"/>
  <c r="EWI114" i="3"/>
  <c r="EWG114" i="3"/>
  <c r="EVY114" i="3"/>
  <c r="EWA114" i="3" s="1"/>
  <c r="EVQ114" i="3"/>
  <c r="EVS114" i="3" s="1"/>
  <c r="EVI114" i="3"/>
  <c r="EVK114" i="3" s="1"/>
  <c r="EVA114" i="3"/>
  <c r="EVC114" i="3" s="1"/>
  <c r="EUS114" i="3"/>
  <c r="EUU114" i="3" s="1"/>
  <c r="EUK114" i="3"/>
  <c r="EUM114" i="3" s="1"/>
  <c r="EUC114" i="3"/>
  <c r="EUE114" i="3" s="1"/>
  <c r="ETU114" i="3"/>
  <c r="ETW114" i="3" s="1"/>
  <c r="ETM114" i="3"/>
  <c r="ETO114" i="3" s="1"/>
  <c r="ETE114" i="3"/>
  <c r="ETG114" i="3" s="1"/>
  <c r="ESW114" i="3"/>
  <c r="ESY114" i="3" s="1"/>
  <c r="ESO114" i="3"/>
  <c r="ESQ114" i="3" s="1"/>
  <c r="ESG114" i="3"/>
  <c r="ESI114" i="3" s="1"/>
  <c r="ESA114" i="3"/>
  <c r="ERY114" i="3"/>
  <c r="ERQ114" i="3"/>
  <c r="ERS114" i="3" s="1"/>
  <c r="ERI114" i="3"/>
  <c r="ERK114" i="3" s="1"/>
  <c r="ERA114" i="3"/>
  <c r="ERC114" i="3" s="1"/>
  <c r="EQS114" i="3"/>
  <c r="EQU114" i="3" s="1"/>
  <c r="EQM114" i="3"/>
  <c r="EQK114" i="3"/>
  <c r="EQC114" i="3"/>
  <c r="EQE114" i="3" s="1"/>
  <c r="EPU114" i="3"/>
  <c r="EPW114" i="3" s="1"/>
  <c r="EPM114" i="3"/>
  <c r="EPO114" i="3" s="1"/>
  <c r="EPE114" i="3"/>
  <c r="EPG114" i="3" s="1"/>
  <c r="EOY114" i="3"/>
  <c r="EOW114" i="3"/>
  <c r="EOO114" i="3"/>
  <c r="EOQ114" i="3" s="1"/>
  <c r="EOI114" i="3"/>
  <c r="EOG114" i="3"/>
  <c r="ENY114" i="3"/>
  <c r="EOA114" i="3" s="1"/>
  <c r="ENQ114" i="3"/>
  <c r="ENS114" i="3" s="1"/>
  <c r="ENI114" i="3"/>
  <c r="ENK114" i="3" s="1"/>
  <c r="ENA114" i="3"/>
  <c r="ENC114" i="3" s="1"/>
  <c r="EMS114" i="3"/>
  <c r="EMU114" i="3" s="1"/>
  <c r="EMM114" i="3"/>
  <c r="EMK114" i="3"/>
  <c r="EMC114" i="3"/>
  <c r="EME114" i="3" s="1"/>
  <c r="ELU114" i="3"/>
  <c r="ELW114" i="3" s="1"/>
  <c r="ELM114" i="3"/>
  <c r="ELO114" i="3" s="1"/>
  <c r="ELG114" i="3"/>
  <c r="ELE114" i="3"/>
  <c r="EKW114" i="3"/>
  <c r="EKY114" i="3" s="1"/>
  <c r="EKO114" i="3"/>
  <c r="EKQ114" i="3" s="1"/>
  <c r="EKI114" i="3"/>
  <c r="EKG114" i="3"/>
  <c r="EJY114" i="3"/>
  <c r="EKA114" i="3" s="1"/>
  <c r="EJQ114" i="3"/>
  <c r="EJS114" i="3" s="1"/>
  <c r="EJI114" i="3"/>
  <c r="EJK114" i="3" s="1"/>
  <c r="EJA114" i="3"/>
  <c r="EJC114" i="3" s="1"/>
  <c r="EIS114" i="3"/>
  <c r="EIU114" i="3" s="1"/>
  <c r="EIK114" i="3"/>
  <c r="EIM114" i="3" s="1"/>
  <c r="EIC114" i="3"/>
  <c r="EIE114" i="3" s="1"/>
  <c r="EHU114" i="3"/>
  <c r="EHW114" i="3" s="1"/>
  <c r="EHO114" i="3"/>
  <c r="EHM114" i="3"/>
  <c r="EHE114" i="3"/>
  <c r="EHG114" i="3" s="1"/>
  <c r="EGW114" i="3"/>
  <c r="EGY114" i="3" s="1"/>
  <c r="EGO114" i="3"/>
  <c r="EGQ114" i="3" s="1"/>
  <c r="EGG114" i="3"/>
  <c r="EGI114" i="3" s="1"/>
  <c r="EFY114" i="3"/>
  <c r="EGA114" i="3" s="1"/>
  <c r="EFS114" i="3"/>
  <c r="EFQ114" i="3"/>
  <c r="EFI114" i="3"/>
  <c r="EFK114" i="3" s="1"/>
  <c r="EFA114" i="3"/>
  <c r="EFC114" i="3" s="1"/>
  <c r="EES114" i="3"/>
  <c r="EEU114" i="3" s="1"/>
  <c r="EEM114" i="3"/>
  <c r="EEK114" i="3"/>
  <c r="EEC114" i="3"/>
  <c r="EEE114" i="3" s="1"/>
  <c r="EDW114" i="3"/>
  <c r="EDU114" i="3"/>
  <c r="EDO114" i="3"/>
  <c r="EDM114" i="3"/>
  <c r="EDG114" i="3"/>
  <c r="EDE114" i="3"/>
  <c r="ECW114" i="3"/>
  <c r="ECY114" i="3" s="1"/>
  <c r="ECQ114" i="3"/>
  <c r="ECO114" i="3"/>
  <c r="ECG114" i="3"/>
  <c r="ECI114" i="3" s="1"/>
  <c r="EBY114" i="3"/>
  <c r="ECA114" i="3" s="1"/>
  <c r="EBQ114" i="3"/>
  <c r="EBS114" i="3" s="1"/>
  <c r="EBI114" i="3"/>
  <c r="EBK114" i="3" s="1"/>
  <c r="EBC114" i="3"/>
  <c r="EBA114" i="3"/>
  <c r="EAS114" i="3"/>
  <c r="EAU114" i="3" s="1"/>
  <c r="EAK114" i="3"/>
  <c r="EAM114" i="3" s="1"/>
  <c r="EAC114" i="3"/>
  <c r="EAE114" i="3" s="1"/>
  <c r="DZU114" i="3"/>
  <c r="DZW114" i="3" s="1"/>
  <c r="DZM114" i="3"/>
  <c r="DZO114" i="3" s="1"/>
  <c r="DZE114" i="3"/>
  <c r="DZG114" i="3" s="1"/>
  <c r="DYW114" i="3"/>
  <c r="DYY114" i="3" s="1"/>
  <c r="DYO114" i="3"/>
  <c r="DYQ114" i="3" s="1"/>
  <c r="DYG114" i="3"/>
  <c r="DYI114" i="3" s="1"/>
  <c r="DXY114" i="3"/>
  <c r="DYA114" i="3" s="1"/>
  <c r="DXQ114" i="3"/>
  <c r="DXS114" i="3" s="1"/>
  <c r="DXI114" i="3"/>
  <c r="DXK114" i="3" s="1"/>
  <c r="DXA114" i="3"/>
  <c r="DXC114" i="3" s="1"/>
  <c r="DWS114" i="3"/>
  <c r="DWU114" i="3" s="1"/>
  <c r="DWK114" i="3"/>
  <c r="DWM114" i="3" s="1"/>
  <c r="DWE114" i="3"/>
  <c r="DWC114" i="3"/>
  <c r="DVU114" i="3"/>
  <c r="DVW114" i="3" s="1"/>
  <c r="DVO114" i="3"/>
  <c r="DVM114" i="3"/>
  <c r="DVE114" i="3"/>
  <c r="DVG114" i="3" s="1"/>
  <c r="DUW114" i="3"/>
  <c r="DUY114" i="3" s="1"/>
  <c r="DUO114" i="3"/>
  <c r="DUQ114" i="3" s="1"/>
  <c r="DUG114" i="3"/>
  <c r="DUI114" i="3" s="1"/>
  <c r="DUA114" i="3"/>
  <c r="DTY114" i="3"/>
  <c r="DTS114" i="3"/>
  <c r="DTQ114" i="3"/>
  <c r="DTI114" i="3"/>
  <c r="DTK114" i="3" s="1"/>
  <c r="DTA114" i="3"/>
  <c r="DTC114" i="3" s="1"/>
  <c r="DSU114" i="3"/>
  <c r="DSS114" i="3"/>
  <c r="DSK114" i="3"/>
  <c r="DSM114" i="3" s="1"/>
  <c r="DSC114" i="3"/>
  <c r="DSE114" i="3" s="1"/>
  <c r="DRU114" i="3"/>
  <c r="DRW114" i="3" s="1"/>
  <c r="DRM114" i="3"/>
  <c r="DRO114" i="3" s="1"/>
  <c r="DRE114" i="3"/>
  <c r="DRG114" i="3" s="1"/>
  <c r="DQW114" i="3"/>
  <c r="DQY114" i="3" s="1"/>
  <c r="DQO114" i="3"/>
  <c r="DQQ114" i="3" s="1"/>
  <c r="DQG114" i="3"/>
  <c r="DQI114" i="3" s="1"/>
  <c r="DPY114" i="3"/>
  <c r="DQA114" i="3" s="1"/>
  <c r="DPQ114" i="3"/>
  <c r="DPS114" i="3" s="1"/>
  <c r="DPI114" i="3"/>
  <c r="DPK114" i="3" s="1"/>
  <c r="DPA114" i="3"/>
  <c r="DPC114" i="3" s="1"/>
  <c r="DOS114" i="3"/>
  <c r="DOU114" i="3" s="1"/>
  <c r="DOM114" i="3"/>
  <c r="DOK114" i="3"/>
  <c r="DOC114" i="3"/>
  <c r="DOE114" i="3" s="1"/>
  <c r="DNW114" i="3"/>
  <c r="DNU114" i="3"/>
  <c r="DNM114" i="3"/>
  <c r="DNO114" i="3" s="1"/>
  <c r="DNG114" i="3"/>
  <c r="DNE114" i="3"/>
  <c r="DMW114" i="3"/>
  <c r="DMY114" i="3" s="1"/>
  <c r="DMO114" i="3"/>
  <c r="DMQ114" i="3" s="1"/>
  <c r="DMG114" i="3"/>
  <c r="DMI114" i="3" s="1"/>
  <c r="DMA114" i="3"/>
  <c r="DLY114" i="3"/>
  <c r="DLQ114" i="3"/>
  <c r="DLS114" i="3" s="1"/>
  <c r="DLI114" i="3"/>
  <c r="DLK114" i="3" s="1"/>
  <c r="DLA114" i="3"/>
  <c r="DLC114" i="3" s="1"/>
  <c r="DKS114" i="3"/>
  <c r="DKU114" i="3" s="1"/>
  <c r="DKK114" i="3"/>
  <c r="DKM114" i="3" s="1"/>
  <c r="DKC114" i="3"/>
  <c r="DKE114" i="3" s="1"/>
  <c r="DJU114" i="3"/>
  <c r="DJW114" i="3" s="1"/>
  <c r="DJO114" i="3"/>
  <c r="DJM114" i="3"/>
  <c r="DJE114" i="3"/>
  <c r="DJG114" i="3" s="1"/>
  <c r="DIY114" i="3"/>
  <c r="DIW114" i="3"/>
  <c r="DIO114" i="3"/>
  <c r="DIQ114" i="3" s="1"/>
  <c r="DIG114" i="3"/>
  <c r="DII114" i="3" s="1"/>
  <c r="DHY114" i="3"/>
  <c r="DIA114" i="3" s="1"/>
  <c r="DHQ114" i="3"/>
  <c r="DHS114" i="3" s="1"/>
  <c r="DHI114" i="3"/>
  <c r="DHK114" i="3" s="1"/>
  <c r="DHA114" i="3"/>
  <c r="DHC114" i="3" s="1"/>
  <c r="DGS114" i="3"/>
  <c r="DGU114" i="3" s="1"/>
  <c r="DGM114" i="3"/>
  <c r="DGK114" i="3"/>
  <c r="DGC114" i="3"/>
  <c r="DGE114" i="3" s="1"/>
  <c r="DFW114" i="3"/>
  <c r="DFU114" i="3"/>
  <c r="DFM114" i="3"/>
  <c r="DFO114" i="3" s="1"/>
  <c r="DFE114" i="3"/>
  <c r="DFG114" i="3" s="1"/>
  <c r="DEW114" i="3"/>
  <c r="DEY114" i="3" s="1"/>
  <c r="DEO114" i="3"/>
  <c r="DEQ114" i="3" s="1"/>
  <c r="DEG114" i="3"/>
  <c r="DEI114" i="3" s="1"/>
  <c r="DDY114" i="3"/>
  <c r="DEA114" i="3" s="1"/>
  <c r="DDQ114" i="3"/>
  <c r="DDS114" i="3" s="1"/>
  <c r="DDK114" i="3"/>
  <c r="DDI114" i="3"/>
  <c r="DDC114" i="3"/>
  <c r="DDA114" i="3"/>
  <c r="DCS114" i="3"/>
  <c r="DCU114" i="3" s="1"/>
  <c r="DCK114" i="3"/>
  <c r="DCM114" i="3" s="1"/>
  <c r="DCC114" i="3"/>
  <c r="DCE114" i="3" s="1"/>
  <c r="DBU114" i="3"/>
  <c r="DBW114" i="3" s="1"/>
  <c r="DBM114" i="3"/>
  <c r="DBO114" i="3" s="1"/>
  <c r="DBE114" i="3"/>
  <c r="DBG114" i="3" s="1"/>
  <c r="DAW114" i="3"/>
  <c r="DAY114" i="3" s="1"/>
  <c r="DAO114" i="3"/>
  <c r="DAQ114" i="3" s="1"/>
  <c r="DAG114" i="3"/>
  <c r="DAI114" i="3" s="1"/>
  <c r="CZY114" i="3"/>
  <c r="DAA114" i="3" s="1"/>
  <c r="CZS114" i="3"/>
  <c r="CZQ114" i="3"/>
  <c r="CZI114" i="3"/>
  <c r="CZK114" i="3" s="1"/>
  <c r="CZA114" i="3"/>
  <c r="CZC114" i="3" s="1"/>
  <c r="CYS114" i="3"/>
  <c r="CYU114" i="3" s="1"/>
  <c r="CYM114" i="3"/>
  <c r="CYK114" i="3"/>
  <c r="CYC114" i="3"/>
  <c r="CYE114" i="3" s="1"/>
  <c r="CXU114" i="3"/>
  <c r="CXW114" i="3" s="1"/>
  <c r="CXM114" i="3"/>
  <c r="CXO114" i="3" s="1"/>
  <c r="CXE114" i="3"/>
  <c r="CXG114" i="3" s="1"/>
  <c r="CWW114" i="3"/>
  <c r="CWY114" i="3" s="1"/>
  <c r="CWO114" i="3"/>
  <c r="CWQ114" i="3" s="1"/>
  <c r="CWG114" i="3"/>
  <c r="CWI114" i="3" s="1"/>
  <c r="CVY114" i="3"/>
  <c r="CWA114" i="3" s="1"/>
  <c r="CVS114" i="3"/>
  <c r="CVQ114" i="3"/>
  <c r="CVI114" i="3"/>
  <c r="CVK114" i="3" s="1"/>
  <c r="CVC114" i="3"/>
  <c r="CVA114" i="3"/>
  <c r="CUS114" i="3"/>
  <c r="CUU114" i="3" s="1"/>
  <c r="CUM114" i="3"/>
  <c r="CUK114" i="3"/>
  <c r="CUC114" i="3"/>
  <c r="CUE114" i="3" s="1"/>
  <c r="CTU114" i="3"/>
  <c r="CTW114" i="3" s="1"/>
  <c r="CTM114" i="3"/>
  <c r="CTO114" i="3" s="1"/>
  <c r="CTE114" i="3"/>
  <c r="CTG114" i="3" s="1"/>
  <c r="CSW114" i="3"/>
  <c r="CSY114" i="3" s="1"/>
  <c r="CSQ114" i="3"/>
  <c r="CSO114" i="3"/>
  <c r="CSI114" i="3"/>
  <c r="CSG114" i="3"/>
  <c r="CRY114" i="3"/>
  <c r="CSA114" i="3" s="1"/>
  <c r="CRQ114" i="3"/>
  <c r="CRS114" i="3" s="1"/>
  <c r="CRI114" i="3"/>
  <c r="CRK114" i="3" s="1"/>
  <c r="CRA114" i="3"/>
  <c r="CRC114" i="3" s="1"/>
  <c r="CQU114" i="3"/>
  <c r="CQS114" i="3"/>
  <c r="CQM114" i="3"/>
  <c r="CQK114" i="3"/>
  <c r="CQC114" i="3"/>
  <c r="CQE114" i="3" s="1"/>
  <c r="CPU114" i="3"/>
  <c r="CPW114" i="3" s="1"/>
  <c r="CPM114" i="3"/>
  <c r="CPO114" i="3" s="1"/>
  <c r="CPE114" i="3"/>
  <c r="CPG114" i="3" s="1"/>
  <c r="COY114" i="3"/>
  <c r="COW114" i="3"/>
  <c r="COO114" i="3"/>
  <c r="COQ114" i="3" s="1"/>
  <c r="COI114" i="3"/>
  <c r="COG114" i="3"/>
  <c r="CNY114" i="3"/>
  <c r="COA114" i="3" s="1"/>
  <c r="CNS114" i="3"/>
  <c r="CNQ114" i="3"/>
  <c r="CNI114" i="3"/>
  <c r="CNK114" i="3" s="1"/>
  <c r="CNC114" i="3"/>
  <c r="CNA114" i="3"/>
  <c r="CMU114" i="3"/>
  <c r="CMS114" i="3"/>
  <c r="CMK114" i="3"/>
  <c r="CMM114" i="3" s="1"/>
  <c r="CMC114" i="3"/>
  <c r="CME114" i="3" s="1"/>
  <c r="CLW114" i="3"/>
  <c r="CLU114" i="3"/>
  <c r="CLM114" i="3"/>
  <c r="CLO114" i="3" s="1"/>
  <c r="CLE114" i="3"/>
  <c r="CLG114" i="3" s="1"/>
  <c r="CKY114" i="3"/>
  <c r="CKW114" i="3"/>
  <c r="CKQ114" i="3"/>
  <c r="CKO114" i="3"/>
  <c r="CKG114" i="3"/>
  <c r="CKI114" i="3" s="1"/>
  <c r="CJY114" i="3"/>
  <c r="CKA114" i="3" s="1"/>
  <c r="CJQ114" i="3"/>
  <c r="CJS114" i="3" s="1"/>
  <c r="CJK114" i="3"/>
  <c r="CJI114" i="3"/>
  <c r="CJA114" i="3"/>
  <c r="CJC114" i="3" s="1"/>
  <c r="CIU114" i="3"/>
  <c r="CIS114" i="3"/>
  <c r="CIK114" i="3"/>
  <c r="CIM114" i="3" s="1"/>
  <c r="CIC114" i="3"/>
  <c r="CIE114" i="3" s="1"/>
  <c r="CHU114" i="3"/>
  <c r="CHW114" i="3" s="1"/>
  <c r="CHM114" i="3"/>
  <c r="CHO114" i="3" s="1"/>
  <c r="CHE114" i="3"/>
  <c r="CHG114" i="3" s="1"/>
  <c r="CGY114" i="3"/>
  <c r="CGW114" i="3"/>
  <c r="CGO114" i="3"/>
  <c r="CGQ114" i="3" s="1"/>
  <c r="CGI114" i="3"/>
  <c r="CGG114" i="3"/>
  <c r="CFY114" i="3"/>
  <c r="CGA114" i="3" s="1"/>
  <c r="CFQ114" i="3"/>
  <c r="CFS114" i="3" s="1"/>
  <c r="CFI114" i="3"/>
  <c r="CFK114" i="3" s="1"/>
  <c r="CFA114" i="3"/>
  <c r="CFC114" i="3" s="1"/>
  <c r="CES114" i="3"/>
  <c r="CEU114" i="3" s="1"/>
  <c r="CEM114" i="3"/>
  <c r="CEK114" i="3"/>
  <c r="CEC114" i="3"/>
  <c r="CEE114" i="3" s="1"/>
  <c r="CDW114" i="3"/>
  <c r="CDU114" i="3"/>
  <c r="CDM114" i="3"/>
  <c r="CDO114" i="3" s="1"/>
  <c r="CDE114" i="3"/>
  <c r="CDG114" i="3" s="1"/>
  <c r="CCW114" i="3"/>
  <c r="CCY114" i="3" s="1"/>
  <c r="CCO114" i="3"/>
  <c r="CCQ114" i="3" s="1"/>
  <c r="CCG114" i="3"/>
  <c r="CCI114" i="3" s="1"/>
  <c r="CCA114" i="3"/>
  <c r="CBY114" i="3"/>
  <c r="CBS114" i="3"/>
  <c r="CBQ114" i="3"/>
  <c r="CBI114" i="3"/>
  <c r="CBK114" i="3" s="1"/>
  <c r="CBA114" i="3"/>
  <c r="CBC114" i="3" s="1"/>
  <c r="CAS114" i="3"/>
  <c r="CAU114" i="3" s="1"/>
  <c r="CAK114" i="3"/>
  <c r="CAM114" i="3" s="1"/>
  <c r="CAC114" i="3"/>
  <c r="CAE114" i="3" s="1"/>
  <c r="BZU114" i="3"/>
  <c r="BZW114" i="3" s="1"/>
  <c r="BZO114" i="3"/>
  <c r="BZM114" i="3"/>
  <c r="BZE114" i="3"/>
  <c r="BZG114" i="3" s="1"/>
  <c r="BYW114" i="3"/>
  <c r="BYY114" i="3" s="1"/>
  <c r="BYO114" i="3"/>
  <c r="BYQ114" i="3" s="1"/>
  <c r="BYG114" i="3"/>
  <c r="BYI114" i="3" s="1"/>
  <c r="BXY114" i="3"/>
  <c r="BYA114" i="3" s="1"/>
  <c r="BXS114" i="3"/>
  <c r="BXQ114" i="3"/>
  <c r="BXI114" i="3"/>
  <c r="BXK114" i="3" s="1"/>
  <c r="BXA114" i="3"/>
  <c r="BXC114" i="3" s="1"/>
  <c r="BWS114" i="3"/>
  <c r="BWU114" i="3" s="1"/>
  <c r="BWK114" i="3"/>
  <c r="BWM114" i="3" s="1"/>
  <c r="BWC114" i="3"/>
  <c r="BWE114" i="3" s="1"/>
  <c r="BVW114" i="3"/>
  <c r="BVU114" i="3"/>
  <c r="BVM114" i="3"/>
  <c r="BVO114" i="3" s="1"/>
  <c r="BVE114" i="3"/>
  <c r="BVG114" i="3" s="1"/>
  <c r="BUW114" i="3"/>
  <c r="BUY114" i="3" s="1"/>
  <c r="BUO114" i="3"/>
  <c r="BUQ114" i="3" s="1"/>
  <c r="BUI114" i="3"/>
  <c r="BUG114" i="3"/>
  <c r="BTY114" i="3"/>
  <c r="BUA114" i="3" s="1"/>
  <c r="BTQ114" i="3"/>
  <c r="BTS114" i="3" s="1"/>
  <c r="BTI114" i="3"/>
  <c r="BTK114" i="3" s="1"/>
  <c r="BTA114" i="3"/>
  <c r="BTC114" i="3" s="1"/>
  <c r="BSU114" i="3"/>
  <c r="BSS114" i="3"/>
  <c r="BSK114" i="3"/>
  <c r="BSM114" i="3" s="1"/>
  <c r="BSC114" i="3"/>
  <c r="BSE114" i="3" s="1"/>
  <c r="BRU114" i="3"/>
  <c r="BRW114" i="3" s="1"/>
  <c r="BRM114" i="3"/>
  <c r="BRO114" i="3" s="1"/>
  <c r="BRE114" i="3"/>
  <c r="BRG114" i="3" s="1"/>
  <c r="BQW114" i="3"/>
  <c r="BQY114" i="3" s="1"/>
  <c r="BQQ114" i="3"/>
  <c r="BQO114" i="3"/>
  <c r="BQG114" i="3"/>
  <c r="BQI114" i="3" s="1"/>
  <c r="BPY114" i="3"/>
  <c r="BQA114" i="3" s="1"/>
  <c r="BPQ114" i="3"/>
  <c r="BPS114" i="3" s="1"/>
  <c r="BPI114" i="3"/>
  <c r="BPK114" i="3" s="1"/>
  <c r="BPA114" i="3"/>
  <c r="BPC114" i="3" s="1"/>
  <c r="BOS114" i="3"/>
  <c r="BOU114" i="3" s="1"/>
  <c r="BOM114" i="3"/>
  <c r="BOK114" i="3"/>
  <c r="BOC114" i="3"/>
  <c r="BOE114" i="3" s="1"/>
  <c r="BNU114" i="3"/>
  <c r="BNW114" i="3" s="1"/>
  <c r="BNM114" i="3"/>
  <c r="BNO114" i="3" s="1"/>
  <c r="BNE114" i="3"/>
  <c r="BNG114" i="3" s="1"/>
  <c r="BMW114" i="3"/>
  <c r="BMY114" i="3" s="1"/>
  <c r="BMO114" i="3"/>
  <c r="BMQ114" i="3" s="1"/>
  <c r="BMG114" i="3"/>
  <c r="BMI114" i="3" s="1"/>
  <c r="BLY114" i="3"/>
  <c r="BMA114" i="3" s="1"/>
  <c r="BLQ114" i="3"/>
  <c r="BLS114" i="3" s="1"/>
  <c r="BLI114" i="3"/>
  <c r="BLK114" i="3" s="1"/>
  <c r="BLC114" i="3"/>
  <c r="BLA114" i="3"/>
  <c r="BKS114" i="3"/>
  <c r="BKU114" i="3" s="1"/>
  <c r="BKK114" i="3"/>
  <c r="BKM114" i="3" s="1"/>
  <c r="BKC114" i="3"/>
  <c r="BKE114" i="3" s="1"/>
  <c r="BJU114" i="3"/>
  <c r="BJW114" i="3" s="1"/>
  <c r="BJM114" i="3"/>
  <c r="BJO114" i="3" s="1"/>
  <c r="BJE114" i="3"/>
  <c r="BJG114" i="3" s="1"/>
  <c r="BIW114" i="3"/>
  <c r="BIY114" i="3" s="1"/>
  <c r="BIO114" i="3"/>
  <c r="BIQ114" i="3" s="1"/>
  <c r="BIG114" i="3"/>
  <c r="BII114" i="3" s="1"/>
  <c r="BHY114" i="3"/>
  <c r="BIA114" i="3" s="1"/>
  <c r="BHS114" i="3"/>
  <c r="BHQ114" i="3"/>
  <c r="BHI114" i="3"/>
  <c r="BHK114" i="3" s="1"/>
  <c r="BHA114" i="3"/>
  <c r="BHC114" i="3" s="1"/>
  <c r="BGS114" i="3"/>
  <c r="BGU114" i="3" s="1"/>
  <c r="BGK114" i="3"/>
  <c r="BGM114" i="3" s="1"/>
  <c r="BGC114" i="3"/>
  <c r="BGE114" i="3" s="1"/>
  <c r="BFU114" i="3"/>
  <c r="BFW114" i="3" s="1"/>
  <c r="BFO114" i="3"/>
  <c r="BFM114" i="3"/>
  <c r="BFE114" i="3"/>
  <c r="BFG114" i="3" s="1"/>
  <c r="BEW114" i="3"/>
  <c r="BEY114" i="3" s="1"/>
  <c r="BEO114" i="3"/>
  <c r="BEQ114" i="3" s="1"/>
  <c r="BEG114" i="3"/>
  <c r="BEI114" i="3" s="1"/>
  <c r="BDY114" i="3"/>
  <c r="BEA114" i="3" s="1"/>
  <c r="BDQ114" i="3"/>
  <c r="BDS114" i="3" s="1"/>
  <c r="BDK114" i="3"/>
  <c r="BDI114" i="3"/>
  <c r="BDA114" i="3"/>
  <c r="BDC114" i="3" s="1"/>
  <c r="BCS114" i="3"/>
  <c r="BCU114" i="3" s="1"/>
  <c r="BCK114" i="3"/>
  <c r="BCM114" i="3" s="1"/>
  <c r="BCC114" i="3"/>
  <c r="BCE114" i="3" s="1"/>
  <c r="BBW114" i="3"/>
  <c r="BBU114" i="3"/>
  <c r="BBM114" i="3"/>
  <c r="BBO114" i="3" s="1"/>
  <c r="BBE114" i="3"/>
  <c r="BBG114" i="3" s="1"/>
  <c r="BAW114" i="3"/>
  <c r="BAY114" i="3" s="1"/>
  <c r="BAO114" i="3"/>
  <c r="BAQ114" i="3" s="1"/>
  <c r="BAG114" i="3"/>
  <c r="BAI114" i="3" s="1"/>
  <c r="AZY114" i="3"/>
  <c r="BAA114" i="3" s="1"/>
  <c r="AZQ114" i="3"/>
  <c r="AZS114" i="3" s="1"/>
  <c r="AZI114" i="3"/>
  <c r="AZK114" i="3" s="1"/>
  <c r="AZA114" i="3"/>
  <c r="AZC114" i="3" s="1"/>
  <c r="AYS114" i="3"/>
  <c r="AYU114" i="3" s="1"/>
  <c r="AYM114" i="3"/>
  <c r="AYK114" i="3"/>
  <c r="AYC114" i="3"/>
  <c r="AYE114" i="3" s="1"/>
  <c r="AXW114" i="3"/>
  <c r="AXU114" i="3"/>
  <c r="AXM114" i="3"/>
  <c r="AXO114" i="3" s="1"/>
  <c r="AXE114" i="3"/>
  <c r="AXG114" i="3" s="1"/>
  <c r="AWW114" i="3"/>
  <c r="AWY114" i="3" s="1"/>
  <c r="AWQ114" i="3"/>
  <c r="AWO114" i="3"/>
  <c r="AWI114" i="3"/>
  <c r="AWG114" i="3"/>
  <c r="AVY114" i="3"/>
  <c r="AWA114" i="3" s="1"/>
  <c r="AVQ114" i="3"/>
  <c r="AVS114" i="3" s="1"/>
  <c r="AVK114" i="3"/>
  <c r="AVI114" i="3"/>
  <c r="AVA114" i="3"/>
  <c r="AVC114" i="3" s="1"/>
  <c r="AUS114" i="3"/>
  <c r="AUU114" i="3" s="1"/>
  <c r="AUM114" i="3"/>
  <c r="AUK114" i="3"/>
  <c r="AUE114" i="3"/>
  <c r="AUC114" i="3"/>
  <c r="ATU114" i="3"/>
  <c r="ATW114" i="3" s="1"/>
  <c r="ATM114" i="3"/>
  <c r="ATO114" i="3" s="1"/>
  <c r="ATE114" i="3"/>
  <c r="ATG114" i="3" s="1"/>
  <c r="ASY114" i="3"/>
  <c r="ASW114" i="3"/>
  <c r="ASO114" i="3"/>
  <c r="ASQ114" i="3" s="1"/>
  <c r="ASI114" i="3"/>
  <c r="ASG114" i="3"/>
  <c r="ARY114" i="3"/>
  <c r="ASA114" i="3" s="1"/>
  <c r="ARQ114" i="3"/>
  <c r="ARS114" i="3" s="1"/>
  <c r="ARI114" i="3"/>
  <c r="ARK114" i="3" s="1"/>
  <c r="ARA114" i="3"/>
  <c r="ARC114" i="3" s="1"/>
  <c r="AQS114" i="3"/>
  <c r="AQU114" i="3" s="1"/>
  <c r="AQM114" i="3"/>
  <c r="AQK114" i="3"/>
  <c r="AQC114" i="3"/>
  <c r="AQE114" i="3" s="1"/>
  <c r="APW114" i="3"/>
  <c r="APU114" i="3"/>
  <c r="APM114" i="3"/>
  <c r="APO114" i="3" s="1"/>
  <c r="APE114" i="3"/>
  <c r="APG114" i="3" s="1"/>
  <c r="AOW114" i="3"/>
  <c r="AOY114" i="3" s="1"/>
  <c r="AOO114" i="3"/>
  <c r="AOQ114" i="3" s="1"/>
  <c r="AOG114" i="3"/>
  <c r="AOI114" i="3" s="1"/>
  <c r="ANY114" i="3"/>
  <c r="AOA114" i="3" s="1"/>
  <c r="ANQ114" i="3"/>
  <c r="ANS114" i="3" s="1"/>
  <c r="ANK114" i="3"/>
  <c r="ANI114" i="3"/>
  <c r="ANA114" i="3"/>
  <c r="ANC114" i="3" s="1"/>
  <c r="AMS114" i="3"/>
  <c r="AMU114" i="3" s="1"/>
  <c r="AMK114" i="3"/>
  <c r="AMM114" i="3" s="1"/>
  <c r="AMC114" i="3"/>
  <c r="AME114" i="3" s="1"/>
  <c r="ALU114" i="3"/>
  <c r="ALW114" i="3" s="1"/>
  <c r="ALM114" i="3"/>
  <c r="ALO114" i="3" s="1"/>
  <c r="ALE114" i="3"/>
  <c r="ALG114" i="3" s="1"/>
  <c r="AKY114" i="3"/>
  <c r="AKW114" i="3"/>
  <c r="AKO114" i="3"/>
  <c r="AKQ114" i="3" s="1"/>
  <c r="AKG114" i="3"/>
  <c r="AKI114" i="3" s="1"/>
  <c r="AJY114" i="3"/>
  <c r="AKA114" i="3" s="1"/>
  <c r="AJS114" i="3"/>
  <c r="AJQ114" i="3"/>
  <c r="AJI114" i="3"/>
  <c r="AJK114" i="3" s="1"/>
  <c r="AJA114" i="3"/>
  <c r="AJC114" i="3" s="1"/>
  <c r="AIS114" i="3"/>
  <c r="AIU114" i="3" s="1"/>
  <c r="AIM114" i="3"/>
  <c r="AIK114" i="3"/>
  <c r="AIC114" i="3"/>
  <c r="AIE114" i="3" s="1"/>
  <c r="AHU114" i="3"/>
  <c r="AHW114" i="3" s="1"/>
  <c r="AHM114" i="3"/>
  <c r="AHO114" i="3" s="1"/>
  <c r="AHE114" i="3"/>
  <c r="AHG114" i="3" s="1"/>
  <c r="AGW114" i="3"/>
  <c r="AGY114" i="3" s="1"/>
  <c r="AGQ114" i="3"/>
  <c r="AGO114" i="3"/>
  <c r="AGG114" i="3"/>
  <c r="AGI114" i="3" s="1"/>
  <c r="AGA114" i="3"/>
  <c r="AFY114" i="3"/>
  <c r="AFQ114" i="3"/>
  <c r="AFS114" i="3" s="1"/>
  <c r="AFI114" i="3"/>
  <c r="AFK114" i="3" s="1"/>
  <c r="AFA114" i="3"/>
  <c r="AFC114" i="3" s="1"/>
  <c r="AES114" i="3"/>
  <c r="AEU114" i="3" s="1"/>
  <c r="AEK114" i="3"/>
  <c r="AEM114" i="3" s="1"/>
  <c r="AEC114" i="3"/>
  <c r="AEE114" i="3" s="1"/>
  <c r="ADU114" i="3"/>
  <c r="ADW114" i="3" s="1"/>
  <c r="ADO114" i="3"/>
  <c r="ADM114" i="3"/>
  <c r="ADE114" i="3"/>
  <c r="ADG114" i="3" s="1"/>
  <c r="ACW114" i="3"/>
  <c r="ACY114" i="3" s="1"/>
  <c r="ACO114" i="3"/>
  <c r="ACQ114" i="3" s="1"/>
  <c r="ACG114" i="3"/>
  <c r="ACI114" i="3" s="1"/>
  <c r="ABY114" i="3"/>
  <c r="ACA114" i="3" s="1"/>
  <c r="ABS114" i="3"/>
  <c r="ABQ114" i="3"/>
  <c r="ABI114" i="3"/>
  <c r="ABK114" i="3" s="1"/>
  <c r="ABC114" i="3"/>
  <c r="ABA114" i="3"/>
  <c r="AAS114" i="3"/>
  <c r="AAU114" i="3" s="1"/>
  <c r="AAK114" i="3"/>
  <c r="AAM114" i="3" s="1"/>
  <c r="AAC114" i="3"/>
  <c r="AAE114" i="3" s="1"/>
  <c r="ZU114" i="3"/>
  <c r="ZW114" i="3" s="1"/>
  <c r="ZM114" i="3"/>
  <c r="ZO114" i="3" s="1"/>
  <c r="ZG114" i="3"/>
  <c r="ZE114" i="3"/>
  <c r="YW114" i="3"/>
  <c r="YY114" i="3" s="1"/>
  <c r="YQ114" i="3"/>
  <c r="YO114" i="3"/>
  <c r="YG114" i="3"/>
  <c r="YI114" i="3" s="1"/>
  <c r="XY114" i="3"/>
  <c r="YA114" i="3" s="1"/>
  <c r="XQ114" i="3"/>
  <c r="XS114" i="3" s="1"/>
  <c r="XI114" i="3"/>
  <c r="XK114" i="3" s="1"/>
  <c r="XA114" i="3"/>
  <c r="XC114" i="3" s="1"/>
  <c r="WU114" i="3"/>
  <c r="WS114" i="3"/>
  <c r="WK114" i="3"/>
  <c r="WM114" i="3" s="1"/>
  <c r="WE114" i="3"/>
  <c r="WC114" i="3"/>
  <c r="VU114" i="3"/>
  <c r="VW114" i="3" s="1"/>
  <c r="VM114" i="3"/>
  <c r="VO114" i="3" s="1"/>
  <c r="VE114" i="3"/>
  <c r="VG114" i="3" s="1"/>
  <c r="UY114" i="3"/>
  <c r="UW114" i="3"/>
  <c r="UO114" i="3"/>
  <c r="UQ114" i="3" s="1"/>
  <c r="UG114" i="3"/>
  <c r="UI114" i="3" s="1"/>
  <c r="TY114" i="3"/>
  <c r="UA114" i="3" s="1"/>
  <c r="TS114" i="3"/>
  <c r="TQ114" i="3"/>
  <c r="TI114" i="3"/>
  <c r="TK114" i="3" s="1"/>
  <c r="TA114" i="3"/>
  <c r="TC114" i="3" s="1"/>
  <c r="SS114" i="3"/>
  <c r="SU114" i="3" s="1"/>
  <c r="SK114" i="3"/>
  <c r="SM114" i="3" s="1"/>
  <c r="SC114" i="3"/>
  <c r="SE114" i="3" s="1"/>
  <c r="RU114" i="3"/>
  <c r="RW114" i="3" s="1"/>
  <c r="RM114" i="3"/>
  <c r="RO114" i="3" s="1"/>
  <c r="RG114" i="3"/>
  <c r="RE114" i="3"/>
  <c r="QW114" i="3"/>
  <c r="QY114" i="3" s="1"/>
  <c r="QO114" i="3"/>
  <c r="QQ114" i="3" s="1"/>
  <c r="QG114" i="3"/>
  <c r="QI114" i="3" s="1"/>
  <c r="QA114" i="3"/>
  <c r="PY114" i="3"/>
  <c r="PQ114" i="3"/>
  <c r="PS114" i="3" s="1"/>
  <c r="PI114" i="3"/>
  <c r="PK114" i="3" s="1"/>
  <c r="PA114" i="3"/>
  <c r="PC114" i="3" s="1"/>
  <c r="OU114" i="3"/>
  <c r="OS114" i="3"/>
  <c r="OK114" i="3"/>
  <c r="OM114" i="3" s="1"/>
  <c r="OC114" i="3"/>
  <c r="OE114" i="3" s="1"/>
  <c r="NU114" i="3"/>
  <c r="NW114" i="3" s="1"/>
  <c r="NO114" i="3"/>
  <c r="NM114" i="3"/>
  <c r="NE114" i="3"/>
  <c r="NG114" i="3" s="1"/>
  <c r="MY114" i="3"/>
  <c r="MW114" i="3"/>
  <c r="MO114" i="3"/>
  <c r="MQ114" i="3" s="1"/>
  <c r="MI114" i="3"/>
  <c r="MG114" i="3"/>
  <c r="LY114" i="3"/>
  <c r="MA114" i="3" s="1"/>
  <c r="LQ114" i="3"/>
  <c r="LS114" i="3" s="1"/>
  <c r="LI114" i="3"/>
  <c r="LK114" i="3" s="1"/>
  <c r="LC114" i="3"/>
  <c r="LA114" i="3"/>
  <c r="KS114" i="3"/>
  <c r="KU114" i="3" s="1"/>
  <c r="KM114" i="3"/>
  <c r="KK114" i="3"/>
  <c r="KC114" i="3"/>
  <c r="KE114" i="3" s="1"/>
  <c r="JW114" i="3"/>
  <c r="JU114" i="3"/>
  <c r="JM114" i="3"/>
  <c r="JO114" i="3" s="1"/>
  <c r="JE114" i="3"/>
  <c r="JG114" i="3" s="1"/>
  <c r="IW114" i="3"/>
  <c r="IY114" i="3" s="1"/>
  <c r="IO114" i="3"/>
  <c r="IQ114" i="3" s="1"/>
  <c r="IG114" i="3"/>
  <c r="II114" i="3" s="1"/>
  <c r="HY114" i="3"/>
  <c r="IA114" i="3" s="1"/>
  <c r="HQ114" i="3"/>
  <c r="HS114" i="3" s="1"/>
  <c r="HK114" i="3"/>
  <c r="HI114" i="3"/>
  <c r="HA114" i="3"/>
  <c r="HC114" i="3" s="1"/>
  <c r="GS114" i="3"/>
  <c r="GU114" i="3" s="1"/>
  <c r="GK114" i="3"/>
  <c r="GM114" i="3" s="1"/>
  <c r="GE114" i="3"/>
  <c r="GC114" i="3"/>
  <c r="FU114" i="3"/>
  <c r="FW114" i="3" s="1"/>
  <c r="FO114" i="3"/>
  <c r="FM114" i="3"/>
  <c r="FE114" i="3"/>
  <c r="FG114" i="3" s="1"/>
  <c r="EY114" i="3"/>
  <c r="EW114" i="3"/>
  <c r="EO114" i="3"/>
  <c r="EQ114" i="3" s="1"/>
  <c r="EG114" i="3"/>
  <c r="EI114" i="3" s="1"/>
  <c r="DY114" i="3"/>
  <c r="EA114" i="3" s="1"/>
  <c r="DQ114" i="3"/>
  <c r="DS114" i="3" s="1"/>
  <c r="DI114" i="3"/>
  <c r="DK114" i="3" s="1"/>
  <c r="DA114" i="3"/>
  <c r="DC114" i="3" s="1"/>
  <c r="CS114" i="3"/>
  <c r="CU114" i="3" s="1"/>
  <c r="CM114" i="3"/>
  <c r="CK114" i="3"/>
  <c r="CC114" i="3"/>
  <c r="CE114" i="3" s="1"/>
  <c r="BU114" i="3"/>
  <c r="BW114" i="3" s="1"/>
  <c r="BM114" i="3"/>
  <c r="BO114" i="3" s="1"/>
  <c r="BE114" i="3"/>
  <c r="BG114" i="3" s="1"/>
  <c r="AW114" i="3"/>
  <c r="AY114" i="3" s="1"/>
  <c r="AO114" i="3"/>
  <c r="AQ114" i="3" s="1"/>
  <c r="AG114" i="3"/>
  <c r="AI114" i="3" s="1"/>
  <c r="AA114" i="3"/>
  <c r="F114" i="3"/>
  <c r="H114" i="3" s="1"/>
  <c r="H107" i="3"/>
  <c r="H108" i="3" s="1"/>
  <c r="H105" i="3" s="1"/>
  <c r="F97" i="3"/>
  <c r="H97" i="3" s="1"/>
  <c r="F96" i="3"/>
  <c r="H96" i="3" s="1"/>
  <c r="XBU95" i="3"/>
  <c r="XBW95" i="3" s="1"/>
  <c r="XBM95" i="3"/>
  <c r="XBO95" i="3" s="1"/>
  <c r="XBG95" i="3"/>
  <c r="XBE95" i="3"/>
  <c r="XAW95" i="3"/>
  <c r="XAY95" i="3" s="1"/>
  <c r="XAQ95" i="3"/>
  <c r="XAO95" i="3"/>
  <c r="XAI95" i="3"/>
  <c r="XAG95" i="3"/>
  <c r="WZY95" i="3"/>
  <c r="XAA95" i="3" s="1"/>
  <c r="WZQ95" i="3"/>
  <c r="WZS95" i="3" s="1"/>
  <c r="WZI95" i="3"/>
  <c r="WZK95" i="3" s="1"/>
  <c r="WZA95" i="3"/>
  <c r="WZC95" i="3" s="1"/>
  <c r="WYS95" i="3"/>
  <c r="WYU95" i="3" s="1"/>
  <c r="WYK95" i="3"/>
  <c r="WYM95" i="3" s="1"/>
  <c r="WYE95" i="3"/>
  <c r="WYC95" i="3"/>
  <c r="WXU95" i="3"/>
  <c r="WXW95" i="3" s="1"/>
  <c r="WXM95" i="3"/>
  <c r="WXO95" i="3" s="1"/>
  <c r="WXE95" i="3"/>
  <c r="WXG95" i="3" s="1"/>
  <c r="WWW95" i="3"/>
  <c r="WWY95" i="3" s="1"/>
  <c r="WWO95" i="3"/>
  <c r="WWQ95" i="3" s="1"/>
  <c r="WWG95" i="3"/>
  <c r="WWI95" i="3" s="1"/>
  <c r="WVY95" i="3"/>
  <c r="WWA95" i="3" s="1"/>
  <c r="WVQ95" i="3"/>
  <c r="WVS95" i="3" s="1"/>
  <c r="WVI95" i="3"/>
  <c r="WVK95" i="3" s="1"/>
  <c r="WVA95" i="3"/>
  <c r="WVC95" i="3" s="1"/>
  <c r="WUS95" i="3"/>
  <c r="WUU95" i="3" s="1"/>
  <c r="WUK95" i="3"/>
  <c r="WUM95" i="3" s="1"/>
  <c r="WUC95" i="3"/>
  <c r="WUE95" i="3" s="1"/>
  <c r="WTU95" i="3"/>
  <c r="WTW95" i="3" s="1"/>
  <c r="WTM95" i="3"/>
  <c r="WTO95" i="3" s="1"/>
  <c r="WTE95" i="3"/>
  <c r="WTG95" i="3" s="1"/>
  <c r="WSY95" i="3"/>
  <c r="WSW95" i="3"/>
  <c r="WSQ95" i="3"/>
  <c r="WSO95" i="3"/>
  <c r="WSI95" i="3"/>
  <c r="WSG95" i="3"/>
  <c r="WRY95" i="3"/>
  <c r="WSA95" i="3" s="1"/>
  <c r="WRQ95" i="3"/>
  <c r="WRS95" i="3" s="1"/>
  <c r="WRI95" i="3"/>
  <c r="WRK95" i="3" s="1"/>
  <c r="WRA95" i="3"/>
  <c r="WRC95" i="3" s="1"/>
  <c r="WQS95" i="3"/>
  <c r="WQU95" i="3" s="1"/>
  <c r="WQK95" i="3"/>
  <c r="WQM95" i="3" s="1"/>
  <c r="WQE95" i="3"/>
  <c r="WQC95" i="3"/>
  <c r="WPU95" i="3"/>
  <c r="WPW95" i="3" s="1"/>
  <c r="WPO95" i="3"/>
  <c r="WPM95" i="3"/>
  <c r="WPE95" i="3"/>
  <c r="WPG95" i="3" s="1"/>
  <c r="WOW95" i="3"/>
  <c r="WOY95" i="3" s="1"/>
  <c r="WOQ95" i="3"/>
  <c r="WOO95" i="3"/>
  <c r="WOG95" i="3"/>
  <c r="WOI95" i="3" s="1"/>
  <c r="WNY95" i="3"/>
  <c r="WOA95" i="3" s="1"/>
  <c r="WNQ95" i="3"/>
  <c r="WNS95" i="3" s="1"/>
  <c r="WNK95" i="3"/>
  <c r="WNI95" i="3"/>
  <c r="WNA95" i="3"/>
  <c r="WNC95" i="3" s="1"/>
  <c r="WMS95" i="3"/>
  <c r="WMU95" i="3" s="1"/>
  <c r="WMK95" i="3"/>
  <c r="WMM95" i="3" s="1"/>
  <c r="WMC95" i="3"/>
  <c r="WME95" i="3" s="1"/>
  <c r="WLU95" i="3"/>
  <c r="WLW95" i="3" s="1"/>
  <c r="WLM95" i="3"/>
  <c r="WLO95" i="3" s="1"/>
  <c r="WLE95" i="3"/>
  <c r="WLG95" i="3" s="1"/>
  <c r="WKW95" i="3"/>
  <c r="WKY95" i="3" s="1"/>
  <c r="WKQ95" i="3"/>
  <c r="WKO95" i="3"/>
  <c r="WKG95" i="3"/>
  <c r="WKI95" i="3" s="1"/>
  <c r="WJY95" i="3"/>
  <c r="WKA95" i="3" s="1"/>
  <c r="WJQ95" i="3"/>
  <c r="WJS95" i="3" s="1"/>
  <c r="WJI95" i="3"/>
  <c r="WJK95" i="3" s="1"/>
  <c r="WJA95" i="3"/>
  <c r="WJC95" i="3" s="1"/>
  <c r="WIS95" i="3"/>
  <c r="WIU95" i="3" s="1"/>
  <c r="WIK95" i="3"/>
  <c r="WIM95" i="3" s="1"/>
  <c r="WIC95" i="3"/>
  <c r="WIE95" i="3" s="1"/>
  <c r="WHW95" i="3"/>
  <c r="WHU95" i="3"/>
  <c r="WHO95" i="3"/>
  <c r="WHM95" i="3"/>
  <c r="WHE95" i="3"/>
  <c r="WHG95" i="3" s="1"/>
  <c r="WGW95" i="3"/>
  <c r="WGY95" i="3" s="1"/>
  <c r="WGO95" i="3"/>
  <c r="WGQ95" i="3" s="1"/>
  <c r="WGG95" i="3"/>
  <c r="WGI95" i="3" s="1"/>
  <c r="WFY95" i="3"/>
  <c r="WGA95" i="3" s="1"/>
  <c r="WFQ95" i="3"/>
  <c r="WFS95" i="3" s="1"/>
  <c r="WFI95" i="3"/>
  <c r="WFK95" i="3" s="1"/>
  <c r="WFA95" i="3"/>
  <c r="WFC95" i="3" s="1"/>
  <c r="WES95" i="3"/>
  <c r="WEU95" i="3" s="1"/>
  <c r="WEK95" i="3"/>
  <c r="WEM95" i="3" s="1"/>
  <c r="WEC95" i="3"/>
  <c r="WEE95" i="3" s="1"/>
  <c r="WDU95" i="3"/>
  <c r="WDW95" i="3" s="1"/>
  <c r="WDM95" i="3"/>
  <c r="WDO95" i="3" s="1"/>
  <c r="WDG95" i="3"/>
  <c r="WDE95" i="3"/>
  <c r="WCW95" i="3"/>
  <c r="WCY95" i="3" s="1"/>
  <c r="WCO95" i="3"/>
  <c r="WCQ95" i="3" s="1"/>
  <c r="WCG95" i="3"/>
  <c r="WCI95" i="3" s="1"/>
  <c r="WBY95" i="3"/>
  <c r="WCA95" i="3" s="1"/>
  <c r="WBQ95" i="3"/>
  <c r="WBS95" i="3" s="1"/>
  <c r="WBI95" i="3"/>
  <c r="WBK95" i="3" s="1"/>
  <c r="WBA95" i="3"/>
  <c r="WBC95" i="3" s="1"/>
  <c r="WAS95" i="3"/>
  <c r="WAU95" i="3" s="1"/>
  <c r="WAM95" i="3"/>
  <c r="WAK95" i="3"/>
  <c r="WAC95" i="3"/>
  <c r="WAE95" i="3" s="1"/>
  <c r="VZU95" i="3"/>
  <c r="VZW95" i="3" s="1"/>
  <c r="VZO95" i="3"/>
  <c r="VZM95" i="3"/>
  <c r="VZE95" i="3"/>
  <c r="VZG95" i="3" s="1"/>
  <c r="VYW95" i="3"/>
  <c r="VYY95" i="3" s="1"/>
  <c r="VYO95" i="3"/>
  <c r="VYQ95" i="3" s="1"/>
  <c r="VYG95" i="3"/>
  <c r="VYI95" i="3" s="1"/>
  <c r="VXY95" i="3"/>
  <c r="VYA95" i="3" s="1"/>
  <c r="VXQ95" i="3"/>
  <c r="VXS95" i="3" s="1"/>
  <c r="VXI95" i="3"/>
  <c r="VXK95" i="3" s="1"/>
  <c r="VXA95" i="3"/>
  <c r="VXC95" i="3" s="1"/>
  <c r="VWS95" i="3"/>
  <c r="VWU95" i="3" s="1"/>
  <c r="VWK95" i="3"/>
  <c r="VWM95" i="3" s="1"/>
  <c r="VWC95" i="3"/>
  <c r="VWE95" i="3" s="1"/>
  <c r="VVW95" i="3"/>
  <c r="VVU95" i="3"/>
  <c r="VVM95" i="3"/>
  <c r="VVO95" i="3" s="1"/>
  <c r="VVG95" i="3"/>
  <c r="VVE95" i="3"/>
  <c r="VUW95" i="3"/>
  <c r="VUY95" i="3" s="1"/>
  <c r="VUO95" i="3"/>
  <c r="VUQ95" i="3" s="1"/>
  <c r="VUG95" i="3"/>
  <c r="VUI95" i="3" s="1"/>
  <c r="VTY95" i="3"/>
  <c r="VUA95" i="3" s="1"/>
  <c r="VTQ95" i="3"/>
  <c r="VTS95" i="3" s="1"/>
  <c r="VTI95" i="3"/>
  <c r="VTK95" i="3" s="1"/>
  <c r="VTA95" i="3"/>
  <c r="VTC95" i="3" s="1"/>
  <c r="VSS95" i="3"/>
  <c r="VSU95" i="3" s="1"/>
  <c r="VSM95" i="3"/>
  <c r="VSK95" i="3"/>
  <c r="VSC95" i="3"/>
  <c r="VSE95" i="3" s="1"/>
  <c r="VRU95" i="3"/>
  <c r="VRW95" i="3" s="1"/>
  <c r="VRM95" i="3"/>
  <c r="VRO95" i="3" s="1"/>
  <c r="VRE95" i="3"/>
  <c r="VRG95" i="3" s="1"/>
  <c r="VQW95" i="3"/>
  <c r="VQY95" i="3" s="1"/>
  <c r="VQO95" i="3"/>
  <c r="VQQ95" i="3" s="1"/>
  <c r="VQG95" i="3"/>
  <c r="VQI95" i="3" s="1"/>
  <c r="VPY95" i="3"/>
  <c r="VQA95" i="3" s="1"/>
  <c r="VPS95" i="3"/>
  <c r="VPQ95" i="3"/>
  <c r="VPI95" i="3"/>
  <c r="VPK95" i="3" s="1"/>
  <c r="VPA95" i="3"/>
  <c r="VPC95" i="3" s="1"/>
  <c r="VOS95" i="3"/>
  <c r="VOU95" i="3" s="1"/>
  <c r="VOM95" i="3"/>
  <c r="VOK95" i="3"/>
  <c r="VOC95" i="3"/>
  <c r="VOE95" i="3" s="1"/>
  <c r="VNU95" i="3"/>
  <c r="VNW95" i="3" s="1"/>
  <c r="VNM95" i="3"/>
  <c r="VNO95" i="3" s="1"/>
  <c r="VNE95" i="3"/>
  <c r="VNG95" i="3" s="1"/>
  <c r="VMW95" i="3"/>
  <c r="VMY95" i="3" s="1"/>
  <c r="VMO95" i="3"/>
  <c r="VMQ95" i="3" s="1"/>
  <c r="VMG95" i="3"/>
  <c r="VMI95" i="3" s="1"/>
  <c r="VMA95" i="3"/>
  <c r="VLY95" i="3"/>
  <c r="VLS95" i="3"/>
  <c r="VLQ95" i="3"/>
  <c r="VLI95" i="3"/>
  <c r="VLK95" i="3" s="1"/>
  <c r="VLA95" i="3"/>
  <c r="VLC95" i="3" s="1"/>
  <c r="VKS95" i="3"/>
  <c r="VKU95" i="3" s="1"/>
  <c r="VKK95" i="3"/>
  <c r="VKM95" i="3" s="1"/>
  <c r="VKC95" i="3"/>
  <c r="VKE95" i="3" s="1"/>
  <c r="VJW95" i="3"/>
  <c r="VJU95" i="3"/>
  <c r="VJM95" i="3"/>
  <c r="VJO95" i="3" s="1"/>
  <c r="VJE95" i="3"/>
  <c r="VJG95" i="3" s="1"/>
  <c r="VIW95" i="3"/>
  <c r="VIY95" i="3" s="1"/>
  <c r="VIO95" i="3"/>
  <c r="VIQ95" i="3" s="1"/>
  <c r="VIG95" i="3"/>
  <c r="VII95" i="3" s="1"/>
  <c r="VHY95" i="3"/>
  <c r="VIA95" i="3" s="1"/>
  <c r="VHS95" i="3"/>
  <c r="VHQ95" i="3"/>
  <c r="VHI95" i="3"/>
  <c r="VHK95" i="3" s="1"/>
  <c r="VHC95" i="3"/>
  <c r="VHA95" i="3"/>
  <c r="VGS95" i="3"/>
  <c r="VGU95" i="3" s="1"/>
  <c r="VGK95" i="3"/>
  <c r="VGM95" i="3" s="1"/>
  <c r="VGC95" i="3"/>
  <c r="VGE95" i="3" s="1"/>
  <c r="VFU95" i="3"/>
  <c r="VFW95" i="3" s="1"/>
  <c r="VFM95" i="3"/>
  <c r="VFO95" i="3" s="1"/>
  <c r="VFE95" i="3"/>
  <c r="VFG95" i="3" s="1"/>
  <c r="VEW95" i="3"/>
  <c r="VEY95" i="3" s="1"/>
  <c r="VEQ95" i="3"/>
  <c r="VEO95" i="3"/>
  <c r="VEG95" i="3"/>
  <c r="VEI95" i="3" s="1"/>
  <c r="VDY95" i="3"/>
  <c r="VEA95" i="3" s="1"/>
  <c r="VDQ95" i="3"/>
  <c r="VDS95" i="3" s="1"/>
  <c r="VDI95" i="3"/>
  <c r="VDK95" i="3" s="1"/>
  <c r="VDA95" i="3"/>
  <c r="VDC95" i="3" s="1"/>
  <c r="VCS95" i="3"/>
  <c r="VCU95" i="3" s="1"/>
  <c r="VCM95" i="3"/>
  <c r="VCK95" i="3"/>
  <c r="VCC95" i="3"/>
  <c r="VCE95" i="3" s="1"/>
  <c r="VBW95" i="3"/>
  <c r="VBU95" i="3"/>
  <c r="VBO95" i="3"/>
  <c r="VBM95" i="3"/>
  <c r="VBE95" i="3"/>
  <c r="VBG95" i="3" s="1"/>
  <c r="VAW95" i="3"/>
  <c r="VAY95" i="3" s="1"/>
  <c r="VAO95" i="3"/>
  <c r="VAQ95" i="3" s="1"/>
  <c r="VAG95" i="3"/>
  <c r="VAI95" i="3" s="1"/>
  <c r="UZY95" i="3"/>
  <c r="VAA95" i="3" s="1"/>
  <c r="UZQ95" i="3"/>
  <c r="UZS95" i="3" s="1"/>
  <c r="UZI95" i="3"/>
  <c r="UZK95" i="3" s="1"/>
  <c r="UZA95" i="3"/>
  <c r="UZC95" i="3" s="1"/>
  <c r="UYU95" i="3"/>
  <c r="UYS95" i="3"/>
  <c r="UYK95" i="3"/>
  <c r="UYM95" i="3" s="1"/>
  <c r="UYC95" i="3"/>
  <c r="UYE95" i="3" s="1"/>
  <c r="UXU95" i="3"/>
  <c r="UXW95" i="3" s="1"/>
  <c r="UXM95" i="3"/>
  <c r="UXO95" i="3" s="1"/>
  <c r="UXG95" i="3"/>
  <c r="UXE95" i="3"/>
  <c r="UWW95" i="3"/>
  <c r="UWY95" i="3" s="1"/>
  <c r="UWQ95" i="3"/>
  <c r="UWO95" i="3"/>
  <c r="UWI95" i="3"/>
  <c r="UWG95" i="3"/>
  <c r="UVY95" i="3"/>
  <c r="UWA95" i="3" s="1"/>
  <c r="UVQ95" i="3"/>
  <c r="UVS95" i="3" s="1"/>
  <c r="UVK95" i="3"/>
  <c r="UVI95" i="3"/>
  <c r="UVA95" i="3"/>
  <c r="UVC95" i="3" s="1"/>
  <c r="UUS95" i="3"/>
  <c r="UUU95" i="3" s="1"/>
  <c r="UUK95" i="3"/>
  <c r="UUM95" i="3" s="1"/>
  <c r="UUC95" i="3"/>
  <c r="UUE95" i="3" s="1"/>
  <c r="UTU95" i="3"/>
  <c r="UTW95" i="3" s="1"/>
  <c r="UTM95" i="3"/>
  <c r="UTO95" i="3" s="1"/>
  <c r="UTE95" i="3"/>
  <c r="UTG95" i="3" s="1"/>
  <c r="USW95" i="3"/>
  <c r="USY95" i="3" s="1"/>
  <c r="USO95" i="3"/>
  <c r="USQ95" i="3" s="1"/>
  <c r="USI95" i="3"/>
  <c r="USG95" i="3"/>
  <c r="URY95" i="3"/>
  <c r="USA95" i="3" s="1"/>
  <c r="URQ95" i="3"/>
  <c r="URS95" i="3" s="1"/>
  <c r="URI95" i="3"/>
  <c r="URK95" i="3" s="1"/>
  <c r="URC95" i="3"/>
  <c r="URA95" i="3"/>
  <c r="UQS95" i="3"/>
  <c r="UQU95" i="3" s="1"/>
  <c r="UQM95" i="3"/>
  <c r="UQK95" i="3"/>
  <c r="UQC95" i="3"/>
  <c r="UQE95" i="3" s="1"/>
  <c r="UPW95" i="3"/>
  <c r="UPU95" i="3"/>
  <c r="UPM95" i="3"/>
  <c r="UPO95" i="3" s="1"/>
  <c r="UPE95" i="3"/>
  <c r="UPG95" i="3" s="1"/>
  <c r="UOW95" i="3"/>
  <c r="UOY95" i="3" s="1"/>
  <c r="UOQ95" i="3"/>
  <c r="UOO95" i="3"/>
  <c r="UOG95" i="3"/>
  <c r="UOI95" i="3" s="1"/>
  <c r="UNY95" i="3"/>
  <c r="UOA95" i="3" s="1"/>
  <c r="UNS95" i="3"/>
  <c r="UNQ95" i="3"/>
  <c r="UNI95" i="3"/>
  <c r="UNK95" i="3" s="1"/>
  <c r="UNC95" i="3"/>
  <c r="UNA95" i="3"/>
  <c r="UMS95" i="3"/>
  <c r="UMU95" i="3" s="1"/>
  <c r="UMK95" i="3"/>
  <c r="UMM95" i="3" s="1"/>
  <c r="UMC95" i="3"/>
  <c r="UME95" i="3" s="1"/>
  <c r="ULU95" i="3"/>
  <c r="ULW95" i="3" s="1"/>
  <c r="ULM95" i="3"/>
  <c r="ULO95" i="3" s="1"/>
  <c r="ULE95" i="3"/>
  <c r="ULG95" i="3" s="1"/>
  <c r="UKY95" i="3"/>
  <c r="UKW95" i="3"/>
  <c r="UKO95" i="3"/>
  <c r="UKQ95" i="3" s="1"/>
  <c r="UKG95" i="3"/>
  <c r="UKI95" i="3" s="1"/>
  <c r="UJY95" i="3"/>
  <c r="UKA95" i="3" s="1"/>
  <c r="UJQ95" i="3"/>
  <c r="UJS95" i="3" s="1"/>
  <c r="UJI95" i="3"/>
  <c r="UJK95" i="3" s="1"/>
  <c r="UJA95" i="3"/>
  <c r="UJC95" i="3" s="1"/>
  <c r="UIS95" i="3"/>
  <c r="UIU95" i="3" s="1"/>
  <c r="UIK95" i="3"/>
  <c r="UIM95" i="3" s="1"/>
  <c r="UIE95" i="3"/>
  <c r="UIC95" i="3"/>
  <c r="UHU95" i="3"/>
  <c r="UHW95" i="3" s="1"/>
  <c r="UHM95" i="3"/>
  <c r="UHO95" i="3" s="1"/>
  <c r="UHE95" i="3"/>
  <c r="UHG95" i="3" s="1"/>
  <c r="UGW95" i="3"/>
  <c r="UGY95" i="3" s="1"/>
  <c r="UGO95" i="3"/>
  <c r="UGQ95" i="3" s="1"/>
  <c r="UGG95" i="3"/>
  <c r="UGI95" i="3" s="1"/>
  <c r="UFY95" i="3"/>
  <c r="UGA95" i="3" s="1"/>
  <c r="UFQ95" i="3"/>
  <c r="UFS95" i="3" s="1"/>
  <c r="UFK95" i="3"/>
  <c r="UFI95" i="3"/>
  <c r="UFA95" i="3"/>
  <c r="UFC95" i="3" s="1"/>
  <c r="UEU95" i="3"/>
  <c r="UES95" i="3"/>
  <c r="UEM95" i="3"/>
  <c r="UEK95" i="3"/>
  <c r="UEC95" i="3"/>
  <c r="UEE95" i="3" s="1"/>
  <c r="UDU95" i="3"/>
  <c r="UDW95" i="3" s="1"/>
  <c r="UDM95" i="3"/>
  <c r="UDO95" i="3" s="1"/>
  <c r="UDE95" i="3"/>
  <c r="UDG95" i="3" s="1"/>
  <c r="UCW95" i="3"/>
  <c r="UCY95" i="3" s="1"/>
  <c r="UCO95" i="3"/>
  <c r="UCQ95" i="3" s="1"/>
  <c r="UCG95" i="3"/>
  <c r="UCI95" i="3" s="1"/>
  <c r="UBY95" i="3"/>
  <c r="UCA95" i="3" s="1"/>
  <c r="UBQ95" i="3"/>
  <c r="UBS95" i="3" s="1"/>
  <c r="UBI95" i="3"/>
  <c r="UBK95" i="3" s="1"/>
  <c r="UBA95" i="3"/>
  <c r="UBC95" i="3" s="1"/>
  <c r="UAS95" i="3"/>
  <c r="UAU95" i="3" s="1"/>
  <c r="UAK95" i="3"/>
  <c r="UAM95" i="3" s="1"/>
  <c r="UAC95" i="3"/>
  <c r="UAE95" i="3" s="1"/>
  <c r="TZU95" i="3"/>
  <c r="TZW95" i="3" s="1"/>
  <c r="TZM95" i="3"/>
  <c r="TZO95" i="3" s="1"/>
  <c r="TZG95" i="3"/>
  <c r="TZE95" i="3"/>
  <c r="TYW95" i="3"/>
  <c r="TYY95" i="3" s="1"/>
  <c r="TYO95" i="3"/>
  <c r="TYQ95" i="3" s="1"/>
  <c r="TYG95" i="3"/>
  <c r="TYI95" i="3" s="1"/>
  <c r="TXY95" i="3"/>
  <c r="TYA95" i="3" s="1"/>
  <c r="TXQ95" i="3"/>
  <c r="TXS95" i="3" s="1"/>
  <c r="TXI95" i="3"/>
  <c r="TXK95" i="3" s="1"/>
  <c r="TXA95" i="3"/>
  <c r="TXC95" i="3" s="1"/>
  <c r="TWS95" i="3"/>
  <c r="TWU95" i="3" s="1"/>
  <c r="TWK95" i="3"/>
  <c r="TWM95" i="3" s="1"/>
  <c r="TWE95" i="3"/>
  <c r="TWC95" i="3"/>
  <c r="TVU95" i="3"/>
  <c r="TVW95" i="3" s="1"/>
  <c r="TVM95" i="3"/>
  <c r="TVO95" i="3" s="1"/>
  <c r="TVE95" i="3"/>
  <c r="TVG95" i="3" s="1"/>
  <c r="TUW95" i="3"/>
  <c r="TUY95" i="3" s="1"/>
  <c r="TUO95" i="3"/>
  <c r="TUQ95" i="3" s="1"/>
  <c r="TUG95" i="3"/>
  <c r="TUI95" i="3" s="1"/>
  <c r="TTY95" i="3"/>
  <c r="TUA95" i="3" s="1"/>
  <c r="TTQ95" i="3"/>
  <c r="TTS95" i="3" s="1"/>
  <c r="TTK95" i="3"/>
  <c r="TTI95" i="3"/>
  <c r="TTA95" i="3"/>
  <c r="TTC95" i="3" s="1"/>
  <c r="TSS95" i="3"/>
  <c r="TSU95" i="3" s="1"/>
  <c r="TSK95" i="3"/>
  <c r="TSM95" i="3" s="1"/>
  <c r="TSC95" i="3"/>
  <c r="TSE95" i="3" s="1"/>
  <c r="TRU95" i="3"/>
  <c r="TRW95" i="3" s="1"/>
  <c r="TRM95" i="3"/>
  <c r="TRO95" i="3" s="1"/>
  <c r="TRE95" i="3"/>
  <c r="TRG95" i="3" s="1"/>
  <c r="TQW95" i="3"/>
  <c r="TQY95" i="3" s="1"/>
  <c r="TQO95" i="3"/>
  <c r="TQQ95" i="3" s="1"/>
  <c r="TQG95" i="3"/>
  <c r="TQI95" i="3" s="1"/>
  <c r="TQA95" i="3"/>
  <c r="TPY95" i="3"/>
  <c r="TPQ95" i="3"/>
  <c r="TPS95" i="3" s="1"/>
  <c r="TPI95" i="3"/>
  <c r="TPK95" i="3" s="1"/>
  <c r="TPC95" i="3"/>
  <c r="TPA95" i="3"/>
  <c r="TOS95" i="3"/>
  <c r="TOU95" i="3" s="1"/>
  <c r="TOK95" i="3"/>
  <c r="TOM95" i="3" s="1"/>
  <c r="TOE95" i="3"/>
  <c r="TOC95" i="3"/>
  <c r="TNU95" i="3"/>
  <c r="TNW95" i="3" s="1"/>
  <c r="TNM95" i="3"/>
  <c r="TNO95" i="3" s="1"/>
  <c r="TNE95" i="3"/>
  <c r="TNG95" i="3" s="1"/>
  <c r="TMW95" i="3"/>
  <c r="TMY95" i="3" s="1"/>
  <c r="TMO95" i="3"/>
  <c r="TMQ95" i="3" s="1"/>
  <c r="TMG95" i="3"/>
  <c r="TMI95" i="3" s="1"/>
  <c r="TLY95" i="3"/>
  <c r="TMA95" i="3" s="1"/>
  <c r="TLS95" i="3"/>
  <c r="TLQ95" i="3"/>
  <c r="TLI95" i="3"/>
  <c r="TLK95" i="3" s="1"/>
  <c r="TLA95" i="3"/>
  <c r="TLC95" i="3" s="1"/>
  <c r="TKS95" i="3"/>
  <c r="TKU95" i="3" s="1"/>
  <c r="TKK95" i="3"/>
  <c r="TKM95" i="3" s="1"/>
  <c r="TKC95" i="3"/>
  <c r="TKE95" i="3" s="1"/>
  <c r="TJU95" i="3"/>
  <c r="TJW95" i="3" s="1"/>
  <c r="TJM95" i="3"/>
  <c r="TJO95" i="3" s="1"/>
  <c r="TJE95" i="3"/>
  <c r="TJG95" i="3" s="1"/>
  <c r="TIW95" i="3"/>
  <c r="TIY95" i="3" s="1"/>
  <c r="TIO95" i="3"/>
  <c r="TIQ95" i="3" s="1"/>
  <c r="TIG95" i="3"/>
  <c r="TII95" i="3" s="1"/>
  <c r="THY95" i="3"/>
  <c r="TIA95" i="3" s="1"/>
  <c r="THQ95" i="3"/>
  <c r="THS95" i="3" s="1"/>
  <c r="THK95" i="3"/>
  <c r="THI95" i="3"/>
  <c r="THA95" i="3"/>
  <c r="THC95" i="3" s="1"/>
  <c r="TGS95" i="3"/>
  <c r="TGU95" i="3" s="1"/>
  <c r="TGK95" i="3"/>
  <c r="TGM95" i="3" s="1"/>
  <c r="TGE95" i="3"/>
  <c r="TGC95" i="3"/>
  <c r="TFU95" i="3"/>
  <c r="TFW95" i="3" s="1"/>
  <c r="TFM95" i="3"/>
  <c r="TFO95" i="3" s="1"/>
  <c r="TFE95" i="3"/>
  <c r="TFG95" i="3" s="1"/>
  <c r="TEW95" i="3"/>
  <c r="TEY95" i="3" s="1"/>
  <c r="TEQ95" i="3"/>
  <c r="TEO95" i="3"/>
  <c r="TEG95" i="3"/>
  <c r="TEI95" i="3" s="1"/>
  <c r="TDY95" i="3"/>
  <c r="TEA95" i="3" s="1"/>
  <c r="TDQ95" i="3"/>
  <c r="TDS95" i="3" s="1"/>
  <c r="TDI95" i="3"/>
  <c r="TDK95" i="3" s="1"/>
  <c r="TDA95" i="3"/>
  <c r="TDC95" i="3" s="1"/>
  <c r="TCS95" i="3"/>
  <c r="TCU95" i="3" s="1"/>
  <c r="TCK95" i="3"/>
  <c r="TCM95" i="3" s="1"/>
  <c r="TCC95" i="3"/>
  <c r="TCE95" i="3" s="1"/>
  <c r="TBU95" i="3"/>
  <c r="TBW95" i="3" s="1"/>
  <c r="TBM95" i="3"/>
  <c r="TBO95" i="3" s="1"/>
  <c r="TBE95" i="3"/>
  <c r="TBG95" i="3" s="1"/>
  <c r="TAW95" i="3"/>
  <c r="TAY95" i="3" s="1"/>
  <c r="TAO95" i="3"/>
  <c r="TAQ95" i="3" s="1"/>
  <c r="TAG95" i="3"/>
  <c r="TAI95" i="3" s="1"/>
  <c r="SZY95" i="3"/>
  <c r="TAA95" i="3" s="1"/>
  <c r="SZQ95" i="3"/>
  <c r="SZS95" i="3" s="1"/>
  <c r="SZK95" i="3"/>
  <c r="SZI95" i="3"/>
  <c r="SZA95" i="3"/>
  <c r="SZC95" i="3" s="1"/>
  <c r="SYS95" i="3"/>
  <c r="SYU95" i="3" s="1"/>
  <c r="SYK95" i="3"/>
  <c r="SYM95" i="3" s="1"/>
  <c r="SYE95" i="3"/>
  <c r="SYC95" i="3"/>
  <c r="SXU95" i="3"/>
  <c r="SXW95" i="3" s="1"/>
  <c r="SXM95" i="3"/>
  <c r="SXO95" i="3" s="1"/>
  <c r="SXE95" i="3"/>
  <c r="SXG95" i="3" s="1"/>
  <c r="SWW95" i="3"/>
  <c r="SWY95" i="3" s="1"/>
  <c r="SWQ95" i="3"/>
  <c r="SWO95" i="3"/>
  <c r="SWG95" i="3"/>
  <c r="SWI95" i="3" s="1"/>
  <c r="SVY95" i="3"/>
  <c r="SWA95" i="3" s="1"/>
  <c r="SVQ95" i="3"/>
  <c r="SVS95" i="3" s="1"/>
  <c r="SVI95" i="3"/>
  <c r="SVK95" i="3" s="1"/>
  <c r="SVA95" i="3"/>
  <c r="SVC95" i="3" s="1"/>
  <c r="SUU95" i="3"/>
  <c r="SUS95" i="3"/>
  <c r="SUK95" i="3"/>
  <c r="SUM95" i="3" s="1"/>
  <c r="SUC95" i="3"/>
  <c r="SUE95" i="3" s="1"/>
  <c r="STW95" i="3"/>
  <c r="STU95" i="3"/>
  <c r="STM95" i="3"/>
  <c r="STO95" i="3" s="1"/>
  <c r="STE95" i="3"/>
  <c r="STG95" i="3" s="1"/>
  <c r="SSW95" i="3"/>
  <c r="SSY95" i="3" s="1"/>
  <c r="SSQ95" i="3"/>
  <c r="SSO95" i="3"/>
  <c r="SSG95" i="3"/>
  <c r="SSI95" i="3" s="1"/>
  <c r="SRY95" i="3"/>
  <c r="SSA95" i="3" s="1"/>
  <c r="SRQ95" i="3"/>
  <c r="SRS95" i="3" s="1"/>
  <c r="SRI95" i="3"/>
  <c r="SRK95" i="3" s="1"/>
  <c r="SRA95" i="3"/>
  <c r="SRC95" i="3" s="1"/>
  <c r="SQS95" i="3"/>
  <c r="SQU95" i="3" s="1"/>
  <c r="SQK95" i="3"/>
  <c r="SQM95" i="3" s="1"/>
  <c r="SQE95" i="3"/>
  <c r="SQC95" i="3"/>
  <c r="SPW95" i="3"/>
  <c r="SPU95" i="3"/>
  <c r="SPM95" i="3"/>
  <c r="SPO95" i="3" s="1"/>
  <c r="SPG95" i="3"/>
  <c r="SPE95" i="3"/>
  <c r="SOW95" i="3"/>
  <c r="SOY95" i="3" s="1"/>
  <c r="SOO95" i="3"/>
  <c r="SOQ95" i="3" s="1"/>
  <c r="SOG95" i="3"/>
  <c r="SOI95" i="3" s="1"/>
  <c r="SNY95" i="3"/>
  <c r="SOA95" i="3" s="1"/>
  <c r="SNQ95" i="3"/>
  <c r="SNS95" i="3" s="1"/>
  <c r="SNI95" i="3"/>
  <c r="SNK95" i="3" s="1"/>
  <c r="SNA95" i="3"/>
  <c r="SNC95" i="3" s="1"/>
  <c r="SMS95" i="3"/>
  <c r="SMU95" i="3" s="1"/>
  <c r="SMK95" i="3"/>
  <c r="SMM95" i="3" s="1"/>
  <c r="SMC95" i="3"/>
  <c r="SME95" i="3" s="1"/>
  <c r="SLW95" i="3"/>
  <c r="SLU95" i="3"/>
  <c r="SLM95" i="3"/>
  <c r="SLO95" i="3" s="1"/>
  <c r="SLE95" i="3"/>
  <c r="SLG95" i="3" s="1"/>
  <c r="SKW95" i="3"/>
  <c r="SKY95" i="3" s="1"/>
  <c r="SKQ95" i="3"/>
  <c r="SKO95" i="3"/>
  <c r="SKG95" i="3"/>
  <c r="SKI95" i="3" s="1"/>
  <c r="SJY95" i="3"/>
  <c r="SKA95" i="3" s="1"/>
  <c r="SJQ95" i="3"/>
  <c r="SJS95" i="3" s="1"/>
  <c r="SJK95" i="3"/>
  <c r="SJI95" i="3"/>
  <c r="SJA95" i="3"/>
  <c r="SJC95" i="3" s="1"/>
  <c r="SIS95" i="3"/>
  <c r="SIU95" i="3" s="1"/>
  <c r="SIK95" i="3"/>
  <c r="SIM95" i="3" s="1"/>
  <c r="SIE95" i="3"/>
  <c r="SIC95" i="3"/>
  <c r="SHW95" i="3"/>
  <c r="SHU95" i="3"/>
  <c r="SHM95" i="3"/>
  <c r="SHO95" i="3" s="1"/>
  <c r="SHE95" i="3"/>
  <c r="SHG95" i="3" s="1"/>
  <c r="SGW95" i="3"/>
  <c r="SGY95" i="3" s="1"/>
  <c r="SGO95" i="3"/>
  <c r="SGQ95" i="3" s="1"/>
  <c r="SGG95" i="3"/>
  <c r="SGI95" i="3" s="1"/>
  <c r="SFY95" i="3"/>
  <c r="SGA95" i="3" s="1"/>
  <c r="SFQ95" i="3"/>
  <c r="SFS95" i="3" s="1"/>
  <c r="SFI95" i="3"/>
  <c r="SFK95" i="3" s="1"/>
  <c r="SFC95" i="3"/>
  <c r="SFA95" i="3"/>
  <c r="SES95" i="3"/>
  <c r="SEU95" i="3" s="1"/>
  <c r="SEM95" i="3"/>
  <c r="SEK95" i="3"/>
  <c r="SEC95" i="3"/>
  <c r="SEE95" i="3" s="1"/>
  <c r="SDU95" i="3"/>
  <c r="SDW95" i="3" s="1"/>
  <c r="SDM95" i="3"/>
  <c r="SDO95" i="3" s="1"/>
  <c r="SDE95" i="3"/>
  <c r="SDG95" i="3" s="1"/>
  <c r="SCW95" i="3"/>
  <c r="SCY95" i="3" s="1"/>
  <c r="SCO95" i="3"/>
  <c r="SCQ95" i="3" s="1"/>
  <c r="SCG95" i="3"/>
  <c r="SCI95" i="3" s="1"/>
  <c r="SBY95" i="3"/>
  <c r="SCA95" i="3" s="1"/>
  <c r="SBQ95" i="3"/>
  <c r="SBS95" i="3" s="1"/>
  <c r="SBI95" i="3"/>
  <c r="SBK95" i="3" s="1"/>
  <c r="SBA95" i="3"/>
  <c r="SBC95" i="3" s="1"/>
  <c r="SAS95" i="3"/>
  <c r="SAU95" i="3" s="1"/>
  <c r="SAK95" i="3"/>
  <c r="SAM95" i="3" s="1"/>
  <c r="SAE95" i="3"/>
  <c r="SAC95" i="3"/>
  <c r="RZU95" i="3"/>
  <c r="RZW95" i="3" s="1"/>
  <c r="RZM95" i="3"/>
  <c r="RZO95" i="3" s="1"/>
  <c r="RZE95" i="3"/>
  <c r="RZG95" i="3" s="1"/>
  <c r="RYW95" i="3"/>
  <c r="RYY95" i="3" s="1"/>
  <c r="RYO95" i="3"/>
  <c r="RYQ95" i="3" s="1"/>
  <c r="RYG95" i="3"/>
  <c r="RYI95" i="3" s="1"/>
  <c r="RXY95" i="3"/>
  <c r="RYA95" i="3" s="1"/>
  <c r="RXS95" i="3"/>
  <c r="RXQ95" i="3"/>
  <c r="RXI95" i="3"/>
  <c r="RXK95" i="3" s="1"/>
  <c r="RXC95" i="3"/>
  <c r="RXA95" i="3"/>
  <c r="RWS95" i="3"/>
  <c r="RWU95" i="3" s="1"/>
  <c r="RWK95" i="3"/>
  <c r="RWM95" i="3" s="1"/>
  <c r="RWC95" i="3"/>
  <c r="RWE95" i="3" s="1"/>
  <c r="RVW95" i="3"/>
  <c r="RVU95" i="3"/>
  <c r="RVM95" i="3"/>
  <c r="RVO95" i="3" s="1"/>
  <c r="RVE95" i="3"/>
  <c r="RVG95" i="3" s="1"/>
  <c r="RUW95" i="3"/>
  <c r="RUY95" i="3" s="1"/>
  <c r="RUO95" i="3"/>
  <c r="RUQ95" i="3" s="1"/>
  <c r="RUG95" i="3"/>
  <c r="RUI95" i="3" s="1"/>
  <c r="RTY95" i="3"/>
  <c r="RUA95" i="3" s="1"/>
  <c r="RTQ95" i="3"/>
  <c r="RTS95" i="3" s="1"/>
  <c r="RTK95" i="3"/>
  <c r="RTI95" i="3"/>
  <c r="RTC95" i="3"/>
  <c r="RTA95" i="3"/>
  <c r="RSS95" i="3"/>
  <c r="RSU95" i="3" s="1"/>
  <c r="RSK95" i="3"/>
  <c r="RSM95" i="3" s="1"/>
  <c r="RSC95" i="3"/>
  <c r="RSE95" i="3" s="1"/>
  <c r="RRU95" i="3"/>
  <c r="RRW95" i="3" s="1"/>
  <c r="RRM95" i="3"/>
  <c r="RRO95" i="3" s="1"/>
  <c r="RRE95" i="3"/>
  <c r="RRG95" i="3" s="1"/>
  <c r="RQW95" i="3"/>
  <c r="RQY95" i="3" s="1"/>
  <c r="RQO95" i="3"/>
  <c r="RQQ95" i="3" s="1"/>
  <c r="RQI95" i="3"/>
  <c r="RQG95" i="3"/>
  <c r="RQA95" i="3"/>
  <c r="RPY95" i="3"/>
  <c r="RPQ95" i="3"/>
  <c r="RPS95" i="3" s="1"/>
  <c r="RPI95" i="3"/>
  <c r="RPK95" i="3" s="1"/>
  <c r="RPA95" i="3"/>
  <c r="RPC95" i="3" s="1"/>
  <c r="ROS95" i="3"/>
  <c r="ROU95" i="3" s="1"/>
  <c r="ROK95" i="3"/>
  <c r="ROM95" i="3" s="1"/>
  <c r="ROC95" i="3"/>
  <c r="ROE95" i="3" s="1"/>
  <c r="RNU95" i="3"/>
  <c r="RNW95" i="3" s="1"/>
  <c r="RNM95" i="3"/>
  <c r="RNO95" i="3" s="1"/>
  <c r="RNE95" i="3"/>
  <c r="RNG95" i="3" s="1"/>
  <c r="RMW95" i="3"/>
  <c r="RMY95" i="3" s="1"/>
  <c r="RMO95" i="3"/>
  <c r="RMQ95" i="3" s="1"/>
  <c r="RMG95" i="3"/>
  <c r="RMI95" i="3" s="1"/>
  <c r="RLY95" i="3"/>
  <c r="RMA95" i="3" s="1"/>
  <c r="RLQ95" i="3"/>
  <c r="RLS95" i="3" s="1"/>
  <c r="RLI95" i="3"/>
  <c r="RLK95" i="3" s="1"/>
  <c r="RLA95" i="3"/>
  <c r="RLC95" i="3" s="1"/>
  <c r="RKS95" i="3"/>
  <c r="RKU95" i="3" s="1"/>
  <c r="RKK95" i="3"/>
  <c r="RKM95" i="3" s="1"/>
  <c r="RKC95" i="3"/>
  <c r="RKE95" i="3" s="1"/>
  <c r="RJU95" i="3"/>
  <c r="RJW95" i="3" s="1"/>
  <c r="RJM95" i="3"/>
  <c r="RJO95" i="3" s="1"/>
  <c r="RJE95" i="3"/>
  <c r="RJG95" i="3" s="1"/>
  <c r="RIY95" i="3"/>
  <c r="RIW95" i="3"/>
  <c r="RIO95" i="3"/>
  <c r="RIQ95" i="3" s="1"/>
  <c r="RIG95" i="3"/>
  <c r="RII95" i="3" s="1"/>
  <c r="RIA95" i="3"/>
  <c r="RHY95" i="3"/>
  <c r="RHQ95" i="3"/>
  <c r="RHS95" i="3" s="1"/>
  <c r="RHI95" i="3"/>
  <c r="RHK95" i="3" s="1"/>
  <c r="RHA95" i="3"/>
  <c r="RHC95" i="3" s="1"/>
  <c r="RGS95" i="3"/>
  <c r="RGU95" i="3" s="1"/>
  <c r="RGK95" i="3"/>
  <c r="RGM95" i="3" s="1"/>
  <c r="RGC95" i="3"/>
  <c r="RGE95" i="3" s="1"/>
  <c r="RFU95" i="3"/>
  <c r="RFW95" i="3" s="1"/>
  <c r="RFM95" i="3"/>
  <c r="RFO95" i="3" s="1"/>
  <c r="RFE95" i="3"/>
  <c r="RFG95" i="3" s="1"/>
  <c r="REY95" i="3"/>
  <c r="REW95" i="3"/>
  <c r="REO95" i="3"/>
  <c r="REQ95" i="3" s="1"/>
  <c r="REG95" i="3"/>
  <c r="REI95" i="3" s="1"/>
  <c r="REA95" i="3"/>
  <c r="RDY95" i="3"/>
  <c r="RDQ95" i="3"/>
  <c r="RDS95" i="3" s="1"/>
  <c r="RDI95" i="3"/>
  <c r="RDK95" i="3" s="1"/>
  <c r="RDA95" i="3"/>
  <c r="RDC95" i="3" s="1"/>
  <c r="RCS95" i="3"/>
  <c r="RCU95" i="3" s="1"/>
  <c r="RCK95" i="3"/>
  <c r="RCM95" i="3" s="1"/>
  <c r="RCC95" i="3"/>
  <c r="RCE95" i="3" s="1"/>
  <c r="RBU95" i="3"/>
  <c r="RBW95" i="3" s="1"/>
  <c r="RBM95" i="3"/>
  <c r="RBO95" i="3" s="1"/>
  <c r="RBE95" i="3"/>
  <c r="RBG95" i="3" s="1"/>
  <c r="RAY95" i="3"/>
  <c r="RAW95" i="3"/>
  <c r="RAO95" i="3"/>
  <c r="RAQ95" i="3" s="1"/>
  <c r="RAG95" i="3"/>
  <c r="RAI95" i="3" s="1"/>
  <c r="QZY95" i="3"/>
  <c r="RAA95" i="3" s="1"/>
  <c r="QZQ95" i="3"/>
  <c r="QZS95" i="3" s="1"/>
  <c r="QZI95" i="3"/>
  <c r="QZK95" i="3" s="1"/>
  <c r="QZA95" i="3"/>
  <c r="QZC95" i="3" s="1"/>
  <c r="QYS95" i="3"/>
  <c r="QYU95" i="3" s="1"/>
  <c r="QYM95" i="3"/>
  <c r="QYK95" i="3"/>
  <c r="QYC95" i="3"/>
  <c r="QYE95" i="3" s="1"/>
  <c r="QXU95" i="3"/>
  <c r="QXW95" i="3" s="1"/>
  <c r="QXM95" i="3"/>
  <c r="QXO95" i="3" s="1"/>
  <c r="QXE95" i="3"/>
  <c r="QXG95" i="3" s="1"/>
  <c r="QWY95" i="3"/>
  <c r="QWW95" i="3"/>
  <c r="QWO95" i="3"/>
  <c r="QWQ95" i="3" s="1"/>
  <c r="QWG95" i="3"/>
  <c r="QWI95" i="3" s="1"/>
  <c r="QVY95" i="3"/>
  <c r="QWA95" i="3" s="1"/>
  <c r="QVQ95" i="3"/>
  <c r="QVS95" i="3" s="1"/>
  <c r="QVI95" i="3"/>
  <c r="QVK95" i="3" s="1"/>
  <c r="QVA95" i="3"/>
  <c r="QVC95" i="3" s="1"/>
  <c r="QUS95" i="3"/>
  <c r="QUU95" i="3" s="1"/>
  <c r="QUK95" i="3"/>
  <c r="QUM95" i="3" s="1"/>
  <c r="QUE95" i="3"/>
  <c r="QUC95" i="3"/>
  <c r="QTW95" i="3"/>
  <c r="QTU95" i="3"/>
  <c r="QTM95" i="3"/>
  <c r="QTO95" i="3" s="1"/>
  <c r="QTE95" i="3"/>
  <c r="QTG95" i="3" s="1"/>
  <c r="QSW95" i="3"/>
  <c r="QSY95" i="3" s="1"/>
  <c r="QSO95" i="3"/>
  <c r="QSQ95" i="3" s="1"/>
  <c r="QSG95" i="3"/>
  <c r="QSI95" i="3" s="1"/>
  <c r="QRY95" i="3"/>
  <c r="QSA95" i="3" s="1"/>
  <c r="QRQ95" i="3"/>
  <c r="QRS95" i="3" s="1"/>
  <c r="QRI95" i="3"/>
  <c r="QRK95" i="3" s="1"/>
  <c r="QRA95" i="3"/>
  <c r="QRC95" i="3" s="1"/>
  <c r="QQS95" i="3"/>
  <c r="QQU95" i="3" s="1"/>
  <c r="QQM95" i="3"/>
  <c r="QQK95" i="3"/>
  <c r="QQE95" i="3"/>
  <c r="QQC95" i="3"/>
  <c r="QPU95" i="3"/>
  <c r="QPW95" i="3" s="1"/>
  <c r="QPM95" i="3"/>
  <c r="QPO95" i="3" s="1"/>
  <c r="QPG95" i="3"/>
  <c r="QPE95" i="3"/>
  <c r="QOW95" i="3"/>
  <c r="QOY95" i="3" s="1"/>
  <c r="QOO95" i="3"/>
  <c r="QOQ95" i="3" s="1"/>
  <c r="QOI95" i="3"/>
  <c r="QOG95" i="3"/>
  <c r="QNY95" i="3"/>
  <c r="QOA95" i="3" s="1"/>
  <c r="QNS95" i="3"/>
  <c r="QNQ95" i="3"/>
  <c r="QNI95" i="3"/>
  <c r="QNK95" i="3" s="1"/>
  <c r="QNA95" i="3"/>
  <c r="QNC95" i="3" s="1"/>
  <c r="QMU95" i="3"/>
  <c r="QMS95" i="3"/>
  <c r="QMM95" i="3"/>
  <c r="QMK95" i="3"/>
  <c r="QMC95" i="3"/>
  <c r="QME95" i="3" s="1"/>
  <c r="QLU95" i="3"/>
  <c r="QLW95" i="3" s="1"/>
  <c r="QLO95" i="3"/>
  <c r="QLM95" i="3"/>
  <c r="QLE95" i="3"/>
  <c r="QLG95" i="3" s="1"/>
  <c r="QKW95" i="3"/>
  <c r="QKY95" i="3" s="1"/>
  <c r="QKO95" i="3"/>
  <c r="QKQ95" i="3" s="1"/>
  <c r="QKI95" i="3"/>
  <c r="QKG95" i="3"/>
  <c r="QJY95" i="3"/>
  <c r="QKA95" i="3" s="1"/>
  <c r="QJQ95" i="3"/>
  <c r="QJS95" i="3" s="1"/>
  <c r="QJI95" i="3"/>
  <c r="QJK95" i="3" s="1"/>
  <c r="QJC95" i="3"/>
  <c r="QJA95" i="3"/>
  <c r="QIU95" i="3"/>
  <c r="QIS95" i="3"/>
  <c r="QIK95" i="3"/>
  <c r="QIM95" i="3" s="1"/>
  <c r="QIE95" i="3"/>
  <c r="QIC95" i="3"/>
  <c r="QHU95" i="3"/>
  <c r="QHW95" i="3" s="1"/>
  <c r="QHM95" i="3"/>
  <c r="QHO95" i="3" s="1"/>
  <c r="QHE95" i="3"/>
  <c r="QHG95" i="3" s="1"/>
  <c r="QGW95" i="3"/>
  <c r="QGY95" i="3" s="1"/>
  <c r="QGO95" i="3"/>
  <c r="QGQ95" i="3" s="1"/>
  <c r="QGI95" i="3"/>
  <c r="QGG95" i="3"/>
  <c r="QFY95" i="3"/>
  <c r="QGA95" i="3" s="1"/>
  <c r="QFQ95" i="3"/>
  <c r="QFS95" i="3" s="1"/>
  <c r="QFK95" i="3"/>
  <c r="QFI95" i="3"/>
  <c r="QFA95" i="3"/>
  <c r="QFC95" i="3" s="1"/>
  <c r="QES95" i="3"/>
  <c r="QEU95" i="3" s="1"/>
  <c r="QEK95" i="3"/>
  <c r="QEM95" i="3" s="1"/>
  <c r="QEC95" i="3"/>
  <c r="QEE95" i="3" s="1"/>
  <c r="QDU95" i="3"/>
  <c r="QDW95" i="3" s="1"/>
  <c r="QDM95" i="3"/>
  <c r="QDO95" i="3" s="1"/>
  <c r="QDE95" i="3"/>
  <c r="QDG95" i="3" s="1"/>
  <c r="QCW95" i="3"/>
  <c r="QCY95" i="3" s="1"/>
  <c r="QCO95" i="3"/>
  <c r="QCQ95" i="3" s="1"/>
  <c r="QCG95" i="3"/>
  <c r="QCI95" i="3" s="1"/>
  <c r="QBY95" i="3"/>
  <c r="QCA95" i="3" s="1"/>
  <c r="QBQ95" i="3"/>
  <c r="QBS95" i="3" s="1"/>
  <c r="QBK95" i="3"/>
  <c r="QBI95" i="3"/>
  <c r="QBA95" i="3"/>
  <c r="QBC95" i="3" s="1"/>
  <c r="QAU95" i="3"/>
  <c r="QAS95" i="3"/>
  <c r="QAK95" i="3"/>
  <c r="QAM95" i="3" s="1"/>
  <c r="QAC95" i="3"/>
  <c r="QAE95" i="3" s="1"/>
  <c r="PZU95" i="3"/>
  <c r="PZW95" i="3" s="1"/>
  <c r="PZM95" i="3"/>
  <c r="PZO95" i="3" s="1"/>
  <c r="PZE95" i="3"/>
  <c r="PZG95" i="3" s="1"/>
  <c r="PYW95" i="3"/>
  <c r="PYY95" i="3" s="1"/>
  <c r="PYO95" i="3"/>
  <c r="PYQ95" i="3" s="1"/>
  <c r="PYG95" i="3"/>
  <c r="PYI95" i="3" s="1"/>
  <c r="PYA95" i="3"/>
  <c r="PXY95" i="3"/>
  <c r="PXQ95" i="3"/>
  <c r="PXS95" i="3" s="1"/>
  <c r="PXK95" i="3"/>
  <c r="PXI95" i="3"/>
  <c r="PXA95" i="3"/>
  <c r="PXC95" i="3" s="1"/>
  <c r="PWU95" i="3"/>
  <c r="PWS95" i="3"/>
  <c r="PWK95" i="3"/>
  <c r="PWM95" i="3" s="1"/>
  <c r="PWC95" i="3"/>
  <c r="PWE95" i="3" s="1"/>
  <c r="PVU95" i="3"/>
  <c r="PVW95" i="3" s="1"/>
  <c r="PVM95" i="3"/>
  <c r="PVO95" i="3" s="1"/>
  <c r="PVE95" i="3"/>
  <c r="PVG95" i="3" s="1"/>
  <c r="PUY95" i="3"/>
  <c r="PUW95" i="3"/>
  <c r="PUO95" i="3"/>
  <c r="PUQ95" i="3" s="1"/>
  <c r="PUG95" i="3"/>
  <c r="PUI95" i="3" s="1"/>
  <c r="PTY95" i="3"/>
  <c r="PUA95" i="3" s="1"/>
  <c r="PTQ95" i="3"/>
  <c r="PTS95" i="3" s="1"/>
  <c r="PTK95" i="3"/>
  <c r="PTI95" i="3"/>
  <c r="PTA95" i="3"/>
  <c r="PTC95" i="3" s="1"/>
  <c r="PSS95" i="3"/>
  <c r="PSU95" i="3" s="1"/>
  <c r="PSK95" i="3"/>
  <c r="PSM95" i="3" s="1"/>
  <c r="PSC95" i="3"/>
  <c r="PSE95" i="3" s="1"/>
  <c r="PRU95" i="3"/>
  <c r="PRW95" i="3" s="1"/>
  <c r="PRO95" i="3"/>
  <c r="PRM95" i="3"/>
  <c r="PRE95" i="3"/>
  <c r="PRG95" i="3" s="1"/>
  <c r="PQW95" i="3"/>
  <c r="PQY95" i="3" s="1"/>
  <c r="PQO95" i="3"/>
  <c r="PQQ95" i="3" s="1"/>
  <c r="PQG95" i="3"/>
  <c r="PQI95" i="3" s="1"/>
  <c r="PQA95" i="3"/>
  <c r="PPY95" i="3"/>
  <c r="PPS95" i="3"/>
  <c r="PPQ95" i="3"/>
  <c r="PPI95" i="3"/>
  <c r="PPK95" i="3" s="1"/>
  <c r="PPA95" i="3"/>
  <c r="PPC95" i="3" s="1"/>
  <c r="POS95" i="3"/>
  <c r="POU95" i="3" s="1"/>
  <c r="POK95" i="3"/>
  <c r="POM95" i="3" s="1"/>
  <c r="POC95" i="3"/>
  <c r="POE95" i="3" s="1"/>
  <c r="PNU95" i="3"/>
  <c r="PNW95" i="3" s="1"/>
  <c r="PNM95" i="3"/>
  <c r="PNO95" i="3" s="1"/>
  <c r="PNE95" i="3"/>
  <c r="PNG95" i="3" s="1"/>
  <c r="PMW95" i="3"/>
  <c r="PMY95" i="3" s="1"/>
  <c r="PMO95" i="3"/>
  <c r="PMQ95" i="3" s="1"/>
  <c r="PMG95" i="3"/>
  <c r="PMI95" i="3" s="1"/>
  <c r="PLY95" i="3"/>
  <c r="PMA95" i="3" s="1"/>
  <c r="PLQ95" i="3"/>
  <c r="PLS95" i="3" s="1"/>
  <c r="PLI95" i="3"/>
  <c r="PLK95" i="3" s="1"/>
  <c r="PLA95" i="3"/>
  <c r="PLC95" i="3" s="1"/>
  <c r="PKS95" i="3"/>
  <c r="PKU95" i="3" s="1"/>
  <c r="PKK95" i="3"/>
  <c r="PKM95" i="3" s="1"/>
  <c r="PKC95" i="3"/>
  <c r="PKE95" i="3" s="1"/>
  <c r="PJU95" i="3"/>
  <c r="PJW95" i="3" s="1"/>
  <c r="PJM95" i="3"/>
  <c r="PJO95" i="3" s="1"/>
  <c r="PJE95" i="3"/>
  <c r="PJG95" i="3" s="1"/>
  <c r="PIY95" i="3"/>
  <c r="PIW95" i="3"/>
  <c r="PIQ95" i="3"/>
  <c r="PIO95" i="3"/>
  <c r="PIG95" i="3"/>
  <c r="PII95" i="3" s="1"/>
  <c r="PIA95" i="3"/>
  <c r="PHY95" i="3"/>
  <c r="PHQ95" i="3"/>
  <c r="PHS95" i="3" s="1"/>
  <c r="PHI95" i="3"/>
  <c r="PHK95" i="3" s="1"/>
  <c r="PHC95" i="3"/>
  <c r="PHA95" i="3"/>
  <c r="PGU95" i="3"/>
  <c r="PGS95" i="3"/>
  <c r="PGK95" i="3"/>
  <c r="PGM95" i="3" s="1"/>
  <c r="PGE95" i="3"/>
  <c r="PGC95" i="3"/>
  <c r="PFU95" i="3"/>
  <c r="PFW95" i="3" s="1"/>
  <c r="PFM95" i="3"/>
  <c r="PFO95" i="3" s="1"/>
  <c r="PFE95" i="3"/>
  <c r="PFG95" i="3" s="1"/>
  <c r="PEW95" i="3"/>
  <c r="PEY95" i="3" s="1"/>
  <c r="PEO95" i="3"/>
  <c r="PEQ95" i="3" s="1"/>
  <c r="PEG95" i="3"/>
  <c r="PEI95" i="3" s="1"/>
  <c r="PDY95" i="3"/>
  <c r="PEA95" i="3" s="1"/>
  <c r="PDQ95" i="3"/>
  <c r="PDS95" i="3" s="1"/>
  <c r="PDI95" i="3"/>
  <c r="PDK95" i="3" s="1"/>
  <c r="PDA95" i="3"/>
  <c r="PDC95" i="3" s="1"/>
  <c r="PCS95" i="3"/>
  <c r="PCU95" i="3" s="1"/>
  <c r="PCK95" i="3"/>
  <c r="PCM95" i="3" s="1"/>
  <c r="PCC95" i="3"/>
  <c r="PCE95" i="3" s="1"/>
  <c r="PBU95" i="3"/>
  <c r="PBW95" i="3" s="1"/>
  <c r="PBM95" i="3"/>
  <c r="PBO95" i="3" s="1"/>
  <c r="PBE95" i="3"/>
  <c r="PBG95" i="3" s="1"/>
  <c r="PAW95" i="3"/>
  <c r="PAY95" i="3" s="1"/>
  <c r="PAO95" i="3"/>
  <c r="PAQ95" i="3" s="1"/>
  <c r="PAG95" i="3"/>
  <c r="PAI95" i="3" s="1"/>
  <c r="OZY95" i="3"/>
  <c r="PAA95" i="3" s="1"/>
  <c r="OZQ95" i="3"/>
  <c r="OZS95" i="3" s="1"/>
  <c r="OZI95" i="3"/>
  <c r="OZK95" i="3" s="1"/>
  <c r="OZA95" i="3"/>
  <c r="OZC95" i="3" s="1"/>
  <c r="OYS95" i="3"/>
  <c r="OYU95" i="3" s="1"/>
  <c r="OYK95" i="3"/>
  <c r="OYM95" i="3" s="1"/>
  <c r="OYC95" i="3"/>
  <c r="OYE95" i="3" s="1"/>
  <c r="OXW95" i="3"/>
  <c r="OXU95" i="3"/>
  <c r="OXM95" i="3"/>
  <c r="OXO95" i="3" s="1"/>
  <c r="OXG95" i="3"/>
  <c r="OXE95" i="3"/>
  <c r="OWW95" i="3"/>
  <c r="OWY95" i="3" s="1"/>
  <c r="OWO95" i="3"/>
  <c r="OWQ95" i="3" s="1"/>
  <c r="OWG95" i="3"/>
  <c r="OWI95" i="3" s="1"/>
  <c r="OVY95" i="3"/>
  <c r="OWA95" i="3" s="1"/>
  <c r="OVQ95" i="3"/>
  <c r="OVS95" i="3" s="1"/>
  <c r="OVI95" i="3"/>
  <c r="OVK95" i="3" s="1"/>
  <c r="OVA95" i="3"/>
  <c r="OVC95" i="3" s="1"/>
  <c r="OUS95" i="3"/>
  <c r="OUU95" i="3" s="1"/>
  <c r="OUM95" i="3"/>
  <c r="OUK95" i="3"/>
  <c r="OUC95" i="3"/>
  <c r="OUE95" i="3" s="1"/>
  <c r="OTW95" i="3"/>
  <c r="OTU95" i="3"/>
  <c r="OTM95" i="3"/>
  <c r="OTO95" i="3" s="1"/>
  <c r="OTE95" i="3"/>
  <c r="OTG95" i="3" s="1"/>
  <c r="OSW95" i="3"/>
  <c r="OSY95" i="3" s="1"/>
  <c r="OSO95" i="3"/>
  <c r="OSQ95" i="3" s="1"/>
  <c r="OSG95" i="3"/>
  <c r="OSI95" i="3" s="1"/>
  <c r="ORY95" i="3"/>
  <c r="OSA95" i="3" s="1"/>
  <c r="ORQ95" i="3"/>
  <c r="ORS95" i="3" s="1"/>
  <c r="ORK95" i="3"/>
  <c r="ORI95" i="3"/>
  <c r="ORA95" i="3"/>
  <c r="ORC95" i="3" s="1"/>
  <c r="OQS95" i="3"/>
  <c r="OQU95" i="3" s="1"/>
  <c r="OQM95" i="3"/>
  <c r="OQK95" i="3"/>
  <c r="OQC95" i="3"/>
  <c r="OQE95" i="3" s="1"/>
  <c r="OPU95" i="3"/>
  <c r="OPW95" i="3" s="1"/>
  <c r="OPM95" i="3"/>
  <c r="OPO95" i="3" s="1"/>
  <c r="OPE95" i="3"/>
  <c r="OPG95" i="3" s="1"/>
  <c r="OOW95" i="3"/>
  <c r="OOY95" i="3" s="1"/>
  <c r="OOO95" i="3"/>
  <c r="OOQ95" i="3" s="1"/>
  <c r="OOG95" i="3"/>
  <c r="OOI95" i="3" s="1"/>
  <c r="ONY95" i="3"/>
  <c r="OOA95" i="3" s="1"/>
  <c r="ONQ95" i="3"/>
  <c r="ONS95" i="3" s="1"/>
  <c r="ONI95" i="3"/>
  <c r="ONK95" i="3" s="1"/>
  <c r="ONA95" i="3"/>
  <c r="ONC95" i="3" s="1"/>
  <c r="OMS95" i="3"/>
  <c r="OMU95" i="3" s="1"/>
  <c r="OMM95" i="3"/>
  <c r="OMK95" i="3"/>
  <c r="OMC95" i="3"/>
  <c r="OME95" i="3" s="1"/>
  <c r="OLW95" i="3"/>
  <c r="OLU95" i="3"/>
  <c r="OLM95" i="3"/>
  <c r="OLO95" i="3" s="1"/>
  <c r="OLE95" i="3"/>
  <c r="OLG95" i="3" s="1"/>
  <c r="OKW95" i="3"/>
  <c r="OKY95" i="3" s="1"/>
  <c r="OKO95" i="3"/>
  <c r="OKQ95" i="3" s="1"/>
  <c r="OKG95" i="3"/>
  <c r="OKI95" i="3" s="1"/>
  <c r="OJY95" i="3"/>
  <c r="OKA95" i="3" s="1"/>
  <c r="OJQ95" i="3"/>
  <c r="OJS95" i="3" s="1"/>
  <c r="OJI95" i="3"/>
  <c r="OJK95" i="3" s="1"/>
  <c r="OJC95" i="3"/>
  <c r="OJA95" i="3"/>
  <c r="OIS95" i="3"/>
  <c r="OIU95" i="3" s="1"/>
  <c r="OIM95" i="3"/>
  <c r="OIK95" i="3"/>
  <c r="OIC95" i="3"/>
  <c r="OIE95" i="3" s="1"/>
  <c r="OHU95" i="3"/>
  <c r="OHW95" i="3" s="1"/>
  <c r="OHM95" i="3"/>
  <c r="OHO95" i="3" s="1"/>
  <c r="OHE95" i="3"/>
  <c r="OHG95" i="3" s="1"/>
  <c r="OGW95" i="3"/>
  <c r="OGY95" i="3" s="1"/>
  <c r="OGQ95" i="3"/>
  <c r="OGO95" i="3"/>
  <c r="OGG95" i="3"/>
  <c r="OGI95" i="3" s="1"/>
  <c r="OFY95" i="3"/>
  <c r="OGA95" i="3" s="1"/>
  <c r="OFS95" i="3"/>
  <c r="OFQ95" i="3"/>
  <c r="OFI95" i="3"/>
  <c r="OFK95" i="3" s="1"/>
  <c r="OFA95" i="3"/>
  <c r="OFC95" i="3" s="1"/>
  <c r="OES95" i="3"/>
  <c r="OEU95" i="3" s="1"/>
  <c r="OEK95" i="3"/>
  <c r="OEM95" i="3" s="1"/>
  <c r="OEC95" i="3"/>
  <c r="OEE95" i="3" s="1"/>
  <c r="ODU95" i="3"/>
  <c r="ODW95" i="3" s="1"/>
  <c r="ODM95" i="3"/>
  <c r="ODO95" i="3" s="1"/>
  <c r="ODE95" i="3"/>
  <c r="ODG95" i="3" s="1"/>
  <c r="OCW95" i="3"/>
  <c r="OCY95" i="3" s="1"/>
  <c r="OCO95" i="3"/>
  <c r="OCQ95" i="3" s="1"/>
  <c r="OCG95" i="3"/>
  <c r="OCI95" i="3" s="1"/>
  <c r="OBY95" i="3"/>
  <c r="OCA95" i="3" s="1"/>
  <c r="OBS95" i="3"/>
  <c r="OBQ95" i="3"/>
  <c r="OBI95" i="3"/>
  <c r="OBK95" i="3" s="1"/>
  <c r="OBA95" i="3"/>
  <c r="OBC95" i="3" s="1"/>
  <c r="OAS95" i="3"/>
  <c r="OAU95" i="3" s="1"/>
  <c r="OAK95" i="3"/>
  <c r="OAM95" i="3" s="1"/>
  <c r="OAC95" i="3"/>
  <c r="OAE95" i="3" s="1"/>
  <c r="NZU95" i="3"/>
  <c r="NZW95" i="3" s="1"/>
  <c r="NZM95" i="3"/>
  <c r="NZO95" i="3" s="1"/>
  <c r="NZE95" i="3"/>
  <c r="NZG95" i="3" s="1"/>
  <c r="NYW95" i="3"/>
  <c r="NYY95" i="3" s="1"/>
  <c r="NYO95" i="3"/>
  <c r="NYQ95" i="3" s="1"/>
  <c r="NYG95" i="3"/>
  <c r="NYI95" i="3" s="1"/>
  <c r="NXY95" i="3"/>
  <c r="NYA95" i="3" s="1"/>
  <c r="NXS95" i="3"/>
  <c r="NXQ95" i="3"/>
  <c r="NXI95" i="3"/>
  <c r="NXK95" i="3" s="1"/>
  <c r="NXA95" i="3"/>
  <c r="NXC95" i="3" s="1"/>
  <c r="NWS95" i="3"/>
  <c r="NWU95" i="3" s="1"/>
  <c r="NWK95" i="3"/>
  <c r="NWM95" i="3" s="1"/>
  <c r="NWC95" i="3"/>
  <c r="NWE95" i="3" s="1"/>
  <c r="NVU95" i="3"/>
  <c r="NVW95" i="3" s="1"/>
  <c r="NVM95" i="3"/>
  <c r="NVO95" i="3" s="1"/>
  <c r="NVE95" i="3"/>
  <c r="NVG95" i="3" s="1"/>
  <c r="NUW95" i="3"/>
  <c r="NUY95" i="3" s="1"/>
  <c r="NUQ95" i="3"/>
  <c r="NUO95" i="3"/>
  <c r="NUG95" i="3"/>
  <c r="NUI95" i="3" s="1"/>
  <c r="NTY95" i="3"/>
  <c r="NUA95" i="3" s="1"/>
  <c r="NTQ95" i="3"/>
  <c r="NTS95" i="3" s="1"/>
  <c r="NTI95" i="3"/>
  <c r="NTK95" i="3" s="1"/>
  <c r="NTA95" i="3"/>
  <c r="NTC95" i="3" s="1"/>
  <c r="NSS95" i="3"/>
  <c r="NSU95" i="3" s="1"/>
  <c r="NSK95" i="3"/>
  <c r="NSM95" i="3" s="1"/>
  <c r="NSC95" i="3"/>
  <c r="NSE95" i="3" s="1"/>
  <c r="NRU95" i="3"/>
  <c r="NRW95" i="3" s="1"/>
  <c r="NRM95" i="3"/>
  <c r="NRO95" i="3" s="1"/>
  <c r="NRE95" i="3"/>
  <c r="NRG95" i="3" s="1"/>
  <c r="NQW95" i="3"/>
  <c r="NQY95" i="3" s="1"/>
  <c r="NQQ95" i="3"/>
  <c r="NQO95" i="3"/>
  <c r="NQG95" i="3"/>
  <c r="NQI95" i="3" s="1"/>
  <c r="NQA95" i="3"/>
  <c r="NPY95" i="3"/>
  <c r="NPQ95" i="3"/>
  <c r="NPS95" i="3" s="1"/>
  <c r="NPI95" i="3"/>
  <c r="NPK95" i="3" s="1"/>
  <c r="NPA95" i="3"/>
  <c r="NPC95" i="3" s="1"/>
  <c r="NOS95" i="3"/>
  <c r="NOU95" i="3" s="1"/>
  <c r="NOM95" i="3"/>
  <c r="NOK95" i="3"/>
  <c r="NOC95" i="3"/>
  <c r="NOE95" i="3" s="1"/>
  <c r="NNU95" i="3"/>
  <c r="NNW95" i="3" s="1"/>
  <c r="NNM95" i="3"/>
  <c r="NNO95" i="3" s="1"/>
  <c r="NNE95" i="3"/>
  <c r="NNG95" i="3" s="1"/>
  <c r="NMW95" i="3"/>
  <c r="NMY95" i="3" s="1"/>
  <c r="NMO95" i="3"/>
  <c r="NMQ95" i="3" s="1"/>
  <c r="NMI95" i="3"/>
  <c r="NMG95" i="3"/>
  <c r="NLY95" i="3"/>
  <c r="NMA95" i="3" s="1"/>
  <c r="NLQ95" i="3"/>
  <c r="NLS95" i="3" s="1"/>
  <c r="NLI95" i="3"/>
  <c r="NLK95" i="3" s="1"/>
  <c r="NLA95" i="3"/>
  <c r="NLC95" i="3" s="1"/>
  <c r="NKS95" i="3"/>
  <c r="NKU95" i="3" s="1"/>
  <c r="NKK95" i="3"/>
  <c r="NKM95" i="3" s="1"/>
  <c r="NKC95" i="3"/>
  <c r="NKE95" i="3" s="1"/>
  <c r="NJU95" i="3"/>
  <c r="NJW95" i="3" s="1"/>
  <c r="NJM95" i="3"/>
  <c r="NJO95" i="3" s="1"/>
  <c r="NJE95" i="3"/>
  <c r="NJG95" i="3" s="1"/>
  <c r="NIW95" i="3"/>
  <c r="NIY95" i="3" s="1"/>
  <c r="NIO95" i="3"/>
  <c r="NIQ95" i="3" s="1"/>
  <c r="NII95" i="3"/>
  <c r="NIG95" i="3"/>
  <c r="NHY95" i="3"/>
  <c r="NIA95" i="3" s="1"/>
  <c r="NHS95" i="3"/>
  <c r="NHQ95" i="3"/>
  <c r="NHI95" i="3"/>
  <c r="NHK95" i="3" s="1"/>
  <c r="NHA95" i="3"/>
  <c r="NHC95" i="3" s="1"/>
  <c r="NGS95" i="3"/>
  <c r="NGU95" i="3" s="1"/>
  <c r="NGK95" i="3"/>
  <c r="NGM95" i="3" s="1"/>
  <c r="NGC95" i="3"/>
  <c r="NGE95" i="3" s="1"/>
  <c r="NFU95" i="3"/>
  <c r="NFW95" i="3" s="1"/>
  <c r="NFO95" i="3"/>
  <c r="NFM95" i="3"/>
  <c r="NFE95" i="3"/>
  <c r="NFG95" i="3" s="1"/>
  <c r="NEW95" i="3"/>
  <c r="NEY95" i="3" s="1"/>
  <c r="NEO95" i="3"/>
  <c r="NEQ95" i="3" s="1"/>
  <c r="NEG95" i="3"/>
  <c r="NEI95" i="3" s="1"/>
  <c r="NDY95" i="3"/>
  <c r="NEA95" i="3" s="1"/>
  <c r="NDQ95" i="3"/>
  <c r="NDS95" i="3" s="1"/>
  <c r="NDI95" i="3"/>
  <c r="NDK95" i="3" s="1"/>
  <c r="NDA95" i="3"/>
  <c r="NDC95" i="3" s="1"/>
  <c r="NCS95" i="3"/>
  <c r="NCU95" i="3" s="1"/>
  <c r="NCK95" i="3"/>
  <c r="NCM95" i="3" s="1"/>
  <c r="NCC95" i="3"/>
  <c r="NCE95" i="3" s="1"/>
  <c r="NBU95" i="3"/>
  <c r="NBW95" i="3" s="1"/>
  <c r="NBM95" i="3"/>
  <c r="NBO95" i="3" s="1"/>
  <c r="NBE95" i="3"/>
  <c r="NBG95" i="3" s="1"/>
  <c r="NAY95" i="3"/>
  <c r="NAW95" i="3"/>
  <c r="NAO95" i="3"/>
  <c r="NAQ95" i="3" s="1"/>
  <c r="NAG95" i="3"/>
  <c r="NAI95" i="3" s="1"/>
  <c r="MZY95" i="3"/>
  <c r="NAA95" i="3" s="1"/>
  <c r="MZQ95" i="3"/>
  <c r="MZS95" i="3" s="1"/>
  <c r="MZI95" i="3"/>
  <c r="MZK95" i="3" s="1"/>
  <c r="MZA95" i="3"/>
  <c r="MZC95" i="3" s="1"/>
  <c r="MYS95" i="3"/>
  <c r="MYU95" i="3" s="1"/>
  <c r="MYK95" i="3"/>
  <c r="MYM95" i="3" s="1"/>
  <c r="MYE95" i="3"/>
  <c r="MYC95" i="3"/>
  <c r="MXU95" i="3"/>
  <c r="MXW95" i="3" s="1"/>
  <c r="MXO95" i="3"/>
  <c r="MXM95" i="3"/>
  <c r="MXG95" i="3"/>
  <c r="MXE95" i="3"/>
  <c r="MWW95" i="3"/>
  <c r="MWY95" i="3" s="1"/>
  <c r="MWO95" i="3"/>
  <c r="MWQ95" i="3" s="1"/>
  <c r="MWG95" i="3"/>
  <c r="MWI95" i="3" s="1"/>
  <c r="MVY95" i="3"/>
  <c r="MWA95" i="3" s="1"/>
  <c r="MVS95" i="3"/>
  <c r="MVQ95" i="3"/>
  <c r="MVI95" i="3"/>
  <c r="MVK95" i="3" s="1"/>
  <c r="MVA95" i="3"/>
  <c r="MVC95" i="3" s="1"/>
  <c r="MUS95" i="3"/>
  <c r="MUU95" i="3" s="1"/>
  <c r="MUK95" i="3"/>
  <c r="MUM95" i="3" s="1"/>
  <c r="MUC95" i="3"/>
  <c r="MUE95" i="3" s="1"/>
  <c r="MTW95" i="3"/>
  <c r="MTU95" i="3"/>
  <c r="MTM95" i="3"/>
  <c r="MTO95" i="3" s="1"/>
  <c r="MTE95" i="3"/>
  <c r="MTG95" i="3" s="1"/>
  <c r="MSW95" i="3"/>
  <c r="MSY95" i="3" s="1"/>
  <c r="MSO95" i="3"/>
  <c r="MSQ95" i="3" s="1"/>
  <c r="MSG95" i="3"/>
  <c r="MSI95" i="3" s="1"/>
  <c r="MRY95" i="3"/>
  <c r="MSA95" i="3" s="1"/>
  <c r="MRQ95" i="3"/>
  <c r="MRS95" i="3" s="1"/>
  <c r="MRI95" i="3"/>
  <c r="MRK95" i="3" s="1"/>
  <c r="MRC95" i="3"/>
  <c r="MRA95" i="3"/>
  <c r="MQS95" i="3"/>
  <c r="MQU95" i="3" s="1"/>
  <c r="MQM95" i="3"/>
  <c r="MQK95" i="3"/>
  <c r="MQC95" i="3"/>
  <c r="MQE95" i="3" s="1"/>
  <c r="MPU95" i="3"/>
  <c r="MPW95" i="3" s="1"/>
  <c r="MPM95" i="3"/>
  <c r="MPO95" i="3" s="1"/>
  <c r="MPE95" i="3"/>
  <c r="MPG95" i="3" s="1"/>
  <c r="MOY95" i="3"/>
  <c r="MOW95" i="3"/>
  <c r="MOO95" i="3"/>
  <c r="MOQ95" i="3" s="1"/>
  <c r="MOG95" i="3"/>
  <c r="MOI95" i="3" s="1"/>
  <c r="MNY95" i="3"/>
  <c r="MOA95" i="3" s="1"/>
  <c r="MNQ95" i="3"/>
  <c r="MNS95" i="3" s="1"/>
  <c r="MNI95" i="3"/>
  <c r="MNK95" i="3" s="1"/>
  <c r="MNA95" i="3"/>
  <c r="MNC95" i="3" s="1"/>
  <c r="MMS95" i="3"/>
  <c r="MMU95" i="3" s="1"/>
  <c r="MMK95" i="3"/>
  <c r="MMM95" i="3" s="1"/>
  <c r="MMC95" i="3"/>
  <c r="MME95" i="3" s="1"/>
  <c r="MLU95" i="3"/>
  <c r="MLW95" i="3" s="1"/>
  <c r="MLO95" i="3"/>
  <c r="MLM95" i="3"/>
  <c r="MLE95" i="3"/>
  <c r="MLG95" i="3" s="1"/>
  <c r="MKW95" i="3"/>
  <c r="MKY95" i="3" s="1"/>
  <c r="MKO95" i="3"/>
  <c r="MKQ95" i="3" s="1"/>
  <c r="MKG95" i="3"/>
  <c r="MKI95" i="3" s="1"/>
  <c r="MJY95" i="3"/>
  <c r="MKA95" i="3" s="1"/>
  <c r="MJQ95" i="3"/>
  <c r="MJS95" i="3" s="1"/>
  <c r="MJI95" i="3"/>
  <c r="MJK95" i="3" s="1"/>
  <c r="MJA95" i="3"/>
  <c r="MJC95" i="3" s="1"/>
  <c r="MIU95" i="3"/>
  <c r="MIS95" i="3"/>
  <c r="MIK95" i="3"/>
  <c r="MIM95" i="3" s="1"/>
  <c r="MIC95" i="3"/>
  <c r="MIE95" i="3" s="1"/>
  <c r="MHU95" i="3"/>
  <c r="MHW95" i="3" s="1"/>
  <c r="MHM95" i="3"/>
  <c r="MHO95" i="3" s="1"/>
  <c r="MHE95" i="3"/>
  <c r="MHG95" i="3" s="1"/>
  <c r="MGW95" i="3"/>
  <c r="MGY95" i="3" s="1"/>
  <c r="MGO95" i="3"/>
  <c r="MGQ95" i="3" s="1"/>
  <c r="MGG95" i="3"/>
  <c r="MGI95" i="3" s="1"/>
  <c r="MGA95" i="3"/>
  <c r="MFY95" i="3"/>
  <c r="MFQ95" i="3"/>
  <c r="MFS95" i="3" s="1"/>
  <c r="MFI95" i="3"/>
  <c r="MFK95" i="3" s="1"/>
  <c r="MFA95" i="3"/>
  <c r="MFC95" i="3" s="1"/>
  <c r="MES95" i="3"/>
  <c r="MEU95" i="3" s="1"/>
  <c r="MEK95" i="3"/>
  <c r="MEM95" i="3" s="1"/>
  <c r="MEC95" i="3"/>
  <c r="MEE95" i="3" s="1"/>
  <c r="MDU95" i="3"/>
  <c r="MDW95" i="3" s="1"/>
  <c r="MDM95" i="3"/>
  <c r="MDO95" i="3" s="1"/>
  <c r="MDE95" i="3"/>
  <c r="MDG95" i="3" s="1"/>
  <c r="MCY95" i="3"/>
  <c r="MCW95" i="3"/>
  <c r="MCO95" i="3"/>
  <c r="MCQ95" i="3" s="1"/>
  <c r="MCG95" i="3"/>
  <c r="MCI95" i="3" s="1"/>
  <c r="MBY95" i="3"/>
  <c r="MCA95" i="3" s="1"/>
  <c r="MBQ95" i="3"/>
  <c r="MBS95" i="3" s="1"/>
  <c r="MBI95" i="3"/>
  <c r="MBK95" i="3" s="1"/>
  <c r="MBA95" i="3"/>
  <c r="MBC95" i="3" s="1"/>
  <c r="MAS95" i="3"/>
  <c r="MAU95" i="3" s="1"/>
  <c r="MAK95" i="3"/>
  <c r="MAM95" i="3" s="1"/>
  <c r="MAC95" i="3"/>
  <c r="MAE95" i="3" s="1"/>
  <c r="LZU95" i="3"/>
  <c r="LZW95" i="3" s="1"/>
  <c r="LZM95" i="3"/>
  <c r="LZO95" i="3" s="1"/>
  <c r="LZE95" i="3"/>
  <c r="LZG95" i="3" s="1"/>
  <c r="LYW95" i="3"/>
  <c r="LYY95" i="3" s="1"/>
  <c r="LYO95" i="3"/>
  <c r="LYQ95" i="3" s="1"/>
  <c r="LYG95" i="3"/>
  <c r="LYI95" i="3" s="1"/>
  <c r="LYA95" i="3"/>
  <c r="LXY95" i="3"/>
  <c r="LXQ95" i="3"/>
  <c r="LXS95" i="3" s="1"/>
  <c r="LXI95" i="3"/>
  <c r="LXK95" i="3" s="1"/>
  <c r="LXA95" i="3"/>
  <c r="LXC95" i="3" s="1"/>
  <c r="LWS95" i="3"/>
  <c r="LWU95" i="3" s="1"/>
  <c r="LWK95" i="3"/>
  <c r="LWM95" i="3" s="1"/>
  <c r="LWC95" i="3"/>
  <c r="LWE95" i="3" s="1"/>
  <c r="LVU95" i="3"/>
  <c r="LVW95" i="3" s="1"/>
  <c r="LVM95" i="3"/>
  <c r="LVO95" i="3" s="1"/>
  <c r="LVE95" i="3"/>
  <c r="LVG95" i="3" s="1"/>
  <c r="LUW95" i="3"/>
  <c r="LUY95" i="3" s="1"/>
  <c r="LUO95" i="3"/>
  <c r="LUQ95" i="3" s="1"/>
  <c r="LUG95" i="3"/>
  <c r="LUI95" i="3" s="1"/>
  <c r="LTY95" i="3"/>
  <c r="LUA95" i="3" s="1"/>
  <c r="LTS95" i="3"/>
  <c r="LTQ95" i="3"/>
  <c r="LTI95" i="3"/>
  <c r="LTK95" i="3" s="1"/>
  <c r="LTA95" i="3"/>
  <c r="LTC95" i="3" s="1"/>
  <c r="LSS95" i="3"/>
  <c r="LSU95" i="3" s="1"/>
  <c r="LSK95" i="3"/>
  <c r="LSM95" i="3" s="1"/>
  <c r="LSE95" i="3"/>
  <c r="LSC95" i="3"/>
  <c r="LRU95" i="3"/>
  <c r="LRW95" i="3" s="1"/>
  <c r="LRM95" i="3"/>
  <c r="LRO95" i="3" s="1"/>
  <c r="LRE95" i="3"/>
  <c r="LRG95" i="3" s="1"/>
  <c r="LQW95" i="3"/>
  <c r="LQY95" i="3" s="1"/>
  <c r="LQO95" i="3"/>
  <c r="LQQ95" i="3" s="1"/>
  <c r="LQG95" i="3"/>
  <c r="LQI95" i="3" s="1"/>
  <c r="LQA95" i="3"/>
  <c r="LPY95" i="3"/>
  <c r="LPQ95" i="3"/>
  <c r="LPS95" i="3" s="1"/>
  <c r="LPI95" i="3"/>
  <c r="LPK95" i="3" s="1"/>
  <c r="LPA95" i="3"/>
  <c r="LPC95" i="3" s="1"/>
  <c r="LOU95" i="3"/>
  <c r="LOS95" i="3"/>
  <c r="LOK95" i="3"/>
  <c r="LOM95" i="3" s="1"/>
  <c r="LOC95" i="3"/>
  <c r="LOE95" i="3" s="1"/>
  <c r="LNU95" i="3"/>
  <c r="LNW95" i="3" s="1"/>
  <c r="LNM95" i="3"/>
  <c r="LNO95" i="3" s="1"/>
  <c r="LNE95" i="3"/>
  <c r="LNG95" i="3" s="1"/>
  <c r="LMY95" i="3"/>
  <c r="LMW95" i="3"/>
  <c r="LMO95" i="3"/>
  <c r="LMQ95" i="3" s="1"/>
  <c r="LMG95" i="3"/>
  <c r="LMI95" i="3" s="1"/>
  <c r="LLY95" i="3"/>
  <c r="LMA95" i="3" s="1"/>
  <c r="LLQ95" i="3"/>
  <c r="LLS95" i="3" s="1"/>
  <c r="LLK95" i="3"/>
  <c r="LLI95" i="3"/>
  <c r="LLA95" i="3"/>
  <c r="LLC95" i="3" s="1"/>
  <c r="LKS95" i="3"/>
  <c r="LKU95" i="3" s="1"/>
  <c r="LKK95" i="3"/>
  <c r="LKM95" i="3" s="1"/>
  <c r="LKC95" i="3"/>
  <c r="LKE95" i="3" s="1"/>
  <c r="LJU95" i="3"/>
  <c r="LJW95" i="3" s="1"/>
  <c r="LJO95" i="3"/>
  <c r="LJM95" i="3"/>
  <c r="LJG95" i="3"/>
  <c r="LJE95" i="3"/>
  <c r="LIW95" i="3"/>
  <c r="LIY95" i="3" s="1"/>
  <c r="LIQ95" i="3"/>
  <c r="LIO95" i="3"/>
  <c r="LIG95" i="3"/>
  <c r="LII95" i="3" s="1"/>
  <c r="LHY95" i="3"/>
  <c r="LIA95" i="3" s="1"/>
  <c r="LHQ95" i="3"/>
  <c r="LHS95" i="3" s="1"/>
  <c r="LHK95" i="3"/>
  <c r="LHI95" i="3"/>
  <c r="LHA95" i="3"/>
  <c r="LHC95" i="3" s="1"/>
  <c r="LGS95" i="3"/>
  <c r="LGU95" i="3" s="1"/>
  <c r="LGK95" i="3"/>
  <c r="LGM95" i="3" s="1"/>
  <c r="LGC95" i="3"/>
  <c r="LGE95" i="3" s="1"/>
  <c r="LFW95" i="3"/>
  <c r="LFU95" i="3"/>
  <c r="LFM95" i="3"/>
  <c r="LFO95" i="3" s="1"/>
  <c r="LFE95" i="3"/>
  <c r="LFG95" i="3" s="1"/>
  <c r="LEY95" i="3"/>
  <c r="LEW95" i="3"/>
  <c r="LEO95" i="3"/>
  <c r="LEQ95" i="3" s="1"/>
  <c r="LEG95" i="3"/>
  <c r="LEI95" i="3" s="1"/>
  <c r="LDY95" i="3"/>
  <c r="LEA95" i="3" s="1"/>
  <c r="LDQ95" i="3"/>
  <c r="LDS95" i="3" s="1"/>
  <c r="LDI95" i="3"/>
  <c r="LDK95" i="3" s="1"/>
  <c r="LDA95" i="3"/>
  <c r="LDC95" i="3" s="1"/>
  <c r="LCS95" i="3"/>
  <c r="LCU95" i="3" s="1"/>
  <c r="LCK95" i="3"/>
  <c r="LCM95" i="3" s="1"/>
  <c r="LCE95" i="3"/>
  <c r="LCC95" i="3"/>
  <c r="LBU95" i="3"/>
  <c r="LBW95" i="3" s="1"/>
  <c r="LBM95" i="3"/>
  <c r="LBO95" i="3" s="1"/>
  <c r="LBE95" i="3"/>
  <c r="LBG95" i="3" s="1"/>
  <c r="LAW95" i="3"/>
  <c r="LAY95" i="3" s="1"/>
  <c r="LAO95" i="3"/>
  <c r="LAQ95" i="3" s="1"/>
  <c r="LAG95" i="3"/>
  <c r="LAI95" i="3" s="1"/>
  <c r="KZY95" i="3"/>
  <c r="LAA95" i="3" s="1"/>
  <c r="KZQ95" i="3"/>
  <c r="KZS95" i="3" s="1"/>
  <c r="KZI95" i="3"/>
  <c r="KZK95" i="3" s="1"/>
  <c r="KZA95" i="3"/>
  <c r="KZC95" i="3" s="1"/>
  <c r="KYS95" i="3"/>
  <c r="KYU95" i="3" s="1"/>
  <c r="KYK95" i="3"/>
  <c r="KYM95" i="3" s="1"/>
  <c r="KYC95" i="3"/>
  <c r="KYE95" i="3" s="1"/>
  <c r="KXU95" i="3"/>
  <c r="KXW95" i="3" s="1"/>
  <c r="KXM95" i="3"/>
  <c r="KXO95" i="3" s="1"/>
  <c r="KXE95" i="3"/>
  <c r="KXG95" i="3" s="1"/>
  <c r="KWW95" i="3"/>
  <c r="KWY95" i="3" s="1"/>
  <c r="KWO95" i="3"/>
  <c r="KWQ95" i="3" s="1"/>
  <c r="KWG95" i="3"/>
  <c r="KWI95" i="3" s="1"/>
  <c r="KVY95" i="3"/>
  <c r="KWA95" i="3" s="1"/>
  <c r="KVQ95" i="3"/>
  <c r="KVS95" i="3" s="1"/>
  <c r="KVI95" i="3"/>
  <c r="KVK95" i="3" s="1"/>
  <c r="KVA95" i="3"/>
  <c r="KVC95" i="3" s="1"/>
  <c r="KUS95" i="3"/>
  <c r="KUU95" i="3" s="1"/>
  <c r="KUK95" i="3"/>
  <c r="KUM95" i="3" s="1"/>
  <c r="KUC95" i="3"/>
  <c r="KUE95" i="3" s="1"/>
  <c r="KTW95" i="3"/>
  <c r="KTU95" i="3"/>
  <c r="KTM95" i="3"/>
  <c r="KTO95" i="3" s="1"/>
  <c r="KTE95" i="3"/>
  <c r="KTG95" i="3" s="1"/>
  <c r="KSW95" i="3"/>
  <c r="KSY95" i="3" s="1"/>
  <c r="KSO95" i="3"/>
  <c r="KSQ95" i="3" s="1"/>
  <c r="KSG95" i="3"/>
  <c r="KSI95" i="3" s="1"/>
  <c r="KRY95" i="3"/>
  <c r="KSA95" i="3" s="1"/>
  <c r="KRQ95" i="3"/>
  <c r="KRS95" i="3" s="1"/>
  <c r="KRI95" i="3"/>
  <c r="KRK95" i="3" s="1"/>
  <c r="KRA95" i="3"/>
  <c r="KRC95" i="3" s="1"/>
  <c r="KQS95" i="3"/>
  <c r="KQU95" i="3" s="1"/>
  <c r="KQK95" i="3"/>
  <c r="KQM95" i="3" s="1"/>
  <c r="KQC95" i="3"/>
  <c r="KQE95" i="3" s="1"/>
  <c r="KPU95" i="3"/>
  <c r="KPW95" i="3" s="1"/>
  <c r="KPM95" i="3"/>
  <c r="KPO95" i="3" s="1"/>
  <c r="KPE95" i="3"/>
  <c r="KPG95" i="3" s="1"/>
  <c r="KOW95" i="3"/>
  <c r="KOY95" i="3" s="1"/>
  <c r="KOO95" i="3"/>
  <c r="KOQ95" i="3" s="1"/>
  <c r="KOG95" i="3"/>
  <c r="KOI95" i="3" s="1"/>
  <c r="KNY95" i="3"/>
  <c r="KOA95" i="3" s="1"/>
  <c r="KNQ95" i="3"/>
  <c r="KNS95" i="3" s="1"/>
  <c r="KNI95" i="3"/>
  <c r="KNK95" i="3" s="1"/>
  <c r="KNC95" i="3"/>
  <c r="KNA95" i="3"/>
  <c r="KMS95" i="3"/>
  <c r="KMU95" i="3" s="1"/>
  <c r="KMK95" i="3"/>
  <c r="KMM95" i="3" s="1"/>
  <c r="KMC95" i="3"/>
  <c r="KME95" i="3" s="1"/>
  <c r="KLW95" i="3"/>
  <c r="KLU95" i="3"/>
  <c r="KLM95" i="3"/>
  <c r="KLO95" i="3" s="1"/>
  <c r="KLG95" i="3"/>
  <c r="KLE95" i="3"/>
  <c r="KKW95" i="3"/>
  <c r="KKY95" i="3" s="1"/>
  <c r="KKQ95" i="3"/>
  <c r="KKO95" i="3"/>
  <c r="KKG95" i="3"/>
  <c r="KKI95" i="3" s="1"/>
  <c r="KJY95" i="3"/>
  <c r="KKA95" i="3" s="1"/>
  <c r="KJQ95" i="3"/>
  <c r="KJS95" i="3" s="1"/>
  <c r="KJK95" i="3"/>
  <c r="KJI95" i="3"/>
  <c r="KJA95" i="3"/>
  <c r="KJC95" i="3" s="1"/>
  <c r="KIS95" i="3"/>
  <c r="KIU95" i="3" s="1"/>
  <c r="KIK95" i="3"/>
  <c r="KIM95" i="3" s="1"/>
  <c r="KIC95" i="3"/>
  <c r="KIE95" i="3" s="1"/>
  <c r="KHU95" i="3"/>
  <c r="KHW95" i="3" s="1"/>
  <c r="KHM95" i="3"/>
  <c r="KHO95" i="3" s="1"/>
  <c r="KHE95" i="3"/>
  <c r="KHG95" i="3" s="1"/>
  <c r="KGW95" i="3"/>
  <c r="KGY95" i="3" s="1"/>
  <c r="KGO95" i="3"/>
  <c r="KGQ95" i="3" s="1"/>
  <c r="KGG95" i="3"/>
  <c r="KGI95" i="3" s="1"/>
  <c r="KGA95" i="3"/>
  <c r="KFY95" i="3"/>
  <c r="KFQ95" i="3"/>
  <c r="KFS95" i="3" s="1"/>
  <c r="KFI95" i="3"/>
  <c r="KFK95" i="3" s="1"/>
  <c r="KFA95" i="3"/>
  <c r="KFC95" i="3" s="1"/>
  <c r="KES95" i="3"/>
  <c r="KEU95" i="3" s="1"/>
  <c r="KEK95" i="3"/>
  <c r="KEM95" i="3" s="1"/>
  <c r="KEC95" i="3"/>
  <c r="KEE95" i="3" s="1"/>
  <c r="KDU95" i="3"/>
  <c r="KDW95" i="3" s="1"/>
  <c r="KDM95" i="3"/>
  <c r="KDO95" i="3" s="1"/>
  <c r="KDE95" i="3"/>
  <c r="KDG95" i="3" s="1"/>
  <c r="KCW95" i="3"/>
  <c r="KCY95" i="3" s="1"/>
  <c r="KCO95" i="3"/>
  <c r="KCQ95" i="3" s="1"/>
  <c r="KCG95" i="3"/>
  <c r="KCI95" i="3" s="1"/>
  <c r="KBY95" i="3"/>
  <c r="KCA95" i="3" s="1"/>
  <c r="KBQ95" i="3"/>
  <c r="KBS95" i="3" s="1"/>
  <c r="KBI95" i="3"/>
  <c r="KBK95" i="3" s="1"/>
  <c r="KBA95" i="3"/>
  <c r="KBC95" i="3" s="1"/>
  <c r="KAS95" i="3"/>
  <c r="KAU95" i="3" s="1"/>
  <c r="KAK95" i="3"/>
  <c r="KAM95" i="3" s="1"/>
  <c r="KAC95" i="3"/>
  <c r="KAE95" i="3" s="1"/>
  <c r="JZU95" i="3"/>
  <c r="JZW95" i="3" s="1"/>
  <c r="JZM95" i="3"/>
  <c r="JZO95" i="3" s="1"/>
  <c r="JZE95" i="3"/>
  <c r="JZG95" i="3" s="1"/>
  <c r="JYW95" i="3"/>
  <c r="JYY95" i="3" s="1"/>
  <c r="JYO95" i="3"/>
  <c r="JYQ95" i="3" s="1"/>
  <c r="JYG95" i="3"/>
  <c r="JYI95" i="3" s="1"/>
  <c r="JXY95" i="3"/>
  <c r="JYA95" i="3" s="1"/>
  <c r="JXQ95" i="3"/>
  <c r="JXS95" i="3" s="1"/>
  <c r="JXI95" i="3"/>
  <c r="JXK95" i="3" s="1"/>
  <c r="JXA95" i="3"/>
  <c r="JXC95" i="3" s="1"/>
  <c r="JWS95" i="3"/>
  <c r="JWU95" i="3" s="1"/>
  <c r="JWK95" i="3"/>
  <c r="JWM95" i="3" s="1"/>
  <c r="JWC95" i="3"/>
  <c r="JWE95" i="3" s="1"/>
  <c r="JVW95" i="3"/>
  <c r="JVU95" i="3"/>
  <c r="JVM95" i="3"/>
  <c r="JVO95" i="3" s="1"/>
  <c r="JVG95" i="3"/>
  <c r="JVE95" i="3"/>
  <c r="JUW95" i="3"/>
  <c r="JUY95" i="3" s="1"/>
  <c r="JUO95" i="3"/>
  <c r="JUQ95" i="3" s="1"/>
  <c r="JUG95" i="3"/>
  <c r="JUI95" i="3" s="1"/>
  <c r="JTY95" i="3"/>
  <c r="JUA95" i="3" s="1"/>
  <c r="JTQ95" i="3"/>
  <c r="JTS95" i="3" s="1"/>
  <c r="JTI95" i="3"/>
  <c r="JTK95" i="3" s="1"/>
  <c r="JTA95" i="3"/>
  <c r="JTC95" i="3" s="1"/>
  <c r="JSU95" i="3"/>
  <c r="JSS95" i="3"/>
  <c r="JSK95" i="3"/>
  <c r="JSM95" i="3" s="1"/>
  <c r="JSC95" i="3"/>
  <c r="JSE95" i="3" s="1"/>
  <c r="JRU95" i="3"/>
  <c r="JRW95" i="3" s="1"/>
  <c r="JRM95" i="3"/>
  <c r="JRO95" i="3" s="1"/>
  <c r="JRE95" i="3"/>
  <c r="JRG95" i="3" s="1"/>
  <c r="JQW95" i="3"/>
  <c r="JQY95" i="3" s="1"/>
  <c r="JQO95" i="3"/>
  <c r="JQQ95" i="3" s="1"/>
  <c r="JQG95" i="3"/>
  <c r="JQI95" i="3" s="1"/>
  <c r="JPY95" i="3"/>
  <c r="JQA95" i="3" s="1"/>
  <c r="JPQ95" i="3"/>
  <c r="JPS95" i="3" s="1"/>
  <c r="JPI95" i="3"/>
  <c r="JPK95" i="3" s="1"/>
  <c r="JPC95" i="3"/>
  <c r="JPA95" i="3"/>
  <c r="JOS95" i="3"/>
  <c r="JOU95" i="3" s="1"/>
  <c r="JOK95" i="3"/>
  <c r="JOM95" i="3" s="1"/>
  <c r="JOC95" i="3"/>
  <c r="JOE95" i="3" s="1"/>
  <c r="JNU95" i="3"/>
  <c r="JNW95" i="3" s="1"/>
  <c r="JNM95" i="3"/>
  <c r="JNO95" i="3" s="1"/>
  <c r="JNE95" i="3"/>
  <c r="JNG95" i="3" s="1"/>
  <c r="JMW95" i="3"/>
  <c r="JMY95" i="3" s="1"/>
  <c r="JMO95" i="3"/>
  <c r="JMQ95" i="3" s="1"/>
  <c r="JMG95" i="3"/>
  <c r="JMI95" i="3" s="1"/>
  <c r="JMA95" i="3"/>
  <c r="JLY95" i="3"/>
  <c r="JLQ95" i="3"/>
  <c r="JLS95" i="3" s="1"/>
  <c r="JLK95" i="3"/>
  <c r="JLI95" i="3"/>
  <c r="JLA95" i="3"/>
  <c r="JLC95" i="3" s="1"/>
  <c r="JKS95" i="3"/>
  <c r="JKU95" i="3" s="1"/>
  <c r="JKK95" i="3"/>
  <c r="JKM95" i="3" s="1"/>
  <c r="JKC95" i="3"/>
  <c r="JKE95" i="3" s="1"/>
  <c r="JJU95" i="3"/>
  <c r="JJW95" i="3" s="1"/>
  <c r="JJM95" i="3"/>
  <c r="JJO95" i="3" s="1"/>
  <c r="JJE95" i="3"/>
  <c r="JJG95" i="3" s="1"/>
  <c r="JIY95" i="3"/>
  <c r="JIW95" i="3"/>
  <c r="JIO95" i="3"/>
  <c r="JIQ95" i="3" s="1"/>
  <c r="JIG95" i="3"/>
  <c r="JII95" i="3" s="1"/>
  <c r="JHY95" i="3"/>
  <c r="JIA95" i="3" s="1"/>
  <c r="JHS95" i="3"/>
  <c r="JHQ95" i="3"/>
  <c r="JHI95" i="3"/>
  <c r="JHK95" i="3" s="1"/>
  <c r="JHA95" i="3"/>
  <c r="JHC95" i="3" s="1"/>
  <c r="JGS95" i="3"/>
  <c r="JGU95" i="3" s="1"/>
  <c r="JGK95" i="3"/>
  <c r="JGM95" i="3" s="1"/>
  <c r="JGC95" i="3"/>
  <c r="JGE95" i="3" s="1"/>
  <c r="JFW95" i="3"/>
  <c r="JFU95" i="3"/>
  <c r="JFM95" i="3"/>
  <c r="JFO95" i="3" s="1"/>
  <c r="JFE95" i="3"/>
  <c r="JFG95" i="3" s="1"/>
  <c r="JEW95" i="3"/>
  <c r="JEY95" i="3" s="1"/>
  <c r="JEO95" i="3"/>
  <c r="JEQ95" i="3" s="1"/>
  <c r="JEG95" i="3"/>
  <c r="JEI95" i="3" s="1"/>
  <c r="JDY95" i="3"/>
  <c r="JEA95" i="3" s="1"/>
  <c r="JDQ95" i="3"/>
  <c r="JDS95" i="3" s="1"/>
  <c r="JDK95" i="3"/>
  <c r="JDI95" i="3"/>
  <c r="JDA95" i="3"/>
  <c r="JDC95" i="3" s="1"/>
  <c r="JCS95" i="3"/>
  <c r="JCU95" i="3" s="1"/>
  <c r="JCK95" i="3"/>
  <c r="JCM95" i="3" s="1"/>
  <c r="JCC95" i="3"/>
  <c r="JCE95" i="3" s="1"/>
  <c r="JBU95" i="3"/>
  <c r="JBW95" i="3" s="1"/>
  <c r="JBM95" i="3"/>
  <c r="JBO95" i="3" s="1"/>
  <c r="JBE95" i="3"/>
  <c r="JBG95" i="3" s="1"/>
  <c r="JAW95" i="3"/>
  <c r="JAY95" i="3" s="1"/>
  <c r="JAO95" i="3"/>
  <c r="JAQ95" i="3" s="1"/>
  <c r="JAG95" i="3"/>
  <c r="JAI95" i="3" s="1"/>
  <c r="IZY95" i="3"/>
  <c r="JAA95" i="3" s="1"/>
  <c r="IZQ95" i="3"/>
  <c r="IZS95" i="3" s="1"/>
  <c r="IZI95" i="3"/>
  <c r="IZK95" i="3" s="1"/>
  <c r="IZC95" i="3"/>
  <c r="IZA95" i="3"/>
  <c r="IYS95" i="3"/>
  <c r="IYU95" i="3" s="1"/>
  <c r="IYK95" i="3"/>
  <c r="IYM95" i="3" s="1"/>
  <c r="IYC95" i="3"/>
  <c r="IYE95" i="3" s="1"/>
  <c r="IXU95" i="3"/>
  <c r="IXW95" i="3" s="1"/>
  <c r="IXM95" i="3"/>
  <c r="IXO95" i="3" s="1"/>
  <c r="IXE95" i="3"/>
  <c r="IXG95" i="3" s="1"/>
  <c r="IWW95" i="3"/>
  <c r="IWY95" i="3" s="1"/>
  <c r="IWO95" i="3"/>
  <c r="IWQ95" i="3" s="1"/>
  <c r="IWG95" i="3"/>
  <c r="IWI95" i="3" s="1"/>
  <c r="IWA95" i="3"/>
  <c r="IVY95" i="3"/>
  <c r="IVQ95" i="3"/>
  <c r="IVS95" i="3" s="1"/>
  <c r="IVI95" i="3"/>
  <c r="IVK95" i="3" s="1"/>
  <c r="IVA95" i="3"/>
  <c r="IVC95" i="3" s="1"/>
  <c r="IUS95" i="3"/>
  <c r="IUU95" i="3" s="1"/>
  <c r="IUK95" i="3"/>
  <c r="IUM95" i="3" s="1"/>
  <c r="IUC95" i="3"/>
  <c r="IUE95" i="3" s="1"/>
  <c r="ITU95" i="3"/>
  <c r="ITW95" i="3" s="1"/>
  <c r="ITM95" i="3"/>
  <c r="ITO95" i="3" s="1"/>
  <c r="ITE95" i="3"/>
  <c r="ITG95" i="3" s="1"/>
  <c r="ISW95" i="3"/>
  <c r="ISY95" i="3" s="1"/>
  <c r="ISO95" i="3"/>
  <c r="ISQ95" i="3" s="1"/>
  <c r="ISG95" i="3"/>
  <c r="ISI95" i="3" s="1"/>
  <c r="IRY95" i="3"/>
  <c r="ISA95" i="3" s="1"/>
  <c r="IRQ95" i="3"/>
  <c r="IRS95" i="3" s="1"/>
  <c r="IRI95" i="3"/>
  <c r="IRK95" i="3" s="1"/>
  <c r="IRA95" i="3"/>
  <c r="IRC95" i="3" s="1"/>
  <c r="IQS95" i="3"/>
  <c r="IQU95" i="3" s="1"/>
  <c r="IQM95" i="3"/>
  <c r="IQK95" i="3"/>
  <c r="IQC95" i="3"/>
  <c r="IQE95" i="3" s="1"/>
  <c r="IPU95" i="3"/>
  <c r="IPW95" i="3" s="1"/>
  <c r="IPM95" i="3"/>
  <c r="IPO95" i="3" s="1"/>
  <c r="IPE95" i="3"/>
  <c r="IPG95" i="3" s="1"/>
  <c r="IOW95" i="3"/>
  <c r="IOY95" i="3" s="1"/>
  <c r="IOO95" i="3"/>
  <c r="IOQ95" i="3" s="1"/>
  <c r="IOG95" i="3"/>
  <c r="IOI95" i="3" s="1"/>
  <c r="INY95" i="3"/>
  <c r="IOA95" i="3" s="1"/>
  <c r="INS95" i="3"/>
  <c r="INQ95" i="3"/>
  <c r="INI95" i="3"/>
  <c r="INK95" i="3" s="1"/>
  <c r="INA95" i="3"/>
  <c r="INC95" i="3" s="1"/>
  <c r="IMS95" i="3"/>
  <c r="IMU95" i="3" s="1"/>
  <c r="IMK95" i="3"/>
  <c r="IMM95" i="3" s="1"/>
  <c r="IMC95" i="3"/>
  <c r="IME95" i="3" s="1"/>
  <c r="ILU95" i="3"/>
  <c r="ILW95" i="3" s="1"/>
  <c r="ILM95" i="3"/>
  <c r="ILO95" i="3" s="1"/>
  <c r="ILE95" i="3"/>
  <c r="ILG95" i="3" s="1"/>
  <c r="IKW95" i="3"/>
  <c r="IKY95" i="3" s="1"/>
  <c r="IKO95" i="3"/>
  <c r="IKQ95" i="3" s="1"/>
  <c r="IKG95" i="3"/>
  <c r="IKI95" i="3" s="1"/>
  <c r="IJY95" i="3"/>
  <c r="IKA95" i="3" s="1"/>
  <c r="IJQ95" i="3"/>
  <c r="IJS95" i="3" s="1"/>
  <c r="IJI95" i="3"/>
  <c r="IJK95" i="3" s="1"/>
  <c r="IJA95" i="3"/>
  <c r="IJC95" i="3" s="1"/>
  <c r="IIS95" i="3"/>
  <c r="IIU95" i="3" s="1"/>
  <c r="IIK95" i="3"/>
  <c r="IIM95" i="3" s="1"/>
  <c r="IIC95" i="3"/>
  <c r="IIE95" i="3" s="1"/>
  <c r="IHW95" i="3"/>
  <c r="IHU95" i="3"/>
  <c r="IHM95" i="3"/>
  <c r="IHO95" i="3" s="1"/>
  <c r="IHE95" i="3"/>
  <c r="IHG95" i="3" s="1"/>
  <c r="IGW95" i="3"/>
  <c r="IGY95" i="3" s="1"/>
  <c r="IGO95" i="3"/>
  <c r="IGQ95" i="3" s="1"/>
  <c r="IGG95" i="3"/>
  <c r="IGI95" i="3" s="1"/>
  <c r="IFY95" i="3"/>
  <c r="IGA95" i="3" s="1"/>
  <c r="IFQ95" i="3"/>
  <c r="IFS95" i="3" s="1"/>
  <c r="IFI95" i="3"/>
  <c r="IFK95" i="3" s="1"/>
  <c r="IFA95" i="3"/>
  <c r="IFC95" i="3" s="1"/>
  <c r="IES95" i="3"/>
  <c r="IEU95" i="3" s="1"/>
  <c r="IEK95" i="3"/>
  <c r="IEM95" i="3" s="1"/>
  <c r="IEC95" i="3"/>
  <c r="IEE95" i="3" s="1"/>
  <c r="IDU95" i="3"/>
  <c r="IDW95" i="3" s="1"/>
  <c r="IDM95" i="3"/>
  <c r="IDO95" i="3" s="1"/>
  <c r="IDE95" i="3"/>
  <c r="IDG95" i="3" s="1"/>
  <c r="ICW95" i="3"/>
  <c r="ICY95" i="3" s="1"/>
  <c r="ICQ95" i="3"/>
  <c r="ICO95" i="3"/>
  <c r="ICG95" i="3"/>
  <c r="ICI95" i="3" s="1"/>
  <c r="IBY95" i="3"/>
  <c r="ICA95" i="3" s="1"/>
  <c r="IBQ95" i="3"/>
  <c r="IBS95" i="3" s="1"/>
  <c r="IBI95" i="3"/>
  <c r="IBK95" i="3" s="1"/>
  <c r="IBC95" i="3"/>
  <c r="IBA95" i="3"/>
  <c r="IAS95" i="3"/>
  <c r="IAU95" i="3" s="1"/>
  <c r="IAK95" i="3"/>
  <c r="IAM95" i="3" s="1"/>
  <c r="IAC95" i="3"/>
  <c r="IAE95" i="3" s="1"/>
  <c r="HZU95" i="3"/>
  <c r="HZW95" i="3" s="1"/>
  <c r="HZM95" i="3"/>
  <c r="HZO95" i="3" s="1"/>
  <c r="HZG95" i="3"/>
  <c r="HZE95" i="3"/>
  <c r="HYW95" i="3"/>
  <c r="HYY95" i="3" s="1"/>
  <c r="HYO95" i="3"/>
  <c r="HYQ95" i="3" s="1"/>
  <c r="HYG95" i="3"/>
  <c r="HYI95" i="3" s="1"/>
  <c r="HXY95" i="3"/>
  <c r="HYA95" i="3" s="1"/>
  <c r="HXQ95" i="3"/>
  <c r="HXS95" i="3" s="1"/>
  <c r="HXI95" i="3"/>
  <c r="HXK95" i="3" s="1"/>
  <c r="HXA95" i="3"/>
  <c r="HXC95" i="3" s="1"/>
  <c r="HWS95" i="3"/>
  <c r="HWU95" i="3" s="1"/>
  <c r="HWK95" i="3"/>
  <c r="HWM95" i="3" s="1"/>
  <c r="HWE95" i="3"/>
  <c r="HWC95" i="3"/>
  <c r="HVU95" i="3"/>
  <c r="HVW95" i="3" s="1"/>
  <c r="HVM95" i="3"/>
  <c r="HVO95" i="3" s="1"/>
  <c r="HVG95" i="3"/>
  <c r="HVE95" i="3"/>
  <c r="HUW95" i="3"/>
  <c r="HUY95" i="3" s="1"/>
  <c r="HUO95" i="3"/>
  <c r="HUQ95" i="3" s="1"/>
  <c r="HUG95" i="3"/>
  <c r="HUI95" i="3" s="1"/>
  <c r="HTY95" i="3"/>
  <c r="HUA95" i="3" s="1"/>
  <c r="HTS95" i="3"/>
  <c r="HTQ95" i="3"/>
  <c r="HTI95" i="3"/>
  <c r="HTK95" i="3" s="1"/>
  <c r="HTA95" i="3"/>
  <c r="HTC95" i="3" s="1"/>
  <c r="HSS95" i="3"/>
  <c r="HSU95" i="3" s="1"/>
  <c r="HSK95" i="3"/>
  <c r="HSM95" i="3" s="1"/>
  <c r="HSC95" i="3"/>
  <c r="HSE95" i="3" s="1"/>
  <c r="HRU95" i="3"/>
  <c r="HRW95" i="3" s="1"/>
  <c r="HRM95" i="3"/>
  <c r="HRO95" i="3" s="1"/>
  <c r="HRE95" i="3"/>
  <c r="HRG95" i="3" s="1"/>
  <c r="HQW95" i="3"/>
  <c r="HQY95" i="3" s="1"/>
  <c r="HQQ95" i="3"/>
  <c r="HQO95" i="3"/>
  <c r="HQG95" i="3"/>
  <c r="HQI95" i="3" s="1"/>
  <c r="HPY95" i="3"/>
  <c r="HQA95" i="3" s="1"/>
  <c r="HPQ95" i="3"/>
  <c r="HPS95" i="3" s="1"/>
  <c r="HPI95" i="3"/>
  <c r="HPK95" i="3" s="1"/>
  <c r="HPA95" i="3"/>
  <c r="HPC95" i="3" s="1"/>
  <c r="HOS95" i="3"/>
  <c r="HOU95" i="3" s="1"/>
  <c r="HOK95" i="3"/>
  <c r="HOM95" i="3" s="1"/>
  <c r="HOE95" i="3"/>
  <c r="HOC95" i="3"/>
  <c r="HNU95" i="3"/>
  <c r="HNW95" i="3" s="1"/>
  <c r="HNM95" i="3"/>
  <c r="HNO95" i="3" s="1"/>
  <c r="HNE95" i="3"/>
  <c r="HNG95" i="3" s="1"/>
  <c r="HMW95" i="3"/>
  <c r="HMY95" i="3" s="1"/>
  <c r="HMO95" i="3"/>
  <c r="HMQ95" i="3" s="1"/>
  <c r="HMI95" i="3"/>
  <c r="HMG95" i="3"/>
  <c r="HLY95" i="3"/>
  <c r="HMA95" i="3" s="1"/>
  <c r="HLQ95" i="3"/>
  <c r="HLS95" i="3" s="1"/>
  <c r="HLK95" i="3"/>
  <c r="HLI95" i="3"/>
  <c r="HLC95" i="3"/>
  <c r="HLA95" i="3"/>
  <c r="HKS95" i="3"/>
  <c r="HKU95" i="3" s="1"/>
  <c r="HKK95" i="3"/>
  <c r="HKM95" i="3" s="1"/>
  <c r="HKE95" i="3"/>
  <c r="HKC95" i="3"/>
  <c r="HJU95" i="3"/>
  <c r="HJW95" i="3" s="1"/>
  <c r="HJM95" i="3"/>
  <c r="HJO95" i="3" s="1"/>
  <c r="HJE95" i="3"/>
  <c r="HJG95" i="3" s="1"/>
  <c r="HIW95" i="3"/>
  <c r="HIY95" i="3" s="1"/>
  <c r="HIO95" i="3"/>
  <c r="HIQ95" i="3" s="1"/>
  <c r="HIG95" i="3"/>
  <c r="HII95" i="3" s="1"/>
  <c r="HIA95" i="3"/>
  <c r="HHY95" i="3"/>
  <c r="HHQ95" i="3"/>
  <c r="HHS95" i="3" s="1"/>
  <c r="HHI95" i="3"/>
  <c r="HHK95" i="3" s="1"/>
  <c r="HHA95" i="3"/>
  <c r="HHC95" i="3" s="1"/>
  <c r="HGS95" i="3"/>
  <c r="HGU95" i="3" s="1"/>
  <c r="HGK95" i="3"/>
  <c r="HGM95" i="3" s="1"/>
  <c r="HGC95" i="3"/>
  <c r="HGE95" i="3" s="1"/>
  <c r="HFU95" i="3"/>
  <c r="HFW95" i="3" s="1"/>
  <c r="HFM95" i="3"/>
  <c r="HFO95" i="3" s="1"/>
  <c r="HFE95" i="3"/>
  <c r="HFG95" i="3" s="1"/>
  <c r="HEY95" i="3"/>
  <c r="HEW95" i="3"/>
  <c r="HEO95" i="3"/>
  <c r="HEQ95" i="3" s="1"/>
  <c r="HEG95" i="3"/>
  <c r="HEI95" i="3" s="1"/>
  <c r="HDY95" i="3"/>
  <c r="HEA95" i="3" s="1"/>
  <c r="HDQ95" i="3"/>
  <c r="HDS95" i="3" s="1"/>
  <c r="HDI95" i="3"/>
  <c r="HDK95" i="3" s="1"/>
  <c r="HDA95" i="3"/>
  <c r="HDC95" i="3" s="1"/>
  <c r="HCS95" i="3"/>
  <c r="HCU95" i="3" s="1"/>
  <c r="HCK95" i="3"/>
  <c r="HCM95" i="3" s="1"/>
  <c r="HCC95" i="3"/>
  <c r="HCE95" i="3" s="1"/>
  <c r="HBU95" i="3"/>
  <c r="HBW95" i="3" s="1"/>
  <c r="HBM95" i="3"/>
  <c r="HBO95" i="3" s="1"/>
  <c r="HBG95" i="3"/>
  <c r="HBE95" i="3"/>
  <c r="HAW95" i="3"/>
  <c r="HAY95" i="3" s="1"/>
  <c r="HAO95" i="3"/>
  <c r="HAQ95" i="3" s="1"/>
  <c r="HAI95" i="3"/>
  <c r="HAG95" i="3"/>
  <c r="HAA95" i="3"/>
  <c r="GZY95" i="3"/>
  <c r="GZQ95" i="3"/>
  <c r="GZS95" i="3" s="1"/>
  <c r="GZK95" i="3"/>
  <c r="GZI95" i="3"/>
  <c r="GZA95" i="3"/>
  <c r="GZC95" i="3" s="1"/>
  <c r="GYS95" i="3"/>
  <c r="GYU95" i="3" s="1"/>
  <c r="GYK95" i="3"/>
  <c r="GYM95" i="3" s="1"/>
  <c r="GYC95" i="3"/>
  <c r="GYE95" i="3" s="1"/>
  <c r="GXU95" i="3"/>
  <c r="GXW95" i="3" s="1"/>
  <c r="GXO95" i="3"/>
  <c r="GXM95" i="3"/>
  <c r="GXE95" i="3"/>
  <c r="GXG95" i="3" s="1"/>
  <c r="GWW95" i="3"/>
  <c r="GWY95" i="3" s="1"/>
  <c r="GWO95" i="3"/>
  <c r="GWQ95" i="3" s="1"/>
  <c r="GWG95" i="3"/>
  <c r="GWI95" i="3" s="1"/>
  <c r="GVY95" i="3"/>
  <c r="GWA95" i="3" s="1"/>
  <c r="GVQ95" i="3"/>
  <c r="GVS95" i="3" s="1"/>
  <c r="GVI95" i="3"/>
  <c r="GVK95" i="3" s="1"/>
  <c r="GVA95" i="3"/>
  <c r="GVC95" i="3" s="1"/>
  <c r="GUS95" i="3"/>
  <c r="GUU95" i="3" s="1"/>
  <c r="GUK95" i="3"/>
  <c r="GUM95" i="3" s="1"/>
  <c r="GUC95" i="3"/>
  <c r="GUE95" i="3" s="1"/>
  <c r="GTU95" i="3"/>
  <c r="GTW95" i="3" s="1"/>
  <c r="GTM95" i="3"/>
  <c r="GTO95" i="3" s="1"/>
  <c r="GTG95" i="3"/>
  <c r="GTE95" i="3"/>
  <c r="GSY95" i="3"/>
  <c r="GSW95" i="3"/>
  <c r="GSO95" i="3"/>
  <c r="GSQ95" i="3" s="1"/>
  <c r="GSG95" i="3"/>
  <c r="GSI95" i="3" s="1"/>
  <c r="GRY95" i="3"/>
  <c r="GSA95" i="3" s="1"/>
  <c r="GRQ95" i="3"/>
  <c r="GRS95" i="3" s="1"/>
  <c r="GRK95" i="3"/>
  <c r="GRI95" i="3"/>
  <c r="GRA95" i="3"/>
  <c r="GRC95" i="3" s="1"/>
  <c r="GQS95" i="3"/>
  <c r="GQU95" i="3" s="1"/>
  <c r="GQK95" i="3"/>
  <c r="GQM95" i="3" s="1"/>
  <c r="GQC95" i="3"/>
  <c r="GQE95" i="3" s="1"/>
  <c r="GPU95" i="3"/>
  <c r="GPW95" i="3" s="1"/>
  <c r="GPM95" i="3"/>
  <c r="GPO95" i="3" s="1"/>
  <c r="GPE95" i="3"/>
  <c r="GPG95" i="3" s="1"/>
  <c r="GOW95" i="3"/>
  <c r="GOY95" i="3" s="1"/>
  <c r="GOO95" i="3"/>
  <c r="GOQ95" i="3" s="1"/>
  <c r="GOG95" i="3"/>
  <c r="GOI95" i="3" s="1"/>
  <c r="GNY95" i="3"/>
  <c r="GOA95" i="3" s="1"/>
  <c r="GNQ95" i="3"/>
  <c r="GNS95" i="3" s="1"/>
  <c r="GNK95" i="3"/>
  <c r="GNI95" i="3"/>
  <c r="GNA95" i="3"/>
  <c r="GNC95" i="3" s="1"/>
  <c r="GMS95" i="3"/>
  <c r="GMU95" i="3" s="1"/>
  <c r="GMK95" i="3"/>
  <c r="GMM95" i="3" s="1"/>
  <c r="GME95" i="3"/>
  <c r="GMC95" i="3"/>
  <c r="GLU95" i="3"/>
  <c r="GLW95" i="3" s="1"/>
  <c r="GLM95" i="3"/>
  <c r="GLO95" i="3" s="1"/>
  <c r="GLE95" i="3"/>
  <c r="GLG95" i="3" s="1"/>
  <c r="GKW95" i="3"/>
  <c r="GKY95" i="3" s="1"/>
  <c r="GKO95" i="3"/>
  <c r="GKQ95" i="3" s="1"/>
  <c r="GKG95" i="3"/>
  <c r="GKI95" i="3" s="1"/>
  <c r="GJY95" i="3"/>
  <c r="GKA95" i="3" s="1"/>
  <c r="GJQ95" i="3"/>
  <c r="GJS95" i="3" s="1"/>
  <c r="GJI95" i="3"/>
  <c r="GJK95" i="3" s="1"/>
  <c r="GJA95" i="3"/>
  <c r="GJC95" i="3" s="1"/>
  <c r="GIU95" i="3"/>
  <c r="GIS95" i="3"/>
  <c r="GIK95" i="3"/>
  <c r="GIM95" i="3" s="1"/>
  <c r="GIC95" i="3"/>
  <c r="GIE95" i="3" s="1"/>
  <c r="GHW95" i="3"/>
  <c r="GHU95" i="3"/>
  <c r="GHM95" i="3"/>
  <c r="GHO95" i="3" s="1"/>
  <c r="GHE95" i="3"/>
  <c r="GHG95" i="3" s="1"/>
  <c r="GGW95" i="3"/>
  <c r="GGY95" i="3" s="1"/>
  <c r="GGO95" i="3"/>
  <c r="GGQ95" i="3" s="1"/>
  <c r="GGG95" i="3"/>
  <c r="GGI95" i="3" s="1"/>
  <c r="GFY95" i="3"/>
  <c r="GGA95" i="3" s="1"/>
  <c r="GFS95" i="3"/>
  <c r="GFQ95" i="3"/>
  <c r="GFI95" i="3"/>
  <c r="GFK95" i="3" s="1"/>
  <c r="GFA95" i="3"/>
  <c r="GFC95" i="3" s="1"/>
  <c r="GEU95" i="3"/>
  <c r="GES95" i="3"/>
  <c r="GEK95" i="3"/>
  <c r="GEM95" i="3" s="1"/>
  <c r="GEC95" i="3"/>
  <c r="GEE95" i="3" s="1"/>
  <c r="GDU95" i="3"/>
  <c r="GDW95" i="3" s="1"/>
  <c r="GDM95" i="3"/>
  <c r="GDO95" i="3" s="1"/>
  <c r="GDG95" i="3"/>
  <c r="GDE95" i="3"/>
  <c r="GCW95" i="3"/>
  <c r="GCY95" i="3" s="1"/>
  <c r="GCO95" i="3"/>
  <c r="GCQ95" i="3" s="1"/>
  <c r="GCG95" i="3"/>
  <c r="GCI95" i="3" s="1"/>
  <c r="GCA95" i="3"/>
  <c r="GBY95" i="3"/>
  <c r="GBQ95" i="3"/>
  <c r="GBS95" i="3" s="1"/>
  <c r="GBI95" i="3"/>
  <c r="GBK95" i="3" s="1"/>
  <c r="GBA95" i="3"/>
  <c r="GBC95" i="3" s="1"/>
  <c r="GAS95" i="3"/>
  <c r="GAU95" i="3" s="1"/>
  <c r="GAK95" i="3"/>
  <c r="GAM95" i="3" s="1"/>
  <c r="GAC95" i="3"/>
  <c r="GAE95" i="3" s="1"/>
  <c r="FZU95" i="3"/>
  <c r="FZW95" i="3" s="1"/>
  <c r="FZM95" i="3"/>
  <c r="FZO95" i="3" s="1"/>
  <c r="FZE95" i="3"/>
  <c r="FZG95" i="3" s="1"/>
  <c r="FYY95" i="3"/>
  <c r="FYW95" i="3"/>
  <c r="FYO95" i="3"/>
  <c r="FYQ95" i="3" s="1"/>
  <c r="FYG95" i="3"/>
  <c r="FYI95" i="3" s="1"/>
  <c r="FXY95" i="3"/>
  <c r="FYA95" i="3" s="1"/>
  <c r="FXQ95" i="3"/>
  <c r="FXS95" i="3" s="1"/>
  <c r="FXK95" i="3"/>
  <c r="FXI95" i="3"/>
  <c r="FXC95" i="3"/>
  <c r="FXA95" i="3"/>
  <c r="FWS95" i="3"/>
  <c r="FWU95" i="3" s="1"/>
  <c r="FWK95" i="3"/>
  <c r="FWM95" i="3" s="1"/>
  <c r="FWC95" i="3"/>
  <c r="FWE95" i="3" s="1"/>
  <c r="FVU95" i="3"/>
  <c r="FVW95" i="3" s="1"/>
  <c r="FVM95" i="3"/>
  <c r="FVO95" i="3" s="1"/>
  <c r="FVG95" i="3"/>
  <c r="FVE95" i="3"/>
  <c r="FUY95" i="3"/>
  <c r="FUW95" i="3"/>
  <c r="FUO95" i="3"/>
  <c r="FUQ95" i="3" s="1"/>
  <c r="FUG95" i="3"/>
  <c r="FUI95" i="3" s="1"/>
  <c r="FTY95" i="3"/>
  <c r="FUA95" i="3" s="1"/>
  <c r="FTQ95" i="3"/>
  <c r="FTS95" i="3" s="1"/>
  <c r="FTI95" i="3"/>
  <c r="FTK95" i="3" s="1"/>
  <c r="FTA95" i="3"/>
  <c r="FTC95" i="3" s="1"/>
  <c r="FSS95" i="3"/>
  <c r="FSU95" i="3" s="1"/>
  <c r="FSK95" i="3"/>
  <c r="FSM95" i="3" s="1"/>
  <c r="FSC95" i="3"/>
  <c r="FSE95" i="3" s="1"/>
  <c r="FRU95" i="3"/>
  <c r="FRW95" i="3" s="1"/>
  <c r="FRM95" i="3"/>
  <c r="FRO95" i="3" s="1"/>
  <c r="FRG95" i="3"/>
  <c r="FRE95" i="3"/>
  <c r="FQY95" i="3"/>
  <c r="FQW95" i="3"/>
  <c r="FQO95" i="3"/>
  <c r="FQQ95" i="3" s="1"/>
  <c r="FQG95" i="3"/>
  <c r="FQI95" i="3" s="1"/>
  <c r="FPY95" i="3"/>
  <c r="FQA95" i="3" s="1"/>
  <c r="FPQ95" i="3"/>
  <c r="FPS95" i="3" s="1"/>
  <c r="FPK95" i="3"/>
  <c r="FPI95" i="3"/>
  <c r="FPA95" i="3"/>
  <c r="FPC95" i="3" s="1"/>
  <c r="FOS95" i="3"/>
  <c r="FOU95" i="3" s="1"/>
  <c r="FOK95" i="3"/>
  <c r="FOM95" i="3" s="1"/>
  <c r="FOC95" i="3"/>
  <c r="FOE95" i="3" s="1"/>
  <c r="FNU95" i="3"/>
  <c r="FNW95" i="3" s="1"/>
  <c r="FNM95" i="3"/>
  <c r="FNO95" i="3" s="1"/>
  <c r="FNE95" i="3"/>
  <c r="FNG95" i="3" s="1"/>
  <c r="FMW95" i="3"/>
  <c r="FMY95" i="3" s="1"/>
  <c r="FMO95" i="3"/>
  <c r="FMQ95" i="3" s="1"/>
  <c r="FMG95" i="3"/>
  <c r="FMI95" i="3" s="1"/>
  <c r="FLY95" i="3"/>
  <c r="FMA95" i="3" s="1"/>
  <c r="FLQ95" i="3"/>
  <c r="FLS95" i="3" s="1"/>
  <c r="FLI95" i="3"/>
  <c r="FLK95" i="3" s="1"/>
  <c r="FLA95" i="3"/>
  <c r="FLC95" i="3" s="1"/>
  <c r="FKU95" i="3"/>
  <c r="FKS95" i="3"/>
  <c r="FKK95" i="3"/>
  <c r="FKM95" i="3" s="1"/>
  <c r="FKE95" i="3"/>
  <c r="FKC95" i="3"/>
  <c r="FJW95" i="3"/>
  <c r="FJU95" i="3"/>
  <c r="FJM95" i="3"/>
  <c r="FJO95" i="3" s="1"/>
  <c r="FJE95" i="3"/>
  <c r="FJG95" i="3" s="1"/>
  <c r="FIY95" i="3"/>
  <c r="FIW95" i="3"/>
  <c r="FIO95" i="3"/>
  <c r="FIQ95" i="3" s="1"/>
  <c r="FIG95" i="3"/>
  <c r="FII95" i="3" s="1"/>
  <c r="FHY95" i="3"/>
  <c r="FIA95" i="3" s="1"/>
  <c r="FHS95" i="3"/>
  <c r="FHQ95" i="3"/>
  <c r="FHI95" i="3"/>
  <c r="FHK95" i="3" s="1"/>
  <c r="FHA95" i="3"/>
  <c r="FHC95" i="3" s="1"/>
  <c r="FGS95" i="3"/>
  <c r="FGU95" i="3" s="1"/>
  <c r="FGK95" i="3"/>
  <c r="FGM95" i="3" s="1"/>
  <c r="FGC95" i="3"/>
  <c r="FGE95" i="3" s="1"/>
  <c r="FFU95" i="3"/>
  <c r="FFW95" i="3" s="1"/>
  <c r="FFM95" i="3"/>
  <c r="FFO95" i="3" s="1"/>
  <c r="FFE95" i="3"/>
  <c r="FFG95" i="3" s="1"/>
  <c r="FEW95" i="3"/>
  <c r="FEY95" i="3" s="1"/>
  <c r="FEQ95" i="3"/>
  <c r="FEO95" i="3"/>
  <c r="FEG95" i="3"/>
  <c r="FEI95" i="3" s="1"/>
  <c r="FDY95" i="3"/>
  <c r="FEA95" i="3" s="1"/>
  <c r="FDQ95" i="3"/>
  <c r="FDS95" i="3" s="1"/>
  <c r="FDK95" i="3"/>
  <c r="FDI95" i="3"/>
  <c r="FDC95" i="3"/>
  <c r="FDA95" i="3"/>
  <c r="FCS95" i="3"/>
  <c r="FCU95" i="3" s="1"/>
  <c r="FCK95" i="3"/>
  <c r="FCM95" i="3" s="1"/>
  <c r="FCC95" i="3"/>
  <c r="FCE95" i="3" s="1"/>
  <c r="FBU95" i="3"/>
  <c r="FBW95" i="3" s="1"/>
  <c r="FBM95" i="3"/>
  <c r="FBO95" i="3" s="1"/>
  <c r="FBE95" i="3"/>
  <c r="FBG95" i="3" s="1"/>
  <c r="FAW95" i="3"/>
  <c r="FAY95" i="3" s="1"/>
  <c r="FAO95" i="3"/>
  <c r="FAQ95" i="3" s="1"/>
  <c r="FAG95" i="3"/>
  <c r="FAI95" i="3" s="1"/>
  <c r="EZY95" i="3"/>
  <c r="FAA95" i="3" s="1"/>
  <c r="EZQ95" i="3"/>
  <c r="EZS95" i="3" s="1"/>
  <c r="EZK95" i="3"/>
  <c r="EZI95" i="3"/>
  <c r="EZA95" i="3"/>
  <c r="EZC95" i="3" s="1"/>
  <c r="EYS95" i="3"/>
  <c r="EYU95" i="3" s="1"/>
  <c r="EYK95" i="3"/>
  <c r="EYM95" i="3" s="1"/>
  <c r="EYC95" i="3"/>
  <c r="EYE95" i="3" s="1"/>
  <c r="EXW95" i="3"/>
  <c r="EXU95" i="3"/>
  <c r="EXM95" i="3"/>
  <c r="EXO95" i="3" s="1"/>
  <c r="EXE95" i="3"/>
  <c r="EXG95" i="3" s="1"/>
  <c r="EWW95" i="3"/>
  <c r="EWY95" i="3" s="1"/>
  <c r="EWQ95" i="3"/>
  <c r="EWO95" i="3"/>
  <c r="EWG95" i="3"/>
  <c r="EWI95" i="3" s="1"/>
  <c r="EVY95" i="3"/>
  <c r="EWA95" i="3" s="1"/>
  <c r="EVQ95" i="3"/>
  <c r="EVS95" i="3" s="1"/>
  <c r="EVK95" i="3"/>
  <c r="EVI95" i="3"/>
  <c r="EVC95" i="3"/>
  <c r="EVA95" i="3"/>
  <c r="EUS95" i="3"/>
  <c r="EUU95" i="3" s="1"/>
  <c r="EUK95" i="3"/>
  <c r="EUM95" i="3" s="1"/>
  <c r="EUC95" i="3"/>
  <c r="EUE95" i="3" s="1"/>
  <c r="ETU95" i="3"/>
  <c r="ETW95" i="3" s="1"/>
  <c r="ETM95" i="3"/>
  <c r="ETO95" i="3" s="1"/>
  <c r="ETG95" i="3"/>
  <c r="ETE95" i="3"/>
  <c r="ESW95" i="3"/>
  <c r="ESY95" i="3" s="1"/>
  <c r="ESO95" i="3"/>
  <c r="ESQ95" i="3" s="1"/>
  <c r="ESG95" i="3"/>
  <c r="ESI95" i="3" s="1"/>
  <c r="ERY95" i="3"/>
  <c r="ESA95" i="3" s="1"/>
  <c r="ERQ95" i="3"/>
  <c r="ERS95" i="3" s="1"/>
  <c r="ERI95" i="3"/>
  <c r="ERK95" i="3" s="1"/>
  <c r="ERC95" i="3"/>
  <c r="ERA95" i="3"/>
  <c r="EQS95" i="3"/>
  <c r="EQU95" i="3" s="1"/>
  <c r="EQK95" i="3"/>
  <c r="EQM95" i="3" s="1"/>
  <c r="EQC95" i="3"/>
  <c r="EQE95" i="3" s="1"/>
  <c r="EPU95" i="3"/>
  <c r="EPW95" i="3" s="1"/>
  <c r="EPM95" i="3"/>
  <c r="EPO95" i="3" s="1"/>
  <c r="EPE95" i="3"/>
  <c r="EPG95" i="3" s="1"/>
  <c r="EOW95" i="3"/>
  <c r="EOY95" i="3" s="1"/>
  <c r="EOO95" i="3"/>
  <c r="EOQ95" i="3" s="1"/>
  <c r="EOG95" i="3"/>
  <c r="EOI95" i="3" s="1"/>
  <c r="EOA95" i="3"/>
  <c r="ENY95" i="3"/>
  <c r="ENQ95" i="3"/>
  <c r="ENS95" i="3" s="1"/>
  <c r="ENI95" i="3"/>
  <c r="ENK95" i="3" s="1"/>
  <c r="ENA95" i="3"/>
  <c r="ENC95" i="3" s="1"/>
  <c r="EMS95" i="3"/>
  <c r="EMU95" i="3" s="1"/>
  <c r="EMK95" i="3"/>
  <c r="EMM95" i="3" s="1"/>
  <c r="EME95" i="3"/>
  <c r="EMC95" i="3"/>
  <c r="ELU95" i="3"/>
  <c r="ELW95" i="3" s="1"/>
  <c r="ELM95" i="3"/>
  <c r="ELO95" i="3" s="1"/>
  <c r="ELE95" i="3"/>
  <c r="ELG95" i="3" s="1"/>
  <c r="EKW95" i="3"/>
  <c r="EKY95" i="3" s="1"/>
  <c r="EKQ95" i="3"/>
  <c r="EKO95" i="3"/>
  <c r="EKG95" i="3"/>
  <c r="EKI95" i="3" s="1"/>
  <c r="EJY95" i="3"/>
  <c r="EKA95" i="3" s="1"/>
  <c r="EJS95" i="3"/>
  <c r="EJQ95" i="3"/>
  <c r="EJI95" i="3"/>
  <c r="EJK95" i="3" s="1"/>
  <c r="EJC95" i="3"/>
  <c r="EJA95" i="3"/>
  <c r="EIS95" i="3"/>
  <c r="EIU95" i="3" s="1"/>
  <c r="EIK95" i="3"/>
  <c r="EIM95" i="3" s="1"/>
  <c r="EIC95" i="3"/>
  <c r="EIE95" i="3" s="1"/>
  <c r="EHU95" i="3"/>
  <c r="EHW95" i="3" s="1"/>
  <c r="EHM95" i="3"/>
  <c r="EHO95" i="3" s="1"/>
  <c r="EHG95" i="3"/>
  <c r="EHE95" i="3"/>
  <c r="EGW95" i="3"/>
  <c r="EGY95" i="3" s="1"/>
  <c r="EGO95" i="3"/>
  <c r="EGQ95" i="3" s="1"/>
  <c r="EGI95" i="3"/>
  <c r="EGG95" i="3"/>
  <c r="EFY95" i="3"/>
  <c r="EGA95" i="3" s="1"/>
  <c r="EFQ95" i="3"/>
  <c r="EFS95" i="3" s="1"/>
  <c r="EFI95" i="3"/>
  <c r="EFK95" i="3" s="1"/>
  <c r="EFA95" i="3"/>
  <c r="EFC95" i="3" s="1"/>
  <c r="EES95" i="3"/>
  <c r="EEU95" i="3" s="1"/>
  <c r="EEK95" i="3"/>
  <c r="EEM95" i="3" s="1"/>
  <c r="EEC95" i="3"/>
  <c r="EEE95" i="3" s="1"/>
  <c r="EDU95" i="3"/>
  <c r="EDW95" i="3" s="1"/>
  <c r="EDM95" i="3"/>
  <c r="EDO95" i="3" s="1"/>
  <c r="EDE95" i="3"/>
  <c r="EDG95" i="3" s="1"/>
  <c r="ECY95" i="3"/>
  <c r="ECW95" i="3"/>
  <c r="ECQ95" i="3"/>
  <c r="ECO95" i="3"/>
  <c r="ECG95" i="3"/>
  <c r="ECI95" i="3" s="1"/>
  <c r="EBY95" i="3"/>
  <c r="ECA95" i="3" s="1"/>
  <c r="EBS95" i="3"/>
  <c r="EBQ95" i="3"/>
  <c r="EBI95" i="3"/>
  <c r="EBK95" i="3" s="1"/>
  <c r="EBA95" i="3"/>
  <c r="EBC95" i="3" s="1"/>
  <c r="EAS95" i="3"/>
  <c r="EAU95" i="3" s="1"/>
  <c r="EAK95" i="3"/>
  <c r="EAM95" i="3" s="1"/>
  <c r="EAC95" i="3"/>
  <c r="EAE95" i="3" s="1"/>
  <c r="DZU95" i="3"/>
  <c r="DZW95" i="3" s="1"/>
  <c r="DZM95" i="3"/>
  <c r="DZO95" i="3" s="1"/>
  <c r="DZE95" i="3"/>
  <c r="DZG95" i="3" s="1"/>
  <c r="DYY95" i="3"/>
  <c r="DYW95" i="3"/>
  <c r="DYO95" i="3"/>
  <c r="DYQ95" i="3" s="1"/>
  <c r="DYG95" i="3"/>
  <c r="DYI95" i="3" s="1"/>
  <c r="DXY95" i="3"/>
  <c r="DYA95" i="3" s="1"/>
  <c r="DXQ95" i="3"/>
  <c r="DXS95" i="3" s="1"/>
  <c r="DXK95" i="3"/>
  <c r="DXI95" i="3"/>
  <c r="DXA95" i="3"/>
  <c r="DXC95" i="3" s="1"/>
  <c r="DWS95" i="3"/>
  <c r="DWU95" i="3" s="1"/>
  <c r="DWK95" i="3"/>
  <c r="DWM95" i="3" s="1"/>
  <c r="DWE95" i="3"/>
  <c r="DWC95" i="3"/>
  <c r="DVU95" i="3"/>
  <c r="DVW95" i="3" s="1"/>
  <c r="DVM95" i="3"/>
  <c r="DVO95" i="3" s="1"/>
  <c r="DVE95" i="3"/>
  <c r="DVG95" i="3" s="1"/>
  <c r="DUW95" i="3"/>
  <c r="DUY95" i="3" s="1"/>
  <c r="DUO95" i="3"/>
  <c r="DUQ95" i="3" s="1"/>
  <c r="DUG95" i="3"/>
  <c r="DUI95" i="3" s="1"/>
  <c r="DTY95" i="3"/>
  <c r="DUA95" i="3" s="1"/>
  <c r="DTQ95" i="3"/>
  <c r="DTS95" i="3" s="1"/>
  <c r="DTI95" i="3"/>
  <c r="DTK95" i="3" s="1"/>
  <c r="DTA95" i="3"/>
  <c r="DTC95" i="3" s="1"/>
  <c r="DSS95" i="3"/>
  <c r="DSU95" i="3" s="1"/>
  <c r="DSK95" i="3"/>
  <c r="DSM95" i="3" s="1"/>
  <c r="DSC95" i="3"/>
  <c r="DSE95" i="3" s="1"/>
  <c r="DRW95" i="3"/>
  <c r="DRU95" i="3"/>
  <c r="DRM95" i="3"/>
  <c r="DRO95" i="3" s="1"/>
  <c r="DRG95" i="3"/>
  <c r="DRE95" i="3"/>
  <c r="DQW95" i="3"/>
  <c r="DQY95" i="3" s="1"/>
  <c r="DQO95" i="3"/>
  <c r="DQQ95" i="3" s="1"/>
  <c r="DQG95" i="3"/>
  <c r="DQI95" i="3" s="1"/>
  <c r="DPY95" i="3"/>
  <c r="DQA95" i="3" s="1"/>
  <c r="DPQ95" i="3"/>
  <c r="DPS95" i="3" s="1"/>
  <c r="DPK95" i="3"/>
  <c r="DPI95" i="3"/>
  <c r="DPA95" i="3"/>
  <c r="DPC95" i="3" s="1"/>
  <c r="DOS95" i="3"/>
  <c r="DOU95" i="3" s="1"/>
  <c r="DOM95" i="3"/>
  <c r="DOK95" i="3"/>
  <c r="DOC95" i="3"/>
  <c r="DOE95" i="3" s="1"/>
  <c r="DNU95" i="3"/>
  <c r="DNW95" i="3" s="1"/>
  <c r="DNM95" i="3"/>
  <c r="DNO95" i="3" s="1"/>
  <c r="DNE95" i="3"/>
  <c r="DNG95" i="3" s="1"/>
  <c r="DMW95" i="3"/>
  <c r="DMY95" i="3" s="1"/>
  <c r="DMO95" i="3"/>
  <c r="DMQ95" i="3" s="1"/>
  <c r="DMG95" i="3"/>
  <c r="DMI95" i="3" s="1"/>
  <c r="DLY95" i="3"/>
  <c r="DMA95" i="3" s="1"/>
  <c r="DLQ95" i="3"/>
  <c r="DLS95" i="3" s="1"/>
  <c r="DLI95" i="3"/>
  <c r="DLK95" i="3" s="1"/>
  <c r="DLA95" i="3"/>
  <c r="DLC95" i="3" s="1"/>
  <c r="DKS95" i="3"/>
  <c r="DKU95" i="3" s="1"/>
  <c r="DKK95" i="3"/>
  <c r="DKM95" i="3" s="1"/>
  <c r="DKC95" i="3"/>
  <c r="DKE95" i="3" s="1"/>
  <c r="DJU95" i="3"/>
  <c r="DJW95" i="3" s="1"/>
  <c r="DJM95" i="3"/>
  <c r="DJO95" i="3" s="1"/>
  <c r="DJE95" i="3"/>
  <c r="DJG95" i="3" s="1"/>
  <c r="DIW95" i="3"/>
  <c r="DIY95" i="3" s="1"/>
  <c r="DIO95" i="3"/>
  <c r="DIQ95" i="3" s="1"/>
  <c r="DIG95" i="3"/>
  <c r="DII95" i="3" s="1"/>
  <c r="DIA95" i="3"/>
  <c r="DHY95" i="3"/>
  <c r="DHQ95" i="3"/>
  <c r="DHS95" i="3" s="1"/>
  <c r="DHI95" i="3"/>
  <c r="DHK95" i="3" s="1"/>
  <c r="DHA95" i="3"/>
  <c r="DHC95" i="3" s="1"/>
  <c r="DGS95" i="3"/>
  <c r="DGU95" i="3" s="1"/>
  <c r="DGK95" i="3"/>
  <c r="DGM95" i="3" s="1"/>
  <c r="DGC95" i="3"/>
  <c r="DGE95" i="3" s="1"/>
  <c r="DFU95" i="3"/>
  <c r="DFW95" i="3" s="1"/>
  <c r="DFM95" i="3"/>
  <c r="DFO95" i="3" s="1"/>
  <c r="DFG95" i="3"/>
  <c r="DFE95" i="3"/>
  <c r="DEW95" i="3"/>
  <c r="DEY95" i="3" s="1"/>
  <c r="DEQ95" i="3"/>
  <c r="DEO95" i="3"/>
  <c r="DEG95" i="3"/>
  <c r="DEI95" i="3" s="1"/>
  <c r="DDY95" i="3"/>
  <c r="DEA95" i="3" s="1"/>
  <c r="DDQ95" i="3"/>
  <c r="DDS95" i="3" s="1"/>
  <c r="DDI95" i="3"/>
  <c r="DDK95" i="3" s="1"/>
  <c r="DDA95" i="3"/>
  <c r="DDC95" i="3" s="1"/>
  <c r="DCS95" i="3"/>
  <c r="DCU95" i="3" s="1"/>
  <c r="DCK95" i="3"/>
  <c r="DCM95" i="3" s="1"/>
  <c r="DCC95" i="3"/>
  <c r="DCE95" i="3" s="1"/>
  <c r="DBU95" i="3"/>
  <c r="DBW95" i="3" s="1"/>
  <c r="DBM95" i="3"/>
  <c r="DBO95" i="3" s="1"/>
  <c r="DBE95" i="3"/>
  <c r="DBG95" i="3" s="1"/>
  <c r="DAW95" i="3"/>
  <c r="DAY95" i="3" s="1"/>
  <c r="DAO95" i="3"/>
  <c r="DAQ95" i="3" s="1"/>
  <c r="DAG95" i="3"/>
  <c r="DAI95" i="3" s="1"/>
  <c r="CZY95" i="3"/>
  <c r="DAA95" i="3" s="1"/>
  <c r="CZQ95" i="3"/>
  <c r="CZS95" i="3" s="1"/>
  <c r="CZI95" i="3"/>
  <c r="CZK95" i="3" s="1"/>
  <c r="CZA95" i="3"/>
  <c r="CZC95" i="3" s="1"/>
  <c r="CYS95" i="3"/>
  <c r="CYU95" i="3" s="1"/>
  <c r="CYK95" i="3"/>
  <c r="CYM95" i="3" s="1"/>
  <c r="CYC95" i="3"/>
  <c r="CYE95" i="3" s="1"/>
  <c r="CXU95" i="3"/>
  <c r="CXW95" i="3" s="1"/>
  <c r="CXM95" i="3"/>
  <c r="CXO95" i="3" s="1"/>
  <c r="CXE95" i="3"/>
  <c r="CXG95" i="3" s="1"/>
  <c r="CWW95" i="3"/>
  <c r="CWY95" i="3" s="1"/>
  <c r="CWO95" i="3"/>
  <c r="CWQ95" i="3" s="1"/>
  <c r="CWG95" i="3"/>
  <c r="CWI95" i="3" s="1"/>
  <c r="CVY95" i="3"/>
  <c r="CWA95" i="3" s="1"/>
  <c r="CVS95" i="3"/>
  <c r="CVQ95" i="3"/>
  <c r="CVI95" i="3"/>
  <c r="CVK95" i="3" s="1"/>
  <c r="CVA95" i="3"/>
  <c r="CVC95" i="3" s="1"/>
  <c r="CUS95" i="3"/>
  <c r="CUU95" i="3" s="1"/>
  <c r="CUK95" i="3"/>
  <c r="CUM95" i="3" s="1"/>
  <c r="CUE95" i="3"/>
  <c r="CUC95" i="3"/>
  <c r="CTU95" i="3"/>
  <c r="CTW95" i="3" s="1"/>
  <c r="CTM95" i="3"/>
  <c r="CTO95" i="3" s="1"/>
  <c r="CTE95" i="3"/>
  <c r="CTG95" i="3" s="1"/>
  <c r="CSW95" i="3"/>
  <c r="CSY95" i="3" s="1"/>
  <c r="CSO95" i="3"/>
  <c r="CSQ95" i="3" s="1"/>
  <c r="CSG95" i="3"/>
  <c r="CSI95" i="3" s="1"/>
  <c r="CSA95" i="3"/>
  <c r="CRY95" i="3"/>
  <c r="CRQ95" i="3"/>
  <c r="CRS95" i="3" s="1"/>
  <c r="CRI95" i="3"/>
  <c r="CRK95" i="3" s="1"/>
  <c r="CRA95" i="3"/>
  <c r="CRC95" i="3" s="1"/>
  <c r="CQS95" i="3"/>
  <c r="CQU95" i="3" s="1"/>
  <c r="CQK95" i="3"/>
  <c r="CQM95" i="3" s="1"/>
  <c r="CQE95" i="3"/>
  <c r="CQC95" i="3"/>
  <c r="CPU95" i="3"/>
  <c r="CPW95" i="3" s="1"/>
  <c r="CPM95" i="3"/>
  <c r="CPO95" i="3" s="1"/>
  <c r="CPE95" i="3"/>
  <c r="CPG95" i="3" s="1"/>
  <c r="COW95" i="3"/>
  <c r="COY95" i="3" s="1"/>
  <c r="COO95" i="3"/>
  <c r="COQ95" i="3" s="1"/>
  <c r="COG95" i="3"/>
  <c r="COI95" i="3" s="1"/>
  <c r="COA95" i="3"/>
  <c r="CNY95" i="3"/>
  <c r="CNQ95" i="3"/>
  <c r="CNS95" i="3" s="1"/>
  <c r="CNI95" i="3"/>
  <c r="CNK95" i="3" s="1"/>
  <c r="CNA95" i="3"/>
  <c r="CNC95" i="3" s="1"/>
  <c r="CMS95" i="3"/>
  <c r="CMU95" i="3" s="1"/>
  <c r="CMK95" i="3"/>
  <c r="CMM95" i="3" s="1"/>
  <c r="CMC95" i="3"/>
  <c r="CME95" i="3" s="1"/>
  <c r="CLW95" i="3"/>
  <c r="CLU95" i="3"/>
  <c r="CLM95" i="3"/>
  <c r="CLO95" i="3" s="1"/>
  <c r="CLE95" i="3"/>
  <c r="CLG95" i="3" s="1"/>
  <c r="CKW95" i="3"/>
  <c r="CKY95" i="3" s="1"/>
  <c r="CKQ95" i="3"/>
  <c r="CKO95" i="3"/>
  <c r="CKG95" i="3"/>
  <c r="CKI95" i="3" s="1"/>
  <c r="CJY95" i="3"/>
  <c r="CKA95" i="3" s="1"/>
  <c r="CJQ95" i="3"/>
  <c r="CJS95" i="3" s="1"/>
  <c r="CJI95" i="3"/>
  <c r="CJK95" i="3" s="1"/>
  <c r="CJA95" i="3"/>
  <c r="CJC95" i="3" s="1"/>
  <c r="CIS95" i="3"/>
  <c r="CIU95" i="3" s="1"/>
  <c r="CIK95" i="3"/>
  <c r="CIM95" i="3" s="1"/>
  <c r="CIC95" i="3"/>
  <c r="CIE95" i="3" s="1"/>
  <c r="CHU95" i="3"/>
  <c r="CHW95" i="3" s="1"/>
  <c r="CHM95" i="3"/>
  <c r="CHO95" i="3" s="1"/>
  <c r="CHE95" i="3"/>
  <c r="CHG95" i="3" s="1"/>
  <c r="CGW95" i="3"/>
  <c r="CGY95" i="3" s="1"/>
  <c r="CGO95" i="3"/>
  <c r="CGQ95" i="3" s="1"/>
  <c r="CGG95" i="3"/>
  <c r="CGI95" i="3" s="1"/>
  <c r="CFY95" i="3"/>
  <c r="CGA95" i="3" s="1"/>
  <c r="CFQ95" i="3"/>
  <c r="CFS95" i="3" s="1"/>
  <c r="CFI95" i="3"/>
  <c r="CFK95" i="3" s="1"/>
  <c r="CFC95" i="3"/>
  <c r="CFA95" i="3"/>
  <c r="CES95" i="3"/>
  <c r="CEU95" i="3" s="1"/>
  <c r="CEK95" i="3"/>
  <c r="CEM95" i="3" s="1"/>
  <c r="CEC95" i="3"/>
  <c r="CEE95" i="3" s="1"/>
  <c r="CDU95" i="3"/>
  <c r="CDW95" i="3" s="1"/>
  <c r="CDM95" i="3"/>
  <c r="CDO95" i="3" s="1"/>
  <c r="CDE95" i="3"/>
  <c r="CDG95" i="3" s="1"/>
  <c r="CCW95" i="3"/>
  <c r="CCY95" i="3" s="1"/>
  <c r="CCO95" i="3"/>
  <c r="CCQ95" i="3" s="1"/>
  <c r="CCG95" i="3"/>
  <c r="CCI95" i="3" s="1"/>
  <c r="CBY95" i="3"/>
  <c r="CCA95" i="3" s="1"/>
  <c r="CBQ95" i="3"/>
  <c r="CBS95" i="3" s="1"/>
  <c r="CBI95" i="3"/>
  <c r="CBK95" i="3" s="1"/>
  <c r="CBA95" i="3"/>
  <c r="CBC95" i="3" s="1"/>
  <c r="CAS95" i="3"/>
  <c r="CAU95" i="3" s="1"/>
  <c r="CAK95" i="3"/>
  <c r="CAM95" i="3" s="1"/>
  <c r="CAC95" i="3"/>
  <c r="CAE95" i="3" s="1"/>
  <c r="BZU95" i="3"/>
  <c r="BZW95" i="3" s="1"/>
  <c r="BZM95" i="3"/>
  <c r="BZO95" i="3" s="1"/>
  <c r="BZE95" i="3"/>
  <c r="BZG95" i="3" s="1"/>
  <c r="BYW95" i="3"/>
  <c r="BYY95" i="3" s="1"/>
  <c r="BYO95" i="3"/>
  <c r="BYQ95" i="3" s="1"/>
  <c r="BYG95" i="3"/>
  <c r="BYI95" i="3" s="1"/>
  <c r="BYA95" i="3"/>
  <c r="BXY95" i="3"/>
  <c r="BXQ95" i="3"/>
  <c r="BXS95" i="3" s="1"/>
  <c r="BXI95" i="3"/>
  <c r="BXK95" i="3" s="1"/>
  <c r="BXA95" i="3"/>
  <c r="BXC95" i="3" s="1"/>
  <c r="BWS95" i="3"/>
  <c r="BWU95" i="3" s="1"/>
  <c r="BWK95" i="3"/>
  <c r="BWM95" i="3" s="1"/>
  <c r="BWE95" i="3"/>
  <c r="BWC95" i="3"/>
  <c r="BVU95" i="3"/>
  <c r="BVW95" i="3" s="1"/>
  <c r="BVM95" i="3"/>
  <c r="BVO95" i="3" s="1"/>
  <c r="BVG95" i="3"/>
  <c r="BVE95" i="3"/>
  <c r="BUW95" i="3"/>
  <c r="BUY95" i="3" s="1"/>
  <c r="BUO95" i="3"/>
  <c r="BUQ95" i="3" s="1"/>
  <c r="BUG95" i="3"/>
  <c r="BUI95" i="3" s="1"/>
  <c r="BTY95" i="3"/>
  <c r="BUA95" i="3" s="1"/>
  <c r="BTS95" i="3"/>
  <c r="BTQ95" i="3"/>
  <c r="BTI95" i="3"/>
  <c r="BTK95" i="3" s="1"/>
  <c r="BTA95" i="3"/>
  <c r="BTC95" i="3" s="1"/>
  <c r="BSS95" i="3"/>
  <c r="BSU95" i="3" s="1"/>
  <c r="BSK95" i="3"/>
  <c r="BSM95" i="3" s="1"/>
  <c r="BSC95" i="3"/>
  <c r="BSE95" i="3" s="1"/>
  <c r="BRU95" i="3"/>
  <c r="BRW95" i="3" s="1"/>
  <c r="BRM95" i="3"/>
  <c r="BRO95" i="3" s="1"/>
  <c r="BRE95" i="3"/>
  <c r="BRG95" i="3" s="1"/>
  <c r="BQW95" i="3"/>
  <c r="BQY95" i="3" s="1"/>
  <c r="BQQ95" i="3"/>
  <c r="BQO95" i="3"/>
  <c r="BQG95" i="3"/>
  <c r="BQI95" i="3" s="1"/>
  <c r="BPY95" i="3"/>
  <c r="BQA95" i="3" s="1"/>
  <c r="BPQ95" i="3"/>
  <c r="BPS95" i="3" s="1"/>
  <c r="BPI95" i="3"/>
  <c r="BPK95" i="3" s="1"/>
  <c r="BPA95" i="3"/>
  <c r="BPC95" i="3" s="1"/>
  <c r="BOS95" i="3"/>
  <c r="BOU95" i="3" s="1"/>
  <c r="BOK95" i="3"/>
  <c r="BOM95" i="3" s="1"/>
  <c r="BOC95" i="3"/>
  <c r="BOE95" i="3" s="1"/>
  <c r="BNU95" i="3"/>
  <c r="BNW95" i="3" s="1"/>
  <c r="BNM95" i="3"/>
  <c r="BNO95" i="3" s="1"/>
  <c r="BNE95" i="3"/>
  <c r="BNG95" i="3" s="1"/>
  <c r="BMY95" i="3"/>
  <c r="BMW95" i="3"/>
  <c r="BMO95" i="3"/>
  <c r="BMQ95" i="3" s="1"/>
  <c r="BMI95" i="3"/>
  <c r="BMG95" i="3"/>
  <c r="BLY95" i="3"/>
  <c r="BMA95" i="3" s="1"/>
  <c r="BLQ95" i="3"/>
  <c r="BLS95" i="3" s="1"/>
  <c r="BLI95" i="3"/>
  <c r="BLK95" i="3" s="1"/>
  <c r="BLA95" i="3"/>
  <c r="BLC95" i="3" s="1"/>
  <c r="BKS95" i="3"/>
  <c r="BKU95" i="3" s="1"/>
  <c r="BKK95" i="3"/>
  <c r="BKM95" i="3" s="1"/>
  <c r="BKE95" i="3"/>
  <c r="BKC95" i="3"/>
  <c r="BJU95" i="3"/>
  <c r="BJW95" i="3" s="1"/>
  <c r="BJM95" i="3"/>
  <c r="BJO95" i="3" s="1"/>
  <c r="BJE95" i="3"/>
  <c r="BJG95" i="3" s="1"/>
  <c r="BIW95" i="3"/>
  <c r="BIY95" i="3" s="1"/>
  <c r="BIO95" i="3"/>
  <c r="BIQ95" i="3" s="1"/>
  <c r="BIG95" i="3"/>
  <c r="BII95" i="3" s="1"/>
  <c r="BHY95" i="3"/>
  <c r="BIA95" i="3" s="1"/>
  <c r="BHQ95" i="3"/>
  <c r="BHS95" i="3" s="1"/>
  <c r="BHI95" i="3"/>
  <c r="BHK95" i="3" s="1"/>
  <c r="BHA95" i="3"/>
  <c r="BHC95" i="3" s="1"/>
  <c r="BGS95" i="3"/>
  <c r="BGU95" i="3" s="1"/>
  <c r="BGK95" i="3"/>
  <c r="BGM95" i="3" s="1"/>
  <c r="BGC95" i="3"/>
  <c r="BGE95" i="3" s="1"/>
  <c r="BFU95" i="3"/>
  <c r="BFW95" i="3" s="1"/>
  <c r="BFM95" i="3"/>
  <c r="BFO95" i="3" s="1"/>
  <c r="BFE95" i="3"/>
  <c r="BFG95" i="3" s="1"/>
  <c r="BEW95" i="3"/>
  <c r="BEY95" i="3" s="1"/>
  <c r="BEQ95" i="3"/>
  <c r="BEO95" i="3"/>
  <c r="BEG95" i="3"/>
  <c r="BEI95" i="3" s="1"/>
  <c r="BDY95" i="3"/>
  <c r="BEA95" i="3" s="1"/>
  <c r="BDQ95" i="3"/>
  <c r="BDS95" i="3" s="1"/>
  <c r="BDI95" i="3"/>
  <c r="BDK95" i="3" s="1"/>
  <c r="BDA95" i="3"/>
  <c r="BDC95" i="3" s="1"/>
  <c r="BCS95" i="3"/>
  <c r="BCU95" i="3" s="1"/>
  <c r="BCK95" i="3"/>
  <c r="BCM95" i="3" s="1"/>
  <c r="BCC95" i="3"/>
  <c r="BCE95" i="3" s="1"/>
  <c r="BBU95" i="3"/>
  <c r="BBW95" i="3" s="1"/>
  <c r="BBM95" i="3"/>
  <c r="BBO95" i="3" s="1"/>
  <c r="BBG95" i="3"/>
  <c r="BBE95" i="3"/>
  <c r="BAW95" i="3"/>
  <c r="BAY95" i="3" s="1"/>
  <c r="BAO95" i="3"/>
  <c r="BAQ95" i="3" s="1"/>
  <c r="BAG95" i="3"/>
  <c r="BAI95" i="3" s="1"/>
  <c r="AZY95" i="3"/>
  <c r="BAA95" i="3" s="1"/>
  <c r="AZS95" i="3"/>
  <c r="AZQ95" i="3"/>
  <c r="AZI95" i="3"/>
  <c r="AZK95" i="3" s="1"/>
  <c r="AZA95" i="3"/>
  <c r="AZC95" i="3" s="1"/>
  <c r="AYS95" i="3"/>
  <c r="AYU95" i="3" s="1"/>
  <c r="AYK95" i="3"/>
  <c r="AYM95" i="3" s="1"/>
  <c r="AYC95" i="3"/>
  <c r="AYE95" i="3" s="1"/>
  <c r="AXU95" i="3"/>
  <c r="AXW95" i="3" s="1"/>
  <c r="AXM95" i="3"/>
  <c r="AXO95" i="3" s="1"/>
  <c r="AXE95" i="3"/>
  <c r="AXG95" i="3" s="1"/>
  <c r="AWW95" i="3"/>
  <c r="AWY95" i="3" s="1"/>
  <c r="AWO95" i="3"/>
  <c r="AWQ95" i="3" s="1"/>
  <c r="AWG95" i="3"/>
  <c r="AWI95" i="3" s="1"/>
  <c r="AVY95" i="3"/>
  <c r="AWA95" i="3" s="1"/>
  <c r="AVQ95" i="3"/>
  <c r="AVS95" i="3" s="1"/>
  <c r="AVK95" i="3"/>
  <c r="AVI95" i="3"/>
  <c r="AVA95" i="3"/>
  <c r="AVC95" i="3" s="1"/>
  <c r="AUS95" i="3"/>
  <c r="AUU95" i="3" s="1"/>
  <c r="AUK95" i="3"/>
  <c r="AUM95" i="3" s="1"/>
  <c r="AUC95" i="3"/>
  <c r="AUE95" i="3" s="1"/>
  <c r="ATU95" i="3"/>
  <c r="ATW95" i="3" s="1"/>
  <c r="ATM95" i="3"/>
  <c r="ATO95" i="3" s="1"/>
  <c r="ATE95" i="3"/>
  <c r="ATG95" i="3" s="1"/>
  <c r="ASW95" i="3"/>
  <c r="ASY95" i="3" s="1"/>
  <c r="ASQ95" i="3"/>
  <c r="ASO95" i="3"/>
  <c r="ASG95" i="3"/>
  <c r="ASI95" i="3" s="1"/>
  <c r="ASA95" i="3"/>
  <c r="ARY95" i="3"/>
  <c r="ARQ95" i="3"/>
  <c r="ARS95" i="3" s="1"/>
  <c r="ARI95" i="3"/>
  <c r="ARK95" i="3" s="1"/>
  <c r="ARC95" i="3"/>
  <c r="ARA95" i="3"/>
  <c r="AQS95" i="3"/>
  <c r="AQU95" i="3" s="1"/>
  <c r="AQK95" i="3"/>
  <c r="AQM95" i="3" s="1"/>
  <c r="AQC95" i="3"/>
  <c r="AQE95" i="3" s="1"/>
  <c r="APU95" i="3"/>
  <c r="APW95" i="3" s="1"/>
  <c r="APM95" i="3"/>
  <c r="APO95" i="3" s="1"/>
  <c r="APG95" i="3"/>
  <c r="APE95" i="3"/>
  <c r="AOW95" i="3"/>
  <c r="AOY95" i="3" s="1"/>
  <c r="AOQ95" i="3"/>
  <c r="AOO95" i="3"/>
  <c r="AOG95" i="3"/>
  <c r="AOI95" i="3" s="1"/>
  <c r="AOA95" i="3"/>
  <c r="ANY95" i="3"/>
  <c r="ANQ95" i="3"/>
  <c r="ANS95" i="3" s="1"/>
  <c r="ANK95" i="3"/>
  <c r="ANI95" i="3"/>
  <c r="ANC95" i="3"/>
  <c r="ANA95" i="3"/>
  <c r="AMS95" i="3"/>
  <c r="AMU95" i="3" s="1"/>
  <c r="AMK95" i="3"/>
  <c r="AMM95" i="3" s="1"/>
  <c r="AMC95" i="3"/>
  <c r="AME95" i="3" s="1"/>
  <c r="ALU95" i="3"/>
  <c r="ALW95" i="3" s="1"/>
  <c r="ALO95" i="3"/>
  <c r="ALM95" i="3"/>
  <c r="ALG95" i="3"/>
  <c r="ALE95" i="3"/>
  <c r="AKW95" i="3"/>
  <c r="AKY95" i="3" s="1"/>
  <c r="AKQ95" i="3"/>
  <c r="AKO95" i="3"/>
  <c r="AKG95" i="3"/>
  <c r="AKI95" i="3" s="1"/>
  <c r="AJY95" i="3"/>
  <c r="AKA95" i="3" s="1"/>
  <c r="AJQ95" i="3"/>
  <c r="AJS95" i="3" s="1"/>
  <c r="AJI95" i="3"/>
  <c r="AJK95" i="3" s="1"/>
  <c r="AJA95" i="3"/>
  <c r="AJC95" i="3" s="1"/>
  <c r="AIS95" i="3"/>
  <c r="AIU95" i="3" s="1"/>
  <c r="AIM95" i="3"/>
  <c r="AIK95" i="3"/>
  <c r="AIC95" i="3"/>
  <c r="AIE95" i="3" s="1"/>
  <c r="AHW95" i="3"/>
  <c r="AHU95" i="3"/>
  <c r="AHM95" i="3"/>
  <c r="AHO95" i="3" s="1"/>
  <c r="AHE95" i="3"/>
  <c r="AHG95" i="3" s="1"/>
  <c r="AGW95" i="3"/>
  <c r="AGY95" i="3" s="1"/>
  <c r="AGO95" i="3"/>
  <c r="AGQ95" i="3" s="1"/>
  <c r="AGG95" i="3"/>
  <c r="AGI95" i="3" s="1"/>
  <c r="AFY95" i="3"/>
  <c r="AGA95" i="3" s="1"/>
  <c r="AFQ95" i="3"/>
  <c r="AFS95" i="3" s="1"/>
  <c r="AFI95" i="3"/>
  <c r="AFK95" i="3" s="1"/>
  <c r="AFC95" i="3"/>
  <c r="AFA95" i="3"/>
  <c r="AES95" i="3"/>
  <c r="AEU95" i="3" s="1"/>
  <c r="AEK95" i="3"/>
  <c r="AEM95" i="3" s="1"/>
  <c r="AEC95" i="3"/>
  <c r="AEE95" i="3" s="1"/>
  <c r="ADU95" i="3"/>
  <c r="ADW95" i="3" s="1"/>
  <c r="ADM95" i="3"/>
  <c r="ADO95" i="3" s="1"/>
  <c r="ADE95" i="3"/>
  <c r="ADG95" i="3" s="1"/>
  <c r="ACY95" i="3"/>
  <c r="ACW95" i="3"/>
  <c r="ACO95" i="3"/>
  <c r="ACQ95" i="3" s="1"/>
  <c r="ACI95" i="3"/>
  <c r="ACG95" i="3"/>
  <c r="ABY95" i="3"/>
  <c r="ACA95" i="3" s="1"/>
  <c r="ABQ95" i="3"/>
  <c r="ABS95" i="3" s="1"/>
  <c r="ABI95" i="3"/>
  <c r="ABK95" i="3" s="1"/>
  <c r="ABA95" i="3"/>
  <c r="ABC95" i="3" s="1"/>
  <c r="AAS95" i="3"/>
  <c r="AAU95" i="3" s="1"/>
  <c r="AAK95" i="3"/>
  <c r="AAM95" i="3" s="1"/>
  <c r="AAC95" i="3"/>
  <c r="AAE95" i="3" s="1"/>
  <c r="ZU95" i="3"/>
  <c r="ZW95" i="3" s="1"/>
  <c r="ZO95" i="3"/>
  <c r="ZM95" i="3"/>
  <c r="ZE95" i="3"/>
  <c r="ZG95" i="3" s="1"/>
  <c r="YW95" i="3"/>
  <c r="YY95" i="3" s="1"/>
  <c r="YO95" i="3"/>
  <c r="YQ95" i="3" s="1"/>
  <c r="YI95" i="3"/>
  <c r="YG95" i="3"/>
  <c r="XY95" i="3"/>
  <c r="YA95" i="3" s="1"/>
  <c r="XQ95" i="3"/>
  <c r="XS95" i="3" s="1"/>
  <c r="XK95" i="3"/>
  <c r="XI95" i="3"/>
  <c r="XA95" i="3"/>
  <c r="XC95" i="3" s="1"/>
  <c r="WU95" i="3"/>
  <c r="WS95" i="3"/>
  <c r="WK95" i="3"/>
  <c r="WM95" i="3" s="1"/>
  <c r="WC95" i="3"/>
  <c r="WE95" i="3" s="1"/>
  <c r="VW95" i="3"/>
  <c r="VU95" i="3"/>
  <c r="VM95" i="3"/>
  <c r="VO95" i="3" s="1"/>
  <c r="VE95" i="3"/>
  <c r="VG95" i="3" s="1"/>
  <c r="UW95" i="3"/>
  <c r="UY95" i="3" s="1"/>
  <c r="UO95" i="3"/>
  <c r="UQ95" i="3" s="1"/>
  <c r="UG95" i="3"/>
  <c r="UI95" i="3" s="1"/>
  <c r="TY95" i="3"/>
  <c r="UA95" i="3" s="1"/>
  <c r="TQ95" i="3"/>
  <c r="TS95" i="3" s="1"/>
  <c r="TI95" i="3"/>
  <c r="TK95" i="3" s="1"/>
  <c r="TC95" i="3"/>
  <c r="TA95" i="3"/>
  <c r="SS95" i="3"/>
  <c r="SU95" i="3" s="1"/>
  <c r="SK95" i="3"/>
  <c r="SM95" i="3" s="1"/>
  <c r="SC95" i="3"/>
  <c r="SE95" i="3" s="1"/>
  <c r="RU95" i="3"/>
  <c r="RW95" i="3" s="1"/>
  <c r="RM95" i="3"/>
  <c r="RO95" i="3" s="1"/>
  <c r="RE95" i="3"/>
  <c r="RG95" i="3" s="1"/>
  <c r="QY95" i="3"/>
  <c r="QW95" i="3"/>
  <c r="QO95" i="3"/>
  <c r="QQ95" i="3" s="1"/>
  <c r="QG95" i="3"/>
  <c r="QI95" i="3" s="1"/>
  <c r="PY95" i="3"/>
  <c r="QA95" i="3" s="1"/>
  <c r="PQ95" i="3"/>
  <c r="PS95" i="3" s="1"/>
  <c r="PI95" i="3"/>
  <c r="PK95" i="3" s="1"/>
  <c r="PA95" i="3"/>
  <c r="PC95" i="3" s="1"/>
  <c r="OS95" i="3"/>
  <c r="OU95" i="3" s="1"/>
  <c r="OM95" i="3"/>
  <c r="OK95" i="3"/>
  <c r="OC95" i="3"/>
  <c r="OE95" i="3" s="1"/>
  <c r="NU95" i="3"/>
  <c r="NW95" i="3" s="1"/>
  <c r="NM95" i="3"/>
  <c r="NO95" i="3" s="1"/>
  <c r="NE95" i="3"/>
  <c r="NG95" i="3" s="1"/>
  <c r="MW95" i="3"/>
  <c r="MY95" i="3" s="1"/>
  <c r="MO95" i="3"/>
  <c r="MQ95" i="3" s="1"/>
  <c r="MG95" i="3"/>
  <c r="MI95" i="3" s="1"/>
  <c r="LY95" i="3"/>
  <c r="MA95" i="3" s="1"/>
  <c r="LS95" i="3"/>
  <c r="LQ95" i="3"/>
  <c r="LI95" i="3"/>
  <c r="LK95" i="3" s="1"/>
  <c r="LA95" i="3"/>
  <c r="LC95" i="3" s="1"/>
  <c r="KU95" i="3"/>
  <c r="KS95" i="3"/>
  <c r="KK95" i="3"/>
  <c r="KM95" i="3" s="1"/>
  <c r="KC95" i="3"/>
  <c r="KE95" i="3" s="1"/>
  <c r="JU95" i="3"/>
  <c r="JW95" i="3" s="1"/>
  <c r="JM95" i="3"/>
  <c r="JO95" i="3" s="1"/>
  <c r="JG95" i="3"/>
  <c r="JE95" i="3"/>
  <c r="IY95" i="3"/>
  <c r="IW95" i="3"/>
  <c r="IO95" i="3"/>
  <c r="IQ95" i="3" s="1"/>
  <c r="IG95" i="3"/>
  <c r="II95" i="3" s="1"/>
  <c r="HY95" i="3"/>
  <c r="IA95" i="3" s="1"/>
  <c r="HQ95" i="3"/>
  <c r="HS95" i="3" s="1"/>
  <c r="HI95" i="3"/>
  <c r="HK95" i="3" s="1"/>
  <c r="HA95" i="3"/>
  <c r="HC95" i="3" s="1"/>
  <c r="GU95" i="3"/>
  <c r="GS95" i="3"/>
  <c r="GK95" i="3"/>
  <c r="GM95" i="3" s="1"/>
  <c r="GE95" i="3"/>
  <c r="GC95" i="3"/>
  <c r="FU95" i="3"/>
  <c r="FW95" i="3" s="1"/>
  <c r="FM95" i="3"/>
  <c r="FO95" i="3" s="1"/>
  <c r="FE95" i="3"/>
  <c r="FG95" i="3" s="1"/>
  <c r="EY95" i="3"/>
  <c r="EW95" i="3"/>
  <c r="EO95" i="3"/>
  <c r="EQ95" i="3" s="1"/>
  <c r="EG95" i="3"/>
  <c r="EI95" i="3" s="1"/>
  <c r="DY95" i="3"/>
  <c r="EA95" i="3" s="1"/>
  <c r="DQ95" i="3"/>
  <c r="DS95" i="3" s="1"/>
  <c r="DI95" i="3"/>
  <c r="DK95" i="3" s="1"/>
  <c r="DA95" i="3"/>
  <c r="DC95" i="3" s="1"/>
  <c r="CS95" i="3"/>
  <c r="CU95" i="3" s="1"/>
  <c r="CK95" i="3"/>
  <c r="CM95" i="3" s="1"/>
  <c r="CE95" i="3"/>
  <c r="CC95" i="3"/>
  <c r="BU95" i="3"/>
  <c r="BW95" i="3" s="1"/>
  <c r="BM95" i="3"/>
  <c r="BO95" i="3" s="1"/>
  <c r="BE95" i="3"/>
  <c r="BG95" i="3" s="1"/>
  <c r="AW95" i="3"/>
  <c r="AY95" i="3" s="1"/>
  <c r="AO95" i="3"/>
  <c r="AQ95" i="3" s="1"/>
  <c r="AG95" i="3"/>
  <c r="AI95" i="3" s="1"/>
  <c r="AA95" i="3"/>
  <c r="F95" i="3"/>
  <c r="H95" i="3" s="1"/>
  <c r="H98" i="3" s="1"/>
  <c r="F85" i="3"/>
  <c r="H85" i="3" s="1"/>
  <c r="F84" i="3"/>
  <c r="H84" i="3" s="1"/>
  <c r="XBU83" i="3"/>
  <c r="XBW83" i="3" s="1"/>
  <c r="XBM83" i="3"/>
  <c r="XBO83" i="3" s="1"/>
  <c r="XBE83" i="3"/>
  <c r="XBG83" i="3" s="1"/>
  <c r="XAW83" i="3"/>
  <c r="XAY83" i="3" s="1"/>
  <c r="XAO83" i="3"/>
  <c r="XAQ83" i="3" s="1"/>
  <c r="XAG83" i="3"/>
  <c r="XAI83" i="3" s="1"/>
  <c r="XAA83" i="3"/>
  <c r="WZY83" i="3"/>
  <c r="WZQ83" i="3"/>
  <c r="WZS83" i="3" s="1"/>
  <c r="WZI83" i="3"/>
  <c r="WZK83" i="3" s="1"/>
  <c r="WZA83" i="3"/>
  <c r="WZC83" i="3" s="1"/>
  <c r="WYS83" i="3"/>
  <c r="WYU83" i="3" s="1"/>
  <c r="WYK83" i="3"/>
  <c r="WYM83" i="3" s="1"/>
  <c r="WYC83" i="3"/>
  <c r="WYE83" i="3" s="1"/>
  <c r="WXW83" i="3"/>
  <c r="WXU83" i="3"/>
  <c r="WXM83" i="3"/>
  <c r="WXO83" i="3" s="1"/>
  <c r="WXE83" i="3"/>
  <c r="WXG83" i="3" s="1"/>
  <c r="WWW83" i="3"/>
  <c r="WWY83" i="3" s="1"/>
  <c r="WWO83" i="3"/>
  <c r="WWQ83" i="3" s="1"/>
  <c r="WWG83" i="3"/>
  <c r="WWI83" i="3" s="1"/>
  <c r="WVY83" i="3"/>
  <c r="WWA83" i="3" s="1"/>
  <c r="WVQ83" i="3"/>
  <c r="WVS83" i="3" s="1"/>
  <c r="WVI83" i="3"/>
  <c r="WVK83" i="3" s="1"/>
  <c r="WVA83" i="3"/>
  <c r="WVC83" i="3" s="1"/>
  <c r="WUU83" i="3"/>
  <c r="WUS83" i="3"/>
  <c r="WUK83" i="3"/>
  <c r="WUM83" i="3" s="1"/>
  <c r="WUC83" i="3"/>
  <c r="WUE83" i="3" s="1"/>
  <c r="WTW83" i="3"/>
  <c r="WTU83" i="3"/>
  <c r="WTM83" i="3"/>
  <c r="WTO83" i="3" s="1"/>
  <c r="WTG83" i="3"/>
  <c r="WTE83" i="3"/>
  <c r="WSW83" i="3"/>
  <c r="WSY83" i="3" s="1"/>
  <c r="WSQ83" i="3"/>
  <c r="WSO83" i="3"/>
  <c r="WSG83" i="3"/>
  <c r="WSI83" i="3" s="1"/>
  <c r="WRY83" i="3"/>
  <c r="WSA83" i="3" s="1"/>
  <c r="WRQ83" i="3"/>
  <c r="WRS83" i="3" s="1"/>
  <c r="WRI83" i="3"/>
  <c r="WRK83" i="3" s="1"/>
  <c r="WRA83" i="3"/>
  <c r="WRC83" i="3" s="1"/>
  <c r="WQS83" i="3"/>
  <c r="WQU83" i="3" s="1"/>
  <c r="WQM83" i="3"/>
  <c r="WQK83" i="3"/>
  <c r="WQC83" i="3"/>
  <c r="WQE83" i="3" s="1"/>
  <c r="WPU83" i="3"/>
  <c r="WPW83" i="3" s="1"/>
  <c r="WPM83" i="3"/>
  <c r="WPO83" i="3" s="1"/>
  <c r="WPE83" i="3"/>
  <c r="WPG83" i="3" s="1"/>
  <c r="WOY83" i="3"/>
  <c r="WOW83" i="3"/>
  <c r="WOO83" i="3"/>
  <c r="WOQ83" i="3" s="1"/>
  <c r="WOG83" i="3"/>
  <c r="WOI83" i="3" s="1"/>
  <c r="WNY83" i="3"/>
  <c r="WOA83" i="3" s="1"/>
  <c r="WNS83" i="3"/>
  <c r="WNQ83" i="3"/>
  <c r="WNI83" i="3"/>
  <c r="WNK83" i="3" s="1"/>
  <c r="WNA83" i="3"/>
  <c r="WNC83" i="3" s="1"/>
  <c r="WMS83" i="3"/>
  <c r="WMU83" i="3" s="1"/>
  <c r="WMK83" i="3"/>
  <c r="WMM83" i="3" s="1"/>
  <c r="WMC83" i="3"/>
  <c r="WME83" i="3" s="1"/>
  <c r="WLW83" i="3"/>
  <c r="WLU83" i="3"/>
  <c r="WLM83" i="3"/>
  <c r="WLO83" i="3" s="1"/>
  <c r="WLE83" i="3"/>
  <c r="WLG83" i="3" s="1"/>
  <c r="WKY83" i="3"/>
  <c r="WKW83" i="3"/>
  <c r="WKO83" i="3"/>
  <c r="WKQ83" i="3" s="1"/>
  <c r="WKG83" i="3"/>
  <c r="WKI83" i="3" s="1"/>
  <c r="WJY83" i="3"/>
  <c r="WKA83" i="3" s="1"/>
  <c r="WJQ83" i="3"/>
  <c r="WJS83" i="3" s="1"/>
  <c r="WJI83" i="3"/>
  <c r="WJK83" i="3" s="1"/>
  <c r="WJC83" i="3"/>
  <c r="WJA83" i="3"/>
  <c r="WIS83" i="3"/>
  <c r="WIU83" i="3" s="1"/>
  <c r="WIK83" i="3"/>
  <c r="WIM83" i="3" s="1"/>
  <c r="WIE83" i="3"/>
  <c r="WIC83" i="3"/>
  <c r="WHU83" i="3"/>
  <c r="WHW83" i="3" s="1"/>
  <c r="WHM83" i="3"/>
  <c r="WHO83" i="3" s="1"/>
  <c r="WHE83" i="3"/>
  <c r="WHG83" i="3" s="1"/>
  <c r="WGY83" i="3"/>
  <c r="WGW83" i="3"/>
  <c r="WGO83" i="3"/>
  <c r="WGQ83" i="3" s="1"/>
  <c r="WGG83" i="3"/>
  <c r="WGI83" i="3" s="1"/>
  <c r="WFY83" i="3"/>
  <c r="WGA83" i="3" s="1"/>
  <c r="WFQ83" i="3"/>
  <c r="WFS83" i="3" s="1"/>
  <c r="WFI83" i="3"/>
  <c r="WFK83" i="3" s="1"/>
  <c r="WFA83" i="3"/>
  <c r="WFC83" i="3" s="1"/>
  <c r="WES83" i="3"/>
  <c r="WEU83" i="3" s="1"/>
  <c r="WEK83" i="3"/>
  <c r="WEM83" i="3" s="1"/>
  <c r="WEE83" i="3"/>
  <c r="WEC83" i="3"/>
  <c r="WDW83" i="3"/>
  <c r="WDU83" i="3"/>
  <c r="WDM83" i="3"/>
  <c r="WDO83" i="3" s="1"/>
  <c r="WDE83" i="3"/>
  <c r="WDG83" i="3" s="1"/>
  <c r="WCW83" i="3"/>
  <c r="WCY83" i="3" s="1"/>
  <c r="WCO83" i="3"/>
  <c r="WCQ83" i="3" s="1"/>
  <c r="WCI83" i="3"/>
  <c r="WCG83" i="3"/>
  <c r="WBY83" i="3"/>
  <c r="WCA83" i="3" s="1"/>
  <c r="WBQ83" i="3"/>
  <c r="WBS83" i="3" s="1"/>
  <c r="WBI83" i="3"/>
  <c r="WBK83" i="3" s="1"/>
  <c r="WBA83" i="3"/>
  <c r="WBC83" i="3" s="1"/>
  <c r="WAS83" i="3"/>
  <c r="WAU83" i="3" s="1"/>
  <c r="WAK83" i="3"/>
  <c r="WAM83" i="3" s="1"/>
  <c r="WAC83" i="3"/>
  <c r="WAE83" i="3" s="1"/>
  <c r="VZU83" i="3"/>
  <c r="VZW83" i="3" s="1"/>
  <c r="VZM83" i="3"/>
  <c r="VZO83" i="3" s="1"/>
  <c r="VZE83" i="3"/>
  <c r="VZG83" i="3" s="1"/>
  <c r="VYW83" i="3"/>
  <c r="VYY83" i="3" s="1"/>
  <c r="VYO83" i="3"/>
  <c r="VYQ83" i="3" s="1"/>
  <c r="VYG83" i="3"/>
  <c r="VYI83" i="3" s="1"/>
  <c r="VXY83" i="3"/>
  <c r="VYA83" i="3" s="1"/>
  <c r="VXQ83" i="3"/>
  <c r="VXS83" i="3" s="1"/>
  <c r="VXI83" i="3"/>
  <c r="VXK83" i="3" s="1"/>
  <c r="VXC83" i="3"/>
  <c r="VXA83" i="3"/>
  <c r="VWU83" i="3"/>
  <c r="VWS83" i="3"/>
  <c r="VWK83" i="3"/>
  <c r="VWM83" i="3" s="1"/>
  <c r="VWC83" i="3"/>
  <c r="VWE83" i="3" s="1"/>
  <c r="VVW83" i="3"/>
  <c r="VVU83" i="3"/>
  <c r="VVM83" i="3"/>
  <c r="VVO83" i="3" s="1"/>
  <c r="VVE83" i="3"/>
  <c r="VVG83" i="3" s="1"/>
  <c r="VUW83" i="3"/>
  <c r="VUY83" i="3" s="1"/>
  <c r="VUQ83" i="3"/>
  <c r="VUO83" i="3"/>
  <c r="VUG83" i="3"/>
  <c r="VUI83" i="3" s="1"/>
  <c r="VTY83" i="3"/>
  <c r="VUA83" i="3" s="1"/>
  <c r="VTQ83" i="3"/>
  <c r="VTS83" i="3" s="1"/>
  <c r="VTI83" i="3"/>
  <c r="VTK83" i="3" s="1"/>
  <c r="VTA83" i="3"/>
  <c r="VTC83" i="3" s="1"/>
  <c r="VSS83" i="3"/>
  <c r="VSU83" i="3" s="1"/>
  <c r="VSK83" i="3"/>
  <c r="VSM83" i="3" s="1"/>
  <c r="VSC83" i="3"/>
  <c r="VSE83" i="3" s="1"/>
  <c r="VRU83" i="3"/>
  <c r="VRW83" i="3" s="1"/>
  <c r="VRO83" i="3"/>
  <c r="VRM83" i="3"/>
  <c r="VRE83" i="3"/>
  <c r="VRG83" i="3" s="1"/>
  <c r="VQW83" i="3"/>
  <c r="VQY83" i="3" s="1"/>
  <c r="VQO83" i="3"/>
  <c r="VQQ83" i="3" s="1"/>
  <c r="VQG83" i="3"/>
  <c r="VQI83" i="3" s="1"/>
  <c r="VPY83" i="3"/>
  <c r="VQA83" i="3" s="1"/>
  <c r="VPS83" i="3"/>
  <c r="VPQ83" i="3"/>
  <c r="VPI83" i="3"/>
  <c r="VPK83" i="3" s="1"/>
  <c r="VPC83" i="3"/>
  <c r="VPA83" i="3"/>
  <c r="VOS83" i="3"/>
  <c r="VOU83" i="3" s="1"/>
  <c r="VOK83" i="3"/>
  <c r="VOM83" i="3" s="1"/>
  <c r="VOC83" i="3"/>
  <c r="VOE83" i="3" s="1"/>
  <c r="VNU83" i="3"/>
  <c r="VNW83" i="3" s="1"/>
  <c r="VNO83" i="3"/>
  <c r="VNM83" i="3"/>
  <c r="VNE83" i="3"/>
  <c r="VNG83" i="3" s="1"/>
  <c r="VMW83" i="3"/>
  <c r="VMY83" i="3" s="1"/>
  <c r="VMO83" i="3"/>
  <c r="VMQ83" i="3" s="1"/>
  <c r="VMG83" i="3"/>
  <c r="VMI83" i="3" s="1"/>
  <c r="VMA83" i="3"/>
  <c r="VLY83" i="3"/>
  <c r="VLQ83" i="3"/>
  <c r="VLS83" i="3" s="1"/>
  <c r="VLI83" i="3"/>
  <c r="VLK83" i="3" s="1"/>
  <c r="VLA83" i="3"/>
  <c r="VLC83" i="3" s="1"/>
  <c r="VKS83" i="3"/>
  <c r="VKU83" i="3" s="1"/>
  <c r="VKK83" i="3"/>
  <c r="VKM83" i="3" s="1"/>
  <c r="VKE83" i="3"/>
  <c r="VKC83" i="3"/>
  <c r="VJU83" i="3"/>
  <c r="VJW83" i="3" s="1"/>
  <c r="VJM83" i="3"/>
  <c r="VJO83" i="3" s="1"/>
  <c r="VJE83" i="3"/>
  <c r="VJG83" i="3" s="1"/>
  <c r="VIW83" i="3"/>
  <c r="VIY83" i="3" s="1"/>
  <c r="VIO83" i="3"/>
  <c r="VIQ83" i="3" s="1"/>
  <c r="VIG83" i="3"/>
  <c r="VII83" i="3" s="1"/>
  <c r="VIA83" i="3"/>
  <c r="VHY83" i="3"/>
  <c r="VHQ83" i="3"/>
  <c r="VHS83" i="3" s="1"/>
  <c r="VHI83" i="3"/>
  <c r="VHK83" i="3" s="1"/>
  <c r="VHA83" i="3"/>
  <c r="VHC83" i="3" s="1"/>
  <c r="VGS83" i="3"/>
  <c r="VGU83" i="3" s="1"/>
  <c r="VGK83" i="3"/>
  <c r="VGM83" i="3" s="1"/>
  <c r="VGC83" i="3"/>
  <c r="VGE83" i="3" s="1"/>
  <c r="VFU83" i="3"/>
  <c r="VFW83" i="3" s="1"/>
  <c r="VFM83" i="3"/>
  <c r="VFO83" i="3" s="1"/>
  <c r="VFE83" i="3"/>
  <c r="VFG83" i="3" s="1"/>
  <c r="VEW83" i="3"/>
  <c r="VEY83" i="3" s="1"/>
  <c r="VEO83" i="3"/>
  <c r="VEQ83" i="3" s="1"/>
  <c r="VEI83" i="3"/>
  <c r="VEG83" i="3"/>
  <c r="VDY83" i="3"/>
  <c r="VEA83" i="3" s="1"/>
  <c r="VDS83" i="3"/>
  <c r="VDQ83" i="3"/>
  <c r="VDI83" i="3"/>
  <c r="VDK83" i="3" s="1"/>
  <c r="VDA83" i="3"/>
  <c r="VDC83" i="3" s="1"/>
  <c r="VCS83" i="3"/>
  <c r="VCU83" i="3" s="1"/>
  <c r="VCK83" i="3"/>
  <c r="VCM83" i="3" s="1"/>
  <c r="VCE83" i="3"/>
  <c r="VCC83" i="3"/>
  <c r="VBU83" i="3"/>
  <c r="VBW83" i="3" s="1"/>
  <c r="VBM83" i="3"/>
  <c r="VBO83" i="3" s="1"/>
  <c r="VBE83" i="3"/>
  <c r="VBG83" i="3" s="1"/>
  <c r="VAW83" i="3"/>
  <c r="VAY83" i="3" s="1"/>
  <c r="VAO83" i="3"/>
  <c r="VAQ83" i="3" s="1"/>
  <c r="VAG83" i="3"/>
  <c r="VAI83" i="3" s="1"/>
  <c r="UZY83" i="3"/>
  <c r="VAA83" i="3" s="1"/>
  <c r="UZS83" i="3"/>
  <c r="UZQ83" i="3"/>
  <c r="UZI83" i="3"/>
  <c r="UZK83" i="3" s="1"/>
  <c r="UZA83" i="3"/>
  <c r="UZC83" i="3" s="1"/>
  <c r="UYU83" i="3"/>
  <c r="UYS83" i="3"/>
  <c r="UYK83" i="3"/>
  <c r="UYM83" i="3" s="1"/>
  <c r="UYC83" i="3"/>
  <c r="UYE83" i="3" s="1"/>
  <c r="UXU83" i="3"/>
  <c r="UXW83" i="3" s="1"/>
  <c r="UXM83" i="3"/>
  <c r="UXO83" i="3" s="1"/>
  <c r="UXE83" i="3"/>
  <c r="UXG83" i="3" s="1"/>
  <c r="UWW83" i="3"/>
  <c r="UWY83" i="3" s="1"/>
  <c r="UWQ83" i="3"/>
  <c r="UWO83" i="3"/>
  <c r="UWG83" i="3"/>
  <c r="UWI83" i="3" s="1"/>
  <c r="UVY83" i="3"/>
  <c r="UWA83" i="3" s="1"/>
  <c r="UVQ83" i="3"/>
  <c r="UVS83" i="3" s="1"/>
  <c r="UVI83" i="3"/>
  <c r="UVK83" i="3" s="1"/>
  <c r="UVA83" i="3"/>
  <c r="UVC83" i="3" s="1"/>
  <c r="UUS83" i="3"/>
  <c r="UUU83" i="3" s="1"/>
  <c r="UUM83" i="3"/>
  <c r="UUK83" i="3"/>
  <c r="UUC83" i="3"/>
  <c r="UUE83" i="3" s="1"/>
  <c r="UTU83" i="3"/>
  <c r="UTW83" i="3" s="1"/>
  <c r="UTM83" i="3"/>
  <c r="UTO83" i="3" s="1"/>
  <c r="UTE83" i="3"/>
  <c r="UTG83" i="3" s="1"/>
  <c r="USW83" i="3"/>
  <c r="USY83" i="3" s="1"/>
  <c r="USO83" i="3"/>
  <c r="USQ83" i="3" s="1"/>
  <c r="USG83" i="3"/>
  <c r="USI83" i="3" s="1"/>
  <c r="URY83" i="3"/>
  <c r="USA83" i="3" s="1"/>
  <c r="URQ83" i="3"/>
  <c r="URS83" i="3" s="1"/>
  <c r="URI83" i="3"/>
  <c r="URK83" i="3" s="1"/>
  <c r="URA83" i="3"/>
  <c r="URC83" i="3" s="1"/>
  <c r="UQS83" i="3"/>
  <c r="UQU83" i="3" s="1"/>
  <c r="UQM83" i="3"/>
  <c r="UQK83" i="3"/>
  <c r="UQC83" i="3"/>
  <c r="UQE83" i="3" s="1"/>
  <c r="UPW83" i="3"/>
  <c r="UPU83" i="3"/>
  <c r="UPM83" i="3"/>
  <c r="UPO83" i="3" s="1"/>
  <c r="UPE83" i="3"/>
  <c r="UPG83" i="3" s="1"/>
  <c r="UOW83" i="3"/>
  <c r="UOY83" i="3" s="1"/>
  <c r="UOO83" i="3"/>
  <c r="UOQ83" i="3" s="1"/>
  <c r="UOG83" i="3"/>
  <c r="UOI83" i="3" s="1"/>
  <c r="UNY83" i="3"/>
  <c r="UOA83" i="3" s="1"/>
  <c r="UNQ83" i="3"/>
  <c r="UNS83" i="3" s="1"/>
  <c r="UNI83" i="3"/>
  <c r="UNK83" i="3" s="1"/>
  <c r="UNA83" i="3"/>
  <c r="UNC83" i="3" s="1"/>
  <c r="UMU83" i="3"/>
  <c r="UMS83" i="3"/>
  <c r="UMK83" i="3"/>
  <c r="UMM83" i="3" s="1"/>
  <c r="UME83" i="3"/>
  <c r="UMC83" i="3"/>
  <c r="ULW83" i="3"/>
  <c r="ULU83" i="3"/>
  <c r="ULO83" i="3"/>
  <c r="ULM83" i="3"/>
  <c r="ULE83" i="3"/>
  <c r="ULG83" i="3" s="1"/>
  <c r="UKW83" i="3"/>
  <c r="UKY83" i="3" s="1"/>
  <c r="UKO83" i="3"/>
  <c r="UKQ83" i="3" s="1"/>
  <c r="UKG83" i="3"/>
  <c r="UKI83" i="3" s="1"/>
  <c r="UJY83" i="3"/>
  <c r="UKA83" i="3" s="1"/>
  <c r="UJQ83" i="3"/>
  <c r="UJS83" i="3" s="1"/>
  <c r="UJI83" i="3"/>
  <c r="UJK83" i="3" s="1"/>
  <c r="UJA83" i="3"/>
  <c r="UJC83" i="3" s="1"/>
  <c r="UIS83" i="3"/>
  <c r="UIU83" i="3" s="1"/>
  <c r="UIK83" i="3"/>
  <c r="UIM83" i="3" s="1"/>
  <c r="UIC83" i="3"/>
  <c r="UIE83" i="3" s="1"/>
  <c r="UHW83" i="3"/>
  <c r="UHU83" i="3"/>
  <c r="UHM83" i="3"/>
  <c r="UHO83" i="3" s="1"/>
  <c r="UHE83" i="3"/>
  <c r="UHG83" i="3" s="1"/>
  <c r="UGW83" i="3"/>
  <c r="UGY83" i="3" s="1"/>
  <c r="UGQ83" i="3"/>
  <c r="UGO83" i="3"/>
  <c r="UGG83" i="3"/>
  <c r="UGI83" i="3" s="1"/>
  <c r="UFY83" i="3"/>
  <c r="UGA83" i="3" s="1"/>
  <c r="UFQ83" i="3"/>
  <c r="UFS83" i="3" s="1"/>
  <c r="UFK83" i="3"/>
  <c r="UFI83" i="3"/>
  <c r="UFA83" i="3"/>
  <c r="UFC83" i="3" s="1"/>
  <c r="UES83" i="3"/>
  <c r="UEU83" i="3" s="1"/>
  <c r="UEK83" i="3"/>
  <c r="UEM83" i="3" s="1"/>
  <c r="UEC83" i="3"/>
  <c r="UEE83" i="3" s="1"/>
  <c r="UDW83" i="3"/>
  <c r="UDU83" i="3"/>
  <c r="UDO83" i="3"/>
  <c r="UDM83" i="3"/>
  <c r="UDE83" i="3"/>
  <c r="UDG83" i="3" s="1"/>
  <c r="UCW83" i="3"/>
  <c r="UCY83" i="3" s="1"/>
  <c r="UCO83" i="3"/>
  <c r="UCQ83" i="3" s="1"/>
  <c r="UCG83" i="3"/>
  <c r="UCI83" i="3" s="1"/>
  <c r="UBY83" i="3"/>
  <c r="UCA83" i="3" s="1"/>
  <c r="UBQ83" i="3"/>
  <c r="UBS83" i="3" s="1"/>
  <c r="UBI83" i="3"/>
  <c r="UBK83" i="3" s="1"/>
  <c r="UBA83" i="3"/>
  <c r="UBC83" i="3" s="1"/>
  <c r="UAS83" i="3"/>
  <c r="UAU83" i="3" s="1"/>
  <c r="UAM83" i="3"/>
  <c r="UAK83" i="3"/>
  <c r="UAC83" i="3"/>
  <c r="UAE83" i="3" s="1"/>
  <c r="TZU83" i="3"/>
  <c r="TZW83" i="3" s="1"/>
  <c r="TZM83" i="3"/>
  <c r="TZO83" i="3" s="1"/>
  <c r="TZE83" i="3"/>
  <c r="TZG83" i="3" s="1"/>
  <c r="TYW83" i="3"/>
  <c r="TYY83" i="3" s="1"/>
  <c r="TYO83" i="3"/>
  <c r="TYQ83" i="3" s="1"/>
  <c r="TYG83" i="3"/>
  <c r="TYI83" i="3" s="1"/>
  <c r="TXY83" i="3"/>
  <c r="TYA83" i="3" s="1"/>
  <c r="TXQ83" i="3"/>
  <c r="TXS83" i="3" s="1"/>
  <c r="TXI83" i="3"/>
  <c r="TXK83" i="3" s="1"/>
  <c r="TXA83" i="3"/>
  <c r="TXC83" i="3" s="1"/>
  <c r="TWS83" i="3"/>
  <c r="TWU83" i="3" s="1"/>
  <c r="TWK83" i="3"/>
  <c r="TWM83" i="3" s="1"/>
  <c r="TWE83" i="3"/>
  <c r="TWC83" i="3"/>
  <c r="TVU83" i="3"/>
  <c r="TVW83" i="3" s="1"/>
  <c r="TVM83" i="3"/>
  <c r="TVO83" i="3" s="1"/>
  <c r="TVG83" i="3"/>
  <c r="TVE83" i="3"/>
  <c r="TUW83" i="3"/>
  <c r="TUY83" i="3" s="1"/>
  <c r="TUO83" i="3"/>
  <c r="TUQ83" i="3" s="1"/>
  <c r="TUI83" i="3"/>
  <c r="TUG83" i="3"/>
  <c r="TTY83" i="3"/>
  <c r="TUA83" i="3" s="1"/>
  <c r="TTQ83" i="3"/>
  <c r="TTS83" i="3" s="1"/>
  <c r="TTK83" i="3"/>
  <c r="TTI83" i="3"/>
  <c r="TTA83" i="3"/>
  <c r="TTC83" i="3" s="1"/>
  <c r="TSS83" i="3"/>
  <c r="TSU83" i="3" s="1"/>
  <c r="TSM83" i="3"/>
  <c r="TSK83" i="3"/>
  <c r="TSC83" i="3"/>
  <c r="TSE83" i="3" s="1"/>
  <c r="TRU83" i="3"/>
  <c r="TRW83" i="3" s="1"/>
  <c r="TRM83" i="3"/>
  <c r="TRO83" i="3" s="1"/>
  <c r="TRG83" i="3"/>
  <c r="TRE83" i="3"/>
  <c r="TQW83" i="3"/>
  <c r="TQY83" i="3" s="1"/>
  <c r="TQQ83" i="3"/>
  <c r="TQO83" i="3"/>
  <c r="TQG83" i="3"/>
  <c r="TQI83" i="3" s="1"/>
  <c r="TPY83" i="3"/>
  <c r="TQA83" i="3" s="1"/>
  <c r="TPQ83" i="3"/>
  <c r="TPS83" i="3" s="1"/>
  <c r="TPI83" i="3"/>
  <c r="TPK83" i="3" s="1"/>
  <c r="TPA83" i="3"/>
  <c r="TPC83" i="3" s="1"/>
  <c r="TOU83" i="3"/>
  <c r="TOS83" i="3"/>
  <c r="TOK83" i="3"/>
  <c r="TOM83" i="3" s="1"/>
  <c r="TOC83" i="3"/>
  <c r="TOE83" i="3" s="1"/>
  <c r="TNU83" i="3"/>
  <c r="TNW83" i="3" s="1"/>
  <c r="TNM83" i="3"/>
  <c r="TNO83" i="3" s="1"/>
  <c r="TNE83" i="3"/>
  <c r="TNG83" i="3" s="1"/>
  <c r="TMW83" i="3"/>
  <c r="TMY83" i="3" s="1"/>
  <c r="TMO83" i="3"/>
  <c r="TMQ83" i="3" s="1"/>
  <c r="TMG83" i="3"/>
  <c r="TMI83" i="3" s="1"/>
  <c r="TLY83" i="3"/>
  <c r="TMA83" i="3" s="1"/>
  <c r="TLS83" i="3"/>
  <c r="TLQ83" i="3"/>
  <c r="TLI83" i="3"/>
  <c r="TLK83" i="3" s="1"/>
  <c r="TLA83" i="3"/>
  <c r="TLC83" i="3" s="1"/>
  <c r="TKS83" i="3"/>
  <c r="TKU83" i="3" s="1"/>
  <c r="TKM83" i="3"/>
  <c r="TKK83" i="3"/>
  <c r="TKC83" i="3"/>
  <c r="TKE83" i="3" s="1"/>
  <c r="TJU83" i="3"/>
  <c r="TJW83" i="3" s="1"/>
  <c r="TJM83" i="3"/>
  <c r="TJO83" i="3" s="1"/>
  <c r="TJG83" i="3"/>
  <c r="TJE83" i="3"/>
  <c r="TIW83" i="3"/>
  <c r="TIY83" i="3" s="1"/>
  <c r="TIO83" i="3"/>
  <c r="TIQ83" i="3" s="1"/>
  <c r="TIG83" i="3"/>
  <c r="TII83" i="3" s="1"/>
  <c r="THY83" i="3"/>
  <c r="TIA83" i="3" s="1"/>
  <c r="THQ83" i="3"/>
  <c r="THS83" i="3" s="1"/>
  <c r="THI83" i="3"/>
  <c r="THK83" i="3" s="1"/>
  <c r="THA83" i="3"/>
  <c r="THC83" i="3" s="1"/>
  <c r="TGS83" i="3"/>
  <c r="TGU83" i="3" s="1"/>
  <c r="TGK83" i="3"/>
  <c r="TGM83" i="3" s="1"/>
  <c r="TGC83" i="3"/>
  <c r="TGE83" i="3" s="1"/>
  <c r="TFW83" i="3"/>
  <c r="TFU83" i="3"/>
  <c r="TFM83" i="3"/>
  <c r="TFO83" i="3" s="1"/>
  <c r="TFE83" i="3"/>
  <c r="TFG83" i="3" s="1"/>
  <c r="TEW83" i="3"/>
  <c r="TEY83" i="3" s="1"/>
  <c r="TEQ83" i="3"/>
  <c r="TEO83" i="3"/>
  <c r="TEG83" i="3"/>
  <c r="TEI83" i="3" s="1"/>
  <c r="TDY83" i="3"/>
  <c r="TEA83" i="3" s="1"/>
  <c r="TDQ83" i="3"/>
  <c r="TDS83" i="3" s="1"/>
  <c r="TDI83" i="3"/>
  <c r="TDK83" i="3" s="1"/>
  <c r="TDC83" i="3"/>
  <c r="TDA83" i="3"/>
  <c r="TCS83" i="3"/>
  <c r="TCU83" i="3" s="1"/>
  <c r="TCK83" i="3"/>
  <c r="TCM83" i="3" s="1"/>
  <c r="TCE83" i="3"/>
  <c r="TCC83" i="3"/>
  <c r="TBU83" i="3"/>
  <c r="TBW83" i="3" s="1"/>
  <c r="TBM83" i="3"/>
  <c r="TBO83" i="3" s="1"/>
  <c r="TBE83" i="3"/>
  <c r="TBG83" i="3" s="1"/>
  <c r="TAW83" i="3"/>
  <c r="TAY83" i="3" s="1"/>
  <c r="TAO83" i="3"/>
  <c r="TAQ83" i="3" s="1"/>
  <c r="TAG83" i="3"/>
  <c r="TAI83" i="3" s="1"/>
  <c r="TAA83" i="3"/>
  <c r="SZY83" i="3"/>
  <c r="SZQ83" i="3"/>
  <c r="SZS83" i="3" s="1"/>
  <c r="SZI83" i="3"/>
  <c r="SZK83" i="3" s="1"/>
  <c r="SZA83" i="3"/>
  <c r="SZC83" i="3" s="1"/>
  <c r="SYS83" i="3"/>
  <c r="SYU83" i="3" s="1"/>
  <c r="SYK83" i="3"/>
  <c r="SYM83" i="3" s="1"/>
  <c r="SYC83" i="3"/>
  <c r="SYE83" i="3" s="1"/>
  <c r="SXU83" i="3"/>
  <c r="SXW83" i="3" s="1"/>
  <c r="SXM83" i="3"/>
  <c r="SXO83" i="3" s="1"/>
  <c r="SXE83" i="3"/>
  <c r="SXG83" i="3" s="1"/>
  <c r="SWW83" i="3"/>
  <c r="SWY83" i="3" s="1"/>
  <c r="SWQ83" i="3"/>
  <c r="SWO83" i="3"/>
  <c r="SWG83" i="3"/>
  <c r="SWI83" i="3" s="1"/>
  <c r="SVY83" i="3"/>
  <c r="SWA83" i="3" s="1"/>
  <c r="SVS83" i="3"/>
  <c r="SVQ83" i="3"/>
  <c r="SVI83" i="3"/>
  <c r="SVK83" i="3" s="1"/>
  <c r="SVC83" i="3"/>
  <c r="SVA83" i="3"/>
  <c r="SUS83" i="3"/>
  <c r="SUU83" i="3" s="1"/>
  <c r="SUK83" i="3"/>
  <c r="SUM83" i="3" s="1"/>
  <c r="SUC83" i="3"/>
  <c r="SUE83" i="3" s="1"/>
  <c r="STW83" i="3"/>
  <c r="STU83" i="3"/>
  <c r="STM83" i="3"/>
  <c r="STO83" i="3" s="1"/>
  <c r="STE83" i="3"/>
  <c r="STG83" i="3" s="1"/>
  <c r="SSW83" i="3"/>
  <c r="SSY83" i="3" s="1"/>
  <c r="SSO83" i="3"/>
  <c r="SSQ83" i="3" s="1"/>
  <c r="SSG83" i="3"/>
  <c r="SSI83" i="3" s="1"/>
  <c r="SSA83" i="3"/>
  <c r="SRY83" i="3"/>
  <c r="SRS83" i="3"/>
  <c r="SRQ83" i="3"/>
  <c r="SRI83" i="3"/>
  <c r="SRK83" i="3" s="1"/>
  <c r="SRC83" i="3"/>
  <c r="SRA83" i="3"/>
  <c r="SQS83" i="3"/>
  <c r="SQU83" i="3" s="1"/>
  <c r="SQK83" i="3"/>
  <c r="SQM83" i="3" s="1"/>
  <c r="SQC83" i="3"/>
  <c r="SQE83" i="3" s="1"/>
  <c r="SPU83" i="3"/>
  <c r="SPW83" i="3" s="1"/>
  <c r="SPO83" i="3"/>
  <c r="SPM83" i="3"/>
  <c r="SPE83" i="3"/>
  <c r="SPG83" i="3" s="1"/>
  <c r="SOW83" i="3"/>
  <c r="SOY83" i="3" s="1"/>
  <c r="SOO83" i="3"/>
  <c r="SOQ83" i="3" s="1"/>
  <c r="SOI83" i="3"/>
  <c r="SOG83" i="3"/>
  <c r="SOA83" i="3"/>
  <c r="SNY83" i="3"/>
  <c r="SNQ83" i="3"/>
  <c r="SNS83" i="3" s="1"/>
  <c r="SNI83" i="3"/>
  <c r="SNK83" i="3" s="1"/>
  <c r="SNC83" i="3"/>
  <c r="SNA83" i="3"/>
  <c r="SMS83" i="3"/>
  <c r="SMU83" i="3" s="1"/>
  <c r="SMM83" i="3"/>
  <c r="SMK83" i="3"/>
  <c r="SMC83" i="3"/>
  <c r="SME83" i="3" s="1"/>
  <c r="SLU83" i="3"/>
  <c r="SLW83" i="3" s="1"/>
  <c r="SLO83" i="3"/>
  <c r="SLM83" i="3"/>
  <c r="SLG83" i="3"/>
  <c r="SLE83" i="3"/>
  <c r="SKW83" i="3"/>
  <c r="SKY83" i="3" s="1"/>
  <c r="SKO83" i="3"/>
  <c r="SKQ83" i="3" s="1"/>
  <c r="SKG83" i="3"/>
  <c r="SKI83" i="3" s="1"/>
  <c r="SJY83" i="3"/>
  <c r="SKA83" i="3" s="1"/>
  <c r="SJQ83" i="3"/>
  <c r="SJS83" i="3" s="1"/>
  <c r="SJI83" i="3"/>
  <c r="SJK83" i="3" s="1"/>
  <c r="SJA83" i="3"/>
  <c r="SJC83" i="3" s="1"/>
  <c r="SIS83" i="3"/>
  <c r="SIU83" i="3" s="1"/>
  <c r="SIK83" i="3"/>
  <c r="SIM83" i="3" s="1"/>
  <c r="SIC83" i="3"/>
  <c r="SIE83" i="3" s="1"/>
  <c r="SHU83" i="3"/>
  <c r="SHW83" i="3" s="1"/>
  <c r="SHM83" i="3"/>
  <c r="SHO83" i="3" s="1"/>
  <c r="SHE83" i="3"/>
  <c r="SHG83" i="3" s="1"/>
  <c r="SGW83" i="3"/>
  <c r="SGY83" i="3" s="1"/>
  <c r="SGQ83" i="3"/>
  <c r="SGO83" i="3"/>
  <c r="SGG83" i="3"/>
  <c r="SGI83" i="3" s="1"/>
  <c r="SGA83" i="3"/>
  <c r="SFY83" i="3"/>
  <c r="SFS83" i="3"/>
  <c r="SFQ83" i="3"/>
  <c r="SFI83" i="3"/>
  <c r="SFK83" i="3" s="1"/>
  <c r="SFA83" i="3"/>
  <c r="SFC83" i="3" s="1"/>
  <c r="SES83" i="3"/>
  <c r="SEU83" i="3" s="1"/>
  <c r="SEM83" i="3"/>
  <c r="SEK83" i="3"/>
  <c r="SEC83" i="3"/>
  <c r="SEE83" i="3" s="1"/>
  <c r="SDW83" i="3"/>
  <c r="SDU83" i="3"/>
  <c r="SDM83" i="3"/>
  <c r="SDO83" i="3" s="1"/>
  <c r="SDE83" i="3"/>
  <c r="SDG83" i="3" s="1"/>
  <c r="SCY83" i="3"/>
  <c r="SCW83" i="3"/>
  <c r="SCO83" i="3"/>
  <c r="SCQ83" i="3" s="1"/>
  <c r="SCI83" i="3"/>
  <c r="SCG83" i="3"/>
  <c r="SBY83" i="3"/>
  <c r="SCA83" i="3" s="1"/>
  <c r="SBQ83" i="3"/>
  <c r="SBS83" i="3" s="1"/>
  <c r="SBI83" i="3"/>
  <c r="SBK83" i="3" s="1"/>
  <c r="SBA83" i="3"/>
  <c r="SBC83" i="3" s="1"/>
  <c r="SAS83" i="3"/>
  <c r="SAU83" i="3" s="1"/>
  <c r="SAK83" i="3"/>
  <c r="SAM83" i="3" s="1"/>
  <c r="SAE83" i="3"/>
  <c r="SAC83" i="3"/>
  <c r="RZU83" i="3"/>
  <c r="RZW83" i="3" s="1"/>
  <c r="RZM83" i="3"/>
  <c r="RZO83" i="3" s="1"/>
  <c r="RZE83" i="3"/>
  <c r="RZG83" i="3" s="1"/>
  <c r="RYW83" i="3"/>
  <c r="RYY83" i="3" s="1"/>
  <c r="RYO83" i="3"/>
  <c r="RYQ83" i="3" s="1"/>
  <c r="RYG83" i="3"/>
  <c r="RYI83" i="3" s="1"/>
  <c r="RXY83" i="3"/>
  <c r="RYA83" i="3" s="1"/>
  <c r="RXS83" i="3"/>
  <c r="RXQ83" i="3"/>
  <c r="RXI83" i="3"/>
  <c r="RXK83" i="3" s="1"/>
  <c r="RXA83" i="3"/>
  <c r="RXC83" i="3" s="1"/>
  <c r="RWS83" i="3"/>
  <c r="RWU83" i="3" s="1"/>
  <c r="RWM83" i="3"/>
  <c r="RWK83" i="3"/>
  <c r="RWC83" i="3"/>
  <c r="RWE83" i="3" s="1"/>
  <c r="RVW83" i="3"/>
  <c r="RVU83" i="3"/>
  <c r="RVM83" i="3"/>
  <c r="RVO83" i="3" s="1"/>
  <c r="RVE83" i="3"/>
  <c r="RVG83" i="3" s="1"/>
  <c r="RUW83" i="3"/>
  <c r="RUY83" i="3" s="1"/>
  <c r="RUQ83" i="3"/>
  <c r="RUO83" i="3"/>
  <c r="RUG83" i="3"/>
  <c r="RUI83" i="3" s="1"/>
  <c r="RUA83" i="3"/>
  <c r="RTY83" i="3"/>
  <c r="RTQ83" i="3"/>
  <c r="RTS83" i="3" s="1"/>
  <c r="RTI83" i="3"/>
  <c r="RTK83" i="3" s="1"/>
  <c r="RTA83" i="3"/>
  <c r="RTC83" i="3" s="1"/>
  <c r="RSS83" i="3"/>
  <c r="RSU83" i="3" s="1"/>
  <c r="RSK83" i="3"/>
  <c r="RSM83" i="3" s="1"/>
  <c r="RSC83" i="3"/>
  <c r="RSE83" i="3" s="1"/>
  <c r="RRW83" i="3"/>
  <c r="RRU83" i="3"/>
  <c r="RRO83" i="3"/>
  <c r="RRM83" i="3"/>
  <c r="RRE83" i="3"/>
  <c r="RRG83" i="3" s="1"/>
  <c r="RQW83" i="3"/>
  <c r="RQY83" i="3" s="1"/>
  <c r="RQO83" i="3"/>
  <c r="RQQ83" i="3" s="1"/>
  <c r="RQG83" i="3"/>
  <c r="RQI83" i="3" s="1"/>
  <c r="RPY83" i="3"/>
  <c r="RQA83" i="3" s="1"/>
  <c r="RPS83" i="3"/>
  <c r="RPQ83" i="3"/>
  <c r="RPI83" i="3"/>
  <c r="RPK83" i="3" s="1"/>
  <c r="RPA83" i="3"/>
  <c r="RPC83" i="3" s="1"/>
  <c r="ROS83" i="3"/>
  <c r="ROU83" i="3" s="1"/>
  <c r="ROK83" i="3"/>
  <c r="ROM83" i="3" s="1"/>
  <c r="ROC83" i="3"/>
  <c r="ROE83" i="3" s="1"/>
  <c r="RNU83" i="3"/>
  <c r="RNW83" i="3" s="1"/>
  <c r="RNM83" i="3"/>
  <c r="RNO83" i="3" s="1"/>
  <c r="RNE83" i="3"/>
  <c r="RNG83" i="3" s="1"/>
  <c r="RMW83" i="3"/>
  <c r="RMY83" i="3" s="1"/>
  <c r="RMO83" i="3"/>
  <c r="RMQ83" i="3" s="1"/>
  <c r="RMG83" i="3"/>
  <c r="RMI83" i="3" s="1"/>
  <c r="RLY83" i="3"/>
  <c r="RMA83" i="3" s="1"/>
  <c r="RLS83" i="3"/>
  <c r="RLQ83" i="3"/>
  <c r="RLI83" i="3"/>
  <c r="RLK83" i="3" s="1"/>
  <c r="RLA83" i="3"/>
  <c r="RLC83" i="3" s="1"/>
  <c r="RKS83" i="3"/>
  <c r="RKU83" i="3" s="1"/>
  <c r="RKK83" i="3"/>
  <c r="RKM83" i="3" s="1"/>
  <c r="RKE83" i="3"/>
  <c r="RKC83" i="3"/>
  <c r="RJU83" i="3"/>
  <c r="RJW83" i="3" s="1"/>
  <c r="RJO83" i="3"/>
  <c r="RJM83" i="3"/>
  <c r="RJE83" i="3"/>
  <c r="RJG83" i="3" s="1"/>
  <c r="RIW83" i="3"/>
  <c r="RIY83" i="3" s="1"/>
  <c r="RIO83" i="3"/>
  <c r="RIQ83" i="3" s="1"/>
  <c r="RIG83" i="3"/>
  <c r="RII83" i="3" s="1"/>
  <c r="RHY83" i="3"/>
  <c r="RIA83" i="3" s="1"/>
  <c r="RHQ83" i="3"/>
  <c r="RHS83" i="3" s="1"/>
  <c r="RHI83" i="3"/>
  <c r="RHK83" i="3" s="1"/>
  <c r="RHA83" i="3"/>
  <c r="RHC83" i="3" s="1"/>
  <c r="RGU83" i="3"/>
  <c r="RGS83" i="3"/>
  <c r="RGK83" i="3"/>
  <c r="RGM83" i="3" s="1"/>
  <c r="RGC83" i="3"/>
  <c r="RGE83" i="3" s="1"/>
  <c r="RFW83" i="3"/>
  <c r="RFU83" i="3"/>
  <c r="RFM83" i="3"/>
  <c r="RFO83" i="3" s="1"/>
  <c r="RFE83" i="3"/>
  <c r="RFG83" i="3" s="1"/>
  <c r="REY83" i="3"/>
  <c r="REW83" i="3"/>
  <c r="REO83" i="3"/>
  <c r="REQ83" i="3" s="1"/>
  <c r="REG83" i="3"/>
  <c r="REI83" i="3" s="1"/>
  <c r="RDY83" i="3"/>
  <c r="REA83" i="3" s="1"/>
  <c r="RDQ83" i="3"/>
  <c r="RDS83" i="3" s="1"/>
  <c r="RDI83" i="3"/>
  <c r="RDK83" i="3" s="1"/>
  <c r="RDA83" i="3"/>
  <c r="RDC83" i="3" s="1"/>
  <c r="RCU83" i="3"/>
  <c r="RCS83" i="3"/>
  <c r="RCK83" i="3"/>
  <c r="RCM83" i="3" s="1"/>
  <c r="RCC83" i="3"/>
  <c r="RCE83" i="3" s="1"/>
  <c r="RBU83" i="3"/>
  <c r="RBW83" i="3" s="1"/>
  <c r="RBM83" i="3"/>
  <c r="RBO83" i="3" s="1"/>
  <c r="RBG83" i="3"/>
  <c r="RBE83" i="3"/>
  <c r="RAW83" i="3"/>
  <c r="RAY83" i="3" s="1"/>
  <c r="RAO83" i="3"/>
  <c r="RAQ83" i="3" s="1"/>
  <c r="RAG83" i="3"/>
  <c r="RAI83" i="3" s="1"/>
  <c r="QZY83" i="3"/>
  <c r="RAA83" i="3" s="1"/>
  <c r="QZQ83" i="3"/>
  <c r="QZS83" i="3" s="1"/>
  <c r="QZI83" i="3"/>
  <c r="QZK83" i="3" s="1"/>
  <c r="QZA83" i="3"/>
  <c r="QZC83" i="3" s="1"/>
  <c r="QYU83" i="3"/>
  <c r="QYS83" i="3"/>
  <c r="QYM83" i="3"/>
  <c r="QYK83" i="3"/>
  <c r="QYC83" i="3"/>
  <c r="QYE83" i="3" s="1"/>
  <c r="QXU83" i="3"/>
  <c r="QXW83" i="3" s="1"/>
  <c r="QXO83" i="3"/>
  <c r="QXM83" i="3"/>
  <c r="QXE83" i="3"/>
  <c r="QXG83" i="3" s="1"/>
  <c r="QWW83" i="3"/>
  <c r="QWY83" i="3" s="1"/>
  <c r="QWO83" i="3"/>
  <c r="QWQ83" i="3" s="1"/>
  <c r="QWG83" i="3"/>
  <c r="QWI83" i="3" s="1"/>
  <c r="QWA83" i="3"/>
  <c r="QVY83" i="3"/>
  <c r="QVS83" i="3"/>
  <c r="QVQ83" i="3"/>
  <c r="QVI83" i="3"/>
  <c r="QVK83" i="3" s="1"/>
  <c r="QVA83" i="3"/>
  <c r="QVC83" i="3" s="1"/>
  <c r="QUS83" i="3"/>
  <c r="QUU83" i="3" s="1"/>
  <c r="QUK83" i="3"/>
  <c r="QUM83" i="3" s="1"/>
  <c r="QUC83" i="3"/>
  <c r="QUE83" i="3" s="1"/>
  <c r="QTU83" i="3"/>
  <c r="QTW83" i="3" s="1"/>
  <c r="QTO83" i="3"/>
  <c r="QTM83" i="3"/>
  <c r="QTG83" i="3"/>
  <c r="QTE83" i="3"/>
  <c r="QSW83" i="3"/>
  <c r="QSY83" i="3" s="1"/>
  <c r="QSO83" i="3"/>
  <c r="QSQ83" i="3" s="1"/>
  <c r="QSI83" i="3"/>
  <c r="QSG83" i="3"/>
  <c r="QRY83" i="3"/>
  <c r="QSA83" i="3" s="1"/>
  <c r="QRQ83" i="3"/>
  <c r="QRS83" i="3" s="1"/>
  <c r="QRI83" i="3"/>
  <c r="QRK83" i="3" s="1"/>
  <c r="QRA83" i="3"/>
  <c r="QRC83" i="3" s="1"/>
  <c r="QQS83" i="3"/>
  <c r="QQU83" i="3" s="1"/>
  <c r="QQK83" i="3"/>
  <c r="QQM83" i="3" s="1"/>
  <c r="QQC83" i="3"/>
  <c r="QQE83" i="3" s="1"/>
  <c r="QPU83" i="3"/>
  <c r="QPW83" i="3" s="1"/>
  <c r="QPM83" i="3"/>
  <c r="QPO83" i="3" s="1"/>
  <c r="QPG83" i="3"/>
  <c r="QPE83" i="3"/>
  <c r="QOW83" i="3"/>
  <c r="QOY83" i="3" s="1"/>
  <c r="QOO83" i="3"/>
  <c r="QOQ83" i="3" s="1"/>
  <c r="QOI83" i="3"/>
  <c r="QOG83" i="3"/>
  <c r="QOA83" i="3"/>
  <c r="QNY83" i="3"/>
  <c r="QNQ83" i="3"/>
  <c r="QNS83" i="3" s="1"/>
  <c r="QNI83" i="3"/>
  <c r="QNK83" i="3" s="1"/>
  <c r="QNA83" i="3"/>
  <c r="QNC83" i="3" s="1"/>
  <c r="QMU83" i="3"/>
  <c r="QMS83" i="3"/>
  <c r="QMK83" i="3"/>
  <c r="QMM83" i="3" s="1"/>
  <c r="QME83" i="3"/>
  <c r="QMC83" i="3"/>
  <c r="QLU83" i="3"/>
  <c r="QLW83" i="3" s="1"/>
  <c r="QLO83" i="3"/>
  <c r="QLM83" i="3"/>
  <c r="QLE83" i="3"/>
  <c r="QLG83" i="3" s="1"/>
  <c r="QKW83" i="3"/>
  <c r="QKY83" i="3" s="1"/>
  <c r="QKQ83" i="3"/>
  <c r="QKO83" i="3"/>
  <c r="QKG83" i="3"/>
  <c r="QKI83" i="3" s="1"/>
  <c r="QJY83" i="3"/>
  <c r="QKA83" i="3" s="1"/>
  <c r="QJQ83" i="3"/>
  <c r="QJS83" i="3" s="1"/>
  <c r="QJI83" i="3"/>
  <c r="QJK83" i="3" s="1"/>
  <c r="QJA83" i="3"/>
  <c r="QJC83" i="3" s="1"/>
  <c r="QIU83" i="3"/>
  <c r="QIS83" i="3"/>
  <c r="QIK83" i="3"/>
  <c r="QIM83" i="3" s="1"/>
  <c r="QIC83" i="3"/>
  <c r="QIE83" i="3" s="1"/>
  <c r="QHW83" i="3"/>
  <c r="QHU83" i="3"/>
  <c r="QHM83" i="3"/>
  <c r="QHO83" i="3" s="1"/>
  <c r="QHE83" i="3"/>
  <c r="QHG83" i="3" s="1"/>
  <c r="QGW83" i="3"/>
  <c r="QGY83" i="3" s="1"/>
  <c r="QGO83" i="3"/>
  <c r="QGQ83" i="3" s="1"/>
  <c r="QGG83" i="3"/>
  <c r="QGI83" i="3" s="1"/>
  <c r="QFY83" i="3"/>
  <c r="QGA83" i="3" s="1"/>
  <c r="QFQ83" i="3"/>
  <c r="QFS83" i="3" s="1"/>
  <c r="QFI83" i="3"/>
  <c r="QFK83" i="3" s="1"/>
  <c r="QFA83" i="3"/>
  <c r="QFC83" i="3" s="1"/>
  <c r="QEU83" i="3"/>
  <c r="QES83" i="3"/>
  <c r="QEK83" i="3"/>
  <c r="QEM83" i="3" s="1"/>
  <c r="QEE83" i="3"/>
  <c r="QEC83" i="3"/>
  <c r="QDU83" i="3"/>
  <c r="QDW83" i="3" s="1"/>
  <c r="QDM83" i="3"/>
  <c r="QDO83" i="3" s="1"/>
  <c r="QDE83" i="3"/>
  <c r="QDG83" i="3" s="1"/>
  <c r="QCW83" i="3"/>
  <c r="QCY83" i="3" s="1"/>
  <c r="QCQ83" i="3"/>
  <c r="QCO83" i="3"/>
  <c r="QCG83" i="3"/>
  <c r="QCI83" i="3" s="1"/>
  <c r="QBY83" i="3"/>
  <c r="QCA83" i="3" s="1"/>
  <c r="QBS83" i="3"/>
  <c r="QBQ83" i="3"/>
  <c r="QBI83" i="3"/>
  <c r="QBK83" i="3" s="1"/>
  <c r="QBA83" i="3"/>
  <c r="QBC83" i="3" s="1"/>
  <c r="QAS83" i="3"/>
  <c r="QAU83" i="3" s="1"/>
  <c r="QAK83" i="3"/>
  <c r="QAM83" i="3" s="1"/>
  <c r="QAC83" i="3"/>
  <c r="QAE83" i="3" s="1"/>
  <c r="PZW83" i="3"/>
  <c r="PZU83" i="3"/>
  <c r="PZM83" i="3"/>
  <c r="PZO83" i="3" s="1"/>
  <c r="PZE83" i="3"/>
  <c r="PZG83" i="3" s="1"/>
  <c r="PYW83" i="3"/>
  <c r="PYY83" i="3" s="1"/>
  <c r="PYQ83" i="3"/>
  <c r="PYO83" i="3"/>
  <c r="PYG83" i="3"/>
  <c r="PYI83" i="3" s="1"/>
  <c r="PXY83" i="3"/>
  <c r="PYA83" i="3" s="1"/>
  <c r="PXS83" i="3"/>
  <c r="PXQ83" i="3"/>
  <c r="PXI83" i="3"/>
  <c r="PXK83" i="3" s="1"/>
  <c r="PXA83" i="3"/>
  <c r="PXC83" i="3" s="1"/>
  <c r="PWS83" i="3"/>
  <c r="PWU83" i="3" s="1"/>
  <c r="PWK83" i="3"/>
  <c r="PWM83" i="3" s="1"/>
  <c r="PWC83" i="3"/>
  <c r="PWE83" i="3" s="1"/>
  <c r="PVU83" i="3"/>
  <c r="PVW83" i="3" s="1"/>
  <c r="PVO83" i="3"/>
  <c r="PVM83" i="3"/>
  <c r="PVE83" i="3"/>
  <c r="PVG83" i="3" s="1"/>
  <c r="PUW83" i="3"/>
  <c r="PUY83" i="3" s="1"/>
  <c r="PUO83" i="3"/>
  <c r="PUQ83" i="3" s="1"/>
  <c r="PUG83" i="3"/>
  <c r="PUI83" i="3" s="1"/>
  <c r="PTY83" i="3"/>
  <c r="PUA83" i="3" s="1"/>
  <c r="PTQ83" i="3"/>
  <c r="PTS83" i="3" s="1"/>
  <c r="PTK83" i="3"/>
  <c r="PTI83" i="3"/>
  <c r="PTC83" i="3"/>
  <c r="PTA83" i="3"/>
  <c r="PSS83" i="3"/>
  <c r="PSU83" i="3" s="1"/>
  <c r="PSM83" i="3"/>
  <c r="PSK83" i="3"/>
  <c r="PSC83" i="3"/>
  <c r="PSE83" i="3" s="1"/>
  <c r="PRU83" i="3"/>
  <c r="PRW83" i="3" s="1"/>
  <c r="PRM83" i="3"/>
  <c r="PRO83" i="3" s="1"/>
  <c r="PRG83" i="3"/>
  <c r="PRE83" i="3"/>
  <c r="PQW83" i="3"/>
  <c r="PQY83" i="3" s="1"/>
  <c r="PQO83" i="3"/>
  <c r="PQQ83" i="3" s="1"/>
  <c r="PQG83" i="3"/>
  <c r="PQI83" i="3" s="1"/>
  <c r="PQA83" i="3"/>
  <c r="PPY83" i="3"/>
  <c r="PPQ83" i="3"/>
  <c r="PPS83" i="3" s="1"/>
  <c r="PPI83" i="3"/>
  <c r="PPK83" i="3" s="1"/>
  <c r="PPA83" i="3"/>
  <c r="PPC83" i="3" s="1"/>
  <c r="POS83" i="3"/>
  <c r="POU83" i="3" s="1"/>
  <c r="POK83" i="3"/>
  <c r="POM83" i="3" s="1"/>
  <c r="POC83" i="3"/>
  <c r="POE83" i="3" s="1"/>
  <c r="PNW83" i="3"/>
  <c r="PNU83" i="3"/>
  <c r="PNM83" i="3"/>
  <c r="PNO83" i="3" s="1"/>
  <c r="PNE83" i="3"/>
  <c r="PNG83" i="3" s="1"/>
  <c r="PMW83" i="3"/>
  <c r="PMY83" i="3" s="1"/>
  <c r="PMO83" i="3"/>
  <c r="PMQ83" i="3" s="1"/>
  <c r="PMG83" i="3"/>
  <c r="PMI83" i="3" s="1"/>
  <c r="PMA83" i="3"/>
  <c r="PLY83" i="3"/>
  <c r="PLQ83" i="3"/>
  <c r="PLS83" i="3" s="1"/>
  <c r="PLI83" i="3"/>
  <c r="PLK83" i="3" s="1"/>
  <c r="PLC83" i="3"/>
  <c r="PLA83" i="3"/>
  <c r="PKS83" i="3"/>
  <c r="PKU83" i="3" s="1"/>
  <c r="PKK83" i="3"/>
  <c r="PKM83" i="3" s="1"/>
  <c r="PKC83" i="3"/>
  <c r="PKE83" i="3" s="1"/>
  <c r="PJU83" i="3"/>
  <c r="PJW83" i="3" s="1"/>
  <c r="PJM83" i="3"/>
  <c r="PJO83" i="3" s="1"/>
  <c r="PJE83" i="3"/>
  <c r="PJG83" i="3" s="1"/>
  <c r="PIW83" i="3"/>
  <c r="PIY83" i="3" s="1"/>
  <c r="PIQ83" i="3"/>
  <c r="PIO83" i="3"/>
  <c r="PIG83" i="3"/>
  <c r="PII83" i="3" s="1"/>
  <c r="PHY83" i="3"/>
  <c r="PIA83" i="3" s="1"/>
  <c r="PHQ83" i="3"/>
  <c r="PHS83" i="3" s="1"/>
  <c r="PHI83" i="3"/>
  <c r="PHK83" i="3" s="1"/>
  <c r="PHA83" i="3"/>
  <c r="PHC83" i="3" s="1"/>
  <c r="PGS83" i="3"/>
  <c r="PGU83" i="3" s="1"/>
  <c r="PGK83" i="3"/>
  <c r="PGM83" i="3" s="1"/>
  <c r="PGC83" i="3"/>
  <c r="PGE83" i="3" s="1"/>
  <c r="PFU83" i="3"/>
  <c r="PFW83" i="3" s="1"/>
  <c r="PFM83" i="3"/>
  <c r="PFO83" i="3" s="1"/>
  <c r="PFE83" i="3"/>
  <c r="PFG83" i="3" s="1"/>
  <c r="PEY83" i="3"/>
  <c r="PEW83" i="3"/>
  <c r="PEO83" i="3"/>
  <c r="PEQ83" i="3" s="1"/>
  <c r="PEG83" i="3"/>
  <c r="PEI83" i="3" s="1"/>
  <c r="PDY83" i="3"/>
  <c r="PEA83" i="3" s="1"/>
  <c r="PDS83" i="3"/>
  <c r="PDQ83" i="3"/>
  <c r="PDI83" i="3"/>
  <c r="PDK83" i="3" s="1"/>
  <c r="PDA83" i="3"/>
  <c r="PDC83" i="3" s="1"/>
  <c r="PCS83" i="3"/>
  <c r="PCU83" i="3" s="1"/>
  <c r="PCK83" i="3"/>
  <c r="PCM83" i="3" s="1"/>
  <c r="PCC83" i="3"/>
  <c r="PCE83" i="3" s="1"/>
  <c r="PBU83" i="3"/>
  <c r="PBW83" i="3" s="1"/>
  <c r="PBM83" i="3"/>
  <c r="PBO83" i="3" s="1"/>
  <c r="PBE83" i="3"/>
  <c r="PBG83" i="3" s="1"/>
  <c r="PAY83" i="3"/>
  <c r="PAW83" i="3"/>
  <c r="PAO83" i="3"/>
  <c r="PAQ83" i="3" s="1"/>
  <c r="PAG83" i="3"/>
  <c r="PAI83" i="3" s="1"/>
  <c r="PAA83" i="3"/>
  <c r="OZY83" i="3"/>
  <c r="OZQ83" i="3"/>
  <c r="OZS83" i="3" s="1"/>
  <c r="OZI83" i="3"/>
  <c r="OZK83" i="3" s="1"/>
  <c r="OZA83" i="3"/>
  <c r="OZC83" i="3" s="1"/>
  <c r="OYS83" i="3"/>
  <c r="OYU83" i="3" s="1"/>
  <c r="OYK83" i="3"/>
  <c r="OYM83" i="3" s="1"/>
  <c r="OYC83" i="3"/>
  <c r="OYE83" i="3" s="1"/>
  <c r="OXU83" i="3"/>
  <c r="OXW83" i="3" s="1"/>
  <c r="OXM83" i="3"/>
  <c r="OXO83" i="3" s="1"/>
  <c r="OXE83" i="3"/>
  <c r="OXG83" i="3" s="1"/>
  <c r="OWY83" i="3"/>
  <c r="OWW83" i="3"/>
  <c r="OWO83" i="3"/>
  <c r="OWQ83" i="3" s="1"/>
  <c r="OWG83" i="3"/>
  <c r="OWI83" i="3" s="1"/>
  <c r="OVY83" i="3"/>
  <c r="OWA83" i="3" s="1"/>
  <c r="OVQ83" i="3"/>
  <c r="OVS83" i="3" s="1"/>
  <c r="OVI83" i="3"/>
  <c r="OVK83" i="3" s="1"/>
  <c r="OVA83" i="3"/>
  <c r="OVC83" i="3" s="1"/>
  <c r="OUS83" i="3"/>
  <c r="OUU83" i="3" s="1"/>
  <c r="OUK83" i="3"/>
  <c r="OUM83" i="3" s="1"/>
  <c r="OUC83" i="3"/>
  <c r="OUE83" i="3" s="1"/>
  <c r="OTW83" i="3"/>
  <c r="OTU83" i="3"/>
  <c r="OTM83" i="3"/>
  <c r="OTO83" i="3" s="1"/>
  <c r="OTE83" i="3"/>
  <c r="OTG83" i="3" s="1"/>
  <c r="OSW83" i="3"/>
  <c r="OSY83" i="3" s="1"/>
  <c r="OSO83" i="3"/>
  <c r="OSQ83" i="3" s="1"/>
  <c r="OSI83" i="3"/>
  <c r="OSG83" i="3"/>
  <c r="ORY83" i="3"/>
  <c r="OSA83" i="3" s="1"/>
  <c r="ORQ83" i="3"/>
  <c r="ORS83" i="3" s="1"/>
  <c r="ORI83" i="3"/>
  <c r="ORK83" i="3" s="1"/>
  <c r="ORA83" i="3"/>
  <c r="ORC83" i="3" s="1"/>
  <c r="OQU83" i="3"/>
  <c r="OQS83" i="3"/>
  <c r="OQK83" i="3"/>
  <c r="OQM83" i="3" s="1"/>
  <c r="OQC83" i="3"/>
  <c r="OQE83" i="3" s="1"/>
  <c r="OPU83" i="3"/>
  <c r="OPW83" i="3" s="1"/>
  <c r="OPO83" i="3"/>
  <c r="OPM83" i="3"/>
  <c r="OPE83" i="3"/>
  <c r="OPG83" i="3" s="1"/>
  <c r="OOW83" i="3"/>
  <c r="OOY83" i="3" s="1"/>
  <c r="OOO83" i="3"/>
  <c r="OOQ83" i="3" s="1"/>
  <c r="OOI83" i="3"/>
  <c r="OOG83" i="3"/>
  <c r="OOA83" i="3"/>
  <c r="ONY83" i="3"/>
  <c r="ONS83" i="3"/>
  <c r="ONQ83" i="3"/>
  <c r="ONI83" i="3"/>
  <c r="ONK83" i="3" s="1"/>
  <c r="ONC83" i="3"/>
  <c r="ONA83" i="3"/>
  <c r="OMU83" i="3"/>
  <c r="OMS83" i="3"/>
  <c r="OMK83" i="3"/>
  <c r="OMM83" i="3" s="1"/>
  <c r="OMC83" i="3"/>
  <c r="OME83" i="3" s="1"/>
  <c r="OLW83" i="3"/>
  <c r="OLU83" i="3"/>
  <c r="OLM83" i="3"/>
  <c r="OLO83" i="3" s="1"/>
  <c r="OLE83" i="3"/>
  <c r="OLG83" i="3" s="1"/>
  <c r="OKW83" i="3"/>
  <c r="OKY83" i="3" s="1"/>
  <c r="OKO83" i="3"/>
  <c r="OKQ83" i="3" s="1"/>
  <c r="OKI83" i="3"/>
  <c r="OKG83" i="3"/>
  <c r="OJY83" i="3"/>
  <c r="OKA83" i="3" s="1"/>
  <c r="OJQ83" i="3"/>
  <c r="OJS83" i="3" s="1"/>
  <c r="OJI83" i="3"/>
  <c r="OJK83" i="3" s="1"/>
  <c r="OJA83" i="3"/>
  <c r="OJC83" i="3" s="1"/>
  <c r="OIU83" i="3"/>
  <c r="OIS83" i="3"/>
  <c r="OIK83" i="3"/>
  <c r="OIM83" i="3" s="1"/>
  <c r="OIC83" i="3"/>
  <c r="OIE83" i="3" s="1"/>
  <c r="OHU83" i="3"/>
  <c r="OHW83" i="3" s="1"/>
  <c r="OHM83" i="3"/>
  <c r="OHO83" i="3" s="1"/>
  <c r="OHE83" i="3"/>
  <c r="OHG83" i="3" s="1"/>
  <c r="OGW83" i="3"/>
  <c r="OGY83" i="3" s="1"/>
  <c r="OGO83" i="3"/>
  <c r="OGQ83" i="3" s="1"/>
  <c r="OGI83" i="3"/>
  <c r="OGG83" i="3"/>
  <c r="OFY83" i="3"/>
  <c r="OGA83" i="3" s="1"/>
  <c r="OFQ83" i="3"/>
  <c r="OFS83" i="3" s="1"/>
  <c r="OFI83" i="3"/>
  <c r="OFK83" i="3" s="1"/>
  <c r="OFA83" i="3"/>
  <c r="OFC83" i="3" s="1"/>
  <c r="OEU83" i="3"/>
  <c r="OES83" i="3"/>
  <c r="OEK83" i="3"/>
  <c r="OEM83" i="3" s="1"/>
  <c r="OEC83" i="3"/>
  <c r="OEE83" i="3" s="1"/>
  <c r="ODU83" i="3"/>
  <c r="ODW83" i="3" s="1"/>
  <c r="ODM83" i="3"/>
  <c r="ODO83" i="3" s="1"/>
  <c r="ODG83" i="3"/>
  <c r="ODE83" i="3"/>
  <c r="OCW83" i="3"/>
  <c r="OCY83" i="3" s="1"/>
  <c r="OCO83" i="3"/>
  <c r="OCQ83" i="3" s="1"/>
  <c r="OCG83" i="3"/>
  <c r="OCI83" i="3" s="1"/>
  <c r="OBY83" i="3"/>
  <c r="OCA83" i="3" s="1"/>
  <c r="OBQ83" i="3"/>
  <c r="OBS83" i="3" s="1"/>
  <c r="OBK83" i="3"/>
  <c r="OBI83" i="3"/>
  <c r="OBA83" i="3"/>
  <c r="OBC83" i="3" s="1"/>
  <c r="OAS83" i="3"/>
  <c r="OAU83" i="3" s="1"/>
  <c r="OAK83" i="3"/>
  <c r="OAM83" i="3" s="1"/>
  <c r="OAC83" i="3"/>
  <c r="OAE83" i="3" s="1"/>
  <c r="NZW83" i="3"/>
  <c r="NZU83" i="3"/>
  <c r="NZO83" i="3"/>
  <c r="NZM83" i="3"/>
  <c r="NZE83" i="3"/>
  <c r="NZG83" i="3" s="1"/>
  <c r="NYY83" i="3"/>
  <c r="NYW83" i="3"/>
  <c r="NYO83" i="3"/>
  <c r="NYQ83" i="3" s="1"/>
  <c r="NYG83" i="3"/>
  <c r="NYI83" i="3" s="1"/>
  <c r="NXY83" i="3"/>
  <c r="NYA83" i="3" s="1"/>
  <c r="NXQ83" i="3"/>
  <c r="NXS83" i="3" s="1"/>
  <c r="NXK83" i="3"/>
  <c r="NXI83" i="3"/>
  <c r="NXA83" i="3"/>
  <c r="NXC83" i="3" s="1"/>
  <c r="NWS83" i="3"/>
  <c r="NWU83" i="3" s="1"/>
  <c r="NWK83" i="3"/>
  <c r="NWM83" i="3" s="1"/>
  <c r="NWC83" i="3"/>
  <c r="NWE83" i="3" s="1"/>
  <c r="NVU83" i="3"/>
  <c r="NVW83" i="3" s="1"/>
  <c r="NVM83" i="3"/>
  <c r="NVO83" i="3" s="1"/>
  <c r="NVE83" i="3"/>
  <c r="NVG83" i="3" s="1"/>
  <c r="NUW83" i="3"/>
  <c r="NUY83" i="3" s="1"/>
  <c r="NUQ83" i="3"/>
  <c r="NUO83" i="3"/>
  <c r="NUG83" i="3"/>
  <c r="NUI83" i="3" s="1"/>
  <c r="NTY83" i="3"/>
  <c r="NUA83" i="3" s="1"/>
  <c r="NTQ83" i="3"/>
  <c r="NTS83" i="3" s="1"/>
  <c r="NTI83" i="3"/>
  <c r="NTK83" i="3" s="1"/>
  <c r="NTA83" i="3"/>
  <c r="NTC83" i="3" s="1"/>
  <c r="NSS83" i="3"/>
  <c r="NSU83" i="3" s="1"/>
  <c r="NSK83" i="3"/>
  <c r="NSM83" i="3" s="1"/>
  <c r="NSC83" i="3"/>
  <c r="NSE83" i="3" s="1"/>
  <c r="NRW83" i="3"/>
  <c r="NRU83" i="3"/>
  <c r="NRM83" i="3"/>
  <c r="NRO83" i="3" s="1"/>
  <c r="NRE83" i="3"/>
  <c r="NRG83" i="3" s="1"/>
  <c r="NQW83" i="3"/>
  <c r="NQY83" i="3" s="1"/>
  <c r="NQO83" i="3"/>
  <c r="NQQ83" i="3" s="1"/>
  <c r="NQG83" i="3"/>
  <c r="NQI83" i="3" s="1"/>
  <c r="NPY83" i="3"/>
  <c r="NQA83" i="3" s="1"/>
  <c r="NPQ83" i="3"/>
  <c r="NPS83" i="3" s="1"/>
  <c r="NPI83" i="3"/>
  <c r="NPK83" i="3" s="1"/>
  <c r="NPA83" i="3"/>
  <c r="NPC83" i="3" s="1"/>
  <c r="NOS83" i="3"/>
  <c r="NOU83" i="3" s="1"/>
  <c r="NOK83" i="3"/>
  <c r="NOM83" i="3" s="1"/>
  <c r="NOE83" i="3"/>
  <c r="NOC83" i="3"/>
  <c r="NNU83" i="3"/>
  <c r="NNW83" i="3" s="1"/>
  <c r="NNM83" i="3"/>
  <c r="NNO83" i="3" s="1"/>
  <c r="NNE83" i="3"/>
  <c r="NNG83" i="3" s="1"/>
  <c r="NMW83" i="3"/>
  <c r="NMY83" i="3" s="1"/>
  <c r="NMO83" i="3"/>
  <c r="NMQ83" i="3" s="1"/>
  <c r="NMI83" i="3"/>
  <c r="NMG83" i="3"/>
  <c r="NLY83" i="3"/>
  <c r="NMA83" i="3" s="1"/>
  <c r="NLQ83" i="3"/>
  <c r="NLS83" i="3" s="1"/>
  <c r="NLK83" i="3"/>
  <c r="NLI83" i="3"/>
  <c r="NLA83" i="3"/>
  <c r="NLC83" i="3" s="1"/>
  <c r="NKU83" i="3"/>
  <c r="NKS83" i="3"/>
  <c r="NKK83" i="3"/>
  <c r="NKM83" i="3" s="1"/>
  <c r="NKC83" i="3"/>
  <c r="NKE83" i="3" s="1"/>
  <c r="NJU83" i="3"/>
  <c r="NJW83" i="3" s="1"/>
  <c r="NJO83" i="3"/>
  <c r="NJM83" i="3"/>
  <c r="NJG83" i="3"/>
  <c r="NJE83" i="3"/>
  <c r="NIY83" i="3"/>
  <c r="NIW83" i="3"/>
  <c r="NIO83" i="3"/>
  <c r="NIQ83" i="3" s="1"/>
  <c r="NIG83" i="3"/>
  <c r="NII83" i="3" s="1"/>
  <c r="NHY83" i="3"/>
  <c r="NIA83" i="3" s="1"/>
  <c r="NHQ83" i="3"/>
  <c r="NHS83" i="3" s="1"/>
  <c r="NHI83" i="3"/>
  <c r="NHK83" i="3" s="1"/>
  <c r="NHA83" i="3"/>
  <c r="NHC83" i="3" s="1"/>
  <c r="NGU83" i="3"/>
  <c r="NGS83" i="3"/>
  <c r="NGK83" i="3"/>
  <c r="NGM83" i="3" s="1"/>
  <c r="NGC83" i="3"/>
  <c r="NGE83" i="3" s="1"/>
  <c r="NFU83" i="3"/>
  <c r="NFW83" i="3" s="1"/>
  <c r="NFM83" i="3"/>
  <c r="NFO83" i="3" s="1"/>
  <c r="NFE83" i="3"/>
  <c r="NFG83" i="3" s="1"/>
  <c r="NEW83" i="3"/>
  <c r="NEY83" i="3" s="1"/>
  <c r="NEQ83" i="3"/>
  <c r="NEO83" i="3"/>
  <c r="NEG83" i="3"/>
  <c r="NEI83" i="3" s="1"/>
  <c r="NEA83" i="3"/>
  <c r="NDY83" i="3"/>
  <c r="NDQ83" i="3"/>
  <c r="NDS83" i="3" s="1"/>
  <c r="NDI83" i="3"/>
  <c r="NDK83" i="3" s="1"/>
  <c r="NDA83" i="3"/>
  <c r="NDC83" i="3" s="1"/>
  <c r="NCS83" i="3"/>
  <c r="NCU83" i="3" s="1"/>
  <c r="NCK83" i="3"/>
  <c r="NCM83" i="3" s="1"/>
  <c r="NCC83" i="3"/>
  <c r="NCE83" i="3" s="1"/>
  <c r="NBU83" i="3"/>
  <c r="NBW83" i="3" s="1"/>
  <c r="NBM83" i="3"/>
  <c r="NBO83" i="3" s="1"/>
  <c r="NBE83" i="3"/>
  <c r="NBG83" i="3" s="1"/>
  <c r="NAW83" i="3"/>
  <c r="NAY83" i="3" s="1"/>
  <c r="NAO83" i="3"/>
  <c r="NAQ83" i="3" s="1"/>
  <c r="NAG83" i="3"/>
  <c r="NAI83" i="3" s="1"/>
  <c r="NAA83" i="3"/>
  <c r="MZY83" i="3"/>
  <c r="MZQ83" i="3"/>
  <c r="MZS83" i="3" s="1"/>
  <c r="MZK83" i="3"/>
  <c r="MZI83" i="3"/>
  <c r="MZA83" i="3"/>
  <c r="MZC83" i="3" s="1"/>
  <c r="MYS83" i="3"/>
  <c r="MYU83" i="3" s="1"/>
  <c r="MYK83" i="3"/>
  <c r="MYM83" i="3" s="1"/>
  <c r="MYC83" i="3"/>
  <c r="MYE83" i="3" s="1"/>
  <c r="MXU83" i="3"/>
  <c r="MXW83" i="3" s="1"/>
  <c r="MXO83" i="3"/>
  <c r="MXM83" i="3"/>
  <c r="MXE83" i="3"/>
  <c r="MXG83" i="3" s="1"/>
  <c r="MWW83" i="3"/>
  <c r="MWY83" i="3" s="1"/>
  <c r="MWO83" i="3"/>
  <c r="MWQ83" i="3" s="1"/>
  <c r="MWG83" i="3"/>
  <c r="MWI83" i="3" s="1"/>
  <c r="MVY83" i="3"/>
  <c r="MWA83" i="3" s="1"/>
  <c r="MVQ83" i="3"/>
  <c r="MVS83" i="3" s="1"/>
  <c r="MVI83" i="3"/>
  <c r="MVK83" i="3" s="1"/>
  <c r="MVA83" i="3"/>
  <c r="MVC83" i="3" s="1"/>
  <c r="MUU83" i="3"/>
  <c r="MUS83" i="3"/>
  <c r="MUK83" i="3"/>
  <c r="MUM83" i="3" s="1"/>
  <c r="MUE83" i="3"/>
  <c r="MUC83" i="3"/>
  <c r="MTU83" i="3"/>
  <c r="MTW83" i="3" s="1"/>
  <c r="MTM83" i="3"/>
  <c r="MTO83" i="3" s="1"/>
  <c r="MTE83" i="3"/>
  <c r="MTG83" i="3" s="1"/>
  <c r="MSW83" i="3"/>
  <c r="MSY83" i="3" s="1"/>
  <c r="MSO83" i="3"/>
  <c r="MSQ83" i="3" s="1"/>
  <c r="MSI83" i="3"/>
  <c r="MSG83" i="3"/>
  <c r="MRY83" i="3"/>
  <c r="MSA83" i="3" s="1"/>
  <c r="MRQ83" i="3"/>
  <c r="MRS83" i="3" s="1"/>
  <c r="MRI83" i="3"/>
  <c r="MRK83" i="3" s="1"/>
  <c r="MRA83" i="3"/>
  <c r="MRC83" i="3" s="1"/>
  <c r="MQS83" i="3"/>
  <c r="MQU83" i="3" s="1"/>
  <c r="MQK83" i="3"/>
  <c r="MQM83" i="3" s="1"/>
  <c r="MQC83" i="3"/>
  <c r="MQE83" i="3" s="1"/>
  <c r="MPU83" i="3"/>
  <c r="MPW83" i="3" s="1"/>
  <c r="MPM83" i="3"/>
  <c r="MPO83" i="3" s="1"/>
  <c r="MPE83" i="3"/>
  <c r="MPG83" i="3" s="1"/>
  <c r="MOW83" i="3"/>
  <c r="MOY83" i="3" s="1"/>
  <c r="MOQ83" i="3"/>
  <c r="MOO83" i="3"/>
  <c r="MOG83" i="3"/>
  <c r="MOI83" i="3" s="1"/>
  <c r="MNY83" i="3"/>
  <c r="MOA83" i="3" s="1"/>
  <c r="MNQ83" i="3"/>
  <c r="MNS83" i="3" s="1"/>
  <c r="MNI83" i="3"/>
  <c r="MNK83" i="3" s="1"/>
  <c r="MNA83" i="3"/>
  <c r="MNC83" i="3" s="1"/>
  <c r="MMS83" i="3"/>
  <c r="MMU83" i="3" s="1"/>
  <c r="MMM83" i="3"/>
  <c r="MMK83" i="3"/>
  <c r="MMC83" i="3"/>
  <c r="MME83" i="3" s="1"/>
  <c r="MLU83" i="3"/>
  <c r="MLW83" i="3" s="1"/>
  <c r="MLO83" i="3"/>
  <c r="MLM83" i="3"/>
  <c r="MLE83" i="3"/>
  <c r="MLG83" i="3" s="1"/>
  <c r="MKW83" i="3"/>
  <c r="MKY83" i="3" s="1"/>
  <c r="MKO83" i="3"/>
  <c r="MKQ83" i="3" s="1"/>
  <c r="MKG83" i="3"/>
  <c r="MKI83" i="3" s="1"/>
  <c r="MJY83" i="3"/>
  <c r="MKA83" i="3" s="1"/>
  <c r="MJQ83" i="3"/>
  <c r="MJS83" i="3" s="1"/>
  <c r="MJK83" i="3"/>
  <c r="MJI83" i="3"/>
  <c r="MJA83" i="3"/>
  <c r="MJC83" i="3" s="1"/>
  <c r="MIS83" i="3"/>
  <c r="MIU83" i="3" s="1"/>
  <c r="MIM83" i="3"/>
  <c r="MIK83" i="3"/>
  <c r="MIC83" i="3"/>
  <c r="MIE83" i="3" s="1"/>
  <c r="MHU83" i="3"/>
  <c r="MHW83" i="3" s="1"/>
  <c r="MHM83" i="3"/>
  <c r="MHO83" i="3" s="1"/>
  <c r="MHE83" i="3"/>
  <c r="MHG83" i="3" s="1"/>
  <c r="MGY83" i="3"/>
  <c r="MGW83" i="3"/>
  <c r="MGO83" i="3"/>
  <c r="MGQ83" i="3" s="1"/>
  <c r="MGG83" i="3"/>
  <c r="MGI83" i="3" s="1"/>
  <c r="MGA83" i="3"/>
  <c r="MFY83" i="3"/>
  <c r="MFQ83" i="3"/>
  <c r="MFS83" i="3" s="1"/>
  <c r="MFI83" i="3"/>
  <c r="MFK83" i="3" s="1"/>
  <c r="MFA83" i="3"/>
  <c r="MFC83" i="3" s="1"/>
  <c r="MES83" i="3"/>
  <c r="MEU83" i="3" s="1"/>
  <c r="MEK83" i="3"/>
  <c r="MEM83" i="3" s="1"/>
  <c r="MEC83" i="3"/>
  <c r="MEE83" i="3" s="1"/>
  <c r="MDW83" i="3"/>
  <c r="MDU83" i="3"/>
  <c r="MDM83" i="3"/>
  <c r="MDO83" i="3" s="1"/>
  <c r="MDE83" i="3"/>
  <c r="MDG83" i="3" s="1"/>
  <c r="MCW83" i="3"/>
  <c r="MCY83" i="3" s="1"/>
  <c r="MCO83" i="3"/>
  <c r="MCQ83" i="3" s="1"/>
  <c r="MCG83" i="3"/>
  <c r="MCI83" i="3" s="1"/>
  <c r="MBY83" i="3"/>
  <c r="MCA83" i="3" s="1"/>
  <c r="MBQ83" i="3"/>
  <c r="MBS83" i="3" s="1"/>
  <c r="MBK83" i="3"/>
  <c r="MBI83" i="3"/>
  <c r="MBC83" i="3"/>
  <c r="MBA83" i="3"/>
  <c r="MAS83" i="3"/>
  <c r="MAU83" i="3" s="1"/>
  <c r="MAK83" i="3"/>
  <c r="MAM83" i="3" s="1"/>
  <c r="MAC83" i="3"/>
  <c r="MAE83" i="3" s="1"/>
  <c r="LZU83" i="3"/>
  <c r="LZW83" i="3" s="1"/>
  <c r="LZM83" i="3"/>
  <c r="LZO83" i="3" s="1"/>
  <c r="LZE83" i="3"/>
  <c r="LZG83" i="3" s="1"/>
  <c r="LYW83" i="3"/>
  <c r="LYY83" i="3" s="1"/>
  <c r="LYO83" i="3"/>
  <c r="LYQ83" i="3" s="1"/>
  <c r="LYG83" i="3"/>
  <c r="LYI83" i="3" s="1"/>
  <c r="LXY83" i="3"/>
  <c r="LYA83" i="3" s="1"/>
  <c r="LXQ83" i="3"/>
  <c r="LXS83" i="3" s="1"/>
  <c r="LXI83" i="3"/>
  <c r="LXK83" i="3" s="1"/>
  <c r="LXA83" i="3"/>
  <c r="LXC83" i="3" s="1"/>
  <c r="LWS83" i="3"/>
  <c r="LWU83" i="3" s="1"/>
  <c r="LWK83" i="3"/>
  <c r="LWM83" i="3" s="1"/>
  <c r="LWC83" i="3"/>
  <c r="LWE83" i="3" s="1"/>
  <c r="LVW83" i="3"/>
  <c r="LVU83" i="3"/>
  <c r="LVM83" i="3"/>
  <c r="LVO83" i="3" s="1"/>
  <c r="LVE83" i="3"/>
  <c r="LVG83" i="3" s="1"/>
  <c r="LUW83" i="3"/>
  <c r="LUY83" i="3" s="1"/>
  <c r="LUO83" i="3"/>
  <c r="LUQ83" i="3" s="1"/>
  <c r="LUG83" i="3"/>
  <c r="LUI83" i="3" s="1"/>
  <c r="LTY83" i="3"/>
  <c r="LUA83" i="3" s="1"/>
  <c r="LTQ83" i="3"/>
  <c r="LTS83" i="3" s="1"/>
  <c r="LTI83" i="3"/>
  <c r="LTK83" i="3" s="1"/>
  <c r="LTA83" i="3"/>
  <c r="LTC83" i="3" s="1"/>
  <c r="LSS83" i="3"/>
  <c r="LSU83" i="3" s="1"/>
  <c r="LSK83" i="3"/>
  <c r="LSM83" i="3" s="1"/>
  <c r="LSC83" i="3"/>
  <c r="LSE83" i="3" s="1"/>
  <c r="LRU83" i="3"/>
  <c r="LRW83" i="3" s="1"/>
  <c r="LRM83" i="3"/>
  <c r="LRO83" i="3" s="1"/>
  <c r="LRE83" i="3"/>
  <c r="LRG83" i="3" s="1"/>
  <c r="LQW83" i="3"/>
  <c r="LQY83" i="3" s="1"/>
  <c r="LQQ83" i="3"/>
  <c r="LQO83" i="3"/>
  <c r="LQG83" i="3"/>
  <c r="LQI83" i="3" s="1"/>
  <c r="LPY83" i="3"/>
  <c r="LQA83" i="3" s="1"/>
  <c r="LPQ83" i="3"/>
  <c r="LPS83" i="3" s="1"/>
  <c r="LPI83" i="3"/>
  <c r="LPK83" i="3" s="1"/>
  <c r="LPA83" i="3"/>
  <c r="LPC83" i="3" s="1"/>
  <c r="LOS83" i="3"/>
  <c r="LOU83" i="3" s="1"/>
  <c r="LOK83" i="3"/>
  <c r="LOM83" i="3" s="1"/>
  <c r="LOC83" i="3"/>
  <c r="LOE83" i="3" s="1"/>
  <c r="LNU83" i="3"/>
  <c r="LNW83" i="3" s="1"/>
  <c r="LNM83" i="3"/>
  <c r="LNO83" i="3" s="1"/>
  <c r="LNG83" i="3"/>
  <c r="LNE83" i="3"/>
  <c r="LMW83" i="3"/>
  <c r="LMY83" i="3" s="1"/>
  <c r="LMO83" i="3"/>
  <c r="LMQ83" i="3" s="1"/>
  <c r="LMG83" i="3"/>
  <c r="LMI83" i="3" s="1"/>
  <c r="LLY83" i="3"/>
  <c r="LMA83" i="3" s="1"/>
  <c r="LLS83" i="3"/>
  <c r="LLQ83" i="3"/>
  <c r="LLK83" i="3"/>
  <c r="LLI83" i="3"/>
  <c r="LLA83" i="3"/>
  <c r="LLC83" i="3" s="1"/>
  <c r="LKS83" i="3"/>
  <c r="LKU83" i="3" s="1"/>
  <c r="LKK83" i="3"/>
  <c r="LKM83" i="3" s="1"/>
  <c r="LKC83" i="3"/>
  <c r="LKE83" i="3" s="1"/>
  <c r="LJU83" i="3"/>
  <c r="LJW83" i="3" s="1"/>
  <c r="LJM83" i="3"/>
  <c r="LJO83" i="3" s="1"/>
  <c r="LJG83" i="3"/>
  <c r="LJE83" i="3"/>
  <c r="LIY83" i="3"/>
  <c r="LIW83" i="3"/>
  <c r="LIO83" i="3"/>
  <c r="LIQ83" i="3" s="1"/>
  <c r="LIG83" i="3"/>
  <c r="LII83" i="3" s="1"/>
  <c r="LHY83" i="3"/>
  <c r="LIA83" i="3" s="1"/>
  <c r="LHQ83" i="3"/>
  <c r="LHS83" i="3" s="1"/>
  <c r="LHI83" i="3"/>
  <c r="LHK83" i="3" s="1"/>
  <c r="LHA83" i="3"/>
  <c r="LHC83" i="3" s="1"/>
  <c r="LGS83" i="3"/>
  <c r="LGU83" i="3" s="1"/>
  <c r="LGK83" i="3"/>
  <c r="LGM83" i="3" s="1"/>
  <c r="LGC83" i="3"/>
  <c r="LGE83" i="3" s="1"/>
  <c r="LFU83" i="3"/>
  <c r="LFW83" i="3" s="1"/>
  <c r="LFM83" i="3"/>
  <c r="LFO83" i="3" s="1"/>
  <c r="LFG83" i="3"/>
  <c r="LFE83" i="3"/>
  <c r="LEW83" i="3"/>
  <c r="LEY83" i="3" s="1"/>
  <c r="LEO83" i="3"/>
  <c r="LEQ83" i="3" s="1"/>
  <c r="LEG83" i="3"/>
  <c r="LEI83" i="3" s="1"/>
  <c r="LEA83" i="3"/>
  <c r="LDY83" i="3"/>
  <c r="LDQ83" i="3"/>
  <c r="LDS83" i="3" s="1"/>
  <c r="LDI83" i="3"/>
  <c r="LDK83" i="3" s="1"/>
  <c r="LDA83" i="3"/>
  <c r="LDC83" i="3" s="1"/>
  <c r="LCS83" i="3"/>
  <c r="LCU83" i="3" s="1"/>
  <c r="LCM83" i="3"/>
  <c r="LCK83" i="3"/>
  <c r="LCC83" i="3"/>
  <c r="LCE83" i="3" s="1"/>
  <c r="LBU83" i="3"/>
  <c r="LBW83" i="3" s="1"/>
  <c r="LBM83" i="3"/>
  <c r="LBO83" i="3" s="1"/>
  <c r="LBE83" i="3"/>
  <c r="LBG83" i="3" s="1"/>
  <c r="LAW83" i="3"/>
  <c r="LAY83" i="3" s="1"/>
  <c r="LAO83" i="3"/>
  <c r="LAQ83" i="3" s="1"/>
  <c r="LAI83" i="3"/>
  <c r="LAG83" i="3"/>
  <c r="LAA83" i="3"/>
  <c r="KZY83" i="3"/>
  <c r="KZS83" i="3"/>
  <c r="KZQ83" i="3"/>
  <c r="KZK83" i="3"/>
  <c r="KZI83" i="3"/>
  <c r="KZA83" i="3"/>
  <c r="KZC83" i="3" s="1"/>
  <c r="KYU83" i="3"/>
  <c r="KYS83" i="3"/>
  <c r="KYK83" i="3"/>
  <c r="KYM83" i="3" s="1"/>
  <c r="KYE83" i="3"/>
  <c r="KYC83" i="3"/>
  <c r="KXW83" i="3"/>
  <c r="KXU83" i="3"/>
  <c r="KXM83" i="3"/>
  <c r="KXO83" i="3" s="1"/>
  <c r="KXE83" i="3"/>
  <c r="KXG83" i="3" s="1"/>
  <c r="KWW83" i="3"/>
  <c r="KWY83" i="3" s="1"/>
  <c r="KWO83" i="3"/>
  <c r="KWQ83" i="3" s="1"/>
  <c r="KWG83" i="3"/>
  <c r="KWI83" i="3" s="1"/>
  <c r="KWA83" i="3"/>
  <c r="KVY83" i="3"/>
  <c r="KVQ83" i="3"/>
  <c r="KVS83" i="3" s="1"/>
  <c r="KVI83" i="3"/>
  <c r="KVK83" i="3" s="1"/>
  <c r="KVC83" i="3"/>
  <c r="KVA83" i="3"/>
  <c r="KUU83" i="3"/>
  <c r="KUS83" i="3"/>
  <c r="KUK83" i="3"/>
  <c r="KUM83" i="3" s="1"/>
  <c r="KUC83" i="3"/>
  <c r="KUE83" i="3" s="1"/>
  <c r="KTW83" i="3"/>
  <c r="KTU83" i="3"/>
  <c r="KTM83" i="3"/>
  <c r="KTO83" i="3" s="1"/>
  <c r="KTE83" i="3"/>
  <c r="KTG83" i="3" s="1"/>
  <c r="KSW83" i="3"/>
  <c r="KSY83" i="3" s="1"/>
  <c r="KSQ83" i="3"/>
  <c r="KSO83" i="3"/>
  <c r="KSG83" i="3"/>
  <c r="KSI83" i="3" s="1"/>
  <c r="KRY83" i="3"/>
  <c r="KSA83" i="3" s="1"/>
  <c r="KRQ83" i="3"/>
  <c r="KRS83" i="3" s="1"/>
  <c r="KRI83" i="3"/>
  <c r="KRK83" i="3" s="1"/>
  <c r="KRA83" i="3"/>
  <c r="KRC83" i="3" s="1"/>
  <c r="KQS83" i="3"/>
  <c r="KQU83" i="3" s="1"/>
  <c r="KQK83" i="3"/>
  <c r="KQM83" i="3" s="1"/>
  <c r="KQC83" i="3"/>
  <c r="KQE83" i="3" s="1"/>
  <c r="KPU83" i="3"/>
  <c r="KPW83" i="3" s="1"/>
  <c r="KPO83" i="3"/>
  <c r="KPM83" i="3"/>
  <c r="KPE83" i="3"/>
  <c r="KPG83" i="3" s="1"/>
  <c r="KOW83" i="3"/>
  <c r="KOY83" i="3" s="1"/>
  <c r="KOQ83" i="3"/>
  <c r="KOO83" i="3"/>
  <c r="KOG83" i="3"/>
  <c r="KOI83" i="3" s="1"/>
  <c r="KNY83" i="3"/>
  <c r="KOA83" i="3" s="1"/>
  <c r="KNQ83" i="3"/>
  <c r="KNS83" i="3" s="1"/>
  <c r="KNI83" i="3"/>
  <c r="KNK83" i="3" s="1"/>
  <c r="KNA83" i="3"/>
  <c r="KNC83" i="3" s="1"/>
  <c r="KMS83" i="3"/>
  <c r="KMU83" i="3" s="1"/>
  <c r="KMK83" i="3"/>
  <c r="KMM83" i="3" s="1"/>
  <c r="KMC83" i="3"/>
  <c r="KME83" i="3" s="1"/>
  <c r="KLW83" i="3"/>
  <c r="KLU83" i="3"/>
  <c r="KLM83" i="3"/>
  <c r="KLO83" i="3" s="1"/>
  <c r="KLE83" i="3"/>
  <c r="KLG83" i="3" s="1"/>
  <c r="KKY83" i="3"/>
  <c r="KKW83" i="3"/>
  <c r="KKO83" i="3"/>
  <c r="KKQ83" i="3" s="1"/>
  <c r="KKG83" i="3"/>
  <c r="KKI83" i="3" s="1"/>
  <c r="KJY83" i="3"/>
  <c r="KKA83" i="3" s="1"/>
  <c r="KJQ83" i="3"/>
  <c r="KJS83" i="3" s="1"/>
  <c r="KJI83" i="3"/>
  <c r="KJK83" i="3" s="1"/>
  <c r="KJA83" i="3"/>
  <c r="KJC83" i="3" s="1"/>
  <c r="KIS83" i="3"/>
  <c r="KIU83" i="3" s="1"/>
  <c r="KIK83" i="3"/>
  <c r="KIM83" i="3" s="1"/>
  <c r="KIC83" i="3"/>
  <c r="KIE83" i="3" s="1"/>
  <c r="KHU83" i="3"/>
  <c r="KHW83" i="3" s="1"/>
  <c r="KHO83" i="3"/>
  <c r="KHM83" i="3"/>
  <c r="KHE83" i="3"/>
  <c r="KHG83" i="3" s="1"/>
  <c r="KGW83" i="3"/>
  <c r="KGY83" i="3" s="1"/>
  <c r="KGO83" i="3"/>
  <c r="KGQ83" i="3" s="1"/>
  <c r="KGG83" i="3"/>
  <c r="KGI83" i="3" s="1"/>
  <c r="KFY83" i="3"/>
  <c r="KGA83" i="3" s="1"/>
  <c r="KFQ83" i="3"/>
  <c r="KFS83" i="3" s="1"/>
  <c r="KFI83" i="3"/>
  <c r="KFK83" i="3" s="1"/>
  <c r="KFA83" i="3"/>
  <c r="KFC83" i="3" s="1"/>
  <c r="KES83" i="3"/>
  <c r="KEU83" i="3" s="1"/>
  <c r="KEM83" i="3"/>
  <c r="KEK83" i="3"/>
  <c r="KEE83" i="3"/>
  <c r="KEC83" i="3"/>
  <c r="KDU83" i="3"/>
  <c r="KDW83" i="3" s="1"/>
  <c r="KDM83" i="3"/>
  <c r="KDO83" i="3" s="1"/>
  <c r="KDE83" i="3"/>
  <c r="KDG83" i="3" s="1"/>
  <c r="KCW83" i="3"/>
  <c r="KCY83" i="3" s="1"/>
  <c r="KCO83" i="3"/>
  <c r="KCQ83" i="3" s="1"/>
  <c r="KCG83" i="3"/>
  <c r="KCI83" i="3" s="1"/>
  <c r="KCA83" i="3"/>
  <c r="KBY83" i="3"/>
  <c r="KBQ83" i="3"/>
  <c r="KBS83" i="3" s="1"/>
  <c r="KBI83" i="3"/>
  <c r="KBK83" i="3" s="1"/>
  <c r="KBA83" i="3"/>
  <c r="KBC83" i="3" s="1"/>
  <c r="KAS83" i="3"/>
  <c r="KAU83" i="3" s="1"/>
  <c r="KAK83" i="3"/>
  <c r="KAM83" i="3" s="1"/>
  <c r="KAC83" i="3"/>
  <c r="KAE83" i="3" s="1"/>
  <c r="JZU83" i="3"/>
  <c r="JZW83" i="3" s="1"/>
  <c r="JZO83" i="3"/>
  <c r="JZM83" i="3"/>
  <c r="JZE83" i="3"/>
  <c r="JZG83" i="3" s="1"/>
  <c r="JYY83" i="3"/>
  <c r="JYW83" i="3"/>
  <c r="JYO83" i="3"/>
  <c r="JYQ83" i="3" s="1"/>
  <c r="JYI83" i="3"/>
  <c r="JYG83" i="3"/>
  <c r="JXY83" i="3"/>
  <c r="JYA83" i="3" s="1"/>
  <c r="JXQ83" i="3"/>
  <c r="JXS83" i="3" s="1"/>
  <c r="JXI83" i="3"/>
  <c r="JXK83" i="3" s="1"/>
  <c r="JXA83" i="3"/>
  <c r="JXC83" i="3" s="1"/>
  <c r="JWU83" i="3"/>
  <c r="JWS83" i="3"/>
  <c r="JWK83" i="3"/>
  <c r="JWM83" i="3" s="1"/>
  <c r="JWC83" i="3"/>
  <c r="JWE83" i="3" s="1"/>
  <c r="JVU83" i="3"/>
  <c r="JVW83" i="3" s="1"/>
  <c r="JVM83" i="3"/>
  <c r="JVO83" i="3" s="1"/>
  <c r="JVE83" i="3"/>
  <c r="JVG83" i="3" s="1"/>
  <c r="JUW83" i="3"/>
  <c r="JUY83" i="3" s="1"/>
  <c r="JUO83" i="3"/>
  <c r="JUQ83" i="3" s="1"/>
  <c r="JUI83" i="3"/>
  <c r="JUG83" i="3"/>
  <c r="JUA83" i="3"/>
  <c r="JTY83" i="3"/>
  <c r="JTQ83" i="3"/>
  <c r="JTS83" i="3" s="1"/>
  <c r="JTK83" i="3"/>
  <c r="JTI83" i="3"/>
  <c r="JTA83" i="3"/>
  <c r="JTC83" i="3" s="1"/>
  <c r="JSS83" i="3"/>
  <c r="JSU83" i="3" s="1"/>
  <c r="JSK83" i="3"/>
  <c r="JSM83" i="3" s="1"/>
  <c r="JSE83" i="3"/>
  <c r="JSC83" i="3"/>
  <c r="JRU83" i="3"/>
  <c r="JRW83" i="3" s="1"/>
  <c r="JRO83" i="3"/>
  <c r="JRM83" i="3"/>
  <c r="JRE83" i="3"/>
  <c r="JRG83" i="3" s="1"/>
  <c r="JQW83" i="3"/>
  <c r="JQY83" i="3" s="1"/>
  <c r="JQO83" i="3"/>
  <c r="JQQ83" i="3" s="1"/>
  <c r="JQG83" i="3"/>
  <c r="JQI83" i="3" s="1"/>
  <c r="JPY83" i="3"/>
  <c r="JQA83" i="3" s="1"/>
  <c r="JPQ83" i="3"/>
  <c r="JPS83" i="3" s="1"/>
  <c r="JPI83" i="3"/>
  <c r="JPK83" i="3" s="1"/>
  <c r="JPC83" i="3"/>
  <c r="JPA83" i="3"/>
  <c r="JOS83" i="3"/>
  <c r="JOU83" i="3" s="1"/>
  <c r="JOK83" i="3"/>
  <c r="JOM83" i="3" s="1"/>
  <c r="JOC83" i="3"/>
  <c r="JOE83" i="3" s="1"/>
  <c r="JNU83" i="3"/>
  <c r="JNW83" i="3" s="1"/>
  <c r="JNM83" i="3"/>
  <c r="JNO83" i="3" s="1"/>
  <c r="JNE83" i="3"/>
  <c r="JNG83" i="3" s="1"/>
  <c r="JMW83" i="3"/>
  <c r="JMY83" i="3" s="1"/>
  <c r="JMO83" i="3"/>
  <c r="JMQ83" i="3" s="1"/>
  <c r="JMG83" i="3"/>
  <c r="JMI83" i="3" s="1"/>
  <c r="JLY83" i="3"/>
  <c r="JMA83" i="3" s="1"/>
  <c r="JLQ83" i="3"/>
  <c r="JLS83" i="3" s="1"/>
  <c r="JLI83" i="3"/>
  <c r="JLK83" i="3" s="1"/>
  <c r="JLA83" i="3"/>
  <c r="JLC83" i="3" s="1"/>
  <c r="JKS83" i="3"/>
  <c r="JKU83" i="3" s="1"/>
  <c r="JKM83" i="3"/>
  <c r="JKK83" i="3"/>
  <c r="JKC83" i="3"/>
  <c r="JKE83" i="3" s="1"/>
  <c r="JJW83" i="3"/>
  <c r="JJU83" i="3"/>
  <c r="JJM83" i="3"/>
  <c r="JJO83" i="3" s="1"/>
  <c r="JJE83" i="3"/>
  <c r="JJG83" i="3" s="1"/>
  <c r="JIW83" i="3"/>
  <c r="JIY83" i="3" s="1"/>
  <c r="JIO83" i="3"/>
  <c r="JIQ83" i="3" s="1"/>
  <c r="JIG83" i="3"/>
  <c r="JII83" i="3" s="1"/>
  <c r="JIA83" i="3"/>
  <c r="JHY83" i="3"/>
  <c r="JHQ83" i="3"/>
  <c r="JHS83" i="3" s="1"/>
  <c r="JHK83" i="3"/>
  <c r="JHI83" i="3"/>
  <c r="JHA83" i="3"/>
  <c r="JHC83" i="3" s="1"/>
  <c r="JGU83" i="3"/>
  <c r="JGS83" i="3"/>
  <c r="JGK83" i="3"/>
  <c r="JGM83" i="3" s="1"/>
  <c r="JGC83" i="3"/>
  <c r="JGE83" i="3" s="1"/>
  <c r="JFU83" i="3"/>
  <c r="JFW83" i="3" s="1"/>
  <c r="JFM83" i="3"/>
  <c r="JFO83" i="3" s="1"/>
  <c r="JFE83" i="3"/>
  <c r="JFG83" i="3" s="1"/>
  <c r="JEW83" i="3"/>
  <c r="JEY83" i="3" s="1"/>
  <c r="JEO83" i="3"/>
  <c r="JEQ83" i="3" s="1"/>
  <c r="JEG83" i="3"/>
  <c r="JEI83" i="3" s="1"/>
  <c r="JDY83" i="3"/>
  <c r="JEA83" i="3" s="1"/>
  <c r="JDQ83" i="3"/>
  <c r="JDS83" i="3" s="1"/>
  <c r="JDI83" i="3"/>
  <c r="JDK83" i="3" s="1"/>
  <c r="JDC83" i="3"/>
  <c r="JDA83" i="3"/>
  <c r="JCU83" i="3"/>
  <c r="JCS83" i="3"/>
  <c r="JCM83" i="3"/>
  <c r="JCK83" i="3"/>
  <c r="JCC83" i="3"/>
  <c r="JCE83" i="3" s="1"/>
  <c r="JBW83" i="3"/>
  <c r="JBU83" i="3"/>
  <c r="JBM83" i="3"/>
  <c r="JBO83" i="3" s="1"/>
  <c r="JBE83" i="3"/>
  <c r="JBG83" i="3" s="1"/>
  <c r="JAY83" i="3"/>
  <c r="JAW83" i="3"/>
  <c r="JAO83" i="3"/>
  <c r="JAQ83" i="3" s="1"/>
  <c r="JAG83" i="3"/>
  <c r="JAI83" i="3" s="1"/>
  <c r="IZY83" i="3"/>
  <c r="JAA83" i="3" s="1"/>
  <c r="IZQ83" i="3"/>
  <c r="IZS83" i="3" s="1"/>
  <c r="IZK83" i="3"/>
  <c r="IZI83" i="3"/>
  <c r="IZA83" i="3"/>
  <c r="IZC83" i="3" s="1"/>
  <c r="IYS83" i="3"/>
  <c r="IYU83" i="3" s="1"/>
  <c r="IYK83" i="3"/>
  <c r="IYM83" i="3" s="1"/>
  <c r="IYC83" i="3"/>
  <c r="IYE83" i="3" s="1"/>
  <c r="IXU83" i="3"/>
  <c r="IXW83" i="3" s="1"/>
  <c r="IXM83" i="3"/>
  <c r="IXO83" i="3" s="1"/>
  <c r="IXE83" i="3"/>
  <c r="IXG83" i="3" s="1"/>
  <c r="IWY83" i="3"/>
  <c r="IWW83" i="3"/>
  <c r="IWO83" i="3"/>
  <c r="IWQ83" i="3" s="1"/>
  <c r="IWG83" i="3"/>
  <c r="IWI83" i="3" s="1"/>
  <c r="IVY83" i="3"/>
  <c r="IWA83" i="3" s="1"/>
  <c r="IVS83" i="3"/>
  <c r="IVQ83" i="3"/>
  <c r="IVI83" i="3"/>
  <c r="IVK83" i="3" s="1"/>
  <c r="IVA83" i="3"/>
  <c r="IVC83" i="3" s="1"/>
  <c r="IUS83" i="3"/>
  <c r="IUU83" i="3" s="1"/>
  <c r="IUK83" i="3"/>
  <c r="IUM83" i="3" s="1"/>
  <c r="IUC83" i="3"/>
  <c r="IUE83" i="3" s="1"/>
  <c r="ITW83" i="3"/>
  <c r="ITU83" i="3"/>
  <c r="ITM83" i="3"/>
  <c r="ITO83" i="3" s="1"/>
  <c r="ITG83" i="3"/>
  <c r="ITE83" i="3"/>
  <c r="ISW83" i="3"/>
  <c r="ISY83" i="3" s="1"/>
  <c r="ISO83" i="3"/>
  <c r="ISQ83" i="3" s="1"/>
  <c r="ISG83" i="3"/>
  <c r="ISI83" i="3" s="1"/>
  <c r="ISA83" i="3"/>
  <c r="IRY83" i="3"/>
  <c r="IRS83" i="3"/>
  <c r="IRQ83" i="3"/>
  <c r="IRI83" i="3"/>
  <c r="IRK83" i="3" s="1"/>
  <c r="IRA83" i="3"/>
  <c r="IRC83" i="3" s="1"/>
  <c r="IQS83" i="3"/>
  <c r="IQU83" i="3" s="1"/>
  <c r="IQK83" i="3"/>
  <c r="IQM83" i="3" s="1"/>
  <c r="IQC83" i="3"/>
  <c r="IQE83" i="3" s="1"/>
  <c r="IPU83" i="3"/>
  <c r="IPW83" i="3" s="1"/>
  <c r="IPM83" i="3"/>
  <c r="IPO83" i="3" s="1"/>
  <c r="IPE83" i="3"/>
  <c r="IPG83" i="3" s="1"/>
  <c r="IOW83" i="3"/>
  <c r="IOY83" i="3" s="1"/>
  <c r="IOQ83" i="3"/>
  <c r="IOO83" i="3"/>
  <c r="IOI83" i="3"/>
  <c r="IOG83" i="3"/>
  <c r="IOA83" i="3"/>
  <c r="INY83" i="3"/>
  <c r="INS83" i="3"/>
  <c r="INQ83" i="3"/>
  <c r="INI83" i="3"/>
  <c r="INK83" i="3" s="1"/>
  <c r="INC83" i="3"/>
  <c r="INA83" i="3"/>
  <c r="IMS83" i="3"/>
  <c r="IMU83" i="3" s="1"/>
  <c r="IMK83" i="3"/>
  <c r="IMM83" i="3" s="1"/>
  <c r="IMC83" i="3"/>
  <c r="IME83" i="3" s="1"/>
  <c r="ILU83" i="3"/>
  <c r="ILW83" i="3" s="1"/>
  <c r="ILM83" i="3"/>
  <c r="ILO83" i="3" s="1"/>
  <c r="ILG83" i="3"/>
  <c r="ILE83" i="3"/>
  <c r="IKW83" i="3"/>
  <c r="IKY83" i="3" s="1"/>
  <c r="IKO83" i="3"/>
  <c r="IKQ83" i="3" s="1"/>
  <c r="IKG83" i="3"/>
  <c r="IKI83" i="3" s="1"/>
  <c r="IJY83" i="3"/>
  <c r="IKA83" i="3" s="1"/>
  <c r="IJQ83" i="3"/>
  <c r="IJS83" i="3" s="1"/>
  <c r="IJI83" i="3"/>
  <c r="IJK83" i="3" s="1"/>
  <c r="IJA83" i="3"/>
  <c r="IJC83" i="3" s="1"/>
  <c r="IIU83" i="3"/>
  <c r="IIS83" i="3"/>
  <c r="IIK83" i="3"/>
  <c r="IIM83" i="3" s="1"/>
  <c r="IIC83" i="3"/>
  <c r="IIE83" i="3" s="1"/>
  <c r="IHU83" i="3"/>
  <c r="IHW83" i="3" s="1"/>
  <c r="IHO83" i="3"/>
  <c r="IHM83" i="3"/>
  <c r="IHG83" i="3"/>
  <c r="IHE83" i="3"/>
  <c r="IGW83" i="3"/>
  <c r="IGY83" i="3" s="1"/>
  <c r="IGO83" i="3"/>
  <c r="IGQ83" i="3" s="1"/>
  <c r="IGI83" i="3"/>
  <c r="IGG83" i="3"/>
  <c r="IFY83" i="3"/>
  <c r="IGA83" i="3" s="1"/>
  <c r="IFS83" i="3"/>
  <c r="IFQ83" i="3"/>
  <c r="IFI83" i="3"/>
  <c r="IFK83" i="3" s="1"/>
  <c r="IFC83" i="3"/>
  <c r="IFA83" i="3"/>
  <c r="IES83" i="3"/>
  <c r="IEU83" i="3" s="1"/>
  <c r="IEK83" i="3"/>
  <c r="IEM83" i="3" s="1"/>
  <c r="IEC83" i="3"/>
  <c r="IEE83" i="3" s="1"/>
  <c r="IDU83" i="3"/>
  <c r="IDW83" i="3" s="1"/>
  <c r="IDO83" i="3"/>
  <c r="IDM83" i="3"/>
  <c r="IDE83" i="3"/>
  <c r="IDG83" i="3" s="1"/>
  <c r="ICW83" i="3"/>
  <c r="ICY83" i="3" s="1"/>
  <c r="ICO83" i="3"/>
  <c r="ICQ83" i="3" s="1"/>
  <c r="ICG83" i="3"/>
  <c r="ICI83" i="3" s="1"/>
  <c r="IBY83" i="3"/>
  <c r="ICA83" i="3" s="1"/>
  <c r="IBQ83" i="3"/>
  <c r="IBS83" i="3" s="1"/>
  <c r="IBI83" i="3"/>
  <c r="IBK83" i="3" s="1"/>
  <c r="IBC83" i="3"/>
  <c r="IBA83" i="3"/>
  <c r="IAS83" i="3"/>
  <c r="IAU83" i="3" s="1"/>
  <c r="IAK83" i="3"/>
  <c r="IAM83" i="3" s="1"/>
  <c r="IAC83" i="3"/>
  <c r="IAE83" i="3" s="1"/>
  <c r="HZU83" i="3"/>
  <c r="HZW83" i="3" s="1"/>
  <c r="HZO83" i="3"/>
  <c r="HZM83" i="3"/>
  <c r="HZG83" i="3"/>
  <c r="HZE83" i="3"/>
  <c r="HYW83" i="3"/>
  <c r="HYY83" i="3" s="1"/>
  <c r="HYO83" i="3"/>
  <c r="HYQ83" i="3" s="1"/>
  <c r="HYG83" i="3"/>
  <c r="HYI83" i="3" s="1"/>
  <c r="HXY83" i="3"/>
  <c r="HYA83" i="3" s="1"/>
  <c r="HXS83" i="3"/>
  <c r="HXQ83" i="3"/>
  <c r="HXI83" i="3"/>
  <c r="HXK83" i="3" s="1"/>
  <c r="HXA83" i="3"/>
  <c r="HXC83" i="3" s="1"/>
  <c r="HWS83" i="3"/>
  <c r="HWU83" i="3" s="1"/>
  <c r="HWM83" i="3"/>
  <c r="HWK83" i="3"/>
  <c r="HWC83" i="3"/>
  <c r="HWE83" i="3" s="1"/>
  <c r="HVU83" i="3"/>
  <c r="HVW83" i="3" s="1"/>
  <c r="HVO83" i="3"/>
  <c r="HVM83" i="3"/>
  <c r="HVG83" i="3"/>
  <c r="HVE83" i="3"/>
  <c r="HUW83" i="3"/>
  <c r="HUY83" i="3" s="1"/>
  <c r="HUQ83" i="3"/>
  <c r="HUO83" i="3"/>
  <c r="HUG83" i="3"/>
  <c r="HUI83" i="3" s="1"/>
  <c r="HTY83" i="3"/>
  <c r="HUA83" i="3" s="1"/>
  <c r="HTQ83" i="3"/>
  <c r="HTS83" i="3" s="1"/>
  <c r="HTI83" i="3"/>
  <c r="HTK83" i="3" s="1"/>
  <c r="HTA83" i="3"/>
  <c r="HTC83" i="3" s="1"/>
  <c r="HSS83" i="3"/>
  <c r="HSU83" i="3" s="1"/>
  <c r="HSM83" i="3"/>
  <c r="HSK83" i="3"/>
  <c r="HSC83" i="3"/>
  <c r="HSE83" i="3" s="1"/>
  <c r="HRU83" i="3"/>
  <c r="HRW83" i="3" s="1"/>
  <c r="HRO83" i="3"/>
  <c r="HRM83" i="3"/>
  <c r="HRE83" i="3"/>
  <c r="HRG83" i="3" s="1"/>
  <c r="HQW83" i="3"/>
  <c r="HQY83" i="3" s="1"/>
  <c r="HQQ83" i="3"/>
  <c r="HQO83" i="3"/>
  <c r="HQG83" i="3"/>
  <c r="HQI83" i="3" s="1"/>
  <c r="HPY83" i="3"/>
  <c r="HQA83" i="3" s="1"/>
  <c r="HPS83" i="3"/>
  <c r="HPQ83" i="3"/>
  <c r="HPI83" i="3"/>
  <c r="HPK83" i="3" s="1"/>
  <c r="HPC83" i="3"/>
  <c r="HPA83" i="3"/>
  <c r="HOS83" i="3"/>
  <c r="HOU83" i="3" s="1"/>
  <c r="HOK83" i="3"/>
  <c r="HOM83" i="3" s="1"/>
  <c r="HOE83" i="3"/>
  <c r="HOC83" i="3"/>
  <c r="HNU83" i="3"/>
  <c r="HNW83" i="3" s="1"/>
  <c r="HNM83" i="3"/>
  <c r="HNO83" i="3" s="1"/>
  <c r="HNE83" i="3"/>
  <c r="HNG83" i="3" s="1"/>
  <c r="HMW83" i="3"/>
  <c r="HMY83" i="3" s="1"/>
  <c r="HMO83" i="3"/>
  <c r="HMQ83" i="3" s="1"/>
  <c r="HMG83" i="3"/>
  <c r="HMI83" i="3" s="1"/>
  <c r="HLY83" i="3"/>
  <c r="HMA83" i="3" s="1"/>
  <c r="HLQ83" i="3"/>
  <c r="HLS83" i="3" s="1"/>
  <c r="HLK83" i="3"/>
  <c r="HLI83" i="3"/>
  <c r="HLC83" i="3"/>
  <c r="HLA83" i="3"/>
  <c r="HKS83" i="3"/>
  <c r="HKU83" i="3" s="1"/>
  <c r="HKK83" i="3"/>
  <c r="HKM83" i="3" s="1"/>
  <c r="HKC83" i="3"/>
  <c r="HKE83" i="3" s="1"/>
  <c r="HJU83" i="3"/>
  <c r="HJW83" i="3" s="1"/>
  <c r="HJO83" i="3"/>
  <c r="HJM83" i="3"/>
  <c r="HJE83" i="3"/>
  <c r="HJG83" i="3" s="1"/>
  <c r="HIW83" i="3"/>
  <c r="HIY83" i="3" s="1"/>
  <c r="HIQ83" i="3"/>
  <c r="HIO83" i="3"/>
  <c r="HIG83" i="3"/>
  <c r="HII83" i="3" s="1"/>
  <c r="HHY83" i="3"/>
  <c r="HIA83" i="3" s="1"/>
  <c r="HHQ83" i="3"/>
  <c r="HHS83" i="3" s="1"/>
  <c r="HHI83" i="3"/>
  <c r="HHK83" i="3" s="1"/>
  <c r="HHC83" i="3"/>
  <c r="HHA83" i="3"/>
  <c r="HGS83" i="3"/>
  <c r="HGU83" i="3" s="1"/>
  <c r="HGK83" i="3"/>
  <c r="HGM83" i="3" s="1"/>
  <c r="HGC83" i="3"/>
  <c r="HGE83" i="3" s="1"/>
  <c r="HFU83" i="3"/>
  <c r="HFW83" i="3" s="1"/>
  <c r="HFO83" i="3"/>
  <c r="HFM83" i="3"/>
  <c r="HFE83" i="3"/>
  <c r="HFG83" i="3" s="1"/>
  <c r="HEW83" i="3"/>
  <c r="HEY83" i="3" s="1"/>
  <c r="HEO83" i="3"/>
  <c r="HEQ83" i="3" s="1"/>
  <c r="HEG83" i="3"/>
  <c r="HEI83" i="3" s="1"/>
  <c r="HDY83" i="3"/>
  <c r="HEA83" i="3" s="1"/>
  <c r="HDQ83" i="3"/>
  <c r="HDS83" i="3" s="1"/>
  <c r="HDK83" i="3"/>
  <c r="HDI83" i="3"/>
  <c r="HDC83" i="3"/>
  <c r="HDA83" i="3"/>
  <c r="HCS83" i="3"/>
  <c r="HCU83" i="3" s="1"/>
  <c r="HCK83" i="3"/>
  <c r="HCM83" i="3" s="1"/>
  <c r="HCC83" i="3"/>
  <c r="HCE83" i="3" s="1"/>
  <c r="HBU83" i="3"/>
  <c r="HBW83" i="3" s="1"/>
  <c r="HBM83" i="3"/>
  <c r="HBO83" i="3" s="1"/>
  <c r="HBE83" i="3"/>
  <c r="HBG83" i="3" s="1"/>
  <c r="HAW83" i="3"/>
  <c r="HAY83" i="3" s="1"/>
  <c r="HAO83" i="3"/>
  <c r="HAQ83" i="3" s="1"/>
  <c r="HAI83" i="3"/>
  <c r="HAG83" i="3"/>
  <c r="GZY83" i="3"/>
  <c r="HAA83" i="3" s="1"/>
  <c r="GZQ83" i="3"/>
  <c r="GZS83" i="3" s="1"/>
  <c r="GZI83" i="3"/>
  <c r="GZK83" i="3" s="1"/>
  <c r="GZC83" i="3"/>
  <c r="GZA83" i="3"/>
  <c r="GYS83" i="3"/>
  <c r="GYU83" i="3" s="1"/>
  <c r="GYK83" i="3"/>
  <c r="GYM83" i="3" s="1"/>
  <c r="GYC83" i="3"/>
  <c r="GYE83" i="3" s="1"/>
  <c r="GXU83" i="3"/>
  <c r="GXW83" i="3" s="1"/>
  <c r="GXM83" i="3"/>
  <c r="GXO83" i="3" s="1"/>
  <c r="GXE83" i="3"/>
  <c r="GXG83" i="3" s="1"/>
  <c r="GWW83" i="3"/>
  <c r="GWY83" i="3" s="1"/>
  <c r="GWO83" i="3"/>
  <c r="GWQ83" i="3" s="1"/>
  <c r="GWG83" i="3"/>
  <c r="GWI83" i="3" s="1"/>
  <c r="GWA83" i="3"/>
  <c r="GVY83" i="3"/>
  <c r="GVQ83" i="3"/>
  <c r="GVS83" i="3" s="1"/>
  <c r="GVI83" i="3"/>
  <c r="GVK83" i="3" s="1"/>
  <c r="GVA83" i="3"/>
  <c r="GVC83" i="3" s="1"/>
  <c r="GUS83" i="3"/>
  <c r="GUU83" i="3" s="1"/>
  <c r="GUK83" i="3"/>
  <c r="GUM83" i="3" s="1"/>
  <c r="GUC83" i="3"/>
  <c r="GUE83" i="3" s="1"/>
  <c r="GTU83" i="3"/>
  <c r="GTW83" i="3" s="1"/>
  <c r="GTM83" i="3"/>
  <c r="GTO83" i="3" s="1"/>
  <c r="GTE83" i="3"/>
  <c r="GTG83" i="3" s="1"/>
  <c r="GSW83" i="3"/>
  <c r="GSY83" i="3" s="1"/>
  <c r="GSO83" i="3"/>
  <c r="GSQ83" i="3" s="1"/>
  <c r="GSG83" i="3"/>
  <c r="GSI83" i="3" s="1"/>
  <c r="GRY83" i="3"/>
  <c r="GSA83" i="3" s="1"/>
  <c r="GRQ83" i="3"/>
  <c r="GRS83" i="3" s="1"/>
  <c r="GRI83" i="3"/>
  <c r="GRK83" i="3" s="1"/>
  <c r="GRA83" i="3"/>
  <c r="GRC83" i="3" s="1"/>
  <c r="GQS83" i="3"/>
  <c r="GQU83" i="3" s="1"/>
  <c r="GQM83" i="3"/>
  <c r="GQK83" i="3"/>
  <c r="GQC83" i="3"/>
  <c r="GQE83" i="3" s="1"/>
  <c r="GPU83" i="3"/>
  <c r="GPW83" i="3" s="1"/>
  <c r="GPM83" i="3"/>
  <c r="GPO83" i="3" s="1"/>
  <c r="GPE83" i="3"/>
  <c r="GPG83" i="3" s="1"/>
  <c r="GOW83" i="3"/>
  <c r="GOY83" i="3" s="1"/>
  <c r="GOO83" i="3"/>
  <c r="GOQ83" i="3" s="1"/>
  <c r="GOI83" i="3"/>
  <c r="GOG83" i="3"/>
  <c r="GNY83" i="3"/>
  <c r="GOA83" i="3" s="1"/>
  <c r="GNQ83" i="3"/>
  <c r="GNS83" i="3" s="1"/>
  <c r="GNK83" i="3"/>
  <c r="GNI83" i="3"/>
  <c r="GNA83" i="3"/>
  <c r="GNC83" i="3" s="1"/>
  <c r="GMU83" i="3"/>
  <c r="GMS83" i="3"/>
  <c r="GMK83" i="3"/>
  <c r="GMM83" i="3" s="1"/>
  <c r="GMC83" i="3"/>
  <c r="GME83" i="3" s="1"/>
  <c r="GLU83" i="3"/>
  <c r="GLW83" i="3" s="1"/>
  <c r="GLM83" i="3"/>
  <c r="GLO83" i="3" s="1"/>
  <c r="GLE83" i="3"/>
  <c r="GLG83" i="3" s="1"/>
  <c r="GKY83" i="3"/>
  <c r="GKW83" i="3"/>
  <c r="GKO83" i="3"/>
  <c r="GKQ83" i="3" s="1"/>
  <c r="GKI83" i="3"/>
  <c r="GKG83" i="3"/>
  <c r="GJY83" i="3"/>
  <c r="GKA83" i="3" s="1"/>
  <c r="GJQ83" i="3"/>
  <c r="GJS83" i="3" s="1"/>
  <c r="GJK83" i="3"/>
  <c r="GJI83" i="3"/>
  <c r="GJA83" i="3"/>
  <c r="GJC83" i="3" s="1"/>
  <c r="GIS83" i="3"/>
  <c r="GIU83" i="3" s="1"/>
  <c r="GIM83" i="3"/>
  <c r="GIK83" i="3"/>
  <c r="GIC83" i="3"/>
  <c r="GIE83" i="3" s="1"/>
  <c r="GHW83" i="3"/>
  <c r="GHU83" i="3"/>
  <c r="GHM83" i="3"/>
  <c r="GHO83" i="3" s="1"/>
  <c r="GHG83" i="3"/>
  <c r="GHE83" i="3"/>
  <c r="GGW83" i="3"/>
  <c r="GGY83" i="3" s="1"/>
  <c r="GGO83" i="3"/>
  <c r="GGQ83" i="3" s="1"/>
  <c r="GGG83" i="3"/>
  <c r="GGI83" i="3" s="1"/>
  <c r="GFY83" i="3"/>
  <c r="GGA83" i="3" s="1"/>
  <c r="GFQ83" i="3"/>
  <c r="GFS83" i="3" s="1"/>
  <c r="GFI83" i="3"/>
  <c r="GFK83" i="3" s="1"/>
  <c r="GFA83" i="3"/>
  <c r="GFC83" i="3" s="1"/>
  <c r="GES83" i="3"/>
  <c r="GEU83" i="3" s="1"/>
  <c r="GEK83" i="3"/>
  <c r="GEM83" i="3" s="1"/>
  <c r="GEE83" i="3"/>
  <c r="GEC83" i="3"/>
  <c r="GDU83" i="3"/>
  <c r="GDW83" i="3" s="1"/>
  <c r="GDO83" i="3"/>
  <c r="GDM83" i="3"/>
  <c r="GDE83" i="3"/>
  <c r="GDG83" i="3" s="1"/>
  <c r="GCW83" i="3"/>
  <c r="GCY83" i="3" s="1"/>
  <c r="GCO83" i="3"/>
  <c r="GCQ83" i="3" s="1"/>
  <c r="GCG83" i="3"/>
  <c r="GCI83" i="3" s="1"/>
  <c r="GBY83" i="3"/>
  <c r="GCA83" i="3" s="1"/>
  <c r="GBQ83" i="3"/>
  <c r="GBS83" i="3" s="1"/>
  <c r="GBK83" i="3"/>
  <c r="GBI83" i="3"/>
  <c r="GBA83" i="3"/>
  <c r="GBC83" i="3" s="1"/>
  <c r="GAS83" i="3"/>
  <c r="GAU83" i="3" s="1"/>
  <c r="GAK83" i="3"/>
  <c r="GAM83" i="3" s="1"/>
  <c r="GAC83" i="3"/>
  <c r="GAE83" i="3" s="1"/>
  <c r="FZW83" i="3"/>
  <c r="FZU83" i="3"/>
  <c r="FZM83" i="3"/>
  <c r="FZO83" i="3" s="1"/>
  <c r="FZE83" i="3"/>
  <c r="FZG83" i="3" s="1"/>
  <c r="FYW83" i="3"/>
  <c r="FYY83" i="3" s="1"/>
  <c r="FYQ83" i="3"/>
  <c r="FYO83" i="3"/>
  <c r="FYI83" i="3"/>
  <c r="FYG83" i="3"/>
  <c r="FXY83" i="3"/>
  <c r="FYA83" i="3" s="1"/>
  <c r="FXQ83" i="3"/>
  <c r="FXS83" i="3" s="1"/>
  <c r="FXK83" i="3"/>
  <c r="FXI83" i="3"/>
  <c r="FXA83" i="3"/>
  <c r="FXC83" i="3" s="1"/>
  <c r="FWS83" i="3"/>
  <c r="FWU83" i="3" s="1"/>
  <c r="FWK83" i="3"/>
  <c r="FWM83" i="3" s="1"/>
  <c r="FWE83" i="3"/>
  <c r="FWC83" i="3"/>
  <c r="FVW83" i="3"/>
  <c r="FVU83" i="3"/>
  <c r="FVO83" i="3"/>
  <c r="FVM83" i="3"/>
  <c r="FVE83" i="3"/>
  <c r="FVG83" i="3" s="1"/>
  <c r="FUW83" i="3"/>
  <c r="FUY83" i="3" s="1"/>
  <c r="FUO83" i="3"/>
  <c r="FUQ83" i="3" s="1"/>
  <c r="FUG83" i="3"/>
  <c r="FUI83" i="3" s="1"/>
  <c r="FTY83" i="3"/>
  <c r="FUA83" i="3" s="1"/>
  <c r="FTQ83" i="3"/>
  <c r="FTS83" i="3" s="1"/>
  <c r="FTI83" i="3"/>
  <c r="FTK83" i="3" s="1"/>
  <c r="FTA83" i="3"/>
  <c r="FTC83" i="3" s="1"/>
  <c r="FSU83" i="3"/>
  <c r="FSS83" i="3"/>
  <c r="FSK83" i="3"/>
  <c r="FSM83" i="3" s="1"/>
  <c r="FSC83" i="3"/>
  <c r="FSE83" i="3" s="1"/>
  <c r="FRU83" i="3"/>
  <c r="FRW83" i="3" s="1"/>
  <c r="FRM83" i="3"/>
  <c r="FRO83" i="3" s="1"/>
  <c r="FRE83" i="3"/>
  <c r="FRG83" i="3" s="1"/>
  <c r="FQW83" i="3"/>
  <c r="FQY83" i="3" s="1"/>
  <c r="FQO83" i="3"/>
  <c r="FQQ83" i="3" s="1"/>
  <c r="FQG83" i="3"/>
  <c r="FQI83" i="3" s="1"/>
  <c r="FPY83" i="3"/>
  <c r="FQA83" i="3" s="1"/>
  <c r="FPQ83" i="3"/>
  <c r="FPS83" i="3" s="1"/>
  <c r="FPI83" i="3"/>
  <c r="FPK83" i="3" s="1"/>
  <c r="FPA83" i="3"/>
  <c r="FPC83" i="3" s="1"/>
  <c r="FOS83" i="3"/>
  <c r="FOU83" i="3" s="1"/>
  <c r="FOK83" i="3"/>
  <c r="FOM83" i="3" s="1"/>
  <c r="FOE83" i="3"/>
  <c r="FOC83" i="3"/>
  <c r="FNU83" i="3"/>
  <c r="FNW83" i="3" s="1"/>
  <c r="FNM83" i="3"/>
  <c r="FNO83" i="3" s="1"/>
  <c r="FNE83" i="3"/>
  <c r="FNG83" i="3" s="1"/>
  <c r="FMW83" i="3"/>
  <c r="FMY83" i="3" s="1"/>
  <c r="FMO83" i="3"/>
  <c r="FMQ83" i="3" s="1"/>
  <c r="FMG83" i="3"/>
  <c r="FMI83" i="3" s="1"/>
  <c r="FLY83" i="3"/>
  <c r="FMA83" i="3" s="1"/>
  <c r="FLS83" i="3"/>
  <c r="FLQ83" i="3"/>
  <c r="FLI83" i="3"/>
  <c r="FLK83" i="3" s="1"/>
  <c r="FLC83" i="3"/>
  <c r="FLA83" i="3"/>
  <c r="FKU83" i="3"/>
  <c r="FKS83" i="3"/>
  <c r="FKK83" i="3"/>
  <c r="FKM83" i="3" s="1"/>
  <c r="FKC83" i="3"/>
  <c r="FKE83" i="3" s="1"/>
  <c r="FJU83" i="3"/>
  <c r="FJW83" i="3" s="1"/>
  <c r="FJM83" i="3"/>
  <c r="FJO83" i="3" s="1"/>
  <c r="FJE83" i="3"/>
  <c r="FJG83" i="3" s="1"/>
  <c r="FIW83" i="3"/>
  <c r="FIY83" i="3" s="1"/>
  <c r="FIO83" i="3"/>
  <c r="FIQ83" i="3" s="1"/>
  <c r="FIG83" i="3"/>
  <c r="FII83" i="3" s="1"/>
  <c r="FIA83" i="3"/>
  <c r="FHY83" i="3"/>
  <c r="FHQ83" i="3"/>
  <c r="FHS83" i="3" s="1"/>
  <c r="FHI83" i="3"/>
  <c r="FHK83" i="3" s="1"/>
  <c r="FHA83" i="3"/>
  <c r="FHC83" i="3" s="1"/>
  <c r="FGU83" i="3"/>
  <c r="FGS83" i="3"/>
  <c r="FGK83" i="3"/>
  <c r="FGM83" i="3" s="1"/>
  <c r="FGC83" i="3"/>
  <c r="FGE83" i="3" s="1"/>
  <c r="FFU83" i="3"/>
  <c r="FFW83" i="3" s="1"/>
  <c r="FFM83" i="3"/>
  <c r="FFO83" i="3" s="1"/>
  <c r="FFE83" i="3"/>
  <c r="FFG83" i="3" s="1"/>
  <c r="FEW83" i="3"/>
  <c r="FEY83" i="3" s="1"/>
  <c r="FEO83" i="3"/>
  <c r="FEQ83" i="3" s="1"/>
  <c r="FEG83" i="3"/>
  <c r="FEI83" i="3" s="1"/>
  <c r="FDY83" i="3"/>
  <c r="FEA83" i="3" s="1"/>
  <c r="FDQ83" i="3"/>
  <c r="FDS83" i="3" s="1"/>
  <c r="FDI83" i="3"/>
  <c r="FDK83" i="3" s="1"/>
  <c r="FDA83" i="3"/>
  <c r="FDC83" i="3" s="1"/>
  <c r="FCS83" i="3"/>
  <c r="FCU83" i="3" s="1"/>
  <c r="FCK83" i="3"/>
  <c r="FCM83" i="3" s="1"/>
  <c r="FCE83" i="3"/>
  <c r="FCC83" i="3"/>
  <c r="FBU83" i="3"/>
  <c r="FBW83" i="3" s="1"/>
  <c r="FBM83" i="3"/>
  <c r="FBO83" i="3" s="1"/>
  <c r="FBE83" i="3"/>
  <c r="FBG83" i="3" s="1"/>
  <c r="FAW83" i="3"/>
  <c r="FAY83" i="3" s="1"/>
  <c r="FAO83" i="3"/>
  <c r="FAQ83" i="3" s="1"/>
  <c r="FAG83" i="3"/>
  <c r="FAI83" i="3" s="1"/>
  <c r="FAA83" i="3"/>
  <c r="EZY83" i="3"/>
  <c r="EZS83" i="3"/>
  <c r="EZQ83" i="3"/>
  <c r="EZK83" i="3"/>
  <c r="EZI83" i="3"/>
  <c r="EZA83" i="3"/>
  <c r="EZC83" i="3" s="1"/>
  <c r="EYS83" i="3"/>
  <c r="EYU83" i="3" s="1"/>
  <c r="EYM83" i="3"/>
  <c r="EYK83" i="3"/>
  <c r="EYC83" i="3"/>
  <c r="EYE83" i="3" s="1"/>
  <c r="EXU83" i="3"/>
  <c r="EXW83" i="3" s="1"/>
  <c r="EXM83" i="3"/>
  <c r="EXO83" i="3" s="1"/>
  <c r="EXE83" i="3"/>
  <c r="EXG83" i="3" s="1"/>
  <c r="EWY83" i="3"/>
  <c r="EWW83" i="3"/>
  <c r="EWQ83" i="3"/>
  <c r="EWO83" i="3"/>
  <c r="EWG83" i="3"/>
  <c r="EWI83" i="3" s="1"/>
  <c r="EWA83" i="3"/>
  <c r="EVY83" i="3"/>
  <c r="EVQ83" i="3"/>
  <c r="EVS83" i="3" s="1"/>
  <c r="EVI83" i="3"/>
  <c r="EVK83" i="3" s="1"/>
  <c r="EVA83" i="3"/>
  <c r="EVC83" i="3" s="1"/>
  <c r="EUS83" i="3"/>
  <c r="EUU83" i="3" s="1"/>
  <c r="EUM83" i="3"/>
  <c r="EUK83" i="3"/>
  <c r="EUE83" i="3"/>
  <c r="EUC83" i="3"/>
  <c r="ETU83" i="3"/>
  <c r="ETW83" i="3" s="1"/>
  <c r="ETM83" i="3"/>
  <c r="ETO83" i="3" s="1"/>
  <c r="ETE83" i="3"/>
  <c r="ETG83" i="3" s="1"/>
  <c r="ESW83" i="3"/>
  <c r="ESY83" i="3" s="1"/>
  <c r="ESO83" i="3"/>
  <c r="ESQ83" i="3" s="1"/>
  <c r="ESG83" i="3"/>
  <c r="ESI83" i="3" s="1"/>
  <c r="ESA83" i="3"/>
  <c r="ERY83" i="3"/>
  <c r="ERQ83" i="3"/>
  <c r="ERS83" i="3" s="1"/>
  <c r="ERI83" i="3"/>
  <c r="ERK83" i="3" s="1"/>
  <c r="ERA83" i="3"/>
  <c r="ERC83" i="3" s="1"/>
  <c r="EQS83" i="3"/>
  <c r="EQU83" i="3" s="1"/>
  <c r="EQM83" i="3"/>
  <c r="EQK83" i="3"/>
  <c r="EQC83" i="3"/>
  <c r="EQE83" i="3" s="1"/>
  <c r="EPU83" i="3"/>
  <c r="EPW83" i="3" s="1"/>
  <c r="EPM83" i="3"/>
  <c r="EPO83" i="3" s="1"/>
  <c r="EPG83" i="3"/>
  <c r="EPE83" i="3"/>
  <c r="EOW83" i="3"/>
  <c r="EOY83" i="3" s="1"/>
  <c r="EOO83" i="3"/>
  <c r="EOQ83" i="3" s="1"/>
  <c r="EOG83" i="3"/>
  <c r="EOI83" i="3" s="1"/>
  <c r="ENY83" i="3"/>
  <c r="EOA83" i="3" s="1"/>
  <c r="ENQ83" i="3"/>
  <c r="ENS83" i="3" s="1"/>
  <c r="ENI83" i="3"/>
  <c r="ENK83" i="3" s="1"/>
  <c r="ENA83" i="3"/>
  <c r="ENC83" i="3" s="1"/>
  <c r="EMS83" i="3"/>
  <c r="EMU83" i="3" s="1"/>
  <c r="EMM83" i="3"/>
  <c r="EMK83" i="3"/>
  <c r="EMC83" i="3"/>
  <c r="EME83" i="3" s="1"/>
  <c r="ELW83" i="3"/>
  <c r="ELU83" i="3"/>
  <c r="ELO83" i="3"/>
  <c r="ELM83" i="3"/>
  <c r="ELG83" i="3"/>
  <c r="ELE83" i="3"/>
  <c r="EKW83" i="3"/>
  <c r="EKY83" i="3" s="1"/>
  <c r="EKO83" i="3"/>
  <c r="EKQ83" i="3" s="1"/>
  <c r="EKG83" i="3"/>
  <c r="EKI83" i="3" s="1"/>
  <c r="EJY83" i="3"/>
  <c r="EKA83" i="3" s="1"/>
  <c r="EJQ83" i="3"/>
  <c r="EJS83" i="3" s="1"/>
  <c r="EJI83" i="3"/>
  <c r="EJK83" i="3" s="1"/>
  <c r="EJA83" i="3"/>
  <c r="EJC83" i="3" s="1"/>
  <c r="EIS83" i="3"/>
  <c r="EIU83" i="3" s="1"/>
  <c r="EIK83" i="3"/>
  <c r="EIM83" i="3" s="1"/>
  <c r="EIC83" i="3"/>
  <c r="EIE83" i="3" s="1"/>
  <c r="EHW83" i="3"/>
  <c r="EHU83" i="3"/>
  <c r="EHO83" i="3"/>
  <c r="EHM83" i="3"/>
  <c r="EHE83" i="3"/>
  <c r="EHG83" i="3" s="1"/>
  <c r="EGY83" i="3"/>
  <c r="EGW83" i="3"/>
  <c r="EGO83" i="3"/>
  <c r="EGQ83" i="3" s="1"/>
  <c r="EGG83" i="3"/>
  <c r="EGI83" i="3" s="1"/>
  <c r="EGA83" i="3"/>
  <c r="EFY83" i="3"/>
  <c r="EFQ83" i="3"/>
  <c r="EFS83" i="3" s="1"/>
  <c r="EFI83" i="3"/>
  <c r="EFK83" i="3" s="1"/>
  <c r="EFA83" i="3"/>
  <c r="EFC83" i="3" s="1"/>
  <c r="EES83" i="3"/>
  <c r="EEU83" i="3" s="1"/>
  <c r="EEK83" i="3"/>
  <c r="EEM83" i="3" s="1"/>
  <c r="EEC83" i="3"/>
  <c r="EEE83" i="3" s="1"/>
  <c r="EDW83" i="3"/>
  <c r="EDU83" i="3"/>
  <c r="EDM83" i="3"/>
  <c r="EDO83" i="3" s="1"/>
  <c r="EDE83" i="3"/>
  <c r="EDG83" i="3" s="1"/>
  <c r="ECW83" i="3"/>
  <c r="ECY83" i="3" s="1"/>
  <c r="ECO83" i="3"/>
  <c r="ECQ83" i="3" s="1"/>
  <c r="ECG83" i="3"/>
  <c r="ECI83" i="3" s="1"/>
  <c r="EBY83" i="3"/>
  <c r="ECA83" i="3" s="1"/>
  <c r="EBQ83" i="3"/>
  <c r="EBS83" i="3" s="1"/>
  <c r="EBI83" i="3"/>
  <c r="EBK83" i="3" s="1"/>
  <c r="EBA83" i="3"/>
  <c r="EBC83" i="3" s="1"/>
  <c r="EAU83" i="3"/>
  <c r="EAS83" i="3"/>
  <c r="EAK83" i="3"/>
  <c r="EAM83" i="3" s="1"/>
  <c r="EAC83" i="3"/>
  <c r="EAE83" i="3" s="1"/>
  <c r="DZW83" i="3"/>
  <c r="DZU83" i="3"/>
  <c r="DZM83" i="3"/>
  <c r="DZO83" i="3" s="1"/>
  <c r="DZE83" i="3"/>
  <c r="DZG83" i="3" s="1"/>
  <c r="DYW83" i="3"/>
  <c r="DYY83" i="3" s="1"/>
  <c r="DYO83" i="3"/>
  <c r="DYQ83" i="3" s="1"/>
  <c r="DYI83" i="3"/>
  <c r="DYG83" i="3"/>
  <c r="DXY83" i="3"/>
  <c r="DYA83" i="3" s="1"/>
  <c r="DXQ83" i="3"/>
  <c r="DXS83" i="3" s="1"/>
  <c r="DXI83" i="3"/>
  <c r="DXK83" i="3" s="1"/>
  <c r="DXA83" i="3"/>
  <c r="DXC83" i="3" s="1"/>
  <c r="DWS83" i="3"/>
  <c r="DWU83" i="3" s="1"/>
  <c r="DWK83" i="3"/>
  <c r="DWM83" i="3" s="1"/>
  <c r="DWC83" i="3"/>
  <c r="DWE83" i="3" s="1"/>
  <c r="DVW83" i="3"/>
  <c r="DVU83" i="3"/>
  <c r="DVM83" i="3"/>
  <c r="DVO83" i="3" s="1"/>
  <c r="DVE83" i="3"/>
  <c r="DVG83" i="3" s="1"/>
  <c r="DUW83" i="3"/>
  <c r="DUY83" i="3" s="1"/>
  <c r="DUO83" i="3"/>
  <c r="DUQ83" i="3" s="1"/>
  <c r="DUI83" i="3"/>
  <c r="DUG83" i="3"/>
  <c r="DTY83" i="3"/>
  <c r="DUA83" i="3" s="1"/>
  <c r="DTQ83" i="3"/>
  <c r="DTS83" i="3" s="1"/>
  <c r="DTK83" i="3"/>
  <c r="DTI83" i="3"/>
  <c r="DTA83" i="3"/>
  <c r="DTC83" i="3" s="1"/>
  <c r="DSS83" i="3"/>
  <c r="DSU83" i="3" s="1"/>
  <c r="DSK83" i="3"/>
  <c r="DSM83" i="3" s="1"/>
  <c r="DSC83" i="3"/>
  <c r="DSE83" i="3" s="1"/>
  <c r="DRU83" i="3"/>
  <c r="DRW83" i="3" s="1"/>
  <c r="DRM83" i="3"/>
  <c r="DRO83" i="3" s="1"/>
  <c r="DRE83" i="3"/>
  <c r="DRG83" i="3" s="1"/>
  <c r="DQW83" i="3"/>
  <c r="DQY83" i="3" s="1"/>
  <c r="DQO83" i="3"/>
  <c r="DQQ83" i="3" s="1"/>
  <c r="DQI83" i="3"/>
  <c r="DQG83" i="3"/>
  <c r="DPY83" i="3"/>
  <c r="DQA83" i="3" s="1"/>
  <c r="DPQ83" i="3"/>
  <c r="DPS83" i="3" s="1"/>
  <c r="DPK83" i="3"/>
  <c r="DPI83" i="3"/>
  <c r="DPA83" i="3"/>
  <c r="DPC83" i="3" s="1"/>
  <c r="DOS83" i="3"/>
  <c r="DOU83" i="3" s="1"/>
  <c r="DOK83" i="3"/>
  <c r="DOM83" i="3" s="1"/>
  <c r="DOC83" i="3"/>
  <c r="DOE83" i="3" s="1"/>
  <c r="DNU83" i="3"/>
  <c r="DNW83" i="3" s="1"/>
  <c r="DNM83" i="3"/>
  <c r="DNO83" i="3" s="1"/>
  <c r="DNE83" i="3"/>
  <c r="DNG83" i="3" s="1"/>
  <c r="DMW83" i="3"/>
  <c r="DMY83" i="3" s="1"/>
  <c r="DMO83" i="3"/>
  <c r="DMQ83" i="3" s="1"/>
  <c r="DMG83" i="3"/>
  <c r="DMI83" i="3" s="1"/>
  <c r="DLY83" i="3"/>
  <c r="DMA83" i="3" s="1"/>
  <c r="DLQ83" i="3"/>
  <c r="DLS83" i="3" s="1"/>
  <c r="DLK83" i="3"/>
  <c r="DLI83" i="3"/>
  <c r="DLA83" i="3"/>
  <c r="DLC83" i="3" s="1"/>
  <c r="DKS83" i="3"/>
  <c r="DKU83" i="3" s="1"/>
  <c r="DKK83" i="3"/>
  <c r="DKM83" i="3" s="1"/>
  <c r="DKC83" i="3"/>
  <c r="DKE83" i="3" s="1"/>
  <c r="DJU83" i="3"/>
  <c r="DJW83" i="3" s="1"/>
  <c r="DJM83" i="3"/>
  <c r="DJO83" i="3" s="1"/>
  <c r="DJE83" i="3"/>
  <c r="DJG83" i="3" s="1"/>
  <c r="DIW83" i="3"/>
  <c r="DIY83" i="3" s="1"/>
  <c r="DIO83" i="3"/>
  <c r="DIQ83" i="3" s="1"/>
  <c r="DIG83" i="3"/>
  <c r="DII83" i="3" s="1"/>
  <c r="DHY83" i="3"/>
  <c r="DIA83" i="3" s="1"/>
  <c r="DHS83" i="3"/>
  <c r="DHQ83" i="3"/>
  <c r="DHI83" i="3"/>
  <c r="DHK83" i="3" s="1"/>
  <c r="DHA83" i="3"/>
  <c r="DHC83" i="3" s="1"/>
  <c r="DGS83" i="3"/>
  <c r="DGU83" i="3" s="1"/>
  <c r="DGK83" i="3"/>
  <c r="DGM83" i="3" s="1"/>
  <c r="DGE83" i="3"/>
  <c r="DGC83" i="3"/>
  <c r="DFU83" i="3"/>
  <c r="DFW83" i="3" s="1"/>
  <c r="DFM83" i="3"/>
  <c r="DFO83" i="3" s="1"/>
  <c r="DFE83" i="3"/>
  <c r="DFG83" i="3" s="1"/>
  <c r="DEW83" i="3"/>
  <c r="DEY83" i="3" s="1"/>
  <c r="DEO83" i="3"/>
  <c r="DEQ83" i="3" s="1"/>
  <c r="DEG83" i="3"/>
  <c r="DEI83" i="3" s="1"/>
  <c r="DDY83" i="3"/>
  <c r="DEA83" i="3" s="1"/>
  <c r="DDQ83" i="3"/>
  <c r="DDS83" i="3" s="1"/>
  <c r="DDK83" i="3"/>
  <c r="DDI83" i="3"/>
  <c r="DDA83" i="3"/>
  <c r="DDC83" i="3" s="1"/>
  <c r="DCU83" i="3"/>
  <c r="DCS83" i="3"/>
  <c r="DCK83" i="3"/>
  <c r="DCM83" i="3" s="1"/>
  <c r="DCC83" i="3"/>
  <c r="DCE83" i="3" s="1"/>
  <c r="DBU83" i="3"/>
  <c r="DBW83" i="3" s="1"/>
  <c r="DBM83" i="3"/>
  <c r="DBO83" i="3" s="1"/>
  <c r="DBE83" i="3"/>
  <c r="DBG83" i="3" s="1"/>
  <c r="DAW83" i="3"/>
  <c r="DAY83" i="3" s="1"/>
  <c r="DAO83" i="3"/>
  <c r="DAQ83" i="3" s="1"/>
  <c r="DAG83" i="3"/>
  <c r="DAI83" i="3" s="1"/>
  <c r="CZY83" i="3"/>
  <c r="DAA83" i="3" s="1"/>
  <c r="CZQ83" i="3"/>
  <c r="CZS83" i="3" s="1"/>
  <c r="CZI83" i="3"/>
  <c r="CZK83" i="3" s="1"/>
  <c r="CZA83" i="3"/>
  <c r="CZC83" i="3" s="1"/>
  <c r="CYU83" i="3"/>
  <c r="CYS83" i="3"/>
  <c r="CYK83" i="3"/>
  <c r="CYM83" i="3" s="1"/>
  <c r="CYE83" i="3"/>
  <c r="CYC83" i="3"/>
  <c r="CXU83" i="3"/>
  <c r="CXW83" i="3" s="1"/>
  <c r="CXM83" i="3"/>
  <c r="CXO83" i="3" s="1"/>
  <c r="CXE83" i="3"/>
  <c r="CXG83" i="3" s="1"/>
  <c r="CWY83" i="3"/>
  <c r="CWW83" i="3"/>
  <c r="CWO83" i="3"/>
  <c r="CWQ83" i="3" s="1"/>
  <c r="CWI83" i="3"/>
  <c r="CWG83" i="3"/>
  <c r="CVY83" i="3"/>
  <c r="CWA83" i="3" s="1"/>
  <c r="CVQ83" i="3"/>
  <c r="CVS83" i="3" s="1"/>
  <c r="CVI83" i="3"/>
  <c r="CVK83" i="3" s="1"/>
  <c r="CVA83" i="3"/>
  <c r="CVC83" i="3" s="1"/>
  <c r="CUS83" i="3"/>
  <c r="CUU83" i="3" s="1"/>
  <c r="CUK83" i="3"/>
  <c r="CUM83" i="3" s="1"/>
  <c r="CUE83" i="3"/>
  <c r="CUC83" i="3"/>
  <c r="CTU83" i="3"/>
  <c r="CTW83" i="3" s="1"/>
  <c r="CTM83" i="3"/>
  <c r="CTO83" i="3" s="1"/>
  <c r="CTG83" i="3"/>
  <c r="CTE83" i="3"/>
  <c r="CSW83" i="3"/>
  <c r="CSY83" i="3" s="1"/>
  <c r="CSQ83" i="3"/>
  <c r="CSO83" i="3"/>
  <c r="CSG83" i="3"/>
  <c r="CSI83" i="3" s="1"/>
  <c r="CRY83" i="3"/>
  <c r="CSA83" i="3" s="1"/>
  <c r="CRS83" i="3"/>
  <c r="CRQ83" i="3"/>
  <c r="CRI83" i="3"/>
  <c r="CRK83" i="3" s="1"/>
  <c r="CRA83" i="3"/>
  <c r="CRC83" i="3" s="1"/>
  <c r="CQS83" i="3"/>
  <c r="CQU83" i="3" s="1"/>
  <c r="CQK83" i="3"/>
  <c r="CQM83" i="3" s="1"/>
  <c r="CQC83" i="3"/>
  <c r="CQE83" i="3" s="1"/>
  <c r="CPU83" i="3"/>
  <c r="CPW83" i="3" s="1"/>
  <c r="CPM83" i="3"/>
  <c r="CPO83" i="3" s="1"/>
  <c r="CPE83" i="3"/>
  <c r="CPG83" i="3" s="1"/>
  <c r="COW83" i="3"/>
  <c r="COY83" i="3" s="1"/>
  <c r="COQ83" i="3"/>
  <c r="COO83" i="3"/>
  <c r="COG83" i="3"/>
  <c r="COI83" i="3" s="1"/>
  <c r="CNY83" i="3"/>
  <c r="COA83" i="3" s="1"/>
  <c r="CNS83" i="3"/>
  <c r="CNQ83" i="3"/>
  <c r="CNI83" i="3"/>
  <c r="CNK83" i="3" s="1"/>
  <c r="CNA83" i="3"/>
  <c r="CNC83" i="3" s="1"/>
  <c r="CMS83" i="3"/>
  <c r="CMU83" i="3" s="1"/>
  <c r="CMK83" i="3"/>
  <c r="CMM83" i="3" s="1"/>
  <c r="CMC83" i="3"/>
  <c r="CME83" i="3" s="1"/>
  <c r="CLU83" i="3"/>
  <c r="CLW83" i="3" s="1"/>
  <c r="CLM83" i="3"/>
  <c r="CLO83" i="3" s="1"/>
  <c r="CLE83" i="3"/>
  <c r="CLG83" i="3" s="1"/>
  <c r="CKW83" i="3"/>
  <c r="CKY83" i="3" s="1"/>
  <c r="CKO83" i="3"/>
  <c r="CKQ83" i="3" s="1"/>
  <c r="CKG83" i="3"/>
  <c r="CKI83" i="3" s="1"/>
  <c r="CKA83" i="3"/>
  <c r="CJY83" i="3"/>
  <c r="CJQ83" i="3"/>
  <c r="CJS83" i="3" s="1"/>
  <c r="CJI83" i="3"/>
  <c r="CJK83" i="3" s="1"/>
  <c r="CJA83" i="3"/>
  <c r="CJC83" i="3" s="1"/>
  <c r="CIS83" i="3"/>
  <c r="CIU83" i="3" s="1"/>
  <c r="CIM83" i="3"/>
  <c r="CIK83" i="3"/>
  <c r="CIE83" i="3"/>
  <c r="CIC83" i="3"/>
  <c r="CHU83" i="3"/>
  <c r="CHW83" i="3" s="1"/>
  <c r="CHO83" i="3"/>
  <c r="CHM83" i="3"/>
  <c r="CHE83" i="3"/>
  <c r="CHG83" i="3" s="1"/>
  <c r="CGW83" i="3"/>
  <c r="CGY83" i="3" s="1"/>
  <c r="CGO83" i="3"/>
  <c r="CGQ83" i="3" s="1"/>
  <c r="CGG83" i="3"/>
  <c r="CGI83" i="3" s="1"/>
  <c r="CGA83" i="3"/>
  <c r="CFY83" i="3"/>
  <c r="CFS83" i="3"/>
  <c r="CFQ83" i="3"/>
  <c r="CFI83" i="3"/>
  <c r="CFK83" i="3" s="1"/>
  <c r="CFA83" i="3"/>
  <c r="CFC83" i="3" s="1"/>
  <c r="CES83" i="3"/>
  <c r="CEU83" i="3" s="1"/>
  <c r="CEK83" i="3"/>
  <c r="CEM83" i="3" s="1"/>
  <c r="CEE83" i="3"/>
  <c r="CEC83" i="3"/>
  <c r="CDU83" i="3"/>
  <c r="CDW83" i="3" s="1"/>
  <c r="CDO83" i="3"/>
  <c r="CDM83" i="3"/>
  <c r="CDE83" i="3"/>
  <c r="CDG83" i="3" s="1"/>
  <c r="CCW83" i="3"/>
  <c r="CCY83" i="3" s="1"/>
  <c r="CCO83" i="3"/>
  <c r="CCQ83" i="3" s="1"/>
  <c r="CCG83" i="3"/>
  <c r="CCI83" i="3" s="1"/>
  <c r="CBY83" i="3"/>
  <c r="CCA83" i="3" s="1"/>
  <c r="CBS83" i="3"/>
  <c r="CBQ83" i="3"/>
  <c r="CBI83" i="3"/>
  <c r="CBK83" i="3" s="1"/>
  <c r="CBC83" i="3"/>
  <c r="CBA83" i="3"/>
  <c r="CAS83" i="3"/>
  <c r="CAU83" i="3" s="1"/>
  <c r="CAK83" i="3"/>
  <c r="CAM83" i="3" s="1"/>
  <c r="CAC83" i="3"/>
  <c r="CAE83" i="3" s="1"/>
  <c r="BZU83" i="3"/>
  <c r="BZW83" i="3" s="1"/>
  <c r="BZM83" i="3"/>
  <c r="BZO83" i="3" s="1"/>
  <c r="BZE83" i="3"/>
  <c r="BZG83" i="3" s="1"/>
  <c r="BYW83" i="3"/>
  <c r="BYY83" i="3" s="1"/>
  <c r="BYQ83" i="3"/>
  <c r="BYO83" i="3"/>
  <c r="BYG83" i="3"/>
  <c r="BYI83" i="3" s="1"/>
  <c r="BXY83" i="3"/>
  <c r="BYA83" i="3" s="1"/>
  <c r="BXQ83" i="3"/>
  <c r="BXS83" i="3" s="1"/>
  <c r="BXK83" i="3"/>
  <c r="BXI83" i="3"/>
  <c r="BXA83" i="3"/>
  <c r="BXC83" i="3" s="1"/>
  <c r="BWU83" i="3"/>
  <c r="BWS83" i="3"/>
  <c r="BWM83" i="3"/>
  <c r="BWK83" i="3"/>
  <c r="BWC83" i="3"/>
  <c r="BWE83" i="3" s="1"/>
  <c r="BVU83" i="3"/>
  <c r="BVW83" i="3" s="1"/>
  <c r="BVO83" i="3"/>
  <c r="BVM83" i="3"/>
  <c r="BVE83" i="3"/>
  <c r="BVG83" i="3" s="1"/>
  <c r="BUW83" i="3"/>
  <c r="BUY83" i="3" s="1"/>
  <c r="BUO83" i="3"/>
  <c r="BUQ83" i="3" s="1"/>
  <c r="BUG83" i="3"/>
  <c r="BUI83" i="3" s="1"/>
  <c r="BTY83" i="3"/>
  <c r="BUA83" i="3" s="1"/>
  <c r="BTQ83" i="3"/>
  <c r="BTS83" i="3" s="1"/>
  <c r="BTI83" i="3"/>
  <c r="BTK83" i="3" s="1"/>
  <c r="BTA83" i="3"/>
  <c r="BTC83" i="3" s="1"/>
  <c r="BSU83" i="3"/>
  <c r="BSS83" i="3"/>
  <c r="BSK83" i="3"/>
  <c r="BSM83" i="3" s="1"/>
  <c r="BSC83" i="3"/>
  <c r="BSE83" i="3" s="1"/>
  <c r="BRU83" i="3"/>
  <c r="BRW83" i="3" s="1"/>
  <c r="BRM83" i="3"/>
  <c r="BRO83" i="3" s="1"/>
  <c r="BRE83" i="3"/>
  <c r="BRG83" i="3" s="1"/>
  <c r="BQW83" i="3"/>
  <c r="BQY83" i="3" s="1"/>
  <c r="BQO83" i="3"/>
  <c r="BQQ83" i="3" s="1"/>
  <c r="BQG83" i="3"/>
  <c r="BQI83" i="3" s="1"/>
  <c r="BQA83" i="3"/>
  <c r="BPY83" i="3"/>
  <c r="BPQ83" i="3"/>
  <c r="BPS83" i="3" s="1"/>
  <c r="BPI83" i="3"/>
  <c r="BPK83" i="3" s="1"/>
  <c r="BPA83" i="3"/>
  <c r="BPC83" i="3" s="1"/>
  <c r="BOU83" i="3"/>
  <c r="BOS83" i="3"/>
  <c r="BOK83" i="3"/>
  <c r="BOM83" i="3" s="1"/>
  <c r="BOC83" i="3"/>
  <c r="BOE83" i="3" s="1"/>
  <c r="BNW83" i="3"/>
  <c r="BNU83" i="3"/>
  <c r="BNO83" i="3"/>
  <c r="BNM83" i="3"/>
  <c r="BNE83" i="3"/>
  <c r="BNG83" i="3" s="1"/>
  <c r="BMW83" i="3"/>
  <c r="BMY83" i="3" s="1"/>
  <c r="BMO83" i="3"/>
  <c r="BMQ83" i="3" s="1"/>
  <c r="BMI83" i="3"/>
  <c r="BMG83" i="3"/>
  <c r="BLY83" i="3"/>
  <c r="BMA83" i="3" s="1"/>
  <c r="BLQ83" i="3"/>
  <c r="BLS83" i="3" s="1"/>
  <c r="BLI83" i="3"/>
  <c r="BLK83" i="3" s="1"/>
  <c r="BLA83" i="3"/>
  <c r="BLC83" i="3" s="1"/>
  <c r="BKS83" i="3"/>
  <c r="BKU83" i="3" s="1"/>
  <c r="BKK83" i="3"/>
  <c r="BKM83" i="3" s="1"/>
  <c r="BKC83" i="3"/>
  <c r="BKE83" i="3" s="1"/>
  <c r="BJU83" i="3"/>
  <c r="BJW83" i="3" s="1"/>
  <c r="BJM83" i="3"/>
  <c r="BJO83" i="3" s="1"/>
  <c r="BJE83" i="3"/>
  <c r="BJG83" i="3" s="1"/>
  <c r="BIW83" i="3"/>
  <c r="BIY83" i="3" s="1"/>
  <c r="BIO83" i="3"/>
  <c r="BIQ83" i="3" s="1"/>
  <c r="BII83" i="3"/>
  <c r="BIG83" i="3"/>
  <c r="BHY83" i="3"/>
  <c r="BIA83" i="3" s="1"/>
  <c r="BHQ83" i="3"/>
  <c r="BHS83" i="3" s="1"/>
  <c r="BHI83" i="3"/>
  <c r="BHK83" i="3" s="1"/>
  <c r="BHA83" i="3"/>
  <c r="BHC83" i="3" s="1"/>
  <c r="BGS83" i="3"/>
  <c r="BGU83" i="3" s="1"/>
  <c r="BGM83" i="3"/>
  <c r="BGK83" i="3"/>
  <c r="BGC83" i="3"/>
  <c r="BGE83" i="3" s="1"/>
  <c r="BFW83" i="3"/>
  <c r="BFU83" i="3"/>
  <c r="BFM83" i="3"/>
  <c r="BFO83" i="3" s="1"/>
  <c r="BFE83" i="3"/>
  <c r="BFG83" i="3" s="1"/>
  <c r="BEW83" i="3"/>
  <c r="BEY83" i="3" s="1"/>
  <c r="BEO83" i="3"/>
  <c r="BEQ83" i="3" s="1"/>
  <c r="BEI83" i="3"/>
  <c r="BEG83" i="3"/>
  <c r="BEA83" i="3"/>
  <c r="BDY83" i="3"/>
  <c r="BDQ83" i="3"/>
  <c r="BDS83" i="3" s="1"/>
  <c r="BDI83" i="3"/>
  <c r="BDK83" i="3" s="1"/>
  <c r="BDA83" i="3"/>
  <c r="BDC83" i="3" s="1"/>
  <c r="BCS83" i="3"/>
  <c r="BCU83" i="3" s="1"/>
  <c r="BCK83" i="3"/>
  <c r="BCM83" i="3" s="1"/>
  <c r="BCC83" i="3"/>
  <c r="BCE83" i="3" s="1"/>
  <c r="BBU83" i="3"/>
  <c r="BBW83" i="3" s="1"/>
  <c r="BBM83" i="3"/>
  <c r="BBO83" i="3" s="1"/>
  <c r="BBG83" i="3"/>
  <c r="BBE83" i="3"/>
  <c r="BAY83" i="3"/>
  <c r="BAW83" i="3"/>
  <c r="BAQ83" i="3"/>
  <c r="BAO83" i="3"/>
  <c r="BAG83" i="3"/>
  <c r="BAI83" i="3" s="1"/>
  <c r="AZY83" i="3"/>
  <c r="BAA83" i="3" s="1"/>
  <c r="AZQ83" i="3"/>
  <c r="AZS83" i="3" s="1"/>
  <c r="AZK83" i="3"/>
  <c r="AZI83" i="3"/>
  <c r="AZA83" i="3"/>
  <c r="AZC83" i="3" s="1"/>
  <c r="AYS83" i="3"/>
  <c r="AYU83" i="3" s="1"/>
  <c r="AYK83" i="3"/>
  <c r="AYM83" i="3" s="1"/>
  <c r="AYC83" i="3"/>
  <c r="AYE83" i="3" s="1"/>
  <c r="AXU83" i="3"/>
  <c r="AXW83" i="3" s="1"/>
  <c r="AXM83" i="3"/>
  <c r="AXO83" i="3" s="1"/>
  <c r="AXE83" i="3"/>
  <c r="AXG83" i="3" s="1"/>
  <c r="AWW83" i="3"/>
  <c r="AWY83" i="3" s="1"/>
  <c r="AWQ83" i="3"/>
  <c r="AWO83" i="3"/>
  <c r="AWG83" i="3"/>
  <c r="AWI83" i="3" s="1"/>
  <c r="AVY83" i="3"/>
  <c r="AWA83" i="3" s="1"/>
  <c r="AVS83" i="3"/>
  <c r="AVQ83" i="3"/>
  <c r="AVK83" i="3"/>
  <c r="AVI83" i="3"/>
  <c r="AVA83" i="3"/>
  <c r="AVC83" i="3" s="1"/>
  <c r="AUS83" i="3"/>
  <c r="AUU83" i="3" s="1"/>
  <c r="AUK83" i="3"/>
  <c r="AUM83" i="3" s="1"/>
  <c r="AUC83" i="3"/>
  <c r="AUE83" i="3" s="1"/>
  <c r="ATU83" i="3"/>
  <c r="ATW83" i="3" s="1"/>
  <c r="ATM83" i="3"/>
  <c r="ATO83" i="3" s="1"/>
  <c r="ATG83" i="3"/>
  <c r="ATE83" i="3"/>
  <c r="ASY83" i="3"/>
  <c r="ASW83" i="3"/>
  <c r="ASO83" i="3"/>
  <c r="ASQ83" i="3" s="1"/>
  <c r="ASG83" i="3"/>
  <c r="ASI83" i="3" s="1"/>
  <c r="ARY83" i="3"/>
  <c r="ASA83" i="3" s="1"/>
  <c r="ARQ83" i="3"/>
  <c r="ARS83" i="3" s="1"/>
  <c r="ARK83" i="3"/>
  <c r="ARI83" i="3"/>
  <c r="ARA83" i="3"/>
  <c r="ARC83" i="3" s="1"/>
  <c r="AQS83" i="3"/>
  <c r="AQU83" i="3" s="1"/>
  <c r="AQK83" i="3"/>
  <c r="AQM83" i="3" s="1"/>
  <c r="AQC83" i="3"/>
  <c r="AQE83" i="3" s="1"/>
  <c r="APU83" i="3"/>
  <c r="APW83" i="3" s="1"/>
  <c r="APM83" i="3"/>
  <c r="APO83" i="3" s="1"/>
  <c r="APE83" i="3"/>
  <c r="APG83" i="3" s="1"/>
  <c r="AOW83" i="3"/>
  <c r="AOY83" i="3" s="1"/>
  <c r="AOO83" i="3"/>
  <c r="AOQ83" i="3" s="1"/>
  <c r="AOG83" i="3"/>
  <c r="AOI83" i="3" s="1"/>
  <c r="ANY83" i="3"/>
  <c r="AOA83" i="3" s="1"/>
  <c r="ANS83" i="3"/>
  <c r="ANQ83" i="3"/>
  <c r="ANK83" i="3"/>
  <c r="ANI83" i="3"/>
  <c r="ANA83" i="3"/>
  <c r="ANC83" i="3" s="1"/>
  <c r="AMS83" i="3"/>
  <c r="AMU83" i="3" s="1"/>
  <c r="AMK83" i="3"/>
  <c r="AMM83" i="3" s="1"/>
  <c r="AME83" i="3"/>
  <c r="AMC83" i="3"/>
  <c r="ALU83" i="3"/>
  <c r="ALW83" i="3" s="1"/>
  <c r="ALM83" i="3"/>
  <c r="ALO83" i="3" s="1"/>
  <c r="ALG83" i="3"/>
  <c r="ALE83" i="3"/>
  <c r="AKW83" i="3"/>
  <c r="AKY83" i="3" s="1"/>
  <c r="AKO83" i="3"/>
  <c r="AKQ83" i="3" s="1"/>
  <c r="AKG83" i="3"/>
  <c r="AKI83" i="3" s="1"/>
  <c r="AJY83" i="3"/>
  <c r="AKA83" i="3" s="1"/>
  <c r="AJQ83" i="3"/>
  <c r="AJS83" i="3" s="1"/>
  <c r="AJI83" i="3"/>
  <c r="AJK83" i="3" s="1"/>
  <c r="AJA83" i="3"/>
  <c r="AJC83" i="3" s="1"/>
  <c r="AIU83" i="3"/>
  <c r="AIS83" i="3"/>
  <c r="AIM83" i="3"/>
  <c r="AIK83" i="3"/>
  <c r="AIC83" i="3"/>
  <c r="AIE83" i="3" s="1"/>
  <c r="AHU83" i="3"/>
  <c r="AHW83" i="3" s="1"/>
  <c r="AHM83" i="3"/>
  <c r="AHO83" i="3" s="1"/>
  <c r="AHE83" i="3"/>
  <c r="AHG83" i="3" s="1"/>
  <c r="AGW83" i="3"/>
  <c r="AGY83" i="3" s="1"/>
  <c r="AGO83" i="3"/>
  <c r="AGQ83" i="3" s="1"/>
  <c r="AGG83" i="3"/>
  <c r="AGI83" i="3" s="1"/>
  <c r="AGA83" i="3"/>
  <c r="AFY83" i="3"/>
  <c r="AFS83" i="3"/>
  <c r="AFQ83" i="3"/>
  <c r="AFI83" i="3"/>
  <c r="AFK83" i="3" s="1"/>
  <c r="AFA83" i="3"/>
  <c r="AFC83" i="3" s="1"/>
  <c r="AES83" i="3"/>
  <c r="AEU83" i="3" s="1"/>
  <c r="AEK83" i="3"/>
  <c r="AEM83" i="3" s="1"/>
  <c r="AEC83" i="3"/>
  <c r="AEE83" i="3" s="1"/>
  <c r="ADU83" i="3"/>
  <c r="ADW83" i="3" s="1"/>
  <c r="ADM83" i="3"/>
  <c r="ADO83" i="3" s="1"/>
  <c r="ADG83" i="3"/>
  <c r="ADE83" i="3"/>
  <c r="ACW83" i="3"/>
  <c r="ACY83" i="3" s="1"/>
  <c r="ACO83" i="3"/>
  <c r="ACQ83" i="3" s="1"/>
  <c r="ACG83" i="3"/>
  <c r="ACI83" i="3" s="1"/>
  <c r="ABY83" i="3"/>
  <c r="ACA83" i="3" s="1"/>
  <c r="ABQ83" i="3"/>
  <c r="ABS83" i="3" s="1"/>
  <c r="ABI83" i="3"/>
  <c r="ABK83" i="3" s="1"/>
  <c r="ABA83" i="3"/>
  <c r="ABC83" i="3" s="1"/>
  <c r="AAU83" i="3"/>
  <c r="AAS83" i="3"/>
  <c r="AAK83" i="3"/>
  <c r="AAM83" i="3" s="1"/>
  <c r="AAC83" i="3"/>
  <c r="AAE83" i="3" s="1"/>
  <c r="ZU83" i="3"/>
  <c r="ZW83" i="3" s="1"/>
  <c r="ZO83" i="3"/>
  <c r="ZM83" i="3"/>
  <c r="ZE83" i="3"/>
  <c r="ZG83" i="3" s="1"/>
  <c r="YW83" i="3"/>
  <c r="YY83" i="3" s="1"/>
  <c r="YO83" i="3"/>
  <c r="YQ83" i="3" s="1"/>
  <c r="YG83" i="3"/>
  <c r="YI83" i="3" s="1"/>
  <c r="XY83" i="3"/>
  <c r="YA83" i="3" s="1"/>
  <c r="XQ83" i="3"/>
  <c r="XS83" i="3" s="1"/>
  <c r="XI83" i="3"/>
  <c r="XK83" i="3" s="1"/>
  <c r="XA83" i="3"/>
  <c r="XC83" i="3" s="1"/>
  <c r="WU83" i="3"/>
  <c r="WS83" i="3"/>
  <c r="WM83" i="3"/>
  <c r="WK83" i="3"/>
  <c r="WC83" i="3"/>
  <c r="WE83" i="3" s="1"/>
  <c r="VU83" i="3"/>
  <c r="VW83" i="3" s="1"/>
  <c r="VM83" i="3"/>
  <c r="VO83" i="3" s="1"/>
  <c r="VG83" i="3"/>
  <c r="VE83" i="3"/>
  <c r="UW83" i="3"/>
  <c r="UY83" i="3" s="1"/>
  <c r="UO83" i="3"/>
  <c r="UQ83" i="3" s="1"/>
  <c r="UG83" i="3"/>
  <c r="UI83" i="3" s="1"/>
  <c r="TY83" i="3"/>
  <c r="UA83" i="3" s="1"/>
  <c r="TQ83" i="3"/>
  <c r="TS83" i="3" s="1"/>
  <c r="TI83" i="3"/>
  <c r="TK83" i="3" s="1"/>
  <c r="TC83" i="3"/>
  <c r="TA83" i="3"/>
  <c r="SU83" i="3"/>
  <c r="SS83" i="3"/>
  <c r="SK83" i="3"/>
  <c r="SM83" i="3" s="1"/>
  <c r="SC83" i="3"/>
  <c r="SE83" i="3" s="1"/>
  <c r="RW83" i="3"/>
  <c r="RU83" i="3"/>
  <c r="RO83" i="3"/>
  <c r="RM83" i="3"/>
  <c r="RE83" i="3"/>
  <c r="RG83" i="3" s="1"/>
  <c r="QW83" i="3"/>
  <c r="QY83" i="3" s="1"/>
  <c r="QO83" i="3"/>
  <c r="QQ83" i="3" s="1"/>
  <c r="QG83" i="3"/>
  <c r="QI83" i="3" s="1"/>
  <c r="PY83" i="3"/>
  <c r="QA83" i="3" s="1"/>
  <c r="PS83" i="3"/>
  <c r="PQ83" i="3"/>
  <c r="PI83" i="3"/>
  <c r="PK83" i="3" s="1"/>
  <c r="PC83" i="3"/>
  <c r="PA83" i="3"/>
  <c r="OS83" i="3"/>
  <c r="OU83" i="3" s="1"/>
  <c r="OK83" i="3"/>
  <c r="OM83" i="3" s="1"/>
  <c r="OC83" i="3"/>
  <c r="OE83" i="3" s="1"/>
  <c r="NU83" i="3"/>
  <c r="NW83" i="3" s="1"/>
  <c r="NO83" i="3"/>
  <c r="NM83" i="3"/>
  <c r="NE83" i="3"/>
  <c r="NG83" i="3" s="1"/>
  <c r="MW83" i="3"/>
  <c r="MY83" i="3" s="1"/>
  <c r="MO83" i="3"/>
  <c r="MQ83" i="3" s="1"/>
  <c r="MI83" i="3"/>
  <c r="MG83" i="3"/>
  <c r="LY83" i="3"/>
  <c r="MA83" i="3" s="1"/>
  <c r="LQ83" i="3"/>
  <c r="LS83" i="3" s="1"/>
  <c r="LI83" i="3"/>
  <c r="LK83" i="3" s="1"/>
  <c r="LA83" i="3"/>
  <c r="LC83" i="3" s="1"/>
  <c r="KS83" i="3"/>
  <c r="KU83" i="3" s="1"/>
  <c r="KK83" i="3"/>
  <c r="KM83" i="3" s="1"/>
  <c r="KE83" i="3"/>
  <c r="KC83" i="3"/>
  <c r="JU83" i="3"/>
  <c r="JW83" i="3" s="1"/>
  <c r="JM83" i="3"/>
  <c r="JO83" i="3" s="1"/>
  <c r="JE83" i="3"/>
  <c r="JG83" i="3" s="1"/>
  <c r="IY83" i="3"/>
  <c r="IW83" i="3"/>
  <c r="IO83" i="3"/>
  <c r="IQ83" i="3" s="1"/>
  <c r="IG83" i="3"/>
  <c r="II83" i="3" s="1"/>
  <c r="HY83" i="3"/>
  <c r="IA83" i="3" s="1"/>
  <c r="HQ83" i="3"/>
  <c r="HS83" i="3" s="1"/>
  <c r="HI83" i="3"/>
  <c r="HK83" i="3" s="1"/>
  <c r="HA83" i="3"/>
  <c r="HC83" i="3" s="1"/>
  <c r="GS83" i="3"/>
  <c r="GU83" i="3" s="1"/>
  <c r="GK83" i="3"/>
  <c r="GM83" i="3" s="1"/>
  <c r="GE83" i="3"/>
  <c r="GC83" i="3"/>
  <c r="FU83" i="3"/>
  <c r="FW83" i="3" s="1"/>
  <c r="FM83" i="3"/>
  <c r="FO83" i="3" s="1"/>
  <c r="FE83" i="3"/>
  <c r="FG83" i="3" s="1"/>
  <c r="EY83" i="3"/>
  <c r="EW83" i="3"/>
  <c r="EO83" i="3"/>
  <c r="EQ83" i="3" s="1"/>
  <c r="EI83" i="3"/>
  <c r="EG83" i="3"/>
  <c r="DY83" i="3"/>
  <c r="EA83" i="3" s="1"/>
  <c r="DQ83" i="3"/>
  <c r="DS83" i="3" s="1"/>
  <c r="DK83" i="3"/>
  <c r="DI83" i="3"/>
  <c r="DC83" i="3"/>
  <c r="DA83" i="3"/>
  <c r="CS83" i="3"/>
  <c r="CU83" i="3" s="1"/>
  <c r="CK83" i="3"/>
  <c r="CM83" i="3" s="1"/>
  <c r="CC83" i="3"/>
  <c r="CE83" i="3" s="1"/>
  <c r="BU83" i="3"/>
  <c r="BW83" i="3" s="1"/>
  <c r="BM83" i="3"/>
  <c r="BO83" i="3" s="1"/>
  <c r="BE83" i="3"/>
  <c r="BG83" i="3" s="1"/>
  <c r="AY83" i="3"/>
  <c r="AW83" i="3"/>
  <c r="AQ83" i="3"/>
  <c r="AO83" i="3"/>
  <c r="AG83" i="3"/>
  <c r="AI83" i="3" s="1"/>
  <c r="AA83" i="3"/>
  <c r="F83" i="3"/>
  <c r="H83" i="3" s="1"/>
  <c r="H86" i="3" s="1"/>
  <c r="F75" i="3"/>
  <c r="H75" i="3" s="1"/>
  <c r="F74" i="3"/>
  <c r="H74" i="3" s="1"/>
  <c r="F73" i="3"/>
  <c r="H73" i="3" s="1"/>
  <c r="H70" i="3"/>
  <c r="H71" i="3" s="1"/>
  <c r="F67" i="3"/>
  <c r="H67" i="3" s="1"/>
  <c r="H66" i="3"/>
  <c r="F66" i="3"/>
  <c r="F65" i="3"/>
  <c r="H65" i="3" s="1"/>
  <c r="XBU64" i="3"/>
  <c r="XBW64" i="3" s="1"/>
  <c r="XBM64" i="3"/>
  <c r="XBO64" i="3" s="1"/>
  <c r="XBE64" i="3"/>
  <c r="XBG64" i="3" s="1"/>
  <c r="XAY64" i="3"/>
  <c r="XAW64" i="3"/>
  <c r="XAQ64" i="3"/>
  <c r="XAO64" i="3"/>
  <c r="XAG64" i="3"/>
  <c r="XAI64" i="3" s="1"/>
  <c r="WZY64" i="3"/>
  <c r="XAA64" i="3" s="1"/>
  <c r="WZQ64" i="3"/>
  <c r="WZS64" i="3" s="1"/>
  <c r="WZK64" i="3"/>
  <c r="WZI64" i="3"/>
  <c r="WZC64" i="3"/>
  <c r="WZA64" i="3"/>
  <c r="WYS64" i="3"/>
  <c r="WYU64" i="3" s="1"/>
  <c r="WYM64" i="3"/>
  <c r="WYK64" i="3"/>
  <c r="WYE64" i="3"/>
  <c r="WYC64" i="3"/>
  <c r="WXU64" i="3"/>
  <c r="WXW64" i="3" s="1"/>
  <c r="WXO64" i="3"/>
  <c r="WXM64" i="3"/>
  <c r="WXG64" i="3"/>
  <c r="WXE64" i="3"/>
  <c r="WWY64" i="3"/>
  <c r="WWW64" i="3"/>
  <c r="WWO64" i="3"/>
  <c r="WWQ64" i="3" s="1"/>
  <c r="WWG64" i="3"/>
  <c r="WWI64" i="3" s="1"/>
  <c r="WVY64" i="3"/>
  <c r="WWA64" i="3" s="1"/>
  <c r="WVQ64" i="3"/>
  <c r="WVS64" i="3" s="1"/>
  <c r="WVK64" i="3"/>
  <c r="WVI64" i="3"/>
  <c r="WVA64" i="3"/>
  <c r="WVC64" i="3" s="1"/>
  <c r="WUS64" i="3"/>
  <c r="WUU64" i="3" s="1"/>
  <c r="WUM64" i="3"/>
  <c r="WUK64" i="3"/>
  <c r="WUC64" i="3"/>
  <c r="WUE64" i="3" s="1"/>
  <c r="WTU64" i="3"/>
  <c r="WTW64" i="3" s="1"/>
  <c r="WTM64" i="3"/>
  <c r="WTO64" i="3" s="1"/>
  <c r="WTE64" i="3"/>
  <c r="WTG64" i="3" s="1"/>
  <c r="WSW64" i="3"/>
  <c r="WSY64" i="3" s="1"/>
  <c r="WSQ64" i="3"/>
  <c r="WSO64" i="3"/>
  <c r="WSG64" i="3"/>
  <c r="WSI64" i="3" s="1"/>
  <c r="WSA64" i="3"/>
  <c r="WRY64" i="3"/>
  <c r="WRQ64" i="3"/>
  <c r="WRS64" i="3" s="1"/>
  <c r="WRI64" i="3"/>
  <c r="WRK64" i="3" s="1"/>
  <c r="WRA64" i="3"/>
  <c r="WRC64" i="3" s="1"/>
  <c r="WQS64" i="3"/>
  <c r="WQU64" i="3" s="1"/>
  <c r="WQK64" i="3"/>
  <c r="WQM64" i="3" s="1"/>
  <c r="WQC64" i="3"/>
  <c r="WQE64" i="3" s="1"/>
  <c r="WPU64" i="3"/>
  <c r="WPW64" i="3" s="1"/>
  <c r="WPM64" i="3"/>
  <c r="WPO64" i="3" s="1"/>
  <c r="WPE64" i="3"/>
  <c r="WPG64" i="3" s="1"/>
  <c r="WOY64" i="3"/>
  <c r="WOW64" i="3"/>
  <c r="WOO64" i="3"/>
  <c r="WOQ64" i="3" s="1"/>
  <c r="WOI64" i="3"/>
  <c r="WOG64" i="3"/>
  <c r="WNY64" i="3"/>
  <c r="WOA64" i="3" s="1"/>
  <c r="WNQ64" i="3"/>
  <c r="WNS64" i="3" s="1"/>
  <c r="WNI64" i="3"/>
  <c r="WNK64" i="3" s="1"/>
  <c r="WNC64" i="3"/>
  <c r="WNA64" i="3"/>
  <c r="WMS64" i="3"/>
  <c r="WMU64" i="3" s="1"/>
  <c r="WMM64" i="3"/>
  <c r="WMK64" i="3"/>
  <c r="WMC64" i="3"/>
  <c r="WME64" i="3" s="1"/>
  <c r="WLU64" i="3"/>
  <c r="WLW64" i="3" s="1"/>
  <c r="WLM64" i="3"/>
  <c r="WLO64" i="3" s="1"/>
  <c r="WLE64" i="3"/>
  <c r="WLG64" i="3" s="1"/>
  <c r="WKW64" i="3"/>
  <c r="WKY64" i="3" s="1"/>
  <c r="WKO64" i="3"/>
  <c r="WKQ64" i="3" s="1"/>
  <c r="WKI64" i="3"/>
  <c r="WKG64" i="3"/>
  <c r="WJY64" i="3"/>
  <c r="WKA64" i="3" s="1"/>
  <c r="WJS64" i="3"/>
  <c r="WJQ64" i="3"/>
  <c r="WJK64" i="3"/>
  <c r="WJI64" i="3"/>
  <c r="WJA64" i="3"/>
  <c r="WJC64" i="3" s="1"/>
  <c r="WIS64" i="3"/>
  <c r="WIU64" i="3" s="1"/>
  <c r="WIM64" i="3"/>
  <c r="WIK64" i="3"/>
  <c r="WIC64" i="3"/>
  <c r="WIE64" i="3" s="1"/>
  <c r="WHU64" i="3"/>
  <c r="WHW64" i="3" s="1"/>
  <c r="WHM64" i="3"/>
  <c r="WHO64" i="3" s="1"/>
  <c r="WHE64" i="3"/>
  <c r="WHG64" i="3" s="1"/>
  <c r="WGY64" i="3"/>
  <c r="WGW64" i="3"/>
  <c r="WGO64" i="3"/>
  <c r="WGQ64" i="3" s="1"/>
  <c r="WGG64" i="3"/>
  <c r="WGI64" i="3" s="1"/>
  <c r="WFY64" i="3"/>
  <c r="WGA64" i="3" s="1"/>
  <c r="WFS64" i="3"/>
  <c r="WFQ64" i="3"/>
  <c r="WFI64" i="3"/>
  <c r="WFK64" i="3" s="1"/>
  <c r="WFC64" i="3"/>
  <c r="WFA64" i="3"/>
  <c r="WEU64" i="3"/>
  <c r="WES64" i="3"/>
  <c r="WEK64" i="3"/>
  <c r="WEM64" i="3" s="1"/>
  <c r="WEC64" i="3"/>
  <c r="WEE64" i="3" s="1"/>
  <c r="WDU64" i="3"/>
  <c r="WDW64" i="3" s="1"/>
  <c r="WDM64" i="3"/>
  <c r="WDO64" i="3" s="1"/>
  <c r="WDG64" i="3"/>
  <c r="WDE64" i="3"/>
  <c r="WCW64" i="3"/>
  <c r="WCY64" i="3" s="1"/>
  <c r="WCO64" i="3"/>
  <c r="WCQ64" i="3" s="1"/>
  <c r="WCI64" i="3"/>
  <c r="WCG64" i="3"/>
  <c r="WCA64" i="3"/>
  <c r="WBY64" i="3"/>
  <c r="WBQ64" i="3"/>
  <c r="WBS64" i="3" s="1"/>
  <c r="WBI64" i="3"/>
  <c r="WBK64" i="3" s="1"/>
  <c r="WBA64" i="3"/>
  <c r="WBC64" i="3" s="1"/>
  <c r="WAU64" i="3"/>
  <c r="WAS64" i="3"/>
  <c r="WAM64" i="3"/>
  <c r="WAK64" i="3"/>
  <c r="WAC64" i="3"/>
  <c r="WAE64" i="3" s="1"/>
  <c r="VZU64" i="3"/>
  <c r="VZW64" i="3" s="1"/>
  <c r="VZM64" i="3"/>
  <c r="VZO64" i="3" s="1"/>
  <c r="VZE64" i="3"/>
  <c r="VZG64" i="3" s="1"/>
  <c r="VYW64" i="3"/>
  <c r="VYY64" i="3" s="1"/>
  <c r="VYO64" i="3"/>
  <c r="VYQ64" i="3" s="1"/>
  <c r="VYG64" i="3"/>
  <c r="VYI64" i="3" s="1"/>
  <c r="VXY64" i="3"/>
  <c r="VYA64" i="3" s="1"/>
  <c r="VXQ64" i="3"/>
  <c r="VXS64" i="3" s="1"/>
  <c r="VXI64" i="3"/>
  <c r="VXK64" i="3" s="1"/>
  <c r="VXA64" i="3"/>
  <c r="VXC64" i="3" s="1"/>
  <c r="VWU64" i="3"/>
  <c r="VWS64" i="3"/>
  <c r="VWK64" i="3"/>
  <c r="VWM64" i="3" s="1"/>
  <c r="VWC64" i="3"/>
  <c r="VWE64" i="3" s="1"/>
  <c r="VVU64" i="3"/>
  <c r="VVW64" i="3" s="1"/>
  <c r="VVM64" i="3"/>
  <c r="VVO64" i="3" s="1"/>
  <c r="VVE64" i="3"/>
  <c r="VVG64" i="3" s="1"/>
  <c r="VUW64" i="3"/>
  <c r="VUY64" i="3" s="1"/>
  <c r="VUO64" i="3"/>
  <c r="VUQ64" i="3" s="1"/>
  <c r="VUG64" i="3"/>
  <c r="VUI64" i="3" s="1"/>
  <c r="VTY64" i="3"/>
  <c r="VUA64" i="3" s="1"/>
  <c r="VTQ64" i="3"/>
  <c r="VTS64" i="3" s="1"/>
  <c r="VTI64" i="3"/>
  <c r="VTK64" i="3" s="1"/>
  <c r="VTA64" i="3"/>
  <c r="VTC64" i="3" s="1"/>
  <c r="VSS64" i="3"/>
  <c r="VSU64" i="3" s="1"/>
  <c r="VSK64" i="3"/>
  <c r="VSM64" i="3" s="1"/>
  <c r="VSC64" i="3"/>
  <c r="VSE64" i="3" s="1"/>
  <c r="VRW64" i="3"/>
  <c r="VRU64" i="3"/>
  <c r="VRM64" i="3"/>
  <c r="VRO64" i="3" s="1"/>
  <c r="VRE64" i="3"/>
  <c r="VRG64" i="3" s="1"/>
  <c r="VQW64" i="3"/>
  <c r="VQY64" i="3" s="1"/>
  <c r="VQO64" i="3"/>
  <c r="VQQ64" i="3" s="1"/>
  <c r="VQG64" i="3"/>
  <c r="VQI64" i="3" s="1"/>
  <c r="VPY64" i="3"/>
  <c r="VQA64" i="3" s="1"/>
  <c r="VPQ64" i="3"/>
  <c r="VPS64" i="3" s="1"/>
  <c r="VPI64" i="3"/>
  <c r="VPK64" i="3" s="1"/>
  <c r="VPA64" i="3"/>
  <c r="VPC64" i="3" s="1"/>
  <c r="VOS64" i="3"/>
  <c r="VOU64" i="3" s="1"/>
  <c r="VOK64" i="3"/>
  <c r="VOM64" i="3" s="1"/>
  <c r="VOC64" i="3"/>
  <c r="VOE64" i="3" s="1"/>
  <c r="VNW64" i="3"/>
  <c r="VNU64" i="3"/>
  <c r="VNO64" i="3"/>
  <c r="VNM64" i="3"/>
  <c r="VNE64" i="3"/>
  <c r="VNG64" i="3" s="1"/>
  <c r="VMW64" i="3"/>
  <c r="VMY64" i="3" s="1"/>
  <c r="VMO64" i="3"/>
  <c r="VMQ64" i="3" s="1"/>
  <c r="VMI64" i="3"/>
  <c r="VMG64" i="3"/>
  <c r="VLY64" i="3"/>
  <c r="VMA64" i="3" s="1"/>
  <c r="VLQ64" i="3"/>
  <c r="VLS64" i="3" s="1"/>
  <c r="VLK64" i="3"/>
  <c r="VLI64" i="3"/>
  <c r="VLA64" i="3"/>
  <c r="VLC64" i="3" s="1"/>
  <c r="VKS64" i="3"/>
  <c r="VKU64" i="3" s="1"/>
  <c r="VKK64" i="3"/>
  <c r="VKM64" i="3" s="1"/>
  <c r="VKC64" i="3"/>
  <c r="VKE64" i="3" s="1"/>
  <c r="VJU64" i="3"/>
  <c r="VJW64" i="3" s="1"/>
  <c r="VJM64" i="3"/>
  <c r="VJO64" i="3" s="1"/>
  <c r="VJE64" i="3"/>
  <c r="VJG64" i="3" s="1"/>
  <c r="VIW64" i="3"/>
  <c r="VIY64" i="3" s="1"/>
  <c r="VIO64" i="3"/>
  <c r="VIQ64" i="3" s="1"/>
  <c r="VII64" i="3"/>
  <c r="VIG64" i="3"/>
  <c r="VHY64" i="3"/>
  <c r="VIA64" i="3" s="1"/>
  <c r="VHQ64" i="3"/>
  <c r="VHS64" i="3" s="1"/>
  <c r="VHI64" i="3"/>
  <c r="VHK64" i="3" s="1"/>
  <c r="VHA64" i="3"/>
  <c r="VHC64" i="3" s="1"/>
  <c r="VGU64" i="3"/>
  <c r="VGS64" i="3"/>
  <c r="VGK64" i="3"/>
  <c r="VGM64" i="3" s="1"/>
  <c r="VGE64" i="3"/>
  <c r="VGC64" i="3"/>
  <c r="VFW64" i="3"/>
  <c r="VFU64" i="3"/>
  <c r="VFM64" i="3"/>
  <c r="VFO64" i="3" s="1"/>
  <c r="VFE64" i="3"/>
  <c r="VFG64" i="3" s="1"/>
  <c r="VEW64" i="3"/>
  <c r="VEY64" i="3" s="1"/>
  <c r="VEO64" i="3"/>
  <c r="VEQ64" i="3" s="1"/>
  <c r="VEI64" i="3"/>
  <c r="VEG64" i="3"/>
  <c r="VDY64" i="3"/>
  <c r="VEA64" i="3" s="1"/>
  <c r="VDQ64" i="3"/>
  <c r="VDS64" i="3" s="1"/>
  <c r="VDI64" i="3"/>
  <c r="VDK64" i="3" s="1"/>
  <c r="VDA64" i="3"/>
  <c r="VDC64" i="3" s="1"/>
  <c r="VCS64" i="3"/>
  <c r="VCU64" i="3" s="1"/>
  <c r="VCK64" i="3"/>
  <c r="VCM64" i="3" s="1"/>
  <c r="VCC64" i="3"/>
  <c r="VCE64" i="3" s="1"/>
  <c r="VBU64" i="3"/>
  <c r="VBW64" i="3" s="1"/>
  <c r="VBM64" i="3"/>
  <c r="VBO64" i="3" s="1"/>
  <c r="VBE64" i="3"/>
  <c r="VBG64" i="3" s="1"/>
  <c r="VAW64" i="3"/>
  <c r="VAY64" i="3" s="1"/>
  <c r="VAQ64" i="3"/>
  <c r="VAO64" i="3"/>
  <c r="VAG64" i="3"/>
  <c r="VAI64" i="3" s="1"/>
  <c r="UZY64" i="3"/>
  <c r="VAA64" i="3" s="1"/>
  <c r="UZQ64" i="3"/>
  <c r="UZS64" i="3" s="1"/>
  <c r="UZK64" i="3"/>
  <c r="UZI64" i="3"/>
  <c r="UZC64" i="3"/>
  <c r="UZA64" i="3"/>
  <c r="UYS64" i="3"/>
  <c r="UYU64" i="3" s="1"/>
  <c r="UYK64" i="3"/>
  <c r="UYM64" i="3" s="1"/>
  <c r="UYC64" i="3"/>
  <c r="UYE64" i="3" s="1"/>
  <c r="UXU64" i="3"/>
  <c r="UXW64" i="3" s="1"/>
  <c r="UXM64" i="3"/>
  <c r="UXO64" i="3" s="1"/>
  <c r="UXG64" i="3"/>
  <c r="UXE64" i="3"/>
  <c r="UWW64" i="3"/>
  <c r="UWY64" i="3" s="1"/>
  <c r="UWQ64" i="3"/>
  <c r="UWO64" i="3"/>
  <c r="UWG64" i="3"/>
  <c r="UWI64" i="3" s="1"/>
  <c r="UWA64" i="3"/>
  <c r="UVY64" i="3"/>
  <c r="UVQ64" i="3"/>
  <c r="UVS64" i="3" s="1"/>
  <c r="UVK64" i="3"/>
  <c r="UVI64" i="3"/>
  <c r="UVA64" i="3"/>
  <c r="UVC64" i="3" s="1"/>
  <c r="UUS64" i="3"/>
  <c r="UUU64" i="3" s="1"/>
  <c r="UUK64" i="3"/>
  <c r="UUM64" i="3" s="1"/>
  <c r="UUC64" i="3"/>
  <c r="UUE64" i="3" s="1"/>
  <c r="UTU64" i="3"/>
  <c r="UTW64" i="3" s="1"/>
  <c r="UTM64" i="3"/>
  <c r="UTO64" i="3" s="1"/>
  <c r="UTG64" i="3"/>
  <c r="UTE64" i="3"/>
  <c r="USW64" i="3"/>
  <c r="USY64" i="3" s="1"/>
  <c r="USO64" i="3"/>
  <c r="USQ64" i="3" s="1"/>
  <c r="USG64" i="3"/>
  <c r="USI64" i="3" s="1"/>
  <c r="URY64" i="3"/>
  <c r="USA64" i="3" s="1"/>
  <c r="URQ64" i="3"/>
  <c r="URS64" i="3" s="1"/>
  <c r="URK64" i="3"/>
  <c r="URI64" i="3"/>
  <c r="URC64" i="3"/>
  <c r="URA64" i="3"/>
  <c r="UQS64" i="3"/>
  <c r="UQU64" i="3" s="1"/>
  <c r="UQK64" i="3"/>
  <c r="UQM64" i="3" s="1"/>
  <c r="UQC64" i="3"/>
  <c r="UQE64" i="3" s="1"/>
  <c r="UPU64" i="3"/>
  <c r="UPW64" i="3" s="1"/>
  <c r="UPM64" i="3"/>
  <c r="UPO64" i="3" s="1"/>
  <c r="UPE64" i="3"/>
  <c r="UPG64" i="3" s="1"/>
  <c r="UOW64" i="3"/>
  <c r="UOY64" i="3" s="1"/>
  <c r="UOQ64" i="3"/>
  <c r="UOO64" i="3"/>
  <c r="UOG64" i="3"/>
  <c r="UOI64" i="3" s="1"/>
  <c r="UNY64" i="3"/>
  <c r="UOA64" i="3" s="1"/>
  <c r="UNQ64" i="3"/>
  <c r="UNS64" i="3" s="1"/>
  <c r="UNI64" i="3"/>
  <c r="UNK64" i="3" s="1"/>
  <c r="UNA64" i="3"/>
  <c r="UNC64" i="3" s="1"/>
  <c r="UMS64" i="3"/>
  <c r="UMU64" i="3" s="1"/>
  <c r="UMK64" i="3"/>
  <c r="UMM64" i="3" s="1"/>
  <c r="UME64" i="3"/>
  <c r="UMC64" i="3"/>
  <c r="ULU64" i="3"/>
  <c r="ULW64" i="3" s="1"/>
  <c r="ULM64" i="3"/>
  <c r="ULO64" i="3" s="1"/>
  <c r="ULE64" i="3"/>
  <c r="ULG64" i="3" s="1"/>
  <c r="UKW64" i="3"/>
  <c r="UKY64" i="3" s="1"/>
  <c r="UKO64" i="3"/>
  <c r="UKQ64" i="3" s="1"/>
  <c r="UKG64" i="3"/>
  <c r="UKI64" i="3" s="1"/>
  <c r="UKA64" i="3"/>
  <c r="UJY64" i="3"/>
  <c r="UJQ64" i="3"/>
  <c r="UJS64" i="3" s="1"/>
  <c r="UJI64" i="3"/>
  <c r="UJK64" i="3" s="1"/>
  <c r="UJA64" i="3"/>
  <c r="UJC64" i="3" s="1"/>
  <c r="UIS64" i="3"/>
  <c r="UIU64" i="3" s="1"/>
  <c r="UIK64" i="3"/>
  <c r="UIM64" i="3" s="1"/>
  <c r="UIC64" i="3"/>
  <c r="UIE64" i="3" s="1"/>
  <c r="UHU64" i="3"/>
  <c r="UHW64" i="3" s="1"/>
  <c r="UHM64" i="3"/>
  <c r="UHO64" i="3" s="1"/>
  <c r="UHE64" i="3"/>
  <c r="UHG64" i="3" s="1"/>
  <c r="UGW64" i="3"/>
  <c r="UGY64" i="3" s="1"/>
  <c r="UGO64" i="3"/>
  <c r="UGQ64" i="3" s="1"/>
  <c r="UGG64" i="3"/>
  <c r="UGI64" i="3" s="1"/>
  <c r="UGA64" i="3"/>
  <c r="UFY64" i="3"/>
  <c r="UFQ64" i="3"/>
  <c r="UFS64" i="3" s="1"/>
  <c r="UFI64" i="3"/>
  <c r="UFK64" i="3" s="1"/>
  <c r="UFC64" i="3"/>
  <c r="UFA64" i="3"/>
  <c r="UES64" i="3"/>
  <c r="UEU64" i="3" s="1"/>
  <c r="UEM64" i="3"/>
  <c r="UEK64" i="3"/>
  <c r="UEC64" i="3"/>
  <c r="UEE64" i="3" s="1"/>
  <c r="UDU64" i="3"/>
  <c r="UDW64" i="3" s="1"/>
  <c r="UDO64" i="3"/>
  <c r="UDM64" i="3"/>
  <c r="UDG64" i="3"/>
  <c r="UDE64" i="3"/>
  <c r="UCW64" i="3"/>
  <c r="UCY64" i="3" s="1"/>
  <c r="UCO64" i="3"/>
  <c r="UCQ64" i="3" s="1"/>
  <c r="UCG64" i="3"/>
  <c r="UCI64" i="3" s="1"/>
  <c r="UBY64" i="3"/>
  <c r="UCA64" i="3" s="1"/>
  <c r="UBQ64" i="3"/>
  <c r="UBS64" i="3" s="1"/>
  <c r="UBI64" i="3"/>
  <c r="UBK64" i="3" s="1"/>
  <c r="UBA64" i="3"/>
  <c r="UBC64" i="3" s="1"/>
  <c r="UAU64" i="3"/>
  <c r="UAS64" i="3"/>
  <c r="UAM64" i="3"/>
  <c r="UAK64" i="3"/>
  <c r="UAC64" i="3"/>
  <c r="UAE64" i="3" s="1"/>
  <c r="TZW64" i="3"/>
  <c r="TZU64" i="3"/>
  <c r="TZM64" i="3"/>
  <c r="TZO64" i="3" s="1"/>
  <c r="TZE64" i="3"/>
  <c r="TZG64" i="3" s="1"/>
  <c r="TYW64" i="3"/>
  <c r="TYY64" i="3" s="1"/>
  <c r="TYO64" i="3"/>
  <c r="TYQ64" i="3" s="1"/>
  <c r="TYG64" i="3"/>
  <c r="TYI64" i="3" s="1"/>
  <c r="TXY64" i="3"/>
  <c r="TYA64" i="3" s="1"/>
  <c r="TXQ64" i="3"/>
  <c r="TXS64" i="3" s="1"/>
  <c r="TXI64" i="3"/>
  <c r="TXK64" i="3" s="1"/>
  <c r="TXA64" i="3"/>
  <c r="TXC64" i="3" s="1"/>
  <c r="TWU64" i="3"/>
  <c r="TWS64" i="3"/>
  <c r="TWK64" i="3"/>
  <c r="TWM64" i="3" s="1"/>
  <c r="TWC64" i="3"/>
  <c r="TWE64" i="3" s="1"/>
  <c r="TVU64" i="3"/>
  <c r="TVW64" i="3" s="1"/>
  <c r="TVO64" i="3"/>
  <c r="TVM64" i="3"/>
  <c r="TVE64" i="3"/>
  <c r="TVG64" i="3" s="1"/>
  <c r="TUW64" i="3"/>
  <c r="TUY64" i="3" s="1"/>
  <c r="TUO64" i="3"/>
  <c r="TUQ64" i="3" s="1"/>
  <c r="TUG64" i="3"/>
  <c r="TUI64" i="3" s="1"/>
  <c r="TUA64" i="3"/>
  <c r="TTY64" i="3"/>
  <c r="TTQ64" i="3"/>
  <c r="TTS64" i="3" s="1"/>
  <c r="TTI64" i="3"/>
  <c r="TTK64" i="3" s="1"/>
  <c r="TTA64" i="3"/>
  <c r="TTC64" i="3" s="1"/>
  <c r="TSS64" i="3"/>
  <c r="TSU64" i="3" s="1"/>
  <c r="TSK64" i="3"/>
  <c r="TSM64" i="3" s="1"/>
  <c r="TSC64" i="3"/>
  <c r="TSE64" i="3" s="1"/>
  <c r="TRU64" i="3"/>
  <c r="TRW64" i="3" s="1"/>
  <c r="TRM64" i="3"/>
  <c r="TRO64" i="3" s="1"/>
  <c r="TRG64" i="3"/>
  <c r="TRE64" i="3"/>
  <c r="TQW64" i="3"/>
  <c r="TQY64" i="3" s="1"/>
  <c r="TQO64" i="3"/>
  <c r="TQQ64" i="3" s="1"/>
  <c r="TQI64" i="3"/>
  <c r="TQG64" i="3"/>
  <c r="TPY64" i="3"/>
  <c r="TQA64" i="3" s="1"/>
  <c r="TPQ64" i="3"/>
  <c r="TPS64" i="3" s="1"/>
  <c r="TPI64" i="3"/>
  <c r="TPK64" i="3" s="1"/>
  <c r="TPA64" i="3"/>
  <c r="TPC64" i="3" s="1"/>
  <c r="TOU64" i="3"/>
  <c r="TOS64" i="3"/>
  <c r="TOM64" i="3"/>
  <c r="TOK64" i="3"/>
  <c r="TOC64" i="3"/>
  <c r="TOE64" i="3" s="1"/>
  <c r="TNU64" i="3"/>
  <c r="TNW64" i="3" s="1"/>
  <c r="TNM64" i="3"/>
  <c r="TNO64" i="3" s="1"/>
  <c r="TNE64" i="3"/>
  <c r="TNG64" i="3" s="1"/>
  <c r="TMW64" i="3"/>
  <c r="TMY64" i="3" s="1"/>
  <c r="TMO64" i="3"/>
  <c r="TMQ64" i="3" s="1"/>
  <c r="TMG64" i="3"/>
  <c r="TMI64" i="3" s="1"/>
  <c r="TLY64" i="3"/>
  <c r="TMA64" i="3" s="1"/>
  <c r="TLQ64" i="3"/>
  <c r="TLS64" i="3" s="1"/>
  <c r="TLI64" i="3"/>
  <c r="TLK64" i="3" s="1"/>
  <c r="TLA64" i="3"/>
  <c r="TLC64" i="3" s="1"/>
  <c r="TKU64" i="3"/>
  <c r="TKS64" i="3"/>
  <c r="TKK64" i="3"/>
  <c r="TKM64" i="3" s="1"/>
  <c r="TKC64" i="3"/>
  <c r="TKE64" i="3" s="1"/>
  <c r="TJU64" i="3"/>
  <c r="TJW64" i="3" s="1"/>
  <c r="TJM64" i="3"/>
  <c r="TJO64" i="3" s="1"/>
  <c r="TJE64" i="3"/>
  <c r="TJG64" i="3" s="1"/>
  <c r="TIW64" i="3"/>
  <c r="TIY64" i="3" s="1"/>
  <c r="TIQ64" i="3"/>
  <c r="TIO64" i="3"/>
  <c r="TII64" i="3"/>
  <c r="TIG64" i="3"/>
  <c r="THY64" i="3"/>
  <c r="TIA64" i="3" s="1"/>
  <c r="THQ64" i="3"/>
  <c r="THS64" i="3" s="1"/>
  <c r="THI64" i="3"/>
  <c r="THK64" i="3" s="1"/>
  <c r="THA64" i="3"/>
  <c r="THC64" i="3" s="1"/>
  <c r="TGS64" i="3"/>
  <c r="TGU64" i="3" s="1"/>
  <c r="TGM64" i="3"/>
  <c r="TGK64" i="3"/>
  <c r="TGC64" i="3"/>
  <c r="TGE64" i="3" s="1"/>
  <c r="TFU64" i="3"/>
  <c r="TFW64" i="3" s="1"/>
  <c r="TFM64" i="3"/>
  <c r="TFO64" i="3" s="1"/>
  <c r="TFE64" i="3"/>
  <c r="TFG64" i="3" s="1"/>
  <c r="TEW64" i="3"/>
  <c r="TEY64" i="3" s="1"/>
  <c r="TEO64" i="3"/>
  <c r="TEQ64" i="3" s="1"/>
  <c r="TEG64" i="3"/>
  <c r="TEI64" i="3" s="1"/>
  <c r="TDY64" i="3"/>
  <c r="TEA64" i="3" s="1"/>
  <c r="TDS64" i="3"/>
  <c r="TDQ64" i="3"/>
  <c r="TDI64" i="3"/>
  <c r="TDK64" i="3" s="1"/>
  <c r="TDA64" i="3"/>
  <c r="TDC64" i="3" s="1"/>
  <c r="TCS64" i="3"/>
  <c r="TCU64" i="3" s="1"/>
  <c r="TCK64" i="3"/>
  <c r="TCM64" i="3" s="1"/>
  <c r="TCC64" i="3"/>
  <c r="TCE64" i="3" s="1"/>
  <c r="TBU64" i="3"/>
  <c r="TBW64" i="3" s="1"/>
  <c r="TBM64" i="3"/>
  <c r="TBO64" i="3" s="1"/>
  <c r="TBE64" i="3"/>
  <c r="TBG64" i="3" s="1"/>
  <c r="TAW64" i="3"/>
  <c r="TAY64" i="3" s="1"/>
  <c r="TAO64" i="3"/>
  <c r="TAQ64" i="3" s="1"/>
  <c r="TAG64" i="3"/>
  <c r="TAI64" i="3" s="1"/>
  <c r="SZY64" i="3"/>
  <c r="TAA64" i="3" s="1"/>
  <c r="SZS64" i="3"/>
  <c r="SZQ64" i="3"/>
  <c r="SZI64" i="3"/>
  <c r="SZK64" i="3" s="1"/>
  <c r="SZA64" i="3"/>
  <c r="SZC64" i="3" s="1"/>
  <c r="SYS64" i="3"/>
  <c r="SYU64" i="3" s="1"/>
  <c r="SYK64" i="3"/>
  <c r="SYM64" i="3" s="1"/>
  <c r="SYC64" i="3"/>
  <c r="SYE64" i="3" s="1"/>
  <c r="SXU64" i="3"/>
  <c r="SXW64" i="3" s="1"/>
  <c r="SXM64" i="3"/>
  <c r="SXO64" i="3" s="1"/>
  <c r="SXE64" i="3"/>
  <c r="SXG64" i="3" s="1"/>
  <c r="SWW64" i="3"/>
  <c r="SWY64" i="3" s="1"/>
  <c r="SWO64" i="3"/>
  <c r="SWQ64" i="3" s="1"/>
  <c r="SWG64" i="3"/>
  <c r="SWI64" i="3" s="1"/>
  <c r="SVY64" i="3"/>
  <c r="SWA64" i="3" s="1"/>
  <c r="SVS64" i="3"/>
  <c r="SVQ64" i="3"/>
  <c r="SVK64" i="3"/>
  <c r="SVI64" i="3"/>
  <c r="SVC64" i="3"/>
  <c r="SVA64" i="3"/>
  <c r="SUS64" i="3"/>
  <c r="SUU64" i="3" s="1"/>
  <c r="SUK64" i="3"/>
  <c r="SUM64" i="3" s="1"/>
  <c r="SUC64" i="3"/>
  <c r="SUE64" i="3" s="1"/>
  <c r="STU64" i="3"/>
  <c r="STW64" i="3" s="1"/>
  <c r="STM64" i="3"/>
  <c r="STO64" i="3" s="1"/>
  <c r="STE64" i="3"/>
  <c r="STG64" i="3" s="1"/>
  <c r="SSW64" i="3"/>
  <c r="SSY64" i="3" s="1"/>
  <c r="SSO64" i="3"/>
  <c r="SSQ64" i="3" s="1"/>
  <c r="SSI64" i="3"/>
  <c r="SSG64" i="3"/>
  <c r="SRY64" i="3"/>
  <c r="SSA64" i="3" s="1"/>
  <c r="SRQ64" i="3"/>
  <c r="SRS64" i="3" s="1"/>
  <c r="SRI64" i="3"/>
  <c r="SRK64" i="3" s="1"/>
  <c r="SRA64" i="3"/>
  <c r="SRC64" i="3" s="1"/>
  <c r="SQS64" i="3"/>
  <c r="SQU64" i="3" s="1"/>
  <c r="SQK64" i="3"/>
  <c r="SQM64" i="3" s="1"/>
  <c r="SQC64" i="3"/>
  <c r="SQE64" i="3" s="1"/>
  <c r="SPU64" i="3"/>
  <c r="SPW64" i="3" s="1"/>
  <c r="SPM64" i="3"/>
  <c r="SPO64" i="3" s="1"/>
  <c r="SPE64" i="3"/>
  <c r="SPG64" i="3" s="1"/>
  <c r="SOW64" i="3"/>
  <c r="SOY64" i="3" s="1"/>
  <c r="SOO64" i="3"/>
  <c r="SOQ64" i="3" s="1"/>
  <c r="SOG64" i="3"/>
  <c r="SOI64" i="3" s="1"/>
  <c r="SNY64" i="3"/>
  <c r="SOA64" i="3" s="1"/>
  <c r="SNS64" i="3"/>
  <c r="SNQ64" i="3"/>
  <c r="SNI64" i="3"/>
  <c r="SNK64" i="3" s="1"/>
  <c r="SNC64" i="3"/>
  <c r="SNA64" i="3"/>
  <c r="SMS64" i="3"/>
  <c r="SMU64" i="3" s="1"/>
  <c r="SMK64" i="3"/>
  <c r="SMM64" i="3" s="1"/>
  <c r="SMC64" i="3"/>
  <c r="SME64" i="3" s="1"/>
  <c r="SLW64" i="3"/>
  <c r="SLU64" i="3"/>
  <c r="SLM64" i="3"/>
  <c r="SLO64" i="3" s="1"/>
  <c r="SLE64" i="3"/>
  <c r="SLG64" i="3" s="1"/>
  <c r="SKW64" i="3"/>
  <c r="SKY64" i="3" s="1"/>
  <c r="SKQ64" i="3"/>
  <c r="SKO64" i="3"/>
  <c r="SKG64" i="3"/>
  <c r="SKI64" i="3" s="1"/>
  <c r="SJY64" i="3"/>
  <c r="SKA64" i="3" s="1"/>
  <c r="SJQ64" i="3"/>
  <c r="SJS64" i="3" s="1"/>
  <c r="SJI64" i="3"/>
  <c r="SJK64" i="3" s="1"/>
  <c r="SJA64" i="3"/>
  <c r="SJC64" i="3" s="1"/>
  <c r="SIS64" i="3"/>
  <c r="SIU64" i="3" s="1"/>
  <c r="SIM64" i="3"/>
  <c r="SIK64" i="3"/>
  <c r="SIC64" i="3"/>
  <c r="SIE64" i="3" s="1"/>
  <c r="SHU64" i="3"/>
  <c r="SHW64" i="3" s="1"/>
  <c r="SHO64" i="3"/>
  <c r="SHM64" i="3"/>
  <c r="SHE64" i="3"/>
  <c r="SHG64" i="3" s="1"/>
  <c r="SGW64" i="3"/>
  <c r="SGY64" i="3" s="1"/>
  <c r="SGQ64" i="3"/>
  <c r="SGO64" i="3"/>
  <c r="SGG64" i="3"/>
  <c r="SGI64" i="3" s="1"/>
  <c r="SFY64" i="3"/>
  <c r="SGA64" i="3" s="1"/>
  <c r="SFQ64" i="3"/>
  <c r="SFS64" i="3" s="1"/>
  <c r="SFI64" i="3"/>
  <c r="SFK64" i="3" s="1"/>
  <c r="SFA64" i="3"/>
  <c r="SFC64" i="3" s="1"/>
  <c r="SES64" i="3"/>
  <c r="SEU64" i="3" s="1"/>
  <c r="SEK64" i="3"/>
  <c r="SEM64" i="3" s="1"/>
  <c r="SEC64" i="3"/>
  <c r="SEE64" i="3" s="1"/>
  <c r="SDU64" i="3"/>
  <c r="SDW64" i="3" s="1"/>
  <c r="SDM64" i="3"/>
  <c r="SDO64" i="3" s="1"/>
  <c r="SDE64" i="3"/>
  <c r="SDG64" i="3" s="1"/>
  <c r="SCW64" i="3"/>
  <c r="SCY64" i="3" s="1"/>
  <c r="SCO64" i="3"/>
  <c r="SCQ64" i="3" s="1"/>
  <c r="SCG64" i="3"/>
  <c r="SCI64" i="3" s="1"/>
  <c r="SBY64" i="3"/>
  <c r="SCA64" i="3" s="1"/>
  <c r="SBS64" i="3"/>
  <c r="SBQ64" i="3"/>
  <c r="SBI64" i="3"/>
  <c r="SBK64" i="3" s="1"/>
  <c r="SBA64" i="3"/>
  <c r="SBC64" i="3" s="1"/>
  <c r="SAS64" i="3"/>
  <c r="SAU64" i="3" s="1"/>
  <c r="SAK64" i="3"/>
  <c r="SAM64" i="3" s="1"/>
  <c r="SAC64" i="3"/>
  <c r="SAE64" i="3" s="1"/>
  <c r="RZW64" i="3"/>
  <c r="RZU64" i="3"/>
  <c r="RZO64" i="3"/>
  <c r="RZM64" i="3"/>
  <c r="RZG64" i="3"/>
  <c r="RZE64" i="3"/>
  <c r="RYW64" i="3"/>
  <c r="RYY64" i="3" s="1"/>
  <c r="RYO64" i="3"/>
  <c r="RYQ64" i="3" s="1"/>
  <c r="RYG64" i="3"/>
  <c r="RYI64" i="3" s="1"/>
  <c r="RYA64" i="3"/>
  <c r="RXY64" i="3"/>
  <c r="RXQ64" i="3"/>
  <c r="RXS64" i="3" s="1"/>
  <c r="RXI64" i="3"/>
  <c r="RXK64" i="3" s="1"/>
  <c r="RXC64" i="3"/>
  <c r="RXA64" i="3"/>
  <c r="RWS64" i="3"/>
  <c r="RWU64" i="3" s="1"/>
  <c r="RWM64" i="3"/>
  <c r="RWK64" i="3"/>
  <c r="RWC64" i="3"/>
  <c r="RWE64" i="3" s="1"/>
  <c r="RVU64" i="3"/>
  <c r="RVW64" i="3" s="1"/>
  <c r="RVM64" i="3"/>
  <c r="RVO64" i="3" s="1"/>
  <c r="RVE64" i="3"/>
  <c r="RVG64" i="3" s="1"/>
  <c r="RUW64" i="3"/>
  <c r="RUY64" i="3" s="1"/>
  <c r="RUO64" i="3"/>
  <c r="RUQ64" i="3" s="1"/>
  <c r="RUG64" i="3"/>
  <c r="RUI64" i="3" s="1"/>
  <c r="RTY64" i="3"/>
  <c r="RUA64" i="3" s="1"/>
  <c r="RTS64" i="3"/>
  <c r="RTQ64" i="3"/>
  <c r="RTI64" i="3"/>
  <c r="RTK64" i="3" s="1"/>
  <c r="RTA64" i="3"/>
  <c r="RTC64" i="3" s="1"/>
  <c r="RSU64" i="3"/>
  <c r="RSS64" i="3"/>
  <c r="RSK64" i="3"/>
  <c r="RSM64" i="3" s="1"/>
  <c r="RSC64" i="3"/>
  <c r="RSE64" i="3" s="1"/>
  <c r="RRW64" i="3"/>
  <c r="RRU64" i="3"/>
  <c r="RRO64" i="3"/>
  <c r="RRM64" i="3"/>
  <c r="RRE64" i="3"/>
  <c r="RRG64" i="3" s="1"/>
  <c r="RQW64" i="3"/>
  <c r="RQY64" i="3" s="1"/>
  <c r="RQO64" i="3"/>
  <c r="RQQ64" i="3" s="1"/>
  <c r="RQI64" i="3"/>
  <c r="RQG64" i="3"/>
  <c r="RPY64" i="3"/>
  <c r="RQA64" i="3" s="1"/>
  <c r="RPQ64" i="3"/>
  <c r="RPS64" i="3" s="1"/>
  <c r="RPI64" i="3"/>
  <c r="RPK64" i="3" s="1"/>
  <c r="RPA64" i="3"/>
  <c r="RPC64" i="3" s="1"/>
  <c r="ROU64" i="3"/>
  <c r="ROS64" i="3"/>
  <c r="ROK64" i="3"/>
  <c r="ROM64" i="3" s="1"/>
  <c r="ROC64" i="3"/>
  <c r="ROE64" i="3" s="1"/>
  <c r="RNU64" i="3"/>
  <c r="RNW64" i="3" s="1"/>
  <c r="RNM64" i="3"/>
  <c r="RNO64" i="3" s="1"/>
  <c r="RNE64" i="3"/>
  <c r="RNG64" i="3" s="1"/>
  <c r="RMY64" i="3"/>
  <c r="RMW64" i="3"/>
  <c r="RMO64" i="3"/>
  <c r="RMQ64" i="3" s="1"/>
  <c r="RMG64" i="3"/>
  <c r="RMI64" i="3" s="1"/>
  <c r="RLY64" i="3"/>
  <c r="RMA64" i="3" s="1"/>
  <c r="RLQ64" i="3"/>
  <c r="RLS64" i="3" s="1"/>
  <c r="RLK64" i="3"/>
  <c r="RLI64" i="3"/>
  <c r="RLA64" i="3"/>
  <c r="RLC64" i="3" s="1"/>
  <c r="RKS64" i="3"/>
  <c r="RKU64" i="3" s="1"/>
  <c r="RKK64" i="3"/>
  <c r="RKM64" i="3" s="1"/>
  <c r="RKE64" i="3"/>
  <c r="RKC64" i="3"/>
  <c r="RJU64" i="3"/>
  <c r="RJW64" i="3" s="1"/>
  <c r="RJM64" i="3"/>
  <c r="RJO64" i="3" s="1"/>
  <c r="RJE64" i="3"/>
  <c r="RJG64" i="3" s="1"/>
  <c r="RIW64" i="3"/>
  <c r="RIY64" i="3" s="1"/>
  <c r="RIO64" i="3"/>
  <c r="RIQ64" i="3" s="1"/>
  <c r="RIG64" i="3"/>
  <c r="RII64" i="3" s="1"/>
  <c r="RHY64" i="3"/>
  <c r="RIA64" i="3" s="1"/>
  <c r="RHQ64" i="3"/>
  <c r="RHS64" i="3" s="1"/>
  <c r="RHI64" i="3"/>
  <c r="RHK64" i="3" s="1"/>
  <c r="RHC64" i="3"/>
  <c r="RHA64" i="3"/>
  <c r="RGS64" i="3"/>
  <c r="RGU64" i="3" s="1"/>
  <c r="RGM64" i="3"/>
  <c r="RGK64" i="3"/>
  <c r="RGC64" i="3"/>
  <c r="RGE64" i="3" s="1"/>
  <c r="RFU64" i="3"/>
  <c r="RFW64" i="3" s="1"/>
  <c r="RFM64" i="3"/>
  <c r="RFO64" i="3" s="1"/>
  <c r="RFE64" i="3"/>
  <c r="RFG64" i="3" s="1"/>
  <c r="REW64" i="3"/>
  <c r="REY64" i="3" s="1"/>
  <c r="REQ64" i="3"/>
  <c r="REO64" i="3"/>
  <c r="REG64" i="3"/>
  <c r="REI64" i="3" s="1"/>
  <c r="RDY64" i="3"/>
  <c r="REA64" i="3" s="1"/>
  <c r="RDQ64" i="3"/>
  <c r="RDS64" i="3" s="1"/>
  <c r="RDI64" i="3"/>
  <c r="RDK64" i="3" s="1"/>
  <c r="RDC64" i="3"/>
  <c r="RDA64" i="3"/>
  <c r="RCS64" i="3"/>
  <c r="RCU64" i="3" s="1"/>
  <c r="RCK64" i="3"/>
  <c r="RCM64" i="3" s="1"/>
  <c r="RCC64" i="3"/>
  <c r="RCE64" i="3" s="1"/>
  <c r="RBU64" i="3"/>
  <c r="RBW64" i="3" s="1"/>
  <c r="RBM64" i="3"/>
  <c r="RBO64" i="3" s="1"/>
  <c r="RBE64" i="3"/>
  <c r="RBG64" i="3" s="1"/>
  <c r="RAY64" i="3"/>
  <c r="RAW64" i="3"/>
  <c r="RAO64" i="3"/>
  <c r="RAQ64" i="3" s="1"/>
  <c r="RAI64" i="3"/>
  <c r="RAG64" i="3"/>
  <c r="RAA64" i="3"/>
  <c r="QZY64" i="3"/>
  <c r="QZQ64" i="3"/>
  <c r="QZS64" i="3" s="1"/>
  <c r="QZI64" i="3"/>
  <c r="QZK64" i="3" s="1"/>
  <c r="QZA64" i="3"/>
  <c r="QZC64" i="3" s="1"/>
  <c r="QYS64" i="3"/>
  <c r="QYU64" i="3" s="1"/>
  <c r="QYK64" i="3"/>
  <c r="QYM64" i="3" s="1"/>
  <c r="QYC64" i="3"/>
  <c r="QYE64" i="3" s="1"/>
  <c r="QXU64" i="3"/>
  <c r="QXW64" i="3" s="1"/>
  <c r="QXO64" i="3"/>
  <c r="QXM64" i="3"/>
  <c r="QXE64" i="3"/>
  <c r="QXG64" i="3" s="1"/>
  <c r="QWW64" i="3"/>
  <c r="QWY64" i="3" s="1"/>
  <c r="QWO64" i="3"/>
  <c r="QWQ64" i="3" s="1"/>
  <c r="QWG64" i="3"/>
  <c r="QWI64" i="3" s="1"/>
  <c r="QVY64" i="3"/>
  <c r="QWA64" i="3" s="1"/>
  <c r="QVQ64" i="3"/>
  <c r="QVS64" i="3" s="1"/>
  <c r="QVK64" i="3"/>
  <c r="QVI64" i="3"/>
  <c r="QVA64" i="3"/>
  <c r="QVC64" i="3" s="1"/>
  <c r="QUU64" i="3"/>
  <c r="QUS64" i="3"/>
  <c r="QUM64" i="3"/>
  <c r="QUK64" i="3"/>
  <c r="QUC64" i="3"/>
  <c r="QUE64" i="3" s="1"/>
  <c r="QTW64" i="3"/>
  <c r="QTU64" i="3"/>
  <c r="QTM64" i="3"/>
  <c r="QTO64" i="3" s="1"/>
  <c r="QTE64" i="3"/>
  <c r="QTG64" i="3" s="1"/>
  <c r="QSW64" i="3"/>
  <c r="QSY64" i="3" s="1"/>
  <c r="QSQ64" i="3"/>
  <c r="QSO64" i="3"/>
  <c r="QSG64" i="3"/>
  <c r="QSI64" i="3" s="1"/>
  <c r="QRY64" i="3"/>
  <c r="QSA64" i="3" s="1"/>
  <c r="QRQ64" i="3"/>
  <c r="QRS64" i="3" s="1"/>
  <c r="QRI64" i="3"/>
  <c r="QRK64" i="3" s="1"/>
  <c r="QRA64" i="3"/>
  <c r="QRC64" i="3" s="1"/>
  <c r="QQS64" i="3"/>
  <c r="QQU64" i="3" s="1"/>
  <c r="QQM64" i="3"/>
  <c r="QQK64" i="3"/>
  <c r="QQC64" i="3"/>
  <c r="QQE64" i="3" s="1"/>
  <c r="QPU64" i="3"/>
  <c r="QPW64" i="3" s="1"/>
  <c r="QPM64" i="3"/>
  <c r="QPO64" i="3" s="1"/>
  <c r="QPE64" i="3"/>
  <c r="QPG64" i="3" s="1"/>
  <c r="QOW64" i="3"/>
  <c r="QOY64" i="3" s="1"/>
  <c r="QOO64" i="3"/>
  <c r="QOQ64" i="3" s="1"/>
  <c r="QOG64" i="3"/>
  <c r="QOI64" i="3" s="1"/>
  <c r="QNY64" i="3"/>
  <c r="QOA64" i="3" s="1"/>
  <c r="QNQ64" i="3"/>
  <c r="QNS64" i="3" s="1"/>
  <c r="QNI64" i="3"/>
  <c r="QNK64" i="3" s="1"/>
  <c r="QNA64" i="3"/>
  <c r="QNC64" i="3" s="1"/>
  <c r="QMU64" i="3"/>
  <c r="QMS64" i="3"/>
  <c r="QMK64" i="3"/>
  <c r="QMM64" i="3" s="1"/>
  <c r="QME64" i="3"/>
  <c r="QMC64" i="3"/>
  <c r="QLU64" i="3"/>
  <c r="QLW64" i="3" s="1"/>
  <c r="QLM64" i="3"/>
  <c r="QLO64" i="3" s="1"/>
  <c r="QLE64" i="3"/>
  <c r="QLG64" i="3" s="1"/>
  <c r="QKW64" i="3"/>
  <c r="QKY64" i="3" s="1"/>
  <c r="QKQ64" i="3"/>
  <c r="QKO64" i="3"/>
  <c r="QKI64" i="3"/>
  <c r="QKG64" i="3"/>
  <c r="QJY64" i="3"/>
  <c r="QKA64" i="3" s="1"/>
  <c r="QJS64" i="3"/>
  <c r="QJQ64" i="3"/>
  <c r="QJI64" i="3"/>
  <c r="QJK64" i="3" s="1"/>
  <c r="QJA64" i="3"/>
  <c r="QJC64" i="3" s="1"/>
  <c r="QIS64" i="3"/>
  <c r="QIU64" i="3" s="1"/>
  <c r="QIM64" i="3"/>
  <c r="QIK64" i="3"/>
  <c r="QIC64" i="3"/>
  <c r="QIE64" i="3" s="1"/>
  <c r="QHW64" i="3"/>
  <c r="QHU64" i="3"/>
  <c r="QHO64" i="3"/>
  <c r="QHM64" i="3"/>
  <c r="QHG64" i="3"/>
  <c r="QHE64" i="3"/>
  <c r="QGW64" i="3"/>
  <c r="QGY64" i="3" s="1"/>
  <c r="QGO64" i="3"/>
  <c r="QGQ64" i="3" s="1"/>
  <c r="QGG64" i="3"/>
  <c r="QGI64" i="3" s="1"/>
  <c r="QGA64" i="3"/>
  <c r="QFY64" i="3"/>
  <c r="QFQ64" i="3"/>
  <c r="QFS64" i="3" s="1"/>
  <c r="QFI64" i="3"/>
  <c r="QFK64" i="3" s="1"/>
  <c r="QFA64" i="3"/>
  <c r="QFC64" i="3" s="1"/>
  <c r="QES64" i="3"/>
  <c r="QEU64" i="3" s="1"/>
  <c r="QEK64" i="3"/>
  <c r="QEM64" i="3" s="1"/>
  <c r="QEE64" i="3"/>
  <c r="QEC64" i="3"/>
  <c r="QDU64" i="3"/>
  <c r="QDW64" i="3" s="1"/>
  <c r="QDM64" i="3"/>
  <c r="QDO64" i="3" s="1"/>
  <c r="QDG64" i="3"/>
  <c r="QDE64" i="3"/>
  <c r="QCW64" i="3"/>
  <c r="QCY64" i="3" s="1"/>
  <c r="QCO64" i="3"/>
  <c r="QCQ64" i="3" s="1"/>
  <c r="QCG64" i="3"/>
  <c r="QCI64" i="3" s="1"/>
  <c r="QCA64" i="3"/>
  <c r="QBY64" i="3"/>
  <c r="QBS64" i="3"/>
  <c r="QBQ64" i="3"/>
  <c r="QBI64" i="3"/>
  <c r="QBK64" i="3" s="1"/>
  <c r="QBA64" i="3"/>
  <c r="QBC64" i="3" s="1"/>
  <c r="QAS64" i="3"/>
  <c r="QAU64" i="3" s="1"/>
  <c r="QAK64" i="3"/>
  <c r="QAM64" i="3" s="1"/>
  <c r="QAC64" i="3"/>
  <c r="QAE64" i="3" s="1"/>
  <c r="PZU64" i="3"/>
  <c r="PZW64" i="3" s="1"/>
  <c r="PZM64" i="3"/>
  <c r="PZO64" i="3" s="1"/>
  <c r="PZG64" i="3"/>
  <c r="PZE64" i="3"/>
  <c r="PYW64" i="3"/>
  <c r="PYY64" i="3" s="1"/>
  <c r="PYO64" i="3"/>
  <c r="PYQ64" i="3" s="1"/>
  <c r="PYG64" i="3"/>
  <c r="PYI64" i="3" s="1"/>
  <c r="PYA64" i="3"/>
  <c r="PXY64" i="3"/>
  <c r="PXS64" i="3"/>
  <c r="PXQ64" i="3"/>
  <c r="PXI64" i="3"/>
  <c r="PXK64" i="3" s="1"/>
  <c r="PXA64" i="3"/>
  <c r="PXC64" i="3" s="1"/>
  <c r="PWS64" i="3"/>
  <c r="PWU64" i="3" s="1"/>
  <c r="PWK64" i="3"/>
  <c r="PWM64" i="3" s="1"/>
  <c r="PWC64" i="3"/>
  <c r="PWE64" i="3" s="1"/>
  <c r="PVU64" i="3"/>
  <c r="PVW64" i="3" s="1"/>
  <c r="PVM64" i="3"/>
  <c r="PVO64" i="3" s="1"/>
  <c r="PVE64" i="3"/>
  <c r="PVG64" i="3" s="1"/>
  <c r="PUW64" i="3"/>
  <c r="PUY64" i="3" s="1"/>
  <c r="PUQ64" i="3"/>
  <c r="PUO64" i="3"/>
  <c r="PUG64" i="3"/>
  <c r="PUI64" i="3" s="1"/>
  <c r="PTY64" i="3"/>
  <c r="PUA64" i="3" s="1"/>
  <c r="PTQ64" i="3"/>
  <c r="PTS64" i="3" s="1"/>
  <c r="PTI64" i="3"/>
  <c r="PTK64" i="3" s="1"/>
  <c r="PTA64" i="3"/>
  <c r="PTC64" i="3" s="1"/>
  <c r="PSS64" i="3"/>
  <c r="PSU64" i="3" s="1"/>
  <c r="PSK64" i="3"/>
  <c r="PSM64" i="3" s="1"/>
  <c r="PSE64" i="3"/>
  <c r="PSC64" i="3"/>
  <c r="PRU64" i="3"/>
  <c r="PRW64" i="3" s="1"/>
  <c r="PRM64" i="3"/>
  <c r="PRO64" i="3" s="1"/>
  <c r="PRE64" i="3"/>
  <c r="PRG64" i="3" s="1"/>
  <c r="PQW64" i="3"/>
  <c r="PQY64" i="3" s="1"/>
  <c r="PQO64" i="3"/>
  <c r="PQQ64" i="3" s="1"/>
  <c r="PQG64" i="3"/>
  <c r="PQI64" i="3" s="1"/>
  <c r="PPY64" i="3"/>
  <c r="PQA64" i="3" s="1"/>
  <c r="PPQ64" i="3"/>
  <c r="PPS64" i="3" s="1"/>
  <c r="PPI64" i="3"/>
  <c r="PPK64" i="3" s="1"/>
  <c r="PPC64" i="3"/>
  <c r="PPA64" i="3"/>
  <c r="POS64" i="3"/>
  <c r="POU64" i="3" s="1"/>
  <c r="POM64" i="3"/>
  <c r="POK64" i="3"/>
  <c r="POC64" i="3"/>
  <c r="POE64" i="3" s="1"/>
  <c r="PNU64" i="3"/>
  <c r="PNW64" i="3" s="1"/>
  <c r="PNM64" i="3"/>
  <c r="PNO64" i="3" s="1"/>
  <c r="PNG64" i="3"/>
  <c r="PNE64" i="3"/>
  <c r="PMW64" i="3"/>
  <c r="PMY64" i="3" s="1"/>
  <c r="PMO64" i="3"/>
  <c r="PMQ64" i="3" s="1"/>
  <c r="PMG64" i="3"/>
  <c r="PMI64" i="3" s="1"/>
  <c r="PLY64" i="3"/>
  <c r="PMA64" i="3" s="1"/>
  <c r="PLQ64" i="3"/>
  <c r="PLS64" i="3" s="1"/>
  <c r="PLI64" i="3"/>
  <c r="PLK64" i="3" s="1"/>
  <c r="PLA64" i="3"/>
  <c r="PLC64" i="3" s="1"/>
  <c r="PKS64" i="3"/>
  <c r="PKU64" i="3" s="1"/>
  <c r="PKK64" i="3"/>
  <c r="PKM64" i="3" s="1"/>
  <c r="PKC64" i="3"/>
  <c r="PKE64" i="3" s="1"/>
  <c r="PJU64" i="3"/>
  <c r="PJW64" i="3" s="1"/>
  <c r="PJM64" i="3"/>
  <c r="PJO64" i="3" s="1"/>
  <c r="PJE64" i="3"/>
  <c r="PJG64" i="3" s="1"/>
  <c r="PIW64" i="3"/>
  <c r="PIY64" i="3" s="1"/>
  <c r="PIO64" i="3"/>
  <c r="PIQ64" i="3" s="1"/>
  <c r="PIG64" i="3"/>
  <c r="PII64" i="3" s="1"/>
  <c r="PHY64" i="3"/>
  <c r="PIA64" i="3" s="1"/>
  <c r="PHQ64" i="3"/>
  <c r="PHS64" i="3" s="1"/>
  <c r="PHI64" i="3"/>
  <c r="PHK64" i="3" s="1"/>
  <c r="PHC64" i="3"/>
  <c r="PHA64" i="3"/>
  <c r="PGU64" i="3"/>
  <c r="PGS64" i="3"/>
  <c r="PGK64" i="3"/>
  <c r="PGM64" i="3" s="1"/>
  <c r="PGC64" i="3"/>
  <c r="PGE64" i="3" s="1"/>
  <c r="PFU64" i="3"/>
  <c r="PFW64" i="3" s="1"/>
  <c r="PFM64" i="3"/>
  <c r="PFO64" i="3" s="1"/>
  <c r="PFE64" i="3"/>
  <c r="PFG64" i="3" s="1"/>
  <c r="PEW64" i="3"/>
  <c r="PEY64" i="3" s="1"/>
  <c r="PEO64" i="3"/>
  <c r="PEQ64" i="3" s="1"/>
  <c r="PEG64" i="3"/>
  <c r="PEI64" i="3" s="1"/>
  <c r="PDY64" i="3"/>
  <c r="PEA64" i="3" s="1"/>
  <c r="PDQ64" i="3"/>
  <c r="PDS64" i="3" s="1"/>
  <c r="PDK64" i="3"/>
  <c r="PDI64" i="3"/>
  <c r="PDA64" i="3"/>
  <c r="PDC64" i="3" s="1"/>
  <c r="PCS64" i="3"/>
  <c r="PCU64" i="3" s="1"/>
  <c r="PCK64" i="3"/>
  <c r="PCM64" i="3" s="1"/>
  <c r="PCC64" i="3"/>
  <c r="PCE64" i="3" s="1"/>
  <c r="PBW64" i="3"/>
  <c r="PBU64" i="3"/>
  <c r="PBM64" i="3"/>
  <c r="PBO64" i="3" s="1"/>
  <c r="PBE64" i="3"/>
  <c r="PBG64" i="3" s="1"/>
  <c r="PAW64" i="3"/>
  <c r="PAY64" i="3" s="1"/>
  <c r="PAQ64" i="3"/>
  <c r="PAO64" i="3"/>
  <c r="PAG64" i="3"/>
  <c r="PAI64" i="3" s="1"/>
  <c r="OZY64" i="3"/>
  <c r="PAA64" i="3" s="1"/>
  <c r="OZQ64" i="3"/>
  <c r="OZS64" i="3" s="1"/>
  <c r="OZI64" i="3"/>
  <c r="OZK64" i="3" s="1"/>
  <c r="OZA64" i="3"/>
  <c r="OZC64" i="3" s="1"/>
  <c r="OYS64" i="3"/>
  <c r="OYU64" i="3" s="1"/>
  <c r="OYK64" i="3"/>
  <c r="OYM64" i="3" s="1"/>
  <c r="OYC64" i="3"/>
  <c r="OYE64" i="3" s="1"/>
  <c r="OXU64" i="3"/>
  <c r="OXW64" i="3" s="1"/>
  <c r="OXM64" i="3"/>
  <c r="OXO64" i="3" s="1"/>
  <c r="OXE64" i="3"/>
  <c r="OXG64" i="3" s="1"/>
  <c r="OWY64" i="3"/>
  <c r="OWW64" i="3"/>
  <c r="OWO64" i="3"/>
  <c r="OWQ64" i="3" s="1"/>
  <c r="OWG64" i="3"/>
  <c r="OWI64" i="3" s="1"/>
  <c r="OWA64" i="3"/>
  <c r="OVY64" i="3"/>
  <c r="OVQ64" i="3"/>
  <c r="OVS64" i="3" s="1"/>
  <c r="OVI64" i="3"/>
  <c r="OVK64" i="3" s="1"/>
  <c r="OVA64" i="3"/>
  <c r="OVC64" i="3" s="1"/>
  <c r="OUS64" i="3"/>
  <c r="OUU64" i="3" s="1"/>
  <c r="OUK64" i="3"/>
  <c r="OUM64" i="3" s="1"/>
  <c r="OUE64" i="3"/>
  <c r="OUC64" i="3"/>
  <c r="OTU64" i="3"/>
  <c r="OTW64" i="3" s="1"/>
  <c r="OTM64" i="3"/>
  <c r="OTO64" i="3" s="1"/>
  <c r="OTE64" i="3"/>
  <c r="OTG64" i="3" s="1"/>
  <c r="OSW64" i="3"/>
  <c r="OSY64" i="3" s="1"/>
  <c r="OSO64" i="3"/>
  <c r="OSQ64" i="3" s="1"/>
  <c r="OSG64" i="3"/>
  <c r="OSI64" i="3" s="1"/>
  <c r="ORY64" i="3"/>
  <c r="OSA64" i="3" s="1"/>
  <c r="ORQ64" i="3"/>
  <c r="ORS64" i="3" s="1"/>
  <c r="ORK64" i="3"/>
  <c r="ORI64" i="3"/>
  <c r="ORA64" i="3"/>
  <c r="ORC64" i="3" s="1"/>
  <c r="OQS64" i="3"/>
  <c r="OQU64" i="3" s="1"/>
  <c r="OQK64" i="3"/>
  <c r="OQM64" i="3" s="1"/>
  <c r="OQC64" i="3"/>
  <c r="OQE64" i="3" s="1"/>
  <c r="OPU64" i="3"/>
  <c r="OPW64" i="3" s="1"/>
  <c r="OPM64" i="3"/>
  <c r="OPO64" i="3" s="1"/>
  <c r="OPE64" i="3"/>
  <c r="OPG64" i="3" s="1"/>
  <c r="OOW64" i="3"/>
  <c r="OOY64" i="3" s="1"/>
  <c r="OOO64" i="3"/>
  <c r="OOQ64" i="3" s="1"/>
  <c r="OOG64" i="3"/>
  <c r="OOI64" i="3" s="1"/>
  <c r="ONY64" i="3"/>
  <c r="OOA64" i="3" s="1"/>
  <c r="ONQ64" i="3"/>
  <c r="ONS64" i="3" s="1"/>
  <c r="ONI64" i="3"/>
  <c r="ONK64" i="3" s="1"/>
  <c r="ONA64" i="3"/>
  <c r="ONC64" i="3" s="1"/>
  <c r="OMS64" i="3"/>
  <c r="OMU64" i="3" s="1"/>
  <c r="OMK64" i="3"/>
  <c r="OMM64" i="3" s="1"/>
  <c r="OMC64" i="3"/>
  <c r="OME64" i="3" s="1"/>
  <c r="OLU64" i="3"/>
  <c r="OLW64" i="3" s="1"/>
  <c r="OLM64" i="3"/>
  <c r="OLO64" i="3" s="1"/>
  <c r="OLE64" i="3"/>
  <c r="OLG64" i="3" s="1"/>
  <c r="OKY64" i="3"/>
  <c r="OKW64" i="3"/>
  <c r="OKQ64" i="3"/>
  <c r="OKO64" i="3"/>
  <c r="OKG64" i="3"/>
  <c r="OKI64" i="3" s="1"/>
  <c r="OJY64" i="3"/>
  <c r="OKA64" i="3" s="1"/>
  <c r="OJQ64" i="3"/>
  <c r="OJS64" i="3" s="1"/>
  <c r="OJK64" i="3"/>
  <c r="OJI64" i="3"/>
  <c r="OJA64" i="3"/>
  <c r="OJC64" i="3" s="1"/>
  <c r="OIS64" i="3"/>
  <c r="OIU64" i="3" s="1"/>
  <c r="OIK64" i="3"/>
  <c r="OIM64" i="3" s="1"/>
  <c r="OIC64" i="3"/>
  <c r="OIE64" i="3" s="1"/>
  <c r="OHU64" i="3"/>
  <c r="OHW64" i="3" s="1"/>
  <c r="OHM64" i="3"/>
  <c r="OHO64" i="3" s="1"/>
  <c r="OHE64" i="3"/>
  <c r="OHG64" i="3" s="1"/>
  <c r="OGY64" i="3"/>
  <c r="OGW64" i="3"/>
  <c r="OGO64" i="3"/>
  <c r="OGQ64" i="3" s="1"/>
  <c r="OGI64" i="3"/>
  <c r="OGG64" i="3"/>
  <c r="OGA64" i="3"/>
  <c r="OFY64" i="3"/>
  <c r="OFQ64" i="3"/>
  <c r="OFS64" i="3" s="1"/>
  <c r="OFI64" i="3"/>
  <c r="OFK64" i="3" s="1"/>
  <c r="OFA64" i="3"/>
  <c r="OFC64" i="3" s="1"/>
  <c r="OES64" i="3"/>
  <c r="OEU64" i="3" s="1"/>
  <c r="OEK64" i="3"/>
  <c r="OEM64" i="3" s="1"/>
  <c r="OEC64" i="3"/>
  <c r="OEE64" i="3" s="1"/>
  <c r="ODW64" i="3"/>
  <c r="ODU64" i="3"/>
  <c r="ODM64" i="3"/>
  <c r="ODO64" i="3" s="1"/>
  <c r="ODG64" i="3"/>
  <c r="ODE64" i="3"/>
  <c r="OCW64" i="3"/>
  <c r="OCY64" i="3" s="1"/>
  <c r="OCO64" i="3"/>
  <c r="OCQ64" i="3" s="1"/>
  <c r="OCG64" i="3"/>
  <c r="OCI64" i="3" s="1"/>
  <c r="OBY64" i="3"/>
  <c r="OCA64" i="3" s="1"/>
  <c r="OBQ64" i="3"/>
  <c r="OBS64" i="3" s="1"/>
  <c r="OBI64" i="3"/>
  <c r="OBK64" i="3" s="1"/>
  <c r="OBA64" i="3"/>
  <c r="OBC64" i="3" s="1"/>
  <c r="OAU64" i="3"/>
  <c r="OAS64" i="3"/>
  <c r="OAK64" i="3"/>
  <c r="OAM64" i="3" s="1"/>
  <c r="OAE64" i="3"/>
  <c r="OAC64" i="3"/>
  <c r="NZU64" i="3"/>
  <c r="NZW64" i="3" s="1"/>
  <c r="NZM64" i="3"/>
  <c r="NZO64" i="3" s="1"/>
  <c r="NZE64" i="3"/>
  <c r="NZG64" i="3" s="1"/>
  <c r="NYW64" i="3"/>
  <c r="NYY64" i="3" s="1"/>
  <c r="NYO64" i="3"/>
  <c r="NYQ64" i="3" s="1"/>
  <c r="NYG64" i="3"/>
  <c r="NYI64" i="3" s="1"/>
  <c r="NXY64" i="3"/>
  <c r="NYA64" i="3" s="1"/>
  <c r="NXQ64" i="3"/>
  <c r="NXS64" i="3" s="1"/>
  <c r="NXI64" i="3"/>
  <c r="NXK64" i="3" s="1"/>
  <c r="NXA64" i="3"/>
  <c r="NXC64" i="3" s="1"/>
  <c r="NWS64" i="3"/>
  <c r="NWU64" i="3" s="1"/>
  <c r="NWK64" i="3"/>
  <c r="NWM64" i="3" s="1"/>
  <c r="NWC64" i="3"/>
  <c r="NWE64" i="3" s="1"/>
  <c r="NVU64" i="3"/>
  <c r="NVW64" i="3" s="1"/>
  <c r="NVM64" i="3"/>
  <c r="NVO64" i="3" s="1"/>
  <c r="NVG64" i="3"/>
  <c r="NVE64" i="3"/>
  <c r="NUW64" i="3"/>
  <c r="NUY64" i="3" s="1"/>
  <c r="NUQ64" i="3"/>
  <c r="NUO64" i="3"/>
  <c r="NUG64" i="3"/>
  <c r="NUI64" i="3" s="1"/>
  <c r="NUA64" i="3"/>
  <c r="NTY64" i="3"/>
  <c r="NTQ64" i="3"/>
  <c r="NTS64" i="3" s="1"/>
  <c r="NTI64" i="3"/>
  <c r="NTK64" i="3" s="1"/>
  <c r="NTA64" i="3"/>
  <c r="NTC64" i="3" s="1"/>
  <c r="NSS64" i="3"/>
  <c r="NSU64" i="3" s="1"/>
  <c r="NSK64" i="3"/>
  <c r="NSM64" i="3" s="1"/>
  <c r="NSC64" i="3"/>
  <c r="NSE64" i="3" s="1"/>
  <c r="NRU64" i="3"/>
  <c r="NRW64" i="3" s="1"/>
  <c r="NRO64" i="3"/>
  <c r="NRM64" i="3"/>
  <c r="NRG64" i="3"/>
  <c r="NRE64" i="3"/>
  <c r="NQW64" i="3"/>
  <c r="NQY64" i="3" s="1"/>
  <c r="NQO64" i="3"/>
  <c r="NQQ64" i="3" s="1"/>
  <c r="NQG64" i="3"/>
  <c r="NQI64" i="3" s="1"/>
  <c r="NPY64" i="3"/>
  <c r="NQA64" i="3" s="1"/>
  <c r="NPQ64" i="3"/>
  <c r="NPS64" i="3" s="1"/>
  <c r="NPK64" i="3"/>
  <c r="NPI64" i="3"/>
  <c r="NPC64" i="3"/>
  <c r="NPA64" i="3"/>
  <c r="NOS64" i="3"/>
  <c r="NOU64" i="3" s="1"/>
  <c r="NOK64" i="3"/>
  <c r="NOM64" i="3" s="1"/>
  <c r="NOC64" i="3"/>
  <c r="NOE64" i="3" s="1"/>
  <c r="NNW64" i="3"/>
  <c r="NNU64" i="3"/>
  <c r="NNM64" i="3"/>
  <c r="NNO64" i="3" s="1"/>
  <c r="NNG64" i="3"/>
  <c r="NNE64" i="3"/>
  <c r="NMY64" i="3"/>
  <c r="NMW64" i="3"/>
  <c r="NMO64" i="3"/>
  <c r="NMQ64" i="3" s="1"/>
  <c r="NMG64" i="3"/>
  <c r="NMI64" i="3" s="1"/>
  <c r="NLY64" i="3"/>
  <c r="NMA64" i="3" s="1"/>
  <c r="NLS64" i="3"/>
  <c r="NLQ64" i="3"/>
  <c r="NLI64" i="3"/>
  <c r="NLK64" i="3" s="1"/>
  <c r="NLA64" i="3"/>
  <c r="NLC64" i="3" s="1"/>
  <c r="NKS64" i="3"/>
  <c r="NKU64" i="3" s="1"/>
  <c r="NKK64" i="3"/>
  <c r="NKM64" i="3" s="1"/>
  <c r="NKC64" i="3"/>
  <c r="NKE64" i="3" s="1"/>
  <c r="NJU64" i="3"/>
  <c r="NJW64" i="3" s="1"/>
  <c r="NJM64" i="3"/>
  <c r="NJO64" i="3" s="1"/>
  <c r="NJG64" i="3"/>
  <c r="NJE64" i="3"/>
  <c r="NIW64" i="3"/>
  <c r="NIY64" i="3" s="1"/>
  <c r="NIQ64" i="3"/>
  <c r="NIO64" i="3"/>
  <c r="NIG64" i="3"/>
  <c r="NII64" i="3" s="1"/>
  <c r="NHY64" i="3"/>
  <c r="NIA64" i="3" s="1"/>
  <c r="NHS64" i="3"/>
  <c r="NHQ64" i="3"/>
  <c r="NHI64" i="3"/>
  <c r="NHK64" i="3" s="1"/>
  <c r="NHA64" i="3"/>
  <c r="NHC64" i="3" s="1"/>
  <c r="NGS64" i="3"/>
  <c r="NGU64" i="3" s="1"/>
  <c r="NGK64" i="3"/>
  <c r="NGM64" i="3" s="1"/>
  <c r="NGC64" i="3"/>
  <c r="NGE64" i="3" s="1"/>
  <c r="NFW64" i="3"/>
  <c r="NFU64" i="3"/>
  <c r="NFO64" i="3"/>
  <c r="NFM64" i="3"/>
  <c r="NFE64" i="3"/>
  <c r="NFG64" i="3" s="1"/>
  <c r="NEW64" i="3"/>
  <c r="NEY64" i="3" s="1"/>
  <c r="NEO64" i="3"/>
  <c r="NEQ64" i="3" s="1"/>
  <c r="NEI64" i="3"/>
  <c r="NEG64" i="3"/>
  <c r="NDY64" i="3"/>
  <c r="NEA64" i="3" s="1"/>
  <c r="NDS64" i="3"/>
  <c r="NDQ64" i="3"/>
  <c r="NDI64" i="3"/>
  <c r="NDK64" i="3" s="1"/>
  <c r="NDC64" i="3"/>
  <c r="NDA64" i="3"/>
  <c r="NCS64" i="3"/>
  <c r="NCU64" i="3" s="1"/>
  <c r="NCK64" i="3"/>
  <c r="NCM64" i="3" s="1"/>
  <c r="NCE64" i="3"/>
  <c r="NCC64" i="3"/>
  <c r="NBU64" i="3"/>
  <c r="NBW64" i="3" s="1"/>
  <c r="NBM64" i="3"/>
  <c r="NBO64" i="3" s="1"/>
  <c r="NBE64" i="3"/>
  <c r="NBG64" i="3" s="1"/>
  <c r="NAW64" i="3"/>
  <c r="NAY64" i="3" s="1"/>
  <c r="NAQ64" i="3"/>
  <c r="NAO64" i="3"/>
  <c r="NAG64" i="3"/>
  <c r="NAI64" i="3" s="1"/>
  <c r="NAA64" i="3"/>
  <c r="MZY64" i="3"/>
  <c r="MZQ64" i="3"/>
  <c r="MZS64" i="3" s="1"/>
  <c r="MZI64" i="3"/>
  <c r="MZK64" i="3" s="1"/>
  <c r="MZA64" i="3"/>
  <c r="MZC64" i="3" s="1"/>
  <c r="MYS64" i="3"/>
  <c r="MYU64" i="3" s="1"/>
  <c r="MYM64" i="3"/>
  <c r="MYK64" i="3"/>
  <c r="MYC64" i="3"/>
  <c r="MYE64" i="3" s="1"/>
  <c r="MXU64" i="3"/>
  <c r="MXW64" i="3" s="1"/>
  <c r="MXM64" i="3"/>
  <c r="MXO64" i="3" s="1"/>
  <c r="MXE64" i="3"/>
  <c r="MXG64" i="3" s="1"/>
  <c r="MWW64" i="3"/>
  <c r="MWY64" i="3" s="1"/>
  <c r="MWO64" i="3"/>
  <c r="MWQ64" i="3" s="1"/>
  <c r="MWG64" i="3"/>
  <c r="MWI64" i="3" s="1"/>
  <c r="MVY64" i="3"/>
  <c r="MWA64" i="3" s="1"/>
  <c r="MVQ64" i="3"/>
  <c r="MVS64" i="3" s="1"/>
  <c r="MVK64" i="3"/>
  <c r="MVI64" i="3"/>
  <c r="MVC64" i="3"/>
  <c r="MVA64" i="3"/>
  <c r="MUS64" i="3"/>
  <c r="MUU64" i="3" s="1"/>
  <c r="MUK64" i="3"/>
  <c r="MUM64" i="3" s="1"/>
  <c r="MUC64" i="3"/>
  <c r="MUE64" i="3" s="1"/>
  <c r="MTW64" i="3"/>
  <c r="MTU64" i="3"/>
  <c r="MTM64" i="3"/>
  <c r="MTO64" i="3" s="1"/>
  <c r="MTG64" i="3"/>
  <c r="MTE64" i="3"/>
  <c r="MSY64" i="3"/>
  <c r="MSW64" i="3"/>
  <c r="MSO64" i="3"/>
  <c r="MSQ64" i="3" s="1"/>
  <c r="MSG64" i="3"/>
  <c r="MSI64" i="3" s="1"/>
  <c r="MRY64" i="3"/>
  <c r="MSA64" i="3" s="1"/>
  <c r="MRS64" i="3"/>
  <c r="MRQ64" i="3"/>
  <c r="MRI64" i="3"/>
  <c r="MRK64" i="3" s="1"/>
  <c r="MRC64" i="3"/>
  <c r="MRA64" i="3"/>
  <c r="MQU64" i="3"/>
  <c r="MQS64" i="3"/>
  <c r="MQK64" i="3"/>
  <c r="MQM64" i="3" s="1"/>
  <c r="MQC64" i="3"/>
  <c r="MQE64" i="3" s="1"/>
  <c r="MPU64" i="3"/>
  <c r="MPW64" i="3" s="1"/>
  <c r="MPO64" i="3"/>
  <c r="MPM64" i="3"/>
  <c r="MPG64" i="3"/>
  <c r="MPE64" i="3"/>
  <c r="MOW64" i="3"/>
  <c r="MOY64" i="3" s="1"/>
  <c r="MOO64" i="3"/>
  <c r="MOQ64" i="3" s="1"/>
  <c r="MOG64" i="3"/>
  <c r="MOI64" i="3" s="1"/>
  <c r="MNY64" i="3"/>
  <c r="MOA64" i="3" s="1"/>
  <c r="MNQ64" i="3"/>
  <c r="MNS64" i="3" s="1"/>
  <c r="MNI64" i="3"/>
  <c r="MNK64" i="3" s="1"/>
  <c r="MNC64" i="3"/>
  <c r="MNA64" i="3"/>
  <c r="MMS64" i="3"/>
  <c r="MMU64" i="3" s="1"/>
  <c r="MMK64" i="3"/>
  <c r="MMM64" i="3" s="1"/>
  <c r="MMC64" i="3"/>
  <c r="MME64" i="3" s="1"/>
  <c r="MLU64" i="3"/>
  <c r="MLW64" i="3" s="1"/>
  <c r="MLO64" i="3"/>
  <c r="MLM64" i="3"/>
  <c r="MLE64" i="3"/>
  <c r="MLG64" i="3" s="1"/>
  <c r="MKW64" i="3"/>
  <c r="MKY64" i="3" s="1"/>
  <c r="MKO64" i="3"/>
  <c r="MKQ64" i="3" s="1"/>
  <c r="MKG64" i="3"/>
  <c r="MKI64" i="3" s="1"/>
  <c r="MJY64" i="3"/>
  <c r="MKA64" i="3" s="1"/>
  <c r="MJS64" i="3"/>
  <c r="MJQ64" i="3"/>
  <c r="MJI64" i="3"/>
  <c r="MJK64" i="3" s="1"/>
  <c r="MJA64" i="3"/>
  <c r="MJC64" i="3" s="1"/>
  <c r="MIS64" i="3"/>
  <c r="MIU64" i="3" s="1"/>
  <c r="MIK64" i="3"/>
  <c r="MIM64" i="3" s="1"/>
  <c r="MIC64" i="3"/>
  <c r="MIE64" i="3" s="1"/>
  <c r="MHW64" i="3"/>
  <c r="MHU64" i="3"/>
  <c r="MHO64" i="3"/>
  <c r="MHM64" i="3"/>
  <c r="MHE64" i="3"/>
  <c r="MHG64" i="3" s="1"/>
  <c r="MGW64" i="3"/>
  <c r="MGY64" i="3" s="1"/>
  <c r="MGO64" i="3"/>
  <c r="MGQ64" i="3" s="1"/>
  <c r="MGG64" i="3"/>
  <c r="MGI64" i="3" s="1"/>
  <c r="MFY64" i="3"/>
  <c r="MGA64" i="3" s="1"/>
  <c r="MFS64" i="3"/>
  <c r="MFQ64" i="3"/>
  <c r="MFI64" i="3"/>
  <c r="MFK64" i="3" s="1"/>
  <c r="MFA64" i="3"/>
  <c r="MFC64" i="3" s="1"/>
  <c r="MES64" i="3"/>
  <c r="MEU64" i="3" s="1"/>
  <c r="MEK64" i="3"/>
  <c r="MEM64" i="3" s="1"/>
  <c r="MEE64" i="3"/>
  <c r="MEC64" i="3"/>
  <c r="MDU64" i="3"/>
  <c r="MDW64" i="3" s="1"/>
  <c r="MDM64" i="3"/>
  <c r="MDO64" i="3" s="1"/>
  <c r="MDG64" i="3"/>
  <c r="MDE64" i="3"/>
  <c r="MCW64" i="3"/>
  <c r="MCY64" i="3" s="1"/>
  <c r="MCQ64" i="3"/>
  <c r="MCO64" i="3"/>
  <c r="MCG64" i="3"/>
  <c r="MCI64" i="3" s="1"/>
  <c r="MCA64" i="3"/>
  <c r="MBY64" i="3"/>
  <c r="MBQ64" i="3"/>
  <c r="MBS64" i="3" s="1"/>
  <c r="MBI64" i="3"/>
  <c r="MBK64" i="3" s="1"/>
  <c r="MBC64" i="3"/>
  <c r="MBA64" i="3"/>
  <c r="MAS64" i="3"/>
  <c r="MAU64" i="3" s="1"/>
  <c r="MAM64" i="3"/>
  <c r="MAK64" i="3"/>
  <c r="MAC64" i="3"/>
  <c r="MAE64" i="3" s="1"/>
  <c r="LZU64" i="3"/>
  <c r="LZW64" i="3" s="1"/>
  <c r="LZO64" i="3"/>
  <c r="LZM64" i="3"/>
  <c r="LZE64" i="3"/>
  <c r="LZG64" i="3" s="1"/>
  <c r="LYY64" i="3"/>
  <c r="LYW64" i="3"/>
  <c r="LYQ64" i="3"/>
  <c r="LYO64" i="3"/>
  <c r="LYI64" i="3"/>
  <c r="LYG64" i="3"/>
  <c r="LXY64" i="3"/>
  <c r="LYA64" i="3" s="1"/>
  <c r="LXQ64" i="3"/>
  <c r="LXS64" i="3" s="1"/>
  <c r="LXI64" i="3"/>
  <c r="LXK64" i="3" s="1"/>
  <c r="LXC64" i="3"/>
  <c r="LXA64" i="3"/>
  <c r="LWS64" i="3"/>
  <c r="LWU64" i="3" s="1"/>
  <c r="LWK64" i="3"/>
  <c r="LWM64" i="3" s="1"/>
  <c r="LWC64" i="3"/>
  <c r="LWE64" i="3" s="1"/>
  <c r="LVW64" i="3"/>
  <c r="LVU64" i="3"/>
  <c r="LVM64" i="3"/>
  <c r="LVO64" i="3" s="1"/>
  <c r="LVE64" i="3"/>
  <c r="LVG64" i="3" s="1"/>
  <c r="LUY64" i="3"/>
  <c r="LUW64" i="3"/>
  <c r="LUQ64" i="3"/>
  <c r="LUO64" i="3"/>
  <c r="LUG64" i="3"/>
  <c r="LUI64" i="3" s="1"/>
  <c r="LTY64" i="3"/>
  <c r="LUA64" i="3" s="1"/>
  <c r="LTS64" i="3"/>
  <c r="LTQ64" i="3"/>
  <c r="LTI64" i="3"/>
  <c r="LTK64" i="3" s="1"/>
  <c r="LTA64" i="3"/>
  <c r="LTC64" i="3" s="1"/>
  <c r="LSS64" i="3"/>
  <c r="LSU64" i="3" s="1"/>
  <c r="LSK64" i="3"/>
  <c r="LSM64" i="3" s="1"/>
  <c r="LSC64" i="3"/>
  <c r="LSE64" i="3" s="1"/>
  <c r="LRU64" i="3"/>
  <c r="LRW64" i="3" s="1"/>
  <c r="LRM64" i="3"/>
  <c r="LRO64" i="3" s="1"/>
  <c r="LRG64" i="3"/>
  <c r="LRE64" i="3"/>
  <c r="LQW64" i="3"/>
  <c r="LQY64" i="3" s="1"/>
  <c r="LQO64" i="3"/>
  <c r="LQQ64" i="3" s="1"/>
  <c r="LQG64" i="3"/>
  <c r="LQI64" i="3" s="1"/>
  <c r="LPY64" i="3"/>
  <c r="LQA64" i="3" s="1"/>
  <c r="LPQ64" i="3"/>
  <c r="LPS64" i="3" s="1"/>
  <c r="LPI64" i="3"/>
  <c r="LPK64" i="3" s="1"/>
  <c r="LPC64" i="3"/>
  <c r="LPA64" i="3"/>
  <c r="LOS64" i="3"/>
  <c r="LOU64" i="3" s="1"/>
  <c r="LOK64" i="3"/>
  <c r="LOM64" i="3" s="1"/>
  <c r="LOC64" i="3"/>
  <c r="LOE64" i="3" s="1"/>
  <c r="LNU64" i="3"/>
  <c r="LNW64" i="3" s="1"/>
  <c r="LNO64" i="3"/>
  <c r="LNM64" i="3"/>
  <c r="LNG64" i="3"/>
  <c r="LNE64" i="3"/>
  <c r="LMW64" i="3"/>
  <c r="LMY64" i="3" s="1"/>
  <c r="LMO64" i="3"/>
  <c r="LMQ64" i="3" s="1"/>
  <c r="LMI64" i="3"/>
  <c r="LMG64" i="3"/>
  <c r="LMA64" i="3"/>
  <c r="LLY64" i="3"/>
  <c r="LLQ64" i="3"/>
  <c r="LLS64" i="3" s="1"/>
  <c r="LLK64" i="3"/>
  <c r="LLI64" i="3"/>
  <c r="LLA64" i="3"/>
  <c r="LLC64" i="3" s="1"/>
  <c r="LKS64" i="3"/>
  <c r="LKU64" i="3" s="1"/>
  <c r="LKK64" i="3"/>
  <c r="LKM64" i="3" s="1"/>
  <c r="LKE64" i="3"/>
  <c r="LKC64" i="3"/>
  <c r="LJU64" i="3"/>
  <c r="LJW64" i="3" s="1"/>
  <c r="LJM64" i="3"/>
  <c r="LJO64" i="3" s="1"/>
  <c r="LJE64" i="3"/>
  <c r="LJG64" i="3" s="1"/>
  <c r="LIW64" i="3"/>
  <c r="LIY64" i="3" s="1"/>
  <c r="LIO64" i="3"/>
  <c r="LIQ64" i="3" s="1"/>
  <c r="LIG64" i="3"/>
  <c r="LII64" i="3" s="1"/>
  <c r="LIA64" i="3"/>
  <c r="LHY64" i="3"/>
  <c r="LHQ64" i="3"/>
  <c r="LHS64" i="3" s="1"/>
  <c r="LHI64" i="3"/>
  <c r="LHK64" i="3" s="1"/>
  <c r="LHA64" i="3"/>
  <c r="LHC64" i="3" s="1"/>
  <c r="LGU64" i="3"/>
  <c r="LGS64" i="3"/>
  <c r="LGK64" i="3"/>
  <c r="LGM64" i="3" s="1"/>
  <c r="LGE64" i="3"/>
  <c r="LGC64" i="3"/>
  <c r="LFW64" i="3"/>
  <c r="LFU64" i="3"/>
  <c r="LFM64" i="3"/>
  <c r="LFO64" i="3" s="1"/>
  <c r="LFE64" i="3"/>
  <c r="LFG64" i="3" s="1"/>
  <c r="LEY64" i="3"/>
  <c r="LEW64" i="3"/>
  <c r="LEQ64" i="3"/>
  <c r="LEO64" i="3"/>
  <c r="LEG64" i="3"/>
  <c r="LEI64" i="3" s="1"/>
  <c r="LEA64" i="3"/>
  <c r="LDY64" i="3"/>
  <c r="LDQ64" i="3"/>
  <c r="LDS64" i="3" s="1"/>
  <c r="LDK64" i="3"/>
  <c r="LDI64" i="3"/>
  <c r="LDA64" i="3"/>
  <c r="LDC64" i="3" s="1"/>
  <c r="LCU64" i="3"/>
  <c r="LCS64" i="3"/>
  <c r="LCM64" i="3"/>
  <c r="LCK64" i="3"/>
  <c r="LCC64" i="3"/>
  <c r="LCE64" i="3" s="1"/>
  <c r="LBU64" i="3"/>
  <c r="LBW64" i="3" s="1"/>
  <c r="LBM64" i="3"/>
  <c r="LBO64" i="3" s="1"/>
  <c r="LBE64" i="3"/>
  <c r="LBG64" i="3" s="1"/>
  <c r="LAY64" i="3"/>
  <c r="LAW64" i="3"/>
  <c r="LAO64" i="3"/>
  <c r="LAQ64" i="3" s="1"/>
  <c r="LAG64" i="3"/>
  <c r="LAI64" i="3" s="1"/>
  <c r="KZY64" i="3"/>
  <c r="LAA64" i="3" s="1"/>
  <c r="KZQ64" i="3"/>
  <c r="KZS64" i="3" s="1"/>
  <c r="KZK64" i="3"/>
  <c r="KZI64" i="3"/>
  <c r="KZC64" i="3"/>
  <c r="KZA64" i="3"/>
  <c r="KYS64" i="3"/>
  <c r="KYU64" i="3" s="1"/>
  <c r="KYK64" i="3"/>
  <c r="KYM64" i="3" s="1"/>
  <c r="KYC64" i="3"/>
  <c r="KYE64" i="3" s="1"/>
  <c r="KXU64" i="3"/>
  <c r="KXW64" i="3" s="1"/>
  <c r="KXM64" i="3"/>
  <c r="KXO64" i="3" s="1"/>
  <c r="KXE64" i="3"/>
  <c r="KXG64" i="3" s="1"/>
  <c r="KWY64" i="3"/>
  <c r="KWW64" i="3"/>
  <c r="KWO64" i="3"/>
  <c r="KWQ64" i="3" s="1"/>
  <c r="KWG64" i="3"/>
  <c r="KWI64" i="3" s="1"/>
  <c r="KVY64" i="3"/>
  <c r="KWA64" i="3" s="1"/>
  <c r="KVQ64" i="3"/>
  <c r="KVS64" i="3" s="1"/>
  <c r="KVI64" i="3"/>
  <c r="KVK64" i="3" s="1"/>
  <c r="KVA64" i="3"/>
  <c r="KVC64" i="3" s="1"/>
  <c r="KUU64" i="3"/>
  <c r="KUS64" i="3"/>
  <c r="KUK64" i="3"/>
  <c r="KUM64" i="3" s="1"/>
  <c r="KUE64" i="3"/>
  <c r="KUC64" i="3"/>
  <c r="KTU64" i="3"/>
  <c r="KTW64" i="3" s="1"/>
  <c r="KTO64" i="3"/>
  <c r="KTM64" i="3"/>
  <c r="KTE64" i="3"/>
  <c r="KTG64" i="3" s="1"/>
  <c r="KSW64" i="3"/>
  <c r="KSY64" i="3" s="1"/>
  <c r="KSO64" i="3"/>
  <c r="KSQ64" i="3" s="1"/>
  <c r="KSG64" i="3"/>
  <c r="KSI64" i="3" s="1"/>
  <c r="KRY64" i="3"/>
  <c r="KSA64" i="3" s="1"/>
  <c r="KRS64" i="3"/>
  <c r="KRQ64" i="3"/>
  <c r="KRI64" i="3"/>
  <c r="KRK64" i="3" s="1"/>
  <c r="KRC64" i="3"/>
  <c r="KRA64" i="3"/>
  <c r="KQS64" i="3"/>
  <c r="KQU64" i="3" s="1"/>
  <c r="KQK64" i="3"/>
  <c r="KQM64" i="3" s="1"/>
  <c r="KQC64" i="3"/>
  <c r="KQE64" i="3" s="1"/>
  <c r="KPU64" i="3"/>
  <c r="KPW64" i="3" s="1"/>
  <c r="KPO64" i="3"/>
  <c r="KPM64" i="3"/>
  <c r="KPE64" i="3"/>
  <c r="KPG64" i="3" s="1"/>
  <c r="KOW64" i="3"/>
  <c r="KOY64" i="3" s="1"/>
  <c r="KOO64" i="3"/>
  <c r="KOQ64" i="3" s="1"/>
  <c r="KOG64" i="3"/>
  <c r="KOI64" i="3" s="1"/>
  <c r="KNY64" i="3"/>
  <c r="KOA64" i="3" s="1"/>
  <c r="KNQ64" i="3"/>
  <c r="KNS64" i="3" s="1"/>
  <c r="KNI64" i="3"/>
  <c r="KNK64" i="3" s="1"/>
  <c r="KNA64" i="3"/>
  <c r="KNC64" i="3" s="1"/>
  <c r="KMS64" i="3"/>
  <c r="KMU64" i="3" s="1"/>
  <c r="KMK64" i="3"/>
  <c r="KMM64" i="3" s="1"/>
  <c r="KME64" i="3"/>
  <c r="KMC64" i="3"/>
  <c r="KLW64" i="3"/>
  <c r="KLU64" i="3"/>
  <c r="KLM64" i="3"/>
  <c r="KLO64" i="3" s="1"/>
  <c r="KLE64" i="3"/>
  <c r="KLG64" i="3" s="1"/>
  <c r="KKW64" i="3"/>
  <c r="KKY64" i="3" s="1"/>
  <c r="KKQ64" i="3"/>
  <c r="KKO64" i="3"/>
  <c r="KKI64" i="3"/>
  <c r="KKG64" i="3"/>
  <c r="KKA64" i="3"/>
  <c r="KJY64" i="3"/>
  <c r="KJS64" i="3"/>
  <c r="KJQ64" i="3"/>
  <c r="KJI64" i="3"/>
  <c r="KJK64" i="3" s="1"/>
  <c r="KJA64" i="3"/>
  <c r="KJC64" i="3" s="1"/>
  <c r="KIS64" i="3"/>
  <c r="KIU64" i="3" s="1"/>
  <c r="KIM64" i="3"/>
  <c r="KIK64" i="3"/>
  <c r="KIE64" i="3"/>
  <c r="KIC64" i="3"/>
  <c r="KHW64" i="3"/>
  <c r="KHU64" i="3"/>
  <c r="KHM64" i="3"/>
  <c r="KHO64" i="3" s="1"/>
  <c r="KHE64" i="3"/>
  <c r="KHG64" i="3" s="1"/>
  <c r="KGW64" i="3"/>
  <c r="KGY64" i="3" s="1"/>
  <c r="KGO64" i="3"/>
  <c r="KGQ64" i="3" s="1"/>
  <c r="KGI64" i="3"/>
  <c r="KGG64" i="3"/>
  <c r="KGA64" i="3"/>
  <c r="KFY64" i="3"/>
  <c r="KFQ64" i="3"/>
  <c r="KFS64" i="3" s="1"/>
  <c r="KFI64" i="3"/>
  <c r="KFK64" i="3" s="1"/>
  <c r="KFA64" i="3"/>
  <c r="KFC64" i="3" s="1"/>
  <c r="KES64" i="3"/>
  <c r="KEU64" i="3" s="1"/>
  <c r="KEK64" i="3"/>
  <c r="KEM64" i="3" s="1"/>
  <c r="KEE64" i="3"/>
  <c r="KEC64" i="3"/>
  <c r="KDU64" i="3"/>
  <c r="KDW64" i="3" s="1"/>
  <c r="KDO64" i="3"/>
  <c r="KDM64" i="3"/>
  <c r="KDE64" i="3"/>
  <c r="KDG64" i="3" s="1"/>
  <c r="KCY64" i="3"/>
  <c r="KCW64" i="3"/>
  <c r="KCO64" i="3"/>
  <c r="KCQ64" i="3" s="1"/>
  <c r="KCG64" i="3"/>
  <c r="KCI64" i="3" s="1"/>
  <c r="KBY64" i="3"/>
  <c r="KCA64" i="3" s="1"/>
  <c r="KBQ64" i="3"/>
  <c r="KBS64" i="3" s="1"/>
  <c r="KBK64" i="3"/>
  <c r="KBI64" i="3"/>
  <c r="KBA64" i="3"/>
  <c r="KBC64" i="3" s="1"/>
  <c r="KAU64" i="3"/>
  <c r="KAS64" i="3"/>
  <c r="KAK64" i="3"/>
  <c r="KAM64" i="3" s="1"/>
  <c r="KAC64" i="3"/>
  <c r="KAE64" i="3" s="1"/>
  <c r="JZU64" i="3"/>
  <c r="JZW64" i="3" s="1"/>
  <c r="JZM64" i="3"/>
  <c r="JZO64" i="3" s="1"/>
  <c r="JZE64" i="3"/>
  <c r="JZG64" i="3" s="1"/>
  <c r="JYW64" i="3"/>
  <c r="JYY64" i="3" s="1"/>
  <c r="JYO64" i="3"/>
  <c r="JYQ64" i="3" s="1"/>
  <c r="JYG64" i="3"/>
  <c r="JYI64" i="3" s="1"/>
  <c r="JYA64" i="3"/>
  <c r="JXY64" i="3"/>
  <c r="JXQ64" i="3"/>
  <c r="JXS64" i="3" s="1"/>
  <c r="JXI64" i="3"/>
  <c r="JXK64" i="3" s="1"/>
  <c r="JXC64" i="3"/>
  <c r="JXA64" i="3"/>
  <c r="JWS64" i="3"/>
  <c r="JWU64" i="3" s="1"/>
  <c r="JWK64" i="3"/>
  <c r="JWM64" i="3" s="1"/>
  <c r="JWC64" i="3"/>
  <c r="JWE64" i="3" s="1"/>
  <c r="JVU64" i="3"/>
  <c r="JVW64" i="3" s="1"/>
  <c r="JVO64" i="3"/>
  <c r="JVM64" i="3"/>
  <c r="JVE64" i="3"/>
  <c r="JVG64" i="3" s="1"/>
  <c r="JUW64" i="3"/>
  <c r="JUY64" i="3" s="1"/>
  <c r="JUO64" i="3"/>
  <c r="JUQ64" i="3" s="1"/>
  <c r="JUG64" i="3"/>
  <c r="JUI64" i="3" s="1"/>
  <c r="JUA64" i="3"/>
  <c r="JTY64" i="3"/>
  <c r="JTQ64" i="3"/>
  <c r="JTS64" i="3" s="1"/>
  <c r="JTK64" i="3"/>
  <c r="JTI64" i="3"/>
  <c r="JTA64" i="3"/>
  <c r="JTC64" i="3" s="1"/>
  <c r="JSS64" i="3"/>
  <c r="JSU64" i="3" s="1"/>
  <c r="JSM64" i="3"/>
  <c r="JSK64" i="3"/>
  <c r="JSC64" i="3"/>
  <c r="JSE64" i="3" s="1"/>
  <c r="JRU64" i="3"/>
  <c r="JRW64" i="3" s="1"/>
  <c r="JRO64" i="3"/>
  <c r="JRM64" i="3"/>
  <c r="JRG64" i="3"/>
  <c r="JRE64" i="3"/>
  <c r="JQW64" i="3"/>
  <c r="JQY64" i="3" s="1"/>
  <c r="JQQ64" i="3"/>
  <c r="JQO64" i="3"/>
  <c r="JQG64" i="3"/>
  <c r="JQI64" i="3" s="1"/>
  <c r="JQA64" i="3"/>
  <c r="JPY64" i="3"/>
  <c r="JPQ64" i="3"/>
  <c r="JPS64" i="3" s="1"/>
  <c r="JPI64" i="3"/>
  <c r="JPK64" i="3" s="1"/>
  <c r="JPA64" i="3"/>
  <c r="JPC64" i="3" s="1"/>
  <c r="JOS64" i="3"/>
  <c r="JOU64" i="3" s="1"/>
  <c r="JOK64" i="3"/>
  <c r="JOM64" i="3" s="1"/>
  <c r="JOE64" i="3"/>
  <c r="JOC64" i="3"/>
  <c r="JNW64" i="3"/>
  <c r="JNU64" i="3"/>
  <c r="JNM64" i="3"/>
  <c r="JNO64" i="3" s="1"/>
  <c r="JNE64" i="3"/>
  <c r="JNG64" i="3" s="1"/>
  <c r="JMW64" i="3"/>
  <c r="JMY64" i="3" s="1"/>
  <c r="JMQ64" i="3"/>
  <c r="JMO64" i="3"/>
  <c r="JMG64" i="3"/>
  <c r="JMI64" i="3" s="1"/>
  <c r="JLY64" i="3"/>
  <c r="JMA64" i="3" s="1"/>
  <c r="JLS64" i="3"/>
  <c r="JLQ64" i="3"/>
  <c r="JLI64" i="3"/>
  <c r="JLK64" i="3" s="1"/>
  <c r="JLA64" i="3"/>
  <c r="JLC64" i="3" s="1"/>
  <c r="JKS64" i="3"/>
  <c r="JKU64" i="3" s="1"/>
  <c r="JKM64" i="3"/>
  <c r="JKK64" i="3"/>
  <c r="JKC64" i="3"/>
  <c r="JKE64" i="3" s="1"/>
  <c r="JJW64" i="3"/>
  <c r="JJU64" i="3"/>
  <c r="JJM64" i="3"/>
  <c r="JJO64" i="3" s="1"/>
  <c r="JJE64" i="3"/>
  <c r="JJG64" i="3" s="1"/>
  <c r="JIW64" i="3"/>
  <c r="JIY64" i="3" s="1"/>
  <c r="JIO64" i="3"/>
  <c r="JIQ64" i="3" s="1"/>
  <c r="JIG64" i="3"/>
  <c r="JII64" i="3" s="1"/>
  <c r="JIA64" i="3"/>
  <c r="JHY64" i="3"/>
  <c r="JHQ64" i="3"/>
  <c r="JHS64" i="3" s="1"/>
  <c r="JHI64" i="3"/>
  <c r="JHK64" i="3" s="1"/>
  <c r="JHC64" i="3"/>
  <c r="JHA64" i="3"/>
  <c r="JGS64" i="3"/>
  <c r="JGU64" i="3" s="1"/>
  <c r="JGK64" i="3"/>
  <c r="JGM64" i="3" s="1"/>
  <c r="JGE64" i="3"/>
  <c r="JGC64" i="3"/>
  <c r="JFU64" i="3"/>
  <c r="JFW64" i="3" s="1"/>
  <c r="JFM64" i="3"/>
  <c r="JFO64" i="3" s="1"/>
  <c r="JFE64" i="3"/>
  <c r="JFG64" i="3" s="1"/>
  <c r="JEY64" i="3"/>
  <c r="JEW64" i="3"/>
  <c r="JEO64" i="3"/>
  <c r="JEQ64" i="3" s="1"/>
  <c r="JEG64" i="3"/>
  <c r="JEI64" i="3" s="1"/>
  <c r="JDY64" i="3"/>
  <c r="JEA64" i="3" s="1"/>
  <c r="JDQ64" i="3"/>
  <c r="JDS64" i="3" s="1"/>
  <c r="JDI64" i="3"/>
  <c r="JDK64" i="3" s="1"/>
  <c r="JDA64" i="3"/>
  <c r="JDC64" i="3" s="1"/>
  <c r="JCU64" i="3"/>
  <c r="JCS64" i="3"/>
  <c r="JCK64" i="3"/>
  <c r="JCM64" i="3" s="1"/>
  <c r="JCC64" i="3"/>
  <c r="JCE64" i="3" s="1"/>
  <c r="JBU64" i="3"/>
  <c r="JBW64" i="3" s="1"/>
  <c r="JBM64" i="3"/>
  <c r="JBO64" i="3" s="1"/>
  <c r="JBG64" i="3"/>
  <c r="JBE64" i="3"/>
  <c r="JAW64" i="3"/>
  <c r="JAY64" i="3" s="1"/>
  <c r="JAO64" i="3"/>
  <c r="JAQ64" i="3" s="1"/>
  <c r="JAG64" i="3"/>
  <c r="JAI64" i="3" s="1"/>
  <c r="IZY64" i="3"/>
  <c r="JAA64" i="3" s="1"/>
  <c r="IZQ64" i="3"/>
  <c r="IZS64" i="3" s="1"/>
  <c r="IZI64" i="3"/>
  <c r="IZK64" i="3" s="1"/>
  <c r="IZA64" i="3"/>
  <c r="IZC64" i="3" s="1"/>
  <c r="IYU64" i="3"/>
  <c r="IYS64" i="3"/>
  <c r="IYK64" i="3"/>
  <c r="IYM64" i="3" s="1"/>
  <c r="IYC64" i="3"/>
  <c r="IYE64" i="3" s="1"/>
  <c r="IXW64" i="3"/>
  <c r="IXU64" i="3"/>
  <c r="IXM64" i="3"/>
  <c r="IXO64" i="3" s="1"/>
  <c r="IXG64" i="3"/>
  <c r="IXE64" i="3"/>
  <c r="IWW64" i="3"/>
  <c r="IWY64" i="3" s="1"/>
  <c r="IWO64" i="3"/>
  <c r="IWQ64" i="3" s="1"/>
  <c r="IWI64" i="3"/>
  <c r="IWG64" i="3"/>
  <c r="IVY64" i="3"/>
  <c r="IWA64" i="3" s="1"/>
  <c r="IVS64" i="3"/>
  <c r="IVQ64" i="3"/>
  <c r="IVI64" i="3"/>
  <c r="IVK64" i="3" s="1"/>
  <c r="IVC64" i="3"/>
  <c r="IVA64" i="3"/>
  <c r="IUS64" i="3"/>
  <c r="IUU64" i="3" s="1"/>
  <c r="IUK64" i="3"/>
  <c r="IUM64" i="3" s="1"/>
  <c r="IUC64" i="3"/>
  <c r="IUE64" i="3" s="1"/>
  <c r="ITW64" i="3"/>
  <c r="ITU64" i="3"/>
  <c r="ITO64" i="3"/>
  <c r="ITM64" i="3"/>
  <c r="ITE64" i="3"/>
  <c r="ITG64" i="3" s="1"/>
  <c r="ISW64" i="3"/>
  <c r="ISY64" i="3" s="1"/>
  <c r="ISO64" i="3"/>
  <c r="ISQ64" i="3" s="1"/>
  <c r="ISI64" i="3"/>
  <c r="ISG64" i="3"/>
  <c r="IRY64" i="3"/>
  <c r="ISA64" i="3" s="1"/>
  <c r="IRS64" i="3"/>
  <c r="IRQ64" i="3"/>
  <c r="IRK64" i="3"/>
  <c r="IRI64" i="3"/>
  <c r="IRA64" i="3"/>
  <c r="IRC64" i="3" s="1"/>
  <c r="IQS64" i="3"/>
  <c r="IQU64" i="3" s="1"/>
  <c r="IQK64" i="3"/>
  <c r="IQM64" i="3" s="1"/>
  <c r="IQE64" i="3"/>
  <c r="IQC64" i="3"/>
  <c r="IPU64" i="3"/>
  <c r="IPW64" i="3" s="1"/>
  <c r="IPO64" i="3"/>
  <c r="IPM64" i="3"/>
  <c r="IPE64" i="3"/>
  <c r="IPG64" i="3" s="1"/>
  <c r="IOW64" i="3"/>
  <c r="IOY64" i="3" s="1"/>
  <c r="IOO64" i="3"/>
  <c r="IOQ64" i="3" s="1"/>
  <c r="IOG64" i="3"/>
  <c r="IOI64" i="3" s="1"/>
  <c r="IOA64" i="3"/>
  <c r="INY64" i="3"/>
  <c r="INQ64" i="3"/>
  <c r="INS64" i="3" s="1"/>
  <c r="INI64" i="3"/>
  <c r="INK64" i="3" s="1"/>
  <c r="INA64" i="3"/>
  <c r="INC64" i="3" s="1"/>
  <c r="IMS64" i="3"/>
  <c r="IMU64" i="3" s="1"/>
  <c r="IMK64" i="3"/>
  <c r="IMM64" i="3" s="1"/>
  <c r="IME64" i="3"/>
  <c r="IMC64" i="3"/>
  <c r="ILU64" i="3"/>
  <c r="ILW64" i="3" s="1"/>
  <c r="ILM64" i="3"/>
  <c r="ILO64" i="3" s="1"/>
  <c r="ILG64" i="3"/>
  <c r="ILE64" i="3"/>
  <c r="IKW64" i="3"/>
  <c r="IKY64" i="3" s="1"/>
  <c r="IKQ64" i="3"/>
  <c r="IKO64" i="3"/>
  <c r="IKI64" i="3"/>
  <c r="IKG64" i="3"/>
  <c r="IJY64" i="3"/>
  <c r="IKA64" i="3" s="1"/>
  <c r="IJQ64" i="3"/>
  <c r="IJS64" i="3" s="1"/>
  <c r="IJI64" i="3"/>
  <c r="IJK64" i="3" s="1"/>
  <c r="IJC64" i="3"/>
  <c r="IJA64" i="3"/>
  <c r="IIS64" i="3"/>
  <c r="IIU64" i="3" s="1"/>
  <c r="IIM64" i="3"/>
  <c r="IIK64" i="3"/>
  <c r="IIE64" i="3"/>
  <c r="IIC64" i="3"/>
  <c r="IHU64" i="3"/>
  <c r="IHW64" i="3" s="1"/>
  <c r="IHM64" i="3"/>
  <c r="IHO64" i="3" s="1"/>
  <c r="IHE64" i="3"/>
  <c r="IHG64" i="3" s="1"/>
  <c r="IGW64" i="3"/>
  <c r="IGY64" i="3" s="1"/>
  <c r="IGQ64" i="3"/>
  <c r="IGO64" i="3"/>
  <c r="IGG64" i="3"/>
  <c r="IGI64" i="3" s="1"/>
  <c r="IFY64" i="3"/>
  <c r="IGA64" i="3" s="1"/>
  <c r="IFS64" i="3"/>
  <c r="IFQ64" i="3"/>
  <c r="IFI64" i="3"/>
  <c r="IFK64" i="3" s="1"/>
  <c r="IFA64" i="3"/>
  <c r="IFC64" i="3" s="1"/>
  <c r="IEU64" i="3"/>
  <c r="IES64" i="3"/>
  <c r="IEM64" i="3"/>
  <c r="IEK64" i="3"/>
  <c r="IEC64" i="3"/>
  <c r="IEE64" i="3" s="1"/>
  <c r="IDU64" i="3"/>
  <c r="IDW64" i="3" s="1"/>
  <c r="IDM64" i="3"/>
  <c r="IDO64" i="3" s="1"/>
  <c r="IDG64" i="3"/>
  <c r="IDE64" i="3"/>
  <c r="ICW64" i="3"/>
  <c r="ICY64" i="3" s="1"/>
  <c r="ICO64" i="3"/>
  <c r="ICQ64" i="3" s="1"/>
  <c r="ICG64" i="3"/>
  <c r="ICI64" i="3" s="1"/>
  <c r="IBY64" i="3"/>
  <c r="ICA64" i="3" s="1"/>
  <c r="IBS64" i="3"/>
  <c r="IBQ64" i="3"/>
  <c r="IBK64" i="3"/>
  <c r="IBI64" i="3"/>
  <c r="IBC64" i="3"/>
  <c r="IBA64" i="3"/>
  <c r="IAS64" i="3"/>
  <c r="IAU64" i="3" s="1"/>
  <c r="IAK64" i="3"/>
  <c r="IAM64" i="3" s="1"/>
  <c r="IAC64" i="3"/>
  <c r="IAE64" i="3" s="1"/>
  <c r="HZU64" i="3"/>
  <c r="HZW64" i="3" s="1"/>
  <c r="HZO64" i="3"/>
  <c r="HZM64" i="3"/>
  <c r="HZG64" i="3"/>
  <c r="HZE64" i="3"/>
  <c r="HYY64" i="3"/>
  <c r="HYW64" i="3"/>
  <c r="HYO64" i="3"/>
  <c r="HYQ64" i="3" s="1"/>
  <c r="HYG64" i="3"/>
  <c r="HYI64" i="3" s="1"/>
  <c r="HXY64" i="3"/>
  <c r="HYA64" i="3" s="1"/>
  <c r="HXQ64" i="3"/>
  <c r="HXS64" i="3" s="1"/>
  <c r="HXK64" i="3"/>
  <c r="HXI64" i="3"/>
  <c r="HXC64" i="3"/>
  <c r="HXA64" i="3"/>
  <c r="HWS64" i="3"/>
  <c r="HWU64" i="3" s="1"/>
  <c r="HWK64" i="3"/>
  <c r="HWM64" i="3" s="1"/>
  <c r="HWC64" i="3"/>
  <c r="HWE64" i="3" s="1"/>
  <c r="HVU64" i="3"/>
  <c r="HVW64" i="3" s="1"/>
  <c r="HVM64" i="3"/>
  <c r="HVO64" i="3" s="1"/>
  <c r="HVE64" i="3"/>
  <c r="HVG64" i="3" s="1"/>
  <c r="HUW64" i="3"/>
  <c r="HUY64" i="3" s="1"/>
  <c r="HUO64" i="3"/>
  <c r="HUQ64" i="3" s="1"/>
  <c r="HUI64" i="3"/>
  <c r="HUG64" i="3"/>
  <c r="HTY64" i="3"/>
  <c r="HUA64" i="3" s="1"/>
  <c r="HTS64" i="3"/>
  <c r="HTQ64" i="3"/>
  <c r="HTI64" i="3"/>
  <c r="HTK64" i="3" s="1"/>
  <c r="HTA64" i="3"/>
  <c r="HTC64" i="3" s="1"/>
  <c r="HSS64" i="3"/>
  <c r="HSU64" i="3" s="1"/>
  <c r="HSK64" i="3"/>
  <c r="HSM64" i="3" s="1"/>
  <c r="HSE64" i="3"/>
  <c r="HSC64" i="3"/>
  <c r="HRU64" i="3"/>
  <c r="HRW64" i="3" s="1"/>
  <c r="HRO64" i="3"/>
  <c r="HRM64" i="3"/>
  <c r="HRE64" i="3"/>
  <c r="HRG64" i="3" s="1"/>
  <c r="HQW64" i="3"/>
  <c r="HQY64" i="3" s="1"/>
  <c r="HQO64" i="3"/>
  <c r="HQQ64" i="3" s="1"/>
  <c r="HQG64" i="3"/>
  <c r="HQI64" i="3" s="1"/>
  <c r="HPY64" i="3"/>
  <c r="HQA64" i="3" s="1"/>
  <c r="HPS64" i="3"/>
  <c r="HPQ64" i="3"/>
  <c r="HPI64" i="3"/>
  <c r="HPK64" i="3" s="1"/>
  <c r="HPA64" i="3"/>
  <c r="HPC64" i="3" s="1"/>
  <c r="HOU64" i="3"/>
  <c r="HOS64" i="3"/>
  <c r="HOK64" i="3"/>
  <c r="HOM64" i="3" s="1"/>
  <c r="HOE64" i="3"/>
  <c r="HOC64" i="3"/>
  <c r="HNU64" i="3"/>
  <c r="HNW64" i="3" s="1"/>
  <c r="HNM64" i="3"/>
  <c r="HNO64" i="3" s="1"/>
  <c r="HNE64" i="3"/>
  <c r="HNG64" i="3" s="1"/>
  <c r="HMW64" i="3"/>
  <c r="HMY64" i="3" s="1"/>
  <c r="HMQ64" i="3"/>
  <c r="HMO64" i="3"/>
  <c r="HMG64" i="3"/>
  <c r="HMI64" i="3" s="1"/>
  <c r="HMA64" i="3"/>
  <c r="HLY64" i="3"/>
  <c r="HLQ64" i="3"/>
  <c r="HLS64" i="3" s="1"/>
  <c r="HLI64" i="3"/>
  <c r="HLK64" i="3" s="1"/>
  <c r="HLA64" i="3"/>
  <c r="HLC64" i="3" s="1"/>
  <c r="HKS64" i="3"/>
  <c r="HKU64" i="3" s="1"/>
  <c r="HKK64" i="3"/>
  <c r="HKM64" i="3" s="1"/>
  <c r="HKE64" i="3"/>
  <c r="HKC64" i="3"/>
  <c r="HJU64" i="3"/>
  <c r="HJW64" i="3" s="1"/>
  <c r="HJO64" i="3"/>
  <c r="HJM64" i="3"/>
  <c r="HJE64" i="3"/>
  <c r="HJG64" i="3" s="1"/>
  <c r="HIY64" i="3"/>
  <c r="HIW64" i="3"/>
  <c r="HIO64" i="3"/>
  <c r="HIQ64" i="3" s="1"/>
  <c r="HII64" i="3"/>
  <c r="HIG64" i="3"/>
  <c r="HHY64" i="3"/>
  <c r="HIA64" i="3" s="1"/>
  <c r="HHQ64" i="3"/>
  <c r="HHS64" i="3" s="1"/>
  <c r="HHI64" i="3"/>
  <c r="HHK64" i="3" s="1"/>
  <c r="HHC64" i="3"/>
  <c r="HHA64" i="3"/>
  <c r="HGS64" i="3"/>
  <c r="HGU64" i="3" s="1"/>
  <c r="HGM64" i="3"/>
  <c r="HGK64" i="3"/>
  <c r="HGC64" i="3"/>
  <c r="HGE64" i="3" s="1"/>
  <c r="HFU64" i="3"/>
  <c r="HFW64" i="3" s="1"/>
  <c r="HFM64" i="3"/>
  <c r="HFO64" i="3" s="1"/>
  <c r="HFG64" i="3"/>
  <c r="HFE64" i="3"/>
  <c r="HEY64" i="3"/>
  <c r="HEW64" i="3"/>
  <c r="HEO64" i="3"/>
  <c r="HEQ64" i="3" s="1"/>
  <c r="HEG64" i="3"/>
  <c r="HEI64" i="3" s="1"/>
  <c r="HDY64" i="3"/>
  <c r="HEA64" i="3" s="1"/>
  <c r="HDQ64" i="3"/>
  <c r="HDS64" i="3" s="1"/>
  <c r="HDK64" i="3"/>
  <c r="HDI64" i="3"/>
  <c r="HDC64" i="3"/>
  <c r="HDA64" i="3"/>
  <c r="HCU64" i="3"/>
  <c r="HCS64" i="3"/>
  <c r="HCK64" i="3"/>
  <c r="HCM64" i="3" s="1"/>
  <c r="HCE64" i="3"/>
  <c r="HCC64" i="3"/>
  <c r="HBU64" i="3"/>
  <c r="HBW64" i="3" s="1"/>
  <c r="HBM64" i="3"/>
  <c r="HBO64" i="3" s="1"/>
  <c r="HBG64" i="3"/>
  <c r="HBE64" i="3"/>
  <c r="HAY64" i="3"/>
  <c r="HAW64" i="3"/>
  <c r="HAO64" i="3"/>
  <c r="HAQ64" i="3" s="1"/>
  <c r="HAG64" i="3"/>
  <c r="HAI64" i="3" s="1"/>
  <c r="HAA64" i="3"/>
  <c r="GZY64" i="3"/>
  <c r="GZS64" i="3"/>
  <c r="GZQ64" i="3"/>
  <c r="GZI64" i="3"/>
  <c r="GZK64" i="3" s="1"/>
  <c r="GZC64" i="3"/>
  <c r="GZA64" i="3"/>
  <c r="GYS64" i="3"/>
  <c r="GYU64" i="3" s="1"/>
  <c r="GYK64" i="3"/>
  <c r="GYM64" i="3" s="1"/>
  <c r="GYC64" i="3"/>
  <c r="GYE64" i="3" s="1"/>
  <c r="GXU64" i="3"/>
  <c r="GXW64" i="3" s="1"/>
  <c r="GXO64" i="3"/>
  <c r="GXM64" i="3"/>
  <c r="GXE64" i="3"/>
  <c r="GXG64" i="3" s="1"/>
  <c r="GWW64" i="3"/>
  <c r="GWY64" i="3" s="1"/>
  <c r="GWQ64" i="3"/>
  <c r="GWO64" i="3"/>
  <c r="GWI64" i="3"/>
  <c r="GWG64" i="3"/>
  <c r="GWA64" i="3"/>
  <c r="GVY64" i="3"/>
  <c r="GVQ64" i="3"/>
  <c r="GVS64" i="3" s="1"/>
  <c r="GVK64" i="3"/>
  <c r="GVI64" i="3"/>
  <c r="GVA64" i="3"/>
  <c r="GVC64" i="3" s="1"/>
  <c r="GUS64" i="3"/>
  <c r="GUU64" i="3" s="1"/>
  <c r="GUK64" i="3"/>
  <c r="GUM64" i="3" s="1"/>
  <c r="GUE64" i="3"/>
  <c r="GUC64" i="3"/>
  <c r="GTU64" i="3"/>
  <c r="GTW64" i="3" s="1"/>
  <c r="GTO64" i="3"/>
  <c r="GTM64" i="3"/>
  <c r="GTE64" i="3"/>
  <c r="GTG64" i="3" s="1"/>
  <c r="GSW64" i="3"/>
  <c r="GSY64" i="3" s="1"/>
  <c r="GSQ64" i="3"/>
  <c r="GSO64" i="3"/>
  <c r="GSG64" i="3"/>
  <c r="GSI64" i="3" s="1"/>
  <c r="GSA64" i="3"/>
  <c r="GRY64" i="3"/>
  <c r="GRQ64" i="3"/>
  <c r="GRS64" i="3" s="1"/>
  <c r="GRI64" i="3"/>
  <c r="GRK64" i="3" s="1"/>
  <c r="GRA64" i="3"/>
  <c r="GRC64" i="3" s="1"/>
  <c r="GQS64" i="3"/>
  <c r="GQU64" i="3" s="1"/>
  <c r="GQK64" i="3"/>
  <c r="GQM64" i="3" s="1"/>
  <c r="GQE64" i="3"/>
  <c r="GQC64" i="3"/>
  <c r="GPU64" i="3"/>
  <c r="GPW64" i="3" s="1"/>
  <c r="GPM64" i="3"/>
  <c r="GPO64" i="3" s="1"/>
  <c r="GPE64" i="3"/>
  <c r="GPG64" i="3" s="1"/>
  <c r="GOW64" i="3"/>
  <c r="GOY64" i="3" s="1"/>
  <c r="GOQ64" i="3"/>
  <c r="GOO64" i="3"/>
  <c r="GOG64" i="3"/>
  <c r="GOI64" i="3" s="1"/>
  <c r="GOA64" i="3"/>
  <c r="GNY64" i="3"/>
  <c r="GNQ64" i="3"/>
  <c r="GNS64" i="3" s="1"/>
  <c r="GNI64" i="3"/>
  <c r="GNK64" i="3" s="1"/>
  <c r="GNA64" i="3"/>
  <c r="GNC64" i="3" s="1"/>
  <c r="GMS64" i="3"/>
  <c r="GMU64" i="3" s="1"/>
  <c r="GMM64" i="3"/>
  <c r="GMK64" i="3"/>
  <c r="GMC64" i="3"/>
  <c r="GME64" i="3" s="1"/>
  <c r="GLU64" i="3"/>
  <c r="GLW64" i="3" s="1"/>
  <c r="GLM64" i="3"/>
  <c r="GLO64" i="3" s="1"/>
  <c r="GLE64" i="3"/>
  <c r="GLG64" i="3" s="1"/>
  <c r="GKW64" i="3"/>
  <c r="GKY64" i="3" s="1"/>
  <c r="GKO64" i="3"/>
  <c r="GKQ64" i="3" s="1"/>
  <c r="GKG64" i="3"/>
  <c r="GKI64" i="3" s="1"/>
  <c r="GJY64" i="3"/>
  <c r="GKA64" i="3" s="1"/>
  <c r="GJQ64" i="3"/>
  <c r="GJS64" i="3" s="1"/>
  <c r="GJK64" i="3"/>
  <c r="GJI64" i="3"/>
  <c r="GJC64" i="3"/>
  <c r="GJA64" i="3"/>
  <c r="GIU64" i="3"/>
  <c r="GIS64" i="3"/>
  <c r="GIK64" i="3"/>
  <c r="GIM64" i="3" s="1"/>
  <c r="GIC64" i="3"/>
  <c r="GIE64" i="3" s="1"/>
  <c r="GHU64" i="3"/>
  <c r="GHW64" i="3" s="1"/>
  <c r="GHM64" i="3"/>
  <c r="GHO64" i="3" s="1"/>
  <c r="GHE64" i="3"/>
  <c r="GHG64" i="3" s="1"/>
  <c r="GGY64" i="3"/>
  <c r="GGW64" i="3"/>
  <c r="GGO64" i="3"/>
  <c r="GGQ64" i="3" s="1"/>
  <c r="GGG64" i="3"/>
  <c r="GGI64" i="3" s="1"/>
  <c r="GFY64" i="3"/>
  <c r="GGA64" i="3" s="1"/>
  <c r="GFQ64" i="3"/>
  <c r="GFS64" i="3" s="1"/>
  <c r="GFK64" i="3"/>
  <c r="GFI64" i="3"/>
  <c r="GFC64" i="3"/>
  <c r="GFA64" i="3"/>
  <c r="GEU64" i="3"/>
  <c r="GES64" i="3"/>
  <c r="GEK64" i="3"/>
  <c r="GEM64" i="3" s="1"/>
  <c r="GEC64" i="3"/>
  <c r="GEE64" i="3" s="1"/>
  <c r="GDU64" i="3"/>
  <c r="GDW64" i="3" s="1"/>
  <c r="GDM64" i="3"/>
  <c r="GDO64" i="3" s="1"/>
  <c r="GDG64" i="3"/>
  <c r="GDE64" i="3"/>
  <c r="GCY64" i="3"/>
  <c r="GCW64" i="3"/>
  <c r="GCO64" i="3"/>
  <c r="GCQ64" i="3" s="1"/>
  <c r="GCG64" i="3"/>
  <c r="GCI64" i="3" s="1"/>
  <c r="GCA64" i="3"/>
  <c r="GBY64" i="3"/>
  <c r="GBQ64" i="3"/>
  <c r="GBS64" i="3" s="1"/>
  <c r="GBI64" i="3"/>
  <c r="GBK64" i="3" s="1"/>
  <c r="GBC64" i="3"/>
  <c r="GBA64" i="3"/>
  <c r="GAS64" i="3"/>
  <c r="GAU64" i="3" s="1"/>
  <c r="GAM64" i="3"/>
  <c r="GAK64" i="3"/>
  <c r="GAC64" i="3"/>
  <c r="GAE64" i="3" s="1"/>
  <c r="FZW64" i="3"/>
  <c r="FZU64" i="3"/>
  <c r="FZO64" i="3"/>
  <c r="FZM64" i="3"/>
  <c r="FZE64" i="3"/>
  <c r="FZG64" i="3" s="1"/>
  <c r="FYW64" i="3"/>
  <c r="FYY64" i="3" s="1"/>
  <c r="FYO64" i="3"/>
  <c r="FYQ64" i="3" s="1"/>
  <c r="FYG64" i="3"/>
  <c r="FYI64" i="3" s="1"/>
  <c r="FYA64" i="3"/>
  <c r="FXY64" i="3"/>
  <c r="FXS64" i="3"/>
  <c r="FXQ64" i="3"/>
  <c r="FXI64" i="3"/>
  <c r="FXK64" i="3" s="1"/>
  <c r="FXA64" i="3"/>
  <c r="FXC64" i="3" s="1"/>
  <c r="FWS64" i="3"/>
  <c r="FWU64" i="3" s="1"/>
  <c r="FWK64" i="3"/>
  <c r="FWM64" i="3" s="1"/>
  <c r="FWE64" i="3"/>
  <c r="FWC64" i="3"/>
  <c r="FVW64" i="3"/>
  <c r="FVU64" i="3"/>
  <c r="FVM64" i="3"/>
  <c r="FVO64" i="3" s="1"/>
  <c r="FVE64" i="3"/>
  <c r="FVG64" i="3" s="1"/>
  <c r="FUW64" i="3"/>
  <c r="FUY64" i="3" s="1"/>
  <c r="FUO64" i="3"/>
  <c r="FUQ64" i="3" s="1"/>
  <c r="FUI64" i="3"/>
  <c r="FUG64" i="3"/>
  <c r="FTY64" i="3"/>
  <c r="FUA64" i="3" s="1"/>
  <c r="FTS64" i="3"/>
  <c r="FTQ64" i="3"/>
  <c r="FTI64" i="3"/>
  <c r="FTK64" i="3" s="1"/>
  <c r="FTA64" i="3"/>
  <c r="FTC64" i="3" s="1"/>
  <c r="FSS64" i="3"/>
  <c r="FSU64" i="3" s="1"/>
  <c r="FSK64" i="3"/>
  <c r="FSM64" i="3" s="1"/>
  <c r="FSC64" i="3"/>
  <c r="FSE64" i="3" s="1"/>
  <c r="FRU64" i="3"/>
  <c r="FRW64" i="3" s="1"/>
  <c r="FRM64" i="3"/>
  <c r="FRO64" i="3" s="1"/>
  <c r="FRE64" i="3"/>
  <c r="FRG64" i="3" s="1"/>
  <c r="FQW64" i="3"/>
  <c r="FQY64" i="3" s="1"/>
  <c r="FQQ64" i="3"/>
  <c r="FQO64" i="3"/>
  <c r="FQG64" i="3"/>
  <c r="FQI64" i="3" s="1"/>
  <c r="FQA64" i="3"/>
  <c r="FPY64" i="3"/>
  <c r="FPQ64" i="3"/>
  <c r="FPS64" i="3" s="1"/>
  <c r="FPI64" i="3"/>
  <c r="FPK64" i="3" s="1"/>
  <c r="FPA64" i="3"/>
  <c r="FPC64" i="3" s="1"/>
  <c r="FOS64" i="3"/>
  <c r="FOU64" i="3" s="1"/>
  <c r="FOM64" i="3"/>
  <c r="FOK64" i="3"/>
  <c r="FOC64" i="3"/>
  <c r="FOE64" i="3" s="1"/>
  <c r="FNU64" i="3"/>
  <c r="FNW64" i="3" s="1"/>
  <c r="FNO64" i="3"/>
  <c r="FNM64" i="3"/>
  <c r="FNE64" i="3"/>
  <c r="FNG64" i="3" s="1"/>
  <c r="FMW64" i="3"/>
  <c r="FMY64" i="3" s="1"/>
  <c r="FMQ64" i="3"/>
  <c r="FMO64" i="3"/>
  <c r="FMG64" i="3"/>
  <c r="FMI64" i="3" s="1"/>
  <c r="FLY64" i="3"/>
  <c r="FMA64" i="3" s="1"/>
  <c r="FLS64" i="3"/>
  <c r="FLQ64" i="3"/>
  <c r="FLI64" i="3"/>
  <c r="FLK64" i="3" s="1"/>
  <c r="FLA64" i="3"/>
  <c r="FLC64" i="3" s="1"/>
  <c r="FKS64" i="3"/>
  <c r="FKU64" i="3" s="1"/>
  <c r="FKK64" i="3"/>
  <c r="FKM64" i="3" s="1"/>
  <c r="FKC64" i="3"/>
  <c r="FKE64" i="3" s="1"/>
  <c r="FJW64" i="3"/>
  <c r="FJU64" i="3"/>
  <c r="FJM64" i="3"/>
  <c r="FJO64" i="3" s="1"/>
  <c r="FJG64" i="3"/>
  <c r="FJE64" i="3"/>
  <c r="FIW64" i="3"/>
  <c r="FIY64" i="3" s="1"/>
  <c r="FIO64" i="3"/>
  <c r="FIQ64" i="3" s="1"/>
  <c r="FIG64" i="3"/>
  <c r="FII64" i="3" s="1"/>
  <c r="FHY64" i="3"/>
  <c r="FIA64" i="3" s="1"/>
  <c r="FHQ64" i="3"/>
  <c r="FHS64" i="3" s="1"/>
  <c r="FHI64" i="3"/>
  <c r="FHK64" i="3" s="1"/>
  <c r="FHA64" i="3"/>
  <c r="FHC64" i="3" s="1"/>
  <c r="FGU64" i="3"/>
  <c r="FGS64" i="3"/>
  <c r="FGK64" i="3"/>
  <c r="FGM64" i="3" s="1"/>
  <c r="FGC64" i="3"/>
  <c r="FGE64" i="3" s="1"/>
  <c r="FFU64" i="3"/>
  <c r="FFW64" i="3" s="1"/>
  <c r="FFM64" i="3"/>
  <c r="FFO64" i="3" s="1"/>
  <c r="FFE64" i="3"/>
  <c r="FFG64" i="3" s="1"/>
  <c r="FEW64" i="3"/>
  <c r="FEY64" i="3" s="1"/>
  <c r="FEO64" i="3"/>
  <c r="FEQ64" i="3" s="1"/>
  <c r="FEI64" i="3"/>
  <c r="FEG64" i="3"/>
  <c r="FDY64" i="3"/>
  <c r="FEA64" i="3" s="1"/>
  <c r="FDQ64" i="3"/>
  <c r="FDS64" i="3" s="1"/>
  <c r="FDI64" i="3"/>
  <c r="FDK64" i="3" s="1"/>
  <c r="FDA64" i="3"/>
  <c r="FDC64" i="3" s="1"/>
  <c r="FCS64" i="3"/>
  <c r="FCU64" i="3" s="1"/>
  <c r="FCK64" i="3"/>
  <c r="FCM64" i="3" s="1"/>
  <c r="FCC64" i="3"/>
  <c r="FCE64" i="3" s="1"/>
  <c r="FBW64" i="3"/>
  <c r="FBU64" i="3"/>
  <c r="FBM64" i="3"/>
  <c r="FBO64" i="3" s="1"/>
  <c r="FBE64" i="3"/>
  <c r="FBG64" i="3" s="1"/>
  <c r="FAW64" i="3"/>
  <c r="FAY64" i="3" s="1"/>
  <c r="FAO64" i="3"/>
  <c r="FAQ64" i="3" s="1"/>
  <c r="FAG64" i="3"/>
  <c r="FAI64" i="3" s="1"/>
  <c r="EZY64" i="3"/>
  <c r="FAA64" i="3" s="1"/>
  <c r="EZS64" i="3"/>
  <c r="EZQ64" i="3"/>
  <c r="EZI64" i="3"/>
  <c r="EZK64" i="3" s="1"/>
  <c r="EZA64" i="3"/>
  <c r="EZC64" i="3" s="1"/>
  <c r="EYU64" i="3"/>
  <c r="EYS64" i="3"/>
  <c r="EYK64" i="3"/>
  <c r="EYM64" i="3" s="1"/>
  <c r="EYC64" i="3"/>
  <c r="EYE64" i="3" s="1"/>
  <c r="EXU64" i="3"/>
  <c r="EXW64" i="3" s="1"/>
  <c r="EXO64" i="3"/>
  <c r="EXM64" i="3"/>
  <c r="EXE64" i="3"/>
  <c r="EXG64" i="3" s="1"/>
  <c r="EWW64" i="3"/>
  <c r="EWY64" i="3" s="1"/>
  <c r="EWO64" i="3"/>
  <c r="EWQ64" i="3" s="1"/>
  <c r="EWG64" i="3"/>
  <c r="EWI64" i="3" s="1"/>
  <c r="EVY64" i="3"/>
  <c r="EWA64" i="3" s="1"/>
  <c r="EVQ64" i="3"/>
  <c r="EVS64" i="3" s="1"/>
  <c r="EVI64" i="3"/>
  <c r="EVK64" i="3" s="1"/>
  <c r="EVC64" i="3"/>
  <c r="EVA64" i="3"/>
  <c r="EUS64" i="3"/>
  <c r="EUU64" i="3" s="1"/>
  <c r="EUK64" i="3"/>
  <c r="EUM64" i="3" s="1"/>
  <c r="EUC64" i="3"/>
  <c r="EUE64" i="3" s="1"/>
  <c r="ETU64" i="3"/>
  <c r="ETW64" i="3" s="1"/>
  <c r="ETM64" i="3"/>
  <c r="ETO64" i="3" s="1"/>
  <c r="ETE64" i="3"/>
  <c r="ETG64" i="3" s="1"/>
  <c r="ESW64" i="3"/>
  <c r="ESY64" i="3" s="1"/>
  <c r="ESQ64" i="3"/>
  <c r="ESO64" i="3"/>
  <c r="ESG64" i="3"/>
  <c r="ESI64" i="3" s="1"/>
  <c r="ERY64" i="3"/>
  <c r="ESA64" i="3" s="1"/>
  <c r="ERQ64" i="3"/>
  <c r="ERS64" i="3" s="1"/>
  <c r="ERI64" i="3"/>
  <c r="ERK64" i="3" s="1"/>
  <c r="ERA64" i="3"/>
  <c r="ERC64" i="3" s="1"/>
  <c r="EQS64" i="3"/>
  <c r="EQU64" i="3" s="1"/>
  <c r="EQM64" i="3"/>
  <c r="EQK64" i="3"/>
  <c r="EQC64" i="3"/>
  <c r="EQE64" i="3" s="1"/>
  <c r="EPU64" i="3"/>
  <c r="EPW64" i="3" s="1"/>
  <c r="EPM64" i="3"/>
  <c r="EPO64" i="3" s="1"/>
  <c r="EPE64" i="3"/>
  <c r="EPG64" i="3" s="1"/>
  <c r="EOW64" i="3"/>
  <c r="EOY64" i="3" s="1"/>
  <c r="EOO64" i="3"/>
  <c r="EOQ64" i="3" s="1"/>
  <c r="EOI64" i="3"/>
  <c r="EOG64" i="3"/>
  <c r="ENY64" i="3"/>
  <c r="EOA64" i="3" s="1"/>
  <c r="ENS64" i="3"/>
  <c r="ENQ64" i="3"/>
  <c r="ENI64" i="3"/>
  <c r="ENK64" i="3" s="1"/>
  <c r="ENA64" i="3"/>
  <c r="ENC64" i="3" s="1"/>
  <c r="EMS64" i="3"/>
  <c r="EMU64" i="3" s="1"/>
  <c r="EMK64" i="3"/>
  <c r="EMM64" i="3" s="1"/>
  <c r="EMC64" i="3"/>
  <c r="EME64" i="3" s="1"/>
  <c r="ELW64" i="3"/>
  <c r="ELU64" i="3"/>
  <c r="ELM64" i="3"/>
  <c r="ELO64" i="3" s="1"/>
  <c r="ELE64" i="3"/>
  <c r="ELG64" i="3" s="1"/>
  <c r="EKW64" i="3"/>
  <c r="EKY64" i="3" s="1"/>
  <c r="EKO64" i="3"/>
  <c r="EKQ64" i="3" s="1"/>
  <c r="EKG64" i="3"/>
  <c r="EKI64" i="3" s="1"/>
  <c r="EJY64" i="3"/>
  <c r="EKA64" i="3" s="1"/>
  <c r="EJQ64" i="3"/>
  <c r="EJS64" i="3" s="1"/>
  <c r="EJK64" i="3"/>
  <c r="EJI64" i="3"/>
  <c r="EJA64" i="3"/>
  <c r="EJC64" i="3" s="1"/>
  <c r="EIS64" i="3"/>
  <c r="EIU64" i="3" s="1"/>
  <c r="EIK64" i="3"/>
  <c r="EIM64" i="3" s="1"/>
  <c r="EIC64" i="3"/>
  <c r="EIE64" i="3" s="1"/>
  <c r="EHU64" i="3"/>
  <c r="EHW64" i="3" s="1"/>
  <c r="EHO64" i="3"/>
  <c r="EHM64" i="3"/>
  <c r="EHE64" i="3"/>
  <c r="EHG64" i="3" s="1"/>
  <c r="EGY64" i="3"/>
  <c r="EGW64" i="3"/>
  <c r="EGO64" i="3"/>
  <c r="EGQ64" i="3" s="1"/>
  <c r="EGG64" i="3"/>
  <c r="EGI64" i="3" s="1"/>
  <c r="EFY64" i="3"/>
  <c r="EGA64" i="3" s="1"/>
  <c r="EFQ64" i="3"/>
  <c r="EFS64" i="3" s="1"/>
  <c r="EFI64" i="3"/>
  <c r="EFK64" i="3" s="1"/>
  <c r="EFC64" i="3"/>
  <c r="EFA64" i="3"/>
  <c r="EES64" i="3"/>
  <c r="EEU64" i="3" s="1"/>
  <c r="EEM64" i="3"/>
  <c r="EEK64" i="3"/>
  <c r="EEC64" i="3"/>
  <c r="EEE64" i="3" s="1"/>
  <c r="EDU64" i="3"/>
  <c r="EDW64" i="3" s="1"/>
  <c r="EDM64" i="3"/>
  <c r="EDO64" i="3" s="1"/>
  <c r="EDE64" i="3"/>
  <c r="EDG64" i="3" s="1"/>
  <c r="ECW64" i="3"/>
  <c r="ECY64" i="3" s="1"/>
  <c r="ECO64" i="3"/>
  <c r="ECQ64" i="3" s="1"/>
  <c r="ECG64" i="3"/>
  <c r="ECI64" i="3" s="1"/>
  <c r="ECA64" i="3"/>
  <c r="EBY64" i="3"/>
  <c r="EBQ64" i="3"/>
  <c r="EBS64" i="3" s="1"/>
  <c r="EBI64" i="3"/>
  <c r="EBK64" i="3" s="1"/>
  <c r="EBA64" i="3"/>
  <c r="EBC64" i="3" s="1"/>
  <c r="EAS64" i="3"/>
  <c r="EAU64" i="3" s="1"/>
  <c r="EAK64" i="3"/>
  <c r="EAM64" i="3" s="1"/>
  <c r="EAC64" i="3"/>
  <c r="EAE64" i="3" s="1"/>
  <c r="DZU64" i="3"/>
  <c r="DZW64" i="3" s="1"/>
  <c r="DZM64" i="3"/>
  <c r="DZO64" i="3" s="1"/>
  <c r="DZE64" i="3"/>
  <c r="DZG64" i="3" s="1"/>
  <c r="DYY64" i="3"/>
  <c r="DYW64" i="3"/>
  <c r="DYO64" i="3"/>
  <c r="DYQ64" i="3" s="1"/>
  <c r="DYG64" i="3"/>
  <c r="DYI64" i="3" s="1"/>
  <c r="DXY64" i="3"/>
  <c r="DYA64" i="3" s="1"/>
  <c r="DXS64" i="3"/>
  <c r="DXQ64" i="3"/>
  <c r="DXI64" i="3"/>
  <c r="DXK64" i="3" s="1"/>
  <c r="DXA64" i="3"/>
  <c r="DXC64" i="3" s="1"/>
  <c r="DWS64" i="3"/>
  <c r="DWU64" i="3" s="1"/>
  <c r="DWK64" i="3"/>
  <c r="DWM64" i="3" s="1"/>
  <c r="DWC64" i="3"/>
  <c r="DWE64" i="3" s="1"/>
  <c r="DVU64" i="3"/>
  <c r="DVW64" i="3" s="1"/>
  <c r="DVM64" i="3"/>
  <c r="DVO64" i="3" s="1"/>
  <c r="DVE64" i="3"/>
  <c r="DVG64" i="3" s="1"/>
  <c r="DUW64" i="3"/>
  <c r="DUY64" i="3" s="1"/>
  <c r="DUO64" i="3"/>
  <c r="DUQ64" i="3" s="1"/>
  <c r="DUI64" i="3"/>
  <c r="DUG64" i="3"/>
  <c r="DTY64" i="3"/>
  <c r="DUA64" i="3" s="1"/>
  <c r="DTQ64" i="3"/>
  <c r="DTS64" i="3" s="1"/>
  <c r="DTK64" i="3"/>
  <c r="DTI64" i="3"/>
  <c r="DTA64" i="3"/>
  <c r="DTC64" i="3" s="1"/>
  <c r="DSS64" i="3"/>
  <c r="DSU64" i="3" s="1"/>
  <c r="DSK64" i="3"/>
  <c r="DSM64" i="3" s="1"/>
  <c r="DSE64" i="3"/>
  <c r="DSC64" i="3"/>
  <c r="DRU64" i="3"/>
  <c r="DRW64" i="3" s="1"/>
  <c r="DRM64" i="3"/>
  <c r="DRO64" i="3" s="1"/>
  <c r="DRE64" i="3"/>
  <c r="DRG64" i="3" s="1"/>
  <c r="DQY64" i="3"/>
  <c r="DQW64" i="3"/>
  <c r="DQO64" i="3"/>
  <c r="DQQ64" i="3" s="1"/>
  <c r="DQI64" i="3"/>
  <c r="DQG64" i="3"/>
  <c r="DPY64" i="3"/>
  <c r="DQA64" i="3" s="1"/>
  <c r="DPS64" i="3"/>
  <c r="DPQ64" i="3"/>
  <c r="DPI64" i="3"/>
  <c r="DPK64" i="3" s="1"/>
  <c r="DPA64" i="3"/>
  <c r="DPC64" i="3" s="1"/>
  <c r="DOS64" i="3"/>
  <c r="DOU64" i="3" s="1"/>
  <c r="DOM64" i="3"/>
  <c r="DOK64" i="3"/>
  <c r="DOC64" i="3"/>
  <c r="DOE64" i="3" s="1"/>
  <c r="DNW64" i="3"/>
  <c r="DNU64" i="3"/>
  <c r="DNM64" i="3"/>
  <c r="DNO64" i="3" s="1"/>
  <c r="DNG64" i="3"/>
  <c r="DNE64" i="3"/>
  <c r="DMW64" i="3"/>
  <c r="DMY64" i="3" s="1"/>
  <c r="DMO64" i="3"/>
  <c r="DMQ64" i="3" s="1"/>
  <c r="DMG64" i="3"/>
  <c r="DMI64" i="3" s="1"/>
  <c r="DMA64" i="3"/>
  <c r="DLY64" i="3"/>
  <c r="DLQ64" i="3"/>
  <c r="DLS64" i="3" s="1"/>
  <c r="DLK64" i="3"/>
  <c r="DLI64" i="3"/>
  <c r="DLA64" i="3"/>
  <c r="DLC64" i="3" s="1"/>
  <c r="DKU64" i="3"/>
  <c r="DKS64" i="3"/>
  <c r="DKK64" i="3"/>
  <c r="DKM64" i="3" s="1"/>
  <c r="DKC64" i="3"/>
  <c r="DKE64" i="3" s="1"/>
  <c r="DJU64" i="3"/>
  <c r="DJW64" i="3" s="1"/>
  <c r="DJO64" i="3"/>
  <c r="DJM64" i="3"/>
  <c r="DJE64" i="3"/>
  <c r="DJG64" i="3" s="1"/>
  <c r="DIW64" i="3"/>
  <c r="DIY64" i="3" s="1"/>
  <c r="DIO64" i="3"/>
  <c r="DIQ64" i="3" s="1"/>
  <c r="DII64" i="3"/>
  <c r="DIG64" i="3"/>
  <c r="DHY64" i="3"/>
  <c r="DIA64" i="3" s="1"/>
  <c r="DHQ64" i="3"/>
  <c r="DHS64" i="3" s="1"/>
  <c r="DHI64" i="3"/>
  <c r="DHK64" i="3" s="1"/>
  <c r="DHC64" i="3"/>
  <c r="DHA64" i="3"/>
  <c r="DGS64" i="3"/>
  <c r="DGU64" i="3" s="1"/>
  <c r="DGK64" i="3"/>
  <c r="DGM64" i="3" s="1"/>
  <c r="DGC64" i="3"/>
  <c r="DGE64" i="3" s="1"/>
  <c r="DFW64" i="3"/>
  <c r="DFU64" i="3"/>
  <c r="DFM64" i="3"/>
  <c r="DFO64" i="3" s="1"/>
  <c r="DFE64" i="3"/>
  <c r="DFG64" i="3" s="1"/>
  <c r="DEW64" i="3"/>
  <c r="DEY64" i="3" s="1"/>
  <c r="DEO64" i="3"/>
  <c r="DEQ64" i="3" s="1"/>
  <c r="DEG64" i="3"/>
  <c r="DEI64" i="3" s="1"/>
  <c r="DDY64" i="3"/>
  <c r="DEA64" i="3" s="1"/>
  <c r="DDQ64" i="3"/>
  <c r="DDS64" i="3" s="1"/>
  <c r="DDK64" i="3"/>
  <c r="DDI64" i="3"/>
  <c r="DDA64" i="3"/>
  <c r="DDC64" i="3" s="1"/>
  <c r="DCS64" i="3"/>
  <c r="DCU64" i="3" s="1"/>
  <c r="DCK64" i="3"/>
  <c r="DCM64" i="3" s="1"/>
  <c r="DCE64" i="3"/>
  <c r="DCC64" i="3"/>
  <c r="DBU64" i="3"/>
  <c r="DBW64" i="3" s="1"/>
  <c r="DBO64" i="3"/>
  <c r="DBM64" i="3"/>
  <c r="DBE64" i="3"/>
  <c r="DBG64" i="3" s="1"/>
  <c r="DAY64" i="3"/>
  <c r="DAW64" i="3"/>
  <c r="DAO64" i="3"/>
  <c r="DAQ64" i="3" s="1"/>
  <c r="DAG64" i="3"/>
  <c r="DAI64" i="3" s="1"/>
  <c r="CZY64" i="3"/>
  <c r="DAA64" i="3" s="1"/>
  <c r="CZS64" i="3"/>
  <c r="CZQ64" i="3"/>
  <c r="CZI64" i="3"/>
  <c r="CZK64" i="3" s="1"/>
  <c r="CZC64" i="3"/>
  <c r="CZA64" i="3"/>
  <c r="CYS64" i="3"/>
  <c r="CYU64" i="3" s="1"/>
  <c r="CYM64" i="3"/>
  <c r="CYK64" i="3"/>
  <c r="CYE64" i="3"/>
  <c r="CYC64" i="3"/>
  <c r="CXU64" i="3"/>
  <c r="CXW64" i="3" s="1"/>
  <c r="CXM64" i="3"/>
  <c r="CXO64" i="3" s="1"/>
  <c r="CXG64" i="3"/>
  <c r="CXE64" i="3"/>
  <c r="CWW64" i="3"/>
  <c r="CWY64" i="3" s="1"/>
  <c r="CWQ64" i="3"/>
  <c r="CWO64" i="3"/>
  <c r="CWG64" i="3"/>
  <c r="CWI64" i="3" s="1"/>
  <c r="CVY64" i="3"/>
  <c r="CWA64" i="3" s="1"/>
  <c r="CVQ64" i="3"/>
  <c r="CVS64" i="3" s="1"/>
  <c r="CVI64" i="3"/>
  <c r="CVK64" i="3" s="1"/>
  <c r="CVA64" i="3"/>
  <c r="CVC64" i="3" s="1"/>
  <c r="CUU64" i="3"/>
  <c r="CUS64" i="3"/>
  <c r="CUM64" i="3"/>
  <c r="CUK64" i="3"/>
  <c r="CUE64" i="3"/>
  <c r="CUC64" i="3"/>
  <c r="CTU64" i="3"/>
  <c r="CTW64" i="3" s="1"/>
  <c r="CTO64" i="3"/>
  <c r="CTM64" i="3"/>
  <c r="CTE64" i="3"/>
  <c r="CTG64" i="3" s="1"/>
  <c r="CSW64" i="3"/>
  <c r="CSY64" i="3" s="1"/>
  <c r="CSO64" i="3"/>
  <c r="CSQ64" i="3" s="1"/>
  <c r="CSG64" i="3"/>
  <c r="CSI64" i="3" s="1"/>
  <c r="CRY64" i="3"/>
  <c r="CSA64" i="3" s="1"/>
  <c r="CRS64" i="3"/>
  <c r="CRQ64" i="3"/>
  <c r="CRI64" i="3"/>
  <c r="CRK64" i="3" s="1"/>
  <c r="CRA64" i="3"/>
  <c r="CRC64" i="3" s="1"/>
  <c r="CQS64" i="3"/>
  <c r="CQU64" i="3" s="1"/>
  <c r="CQM64" i="3"/>
  <c r="CQK64" i="3"/>
  <c r="CQC64" i="3"/>
  <c r="CQE64" i="3" s="1"/>
  <c r="CPU64" i="3"/>
  <c r="CPW64" i="3" s="1"/>
  <c r="CPM64" i="3"/>
  <c r="CPO64" i="3" s="1"/>
  <c r="CPE64" i="3"/>
  <c r="CPG64" i="3" s="1"/>
  <c r="COW64" i="3"/>
  <c r="COY64" i="3" s="1"/>
  <c r="COQ64" i="3"/>
  <c r="COO64" i="3"/>
  <c r="COG64" i="3"/>
  <c r="COI64" i="3" s="1"/>
  <c r="COA64" i="3"/>
  <c r="CNY64" i="3"/>
  <c r="CNQ64" i="3"/>
  <c r="CNS64" i="3" s="1"/>
  <c r="CNI64" i="3"/>
  <c r="CNK64" i="3" s="1"/>
  <c r="CNA64" i="3"/>
  <c r="CNC64" i="3" s="1"/>
  <c r="CMS64" i="3"/>
  <c r="CMU64" i="3" s="1"/>
  <c r="CMK64" i="3"/>
  <c r="CMM64" i="3" s="1"/>
  <c r="CME64" i="3"/>
  <c r="CMC64" i="3"/>
  <c r="CLU64" i="3"/>
  <c r="CLW64" i="3" s="1"/>
  <c r="CLO64" i="3"/>
  <c r="CLM64" i="3"/>
  <c r="CLE64" i="3"/>
  <c r="CLG64" i="3" s="1"/>
  <c r="CKW64" i="3"/>
  <c r="CKY64" i="3" s="1"/>
  <c r="CKO64" i="3"/>
  <c r="CKQ64" i="3" s="1"/>
  <c r="CKG64" i="3"/>
  <c r="CKI64" i="3" s="1"/>
  <c r="CJY64" i="3"/>
  <c r="CKA64" i="3" s="1"/>
  <c r="CJS64" i="3"/>
  <c r="CJQ64" i="3"/>
  <c r="CJI64" i="3"/>
  <c r="CJK64" i="3" s="1"/>
  <c r="CJC64" i="3"/>
  <c r="CJA64" i="3"/>
  <c r="CIS64" i="3"/>
  <c r="CIU64" i="3" s="1"/>
  <c r="CIK64" i="3"/>
  <c r="CIM64" i="3" s="1"/>
  <c r="CIC64" i="3"/>
  <c r="CIE64" i="3" s="1"/>
  <c r="CHU64" i="3"/>
  <c r="CHW64" i="3" s="1"/>
  <c r="CHM64" i="3"/>
  <c r="CHO64" i="3" s="1"/>
  <c r="CHE64" i="3"/>
  <c r="CHG64" i="3" s="1"/>
  <c r="CGW64" i="3"/>
  <c r="CGY64" i="3" s="1"/>
  <c r="CGQ64" i="3"/>
  <c r="CGO64" i="3"/>
  <c r="CGG64" i="3"/>
  <c r="CGI64" i="3" s="1"/>
  <c r="CFY64" i="3"/>
  <c r="CGA64" i="3" s="1"/>
  <c r="CFQ64" i="3"/>
  <c r="CFS64" i="3" s="1"/>
  <c r="CFI64" i="3"/>
  <c r="CFK64" i="3" s="1"/>
  <c r="CFA64" i="3"/>
  <c r="CFC64" i="3" s="1"/>
  <c r="CES64" i="3"/>
  <c r="CEU64" i="3" s="1"/>
  <c r="CEK64" i="3"/>
  <c r="CEM64" i="3" s="1"/>
  <c r="CEE64" i="3"/>
  <c r="CEC64" i="3"/>
  <c r="CDU64" i="3"/>
  <c r="CDW64" i="3" s="1"/>
  <c r="CDM64" i="3"/>
  <c r="CDO64" i="3" s="1"/>
  <c r="CDE64" i="3"/>
  <c r="CDG64" i="3" s="1"/>
  <c r="CCW64" i="3"/>
  <c r="CCY64" i="3" s="1"/>
  <c r="CCO64" i="3"/>
  <c r="CCQ64" i="3" s="1"/>
  <c r="CCG64" i="3"/>
  <c r="CCI64" i="3" s="1"/>
  <c r="CBY64" i="3"/>
  <c r="CCA64" i="3" s="1"/>
  <c r="CBQ64" i="3"/>
  <c r="CBS64" i="3" s="1"/>
  <c r="CBI64" i="3"/>
  <c r="CBK64" i="3" s="1"/>
  <c r="CBC64" i="3"/>
  <c r="CBA64" i="3"/>
  <c r="CAS64" i="3"/>
  <c r="CAU64" i="3" s="1"/>
  <c r="CAK64" i="3"/>
  <c r="CAM64" i="3" s="1"/>
  <c r="CAC64" i="3"/>
  <c r="CAE64" i="3" s="1"/>
  <c r="BZU64" i="3"/>
  <c r="BZW64" i="3" s="1"/>
  <c r="BZM64" i="3"/>
  <c r="BZO64" i="3" s="1"/>
  <c r="BZE64" i="3"/>
  <c r="BZG64" i="3" s="1"/>
  <c r="BYW64" i="3"/>
  <c r="BYY64" i="3" s="1"/>
  <c r="BYQ64" i="3"/>
  <c r="BYO64" i="3"/>
  <c r="BYG64" i="3"/>
  <c r="BYI64" i="3" s="1"/>
  <c r="BYA64" i="3"/>
  <c r="BXY64" i="3"/>
  <c r="BXQ64" i="3"/>
  <c r="BXS64" i="3" s="1"/>
  <c r="BXI64" i="3"/>
  <c r="BXK64" i="3" s="1"/>
  <c r="BXA64" i="3"/>
  <c r="BXC64" i="3" s="1"/>
  <c r="BWS64" i="3"/>
  <c r="BWU64" i="3" s="1"/>
  <c r="BWK64" i="3"/>
  <c r="BWM64" i="3" s="1"/>
  <c r="BWE64" i="3"/>
  <c r="BWC64" i="3"/>
  <c r="BVU64" i="3"/>
  <c r="BVW64" i="3" s="1"/>
  <c r="BVO64" i="3"/>
  <c r="BVM64" i="3"/>
  <c r="BVE64" i="3"/>
  <c r="BVG64" i="3" s="1"/>
  <c r="BUW64" i="3"/>
  <c r="BUY64" i="3" s="1"/>
  <c r="BUO64" i="3"/>
  <c r="BUQ64" i="3" s="1"/>
  <c r="BUG64" i="3"/>
  <c r="BUI64" i="3" s="1"/>
  <c r="BTY64" i="3"/>
  <c r="BUA64" i="3" s="1"/>
  <c r="BTS64" i="3"/>
  <c r="BTQ64" i="3"/>
  <c r="BTI64" i="3"/>
  <c r="BTK64" i="3" s="1"/>
  <c r="BTC64" i="3"/>
  <c r="BTA64" i="3"/>
  <c r="BSS64" i="3"/>
  <c r="BSU64" i="3" s="1"/>
  <c r="BSK64" i="3"/>
  <c r="BSM64" i="3" s="1"/>
  <c r="BSC64" i="3"/>
  <c r="BSE64" i="3" s="1"/>
  <c r="BRU64" i="3"/>
  <c r="BRW64" i="3" s="1"/>
  <c r="BRM64" i="3"/>
  <c r="BRO64" i="3" s="1"/>
  <c r="BRG64" i="3"/>
  <c r="BRE64" i="3"/>
  <c r="BQW64" i="3"/>
  <c r="BQY64" i="3" s="1"/>
  <c r="BQQ64" i="3"/>
  <c r="BQO64" i="3"/>
  <c r="BQG64" i="3"/>
  <c r="BQI64" i="3" s="1"/>
  <c r="BPY64" i="3"/>
  <c r="BQA64" i="3" s="1"/>
  <c r="BPQ64" i="3"/>
  <c r="BPS64" i="3" s="1"/>
  <c r="BPK64" i="3"/>
  <c r="BPI64" i="3"/>
  <c r="BPA64" i="3"/>
  <c r="BPC64" i="3" s="1"/>
  <c r="BOS64" i="3"/>
  <c r="BOU64" i="3" s="1"/>
  <c r="BOK64" i="3"/>
  <c r="BOM64" i="3" s="1"/>
  <c r="BOE64" i="3"/>
  <c r="BOC64" i="3"/>
  <c r="BNU64" i="3"/>
  <c r="BNW64" i="3" s="1"/>
  <c r="BNM64" i="3"/>
  <c r="BNO64" i="3" s="1"/>
  <c r="BNE64" i="3"/>
  <c r="BNG64" i="3" s="1"/>
  <c r="BMY64" i="3"/>
  <c r="BMW64" i="3"/>
  <c r="BMO64" i="3"/>
  <c r="BMQ64" i="3" s="1"/>
  <c r="BMG64" i="3"/>
  <c r="BMI64" i="3" s="1"/>
  <c r="BLY64" i="3"/>
  <c r="BMA64" i="3" s="1"/>
  <c r="BLQ64" i="3"/>
  <c r="BLS64" i="3" s="1"/>
  <c r="BLI64" i="3"/>
  <c r="BLK64" i="3" s="1"/>
  <c r="BLA64" i="3"/>
  <c r="BLC64" i="3" s="1"/>
  <c r="BKS64" i="3"/>
  <c r="BKU64" i="3" s="1"/>
  <c r="BKK64" i="3"/>
  <c r="BKM64" i="3" s="1"/>
  <c r="BKC64" i="3"/>
  <c r="BKE64" i="3" s="1"/>
  <c r="BJU64" i="3"/>
  <c r="BJW64" i="3" s="1"/>
  <c r="BJM64" i="3"/>
  <c r="BJO64" i="3" s="1"/>
  <c r="BJE64" i="3"/>
  <c r="BJG64" i="3" s="1"/>
  <c r="BIW64" i="3"/>
  <c r="BIY64" i="3" s="1"/>
  <c r="BIO64" i="3"/>
  <c r="BIQ64" i="3" s="1"/>
  <c r="BIG64" i="3"/>
  <c r="BII64" i="3" s="1"/>
  <c r="BHY64" i="3"/>
  <c r="BIA64" i="3" s="1"/>
  <c r="BHQ64" i="3"/>
  <c r="BHS64" i="3" s="1"/>
  <c r="BHK64" i="3"/>
  <c r="BHI64" i="3"/>
  <c r="BHA64" i="3"/>
  <c r="BHC64" i="3" s="1"/>
  <c r="BGS64" i="3"/>
  <c r="BGU64" i="3" s="1"/>
  <c r="BGK64" i="3"/>
  <c r="BGM64" i="3" s="1"/>
  <c r="BGC64" i="3"/>
  <c r="BGE64" i="3" s="1"/>
  <c r="BFU64" i="3"/>
  <c r="BFW64" i="3" s="1"/>
  <c r="BFM64" i="3"/>
  <c r="BFO64" i="3" s="1"/>
  <c r="BFE64" i="3"/>
  <c r="BFG64" i="3" s="1"/>
  <c r="BEY64" i="3"/>
  <c r="BEW64" i="3"/>
  <c r="BEO64" i="3"/>
  <c r="BEQ64" i="3" s="1"/>
  <c r="BEG64" i="3"/>
  <c r="BEI64" i="3" s="1"/>
  <c r="BDY64" i="3"/>
  <c r="BEA64" i="3" s="1"/>
  <c r="BDS64" i="3"/>
  <c r="BDQ64" i="3"/>
  <c r="BDI64" i="3"/>
  <c r="BDK64" i="3" s="1"/>
  <c r="BDA64" i="3"/>
  <c r="BDC64" i="3" s="1"/>
  <c r="BCS64" i="3"/>
  <c r="BCU64" i="3" s="1"/>
  <c r="BCM64" i="3"/>
  <c r="BCK64" i="3"/>
  <c r="BCC64" i="3"/>
  <c r="BCE64" i="3" s="1"/>
  <c r="BBU64" i="3"/>
  <c r="BBW64" i="3" s="1"/>
  <c r="BBM64" i="3"/>
  <c r="BBO64" i="3" s="1"/>
  <c r="BBE64" i="3"/>
  <c r="BBG64" i="3" s="1"/>
  <c r="BAW64" i="3"/>
  <c r="BAY64" i="3" s="1"/>
  <c r="BAO64" i="3"/>
  <c r="BAQ64" i="3" s="1"/>
  <c r="BAG64" i="3"/>
  <c r="BAI64" i="3" s="1"/>
  <c r="BAA64" i="3"/>
  <c r="AZY64" i="3"/>
  <c r="AZQ64" i="3"/>
  <c r="AZS64" i="3" s="1"/>
  <c r="AZI64" i="3"/>
  <c r="AZK64" i="3" s="1"/>
  <c r="AZA64" i="3"/>
  <c r="AZC64" i="3" s="1"/>
  <c r="AYU64" i="3"/>
  <c r="AYS64" i="3"/>
  <c r="AYK64" i="3"/>
  <c r="AYM64" i="3" s="1"/>
  <c r="AYC64" i="3"/>
  <c r="AYE64" i="3" s="1"/>
  <c r="AXU64" i="3"/>
  <c r="AXW64" i="3" s="1"/>
  <c r="AXO64" i="3"/>
  <c r="AXM64" i="3"/>
  <c r="AXE64" i="3"/>
  <c r="AXG64" i="3" s="1"/>
  <c r="AWW64" i="3"/>
  <c r="AWY64" i="3" s="1"/>
  <c r="AWO64" i="3"/>
  <c r="AWQ64" i="3" s="1"/>
  <c r="AWG64" i="3"/>
  <c r="AWI64" i="3" s="1"/>
  <c r="AVY64" i="3"/>
  <c r="AWA64" i="3" s="1"/>
  <c r="AVS64" i="3"/>
  <c r="AVQ64" i="3"/>
  <c r="AVI64" i="3"/>
  <c r="AVK64" i="3" s="1"/>
  <c r="AVC64" i="3"/>
  <c r="AVA64" i="3"/>
  <c r="AUS64" i="3"/>
  <c r="AUU64" i="3" s="1"/>
  <c r="AUK64" i="3"/>
  <c r="AUM64" i="3" s="1"/>
  <c r="AUC64" i="3"/>
  <c r="AUE64" i="3" s="1"/>
  <c r="ATU64" i="3"/>
  <c r="ATW64" i="3" s="1"/>
  <c r="ATM64" i="3"/>
  <c r="ATO64" i="3" s="1"/>
  <c r="ATG64" i="3"/>
  <c r="ATE64" i="3"/>
  <c r="ASW64" i="3"/>
  <c r="ASY64" i="3" s="1"/>
  <c r="ASO64" i="3"/>
  <c r="ASQ64" i="3" s="1"/>
  <c r="ASG64" i="3"/>
  <c r="ASI64" i="3" s="1"/>
  <c r="ARY64" i="3"/>
  <c r="ASA64" i="3" s="1"/>
  <c r="ARQ64" i="3"/>
  <c r="ARS64" i="3" s="1"/>
  <c r="ARI64" i="3"/>
  <c r="ARK64" i="3" s="1"/>
  <c r="ARA64" i="3"/>
  <c r="ARC64" i="3" s="1"/>
  <c r="AQU64" i="3"/>
  <c r="AQS64" i="3"/>
  <c r="AQK64" i="3"/>
  <c r="AQM64" i="3" s="1"/>
  <c r="AQC64" i="3"/>
  <c r="AQE64" i="3" s="1"/>
  <c r="APU64" i="3"/>
  <c r="APW64" i="3" s="1"/>
  <c r="APM64" i="3"/>
  <c r="APO64" i="3" s="1"/>
  <c r="APE64" i="3"/>
  <c r="APG64" i="3" s="1"/>
  <c r="AOW64" i="3"/>
  <c r="AOY64" i="3" s="1"/>
  <c r="AOO64" i="3"/>
  <c r="AOQ64" i="3" s="1"/>
  <c r="AOI64" i="3"/>
  <c r="AOG64" i="3"/>
  <c r="ANY64" i="3"/>
  <c r="AOA64" i="3" s="1"/>
  <c r="ANQ64" i="3"/>
  <c r="ANS64" i="3" s="1"/>
  <c r="ANI64" i="3"/>
  <c r="ANK64" i="3" s="1"/>
  <c r="ANA64" i="3"/>
  <c r="ANC64" i="3" s="1"/>
  <c r="AMS64" i="3"/>
  <c r="AMU64" i="3" s="1"/>
  <c r="AMK64" i="3"/>
  <c r="AMM64" i="3" s="1"/>
  <c r="AMC64" i="3"/>
  <c r="AME64" i="3" s="1"/>
  <c r="ALW64" i="3"/>
  <c r="ALU64" i="3"/>
  <c r="ALM64" i="3"/>
  <c r="ALO64" i="3" s="1"/>
  <c r="ALE64" i="3"/>
  <c r="ALG64" i="3" s="1"/>
  <c r="AKW64" i="3"/>
  <c r="AKY64" i="3" s="1"/>
  <c r="AKQ64" i="3"/>
  <c r="AKO64" i="3"/>
  <c r="AKG64" i="3"/>
  <c r="AKI64" i="3" s="1"/>
  <c r="AJY64" i="3"/>
  <c r="AKA64" i="3" s="1"/>
  <c r="AJQ64" i="3"/>
  <c r="AJS64" i="3" s="1"/>
  <c r="AJK64" i="3"/>
  <c r="AJI64" i="3"/>
  <c r="AJA64" i="3"/>
  <c r="AJC64" i="3" s="1"/>
  <c r="AIS64" i="3"/>
  <c r="AIU64" i="3" s="1"/>
  <c r="AIK64" i="3"/>
  <c r="AIM64" i="3" s="1"/>
  <c r="AIC64" i="3"/>
  <c r="AIE64" i="3" s="1"/>
  <c r="AHU64" i="3"/>
  <c r="AHW64" i="3" s="1"/>
  <c r="AHM64" i="3"/>
  <c r="AHO64" i="3" s="1"/>
  <c r="AHE64" i="3"/>
  <c r="AHG64" i="3" s="1"/>
  <c r="AGY64" i="3"/>
  <c r="AGW64" i="3"/>
  <c r="AGO64" i="3"/>
  <c r="AGQ64" i="3" s="1"/>
  <c r="AGG64" i="3"/>
  <c r="AGI64" i="3" s="1"/>
  <c r="AGA64" i="3"/>
  <c r="AFY64" i="3"/>
  <c r="AFQ64" i="3"/>
  <c r="AFS64" i="3" s="1"/>
  <c r="AFI64" i="3"/>
  <c r="AFK64" i="3" s="1"/>
  <c r="AFA64" i="3"/>
  <c r="AFC64" i="3" s="1"/>
  <c r="AES64" i="3"/>
  <c r="AEU64" i="3" s="1"/>
  <c r="AEK64" i="3"/>
  <c r="AEM64" i="3" s="1"/>
  <c r="AEC64" i="3"/>
  <c r="AEE64" i="3" s="1"/>
  <c r="ADU64" i="3"/>
  <c r="ADW64" i="3" s="1"/>
  <c r="ADM64" i="3"/>
  <c r="ADO64" i="3" s="1"/>
  <c r="ADE64" i="3"/>
  <c r="ADG64" i="3" s="1"/>
  <c r="ACW64" i="3"/>
  <c r="ACY64" i="3" s="1"/>
  <c r="ACO64" i="3"/>
  <c r="ACQ64" i="3" s="1"/>
  <c r="ACG64" i="3"/>
  <c r="ACI64" i="3" s="1"/>
  <c r="ABY64" i="3"/>
  <c r="ACA64" i="3" s="1"/>
  <c r="ABQ64" i="3"/>
  <c r="ABS64" i="3" s="1"/>
  <c r="ABI64" i="3"/>
  <c r="ABK64" i="3" s="1"/>
  <c r="ABA64" i="3"/>
  <c r="ABC64" i="3" s="1"/>
  <c r="AAU64" i="3"/>
  <c r="AAS64" i="3"/>
  <c r="AAK64" i="3"/>
  <c r="AAM64" i="3" s="1"/>
  <c r="AAC64" i="3"/>
  <c r="AAE64" i="3" s="1"/>
  <c r="ZU64" i="3"/>
  <c r="ZW64" i="3" s="1"/>
  <c r="ZM64" i="3"/>
  <c r="ZO64" i="3" s="1"/>
  <c r="ZE64" i="3"/>
  <c r="ZG64" i="3" s="1"/>
  <c r="YY64" i="3"/>
  <c r="YW64" i="3"/>
  <c r="YQ64" i="3"/>
  <c r="YO64" i="3"/>
  <c r="YI64" i="3"/>
  <c r="YG64" i="3"/>
  <c r="XY64" i="3"/>
  <c r="YA64" i="3" s="1"/>
  <c r="XS64" i="3"/>
  <c r="XQ64" i="3"/>
  <c r="XI64" i="3"/>
  <c r="XK64" i="3" s="1"/>
  <c r="XA64" i="3"/>
  <c r="XC64" i="3" s="1"/>
  <c r="WS64" i="3"/>
  <c r="WU64" i="3" s="1"/>
  <c r="WK64" i="3"/>
  <c r="WM64" i="3" s="1"/>
  <c r="WC64" i="3"/>
  <c r="WE64" i="3" s="1"/>
  <c r="VU64" i="3"/>
  <c r="VW64" i="3" s="1"/>
  <c r="VM64" i="3"/>
  <c r="VO64" i="3" s="1"/>
  <c r="VG64" i="3"/>
  <c r="VE64" i="3"/>
  <c r="UW64" i="3"/>
  <c r="UY64" i="3" s="1"/>
  <c r="UO64" i="3"/>
  <c r="UQ64" i="3" s="1"/>
  <c r="UG64" i="3"/>
  <c r="UI64" i="3" s="1"/>
  <c r="TY64" i="3"/>
  <c r="UA64" i="3" s="1"/>
  <c r="TQ64" i="3"/>
  <c r="TS64" i="3" s="1"/>
  <c r="TI64" i="3"/>
  <c r="TK64" i="3" s="1"/>
  <c r="TA64" i="3"/>
  <c r="TC64" i="3" s="1"/>
  <c r="SU64" i="3"/>
  <c r="SS64" i="3"/>
  <c r="SK64" i="3"/>
  <c r="SM64" i="3" s="1"/>
  <c r="SC64" i="3"/>
  <c r="SE64" i="3" s="1"/>
  <c r="RU64" i="3"/>
  <c r="RW64" i="3" s="1"/>
  <c r="RM64" i="3"/>
  <c r="RO64" i="3" s="1"/>
  <c r="RE64" i="3"/>
  <c r="RG64" i="3" s="1"/>
  <c r="QW64" i="3"/>
  <c r="QY64" i="3" s="1"/>
  <c r="QO64" i="3"/>
  <c r="QQ64" i="3" s="1"/>
  <c r="QI64" i="3"/>
  <c r="QG64" i="3"/>
  <c r="PY64" i="3"/>
  <c r="QA64" i="3" s="1"/>
  <c r="PQ64" i="3"/>
  <c r="PS64" i="3" s="1"/>
  <c r="PI64" i="3"/>
  <c r="PK64" i="3" s="1"/>
  <c r="PA64" i="3"/>
  <c r="PC64" i="3" s="1"/>
  <c r="OS64" i="3"/>
  <c r="OU64" i="3" s="1"/>
  <c r="OK64" i="3"/>
  <c r="OM64" i="3" s="1"/>
  <c r="OC64" i="3"/>
  <c r="OE64" i="3" s="1"/>
  <c r="NW64" i="3"/>
  <c r="NU64" i="3"/>
  <c r="NO64" i="3"/>
  <c r="NM64" i="3"/>
  <c r="NG64" i="3"/>
  <c r="NE64" i="3"/>
  <c r="MW64" i="3"/>
  <c r="MY64" i="3" s="1"/>
  <c r="MO64" i="3"/>
  <c r="MQ64" i="3" s="1"/>
  <c r="MG64" i="3"/>
  <c r="MI64" i="3" s="1"/>
  <c r="LY64" i="3"/>
  <c r="MA64" i="3" s="1"/>
  <c r="LQ64" i="3"/>
  <c r="LS64" i="3" s="1"/>
  <c r="LI64" i="3"/>
  <c r="LK64" i="3" s="1"/>
  <c r="LA64" i="3"/>
  <c r="LC64" i="3" s="1"/>
  <c r="KS64" i="3"/>
  <c r="KU64" i="3" s="1"/>
  <c r="KK64" i="3"/>
  <c r="KM64" i="3" s="1"/>
  <c r="KC64" i="3"/>
  <c r="KE64" i="3" s="1"/>
  <c r="JU64" i="3"/>
  <c r="JW64" i="3" s="1"/>
  <c r="JO64" i="3"/>
  <c r="JM64" i="3"/>
  <c r="JE64" i="3"/>
  <c r="JG64" i="3" s="1"/>
  <c r="IW64" i="3"/>
  <c r="IY64" i="3" s="1"/>
  <c r="IO64" i="3"/>
  <c r="IQ64" i="3" s="1"/>
  <c r="II64" i="3"/>
  <c r="IG64" i="3"/>
  <c r="HY64" i="3"/>
  <c r="IA64" i="3" s="1"/>
  <c r="HQ64" i="3"/>
  <c r="HS64" i="3" s="1"/>
  <c r="HI64" i="3"/>
  <c r="HK64" i="3" s="1"/>
  <c r="HC64" i="3"/>
  <c r="HA64" i="3"/>
  <c r="GS64" i="3"/>
  <c r="GU64" i="3" s="1"/>
  <c r="GK64" i="3"/>
  <c r="GM64" i="3" s="1"/>
  <c r="GC64" i="3"/>
  <c r="GE64" i="3" s="1"/>
  <c r="FW64" i="3"/>
  <c r="FU64" i="3"/>
  <c r="FM64" i="3"/>
  <c r="FO64" i="3" s="1"/>
  <c r="FE64" i="3"/>
  <c r="FG64" i="3" s="1"/>
  <c r="EW64" i="3"/>
  <c r="EY64" i="3" s="1"/>
  <c r="EQ64" i="3"/>
  <c r="EO64" i="3"/>
  <c r="EG64" i="3"/>
  <c r="EI64" i="3" s="1"/>
  <c r="EA64" i="3"/>
  <c r="DY64" i="3"/>
  <c r="DQ64" i="3"/>
  <c r="DS64" i="3" s="1"/>
  <c r="DK64" i="3"/>
  <c r="DI64" i="3"/>
  <c r="DA64" i="3"/>
  <c r="DC64" i="3" s="1"/>
  <c r="CS64" i="3"/>
  <c r="CU64" i="3" s="1"/>
  <c r="CK64" i="3"/>
  <c r="CM64" i="3" s="1"/>
  <c r="CE64" i="3"/>
  <c r="CC64" i="3"/>
  <c r="BU64" i="3"/>
  <c r="BW64" i="3" s="1"/>
  <c r="BO64" i="3"/>
  <c r="BM64" i="3"/>
  <c r="BE64" i="3"/>
  <c r="BG64" i="3" s="1"/>
  <c r="AY64" i="3"/>
  <c r="AW64" i="3"/>
  <c r="AO64" i="3"/>
  <c r="AQ64" i="3" s="1"/>
  <c r="AG64" i="3"/>
  <c r="AI64" i="3" s="1"/>
  <c r="AA64" i="3"/>
  <c r="F64" i="3"/>
  <c r="H64" i="3" s="1"/>
  <c r="F56" i="3"/>
  <c r="H56" i="3" s="1"/>
  <c r="H55" i="3"/>
  <c r="H52" i="3"/>
  <c r="F52" i="3"/>
  <c r="F51" i="3"/>
  <c r="H51" i="3" s="1"/>
  <c r="XBW50" i="3"/>
  <c r="XBU50" i="3"/>
  <c r="XBM50" i="3"/>
  <c r="XBO50" i="3" s="1"/>
  <c r="XBE50" i="3"/>
  <c r="XBG50" i="3" s="1"/>
  <c r="XAY50" i="3"/>
  <c r="XAW50" i="3"/>
  <c r="XAO50" i="3"/>
  <c r="XAQ50" i="3" s="1"/>
  <c r="XAG50" i="3"/>
  <c r="XAI50" i="3" s="1"/>
  <c r="XAA50" i="3"/>
  <c r="WZY50" i="3"/>
  <c r="WZS50" i="3"/>
  <c r="WZQ50" i="3"/>
  <c r="WZI50" i="3"/>
  <c r="WZK50" i="3" s="1"/>
  <c r="WZA50" i="3"/>
  <c r="WZC50" i="3" s="1"/>
  <c r="WYU50" i="3"/>
  <c r="WYS50" i="3"/>
  <c r="WYK50" i="3"/>
  <c r="WYM50" i="3" s="1"/>
  <c r="WYC50" i="3"/>
  <c r="WYE50" i="3" s="1"/>
  <c r="WXU50" i="3"/>
  <c r="WXW50" i="3" s="1"/>
  <c r="WXO50" i="3"/>
  <c r="WXM50" i="3"/>
  <c r="WXE50" i="3"/>
  <c r="WXG50" i="3" s="1"/>
  <c r="WWY50" i="3"/>
  <c r="WWW50" i="3"/>
  <c r="WWO50" i="3"/>
  <c r="WWQ50" i="3" s="1"/>
  <c r="WWI50" i="3"/>
  <c r="WWG50" i="3"/>
  <c r="WVY50" i="3"/>
  <c r="WWA50" i="3" s="1"/>
  <c r="WVQ50" i="3"/>
  <c r="WVS50" i="3" s="1"/>
  <c r="WVI50" i="3"/>
  <c r="WVK50" i="3" s="1"/>
  <c r="WVA50" i="3"/>
  <c r="WVC50" i="3" s="1"/>
  <c r="WUS50" i="3"/>
  <c r="WUU50" i="3" s="1"/>
  <c r="WUM50" i="3"/>
  <c r="WUK50" i="3"/>
  <c r="WUC50" i="3"/>
  <c r="WUE50" i="3" s="1"/>
  <c r="WTU50" i="3"/>
  <c r="WTW50" i="3" s="1"/>
  <c r="WTM50" i="3"/>
  <c r="WTO50" i="3" s="1"/>
  <c r="WTE50" i="3"/>
  <c r="WTG50" i="3" s="1"/>
  <c r="WSW50" i="3"/>
  <c r="WSY50" i="3" s="1"/>
  <c r="WSO50" i="3"/>
  <c r="WSQ50" i="3" s="1"/>
  <c r="WSI50" i="3"/>
  <c r="WSG50" i="3"/>
  <c r="WSA50" i="3"/>
  <c r="WRY50" i="3"/>
  <c r="WRQ50" i="3"/>
  <c r="WRS50" i="3" s="1"/>
  <c r="WRI50" i="3"/>
  <c r="WRK50" i="3" s="1"/>
  <c r="WRA50" i="3"/>
  <c r="WRC50" i="3" s="1"/>
  <c r="WQS50" i="3"/>
  <c r="WQU50" i="3" s="1"/>
  <c r="WQK50" i="3"/>
  <c r="WQM50" i="3" s="1"/>
  <c r="WQC50" i="3"/>
  <c r="WQE50" i="3" s="1"/>
  <c r="WPU50" i="3"/>
  <c r="WPW50" i="3" s="1"/>
  <c r="WPO50" i="3"/>
  <c r="WPM50" i="3"/>
  <c r="WPE50" i="3"/>
  <c r="WPG50" i="3" s="1"/>
  <c r="WOW50" i="3"/>
  <c r="WOY50" i="3" s="1"/>
  <c r="WOO50" i="3"/>
  <c r="WOQ50" i="3" s="1"/>
  <c r="WOG50" i="3"/>
  <c r="WOI50" i="3" s="1"/>
  <c r="WNY50" i="3"/>
  <c r="WOA50" i="3" s="1"/>
  <c r="WNQ50" i="3"/>
  <c r="WNS50" i="3" s="1"/>
  <c r="WNI50" i="3"/>
  <c r="WNK50" i="3" s="1"/>
  <c r="WNC50" i="3"/>
  <c r="WNA50" i="3"/>
  <c r="WMS50" i="3"/>
  <c r="WMU50" i="3" s="1"/>
  <c r="WMK50" i="3"/>
  <c r="WMM50" i="3" s="1"/>
  <c r="WMC50" i="3"/>
  <c r="WME50" i="3" s="1"/>
  <c r="WLU50" i="3"/>
  <c r="WLW50" i="3" s="1"/>
  <c r="WLM50" i="3"/>
  <c r="WLO50" i="3" s="1"/>
  <c r="WLE50" i="3"/>
  <c r="WLG50" i="3" s="1"/>
  <c r="WKY50" i="3"/>
  <c r="WKW50" i="3"/>
  <c r="WKO50" i="3"/>
  <c r="WKQ50" i="3" s="1"/>
  <c r="WKG50" i="3"/>
  <c r="WKI50" i="3" s="1"/>
  <c r="WJY50" i="3"/>
  <c r="WKA50" i="3" s="1"/>
  <c r="WJQ50" i="3"/>
  <c r="WJS50" i="3" s="1"/>
  <c r="WJI50" i="3"/>
  <c r="WJK50" i="3" s="1"/>
  <c r="WJC50" i="3"/>
  <c r="WJA50" i="3"/>
  <c r="WIS50" i="3"/>
  <c r="WIU50" i="3" s="1"/>
  <c r="WIK50" i="3"/>
  <c r="WIM50" i="3" s="1"/>
  <c r="WIE50" i="3"/>
  <c r="WIC50" i="3"/>
  <c r="WHU50" i="3"/>
  <c r="WHW50" i="3" s="1"/>
  <c r="WHM50" i="3"/>
  <c r="WHO50" i="3" s="1"/>
  <c r="WHE50" i="3"/>
  <c r="WHG50" i="3" s="1"/>
  <c r="WGW50" i="3"/>
  <c r="WGY50" i="3" s="1"/>
  <c r="WGQ50" i="3"/>
  <c r="WGO50" i="3"/>
  <c r="WGG50" i="3"/>
  <c r="WGI50" i="3" s="1"/>
  <c r="WFY50" i="3"/>
  <c r="WGA50" i="3" s="1"/>
  <c r="WFS50" i="3"/>
  <c r="WFQ50" i="3"/>
  <c r="WFI50" i="3"/>
  <c r="WFK50" i="3" s="1"/>
  <c r="WFA50" i="3"/>
  <c r="WFC50" i="3" s="1"/>
  <c r="WES50" i="3"/>
  <c r="WEU50" i="3" s="1"/>
  <c r="WEK50" i="3"/>
  <c r="WEM50" i="3" s="1"/>
  <c r="WEC50" i="3"/>
  <c r="WEE50" i="3" s="1"/>
  <c r="WDW50" i="3"/>
  <c r="WDU50" i="3"/>
  <c r="WDO50" i="3"/>
  <c r="WDM50" i="3"/>
  <c r="WDE50" i="3"/>
  <c r="WDG50" i="3" s="1"/>
  <c r="WCW50" i="3"/>
  <c r="WCY50" i="3" s="1"/>
  <c r="WCQ50" i="3"/>
  <c r="WCO50" i="3"/>
  <c r="WCG50" i="3"/>
  <c r="WCI50" i="3" s="1"/>
  <c r="WBY50" i="3"/>
  <c r="WCA50" i="3" s="1"/>
  <c r="WBQ50" i="3"/>
  <c r="WBS50" i="3" s="1"/>
  <c r="WBK50" i="3"/>
  <c r="WBI50" i="3"/>
  <c r="WBA50" i="3"/>
  <c r="WBC50" i="3" s="1"/>
  <c r="WAS50" i="3"/>
  <c r="WAU50" i="3" s="1"/>
  <c r="WAK50" i="3"/>
  <c r="WAM50" i="3" s="1"/>
  <c r="WAC50" i="3"/>
  <c r="WAE50" i="3" s="1"/>
  <c r="VZW50" i="3"/>
  <c r="VZU50" i="3"/>
  <c r="VZM50" i="3"/>
  <c r="VZO50" i="3" s="1"/>
  <c r="VZE50" i="3"/>
  <c r="VZG50" i="3" s="1"/>
  <c r="VYW50" i="3"/>
  <c r="VYY50" i="3" s="1"/>
  <c r="VYO50" i="3"/>
  <c r="VYQ50" i="3" s="1"/>
  <c r="VYG50" i="3"/>
  <c r="VYI50" i="3" s="1"/>
  <c r="VXY50" i="3"/>
  <c r="VYA50" i="3" s="1"/>
  <c r="VXQ50" i="3"/>
  <c r="VXS50" i="3" s="1"/>
  <c r="VXI50" i="3"/>
  <c r="VXK50" i="3" s="1"/>
  <c r="VXA50" i="3"/>
  <c r="VXC50" i="3" s="1"/>
  <c r="VWS50" i="3"/>
  <c r="VWU50" i="3" s="1"/>
  <c r="VWK50" i="3"/>
  <c r="VWM50" i="3" s="1"/>
  <c r="VWE50" i="3"/>
  <c r="VWC50" i="3"/>
  <c r="VVU50" i="3"/>
  <c r="VVW50" i="3" s="1"/>
  <c r="VVM50" i="3"/>
  <c r="VVO50" i="3" s="1"/>
  <c r="VVE50" i="3"/>
  <c r="VVG50" i="3" s="1"/>
  <c r="VUW50" i="3"/>
  <c r="VUY50" i="3" s="1"/>
  <c r="VUO50" i="3"/>
  <c r="VUQ50" i="3" s="1"/>
  <c r="VUG50" i="3"/>
  <c r="VUI50" i="3" s="1"/>
  <c r="VTY50" i="3"/>
  <c r="VUA50" i="3" s="1"/>
  <c r="VTQ50" i="3"/>
  <c r="VTS50" i="3" s="1"/>
  <c r="VTI50" i="3"/>
  <c r="VTK50" i="3" s="1"/>
  <c r="VTA50" i="3"/>
  <c r="VTC50" i="3" s="1"/>
  <c r="VSS50" i="3"/>
  <c r="VSU50" i="3" s="1"/>
  <c r="VSK50" i="3"/>
  <c r="VSM50" i="3" s="1"/>
  <c r="VSC50" i="3"/>
  <c r="VSE50" i="3" s="1"/>
  <c r="VRU50" i="3"/>
  <c r="VRW50" i="3" s="1"/>
  <c r="VRO50" i="3"/>
  <c r="VRM50" i="3"/>
  <c r="VRE50" i="3"/>
  <c r="VRG50" i="3" s="1"/>
  <c r="VQW50" i="3"/>
  <c r="VQY50" i="3" s="1"/>
  <c r="VQO50" i="3"/>
  <c r="VQQ50" i="3" s="1"/>
  <c r="VQG50" i="3"/>
  <c r="VQI50" i="3" s="1"/>
  <c r="VQA50" i="3"/>
  <c r="VPY50" i="3"/>
  <c r="VPQ50" i="3"/>
  <c r="VPS50" i="3" s="1"/>
  <c r="VPI50" i="3"/>
  <c r="VPK50" i="3" s="1"/>
  <c r="VPC50" i="3"/>
  <c r="VPA50" i="3"/>
  <c r="VOS50" i="3"/>
  <c r="VOU50" i="3" s="1"/>
  <c r="VOK50" i="3"/>
  <c r="VOM50" i="3" s="1"/>
  <c r="VOC50" i="3"/>
  <c r="VOE50" i="3" s="1"/>
  <c r="VNW50" i="3"/>
  <c r="VNU50" i="3"/>
  <c r="VNM50" i="3"/>
  <c r="VNO50" i="3" s="1"/>
  <c r="VNE50" i="3"/>
  <c r="VNG50" i="3" s="1"/>
  <c r="VMY50" i="3"/>
  <c r="VMW50" i="3"/>
  <c r="VMO50" i="3"/>
  <c r="VMQ50" i="3" s="1"/>
  <c r="VMG50" i="3"/>
  <c r="VMI50" i="3" s="1"/>
  <c r="VLY50" i="3"/>
  <c r="VMA50" i="3" s="1"/>
  <c r="VLQ50" i="3"/>
  <c r="VLS50" i="3" s="1"/>
  <c r="VLI50" i="3"/>
  <c r="VLK50" i="3" s="1"/>
  <c r="VLC50" i="3"/>
  <c r="VLA50" i="3"/>
  <c r="VKS50" i="3"/>
  <c r="VKU50" i="3" s="1"/>
  <c r="VKM50" i="3"/>
  <c r="VKK50" i="3"/>
  <c r="VKE50" i="3"/>
  <c r="VKC50" i="3"/>
  <c r="VJU50" i="3"/>
  <c r="VJW50" i="3" s="1"/>
  <c r="VJM50" i="3"/>
  <c r="VJO50" i="3" s="1"/>
  <c r="VJE50" i="3"/>
  <c r="VJG50" i="3" s="1"/>
  <c r="VIW50" i="3"/>
  <c r="VIY50" i="3" s="1"/>
  <c r="VIQ50" i="3"/>
  <c r="VIO50" i="3"/>
  <c r="VII50" i="3"/>
  <c r="VIG50" i="3"/>
  <c r="VHY50" i="3"/>
  <c r="VIA50" i="3" s="1"/>
  <c r="VHS50" i="3"/>
  <c r="VHQ50" i="3"/>
  <c r="VHI50" i="3"/>
  <c r="VHK50" i="3" s="1"/>
  <c r="VHA50" i="3"/>
  <c r="VHC50" i="3" s="1"/>
  <c r="VGS50" i="3"/>
  <c r="VGU50" i="3" s="1"/>
  <c r="VGK50" i="3"/>
  <c r="VGM50" i="3" s="1"/>
  <c r="VGC50" i="3"/>
  <c r="VGE50" i="3" s="1"/>
  <c r="VFW50" i="3"/>
  <c r="VFU50" i="3"/>
  <c r="VFO50" i="3"/>
  <c r="VFM50" i="3"/>
  <c r="VFE50" i="3"/>
  <c r="VFG50" i="3" s="1"/>
  <c r="VEW50" i="3"/>
  <c r="VEY50" i="3" s="1"/>
  <c r="VEO50" i="3"/>
  <c r="VEQ50" i="3" s="1"/>
  <c r="VEG50" i="3"/>
  <c r="VEI50" i="3" s="1"/>
  <c r="VDY50" i="3"/>
  <c r="VEA50" i="3" s="1"/>
  <c r="VDS50" i="3"/>
  <c r="VDQ50" i="3"/>
  <c r="VDI50" i="3"/>
  <c r="VDK50" i="3" s="1"/>
  <c r="VDA50" i="3"/>
  <c r="VDC50" i="3" s="1"/>
  <c r="VCS50" i="3"/>
  <c r="VCU50" i="3" s="1"/>
  <c r="VCK50" i="3"/>
  <c r="VCM50" i="3" s="1"/>
  <c r="VCC50" i="3"/>
  <c r="VCE50" i="3" s="1"/>
  <c r="VBU50" i="3"/>
  <c r="VBW50" i="3" s="1"/>
  <c r="VBM50" i="3"/>
  <c r="VBO50" i="3" s="1"/>
  <c r="VBE50" i="3"/>
  <c r="VBG50" i="3" s="1"/>
  <c r="VAY50" i="3"/>
  <c r="VAW50" i="3"/>
  <c r="VAO50" i="3"/>
  <c r="VAQ50" i="3" s="1"/>
  <c r="VAG50" i="3"/>
  <c r="VAI50" i="3" s="1"/>
  <c r="UZY50" i="3"/>
  <c r="VAA50" i="3" s="1"/>
  <c r="UZQ50" i="3"/>
  <c r="UZS50" i="3" s="1"/>
  <c r="UZI50" i="3"/>
  <c r="UZK50" i="3" s="1"/>
  <c r="UZA50" i="3"/>
  <c r="UZC50" i="3" s="1"/>
  <c r="UYS50" i="3"/>
  <c r="UYU50" i="3" s="1"/>
  <c r="UYM50" i="3"/>
  <c r="UYK50" i="3"/>
  <c r="UYC50" i="3"/>
  <c r="UYE50" i="3" s="1"/>
  <c r="UXU50" i="3"/>
  <c r="UXW50" i="3" s="1"/>
  <c r="UXM50" i="3"/>
  <c r="UXO50" i="3" s="1"/>
  <c r="UXE50" i="3"/>
  <c r="UXG50" i="3" s="1"/>
  <c r="UWW50" i="3"/>
  <c r="UWY50" i="3" s="1"/>
  <c r="UWQ50" i="3"/>
  <c r="UWO50" i="3"/>
  <c r="UWI50" i="3"/>
  <c r="UWG50" i="3"/>
  <c r="UVY50" i="3"/>
  <c r="UWA50" i="3" s="1"/>
  <c r="UVQ50" i="3"/>
  <c r="UVS50" i="3" s="1"/>
  <c r="UVI50" i="3"/>
  <c r="UVK50" i="3" s="1"/>
  <c r="UVA50" i="3"/>
  <c r="UVC50" i="3" s="1"/>
  <c r="UUS50" i="3"/>
  <c r="UUU50" i="3" s="1"/>
  <c r="UUM50" i="3"/>
  <c r="UUK50" i="3"/>
  <c r="UUE50" i="3"/>
  <c r="UUC50" i="3"/>
  <c r="UTU50" i="3"/>
  <c r="UTW50" i="3" s="1"/>
  <c r="UTM50" i="3"/>
  <c r="UTO50" i="3" s="1"/>
  <c r="UTE50" i="3"/>
  <c r="UTG50" i="3" s="1"/>
  <c r="USW50" i="3"/>
  <c r="USY50" i="3" s="1"/>
  <c r="USQ50" i="3"/>
  <c r="USO50" i="3"/>
  <c r="USG50" i="3"/>
  <c r="USI50" i="3" s="1"/>
  <c r="URY50" i="3"/>
  <c r="USA50" i="3" s="1"/>
  <c r="URS50" i="3"/>
  <c r="URQ50" i="3"/>
  <c r="URI50" i="3"/>
  <c r="URK50" i="3" s="1"/>
  <c r="URA50" i="3"/>
  <c r="URC50" i="3" s="1"/>
  <c r="UQS50" i="3"/>
  <c r="UQU50" i="3" s="1"/>
  <c r="UQK50" i="3"/>
  <c r="UQM50" i="3" s="1"/>
  <c r="UQC50" i="3"/>
  <c r="UQE50" i="3" s="1"/>
  <c r="UPW50" i="3"/>
  <c r="UPU50" i="3"/>
  <c r="UPM50" i="3"/>
  <c r="UPO50" i="3" s="1"/>
  <c r="UPE50" i="3"/>
  <c r="UPG50" i="3" s="1"/>
  <c r="UOW50" i="3"/>
  <c r="UOY50" i="3" s="1"/>
  <c r="UOO50" i="3"/>
  <c r="UOQ50" i="3" s="1"/>
  <c r="UOG50" i="3"/>
  <c r="UOI50" i="3" s="1"/>
  <c r="UNY50" i="3"/>
  <c r="UOA50" i="3" s="1"/>
  <c r="UNQ50" i="3"/>
  <c r="UNS50" i="3" s="1"/>
  <c r="UNK50" i="3"/>
  <c r="UNI50" i="3"/>
  <c r="UNA50" i="3"/>
  <c r="UNC50" i="3" s="1"/>
  <c r="UMS50" i="3"/>
  <c r="UMU50" i="3" s="1"/>
  <c r="UMK50" i="3"/>
  <c r="UMM50" i="3" s="1"/>
  <c r="UMC50" i="3"/>
  <c r="UME50" i="3" s="1"/>
  <c r="ULU50" i="3"/>
  <c r="ULW50" i="3" s="1"/>
  <c r="ULM50" i="3"/>
  <c r="ULO50" i="3" s="1"/>
  <c r="ULE50" i="3"/>
  <c r="ULG50" i="3" s="1"/>
  <c r="UKW50" i="3"/>
  <c r="UKY50" i="3" s="1"/>
  <c r="UKO50" i="3"/>
  <c r="UKQ50" i="3" s="1"/>
  <c r="UKI50" i="3"/>
  <c r="UKG50" i="3"/>
  <c r="UJY50" i="3"/>
  <c r="UKA50" i="3" s="1"/>
  <c r="UJQ50" i="3"/>
  <c r="UJS50" i="3" s="1"/>
  <c r="UJI50" i="3"/>
  <c r="UJK50" i="3" s="1"/>
  <c r="UJA50" i="3"/>
  <c r="UJC50" i="3" s="1"/>
  <c r="UIS50" i="3"/>
  <c r="UIU50" i="3" s="1"/>
  <c r="UIK50" i="3"/>
  <c r="UIM50" i="3" s="1"/>
  <c r="UIC50" i="3"/>
  <c r="UIE50" i="3" s="1"/>
  <c r="UHW50" i="3"/>
  <c r="UHU50" i="3"/>
  <c r="UHM50" i="3"/>
  <c r="UHO50" i="3" s="1"/>
  <c r="UHE50" i="3"/>
  <c r="UHG50" i="3" s="1"/>
  <c r="UGW50" i="3"/>
  <c r="UGY50" i="3" s="1"/>
  <c r="UGO50" i="3"/>
  <c r="UGQ50" i="3" s="1"/>
  <c r="UGG50" i="3"/>
  <c r="UGI50" i="3" s="1"/>
  <c r="UFY50" i="3"/>
  <c r="UGA50" i="3" s="1"/>
  <c r="UFS50" i="3"/>
  <c r="UFQ50" i="3"/>
  <c r="UFI50" i="3"/>
  <c r="UFK50" i="3" s="1"/>
  <c r="UFA50" i="3"/>
  <c r="UFC50" i="3" s="1"/>
  <c r="UES50" i="3"/>
  <c r="UEU50" i="3" s="1"/>
  <c r="UEK50" i="3"/>
  <c r="UEM50" i="3" s="1"/>
  <c r="UEC50" i="3"/>
  <c r="UEE50" i="3" s="1"/>
  <c r="UDU50" i="3"/>
  <c r="UDW50" i="3" s="1"/>
  <c r="UDO50" i="3"/>
  <c r="UDM50" i="3"/>
  <c r="UDE50" i="3"/>
  <c r="UDG50" i="3" s="1"/>
  <c r="UCY50" i="3"/>
  <c r="UCW50" i="3"/>
  <c r="UCO50" i="3"/>
  <c r="UCQ50" i="3" s="1"/>
  <c r="UCG50" i="3"/>
  <c r="UCI50" i="3" s="1"/>
  <c r="UCA50" i="3"/>
  <c r="UBY50" i="3"/>
  <c r="UBQ50" i="3"/>
  <c r="UBS50" i="3" s="1"/>
  <c r="UBI50" i="3"/>
  <c r="UBK50" i="3" s="1"/>
  <c r="UBC50" i="3"/>
  <c r="UBA50" i="3"/>
  <c r="UAS50" i="3"/>
  <c r="UAU50" i="3" s="1"/>
  <c r="UAM50" i="3"/>
  <c r="UAK50" i="3"/>
  <c r="UAC50" i="3"/>
  <c r="UAE50" i="3" s="1"/>
  <c r="TZU50" i="3"/>
  <c r="TZW50" i="3" s="1"/>
  <c r="TZO50" i="3"/>
  <c r="TZM50" i="3"/>
  <c r="TZE50" i="3"/>
  <c r="TZG50" i="3" s="1"/>
  <c r="TYW50" i="3"/>
  <c r="TYY50" i="3" s="1"/>
  <c r="TYQ50" i="3"/>
  <c r="TYO50" i="3"/>
  <c r="TYI50" i="3"/>
  <c r="TYG50" i="3"/>
  <c r="TXY50" i="3"/>
  <c r="TYA50" i="3" s="1"/>
  <c r="TXQ50" i="3"/>
  <c r="TXS50" i="3" s="1"/>
  <c r="TXK50" i="3"/>
  <c r="TXI50" i="3"/>
  <c r="TXA50" i="3"/>
  <c r="TXC50" i="3" s="1"/>
  <c r="TWS50" i="3"/>
  <c r="TWU50" i="3" s="1"/>
  <c r="TWM50" i="3"/>
  <c r="TWK50" i="3"/>
  <c r="TWC50" i="3"/>
  <c r="TWE50" i="3" s="1"/>
  <c r="TVU50" i="3"/>
  <c r="TVW50" i="3" s="1"/>
  <c r="TVM50" i="3"/>
  <c r="TVO50" i="3" s="1"/>
  <c r="TVE50" i="3"/>
  <c r="TVG50" i="3" s="1"/>
  <c r="TUY50" i="3"/>
  <c r="TUW50" i="3"/>
  <c r="TUO50" i="3"/>
  <c r="TUQ50" i="3" s="1"/>
  <c r="TUG50" i="3"/>
  <c r="TUI50" i="3" s="1"/>
  <c r="TUA50" i="3"/>
  <c r="TTY50" i="3"/>
  <c r="TTS50" i="3"/>
  <c r="TTQ50" i="3"/>
  <c r="TTI50" i="3"/>
  <c r="TTK50" i="3" s="1"/>
  <c r="TTA50" i="3"/>
  <c r="TTC50" i="3" s="1"/>
  <c r="TSU50" i="3"/>
  <c r="TSS50" i="3"/>
  <c r="TSK50" i="3"/>
  <c r="TSM50" i="3" s="1"/>
  <c r="TSC50" i="3"/>
  <c r="TSE50" i="3" s="1"/>
  <c r="TRW50" i="3"/>
  <c r="TRU50" i="3"/>
  <c r="TRM50" i="3"/>
  <c r="TRO50" i="3" s="1"/>
  <c r="TRE50" i="3"/>
  <c r="TRG50" i="3" s="1"/>
  <c r="TQW50" i="3"/>
  <c r="TQY50" i="3" s="1"/>
  <c r="TQO50" i="3"/>
  <c r="TQQ50" i="3" s="1"/>
  <c r="TQG50" i="3"/>
  <c r="TQI50" i="3" s="1"/>
  <c r="TQA50" i="3"/>
  <c r="TPY50" i="3"/>
  <c r="TPQ50" i="3"/>
  <c r="TPS50" i="3" s="1"/>
  <c r="TPK50" i="3"/>
  <c r="TPI50" i="3"/>
  <c r="TPC50" i="3"/>
  <c r="TPA50" i="3"/>
  <c r="TOS50" i="3"/>
  <c r="TOU50" i="3" s="1"/>
  <c r="TOK50" i="3"/>
  <c r="TOM50" i="3" s="1"/>
  <c r="TOC50" i="3"/>
  <c r="TOE50" i="3" s="1"/>
  <c r="TNU50" i="3"/>
  <c r="TNW50" i="3" s="1"/>
  <c r="TNM50" i="3"/>
  <c r="TNO50" i="3" s="1"/>
  <c r="TNG50" i="3"/>
  <c r="TNE50" i="3"/>
  <c r="TMW50" i="3"/>
  <c r="TMY50" i="3" s="1"/>
  <c r="TMO50" i="3"/>
  <c r="TMQ50" i="3" s="1"/>
  <c r="TMG50" i="3"/>
  <c r="TMI50" i="3" s="1"/>
  <c r="TLY50" i="3"/>
  <c r="TMA50" i="3" s="1"/>
  <c r="TLS50" i="3"/>
  <c r="TLQ50" i="3"/>
  <c r="TLI50" i="3"/>
  <c r="TLK50" i="3" s="1"/>
  <c r="TLA50" i="3"/>
  <c r="TLC50" i="3" s="1"/>
  <c r="TKS50" i="3"/>
  <c r="TKU50" i="3" s="1"/>
  <c r="TKK50" i="3"/>
  <c r="TKM50" i="3" s="1"/>
  <c r="TKC50" i="3"/>
  <c r="TKE50" i="3" s="1"/>
  <c r="TJW50" i="3"/>
  <c r="TJU50" i="3"/>
  <c r="TJM50" i="3"/>
  <c r="TJO50" i="3" s="1"/>
  <c r="TJE50" i="3"/>
  <c r="TJG50" i="3" s="1"/>
  <c r="TIW50" i="3"/>
  <c r="TIY50" i="3" s="1"/>
  <c r="TIQ50" i="3"/>
  <c r="TIO50" i="3"/>
  <c r="TIG50" i="3"/>
  <c r="TII50" i="3" s="1"/>
  <c r="THY50" i="3"/>
  <c r="TIA50" i="3" s="1"/>
  <c r="THS50" i="3"/>
  <c r="THQ50" i="3"/>
  <c r="THI50" i="3"/>
  <c r="THK50" i="3" s="1"/>
  <c r="THA50" i="3"/>
  <c r="THC50" i="3" s="1"/>
  <c r="TGS50" i="3"/>
  <c r="TGU50" i="3" s="1"/>
  <c r="TGK50" i="3"/>
  <c r="TGM50" i="3" s="1"/>
  <c r="TGE50" i="3"/>
  <c r="TGC50" i="3"/>
  <c r="TFU50" i="3"/>
  <c r="TFW50" i="3" s="1"/>
  <c r="TFM50" i="3"/>
  <c r="TFO50" i="3" s="1"/>
  <c r="TFE50" i="3"/>
  <c r="TFG50" i="3" s="1"/>
  <c r="TEW50" i="3"/>
  <c r="TEY50" i="3" s="1"/>
  <c r="TEO50" i="3"/>
  <c r="TEQ50" i="3" s="1"/>
  <c r="TEG50" i="3"/>
  <c r="TEI50" i="3" s="1"/>
  <c r="TEA50" i="3"/>
  <c r="TDY50" i="3"/>
  <c r="TDQ50" i="3"/>
  <c r="TDS50" i="3" s="1"/>
  <c r="TDI50" i="3"/>
  <c r="TDK50" i="3" s="1"/>
  <c r="TDC50" i="3"/>
  <c r="TDA50" i="3"/>
  <c r="TCS50" i="3"/>
  <c r="TCU50" i="3" s="1"/>
  <c r="TCM50" i="3"/>
  <c r="TCK50" i="3"/>
  <c r="TCC50" i="3"/>
  <c r="TCE50" i="3" s="1"/>
  <c r="TBW50" i="3"/>
  <c r="TBU50" i="3"/>
  <c r="TBM50" i="3"/>
  <c r="TBO50" i="3" s="1"/>
  <c r="TBE50" i="3"/>
  <c r="TBG50" i="3" s="1"/>
  <c r="TAW50" i="3"/>
  <c r="TAY50" i="3" s="1"/>
  <c r="TAO50" i="3"/>
  <c r="TAQ50" i="3" s="1"/>
  <c r="TAG50" i="3"/>
  <c r="TAI50" i="3" s="1"/>
  <c r="SZY50" i="3"/>
  <c r="TAA50" i="3" s="1"/>
  <c r="SZQ50" i="3"/>
  <c r="SZS50" i="3" s="1"/>
  <c r="SZK50" i="3"/>
  <c r="SZI50" i="3"/>
  <c r="SZA50" i="3"/>
  <c r="SZC50" i="3" s="1"/>
  <c r="SYS50" i="3"/>
  <c r="SYU50" i="3" s="1"/>
  <c r="SYM50" i="3"/>
  <c r="SYK50" i="3"/>
  <c r="SYC50" i="3"/>
  <c r="SYE50" i="3" s="1"/>
  <c r="SXU50" i="3"/>
  <c r="SXW50" i="3" s="1"/>
  <c r="SXM50" i="3"/>
  <c r="SXO50" i="3" s="1"/>
  <c r="SXE50" i="3"/>
  <c r="SXG50" i="3" s="1"/>
  <c r="SWW50" i="3"/>
  <c r="SWY50" i="3" s="1"/>
  <c r="SWO50" i="3"/>
  <c r="SWQ50" i="3" s="1"/>
  <c r="SWG50" i="3"/>
  <c r="SWI50" i="3" s="1"/>
  <c r="SWA50" i="3"/>
  <c r="SVY50" i="3"/>
  <c r="SVQ50" i="3"/>
  <c r="SVS50" i="3" s="1"/>
  <c r="SVI50" i="3"/>
  <c r="SVK50" i="3" s="1"/>
  <c r="SVC50" i="3"/>
  <c r="SVA50" i="3"/>
  <c r="SUS50" i="3"/>
  <c r="SUU50" i="3" s="1"/>
  <c r="SUK50" i="3"/>
  <c r="SUM50" i="3" s="1"/>
  <c r="SUC50" i="3"/>
  <c r="SUE50" i="3" s="1"/>
  <c r="STU50" i="3"/>
  <c r="STW50" i="3" s="1"/>
  <c r="STM50" i="3"/>
  <c r="STO50" i="3" s="1"/>
  <c r="STE50" i="3"/>
  <c r="STG50" i="3" s="1"/>
  <c r="SSW50" i="3"/>
  <c r="SSY50" i="3" s="1"/>
  <c r="SSO50" i="3"/>
  <c r="SSQ50" i="3" s="1"/>
  <c r="SSG50" i="3"/>
  <c r="SSI50" i="3" s="1"/>
  <c r="SRY50" i="3"/>
  <c r="SSA50" i="3" s="1"/>
  <c r="SRQ50" i="3"/>
  <c r="SRS50" i="3" s="1"/>
  <c r="SRK50" i="3"/>
  <c r="SRI50" i="3"/>
  <c r="SRC50" i="3"/>
  <c r="SRA50" i="3"/>
  <c r="SQS50" i="3"/>
  <c r="SQU50" i="3" s="1"/>
  <c r="SQK50" i="3"/>
  <c r="SQM50" i="3" s="1"/>
  <c r="SQC50" i="3"/>
  <c r="SQE50" i="3" s="1"/>
  <c r="SPU50" i="3"/>
  <c r="SPW50" i="3" s="1"/>
  <c r="SPM50" i="3"/>
  <c r="SPO50" i="3" s="1"/>
  <c r="SPG50" i="3"/>
  <c r="SPE50" i="3"/>
  <c r="SOW50" i="3"/>
  <c r="SOY50" i="3" s="1"/>
  <c r="SOO50" i="3"/>
  <c r="SOQ50" i="3" s="1"/>
  <c r="SOG50" i="3"/>
  <c r="SOI50" i="3" s="1"/>
  <c r="SNY50" i="3"/>
  <c r="SOA50" i="3" s="1"/>
  <c r="SNQ50" i="3"/>
  <c r="SNS50" i="3" s="1"/>
  <c r="SNI50" i="3"/>
  <c r="SNK50" i="3" s="1"/>
  <c r="SNA50" i="3"/>
  <c r="SNC50" i="3" s="1"/>
  <c r="SMU50" i="3"/>
  <c r="SMS50" i="3"/>
  <c r="SMK50" i="3"/>
  <c r="SMM50" i="3" s="1"/>
  <c r="SMC50" i="3"/>
  <c r="SME50" i="3" s="1"/>
  <c r="SLW50" i="3"/>
  <c r="SLU50" i="3"/>
  <c r="SLM50" i="3"/>
  <c r="SLO50" i="3" s="1"/>
  <c r="SLE50" i="3"/>
  <c r="SLG50" i="3" s="1"/>
  <c r="SKW50" i="3"/>
  <c r="SKY50" i="3" s="1"/>
  <c r="SKQ50" i="3"/>
  <c r="SKO50" i="3"/>
  <c r="SKG50" i="3"/>
  <c r="SKI50" i="3" s="1"/>
  <c r="SJY50" i="3"/>
  <c r="SKA50" i="3" s="1"/>
  <c r="SJS50" i="3"/>
  <c r="SJQ50" i="3"/>
  <c r="SJI50" i="3"/>
  <c r="SJK50" i="3" s="1"/>
  <c r="SJA50" i="3"/>
  <c r="SJC50" i="3" s="1"/>
  <c r="SIS50" i="3"/>
  <c r="SIU50" i="3" s="1"/>
  <c r="SIK50" i="3"/>
  <c r="SIM50" i="3" s="1"/>
  <c r="SIC50" i="3"/>
  <c r="SIE50" i="3" s="1"/>
  <c r="SHW50" i="3"/>
  <c r="SHU50" i="3"/>
  <c r="SHM50" i="3"/>
  <c r="SHO50" i="3" s="1"/>
  <c r="SHG50" i="3"/>
  <c r="SHE50" i="3"/>
  <c r="SGW50" i="3"/>
  <c r="SGY50" i="3" s="1"/>
  <c r="SGO50" i="3"/>
  <c r="SGQ50" i="3" s="1"/>
  <c r="SGG50" i="3"/>
  <c r="SGI50" i="3" s="1"/>
  <c r="SFY50" i="3"/>
  <c r="SGA50" i="3" s="1"/>
  <c r="SFQ50" i="3"/>
  <c r="SFS50" i="3" s="1"/>
  <c r="SFI50" i="3"/>
  <c r="SFK50" i="3" s="1"/>
  <c r="SFC50" i="3"/>
  <c r="SFA50" i="3"/>
  <c r="SES50" i="3"/>
  <c r="SEU50" i="3" s="1"/>
  <c r="SEK50" i="3"/>
  <c r="SEM50" i="3" s="1"/>
  <c r="SEC50" i="3"/>
  <c r="SEE50" i="3" s="1"/>
  <c r="SDU50" i="3"/>
  <c r="SDW50" i="3" s="1"/>
  <c r="SDM50" i="3"/>
  <c r="SDO50" i="3" s="1"/>
  <c r="SDE50" i="3"/>
  <c r="SDG50" i="3" s="1"/>
  <c r="SCW50" i="3"/>
  <c r="SCY50" i="3" s="1"/>
  <c r="SCO50" i="3"/>
  <c r="SCQ50" i="3" s="1"/>
  <c r="SCI50" i="3"/>
  <c r="SCG50" i="3"/>
  <c r="SCA50" i="3"/>
  <c r="SBY50" i="3"/>
  <c r="SBS50" i="3"/>
  <c r="SBQ50" i="3"/>
  <c r="SBI50" i="3"/>
  <c r="SBK50" i="3" s="1"/>
  <c r="SBA50" i="3"/>
  <c r="SBC50" i="3" s="1"/>
  <c r="SAS50" i="3"/>
  <c r="SAU50" i="3" s="1"/>
  <c r="SAM50" i="3"/>
  <c r="SAK50" i="3"/>
  <c r="SAC50" i="3"/>
  <c r="SAE50" i="3" s="1"/>
  <c r="RZU50" i="3"/>
  <c r="RZW50" i="3" s="1"/>
  <c r="RZM50" i="3"/>
  <c r="RZO50" i="3" s="1"/>
  <c r="RZE50" i="3"/>
  <c r="RZG50" i="3" s="1"/>
  <c r="RYW50" i="3"/>
  <c r="RYY50" i="3" s="1"/>
  <c r="RYO50" i="3"/>
  <c r="RYQ50" i="3" s="1"/>
  <c r="RYG50" i="3"/>
  <c r="RYI50" i="3" s="1"/>
  <c r="RXY50" i="3"/>
  <c r="RYA50" i="3" s="1"/>
  <c r="RXS50" i="3"/>
  <c r="RXQ50" i="3"/>
  <c r="RXI50" i="3"/>
  <c r="RXK50" i="3" s="1"/>
  <c r="RXA50" i="3"/>
  <c r="RXC50" i="3" s="1"/>
  <c r="RWS50" i="3"/>
  <c r="RWU50" i="3" s="1"/>
  <c r="RWK50" i="3"/>
  <c r="RWM50" i="3" s="1"/>
  <c r="RWE50" i="3"/>
  <c r="RWC50" i="3"/>
  <c r="RVU50" i="3"/>
  <c r="RVW50" i="3" s="1"/>
  <c r="RVM50" i="3"/>
  <c r="RVO50" i="3" s="1"/>
  <c r="RVG50" i="3"/>
  <c r="RVE50" i="3"/>
  <c r="RUY50" i="3"/>
  <c r="RUW50" i="3"/>
  <c r="RUO50" i="3"/>
  <c r="RUQ50" i="3" s="1"/>
  <c r="RUG50" i="3"/>
  <c r="RUI50" i="3" s="1"/>
  <c r="RTY50" i="3"/>
  <c r="RUA50" i="3" s="1"/>
  <c r="RTQ50" i="3"/>
  <c r="RTS50" i="3" s="1"/>
  <c r="RTK50" i="3"/>
  <c r="RTI50" i="3"/>
  <c r="RTC50" i="3"/>
  <c r="RTA50" i="3"/>
  <c r="RSS50" i="3"/>
  <c r="RSU50" i="3" s="1"/>
  <c r="RSK50" i="3"/>
  <c r="RSM50" i="3" s="1"/>
  <c r="RSC50" i="3"/>
  <c r="RSE50" i="3" s="1"/>
  <c r="RRU50" i="3"/>
  <c r="RRW50" i="3" s="1"/>
  <c r="RRM50" i="3"/>
  <c r="RRO50" i="3" s="1"/>
  <c r="RRE50" i="3"/>
  <c r="RRG50" i="3" s="1"/>
  <c r="RQW50" i="3"/>
  <c r="RQY50" i="3" s="1"/>
  <c r="RQQ50" i="3"/>
  <c r="RQO50" i="3"/>
  <c r="RQI50" i="3"/>
  <c r="RQG50" i="3"/>
  <c r="RPY50" i="3"/>
  <c r="RQA50" i="3" s="1"/>
  <c r="RPQ50" i="3"/>
  <c r="RPS50" i="3" s="1"/>
  <c r="RPI50" i="3"/>
  <c r="RPK50" i="3" s="1"/>
  <c r="RPA50" i="3"/>
  <c r="RPC50" i="3" s="1"/>
  <c r="ROS50" i="3"/>
  <c r="ROU50" i="3" s="1"/>
  <c r="ROK50" i="3"/>
  <c r="ROM50" i="3" s="1"/>
  <c r="ROC50" i="3"/>
  <c r="ROE50" i="3" s="1"/>
  <c r="RNU50" i="3"/>
  <c r="RNW50" i="3" s="1"/>
  <c r="RNO50" i="3"/>
  <c r="RNM50" i="3"/>
  <c r="RNE50" i="3"/>
  <c r="RNG50" i="3" s="1"/>
  <c r="RMW50" i="3"/>
  <c r="RMY50" i="3" s="1"/>
  <c r="RMO50" i="3"/>
  <c r="RMQ50" i="3" s="1"/>
  <c r="RMG50" i="3"/>
  <c r="RMI50" i="3" s="1"/>
  <c r="RMA50" i="3"/>
  <c r="RLY50" i="3"/>
  <c r="RLQ50" i="3"/>
  <c r="RLS50" i="3" s="1"/>
  <c r="RLI50" i="3"/>
  <c r="RLK50" i="3" s="1"/>
  <c r="RLC50" i="3"/>
  <c r="RLA50" i="3"/>
  <c r="RKS50" i="3"/>
  <c r="RKU50" i="3" s="1"/>
  <c r="RKK50" i="3"/>
  <c r="RKM50" i="3" s="1"/>
  <c r="RKC50" i="3"/>
  <c r="RKE50" i="3" s="1"/>
  <c r="RJW50" i="3"/>
  <c r="RJU50" i="3"/>
  <c r="RJM50" i="3"/>
  <c r="RJO50" i="3" s="1"/>
  <c r="RJE50" i="3"/>
  <c r="RJG50" i="3" s="1"/>
  <c r="RIY50" i="3"/>
  <c r="RIW50" i="3"/>
  <c r="RIO50" i="3"/>
  <c r="RIQ50" i="3" s="1"/>
  <c r="RIG50" i="3"/>
  <c r="RII50" i="3" s="1"/>
  <c r="RHY50" i="3"/>
  <c r="RIA50" i="3" s="1"/>
  <c r="RHQ50" i="3"/>
  <c r="RHS50" i="3" s="1"/>
  <c r="RHI50" i="3"/>
  <c r="RHK50" i="3" s="1"/>
  <c r="RHA50" i="3"/>
  <c r="RHC50" i="3" s="1"/>
  <c r="RGS50" i="3"/>
  <c r="RGU50" i="3" s="1"/>
  <c r="RGK50" i="3"/>
  <c r="RGM50" i="3" s="1"/>
  <c r="RGE50" i="3"/>
  <c r="RGC50" i="3"/>
  <c r="RFU50" i="3"/>
  <c r="RFW50" i="3" s="1"/>
  <c r="RFM50" i="3"/>
  <c r="RFO50" i="3" s="1"/>
  <c r="RFG50" i="3"/>
  <c r="RFE50" i="3"/>
  <c r="REW50" i="3"/>
  <c r="REY50" i="3" s="1"/>
  <c r="REO50" i="3"/>
  <c r="REQ50" i="3" s="1"/>
  <c r="REG50" i="3"/>
  <c r="REI50" i="3" s="1"/>
  <c r="RDY50" i="3"/>
  <c r="REA50" i="3" s="1"/>
  <c r="RDQ50" i="3"/>
  <c r="RDS50" i="3" s="1"/>
  <c r="RDI50" i="3"/>
  <c r="RDK50" i="3" s="1"/>
  <c r="RDA50" i="3"/>
  <c r="RDC50" i="3" s="1"/>
  <c r="RCU50" i="3"/>
  <c r="RCS50" i="3"/>
  <c r="RCK50" i="3"/>
  <c r="RCM50" i="3" s="1"/>
  <c r="RCC50" i="3"/>
  <c r="RCE50" i="3" s="1"/>
  <c r="RBU50" i="3"/>
  <c r="RBW50" i="3" s="1"/>
  <c r="RBO50" i="3"/>
  <c r="RBM50" i="3"/>
  <c r="RBE50" i="3"/>
  <c r="RBG50" i="3" s="1"/>
  <c r="RAW50" i="3"/>
  <c r="RAY50" i="3" s="1"/>
  <c r="RAQ50" i="3"/>
  <c r="RAO50" i="3"/>
  <c r="RAG50" i="3"/>
  <c r="RAI50" i="3" s="1"/>
  <c r="QZY50" i="3"/>
  <c r="RAA50" i="3" s="1"/>
  <c r="QZQ50" i="3"/>
  <c r="QZS50" i="3" s="1"/>
  <c r="QZI50" i="3"/>
  <c r="QZK50" i="3" s="1"/>
  <c r="QZC50" i="3"/>
  <c r="QZA50" i="3"/>
  <c r="QYS50" i="3"/>
  <c r="QYU50" i="3" s="1"/>
  <c r="QYK50" i="3"/>
  <c r="QYM50" i="3" s="1"/>
  <c r="QYC50" i="3"/>
  <c r="QYE50" i="3" s="1"/>
  <c r="QXU50" i="3"/>
  <c r="QXW50" i="3" s="1"/>
  <c r="QXM50" i="3"/>
  <c r="QXO50" i="3" s="1"/>
  <c r="QXE50" i="3"/>
  <c r="QXG50" i="3" s="1"/>
  <c r="QWY50" i="3"/>
  <c r="QWW50" i="3"/>
  <c r="QWO50" i="3"/>
  <c r="QWQ50" i="3" s="1"/>
  <c r="QWG50" i="3"/>
  <c r="QWI50" i="3" s="1"/>
  <c r="QVY50" i="3"/>
  <c r="QWA50" i="3" s="1"/>
  <c r="QVQ50" i="3"/>
  <c r="QVS50" i="3" s="1"/>
  <c r="QVI50" i="3"/>
  <c r="QVK50" i="3" s="1"/>
  <c r="QVA50" i="3"/>
  <c r="QVC50" i="3" s="1"/>
  <c r="QUS50" i="3"/>
  <c r="QUU50" i="3" s="1"/>
  <c r="QUK50" i="3"/>
  <c r="QUM50" i="3" s="1"/>
  <c r="QUE50" i="3"/>
  <c r="QUC50" i="3"/>
  <c r="QTU50" i="3"/>
  <c r="QTW50" i="3" s="1"/>
  <c r="QTO50" i="3"/>
  <c r="QTM50" i="3"/>
  <c r="QTE50" i="3"/>
  <c r="QTG50" i="3" s="1"/>
  <c r="QSW50" i="3"/>
  <c r="QSY50" i="3" s="1"/>
  <c r="QSO50" i="3"/>
  <c r="QSQ50" i="3" s="1"/>
  <c r="QSG50" i="3"/>
  <c r="QSI50" i="3" s="1"/>
  <c r="QRY50" i="3"/>
  <c r="QSA50" i="3" s="1"/>
  <c r="QRS50" i="3"/>
  <c r="QRQ50" i="3"/>
  <c r="QRK50" i="3"/>
  <c r="QRI50" i="3"/>
  <c r="QRA50" i="3"/>
  <c r="QRC50" i="3" s="1"/>
  <c r="QQS50" i="3"/>
  <c r="QQU50" i="3" s="1"/>
  <c r="QQK50" i="3"/>
  <c r="QQM50" i="3" s="1"/>
  <c r="QQC50" i="3"/>
  <c r="QQE50" i="3" s="1"/>
  <c r="QPU50" i="3"/>
  <c r="QPW50" i="3" s="1"/>
  <c r="QPO50" i="3"/>
  <c r="QPM50" i="3"/>
  <c r="QPE50" i="3"/>
  <c r="QPG50" i="3" s="1"/>
  <c r="QOY50" i="3"/>
  <c r="QOW50" i="3"/>
  <c r="QOO50" i="3"/>
  <c r="QOQ50" i="3" s="1"/>
  <c r="QOG50" i="3"/>
  <c r="QOI50" i="3" s="1"/>
  <c r="QNY50" i="3"/>
  <c r="QOA50" i="3" s="1"/>
  <c r="QNQ50" i="3"/>
  <c r="QNS50" i="3" s="1"/>
  <c r="QNI50" i="3"/>
  <c r="QNK50" i="3" s="1"/>
  <c r="QNC50" i="3"/>
  <c r="QNA50" i="3"/>
  <c r="QMU50" i="3"/>
  <c r="QMS50" i="3"/>
  <c r="QMK50" i="3"/>
  <c r="QMM50" i="3" s="1"/>
  <c r="QMC50" i="3"/>
  <c r="QME50" i="3" s="1"/>
  <c r="QLU50" i="3"/>
  <c r="QLW50" i="3" s="1"/>
  <c r="QLM50" i="3"/>
  <c r="QLO50" i="3" s="1"/>
  <c r="QLE50" i="3"/>
  <c r="QLG50" i="3" s="1"/>
  <c r="QKY50" i="3"/>
  <c r="QKW50" i="3"/>
  <c r="QKO50" i="3"/>
  <c r="QKQ50" i="3" s="1"/>
  <c r="QKG50" i="3"/>
  <c r="QKI50" i="3" s="1"/>
  <c r="QJY50" i="3"/>
  <c r="QKA50" i="3" s="1"/>
  <c r="QJQ50" i="3"/>
  <c r="QJS50" i="3" s="1"/>
  <c r="QJI50" i="3"/>
  <c r="QJK50" i="3" s="1"/>
  <c r="QJA50" i="3"/>
  <c r="QJC50" i="3" s="1"/>
  <c r="QIS50" i="3"/>
  <c r="QIU50" i="3" s="1"/>
  <c r="QIM50" i="3"/>
  <c r="QIK50" i="3"/>
  <c r="QIE50" i="3"/>
  <c r="QIC50" i="3"/>
  <c r="QHU50" i="3"/>
  <c r="QHW50" i="3" s="1"/>
  <c r="QHM50" i="3"/>
  <c r="QHO50" i="3" s="1"/>
  <c r="QHE50" i="3"/>
  <c r="QHG50" i="3" s="1"/>
  <c r="QGW50" i="3"/>
  <c r="QGY50" i="3" s="1"/>
  <c r="QGQ50" i="3"/>
  <c r="QGO50" i="3"/>
  <c r="QGI50" i="3"/>
  <c r="QGG50" i="3"/>
  <c r="QFY50" i="3"/>
  <c r="QGA50" i="3" s="1"/>
  <c r="QFQ50" i="3"/>
  <c r="QFS50" i="3" s="1"/>
  <c r="QFI50" i="3"/>
  <c r="QFK50" i="3" s="1"/>
  <c r="QFA50" i="3"/>
  <c r="QFC50" i="3" s="1"/>
  <c r="QES50" i="3"/>
  <c r="QEU50" i="3" s="1"/>
  <c r="QEK50" i="3"/>
  <c r="QEM50" i="3" s="1"/>
  <c r="QEC50" i="3"/>
  <c r="QEE50" i="3" s="1"/>
  <c r="QDU50" i="3"/>
  <c r="QDW50" i="3" s="1"/>
  <c r="QDO50" i="3"/>
  <c r="QDM50" i="3"/>
  <c r="QDE50" i="3"/>
  <c r="QDG50" i="3" s="1"/>
  <c r="QCW50" i="3"/>
  <c r="QCY50" i="3" s="1"/>
  <c r="QCO50" i="3"/>
  <c r="QCQ50" i="3" s="1"/>
  <c r="QCG50" i="3"/>
  <c r="QCI50" i="3" s="1"/>
  <c r="QBY50" i="3"/>
  <c r="QCA50" i="3" s="1"/>
  <c r="QBQ50" i="3"/>
  <c r="QBS50" i="3" s="1"/>
  <c r="QBI50" i="3"/>
  <c r="QBK50" i="3" s="1"/>
  <c r="QBC50" i="3"/>
  <c r="QBA50" i="3"/>
  <c r="QAS50" i="3"/>
  <c r="QAU50" i="3" s="1"/>
  <c r="QAK50" i="3"/>
  <c r="QAM50" i="3" s="1"/>
  <c r="QAC50" i="3"/>
  <c r="QAE50" i="3" s="1"/>
  <c r="PZU50" i="3"/>
  <c r="PZW50" i="3" s="1"/>
  <c r="PZM50" i="3"/>
  <c r="PZO50" i="3" s="1"/>
  <c r="PZE50" i="3"/>
  <c r="PZG50" i="3" s="1"/>
  <c r="PYY50" i="3"/>
  <c r="PYW50" i="3"/>
  <c r="PYO50" i="3"/>
  <c r="PYQ50" i="3" s="1"/>
  <c r="PYG50" i="3"/>
  <c r="PYI50" i="3" s="1"/>
  <c r="PXY50" i="3"/>
  <c r="PYA50" i="3" s="1"/>
  <c r="PXQ50" i="3"/>
  <c r="PXS50" i="3" s="1"/>
  <c r="PXI50" i="3"/>
  <c r="PXK50" i="3" s="1"/>
  <c r="PXA50" i="3"/>
  <c r="PXC50" i="3" s="1"/>
  <c r="PWU50" i="3"/>
  <c r="PWS50" i="3"/>
  <c r="PWK50" i="3"/>
  <c r="PWM50" i="3" s="1"/>
  <c r="PWC50" i="3"/>
  <c r="PWE50" i="3" s="1"/>
  <c r="PVU50" i="3"/>
  <c r="PVW50" i="3" s="1"/>
  <c r="PVM50" i="3"/>
  <c r="PVO50" i="3" s="1"/>
  <c r="PVE50" i="3"/>
  <c r="PVG50" i="3" s="1"/>
  <c r="PUW50" i="3"/>
  <c r="PUY50" i="3" s="1"/>
  <c r="PUO50" i="3"/>
  <c r="PUQ50" i="3" s="1"/>
  <c r="PUI50" i="3"/>
  <c r="PUG50" i="3"/>
  <c r="PTY50" i="3"/>
  <c r="PUA50" i="3" s="1"/>
  <c r="PTQ50" i="3"/>
  <c r="PTS50" i="3" s="1"/>
  <c r="PTI50" i="3"/>
  <c r="PTK50" i="3" s="1"/>
  <c r="PTA50" i="3"/>
  <c r="PTC50" i="3" s="1"/>
  <c r="PSU50" i="3"/>
  <c r="PSS50" i="3"/>
  <c r="PSK50" i="3"/>
  <c r="PSM50" i="3" s="1"/>
  <c r="PSC50" i="3"/>
  <c r="PSE50" i="3" s="1"/>
  <c r="PRW50" i="3"/>
  <c r="PRU50" i="3"/>
  <c r="PRM50" i="3"/>
  <c r="PRO50" i="3" s="1"/>
  <c r="PRE50" i="3"/>
  <c r="PRG50" i="3" s="1"/>
  <c r="PQW50" i="3"/>
  <c r="PQY50" i="3" s="1"/>
  <c r="PQO50" i="3"/>
  <c r="PQQ50" i="3" s="1"/>
  <c r="PQG50" i="3"/>
  <c r="PQI50" i="3" s="1"/>
  <c r="PPY50" i="3"/>
  <c r="PQA50" i="3" s="1"/>
  <c r="PPS50" i="3"/>
  <c r="PPQ50" i="3"/>
  <c r="PPK50" i="3"/>
  <c r="PPI50" i="3"/>
  <c r="PPA50" i="3"/>
  <c r="PPC50" i="3" s="1"/>
  <c r="POS50" i="3"/>
  <c r="POU50" i="3" s="1"/>
  <c r="POK50" i="3"/>
  <c r="POM50" i="3" s="1"/>
  <c r="POC50" i="3"/>
  <c r="POE50" i="3" s="1"/>
  <c r="PNU50" i="3"/>
  <c r="PNW50" i="3" s="1"/>
  <c r="PNM50" i="3"/>
  <c r="PNO50" i="3" s="1"/>
  <c r="PNG50" i="3"/>
  <c r="PNE50" i="3"/>
  <c r="PMW50" i="3"/>
  <c r="PMY50" i="3" s="1"/>
  <c r="PMO50" i="3"/>
  <c r="PMQ50" i="3" s="1"/>
  <c r="PMG50" i="3"/>
  <c r="PMI50" i="3" s="1"/>
  <c r="PLY50" i="3"/>
  <c r="PMA50" i="3" s="1"/>
  <c r="PLQ50" i="3"/>
  <c r="PLS50" i="3" s="1"/>
  <c r="PLI50" i="3"/>
  <c r="PLK50" i="3" s="1"/>
  <c r="PLC50" i="3"/>
  <c r="PLA50" i="3"/>
  <c r="PKS50" i="3"/>
  <c r="PKU50" i="3" s="1"/>
  <c r="PKK50" i="3"/>
  <c r="PKM50" i="3" s="1"/>
  <c r="PKC50" i="3"/>
  <c r="PKE50" i="3" s="1"/>
  <c r="PJU50" i="3"/>
  <c r="PJW50" i="3" s="1"/>
  <c r="PJM50" i="3"/>
  <c r="PJO50" i="3" s="1"/>
  <c r="PJE50" i="3"/>
  <c r="PJG50" i="3" s="1"/>
  <c r="PIW50" i="3"/>
  <c r="PIY50" i="3" s="1"/>
  <c r="PIO50" i="3"/>
  <c r="PIQ50" i="3" s="1"/>
  <c r="PII50" i="3"/>
  <c r="PIG50" i="3"/>
  <c r="PHY50" i="3"/>
  <c r="PIA50" i="3" s="1"/>
  <c r="PHQ50" i="3"/>
  <c r="PHS50" i="3" s="1"/>
  <c r="PHI50" i="3"/>
  <c r="PHK50" i="3" s="1"/>
  <c r="PHA50" i="3"/>
  <c r="PHC50" i="3" s="1"/>
  <c r="PGS50" i="3"/>
  <c r="PGU50" i="3" s="1"/>
  <c r="PGK50" i="3"/>
  <c r="PGM50" i="3" s="1"/>
  <c r="PGC50" i="3"/>
  <c r="PGE50" i="3" s="1"/>
  <c r="PFU50" i="3"/>
  <c r="PFW50" i="3" s="1"/>
  <c r="PFM50" i="3"/>
  <c r="PFO50" i="3" s="1"/>
  <c r="PFE50" i="3"/>
  <c r="PFG50" i="3" s="1"/>
  <c r="PEW50" i="3"/>
  <c r="PEY50" i="3" s="1"/>
  <c r="PEO50" i="3"/>
  <c r="PEQ50" i="3" s="1"/>
  <c r="PEG50" i="3"/>
  <c r="PEI50" i="3" s="1"/>
  <c r="PDY50" i="3"/>
  <c r="PEA50" i="3" s="1"/>
  <c r="PDQ50" i="3"/>
  <c r="PDS50" i="3" s="1"/>
  <c r="PDI50" i="3"/>
  <c r="PDK50" i="3" s="1"/>
  <c r="PDA50" i="3"/>
  <c r="PDC50" i="3" s="1"/>
  <c r="PCS50" i="3"/>
  <c r="PCU50" i="3" s="1"/>
  <c r="PCK50" i="3"/>
  <c r="PCM50" i="3" s="1"/>
  <c r="PCC50" i="3"/>
  <c r="PCE50" i="3" s="1"/>
  <c r="PBU50" i="3"/>
  <c r="PBW50" i="3" s="1"/>
  <c r="PBM50" i="3"/>
  <c r="PBO50" i="3" s="1"/>
  <c r="PBE50" i="3"/>
  <c r="PBG50" i="3" s="1"/>
  <c r="PAY50" i="3"/>
  <c r="PAW50" i="3"/>
  <c r="PAQ50" i="3"/>
  <c r="PAO50" i="3"/>
  <c r="PAG50" i="3"/>
  <c r="PAI50" i="3" s="1"/>
  <c r="OZY50" i="3"/>
  <c r="PAA50" i="3" s="1"/>
  <c r="OZQ50" i="3"/>
  <c r="OZS50" i="3" s="1"/>
  <c r="OZI50" i="3"/>
  <c r="OZK50" i="3" s="1"/>
  <c r="OZA50" i="3"/>
  <c r="OZC50" i="3" s="1"/>
  <c r="OYU50" i="3"/>
  <c r="OYS50" i="3"/>
  <c r="OYK50" i="3"/>
  <c r="OYM50" i="3" s="1"/>
  <c r="OYE50" i="3"/>
  <c r="OYC50" i="3"/>
  <c r="OXU50" i="3"/>
  <c r="OXW50" i="3" s="1"/>
  <c r="OXM50" i="3"/>
  <c r="OXO50" i="3" s="1"/>
  <c r="OXE50" i="3"/>
  <c r="OXG50" i="3" s="1"/>
  <c r="OWW50" i="3"/>
  <c r="OWY50" i="3" s="1"/>
  <c r="OWO50" i="3"/>
  <c r="OWQ50" i="3" s="1"/>
  <c r="OWI50" i="3"/>
  <c r="OWG50" i="3"/>
  <c r="OVY50" i="3"/>
  <c r="OWA50" i="3" s="1"/>
  <c r="OVQ50" i="3"/>
  <c r="OVS50" i="3" s="1"/>
  <c r="OVI50" i="3"/>
  <c r="OVK50" i="3" s="1"/>
  <c r="OVA50" i="3"/>
  <c r="OVC50" i="3" s="1"/>
  <c r="OUS50" i="3"/>
  <c r="OUU50" i="3" s="1"/>
  <c r="OUK50" i="3"/>
  <c r="OUM50" i="3" s="1"/>
  <c r="OUC50" i="3"/>
  <c r="OUE50" i="3" s="1"/>
  <c r="OTU50" i="3"/>
  <c r="OTW50" i="3" s="1"/>
  <c r="OTO50" i="3"/>
  <c r="OTM50" i="3"/>
  <c r="OTG50" i="3"/>
  <c r="OTE50" i="3"/>
  <c r="OSW50" i="3"/>
  <c r="OSY50" i="3" s="1"/>
  <c r="OSO50" i="3"/>
  <c r="OSQ50" i="3" s="1"/>
  <c r="OSG50" i="3"/>
  <c r="OSI50" i="3" s="1"/>
  <c r="ORY50" i="3"/>
  <c r="OSA50" i="3" s="1"/>
  <c r="ORS50" i="3"/>
  <c r="ORQ50" i="3"/>
  <c r="ORI50" i="3"/>
  <c r="ORK50" i="3" s="1"/>
  <c r="ORA50" i="3"/>
  <c r="ORC50" i="3" s="1"/>
  <c r="OQU50" i="3"/>
  <c r="OQS50" i="3"/>
  <c r="OQK50" i="3"/>
  <c r="OQM50" i="3" s="1"/>
  <c r="OQC50" i="3"/>
  <c r="OQE50" i="3" s="1"/>
  <c r="OPU50" i="3"/>
  <c r="OPW50" i="3" s="1"/>
  <c r="OPO50" i="3"/>
  <c r="OPM50" i="3"/>
  <c r="OPE50" i="3"/>
  <c r="OPG50" i="3" s="1"/>
  <c r="OOY50" i="3"/>
  <c r="OOW50" i="3"/>
  <c r="OOO50" i="3"/>
  <c r="OOQ50" i="3" s="1"/>
  <c r="OOG50" i="3"/>
  <c r="OOI50" i="3" s="1"/>
  <c r="ONY50" i="3"/>
  <c r="OOA50" i="3" s="1"/>
  <c r="ONQ50" i="3"/>
  <c r="ONS50" i="3" s="1"/>
  <c r="ONI50" i="3"/>
  <c r="ONK50" i="3" s="1"/>
  <c r="ONA50" i="3"/>
  <c r="ONC50" i="3" s="1"/>
  <c r="OMS50" i="3"/>
  <c r="OMU50" i="3" s="1"/>
  <c r="OMM50" i="3"/>
  <c r="OMK50" i="3"/>
  <c r="OMC50" i="3"/>
  <c r="OME50" i="3" s="1"/>
  <c r="OLU50" i="3"/>
  <c r="OLW50" i="3" s="1"/>
  <c r="OLO50" i="3"/>
  <c r="OLM50" i="3"/>
  <c r="OLE50" i="3"/>
  <c r="OLG50" i="3" s="1"/>
  <c r="OKW50" i="3"/>
  <c r="OKY50" i="3" s="1"/>
  <c r="OKO50" i="3"/>
  <c r="OKQ50" i="3" s="1"/>
  <c r="OKG50" i="3"/>
  <c r="OKI50" i="3" s="1"/>
  <c r="OKA50" i="3"/>
  <c r="OJY50" i="3"/>
  <c r="OJQ50" i="3"/>
  <c r="OJS50" i="3" s="1"/>
  <c r="OJK50" i="3"/>
  <c r="OJI50" i="3"/>
  <c r="OJA50" i="3"/>
  <c r="OJC50" i="3" s="1"/>
  <c r="OIS50" i="3"/>
  <c r="OIU50" i="3" s="1"/>
  <c r="OIK50" i="3"/>
  <c r="OIM50" i="3" s="1"/>
  <c r="OIC50" i="3"/>
  <c r="OIE50" i="3" s="1"/>
  <c r="OHU50" i="3"/>
  <c r="OHW50" i="3" s="1"/>
  <c r="OHO50" i="3"/>
  <c r="OHM50" i="3"/>
  <c r="OHE50" i="3"/>
  <c r="OHG50" i="3" s="1"/>
  <c r="OGY50" i="3"/>
  <c r="OGW50" i="3"/>
  <c r="OGO50" i="3"/>
  <c r="OGQ50" i="3" s="1"/>
  <c r="OGG50" i="3"/>
  <c r="OGI50" i="3" s="1"/>
  <c r="OFY50" i="3"/>
  <c r="OGA50" i="3" s="1"/>
  <c r="OFQ50" i="3"/>
  <c r="OFS50" i="3" s="1"/>
  <c r="OFI50" i="3"/>
  <c r="OFK50" i="3" s="1"/>
  <c r="OFA50" i="3"/>
  <c r="OFC50" i="3" s="1"/>
  <c r="OES50" i="3"/>
  <c r="OEU50" i="3" s="1"/>
  <c r="OEM50" i="3"/>
  <c r="OEK50" i="3"/>
  <c r="OEC50" i="3"/>
  <c r="OEE50" i="3" s="1"/>
  <c r="ODU50" i="3"/>
  <c r="ODW50" i="3" s="1"/>
  <c r="ODM50" i="3"/>
  <c r="ODO50" i="3" s="1"/>
  <c r="ODE50" i="3"/>
  <c r="ODG50" i="3" s="1"/>
  <c r="OCY50" i="3"/>
  <c r="OCW50" i="3"/>
  <c r="OCO50" i="3"/>
  <c r="OCQ50" i="3" s="1"/>
  <c r="OCG50" i="3"/>
  <c r="OCI50" i="3" s="1"/>
  <c r="OCA50" i="3"/>
  <c r="OBY50" i="3"/>
  <c r="OBQ50" i="3"/>
  <c r="OBS50" i="3" s="1"/>
  <c r="OBI50" i="3"/>
  <c r="OBK50" i="3" s="1"/>
  <c r="OBA50" i="3"/>
  <c r="OBC50" i="3" s="1"/>
  <c r="OAS50" i="3"/>
  <c r="OAU50" i="3" s="1"/>
  <c r="OAM50" i="3"/>
  <c r="OAK50" i="3"/>
  <c r="OAC50" i="3"/>
  <c r="OAE50" i="3" s="1"/>
  <c r="NZU50" i="3"/>
  <c r="NZW50" i="3" s="1"/>
  <c r="NZM50" i="3"/>
  <c r="NZO50" i="3" s="1"/>
  <c r="NZE50" i="3"/>
  <c r="NZG50" i="3" s="1"/>
  <c r="NYW50" i="3"/>
  <c r="NYY50" i="3" s="1"/>
  <c r="NYO50" i="3"/>
  <c r="NYQ50" i="3" s="1"/>
  <c r="NYI50" i="3"/>
  <c r="NYG50" i="3"/>
  <c r="NXY50" i="3"/>
  <c r="NYA50" i="3" s="1"/>
  <c r="NXQ50" i="3"/>
  <c r="NXS50" i="3" s="1"/>
  <c r="NXI50" i="3"/>
  <c r="NXK50" i="3" s="1"/>
  <c r="NXC50" i="3"/>
  <c r="NXA50" i="3"/>
  <c r="NWS50" i="3"/>
  <c r="NWU50" i="3" s="1"/>
  <c r="NWK50" i="3"/>
  <c r="NWM50" i="3" s="1"/>
  <c r="NWC50" i="3"/>
  <c r="NWE50" i="3" s="1"/>
  <c r="NVU50" i="3"/>
  <c r="NVW50" i="3" s="1"/>
  <c r="NVO50" i="3"/>
  <c r="NVM50" i="3"/>
  <c r="NVE50" i="3"/>
  <c r="NVG50" i="3" s="1"/>
  <c r="NUW50" i="3"/>
  <c r="NUY50" i="3" s="1"/>
  <c r="NUQ50" i="3"/>
  <c r="NUO50" i="3"/>
  <c r="NUG50" i="3"/>
  <c r="NUI50" i="3" s="1"/>
  <c r="NTY50" i="3"/>
  <c r="NUA50" i="3" s="1"/>
  <c r="NTQ50" i="3"/>
  <c r="NTS50" i="3" s="1"/>
  <c r="NTK50" i="3"/>
  <c r="NTI50" i="3"/>
  <c r="NTA50" i="3"/>
  <c r="NTC50" i="3" s="1"/>
  <c r="NSU50" i="3"/>
  <c r="NSS50" i="3"/>
  <c r="NSK50" i="3"/>
  <c r="NSM50" i="3" s="1"/>
  <c r="NSC50" i="3"/>
  <c r="NSE50" i="3" s="1"/>
  <c r="NRU50" i="3"/>
  <c r="NRW50" i="3" s="1"/>
  <c r="NRM50" i="3"/>
  <c r="NRO50" i="3" s="1"/>
  <c r="NRE50" i="3"/>
  <c r="NRG50" i="3" s="1"/>
  <c r="NQW50" i="3"/>
  <c r="NQY50" i="3" s="1"/>
  <c r="NQO50" i="3"/>
  <c r="NQQ50" i="3" s="1"/>
  <c r="NQG50" i="3"/>
  <c r="NQI50" i="3" s="1"/>
  <c r="NPY50" i="3"/>
  <c r="NQA50" i="3" s="1"/>
  <c r="NPQ50" i="3"/>
  <c r="NPS50" i="3" s="1"/>
  <c r="NPK50" i="3"/>
  <c r="NPI50" i="3"/>
  <c r="NPA50" i="3"/>
  <c r="NPC50" i="3" s="1"/>
  <c r="NOS50" i="3"/>
  <c r="NOU50" i="3" s="1"/>
  <c r="NOK50" i="3"/>
  <c r="NOM50" i="3" s="1"/>
  <c r="NOE50" i="3"/>
  <c r="NOC50" i="3"/>
  <c r="NNU50" i="3"/>
  <c r="NNW50" i="3" s="1"/>
  <c r="NNM50" i="3"/>
  <c r="NNO50" i="3" s="1"/>
  <c r="NNG50" i="3"/>
  <c r="NNE50" i="3"/>
  <c r="NMW50" i="3"/>
  <c r="NMY50" i="3" s="1"/>
  <c r="NMO50" i="3"/>
  <c r="NMQ50" i="3" s="1"/>
  <c r="NMG50" i="3"/>
  <c r="NMI50" i="3" s="1"/>
  <c r="NLY50" i="3"/>
  <c r="NMA50" i="3" s="1"/>
  <c r="NLQ50" i="3"/>
  <c r="NLS50" i="3" s="1"/>
  <c r="NLI50" i="3"/>
  <c r="NLK50" i="3" s="1"/>
  <c r="NLA50" i="3"/>
  <c r="NLC50" i="3" s="1"/>
  <c r="NKU50" i="3"/>
  <c r="NKS50" i="3"/>
  <c r="NKK50" i="3"/>
  <c r="NKM50" i="3" s="1"/>
  <c r="NKC50" i="3"/>
  <c r="NKE50" i="3" s="1"/>
  <c r="NJU50" i="3"/>
  <c r="NJW50" i="3" s="1"/>
  <c r="NJO50" i="3"/>
  <c r="NJM50" i="3"/>
  <c r="NJE50" i="3"/>
  <c r="NJG50" i="3" s="1"/>
  <c r="NIW50" i="3"/>
  <c r="NIY50" i="3" s="1"/>
  <c r="NIO50" i="3"/>
  <c r="NIQ50" i="3" s="1"/>
  <c r="NII50" i="3"/>
  <c r="NIG50" i="3"/>
  <c r="NHY50" i="3"/>
  <c r="NIA50" i="3" s="1"/>
  <c r="NHQ50" i="3"/>
  <c r="NHS50" i="3" s="1"/>
  <c r="NHI50" i="3"/>
  <c r="NHK50" i="3" s="1"/>
  <c r="NHA50" i="3"/>
  <c r="NHC50" i="3" s="1"/>
  <c r="NGS50" i="3"/>
  <c r="NGU50" i="3" s="1"/>
  <c r="NGK50" i="3"/>
  <c r="NGM50" i="3" s="1"/>
  <c r="NGC50" i="3"/>
  <c r="NGE50" i="3" s="1"/>
  <c r="NFW50" i="3"/>
  <c r="NFU50" i="3"/>
  <c r="NFM50" i="3"/>
  <c r="NFO50" i="3" s="1"/>
  <c r="NFE50" i="3"/>
  <c r="NFG50" i="3" s="1"/>
  <c r="NEY50" i="3"/>
  <c r="NEW50" i="3"/>
  <c r="NEO50" i="3"/>
  <c r="NEQ50" i="3" s="1"/>
  <c r="NEG50" i="3"/>
  <c r="NEI50" i="3" s="1"/>
  <c r="NDY50" i="3"/>
  <c r="NEA50" i="3" s="1"/>
  <c r="NDQ50" i="3"/>
  <c r="NDS50" i="3" s="1"/>
  <c r="NDI50" i="3"/>
  <c r="NDK50" i="3" s="1"/>
  <c r="NDA50" i="3"/>
  <c r="NDC50" i="3" s="1"/>
  <c r="NCS50" i="3"/>
  <c r="NCU50" i="3" s="1"/>
  <c r="NCK50" i="3"/>
  <c r="NCM50" i="3" s="1"/>
  <c r="NCE50" i="3"/>
  <c r="NCC50" i="3"/>
  <c r="NBU50" i="3"/>
  <c r="NBW50" i="3" s="1"/>
  <c r="NBM50" i="3"/>
  <c r="NBO50" i="3" s="1"/>
  <c r="NBE50" i="3"/>
  <c r="NBG50" i="3" s="1"/>
  <c r="NAY50" i="3"/>
  <c r="NAW50" i="3"/>
  <c r="NAO50" i="3"/>
  <c r="NAQ50" i="3" s="1"/>
  <c r="NAG50" i="3"/>
  <c r="NAI50" i="3" s="1"/>
  <c r="NAA50" i="3"/>
  <c r="MZY50" i="3"/>
  <c r="MZQ50" i="3"/>
  <c r="MZS50" i="3" s="1"/>
  <c r="MZI50" i="3"/>
  <c r="MZK50" i="3" s="1"/>
  <c r="MZA50" i="3"/>
  <c r="MZC50" i="3" s="1"/>
  <c r="MYS50" i="3"/>
  <c r="MYU50" i="3" s="1"/>
  <c r="MYK50" i="3"/>
  <c r="MYM50" i="3" s="1"/>
  <c r="MYC50" i="3"/>
  <c r="MYE50" i="3" s="1"/>
  <c r="MXU50" i="3"/>
  <c r="MXW50" i="3" s="1"/>
  <c r="MXM50" i="3"/>
  <c r="MXO50" i="3" s="1"/>
  <c r="MXE50" i="3"/>
  <c r="MXG50" i="3" s="1"/>
  <c r="MWW50" i="3"/>
  <c r="MWY50" i="3" s="1"/>
  <c r="MWO50" i="3"/>
  <c r="MWQ50" i="3" s="1"/>
  <c r="MWI50" i="3"/>
  <c r="MWG50" i="3"/>
  <c r="MVY50" i="3"/>
  <c r="MWA50" i="3" s="1"/>
  <c r="MVS50" i="3"/>
  <c r="MVQ50" i="3"/>
  <c r="MVI50" i="3"/>
  <c r="MVK50" i="3" s="1"/>
  <c r="MVC50" i="3"/>
  <c r="MVA50" i="3"/>
  <c r="MUS50" i="3"/>
  <c r="MUU50" i="3" s="1"/>
  <c r="MUK50" i="3"/>
  <c r="MUM50" i="3" s="1"/>
  <c r="MUC50" i="3"/>
  <c r="MUE50" i="3" s="1"/>
  <c r="MTU50" i="3"/>
  <c r="MTW50" i="3" s="1"/>
  <c r="MTO50" i="3"/>
  <c r="MTM50" i="3"/>
  <c r="MTE50" i="3"/>
  <c r="MTG50" i="3" s="1"/>
  <c r="MSW50" i="3"/>
  <c r="MSY50" i="3" s="1"/>
  <c r="MSQ50" i="3"/>
  <c r="MSO50" i="3"/>
  <c r="MSG50" i="3"/>
  <c r="MSI50" i="3" s="1"/>
  <c r="MSA50" i="3"/>
  <c r="MRY50" i="3"/>
  <c r="MRQ50" i="3"/>
  <c r="MRS50" i="3" s="1"/>
  <c r="MRK50" i="3"/>
  <c r="MRI50" i="3"/>
  <c r="MRA50" i="3"/>
  <c r="MRC50" i="3" s="1"/>
  <c r="MQS50" i="3"/>
  <c r="MQU50" i="3" s="1"/>
  <c r="MQK50" i="3"/>
  <c r="MQM50" i="3" s="1"/>
  <c r="MQE50" i="3"/>
  <c r="MQC50" i="3"/>
  <c r="MPU50" i="3"/>
  <c r="MPW50" i="3" s="1"/>
  <c r="MPO50" i="3"/>
  <c r="MPM50" i="3"/>
  <c r="MPG50" i="3"/>
  <c r="MPE50" i="3"/>
  <c r="MOW50" i="3"/>
  <c r="MOY50" i="3" s="1"/>
  <c r="MOO50" i="3"/>
  <c r="MOQ50" i="3" s="1"/>
  <c r="MOG50" i="3"/>
  <c r="MOI50" i="3" s="1"/>
  <c r="MOA50" i="3"/>
  <c r="MNY50" i="3"/>
  <c r="MNQ50" i="3"/>
  <c r="MNS50" i="3" s="1"/>
  <c r="MNK50" i="3"/>
  <c r="MNI50" i="3"/>
  <c r="MNC50" i="3"/>
  <c r="MNA50" i="3"/>
  <c r="MMS50" i="3"/>
  <c r="MMU50" i="3" s="1"/>
  <c r="MMK50" i="3"/>
  <c r="MMM50" i="3" s="1"/>
  <c r="MMC50" i="3"/>
  <c r="MME50" i="3" s="1"/>
  <c r="MLU50" i="3"/>
  <c r="MLW50" i="3" s="1"/>
  <c r="MLM50" i="3"/>
  <c r="MLO50" i="3" s="1"/>
  <c r="MLG50" i="3"/>
  <c r="MLE50" i="3"/>
  <c r="MKW50" i="3"/>
  <c r="MKY50" i="3" s="1"/>
  <c r="MKQ50" i="3"/>
  <c r="MKO50" i="3"/>
  <c r="MKG50" i="3"/>
  <c r="MKI50" i="3" s="1"/>
  <c r="MJY50" i="3"/>
  <c r="MKA50" i="3" s="1"/>
  <c r="MJQ50" i="3"/>
  <c r="MJS50" i="3" s="1"/>
  <c r="MJI50" i="3"/>
  <c r="MJK50" i="3" s="1"/>
  <c r="MJA50" i="3"/>
  <c r="MJC50" i="3" s="1"/>
  <c r="MIU50" i="3"/>
  <c r="MIS50" i="3"/>
  <c r="MIK50" i="3"/>
  <c r="MIM50" i="3" s="1"/>
  <c r="MIE50" i="3"/>
  <c r="MIC50" i="3"/>
  <c r="MHU50" i="3"/>
  <c r="MHW50" i="3" s="1"/>
  <c r="MHM50" i="3"/>
  <c r="MHO50" i="3" s="1"/>
  <c r="MHE50" i="3"/>
  <c r="MHG50" i="3" s="1"/>
  <c r="MGW50" i="3"/>
  <c r="MGY50" i="3" s="1"/>
  <c r="MGO50" i="3"/>
  <c r="MGQ50" i="3" s="1"/>
  <c r="MGG50" i="3"/>
  <c r="MGI50" i="3" s="1"/>
  <c r="MGA50" i="3"/>
  <c r="MFY50" i="3"/>
  <c r="MFQ50" i="3"/>
  <c r="MFS50" i="3" s="1"/>
  <c r="MFI50" i="3"/>
  <c r="MFK50" i="3" s="1"/>
  <c r="MFA50" i="3"/>
  <c r="MFC50" i="3" s="1"/>
  <c r="MES50" i="3"/>
  <c r="MEU50" i="3" s="1"/>
  <c r="MEK50" i="3"/>
  <c r="MEM50" i="3" s="1"/>
  <c r="MEC50" i="3"/>
  <c r="MEE50" i="3" s="1"/>
  <c r="MDW50" i="3"/>
  <c r="MDU50" i="3"/>
  <c r="MDM50" i="3"/>
  <c r="MDO50" i="3" s="1"/>
  <c r="MDE50" i="3"/>
  <c r="MDG50" i="3" s="1"/>
  <c r="MCW50" i="3"/>
  <c r="MCY50" i="3" s="1"/>
  <c r="MCO50" i="3"/>
  <c r="MCQ50" i="3" s="1"/>
  <c r="MCG50" i="3"/>
  <c r="MCI50" i="3" s="1"/>
  <c r="MBY50" i="3"/>
  <c r="MCA50" i="3" s="1"/>
  <c r="MBQ50" i="3"/>
  <c r="MBS50" i="3" s="1"/>
  <c r="MBK50" i="3"/>
  <c r="MBI50" i="3"/>
  <c r="MBA50" i="3"/>
  <c r="MBC50" i="3" s="1"/>
  <c r="MAS50" i="3"/>
  <c r="MAU50" i="3" s="1"/>
  <c r="MAM50" i="3"/>
  <c r="MAK50" i="3"/>
  <c r="MAC50" i="3"/>
  <c r="MAE50" i="3" s="1"/>
  <c r="LZU50" i="3"/>
  <c r="LZW50" i="3" s="1"/>
  <c r="LZM50" i="3"/>
  <c r="LZO50" i="3" s="1"/>
  <c r="LZG50" i="3"/>
  <c r="LZE50" i="3"/>
  <c r="LYW50" i="3"/>
  <c r="LYY50" i="3" s="1"/>
  <c r="LYO50" i="3"/>
  <c r="LYQ50" i="3" s="1"/>
  <c r="LYG50" i="3"/>
  <c r="LYI50" i="3" s="1"/>
  <c r="LXY50" i="3"/>
  <c r="LYA50" i="3" s="1"/>
  <c r="LXQ50" i="3"/>
  <c r="LXS50" i="3" s="1"/>
  <c r="LXK50" i="3"/>
  <c r="LXI50" i="3"/>
  <c r="LXA50" i="3"/>
  <c r="LXC50" i="3" s="1"/>
  <c r="LWS50" i="3"/>
  <c r="LWU50" i="3" s="1"/>
  <c r="LWK50" i="3"/>
  <c r="LWM50" i="3" s="1"/>
  <c r="LWC50" i="3"/>
  <c r="LWE50" i="3" s="1"/>
  <c r="LVU50" i="3"/>
  <c r="LVW50" i="3" s="1"/>
  <c r="LVM50" i="3"/>
  <c r="LVO50" i="3" s="1"/>
  <c r="LVE50" i="3"/>
  <c r="LVG50" i="3" s="1"/>
  <c r="LUY50" i="3"/>
  <c r="LUW50" i="3"/>
  <c r="LUO50" i="3"/>
  <c r="LUQ50" i="3" s="1"/>
  <c r="LUG50" i="3"/>
  <c r="LUI50" i="3" s="1"/>
  <c r="LUA50" i="3"/>
  <c r="LTY50" i="3"/>
  <c r="LTQ50" i="3"/>
  <c r="LTS50" i="3" s="1"/>
  <c r="LTI50" i="3"/>
  <c r="LTK50" i="3" s="1"/>
  <c r="LTC50" i="3"/>
  <c r="LTA50" i="3"/>
  <c r="LSU50" i="3"/>
  <c r="LSS50" i="3"/>
  <c r="LSK50" i="3"/>
  <c r="LSM50" i="3" s="1"/>
  <c r="LSC50" i="3"/>
  <c r="LSE50" i="3" s="1"/>
  <c r="LRW50" i="3"/>
  <c r="LRU50" i="3"/>
  <c r="LRM50" i="3"/>
  <c r="LRO50" i="3" s="1"/>
  <c r="LRE50" i="3"/>
  <c r="LRG50" i="3" s="1"/>
  <c r="LQW50" i="3"/>
  <c r="LQY50" i="3" s="1"/>
  <c r="LQO50" i="3"/>
  <c r="LQQ50" i="3" s="1"/>
  <c r="LQG50" i="3"/>
  <c r="LQI50" i="3" s="1"/>
  <c r="LPY50" i="3"/>
  <c r="LQA50" i="3" s="1"/>
  <c r="LPQ50" i="3"/>
  <c r="LPS50" i="3" s="1"/>
  <c r="LPI50" i="3"/>
  <c r="LPK50" i="3" s="1"/>
  <c r="LPC50" i="3"/>
  <c r="LPA50" i="3"/>
  <c r="LOS50" i="3"/>
  <c r="LOU50" i="3" s="1"/>
  <c r="LOK50" i="3"/>
  <c r="LOM50" i="3" s="1"/>
  <c r="LOC50" i="3"/>
  <c r="LOE50" i="3" s="1"/>
  <c r="LNU50" i="3"/>
  <c r="LNW50" i="3" s="1"/>
  <c r="LNM50" i="3"/>
  <c r="LNO50" i="3" s="1"/>
  <c r="LNE50" i="3"/>
  <c r="LNG50" i="3" s="1"/>
  <c r="LMW50" i="3"/>
  <c r="LMY50" i="3" s="1"/>
  <c r="LMO50" i="3"/>
  <c r="LMQ50" i="3" s="1"/>
  <c r="LMG50" i="3"/>
  <c r="LMI50" i="3" s="1"/>
  <c r="LMA50" i="3"/>
  <c r="LLY50" i="3"/>
  <c r="LLQ50" i="3"/>
  <c r="LLS50" i="3" s="1"/>
  <c r="LLK50" i="3"/>
  <c r="LLI50" i="3"/>
  <c r="LLA50" i="3"/>
  <c r="LLC50" i="3" s="1"/>
  <c r="LKS50" i="3"/>
  <c r="LKU50" i="3" s="1"/>
  <c r="LKK50" i="3"/>
  <c r="LKM50" i="3" s="1"/>
  <c r="LKC50" i="3"/>
  <c r="LKE50" i="3" s="1"/>
  <c r="LJU50" i="3"/>
  <c r="LJW50" i="3" s="1"/>
  <c r="LJO50" i="3"/>
  <c r="LJM50" i="3"/>
  <c r="LJE50" i="3"/>
  <c r="LJG50" i="3" s="1"/>
  <c r="LIY50" i="3"/>
  <c r="LIW50" i="3"/>
  <c r="LIO50" i="3"/>
  <c r="LIQ50" i="3" s="1"/>
  <c r="LIG50" i="3"/>
  <c r="LII50" i="3" s="1"/>
  <c r="LHY50" i="3"/>
  <c r="LIA50" i="3" s="1"/>
  <c r="LHQ50" i="3"/>
  <c r="LHS50" i="3" s="1"/>
  <c r="LHI50" i="3"/>
  <c r="LHK50" i="3" s="1"/>
  <c r="LHA50" i="3"/>
  <c r="LHC50" i="3" s="1"/>
  <c r="LGU50" i="3"/>
  <c r="LGS50" i="3"/>
  <c r="LGK50" i="3"/>
  <c r="LGM50" i="3" s="1"/>
  <c r="LGC50" i="3"/>
  <c r="LGE50" i="3" s="1"/>
  <c r="LFU50" i="3"/>
  <c r="LFW50" i="3" s="1"/>
  <c r="LFM50" i="3"/>
  <c r="LFO50" i="3" s="1"/>
  <c r="LFG50" i="3"/>
  <c r="LFE50" i="3"/>
  <c r="LEW50" i="3"/>
  <c r="LEY50" i="3" s="1"/>
  <c r="LEO50" i="3"/>
  <c r="LEQ50" i="3" s="1"/>
  <c r="LEI50" i="3"/>
  <c r="LEG50" i="3"/>
  <c r="LDY50" i="3"/>
  <c r="LEA50" i="3" s="1"/>
  <c r="LDQ50" i="3"/>
  <c r="LDS50" i="3" s="1"/>
  <c r="LDI50" i="3"/>
  <c r="LDK50" i="3" s="1"/>
  <c r="LDC50" i="3"/>
  <c r="LDA50" i="3"/>
  <c r="LCS50" i="3"/>
  <c r="LCU50" i="3" s="1"/>
  <c r="LCK50" i="3"/>
  <c r="LCM50" i="3" s="1"/>
  <c r="LCE50" i="3"/>
  <c r="LCC50" i="3"/>
  <c r="LBU50" i="3"/>
  <c r="LBW50" i="3" s="1"/>
  <c r="LBM50" i="3"/>
  <c r="LBO50" i="3" s="1"/>
  <c r="LBE50" i="3"/>
  <c r="LBG50" i="3" s="1"/>
  <c r="LAW50" i="3"/>
  <c r="LAY50" i="3" s="1"/>
  <c r="LAO50" i="3"/>
  <c r="LAQ50" i="3" s="1"/>
  <c r="LAG50" i="3"/>
  <c r="LAI50" i="3" s="1"/>
  <c r="KZY50" i="3"/>
  <c r="LAA50" i="3" s="1"/>
  <c r="KZS50" i="3"/>
  <c r="KZQ50" i="3"/>
  <c r="KZI50" i="3"/>
  <c r="KZK50" i="3" s="1"/>
  <c r="KZA50" i="3"/>
  <c r="KZC50" i="3" s="1"/>
  <c r="KYU50" i="3"/>
  <c r="KYS50" i="3"/>
  <c r="KYK50" i="3"/>
  <c r="KYM50" i="3" s="1"/>
  <c r="KYC50" i="3"/>
  <c r="KYE50" i="3" s="1"/>
  <c r="KXW50" i="3"/>
  <c r="KXU50" i="3"/>
  <c r="KXM50" i="3"/>
  <c r="KXO50" i="3" s="1"/>
  <c r="KXG50" i="3"/>
  <c r="KXE50" i="3"/>
  <c r="KWW50" i="3"/>
  <c r="KWY50" i="3" s="1"/>
  <c r="KWQ50" i="3"/>
  <c r="KWO50" i="3"/>
  <c r="KWG50" i="3"/>
  <c r="KWI50" i="3" s="1"/>
  <c r="KVY50" i="3"/>
  <c r="KWA50" i="3" s="1"/>
  <c r="KVQ50" i="3"/>
  <c r="KVS50" i="3" s="1"/>
  <c r="KVI50" i="3"/>
  <c r="KVK50" i="3" s="1"/>
  <c r="KVC50" i="3"/>
  <c r="KVA50" i="3"/>
  <c r="KUS50" i="3"/>
  <c r="KUU50" i="3" s="1"/>
  <c r="KUK50" i="3"/>
  <c r="KUM50" i="3" s="1"/>
  <c r="KUE50" i="3"/>
  <c r="KUC50" i="3"/>
  <c r="KTU50" i="3"/>
  <c r="KTW50" i="3" s="1"/>
  <c r="KTM50" i="3"/>
  <c r="KTO50" i="3" s="1"/>
  <c r="KTE50" i="3"/>
  <c r="KTG50" i="3" s="1"/>
  <c r="KSY50" i="3"/>
  <c r="KSW50" i="3"/>
  <c r="KSO50" i="3"/>
  <c r="KSQ50" i="3" s="1"/>
  <c r="KSG50" i="3"/>
  <c r="KSI50" i="3" s="1"/>
  <c r="KRY50" i="3"/>
  <c r="KSA50" i="3" s="1"/>
  <c r="KRS50" i="3"/>
  <c r="KRQ50" i="3"/>
  <c r="KRI50" i="3"/>
  <c r="KRK50" i="3" s="1"/>
  <c r="KRA50" i="3"/>
  <c r="KRC50" i="3" s="1"/>
  <c r="KQS50" i="3"/>
  <c r="KQU50" i="3" s="1"/>
  <c r="KQM50" i="3"/>
  <c r="KQK50" i="3"/>
  <c r="KQC50" i="3"/>
  <c r="KQE50" i="3" s="1"/>
  <c r="KPU50" i="3"/>
  <c r="KPW50" i="3" s="1"/>
  <c r="KPO50" i="3"/>
  <c r="KPM50" i="3"/>
  <c r="KPE50" i="3"/>
  <c r="KPG50" i="3" s="1"/>
  <c r="KOW50" i="3"/>
  <c r="KOY50" i="3" s="1"/>
  <c r="KOO50" i="3"/>
  <c r="KOQ50" i="3" s="1"/>
  <c r="KOG50" i="3"/>
  <c r="KOI50" i="3" s="1"/>
  <c r="KNY50" i="3"/>
  <c r="KOA50" i="3" s="1"/>
  <c r="KNQ50" i="3"/>
  <c r="KNS50" i="3" s="1"/>
  <c r="KNK50" i="3"/>
  <c r="KNI50" i="3"/>
  <c r="KNA50" i="3"/>
  <c r="KNC50" i="3" s="1"/>
  <c r="KMS50" i="3"/>
  <c r="KMU50" i="3" s="1"/>
  <c r="KMK50" i="3"/>
  <c r="KMM50" i="3" s="1"/>
  <c r="KMC50" i="3"/>
  <c r="KME50" i="3" s="1"/>
  <c r="KLW50" i="3"/>
  <c r="KLU50" i="3"/>
  <c r="KLM50" i="3"/>
  <c r="KLO50" i="3" s="1"/>
  <c r="KLE50" i="3"/>
  <c r="KLG50" i="3" s="1"/>
  <c r="KKY50" i="3"/>
  <c r="KKW50" i="3"/>
  <c r="KKO50" i="3"/>
  <c r="KKQ50" i="3" s="1"/>
  <c r="KKG50" i="3"/>
  <c r="KKI50" i="3" s="1"/>
  <c r="KJY50" i="3"/>
  <c r="KKA50" i="3" s="1"/>
  <c r="KJS50" i="3"/>
  <c r="KJQ50" i="3"/>
  <c r="KJI50" i="3"/>
  <c r="KJK50" i="3" s="1"/>
  <c r="KJA50" i="3"/>
  <c r="KJC50" i="3" s="1"/>
  <c r="KIS50" i="3"/>
  <c r="KIU50" i="3" s="1"/>
  <c r="KIK50" i="3"/>
  <c r="KIM50" i="3" s="1"/>
  <c r="KIC50" i="3"/>
  <c r="KIE50" i="3" s="1"/>
  <c r="KHU50" i="3"/>
  <c r="KHW50" i="3" s="1"/>
  <c r="KHM50" i="3"/>
  <c r="KHO50" i="3" s="1"/>
  <c r="KHG50" i="3"/>
  <c r="KHE50" i="3"/>
  <c r="KGW50" i="3"/>
  <c r="KGY50" i="3" s="1"/>
  <c r="KGQ50" i="3"/>
  <c r="KGO50" i="3"/>
  <c r="KGG50" i="3"/>
  <c r="KGI50" i="3" s="1"/>
  <c r="KFY50" i="3"/>
  <c r="KGA50" i="3" s="1"/>
  <c r="KFQ50" i="3"/>
  <c r="KFS50" i="3" s="1"/>
  <c r="KFK50" i="3"/>
  <c r="KFI50" i="3"/>
  <c r="KFA50" i="3"/>
  <c r="KFC50" i="3" s="1"/>
  <c r="KES50" i="3"/>
  <c r="KEU50" i="3" s="1"/>
  <c r="KEM50" i="3"/>
  <c r="KEK50" i="3"/>
  <c r="KEE50" i="3"/>
  <c r="KEC50" i="3"/>
  <c r="KDU50" i="3"/>
  <c r="KDW50" i="3" s="1"/>
  <c r="KDM50" i="3"/>
  <c r="KDO50" i="3" s="1"/>
  <c r="KDE50" i="3"/>
  <c r="KDG50" i="3" s="1"/>
  <c r="KCY50" i="3"/>
  <c r="KCW50" i="3"/>
  <c r="KCO50" i="3"/>
  <c r="KCQ50" i="3" s="1"/>
  <c r="KCI50" i="3"/>
  <c r="KCG50" i="3"/>
  <c r="KBY50" i="3"/>
  <c r="KCA50" i="3" s="1"/>
  <c r="KBS50" i="3"/>
  <c r="KBQ50" i="3"/>
  <c r="KBI50" i="3"/>
  <c r="KBK50" i="3" s="1"/>
  <c r="KBA50" i="3"/>
  <c r="KBC50" i="3" s="1"/>
  <c r="KAU50" i="3"/>
  <c r="KAS50" i="3"/>
  <c r="KAK50" i="3"/>
  <c r="KAM50" i="3" s="1"/>
  <c r="KAC50" i="3"/>
  <c r="KAE50" i="3" s="1"/>
  <c r="JZU50" i="3"/>
  <c r="JZW50" i="3" s="1"/>
  <c r="JZO50" i="3"/>
  <c r="JZM50" i="3"/>
  <c r="JZE50" i="3"/>
  <c r="JZG50" i="3" s="1"/>
  <c r="JYW50" i="3"/>
  <c r="JYY50" i="3" s="1"/>
  <c r="JYQ50" i="3"/>
  <c r="JYO50" i="3"/>
  <c r="JYG50" i="3"/>
  <c r="JYI50" i="3" s="1"/>
  <c r="JYA50" i="3"/>
  <c r="JXY50" i="3"/>
  <c r="JXQ50" i="3"/>
  <c r="JXS50" i="3" s="1"/>
  <c r="JXI50" i="3"/>
  <c r="JXK50" i="3" s="1"/>
  <c r="JXC50" i="3"/>
  <c r="JXA50" i="3"/>
  <c r="JWU50" i="3"/>
  <c r="JWS50" i="3"/>
  <c r="JWK50" i="3"/>
  <c r="JWM50" i="3" s="1"/>
  <c r="JWE50" i="3"/>
  <c r="JWC50" i="3"/>
  <c r="JVU50" i="3"/>
  <c r="JVW50" i="3" s="1"/>
  <c r="JVO50" i="3"/>
  <c r="JVM50" i="3"/>
  <c r="JVE50" i="3"/>
  <c r="JVG50" i="3" s="1"/>
  <c r="JUW50" i="3"/>
  <c r="JUY50" i="3" s="1"/>
  <c r="JUO50" i="3"/>
  <c r="JUQ50" i="3" s="1"/>
  <c r="JUI50" i="3"/>
  <c r="JUG50" i="3"/>
  <c r="JTY50" i="3"/>
  <c r="JUA50" i="3" s="1"/>
  <c r="JTS50" i="3"/>
  <c r="JTQ50" i="3"/>
  <c r="JTK50" i="3"/>
  <c r="JTI50" i="3"/>
  <c r="JTA50" i="3"/>
  <c r="JTC50" i="3" s="1"/>
  <c r="JSS50" i="3"/>
  <c r="JSU50" i="3" s="1"/>
  <c r="JSK50" i="3"/>
  <c r="JSM50" i="3" s="1"/>
  <c r="JSC50" i="3"/>
  <c r="JSE50" i="3" s="1"/>
  <c r="JRU50" i="3"/>
  <c r="JRW50" i="3" s="1"/>
  <c r="JRM50" i="3"/>
  <c r="JRO50" i="3" s="1"/>
  <c r="JRG50" i="3"/>
  <c r="JRE50" i="3"/>
  <c r="JQW50" i="3"/>
  <c r="JQY50" i="3" s="1"/>
  <c r="JQO50" i="3"/>
  <c r="JQQ50" i="3" s="1"/>
  <c r="JQG50" i="3"/>
  <c r="JQI50" i="3" s="1"/>
  <c r="JPY50" i="3"/>
  <c r="JQA50" i="3" s="1"/>
  <c r="JPQ50" i="3"/>
  <c r="JPS50" i="3" s="1"/>
  <c r="JPK50" i="3"/>
  <c r="JPI50" i="3"/>
  <c r="JPA50" i="3"/>
  <c r="JPC50" i="3" s="1"/>
  <c r="JOU50" i="3"/>
  <c r="JOS50" i="3"/>
  <c r="JOK50" i="3"/>
  <c r="JOM50" i="3" s="1"/>
  <c r="JOC50" i="3"/>
  <c r="JOE50" i="3" s="1"/>
  <c r="JNU50" i="3"/>
  <c r="JNW50" i="3" s="1"/>
  <c r="JNM50" i="3"/>
  <c r="JNO50" i="3" s="1"/>
  <c r="JNE50" i="3"/>
  <c r="JNG50" i="3" s="1"/>
  <c r="JMW50" i="3"/>
  <c r="JMY50" i="3" s="1"/>
  <c r="JMO50" i="3"/>
  <c r="JMQ50" i="3" s="1"/>
  <c r="JMI50" i="3"/>
  <c r="JMG50" i="3"/>
  <c r="JLY50" i="3"/>
  <c r="JMA50" i="3" s="1"/>
  <c r="JLQ50" i="3"/>
  <c r="JLS50" i="3" s="1"/>
  <c r="JLI50" i="3"/>
  <c r="JLK50" i="3" s="1"/>
  <c r="JLA50" i="3"/>
  <c r="JLC50" i="3" s="1"/>
  <c r="JKS50" i="3"/>
  <c r="JKU50" i="3" s="1"/>
  <c r="JKM50" i="3"/>
  <c r="JKK50" i="3"/>
  <c r="JKC50" i="3"/>
  <c r="JKE50" i="3" s="1"/>
  <c r="JJU50" i="3"/>
  <c r="JJW50" i="3" s="1"/>
  <c r="JJM50" i="3"/>
  <c r="JJO50" i="3" s="1"/>
  <c r="JJE50" i="3"/>
  <c r="JJG50" i="3" s="1"/>
  <c r="JIW50" i="3"/>
  <c r="JIY50" i="3" s="1"/>
  <c r="JIO50" i="3"/>
  <c r="JIQ50" i="3" s="1"/>
  <c r="JII50" i="3"/>
  <c r="JIG50" i="3"/>
  <c r="JHY50" i="3"/>
  <c r="JIA50" i="3" s="1"/>
  <c r="JHQ50" i="3"/>
  <c r="JHS50" i="3" s="1"/>
  <c r="JHI50" i="3"/>
  <c r="JHK50" i="3" s="1"/>
  <c r="JHA50" i="3"/>
  <c r="JHC50" i="3" s="1"/>
  <c r="JGS50" i="3"/>
  <c r="JGU50" i="3" s="1"/>
  <c r="JGK50" i="3"/>
  <c r="JGM50" i="3" s="1"/>
  <c r="JGE50" i="3"/>
  <c r="JGC50" i="3"/>
  <c r="JFU50" i="3"/>
  <c r="JFW50" i="3" s="1"/>
  <c r="JFO50" i="3"/>
  <c r="JFM50" i="3"/>
  <c r="JFE50" i="3"/>
  <c r="JFG50" i="3" s="1"/>
  <c r="JEW50" i="3"/>
  <c r="JEY50" i="3" s="1"/>
  <c r="JEO50" i="3"/>
  <c r="JEQ50" i="3" s="1"/>
  <c r="JEI50" i="3"/>
  <c r="JEG50" i="3"/>
  <c r="JDY50" i="3"/>
  <c r="JEA50" i="3" s="1"/>
  <c r="JDS50" i="3"/>
  <c r="JDQ50" i="3"/>
  <c r="JDK50" i="3"/>
  <c r="JDI50" i="3"/>
  <c r="JDA50" i="3"/>
  <c r="JDC50" i="3" s="1"/>
  <c r="JCS50" i="3"/>
  <c r="JCU50" i="3" s="1"/>
  <c r="JCK50" i="3"/>
  <c r="JCM50" i="3" s="1"/>
  <c r="JCC50" i="3"/>
  <c r="JCE50" i="3" s="1"/>
  <c r="JBU50" i="3"/>
  <c r="JBW50" i="3" s="1"/>
  <c r="JBM50" i="3"/>
  <c r="JBO50" i="3" s="1"/>
  <c r="JBE50" i="3"/>
  <c r="JBG50" i="3" s="1"/>
  <c r="JAY50" i="3"/>
  <c r="JAW50" i="3"/>
  <c r="JAO50" i="3"/>
  <c r="JAQ50" i="3" s="1"/>
  <c r="JAG50" i="3"/>
  <c r="JAI50" i="3" s="1"/>
  <c r="IZY50" i="3"/>
  <c r="JAA50" i="3" s="1"/>
  <c r="IZQ50" i="3"/>
  <c r="IZS50" i="3" s="1"/>
  <c r="IZI50" i="3"/>
  <c r="IZK50" i="3" s="1"/>
  <c r="IZC50" i="3"/>
  <c r="IZA50" i="3"/>
  <c r="IYU50" i="3"/>
  <c r="IYS50" i="3"/>
  <c r="IYK50" i="3"/>
  <c r="IYM50" i="3" s="1"/>
  <c r="IYC50" i="3"/>
  <c r="IYE50" i="3" s="1"/>
  <c r="IXU50" i="3"/>
  <c r="IXW50" i="3" s="1"/>
  <c r="IXM50" i="3"/>
  <c r="IXO50" i="3" s="1"/>
  <c r="IXE50" i="3"/>
  <c r="IXG50" i="3" s="1"/>
  <c r="IWY50" i="3"/>
  <c r="IWW50" i="3"/>
  <c r="IWO50" i="3"/>
  <c r="IWQ50" i="3" s="1"/>
  <c r="IWI50" i="3"/>
  <c r="IWG50" i="3"/>
  <c r="IVY50" i="3"/>
  <c r="IWA50" i="3" s="1"/>
  <c r="IVQ50" i="3"/>
  <c r="IVS50" i="3" s="1"/>
  <c r="IVI50" i="3"/>
  <c r="IVK50" i="3" s="1"/>
  <c r="IVA50" i="3"/>
  <c r="IVC50" i="3" s="1"/>
  <c r="IUS50" i="3"/>
  <c r="IUU50" i="3" s="1"/>
  <c r="IUM50" i="3"/>
  <c r="IUK50" i="3"/>
  <c r="IUE50" i="3"/>
  <c r="IUC50" i="3"/>
  <c r="ITU50" i="3"/>
  <c r="ITW50" i="3" s="1"/>
  <c r="ITM50" i="3"/>
  <c r="ITO50" i="3" s="1"/>
  <c r="ITE50" i="3"/>
  <c r="ITG50" i="3" s="1"/>
  <c r="ISW50" i="3"/>
  <c r="ISY50" i="3" s="1"/>
  <c r="ISO50" i="3"/>
  <c r="ISQ50" i="3" s="1"/>
  <c r="ISI50" i="3"/>
  <c r="ISG50" i="3"/>
  <c r="IRY50" i="3"/>
  <c r="ISA50" i="3" s="1"/>
  <c r="IRS50" i="3"/>
  <c r="IRQ50" i="3"/>
  <c r="IRI50" i="3"/>
  <c r="IRK50" i="3" s="1"/>
  <c r="IRA50" i="3"/>
  <c r="IRC50" i="3" s="1"/>
  <c r="IQS50" i="3"/>
  <c r="IQU50" i="3" s="1"/>
  <c r="IQK50" i="3"/>
  <c r="IQM50" i="3" s="1"/>
  <c r="IQE50" i="3"/>
  <c r="IQC50" i="3"/>
  <c r="IPU50" i="3"/>
  <c r="IPW50" i="3" s="1"/>
  <c r="IPO50" i="3"/>
  <c r="IPM50" i="3"/>
  <c r="IPE50" i="3"/>
  <c r="IPG50" i="3" s="1"/>
  <c r="IOW50" i="3"/>
  <c r="IOY50" i="3" s="1"/>
  <c r="IOO50" i="3"/>
  <c r="IOQ50" i="3" s="1"/>
  <c r="IOG50" i="3"/>
  <c r="IOI50" i="3" s="1"/>
  <c r="IOA50" i="3"/>
  <c r="INY50" i="3"/>
  <c r="INQ50" i="3"/>
  <c r="INS50" i="3" s="1"/>
  <c r="INI50" i="3"/>
  <c r="INK50" i="3" s="1"/>
  <c r="INA50" i="3"/>
  <c r="INC50" i="3" s="1"/>
  <c r="IMS50" i="3"/>
  <c r="IMU50" i="3" s="1"/>
  <c r="IMK50" i="3"/>
  <c r="IMM50" i="3" s="1"/>
  <c r="IMC50" i="3"/>
  <c r="IME50" i="3" s="1"/>
  <c r="ILW50" i="3"/>
  <c r="ILU50" i="3"/>
  <c r="ILM50" i="3"/>
  <c r="ILO50" i="3" s="1"/>
  <c r="ILG50" i="3"/>
  <c r="ILE50" i="3"/>
  <c r="IKW50" i="3"/>
  <c r="IKY50" i="3" s="1"/>
  <c r="IKO50" i="3"/>
  <c r="IKQ50" i="3" s="1"/>
  <c r="IKG50" i="3"/>
  <c r="IKI50" i="3" s="1"/>
  <c r="IJY50" i="3"/>
  <c r="IKA50" i="3" s="1"/>
  <c r="IJQ50" i="3"/>
  <c r="IJS50" i="3" s="1"/>
  <c r="IJI50" i="3"/>
  <c r="IJK50" i="3" s="1"/>
  <c r="IJA50" i="3"/>
  <c r="IJC50" i="3" s="1"/>
  <c r="IIU50" i="3"/>
  <c r="IIS50" i="3"/>
  <c r="IIK50" i="3"/>
  <c r="IIM50" i="3" s="1"/>
  <c r="IIC50" i="3"/>
  <c r="IIE50" i="3" s="1"/>
  <c r="IHU50" i="3"/>
  <c r="IHW50" i="3" s="1"/>
  <c r="IHO50" i="3"/>
  <c r="IHM50" i="3"/>
  <c r="IHE50" i="3"/>
  <c r="IHG50" i="3" s="1"/>
  <c r="IGW50" i="3"/>
  <c r="IGY50" i="3" s="1"/>
  <c r="IGO50" i="3"/>
  <c r="IGQ50" i="3" s="1"/>
  <c r="IGI50" i="3"/>
  <c r="IGG50" i="3"/>
  <c r="IFY50" i="3"/>
  <c r="IGA50" i="3" s="1"/>
  <c r="IFQ50" i="3"/>
  <c r="IFS50" i="3" s="1"/>
  <c r="IFI50" i="3"/>
  <c r="IFK50" i="3" s="1"/>
  <c r="IFA50" i="3"/>
  <c r="IFC50" i="3" s="1"/>
  <c r="IES50" i="3"/>
  <c r="IEU50" i="3" s="1"/>
  <c r="IEK50" i="3"/>
  <c r="IEM50" i="3" s="1"/>
  <c r="IEC50" i="3"/>
  <c r="IEE50" i="3" s="1"/>
  <c r="IDU50" i="3"/>
  <c r="IDW50" i="3" s="1"/>
  <c r="IDM50" i="3"/>
  <c r="IDO50" i="3" s="1"/>
  <c r="IDE50" i="3"/>
  <c r="IDG50" i="3" s="1"/>
  <c r="ICW50" i="3"/>
  <c r="ICY50" i="3" s="1"/>
  <c r="ICQ50" i="3"/>
  <c r="ICO50" i="3"/>
  <c r="ICG50" i="3"/>
  <c r="ICI50" i="3" s="1"/>
  <c r="ICA50" i="3"/>
  <c r="IBY50" i="3"/>
  <c r="IBQ50" i="3"/>
  <c r="IBS50" i="3" s="1"/>
  <c r="IBK50" i="3"/>
  <c r="IBI50" i="3"/>
  <c r="IBA50" i="3"/>
  <c r="IBC50" i="3" s="1"/>
  <c r="IAS50" i="3"/>
  <c r="IAU50" i="3" s="1"/>
  <c r="IAK50" i="3"/>
  <c r="IAM50" i="3" s="1"/>
  <c r="IAC50" i="3"/>
  <c r="IAE50" i="3" s="1"/>
  <c r="HZU50" i="3"/>
  <c r="HZW50" i="3" s="1"/>
  <c r="HZM50" i="3"/>
  <c r="HZO50" i="3" s="1"/>
  <c r="HZE50" i="3"/>
  <c r="HZG50" i="3" s="1"/>
  <c r="HYY50" i="3"/>
  <c r="HYW50" i="3"/>
  <c r="HYO50" i="3"/>
  <c r="HYQ50" i="3" s="1"/>
  <c r="HYG50" i="3"/>
  <c r="HYI50" i="3" s="1"/>
  <c r="HYA50" i="3"/>
  <c r="HXY50" i="3"/>
  <c r="HXQ50" i="3"/>
  <c r="HXS50" i="3" s="1"/>
  <c r="HXI50" i="3"/>
  <c r="HXK50" i="3" s="1"/>
  <c r="HXA50" i="3"/>
  <c r="HXC50" i="3" s="1"/>
  <c r="HWS50" i="3"/>
  <c r="HWU50" i="3" s="1"/>
  <c r="HWM50" i="3"/>
  <c r="HWK50" i="3"/>
  <c r="HWC50" i="3"/>
  <c r="HWE50" i="3" s="1"/>
  <c r="HVU50" i="3"/>
  <c r="HVW50" i="3" s="1"/>
  <c r="HVO50" i="3"/>
  <c r="HVM50" i="3"/>
  <c r="HVE50" i="3"/>
  <c r="HVG50" i="3" s="1"/>
  <c r="HUW50" i="3"/>
  <c r="HUY50" i="3" s="1"/>
  <c r="HUO50" i="3"/>
  <c r="HUQ50" i="3" s="1"/>
  <c r="HUG50" i="3"/>
  <c r="HUI50" i="3" s="1"/>
  <c r="HUA50" i="3"/>
  <c r="HTY50" i="3"/>
  <c r="HTQ50" i="3"/>
  <c r="HTS50" i="3" s="1"/>
  <c r="HTK50" i="3"/>
  <c r="HTI50" i="3"/>
  <c r="HTA50" i="3"/>
  <c r="HTC50" i="3" s="1"/>
  <c r="HSS50" i="3"/>
  <c r="HSU50" i="3" s="1"/>
  <c r="HSK50" i="3"/>
  <c r="HSM50" i="3" s="1"/>
  <c r="HSC50" i="3"/>
  <c r="HSE50" i="3" s="1"/>
  <c r="HRW50" i="3"/>
  <c r="HRU50" i="3"/>
  <c r="HRM50" i="3"/>
  <c r="HRO50" i="3" s="1"/>
  <c r="HRE50" i="3"/>
  <c r="HRG50" i="3" s="1"/>
  <c r="HQW50" i="3"/>
  <c r="HQY50" i="3" s="1"/>
  <c r="HQO50" i="3"/>
  <c r="HQQ50" i="3" s="1"/>
  <c r="HQG50" i="3"/>
  <c r="HQI50" i="3" s="1"/>
  <c r="HPY50" i="3"/>
  <c r="HQA50" i="3" s="1"/>
  <c r="HPS50" i="3"/>
  <c r="HPQ50" i="3"/>
  <c r="HPI50" i="3"/>
  <c r="HPK50" i="3" s="1"/>
  <c r="HPA50" i="3"/>
  <c r="HPC50" i="3" s="1"/>
  <c r="HOS50" i="3"/>
  <c r="HOU50" i="3" s="1"/>
  <c r="HOK50" i="3"/>
  <c r="HOM50" i="3" s="1"/>
  <c r="HOC50" i="3"/>
  <c r="HOE50" i="3" s="1"/>
  <c r="HNW50" i="3"/>
  <c r="HNU50" i="3"/>
  <c r="HNM50" i="3"/>
  <c r="HNO50" i="3" s="1"/>
  <c r="HNE50" i="3"/>
  <c r="HNG50" i="3" s="1"/>
  <c r="HMW50" i="3"/>
  <c r="HMY50" i="3" s="1"/>
  <c r="HMO50" i="3"/>
  <c r="HMQ50" i="3" s="1"/>
  <c r="HMI50" i="3"/>
  <c r="HMG50" i="3"/>
  <c r="HLY50" i="3"/>
  <c r="HMA50" i="3" s="1"/>
  <c r="HLQ50" i="3"/>
  <c r="HLS50" i="3" s="1"/>
  <c r="HLI50" i="3"/>
  <c r="HLK50" i="3" s="1"/>
  <c r="HLC50" i="3"/>
  <c r="HLA50" i="3"/>
  <c r="HKS50" i="3"/>
  <c r="HKU50" i="3" s="1"/>
  <c r="HKM50" i="3"/>
  <c r="HKK50" i="3"/>
  <c r="HKE50" i="3"/>
  <c r="HKC50" i="3"/>
  <c r="HJU50" i="3"/>
  <c r="HJW50" i="3" s="1"/>
  <c r="HJM50" i="3"/>
  <c r="HJO50" i="3" s="1"/>
  <c r="HJE50" i="3"/>
  <c r="HJG50" i="3" s="1"/>
  <c r="HIW50" i="3"/>
  <c r="HIY50" i="3" s="1"/>
  <c r="HIQ50" i="3"/>
  <c r="HIO50" i="3"/>
  <c r="HII50" i="3"/>
  <c r="HIG50" i="3"/>
  <c r="HHY50" i="3"/>
  <c r="HIA50" i="3" s="1"/>
  <c r="HHQ50" i="3"/>
  <c r="HHS50" i="3" s="1"/>
  <c r="HHI50" i="3"/>
  <c r="HHK50" i="3" s="1"/>
  <c r="HHA50" i="3"/>
  <c r="HHC50" i="3" s="1"/>
  <c r="HGS50" i="3"/>
  <c r="HGU50" i="3" s="1"/>
  <c r="HGK50" i="3"/>
  <c r="HGM50" i="3" s="1"/>
  <c r="HGC50" i="3"/>
  <c r="HGE50" i="3" s="1"/>
  <c r="HFU50" i="3"/>
  <c r="HFW50" i="3" s="1"/>
  <c r="HFM50" i="3"/>
  <c r="HFO50" i="3" s="1"/>
  <c r="HFE50" i="3"/>
  <c r="HFG50" i="3" s="1"/>
  <c r="HEY50" i="3"/>
  <c r="HEW50" i="3"/>
  <c r="HEO50" i="3"/>
  <c r="HEQ50" i="3" s="1"/>
  <c r="HEG50" i="3"/>
  <c r="HEI50" i="3" s="1"/>
  <c r="HDY50" i="3"/>
  <c r="HEA50" i="3" s="1"/>
  <c r="HDQ50" i="3"/>
  <c r="HDS50" i="3" s="1"/>
  <c r="HDI50" i="3"/>
  <c r="HDK50" i="3" s="1"/>
  <c r="HDC50" i="3"/>
  <c r="HDA50" i="3"/>
  <c r="HCU50" i="3"/>
  <c r="HCS50" i="3"/>
  <c r="HCK50" i="3"/>
  <c r="HCM50" i="3" s="1"/>
  <c r="HCC50" i="3"/>
  <c r="HCE50" i="3" s="1"/>
  <c r="HBU50" i="3"/>
  <c r="HBW50" i="3" s="1"/>
  <c r="HBM50" i="3"/>
  <c r="HBO50" i="3" s="1"/>
  <c r="HBE50" i="3"/>
  <c r="HBG50" i="3" s="1"/>
  <c r="HAY50" i="3"/>
  <c r="HAW50" i="3"/>
  <c r="HAO50" i="3"/>
  <c r="HAQ50" i="3" s="1"/>
  <c r="HAI50" i="3"/>
  <c r="HAG50" i="3"/>
  <c r="GZY50" i="3"/>
  <c r="HAA50" i="3" s="1"/>
  <c r="GZQ50" i="3"/>
  <c r="GZS50" i="3" s="1"/>
  <c r="GZI50" i="3"/>
  <c r="GZK50" i="3" s="1"/>
  <c r="GZA50" i="3"/>
  <c r="GZC50" i="3" s="1"/>
  <c r="GYS50" i="3"/>
  <c r="GYU50" i="3" s="1"/>
  <c r="GYM50" i="3"/>
  <c r="GYK50" i="3"/>
  <c r="GYC50" i="3"/>
  <c r="GYE50" i="3" s="1"/>
  <c r="GXW50" i="3"/>
  <c r="GXU50" i="3"/>
  <c r="GXM50" i="3"/>
  <c r="GXO50" i="3" s="1"/>
  <c r="GXE50" i="3"/>
  <c r="GXG50" i="3" s="1"/>
  <c r="GWW50" i="3"/>
  <c r="GWY50" i="3" s="1"/>
  <c r="GWO50" i="3"/>
  <c r="GWQ50" i="3" s="1"/>
  <c r="GWG50" i="3"/>
  <c r="GWI50" i="3" s="1"/>
  <c r="GWA50" i="3"/>
  <c r="GVY50" i="3"/>
  <c r="GVS50" i="3"/>
  <c r="GVQ50" i="3"/>
  <c r="GVI50" i="3"/>
  <c r="GVK50" i="3" s="1"/>
  <c r="GVA50" i="3"/>
  <c r="GVC50" i="3" s="1"/>
  <c r="GUS50" i="3"/>
  <c r="GUU50" i="3" s="1"/>
  <c r="GUK50" i="3"/>
  <c r="GUM50" i="3" s="1"/>
  <c r="GUC50" i="3"/>
  <c r="GUE50" i="3" s="1"/>
  <c r="GTU50" i="3"/>
  <c r="GTW50" i="3" s="1"/>
  <c r="GTO50" i="3"/>
  <c r="GTM50" i="3"/>
  <c r="GTE50" i="3"/>
  <c r="GTG50" i="3" s="1"/>
  <c r="GSW50" i="3"/>
  <c r="GSY50" i="3" s="1"/>
  <c r="GSO50" i="3"/>
  <c r="GSQ50" i="3" s="1"/>
  <c r="GSG50" i="3"/>
  <c r="GSI50" i="3" s="1"/>
  <c r="GRY50" i="3"/>
  <c r="GSA50" i="3" s="1"/>
  <c r="GRQ50" i="3"/>
  <c r="GRS50" i="3" s="1"/>
  <c r="GRI50" i="3"/>
  <c r="GRK50" i="3" s="1"/>
  <c r="GRA50" i="3"/>
  <c r="GRC50" i="3" s="1"/>
  <c r="GQS50" i="3"/>
  <c r="GQU50" i="3" s="1"/>
  <c r="GQK50" i="3"/>
  <c r="GQM50" i="3" s="1"/>
  <c r="GQC50" i="3"/>
  <c r="GQE50" i="3" s="1"/>
  <c r="GPU50" i="3"/>
  <c r="GPW50" i="3" s="1"/>
  <c r="GPM50" i="3"/>
  <c r="GPO50" i="3" s="1"/>
  <c r="GPE50" i="3"/>
  <c r="GPG50" i="3" s="1"/>
  <c r="GOY50" i="3"/>
  <c r="GOW50" i="3"/>
  <c r="GOO50" i="3"/>
  <c r="GOQ50" i="3" s="1"/>
  <c r="GOG50" i="3"/>
  <c r="GOI50" i="3" s="1"/>
  <c r="GNY50" i="3"/>
  <c r="GOA50" i="3" s="1"/>
  <c r="GNQ50" i="3"/>
  <c r="GNS50" i="3" s="1"/>
  <c r="GNI50" i="3"/>
  <c r="GNK50" i="3" s="1"/>
  <c r="GNA50" i="3"/>
  <c r="GNC50" i="3" s="1"/>
  <c r="GMS50" i="3"/>
  <c r="GMU50" i="3" s="1"/>
  <c r="GMM50" i="3"/>
  <c r="GMK50" i="3"/>
  <c r="GME50" i="3"/>
  <c r="GMC50" i="3"/>
  <c r="GLU50" i="3"/>
  <c r="GLW50" i="3" s="1"/>
  <c r="GLM50" i="3"/>
  <c r="GLO50" i="3" s="1"/>
  <c r="GLE50" i="3"/>
  <c r="GLG50" i="3" s="1"/>
  <c r="GKW50" i="3"/>
  <c r="GKY50" i="3" s="1"/>
  <c r="GKO50" i="3"/>
  <c r="GKQ50" i="3" s="1"/>
  <c r="GKG50" i="3"/>
  <c r="GKI50" i="3" s="1"/>
  <c r="GJY50" i="3"/>
  <c r="GKA50" i="3" s="1"/>
  <c r="GJS50" i="3"/>
  <c r="GJQ50" i="3"/>
  <c r="GJI50" i="3"/>
  <c r="GJK50" i="3" s="1"/>
  <c r="GJA50" i="3"/>
  <c r="GJC50" i="3" s="1"/>
  <c r="GIS50" i="3"/>
  <c r="GIU50" i="3" s="1"/>
  <c r="GIM50" i="3"/>
  <c r="GIK50" i="3"/>
  <c r="GIC50" i="3"/>
  <c r="GIE50" i="3" s="1"/>
  <c r="GHU50" i="3"/>
  <c r="GHW50" i="3" s="1"/>
  <c r="GHM50" i="3"/>
  <c r="GHO50" i="3" s="1"/>
  <c r="GHE50" i="3"/>
  <c r="GHG50" i="3" s="1"/>
  <c r="GGW50" i="3"/>
  <c r="GGY50" i="3" s="1"/>
  <c r="GGO50" i="3"/>
  <c r="GGQ50" i="3" s="1"/>
  <c r="GGG50" i="3"/>
  <c r="GGI50" i="3" s="1"/>
  <c r="GFY50" i="3"/>
  <c r="GGA50" i="3" s="1"/>
  <c r="GFQ50" i="3"/>
  <c r="GFS50" i="3" s="1"/>
  <c r="GFI50" i="3"/>
  <c r="GFK50" i="3" s="1"/>
  <c r="GFA50" i="3"/>
  <c r="GFC50" i="3" s="1"/>
  <c r="GEU50" i="3"/>
  <c r="GES50" i="3"/>
  <c r="GEK50" i="3"/>
  <c r="GEM50" i="3" s="1"/>
  <c r="GEC50" i="3"/>
  <c r="GEE50" i="3" s="1"/>
  <c r="GDU50" i="3"/>
  <c r="GDW50" i="3" s="1"/>
  <c r="GDM50" i="3"/>
  <c r="GDO50" i="3" s="1"/>
  <c r="GDG50" i="3"/>
  <c r="GDE50" i="3"/>
  <c r="GCY50" i="3"/>
  <c r="GCW50" i="3"/>
  <c r="GCO50" i="3"/>
  <c r="GCQ50" i="3" s="1"/>
  <c r="GCG50" i="3"/>
  <c r="GCI50" i="3" s="1"/>
  <c r="GBY50" i="3"/>
  <c r="GCA50" i="3" s="1"/>
  <c r="GBQ50" i="3"/>
  <c r="GBS50" i="3" s="1"/>
  <c r="GBI50" i="3"/>
  <c r="GBK50" i="3" s="1"/>
  <c r="GBA50" i="3"/>
  <c r="GBC50" i="3" s="1"/>
  <c r="GAS50" i="3"/>
  <c r="GAU50" i="3" s="1"/>
  <c r="GAM50" i="3"/>
  <c r="GAK50" i="3"/>
  <c r="GAC50" i="3"/>
  <c r="GAE50" i="3" s="1"/>
  <c r="FZW50" i="3"/>
  <c r="FZU50" i="3"/>
  <c r="FZM50" i="3"/>
  <c r="FZO50" i="3" s="1"/>
  <c r="FZE50" i="3"/>
  <c r="FZG50" i="3" s="1"/>
  <c r="FYW50" i="3"/>
  <c r="FYY50" i="3" s="1"/>
  <c r="FYO50" i="3"/>
  <c r="FYQ50" i="3" s="1"/>
  <c r="FYI50" i="3"/>
  <c r="FYG50" i="3"/>
  <c r="FXY50" i="3"/>
  <c r="FYA50" i="3" s="1"/>
  <c r="FXS50" i="3"/>
  <c r="FXQ50" i="3"/>
  <c r="FXI50" i="3"/>
  <c r="FXK50" i="3" s="1"/>
  <c r="FXA50" i="3"/>
  <c r="FXC50" i="3" s="1"/>
  <c r="FWS50" i="3"/>
  <c r="FWU50" i="3" s="1"/>
  <c r="FWK50" i="3"/>
  <c r="FWM50" i="3" s="1"/>
  <c r="FWE50" i="3"/>
  <c r="FWC50" i="3"/>
  <c r="FVU50" i="3"/>
  <c r="FVW50" i="3" s="1"/>
  <c r="FVO50" i="3"/>
  <c r="FVM50" i="3"/>
  <c r="FVE50" i="3"/>
  <c r="FVG50" i="3" s="1"/>
  <c r="FUW50" i="3"/>
  <c r="FUY50" i="3" s="1"/>
  <c r="FUO50" i="3"/>
  <c r="FUQ50" i="3" s="1"/>
  <c r="FUG50" i="3"/>
  <c r="FUI50" i="3" s="1"/>
  <c r="FTY50" i="3"/>
  <c r="FUA50" i="3" s="1"/>
  <c r="FTS50" i="3"/>
  <c r="FTQ50" i="3"/>
  <c r="FTI50" i="3"/>
  <c r="FTK50" i="3" s="1"/>
  <c r="FTA50" i="3"/>
  <c r="FTC50" i="3" s="1"/>
  <c r="FSU50" i="3"/>
  <c r="FSS50" i="3"/>
  <c r="FSK50" i="3"/>
  <c r="FSM50" i="3" s="1"/>
  <c r="FSC50" i="3"/>
  <c r="FSE50" i="3" s="1"/>
  <c r="FRW50" i="3"/>
  <c r="FRU50" i="3"/>
  <c r="FRM50" i="3"/>
  <c r="FRO50" i="3" s="1"/>
  <c r="FRE50" i="3"/>
  <c r="FRG50" i="3" s="1"/>
  <c r="FQW50" i="3"/>
  <c r="FQY50" i="3" s="1"/>
  <c r="FQO50" i="3"/>
  <c r="FQQ50" i="3" s="1"/>
  <c r="FQI50" i="3"/>
  <c r="FQG50" i="3"/>
  <c r="FPY50" i="3"/>
  <c r="FQA50" i="3" s="1"/>
  <c r="FPQ50" i="3"/>
  <c r="FPS50" i="3" s="1"/>
  <c r="FPI50" i="3"/>
  <c r="FPK50" i="3" s="1"/>
  <c r="FPA50" i="3"/>
  <c r="FPC50" i="3" s="1"/>
  <c r="FOU50" i="3"/>
  <c r="FOS50" i="3"/>
  <c r="FOK50" i="3"/>
  <c r="FOM50" i="3" s="1"/>
  <c r="FOC50" i="3"/>
  <c r="FOE50" i="3" s="1"/>
  <c r="FNU50" i="3"/>
  <c r="FNW50" i="3" s="1"/>
  <c r="FNO50" i="3"/>
  <c r="FNM50" i="3"/>
  <c r="FNE50" i="3"/>
  <c r="FNG50" i="3" s="1"/>
  <c r="FMW50" i="3"/>
  <c r="FMY50" i="3" s="1"/>
  <c r="FMQ50" i="3"/>
  <c r="FMO50" i="3"/>
  <c r="FMG50" i="3"/>
  <c r="FMI50" i="3" s="1"/>
  <c r="FLY50" i="3"/>
  <c r="FMA50" i="3" s="1"/>
  <c r="FLQ50" i="3"/>
  <c r="FLS50" i="3" s="1"/>
  <c r="FLI50" i="3"/>
  <c r="FLK50" i="3" s="1"/>
  <c r="FLA50" i="3"/>
  <c r="FLC50" i="3" s="1"/>
  <c r="FKS50" i="3"/>
  <c r="FKU50" i="3" s="1"/>
  <c r="FKK50" i="3"/>
  <c r="FKM50" i="3" s="1"/>
  <c r="FKC50" i="3"/>
  <c r="FKE50" i="3" s="1"/>
  <c r="FJU50" i="3"/>
  <c r="FJW50" i="3" s="1"/>
  <c r="FJM50" i="3"/>
  <c r="FJO50" i="3" s="1"/>
  <c r="FJE50" i="3"/>
  <c r="FJG50" i="3" s="1"/>
  <c r="FIW50" i="3"/>
  <c r="FIY50" i="3" s="1"/>
  <c r="FIQ50" i="3"/>
  <c r="FIO50" i="3"/>
  <c r="FIG50" i="3"/>
  <c r="FII50" i="3" s="1"/>
  <c r="FHY50" i="3"/>
  <c r="FIA50" i="3" s="1"/>
  <c r="FHS50" i="3"/>
  <c r="FHQ50" i="3"/>
  <c r="FHI50" i="3"/>
  <c r="FHK50" i="3" s="1"/>
  <c r="FHA50" i="3"/>
  <c r="FHC50" i="3" s="1"/>
  <c r="FGU50" i="3"/>
  <c r="FGS50" i="3"/>
  <c r="FGK50" i="3"/>
  <c r="FGM50" i="3" s="1"/>
  <c r="FGC50" i="3"/>
  <c r="FGE50" i="3" s="1"/>
  <c r="FFU50" i="3"/>
  <c r="FFW50" i="3" s="1"/>
  <c r="FFO50" i="3"/>
  <c r="FFM50" i="3"/>
  <c r="FFE50" i="3"/>
  <c r="FFG50" i="3" s="1"/>
  <c r="FEW50" i="3"/>
  <c r="FEY50" i="3" s="1"/>
  <c r="FEO50" i="3"/>
  <c r="FEQ50" i="3" s="1"/>
  <c r="FEG50" i="3"/>
  <c r="FEI50" i="3" s="1"/>
  <c r="FEA50" i="3"/>
  <c r="FDY50" i="3"/>
  <c r="FDQ50" i="3"/>
  <c r="FDS50" i="3" s="1"/>
  <c r="FDK50" i="3"/>
  <c r="FDI50" i="3"/>
  <c r="FDA50" i="3"/>
  <c r="FDC50" i="3" s="1"/>
  <c r="FCS50" i="3"/>
  <c r="FCU50" i="3" s="1"/>
  <c r="FCK50" i="3"/>
  <c r="FCM50" i="3" s="1"/>
  <c r="FCC50" i="3"/>
  <c r="FCE50" i="3" s="1"/>
  <c r="FBU50" i="3"/>
  <c r="FBW50" i="3" s="1"/>
  <c r="FBO50" i="3"/>
  <c r="FBM50" i="3"/>
  <c r="FBE50" i="3"/>
  <c r="FBG50" i="3" s="1"/>
  <c r="FAW50" i="3"/>
  <c r="FAY50" i="3" s="1"/>
  <c r="FAO50" i="3"/>
  <c r="FAQ50" i="3" s="1"/>
  <c r="FAG50" i="3"/>
  <c r="FAI50" i="3" s="1"/>
  <c r="EZY50" i="3"/>
  <c r="FAA50" i="3" s="1"/>
  <c r="EZQ50" i="3"/>
  <c r="EZS50" i="3" s="1"/>
  <c r="EZI50" i="3"/>
  <c r="EZK50" i="3" s="1"/>
  <c r="EZA50" i="3"/>
  <c r="EZC50" i="3" s="1"/>
  <c r="EYU50" i="3"/>
  <c r="EYS50" i="3"/>
  <c r="EYK50" i="3"/>
  <c r="EYM50" i="3" s="1"/>
  <c r="EYC50" i="3"/>
  <c r="EYE50" i="3" s="1"/>
  <c r="EXU50" i="3"/>
  <c r="EXW50" i="3" s="1"/>
  <c r="EXM50" i="3"/>
  <c r="EXO50" i="3" s="1"/>
  <c r="EXE50" i="3"/>
  <c r="EXG50" i="3" s="1"/>
  <c r="EWY50" i="3"/>
  <c r="EWW50" i="3"/>
  <c r="EWQ50" i="3"/>
  <c r="EWO50" i="3"/>
  <c r="EWG50" i="3"/>
  <c r="EWI50" i="3" s="1"/>
  <c r="EVY50" i="3"/>
  <c r="EWA50" i="3" s="1"/>
  <c r="EVQ50" i="3"/>
  <c r="EVS50" i="3" s="1"/>
  <c r="EVI50" i="3"/>
  <c r="EVK50" i="3" s="1"/>
  <c r="EVA50" i="3"/>
  <c r="EVC50" i="3" s="1"/>
  <c r="EUS50" i="3"/>
  <c r="EUU50" i="3" s="1"/>
  <c r="EUK50" i="3"/>
  <c r="EUM50" i="3" s="1"/>
  <c r="EUE50" i="3"/>
  <c r="EUC50" i="3"/>
  <c r="ETU50" i="3"/>
  <c r="ETW50" i="3" s="1"/>
  <c r="ETM50" i="3"/>
  <c r="ETO50" i="3" s="1"/>
  <c r="ETE50" i="3"/>
  <c r="ETG50" i="3" s="1"/>
  <c r="ESW50" i="3"/>
  <c r="ESY50" i="3" s="1"/>
  <c r="ESO50" i="3"/>
  <c r="ESQ50" i="3" s="1"/>
  <c r="ESI50" i="3"/>
  <c r="ESG50" i="3"/>
  <c r="ESA50" i="3"/>
  <c r="ERY50" i="3"/>
  <c r="ERQ50" i="3"/>
  <c r="ERS50" i="3" s="1"/>
  <c r="ERI50" i="3"/>
  <c r="ERK50" i="3" s="1"/>
  <c r="ERA50" i="3"/>
  <c r="ERC50" i="3" s="1"/>
  <c r="EQS50" i="3"/>
  <c r="EQU50" i="3" s="1"/>
  <c r="EQK50" i="3"/>
  <c r="EQM50" i="3" s="1"/>
  <c r="EQC50" i="3"/>
  <c r="EQE50" i="3" s="1"/>
  <c r="EPU50" i="3"/>
  <c r="EPW50" i="3" s="1"/>
  <c r="EPO50" i="3"/>
  <c r="EPM50" i="3"/>
  <c r="EPE50" i="3"/>
  <c r="EPG50" i="3" s="1"/>
  <c r="EOW50" i="3"/>
  <c r="EOY50" i="3" s="1"/>
  <c r="EOO50" i="3"/>
  <c r="EOQ50" i="3" s="1"/>
  <c r="EOG50" i="3"/>
  <c r="EOI50" i="3" s="1"/>
  <c r="ENY50" i="3"/>
  <c r="EOA50" i="3" s="1"/>
  <c r="ENQ50" i="3"/>
  <c r="ENS50" i="3" s="1"/>
  <c r="ENK50" i="3"/>
  <c r="ENI50" i="3"/>
  <c r="ENA50" i="3"/>
  <c r="ENC50" i="3" s="1"/>
  <c r="EMS50" i="3"/>
  <c r="EMU50" i="3" s="1"/>
  <c r="EMK50" i="3"/>
  <c r="EMM50" i="3" s="1"/>
  <c r="EMC50" i="3"/>
  <c r="EME50" i="3" s="1"/>
  <c r="ELU50" i="3"/>
  <c r="ELW50" i="3" s="1"/>
  <c r="ELM50" i="3"/>
  <c r="ELO50" i="3" s="1"/>
  <c r="ELE50" i="3"/>
  <c r="ELG50" i="3" s="1"/>
  <c r="EKW50" i="3"/>
  <c r="EKY50" i="3" s="1"/>
  <c r="EKQ50" i="3"/>
  <c r="EKO50" i="3"/>
  <c r="EKG50" i="3"/>
  <c r="EKI50" i="3" s="1"/>
  <c r="EJY50" i="3"/>
  <c r="EKA50" i="3" s="1"/>
  <c r="EJQ50" i="3"/>
  <c r="EJS50" i="3" s="1"/>
  <c r="EJI50" i="3"/>
  <c r="EJK50" i="3" s="1"/>
  <c r="EJA50" i="3"/>
  <c r="EJC50" i="3" s="1"/>
  <c r="EIS50" i="3"/>
  <c r="EIU50" i="3" s="1"/>
  <c r="EIK50" i="3"/>
  <c r="EIM50" i="3" s="1"/>
  <c r="EIC50" i="3"/>
  <c r="EIE50" i="3" s="1"/>
  <c r="EHU50" i="3"/>
  <c r="EHW50" i="3" s="1"/>
  <c r="EHM50" i="3"/>
  <c r="EHO50" i="3" s="1"/>
  <c r="EHE50" i="3"/>
  <c r="EHG50" i="3" s="1"/>
  <c r="EGW50" i="3"/>
  <c r="EGY50" i="3" s="1"/>
  <c r="EGO50" i="3"/>
  <c r="EGQ50" i="3" s="1"/>
  <c r="EGI50" i="3"/>
  <c r="EGG50" i="3"/>
  <c r="EFY50" i="3"/>
  <c r="EGA50" i="3" s="1"/>
  <c r="EFQ50" i="3"/>
  <c r="EFS50" i="3" s="1"/>
  <c r="EFI50" i="3"/>
  <c r="EFK50" i="3" s="1"/>
  <c r="EFA50" i="3"/>
  <c r="EFC50" i="3" s="1"/>
  <c r="EES50" i="3"/>
  <c r="EEU50" i="3" s="1"/>
  <c r="EEK50" i="3"/>
  <c r="EEM50" i="3" s="1"/>
  <c r="EEC50" i="3"/>
  <c r="EEE50" i="3" s="1"/>
  <c r="EDW50" i="3"/>
  <c r="EDU50" i="3"/>
  <c r="EDM50" i="3"/>
  <c r="EDO50" i="3" s="1"/>
  <c r="EDE50" i="3"/>
  <c r="EDG50" i="3" s="1"/>
  <c r="ECW50" i="3"/>
  <c r="ECY50" i="3" s="1"/>
  <c r="ECO50" i="3"/>
  <c r="ECQ50" i="3" s="1"/>
  <c r="ECG50" i="3"/>
  <c r="ECI50" i="3" s="1"/>
  <c r="EBY50" i="3"/>
  <c r="ECA50" i="3" s="1"/>
  <c r="EBS50" i="3"/>
  <c r="EBQ50" i="3"/>
  <c r="EBI50" i="3"/>
  <c r="EBK50" i="3" s="1"/>
  <c r="EBA50" i="3"/>
  <c r="EBC50" i="3" s="1"/>
  <c r="EAS50" i="3"/>
  <c r="EAU50" i="3" s="1"/>
  <c r="EAK50" i="3"/>
  <c r="EAM50" i="3" s="1"/>
  <c r="EAE50" i="3"/>
  <c r="EAC50" i="3"/>
  <c r="DZU50" i="3"/>
  <c r="DZW50" i="3" s="1"/>
  <c r="DZO50" i="3"/>
  <c r="DZM50" i="3"/>
  <c r="DZE50" i="3"/>
  <c r="DZG50" i="3" s="1"/>
  <c r="DYW50" i="3"/>
  <c r="DYY50" i="3" s="1"/>
  <c r="DYO50" i="3"/>
  <c r="DYQ50" i="3" s="1"/>
  <c r="DYG50" i="3"/>
  <c r="DYI50" i="3" s="1"/>
  <c r="DXY50" i="3"/>
  <c r="DYA50" i="3" s="1"/>
  <c r="DXQ50" i="3"/>
  <c r="DXS50" i="3" s="1"/>
  <c r="DXI50" i="3"/>
  <c r="DXK50" i="3" s="1"/>
  <c r="DXA50" i="3"/>
  <c r="DXC50" i="3" s="1"/>
  <c r="DWS50" i="3"/>
  <c r="DWU50" i="3" s="1"/>
  <c r="DWK50" i="3"/>
  <c r="DWM50" i="3" s="1"/>
  <c r="DWE50" i="3"/>
  <c r="DWC50" i="3"/>
  <c r="DVU50" i="3"/>
  <c r="DVW50" i="3" s="1"/>
  <c r="DVM50" i="3"/>
  <c r="DVO50" i="3" s="1"/>
  <c r="DVE50" i="3"/>
  <c r="DVG50" i="3" s="1"/>
  <c r="DUW50" i="3"/>
  <c r="DUY50" i="3" s="1"/>
  <c r="DUO50" i="3"/>
  <c r="DUQ50" i="3" s="1"/>
  <c r="DUI50" i="3"/>
  <c r="DUG50" i="3"/>
  <c r="DUA50" i="3"/>
  <c r="DTY50" i="3"/>
  <c r="DTQ50" i="3"/>
  <c r="DTS50" i="3" s="1"/>
  <c r="DTI50" i="3"/>
  <c r="DTK50" i="3" s="1"/>
  <c r="DTA50" i="3"/>
  <c r="DTC50" i="3" s="1"/>
  <c r="DSS50" i="3"/>
  <c r="DSU50" i="3" s="1"/>
  <c r="DSK50" i="3"/>
  <c r="DSM50" i="3" s="1"/>
  <c r="DSC50" i="3"/>
  <c r="DSE50" i="3" s="1"/>
  <c r="DRU50" i="3"/>
  <c r="DRW50" i="3" s="1"/>
  <c r="DRM50" i="3"/>
  <c r="DRO50" i="3" s="1"/>
  <c r="DRG50" i="3"/>
  <c r="DRE50" i="3"/>
  <c r="DQW50" i="3"/>
  <c r="DQY50" i="3" s="1"/>
  <c r="DQO50" i="3"/>
  <c r="DQQ50" i="3" s="1"/>
  <c r="DQG50" i="3"/>
  <c r="DQI50" i="3" s="1"/>
  <c r="DPY50" i="3"/>
  <c r="DQA50" i="3" s="1"/>
  <c r="DPQ50" i="3"/>
  <c r="DPS50" i="3" s="1"/>
  <c r="DPK50" i="3"/>
  <c r="DPI50" i="3"/>
  <c r="DPA50" i="3"/>
  <c r="DPC50" i="3" s="1"/>
  <c r="DOU50" i="3"/>
  <c r="DOS50" i="3"/>
  <c r="DOK50" i="3"/>
  <c r="DOM50" i="3" s="1"/>
  <c r="DOC50" i="3"/>
  <c r="DOE50" i="3" s="1"/>
  <c r="DNU50" i="3"/>
  <c r="DNW50" i="3" s="1"/>
  <c r="DNM50" i="3"/>
  <c r="DNO50" i="3" s="1"/>
  <c r="DNE50" i="3"/>
  <c r="DNG50" i="3" s="1"/>
  <c r="DMY50" i="3"/>
  <c r="DMW50" i="3"/>
  <c r="DMQ50" i="3"/>
  <c r="DMO50" i="3"/>
  <c r="DMG50" i="3"/>
  <c r="DMI50" i="3" s="1"/>
  <c r="DLY50" i="3"/>
  <c r="DMA50" i="3" s="1"/>
  <c r="DLQ50" i="3"/>
  <c r="DLS50" i="3" s="1"/>
  <c r="DLK50" i="3"/>
  <c r="DLI50" i="3"/>
  <c r="DLC50" i="3"/>
  <c r="DLA50" i="3"/>
  <c r="DKU50" i="3"/>
  <c r="DKS50" i="3"/>
  <c r="DKK50" i="3"/>
  <c r="DKM50" i="3" s="1"/>
  <c r="DKE50" i="3"/>
  <c r="DKC50" i="3"/>
  <c r="DJU50" i="3"/>
  <c r="DJW50" i="3" s="1"/>
  <c r="DJM50" i="3"/>
  <c r="DJO50" i="3" s="1"/>
  <c r="DJE50" i="3"/>
  <c r="DJG50" i="3" s="1"/>
  <c r="DIW50" i="3"/>
  <c r="DIY50" i="3" s="1"/>
  <c r="DIO50" i="3"/>
  <c r="DIQ50" i="3" s="1"/>
  <c r="DII50" i="3"/>
  <c r="DIG50" i="3"/>
  <c r="DHY50" i="3"/>
  <c r="DIA50" i="3" s="1"/>
  <c r="DHS50" i="3"/>
  <c r="DHQ50" i="3"/>
  <c r="DHI50" i="3"/>
  <c r="DHK50" i="3" s="1"/>
  <c r="DHA50" i="3"/>
  <c r="DHC50" i="3" s="1"/>
  <c r="DGS50" i="3"/>
  <c r="DGU50" i="3" s="1"/>
  <c r="DGK50" i="3"/>
  <c r="DGM50" i="3" s="1"/>
  <c r="DGE50" i="3"/>
  <c r="DGC50" i="3"/>
  <c r="DFU50" i="3"/>
  <c r="DFW50" i="3" s="1"/>
  <c r="DFO50" i="3"/>
  <c r="DFM50" i="3"/>
  <c r="DFE50" i="3"/>
  <c r="DFG50" i="3" s="1"/>
  <c r="DEW50" i="3"/>
  <c r="DEY50" i="3" s="1"/>
  <c r="DEO50" i="3"/>
  <c r="DEQ50" i="3" s="1"/>
  <c r="DEG50" i="3"/>
  <c r="DEI50" i="3" s="1"/>
  <c r="DEA50" i="3"/>
  <c r="DDY50" i="3"/>
  <c r="DDQ50" i="3"/>
  <c r="DDS50" i="3" s="1"/>
  <c r="DDK50" i="3"/>
  <c r="DDI50" i="3"/>
  <c r="DDA50" i="3"/>
  <c r="DDC50" i="3" s="1"/>
  <c r="DCS50" i="3"/>
  <c r="DCU50" i="3" s="1"/>
  <c r="DCK50" i="3"/>
  <c r="DCM50" i="3" s="1"/>
  <c r="DCC50" i="3"/>
  <c r="DCE50" i="3" s="1"/>
  <c r="DBU50" i="3"/>
  <c r="DBW50" i="3" s="1"/>
  <c r="DBM50" i="3"/>
  <c r="DBO50" i="3" s="1"/>
  <c r="DBE50" i="3"/>
  <c r="DBG50" i="3" s="1"/>
  <c r="DAW50" i="3"/>
  <c r="DAY50" i="3" s="1"/>
  <c r="DAO50" i="3"/>
  <c r="DAQ50" i="3" s="1"/>
  <c r="DAG50" i="3"/>
  <c r="DAI50" i="3" s="1"/>
  <c r="DAA50" i="3"/>
  <c r="CZY50" i="3"/>
  <c r="CZQ50" i="3"/>
  <c r="CZS50" i="3" s="1"/>
  <c r="CZI50" i="3"/>
  <c r="CZK50" i="3" s="1"/>
  <c r="CZA50" i="3"/>
  <c r="CZC50" i="3" s="1"/>
  <c r="CYS50" i="3"/>
  <c r="CYU50" i="3" s="1"/>
  <c r="CYK50" i="3"/>
  <c r="CYM50" i="3" s="1"/>
  <c r="CYC50" i="3"/>
  <c r="CYE50" i="3" s="1"/>
  <c r="CXW50" i="3"/>
  <c r="CXU50" i="3"/>
  <c r="CXM50" i="3"/>
  <c r="CXO50" i="3" s="1"/>
  <c r="CXE50" i="3"/>
  <c r="CXG50" i="3" s="1"/>
  <c r="CWW50" i="3"/>
  <c r="CWY50" i="3" s="1"/>
  <c r="CWO50" i="3"/>
  <c r="CWQ50" i="3" s="1"/>
  <c r="CWI50" i="3"/>
  <c r="CWG50" i="3"/>
  <c r="CVY50" i="3"/>
  <c r="CWA50" i="3" s="1"/>
  <c r="CVQ50" i="3"/>
  <c r="CVS50" i="3" s="1"/>
  <c r="CVI50" i="3"/>
  <c r="CVK50" i="3" s="1"/>
  <c r="CVA50" i="3"/>
  <c r="CVC50" i="3" s="1"/>
  <c r="CUS50" i="3"/>
  <c r="CUU50" i="3" s="1"/>
  <c r="CUK50" i="3"/>
  <c r="CUM50" i="3" s="1"/>
  <c r="CUE50" i="3"/>
  <c r="CUC50" i="3"/>
  <c r="CTU50" i="3"/>
  <c r="CTW50" i="3" s="1"/>
  <c r="CTM50" i="3"/>
  <c r="CTO50" i="3" s="1"/>
  <c r="CTE50" i="3"/>
  <c r="CTG50" i="3" s="1"/>
  <c r="CSW50" i="3"/>
  <c r="CSY50" i="3" s="1"/>
  <c r="CSO50" i="3"/>
  <c r="CSQ50" i="3" s="1"/>
  <c r="CSG50" i="3"/>
  <c r="CSI50" i="3" s="1"/>
  <c r="CSA50" i="3"/>
  <c r="CRY50" i="3"/>
  <c r="CRQ50" i="3"/>
  <c r="CRS50" i="3" s="1"/>
  <c r="CRI50" i="3"/>
  <c r="CRK50" i="3" s="1"/>
  <c r="CRA50" i="3"/>
  <c r="CRC50" i="3" s="1"/>
  <c r="CQU50" i="3"/>
  <c r="CQS50" i="3"/>
  <c r="CQK50" i="3"/>
  <c r="CQM50" i="3" s="1"/>
  <c r="CQC50" i="3"/>
  <c r="CQE50" i="3" s="1"/>
  <c r="CPU50" i="3"/>
  <c r="CPW50" i="3" s="1"/>
  <c r="CPM50" i="3"/>
  <c r="CPO50" i="3" s="1"/>
  <c r="CPE50" i="3"/>
  <c r="CPG50" i="3" s="1"/>
  <c r="COW50" i="3"/>
  <c r="COY50" i="3" s="1"/>
  <c r="COQ50" i="3"/>
  <c r="COO50" i="3"/>
  <c r="COG50" i="3"/>
  <c r="COI50" i="3" s="1"/>
  <c r="CNY50" i="3"/>
  <c r="COA50" i="3" s="1"/>
  <c r="CNS50" i="3"/>
  <c r="CNQ50" i="3"/>
  <c r="CNI50" i="3"/>
  <c r="CNK50" i="3" s="1"/>
  <c r="CNA50" i="3"/>
  <c r="CNC50" i="3" s="1"/>
  <c r="CMU50" i="3"/>
  <c r="CMS50" i="3"/>
  <c r="CMM50" i="3"/>
  <c r="CMK50" i="3"/>
  <c r="CMC50" i="3"/>
  <c r="CME50" i="3" s="1"/>
  <c r="CLU50" i="3"/>
  <c r="CLW50" i="3" s="1"/>
  <c r="CLO50" i="3"/>
  <c r="CLM50" i="3"/>
  <c r="CLE50" i="3"/>
  <c r="CLG50" i="3" s="1"/>
  <c r="CKW50" i="3"/>
  <c r="CKY50" i="3" s="1"/>
  <c r="CKQ50" i="3"/>
  <c r="CKO50" i="3"/>
  <c r="CKG50" i="3"/>
  <c r="CKI50" i="3" s="1"/>
  <c r="CJY50" i="3"/>
  <c r="CKA50" i="3" s="1"/>
  <c r="CJS50" i="3"/>
  <c r="CJQ50" i="3"/>
  <c r="CJI50" i="3"/>
  <c r="CJK50" i="3" s="1"/>
  <c r="CJA50" i="3"/>
  <c r="CJC50" i="3" s="1"/>
  <c r="CIS50" i="3"/>
  <c r="CIU50" i="3" s="1"/>
  <c r="CIK50" i="3"/>
  <c r="CIM50" i="3" s="1"/>
  <c r="CIC50" i="3"/>
  <c r="CIE50" i="3" s="1"/>
  <c r="CHW50" i="3"/>
  <c r="CHU50" i="3"/>
  <c r="CHO50" i="3"/>
  <c r="CHM50" i="3"/>
  <c r="CHE50" i="3"/>
  <c r="CHG50" i="3" s="1"/>
  <c r="CGW50" i="3"/>
  <c r="CGY50" i="3" s="1"/>
  <c r="CGO50" i="3"/>
  <c r="CGQ50" i="3" s="1"/>
  <c r="CGG50" i="3"/>
  <c r="CGI50" i="3" s="1"/>
  <c r="CFY50" i="3"/>
  <c r="CGA50" i="3" s="1"/>
  <c r="CFS50" i="3"/>
  <c r="CFQ50" i="3"/>
  <c r="CFK50" i="3"/>
  <c r="CFI50" i="3"/>
  <c r="CFA50" i="3"/>
  <c r="CFC50" i="3" s="1"/>
  <c r="CES50" i="3"/>
  <c r="CEU50" i="3" s="1"/>
  <c r="CEK50" i="3"/>
  <c r="CEM50" i="3" s="1"/>
  <c r="CEC50" i="3"/>
  <c r="CEE50" i="3" s="1"/>
  <c r="CDU50" i="3"/>
  <c r="CDW50" i="3" s="1"/>
  <c r="CDM50" i="3"/>
  <c r="CDO50" i="3" s="1"/>
  <c r="CDG50" i="3"/>
  <c r="CDE50" i="3"/>
  <c r="CCW50" i="3"/>
  <c r="CCY50" i="3" s="1"/>
  <c r="CCO50" i="3"/>
  <c r="CCQ50" i="3" s="1"/>
  <c r="CCG50" i="3"/>
  <c r="CCI50" i="3" s="1"/>
  <c r="CBY50" i="3"/>
  <c r="CCA50" i="3" s="1"/>
  <c r="CBQ50" i="3"/>
  <c r="CBS50" i="3" s="1"/>
  <c r="CBI50" i="3"/>
  <c r="CBK50" i="3" s="1"/>
  <c r="CBA50" i="3"/>
  <c r="CBC50" i="3" s="1"/>
  <c r="CAS50" i="3"/>
  <c r="CAU50" i="3" s="1"/>
  <c r="CAK50" i="3"/>
  <c r="CAM50" i="3" s="1"/>
  <c r="CAC50" i="3"/>
  <c r="CAE50" i="3" s="1"/>
  <c r="BZU50" i="3"/>
  <c r="BZW50" i="3" s="1"/>
  <c r="BZM50" i="3"/>
  <c r="BZO50" i="3" s="1"/>
  <c r="BZE50" i="3"/>
  <c r="BZG50" i="3" s="1"/>
  <c r="BYW50" i="3"/>
  <c r="BYY50" i="3" s="1"/>
  <c r="BYQ50" i="3"/>
  <c r="BYO50" i="3"/>
  <c r="BYG50" i="3"/>
  <c r="BYI50" i="3" s="1"/>
  <c r="BXY50" i="3"/>
  <c r="BYA50" i="3" s="1"/>
  <c r="BXQ50" i="3"/>
  <c r="BXS50" i="3" s="1"/>
  <c r="BXI50" i="3"/>
  <c r="BXK50" i="3" s="1"/>
  <c r="BXA50" i="3"/>
  <c r="BXC50" i="3" s="1"/>
  <c r="BWS50" i="3"/>
  <c r="BWU50" i="3" s="1"/>
  <c r="BWK50" i="3"/>
  <c r="BWM50" i="3" s="1"/>
  <c r="BWE50" i="3"/>
  <c r="BWC50" i="3"/>
  <c r="BVU50" i="3"/>
  <c r="BVW50" i="3" s="1"/>
  <c r="BVM50" i="3"/>
  <c r="BVO50" i="3" s="1"/>
  <c r="BVE50" i="3"/>
  <c r="BVG50" i="3" s="1"/>
  <c r="BUY50" i="3"/>
  <c r="BUW50" i="3"/>
  <c r="BUO50" i="3"/>
  <c r="BUQ50" i="3" s="1"/>
  <c r="BUI50" i="3"/>
  <c r="BUG50" i="3"/>
  <c r="BTY50" i="3"/>
  <c r="BUA50" i="3" s="1"/>
  <c r="BTQ50" i="3"/>
  <c r="BTS50" i="3" s="1"/>
  <c r="BTI50" i="3"/>
  <c r="BTK50" i="3" s="1"/>
  <c r="BTA50" i="3"/>
  <c r="BTC50" i="3" s="1"/>
  <c r="BSS50" i="3"/>
  <c r="BSU50" i="3" s="1"/>
  <c r="BSM50" i="3"/>
  <c r="BSK50" i="3"/>
  <c r="BSE50" i="3"/>
  <c r="BSC50" i="3"/>
  <c r="BRU50" i="3"/>
  <c r="BRW50" i="3" s="1"/>
  <c r="BRO50" i="3"/>
  <c r="BRM50" i="3"/>
  <c r="BRE50" i="3"/>
  <c r="BRG50" i="3" s="1"/>
  <c r="BQW50" i="3"/>
  <c r="BQY50" i="3" s="1"/>
  <c r="BQO50" i="3"/>
  <c r="BQQ50" i="3" s="1"/>
  <c r="BQG50" i="3"/>
  <c r="BQI50" i="3" s="1"/>
  <c r="BPY50" i="3"/>
  <c r="BQA50" i="3" s="1"/>
  <c r="BPQ50" i="3"/>
  <c r="BPS50" i="3" s="1"/>
  <c r="BPK50" i="3"/>
  <c r="BPI50" i="3"/>
  <c r="BPA50" i="3"/>
  <c r="BPC50" i="3" s="1"/>
  <c r="BOS50" i="3"/>
  <c r="BOU50" i="3" s="1"/>
  <c r="BOM50" i="3"/>
  <c r="BOK50" i="3"/>
  <c r="BOC50" i="3"/>
  <c r="BOE50" i="3" s="1"/>
  <c r="BNU50" i="3"/>
  <c r="BNW50" i="3" s="1"/>
  <c r="BNM50" i="3"/>
  <c r="BNO50" i="3" s="1"/>
  <c r="BNG50" i="3"/>
  <c r="BNE50" i="3"/>
  <c r="BMW50" i="3"/>
  <c r="BMY50" i="3" s="1"/>
  <c r="BMO50" i="3"/>
  <c r="BMQ50" i="3" s="1"/>
  <c r="BMG50" i="3"/>
  <c r="BMI50" i="3" s="1"/>
  <c r="BLY50" i="3"/>
  <c r="BMA50" i="3" s="1"/>
  <c r="BLS50" i="3"/>
  <c r="BLQ50" i="3"/>
  <c r="BLI50" i="3"/>
  <c r="BLK50" i="3" s="1"/>
  <c r="BLA50" i="3"/>
  <c r="BLC50" i="3" s="1"/>
  <c r="BKU50" i="3"/>
  <c r="BKS50" i="3"/>
  <c r="BKK50" i="3"/>
  <c r="BKM50" i="3" s="1"/>
  <c r="BKC50" i="3"/>
  <c r="BKE50" i="3" s="1"/>
  <c r="BJU50" i="3"/>
  <c r="BJW50" i="3" s="1"/>
  <c r="BJO50" i="3"/>
  <c r="BJM50" i="3"/>
  <c r="BJG50" i="3"/>
  <c r="BJE50" i="3"/>
  <c r="BIY50" i="3"/>
  <c r="BIW50" i="3"/>
  <c r="BIO50" i="3"/>
  <c r="BIQ50" i="3" s="1"/>
  <c r="BIG50" i="3"/>
  <c r="BII50" i="3" s="1"/>
  <c r="BHY50" i="3"/>
  <c r="BIA50" i="3" s="1"/>
  <c r="BHQ50" i="3"/>
  <c r="BHS50" i="3" s="1"/>
  <c r="BHK50" i="3"/>
  <c r="BHI50" i="3"/>
  <c r="BHA50" i="3"/>
  <c r="BHC50" i="3" s="1"/>
  <c r="BGS50" i="3"/>
  <c r="BGU50" i="3" s="1"/>
  <c r="BGM50" i="3"/>
  <c r="BGK50" i="3"/>
  <c r="BGE50" i="3"/>
  <c r="BGC50" i="3"/>
  <c r="BFU50" i="3"/>
  <c r="BFW50" i="3" s="1"/>
  <c r="BFM50" i="3"/>
  <c r="BFO50" i="3" s="1"/>
  <c r="BFG50" i="3"/>
  <c r="BFE50" i="3"/>
  <c r="BEW50" i="3"/>
  <c r="BEY50" i="3" s="1"/>
  <c r="BEO50" i="3"/>
  <c r="BEQ50" i="3" s="1"/>
  <c r="BEG50" i="3"/>
  <c r="BEI50" i="3" s="1"/>
  <c r="BEA50" i="3"/>
  <c r="BDY50" i="3"/>
  <c r="BDQ50" i="3"/>
  <c r="BDS50" i="3" s="1"/>
  <c r="BDI50" i="3"/>
  <c r="BDK50" i="3" s="1"/>
  <c r="BDA50" i="3"/>
  <c r="BDC50" i="3" s="1"/>
  <c r="BCU50" i="3"/>
  <c r="BCS50" i="3"/>
  <c r="BCK50" i="3"/>
  <c r="BCM50" i="3" s="1"/>
  <c r="BCC50" i="3"/>
  <c r="BCE50" i="3" s="1"/>
  <c r="BBW50" i="3"/>
  <c r="BBU50" i="3"/>
  <c r="BBM50" i="3"/>
  <c r="BBO50" i="3" s="1"/>
  <c r="BBE50" i="3"/>
  <c r="BBG50" i="3" s="1"/>
  <c r="BAW50" i="3"/>
  <c r="BAY50" i="3" s="1"/>
  <c r="BAO50" i="3"/>
  <c r="BAQ50" i="3" s="1"/>
  <c r="BAG50" i="3"/>
  <c r="BAI50" i="3" s="1"/>
  <c r="BAA50" i="3"/>
  <c r="AZY50" i="3"/>
  <c r="AZQ50" i="3"/>
  <c r="AZS50" i="3" s="1"/>
  <c r="AZI50" i="3"/>
  <c r="AZK50" i="3" s="1"/>
  <c r="AZA50" i="3"/>
  <c r="AZC50" i="3" s="1"/>
  <c r="AYS50" i="3"/>
  <c r="AYU50" i="3" s="1"/>
  <c r="AYM50" i="3"/>
  <c r="AYK50" i="3"/>
  <c r="AYC50" i="3"/>
  <c r="AYE50" i="3" s="1"/>
  <c r="AXW50" i="3"/>
  <c r="AXU50" i="3"/>
  <c r="AXM50" i="3"/>
  <c r="AXO50" i="3" s="1"/>
  <c r="AXG50" i="3"/>
  <c r="AXE50" i="3"/>
  <c r="AWW50" i="3"/>
  <c r="AWY50" i="3" s="1"/>
  <c r="AWO50" i="3"/>
  <c r="AWQ50" i="3" s="1"/>
  <c r="AWI50" i="3"/>
  <c r="AWG50" i="3"/>
  <c r="AVY50" i="3"/>
  <c r="AWA50" i="3" s="1"/>
  <c r="AVQ50" i="3"/>
  <c r="AVS50" i="3" s="1"/>
  <c r="AVI50" i="3"/>
  <c r="AVK50" i="3" s="1"/>
  <c r="AVC50" i="3"/>
  <c r="AVA50" i="3"/>
  <c r="AUS50" i="3"/>
  <c r="AUU50" i="3" s="1"/>
  <c r="AUK50" i="3"/>
  <c r="AUM50" i="3" s="1"/>
  <c r="AUE50" i="3"/>
  <c r="AUC50" i="3"/>
  <c r="ATU50" i="3"/>
  <c r="ATW50" i="3" s="1"/>
  <c r="ATM50" i="3"/>
  <c r="ATO50" i="3" s="1"/>
  <c r="ATE50" i="3"/>
  <c r="ATG50" i="3" s="1"/>
  <c r="ASY50" i="3"/>
  <c r="ASW50" i="3"/>
  <c r="ASO50" i="3"/>
  <c r="ASQ50" i="3" s="1"/>
  <c r="ASI50" i="3"/>
  <c r="ASG50" i="3"/>
  <c r="ARY50" i="3"/>
  <c r="ASA50" i="3" s="1"/>
  <c r="ARQ50" i="3"/>
  <c r="ARS50" i="3" s="1"/>
  <c r="ARI50" i="3"/>
  <c r="ARK50" i="3" s="1"/>
  <c r="ARA50" i="3"/>
  <c r="ARC50" i="3" s="1"/>
  <c r="AQU50" i="3"/>
  <c r="AQS50" i="3"/>
  <c r="AQK50" i="3"/>
  <c r="AQM50" i="3" s="1"/>
  <c r="AQC50" i="3"/>
  <c r="AQE50" i="3" s="1"/>
  <c r="APU50" i="3"/>
  <c r="APW50" i="3" s="1"/>
  <c r="APM50" i="3"/>
  <c r="APO50" i="3" s="1"/>
  <c r="APE50" i="3"/>
  <c r="APG50" i="3" s="1"/>
  <c r="AOW50" i="3"/>
  <c r="AOY50" i="3" s="1"/>
  <c r="AOQ50" i="3"/>
  <c r="AOO50" i="3"/>
  <c r="AOG50" i="3"/>
  <c r="AOI50" i="3" s="1"/>
  <c r="ANY50" i="3"/>
  <c r="AOA50" i="3" s="1"/>
  <c r="ANS50" i="3"/>
  <c r="ANQ50" i="3"/>
  <c r="ANI50" i="3"/>
  <c r="ANK50" i="3" s="1"/>
  <c r="ANA50" i="3"/>
  <c r="ANC50" i="3" s="1"/>
  <c r="AMS50" i="3"/>
  <c r="AMU50" i="3" s="1"/>
  <c r="AMK50" i="3"/>
  <c r="AMM50" i="3" s="1"/>
  <c r="AMC50" i="3"/>
  <c r="AME50" i="3" s="1"/>
  <c r="ALU50" i="3"/>
  <c r="ALW50" i="3" s="1"/>
  <c r="ALO50" i="3"/>
  <c r="ALM50" i="3"/>
  <c r="ALE50" i="3"/>
  <c r="ALG50" i="3" s="1"/>
  <c r="AKW50" i="3"/>
  <c r="AKY50" i="3" s="1"/>
  <c r="AKO50" i="3"/>
  <c r="AKQ50" i="3" s="1"/>
  <c r="AKG50" i="3"/>
  <c r="AKI50" i="3" s="1"/>
  <c r="AKA50" i="3"/>
  <c r="AJY50" i="3"/>
  <c r="AJQ50" i="3"/>
  <c r="AJS50" i="3" s="1"/>
  <c r="AJK50" i="3"/>
  <c r="AJI50" i="3"/>
  <c r="AJC50" i="3"/>
  <c r="AJA50" i="3"/>
  <c r="AIS50" i="3"/>
  <c r="AIU50" i="3" s="1"/>
  <c r="AIK50" i="3"/>
  <c r="AIM50" i="3" s="1"/>
  <c r="AIC50" i="3"/>
  <c r="AIE50" i="3" s="1"/>
  <c r="AHU50" i="3"/>
  <c r="AHW50" i="3" s="1"/>
  <c r="AHO50" i="3"/>
  <c r="AHM50" i="3"/>
  <c r="AHG50" i="3"/>
  <c r="AHE50" i="3"/>
  <c r="AGW50" i="3"/>
  <c r="AGY50" i="3" s="1"/>
  <c r="AGQ50" i="3"/>
  <c r="AGO50" i="3"/>
  <c r="AGG50" i="3"/>
  <c r="AGI50" i="3" s="1"/>
  <c r="AFY50" i="3"/>
  <c r="AGA50" i="3" s="1"/>
  <c r="AFS50" i="3"/>
  <c r="AFQ50" i="3"/>
  <c r="AFI50" i="3"/>
  <c r="AFK50" i="3" s="1"/>
  <c r="AFA50" i="3"/>
  <c r="AFC50" i="3" s="1"/>
  <c r="AES50" i="3"/>
  <c r="AEU50" i="3" s="1"/>
  <c r="AEK50" i="3"/>
  <c r="AEM50" i="3" s="1"/>
  <c r="AEE50" i="3"/>
  <c r="AEC50" i="3"/>
  <c r="ADU50" i="3"/>
  <c r="ADW50" i="3" s="1"/>
  <c r="ADM50" i="3"/>
  <c r="ADO50" i="3" s="1"/>
  <c r="ADE50" i="3"/>
  <c r="ADG50" i="3" s="1"/>
  <c r="ACW50" i="3"/>
  <c r="ACY50" i="3" s="1"/>
  <c r="ACQ50" i="3"/>
  <c r="ACO50" i="3"/>
  <c r="ACI50" i="3"/>
  <c r="ACG50" i="3"/>
  <c r="ACA50" i="3"/>
  <c r="ABY50" i="3"/>
  <c r="ABQ50" i="3"/>
  <c r="ABS50" i="3" s="1"/>
  <c r="ABI50" i="3"/>
  <c r="ABK50" i="3" s="1"/>
  <c r="ABC50" i="3"/>
  <c r="ABA50" i="3"/>
  <c r="AAS50" i="3"/>
  <c r="AAU50" i="3" s="1"/>
  <c r="AAM50" i="3"/>
  <c r="AAK50" i="3"/>
  <c r="AAE50" i="3"/>
  <c r="AAC50" i="3"/>
  <c r="ZW50" i="3"/>
  <c r="ZU50" i="3"/>
  <c r="ZM50" i="3"/>
  <c r="ZO50" i="3" s="1"/>
  <c r="ZE50" i="3"/>
  <c r="ZG50" i="3" s="1"/>
  <c r="YY50" i="3"/>
  <c r="YW50" i="3"/>
  <c r="YO50" i="3"/>
  <c r="YQ50" i="3" s="1"/>
  <c r="YI50" i="3"/>
  <c r="YG50" i="3"/>
  <c r="XY50" i="3"/>
  <c r="YA50" i="3" s="1"/>
  <c r="XQ50" i="3"/>
  <c r="XS50" i="3" s="1"/>
  <c r="XK50" i="3"/>
  <c r="XI50" i="3"/>
  <c r="XA50" i="3"/>
  <c r="XC50" i="3" s="1"/>
  <c r="WU50" i="3"/>
  <c r="WS50" i="3"/>
  <c r="WM50" i="3"/>
  <c r="WK50" i="3"/>
  <c r="WC50" i="3"/>
  <c r="WE50" i="3" s="1"/>
  <c r="VU50" i="3"/>
  <c r="VW50" i="3" s="1"/>
  <c r="VM50" i="3"/>
  <c r="VO50" i="3" s="1"/>
  <c r="VE50" i="3"/>
  <c r="VG50" i="3" s="1"/>
  <c r="UY50" i="3"/>
  <c r="UW50" i="3"/>
  <c r="UO50" i="3"/>
  <c r="UQ50" i="3" s="1"/>
  <c r="UI50" i="3"/>
  <c r="UG50" i="3"/>
  <c r="TY50" i="3"/>
  <c r="UA50" i="3" s="1"/>
  <c r="TQ50" i="3"/>
  <c r="TS50" i="3" s="1"/>
  <c r="TI50" i="3"/>
  <c r="TK50" i="3" s="1"/>
  <c r="TA50" i="3"/>
  <c r="TC50" i="3" s="1"/>
  <c r="SS50" i="3"/>
  <c r="SU50" i="3" s="1"/>
  <c r="SK50" i="3"/>
  <c r="SM50" i="3" s="1"/>
  <c r="SC50" i="3"/>
  <c r="SE50" i="3" s="1"/>
  <c r="RW50" i="3"/>
  <c r="RU50" i="3"/>
  <c r="RM50" i="3"/>
  <c r="RO50" i="3" s="1"/>
  <c r="RE50" i="3"/>
  <c r="RG50" i="3" s="1"/>
  <c r="QW50" i="3"/>
  <c r="QY50" i="3" s="1"/>
  <c r="QO50" i="3"/>
  <c r="QQ50" i="3" s="1"/>
  <c r="QG50" i="3"/>
  <c r="QI50" i="3" s="1"/>
  <c r="PY50" i="3"/>
  <c r="QA50" i="3" s="1"/>
  <c r="PQ50" i="3"/>
  <c r="PS50" i="3" s="1"/>
  <c r="PK50" i="3"/>
  <c r="PI50" i="3"/>
  <c r="PA50" i="3"/>
  <c r="PC50" i="3" s="1"/>
  <c r="OS50" i="3"/>
  <c r="OU50" i="3" s="1"/>
  <c r="OK50" i="3"/>
  <c r="OM50" i="3" s="1"/>
  <c r="OC50" i="3"/>
  <c r="OE50" i="3" s="1"/>
  <c r="NU50" i="3"/>
  <c r="NW50" i="3" s="1"/>
  <c r="NO50" i="3"/>
  <c r="NM50" i="3"/>
  <c r="NE50" i="3"/>
  <c r="NG50" i="3" s="1"/>
  <c r="MW50" i="3"/>
  <c r="MY50" i="3" s="1"/>
  <c r="MO50" i="3"/>
  <c r="MQ50" i="3" s="1"/>
  <c r="MG50" i="3"/>
  <c r="MI50" i="3" s="1"/>
  <c r="LY50" i="3"/>
  <c r="MA50" i="3" s="1"/>
  <c r="LQ50" i="3"/>
  <c r="LS50" i="3" s="1"/>
  <c r="LI50" i="3"/>
  <c r="LK50" i="3" s="1"/>
  <c r="LC50" i="3"/>
  <c r="LA50" i="3"/>
  <c r="KS50" i="3"/>
  <c r="KU50" i="3" s="1"/>
  <c r="KK50" i="3"/>
  <c r="KM50" i="3" s="1"/>
  <c r="KC50" i="3"/>
  <c r="KE50" i="3" s="1"/>
  <c r="JU50" i="3"/>
  <c r="JW50" i="3" s="1"/>
  <c r="JM50" i="3"/>
  <c r="JO50" i="3" s="1"/>
  <c r="JG50" i="3"/>
  <c r="JE50" i="3"/>
  <c r="IW50" i="3"/>
  <c r="IY50" i="3" s="1"/>
  <c r="IO50" i="3"/>
  <c r="IQ50" i="3" s="1"/>
  <c r="IG50" i="3"/>
  <c r="II50" i="3" s="1"/>
  <c r="HY50" i="3"/>
  <c r="IA50" i="3" s="1"/>
  <c r="HQ50" i="3"/>
  <c r="HS50" i="3" s="1"/>
  <c r="HI50" i="3"/>
  <c r="HK50" i="3" s="1"/>
  <c r="HA50" i="3"/>
  <c r="HC50" i="3" s="1"/>
  <c r="GU50" i="3"/>
  <c r="GS50" i="3"/>
  <c r="GK50" i="3"/>
  <c r="GM50" i="3" s="1"/>
  <c r="GC50" i="3"/>
  <c r="GE50" i="3" s="1"/>
  <c r="FU50" i="3"/>
  <c r="FW50" i="3" s="1"/>
  <c r="FM50" i="3"/>
  <c r="FO50" i="3" s="1"/>
  <c r="FE50" i="3"/>
  <c r="FG50" i="3" s="1"/>
  <c r="EW50" i="3"/>
  <c r="EY50" i="3" s="1"/>
  <c r="EO50" i="3"/>
  <c r="EQ50" i="3" s="1"/>
  <c r="EG50" i="3"/>
  <c r="EI50" i="3" s="1"/>
  <c r="DY50" i="3"/>
  <c r="EA50" i="3" s="1"/>
  <c r="DQ50" i="3"/>
  <c r="DS50" i="3" s="1"/>
  <c r="DI50" i="3"/>
  <c r="DK50" i="3" s="1"/>
  <c r="DA50" i="3"/>
  <c r="DC50" i="3" s="1"/>
  <c r="CS50" i="3"/>
  <c r="CU50" i="3" s="1"/>
  <c r="CM50" i="3"/>
  <c r="CK50" i="3"/>
  <c r="CC50" i="3"/>
  <c r="CE50" i="3" s="1"/>
  <c r="BW50" i="3"/>
  <c r="BU50" i="3"/>
  <c r="BM50" i="3"/>
  <c r="BO50" i="3" s="1"/>
  <c r="BE50" i="3"/>
  <c r="BG50" i="3" s="1"/>
  <c r="AW50" i="3"/>
  <c r="AY50" i="3" s="1"/>
  <c r="AO50" i="3"/>
  <c r="AQ50" i="3" s="1"/>
  <c r="AI50" i="3"/>
  <c r="AG50" i="3"/>
  <c r="AA50" i="3"/>
  <c r="H50" i="3"/>
  <c r="F50" i="3"/>
  <c r="F40" i="3"/>
  <c r="H40" i="3" s="1"/>
  <c r="F39" i="3"/>
  <c r="H39" i="3" s="1"/>
  <c r="XBU38" i="3"/>
  <c r="XBW38" i="3" s="1"/>
  <c r="XBM38" i="3"/>
  <c r="XBO38" i="3" s="1"/>
  <c r="XBE38" i="3"/>
  <c r="XBG38" i="3" s="1"/>
  <c r="XAY38" i="3"/>
  <c r="XAW38" i="3"/>
  <c r="XAQ38" i="3"/>
  <c r="XAO38" i="3"/>
  <c r="XAG38" i="3"/>
  <c r="XAI38" i="3" s="1"/>
  <c r="WZY38" i="3"/>
  <c r="XAA38" i="3" s="1"/>
  <c r="WZQ38" i="3"/>
  <c r="WZS38" i="3" s="1"/>
  <c r="WZK38" i="3"/>
  <c r="WZI38" i="3"/>
  <c r="WZA38" i="3"/>
  <c r="WZC38" i="3" s="1"/>
  <c r="WYU38" i="3"/>
  <c r="WYS38" i="3"/>
  <c r="WYM38" i="3"/>
  <c r="WYK38" i="3"/>
  <c r="WYC38" i="3"/>
  <c r="WYE38" i="3" s="1"/>
  <c r="WXU38" i="3"/>
  <c r="WXW38" i="3" s="1"/>
  <c r="WXM38" i="3"/>
  <c r="WXO38" i="3" s="1"/>
  <c r="WXE38" i="3"/>
  <c r="WXG38" i="3" s="1"/>
  <c r="WWY38" i="3"/>
  <c r="WWW38" i="3"/>
  <c r="WWQ38" i="3"/>
  <c r="WWO38" i="3"/>
  <c r="WWG38" i="3"/>
  <c r="WWI38" i="3" s="1"/>
  <c r="WVY38" i="3"/>
  <c r="WWA38" i="3" s="1"/>
  <c r="WVS38" i="3"/>
  <c r="WVQ38" i="3"/>
  <c r="WVI38" i="3"/>
  <c r="WVK38" i="3" s="1"/>
  <c r="WVA38" i="3"/>
  <c r="WVC38" i="3" s="1"/>
  <c r="WUS38" i="3"/>
  <c r="WUU38" i="3" s="1"/>
  <c r="WUM38" i="3"/>
  <c r="WUK38" i="3"/>
  <c r="WUC38" i="3"/>
  <c r="WUE38" i="3" s="1"/>
  <c r="WTU38" i="3"/>
  <c r="WTW38" i="3" s="1"/>
  <c r="WTM38" i="3"/>
  <c r="WTO38" i="3" s="1"/>
  <c r="WTE38" i="3"/>
  <c r="WTG38" i="3" s="1"/>
  <c r="WSW38" i="3"/>
  <c r="WSY38" i="3" s="1"/>
  <c r="WSO38" i="3"/>
  <c r="WSQ38" i="3" s="1"/>
  <c r="WSG38" i="3"/>
  <c r="WSI38" i="3" s="1"/>
  <c r="WSA38" i="3"/>
  <c r="WRY38" i="3"/>
  <c r="WRQ38" i="3"/>
  <c r="WRS38" i="3" s="1"/>
  <c r="WRK38" i="3"/>
  <c r="WRI38" i="3"/>
  <c r="WRA38" i="3"/>
  <c r="WRC38" i="3" s="1"/>
  <c r="WQS38" i="3"/>
  <c r="WQU38" i="3" s="1"/>
  <c r="WQK38" i="3"/>
  <c r="WQM38" i="3" s="1"/>
  <c r="WQC38" i="3"/>
  <c r="WQE38" i="3" s="1"/>
  <c r="WPU38" i="3"/>
  <c r="WPW38" i="3" s="1"/>
  <c r="WPM38" i="3"/>
  <c r="WPO38" i="3" s="1"/>
  <c r="WPE38" i="3"/>
  <c r="WPG38" i="3" s="1"/>
  <c r="WOY38" i="3"/>
  <c r="WOW38" i="3"/>
  <c r="WOO38" i="3"/>
  <c r="WOQ38" i="3" s="1"/>
  <c r="WOG38" i="3"/>
  <c r="WOI38" i="3" s="1"/>
  <c r="WOA38" i="3"/>
  <c r="WNY38" i="3"/>
  <c r="WNS38" i="3"/>
  <c r="WNQ38" i="3"/>
  <c r="WNI38" i="3"/>
  <c r="WNK38" i="3" s="1"/>
  <c r="WNC38" i="3"/>
  <c r="WNA38" i="3"/>
  <c r="WMS38" i="3"/>
  <c r="WMU38" i="3" s="1"/>
  <c r="WMK38" i="3"/>
  <c r="WMM38" i="3" s="1"/>
  <c r="WMC38" i="3"/>
  <c r="WME38" i="3" s="1"/>
  <c r="WLU38" i="3"/>
  <c r="WLW38" i="3" s="1"/>
  <c r="WLO38" i="3"/>
  <c r="WLM38" i="3"/>
  <c r="WLE38" i="3"/>
  <c r="WLG38" i="3" s="1"/>
  <c r="WKW38" i="3"/>
  <c r="WKY38" i="3" s="1"/>
  <c r="WKO38" i="3"/>
  <c r="WKQ38" i="3" s="1"/>
  <c r="WKG38" i="3"/>
  <c r="WKI38" i="3" s="1"/>
  <c r="WJY38" i="3"/>
  <c r="WKA38" i="3" s="1"/>
  <c r="WJQ38" i="3"/>
  <c r="WJS38" i="3" s="1"/>
  <c r="WJK38" i="3"/>
  <c r="WJI38" i="3"/>
  <c r="WJA38" i="3"/>
  <c r="WJC38" i="3" s="1"/>
  <c r="WIU38" i="3"/>
  <c r="WIS38" i="3"/>
  <c r="WIM38" i="3"/>
  <c r="WIK38" i="3"/>
  <c r="WIC38" i="3"/>
  <c r="WIE38" i="3" s="1"/>
  <c r="WHU38" i="3"/>
  <c r="WHW38" i="3" s="1"/>
  <c r="WHO38" i="3"/>
  <c r="WHM38" i="3"/>
  <c r="WHE38" i="3"/>
  <c r="WHG38" i="3" s="1"/>
  <c r="WGW38" i="3"/>
  <c r="WGY38" i="3" s="1"/>
  <c r="WGO38" i="3"/>
  <c r="WGQ38" i="3" s="1"/>
  <c r="WGI38" i="3"/>
  <c r="WGG38" i="3"/>
  <c r="WFY38" i="3"/>
  <c r="WGA38" i="3" s="1"/>
  <c r="WFQ38" i="3"/>
  <c r="WFS38" i="3" s="1"/>
  <c r="WFI38" i="3"/>
  <c r="WFK38" i="3" s="1"/>
  <c r="WFA38" i="3"/>
  <c r="WFC38" i="3" s="1"/>
  <c r="WES38" i="3"/>
  <c r="WEU38" i="3" s="1"/>
  <c r="WEK38" i="3"/>
  <c r="WEM38" i="3" s="1"/>
  <c r="WEC38" i="3"/>
  <c r="WEE38" i="3" s="1"/>
  <c r="WDW38" i="3"/>
  <c r="WDU38" i="3"/>
  <c r="WDM38" i="3"/>
  <c r="WDO38" i="3" s="1"/>
  <c r="WDE38" i="3"/>
  <c r="WDG38" i="3" s="1"/>
  <c r="WCW38" i="3"/>
  <c r="WCY38" i="3" s="1"/>
  <c r="WCQ38" i="3"/>
  <c r="WCO38" i="3"/>
  <c r="WCG38" i="3"/>
  <c r="WCI38" i="3" s="1"/>
  <c r="WBY38" i="3"/>
  <c r="WCA38" i="3" s="1"/>
  <c r="WBQ38" i="3"/>
  <c r="WBS38" i="3" s="1"/>
  <c r="WBI38" i="3"/>
  <c r="WBK38" i="3" s="1"/>
  <c r="WBA38" i="3"/>
  <c r="WBC38" i="3" s="1"/>
  <c r="WAS38" i="3"/>
  <c r="WAU38" i="3" s="1"/>
  <c r="WAM38" i="3"/>
  <c r="WAK38" i="3"/>
  <c r="WAC38" i="3"/>
  <c r="WAE38" i="3" s="1"/>
  <c r="VZU38" i="3"/>
  <c r="VZW38" i="3" s="1"/>
  <c r="VZM38" i="3"/>
  <c r="VZO38" i="3" s="1"/>
  <c r="VZG38" i="3"/>
  <c r="VZE38" i="3"/>
  <c r="VYW38" i="3"/>
  <c r="VYY38" i="3" s="1"/>
  <c r="VYO38" i="3"/>
  <c r="VYQ38" i="3" s="1"/>
  <c r="VYI38" i="3"/>
  <c r="VYG38" i="3"/>
  <c r="VXY38" i="3"/>
  <c r="VYA38" i="3" s="1"/>
  <c r="VXQ38" i="3"/>
  <c r="VXS38" i="3" s="1"/>
  <c r="VXI38" i="3"/>
  <c r="VXK38" i="3" s="1"/>
  <c r="VXA38" i="3"/>
  <c r="VXC38" i="3" s="1"/>
  <c r="VWU38" i="3"/>
  <c r="VWS38" i="3"/>
  <c r="VWK38" i="3"/>
  <c r="VWM38" i="3" s="1"/>
  <c r="VWC38" i="3"/>
  <c r="VWE38" i="3" s="1"/>
  <c r="VVW38" i="3"/>
  <c r="VVU38" i="3"/>
  <c r="VVM38" i="3"/>
  <c r="VVO38" i="3" s="1"/>
  <c r="VVE38" i="3"/>
  <c r="VVG38" i="3" s="1"/>
  <c r="VUY38" i="3"/>
  <c r="VUW38" i="3"/>
  <c r="VUO38" i="3"/>
  <c r="VUQ38" i="3" s="1"/>
  <c r="VUG38" i="3"/>
  <c r="VUI38" i="3" s="1"/>
  <c r="VTY38" i="3"/>
  <c r="VUA38" i="3" s="1"/>
  <c r="VTQ38" i="3"/>
  <c r="VTS38" i="3" s="1"/>
  <c r="VTI38" i="3"/>
  <c r="VTK38" i="3" s="1"/>
  <c r="VTA38" i="3"/>
  <c r="VTC38" i="3" s="1"/>
  <c r="VSU38" i="3"/>
  <c r="VSS38" i="3"/>
  <c r="VSK38" i="3"/>
  <c r="VSM38" i="3" s="1"/>
  <c r="VSE38" i="3"/>
  <c r="VSC38" i="3"/>
  <c r="VRU38" i="3"/>
  <c r="VRW38" i="3" s="1"/>
  <c r="VRO38" i="3"/>
  <c r="VRM38" i="3"/>
  <c r="VRE38" i="3"/>
  <c r="VRG38" i="3" s="1"/>
  <c r="VQW38" i="3"/>
  <c r="VQY38" i="3" s="1"/>
  <c r="VQO38" i="3"/>
  <c r="VQQ38" i="3" s="1"/>
  <c r="VQI38" i="3"/>
  <c r="VQG38" i="3"/>
  <c r="VPY38" i="3"/>
  <c r="VQA38" i="3" s="1"/>
  <c r="VPQ38" i="3"/>
  <c r="VPS38" i="3" s="1"/>
  <c r="VPK38" i="3"/>
  <c r="VPI38" i="3"/>
  <c r="VPA38" i="3"/>
  <c r="VPC38" i="3" s="1"/>
  <c r="VOS38" i="3"/>
  <c r="VOU38" i="3" s="1"/>
  <c r="VOK38" i="3"/>
  <c r="VOM38" i="3" s="1"/>
  <c r="VOE38" i="3"/>
  <c r="VOC38" i="3"/>
  <c r="VNU38" i="3"/>
  <c r="VNW38" i="3" s="1"/>
  <c r="VNO38" i="3"/>
  <c r="VNM38" i="3"/>
  <c r="VNE38" i="3"/>
  <c r="VNG38" i="3" s="1"/>
  <c r="VMW38" i="3"/>
  <c r="VMY38" i="3" s="1"/>
  <c r="VMO38" i="3"/>
  <c r="VMQ38" i="3" s="1"/>
  <c r="VMG38" i="3"/>
  <c r="VMI38" i="3" s="1"/>
  <c r="VLY38" i="3"/>
  <c r="VMA38" i="3" s="1"/>
  <c r="VLS38" i="3"/>
  <c r="VLQ38" i="3"/>
  <c r="VLI38" i="3"/>
  <c r="VLK38" i="3" s="1"/>
  <c r="VLA38" i="3"/>
  <c r="VLC38" i="3" s="1"/>
  <c r="VKS38" i="3"/>
  <c r="VKU38" i="3" s="1"/>
  <c r="VKK38" i="3"/>
  <c r="VKM38" i="3" s="1"/>
  <c r="VKC38" i="3"/>
  <c r="VKE38" i="3" s="1"/>
  <c r="VJU38" i="3"/>
  <c r="VJW38" i="3" s="1"/>
  <c r="VJM38" i="3"/>
  <c r="VJO38" i="3" s="1"/>
  <c r="VJE38" i="3"/>
  <c r="VJG38" i="3" s="1"/>
  <c r="VIW38" i="3"/>
  <c r="VIY38" i="3" s="1"/>
  <c r="VIQ38" i="3"/>
  <c r="VIO38" i="3"/>
  <c r="VIG38" i="3"/>
  <c r="VII38" i="3" s="1"/>
  <c r="VHY38" i="3"/>
  <c r="VIA38" i="3" s="1"/>
  <c r="VHQ38" i="3"/>
  <c r="VHS38" i="3" s="1"/>
  <c r="VHI38" i="3"/>
  <c r="VHK38" i="3" s="1"/>
  <c r="VHA38" i="3"/>
  <c r="VHC38" i="3" s="1"/>
  <c r="VGU38" i="3"/>
  <c r="VGS38" i="3"/>
  <c r="VGM38" i="3"/>
  <c r="VGK38" i="3"/>
  <c r="VGC38" i="3"/>
  <c r="VGE38" i="3" s="1"/>
  <c r="VFU38" i="3"/>
  <c r="VFW38" i="3" s="1"/>
  <c r="VFM38" i="3"/>
  <c r="VFO38" i="3" s="1"/>
  <c r="VFE38" i="3"/>
  <c r="VFG38" i="3" s="1"/>
  <c r="VEW38" i="3"/>
  <c r="VEY38" i="3" s="1"/>
  <c r="VEQ38" i="3"/>
  <c r="VEO38" i="3"/>
  <c r="VEI38" i="3"/>
  <c r="VEG38" i="3"/>
  <c r="VDY38" i="3"/>
  <c r="VEA38" i="3" s="1"/>
  <c r="VDQ38" i="3"/>
  <c r="VDS38" i="3" s="1"/>
  <c r="VDI38" i="3"/>
  <c r="VDK38" i="3" s="1"/>
  <c r="VDA38" i="3"/>
  <c r="VDC38" i="3" s="1"/>
  <c r="VCU38" i="3"/>
  <c r="VCS38" i="3"/>
  <c r="VCM38" i="3"/>
  <c r="VCK38" i="3"/>
  <c r="VCE38" i="3"/>
  <c r="VCC38" i="3"/>
  <c r="VBU38" i="3"/>
  <c r="VBW38" i="3" s="1"/>
  <c r="VBM38" i="3"/>
  <c r="VBO38" i="3" s="1"/>
  <c r="VBE38" i="3"/>
  <c r="VBG38" i="3" s="1"/>
  <c r="VAW38" i="3"/>
  <c r="VAY38" i="3" s="1"/>
  <c r="VAO38" i="3"/>
  <c r="VAQ38" i="3" s="1"/>
  <c r="VAI38" i="3"/>
  <c r="VAG38" i="3"/>
  <c r="UZY38" i="3"/>
  <c r="VAA38" i="3" s="1"/>
  <c r="UZS38" i="3"/>
  <c r="UZQ38" i="3"/>
  <c r="UZI38" i="3"/>
  <c r="UZK38" i="3" s="1"/>
  <c r="UZA38" i="3"/>
  <c r="UZC38" i="3" s="1"/>
  <c r="UYS38" i="3"/>
  <c r="UYU38" i="3" s="1"/>
  <c r="UYK38" i="3"/>
  <c r="UYM38" i="3" s="1"/>
  <c r="UYC38" i="3"/>
  <c r="UYE38" i="3" s="1"/>
  <c r="UXU38" i="3"/>
  <c r="UXW38" i="3" s="1"/>
  <c r="UXM38" i="3"/>
  <c r="UXO38" i="3" s="1"/>
  <c r="UXG38" i="3"/>
  <c r="UXE38" i="3"/>
  <c r="UWW38" i="3"/>
  <c r="UWY38" i="3" s="1"/>
  <c r="UWO38" i="3"/>
  <c r="UWQ38" i="3" s="1"/>
  <c r="UWG38" i="3"/>
  <c r="UWI38" i="3" s="1"/>
  <c r="UVY38" i="3"/>
  <c r="UWA38" i="3" s="1"/>
  <c r="UVQ38" i="3"/>
  <c r="UVS38" i="3" s="1"/>
  <c r="UVI38" i="3"/>
  <c r="UVK38" i="3" s="1"/>
  <c r="UVC38" i="3"/>
  <c r="UVA38" i="3"/>
  <c r="UUS38" i="3"/>
  <c r="UUU38" i="3" s="1"/>
  <c r="UUK38" i="3"/>
  <c r="UUM38" i="3" s="1"/>
  <c r="UUC38" i="3"/>
  <c r="UUE38" i="3" s="1"/>
  <c r="UTU38" i="3"/>
  <c r="UTW38" i="3" s="1"/>
  <c r="UTM38" i="3"/>
  <c r="UTO38" i="3" s="1"/>
  <c r="UTE38" i="3"/>
  <c r="UTG38" i="3" s="1"/>
  <c r="USW38" i="3"/>
  <c r="USY38" i="3" s="1"/>
  <c r="USO38" i="3"/>
  <c r="USQ38" i="3" s="1"/>
  <c r="USI38" i="3"/>
  <c r="USG38" i="3"/>
  <c r="URY38" i="3"/>
  <c r="USA38" i="3" s="1"/>
  <c r="URQ38" i="3"/>
  <c r="URS38" i="3" s="1"/>
  <c r="URK38" i="3"/>
  <c r="URI38" i="3"/>
  <c r="URA38" i="3"/>
  <c r="URC38" i="3" s="1"/>
  <c r="UQS38" i="3"/>
  <c r="UQU38" i="3" s="1"/>
  <c r="UQK38" i="3"/>
  <c r="UQM38" i="3" s="1"/>
  <c r="UQC38" i="3"/>
  <c r="UQE38" i="3" s="1"/>
  <c r="UPU38" i="3"/>
  <c r="UPW38" i="3" s="1"/>
  <c r="UPM38" i="3"/>
  <c r="UPO38" i="3" s="1"/>
  <c r="UPE38" i="3"/>
  <c r="UPG38" i="3" s="1"/>
  <c r="UOW38" i="3"/>
  <c r="UOY38" i="3" s="1"/>
  <c r="UOO38" i="3"/>
  <c r="UOQ38" i="3" s="1"/>
  <c r="UOG38" i="3"/>
  <c r="UOI38" i="3" s="1"/>
  <c r="UNY38" i="3"/>
  <c r="UOA38" i="3" s="1"/>
  <c r="UNS38" i="3"/>
  <c r="UNQ38" i="3"/>
  <c r="UNK38" i="3"/>
  <c r="UNI38" i="3"/>
  <c r="UNA38" i="3"/>
  <c r="UNC38" i="3" s="1"/>
  <c r="UMS38" i="3"/>
  <c r="UMU38" i="3" s="1"/>
  <c r="UMK38" i="3"/>
  <c r="UMM38" i="3" s="1"/>
  <c r="UMC38" i="3"/>
  <c r="UME38" i="3" s="1"/>
  <c r="ULU38" i="3"/>
  <c r="ULW38" i="3" s="1"/>
  <c r="ULM38" i="3"/>
  <c r="ULO38" i="3" s="1"/>
  <c r="ULE38" i="3"/>
  <c r="ULG38" i="3" s="1"/>
  <c r="UKY38" i="3"/>
  <c r="UKW38" i="3"/>
  <c r="UKO38" i="3"/>
  <c r="UKQ38" i="3" s="1"/>
  <c r="UKG38" i="3"/>
  <c r="UKI38" i="3" s="1"/>
  <c r="UJY38" i="3"/>
  <c r="UKA38" i="3" s="1"/>
  <c r="UJQ38" i="3"/>
  <c r="UJS38" i="3" s="1"/>
  <c r="UJI38" i="3"/>
  <c r="UJK38" i="3" s="1"/>
  <c r="UJA38" i="3"/>
  <c r="UJC38" i="3" s="1"/>
  <c r="UIS38" i="3"/>
  <c r="UIU38" i="3" s="1"/>
  <c r="UIK38" i="3"/>
  <c r="UIM38" i="3" s="1"/>
  <c r="UIC38" i="3"/>
  <c r="UIE38" i="3" s="1"/>
  <c r="UHU38" i="3"/>
  <c r="UHW38" i="3" s="1"/>
  <c r="UHM38" i="3"/>
  <c r="UHO38" i="3" s="1"/>
  <c r="UHE38" i="3"/>
  <c r="UHG38" i="3" s="1"/>
  <c r="UGY38" i="3"/>
  <c r="UGW38" i="3"/>
  <c r="UGO38" i="3"/>
  <c r="UGQ38" i="3" s="1"/>
  <c r="UGI38" i="3"/>
  <c r="UGG38" i="3"/>
  <c r="UFY38" i="3"/>
  <c r="UGA38" i="3" s="1"/>
  <c r="UFQ38" i="3"/>
  <c r="UFS38" i="3" s="1"/>
  <c r="UFI38" i="3"/>
  <c r="UFK38" i="3" s="1"/>
  <c r="UFA38" i="3"/>
  <c r="UFC38" i="3" s="1"/>
  <c r="UES38" i="3"/>
  <c r="UEU38" i="3" s="1"/>
  <c r="UEM38" i="3"/>
  <c r="UEK38" i="3"/>
  <c r="UEE38" i="3"/>
  <c r="UEC38" i="3"/>
  <c r="UDU38" i="3"/>
  <c r="UDW38" i="3" s="1"/>
  <c r="UDM38" i="3"/>
  <c r="UDO38" i="3" s="1"/>
  <c r="UDE38" i="3"/>
  <c r="UDG38" i="3" s="1"/>
  <c r="UCW38" i="3"/>
  <c r="UCY38" i="3" s="1"/>
  <c r="UCQ38" i="3"/>
  <c r="UCO38" i="3"/>
  <c r="UCG38" i="3"/>
  <c r="UCI38" i="3" s="1"/>
  <c r="UBY38" i="3"/>
  <c r="UCA38" i="3" s="1"/>
  <c r="UBQ38" i="3"/>
  <c r="UBS38" i="3" s="1"/>
  <c r="UBI38" i="3"/>
  <c r="UBK38" i="3" s="1"/>
  <c r="UBA38" i="3"/>
  <c r="UBC38" i="3" s="1"/>
  <c r="UAS38" i="3"/>
  <c r="UAU38" i="3" s="1"/>
  <c r="UAK38" i="3"/>
  <c r="UAM38" i="3" s="1"/>
  <c r="UAC38" i="3"/>
  <c r="UAE38" i="3" s="1"/>
  <c r="TZW38" i="3"/>
  <c r="TZU38" i="3"/>
  <c r="TZM38" i="3"/>
  <c r="TZO38" i="3" s="1"/>
  <c r="TZG38" i="3"/>
  <c r="TZE38" i="3"/>
  <c r="TYW38" i="3"/>
  <c r="TYY38" i="3" s="1"/>
  <c r="TYO38" i="3"/>
  <c r="TYQ38" i="3" s="1"/>
  <c r="TYG38" i="3"/>
  <c r="TYI38" i="3" s="1"/>
  <c r="TXY38" i="3"/>
  <c r="TYA38" i="3" s="1"/>
  <c r="TXQ38" i="3"/>
  <c r="TXS38" i="3" s="1"/>
  <c r="TXK38" i="3"/>
  <c r="TXI38" i="3"/>
  <c r="TXA38" i="3"/>
  <c r="TXC38" i="3" s="1"/>
  <c r="TWS38" i="3"/>
  <c r="TWU38" i="3" s="1"/>
  <c r="TWK38" i="3"/>
  <c r="TWM38" i="3" s="1"/>
  <c r="TWC38" i="3"/>
  <c r="TWE38" i="3" s="1"/>
  <c r="TVU38" i="3"/>
  <c r="TVW38" i="3" s="1"/>
  <c r="TVM38" i="3"/>
  <c r="TVO38" i="3" s="1"/>
  <c r="TVG38" i="3"/>
  <c r="TVE38" i="3"/>
  <c r="TUW38" i="3"/>
  <c r="TUY38" i="3" s="1"/>
  <c r="TUO38" i="3"/>
  <c r="TUQ38" i="3" s="1"/>
  <c r="TUG38" i="3"/>
  <c r="TUI38" i="3" s="1"/>
  <c r="TTY38" i="3"/>
  <c r="TUA38" i="3" s="1"/>
  <c r="TTQ38" i="3"/>
  <c r="TTS38" i="3" s="1"/>
  <c r="TTK38" i="3"/>
  <c r="TTI38" i="3"/>
  <c r="TTA38" i="3"/>
  <c r="TTC38" i="3" s="1"/>
  <c r="TSS38" i="3"/>
  <c r="TSU38" i="3" s="1"/>
  <c r="TSK38" i="3"/>
  <c r="TSM38" i="3" s="1"/>
  <c r="TSC38" i="3"/>
  <c r="TSE38" i="3" s="1"/>
  <c r="TRW38" i="3"/>
  <c r="TRU38" i="3"/>
  <c r="TRM38" i="3"/>
  <c r="TRO38" i="3" s="1"/>
  <c r="TRE38" i="3"/>
  <c r="TRG38" i="3" s="1"/>
  <c r="TQW38" i="3"/>
  <c r="TQY38" i="3" s="1"/>
  <c r="TQO38" i="3"/>
  <c r="TQQ38" i="3" s="1"/>
  <c r="TQI38" i="3"/>
  <c r="TQG38" i="3"/>
  <c r="TPY38" i="3"/>
  <c r="TQA38" i="3" s="1"/>
  <c r="TPS38" i="3"/>
  <c r="TPQ38" i="3"/>
  <c r="TPI38" i="3"/>
  <c r="TPK38" i="3" s="1"/>
  <c r="TPA38" i="3"/>
  <c r="TPC38" i="3" s="1"/>
  <c r="TOS38" i="3"/>
  <c r="TOU38" i="3" s="1"/>
  <c r="TOK38" i="3"/>
  <c r="TOM38" i="3" s="1"/>
  <c r="TOE38" i="3"/>
  <c r="TOC38" i="3"/>
  <c r="TNW38" i="3"/>
  <c r="TNU38" i="3"/>
  <c r="TNO38" i="3"/>
  <c r="TNM38" i="3"/>
  <c r="TNE38" i="3"/>
  <c r="TNG38" i="3" s="1"/>
  <c r="TMW38" i="3"/>
  <c r="TMY38" i="3" s="1"/>
  <c r="TMO38" i="3"/>
  <c r="TMQ38" i="3" s="1"/>
  <c r="TMG38" i="3"/>
  <c r="TMI38" i="3" s="1"/>
  <c r="TMA38" i="3"/>
  <c r="TLY38" i="3"/>
  <c r="TLQ38" i="3"/>
  <c r="TLS38" i="3" s="1"/>
  <c r="TLI38" i="3"/>
  <c r="TLK38" i="3" s="1"/>
  <c r="TLC38" i="3"/>
  <c r="TLA38" i="3"/>
  <c r="TKU38" i="3"/>
  <c r="TKS38" i="3"/>
  <c r="TKK38" i="3"/>
  <c r="TKM38" i="3" s="1"/>
  <c r="TKC38" i="3"/>
  <c r="TKE38" i="3" s="1"/>
  <c r="TJW38" i="3"/>
  <c r="TJU38" i="3"/>
  <c r="TJM38" i="3"/>
  <c r="TJO38" i="3" s="1"/>
  <c r="TJE38" i="3"/>
  <c r="TJG38" i="3" s="1"/>
  <c r="TIW38" i="3"/>
  <c r="TIY38" i="3" s="1"/>
  <c r="TIQ38" i="3"/>
  <c r="TIO38" i="3"/>
  <c r="TIG38" i="3"/>
  <c r="TII38" i="3" s="1"/>
  <c r="THY38" i="3"/>
  <c r="TIA38" i="3" s="1"/>
  <c r="THQ38" i="3"/>
  <c r="THS38" i="3" s="1"/>
  <c r="THK38" i="3"/>
  <c r="THI38" i="3"/>
  <c r="THA38" i="3"/>
  <c r="THC38" i="3" s="1"/>
  <c r="TGS38" i="3"/>
  <c r="TGU38" i="3" s="1"/>
  <c r="TGM38" i="3"/>
  <c r="TGK38" i="3"/>
  <c r="TGC38" i="3"/>
  <c r="TGE38" i="3" s="1"/>
  <c r="TFU38" i="3"/>
  <c r="TFW38" i="3" s="1"/>
  <c r="TFM38" i="3"/>
  <c r="TFO38" i="3" s="1"/>
  <c r="TFE38" i="3"/>
  <c r="TFG38" i="3" s="1"/>
  <c r="TEY38" i="3"/>
  <c r="TEW38" i="3"/>
  <c r="TEO38" i="3"/>
  <c r="TEQ38" i="3" s="1"/>
  <c r="TEG38" i="3"/>
  <c r="TEI38" i="3" s="1"/>
  <c r="TDY38" i="3"/>
  <c r="TEA38" i="3" s="1"/>
  <c r="TDQ38" i="3"/>
  <c r="TDS38" i="3" s="1"/>
  <c r="TDK38" i="3"/>
  <c r="TDI38" i="3"/>
  <c r="TDA38" i="3"/>
  <c r="TDC38" i="3" s="1"/>
  <c r="TCU38" i="3"/>
  <c r="TCS38" i="3"/>
  <c r="TCK38" i="3"/>
  <c r="TCM38" i="3" s="1"/>
  <c r="TCC38" i="3"/>
  <c r="TCE38" i="3" s="1"/>
  <c r="TBU38" i="3"/>
  <c r="TBW38" i="3" s="1"/>
  <c r="TBM38" i="3"/>
  <c r="TBO38" i="3" s="1"/>
  <c r="TBE38" i="3"/>
  <c r="TBG38" i="3" s="1"/>
  <c r="TAY38" i="3"/>
  <c r="TAW38" i="3"/>
  <c r="TAO38" i="3"/>
  <c r="TAQ38" i="3" s="1"/>
  <c r="TAG38" i="3"/>
  <c r="TAI38" i="3" s="1"/>
  <c r="TAA38" i="3"/>
  <c r="SZY38" i="3"/>
  <c r="SZS38" i="3"/>
  <c r="SZQ38" i="3"/>
  <c r="SZI38" i="3"/>
  <c r="SZK38" i="3" s="1"/>
  <c r="SZA38" i="3"/>
  <c r="SZC38" i="3" s="1"/>
  <c r="SYU38" i="3"/>
  <c r="SYS38" i="3"/>
  <c r="SYK38" i="3"/>
  <c r="SYM38" i="3" s="1"/>
  <c r="SYC38" i="3"/>
  <c r="SYE38" i="3" s="1"/>
  <c r="SXU38" i="3"/>
  <c r="SXW38" i="3" s="1"/>
  <c r="SXM38" i="3"/>
  <c r="SXO38" i="3" s="1"/>
  <c r="SXG38" i="3"/>
  <c r="SXE38" i="3"/>
  <c r="SWW38" i="3"/>
  <c r="SWY38" i="3" s="1"/>
  <c r="SWO38" i="3"/>
  <c r="SWQ38" i="3" s="1"/>
  <c r="SWG38" i="3"/>
  <c r="SWI38" i="3" s="1"/>
  <c r="SVY38" i="3"/>
  <c r="SWA38" i="3" s="1"/>
  <c r="SVQ38" i="3"/>
  <c r="SVS38" i="3" s="1"/>
  <c r="SVK38" i="3"/>
  <c r="SVI38" i="3"/>
  <c r="SVA38" i="3"/>
  <c r="SVC38" i="3" s="1"/>
  <c r="SUS38" i="3"/>
  <c r="SUU38" i="3" s="1"/>
  <c r="SUK38" i="3"/>
  <c r="SUM38" i="3" s="1"/>
  <c r="SUC38" i="3"/>
  <c r="SUE38" i="3" s="1"/>
  <c r="STW38" i="3"/>
  <c r="STU38" i="3"/>
  <c r="STM38" i="3"/>
  <c r="STO38" i="3" s="1"/>
  <c r="STE38" i="3"/>
  <c r="STG38" i="3" s="1"/>
  <c r="SSW38" i="3"/>
  <c r="SSY38" i="3" s="1"/>
  <c r="SSO38" i="3"/>
  <c r="SSQ38" i="3" s="1"/>
  <c r="SSG38" i="3"/>
  <c r="SSI38" i="3" s="1"/>
  <c r="SRY38" i="3"/>
  <c r="SSA38" i="3" s="1"/>
  <c r="SRS38" i="3"/>
  <c r="SRQ38" i="3"/>
  <c r="SRI38" i="3"/>
  <c r="SRK38" i="3" s="1"/>
  <c r="SRA38" i="3"/>
  <c r="SRC38" i="3" s="1"/>
  <c r="SQS38" i="3"/>
  <c r="SQU38" i="3" s="1"/>
  <c r="SQK38" i="3"/>
  <c r="SQM38" i="3" s="1"/>
  <c r="SQC38" i="3"/>
  <c r="SQE38" i="3" s="1"/>
  <c r="SPU38" i="3"/>
  <c r="SPW38" i="3" s="1"/>
  <c r="SPM38" i="3"/>
  <c r="SPO38" i="3" s="1"/>
  <c r="SPE38" i="3"/>
  <c r="SPG38" i="3" s="1"/>
  <c r="SOY38" i="3"/>
  <c r="SOW38" i="3"/>
  <c r="SOQ38" i="3"/>
  <c r="SOO38" i="3"/>
  <c r="SOG38" i="3"/>
  <c r="SOI38" i="3" s="1"/>
  <c r="SNY38" i="3"/>
  <c r="SOA38" i="3" s="1"/>
  <c r="SNQ38" i="3"/>
  <c r="SNS38" i="3" s="1"/>
  <c r="SNI38" i="3"/>
  <c r="SNK38" i="3" s="1"/>
  <c r="SNA38" i="3"/>
  <c r="SNC38" i="3" s="1"/>
  <c r="SMS38" i="3"/>
  <c r="SMU38" i="3" s="1"/>
  <c r="SMM38" i="3"/>
  <c r="SMK38" i="3"/>
  <c r="SME38" i="3"/>
  <c r="SMC38" i="3"/>
  <c r="SLU38" i="3"/>
  <c r="SLW38" i="3" s="1"/>
  <c r="SLM38" i="3"/>
  <c r="SLO38" i="3" s="1"/>
  <c r="SLE38" i="3"/>
  <c r="SLG38" i="3" s="1"/>
  <c r="SKW38" i="3"/>
  <c r="SKY38" i="3" s="1"/>
  <c r="SKQ38" i="3"/>
  <c r="SKO38" i="3"/>
  <c r="SKI38" i="3"/>
  <c r="SKG38" i="3"/>
  <c r="SJY38" i="3"/>
  <c r="SKA38" i="3" s="1"/>
  <c r="SJQ38" i="3"/>
  <c r="SJS38" i="3" s="1"/>
  <c r="SJI38" i="3"/>
  <c r="SJK38" i="3" s="1"/>
  <c r="SJA38" i="3"/>
  <c r="SJC38" i="3" s="1"/>
  <c r="SIS38" i="3"/>
  <c r="SIU38" i="3" s="1"/>
  <c r="SIK38" i="3"/>
  <c r="SIM38" i="3" s="1"/>
  <c r="SIC38" i="3"/>
  <c r="SIE38" i="3" s="1"/>
  <c r="SHU38" i="3"/>
  <c r="SHW38" i="3" s="1"/>
  <c r="SHO38" i="3"/>
  <c r="SHM38" i="3"/>
  <c r="SHE38" i="3"/>
  <c r="SHG38" i="3" s="1"/>
  <c r="SGW38" i="3"/>
  <c r="SGY38" i="3" s="1"/>
  <c r="SGO38" i="3"/>
  <c r="SGQ38" i="3" s="1"/>
  <c r="SGG38" i="3"/>
  <c r="SGI38" i="3" s="1"/>
  <c r="SFY38" i="3"/>
  <c r="SGA38" i="3" s="1"/>
  <c r="SFQ38" i="3"/>
  <c r="SFS38" i="3" s="1"/>
  <c r="SFI38" i="3"/>
  <c r="SFK38" i="3" s="1"/>
  <c r="SFC38" i="3"/>
  <c r="SFA38" i="3"/>
  <c r="SES38" i="3"/>
  <c r="SEU38" i="3" s="1"/>
  <c r="SEK38" i="3"/>
  <c r="SEM38" i="3" s="1"/>
  <c r="SEC38" i="3"/>
  <c r="SEE38" i="3" s="1"/>
  <c r="SDU38" i="3"/>
  <c r="SDW38" i="3" s="1"/>
  <c r="SDM38" i="3"/>
  <c r="SDO38" i="3" s="1"/>
  <c r="SDG38" i="3"/>
  <c r="SDE38" i="3"/>
  <c r="SCY38" i="3"/>
  <c r="SCW38" i="3"/>
  <c r="SCO38" i="3"/>
  <c r="SCQ38" i="3" s="1"/>
  <c r="SCG38" i="3"/>
  <c r="SCI38" i="3" s="1"/>
  <c r="SBY38" i="3"/>
  <c r="SCA38" i="3" s="1"/>
  <c r="SBQ38" i="3"/>
  <c r="SBS38" i="3" s="1"/>
  <c r="SBI38" i="3"/>
  <c r="SBK38" i="3" s="1"/>
  <c r="SBA38" i="3"/>
  <c r="SBC38" i="3" s="1"/>
  <c r="SAS38" i="3"/>
  <c r="SAU38" i="3" s="1"/>
  <c r="SAK38" i="3"/>
  <c r="SAM38" i="3" s="1"/>
  <c r="SAC38" i="3"/>
  <c r="SAE38" i="3" s="1"/>
  <c r="RZU38" i="3"/>
  <c r="RZW38" i="3" s="1"/>
  <c r="RZM38" i="3"/>
  <c r="RZO38" i="3" s="1"/>
  <c r="RZE38" i="3"/>
  <c r="RZG38" i="3" s="1"/>
  <c r="RYY38" i="3"/>
  <c r="RYW38" i="3"/>
  <c r="RYO38" i="3"/>
  <c r="RYQ38" i="3" s="1"/>
  <c r="RYG38" i="3"/>
  <c r="RYI38" i="3" s="1"/>
  <c r="RYA38" i="3"/>
  <c r="RXY38" i="3"/>
  <c r="RXQ38" i="3"/>
  <c r="RXS38" i="3" s="1"/>
  <c r="RXI38" i="3"/>
  <c r="RXK38" i="3" s="1"/>
  <c r="RXA38" i="3"/>
  <c r="RXC38" i="3" s="1"/>
  <c r="RWS38" i="3"/>
  <c r="RWU38" i="3" s="1"/>
  <c r="RWK38" i="3"/>
  <c r="RWM38" i="3" s="1"/>
  <c r="RWE38" i="3"/>
  <c r="RWC38" i="3"/>
  <c r="RVW38" i="3"/>
  <c r="RVU38" i="3"/>
  <c r="RVM38" i="3"/>
  <c r="RVO38" i="3" s="1"/>
  <c r="RVE38" i="3"/>
  <c r="RVG38" i="3" s="1"/>
  <c r="RUW38" i="3"/>
  <c r="RUY38" i="3" s="1"/>
  <c r="RUO38" i="3"/>
  <c r="RUQ38" i="3" s="1"/>
  <c r="RUG38" i="3"/>
  <c r="RUI38" i="3" s="1"/>
  <c r="RTY38" i="3"/>
  <c r="RUA38" i="3" s="1"/>
  <c r="RTS38" i="3"/>
  <c r="RTQ38" i="3"/>
  <c r="RTI38" i="3"/>
  <c r="RTK38" i="3" s="1"/>
  <c r="RTA38" i="3"/>
  <c r="RTC38" i="3" s="1"/>
  <c r="RSS38" i="3"/>
  <c r="RSU38" i="3" s="1"/>
  <c r="RSK38" i="3"/>
  <c r="RSM38" i="3" s="1"/>
  <c r="RSE38" i="3"/>
  <c r="RSC38" i="3"/>
  <c r="RRU38" i="3"/>
  <c r="RRW38" i="3" s="1"/>
  <c r="RRO38" i="3"/>
  <c r="RRM38" i="3"/>
  <c r="RRE38" i="3"/>
  <c r="RRG38" i="3" s="1"/>
  <c r="RQW38" i="3"/>
  <c r="RQY38" i="3" s="1"/>
  <c r="RQO38" i="3"/>
  <c r="RQQ38" i="3" s="1"/>
  <c r="RQI38" i="3"/>
  <c r="RQG38" i="3"/>
  <c r="RPY38" i="3"/>
  <c r="RQA38" i="3" s="1"/>
  <c r="RPQ38" i="3"/>
  <c r="RPS38" i="3" s="1"/>
  <c r="RPI38" i="3"/>
  <c r="RPK38" i="3" s="1"/>
  <c r="RPC38" i="3"/>
  <c r="RPA38" i="3"/>
  <c r="ROS38" i="3"/>
  <c r="ROU38" i="3" s="1"/>
  <c r="ROK38" i="3"/>
  <c r="ROM38" i="3" s="1"/>
  <c r="ROC38" i="3"/>
  <c r="ROE38" i="3" s="1"/>
  <c r="RNU38" i="3"/>
  <c r="RNW38" i="3" s="1"/>
  <c r="RNM38" i="3"/>
  <c r="RNO38" i="3" s="1"/>
  <c r="RNE38" i="3"/>
  <c r="RNG38" i="3" s="1"/>
  <c r="RMW38" i="3"/>
  <c r="RMY38" i="3" s="1"/>
  <c r="RMQ38" i="3"/>
  <c r="RMO38" i="3"/>
  <c r="RMG38" i="3"/>
  <c r="RMI38" i="3" s="1"/>
  <c r="RLY38" i="3"/>
  <c r="RMA38" i="3" s="1"/>
  <c r="RLQ38" i="3"/>
  <c r="RLS38" i="3" s="1"/>
  <c r="RLI38" i="3"/>
  <c r="RLK38" i="3" s="1"/>
  <c r="RLA38" i="3"/>
  <c r="RLC38" i="3" s="1"/>
  <c r="RKU38" i="3"/>
  <c r="RKS38" i="3"/>
  <c r="RKM38" i="3"/>
  <c r="RKK38" i="3"/>
  <c r="RKC38" i="3"/>
  <c r="RKE38" i="3" s="1"/>
  <c r="RJU38" i="3"/>
  <c r="RJW38" i="3" s="1"/>
  <c r="RJM38" i="3"/>
  <c r="RJO38" i="3" s="1"/>
  <c r="RJE38" i="3"/>
  <c r="RJG38" i="3" s="1"/>
  <c r="RIW38" i="3"/>
  <c r="RIY38" i="3" s="1"/>
  <c r="RIO38" i="3"/>
  <c r="RIQ38" i="3" s="1"/>
  <c r="RIG38" i="3"/>
  <c r="RII38" i="3" s="1"/>
  <c r="RHY38" i="3"/>
  <c r="RIA38" i="3" s="1"/>
  <c r="RHS38" i="3"/>
  <c r="RHQ38" i="3"/>
  <c r="RHK38" i="3"/>
  <c r="RHI38" i="3"/>
  <c r="RHA38" i="3"/>
  <c r="RHC38" i="3" s="1"/>
  <c r="RGS38" i="3"/>
  <c r="RGU38" i="3" s="1"/>
  <c r="RGK38" i="3"/>
  <c r="RGM38" i="3" s="1"/>
  <c r="RGC38" i="3"/>
  <c r="RGE38" i="3" s="1"/>
  <c r="RFU38" i="3"/>
  <c r="RFW38" i="3" s="1"/>
  <c r="RFM38" i="3"/>
  <c r="RFO38" i="3" s="1"/>
  <c r="RFE38" i="3"/>
  <c r="RFG38" i="3" s="1"/>
  <c r="REY38" i="3"/>
  <c r="REW38" i="3"/>
  <c r="REO38" i="3"/>
  <c r="REQ38" i="3" s="1"/>
  <c r="REG38" i="3"/>
  <c r="REI38" i="3" s="1"/>
  <c r="RDY38" i="3"/>
  <c r="REA38" i="3" s="1"/>
  <c r="RDQ38" i="3"/>
  <c r="RDS38" i="3" s="1"/>
  <c r="RDI38" i="3"/>
  <c r="RDK38" i="3" s="1"/>
  <c r="RDC38" i="3"/>
  <c r="RDA38" i="3"/>
  <c r="RCS38" i="3"/>
  <c r="RCU38" i="3" s="1"/>
  <c r="RCK38" i="3"/>
  <c r="RCM38" i="3" s="1"/>
  <c r="RCC38" i="3"/>
  <c r="RCE38" i="3" s="1"/>
  <c r="RBU38" i="3"/>
  <c r="RBW38" i="3" s="1"/>
  <c r="RBM38" i="3"/>
  <c r="RBO38" i="3" s="1"/>
  <c r="RBE38" i="3"/>
  <c r="RBG38" i="3" s="1"/>
  <c r="RAW38" i="3"/>
  <c r="RAY38" i="3" s="1"/>
  <c r="RAO38" i="3"/>
  <c r="RAQ38" i="3" s="1"/>
  <c r="RAG38" i="3"/>
  <c r="RAI38" i="3" s="1"/>
  <c r="RAA38" i="3"/>
  <c r="QZY38" i="3"/>
  <c r="QZQ38" i="3"/>
  <c r="QZS38" i="3" s="1"/>
  <c r="QZI38" i="3"/>
  <c r="QZK38" i="3" s="1"/>
  <c r="QZA38" i="3"/>
  <c r="QZC38" i="3" s="1"/>
  <c r="QYS38" i="3"/>
  <c r="QYU38" i="3" s="1"/>
  <c r="QYK38" i="3"/>
  <c r="QYM38" i="3" s="1"/>
  <c r="QYC38" i="3"/>
  <c r="QYE38" i="3" s="1"/>
  <c r="QXW38" i="3"/>
  <c r="QXU38" i="3"/>
  <c r="QXM38" i="3"/>
  <c r="QXO38" i="3" s="1"/>
  <c r="QXE38" i="3"/>
  <c r="QXG38" i="3" s="1"/>
  <c r="QWW38" i="3"/>
  <c r="QWY38" i="3" s="1"/>
  <c r="QWO38" i="3"/>
  <c r="QWQ38" i="3" s="1"/>
  <c r="QWI38" i="3"/>
  <c r="QWG38" i="3"/>
  <c r="QVY38" i="3"/>
  <c r="QWA38" i="3" s="1"/>
  <c r="QVQ38" i="3"/>
  <c r="QVS38" i="3" s="1"/>
  <c r="QVK38" i="3"/>
  <c r="QVI38" i="3"/>
  <c r="QVA38" i="3"/>
  <c r="QVC38" i="3" s="1"/>
  <c r="QUS38" i="3"/>
  <c r="QUU38" i="3" s="1"/>
  <c r="QUK38" i="3"/>
  <c r="QUM38" i="3" s="1"/>
  <c r="QUC38" i="3"/>
  <c r="QUE38" i="3" s="1"/>
  <c r="QTW38" i="3"/>
  <c r="QTU38" i="3"/>
  <c r="QTM38" i="3"/>
  <c r="QTO38" i="3" s="1"/>
  <c r="QTE38" i="3"/>
  <c r="QTG38" i="3" s="1"/>
  <c r="QSY38" i="3"/>
  <c r="QSW38" i="3"/>
  <c r="QSO38" i="3"/>
  <c r="QSQ38" i="3" s="1"/>
  <c r="QSG38" i="3"/>
  <c r="QSI38" i="3" s="1"/>
  <c r="QSA38" i="3"/>
  <c r="QRY38" i="3"/>
  <c r="QRQ38" i="3"/>
  <c r="QRS38" i="3" s="1"/>
  <c r="QRI38" i="3"/>
  <c r="QRK38" i="3" s="1"/>
  <c r="QRA38" i="3"/>
  <c r="QRC38" i="3" s="1"/>
  <c r="QQS38" i="3"/>
  <c r="QQU38" i="3" s="1"/>
  <c r="QQM38" i="3"/>
  <c r="QQK38" i="3"/>
  <c r="QQC38" i="3"/>
  <c r="QQE38" i="3" s="1"/>
  <c r="QPU38" i="3"/>
  <c r="QPW38" i="3" s="1"/>
  <c r="QPM38" i="3"/>
  <c r="QPO38" i="3" s="1"/>
  <c r="QPG38" i="3"/>
  <c r="QPE38" i="3"/>
  <c r="QOW38" i="3"/>
  <c r="QOY38" i="3" s="1"/>
  <c r="QOO38" i="3"/>
  <c r="QOQ38" i="3" s="1"/>
  <c r="QOI38" i="3"/>
  <c r="QOG38" i="3"/>
  <c r="QNY38" i="3"/>
  <c r="QOA38" i="3" s="1"/>
  <c r="QNQ38" i="3"/>
  <c r="QNS38" i="3" s="1"/>
  <c r="QNI38" i="3"/>
  <c r="QNK38" i="3" s="1"/>
  <c r="QNA38" i="3"/>
  <c r="QNC38" i="3" s="1"/>
  <c r="QMU38" i="3"/>
  <c r="QMS38" i="3"/>
  <c r="QMK38" i="3"/>
  <c r="QMM38" i="3" s="1"/>
  <c r="QMC38" i="3"/>
  <c r="QME38" i="3" s="1"/>
  <c r="QLU38" i="3"/>
  <c r="QLW38" i="3" s="1"/>
  <c r="QLO38" i="3"/>
  <c r="QLM38" i="3"/>
  <c r="QLE38" i="3"/>
  <c r="QLG38" i="3" s="1"/>
  <c r="QKY38" i="3"/>
  <c r="QKW38" i="3"/>
  <c r="QKQ38" i="3"/>
  <c r="QKO38" i="3"/>
  <c r="QKI38" i="3"/>
  <c r="QKG38" i="3"/>
  <c r="QJY38" i="3"/>
  <c r="QKA38" i="3" s="1"/>
  <c r="QJQ38" i="3"/>
  <c r="QJS38" i="3" s="1"/>
  <c r="QJI38" i="3"/>
  <c r="QJK38" i="3" s="1"/>
  <c r="QJA38" i="3"/>
  <c r="QJC38" i="3" s="1"/>
  <c r="QIS38" i="3"/>
  <c r="QIU38" i="3" s="1"/>
  <c r="QIK38" i="3"/>
  <c r="QIM38" i="3" s="1"/>
  <c r="QIC38" i="3"/>
  <c r="QIE38" i="3" s="1"/>
  <c r="QHU38" i="3"/>
  <c r="QHW38" i="3" s="1"/>
  <c r="QHM38" i="3"/>
  <c r="QHO38" i="3" s="1"/>
  <c r="QHE38" i="3"/>
  <c r="QHG38" i="3" s="1"/>
  <c r="QGY38" i="3"/>
  <c r="QGW38" i="3"/>
  <c r="QGO38" i="3"/>
  <c r="QGQ38" i="3" s="1"/>
  <c r="QGG38" i="3"/>
  <c r="QGI38" i="3" s="1"/>
  <c r="QFY38" i="3"/>
  <c r="QGA38" i="3" s="1"/>
  <c r="QFS38" i="3"/>
  <c r="QFQ38" i="3"/>
  <c r="QFK38" i="3"/>
  <c r="QFI38" i="3"/>
  <c r="QFA38" i="3"/>
  <c r="QFC38" i="3" s="1"/>
  <c r="QES38" i="3"/>
  <c r="QEU38" i="3" s="1"/>
  <c r="QEK38" i="3"/>
  <c r="QEM38" i="3" s="1"/>
  <c r="QEC38" i="3"/>
  <c r="QEE38" i="3" s="1"/>
  <c r="QDU38" i="3"/>
  <c r="QDW38" i="3" s="1"/>
  <c r="QDO38" i="3"/>
  <c r="QDM38" i="3"/>
  <c r="QDE38" i="3"/>
  <c r="QDG38" i="3" s="1"/>
  <c r="QCY38" i="3"/>
  <c r="QCW38" i="3"/>
  <c r="QCO38" i="3"/>
  <c r="QCQ38" i="3" s="1"/>
  <c r="QCG38" i="3"/>
  <c r="QCI38" i="3" s="1"/>
  <c r="QBY38" i="3"/>
  <c r="QCA38" i="3" s="1"/>
  <c r="QBQ38" i="3"/>
  <c r="QBS38" i="3" s="1"/>
  <c r="QBK38" i="3"/>
  <c r="QBI38" i="3"/>
  <c r="QBA38" i="3"/>
  <c r="QBC38" i="3" s="1"/>
  <c r="QAS38" i="3"/>
  <c r="QAU38" i="3" s="1"/>
  <c r="QAK38" i="3"/>
  <c r="QAM38" i="3" s="1"/>
  <c r="QAE38" i="3"/>
  <c r="QAC38" i="3"/>
  <c r="PZW38" i="3"/>
  <c r="PZU38" i="3"/>
  <c r="PZM38" i="3"/>
  <c r="PZO38" i="3" s="1"/>
  <c r="PZG38" i="3"/>
  <c r="PZE38" i="3"/>
  <c r="PYW38" i="3"/>
  <c r="PYY38" i="3" s="1"/>
  <c r="PYO38" i="3"/>
  <c r="PYQ38" i="3" s="1"/>
  <c r="PYG38" i="3"/>
  <c r="PYI38" i="3" s="1"/>
  <c r="PXY38" i="3"/>
  <c r="PYA38" i="3" s="1"/>
  <c r="PXS38" i="3"/>
  <c r="PXQ38" i="3"/>
  <c r="PXI38" i="3"/>
  <c r="PXK38" i="3" s="1"/>
  <c r="PXA38" i="3"/>
  <c r="PXC38" i="3" s="1"/>
  <c r="PWU38" i="3"/>
  <c r="PWS38" i="3"/>
  <c r="PWK38" i="3"/>
  <c r="PWM38" i="3" s="1"/>
  <c r="PWC38" i="3"/>
  <c r="PWE38" i="3" s="1"/>
  <c r="PVU38" i="3"/>
  <c r="PVW38" i="3" s="1"/>
  <c r="PVM38" i="3"/>
  <c r="PVO38" i="3" s="1"/>
  <c r="PVE38" i="3"/>
  <c r="PVG38" i="3" s="1"/>
  <c r="PUW38" i="3"/>
  <c r="PUY38" i="3" s="1"/>
  <c r="PUO38" i="3"/>
  <c r="PUQ38" i="3" s="1"/>
  <c r="PUI38" i="3"/>
  <c r="PUG38" i="3"/>
  <c r="PTY38" i="3"/>
  <c r="PUA38" i="3" s="1"/>
  <c r="PTQ38" i="3"/>
  <c r="PTS38" i="3" s="1"/>
  <c r="PTI38" i="3"/>
  <c r="PTK38" i="3" s="1"/>
  <c r="PTA38" i="3"/>
  <c r="PTC38" i="3" s="1"/>
  <c r="PSS38" i="3"/>
  <c r="PSU38" i="3" s="1"/>
  <c r="PSM38" i="3"/>
  <c r="PSK38" i="3"/>
  <c r="PSE38" i="3"/>
  <c r="PSC38" i="3"/>
  <c r="PRU38" i="3"/>
  <c r="PRW38" i="3" s="1"/>
  <c r="PRM38" i="3"/>
  <c r="PRO38" i="3" s="1"/>
  <c r="PRE38" i="3"/>
  <c r="PRG38" i="3" s="1"/>
  <c r="PQW38" i="3"/>
  <c r="PQY38" i="3" s="1"/>
  <c r="PQO38" i="3"/>
  <c r="PQQ38" i="3" s="1"/>
  <c r="PQG38" i="3"/>
  <c r="PQI38" i="3" s="1"/>
  <c r="PPY38" i="3"/>
  <c r="PQA38" i="3" s="1"/>
  <c r="PPQ38" i="3"/>
  <c r="PPS38" i="3" s="1"/>
  <c r="PPK38" i="3"/>
  <c r="PPI38" i="3"/>
  <c r="PPC38" i="3"/>
  <c r="PPA38" i="3"/>
  <c r="POS38" i="3"/>
  <c r="POU38" i="3" s="1"/>
  <c r="POK38" i="3"/>
  <c r="POM38" i="3" s="1"/>
  <c r="POC38" i="3"/>
  <c r="POE38" i="3" s="1"/>
  <c r="PNU38" i="3"/>
  <c r="PNW38" i="3" s="1"/>
  <c r="PNO38" i="3"/>
  <c r="PNM38" i="3"/>
  <c r="PNE38" i="3"/>
  <c r="PNG38" i="3" s="1"/>
  <c r="PMY38" i="3"/>
  <c r="PMW38" i="3"/>
  <c r="PMO38" i="3"/>
  <c r="PMQ38" i="3" s="1"/>
  <c r="PMG38" i="3"/>
  <c r="PMI38" i="3" s="1"/>
  <c r="PLY38" i="3"/>
  <c r="PMA38" i="3" s="1"/>
  <c r="PLQ38" i="3"/>
  <c r="PLS38" i="3" s="1"/>
  <c r="PLK38" i="3"/>
  <c r="PLI38" i="3"/>
  <c r="PLC38" i="3"/>
  <c r="PLA38" i="3"/>
  <c r="PKU38" i="3"/>
  <c r="PKS38" i="3"/>
  <c r="PKK38" i="3"/>
  <c r="PKM38" i="3" s="1"/>
  <c r="PKC38" i="3"/>
  <c r="PKE38" i="3" s="1"/>
  <c r="PJU38" i="3"/>
  <c r="PJW38" i="3" s="1"/>
  <c r="PJM38" i="3"/>
  <c r="PJO38" i="3" s="1"/>
  <c r="PJG38" i="3"/>
  <c r="PJE38" i="3"/>
  <c r="PIY38" i="3"/>
  <c r="PIW38" i="3"/>
  <c r="PIO38" i="3"/>
  <c r="PIQ38" i="3" s="1"/>
  <c r="PIG38" i="3"/>
  <c r="PII38" i="3" s="1"/>
  <c r="PHY38" i="3"/>
  <c r="PIA38" i="3" s="1"/>
  <c r="PHQ38" i="3"/>
  <c r="PHS38" i="3" s="1"/>
  <c r="PHK38" i="3"/>
  <c r="PHI38" i="3"/>
  <c r="PHC38" i="3"/>
  <c r="PHA38" i="3"/>
  <c r="PGU38" i="3"/>
  <c r="PGS38" i="3"/>
  <c r="PGK38" i="3"/>
  <c r="PGM38" i="3" s="1"/>
  <c r="PGC38" i="3"/>
  <c r="PGE38" i="3" s="1"/>
  <c r="PFU38" i="3"/>
  <c r="PFW38" i="3" s="1"/>
  <c r="PFM38" i="3"/>
  <c r="PFO38" i="3" s="1"/>
  <c r="PFE38" i="3"/>
  <c r="PFG38" i="3" s="1"/>
  <c r="PEW38" i="3"/>
  <c r="PEY38" i="3" s="1"/>
  <c r="PEO38" i="3"/>
  <c r="PEQ38" i="3" s="1"/>
  <c r="PEI38" i="3"/>
  <c r="PEG38" i="3"/>
  <c r="PDY38" i="3"/>
  <c r="PEA38" i="3" s="1"/>
  <c r="PDS38" i="3"/>
  <c r="PDQ38" i="3"/>
  <c r="PDI38" i="3"/>
  <c r="PDK38" i="3" s="1"/>
  <c r="PDA38" i="3"/>
  <c r="PDC38" i="3" s="1"/>
  <c r="PCS38" i="3"/>
  <c r="PCU38" i="3" s="1"/>
  <c r="PCK38" i="3"/>
  <c r="PCM38" i="3" s="1"/>
  <c r="PCC38" i="3"/>
  <c r="PCE38" i="3" s="1"/>
  <c r="PBW38" i="3"/>
  <c r="PBU38" i="3"/>
  <c r="PBM38" i="3"/>
  <c r="PBO38" i="3" s="1"/>
  <c r="PBG38" i="3"/>
  <c r="PBE38" i="3"/>
  <c r="PAW38" i="3"/>
  <c r="PAY38" i="3" s="1"/>
  <c r="PAO38" i="3"/>
  <c r="PAQ38" i="3" s="1"/>
  <c r="PAG38" i="3"/>
  <c r="PAI38" i="3" s="1"/>
  <c r="PAA38" i="3"/>
  <c r="OZY38" i="3"/>
  <c r="OZQ38" i="3"/>
  <c r="OZS38" i="3" s="1"/>
  <c r="OZI38" i="3"/>
  <c r="OZK38" i="3" s="1"/>
  <c r="OZA38" i="3"/>
  <c r="OZC38" i="3" s="1"/>
  <c r="OYS38" i="3"/>
  <c r="OYU38" i="3" s="1"/>
  <c r="OYK38" i="3"/>
  <c r="OYM38" i="3" s="1"/>
  <c r="OYC38" i="3"/>
  <c r="OYE38" i="3" s="1"/>
  <c r="OXU38" i="3"/>
  <c r="OXW38" i="3" s="1"/>
  <c r="OXM38" i="3"/>
  <c r="OXO38" i="3" s="1"/>
  <c r="OXE38" i="3"/>
  <c r="OXG38" i="3" s="1"/>
  <c r="OWW38" i="3"/>
  <c r="OWY38" i="3" s="1"/>
  <c r="OWO38" i="3"/>
  <c r="OWQ38" i="3" s="1"/>
  <c r="OWG38" i="3"/>
  <c r="OWI38" i="3" s="1"/>
  <c r="OWA38" i="3"/>
  <c r="OVY38" i="3"/>
  <c r="OVQ38" i="3"/>
  <c r="OVS38" i="3" s="1"/>
  <c r="OVI38" i="3"/>
  <c r="OVK38" i="3" s="1"/>
  <c r="OVA38" i="3"/>
  <c r="OVC38" i="3" s="1"/>
  <c r="OUS38" i="3"/>
  <c r="OUU38" i="3" s="1"/>
  <c r="OUK38" i="3"/>
  <c r="OUM38" i="3" s="1"/>
  <c r="OUC38" i="3"/>
  <c r="OUE38" i="3" s="1"/>
  <c r="OTU38" i="3"/>
  <c r="OTW38" i="3" s="1"/>
  <c r="OTM38" i="3"/>
  <c r="OTO38" i="3" s="1"/>
  <c r="OTE38" i="3"/>
  <c r="OTG38" i="3" s="1"/>
  <c r="OSW38" i="3"/>
  <c r="OSY38" i="3" s="1"/>
  <c r="OSQ38" i="3"/>
  <c r="OSO38" i="3"/>
  <c r="OSG38" i="3"/>
  <c r="OSI38" i="3" s="1"/>
  <c r="ORY38" i="3"/>
  <c r="OSA38" i="3" s="1"/>
  <c r="ORQ38" i="3"/>
  <c r="ORS38" i="3" s="1"/>
  <c r="ORI38" i="3"/>
  <c r="ORK38" i="3" s="1"/>
  <c r="ORA38" i="3"/>
  <c r="ORC38" i="3" s="1"/>
  <c r="OQS38" i="3"/>
  <c r="OQU38" i="3" s="1"/>
  <c r="OQM38" i="3"/>
  <c r="OQK38" i="3"/>
  <c r="OQC38" i="3"/>
  <c r="OQE38" i="3" s="1"/>
  <c r="OPU38" i="3"/>
  <c r="OPW38" i="3" s="1"/>
  <c r="OPM38" i="3"/>
  <c r="OPO38" i="3" s="1"/>
  <c r="OPE38" i="3"/>
  <c r="OPG38" i="3" s="1"/>
  <c r="OOW38" i="3"/>
  <c r="OOY38" i="3" s="1"/>
  <c r="OOO38" i="3"/>
  <c r="OOQ38" i="3" s="1"/>
  <c r="OOI38" i="3"/>
  <c r="OOG38" i="3"/>
  <c r="ONY38" i="3"/>
  <c r="OOA38" i="3" s="1"/>
  <c r="ONQ38" i="3"/>
  <c r="ONS38" i="3" s="1"/>
  <c r="ONI38" i="3"/>
  <c r="ONK38" i="3" s="1"/>
  <c r="ONA38" i="3"/>
  <c r="ONC38" i="3" s="1"/>
  <c r="OMS38" i="3"/>
  <c r="OMU38" i="3" s="1"/>
  <c r="OMK38" i="3"/>
  <c r="OMM38" i="3" s="1"/>
  <c r="OMC38" i="3"/>
  <c r="OME38" i="3" s="1"/>
  <c r="OLW38" i="3"/>
  <c r="OLU38" i="3"/>
  <c r="OLM38" i="3"/>
  <c r="OLO38" i="3" s="1"/>
  <c r="OLE38" i="3"/>
  <c r="OLG38" i="3" s="1"/>
  <c r="OKW38" i="3"/>
  <c r="OKY38" i="3" s="1"/>
  <c r="OKO38" i="3"/>
  <c r="OKQ38" i="3" s="1"/>
  <c r="OKG38" i="3"/>
  <c r="OKI38" i="3" s="1"/>
  <c r="OJY38" i="3"/>
  <c r="OKA38" i="3" s="1"/>
  <c r="OJQ38" i="3"/>
  <c r="OJS38" i="3" s="1"/>
  <c r="OJI38" i="3"/>
  <c r="OJK38" i="3" s="1"/>
  <c r="OJA38" i="3"/>
  <c r="OJC38" i="3" s="1"/>
  <c r="OIS38" i="3"/>
  <c r="OIU38" i="3" s="1"/>
  <c r="OIK38" i="3"/>
  <c r="OIM38" i="3" s="1"/>
  <c r="OIC38" i="3"/>
  <c r="OIE38" i="3" s="1"/>
  <c r="OHU38" i="3"/>
  <c r="OHW38" i="3" s="1"/>
  <c r="OHO38" i="3"/>
  <c r="OHM38" i="3"/>
  <c r="OHE38" i="3"/>
  <c r="OHG38" i="3" s="1"/>
  <c r="OGY38" i="3"/>
  <c r="OGW38" i="3"/>
  <c r="OGO38" i="3"/>
  <c r="OGQ38" i="3" s="1"/>
  <c r="OGG38" i="3"/>
  <c r="OGI38" i="3" s="1"/>
  <c r="OFY38" i="3"/>
  <c r="OGA38" i="3" s="1"/>
  <c r="OFQ38" i="3"/>
  <c r="OFS38" i="3" s="1"/>
  <c r="OFI38" i="3"/>
  <c r="OFK38" i="3" s="1"/>
  <c r="OFC38" i="3"/>
  <c r="OFA38" i="3"/>
  <c r="OES38" i="3"/>
  <c r="OEU38" i="3" s="1"/>
  <c r="OEM38" i="3"/>
  <c r="OEK38" i="3"/>
  <c r="OEC38" i="3"/>
  <c r="OEE38" i="3" s="1"/>
  <c r="ODW38" i="3"/>
  <c r="ODU38" i="3"/>
  <c r="ODM38" i="3"/>
  <c r="ODO38" i="3" s="1"/>
  <c r="ODE38" i="3"/>
  <c r="ODG38" i="3" s="1"/>
  <c r="OCW38" i="3"/>
  <c r="OCY38" i="3" s="1"/>
  <c r="OCO38" i="3"/>
  <c r="OCQ38" i="3" s="1"/>
  <c r="OCG38" i="3"/>
  <c r="OCI38" i="3" s="1"/>
  <c r="OCA38" i="3"/>
  <c r="OBY38" i="3"/>
  <c r="OBQ38" i="3"/>
  <c r="OBS38" i="3" s="1"/>
  <c r="OBI38" i="3"/>
  <c r="OBK38" i="3" s="1"/>
  <c r="OBA38" i="3"/>
  <c r="OBC38" i="3" s="1"/>
  <c r="OAS38" i="3"/>
  <c r="OAU38" i="3" s="1"/>
  <c r="OAM38" i="3"/>
  <c r="OAK38" i="3"/>
  <c r="OAC38" i="3"/>
  <c r="OAE38" i="3" s="1"/>
  <c r="NZW38" i="3"/>
  <c r="NZU38" i="3"/>
  <c r="NZM38" i="3"/>
  <c r="NZO38" i="3" s="1"/>
  <c r="NZE38" i="3"/>
  <c r="NZG38" i="3" s="1"/>
  <c r="NYW38" i="3"/>
  <c r="NYY38" i="3" s="1"/>
  <c r="NYO38" i="3"/>
  <c r="NYQ38" i="3" s="1"/>
  <c r="NYI38" i="3"/>
  <c r="NYG38" i="3"/>
  <c r="NYA38" i="3"/>
  <c r="NXY38" i="3"/>
  <c r="NXQ38" i="3"/>
  <c r="NXS38" i="3" s="1"/>
  <c r="NXI38" i="3"/>
  <c r="NXK38" i="3" s="1"/>
  <c r="NXC38" i="3"/>
  <c r="NXA38" i="3"/>
  <c r="NWS38" i="3"/>
  <c r="NWU38" i="3" s="1"/>
  <c r="NWK38" i="3"/>
  <c r="NWM38" i="3" s="1"/>
  <c r="NWC38" i="3"/>
  <c r="NWE38" i="3" s="1"/>
  <c r="NVW38" i="3"/>
  <c r="NVU38" i="3"/>
  <c r="NVM38" i="3"/>
  <c r="NVO38" i="3" s="1"/>
  <c r="NVG38" i="3"/>
  <c r="NVE38" i="3"/>
  <c r="NUW38" i="3"/>
  <c r="NUY38" i="3" s="1"/>
  <c r="NUO38" i="3"/>
  <c r="NUQ38" i="3" s="1"/>
  <c r="NUG38" i="3"/>
  <c r="NUI38" i="3" s="1"/>
  <c r="NTY38" i="3"/>
  <c r="NUA38" i="3" s="1"/>
  <c r="NTQ38" i="3"/>
  <c r="NTS38" i="3" s="1"/>
  <c r="NTK38" i="3"/>
  <c r="NTI38" i="3"/>
  <c r="NTA38" i="3"/>
  <c r="NTC38" i="3" s="1"/>
  <c r="NSU38" i="3"/>
  <c r="NSS38" i="3"/>
  <c r="NSK38" i="3"/>
  <c r="NSM38" i="3" s="1"/>
  <c r="NSC38" i="3"/>
  <c r="NSE38" i="3" s="1"/>
  <c r="NRU38" i="3"/>
  <c r="NRW38" i="3" s="1"/>
  <c r="NRM38" i="3"/>
  <c r="NRO38" i="3" s="1"/>
  <c r="NRG38" i="3"/>
  <c r="NRE38" i="3"/>
  <c r="NQW38" i="3"/>
  <c r="NQY38" i="3" s="1"/>
  <c r="NQQ38" i="3"/>
  <c r="NQO38" i="3"/>
  <c r="NQG38" i="3"/>
  <c r="NQI38" i="3" s="1"/>
  <c r="NPY38" i="3"/>
  <c r="NQA38" i="3" s="1"/>
  <c r="NPQ38" i="3"/>
  <c r="NPS38" i="3" s="1"/>
  <c r="NPI38" i="3"/>
  <c r="NPK38" i="3" s="1"/>
  <c r="NPC38" i="3"/>
  <c r="NPA38" i="3"/>
  <c r="NOS38" i="3"/>
  <c r="NOU38" i="3" s="1"/>
  <c r="NOM38" i="3"/>
  <c r="NOK38" i="3"/>
  <c r="NOC38" i="3"/>
  <c r="NOE38" i="3" s="1"/>
  <c r="NNU38" i="3"/>
  <c r="NNW38" i="3" s="1"/>
  <c r="NNM38" i="3"/>
  <c r="NNO38" i="3" s="1"/>
  <c r="NNE38" i="3"/>
  <c r="NNG38" i="3" s="1"/>
  <c r="NMY38" i="3"/>
  <c r="NMW38" i="3"/>
  <c r="NMO38" i="3"/>
  <c r="NMQ38" i="3" s="1"/>
  <c r="NMG38" i="3"/>
  <c r="NMI38" i="3" s="1"/>
  <c r="NMA38" i="3"/>
  <c r="NLY38" i="3"/>
  <c r="NLQ38" i="3"/>
  <c r="NLS38" i="3" s="1"/>
  <c r="NLI38" i="3"/>
  <c r="NLK38" i="3" s="1"/>
  <c r="NLA38" i="3"/>
  <c r="NLC38" i="3" s="1"/>
  <c r="NKU38" i="3"/>
  <c r="NKS38" i="3"/>
  <c r="NKK38" i="3"/>
  <c r="NKM38" i="3" s="1"/>
  <c r="NKC38" i="3"/>
  <c r="NKE38" i="3" s="1"/>
  <c r="NJU38" i="3"/>
  <c r="NJW38" i="3" s="1"/>
  <c r="NJO38" i="3"/>
  <c r="NJM38" i="3"/>
  <c r="NJE38" i="3"/>
  <c r="NJG38" i="3" s="1"/>
  <c r="NIW38" i="3"/>
  <c r="NIY38" i="3" s="1"/>
  <c r="NIO38" i="3"/>
  <c r="NIQ38" i="3" s="1"/>
  <c r="NII38" i="3"/>
  <c r="NIG38" i="3"/>
  <c r="NHY38" i="3"/>
  <c r="NIA38" i="3" s="1"/>
  <c r="NHQ38" i="3"/>
  <c r="NHS38" i="3" s="1"/>
  <c r="NHK38" i="3"/>
  <c r="NHI38" i="3"/>
  <c r="NHA38" i="3"/>
  <c r="NHC38" i="3" s="1"/>
  <c r="NGS38" i="3"/>
  <c r="NGU38" i="3" s="1"/>
  <c r="NGK38" i="3"/>
  <c r="NGM38" i="3" s="1"/>
  <c r="NGC38" i="3"/>
  <c r="NGE38" i="3" s="1"/>
  <c r="NFW38" i="3"/>
  <c r="NFU38" i="3"/>
  <c r="NFM38" i="3"/>
  <c r="NFO38" i="3" s="1"/>
  <c r="NFE38" i="3"/>
  <c r="NFG38" i="3" s="1"/>
  <c r="NEW38" i="3"/>
  <c r="NEY38" i="3" s="1"/>
  <c r="NEQ38" i="3"/>
  <c r="NEO38" i="3"/>
  <c r="NEG38" i="3"/>
  <c r="NEI38" i="3" s="1"/>
  <c r="NDY38" i="3"/>
  <c r="NEA38" i="3" s="1"/>
  <c r="NDS38" i="3"/>
  <c r="NDQ38" i="3"/>
  <c r="NDI38" i="3"/>
  <c r="NDK38" i="3" s="1"/>
  <c r="NDA38" i="3"/>
  <c r="NDC38" i="3" s="1"/>
  <c r="NCS38" i="3"/>
  <c r="NCU38" i="3" s="1"/>
  <c r="NCK38" i="3"/>
  <c r="NCM38" i="3" s="1"/>
  <c r="NCE38" i="3"/>
  <c r="NCC38" i="3"/>
  <c r="NBU38" i="3"/>
  <c r="NBW38" i="3" s="1"/>
  <c r="NBM38" i="3"/>
  <c r="NBO38" i="3" s="1"/>
  <c r="NBE38" i="3"/>
  <c r="NBG38" i="3" s="1"/>
  <c r="NAY38" i="3"/>
  <c r="NAW38" i="3"/>
  <c r="NAO38" i="3"/>
  <c r="NAQ38" i="3" s="1"/>
  <c r="NAI38" i="3"/>
  <c r="NAG38" i="3"/>
  <c r="NAA38" i="3"/>
  <c r="MZY38" i="3"/>
  <c r="MZQ38" i="3"/>
  <c r="MZS38" i="3" s="1"/>
  <c r="MZI38" i="3"/>
  <c r="MZK38" i="3" s="1"/>
  <c r="MZC38" i="3"/>
  <c r="MZA38" i="3"/>
  <c r="MYS38" i="3"/>
  <c r="MYU38" i="3" s="1"/>
  <c r="MYK38" i="3"/>
  <c r="MYM38" i="3" s="1"/>
  <c r="MYC38" i="3"/>
  <c r="MYE38" i="3" s="1"/>
  <c r="MXU38" i="3"/>
  <c r="MXW38" i="3" s="1"/>
  <c r="MXM38" i="3"/>
  <c r="MXO38" i="3" s="1"/>
  <c r="MXE38" i="3"/>
  <c r="MXG38" i="3" s="1"/>
  <c r="MWW38" i="3"/>
  <c r="MWY38" i="3" s="1"/>
  <c r="MWQ38" i="3"/>
  <c r="MWO38" i="3"/>
  <c r="MWG38" i="3"/>
  <c r="MWI38" i="3" s="1"/>
  <c r="MVY38" i="3"/>
  <c r="MWA38" i="3" s="1"/>
  <c r="MVQ38" i="3"/>
  <c r="MVS38" i="3" s="1"/>
  <c r="MVI38" i="3"/>
  <c r="MVK38" i="3" s="1"/>
  <c r="MVA38" i="3"/>
  <c r="MVC38" i="3" s="1"/>
  <c r="MUS38" i="3"/>
  <c r="MUU38" i="3" s="1"/>
  <c r="MUM38" i="3"/>
  <c r="MUK38" i="3"/>
  <c r="MUC38" i="3"/>
  <c r="MUE38" i="3" s="1"/>
  <c r="MTU38" i="3"/>
  <c r="MTW38" i="3" s="1"/>
  <c r="MTM38" i="3"/>
  <c r="MTO38" i="3" s="1"/>
  <c r="MTG38" i="3"/>
  <c r="MTE38" i="3"/>
  <c r="MSW38" i="3"/>
  <c r="MSY38" i="3" s="1"/>
  <c r="MSO38" i="3"/>
  <c r="MSQ38" i="3" s="1"/>
  <c r="MSI38" i="3"/>
  <c r="MSG38" i="3"/>
  <c r="MRY38" i="3"/>
  <c r="MSA38" i="3" s="1"/>
  <c r="MRQ38" i="3"/>
  <c r="MRS38" i="3" s="1"/>
  <c r="MRI38" i="3"/>
  <c r="MRK38" i="3" s="1"/>
  <c r="MRC38" i="3"/>
  <c r="MRA38" i="3"/>
  <c r="MQU38" i="3"/>
  <c r="MQS38" i="3"/>
  <c r="MQK38" i="3"/>
  <c r="MQM38" i="3" s="1"/>
  <c r="MQC38" i="3"/>
  <c r="MQE38" i="3" s="1"/>
  <c r="MPW38" i="3"/>
  <c r="MPU38" i="3"/>
  <c r="MPM38" i="3"/>
  <c r="MPO38" i="3" s="1"/>
  <c r="MPE38" i="3"/>
  <c r="MPG38" i="3" s="1"/>
  <c r="MOY38" i="3"/>
  <c r="MOW38" i="3"/>
  <c r="MOQ38" i="3"/>
  <c r="MOO38" i="3"/>
  <c r="MOG38" i="3"/>
  <c r="MOI38" i="3" s="1"/>
  <c r="MNY38" i="3"/>
  <c r="MOA38" i="3" s="1"/>
  <c r="MNQ38" i="3"/>
  <c r="MNS38" i="3" s="1"/>
  <c r="MNK38" i="3"/>
  <c r="MNI38" i="3"/>
  <c r="MNA38" i="3"/>
  <c r="MNC38" i="3" s="1"/>
  <c r="MMS38" i="3"/>
  <c r="MMU38" i="3" s="1"/>
  <c r="MMK38" i="3"/>
  <c r="MMM38" i="3" s="1"/>
  <c r="MME38" i="3"/>
  <c r="MMC38" i="3"/>
  <c r="MLU38" i="3"/>
  <c r="MLW38" i="3" s="1"/>
  <c r="MLO38" i="3"/>
  <c r="MLM38" i="3"/>
  <c r="MLE38" i="3"/>
  <c r="MLG38" i="3" s="1"/>
  <c r="MKW38" i="3"/>
  <c r="MKY38" i="3" s="1"/>
  <c r="MKO38" i="3"/>
  <c r="MKQ38" i="3" s="1"/>
  <c r="MKG38" i="3"/>
  <c r="MKI38" i="3" s="1"/>
  <c r="MJY38" i="3"/>
  <c r="MKA38" i="3" s="1"/>
  <c r="MJS38" i="3"/>
  <c r="MJQ38" i="3"/>
  <c r="MJK38" i="3"/>
  <c r="MJI38" i="3"/>
  <c r="MJA38" i="3"/>
  <c r="MJC38" i="3" s="1"/>
  <c r="MIS38" i="3"/>
  <c r="MIU38" i="3" s="1"/>
  <c r="MIK38" i="3"/>
  <c r="MIM38" i="3" s="1"/>
  <c r="MIC38" i="3"/>
  <c r="MIE38" i="3" s="1"/>
  <c r="MHU38" i="3"/>
  <c r="MHW38" i="3" s="1"/>
  <c r="MHM38" i="3"/>
  <c r="MHO38" i="3" s="1"/>
  <c r="MHG38" i="3"/>
  <c r="MHE38" i="3"/>
  <c r="MGW38" i="3"/>
  <c r="MGY38" i="3" s="1"/>
  <c r="MGO38" i="3"/>
  <c r="MGQ38" i="3" s="1"/>
  <c r="MGG38" i="3"/>
  <c r="MGI38" i="3" s="1"/>
  <c r="MFY38" i="3"/>
  <c r="MGA38" i="3" s="1"/>
  <c r="MFQ38" i="3"/>
  <c r="MFS38" i="3" s="1"/>
  <c r="MFI38" i="3"/>
  <c r="MFK38" i="3" s="1"/>
  <c r="MFA38" i="3"/>
  <c r="MFC38" i="3" s="1"/>
  <c r="MES38" i="3"/>
  <c r="MEU38" i="3" s="1"/>
  <c r="MEM38" i="3"/>
  <c r="MEK38" i="3"/>
  <c r="MEE38" i="3"/>
  <c r="MEC38" i="3"/>
  <c r="MDU38" i="3"/>
  <c r="MDW38" i="3" s="1"/>
  <c r="MDM38" i="3"/>
  <c r="MDO38" i="3" s="1"/>
  <c r="MDE38" i="3"/>
  <c r="MDG38" i="3" s="1"/>
  <c r="MCW38" i="3"/>
  <c r="MCY38" i="3" s="1"/>
  <c r="MCO38" i="3"/>
  <c r="MCQ38" i="3" s="1"/>
  <c r="MCI38" i="3"/>
  <c r="MCG38" i="3"/>
  <c r="MCA38" i="3"/>
  <c r="MBY38" i="3"/>
  <c r="MBQ38" i="3"/>
  <c r="MBS38" i="3" s="1"/>
  <c r="MBI38" i="3"/>
  <c r="MBK38" i="3" s="1"/>
  <c r="MBA38" i="3"/>
  <c r="MBC38" i="3" s="1"/>
  <c r="MAS38" i="3"/>
  <c r="MAU38" i="3" s="1"/>
  <c r="MAK38" i="3"/>
  <c r="MAM38" i="3" s="1"/>
  <c r="MAE38" i="3"/>
  <c r="MAC38" i="3"/>
  <c r="LZW38" i="3"/>
  <c r="LZU38" i="3"/>
  <c r="LZM38" i="3"/>
  <c r="LZO38" i="3" s="1"/>
  <c r="LZE38" i="3"/>
  <c r="LZG38" i="3" s="1"/>
  <c r="LYW38" i="3"/>
  <c r="LYY38" i="3" s="1"/>
  <c r="LYO38" i="3"/>
  <c r="LYQ38" i="3" s="1"/>
  <c r="LYG38" i="3"/>
  <c r="LYI38" i="3" s="1"/>
  <c r="LXY38" i="3"/>
  <c r="LYA38" i="3" s="1"/>
  <c r="LXQ38" i="3"/>
  <c r="LXS38" i="3" s="1"/>
  <c r="LXK38" i="3"/>
  <c r="LXI38" i="3"/>
  <c r="LXA38" i="3"/>
  <c r="LXC38" i="3" s="1"/>
  <c r="LWS38" i="3"/>
  <c r="LWU38" i="3" s="1"/>
  <c r="LWK38" i="3"/>
  <c r="LWM38" i="3" s="1"/>
  <c r="LWC38" i="3"/>
  <c r="LWE38" i="3" s="1"/>
  <c r="LVU38" i="3"/>
  <c r="LVW38" i="3" s="1"/>
  <c r="LVM38" i="3"/>
  <c r="LVO38" i="3" s="1"/>
  <c r="LVE38" i="3"/>
  <c r="LVG38" i="3" s="1"/>
  <c r="LUW38" i="3"/>
  <c r="LUY38" i="3" s="1"/>
  <c r="LUO38" i="3"/>
  <c r="LUQ38" i="3" s="1"/>
  <c r="LUG38" i="3"/>
  <c r="LUI38" i="3" s="1"/>
  <c r="LTY38" i="3"/>
  <c r="LUA38" i="3" s="1"/>
  <c r="LTQ38" i="3"/>
  <c r="LTS38" i="3" s="1"/>
  <c r="LTI38" i="3"/>
  <c r="LTK38" i="3" s="1"/>
  <c r="LTC38" i="3"/>
  <c r="LTA38" i="3"/>
  <c r="LSS38" i="3"/>
  <c r="LSU38" i="3" s="1"/>
  <c r="LSK38" i="3"/>
  <c r="LSM38" i="3" s="1"/>
  <c r="LSC38" i="3"/>
  <c r="LSE38" i="3" s="1"/>
  <c r="LRU38" i="3"/>
  <c r="LRW38" i="3" s="1"/>
  <c r="LRM38" i="3"/>
  <c r="LRO38" i="3" s="1"/>
  <c r="LRE38" i="3"/>
  <c r="LRG38" i="3" s="1"/>
  <c r="LQW38" i="3"/>
  <c r="LQY38" i="3" s="1"/>
  <c r="LQQ38" i="3"/>
  <c r="LQO38" i="3"/>
  <c r="LQG38" i="3"/>
  <c r="LQI38" i="3" s="1"/>
  <c r="LPY38" i="3"/>
  <c r="LQA38" i="3" s="1"/>
  <c r="LPQ38" i="3"/>
  <c r="LPS38" i="3" s="1"/>
  <c r="LPI38" i="3"/>
  <c r="LPK38" i="3" s="1"/>
  <c r="LPA38" i="3"/>
  <c r="LPC38" i="3" s="1"/>
  <c r="LOS38" i="3"/>
  <c r="LOU38" i="3" s="1"/>
  <c r="LOK38" i="3"/>
  <c r="LOM38" i="3" s="1"/>
  <c r="LOC38" i="3"/>
  <c r="LOE38" i="3" s="1"/>
  <c r="LNU38" i="3"/>
  <c r="LNW38" i="3" s="1"/>
  <c r="LNM38" i="3"/>
  <c r="LNO38" i="3" s="1"/>
  <c r="LNE38" i="3"/>
  <c r="LNG38" i="3" s="1"/>
  <c r="LMW38" i="3"/>
  <c r="LMY38" i="3" s="1"/>
  <c r="LMO38" i="3"/>
  <c r="LMQ38" i="3" s="1"/>
  <c r="LMG38" i="3"/>
  <c r="LMI38" i="3" s="1"/>
  <c r="LMA38" i="3"/>
  <c r="LLY38" i="3"/>
  <c r="LLQ38" i="3"/>
  <c r="LLS38" i="3" s="1"/>
  <c r="LLI38" i="3"/>
  <c r="LLK38" i="3" s="1"/>
  <c r="LLA38" i="3"/>
  <c r="LLC38" i="3" s="1"/>
  <c r="LKS38" i="3"/>
  <c r="LKU38" i="3" s="1"/>
  <c r="LKK38" i="3"/>
  <c r="LKM38" i="3" s="1"/>
  <c r="LKC38" i="3"/>
  <c r="LKE38" i="3" s="1"/>
  <c r="LJU38" i="3"/>
  <c r="LJW38" i="3" s="1"/>
  <c r="LJO38" i="3"/>
  <c r="LJM38" i="3"/>
  <c r="LJE38" i="3"/>
  <c r="LJG38" i="3" s="1"/>
  <c r="LIW38" i="3"/>
  <c r="LIY38" i="3" s="1"/>
  <c r="LIO38" i="3"/>
  <c r="LIQ38" i="3" s="1"/>
  <c r="LII38" i="3"/>
  <c r="LIG38" i="3"/>
  <c r="LHY38" i="3"/>
  <c r="LIA38" i="3" s="1"/>
  <c r="LHQ38" i="3"/>
  <c r="LHS38" i="3" s="1"/>
  <c r="LHK38" i="3"/>
  <c r="LHI38" i="3"/>
  <c r="LHA38" i="3"/>
  <c r="LHC38" i="3" s="1"/>
  <c r="LGS38" i="3"/>
  <c r="LGU38" i="3" s="1"/>
  <c r="LGK38" i="3"/>
  <c r="LGM38" i="3" s="1"/>
  <c r="LGC38" i="3"/>
  <c r="LGE38" i="3" s="1"/>
  <c r="LFW38" i="3"/>
  <c r="LFU38" i="3"/>
  <c r="LFM38" i="3"/>
  <c r="LFO38" i="3" s="1"/>
  <c r="LFE38" i="3"/>
  <c r="LFG38" i="3" s="1"/>
  <c r="LEY38" i="3"/>
  <c r="LEW38" i="3"/>
  <c r="LEO38" i="3"/>
  <c r="LEQ38" i="3" s="1"/>
  <c r="LEI38" i="3"/>
  <c r="LEG38" i="3"/>
  <c r="LDY38" i="3"/>
  <c r="LEA38" i="3" s="1"/>
  <c r="LDQ38" i="3"/>
  <c r="LDS38" i="3" s="1"/>
  <c r="LDI38" i="3"/>
  <c r="LDK38" i="3" s="1"/>
  <c r="LDA38" i="3"/>
  <c r="LDC38" i="3" s="1"/>
  <c r="LCU38" i="3"/>
  <c r="LCS38" i="3"/>
  <c r="LCK38" i="3"/>
  <c r="LCM38" i="3" s="1"/>
  <c r="LCE38" i="3"/>
  <c r="LCC38" i="3"/>
  <c r="LBU38" i="3"/>
  <c r="LBW38" i="3" s="1"/>
  <c r="LBM38" i="3"/>
  <c r="LBO38" i="3" s="1"/>
  <c r="LBG38" i="3"/>
  <c r="LBE38" i="3"/>
  <c r="LAY38" i="3"/>
  <c r="LAW38" i="3"/>
  <c r="LAQ38" i="3"/>
  <c r="LAO38" i="3"/>
  <c r="LAG38" i="3"/>
  <c r="LAI38" i="3" s="1"/>
  <c r="LAA38" i="3"/>
  <c r="KZY38" i="3"/>
  <c r="KZQ38" i="3"/>
  <c r="KZS38" i="3" s="1"/>
  <c r="KZI38" i="3"/>
  <c r="KZK38" i="3" s="1"/>
  <c r="KZA38" i="3"/>
  <c r="KZC38" i="3" s="1"/>
  <c r="KYU38" i="3"/>
  <c r="KYS38" i="3"/>
  <c r="KYM38" i="3"/>
  <c r="KYK38" i="3"/>
  <c r="KYC38" i="3"/>
  <c r="KYE38" i="3" s="1"/>
  <c r="KXU38" i="3"/>
  <c r="KXW38" i="3" s="1"/>
  <c r="KXO38" i="3"/>
  <c r="KXM38" i="3"/>
  <c r="KXE38" i="3"/>
  <c r="KXG38" i="3" s="1"/>
  <c r="KWW38" i="3"/>
  <c r="KWY38" i="3" s="1"/>
  <c r="KWO38" i="3"/>
  <c r="KWQ38" i="3" s="1"/>
  <c r="KWI38" i="3"/>
  <c r="KWG38" i="3"/>
  <c r="KVY38" i="3"/>
  <c r="KWA38" i="3" s="1"/>
  <c r="KVQ38" i="3"/>
  <c r="KVS38" i="3" s="1"/>
  <c r="KVI38" i="3"/>
  <c r="KVK38" i="3" s="1"/>
  <c r="KVC38" i="3"/>
  <c r="KVA38" i="3"/>
  <c r="KUS38" i="3"/>
  <c r="KUU38" i="3" s="1"/>
  <c r="KUK38" i="3"/>
  <c r="KUM38" i="3" s="1"/>
  <c r="KUC38" i="3"/>
  <c r="KUE38" i="3" s="1"/>
  <c r="KTU38" i="3"/>
  <c r="KTW38" i="3" s="1"/>
  <c r="KTO38" i="3"/>
  <c r="KTM38" i="3"/>
  <c r="KTE38" i="3"/>
  <c r="KTG38" i="3" s="1"/>
  <c r="KSW38" i="3"/>
  <c r="KSY38" i="3" s="1"/>
  <c r="KSQ38" i="3"/>
  <c r="KSO38" i="3"/>
  <c r="KSG38" i="3"/>
  <c r="KSI38" i="3" s="1"/>
  <c r="KRY38" i="3"/>
  <c r="KSA38" i="3" s="1"/>
  <c r="KRQ38" i="3"/>
  <c r="KRS38" i="3" s="1"/>
  <c r="KRI38" i="3"/>
  <c r="KRK38" i="3" s="1"/>
  <c r="KRA38" i="3"/>
  <c r="KRC38" i="3" s="1"/>
  <c r="KQS38" i="3"/>
  <c r="KQU38" i="3" s="1"/>
  <c r="KQK38" i="3"/>
  <c r="KQM38" i="3" s="1"/>
  <c r="KQC38" i="3"/>
  <c r="KQE38" i="3" s="1"/>
  <c r="KPW38" i="3"/>
  <c r="KPU38" i="3"/>
  <c r="KPM38" i="3"/>
  <c r="KPO38" i="3" s="1"/>
  <c r="KPE38" i="3"/>
  <c r="KPG38" i="3" s="1"/>
  <c r="KOW38" i="3"/>
  <c r="KOY38" i="3" s="1"/>
  <c r="KOO38" i="3"/>
  <c r="KOQ38" i="3" s="1"/>
  <c r="KOG38" i="3"/>
  <c r="KOI38" i="3" s="1"/>
  <c r="KNY38" i="3"/>
  <c r="KOA38" i="3" s="1"/>
  <c r="KNQ38" i="3"/>
  <c r="KNS38" i="3" s="1"/>
  <c r="KNK38" i="3"/>
  <c r="KNI38" i="3"/>
  <c r="KNA38" i="3"/>
  <c r="KNC38" i="3" s="1"/>
  <c r="KMS38" i="3"/>
  <c r="KMU38" i="3" s="1"/>
  <c r="KMK38" i="3"/>
  <c r="KMM38" i="3" s="1"/>
  <c r="KME38" i="3"/>
  <c r="KMC38" i="3"/>
  <c r="KLU38" i="3"/>
  <c r="KLW38" i="3" s="1"/>
  <c r="KLO38" i="3"/>
  <c r="KLM38" i="3"/>
  <c r="KLE38" i="3"/>
  <c r="KLG38" i="3" s="1"/>
  <c r="KKW38" i="3"/>
  <c r="KKY38" i="3" s="1"/>
  <c r="KKO38" i="3"/>
  <c r="KKQ38" i="3" s="1"/>
  <c r="KKG38" i="3"/>
  <c r="KKI38" i="3" s="1"/>
  <c r="KJY38" i="3"/>
  <c r="KKA38" i="3" s="1"/>
  <c r="KJS38" i="3"/>
  <c r="KJQ38" i="3"/>
  <c r="KJI38" i="3"/>
  <c r="KJK38" i="3" s="1"/>
  <c r="KJA38" i="3"/>
  <c r="KJC38" i="3" s="1"/>
  <c r="KIS38" i="3"/>
  <c r="KIU38" i="3" s="1"/>
  <c r="KIK38" i="3"/>
  <c r="KIM38" i="3" s="1"/>
  <c r="KIE38" i="3"/>
  <c r="KIC38" i="3"/>
  <c r="KHU38" i="3"/>
  <c r="KHW38" i="3" s="1"/>
  <c r="KHM38" i="3"/>
  <c r="KHO38" i="3" s="1"/>
  <c r="KHE38" i="3"/>
  <c r="KHG38" i="3" s="1"/>
  <c r="KGY38" i="3"/>
  <c r="KGW38" i="3"/>
  <c r="KGO38" i="3"/>
  <c r="KGQ38" i="3" s="1"/>
  <c r="KGG38" i="3"/>
  <c r="KGI38" i="3" s="1"/>
  <c r="KGA38" i="3"/>
  <c r="KFY38" i="3"/>
  <c r="KFQ38" i="3"/>
  <c r="KFS38" i="3" s="1"/>
  <c r="KFI38" i="3"/>
  <c r="KFK38" i="3" s="1"/>
  <c r="KFA38" i="3"/>
  <c r="KFC38" i="3" s="1"/>
  <c r="KEU38" i="3"/>
  <c r="KES38" i="3"/>
  <c r="KEK38" i="3"/>
  <c r="KEM38" i="3" s="1"/>
  <c r="KEC38" i="3"/>
  <c r="KEE38" i="3" s="1"/>
  <c r="KDU38" i="3"/>
  <c r="KDW38" i="3" s="1"/>
  <c r="KDM38" i="3"/>
  <c r="KDO38" i="3" s="1"/>
  <c r="KDE38" i="3"/>
  <c r="KDG38" i="3" s="1"/>
  <c r="KCW38" i="3"/>
  <c r="KCY38" i="3" s="1"/>
  <c r="KCO38" i="3"/>
  <c r="KCQ38" i="3" s="1"/>
  <c r="KCI38" i="3"/>
  <c r="KCG38" i="3"/>
  <c r="KBY38" i="3"/>
  <c r="KCA38" i="3" s="1"/>
  <c r="KBQ38" i="3"/>
  <c r="KBS38" i="3" s="1"/>
  <c r="KBI38" i="3"/>
  <c r="KBK38" i="3" s="1"/>
  <c r="KBA38" i="3"/>
  <c r="KBC38" i="3" s="1"/>
  <c r="KAS38" i="3"/>
  <c r="KAU38" i="3" s="1"/>
  <c r="KAM38" i="3"/>
  <c r="KAK38" i="3"/>
  <c r="KAC38" i="3"/>
  <c r="KAE38" i="3" s="1"/>
  <c r="JZU38" i="3"/>
  <c r="JZW38" i="3" s="1"/>
  <c r="JZM38" i="3"/>
  <c r="JZO38" i="3" s="1"/>
  <c r="JZE38" i="3"/>
  <c r="JZG38" i="3" s="1"/>
  <c r="JYW38" i="3"/>
  <c r="JYY38" i="3" s="1"/>
  <c r="JYO38" i="3"/>
  <c r="JYQ38" i="3" s="1"/>
  <c r="JYG38" i="3"/>
  <c r="JYI38" i="3" s="1"/>
  <c r="JXY38" i="3"/>
  <c r="JYA38" i="3" s="1"/>
  <c r="JXS38" i="3"/>
  <c r="JXQ38" i="3"/>
  <c r="JXI38" i="3"/>
  <c r="JXK38" i="3" s="1"/>
  <c r="JXA38" i="3"/>
  <c r="JXC38" i="3" s="1"/>
  <c r="JWU38" i="3"/>
  <c r="JWS38" i="3"/>
  <c r="JWK38" i="3"/>
  <c r="JWM38" i="3" s="1"/>
  <c r="JWC38" i="3"/>
  <c r="JWE38" i="3" s="1"/>
  <c r="JVU38" i="3"/>
  <c r="JVW38" i="3" s="1"/>
  <c r="JVM38" i="3"/>
  <c r="JVO38" i="3" s="1"/>
  <c r="JVG38" i="3"/>
  <c r="JVE38" i="3"/>
  <c r="JUW38" i="3"/>
  <c r="JUY38" i="3" s="1"/>
  <c r="JUO38" i="3"/>
  <c r="JUQ38" i="3" s="1"/>
  <c r="JUG38" i="3"/>
  <c r="JUI38" i="3" s="1"/>
  <c r="JTY38" i="3"/>
  <c r="JUA38" i="3" s="1"/>
  <c r="JTQ38" i="3"/>
  <c r="JTS38" i="3" s="1"/>
  <c r="JTI38" i="3"/>
  <c r="JTK38" i="3" s="1"/>
  <c r="JTA38" i="3"/>
  <c r="JTC38" i="3" s="1"/>
  <c r="JSS38" i="3"/>
  <c r="JSU38" i="3" s="1"/>
  <c r="JSK38" i="3"/>
  <c r="JSM38" i="3" s="1"/>
  <c r="JSC38" i="3"/>
  <c r="JSE38" i="3" s="1"/>
  <c r="JRU38" i="3"/>
  <c r="JRW38" i="3" s="1"/>
  <c r="JRM38" i="3"/>
  <c r="JRO38" i="3" s="1"/>
  <c r="JRE38" i="3"/>
  <c r="JRG38" i="3" s="1"/>
  <c r="JQW38" i="3"/>
  <c r="JQY38" i="3" s="1"/>
  <c r="JQO38" i="3"/>
  <c r="JQQ38" i="3" s="1"/>
  <c r="JQG38" i="3"/>
  <c r="JQI38" i="3" s="1"/>
  <c r="JQA38" i="3"/>
  <c r="JPY38" i="3"/>
  <c r="JPQ38" i="3"/>
  <c r="JPS38" i="3" s="1"/>
  <c r="JPK38" i="3"/>
  <c r="JPI38" i="3"/>
  <c r="JPC38" i="3"/>
  <c r="JPA38" i="3"/>
  <c r="JOS38" i="3"/>
  <c r="JOU38" i="3" s="1"/>
  <c r="JOK38" i="3"/>
  <c r="JOM38" i="3" s="1"/>
  <c r="JOC38" i="3"/>
  <c r="JOE38" i="3" s="1"/>
  <c r="JNU38" i="3"/>
  <c r="JNW38" i="3" s="1"/>
  <c r="JNO38" i="3"/>
  <c r="JNM38" i="3"/>
  <c r="JNG38" i="3"/>
  <c r="JNE38" i="3"/>
  <c r="JMW38" i="3"/>
  <c r="JMY38" i="3" s="1"/>
  <c r="JMQ38" i="3"/>
  <c r="JMO38" i="3"/>
  <c r="JMG38" i="3"/>
  <c r="JMI38" i="3" s="1"/>
  <c r="JLY38" i="3"/>
  <c r="JMA38" i="3" s="1"/>
  <c r="JLS38" i="3"/>
  <c r="JLQ38" i="3"/>
  <c r="JLI38" i="3"/>
  <c r="JLK38" i="3" s="1"/>
  <c r="JLA38" i="3"/>
  <c r="JLC38" i="3" s="1"/>
  <c r="JKU38" i="3"/>
  <c r="JKS38" i="3"/>
  <c r="JKK38" i="3"/>
  <c r="JKM38" i="3" s="1"/>
  <c r="JKC38" i="3"/>
  <c r="JKE38" i="3" s="1"/>
  <c r="JJU38" i="3"/>
  <c r="JJW38" i="3" s="1"/>
  <c r="JJM38" i="3"/>
  <c r="JJO38" i="3" s="1"/>
  <c r="JJE38" i="3"/>
  <c r="JJG38" i="3" s="1"/>
  <c r="JIY38" i="3"/>
  <c r="JIW38" i="3"/>
  <c r="JIO38" i="3"/>
  <c r="JIQ38" i="3" s="1"/>
  <c r="JIG38" i="3"/>
  <c r="JII38" i="3" s="1"/>
  <c r="JHY38" i="3"/>
  <c r="JIA38" i="3" s="1"/>
  <c r="JHQ38" i="3"/>
  <c r="JHS38" i="3" s="1"/>
  <c r="JHI38" i="3"/>
  <c r="JHK38" i="3" s="1"/>
  <c r="JHA38" i="3"/>
  <c r="JHC38" i="3" s="1"/>
  <c r="JGS38" i="3"/>
  <c r="JGU38" i="3" s="1"/>
  <c r="JGK38" i="3"/>
  <c r="JGM38" i="3" s="1"/>
  <c r="JGE38" i="3"/>
  <c r="JGC38" i="3"/>
  <c r="JFU38" i="3"/>
  <c r="JFW38" i="3" s="1"/>
  <c r="JFM38" i="3"/>
  <c r="JFO38" i="3" s="1"/>
  <c r="JFE38" i="3"/>
  <c r="JFG38" i="3" s="1"/>
  <c r="JEW38" i="3"/>
  <c r="JEY38" i="3" s="1"/>
  <c r="JEO38" i="3"/>
  <c r="JEQ38" i="3" s="1"/>
  <c r="JEG38" i="3"/>
  <c r="JEI38" i="3" s="1"/>
  <c r="JDY38" i="3"/>
  <c r="JEA38" i="3" s="1"/>
  <c r="JDQ38" i="3"/>
  <c r="JDS38" i="3" s="1"/>
  <c r="JDI38" i="3"/>
  <c r="JDK38" i="3" s="1"/>
  <c r="JDA38" i="3"/>
  <c r="JDC38" i="3" s="1"/>
  <c r="JCS38" i="3"/>
  <c r="JCU38" i="3" s="1"/>
  <c r="JCK38" i="3"/>
  <c r="JCM38" i="3" s="1"/>
  <c r="JCC38" i="3"/>
  <c r="JCE38" i="3" s="1"/>
  <c r="JBU38" i="3"/>
  <c r="JBW38" i="3" s="1"/>
  <c r="JBM38" i="3"/>
  <c r="JBO38" i="3" s="1"/>
  <c r="JBE38" i="3"/>
  <c r="JBG38" i="3" s="1"/>
  <c r="JAY38" i="3"/>
  <c r="JAW38" i="3"/>
  <c r="JAQ38" i="3"/>
  <c r="JAO38" i="3"/>
  <c r="JAG38" i="3"/>
  <c r="JAI38" i="3" s="1"/>
  <c r="IZY38" i="3"/>
  <c r="JAA38" i="3" s="1"/>
  <c r="IZQ38" i="3"/>
  <c r="IZS38" i="3" s="1"/>
  <c r="IZI38" i="3"/>
  <c r="IZK38" i="3" s="1"/>
  <c r="IZA38" i="3"/>
  <c r="IZC38" i="3" s="1"/>
  <c r="IYU38" i="3"/>
  <c r="IYS38" i="3"/>
  <c r="IYM38" i="3"/>
  <c r="IYK38" i="3"/>
  <c r="IYC38" i="3"/>
  <c r="IYE38" i="3" s="1"/>
  <c r="IXU38" i="3"/>
  <c r="IXW38" i="3" s="1"/>
  <c r="IXM38" i="3"/>
  <c r="IXO38" i="3" s="1"/>
  <c r="IXE38" i="3"/>
  <c r="IXG38" i="3" s="1"/>
  <c r="IWW38" i="3"/>
  <c r="IWY38" i="3" s="1"/>
  <c r="IWO38" i="3"/>
  <c r="IWQ38" i="3" s="1"/>
  <c r="IWG38" i="3"/>
  <c r="IWI38" i="3" s="1"/>
  <c r="IWA38" i="3"/>
  <c r="IVY38" i="3"/>
  <c r="IVQ38" i="3"/>
  <c r="IVS38" i="3" s="1"/>
  <c r="IVI38" i="3"/>
  <c r="IVK38" i="3" s="1"/>
  <c r="IVA38" i="3"/>
  <c r="IVC38" i="3" s="1"/>
  <c r="IUS38" i="3"/>
  <c r="IUU38" i="3" s="1"/>
  <c r="IUK38" i="3"/>
  <c r="IUM38" i="3" s="1"/>
  <c r="IUC38" i="3"/>
  <c r="IUE38" i="3" s="1"/>
  <c r="ITW38" i="3"/>
  <c r="ITU38" i="3"/>
  <c r="ITO38" i="3"/>
  <c r="ITM38" i="3"/>
  <c r="ITE38" i="3"/>
  <c r="ITG38" i="3" s="1"/>
  <c r="ISW38" i="3"/>
  <c r="ISY38" i="3" s="1"/>
  <c r="ISO38" i="3"/>
  <c r="ISQ38" i="3" s="1"/>
  <c r="ISG38" i="3"/>
  <c r="ISI38" i="3" s="1"/>
  <c r="IRY38" i="3"/>
  <c r="ISA38" i="3" s="1"/>
  <c r="IRQ38" i="3"/>
  <c r="IRS38" i="3" s="1"/>
  <c r="IRK38" i="3"/>
  <c r="IRI38" i="3"/>
  <c r="IRA38" i="3"/>
  <c r="IRC38" i="3" s="1"/>
  <c r="IQS38" i="3"/>
  <c r="IQU38" i="3" s="1"/>
  <c r="IQK38" i="3"/>
  <c r="IQM38" i="3" s="1"/>
  <c r="IQC38" i="3"/>
  <c r="IQE38" i="3" s="1"/>
  <c r="IPW38" i="3"/>
  <c r="IPU38" i="3"/>
  <c r="IPM38" i="3"/>
  <c r="IPO38" i="3" s="1"/>
  <c r="IPE38" i="3"/>
  <c r="IPG38" i="3" s="1"/>
  <c r="IOW38" i="3"/>
  <c r="IOY38" i="3" s="1"/>
  <c r="IOO38" i="3"/>
  <c r="IOQ38" i="3" s="1"/>
  <c r="IOG38" i="3"/>
  <c r="IOI38" i="3" s="1"/>
  <c r="INY38" i="3"/>
  <c r="IOA38" i="3" s="1"/>
  <c r="INQ38" i="3"/>
  <c r="INS38" i="3" s="1"/>
  <c r="INI38" i="3"/>
  <c r="INK38" i="3" s="1"/>
  <c r="INA38" i="3"/>
  <c r="INC38" i="3" s="1"/>
  <c r="IMS38" i="3"/>
  <c r="IMU38" i="3" s="1"/>
  <c r="IMK38" i="3"/>
  <c r="IMM38" i="3" s="1"/>
  <c r="IMC38" i="3"/>
  <c r="IME38" i="3" s="1"/>
  <c r="ILW38" i="3"/>
  <c r="ILU38" i="3"/>
  <c r="ILM38" i="3"/>
  <c r="ILO38" i="3" s="1"/>
  <c r="ILE38" i="3"/>
  <c r="ILG38" i="3" s="1"/>
  <c r="IKW38" i="3"/>
  <c r="IKY38" i="3" s="1"/>
  <c r="IKO38" i="3"/>
  <c r="IKQ38" i="3" s="1"/>
  <c r="IKG38" i="3"/>
  <c r="IKI38" i="3" s="1"/>
  <c r="IJY38" i="3"/>
  <c r="IKA38" i="3" s="1"/>
  <c r="IJS38" i="3"/>
  <c r="IJQ38" i="3"/>
  <c r="IJI38" i="3"/>
  <c r="IJK38" i="3" s="1"/>
  <c r="IJA38" i="3"/>
  <c r="IJC38" i="3" s="1"/>
  <c r="IIS38" i="3"/>
  <c r="IIU38" i="3" s="1"/>
  <c r="IIK38" i="3"/>
  <c r="IIM38" i="3" s="1"/>
  <c r="IIE38" i="3"/>
  <c r="IIC38" i="3"/>
  <c r="IHU38" i="3"/>
  <c r="IHW38" i="3" s="1"/>
  <c r="IHM38" i="3"/>
  <c r="IHO38" i="3" s="1"/>
  <c r="IHE38" i="3"/>
  <c r="IHG38" i="3" s="1"/>
  <c r="IGY38" i="3"/>
  <c r="IGW38" i="3"/>
  <c r="IGO38" i="3"/>
  <c r="IGQ38" i="3" s="1"/>
  <c r="IGG38" i="3"/>
  <c r="IGI38" i="3" s="1"/>
  <c r="IFY38" i="3"/>
  <c r="IGA38" i="3" s="1"/>
  <c r="IFQ38" i="3"/>
  <c r="IFS38" i="3" s="1"/>
  <c r="IFK38" i="3"/>
  <c r="IFI38" i="3"/>
  <c r="IFA38" i="3"/>
  <c r="IFC38" i="3" s="1"/>
  <c r="IES38" i="3"/>
  <c r="IEU38" i="3" s="1"/>
  <c r="IEM38" i="3"/>
  <c r="IEK38" i="3"/>
  <c r="IEE38" i="3"/>
  <c r="IEC38" i="3"/>
  <c r="IDU38" i="3"/>
  <c r="IDW38" i="3" s="1"/>
  <c r="IDM38" i="3"/>
  <c r="IDO38" i="3" s="1"/>
  <c r="IDE38" i="3"/>
  <c r="IDG38" i="3" s="1"/>
  <c r="ICW38" i="3"/>
  <c r="ICY38" i="3" s="1"/>
  <c r="ICQ38" i="3"/>
  <c r="ICO38" i="3"/>
  <c r="ICG38" i="3"/>
  <c r="ICI38" i="3" s="1"/>
  <c r="IBY38" i="3"/>
  <c r="ICA38" i="3" s="1"/>
  <c r="IBQ38" i="3"/>
  <c r="IBS38" i="3" s="1"/>
  <c r="IBK38" i="3"/>
  <c r="IBI38" i="3"/>
  <c r="IBA38" i="3"/>
  <c r="IBC38" i="3" s="1"/>
  <c r="IAS38" i="3"/>
  <c r="IAU38" i="3" s="1"/>
  <c r="IAK38" i="3"/>
  <c r="IAM38" i="3" s="1"/>
  <c r="IAC38" i="3"/>
  <c r="IAE38" i="3" s="1"/>
  <c r="HZW38" i="3"/>
  <c r="HZU38" i="3"/>
  <c r="HZM38" i="3"/>
  <c r="HZO38" i="3" s="1"/>
  <c r="HZE38" i="3"/>
  <c r="HZG38" i="3" s="1"/>
  <c r="HYW38" i="3"/>
  <c r="HYY38" i="3" s="1"/>
  <c r="HYO38" i="3"/>
  <c r="HYQ38" i="3" s="1"/>
  <c r="HYG38" i="3"/>
  <c r="HYI38" i="3" s="1"/>
  <c r="HXY38" i="3"/>
  <c r="HYA38" i="3" s="1"/>
  <c r="HXQ38" i="3"/>
  <c r="HXS38" i="3" s="1"/>
  <c r="HXI38" i="3"/>
  <c r="HXK38" i="3" s="1"/>
  <c r="HXC38" i="3"/>
  <c r="HXA38" i="3"/>
  <c r="HWS38" i="3"/>
  <c r="HWU38" i="3" s="1"/>
  <c r="HWK38" i="3"/>
  <c r="HWM38" i="3" s="1"/>
  <c r="HWC38" i="3"/>
  <c r="HWE38" i="3" s="1"/>
  <c r="HVU38" i="3"/>
  <c r="HVW38" i="3" s="1"/>
  <c r="HVM38" i="3"/>
  <c r="HVO38" i="3" s="1"/>
  <c r="HVE38" i="3"/>
  <c r="HVG38" i="3" s="1"/>
  <c r="HUW38" i="3"/>
  <c r="HUY38" i="3" s="1"/>
  <c r="HUO38" i="3"/>
  <c r="HUQ38" i="3" s="1"/>
  <c r="HUG38" i="3"/>
  <c r="HUI38" i="3" s="1"/>
  <c r="HTY38" i="3"/>
  <c r="HUA38" i="3" s="1"/>
  <c r="HTQ38" i="3"/>
  <c r="HTS38" i="3" s="1"/>
  <c r="HTI38" i="3"/>
  <c r="HTK38" i="3" s="1"/>
  <c r="HTA38" i="3"/>
  <c r="HTC38" i="3" s="1"/>
  <c r="HSS38" i="3"/>
  <c r="HSU38" i="3" s="1"/>
  <c r="HSK38" i="3"/>
  <c r="HSM38" i="3" s="1"/>
  <c r="HSC38" i="3"/>
  <c r="HSE38" i="3" s="1"/>
  <c r="HRU38" i="3"/>
  <c r="HRW38" i="3" s="1"/>
  <c r="HRO38" i="3"/>
  <c r="HRM38" i="3"/>
  <c r="HRE38" i="3"/>
  <c r="HRG38" i="3" s="1"/>
  <c r="HQW38" i="3"/>
  <c r="HQY38" i="3" s="1"/>
  <c r="HQO38" i="3"/>
  <c r="HQQ38" i="3" s="1"/>
  <c r="HQG38" i="3"/>
  <c r="HQI38" i="3" s="1"/>
  <c r="HPY38" i="3"/>
  <c r="HQA38" i="3" s="1"/>
  <c r="HPS38" i="3"/>
  <c r="HPQ38" i="3"/>
  <c r="HPI38" i="3"/>
  <c r="HPK38" i="3" s="1"/>
  <c r="HPA38" i="3"/>
  <c r="HPC38" i="3" s="1"/>
  <c r="HOS38" i="3"/>
  <c r="HOU38" i="3" s="1"/>
  <c r="HOK38" i="3"/>
  <c r="HOM38" i="3" s="1"/>
  <c r="HOC38" i="3"/>
  <c r="HOE38" i="3" s="1"/>
  <c r="HNU38" i="3"/>
  <c r="HNW38" i="3" s="1"/>
  <c r="HNM38" i="3"/>
  <c r="HNO38" i="3" s="1"/>
  <c r="HNE38" i="3"/>
  <c r="HNG38" i="3" s="1"/>
  <c r="HMW38" i="3"/>
  <c r="HMY38" i="3" s="1"/>
  <c r="HMQ38" i="3"/>
  <c r="HMO38" i="3"/>
  <c r="HMG38" i="3"/>
  <c r="HMI38" i="3" s="1"/>
  <c r="HLY38" i="3"/>
  <c r="HMA38" i="3" s="1"/>
  <c r="HLQ38" i="3"/>
  <c r="HLS38" i="3" s="1"/>
  <c r="HLI38" i="3"/>
  <c r="HLK38" i="3" s="1"/>
  <c r="HLA38" i="3"/>
  <c r="HLC38" i="3" s="1"/>
  <c r="HKS38" i="3"/>
  <c r="HKU38" i="3" s="1"/>
  <c r="HKM38" i="3"/>
  <c r="HKK38" i="3"/>
  <c r="HKE38" i="3"/>
  <c r="HKC38" i="3"/>
  <c r="HJU38" i="3"/>
  <c r="HJW38" i="3" s="1"/>
  <c r="HJM38" i="3"/>
  <c r="HJO38" i="3" s="1"/>
  <c r="HJE38" i="3"/>
  <c r="HJG38" i="3" s="1"/>
  <c r="HIW38" i="3"/>
  <c r="HIY38" i="3" s="1"/>
  <c r="HIO38" i="3"/>
  <c r="HIQ38" i="3" s="1"/>
  <c r="HII38" i="3"/>
  <c r="HIG38" i="3"/>
  <c r="HHY38" i="3"/>
  <c r="HIA38" i="3" s="1"/>
  <c r="HHQ38" i="3"/>
  <c r="HHS38" i="3" s="1"/>
  <c r="HHI38" i="3"/>
  <c r="HHK38" i="3" s="1"/>
  <c r="HHA38" i="3"/>
  <c r="HHC38" i="3" s="1"/>
  <c r="HGS38" i="3"/>
  <c r="HGU38" i="3" s="1"/>
  <c r="HGK38" i="3"/>
  <c r="HGM38" i="3" s="1"/>
  <c r="HGC38" i="3"/>
  <c r="HGE38" i="3" s="1"/>
  <c r="HFU38" i="3"/>
  <c r="HFW38" i="3" s="1"/>
  <c r="HFM38" i="3"/>
  <c r="HFO38" i="3" s="1"/>
  <c r="HFE38" i="3"/>
  <c r="HFG38" i="3" s="1"/>
  <c r="HEW38" i="3"/>
  <c r="HEY38" i="3" s="1"/>
  <c r="HEQ38" i="3"/>
  <c r="HEO38" i="3"/>
  <c r="HEG38" i="3"/>
  <c r="HEI38" i="3" s="1"/>
  <c r="HDY38" i="3"/>
  <c r="HEA38" i="3" s="1"/>
  <c r="HDQ38" i="3"/>
  <c r="HDS38" i="3" s="1"/>
  <c r="HDI38" i="3"/>
  <c r="HDK38" i="3" s="1"/>
  <c r="HDA38" i="3"/>
  <c r="HDC38" i="3" s="1"/>
  <c r="HCS38" i="3"/>
  <c r="HCU38" i="3" s="1"/>
  <c r="HCK38" i="3"/>
  <c r="HCM38" i="3" s="1"/>
  <c r="HCC38" i="3"/>
  <c r="HCE38" i="3" s="1"/>
  <c r="HBU38" i="3"/>
  <c r="HBW38" i="3" s="1"/>
  <c r="HBM38" i="3"/>
  <c r="HBO38" i="3" s="1"/>
  <c r="HBE38" i="3"/>
  <c r="HBG38" i="3" s="1"/>
  <c r="HAW38" i="3"/>
  <c r="HAY38" i="3" s="1"/>
  <c r="HAQ38" i="3"/>
  <c r="HAO38" i="3"/>
  <c r="HAG38" i="3"/>
  <c r="HAI38" i="3" s="1"/>
  <c r="HAA38" i="3"/>
  <c r="GZY38" i="3"/>
  <c r="GZS38" i="3"/>
  <c r="GZQ38" i="3"/>
  <c r="GZI38" i="3"/>
  <c r="GZK38" i="3" s="1"/>
  <c r="GZA38" i="3"/>
  <c r="GZC38" i="3" s="1"/>
  <c r="GYS38" i="3"/>
  <c r="GYU38" i="3" s="1"/>
  <c r="GYK38" i="3"/>
  <c r="GYM38" i="3" s="1"/>
  <c r="GYE38" i="3"/>
  <c r="GYC38" i="3"/>
  <c r="GXU38" i="3"/>
  <c r="GXW38" i="3" s="1"/>
  <c r="GXM38" i="3"/>
  <c r="GXO38" i="3" s="1"/>
  <c r="GXG38" i="3"/>
  <c r="GXE38" i="3"/>
  <c r="GWY38" i="3"/>
  <c r="GWW38" i="3"/>
  <c r="GWO38" i="3"/>
  <c r="GWQ38" i="3" s="1"/>
  <c r="GWG38" i="3"/>
  <c r="GWI38" i="3" s="1"/>
  <c r="GVY38" i="3"/>
  <c r="GWA38" i="3" s="1"/>
  <c r="GVS38" i="3"/>
  <c r="GVQ38" i="3"/>
  <c r="GVI38" i="3"/>
  <c r="GVK38" i="3" s="1"/>
  <c r="GVA38" i="3"/>
  <c r="GVC38" i="3" s="1"/>
  <c r="GUS38" i="3"/>
  <c r="GUU38" i="3" s="1"/>
  <c r="GUK38" i="3"/>
  <c r="GUM38" i="3" s="1"/>
  <c r="GUC38" i="3"/>
  <c r="GUE38" i="3" s="1"/>
  <c r="GTU38" i="3"/>
  <c r="GTW38" i="3" s="1"/>
  <c r="GTM38" i="3"/>
  <c r="GTO38" i="3" s="1"/>
  <c r="GTE38" i="3"/>
  <c r="GTG38" i="3" s="1"/>
  <c r="GSW38" i="3"/>
  <c r="GSY38" i="3" s="1"/>
  <c r="GSO38" i="3"/>
  <c r="GSQ38" i="3" s="1"/>
  <c r="GSG38" i="3"/>
  <c r="GSI38" i="3" s="1"/>
  <c r="GRY38" i="3"/>
  <c r="GSA38" i="3" s="1"/>
  <c r="GRS38" i="3"/>
  <c r="GRQ38" i="3"/>
  <c r="GRI38" i="3"/>
  <c r="GRK38" i="3" s="1"/>
  <c r="GRA38" i="3"/>
  <c r="GRC38" i="3" s="1"/>
  <c r="GQS38" i="3"/>
  <c r="GQU38" i="3" s="1"/>
  <c r="GQK38" i="3"/>
  <c r="GQM38" i="3" s="1"/>
  <c r="GQC38" i="3"/>
  <c r="GQE38" i="3" s="1"/>
  <c r="GPU38" i="3"/>
  <c r="GPW38" i="3" s="1"/>
  <c r="GPM38" i="3"/>
  <c r="GPO38" i="3" s="1"/>
  <c r="GPE38" i="3"/>
  <c r="GPG38" i="3" s="1"/>
  <c r="GOY38" i="3"/>
  <c r="GOW38" i="3"/>
  <c r="GOO38" i="3"/>
  <c r="GOQ38" i="3" s="1"/>
  <c r="GOI38" i="3"/>
  <c r="GOG38" i="3"/>
  <c r="GNY38" i="3"/>
  <c r="GOA38" i="3" s="1"/>
  <c r="GNQ38" i="3"/>
  <c r="GNS38" i="3" s="1"/>
  <c r="GNI38" i="3"/>
  <c r="GNK38" i="3" s="1"/>
  <c r="GNA38" i="3"/>
  <c r="GNC38" i="3" s="1"/>
  <c r="GMS38" i="3"/>
  <c r="GMU38" i="3" s="1"/>
  <c r="GMK38" i="3"/>
  <c r="GMM38" i="3" s="1"/>
  <c r="GME38" i="3"/>
  <c r="GMC38" i="3"/>
  <c r="GLU38" i="3"/>
  <c r="GLW38" i="3" s="1"/>
  <c r="GLM38" i="3"/>
  <c r="GLO38" i="3" s="1"/>
  <c r="GLE38" i="3"/>
  <c r="GLG38" i="3" s="1"/>
  <c r="GKW38" i="3"/>
  <c r="GKY38" i="3" s="1"/>
  <c r="GKQ38" i="3"/>
  <c r="GKO38" i="3"/>
  <c r="GKG38" i="3"/>
  <c r="GKI38" i="3" s="1"/>
  <c r="GKA38" i="3"/>
  <c r="GJY38" i="3"/>
  <c r="GJQ38" i="3"/>
  <c r="GJS38" i="3" s="1"/>
  <c r="GJK38" i="3"/>
  <c r="GJI38" i="3"/>
  <c r="GJA38" i="3"/>
  <c r="GJC38" i="3" s="1"/>
  <c r="GIS38" i="3"/>
  <c r="GIU38" i="3" s="1"/>
  <c r="GIK38" i="3"/>
  <c r="GIM38" i="3" s="1"/>
  <c r="GIC38" i="3"/>
  <c r="GIE38" i="3" s="1"/>
  <c r="GHU38" i="3"/>
  <c r="GHW38" i="3" s="1"/>
  <c r="GHM38" i="3"/>
  <c r="GHO38" i="3" s="1"/>
  <c r="GHE38" i="3"/>
  <c r="GHG38" i="3" s="1"/>
  <c r="GGW38" i="3"/>
  <c r="GGY38" i="3" s="1"/>
  <c r="GGQ38" i="3"/>
  <c r="GGO38" i="3"/>
  <c r="GGG38" i="3"/>
  <c r="GGI38" i="3" s="1"/>
  <c r="GFY38" i="3"/>
  <c r="GGA38" i="3" s="1"/>
  <c r="GFQ38" i="3"/>
  <c r="GFS38" i="3" s="1"/>
  <c r="GFI38" i="3"/>
  <c r="GFK38" i="3" s="1"/>
  <c r="GFA38" i="3"/>
  <c r="GFC38" i="3" s="1"/>
  <c r="GEU38" i="3"/>
  <c r="GES38" i="3"/>
  <c r="GEK38" i="3"/>
  <c r="GEM38" i="3" s="1"/>
  <c r="GEC38" i="3"/>
  <c r="GEE38" i="3" s="1"/>
  <c r="GDU38" i="3"/>
  <c r="GDW38" i="3" s="1"/>
  <c r="GDM38" i="3"/>
  <c r="GDO38" i="3" s="1"/>
  <c r="GDE38" i="3"/>
  <c r="GDG38" i="3" s="1"/>
  <c r="GCW38" i="3"/>
  <c r="GCY38" i="3" s="1"/>
  <c r="GCO38" i="3"/>
  <c r="GCQ38" i="3" s="1"/>
  <c r="GCG38" i="3"/>
  <c r="GCI38" i="3" s="1"/>
  <c r="GBY38" i="3"/>
  <c r="GCA38" i="3" s="1"/>
  <c r="GBS38" i="3"/>
  <c r="GBQ38" i="3"/>
  <c r="GBI38" i="3"/>
  <c r="GBK38" i="3" s="1"/>
  <c r="GBA38" i="3"/>
  <c r="GBC38" i="3" s="1"/>
  <c r="GAS38" i="3"/>
  <c r="GAU38" i="3" s="1"/>
  <c r="GAK38" i="3"/>
  <c r="GAM38" i="3" s="1"/>
  <c r="GAC38" i="3"/>
  <c r="GAE38" i="3" s="1"/>
  <c r="FZU38" i="3"/>
  <c r="FZW38" i="3" s="1"/>
  <c r="FZM38" i="3"/>
  <c r="FZO38" i="3" s="1"/>
  <c r="FZG38" i="3"/>
  <c r="FZE38" i="3"/>
  <c r="FYW38" i="3"/>
  <c r="FYY38" i="3" s="1"/>
  <c r="FYO38" i="3"/>
  <c r="FYQ38" i="3" s="1"/>
  <c r="FYG38" i="3"/>
  <c r="FYI38" i="3" s="1"/>
  <c r="FXY38" i="3"/>
  <c r="FYA38" i="3" s="1"/>
  <c r="FXQ38" i="3"/>
  <c r="FXS38" i="3" s="1"/>
  <c r="FXI38" i="3"/>
  <c r="FXK38" i="3" s="1"/>
  <c r="FXA38" i="3"/>
  <c r="FXC38" i="3" s="1"/>
  <c r="FWS38" i="3"/>
  <c r="FWU38" i="3" s="1"/>
  <c r="FWK38" i="3"/>
  <c r="FWM38" i="3" s="1"/>
  <c r="FWC38" i="3"/>
  <c r="FWE38" i="3" s="1"/>
  <c r="FVW38" i="3"/>
  <c r="FVU38" i="3"/>
  <c r="FVM38" i="3"/>
  <c r="FVO38" i="3" s="1"/>
  <c r="FVE38" i="3"/>
  <c r="FVG38" i="3" s="1"/>
  <c r="FUW38" i="3"/>
  <c r="FUY38" i="3" s="1"/>
  <c r="FUQ38" i="3"/>
  <c r="FUO38" i="3"/>
  <c r="FUG38" i="3"/>
  <c r="FUI38" i="3" s="1"/>
  <c r="FTY38" i="3"/>
  <c r="FUA38" i="3" s="1"/>
  <c r="FTS38" i="3"/>
  <c r="FTQ38" i="3"/>
  <c r="FTI38" i="3"/>
  <c r="FTK38" i="3" s="1"/>
  <c r="FTA38" i="3"/>
  <c r="FTC38" i="3" s="1"/>
  <c r="FSU38" i="3"/>
  <c r="FSS38" i="3"/>
  <c r="FSK38" i="3"/>
  <c r="FSM38" i="3" s="1"/>
  <c r="FSC38" i="3"/>
  <c r="FSE38" i="3" s="1"/>
  <c r="FRU38" i="3"/>
  <c r="FRW38" i="3" s="1"/>
  <c r="FRM38" i="3"/>
  <c r="FRO38" i="3" s="1"/>
  <c r="FRG38" i="3"/>
  <c r="FRE38" i="3"/>
  <c r="FQW38" i="3"/>
  <c r="FQY38" i="3" s="1"/>
  <c r="FQQ38" i="3"/>
  <c r="FQO38" i="3"/>
  <c r="FQG38" i="3"/>
  <c r="FQI38" i="3" s="1"/>
  <c r="FPY38" i="3"/>
  <c r="FQA38" i="3" s="1"/>
  <c r="FPQ38" i="3"/>
  <c r="FPS38" i="3" s="1"/>
  <c r="FPI38" i="3"/>
  <c r="FPK38" i="3" s="1"/>
  <c r="FPA38" i="3"/>
  <c r="FPC38" i="3" s="1"/>
  <c r="FOU38" i="3"/>
  <c r="FOS38" i="3"/>
  <c r="FOK38" i="3"/>
  <c r="FOM38" i="3" s="1"/>
  <c r="FOC38" i="3"/>
  <c r="FOE38" i="3" s="1"/>
  <c r="FNU38" i="3"/>
  <c r="FNW38" i="3" s="1"/>
  <c r="FNM38" i="3"/>
  <c r="FNO38" i="3" s="1"/>
  <c r="FNE38" i="3"/>
  <c r="FNG38" i="3" s="1"/>
  <c r="FMW38" i="3"/>
  <c r="FMY38" i="3" s="1"/>
  <c r="FMQ38" i="3"/>
  <c r="FMO38" i="3"/>
  <c r="FMI38" i="3"/>
  <c r="FMG38" i="3"/>
  <c r="FLY38" i="3"/>
  <c r="FMA38" i="3" s="1"/>
  <c r="FLQ38" i="3"/>
  <c r="FLS38" i="3" s="1"/>
  <c r="FLI38" i="3"/>
  <c r="FLK38" i="3" s="1"/>
  <c r="FLA38" i="3"/>
  <c r="FLC38" i="3" s="1"/>
  <c r="FKU38" i="3"/>
  <c r="FKS38" i="3"/>
  <c r="FKK38" i="3"/>
  <c r="FKM38" i="3" s="1"/>
  <c r="FKC38" i="3"/>
  <c r="FKE38" i="3" s="1"/>
  <c r="FJU38" i="3"/>
  <c r="FJW38" i="3" s="1"/>
  <c r="FJM38" i="3"/>
  <c r="FJO38" i="3" s="1"/>
  <c r="FJE38" i="3"/>
  <c r="FJG38" i="3" s="1"/>
  <c r="FIW38" i="3"/>
  <c r="FIY38" i="3" s="1"/>
  <c r="FIQ38" i="3"/>
  <c r="FIO38" i="3"/>
  <c r="FIG38" i="3"/>
  <c r="FII38" i="3" s="1"/>
  <c r="FIA38" i="3"/>
  <c r="FHY38" i="3"/>
  <c r="FHQ38" i="3"/>
  <c r="FHS38" i="3" s="1"/>
  <c r="FHI38" i="3"/>
  <c r="FHK38" i="3" s="1"/>
  <c r="FHA38" i="3"/>
  <c r="FHC38" i="3" s="1"/>
  <c r="FGU38" i="3"/>
  <c r="FGS38" i="3"/>
  <c r="FGK38" i="3"/>
  <c r="FGM38" i="3" s="1"/>
  <c r="FGE38" i="3"/>
  <c r="FGC38" i="3"/>
  <c r="FFU38" i="3"/>
  <c r="FFW38" i="3" s="1"/>
  <c r="FFM38" i="3"/>
  <c r="FFO38" i="3" s="1"/>
  <c r="FFE38" i="3"/>
  <c r="FFG38" i="3" s="1"/>
  <c r="FEW38" i="3"/>
  <c r="FEY38" i="3" s="1"/>
  <c r="FEO38" i="3"/>
  <c r="FEQ38" i="3" s="1"/>
  <c r="FEI38" i="3"/>
  <c r="FEG38" i="3"/>
  <c r="FEA38" i="3"/>
  <c r="FDY38" i="3"/>
  <c r="FDQ38" i="3"/>
  <c r="FDS38" i="3" s="1"/>
  <c r="FDI38" i="3"/>
  <c r="FDK38" i="3" s="1"/>
  <c r="FDA38" i="3"/>
  <c r="FDC38" i="3" s="1"/>
  <c r="FCS38" i="3"/>
  <c r="FCU38" i="3" s="1"/>
  <c r="FCK38" i="3"/>
  <c r="FCM38" i="3" s="1"/>
  <c r="FCE38" i="3"/>
  <c r="FCC38" i="3"/>
  <c r="FBW38" i="3"/>
  <c r="FBU38" i="3"/>
  <c r="FBM38" i="3"/>
  <c r="FBO38" i="3" s="1"/>
  <c r="FBE38" i="3"/>
  <c r="FBG38" i="3" s="1"/>
  <c r="FAW38" i="3"/>
  <c r="FAY38" i="3" s="1"/>
  <c r="FAO38" i="3"/>
  <c r="FAQ38" i="3" s="1"/>
  <c r="FAI38" i="3"/>
  <c r="FAG38" i="3"/>
  <c r="FAA38" i="3"/>
  <c r="EZY38" i="3"/>
  <c r="EZS38" i="3"/>
  <c r="EZQ38" i="3"/>
  <c r="EZI38" i="3"/>
  <c r="EZK38" i="3" s="1"/>
  <c r="EZA38" i="3"/>
  <c r="EZC38" i="3" s="1"/>
  <c r="EYS38" i="3"/>
  <c r="EYU38" i="3" s="1"/>
  <c r="EYM38" i="3"/>
  <c r="EYK38" i="3"/>
  <c r="EYC38" i="3"/>
  <c r="EYE38" i="3" s="1"/>
  <c r="EXW38" i="3"/>
  <c r="EXU38" i="3"/>
  <c r="EXM38" i="3"/>
  <c r="EXO38" i="3" s="1"/>
  <c r="EXE38" i="3"/>
  <c r="EXG38" i="3" s="1"/>
  <c r="EWW38" i="3"/>
  <c r="EWY38" i="3" s="1"/>
  <c r="EWO38" i="3"/>
  <c r="EWQ38" i="3" s="1"/>
  <c r="EWG38" i="3"/>
  <c r="EWI38" i="3" s="1"/>
  <c r="EWA38" i="3"/>
  <c r="EVY38" i="3"/>
  <c r="EVQ38" i="3"/>
  <c r="EVS38" i="3" s="1"/>
  <c r="EVI38" i="3"/>
  <c r="EVK38" i="3" s="1"/>
  <c r="EVC38" i="3"/>
  <c r="EVA38" i="3"/>
  <c r="EUS38" i="3"/>
  <c r="EUU38" i="3" s="1"/>
  <c r="EUK38" i="3"/>
  <c r="EUM38" i="3" s="1"/>
  <c r="EUC38" i="3"/>
  <c r="EUE38" i="3" s="1"/>
  <c r="ETU38" i="3"/>
  <c r="ETW38" i="3" s="1"/>
  <c r="ETM38" i="3"/>
  <c r="ETO38" i="3" s="1"/>
  <c r="ETG38" i="3"/>
  <c r="ETE38" i="3"/>
  <c r="ESY38" i="3"/>
  <c r="ESW38" i="3"/>
  <c r="ESO38" i="3"/>
  <c r="ESQ38" i="3" s="1"/>
  <c r="ESG38" i="3"/>
  <c r="ESI38" i="3" s="1"/>
  <c r="ERY38" i="3"/>
  <c r="ESA38" i="3" s="1"/>
  <c r="ERQ38" i="3"/>
  <c r="ERS38" i="3" s="1"/>
  <c r="ERI38" i="3"/>
  <c r="ERK38" i="3" s="1"/>
  <c r="ERC38" i="3"/>
  <c r="ERA38" i="3"/>
  <c r="EQU38" i="3"/>
  <c r="EQS38" i="3"/>
  <c r="EQK38" i="3"/>
  <c r="EQM38" i="3" s="1"/>
  <c r="EQC38" i="3"/>
  <c r="EQE38" i="3" s="1"/>
  <c r="EPU38" i="3"/>
  <c r="EPW38" i="3" s="1"/>
  <c r="EPM38" i="3"/>
  <c r="EPO38" i="3" s="1"/>
  <c r="EPE38" i="3"/>
  <c r="EPG38" i="3" s="1"/>
  <c r="EOY38" i="3"/>
  <c r="EOW38" i="3"/>
  <c r="EOQ38" i="3"/>
  <c r="EOO38" i="3"/>
  <c r="EOG38" i="3"/>
  <c r="EOI38" i="3" s="1"/>
  <c r="ENY38" i="3"/>
  <c r="EOA38" i="3" s="1"/>
  <c r="ENQ38" i="3"/>
  <c r="ENS38" i="3" s="1"/>
  <c r="ENI38" i="3"/>
  <c r="ENK38" i="3" s="1"/>
  <c r="ENA38" i="3"/>
  <c r="ENC38" i="3" s="1"/>
  <c r="EMU38" i="3"/>
  <c r="EMS38" i="3"/>
  <c r="EMK38" i="3"/>
  <c r="EMM38" i="3" s="1"/>
  <c r="EMC38" i="3"/>
  <c r="EME38" i="3" s="1"/>
  <c r="ELU38" i="3"/>
  <c r="ELW38" i="3" s="1"/>
  <c r="ELM38" i="3"/>
  <c r="ELO38" i="3" s="1"/>
  <c r="ELE38" i="3"/>
  <c r="ELG38" i="3" s="1"/>
  <c r="EKW38" i="3"/>
  <c r="EKY38" i="3" s="1"/>
  <c r="EKO38" i="3"/>
  <c r="EKQ38" i="3" s="1"/>
  <c r="EKG38" i="3"/>
  <c r="EKI38" i="3" s="1"/>
  <c r="EKA38" i="3"/>
  <c r="EJY38" i="3"/>
  <c r="EJQ38" i="3"/>
  <c r="EJS38" i="3" s="1"/>
  <c r="EJI38" i="3"/>
  <c r="EJK38" i="3" s="1"/>
  <c r="EJA38" i="3"/>
  <c r="EJC38" i="3" s="1"/>
  <c r="EIS38" i="3"/>
  <c r="EIU38" i="3" s="1"/>
  <c r="EIK38" i="3"/>
  <c r="EIM38" i="3" s="1"/>
  <c r="EIE38" i="3"/>
  <c r="EIC38" i="3"/>
  <c r="EHW38" i="3"/>
  <c r="EHU38" i="3"/>
  <c r="EHM38" i="3"/>
  <c r="EHO38" i="3" s="1"/>
  <c r="EHE38" i="3"/>
  <c r="EHG38" i="3" s="1"/>
  <c r="EGW38" i="3"/>
  <c r="EGY38" i="3" s="1"/>
  <c r="EGO38" i="3"/>
  <c r="EGQ38" i="3" s="1"/>
  <c r="EGG38" i="3"/>
  <c r="EGI38" i="3" s="1"/>
  <c r="EGA38" i="3"/>
  <c r="EFY38" i="3"/>
  <c r="EFS38" i="3"/>
  <c r="EFQ38" i="3"/>
  <c r="EFI38" i="3"/>
  <c r="EFK38" i="3" s="1"/>
  <c r="EFA38" i="3"/>
  <c r="EFC38" i="3" s="1"/>
  <c r="EES38" i="3"/>
  <c r="EEU38" i="3" s="1"/>
  <c r="EEK38" i="3"/>
  <c r="EEM38" i="3" s="1"/>
  <c r="EEC38" i="3"/>
  <c r="EEE38" i="3" s="1"/>
  <c r="EDW38" i="3"/>
  <c r="EDU38" i="3"/>
  <c r="EDO38" i="3"/>
  <c r="EDM38" i="3"/>
  <c r="EDE38" i="3"/>
  <c r="EDG38" i="3" s="1"/>
  <c r="ECW38" i="3"/>
  <c r="ECY38" i="3" s="1"/>
  <c r="ECO38" i="3"/>
  <c r="ECQ38" i="3" s="1"/>
  <c r="ECG38" i="3"/>
  <c r="ECI38" i="3" s="1"/>
  <c r="EBY38" i="3"/>
  <c r="ECA38" i="3" s="1"/>
  <c r="EBS38" i="3"/>
  <c r="EBQ38" i="3"/>
  <c r="EBI38" i="3"/>
  <c r="EBK38" i="3" s="1"/>
  <c r="EBA38" i="3"/>
  <c r="EBC38" i="3" s="1"/>
  <c r="EAS38" i="3"/>
  <c r="EAU38" i="3" s="1"/>
  <c r="EAK38" i="3"/>
  <c r="EAM38" i="3" s="1"/>
  <c r="EAC38" i="3"/>
  <c r="EAE38" i="3" s="1"/>
  <c r="DZU38" i="3"/>
  <c r="DZW38" i="3" s="1"/>
  <c r="DZM38" i="3"/>
  <c r="DZO38" i="3" s="1"/>
  <c r="DZE38" i="3"/>
  <c r="DZG38" i="3" s="1"/>
  <c r="DYY38" i="3"/>
  <c r="DYW38" i="3"/>
  <c r="DYO38" i="3"/>
  <c r="DYQ38" i="3" s="1"/>
  <c r="DYG38" i="3"/>
  <c r="DYI38" i="3" s="1"/>
  <c r="DXY38" i="3"/>
  <c r="DYA38" i="3" s="1"/>
  <c r="DXQ38" i="3"/>
  <c r="DXS38" i="3" s="1"/>
  <c r="DXI38" i="3"/>
  <c r="DXK38" i="3" s="1"/>
  <c r="DXC38" i="3"/>
  <c r="DXA38" i="3"/>
  <c r="DWU38" i="3"/>
  <c r="DWS38" i="3"/>
  <c r="DWK38" i="3"/>
  <c r="DWM38" i="3" s="1"/>
  <c r="DWC38" i="3"/>
  <c r="DWE38" i="3" s="1"/>
  <c r="DVU38" i="3"/>
  <c r="DVW38" i="3" s="1"/>
  <c r="DVM38" i="3"/>
  <c r="DVO38" i="3" s="1"/>
  <c r="DVE38" i="3"/>
  <c r="DVG38" i="3" s="1"/>
  <c r="DUY38" i="3"/>
  <c r="DUW38" i="3"/>
  <c r="DUQ38" i="3"/>
  <c r="DUO38" i="3"/>
  <c r="DUG38" i="3"/>
  <c r="DUI38" i="3" s="1"/>
  <c r="DTY38" i="3"/>
  <c r="DUA38" i="3" s="1"/>
  <c r="DTQ38" i="3"/>
  <c r="DTS38" i="3" s="1"/>
  <c r="DTI38" i="3"/>
  <c r="DTK38" i="3" s="1"/>
  <c r="DTC38" i="3"/>
  <c r="DTA38" i="3"/>
  <c r="DSU38" i="3"/>
  <c r="DSS38" i="3"/>
  <c r="DSM38" i="3"/>
  <c r="DSK38" i="3"/>
  <c r="DSC38" i="3"/>
  <c r="DSE38" i="3" s="1"/>
  <c r="DRU38" i="3"/>
  <c r="DRW38" i="3" s="1"/>
  <c r="DRM38" i="3"/>
  <c r="DRO38" i="3" s="1"/>
  <c r="DRG38" i="3"/>
  <c r="DRE38" i="3"/>
  <c r="DQW38" i="3"/>
  <c r="DQY38" i="3" s="1"/>
  <c r="DQQ38" i="3"/>
  <c r="DQO38" i="3"/>
  <c r="DQG38" i="3"/>
  <c r="DQI38" i="3" s="1"/>
  <c r="DPY38" i="3"/>
  <c r="DQA38" i="3" s="1"/>
  <c r="DPQ38" i="3"/>
  <c r="DPS38" i="3" s="1"/>
  <c r="DPI38" i="3"/>
  <c r="DPK38" i="3" s="1"/>
  <c r="DPA38" i="3"/>
  <c r="DPC38" i="3" s="1"/>
  <c r="DOU38" i="3"/>
  <c r="DOS38" i="3"/>
  <c r="DOK38" i="3"/>
  <c r="DOM38" i="3" s="1"/>
  <c r="DOC38" i="3"/>
  <c r="DOE38" i="3" s="1"/>
  <c r="DNW38" i="3"/>
  <c r="DNU38" i="3"/>
  <c r="DNM38" i="3"/>
  <c r="DNO38" i="3" s="1"/>
  <c r="DNE38" i="3"/>
  <c r="DNG38" i="3" s="1"/>
  <c r="DMW38" i="3"/>
  <c r="DMY38" i="3" s="1"/>
  <c r="DMO38" i="3"/>
  <c r="DMQ38" i="3" s="1"/>
  <c r="DMG38" i="3"/>
  <c r="DMI38" i="3" s="1"/>
  <c r="DMA38" i="3"/>
  <c r="DLY38" i="3"/>
  <c r="DLS38" i="3"/>
  <c r="DLQ38" i="3"/>
  <c r="DLI38" i="3"/>
  <c r="DLK38" i="3" s="1"/>
  <c r="DLA38" i="3"/>
  <c r="DLC38" i="3" s="1"/>
  <c r="DKS38" i="3"/>
  <c r="DKU38" i="3" s="1"/>
  <c r="DKK38" i="3"/>
  <c r="DKM38" i="3" s="1"/>
  <c r="DKC38" i="3"/>
  <c r="DKE38" i="3" s="1"/>
  <c r="DJW38" i="3"/>
  <c r="DJU38" i="3"/>
  <c r="DJO38" i="3"/>
  <c r="DJM38" i="3"/>
  <c r="DJE38" i="3"/>
  <c r="DJG38" i="3" s="1"/>
  <c r="DIW38" i="3"/>
  <c r="DIY38" i="3" s="1"/>
  <c r="DIO38" i="3"/>
  <c r="DIQ38" i="3" s="1"/>
  <c r="DIG38" i="3"/>
  <c r="DII38" i="3" s="1"/>
  <c r="DHY38" i="3"/>
  <c r="DIA38" i="3" s="1"/>
  <c r="DHS38" i="3"/>
  <c r="DHQ38" i="3"/>
  <c r="DHK38" i="3"/>
  <c r="DHI38" i="3"/>
  <c r="DHA38" i="3"/>
  <c r="DHC38" i="3" s="1"/>
  <c r="DGS38" i="3"/>
  <c r="DGU38" i="3" s="1"/>
  <c r="DGK38" i="3"/>
  <c r="DGM38" i="3" s="1"/>
  <c r="DGC38" i="3"/>
  <c r="DGE38" i="3" s="1"/>
  <c r="DFU38" i="3"/>
  <c r="DFW38" i="3" s="1"/>
  <c r="DFO38" i="3"/>
  <c r="DFM38" i="3"/>
  <c r="DFE38" i="3"/>
  <c r="DFG38" i="3" s="1"/>
  <c r="DEW38" i="3"/>
  <c r="DEY38" i="3" s="1"/>
  <c r="DEO38" i="3"/>
  <c r="DEQ38" i="3" s="1"/>
  <c r="DEG38" i="3"/>
  <c r="DEI38" i="3" s="1"/>
  <c r="DDY38" i="3"/>
  <c r="DEA38" i="3" s="1"/>
  <c r="DDQ38" i="3"/>
  <c r="DDS38" i="3" s="1"/>
  <c r="DDI38" i="3"/>
  <c r="DDK38" i="3" s="1"/>
  <c r="DDA38" i="3"/>
  <c r="DDC38" i="3" s="1"/>
  <c r="DCU38" i="3"/>
  <c r="DCS38" i="3"/>
  <c r="DCK38" i="3"/>
  <c r="DCM38" i="3" s="1"/>
  <c r="DCC38" i="3"/>
  <c r="DCE38" i="3" s="1"/>
  <c r="DBU38" i="3"/>
  <c r="DBW38" i="3" s="1"/>
  <c r="DBM38" i="3"/>
  <c r="DBO38" i="3" s="1"/>
  <c r="DBE38" i="3"/>
  <c r="DBG38" i="3" s="1"/>
  <c r="DAY38" i="3"/>
  <c r="DAW38" i="3"/>
  <c r="DAQ38" i="3"/>
  <c r="DAO38" i="3"/>
  <c r="DAG38" i="3"/>
  <c r="DAI38" i="3" s="1"/>
  <c r="CZY38" i="3"/>
  <c r="DAA38" i="3" s="1"/>
  <c r="CZQ38" i="3"/>
  <c r="CZS38" i="3" s="1"/>
  <c r="CZI38" i="3"/>
  <c r="CZK38" i="3" s="1"/>
  <c r="CZA38" i="3"/>
  <c r="CZC38" i="3" s="1"/>
  <c r="CYU38" i="3"/>
  <c r="CYS38" i="3"/>
  <c r="CYM38" i="3"/>
  <c r="CYK38" i="3"/>
  <c r="CYC38" i="3"/>
  <c r="CYE38" i="3" s="1"/>
  <c r="CXU38" i="3"/>
  <c r="CXW38" i="3" s="1"/>
  <c r="CXM38" i="3"/>
  <c r="CXO38" i="3" s="1"/>
  <c r="CXE38" i="3"/>
  <c r="CXG38" i="3" s="1"/>
  <c r="CWW38" i="3"/>
  <c r="CWY38" i="3" s="1"/>
  <c r="CWQ38" i="3"/>
  <c r="CWO38" i="3"/>
  <c r="CWI38" i="3"/>
  <c r="CWG38" i="3"/>
  <c r="CVY38" i="3"/>
  <c r="CWA38" i="3" s="1"/>
  <c r="CVQ38" i="3"/>
  <c r="CVS38" i="3" s="1"/>
  <c r="CVI38" i="3"/>
  <c r="CVK38" i="3" s="1"/>
  <c r="CVA38" i="3"/>
  <c r="CVC38" i="3" s="1"/>
  <c r="CUS38" i="3"/>
  <c r="CUU38" i="3" s="1"/>
  <c r="CUM38" i="3"/>
  <c r="CUK38" i="3"/>
  <c r="CUC38" i="3"/>
  <c r="CUE38" i="3" s="1"/>
  <c r="CTU38" i="3"/>
  <c r="CTW38" i="3" s="1"/>
  <c r="CTM38" i="3"/>
  <c r="CTO38" i="3" s="1"/>
  <c r="CTE38" i="3"/>
  <c r="CTG38" i="3" s="1"/>
  <c r="CSW38" i="3"/>
  <c r="CSY38" i="3" s="1"/>
  <c r="CSO38" i="3"/>
  <c r="CSQ38" i="3" s="1"/>
  <c r="CSG38" i="3"/>
  <c r="CSI38" i="3" s="1"/>
  <c r="CRY38" i="3"/>
  <c r="CSA38" i="3" s="1"/>
  <c r="CRS38" i="3"/>
  <c r="CRQ38" i="3"/>
  <c r="CRI38" i="3"/>
  <c r="CRK38" i="3" s="1"/>
  <c r="CRA38" i="3"/>
  <c r="CRC38" i="3" s="1"/>
  <c r="CQS38" i="3"/>
  <c r="CQU38" i="3" s="1"/>
  <c r="CQK38" i="3"/>
  <c r="CQM38" i="3" s="1"/>
  <c r="CQC38" i="3"/>
  <c r="CQE38" i="3" s="1"/>
  <c r="CPW38" i="3"/>
  <c r="CPU38" i="3"/>
  <c r="CPO38" i="3"/>
  <c r="CPM38" i="3"/>
  <c r="CPE38" i="3"/>
  <c r="CPG38" i="3" s="1"/>
  <c r="COW38" i="3"/>
  <c r="COY38" i="3" s="1"/>
  <c r="COO38" i="3"/>
  <c r="COQ38" i="3" s="1"/>
  <c r="COG38" i="3"/>
  <c r="COI38" i="3" s="1"/>
  <c r="CNY38" i="3"/>
  <c r="COA38" i="3" s="1"/>
  <c r="CNS38" i="3"/>
  <c r="CNQ38" i="3"/>
  <c r="CNK38" i="3"/>
  <c r="CNI38" i="3"/>
  <c r="CNA38" i="3"/>
  <c r="CNC38" i="3" s="1"/>
  <c r="CMS38" i="3"/>
  <c r="CMU38" i="3" s="1"/>
  <c r="CMK38" i="3"/>
  <c r="CMM38" i="3" s="1"/>
  <c r="CMC38" i="3"/>
  <c r="CME38" i="3" s="1"/>
  <c r="CLW38" i="3"/>
  <c r="CLU38" i="3"/>
  <c r="CLO38" i="3"/>
  <c r="CLM38" i="3"/>
  <c r="CLG38" i="3"/>
  <c r="CLE38" i="3"/>
  <c r="CKW38" i="3"/>
  <c r="CKY38" i="3" s="1"/>
  <c r="CKO38" i="3"/>
  <c r="CKQ38" i="3" s="1"/>
  <c r="CKG38" i="3"/>
  <c r="CKI38" i="3" s="1"/>
  <c r="CKA38" i="3"/>
  <c r="CJY38" i="3"/>
  <c r="CJQ38" i="3"/>
  <c r="CJS38" i="3" s="1"/>
  <c r="CJK38" i="3"/>
  <c r="CJI38" i="3"/>
  <c r="CJA38" i="3"/>
  <c r="CJC38" i="3" s="1"/>
  <c r="CIS38" i="3"/>
  <c r="CIU38" i="3" s="1"/>
  <c r="CIK38" i="3"/>
  <c r="CIM38" i="3" s="1"/>
  <c r="CIC38" i="3"/>
  <c r="CIE38" i="3" s="1"/>
  <c r="CHU38" i="3"/>
  <c r="CHW38" i="3" s="1"/>
  <c r="CHO38" i="3"/>
  <c r="CHM38" i="3"/>
  <c r="CHE38" i="3"/>
  <c r="CHG38" i="3" s="1"/>
  <c r="CGW38" i="3"/>
  <c r="CGY38" i="3" s="1"/>
  <c r="CGQ38" i="3"/>
  <c r="CGO38" i="3"/>
  <c r="CGG38" i="3"/>
  <c r="CGI38" i="3" s="1"/>
  <c r="CFY38" i="3"/>
  <c r="CGA38" i="3" s="1"/>
  <c r="CFQ38" i="3"/>
  <c r="CFS38" i="3" s="1"/>
  <c r="CFI38" i="3"/>
  <c r="CFK38" i="3" s="1"/>
  <c r="CFA38" i="3"/>
  <c r="CFC38" i="3" s="1"/>
  <c r="CEU38" i="3"/>
  <c r="CES38" i="3"/>
  <c r="CEM38" i="3"/>
  <c r="CEK38" i="3"/>
  <c r="CEC38" i="3"/>
  <c r="CEE38" i="3" s="1"/>
  <c r="CDU38" i="3"/>
  <c r="CDW38" i="3" s="1"/>
  <c r="CDM38" i="3"/>
  <c r="CDO38" i="3" s="1"/>
  <c r="CDE38" i="3"/>
  <c r="CDG38" i="3" s="1"/>
  <c r="CCW38" i="3"/>
  <c r="CCY38" i="3" s="1"/>
  <c r="CCQ38" i="3"/>
  <c r="CCO38" i="3"/>
  <c r="CCI38" i="3"/>
  <c r="CCG38" i="3"/>
  <c r="CBY38" i="3"/>
  <c r="CCA38" i="3" s="1"/>
  <c r="CBQ38" i="3"/>
  <c r="CBS38" i="3" s="1"/>
  <c r="CBI38" i="3"/>
  <c r="CBK38" i="3" s="1"/>
  <c r="CBA38" i="3"/>
  <c r="CBC38" i="3" s="1"/>
  <c r="CAS38" i="3"/>
  <c r="CAU38" i="3" s="1"/>
  <c r="CAM38" i="3"/>
  <c r="CAK38" i="3"/>
  <c r="CAE38" i="3"/>
  <c r="CAC38" i="3"/>
  <c r="BZU38" i="3"/>
  <c r="BZW38" i="3" s="1"/>
  <c r="BZM38" i="3"/>
  <c r="BZO38" i="3" s="1"/>
  <c r="BZE38" i="3"/>
  <c r="BZG38" i="3" s="1"/>
  <c r="BYW38" i="3"/>
  <c r="BYY38" i="3" s="1"/>
  <c r="BYO38" i="3"/>
  <c r="BYQ38" i="3" s="1"/>
  <c r="BYI38" i="3"/>
  <c r="BYG38" i="3"/>
  <c r="BXY38" i="3"/>
  <c r="BYA38" i="3" s="1"/>
  <c r="BXQ38" i="3"/>
  <c r="BXS38" i="3" s="1"/>
  <c r="BXI38" i="3"/>
  <c r="BXK38" i="3" s="1"/>
  <c r="BXA38" i="3"/>
  <c r="BXC38" i="3" s="1"/>
  <c r="BWS38" i="3"/>
  <c r="BWU38" i="3" s="1"/>
  <c r="BWK38" i="3"/>
  <c r="BWM38" i="3" s="1"/>
  <c r="BWC38" i="3"/>
  <c r="BWE38" i="3" s="1"/>
  <c r="BVU38" i="3"/>
  <c r="BVW38" i="3" s="1"/>
  <c r="BVO38" i="3"/>
  <c r="BVM38" i="3"/>
  <c r="BVE38" i="3"/>
  <c r="BVG38" i="3" s="1"/>
  <c r="BUW38" i="3"/>
  <c r="BUY38" i="3" s="1"/>
  <c r="BUO38" i="3"/>
  <c r="BUQ38" i="3" s="1"/>
  <c r="BUG38" i="3"/>
  <c r="BUI38" i="3" s="1"/>
  <c r="BTY38" i="3"/>
  <c r="BUA38" i="3" s="1"/>
  <c r="BTS38" i="3"/>
  <c r="BTQ38" i="3"/>
  <c r="BTK38" i="3"/>
  <c r="BTI38" i="3"/>
  <c r="BTA38" i="3"/>
  <c r="BTC38" i="3" s="1"/>
  <c r="BSS38" i="3"/>
  <c r="BSU38" i="3" s="1"/>
  <c r="BSK38" i="3"/>
  <c r="BSM38" i="3" s="1"/>
  <c r="BSC38" i="3"/>
  <c r="BSE38" i="3" s="1"/>
  <c r="BRU38" i="3"/>
  <c r="BRW38" i="3" s="1"/>
  <c r="BRO38" i="3"/>
  <c r="BRM38" i="3"/>
  <c r="BRG38" i="3"/>
  <c r="BRE38" i="3"/>
  <c r="BQW38" i="3"/>
  <c r="BQY38" i="3" s="1"/>
  <c r="BQO38" i="3"/>
  <c r="BQQ38" i="3" s="1"/>
  <c r="BQG38" i="3"/>
  <c r="BQI38" i="3" s="1"/>
  <c r="BPY38" i="3"/>
  <c r="BQA38" i="3" s="1"/>
  <c r="BPQ38" i="3"/>
  <c r="BPS38" i="3" s="1"/>
  <c r="BPK38" i="3"/>
  <c r="BPI38" i="3"/>
  <c r="BPC38" i="3"/>
  <c r="BPA38" i="3"/>
  <c r="BOS38" i="3"/>
  <c r="BOU38" i="3" s="1"/>
  <c r="BOK38" i="3"/>
  <c r="BOM38" i="3" s="1"/>
  <c r="BOC38" i="3"/>
  <c r="BOE38" i="3" s="1"/>
  <c r="BNU38" i="3"/>
  <c r="BNW38" i="3" s="1"/>
  <c r="BNM38" i="3"/>
  <c r="BNO38" i="3" s="1"/>
  <c r="BNG38" i="3"/>
  <c r="BNE38" i="3"/>
  <c r="BMW38" i="3"/>
  <c r="BMY38" i="3" s="1"/>
  <c r="BMO38" i="3"/>
  <c r="BMQ38" i="3" s="1"/>
  <c r="BMG38" i="3"/>
  <c r="BMI38" i="3" s="1"/>
  <c r="BLY38" i="3"/>
  <c r="BMA38" i="3" s="1"/>
  <c r="BLQ38" i="3"/>
  <c r="BLS38" i="3" s="1"/>
  <c r="BLI38" i="3"/>
  <c r="BLK38" i="3" s="1"/>
  <c r="BLA38" i="3"/>
  <c r="BLC38" i="3" s="1"/>
  <c r="BKS38" i="3"/>
  <c r="BKU38" i="3" s="1"/>
  <c r="BKM38" i="3"/>
  <c r="BKK38" i="3"/>
  <c r="BKC38" i="3"/>
  <c r="BKE38" i="3" s="1"/>
  <c r="BJU38" i="3"/>
  <c r="BJW38" i="3" s="1"/>
  <c r="BJM38" i="3"/>
  <c r="BJO38" i="3" s="1"/>
  <c r="BJE38" i="3"/>
  <c r="BJG38" i="3" s="1"/>
  <c r="BIW38" i="3"/>
  <c r="BIY38" i="3" s="1"/>
  <c r="BIQ38" i="3"/>
  <c r="BIO38" i="3"/>
  <c r="BII38" i="3"/>
  <c r="BIG38" i="3"/>
  <c r="BHY38" i="3"/>
  <c r="BIA38" i="3" s="1"/>
  <c r="BHQ38" i="3"/>
  <c r="BHS38" i="3" s="1"/>
  <c r="BHI38" i="3"/>
  <c r="BHK38" i="3" s="1"/>
  <c r="BHA38" i="3"/>
  <c r="BHC38" i="3" s="1"/>
  <c r="BGS38" i="3"/>
  <c r="BGU38" i="3" s="1"/>
  <c r="BGM38" i="3"/>
  <c r="BGK38" i="3"/>
  <c r="BGE38" i="3"/>
  <c r="BGC38" i="3"/>
  <c r="BFU38" i="3"/>
  <c r="BFW38" i="3" s="1"/>
  <c r="BFM38" i="3"/>
  <c r="BFO38" i="3" s="1"/>
  <c r="BFE38" i="3"/>
  <c r="BFG38" i="3" s="1"/>
  <c r="BEW38" i="3"/>
  <c r="BEY38" i="3" s="1"/>
  <c r="BEQ38" i="3"/>
  <c r="BEO38" i="3"/>
  <c r="BEI38" i="3"/>
  <c r="BEG38" i="3"/>
  <c r="BEA38" i="3"/>
  <c r="BDY38" i="3"/>
  <c r="BDQ38" i="3"/>
  <c r="BDS38" i="3" s="1"/>
  <c r="BDI38" i="3"/>
  <c r="BDK38" i="3" s="1"/>
  <c r="BDA38" i="3"/>
  <c r="BDC38" i="3" s="1"/>
  <c r="BCU38" i="3"/>
  <c r="BCS38" i="3"/>
  <c r="BCK38" i="3"/>
  <c r="BCM38" i="3" s="1"/>
  <c r="BCE38" i="3"/>
  <c r="BCC38" i="3"/>
  <c r="BBU38" i="3"/>
  <c r="BBW38" i="3" s="1"/>
  <c r="BBM38" i="3"/>
  <c r="BBO38" i="3" s="1"/>
  <c r="BBE38" i="3"/>
  <c r="BBG38" i="3" s="1"/>
  <c r="BAW38" i="3"/>
  <c r="BAY38" i="3" s="1"/>
  <c r="BAO38" i="3"/>
  <c r="BAQ38" i="3" s="1"/>
  <c r="BAI38" i="3"/>
  <c r="BAG38" i="3"/>
  <c r="AZY38" i="3"/>
  <c r="BAA38" i="3" s="1"/>
  <c r="AZQ38" i="3"/>
  <c r="AZS38" i="3" s="1"/>
  <c r="AZK38" i="3"/>
  <c r="AZI38" i="3"/>
  <c r="AZA38" i="3"/>
  <c r="AZC38" i="3" s="1"/>
  <c r="AYS38" i="3"/>
  <c r="AYU38" i="3" s="1"/>
  <c r="AYK38" i="3"/>
  <c r="AYM38" i="3" s="1"/>
  <c r="AYC38" i="3"/>
  <c r="AYE38" i="3" s="1"/>
  <c r="AXU38" i="3"/>
  <c r="AXW38" i="3" s="1"/>
  <c r="AXO38" i="3"/>
  <c r="AXM38" i="3"/>
  <c r="AXG38" i="3"/>
  <c r="AXE38" i="3"/>
  <c r="AWW38" i="3"/>
  <c r="AWY38" i="3" s="1"/>
  <c r="AWO38" i="3"/>
  <c r="AWQ38" i="3" s="1"/>
  <c r="AWG38" i="3"/>
  <c r="AWI38" i="3" s="1"/>
  <c r="AVY38" i="3"/>
  <c r="AWA38" i="3" s="1"/>
  <c r="AVQ38" i="3"/>
  <c r="AVS38" i="3" s="1"/>
  <c r="AVK38" i="3"/>
  <c r="AVI38" i="3"/>
  <c r="AVC38" i="3"/>
  <c r="AVA38" i="3"/>
  <c r="AUS38" i="3"/>
  <c r="AUU38" i="3" s="1"/>
  <c r="AUK38" i="3"/>
  <c r="AUM38" i="3" s="1"/>
  <c r="AUC38" i="3"/>
  <c r="AUE38" i="3" s="1"/>
  <c r="ATU38" i="3"/>
  <c r="ATW38" i="3" s="1"/>
  <c r="ATM38" i="3"/>
  <c r="ATO38" i="3" s="1"/>
  <c r="ATG38" i="3"/>
  <c r="ATE38" i="3"/>
  <c r="ASY38" i="3"/>
  <c r="ASW38" i="3"/>
  <c r="ASO38" i="3"/>
  <c r="ASQ38" i="3" s="1"/>
  <c r="ASG38" i="3"/>
  <c r="ASI38" i="3" s="1"/>
  <c r="ARY38" i="3"/>
  <c r="ASA38" i="3" s="1"/>
  <c r="ARQ38" i="3"/>
  <c r="ARS38" i="3" s="1"/>
  <c r="ARI38" i="3"/>
  <c r="ARK38" i="3" s="1"/>
  <c r="ARC38" i="3"/>
  <c r="ARA38" i="3"/>
  <c r="AQS38" i="3"/>
  <c r="AQU38" i="3" s="1"/>
  <c r="AQK38" i="3"/>
  <c r="AQM38" i="3" s="1"/>
  <c r="AQC38" i="3"/>
  <c r="AQE38" i="3" s="1"/>
  <c r="APU38" i="3"/>
  <c r="APW38" i="3" s="1"/>
  <c r="APM38" i="3"/>
  <c r="APO38" i="3" s="1"/>
  <c r="APE38" i="3"/>
  <c r="APG38" i="3" s="1"/>
  <c r="AOW38" i="3"/>
  <c r="AOY38" i="3" s="1"/>
  <c r="AOO38" i="3"/>
  <c r="AOQ38" i="3" s="1"/>
  <c r="AOI38" i="3"/>
  <c r="AOG38" i="3"/>
  <c r="ANY38" i="3"/>
  <c r="AOA38" i="3" s="1"/>
  <c r="ANQ38" i="3"/>
  <c r="ANS38" i="3" s="1"/>
  <c r="ANI38" i="3"/>
  <c r="ANK38" i="3" s="1"/>
  <c r="ANA38" i="3"/>
  <c r="ANC38" i="3" s="1"/>
  <c r="AMS38" i="3"/>
  <c r="AMU38" i="3" s="1"/>
  <c r="AMM38" i="3"/>
  <c r="AMK38" i="3"/>
  <c r="AME38" i="3"/>
  <c r="AMC38" i="3"/>
  <c r="ALU38" i="3"/>
  <c r="ALW38" i="3" s="1"/>
  <c r="ALM38" i="3"/>
  <c r="ALO38" i="3" s="1"/>
  <c r="ALE38" i="3"/>
  <c r="ALG38" i="3" s="1"/>
  <c r="AKW38" i="3"/>
  <c r="AKY38" i="3" s="1"/>
  <c r="AKO38" i="3"/>
  <c r="AKQ38" i="3" s="1"/>
  <c r="AKI38" i="3"/>
  <c r="AKG38" i="3"/>
  <c r="AKA38" i="3"/>
  <c r="AJY38" i="3"/>
  <c r="AJQ38" i="3"/>
  <c r="AJS38" i="3" s="1"/>
  <c r="AJI38" i="3"/>
  <c r="AJK38" i="3" s="1"/>
  <c r="AJA38" i="3"/>
  <c r="AJC38" i="3" s="1"/>
  <c r="AIS38" i="3"/>
  <c r="AIU38" i="3" s="1"/>
  <c r="AIK38" i="3"/>
  <c r="AIM38" i="3" s="1"/>
  <c r="AIE38" i="3"/>
  <c r="AIC38" i="3"/>
  <c r="AHW38" i="3"/>
  <c r="AHU38" i="3"/>
  <c r="AHM38" i="3"/>
  <c r="AHO38" i="3" s="1"/>
  <c r="AHE38" i="3"/>
  <c r="AHG38" i="3" s="1"/>
  <c r="AGW38" i="3"/>
  <c r="AGY38" i="3" s="1"/>
  <c r="AGO38" i="3"/>
  <c r="AGQ38" i="3" s="1"/>
  <c r="AGG38" i="3"/>
  <c r="AGI38" i="3" s="1"/>
  <c r="AGA38" i="3"/>
  <c r="AFY38" i="3"/>
  <c r="AFQ38" i="3"/>
  <c r="AFS38" i="3" s="1"/>
  <c r="AFI38" i="3"/>
  <c r="AFK38" i="3" s="1"/>
  <c r="AFA38" i="3"/>
  <c r="AFC38" i="3" s="1"/>
  <c r="AES38" i="3"/>
  <c r="AEU38" i="3" s="1"/>
  <c r="AEK38" i="3"/>
  <c r="AEM38" i="3" s="1"/>
  <c r="AEC38" i="3"/>
  <c r="AEE38" i="3" s="1"/>
  <c r="ADU38" i="3"/>
  <c r="ADW38" i="3" s="1"/>
  <c r="ADM38" i="3"/>
  <c r="ADO38" i="3" s="1"/>
  <c r="ADG38" i="3"/>
  <c r="ADE38" i="3"/>
  <c r="ACW38" i="3"/>
  <c r="ACY38" i="3" s="1"/>
  <c r="ACO38" i="3"/>
  <c r="ACQ38" i="3" s="1"/>
  <c r="ACG38" i="3"/>
  <c r="ACI38" i="3" s="1"/>
  <c r="ABY38" i="3"/>
  <c r="ACA38" i="3" s="1"/>
  <c r="ABQ38" i="3"/>
  <c r="ABS38" i="3" s="1"/>
  <c r="ABK38" i="3"/>
  <c r="ABI38" i="3"/>
  <c r="ABC38" i="3"/>
  <c r="ABA38" i="3"/>
  <c r="AAS38" i="3"/>
  <c r="AAU38" i="3" s="1"/>
  <c r="AAK38" i="3"/>
  <c r="AAM38" i="3" s="1"/>
  <c r="AAC38" i="3"/>
  <c r="AAE38" i="3" s="1"/>
  <c r="ZU38" i="3"/>
  <c r="ZW38" i="3" s="1"/>
  <c r="ZM38" i="3"/>
  <c r="ZO38" i="3" s="1"/>
  <c r="ZG38" i="3"/>
  <c r="ZE38" i="3"/>
  <c r="YY38" i="3"/>
  <c r="YW38" i="3"/>
  <c r="YO38" i="3"/>
  <c r="YQ38" i="3" s="1"/>
  <c r="YG38" i="3"/>
  <c r="YI38" i="3" s="1"/>
  <c r="XY38" i="3"/>
  <c r="YA38" i="3" s="1"/>
  <c r="XQ38" i="3"/>
  <c r="XS38" i="3" s="1"/>
  <c r="XK38" i="3"/>
  <c r="XI38" i="3"/>
  <c r="XC38" i="3"/>
  <c r="XA38" i="3"/>
  <c r="WU38" i="3"/>
  <c r="WS38" i="3"/>
  <c r="WK38" i="3"/>
  <c r="WM38" i="3" s="1"/>
  <c r="WC38" i="3"/>
  <c r="WE38" i="3" s="1"/>
  <c r="VU38" i="3"/>
  <c r="VW38" i="3" s="1"/>
  <c r="VO38" i="3"/>
  <c r="VM38" i="3"/>
  <c r="VE38" i="3"/>
  <c r="VG38" i="3" s="1"/>
  <c r="UY38" i="3"/>
  <c r="UW38" i="3"/>
  <c r="UO38" i="3"/>
  <c r="UQ38" i="3" s="1"/>
  <c r="UG38" i="3"/>
  <c r="UI38" i="3" s="1"/>
  <c r="TY38" i="3"/>
  <c r="UA38" i="3" s="1"/>
  <c r="TQ38" i="3"/>
  <c r="TS38" i="3" s="1"/>
  <c r="TI38" i="3"/>
  <c r="TK38" i="3" s="1"/>
  <c r="TC38" i="3"/>
  <c r="TA38" i="3"/>
  <c r="SS38" i="3"/>
  <c r="SU38" i="3" s="1"/>
  <c r="SK38" i="3"/>
  <c r="SM38" i="3" s="1"/>
  <c r="SE38" i="3"/>
  <c r="SC38" i="3"/>
  <c r="RU38" i="3"/>
  <c r="RW38" i="3" s="1"/>
  <c r="RM38" i="3"/>
  <c r="RO38" i="3" s="1"/>
  <c r="RE38" i="3"/>
  <c r="RG38" i="3" s="1"/>
  <c r="QW38" i="3"/>
  <c r="QY38" i="3" s="1"/>
  <c r="QO38" i="3"/>
  <c r="QQ38" i="3" s="1"/>
  <c r="QI38" i="3"/>
  <c r="QG38" i="3"/>
  <c r="QA38" i="3"/>
  <c r="PY38" i="3"/>
  <c r="PQ38" i="3"/>
  <c r="PS38" i="3" s="1"/>
  <c r="PI38" i="3"/>
  <c r="PK38" i="3" s="1"/>
  <c r="PA38" i="3"/>
  <c r="PC38" i="3" s="1"/>
  <c r="OS38" i="3"/>
  <c r="OU38" i="3" s="1"/>
  <c r="OK38" i="3"/>
  <c r="OM38" i="3" s="1"/>
  <c r="OE38" i="3"/>
  <c r="OC38" i="3"/>
  <c r="NW38" i="3"/>
  <c r="NU38" i="3"/>
  <c r="NM38" i="3"/>
  <c r="NO38" i="3" s="1"/>
  <c r="NE38" i="3"/>
  <c r="NG38" i="3" s="1"/>
  <c r="MW38" i="3"/>
  <c r="MY38" i="3" s="1"/>
  <c r="MO38" i="3"/>
  <c r="MQ38" i="3" s="1"/>
  <c r="MG38" i="3"/>
  <c r="MI38" i="3" s="1"/>
  <c r="MA38" i="3"/>
  <c r="LY38" i="3"/>
  <c r="LS38" i="3"/>
  <c r="LQ38" i="3"/>
  <c r="LI38" i="3"/>
  <c r="LK38" i="3" s="1"/>
  <c r="LA38" i="3"/>
  <c r="LC38" i="3" s="1"/>
  <c r="KS38" i="3"/>
  <c r="KU38" i="3" s="1"/>
  <c r="KK38" i="3"/>
  <c r="KM38" i="3" s="1"/>
  <c r="KC38" i="3"/>
  <c r="KE38" i="3" s="1"/>
  <c r="JW38" i="3"/>
  <c r="JU38" i="3"/>
  <c r="JM38" i="3"/>
  <c r="JO38" i="3" s="1"/>
  <c r="JE38" i="3"/>
  <c r="JG38" i="3" s="1"/>
  <c r="IW38" i="3"/>
  <c r="IY38" i="3" s="1"/>
  <c r="IO38" i="3"/>
  <c r="IQ38" i="3" s="1"/>
  <c r="IG38" i="3"/>
  <c r="II38" i="3" s="1"/>
  <c r="HY38" i="3"/>
  <c r="IA38" i="3" s="1"/>
  <c r="HQ38" i="3"/>
  <c r="HS38" i="3" s="1"/>
  <c r="HI38" i="3"/>
  <c r="HK38" i="3" s="1"/>
  <c r="HC38" i="3"/>
  <c r="HA38" i="3"/>
  <c r="GS38" i="3"/>
  <c r="GU38" i="3" s="1"/>
  <c r="GK38" i="3"/>
  <c r="GM38" i="3" s="1"/>
  <c r="GC38" i="3"/>
  <c r="GE38" i="3" s="1"/>
  <c r="FU38" i="3"/>
  <c r="FW38" i="3" s="1"/>
  <c r="FM38" i="3"/>
  <c r="FO38" i="3" s="1"/>
  <c r="FG38" i="3"/>
  <c r="FE38" i="3"/>
  <c r="EY38" i="3"/>
  <c r="EW38" i="3"/>
  <c r="EO38" i="3"/>
  <c r="EQ38" i="3" s="1"/>
  <c r="EG38" i="3"/>
  <c r="EI38" i="3" s="1"/>
  <c r="DY38" i="3"/>
  <c r="EA38" i="3" s="1"/>
  <c r="DQ38" i="3"/>
  <c r="DS38" i="3" s="1"/>
  <c r="DI38" i="3"/>
  <c r="DK38" i="3" s="1"/>
  <c r="DC38" i="3"/>
  <c r="DA38" i="3"/>
  <c r="CU38" i="3"/>
  <c r="CS38" i="3"/>
  <c r="CK38" i="3"/>
  <c r="CM38" i="3" s="1"/>
  <c r="CC38" i="3"/>
  <c r="CE38" i="3" s="1"/>
  <c r="BU38" i="3"/>
  <c r="BW38" i="3" s="1"/>
  <c r="BM38" i="3"/>
  <c r="BO38" i="3" s="1"/>
  <c r="BE38" i="3"/>
  <c r="BG38" i="3" s="1"/>
  <c r="AY38" i="3"/>
  <c r="AW38" i="3"/>
  <c r="AQ38" i="3"/>
  <c r="AO38" i="3"/>
  <c r="AG38" i="3"/>
  <c r="AI38" i="3" s="1"/>
  <c r="AA38" i="3"/>
  <c r="F38" i="3"/>
  <c r="H38" i="3" s="1"/>
  <c r="H30" i="3"/>
  <c r="H27" i="3"/>
  <c r="H28" i="3" s="1"/>
  <c r="F24" i="3"/>
  <c r="H24" i="3" s="1"/>
  <c r="H23" i="3"/>
  <c r="F23" i="3"/>
  <c r="F22" i="3"/>
  <c r="H22" i="3" s="1"/>
  <c r="H25" i="3" s="1"/>
  <c r="H15" i="3"/>
  <c r="H16" i="3" s="1"/>
  <c r="H12" i="3"/>
  <c r="F12" i="3"/>
  <c r="F11" i="3"/>
  <c r="H11" i="3" s="1"/>
  <c r="H13" i="3" s="1"/>
  <c r="G18" i="2"/>
  <c r="H18" i="2" s="1"/>
  <c r="H17" i="2" s="1"/>
  <c r="D4" i="2"/>
  <c r="D3" i="2"/>
  <c r="C5" i="5" s="1"/>
  <c r="D2" i="2"/>
  <c r="C4" i="5" s="1"/>
  <c r="R104" i="1"/>
  <c r="L104" i="1"/>
  <c r="F104" i="1"/>
  <c r="R61" i="1"/>
  <c r="R59" i="1"/>
  <c r="C26" i="1"/>
  <c r="H53" i="3" l="1"/>
  <c r="H9" i="3"/>
  <c r="G9" i="2" s="1"/>
  <c r="H9" i="2" s="1"/>
  <c r="H8" i="2" s="1"/>
  <c r="H41" i="3"/>
  <c r="H68" i="3"/>
  <c r="G76" i="3" s="1"/>
  <c r="H76" i="3" s="1"/>
  <c r="H77" i="3" s="1"/>
  <c r="H62" i="3" s="1"/>
  <c r="G14" i="2" s="1"/>
  <c r="H14" i="2" s="1"/>
  <c r="H117" i="3"/>
  <c r="G31" i="3"/>
  <c r="H31" i="3" s="1"/>
  <c r="H32" i="3" s="1"/>
  <c r="H20" i="3" s="1"/>
  <c r="G11" i="2" s="1"/>
  <c r="H11" i="2" s="1"/>
  <c r="G43" i="3"/>
  <c r="H43" i="3" s="1"/>
  <c r="H44" i="3" s="1"/>
  <c r="H36" i="3" s="1"/>
  <c r="G12" i="2" s="1"/>
  <c r="H12" i="2" s="1"/>
  <c r="G57" i="3"/>
  <c r="H57" i="3" s="1"/>
  <c r="H58" i="3"/>
  <c r="H48" i="3" s="1"/>
  <c r="G13" i="2" s="1"/>
  <c r="H13" i="2" s="1"/>
  <c r="G88" i="3"/>
  <c r="H88" i="3" s="1"/>
  <c r="H89" i="3" s="1"/>
  <c r="H81" i="3" s="1"/>
  <c r="G15" i="2" s="1"/>
  <c r="H15" i="2" s="1"/>
  <c r="G100" i="3"/>
  <c r="H100" i="3" s="1"/>
  <c r="H101" i="3" s="1"/>
  <c r="H93" i="3" s="1"/>
  <c r="G16" i="2" s="1"/>
  <c r="H16" i="2" s="1"/>
  <c r="I45" i="5"/>
  <c r="I73" i="5"/>
  <c r="I74" i="5" s="1"/>
  <c r="T33" i="1" s="1"/>
  <c r="H24" i="4"/>
  <c r="G50" i="4" s="1"/>
  <c r="G119" i="3" l="1"/>
  <c r="H119" i="3" s="1"/>
  <c r="H120" i="3" s="1"/>
  <c r="H112" i="3"/>
  <c r="G20" i="2" s="1"/>
  <c r="H20" i="2" s="1"/>
  <c r="H19" i="2" s="1"/>
  <c r="H23" i="2" s="1"/>
  <c r="H10" i="2"/>
  <c r="R26" i="1" l="1"/>
  <c r="T26" i="1" s="1"/>
  <c r="T32" i="1" s="1"/>
  <c r="T34" i="1" s="1"/>
  <c r="T35" i="1" s="1"/>
  <c r="E41" i="1" s="1"/>
  <c r="S33" i="1" l="1"/>
</calcChain>
</file>

<file path=xl/sharedStrings.xml><?xml version="1.0" encoding="utf-8"?>
<sst xmlns="http://schemas.openxmlformats.org/spreadsheetml/2006/main" count="24978" uniqueCount="328">
  <si>
    <t>Presupuesto / Budget Nº</t>
  </si>
  <si>
    <t>PS-XXX-2026 PROMCOSER</t>
  </si>
  <si>
    <t>Fecha / Date:</t>
  </si>
  <si>
    <t>RUC: 20494224314</t>
  </si>
  <si>
    <t>Mza Ñ lote.3 AH Micaela Bastidas- Marcona</t>
  </si>
  <si>
    <t>Teléfono: 056-525092</t>
  </si>
  <si>
    <t>1.- Cliente / customer</t>
  </si>
  <si>
    <t>Nombre / Name:</t>
  </si>
  <si>
    <t>COPREFA CONSTRUCCIONES PRE-FABRICADAS S.R.C. (EPC MARCOBRE)</t>
  </si>
  <si>
    <t>RUC / VAT ID No.:</t>
  </si>
  <si>
    <t>Dirección / Address:</t>
  </si>
  <si>
    <t>MINA JUSTA - CAMPAMENTO JUSTA SUBTERRANEA - ICA</t>
  </si>
  <si>
    <t>Teléf.. Fax:</t>
  </si>
  <si>
    <t>Att.:</t>
  </si>
  <si>
    <t>Proyecto / Project:</t>
  </si>
  <si>
    <t>AMPLIACION CAMPAMENTO JUSTA SUBTERRANEA</t>
  </si>
  <si>
    <t>Obra:</t>
  </si>
  <si>
    <t xml:space="preserve">SUMINISTRO, INSTALACION, PRUEBAS Y PUESTA EN MARCHA - RAMAL CONTRAINCENDIOS HDPE TIE-IN-06 A GCI </t>
  </si>
  <si>
    <t>2.- Alcances y Condiciones / Conditions</t>
  </si>
  <si>
    <t>Suministro, instalacion, pruebas hidrostaticas y puesta en marcha de un ramal de agua contraincendios en tuberia HDPE, desde el Tie-in-06 hasta el Gabinete Contraincendios (GCI) Tipo III, D=90mm, L=33.75 ml, incluyendo el tramo final en tuberia de acero (riser).</t>
  </si>
  <si>
    <t>3.- Precio y Descripción:</t>
  </si>
  <si>
    <t>Ítem</t>
  </si>
  <si>
    <t>Descripción / Descripción</t>
  </si>
  <si>
    <t>Unid</t>
  </si>
  <si>
    <t>Cantidad</t>
  </si>
  <si>
    <t>Precio Unit.</t>
  </si>
  <si>
    <t>Total</t>
  </si>
  <si>
    <t>QTY</t>
  </si>
  <si>
    <t>Unit Price</t>
  </si>
  <si>
    <t>$</t>
  </si>
  <si>
    <t>GLB</t>
  </si>
  <si>
    <t>Total $</t>
  </si>
  <si>
    <t>Son:</t>
  </si>
  <si>
    <t>Gastos Generales</t>
  </si>
  <si>
    <t>Utilidad</t>
  </si>
  <si>
    <t>No incluye IGV</t>
  </si>
  <si>
    <t>Total sin IGV</t>
  </si>
  <si>
    <t>USD</t>
  </si>
  <si>
    <t>4.- Condiciones de Compra / Terms of Purchase</t>
  </si>
  <si>
    <t>Moneda/Currency:</t>
  </si>
  <si>
    <t xml:space="preserve">  Soles [S/.]</t>
  </si>
  <si>
    <t>X</t>
  </si>
  <si>
    <t xml:space="preserve">  Dólares Americanos [USD]</t>
  </si>
  <si>
    <t>Otro:</t>
  </si>
  <si>
    <t>Tipo de Servicio /  Type of Service</t>
  </si>
  <si>
    <t>x</t>
  </si>
  <si>
    <t>Suma Alzada</t>
  </si>
  <si>
    <t xml:space="preserve">  Otro:</t>
  </si>
  <si>
    <t>Forma de Pago/Form of Payment:</t>
  </si>
  <si>
    <t>PAGO ANTICIPADO O PREVIO ACUERDO</t>
  </si>
  <si>
    <t>Tiempo de entrega / Delivery time:</t>
  </si>
  <si>
    <t>5 dias</t>
  </si>
  <si>
    <t>Validez de Oferta/Validity of Offer:</t>
  </si>
  <si>
    <t>15 Días Calendarios</t>
  </si>
  <si>
    <t>Lugar / Place</t>
  </si>
  <si>
    <t>MINA JUSTA - CAMPAMENTO JUSTA SUBTERRANEA - MARCOBRE</t>
  </si>
  <si>
    <t>Garantía / Warranty</t>
  </si>
  <si>
    <t>: PROMCOSER garantiza la calidad de los trabajos realizados corrigiendo o reparando los trabajos defectuosos</t>
  </si>
  <si>
    <t>que sean imputables a PROMCOSER.</t>
  </si>
  <si>
    <t>Hecho por / Handled by:</t>
  </si>
  <si>
    <t>A. Cuellar</t>
  </si>
  <si>
    <t>e-mail:</t>
  </si>
  <si>
    <t>ventas@promcoser.com.pe</t>
  </si>
  <si>
    <t>T.Movil:</t>
  </si>
  <si>
    <t>Mza ñ lote.3 AH micaela Bastidas- Marcona</t>
  </si>
  <si>
    <t>5. Suministros a cargo de PROMCOSER</t>
  </si>
  <si>
    <t>Suministros a Cargo de PROMCOSER</t>
  </si>
  <si>
    <t>5.1. Personal técnico calificado para la ejecución del servicio</t>
  </si>
  <si>
    <t>5.2. Suministro de EPP para todo el personal del proyecto</t>
  </si>
  <si>
    <t>5.3. Equipos y herramientas en cantidad y calidad suficientes para la correcta ejecución del servicio</t>
  </si>
  <si>
    <t>5.4. SCTR para todo el personal.</t>
  </si>
  <si>
    <t>6. Suministros a cargo del Cliente</t>
  </si>
  <si>
    <t>Suministros a Cargo de Cliente</t>
  </si>
  <si>
    <t>6.1. Orden de Servicio para el inicio del servicio.</t>
  </si>
  <si>
    <t>6.2. Áreas de intervención liberadas al 100%, según cronograma y plan de trabajo</t>
  </si>
  <si>
    <t>6.3 Area para instalaciones provisionales en el proyecto. Tales como almacen temporal y/o Oficinas, no incluye contenedores ni ningún otro implemento adicional.</t>
  </si>
  <si>
    <t>6.4. Apoyo en la gestión de ingreso de personal y equipos a Site.</t>
  </si>
  <si>
    <t>7.- Consideraciones</t>
  </si>
  <si>
    <t>Consideraciones</t>
  </si>
  <si>
    <t>Las facilidades de servicios higienicos y comedor en site sera por parte del cliente, gestión administrativa in site para el ingreso al comedor,  servicios higiénicos (baños), serán suministrados por el cliente.</t>
  </si>
  <si>
    <t>La descarga será asumida por el cliente</t>
  </si>
  <si>
    <t>PROYECTO :</t>
  </si>
  <si>
    <t>OBRA</t>
  </si>
  <si>
    <t>CLIENTE :</t>
  </si>
  <si>
    <t>ITEM</t>
  </si>
  <si>
    <t>DESCRIPCION</t>
  </si>
  <si>
    <t>und</t>
  </si>
  <si>
    <t>metrado</t>
  </si>
  <si>
    <t>P.U. $</t>
  </si>
  <si>
    <t>Parcial $</t>
  </si>
  <si>
    <t xml:space="preserve"> TRABAJOS PRELIMINARES</t>
  </si>
  <si>
    <t xml:space="preserve">  MOVILIZACION DE TUBERIA HDPE Y ACCESORIOS</t>
  </si>
  <si>
    <t>VJE</t>
  </si>
  <si>
    <t>01</t>
  </si>
  <si>
    <t>01.01</t>
  </si>
  <si>
    <t>UND</t>
  </si>
  <si>
    <t>01.02</t>
  </si>
  <si>
    <t>01.03</t>
  </si>
  <si>
    <t>01.04</t>
  </si>
  <si>
    <t>01.05</t>
  </si>
  <si>
    <t>02</t>
  </si>
  <si>
    <t xml:space="preserve"> INSTALACION Y MONTAJE</t>
  </si>
  <si>
    <t>02.01</t>
  </si>
  <si>
    <t xml:space="preserve">  TIE-IN A RED EXISTENTE (LOTOTO) Y ARMADO DE CARRETE DE DESMONTAJE</t>
  </si>
  <si>
    <t>02.02</t>
  </si>
  <si>
    <t xml:space="preserve">  TENDIDO DE TUBERIA HDPE DENTRO DE ZANJA PREPARADA POR COPREFA</t>
  </si>
  <si>
    <t>ML</t>
  </si>
  <si>
    <t>02.03</t>
  </si>
  <si>
    <t xml:space="preserve">  TERMOFUSION DE JUNTAS HDPE (TRABAJO EN CALIENTE)</t>
  </si>
  <si>
    <t>02.04</t>
  </si>
  <si>
    <t xml:space="preserve">  FABRICACION DE RISER DE ACERO: CORTE, ESMERILADO Y SOLDADURA</t>
  </si>
  <si>
    <t>02.05</t>
  </si>
  <si>
    <t xml:space="preserve">  MONTAJE DE VALVULA COMPUERTA Y TRANSICIONES (ARMADO DE JUNTAS BRIDADAS)</t>
  </si>
  <si>
    <t>02.06</t>
  </si>
  <si>
    <t xml:space="preserve">  CONEXION FINAL DE LA TUBERIA AL GABINETE CONTRAINCENDIOS (GCI) EXISTENTE</t>
  </si>
  <si>
    <t>03</t>
  </si>
  <si>
    <t xml:space="preserve"> SERVICIOS SUBCONTRATADOS</t>
  </si>
  <si>
    <t>03.01</t>
  </si>
  <si>
    <t xml:space="preserve">  PRUEBA HIDROSTATICA SEGUN NFPA 24 - SUBCONTRATADO</t>
  </si>
  <si>
    <t>04</t>
  </si>
  <si>
    <t xml:space="preserve"> PUESTA EN MARCHA Y CIERRE</t>
  </si>
  <si>
    <t>04.01</t>
  </si>
  <si>
    <t xml:space="preserve">  COMISIONAMIENTO (APERTURA DE VALVULAS, PURGA DE AIRE, VERIFICACION DE PRESION)</t>
  </si>
  <si>
    <t>Costo directo</t>
  </si>
  <si>
    <t>ANALISIS DE COSTOS UNITARIOS</t>
  </si>
  <si>
    <t>PROYECTO: SUMINISTRO, INSTALACION, PRUEBAS Y PUESTA EN MARCHA - RAMAL CONTRAINCENDIOS HDPE TIE-IN-06 A GCI - AMPLIACION CAMPAMENTO JUSTA SUBTERRANEA</t>
  </si>
  <si>
    <t>CLIENTE: COPREFA CONSTRUCCIONES PRE-FABRICADAS S.R.C. (EPC DE MARCOBRE)</t>
  </si>
  <si>
    <t>UBICACION: CAMPAMENTO JUSTA SUBTERRANEA - MARCOBRE - ICA</t>
  </si>
  <si>
    <t>FECHA BASE: 2026-08-11</t>
  </si>
  <si>
    <t>MONEDA: DOLARES AMERICANOS (US$)</t>
  </si>
  <si>
    <t>Rendimiento:</t>
  </si>
  <si>
    <t>VJE/DIA (GLB)</t>
  </si>
  <si>
    <t>Unidad: VJE</t>
  </si>
  <si>
    <t>Costo Unitario:</t>
  </si>
  <si>
    <t>Insumo</t>
  </si>
  <si>
    <t>Unidad</t>
  </si>
  <si>
    <t>Cuadrilla</t>
  </si>
  <si>
    <t>PU</t>
  </si>
  <si>
    <t>Parcial</t>
  </si>
  <si>
    <t xml:space="preserve">  OPERARIO ARMADOR</t>
  </si>
  <si>
    <t>HH</t>
  </si>
  <si>
    <t xml:space="preserve">  OFICIAL MECANICO</t>
  </si>
  <si>
    <t>Mano de obra:</t>
  </si>
  <si>
    <t xml:space="preserve">  CAMION BARANDA</t>
  </si>
  <si>
    <t>HM</t>
  </si>
  <si>
    <t>Equipo:</t>
  </si>
  <si>
    <t>Unidad: UND</t>
  </si>
  <si>
    <t>Materiales:</t>
  </si>
  <si>
    <t>Unidad: ML</t>
  </si>
  <si>
    <t>Unidad: GLB</t>
  </si>
  <si>
    <t>02.01 TIE-IN A RED EXISTENTE (LOTOTO) Y ARMADO DE CARRETE DE DESMONTAJE</t>
  </si>
  <si>
    <t xml:space="preserve">Rendimiento: </t>
  </si>
  <si>
    <t>GLB/DIA</t>
  </si>
  <si>
    <t xml:space="preserve">  CAPATAZ </t>
  </si>
  <si>
    <t xml:space="preserve">  MATERIALES LOTOTO (CANDADOS, TARJETAS, FORMATOS)</t>
  </si>
  <si>
    <t xml:space="preserve">  MAQUINA DE TERMOFUSION HDPE (ALQUILER)</t>
  </si>
  <si>
    <t xml:space="preserve">  HERRAMIENTAS MANUALES</t>
  </si>
  <si>
    <t>%MO</t>
  </si>
  <si>
    <t>02.02 TENDIDO DE TUBERIA HDPE DENTRO DE ZANJA PREPARADA POR COPREFA</t>
  </si>
  <si>
    <t>ML/DIA</t>
  </si>
  <si>
    <t xml:space="preserve">  OPERARIO MECANICO</t>
  </si>
  <si>
    <t>02.03 TERMOFUSION DE JUNTAS HDPE (TRABAJO EN CALIENTE)</t>
  </si>
  <si>
    <t>UND/DIA</t>
  </si>
  <si>
    <t xml:space="preserve">  OPERARIO TERMOFUSIONISTA HDPE</t>
  </si>
  <si>
    <t xml:space="preserve">  ESMERIL ANGULAR 4 1/2"</t>
  </si>
  <si>
    <t>02.04 FABRICACION DE RISER DE ACERO: CORTE, ESMERILADO Y SOLDADURA</t>
  </si>
  <si>
    <t xml:space="preserve">  OPERARIO SOLDADOR </t>
  </si>
  <si>
    <t xml:space="preserve">  CONSUMIBLES DE TRABAJO EN CALIENTE (DISCOS CORTE P/ESMERIL, ELECTRODOS)</t>
  </si>
  <si>
    <t xml:space="preserve">  MAQUINA DE SOLDAR</t>
  </si>
  <si>
    <t xml:space="preserve">  ESMERIL ANGULAR 7"</t>
  </si>
  <si>
    <t>02.05 MONTAJE DE VALVULA COMPUERTA Y TRANSICIONES (ARMADO DE JUNTAS BRIDADAS)</t>
  </si>
  <si>
    <t>02.06 CONEXION FINAL DE LA TUBERIA AL GABINETE CONTRAINCENDIOS (GCI) EXISTENTE</t>
  </si>
  <si>
    <t>03.01 PRUEBA HIDROSTATICA SEGUN NFPA 24 - SUBCONTRATADO</t>
  </si>
  <si>
    <t xml:space="preserve">  PRUEBA HIDROSTATICA NFPA 24 (INCL. TECNICO, EQUIPO DE PRESION, CONSUMIBLES)</t>
  </si>
  <si>
    <t>Subcontratos:</t>
  </si>
  <si>
    <t>04.01 COMISIONAMIENTO (APERTURA DE VALVULAS, PURGA DE AIRE, VERIFICACION DE PRESION)</t>
  </si>
  <si>
    <t>SUMINISTRO, INSTALACION, PRUEBAS Y PUESTA EN MARCHA - RAMAL CONTRAINCENDIOS HDPE TIE-IN-06 A GCI - AMPLIACION CAMPAMENTO JUSTA SUBTERRANEA</t>
  </si>
  <si>
    <t>COPREFA CONSTRUCCIONES PRE-FABRICADAS S.R.C. (EPC DE MARCOBRE)</t>
  </si>
  <si>
    <t>EJECUCION :</t>
  </si>
  <si>
    <t>Dias</t>
  </si>
  <si>
    <t>METRADO</t>
  </si>
  <si>
    <t>P.U.$</t>
  </si>
  <si>
    <t>OBRAS PRELIMINARES</t>
  </si>
  <si>
    <t xml:space="preserve"> </t>
  </si>
  <si>
    <t>MOVILIZACION Y DESMOVILIZACION DE PERSONAL</t>
  </si>
  <si>
    <t>mes</t>
  </si>
  <si>
    <t>MOVILIZACION Y DESMOVILIZACION DE EQUIPOS, HERRAMIENTAS Y MATERIALES</t>
  </si>
  <si>
    <t>vje</t>
  </si>
  <si>
    <t>SEGURIDAD Y SEÑALIZACION DE OBRA</t>
  </si>
  <si>
    <t>glb</t>
  </si>
  <si>
    <t>MOVILIZACIÓN Y DESMOVILIZACIÓN DE MANLIFT</t>
  </si>
  <si>
    <t>ALQUILER DE MANLITF (Inc. Operador)</t>
  </si>
  <si>
    <t>día</t>
  </si>
  <si>
    <t>INSTALACION DE PUERTA DE INGRESO</t>
  </si>
  <si>
    <t>ARMADO Y DESARMADO DE TORRE DE ANDAMIOS x 2 CUERPOS HERMETIZADO</t>
  </si>
  <si>
    <t>RETIRO Y ELIMINACION DE ESTRUCTURA DAÑADA</t>
  </si>
  <si>
    <t>kg</t>
  </si>
  <si>
    <t>FABRICACION DE PUERTA METALICA 1.6x2.1 mt (Inc. Chapa y accesorios)</t>
  </si>
  <si>
    <t>INSTALACION DE PUERTA METALICA Y ACCESORIOS</t>
  </si>
  <si>
    <t>CIERRE DE ACCESOS</t>
  </si>
  <si>
    <t>ARMADO Y DESARMADO DE TORRE DE ANDAMIOS x 2 CUERPOS</t>
  </si>
  <si>
    <t>03.02</t>
  </si>
  <si>
    <t>FABRICACION DE ESTRUCTURA LIVIANA INOXIDABLE</t>
  </si>
  <si>
    <t>03.03</t>
  </si>
  <si>
    <t>MONTAJE DE ESTRUCTURA LIVIANA</t>
  </si>
  <si>
    <t>03.04</t>
  </si>
  <si>
    <t>SUMINISTRO DE LONA PLAST DG1330-BO</t>
  </si>
  <si>
    <t>m2</t>
  </si>
  <si>
    <t>MCB</t>
  </si>
  <si>
    <t>03.05</t>
  </si>
  <si>
    <t>INSTALACION DE LONAPLAST DG1330 - BO</t>
  </si>
  <si>
    <t>MANTENIMIENTO ESTRUCTURAL - PUERTAS CORREDIZAS</t>
  </si>
  <si>
    <t>ARMADO Y DESARMADO DE TORRE DE ANDAMIOS x 6 CUERPOS</t>
  </si>
  <si>
    <t>04.02</t>
  </si>
  <si>
    <t>RETIRO Y REINSTALACION DE LONA PLAST DG1330-BO</t>
  </si>
  <si>
    <t>04.03</t>
  </si>
  <si>
    <t>LIMPIEZA MANUAL CON EQUIPOS</t>
  </si>
  <si>
    <t>04.04</t>
  </si>
  <si>
    <t>APLICACION DE PINTURA BASE ESMALTE EPOXICO JET 70 MP</t>
  </si>
  <si>
    <t>04.05</t>
  </si>
  <si>
    <t>APLICACION DE PINTURA ACABADO POLIURETANO JETHANE 650 HS</t>
  </si>
  <si>
    <t>04.06</t>
  </si>
  <si>
    <t>REEMPLAZO  DE CABLE ACERADO PARA PUERTA CORREDIZA</t>
  </si>
  <si>
    <t>m</t>
  </si>
  <si>
    <t>04.07</t>
  </si>
  <si>
    <t>REEMPLAZO  DE RIEL GUIA PARA PUERTA CORREDIZA</t>
  </si>
  <si>
    <t>04.08</t>
  </si>
  <si>
    <t>REEMPLAZO DE POLEAS PARA PUERTAS CORREDIZAS</t>
  </si>
  <si>
    <t>04.09</t>
  </si>
  <si>
    <t>REEMPLAZO DE WINCHES MANUALES 800 LB</t>
  </si>
  <si>
    <t>04.10</t>
  </si>
  <si>
    <t>REPARACION DE MANIVELAS Y PESTILLOS MENORES</t>
  </si>
  <si>
    <t>05</t>
  </si>
  <si>
    <t>HERMETIZACION DE TECHOS</t>
  </si>
  <si>
    <t>05.01</t>
  </si>
  <si>
    <t>05.02</t>
  </si>
  <si>
    <t>06</t>
  </si>
  <si>
    <t>LIMPIEZA DE COBERTORES TRANSLUCIDAS - TECHO ALMACEN CENTRAL</t>
  </si>
  <si>
    <t>06.01</t>
  </si>
  <si>
    <t>LIMPIEZA DE COBERTORES DE TECHI</t>
  </si>
  <si>
    <t>Und</t>
  </si>
  <si>
    <t>06.02</t>
  </si>
  <si>
    <t>LIMPIEZA DE ACCESOS POSTLAVADO</t>
  </si>
  <si>
    <t>ml</t>
  </si>
  <si>
    <t>07</t>
  </si>
  <si>
    <t>INSTALACION DE EXTRACTORES EOLICOS - TECHO ALMACEN CENTRAL</t>
  </si>
  <si>
    <t>07.01</t>
  </si>
  <si>
    <t>RETIRO Y ELIMINACIÓN DE EXTRACTORES EOLICOS EXISTENTES</t>
  </si>
  <si>
    <t>07.02</t>
  </si>
  <si>
    <t>SUMINISTRO E INSTALACIÓN DE EXTRACTORES EOLICOS "INDUVENT EO80"</t>
  </si>
  <si>
    <t>08</t>
  </si>
  <si>
    <t>LIMPIEZA DE FILTROS DE VENTANAS</t>
  </si>
  <si>
    <t>08.01</t>
  </si>
  <si>
    <t>DESINSTALACIÓN DE FILTROS DE VENTANA (4 UND/VENTANA)</t>
  </si>
  <si>
    <t>08.02</t>
  </si>
  <si>
    <t>SOPLETEO DE FILTROS</t>
  </si>
  <si>
    <t>8.03</t>
  </si>
  <si>
    <t>REINSTALACIÓN DE VENTANAS</t>
  </si>
  <si>
    <t>SUPERVISIÓN DE TRABAJOS</t>
  </si>
  <si>
    <t>SUPERVISION DE SERVICIOS MENORES</t>
  </si>
  <si>
    <t>Costo Directo</t>
  </si>
  <si>
    <t>ANALISIS DE GASTOS GENERALES  (PROYECTOS MENORES)</t>
  </si>
  <si>
    <t>PROYECTO:</t>
  </si>
  <si>
    <t>OBRA:</t>
  </si>
  <si>
    <t>CONTRATISTA:</t>
  </si>
  <si>
    <t>PROMCOSER SRL</t>
  </si>
  <si>
    <t>FECHA:</t>
  </si>
  <si>
    <t>PLAZO PROYECTO (MESES):</t>
  </si>
  <si>
    <t>ANALISIS DE GASTOS GENERALES</t>
  </si>
  <si>
    <t>Item</t>
  </si>
  <si>
    <t>CAN.</t>
  </si>
  <si>
    <t>MES</t>
  </si>
  <si>
    <t>PARCIAL</t>
  </si>
  <si>
    <t>TOTAL</t>
  </si>
  <si>
    <t>SALARIO BAS. MES</t>
  </si>
  <si>
    <t>COSTO MENSUAL incluye BB.SS.</t>
  </si>
  <si>
    <t>$.</t>
  </si>
  <si>
    <t>ÁREA  TÉCNICA</t>
  </si>
  <si>
    <t>EMPLEADO</t>
  </si>
  <si>
    <t>VEHICULOS: CAMIONETAS, BUSES.</t>
  </si>
  <si>
    <t>Vehiculos</t>
  </si>
  <si>
    <t>COSTO $.</t>
  </si>
  <si>
    <t>Camioneta incluye combustible</t>
  </si>
  <si>
    <t>Bus Movilidad a Obra incluye combustible</t>
  </si>
  <si>
    <t>SEGURIDAD</t>
  </si>
  <si>
    <t>Implementos seguridad (solo staff de ingenieros, EPP de obreros debe ser considerada en el costo de horas hombre dentro del costo directo)</t>
  </si>
  <si>
    <t>Pers</t>
  </si>
  <si>
    <t>Exámenes Médicos Ocupacional (Staff y obreros)</t>
  </si>
  <si>
    <t>Pruebas y ensayos</t>
  </si>
  <si>
    <t>Glb</t>
  </si>
  <si>
    <t>Cursos y Capacitaciones</t>
  </si>
  <si>
    <t>Cursos Basicos portuarios:
PBIP Basico
Seguridad portuaria
Mercancias peligrosas</t>
  </si>
  <si>
    <t>Gestion Portuaria:
Gestion de seguridad portuaria
Gestion de mercancias peligrosas</t>
  </si>
  <si>
    <t>EQUIPOS: OFICINA, COMPUTO, COMUNICACIONES.</t>
  </si>
  <si>
    <t>Cant</t>
  </si>
  <si>
    <t>Incidencia</t>
  </si>
  <si>
    <t>COSTO/mes</t>
  </si>
  <si>
    <t>Equipos</t>
  </si>
  <si>
    <t>computadoras completas</t>
  </si>
  <si>
    <t>telefono celular</t>
  </si>
  <si>
    <t>Equipos de Campamentos</t>
  </si>
  <si>
    <t>alquiler de vivienda para staff</t>
  </si>
  <si>
    <t>alimentacion staff</t>
  </si>
  <si>
    <t>agua para personal</t>
  </si>
  <si>
    <t>GASTOS DE OFICINA CENTRAL</t>
  </si>
  <si>
    <t>COSTO X MES</t>
  </si>
  <si>
    <t xml:space="preserve">Logistica </t>
  </si>
  <si>
    <t>Contabilidad y recursos humanos</t>
  </si>
  <si>
    <t>Gerencia de Operaciones (%)</t>
  </si>
  <si>
    <t>Utiles de Oficina Gerencia</t>
  </si>
  <si>
    <t xml:space="preserve">Oficina y servicios </t>
  </si>
  <si>
    <t>Equipos de computo</t>
  </si>
  <si>
    <t>SEGUROS Y FIANZAS</t>
  </si>
  <si>
    <t>Costo de carta  fianza fiel cumplimiento del 15% del Contrato</t>
  </si>
  <si>
    <t>Costo de carta  fianza de adelanto</t>
  </si>
  <si>
    <t>Seguro Vehicular</t>
  </si>
  <si>
    <t>Gastos Financieros</t>
  </si>
  <si>
    <t>GG MENSUAL</t>
  </si>
  <si>
    <t>MESES</t>
  </si>
  <si>
    <t>Siete mil ochocientos dieciocho con 44/100 DOLARES AMERICANOS (NO INCLUYE IGV)</t>
  </si>
  <si>
    <t>01.01 MOVILIZACION DE TUBERIA HDPE Y ACCESORIOS</t>
  </si>
  <si>
    <t>ALMACEN</t>
  </si>
  <si>
    <t>CONDUCTOR</t>
  </si>
  <si>
    <t>INGENIERO DE SEGURIDAD</t>
  </si>
  <si>
    <t>SUPERVOSOR OPERATIVO</t>
  </si>
  <si>
    <t>INGENIERO DE OFICINA TECNICA</t>
  </si>
  <si>
    <t>INGENIERO DE CALIDAD</t>
  </si>
  <si>
    <t>RESIDENTE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</si>
</sst>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 [$$-2C0A]\ * #,##0.00_ ;_ [$$-2C0A]\ * \-#,##0.00_ ;_ [$$-2C0A]\ * &quot;-&quot;??_ ;_ @_ "/>
    <numFmt numFmtId="165" formatCode="[$$-409]#,##0.00"/>
    <numFmt numFmtId="166" formatCode="_ * #,##0.00_ ;_ * \-#,##0.00_ ;_ * &quot;-&quot;??_ ;_ @_ "/>
    <numFmt numFmtId="167" formatCode="[$$-540A]#,##0.00"/>
    <numFmt numFmtId="168" formatCode="&quot;S/.&quot;\ #,##0.00"/>
    <numFmt numFmtId="169" formatCode="#,##0.0000"/>
    <numFmt numFmtId="170" formatCode="0.0000"/>
    <numFmt numFmtId="171" formatCode="0.0"/>
    <numFmt numFmtId="172" formatCode="#,##0.0"/>
    <numFmt numFmtId="173" formatCode="&quot;SUB TOTAL&quot;\ #,###"/>
    <numFmt numFmtId="174" formatCode="_(* #,##0.0_);_(* \(#,##0.0\);_(* &quot;-&quot;??_);_(@_)"/>
    <numFmt numFmtId="175" formatCode="General_)"/>
    <numFmt numFmtId="176" formatCode="_(&quot;$&quot;* #,##0.00_);_(&quot;$&quot;* \(#,##0.00\);_(&quot;$&quot;* &quot;-&quot;??_);_(@_)"/>
    <numFmt numFmtId="177" formatCode="[$$-2C0A]\ #,##0.00;[$$-2C0A]\ \-#,##0.00"/>
    <numFmt numFmtId="178" formatCode="_(* #,##0_);_(* \(#,##0\);_(* &quot;-&quot;??_);_(@_)"/>
    <numFmt numFmtId="179" formatCode="&quot;S/.&quot;#,##0.00;[Red]\-&quot;S/.&quot;#,##0.00"/>
  </numFmts>
  <fonts count="70" x14ac:knownFonts="1">
    <font>
      <sz val="8"/>
      <name val="Arial"/>
    </font>
    <font>
      <b/>
      <sz val="8"/>
      <color indexed="72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u/>
      <sz val="11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sz val="11"/>
      <color indexed="12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0"/>
      <color indexed="12"/>
      <name val="Arial Narrow"/>
      <family val="2"/>
    </font>
    <font>
      <b/>
      <u/>
      <sz val="12"/>
      <name val="Arial Narrow"/>
      <family val="2"/>
    </font>
    <font>
      <u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sz val="10"/>
      <name val="Arial Unicode MS"/>
      <family val="2"/>
    </font>
    <font>
      <sz val="11"/>
      <name val="Arial"/>
      <family val="2"/>
    </font>
    <font>
      <b/>
      <sz val="20"/>
      <name val="Calibri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b/>
      <sz val="9"/>
      <color indexed="10"/>
      <name val="Arial"/>
      <family val="2"/>
    </font>
    <font>
      <sz val="9"/>
      <name val="Arial"/>
      <family val="2"/>
    </font>
    <font>
      <b/>
      <sz val="7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7"/>
      <color rgb="FF1F1F1F"/>
      <name val="Arial"/>
      <family val="2"/>
    </font>
    <font>
      <b/>
      <sz val="11"/>
      <color rgb="FF0070C0"/>
      <name val="Calibri"/>
      <family val="2"/>
    </font>
    <font>
      <b/>
      <sz val="10"/>
      <color theme="0"/>
      <name val="Arial Narrow"/>
      <family val="2"/>
    </font>
    <font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indexed="10"/>
      <name val="Calibri"/>
      <family val="2"/>
      <scheme val="minor"/>
    </font>
    <font>
      <b/>
      <sz val="8"/>
      <color indexed="10"/>
      <name val="Calibri"/>
      <family val="2"/>
      <scheme val="minor"/>
    </font>
    <font>
      <sz val="8"/>
      <color indexed="72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8"/>
      <color rgb="FF00206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</fills>
  <borders count="7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/>
      <diagonal/>
    </border>
    <border>
      <left style="hair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15" fillId="0" borderId="0">
      <alignment vertical="top"/>
      <protection locked="0"/>
    </xf>
    <xf numFmtId="178" fontId="41" fillId="0" borderId="0"/>
    <xf numFmtId="178" fontId="16" fillId="0" borderId="0"/>
    <xf numFmtId="176" fontId="16" fillId="0" borderId="0">
      <alignment vertical="center"/>
    </xf>
    <xf numFmtId="179" fontId="16" fillId="0" borderId="0"/>
    <xf numFmtId="0" fontId="4" fillId="0" borderId="0">
      <alignment vertical="center"/>
    </xf>
    <xf numFmtId="0" fontId="16" fillId="0" borderId="0"/>
    <xf numFmtId="0" fontId="16" fillId="0" borderId="0"/>
    <xf numFmtId="0" fontId="36" fillId="0" borderId="0"/>
    <xf numFmtId="0" fontId="37" fillId="0" borderId="0"/>
    <xf numFmtId="9" fontId="16" fillId="0" borderId="0">
      <alignment vertical="center"/>
    </xf>
    <xf numFmtId="0" fontId="65" fillId="0" borderId="0"/>
  </cellStyleXfs>
  <cellXfs count="477">
    <xf numFmtId="0" fontId="0" fillId="0" borderId="0" xfId="0" applyAlignment="1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49" xfId="0" applyFont="1" applyFill="1" applyBorder="1" applyAlignment="1">
      <alignment vertical="center"/>
    </xf>
    <xf numFmtId="0" fontId="6" fillId="4" borderId="50" xfId="0" applyFont="1" applyFill="1" applyBorder="1" applyAlignment="1" applyProtection="1">
      <alignment vertical="center"/>
      <protection locked="0"/>
    </xf>
    <xf numFmtId="0" fontId="6" fillId="2" borderId="51" xfId="0" applyFont="1" applyFill="1" applyBorder="1" applyAlignment="1">
      <alignment vertical="center"/>
    </xf>
    <xf numFmtId="0" fontId="6" fillId="2" borderId="52" xfId="0" applyFont="1" applyFill="1" applyBorder="1" applyAlignment="1">
      <alignment vertical="center"/>
    </xf>
    <xf numFmtId="0" fontId="6" fillId="4" borderId="53" xfId="0" applyFont="1" applyFill="1" applyBorder="1" applyAlignment="1" applyProtection="1">
      <alignment vertical="center"/>
      <protection locked="0"/>
    </xf>
    <xf numFmtId="0" fontId="10" fillId="4" borderId="1" xfId="0" applyFont="1" applyFill="1" applyBorder="1" applyAlignment="1" applyProtection="1">
      <alignment vertical="center"/>
      <protection locked="0"/>
    </xf>
    <xf numFmtId="0" fontId="6" fillId="4" borderId="1" xfId="0" applyFont="1" applyFill="1" applyBorder="1" applyAlignment="1" applyProtection="1">
      <alignment vertical="center"/>
      <protection locked="0"/>
    </xf>
    <xf numFmtId="0" fontId="6" fillId="4" borderId="55" xfId="0" applyFont="1" applyFill="1" applyBorder="1" applyAlignment="1" applyProtection="1">
      <alignment vertical="center"/>
      <protection locked="0"/>
    </xf>
    <xf numFmtId="0" fontId="6" fillId="4" borderId="2" xfId="0" applyFont="1" applyFill="1" applyBorder="1" applyAlignment="1" applyProtection="1">
      <alignment vertical="center"/>
      <protection locked="0"/>
    </xf>
    <xf numFmtId="0" fontId="6" fillId="4" borderId="56" xfId="0" applyFont="1" applyFill="1" applyBorder="1" applyAlignment="1" applyProtection="1">
      <alignment vertical="center"/>
      <protection locked="0"/>
    </xf>
    <xf numFmtId="0" fontId="6" fillId="2" borderId="57" xfId="0" applyFont="1" applyFill="1" applyBorder="1" applyAlignment="1">
      <alignment horizontal="left" vertical="center"/>
    </xf>
    <xf numFmtId="0" fontId="6" fillId="2" borderId="58" xfId="0" applyFont="1" applyFill="1" applyBorder="1" applyAlignment="1">
      <alignment vertical="center"/>
    </xf>
    <xf numFmtId="0" fontId="6" fillId="2" borderId="59" xfId="0" applyFont="1" applyFill="1" applyBorder="1" applyAlignment="1">
      <alignment vertical="center"/>
    </xf>
    <xf numFmtId="0" fontId="6" fillId="2" borderId="60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16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6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61" xfId="0" applyFont="1" applyFill="1" applyBorder="1" applyAlignment="1">
      <alignment horizontal="left" vertical="center"/>
    </xf>
    <xf numFmtId="0" fontId="6" fillId="2" borderId="62" xfId="0" applyFont="1" applyFill="1" applyBorder="1" applyAlignment="1">
      <alignment vertical="center"/>
    </xf>
    <xf numFmtId="0" fontId="6" fillId="2" borderId="54" xfId="0" applyFont="1" applyFill="1" applyBorder="1" applyAlignment="1">
      <alignment horizontal="left" vertical="center"/>
    </xf>
    <xf numFmtId="0" fontId="6" fillId="2" borderId="63" xfId="0" applyFont="1" applyFill="1" applyBorder="1" applyAlignment="1">
      <alignment vertical="center"/>
    </xf>
    <xf numFmtId="0" fontId="6" fillId="2" borderId="64" xfId="0" applyFont="1" applyFill="1" applyBorder="1" applyAlignment="1">
      <alignment vertical="center"/>
    </xf>
    <xf numFmtId="0" fontId="42" fillId="4" borderId="3" xfId="0" applyFont="1" applyFill="1" applyBorder="1" applyAlignment="1" applyProtection="1">
      <alignment horizontal="center" vertical="center"/>
      <protection locked="0"/>
    </xf>
    <xf numFmtId="0" fontId="43" fillId="4" borderId="4" xfId="0" applyFont="1" applyFill="1" applyBorder="1" applyAlignment="1" applyProtection="1">
      <alignment vertical="center"/>
      <protection locked="0"/>
    </xf>
    <xf numFmtId="0" fontId="42" fillId="4" borderId="4" xfId="0" applyFont="1" applyFill="1" applyBorder="1" applyAlignment="1" applyProtection="1">
      <alignment vertical="center"/>
      <protection locked="0"/>
    </xf>
    <xf numFmtId="0" fontId="44" fillId="4" borderId="65" xfId="0" quotePrefix="1" applyFont="1" applyFill="1" applyBorder="1" applyAlignment="1" applyProtection="1">
      <alignment horizontal="left" vertical="center"/>
      <protection locked="0"/>
    </xf>
    <xf numFmtId="0" fontId="42" fillId="4" borderId="66" xfId="0" applyFont="1" applyFill="1" applyBorder="1" applyAlignment="1" applyProtection="1">
      <alignment vertical="center"/>
      <protection locked="0"/>
    </xf>
    <xf numFmtId="0" fontId="42" fillId="4" borderId="67" xfId="0" applyFont="1" applyFill="1" applyBorder="1" applyAlignment="1" applyProtection="1">
      <alignment vertical="center"/>
      <protection locked="0"/>
    </xf>
    <xf numFmtId="0" fontId="42" fillId="4" borderId="50" xfId="0" applyFont="1" applyFill="1" applyBorder="1" applyAlignment="1" applyProtection="1">
      <alignment vertical="center"/>
      <protection locked="0"/>
    </xf>
    <xf numFmtId="0" fontId="42" fillId="4" borderId="5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right" vertical="center"/>
    </xf>
    <xf numFmtId="9" fontId="6" fillId="4" borderId="1" xfId="11" applyFont="1" applyFill="1" applyBorder="1" applyAlignment="1" applyProtection="1">
      <alignment vertical="center"/>
      <protection locked="0"/>
    </xf>
    <xf numFmtId="0" fontId="11" fillId="2" borderId="0" xfId="0" applyFont="1" applyFill="1" applyAlignment="1">
      <alignment horizontal="right" vertical="center"/>
    </xf>
    <xf numFmtId="10" fontId="9" fillId="2" borderId="6" xfId="0" applyNumberFormat="1" applyFont="1" applyFill="1" applyBorder="1" applyAlignment="1">
      <alignment vertical="center"/>
    </xf>
    <xf numFmtId="10" fontId="9" fillId="2" borderId="7" xfId="0" applyNumberFormat="1" applyFont="1" applyFill="1" applyBorder="1" applyAlignment="1">
      <alignment vertical="center"/>
    </xf>
    <xf numFmtId="0" fontId="11" fillId="4" borderId="8" xfId="0" applyFont="1" applyFill="1" applyBorder="1" applyAlignment="1" applyProtection="1">
      <alignment horizontal="center" vertical="center"/>
      <protection locked="0"/>
    </xf>
    <xf numFmtId="16" fontId="14" fillId="2" borderId="0" xfId="0" quotePrefix="1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16" fontId="6" fillId="2" borderId="0" xfId="0" applyNumberFormat="1" applyFont="1" applyFill="1" applyAlignment="1">
      <alignment horizontal="left" vertical="center"/>
    </xf>
    <xf numFmtId="9" fontId="6" fillId="4" borderId="55" xfId="11" applyFont="1" applyFill="1" applyBorder="1" applyAlignment="1" applyProtection="1">
      <alignment vertical="center"/>
      <protection locked="0"/>
    </xf>
    <xf numFmtId="16" fontId="6" fillId="2" borderId="0" xfId="0" quotePrefix="1" applyNumberFormat="1" applyFont="1" applyFill="1" applyAlignment="1">
      <alignment horizontal="left" vertical="center"/>
    </xf>
    <xf numFmtId="9" fontId="14" fillId="4" borderId="1" xfId="11" applyFont="1" applyFill="1" applyBorder="1" applyAlignment="1" applyProtection="1">
      <alignment vertical="center"/>
      <protection locked="0"/>
    </xf>
    <xf numFmtId="0" fontId="6" fillId="4" borderId="0" xfId="0" applyFont="1" applyFill="1" applyAlignment="1">
      <alignment vertical="center"/>
    </xf>
    <xf numFmtId="0" fontId="6" fillId="4" borderId="63" xfId="0" applyFont="1" applyFill="1" applyBorder="1" applyAlignment="1">
      <alignment vertical="center"/>
    </xf>
    <xf numFmtId="0" fontId="6" fillId="2" borderId="57" xfId="0" applyFont="1" applyFill="1" applyBorder="1" applyAlignment="1">
      <alignment vertical="center"/>
    </xf>
    <xf numFmtId="0" fontId="10" fillId="2" borderId="58" xfId="0" applyFont="1" applyFill="1" applyBorder="1" applyAlignment="1">
      <alignment vertical="center"/>
    </xf>
    <xf numFmtId="0" fontId="42" fillId="5" borderId="0" xfId="0" applyFont="1" applyFill="1" applyAlignment="1">
      <alignment vertical="center"/>
    </xf>
    <xf numFmtId="0" fontId="46" fillId="5" borderId="0" xfId="0" applyFont="1" applyFill="1" applyAlignment="1">
      <alignment horizontal="left" vertical="center"/>
    </xf>
    <xf numFmtId="0" fontId="42" fillId="5" borderId="0" xfId="0" applyFont="1" applyFill="1" applyAlignment="1" applyProtection="1">
      <alignment vertical="center"/>
      <protection locked="0"/>
    </xf>
    <xf numFmtId="0" fontId="42" fillId="5" borderId="61" xfId="0" applyFont="1" applyFill="1" applyBorder="1" applyAlignment="1">
      <alignment horizontal="left" vertical="center"/>
    </xf>
    <xf numFmtId="0" fontId="42" fillId="5" borderId="49" xfId="0" applyFont="1" applyFill="1" applyBorder="1" applyAlignment="1" applyProtection="1">
      <alignment vertical="center" wrapText="1"/>
      <protection locked="0"/>
    </xf>
    <xf numFmtId="0" fontId="42" fillId="5" borderId="62" xfId="0" applyFont="1" applyFill="1" applyBorder="1" applyAlignment="1">
      <alignment vertical="center"/>
    </xf>
    <xf numFmtId="0" fontId="42" fillId="5" borderId="54" xfId="0" applyFont="1" applyFill="1" applyBorder="1" applyAlignment="1">
      <alignment horizontal="left" vertical="center"/>
    </xf>
    <xf numFmtId="0" fontId="42" fillId="4" borderId="9" xfId="0" applyFont="1" applyFill="1" applyBorder="1" applyAlignment="1" applyProtection="1">
      <alignment vertical="center" wrapText="1"/>
      <protection locked="0"/>
    </xf>
    <xf numFmtId="0" fontId="42" fillId="4" borderId="4" xfId="0" applyFont="1" applyFill="1" applyBorder="1" applyAlignment="1" applyProtection="1">
      <alignment vertical="center" wrapText="1"/>
      <protection locked="0"/>
    </xf>
    <xf numFmtId="0" fontId="42" fillId="4" borderId="10" xfId="0" applyFont="1" applyFill="1" applyBorder="1" applyAlignment="1" applyProtection="1">
      <alignment vertical="center" wrapText="1"/>
      <protection locked="0"/>
    </xf>
    <xf numFmtId="0" fontId="42" fillId="5" borderId="63" xfId="0" applyFont="1" applyFill="1" applyBorder="1" applyAlignment="1">
      <alignment vertical="center"/>
    </xf>
    <xf numFmtId="0" fontId="42" fillId="4" borderId="11" xfId="0" applyFont="1" applyFill="1" applyBorder="1" applyAlignment="1" applyProtection="1">
      <alignment vertical="center" wrapText="1"/>
      <protection locked="0"/>
    </xf>
    <xf numFmtId="0" fontId="47" fillId="4" borderId="0" xfId="0" applyFont="1" applyFill="1" applyAlignment="1" applyProtection="1">
      <alignment vertical="center"/>
      <protection locked="0"/>
    </xf>
    <xf numFmtId="0" fontId="42" fillId="4" borderId="0" xfId="0" applyFont="1" applyFill="1" applyAlignment="1" applyProtection="1">
      <alignment vertical="center" wrapText="1"/>
      <protection locked="0"/>
    </xf>
    <xf numFmtId="0" fontId="42" fillId="4" borderId="12" xfId="0" applyFont="1" applyFill="1" applyBorder="1" applyAlignment="1" applyProtection="1">
      <alignment vertical="center" wrapText="1"/>
      <protection locked="0"/>
    </xf>
    <xf numFmtId="0" fontId="42" fillId="4" borderId="0" xfId="0" applyFont="1" applyFill="1" applyAlignment="1" applyProtection="1">
      <alignment vertical="center"/>
      <protection locked="0"/>
    </xf>
    <xf numFmtId="0" fontId="42" fillId="4" borderId="12" xfId="0" applyFont="1" applyFill="1" applyBorder="1" applyAlignment="1" applyProtection="1">
      <alignment vertical="center"/>
      <protection locked="0"/>
    </xf>
    <xf numFmtId="0" fontId="42" fillId="4" borderId="0" xfId="0" applyFont="1" applyFill="1" applyAlignment="1" applyProtection="1">
      <alignment horizontal="left" vertical="center"/>
      <protection locked="0"/>
    </xf>
    <xf numFmtId="0" fontId="42" fillId="5" borderId="54" xfId="0" applyFont="1" applyFill="1" applyBorder="1" applyAlignment="1">
      <alignment vertical="center"/>
    </xf>
    <xf numFmtId="0" fontId="42" fillId="4" borderId="5" xfId="0" applyFont="1" applyFill="1" applyBorder="1" applyAlignment="1" applyProtection="1">
      <alignment vertical="center" wrapText="1"/>
      <protection locked="0"/>
    </xf>
    <xf numFmtId="0" fontId="42" fillId="4" borderId="1" xfId="0" applyFont="1" applyFill="1" applyBorder="1" applyAlignment="1" applyProtection="1">
      <alignment vertical="center" wrapText="1"/>
      <protection locked="0"/>
    </xf>
    <xf numFmtId="0" fontId="42" fillId="4" borderId="13" xfId="0" applyFont="1" applyFill="1" applyBorder="1" applyAlignment="1" applyProtection="1">
      <alignment vertical="center" wrapText="1"/>
      <protection locked="0"/>
    </xf>
    <xf numFmtId="0" fontId="46" fillId="5" borderId="57" xfId="0" applyFont="1" applyFill="1" applyBorder="1" applyAlignment="1">
      <alignment horizontal="left" vertical="center"/>
    </xf>
    <xf numFmtId="0" fontId="42" fillId="5" borderId="58" xfId="0" applyFont="1" applyFill="1" applyBorder="1" applyAlignment="1" applyProtection="1">
      <alignment horizontal="left" vertical="center" indent="1"/>
      <protection locked="0"/>
    </xf>
    <xf numFmtId="0" fontId="42" fillId="5" borderId="64" xfId="0" applyFont="1" applyFill="1" applyBorder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42" fillId="5" borderId="0" xfId="0" applyFont="1" applyFill="1" applyAlignment="1" applyProtection="1">
      <alignment horizontal="left" vertical="center" indent="1"/>
      <protection locked="0"/>
    </xf>
    <xf numFmtId="0" fontId="42" fillId="4" borderId="9" xfId="0" quotePrefix="1" applyFont="1" applyFill="1" applyBorder="1" applyAlignment="1" applyProtection="1">
      <alignment vertical="center"/>
      <protection locked="0"/>
    </xf>
    <xf numFmtId="0" fontId="42" fillId="4" borderId="10" xfId="0" applyFont="1" applyFill="1" applyBorder="1" applyAlignment="1" applyProtection="1">
      <alignment vertical="center"/>
      <protection locked="0"/>
    </xf>
    <xf numFmtId="0" fontId="42" fillId="4" borderId="11" xfId="0" quotePrefix="1" applyFont="1" applyFill="1" applyBorder="1" applyAlignment="1" applyProtection="1">
      <alignment vertical="center"/>
      <protection locked="0"/>
    </xf>
    <xf numFmtId="0" fontId="42" fillId="4" borderId="1" xfId="0" applyFont="1" applyFill="1" applyBorder="1" applyAlignment="1" applyProtection="1">
      <alignment horizontal="left" vertical="center"/>
      <protection locked="0"/>
    </xf>
    <xf numFmtId="0" fontId="42" fillId="4" borderId="1" xfId="0" applyFont="1" applyFill="1" applyBorder="1" applyAlignment="1" applyProtection="1">
      <alignment vertical="center"/>
      <protection locked="0"/>
    </xf>
    <xf numFmtId="0" fontId="42" fillId="4" borderId="13" xfId="0" applyFont="1" applyFill="1" applyBorder="1" applyAlignment="1" applyProtection="1">
      <alignment vertical="center"/>
      <protection locked="0"/>
    </xf>
    <xf numFmtId="0" fontId="42" fillId="5" borderId="57" xfId="0" applyFont="1" applyFill="1" applyBorder="1" applyAlignment="1">
      <alignment horizontal="left" vertical="center"/>
    </xf>
    <xf numFmtId="0" fontId="42" fillId="5" borderId="58" xfId="0" applyFont="1" applyFill="1" applyBorder="1" applyAlignment="1" applyProtection="1">
      <alignment vertical="center"/>
      <protection locked="0"/>
    </xf>
    <xf numFmtId="0" fontId="48" fillId="5" borderId="58" xfId="0" applyFont="1" applyFill="1" applyBorder="1" applyAlignment="1" applyProtection="1">
      <alignment vertical="center"/>
      <protection locked="0"/>
    </xf>
    <xf numFmtId="10" fontId="44" fillId="5" borderId="58" xfId="11" applyNumberFormat="1" applyFont="1" applyFill="1" applyBorder="1" applyAlignment="1" applyProtection="1">
      <alignment vertical="center"/>
      <protection locked="0"/>
    </xf>
    <xf numFmtId="0" fontId="44" fillId="5" borderId="58" xfId="0" applyFont="1" applyFill="1" applyBorder="1" applyAlignment="1" applyProtection="1">
      <alignment vertical="center"/>
      <protection locked="0"/>
    </xf>
    <xf numFmtId="0" fontId="44" fillId="5" borderId="58" xfId="0" applyFont="1" applyFill="1" applyBorder="1" applyAlignment="1" applyProtection="1">
      <alignment horizontal="right" vertical="center"/>
      <protection locked="0"/>
    </xf>
    <xf numFmtId="0" fontId="44" fillId="5" borderId="0" xfId="0" applyFont="1" applyFill="1" applyAlignment="1" applyProtection="1">
      <alignment vertical="center"/>
      <protection locked="0"/>
    </xf>
    <xf numFmtId="0" fontId="49" fillId="5" borderId="0" xfId="0" applyFont="1" applyFill="1" applyAlignment="1" applyProtection="1">
      <alignment horizontal="right" vertical="center"/>
      <protection locked="0"/>
    </xf>
    <xf numFmtId="2" fontId="49" fillId="5" borderId="0" xfId="0" applyNumberFormat="1" applyFont="1" applyFill="1" applyAlignment="1" applyProtection="1">
      <alignment horizontal="center" vertical="center"/>
      <protection locked="0"/>
    </xf>
    <xf numFmtId="16" fontId="44" fillId="5" borderId="0" xfId="0" applyNumberFormat="1" applyFont="1" applyFill="1" applyAlignment="1">
      <alignment vertical="center"/>
    </xf>
    <xf numFmtId="0" fontId="44" fillId="5" borderId="0" xfId="0" applyFont="1" applyFill="1" applyAlignment="1">
      <alignment vertical="center"/>
    </xf>
    <xf numFmtId="16" fontId="42" fillId="5" borderId="0" xfId="0" applyNumberFormat="1" applyFont="1" applyFill="1" applyAlignment="1">
      <alignment horizontal="right" vertical="center"/>
    </xf>
    <xf numFmtId="0" fontId="42" fillId="5" borderId="0" xfId="0" applyFont="1" applyFill="1" applyAlignment="1">
      <alignment horizontal="right" vertical="center"/>
    </xf>
    <xf numFmtId="0" fontId="42" fillId="5" borderId="49" xfId="0" applyFont="1" applyFill="1" applyBorder="1" applyAlignment="1">
      <alignment vertical="center"/>
    </xf>
    <xf numFmtId="0" fontId="6" fillId="4" borderId="11" xfId="0" applyFont="1" applyFill="1" applyBorder="1" applyAlignment="1" applyProtection="1">
      <alignment vertical="center"/>
      <protection locked="0"/>
    </xf>
    <xf numFmtId="0" fontId="16" fillId="0" borderId="0" xfId="7"/>
    <xf numFmtId="0" fontId="17" fillId="6" borderId="14" xfId="0" applyFont="1" applyFill="1" applyBorder="1" applyAlignment="1" applyProtection="1">
      <alignment vertical="center"/>
      <protection locked="0"/>
    </xf>
    <xf numFmtId="0" fontId="17" fillId="6" borderId="15" xfId="0" applyFont="1" applyFill="1" applyBorder="1" applyAlignment="1" applyProtection="1">
      <protection locked="0"/>
    </xf>
    <xf numFmtId="0" fontId="0" fillId="0" borderId="0" xfId="0" applyAlignment="1"/>
    <xf numFmtId="0" fontId="5" fillId="0" borderId="16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horizontal="left" indent="1"/>
      <protection locked="0"/>
    </xf>
    <xf numFmtId="0" fontId="5" fillId="0" borderId="20" xfId="0" applyFont="1" applyBorder="1" applyAlignment="1" applyProtection="1">
      <alignment vertical="center"/>
      <protection locked="0"/>
    </xf>
    <xf numFmtId="14" fontId="0" fillId="0" borderId="21" xfId="0" applyNumberFormat="1" applyBorder="1" applyAlignment="1">
      <alignment horizontal="left" indent="1"/>
    </xf>
    <xf numFmtId="0" fontId="5" fillId="0" borderId="22" xfId="0" applyFont="1" applyBorder="1" applyAlignment="1" applyProtection="1">
      <alignment horizontal="left" indent="1"/>
      <protection locked="0"/>
    </xf>
    <xf numFmtId="0" fontId="16" fillId="0" borderId="21" xfId="0" applyFont="1" applyBorder="1" applyAlignment="1">
      <alignment horizontal="center"/>
    </xf>
    <xf numFmtId="0" fontId="5" fillId="0" borderId="23" xfId="0" applyFont="1" applyBorder="1" applyAlignment="1" applyProtection="1">
      <alignment vertical="center"/>
      <protection locked="0"/>
    </xf>
    <xf numFmtId="14" fontId="5" fillId="0" borderId="24" xfId="0" applyNumberFormat="1" applyFont="1" applyBorder="1" applyAlignment="1" applyProtection="1">
      <alignment horizontal="left" indent="1"/>
      <protection locked="0"/>
    </xf>
    <xf numFmtId="0" fontId="18" fillId="0" borderId="1" xfId="8" applyFont="1" applyBorder="1"/>
    <xf numFmtId="0" fontId="19" fillId="0" borderId="1" xfId="8" applyFont="1" applyBorder="1" applyAlignment="1">
      <alignment vertical="center" wrapText="1"/>
    </xf>
    <xf numFmtId="0" fontId="18" fillId="4" borderId="6" xfId="8" applyFont="1" applyFill="1" applyBorder="1" applyAlignment="1">
      <alignment horizontal="center" vertical="center"/>
    </xf>
    <xf numFmtId="0" fontId="23" fillId="4" borderId="25" xfId="8" applyFont="1" applyFill="1" applyBorder="1" applyAlignment="1" applyProtection="1">
      <alignment horizontal="center"/>
      <protection locked="0"/>
    </xf>
    <xf numFmtId="0" fontId="24" fillId="4" borderId="25" xfId="8" applyFont="1" applyFill="1" applyBorder="1" applyAlignment="1">
      <alignment horizontal="center"/>
    </xf>
    <xf numFmtId="0" fontId="25" fillId="0" borderId="11" xfId="8" applyFont="1" applyBorder="1" applyAlignment="1" applyProtection="1">
      <alignment horizontal="left"/>
      <protection locked="0"/>
    </xf>
    <xf numFmtId="0" fontId="27" fillId="0" borderId="11" xfId="8" applyFont="1" applyBorder="1" applyProtection="1">
      <protection locked="0"/>
    </xf>
    <xf numFmtId="0" fontId="28" fillId="0" borderId="11" xfId="8" applyFont="1" applyBorder="1" applyAlignment="1" applyProtection="1">
      <alignment horizontal="center"/>
      <protection locked="0"/>
    </xf>
    <xf numFmtId="0" fontId="28" fillId="0" borderId="26" xfId="8" applyFont="1" applyBorder="1" applyAlignment="1">
      <alignment horizontal="center"/>
    </xf>
    <xf numFmtId="0" fontId="29" fillId="0" borderId="11" xfId="8" applyFont="1" applyBorder="1" applyAlignment="1" applyProtection="1">
      <alignment horizontal="left" indent="2"/>
      <protection locked="0"/>
    </xf>
    <xf numFmtId="0" fontId="27" fillId="0" borderId="11" xfId="8" applyFont="1" applyBorder="1" applyAlignment="1" applyProtection="1">
      <alignment horizontal="center"/>
      <protection locked="0"/>
    </xf>
    <xf numFmtId="0" fontId="31" fillId="0" borderId="11" xfId="8" applyFont="1" applyBorder="1" applyAlignment="1" applyProtection="1">
      <alignment horizontal="center"/>
      <protection locked="0"/>
    </xf>
    <xf numFmtId="0" fontId="27" fillId="0" borderId="26" xfId="8" applyFont="1" applyBorder="1" applyAlignment="1" applyProtection="1">
      <alignment horizontal="center"/>
      <protection locked="0"/>
    </xf>
    <xf numFmtId="2" fontId="27" fillId="0" borderId="6" xfId="8" applyNumberFormat="1" applyFont="1" applyBorder="1" applyAlignment="1" applyProtection="1">
      <alignment horizontal="center"/>
      <protection locked="0"/>
    </xf>
    <xf numFmtId="0" fontId="27" fillId="0" borderId="2" xfId="8" applyFont="1" applyBorder="1" applyProtection="1">
      <protection locked="0"/>
    </xf>
    <xf numFmtId="0" fontId="31" fillId="0" borderId="2" xfId="8" applyFont="1" applyBorder="1" applyAlignment="1" applyProtection="1">
      <alignment horizontal="center"/>
      <protection locked="0"/>
    </xf>
    <xf numFmtId="0" fontId="23" fillId="0" borderId="2" xfId="8" applyFont="1" applyBorder="1" applyAlignment="1" applyProtection="1">
      <alignment horizontal="center"/>
      <protection locked="0"/>
    </xf>
    <xf numFmtId="0" fontId="25" fillId="0" borderId="11" xfId="8" applyFont="1" applyBorder="1" applyProtection="1">
      <protection locked="0"/>
    </xf>
    <xf numFmtId="0" fontId="30" fillId="0" borderId="26" xfId="8" applyFont="1" applyBorder="1" applyAlignment="1" applyProtection="1">
      <alignment horizontal="center"/>
      <protection locked="0"/>
    </xf>
    <xf numFmtId="4" fontId="22" fillId="0" borderId="11" xfId="8" applyNumberFormat="1" applyFont="1" applyBorder="1" applyAlignment="1" applyProtection="1">
      <alignment horizontal="center"/>
      <protection locked="0"/>
    </xf>
    <xf numFmtId="2" fontId="27" fillId="0" borderId="11" xfId="8" applyNumberFormat="1" applyFont="1" applyBorder="1" applyAlignment="1" applyProtection="1">
      <alignment horizontal="center"/>
      <protection locked="0"/>
    </xf>
    <xf numFmtId="0" fontId="27" fillId="0" borderId="2" xfId="8" applyFont="1" applyBorder="1" applyAlignment="1" applyProtection="1">
      <alignment horizontal="center"/>
      <protection locked="0"/>
    </xf>
    <xf numFmtId="0" fontId="25" fillId="0" borderId="11" xfId="8" applyFont="1" applyBorder="1" applyAlignment="1" applyProtection="1">
      <alignment vertical="center" wrapText="1"/>
      <protection locked="0"/>
    </xf>
    <xf numFmtId="0" fontId="27" fillId="0" borderId="11" xfId="8" applyFont="1" applyBorder="1" applyAlignment="1" applyProtection="1">
      <alignment wrapText="1"/>
      <protection locked="0"/>
    </xf>
    <xf numFmtId="3" fontId="27" fillId="0" borderId="26" xfId="8" applyNumberFormat="1" applyFont="1" applyBorder="1" applyAlignment="1" applyProtection="1">
      <alignment horizontal="center"/>
      <protection locked="0"/>
    </xf>
    <xf numFmtId="3" fontId="31" fillId="0" borderId="26" xfId="3" applyNumberFormat="1" applyFont="1" applyBorder="1" applyAlignment="1" applyProtection="1">
      <alignment horizontal="center" wrapText="1"/>
      <protection locked="0"/>
    </xf>
    <xf numFmtId="0" fontId="30" fillId="0" borderId="2" xfId="8" applyFont="1" applyBorder="1" applyProtection="1">
      <protection locked="0"/>
    </xf>
    <xf numFmtId="0" fontId="25" fillId="0" borderId="0" xfId="8" applyFont="1" applyAlignment="1" applyProtection="1">
      <alignment vertical="center" wrapText="1"/>
      <protection locked="0"/>
    </xf>
    <xf numFmtId="3" fontId="32" fillId="0" borderId="11" xfId="8" applyNumberFormat="1" applyFont="1" applyBorder="1" applyAlignment="1" applyProtection="1">
      <alignment horizontal="center"/>
      <protection locked="0"/>
    </xf>
    <xf numFmtId="3" fontId="22" fillId="0" borderId="11" xfId="8" applyNumberFormat="1" applyFont="1" applyBorder="1" applyAlignment="1" applyProtection="1">
      <alignment horizontal="center"/>
      <protection locked="0"/>
    </xf>
    <xf numFmtId="0" fontId="30" fillId="0" borderId="11" xfId="8" applyFont="1" applyBorder="1" applyProtection="1">
      <protection locked="0"/>
    </xf>
    <xf numFmtId="9" fontId="27" fillId="0" borderId="26" xfId="3" applyNumberFormat="1" applyFont="1" applyBorder="1" applyAlignment="1" applyProtection="1">
      <alignment horizontal="center"/>
      <protection locked="0"/>
    </xf>
    <xf numFmtId="3" fontId="27" fillId="0" borderId="26" xfId="3" applyNumberFormat="1" applyFont="1" applyBorder="1" applyAlignment="1" applyProtection="1">
      <alignment horizontal="center"/>
      <protection locked="0"/>
    </xf>
    <xf numFmtId="0" fontId="31" fillId="0" borderId="9" xfId="8" applyFont="1" applyBorder="1" applyAlignment="1" applyProtection="1">
      <alignment horizontal="center"/>
      <protection locked="0"/>
    </xf>
    <xf numFmtId="0" fontId="31" fillId="0" borderId="26" xfId="8" applyFont="1" applyBorder="1" applyAlignment="1" applyProtection="1">
      <alignment horizontal="center"/>
      <protection locked="0"/>
    </xf>
    <xf numFmtId="10" fontId="27" fillId="0" borderId="26" xfId="3" applyNumberFormat="1" applyFont="1" applyBorder="1" applyAlignment="1" applyProtection="1">
      <alignment horizontal="center"/>
      <protection locked="0"/>
    </xf>
    <xf numFmtId="3" fontId="31" fillId="0" borderId="26" xfId="8" applyNumberFormat="1" applyFont="1" applyBorder="1" applyAlignment="1">
      <alignment horizontal="center"/>
    </xf>
    <xf numFmtId="2" fontId="27" fillId="0" borderId="26" xfId="8" applyNumberFormat="1" applyFont="1" applyBorder="1" applyAlignment="1" applyProtection="1">
      <alignment horizontal="center"/>
      <protection locked="0"/>
    </xf>
    <xf numFmtId="3" fontId="27" fillId="0" borderId="26" xfId="8" applyNumberFormat="1" applyFont="1" applyBorder="1" applyAlignment="1">
      <alignment horizontal="center"/>
    </xf>
    <xf numFmtId="0" fontId="27" fillId="0" borderId="0" xfId="8" applyFont="1"/>
    <xf numFmtId="4" fontId="27" fillId="0" borderId="0" xfId="8" applyNumberFormat="1" applyFont="1"/>
    <xf numFmtId="0" fontId="25" fillId="0" borderId="9" xfId="8" applyFont="1" applyBorder="1" applyProtection="1">
      <protection locked="0"/>
    </xf>
    <xf numFmtId="0" fontId="27" fillId="0" borderId="3" xfId="8" applyFont="1" applyBorder="1" applyAlignment="1" applyProtection="1">
      <alignment horizontal="center"/>
      <protection locked="0"/>
    </xf>
    <xf numFmtId="4" fontId="22" fillId="0" borderId="9" xfId="8" applyNumberFormat="1" applyFont="1" applyBorder="1" applyAlignment="1" applyProtection="1">
      <alignment horizontal="center"/>
      <protection locked="0"/>
    </xf>
    <xf numFmtId="0" fontId="27" fillId="0" borderId="6" xfId="8" applyFont="1" applyBorder="1" applyProtection="1">
      <protection locked="0"/>
    </xf>
    <xf numFmtId="0" fontId="31" fillId="0" borderId="6" xfId="8" applyFont="1" applyBorder="1" applyAlignment="1" applyProtection="1">
      <alignment horizontal="center"/>
      <protection locked="0"/>
    </xf>
    <xf numFmtId="0" fontId="27" fillId="0" borderId="8" xfId="8" applyFont="1" applyBorder="1" applyAlignment="1" applyProtection="1">
      <alignment horizontal="center"/>
      <protection locked="0"/>
    </xf>
    <xf numFmtId="0" fontId="34" fillId="0" borderId="0" xfId="0" applyFont="1" applyAlignment="1">
      <alignment vertical="center"/>
    </xf>
    <xf numFmtId="0" fontId="35" fillId="4" borderId="8" xfId="0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Alignment="1" applyProtection="1">
      <alignment horizontal="left" vertical="center"/>
      <protection locked="0"/>
    </xf>
    <xf numFmtId="0" fontId="10" fillId="5" borderId="0" xfId="0" applyFont="1" applyFill="1" applyAlignment="1">
      <alignment vertical="center"/>
    </xf>
    <xf numFmtId="0" fontId="6" fillId="5" borderId="0" xfId="0" applyFont="1" applyFill="1" applyAlignment="1" applyProtection="1">
      <alignment horizontal="left" vertical="center"/>
      <protection locked="0"/>
    </xf>
    <xf numFmtId="2" fontId="28" fillId="0" borderId="11" xfId="8" applyNumberFormat="1" applyFont="1" applyBorder="1" applyAlignment="1" applyProtection="1">
      <alignment horizontal="center"/>
      <protection locked="0"/>
    </xf>
    <xf numFmtId="2" fontId="28" fillId="0" borderId="26" xfId="8" applyNumberFormat="1" applyFont="1" applyBorder="1" applyAlignment="1">
      <alignment horizontal="center"/>
    </xf>
    <xf numFmtId="0" fontId="5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6" borderId="15" xfId="0" applyFill="1" applyBorder="1" applyAlignment="1">
      <alignment horizontal="center"/>
    </xf>
    <xf numFmtId="0" fontId="17" fillId="6" borderId="15" xfId="0" applyFont="1" applyFill="1" applyBorder="1" applyAlignment="1" applyProtection="1">
      <alignment horizontal="center"/>
      <protection locked="0"/>
    </xf>
    <xf numFmtId="0" fontId="17" fillId="6" borderId="27" xfId="0" applyFont="1" applyFill="1" applyBorder="1" applyAlignment="1" applyProtection="1">
      <alignment horizontal="center"/>
      <protection locked="0"/>
    </xf>
    <xf numFmtId="0" fontId="0" fillId="0" borderId="28" xfId="0" applyBorder="1" applyAlignment="1">
      <alignment horizontal="center"/>
    </xf>
    <xf numFmtId="0" fontId="0" fillId="0" borderId="28" xfId="0" applyBorder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6" fillId="0" borderId="29" xfId="0" applyFont="1" applyBorder="1" applyAlignment="1" applyProtection="1">
      <alignment horizontal="center"/>
      <protection locked="0"/>
    </xf>
    <xf numFmtId="0" fontId="0" fillId="0" borderId="21" xfId="0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16" fillId="0" borderId="21" xfId="0" applyFont="1" applyBorder="1" applyAlignment="1" applyProtection="1">
      <alignment horizontal="center"/>
      <protection locked="0"/>
    </xf>
    <xf numFmtId="0" fontId="16" fillId="0" borderId="30" xfId="0" applyFont="1" applyBorder="1" applyAlignment="1" applyProtection="1">
      <alignment horizontal="center"/>
      <protection locked="0"/>
    </xf>
    <xf numFmtId="14" fontId="0" fillId="0" borderId="31" xfId="0" applyNumberFormat="1" applyBorder="1" applyAlignment="1">
      <alignment horizontal="center"/>
    </xf>
    <xf numFmtId="0" fontId="0" fillId="0" borderId="31" xfId="0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2" xfId="0" applyFont="1" applyBorder="1" applyAlignment="1" applyProtection="1">
      <alignment horizontal="center"/>
      <protection locked="0"/>
    </xf>
    <xf numFmtId="0" fontId="19" fillId="0" borderId="1" xfId="8" applyFont="1" applyBorder="1" applyAlignment="1">
      <alignment horizontal="center" vertical="center" wrapText="1"/>
    </xf>
    <xf numFmtId="0" fontId="18" fillId="0" borderId="1" xfId="8" applyFont="1" applyBorder="1" applyAlignment="1">
      <alignment horizontal="center" vertical="center"/>
    </xf>
    <xf numFmtId="0" fontId="26" fillId="0" borderId="11" xfId="8" applyFont="1" applyBorder="1" applyAlignment="1" applyProtection="1">
      <alignment horizontal="center"/>
      <protection locked="0"/>
    </xf>
    <xf numFmtId="0" fontId="27" fillId="0" borderId="26" xfId="8" applyFont="1" applyBorder="1" applyAlignment="1">
      <alignment horizontal="center"/>
    </xf>
    <xf numFmtId="3" fontId="27" fillId="0" borderId="11" xfId="8" applyNumberFormat="1" applyFont="1" applyBorder="1" applyAlignment="1" applyProtection="1">
      <alignment horizontal="center"/>
      <protection locked="0"/>
    </xf>
    <xf numFmtId="3" fontId="30" fillId="0" borderId="2" xfId="8" applyNumberFormat="1" applyFont="1" applyBorder="1" applyAlignment="1" applyProtection="1">
      <alignment horizontal="center"/>
      <protection locked="0"/>
    </xf>
    <xf numFmtId="3" fontId="27" fillId="0" borderId="25" xfId="8" applyNumberFormat="1" applyFont="1" applyBorder="1" applyAlignment="1">
      <alignment horizontal="center"/>
    </xf>
    <xf numFmtId="4" fontId="27" fillId="0" borderId="11" xfId="8" applyNumberFormat="1" applyFont="1" applyBorder="1" applyAlignment="1">
      <alignment horizontal="center"/>
    </xf>
    <xf numFmtId="4" fontId="27" fillId="0" borderId="11" xfId="8" applyNumberFormat="1" applyFont="1" applyBorder="1" applyAlignment="1" applyProtection="1">
      <alignment horizontal="center"/>
      <protection locked="0"/>
    </xf>
    <xf numFmtId="3" fontId="27" fillId="0" borderId="11" xfId="8" applyNumberFormat="1" applyFont="1" applyBorder="1" applyAlignment="1">
      <alignment horizontal="center"/>
    </xf>
    <xf numFmtId="0" fontId="27" fillId="0" borderId="11" xfId="8" applyFont="1" applyBorder="1" applyAlignment="1">
      <alignment horizontal="center"/>
    </xf>
    <xf numFmtId="4" fontId="27" fillId="0" borderId="11" xfId="3" applyNumberFormat="1" applyFont="1" applyBorder="1" applyAlignment="1" applyProtection="1">
      <alignment horizontal="center"/>
      <protection locked="0"/>
    </xf>
    <xf numFmtId="4" fontId="30" fillId="0" borderId="2" xfId="8" applyNumberFormat="1" applyFont="1" applyBorder="1" applyAlignment="1" applyProtection="1">
      <alignment horizontal="center"/>
      <protection locked="0"/>
    </xf>
    <xf numFmtId="9" fontId="27" fillId="0" borderId="11" xfId="11" applyFont="1" applyBorder="1" applyAlignment="1" applyProtection="1">
      <alignment horizontal="center"/>
      <protection locked="0"/>
    </xf>
    <xf numFmtId="3" fontId="27" fillId="0" borderId="6" xfId="8" applyNumberFormat="1" applyFont="1" applyBorder="1" applyAlignment="1" applyProtection="1">
      <alignment horizontal="center"/>
      <protection locked="0"/>
    </xf>
    <xf numFmtId="0" fontId="27" fillId="0" borderId="0" xfId="8" applyFont="1" applyAlignment="1">
      <alignment horizontal="center"/>
    </xf>
    <xf numFmtId="4" fontId="30" fillId="0" borderId="0" xfId="8" applyNumberFormat="1" applyFont="1" applyAlignment="1">
      <alignment horizontal="center"/>
    </xf>
    <xf numFmtId="0" fontId="7" fillId="4" borderId="8" xfId="0" applyFont="1" applyFill="1" applyBorder="1" applyAlignment="1" applyProtection="1">
      <alignment horizontal="center" vertical="center"/>
      <protection locked="0"/>
    </xf>
    <xf numFmtId="9" fontId="51" fillId="4" borderId="1" xfId="11" applyFont="1" applyFill="1" applyBorder="1" applyAlignment="1" applyProtection="1">
      <alignment vertical="center"/>
      <protection locked="0"/>
    </xf>
    <xf numFmtId="9" fontId="51" fillId="4" borderId="1" xfId="11" applyFont="1" applyFill="1" applyBorder="1" applyAlignment="1" applyProtection="1">
      <alignment horizontal="left" vertical="center"/>
      <protection locked="0"/>
    </xf>
    <xf numFmtId="10" fontId="9" fillId="2" borderId="9" xfId="0" applyNumberFormat="1" applyFont="1" applyFill="1" applyBorder="1" applyAlignment="1">
      <alignment vertical="center"/>
    </xf>
    <xf numFmtId="10" fontId="9" fillId="2" borderId="10" xfId="0" applyNumberFormat="1" applyFont="1" applyFill="1" applyBorder="1" applyAlignment="1">
      <alignment vertical="center"/>
    </xf>
    <xf numFmtId="10" fontId="9" fillId="2" borderId="14" xfId="0" applyNumberFormat="1" applyFont="1" applyFill="1" applyBorder="1" applyAlignment="1">
      <alignment vertical="center"/>
    </xf>
    <xf numFmtId="10" fontId="9" fillId="2" borderId="33" xfId="0" applyNumberFormat="1" applyFont="1" applyFill="1" applyBorder="1" applyAlignment="1">
      <alignment vertical="center"/>
    </xf>
    <xf numFmtId="16" fontId="10" fillId="2" borderId="0" xfId="0" applyNumberFormat="1" applyFont="1" applyFill="1" applyAlignment="1">
      <alignment horizontal="left" vertical="center"/>
    </xf>
    <xf numFmtId="4" fontId="27" fillId="0" borderId="0" xfId="3" applyNumberFormat="1" applyFont="1" applyAlignment="1" applyProtection="1">
      <alignment horizontal="center"/>
      <protection locked="0"/>
    </xf>
    <xf numFmtId="4" fontId="31" fillId="0" borderId="26" xfId="8" applyNumberFormat="1" applyFont="1" applyBorder="1" applyAlignment="1" applyProtection="1">
      <alignment horizontal="center"/>
      <protection locked="0"/>
    </xf>
    <xf numFmtId="0" fontId="27" fillId="0" borderId="11" xfId="8" applyFont="1" applyBorder="1" applyAlignment="1" applyProtection="1">
      <alignment vertical="center" wrapText="1"/>
      <protection locked="0"/>
    </xf>
    <xf numFmtId="0" fontId="16" fillId="0" borderId="0" xfId="7" applyAlignment="1">
      <alignment vertical="center"/>
    </xf>
    <xf numFmtId="3" fontId="27" fillId="0" borderId="26" xfId="8" applyNumberFormat="1" applyFont="1" applyBorder="1" applyAlignment="1" applyProtection="1">
      <alignment horizontal="center" vertical="center"/>
      <protection locked="0"/>
    </xf>
    <xf numFmtId="3" fontId="31" fillId="0" borderId="26" xfId="3" applyNumberFormat="1" applyFont="1" applyBorder="1" applyAlignment="1" applyProtection="1">
      <alignment horizontal="center" vertical="center" wrapText="1"/>
      <protection locked="0"/>
    </xf>
    <xf numFmtId="4" fontId="27" fillId="0" borderId="11" xfId="8" applyNumberFormat="1" applyFont="1" applyBorder="1" applyAlignment="1" applyProtection="1">
      <alignment horizontal="center" vertical="center"/>
      <protection locked="0"/>
    </xf>
    <xf numFmtId="4" fontId="27" fillId="0" borderId="11" xfId="8" applyNumberFormat="1" applyFont="1" applyBorder="1" applyAlignment="1">
      <alignment horizontal="center" vertical="center"/>
    </xf>
    <xf numFmtId="0" fontId="31" fillId="0" borderId="11" xfId="8" applyFont="1" applyBorder="1" applyAlignment="1" applyProtection="1">
      <alignment horizontal="center" vertical="center"/>
      <protection locked="0"/>
    </xf>
    <xf numFmtId="0" fontId="27" fillId="0" borderId="26" xfId="8" applyFont="1" applyBorder="1" applyAlignment="1" applyProtection="1">
      <alignment horizontal="center" vertical="center"/>
      <protection locked="0"/>
    </xf>
    <xf numFmtId="3" fontId="27" fillId="0" borderId="11" xfId="8" applyNumberFormat="1" applyFont="1" applyBorder="1" applyAlignment="1">
      <alignment horizontal="center" vertical="center"/>
    </xf>
    <xf numFmtId="0" fontId="33" fillId="4" borderId="1" xfId="6" applyFont="1" applyFill="1" applyBorder="1" applyAlignment="1">
      <alignment horizontal="left" vertical="center" indent="1"/>
    </xf>
    <xf numFmtId="0" fontId="11" fillId="2" borderId="61" xfId="0" applyFont="1" applyFill="1" applyBorder="1" applyAlignment="1">
      <alignment vertical="center"/>
    </xf>
    <xf numFmtId="0" fontId="11" fillId="2" borderId="54" xfId="0" applyFont="1" applyFill="1" applyBorder="1" applyAlignment="1">
      <alignment vertical="center"/>
    </xf>
    <xf numFmtId="0" fontId="52" fillId="7" borderId="0" xfId="8" applyFont="1" applyFill="1" applyAlignment="1">
      <alignment horizontal="center"/>
    </xf>
    <xf numFmtId="0" fontId="37" fillId="0" borderId="0" xfId="10"/>
    <xf numFmtId="0" fontId="38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vertical="center"/>
    </xf>
    <xf numFmtId="0" fontId="0" fillId="0" borderId="0" xfId="0" applyAlignment="1">
      <alignment vertical="top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5" fillId="0" borderId="34" xfId="0" quotePrefix="1" applyFont="1" applyBorder="1" applyAlignment="1" applyProtection="1">
      <alignment horizontal="center" vertical="center"/>
      <protection locked="0"/>
    </xf>
    <xf numFmtId="0" fontId="56" fillId="0" borderId="35" xfId="0" applyFont="1" applyBorder="1" applyAlignment="1" applyProtection="1">
      <alignment vertical="center"/>
      <protection locked="0"/>
    </xf>
    <xf numFmtId="0" fontId="56" fillId="0" borderId="35" xfId="0" applyFont="1" applyBorder="1" applyAlignment="1" applyProtection="1">
      <alignment horizontal="center" vertical="center"/>
      <protection locked="0"/>
    </xf>
    <xf numFmtId="4" fontId="56" fillId="0" borderId="35" xfId="0" applyNumberFormat="1" applyFont="1" applyBorder="1" applyAlignment="1" applyProtection="1">
      <alignment horizontal="center" vertical="center"/>
      <protection locked="0"/>
    </xf>
    <xf numFmtId="4" fontId="56" fillId="0" borderId="36" xfId="0" applyNumberFormat="1" applyFont="1" applyBorder="1" applyAlignment="1" applyProtection="1">
      <alignment horizontal="center" vertical="center"/>
      <protection locked="0"/>
    </xf>
    <xf numFmtId="0" fontId="57" fillId="0" borderId="34" xfId="0" quotePrefix="1" applyFont="1" applyBorder="1" applyAlignment="1" applyProtection="1">
      <alignment horizontal="center" vertical="center"/>
      <protection locked="0"/>
    </xf>
    <xf numFmtId="0" fontId="57" fillId="0" borderId="35" xfId="0" applyFont="1" applyBorder="1" applyAlignment="1" applyProtection="1">
      <alignment vertical="center" wrapText="1"/>
      <protection locked="0"/>
    </xf>
    <xf numFmtId="0" fontId="57" fillId="0" borderId="35" xfId="0" applyFont="1" applyBorder="1" applyAlignment="1" applyProtection="1">
      <alignment horizontal="center" vertical="center"/>
      <protection locked="0"/>
    </xf>
    <xf numFmtId="4" fontId="57" fillId="0" borderId="35" xfId="0" applyNumberFormat="1" applyFont="1" applyBorder="1" applyAlignment="1" applyProtection="1">
      <alignment horizontal="center" vertical="center"/>
      <protection locked="0"/>
    </xf>
    <xf numFmtId="4" fontId="57" fillId="0" borderId="36" xfId="0" applyNumberFormat="1" applyFont="1" applyBorder="1" applyAlignment="1" applyProtection="1">
      <alignment horizontal="center" vertical="center"/>
      <protection locked="0"/>
    </xf>
    <xf numFmtId="0" fontId="58" fillId="0" borderId="35" xfId="9" applyFont="1" applyBorder="1" applyAlignment="1">
      <alignment horizontal="left" vertical="center"/>
    </xf>
    <xf numFmtId="0" fontId="59" fillId="0" borderId="0" xfId="0" applyFont="1" applyAlignment="1">
      <alignment horizontal="right" vertical="center"/>
    </xf>
    <xf numFmtId="0" fontId="59" fillId="2" borderId="37" xfId="0" applyFont="1" applyFill="1" applyBorder="1" applyAlignment="1" applyProtection="1">
      <alignment horizontal="center" vertical="center"/>
      <protection locked="0"/>
    </xf>
    <xf numFmtId="0" fontId="59" fillId="2" borderId="38" xfId="0" applyFont="1" applyFill="1" applyBorder="1" applyAlignment="1" applyProtection="1">
      <alignment horizontal="center" vertical="center"/>
      <protection locked="0"/>
    </xf>
    <xf numFmtId="0" fontId="59" fillId="0" borderId="37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/>
    </xf>
    <xf numFmtId="2" fontId="59" fillId="0" borderId="39" xfId="0" applyNumberFormat="1" applyFont="1" applyBorder="1" applyAlignment="1">
      <alignment horizontal="center" vertical="center" wrapText="1"/>
    </xf>
    <xf numFmtId="0" fontId="60" fillId="0" borderId="40" xfId="0" applyFont="1" applyBorder="1" applyAlignment="1">
      <alignment horizontal="center" vertical="center"/>
    </xf>
    <xf numFmtId="0" fontId="61" fillId="0" borderId="41" xfId="0" applyFont="1" applyBorder="1" applyAlignment="1">
      <alignment horizontal="left" vertical="top" wrapText="1"/>
    </xf>
    <xf numFmtId="0" fontId="60" fillId="0" borderId="41" xfId="0" applyFont="1" applyBorder="1" applyAlignment="1">
      <alignment horizontal="center" vertical="center"/>
    </xf>
    <xf numFmtId="4" fontId="61" fillId="0" borderId="42" xfId="0" applyNumberFormat="1" applyFont="1" applyBorder="1" applyAlignment="1">
      <alignment horizontal="center" vertical="center"/>
    </xf>
    <xf numFmtId="0" fontId="58" fillId="0" borderId="43" xfId="0" applyFont="1" applyBorder="1" applyAlignment="1">
      <alignment horizontal="center" vertical="center"/>
    </xf>
    <xf numFmtId="0" fontId="58" fillId="0" borderId="8" xfId="0" applyFont="1" applyBorder="1" applyAlignment="1">
      <alignment horizontal="left" vertical="top" wrapText="1"/>
    </xf>
    <xf numFmtId="0" fontId="58" fillId="0" borderId="8" xfId="0" applyFont="1" applyBorder="1" applyAlignment="1">
      <alignment horizontal="center" vertical="center"/>
    </xf>
    <xf numFmtId="4" fontId="58" fillId="0" borderId="8" xfId="0" applyNumberFormat="1" applyFont="1" applyBorder="1" applyAlignment="1">
      <alignment horizontal="center" vertical="center"/>
    </xf>
    <xf numFmtId="4" fontId="58" fillId="0" borderId="44" xfId="0" applyNumberFormat="1" applyFont="1" applyBorder="1" applyAlignment="1">
      <alignment horizontal="center" vertical="center"/>
    </xf>
    <xf numFmtId="0" fontId="60" fillId="0" borderId="43" xfId="0" applyFont="1" applyBorder="1" applyAlignment="1">
      <alignment horizontal="center" vertical="center"/>
    </xf>
    <xf numFmtId="0" fontId="61" fillId="0" borderId="8" xfId="0" applyFont="1" applyBorder="1" applyAlignment="1">
      <alignment horizontal="left" vertical="top" wrapText="1"/>
    </xf>
    <xf numFmtId="0" fontId="60" fillId="0" borderId="8" xfId="0" applyFont="1" applyBorder="1" applyAlignment="1">
      <alignment horizontal="center" vertical="center"/>
    </xf>
    <xf numFmtId="4" fontId="61" fillId="0" borderId="44" xfId="0" applyNumberFormat="1" applyFont="1" applyBorder="1" applyAlignment="1">
      <alignment horizontal="center" vertical="center"/>
    </xf>
    <xf numFmtId="0" fontId="58" fillId="8" borderId="43" xfId="0" applyFont="1" applyFill="1" applyBorder="1" applyAlignment="1">
      <alignment horizontal="center" vertical="center"/>
    </xf>
    <xf numFmtId="0" fontId="58" fillId="8" borderId="8" xfId="0" applyFont="1" applyFill="1" applyBorder="1" applyAlignment="1">
      <alignment horizontal="left" vertical="top" wrapText="1"/>
    </xf>
    <xf numFmtId="4" fontId="58" fillId="8" borderId="8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58" fillId="8" borderId="43" xfId="0" quotePrefix="1" applyFont="1" applyFill="1" applyBorder="1" applyAlignment="1">
      <alignment horizontal="center" vertical="center"/>
    </xf>
    <xf numFmtId="0" fontId="58" fillId="0" borderId="43" xfId="0" quotePrefix="1" applyFont="1" applyBorder="1" applyAlignment="1">
      <alignment horizontal="center" vertical="center"/>
    </xf>
    <xf numFmtId="2" fontId="33" fillId="4" borderId="1" xfId="6" applyNumberFormat="1" applyFont="1" applyFill="1" applyBorder="1" applyAlignment="1">
      <alignment horizontal="left" vertical="center" indent="1"/>
    </xf>
    <xf numFmtId="0" fontId="59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2" fontId="16" fillId="0" borderId="0" xfId="7" applyNumberFormat="1"/>
    <xf numFmtId="2" fontId="27" fillId="0" borderId="26" xfId="8" applyNumberFormat="1" applyFont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67" fillId="12" borderId="0" xfId="0" applyFont="1" applyFill="1" applyAlignment="1">
      <alignment vertical="center"/>
    </xf>
    <xf numFmtId="4" fontId="18" fillId="0" borderId="0" xfId="8" applyNumberFormat="1" applyFont="1" applyAlignment="1">
      <alignment horizontal="center"/>
    </xf>
    <xf numFmtId="4" fontId="0" fillId="0" borderId="8" xfId="0" applyNumberFormat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68" fillId="0" borderId="40" xfId="0" applyFont="1" applyBorder="1" applyAlignment="1">
      <alignment horizontal="center" vertical="center"/>
    </xf>
    <xf numFmtId="0" fontId="68" fillId="0" borderId="41" xfId="0" applyFont="1" applyBorder="1" applyAlignment="1">
      <alignment vertical="center"/>
    </xf>
    <xf numFmtId="0" fontId="66" fillId="0" borderId="41" xfId="0" applyFont="1" applyBorder="1" applyAlignment="1">
      <alignment horizontal="center" vertical="center"/>
    </xf>
    <xf numFmtId="4" fontId="66" fillId="0" borderId="41" xfId="0" applyNumberFormat="1" applyFont="1" applyBorder="1" applyAlignment="1">
      <alignment horizontal="right" vertical="center"/>
    </xf>
    <xf numFmtId="4" fontId="68" fillId="0" borderId="42" xfId="0" applyNumberFormat="1" applyFont="1" applyBorder="1" applyAlignment="1">
      <alignment horizontal="right" vertical="center"/>
    </xf>
    <xf numFmtId="0" fontId="67" fillId="12" borderId="0" xfId="0" applyFont="1" applyFill="1" applyAlignment="1"/>
    <xf numFmtId="0" fontId="67" fillId="12" borderId="0" xfId="0" applyFont="1" applyFill="1" applyAlignment="1">
      <alignment horizontal="center" vertical="center"/>
    </xf>
    <xf numFmtId="4" fontId="67" fillId="12" borderId="0" xfId="0" applyNumberFormat="1" applyFont="1" applyFill="1" applyAlignment="1">
      <alignment horizontal="right" vertical="center"/>
    </xf>
    <xf numFmtId="4" fontId="67" fillId="12" borderId="0" xfId="0" applyNumberFormat="1" applyFont="1" applyFill="1" applyAlignment="1">
      <alignment horizontal="center" vertical="center"/>
    </xf>
    <xf numFmtId="0" fontId="67" fillId="5" borderId="0" xfId="0" applyFont="1" applyFill="1" applyAlignment="1">
      <alignment vertical="center"/>
    </xf>
    <xf numFmtId="0" fontId="67" fillId="5" borderId="0" xfId="0" applyFont="1" applyFill="1" applyAlignment="1">
      <alignment horizontal="center" vertical="center"/>
    </xf>
    <xf numFmtId="4" fontId="67" fillId="5" borderId="0" xfId="0" applyNumberFormat="1" applyFont="1" applyFill="1" applyAlignment="1">
      <alignment horizontal="right" vertical="center"/>
    </xf>
    <xf numFmtId="2" fontId="16" fillId="0" borderId="0" xfId="7" applyNumberFormat="1" applyAlignment="1">
      <alignment horizontal="center"/>
    </xf>
    <xf numFmtId="2" fontId="27" fillId="0" borderId="26" xfId="3" applyNumberFormat="1" applyFont="1" applyBorder="1" applyAlignment="1">
      <alignment horizontal="center"/>
    </xf>
    <xf numFmtId="2" fontId="30" fillId="0" borderId="7" xfId="8" applyNumberFormat="1" applyFont="1" applyBorder="1" applyAlignment="1">
      <alignment horizontal="center"/>
    </xf>
    <xf numFmtId="2" fontId="30" fillId="0" borderId="8" xfId="3" applyNumberFormat="1" applyFont="1" applyBorder="1" applyAlignment="1">
      <alignment horizontal="center"/>
    </xf>
    <xf numFmtId="2" fontId="27" fillId="0" borderId="26" xfId="3" applyNumberFormat="1" applyFont="1" applyBorder="1" applyAlignment="1">
      <alignment horizontal="center" vertical="center"/>
    </xf>
    <xf numFmtId="2" fontId="27" fillId="0" borderId="25" xfId="3" applyNumberFormat="1" applyFont="1" applyBorder="1" applyAlignment="1">
      <alignment horizontal="center"/>
    </xf>
    <xf numFmtId="2" fontId="30" fillId="0" borderId="7" xfId="8" applyNumberFormat="1" applyFont="1" applyBorder="1" applyAlignment="1" applyProtection="1">
      <alignment horizontal="center"/>
      <protection locked="0"/>
    </xf>
    <xf numFmtId="0" fontId="67" fillId="5" borderId="0" xfId="0" applyFont="1" applyFill="1" applyAlignment="1"/>
    <xf numFmtId="0" fontId="18" fillId="4" borderId="3" xfId="8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6" fontId="42" fillId="4" borderId="65" xfId="0" applyNumberFormat="1" applyFont="1" applyFill="1" applyBorder="1" applyAlignment="1" applyProtection="1">
      <alignment vertical="center"/>
      <protection locked="0"/>
    </xf>
    <xf numFmtId="166" fontId="42" fillId="4" borderId="50" xfId="0" applyNumberFormat="1" applyFont="1" applyFill="1" applyBorder="1" applyAlignment="1" applyProtection="1">
      <alignment vertical="center"/>
      <protection locked="0"/>
    </xf>
    <xf numFmtId="166" fontId="45" fillId="4" borderId="68" xfId="0" applyNumberFormat="1" applyFont="1" applyFill="1" applyBorder="1" applyAlignment="1" applyProtection="1">
      <alignment horizontal="right" vertical="center"/>
      <protection locked="0"/>
    </xf>
    <xf numFmtId="164" fontId="42" fillId="5" borderId="0" xfId="0" applyNumberFormat="1" applyFont="1" applyFill="1" applyAlignment="1">
      <alignment horizontal="center" vertical="center"/>
    </xf>
    <xf numFmtId="165" fontId="42" fillId="5" borderId="0" xfId="0" applyNumberFormat="1" applyFont="1" applyFill="1" applyAlignment="1">
      <alignment vertical="center"/>
    </xf>
    <xf numFmtId="2" fontId="5" fillId="0" borderId="17" xfId="0" applyNumberFormat="1" applyFont="1" applyBorder="1" applyAlignment="1" applyProtection="1">
      <alignment horizontal="left" indent="1"/>
      <protection locked="0"/>
    </xf>
    <xf numFmtId="2" fontId="5" fillId="0" borderId="19" xfId="0" applyNumberFormat="1" applyFont="1" applyBorder="1" applyAlignment="1" applyProtection="1">
      <alignment horizontal="left" indent="1"/>
      <protection locked="0"/>
    </xf>
    <xf numFmtId="4" fontId="0" fillId="8" borderId="0" xfId="0" applyNumberFormat="1" applyFill="1" applyAlignment="1">
      <alignment horizontal="right" vertical="center"/>
    </xf>
    <xf numFmtId="167" fontId="0" fillId="0" borderId="0" xfId="0" applyNumberFormat="1" applyAlignment="1">
      <alignment vertical="center"/>
    </xf>
    <xf numFmtId="168" fontId="6" fillId="2" borderId="58" xfId="0" applyNumberFormat="1" applyFont="1" applyFill="1" applyBorder="1" applyAlignment="1">
      <alignment horizontal="center" vertical="center"/>
    </xf>
    <xf numFmtId="168" fontId="6" fillId="5" borderId="0" xfId="0" applyNumberFormat="1" applyFont="1" applyFill="1" applyAlignment="1">
      <alignment horizontal="center" vertical="center"/>
    </xf>
    <xf numFmtId="168" fontId="15" fillId="5" borderId="0" xfId="1" applyNumberFormat="1" applyFill="1" applyAlignment="1" applyProtection="1">
      <alignment horizontal="left" vertical="center"/>
      <protection locked="0"/>
    </xf>
    <xf numFmtId="168" fontId="12" fillId="5" borderId="0" xfId="0" applyNumberFormat="1" applyFont="1" applyFill="1" applyAlignment="1" applyProtection="1">
      <alignment horizontal="left" vertical="center"/>
      <protection locked="0"/>
    </xf>
    <xf numFmtId="168" fontId="6" fillId="2" borderId="0" xfId="0" applyNumberFormat="1" applyFont="1" applyFill="1" applyAlignment="1">
      <alignment horizontal="center" vertical="center"/>
    </xf>
    <xf numFmtId="169" fontId="67" fillId="12" borderId="0" xfId="0" applyNumberFormat="1" applyFont="1" applyFill="1" applyAlignment="1">
      <alignment vertical="center"/>
    </xf>
    <xf numFmtId="169" fontId="67" fillId="12" borderId="0" xfId="0" applyNumberFormat="1" applyFont="1" applyFill="1" applyAlignment="1">
      <alignment horizontal="right" vertical="center"/>
    </xf>
    <xf numFmtId="169" fontId="67" fillId="12" borderId="0" xfId="0" applyNumberFormat="1" applyFont="1" applyFill="1" applyAlignment="1">
      <alignment horizontal="center" vertical="center"/>
    </xf>
    <xf numFmtId="169" fontId="67" fillId="5" borderId="0" xfId="0" applyNumberFormat="1" applyFont="1" applyFill="1" applyAlignment="1">
      <alignment vertical="center"/>
    </xf>
    <xf numFmtId="169" fontId="67" fillId="5" borderId="0" xfId="0" applyNumberFormat="1" applyFont="1" applyFill="1" applyAlignment="1">
      <alignment horizontal="right" vertical="center"/>
    </xf>
    <xf numFmtId="171" fontId="19" fillId="0" borderId="11" xfId="8" applyNumberFormat="1" applyFont="1" applyBorder="1" applyAlignment="1" applyProtection="1">
      <alignment horizontal="center"/>
      <protection locked="0"/>
    </xf>
    <xf numFmtId="172" fontId="30" fillId="0" borderId="11" xfId="8" applyNumberFormat="1" applyFont="1" applyBorder="1" applyAlignment="1" applyProtection="1">
      <alignment horizontal="center"/>
      <protection locked="0"/>
    </xf>
    <xf numFmtId="172" fontId="27" fillId="0" borderId="26" xfId="3" applyNumberFormat="1" applyFont="1" applyBorder="1" applyAlignment="1" applyProtection="1">
      <alignment horizontal="center"/>
      <protection locked="0"/>
    </xf>
    <xf numFmtId="172" fontId="27" fillId="0" borderId="2" xfId="3" applyNumberFormat="1" applyFont="1" applyBorder="1" applyAlignment="1" applyProtection="1">
      <alignment horizontal="center"/>
      <protection locked="0"/>
    </xf>
    <xf numFmtId="173" fontId="30" fillId="0" borderId="2" xfId="8" applyNumberFormat="1" applyFont="1" applyBorder="1" applyAlignment="1">
      <alignment horizontal="center"/>
    </xf>
    <xf numFmtId="172" fontId="19" fillId="0" borderId="11" xfId="8" applyNumberFormat="1" applyFont="1" applyBorder="1" applyAlignment="1" applyProtection="1">
      <alignment horizontal="center"/>
      <protection locked="0"/>
    </xf>
    <xf numFmtId="172" fontId="27" fillId="0" borderId="12" xfId="3" applyNumberFormat="1" applyFont="1" applyBorder="1" applyAlignment="1" applyProtection="1">
      <alignment horizontal="center"/>
      <protection locked="0"/>
    </xf>
    <xf numFmtId="171" fontId="27" fillId="0" borderId="26" xfId="3" applyNumberFormat="1" applyFont="1" applyBorder="1" applyAlignment="1">
      <alignment horizontal="center"/>
    </xf>
    <xf numFmtId="172" fontId="27" fillId="0" borderId="11" xfId="8" applyNumberFormat="1" applyFont="1" applyBorder="1" applyAlignment="1" applyProtection="1">
      <alignment horizontal="center"/>
      <protection locked="0"/>
    </xf>
    <xf numFmtId="171" fontId="27" fillId="0" borderId="26" xfId="8" applyNumberFormat="1" applyFont="1" applyBorder="1" applyAlignment="1">
      <alignment horizontal="center"/>
    </xf>
    <xf numFmtId="171" fontId="30" fillId="0" borderId="11" xfId="8" applyNumberFormat="1" applyFont="1" applyBorder="1" applyAlignment="1" applyProtection="1">
      <alignment horizontal="center"/>
      <protection locked="0"/>
    </xf>
    <xf numFmtId="171" fontId="19" fillId="0" borderId="11" xfId="8" applyNumberFormat="1" applyFont="1" applyBorder="1" applyAlignment="1" applyProtection="1">
      <alignment horizontal="center" vertical="center"/>
      <protection locked="0"/>
    </xf>
    <xf numFmtId="174" fontId="27" fillId="0" borderId="26" xfId="3" applyNumberFormat="1" applyFont="1" applyBorder="1" applyAlignment="1" applyProtection="1">
      <alignment horizontal="center"/>
      <protection locked="0"/>
    </xf>
    <xf numFmtId="171" fontId="30" fillId="0" borderId="11" xfId="8" applyNumberFormat="1" applyFont="1" applyBorder="1" applyAlignment="1" applyProtection="1">
      <alignment horizontal="center" vertical="center"/>
      <protection locked="0"/>
    </xf>
    <xf numFmtId="174" fontId="27" fillId="0" borderId="26" xfId="3" applyNumberFormat="1" applyFont="1" applyBorder="1" applyAlignment="1" applyProtection="1">
      <alignment horizontal="center" vertical="center"/>
      <protection locked="0"/>
    </xf>
    <xf numFmtId="171" fontId="30" fillId="0" borderId="11" xfId="8" applyNumberFormat="1" applyFont="1" applyBorder="1" applyAlignment="1" applyProtection="1">
      <alignment vertical="center"/>
      <protection locked="0"/>
    </xf>
    <xf numFmtId="173" fontId="30" fillId="0" borderId="2" xfId="8" applyNumberFormat="1" applyFont="1" applyBorder="1" applyAlignment="1" applyProtection="1">
      <alignment horizontal="center"/>
      <protection locked="0"/>
    </xf>
    <xf numFmtId="171" fontId="19" fillId="0" borderId="26" xfId="5" applyNumberFormat="1" applyFont="1" applyBorder="1" applyAlignment="1" applyProtection="1">
      <alignment horizontal="center"/>
      <protection locked="0"/>
    </xf>
    <xf numFmtId="172" fontId="19" fillId="0" borderId="9" xfId="8" applyNumberFormat="1" applyFont="1" applyBorder="1" applyAlignment="1" applyProtection="1">
      <alignment horizontal="center"/>
      <protection locked="0"/>
    </xf>
    <xf numFmtId="172" fontId="27" fillId="0" borderId="10" xfId="3" applyNumberFormat="1" applyFont="1" applyBorder="1" applyAlignment="1" applyProtection="1">
      <alignment horizontal="center"/>
      <protection locked="0"/>
    </xf>
    <xf numFmtId="171" fontId="27" fillId="0" borderId="3" xfId="3" applyNumberFormat="1" applyFont="1" applyBorder="1" applyAlignment="1">
      <alignment horizontal="center"/>
    </xf>
    <xf numFmtId="172" fontId="27" fillId="0" borderId="6" xfId="8" applyNumberFormat="1" applyFont="1" applyBorder="1" applyAlignment="1" applyProtection="1">
      <alignment horizontal="center"/>
      <protection locked="0"/>
    </xf>
    <xf numFmtId="172" fontId="27" fillId="0" borderId="7" xfId="3" applyNumberFormat="1" applyFont="1" applyBorder="1" applyAlignment="1" applyProtection="1">
      <alignment horizontal="center"/>
      <protection locked="0"/>
    </xf>
    <xf numFmtId="171" fontId="19" fillId="0" borderId="26" xfId="8" applyNumberFormat="1" applyFont="1" applyBorder="1" applyAlignment="1" applyProtection="1">
      <alignment horizontal="center"/>
      <protection locked="0"/>
    </xf>
    <xf numFmtId="175" fontId="16" fillId="0" borderId="11" xfId="7" applyNumberFormat="1" applyBorder="1" applyAlignment="1" applyProtection="1">
      <alignment horizontal="left" vertical="center"/>
      <protection locked="0"/>
    </xf>
    <xf numFmtId="172" fontId="31" fillId="0" borderId="26" xfId="3" applyNumberFormat="1" applyFont="1" applyBorder="1" applyAlignment="1" applyProtection="1">
      <alignment horizontal="center"/>
      <protection locked="0"/>
    </xf>
    <xf numFmtId="173" fontId="30" fillId="0" borderId="0" xfId="8" applyNumberFormat="1" applyFont="1" applyAlignment="1">
      <alignment horizontal="center"/>
    </xf>
    <xf numFmtId="176" fontId="30" fillId="0" borderId="0" xfId="4" applyFont="1" applyAlignment="1">
      <alignment horizontal="center" vertical="distributed"/>
    </xf>
    <xf numFmtId="167" fontId="30" fillId="0" borderId="0" xfId="2" applyNumberFormat="1" applyFont="1" applyAlignment="1">
      <alignment horizontal="center"/>
    </xf>
    <xf numFmtId="172" fontId="16" fillId="0" borderId="0" xfId="7" applyNumberFormat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4" fontId="42" fillId="4" borderId="65" xfId="0" applyNumberFormat="1" applyFont="1" applyFill="1" applyBorder="1" applyAlignment="1" applyProtection="1">
      <alignment horizontal="center" vertical="center"/>
      <protection locked="0"/>
    </xf>
    <xf numFmtId="2" fontId="45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9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0" fontId="16" fillId="0" borderId="0" xfId="7" applyAlignment="1">
      <alignment horizontal="center"/>
    </xf>
    <xf numFmtId="0" fontId="3" fillId="0" borderId="8" xfId="0" applyFont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170" fontId="67" fillId="12" borderId="0" xfId="0" applyNumberFormat="1" applyFont="1" applyFill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68" fillId="0" borderId="40" xfId="0" applyNumberFormat="1" applyFont="1" applyBorder="1" applyAlignment="1">
      <alignment horizontal="center" vertical="center"/>
    </xf>
    <xf numFmtId="0" fontId="6" fillId="4" borderId="46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protection locked="0"/>
    </xf>
    <xf numFmtId="0" fontId="0" fillId="0" borderId="46" xfId="0" applyBorder="1" applyAlignment="1" applyProtection="1">
      <protection locked="0"/>
    </xf>
    <xf numFmtId="0" fontId="42" fillId="5" borderId="58" xfId="0" applyFont="1" applyFill="1" applyBorder="1" applyAlignment="1" applyProtection="1">
      <alignment horizontal="left" vertical="center"/>
      <protection locked="0"/>
    </xf>
    <xf numFmtId="0" fontId="0" fillId="0" borderId="58" xfId="0" applyBorder="1" applyAlignment="1" applyProtection="1">
      <protection locked="0"/>
    </xf>
    <xf numFmtId="0" fontId="10" fillId="4" borderId="58" xfId="0" applyFont="1" applyFill="1" applyBorder="1" applyAlignment="1" applyProtection="1">
      <alignment horizontal="left" vertical="center"/>
      <protection locked="0"/>
    </xf>
    <xf numFmtId="2" fontId="49" fillId="4" borderId="65" xfId="0" applyNumberFormat="1" applyFont="1" applyFill="1" applyBorder="1" applyAlignment="1" applyProtection="1">
      <alignment horizontal="left" vertical="distributed"/>
      <protection locked="0"/>
    </xf>
    <xf numFmtId="0" fontId="0" fillId="0" borderId="66" xfId="0" applyBorder="1" applyAlignment="1" applyProtection="1">
      <protection locked="0"/>
    </xf>
    <xf numFmtId="0" fontId="0" fillId="0" borderId="69" xfId="0" applyBorder="1" applyAlignment="1" applyProtection="1">
      <protection locked="0"/>
    </xf>
    <xf numFmtId="168" fontId="15" fillId="4" borderId="58" xfId="1" applyNumberFormat="1" applyFill="1" applyBorder="1" applyAlignment="1" applyProtection="1">
      <alignment horizontal="left" vertical="center"/>
      <protection locked="0"/>
    </xf>
    <xf numFmtId="166" fontId="42" fillId="4" borderId="65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6" fontId="13" fillId="2" borderId="12" xfId="0" applyNumberFormat="1" applyFont="1" applyFill="1" applyBorder="1" applyAlignment="1">
      <alignment horizontal="center" vertical="center"/>
    </xf>
    <xf numFmtId="0" fontId="0" fillId="0" borderId="12" xfId="0" applyBorder="1" applyAlignment="1"/>
    <xf numFmtId="167" fontId="6" fillId="9" borderId="48" xfId="0" applyNumberFormat="1" applyFont="1" applyFill="1" applyBorder="1" applyAlignment="1" applyProtection="1">
      <alignment horizontal="center" vertical="center"/>
      <protection locked="0"/>
    </xf>
    <xf numFmtId="0" fontId="0" fillId="0" borderId="71" xfId="0" applyBorder="1" applyAlignment="1" applyProtection="1">
      <protection locked="0"/>
    </xf>
    <xf numFmtId="166" fontId="45" fillId="4" borderId="65" xfId="0" applyNumberFormat="1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42" fillId="5" borderId="49" xfId="0" applyFont="1" applyFill="1" applyBorder="1" applyAlignment="1" applyProtection="1">
      <alignment horizontal="left" vertical="center"/>
      <protection locked="0"/>
    </xf>
    <xf numFmtId="0" fontId="0" fillId="0" borderId="49" xfId="0" applyBorder="1" applyAlignment="1" applyProtection="1">
      <protection locked="0"/>
    </xf>
    <xf numFmtId="0" fontId="42" fillId="4" borderId="0" xfId="0" applyFont="1" applyFill="1" applyAlignment="1" applyProtection="1">
      <alignment horizontal="left" vertical="center" wrapText="1"/>
      <protection locked="0"/>
    </xf>
    <xf numFmtId="0" fontId="0" fillId="0" borderId="0" xfId="0" applyAlignment="1" applyProtection="1">
      <protection locked="0"/>
    </xf>
    <xf numFmtId="167" fontId="48" fillId="4" borderId="65" xfId="0" applyNumberFormat="1" applyFont="1" applyFill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42" fillId="5" borderId="50" xfId="0" applyFont="1" applyFill="1" applyBorder="1" applyAlignment="1" applyProtection="1">
      <alignment horizontal="left" vertical="center" indent="1"/>
      <protection locked="0"/>
    </xf>
    <xf numFmtId="0" fontId="0" fillId="0" borderId="50" xfId="0" applyBorder="1" applyAlignment="1" applyProtection="1">
      <protection locked="0"/>
    </xf>
    <xf numFmtId="166" fontId="42" fillId="4" borderId="72" xfId="0" applyNumberFormat="1" applyFont="1" applyFill="1" applyBorder="1" applyAlignment="1" applyProtection="1">
      <alignment horizontal="right" vertical="center"/>
      <protection locked="0"/>
    </xf>
    <xf numFmtId="0" fontId="0" fillId="0" borderId="68" xfId="0" applyBorder="1" applyAlignment="1" applyProtection="1">
      <protection locked="0"/>
    </xf>
    <xf numFmtId="4" fontId="42" fillId="4" borderId="65" xfId="0" applyNumberFormat="1" applyFont="1" applyFill="1" applyBorder="1" applyAlignment="1" applyProtection="1">
      <alignment horizontal="center" vertical="center"/>
      <protection locked="0"/>
    </xf>
    <xf numFmtId="0" fontId="6" fillId="4" borderId="64" xfId="0" applyFont="1" applyFill="1" applyBorder="1" applyAlignment="1" applyProtection="1">
      <alignment horizontal="left" vertical="center"/>
      <protection locked="0"/>
    </xf>
    <xf numFmtId="0" fontId="0" fillId="0" borderId="64" xfId="0" applyBorder="1" applyAlignment="1" applyProtection="1">
      <protection locked="0"/>
    </xf>
    <xf numFmtId="167" fontId="62" fillId="10" borderId="45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protection locked="0"/>
    </xf>
    <xf numFmtId="2" fontId="44" fillId="5" borderId="58" xfId="0" applyNumberFormat="1" applyFont="1" applyFill="1" applyBorder="1" applyAlignment="1" applyProtection="1">
      <alignment horizontal="right" vertical="center"/>
      <protection locked="0"/>
    </xf>
    <xf numFmtId="0" fontId="42" fillId="9" borderId="8" xfId="0" applyFont="1" applyFill="1" applyBorder="1" applyAlignment="1">
      <alignment horizontal="center" vertical="center" wrapText="1"/>
    </xf>
    <xf numFmtId="0" fontId="0" fillId="0" borderId="25" xfId="0" applyBorder="1" applyAlignment="1"/>
    <xf numFmtId="14" fontId="6" fillId="4" borderId="8" xfId="0" applyNumberFormat="1" applyFont="1" applyFill="1" applyBorder="1" applyAlignment="1" applyProtection="1">
      <alignment horizontal="center" vertical="center"/>
      <protection locked="0"/>
    </xf>
    <xf numFmtId="177" fontId="42" fillId="4" borderId="73" xfId="0" applyNumberFormat="1" applyFont="1" applyFill="1" applyBorder="1" applyAlignment="1" applyProtection="1">
      <alignment horizontal="center" vertical="center"/>
      <protection locked="0"/>
    </xf>
    <xf numFmtId="0" fontId="0" fillId="0" borderId="70" xfId="0" applyBorder="1" applyAlignment="1" applyProtection="1">
      <protection locked="0"/>
    </xf>
    <xf numFmtId="166" fontId="42" fillId="4" borderId="73" xfId="0" applyNumberFormat="1" applyFont="1" applyFill="1" applyBorder="1" applyAlignment="1" applyProtection="1">
      <alignment horizontal="center" vertical="center"/>
      <protection locked="0"/>
    </xf>
    <xf numFmtId="0" fontId="42" fillId="9" borderId="25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0" xfId="0" applyBorder="1" applyAlignment="1"/>
    <xf numFmtId="0" fontId="0" fillId="0" borderId="5" xfId="0" applyBorder="1" applyAlignment="1"/>
    <xf numFmtId="0" fontId="44" fillId="9" borderId="25" xfId="0" applyFont="1" applyFill="1" applyBorder="1" applyAlignment="1">
      <alignment horizontal="center" vertical="center" wrapText="1"/>
    </xf>
    <xf numFmtId="0" fontId="42" fillId="9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1" xfId="0" applyBorder="1" applyAlignment="1"/>
    <xf numFmtId="0" fontId="42" fillId="9" borderId="3" xfId="0" applyFont="1" applyFill="1" applyBorder="1" applyAlignment="1">
      <alignment horizontal="center" vertical="center" wrapText="1"/>
    </xf>
    <xf numFmtId="167" fontId="6" fillId="9" borderId="8" xfId="0" applyNumberFormat="1" applyFont="1" applyFill="1" applyBorder="1" applyAlignment="1" applyProtection="1">
      <alignment horizontal="center" vertical="center"/>
      <protection locked="0"/>
    </xf>
    <xf numFmtId="167" fontId="11" fillId="9" borderId="8" xfId="0" applyNumberFormat="1" applyFont="1" applyFill="1" applyBorder="1" applyAlignment="1" applyProtection="1">
      <alignment horizontal="center" vertical="center"/>
      <protection locked="0"/>
    </xf>
    <xf numFmtId="0" fontId="11" fillId="2" borderId="54" xfId="0" applyFont="1" applyFill="1" applyBorder="1" applyAlignment="1">
      <alignment horizontal="left" vertical="center"/>
    </xf>
    <xf numFmtId="0" fontId="44" fillId="9" borderId="3" xfId="0" applyFont="1" applyFill="1" applyBorder="1" applyAlignment="1">
      <alignment horizontal="center" vertical="center" wrapText="1"/>
    </xf>
    <xf numFmtId="0" fontId="10" fillId="4" borderId="8" xfId="0" quotePrefix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2" fontId="45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  <xf numFmtId="0" fontId="69" fillId="0" borderId="8" xfId="0" applyFont="1" applyBorder="1" applyAlignment="1">
      <alignment horizontal="right" vertical="center"/>
    </xf>
    <xf numFmtId="0" fontId="0" fillId="0" borderId="2" xfId="0" applyBorder="1" applyAlignment="1"/>
    <xf numFmtId="0" fontId="0" fillId="0" borderId="7" xfId="0" applyBorder="1" applyAlignment="1"/>
    <xf numFmtId="0" fontId="67" fillId="5" borderId="0" xfId="0" applyFont="1" applyFill="1" applyAlignment="1">
      <alignment horizont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9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2" fontId="53" fillId="0" borderId="0" xfId="0" applyNumberFormat="1" applyFont="1" applyAlignment="1">
      <alignment horizontal="left" vertical="distributed"/>
    </xf>
    <xf numFmtId="0" fontId="40" fillId="0" borderId="0" xfId="0" applyFont="1" applyAlignment="1">
      <alignment horizontal="left" vertical="top" wrapText="1"/>
    </xf>
    <xf numFmtId="4" fontId="64" fillId="11" borderId="48" xfId="0" applyNumberFormat="1" applyFont="1" applyFill="1" applyBorder="1" applyAlignment="1">
      <alignment horizontal="center" vertical="center"/>
    </xf>
    <xf numFmtId="0" fontId="0" fillId="0" borderId="71" xfId="0" applyBorder="1" applyAlignment="1"/>
    <xf numFmtId="0" fontId="63" fillId="0" borderId="47" xfId="0" applyFont="1" applyBorder="1" applyAlignment="1">
      <alignment horizontal="center" vertical="top" wrapText="1"/>
    </xf>
    <xf numFmtId="0" fontId="0" fillId="0" borderId="74" xfId="0" applyBorder="1" applyAlignment="1"/>
    <xf numFmtId="173" fontId="20" fillId="0" borderId="0" xfId="8" applyNumberFormat="1" applyFont="1" applyAlignment="1">
      <alignment horizontal="center"/>
    </xf>
    <xf numFmtId="0" fontId="16" fillId="0" borderId="0" xfId="7" applyAlignment="1">
      <alignment horizontal="center"/>
    </xf>
    <xf numFmtId="0" fontId="22" fillId="4" borderId="9" xfId="8" applyFont="1" applyFill="1" applyBorder="1" applyAlignment="1" applyProtection="1">
      <alignment horizontal="center" vertical="center" wrapText="1"/>
      <protection locked="0"/>
    </xf>
    <xf numFmtId="0" fontId="18" fillId="4" borderId="8" xfId="8" applyFont="1" applyFill="1" applyBorder="1" applyAlignment="1">
      <alignment horizontal="center" vertical="center"/>
    </xf>
    <xf numFmtId="0" fontId="0" fillId="0" borderId="26" xfId="0" applyBorder="1" applyAlignment="1"/>
    <xf numFmtId="43" fontId="20" fillId="3" borderId="8" xfId="3" applyNumberFormat="1" applyFont="1" applyFill="1" applyBorder="1" applyAlignment="1">
      <alignment horizontal="center" vertical="center"/>
    </xf>
    <xf numFmtId="0" fontId="21" fillId="4" borderId="3" xfId="8" applyFont="1" applyFill="1" applyBorder="1" applyAlignment="1">
      <alignment horizontal="center" vertical="center"/>
    </xf>
    <xf numFmtId="0" fontId="22" fillId="4" borderId="3" xfId="8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protection locked="0"/>
    </xf>
    <xf numFmtId="0" fontId="59" fillId="2" borderId="75" xfId="0" applyFont="1" applyFill="1" applyBorder="1" applyAlignment="1" applyProtection="1">
      <alignment horizontal="center" vertical="center"/>
      <protection locked="0"/>
    </xf>
    <xf numFmtId="0" fontId="59" fillId="2" borderId="15" xfId="0" applyFont="1" applyFill="1" applyBorder="1" applyAlignment="1" applyProtection="1">
      <alignment horizontal="center" vertical="center"/>
      <protection locked="0"/>
    </xf>
    <xf numFmtId="0" fontId="59" fillId="0" borderId="75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2" fontId="59" fillId="0" borderId="27" xfId="0" applyNumberFormat="1" applyFont="1" applyBorder="1" applyAlignment="1">
      <alignment horizontal="center" vertical="center" wrapText="1"/>
    </xf>
    <xf numFmtId="0" fontId="59" fillId="2" borderId="26" xfId="0" applyFont="1" applyFill="1" applyBorder="1" applyAlignment="1" applyProtection="1">
      <alignment horizontal="center" vertical="center"/>
      <protection locked="0"/>
    </xf>
    <xf numFmtId="2" fontId="45" fillId="0" borderId="26" xfId="0" applyNumberFormat="1" applyFont="1" applyBorder="1" applyAlignment="1">
      <alignment horizontal="left" vertical="distributed"/>
    </xf>
    <xf numFmtId="0" fontId="59" fillId="0" borderId="26" xfId="0" applyFont="1" applyBorder="1" applyAlignment="1">
      <alignment horizontal="center" vertical="center"/>
    </xf>
    <xf numFmtId="2" fontId="59" fillId="0" borderId="26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48" xfId="0" applyBorder="1" applyAlignment="1">
      <alignment horizontal="center" vertical="center"/>
    </xf>
    <xf numFmtId="4" fontId="0" fillId="0" borderId="48" xfId="0" applyNumberFormat="1" applyBorder="1" applyAlignment="1">
      <alignment horizontal="right" vertical="center"/>
    </xf>
    <xf numFmtId="4" fontId="0" fillId="0" borderId="76" xfId="0" applyNumberFormat="1" applyBorder="1" applyAlignment="1">
      <alignment horizontal="right" vertical="center"/>
    </xf>
  </cellXfs>
  <cellStyles count="13">
    <cellStyle name="Hipervínculo" xfId="1" builtinId="8"/>
    <cellStyle name="Millares 39 2 2 2 2" xfId="2" xr:uid="{00000000-0005-0000-0000-000002000000}"/>
    <cellStyle name="Millares_Formato 401.402.501 Indirectos-Cierre-Flujo 2 2" xfId="3" xr:uid="{00000000-0005-0000-0000-000003000000}"/>
    <cellStyle name="Moneda" xfId="4" builtinId="4"/>
    <cellStyle name="Moneda_Formato 401.402.501 Indirectos-Cierre-Flujo 2 2" xfId="5" xr:uid="{00000000-0005-0000-0000-000005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2" xr:uid="{00000000-0005-0000-0000-00000C000000}"/>
    <cellStyle name="Porcentaje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114300</xdr:rowOff>
    </xdr:from>
    <xdr:to>
      <xdr:col>5</xdr:col>
      <xdr:colOff>381000</xdr:colOff>
      <xdr:row>3</xdr:row>
      <xdr:rowOff>135255</xdr:rowOff>
    </xdr:to>
    <xdr:pic>
      <xdr:nvPicPr>
        <xdr:cNvPr id="1918" name="Imagen 3" descr="http://promcoser.com/wp-content/uploads/2014/10/logo2.png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114300"/>
          <a:ext cx="2004060" cy="7848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182880</xdr:colOff>
      <xdr:row>57</xdr:row>
      <xdr:rowOff>76200</xdr:rowOff>
    </xdr:from>
    <xdr:to>
      <xdr:col>5</xdr:col>
      <xdr:colOff>434340</xdr:colOff>
      <xdr:row>60</xdr:row>
      <xdr:rowOff>152400</xdr:rowOff>
    </xdr:to>
    <xdr:pic>
      <xdr:nvPicPr>
        <xdr:cNvPr id="1919" name="Imagen 4" descr="http://promcoser.com/wp-content/uploads/2014/10/logo2.png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1940" y="13754100"/>
          <a:ext cx="2004060" cy="6705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352426</xdr:colOff>
      <xdr:row>0</xdr:row>
      <xdr:rowOff>55245</xdr:rowOff>
    </xdr:from>
    <xdr:to>
      <xdr:col>7</xdr:col>
      <xdr:colOff>1008341</xdr:colOff>
      <xdr:row>2</xdr:row>
      <xdr:rowOff>243841</xdr:rowOff>
    </xdr:to>
    <xdr:pic>
      <xdr:nvPicPr>
        <xdr:cNvPr id="13326" name="Imagen 1" descr="http://promcoser.com/wp-content/uploads/2014/10/logo2.png">
          <a:extLst>
            <a:ext uri="{FF2B5EF4-FFF2-40B4-BE49-F238E27FC236}">
              <a16:creationId xmlns:a16="http://schemas.microsoft.com/office/drawing/2014/main" id="{00000000-0008-0000-0100-00000E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1" y="55245"/>
          <a:ext cx="1343620" cy="66865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45720</xdr:rowOff>
    </xdr:from>
    <xdr:to>
      <xdr:col>7</xdr:col>
      <xdr:colOff>579120</xdr:colOff>
      <xdr:row>3</xdr:row>
      <xdr:rowOff>22860</xdr:rowOff>
    </xdr:to>
    <xdr:pic>
      <xdr:nvPicPr>
        <xdr:cNvPr id="2513" name="Imagen 1" descr="http://promcoser.com/wp-content/uploads/2014/10/logo2.png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4960" y="45720"/>
          <a:ext cx="1173480" cy="5791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achado@promcoser.com.pe" TargetMode="External"/><Relationship Id="rId1" Type="http://schemas.openxmlformats.org/officeDocument/2006/relationships/hyperlink" Target="mailto:ventas@promcoser.com.p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"/>
  <sheetViews>
    <sheetView view="pageBreakPreview" topLeftCell="A22" zoomScaleNormal="100" zoomScaleSheetLayoutView="100" workbookViewId="0">
      <selection activeCell="H35" sqref="H35"/>
    </sheetView>
  </sheetViews>
  <sheetFormatPr baseColWidth="10" defaultRowHeight="14.4" x14ac:dyDescent="0.2"/>
  <cols>
    <col min="1" max="1" width="1.85546875" style="359" customWidth="1"/>
    <col min="2" max="2" width="10.42578125" style="359" customWidth="1"/>
    <col min="3" max="3" width="6.42578125" style="359" customWidth="1"/>
    <col min="4" max="4" width="7.85546875" style="359" customWidth="1"/>
    <col min="5" max="5" width="8.140625" style="359" customWidth="1"/>
    <col min="6" max="6" width="9.140625" style="359" customWidth="1"/>
    <col min="7" max="10" width="6.42578125" style="359" customWidth="1"/>
    <col min="11" max="11" width="8" style="359" customWidth="1"/>
    <col min="12" max="12" width="6.42578125" style="359" customWidth="1"/>
    <col min="13" max="15" width="7.28515625" style="359" customWidth="1"/>
    <col min="16" max="17" width="8.140625" style="359" customWidth="1"/>
    <col min="18" max="18" width="19.7109375" style="359" customWidth="1"/>
    <col min="19" max="19" width="16.42578125" style="359" customWidth="1"/>
    <col min="20" max="21" width="10.42578125" style="359" customWidth="1"/>
    <col min="22" max="22" width="3.42578125" style="359" customWidth="1"/>
  </cols>
  <sheetData>
    <row r="1" spans="2:26" ht="20.25" customHeight="1" x14ac:dyDescent="0.2"/>
    <row r="2" spans="2:26" ht="20.25" customHeight="1" x14ac:dyDescent="0.2">
      <c r="Q2" s="3" t="s">
        <v>0</v>
      </c>
      <c r="R2" s="398" t="s">
        <v>1</v>
      </c>
      <c r="S2" s="399"/>
      <c r="T2" s="399"/>
      <c r="U2" s="400"/>
    </row>
    <row r="3" spans="2:26" ht="20.25" customHeight="1" x14ac:dyDescent="0.2"/>
    <row r="4" spans="2:26" ht="20.25" customHeight="1" x14ac:dyDescent="0.2">
      <c r="B4" s="4"/>
      <c r="C4" s="5"/>
      <c r="D4" s="5"/>
      <c r="E4" s="5"/>
      <c r="F4" s="5"/>
      <c r="G4" s="5"/>
      <c r="Q4" s="6" t="s">
        <v>2</v>
      </c>
      <c r="R4" s="413">
        <v>46245</v>
      </c>
      <c r="S4" s="399"/>
      <c r="T4" s="399"/>
      <c r="U4" s="400"/>
    </row>
    <row r="5" spans="2:26" ht="20.25" customHeight="1" x14ac:dyDescent="0.2">
      <c r="B5" s="358" t="s">
        <v>3</v>
      </c>
      <c r="C5" s="358"/>
      <c r="D5" s="358"/>
      <c r="E5" s="358"/>
      <c r="F5" s="358"/>
      <c r="G5" s="5"/>
    </row>
    <row r="6" spans="2:26" ht="20.25" customHeight="1" x14ac:dyDescent="0.2">
      <c r="B6" s="358" t="s">
        <v>4</v>
      </c>
      <c r="C6" s="358"/>
      <c r="D6" s="358"/>
      <c r="E6" s="358"/>
      <c r="F6" s="358"/>
      <c r="G6" s="5"/>
    </row>
    <row r="7" spans="2:26" ht="20.25" customHeight="1" x14ac:dyDescent="0.2">
      <c r="B7" s="385" t="s">
        <v>5</v>
      </c>
      <c r="C7" s="386"/>
      <c r="D7" s="386"/>
      <c r="E7" s="386"/>
      <c r="F7" s="386"/>
      <c r="G7" s="5"/>
    </row>
    <row r="8" spans="2:26" ht="20.25" customHeight="1" x14ac:dyDescent="0.2">
      <c r="B8" s="7" t="s">
        <v>6</v>
      </c>
    </row>
    <row r="9" spans="2:26" ht="20.25" customHeight="1" x14ac:dyDescent="0.2">
      <c r="B9" s="227" t="s">
        <v>7</v>
      </c>
      <c r="C9" s="8"/>
      <c r="D9" s="8"/>
      <c r="E9" s="226" t="s">
        <v>8</v>
      </c>
      <c r="F9" s="9"/>
      <c r="G9" s="9"/>
      <c r="H9" s="9"/>
      <c r="I9" s="9"/>
      <c r="J9" s="9"/>
      <c r="K9" s="9"/>
      <c r="L9" s="9"/>
      <c r="M9" s="9"/>
      <c r="N9" s="9"/>
      <c r="O9" s="10" t="s">
        <v>9</v>
      </c>
      <c r="P9" s="11"/>
      <c r="Q9" s="11"/>
      <c r="R9" s="9"/>
      <c r="S9" s="9"/>
      <c r="T9" s="9"/>
      <c r="U9" s="12"/>
    </row>
    <row r="10" spans="2:26" ht="20.25" customHeight="1" x14ac:dyDescent="0.2">
      <c r="B10" s="228" t="s">
        <v>10</v>
      </c>
      <c r="E10" s="226" t="s">
        <v>11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359" t="s">
        <v>12</v>
      </c>
      <c r="R10" s="14"/>
      <c r="S10" s="14"/>
      <c r="T10" s="14"/>
      <c r="U10" s="15"/>
    </row>
    <row r="11" spans="2:26" ht="20.25" customHeight="1" x14ac:dyDescent="0.2">
      <c r="B11" s="228" t="s">
        <v>13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Z11" s="173"/>
    </row>
    <row r="12" spans="2:26" ht="20.25" customHeight="1" x14ac:dyDescent="0.2">
      <c r="B12" s="228" t="s">
        <v>14</v>
      </c>
      <c r="E12" s="273" t="s">
        <v>15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</row>
    <row r="13" spans="2:26" ht="20.25" customHeight="1" x14ac:dyDescent="0.2">
      <c r="B13" s="428" t="s">
        <v>16</v>
      </c>
      <c r="C13" s="386"/>
      <c r="D13" s="386"/>
      <c r="E13" s="273" t="s">
        <v>17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2:26" ht="20.25" customHeight="1" x14ac:dyDescent="0.2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0"/>
      <c r="Q14" s="20"/>
      <c r="R14" s="20"/>
      <c r="S14" s="20"/>
      <c r="T14" s="20"/>
      <c r="U14" s="21"/>
    </row>
    <row r="15" spans="2:26" ht="20.25" customHeight="1" x14ac:dyDescent="0.2">
      <c r="B15" s="22" t="s">
        <v>18</v>
      </c>
      <c r="D15" s="23"/>
      <c r="E15" s="24"/>
      <c r="H15" s="25"/>
      <c r="I15" s="26"/>
      <c r="K15" s="307"/>
      <c r="L15" s="308"/>
      <c r="M15" s="308"/>
      <c r="N15" s="308"/>
      <c r="O15" s="308"/>
    </row>
    <row r="16" spans="2:26" ht="20.25" customHeight="1" x14ac:dyDescent="0.2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8"/>
    </row>
    <row r="17" spans="2:21" ht="20.25" customHeight="1" x14ac:dyDescent="0.2">
      <c r="B17" s="29"/>
      <c r="C17" s="430" t="s">
        <v>19</v>
      </c>
      <c r="D17" s="431"/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1"/>
      <c r="P17" s="431"/>
      <c r="Q17" s="431"/>
      <c r="R17" s="431"/>
      <c r="S17" s="431"/>
      <c r="T17" s="432"/>
      <c r="U17" s="30"/>
    </row>
    <row r="18" spans="2:21" ht="20.25" customHeight="1" x14ac:dyDescent="0.2">
      <c r="B18" s="29"/>
      <c r="C18" s="433"/>
      <c r="D18" s="396"/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396"/>
      <c r="R18" s="396"/>
      <c r="S18" s="396"/>
      <c r="T18" s="434"/>
      <c r="U18" s="30"/>
    </row>
    <row r="19" spans="2:21" ht="20.25" customHeight="1" x14ac:dyDescent="0.2">
      <c r="B19" s="29"/>
      <c r="C19" s="43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436"/>
      <c r="U19" s="30"/>
    </row>
    <row r="20" spans="2:21" ht="20.25" customHeight="1" x14ac:dyDescent="0.2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31"/>
    </row>
    <row r="21" spans="2:21" ht="12.6" customHeight="1" x14ac:dyDescent="0.2"/>
    <row r="22" spans="2:21" ht="20.25" customHeight="1" x14ac:dyDescent="0.2">
      <c r="B22" s="22" t="s">
        <v>20</v>
      </c>
    </row>
    <row r="23" spans="2:21" ht="20.25" customHeight="1" x14ac:dyDescent="0.2">
      <c r="B23" s="411" t="s">
        <v>21</v>
      </c>
      <c r="C23" s="422" t="s">
        <v>22</v>
      </c>
      <c r="D23" s="423"/>
      <c r="E23" s="423"/>
      <c r="F23" s="423"/>
      <c r="G23" s="423"/>
      <c r="H23" s="423"/>
      <c r="I23" s="423"/>
      <c r="J23" s="423"/>
      <c r="K23" s="423"/>
      <c r="L23" s="423"/>
      <c r="M23" s="423"/>
      <c r="N23" s="423"/>
      <c r="O23" s="411" t="s">
        <v>23</v>
      </c>
      <c r="P23" s="429" t="s">
        <v>24</v>
      </c>
      <c r="Q23" s="419"/>
      <c r="R23" s="425" t="s">
        <v>25</v>
      </c>
      <c r="S23" s="419"/>
      <c r="T23" s="411" t="s">
        <v>26</v>
      </c>
      <c r="U23" s="419"/>
    </row>
    <row r="24" spans="2:21" ht="20.25" customHeight="1" x14ac:dyDescent="0.2">
      <c r="B24" s="412"/>
      <c r="C24" s="420"/>
      <c r="D24" s="424"/>
      <c r="E24" s="424"/>
      <c r="F24" s="424"/>
      <c r="G24" s="424"/>
      <c r="H24" s="424"/>
      <c r="I24" s="424"/>
      <c r="J24" s="424"/>
      <c r="K24" s="424"/>
      <c r="L24" s="424"/>
      <c r="M24" s="424"/>
      <c r="N24" s="424"/>
      <c r="O24" s="412"/>
      <c r="P24" s="421" t="s">
        <v>27</v>
      </c>
      <c r="Q24" s="418"/>
      <c r="R24" s="417" t="s">
        <v>28</v>
      </c>
      <c r="S24" s="418"/>
      <c r="T24" s="420"/>
      <c r="U24" s="418"/>
    </row>
    <row r="25" spans="2:21" ht="20.25" customHeight="1" x14ac:dyDescent="0.2">
      <c r="B25" s="32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2"/>
      <c r="P25" s="384"/>
      <c r="Q25" s="382"/>
      <c r="R25" s="414" t="s">
        <v>29</v>
      </c>
      <c r="S25" s="415"/>
      <c r="T25" s="416" t="s">
        <v>29</v>
      </c>
      <c r="U25" s="415"/>
    </row>
    <row r="26" spans="2:21" ht="46.8" customHeight="1" x14ac:dyDescent="0.2">
      <c r="B26" s="35"/>
      <c r="C26" s="380" t="str">
        <f>E12</f>
        <v>AMPLIACION CAMPAMENTO JUSTA SUBTERRANEA</v>
      </c>
      <c r="D26" s="381"/>
      <c r="E26" s="381"/>
      <c r="F26" s="381"/>
      <c r="G26" s="381"/>
      <c r="H26" s="381"/>
      <c r="I26" s="381"/>
      <c r="J26" s="381"/>
      <c r="K26" s="381"/>
      <c r="L26" s="381"/>
      <c r="M26" s="381"/>
      <c r="N26" s="382"/>
      <c r="O26" s="360" t="s">
        <v>30</v>
      </c>
      <c r="P26" s="405">
        <v>1</v>
      </c>
      <c r="Q26" s="382"/>
      <c r="R26" s="405">
        <f>CD!H23</f>
        <v>4482.5445416666662</v>
      </c>
      <c r="S26" s="382"/>
      <c r="T26" s="397">
        <f>+R26*P26</f>
        <v>4482.5445416666662</v>
      </c>
      <c r="U26" s="382"/>
    </row>
    <row r="27" spans="2:21" ht="20.25" customHeight="1" x14ac:dyDescent="0.2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09"/>
      <c r="P27" s="384"/>
      <c r="Q27" s="382"/>
      <c r="R27" s="384"/>
      <c r="S27" s="382"/>
      <c r="T27" s="391"/>
      <c r="U27" s="382"/>
    </row>
    <row r="28" spans="2:21" ht="20.25" customHeight="1" x14ac:dyDescent="0.2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09"/>
      <c r="P28" s="384"/>
      <c r="Q28" s="382"/>
      <c r="R28" s="384"/>
      <c r="S28" s="382"/>
      <c r="T28" s="391"/>
      <c r="U28" s="382"/>
    </row>
    <row r="29" spans="2:21" ht="20.25" hidden="1" customHeight="1" x14ac:dyDescent="0.2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09"/>
      <c r="P29" s="384"/>
      <c r="Q29" s="382"/>
      <c r="R29" s="384"/>
      <c r="S29" s="382"/>
      <c r="T29" s="391"/>
      <c r="U29" s="382"/>
    </row>
    <row r="30" spans="2:21" ht="20.25" hidden="1" customHeight="1" x14ac:dyDescent="0.2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09"/>
      <c r="P30" s="384"/>
      <c r="Q30" s="382"/>
      <c r="R30" s="384"/>
      <c r="S30" s="382"/>
      <c r="T30" s="391"/>
      <c r="U30" s="382"/>
    </row>
    <row r="31" spans="2:21" ht="20.25" customHeight="1" x14ac:dyDescent="0.2"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10"/>
      <c r="P31" s="310"/>
      <c r="Q31" s="39"/>
      <c r="R31" s="39"/>
      <c r="S31" s="311"/>
      <c r="T31" s="403"/>
      <c r="U31" s="404"/>
    </row>
    <row r="32" spans="2:21" ht="20.25" customHeight="1" x14ac:dyDescent="0.2">
      <c r="B32" s="40"/>
      <c r="H32" s="25"/>
      <c r="I32" s="41"/>
      <c r="J32" s="41"/>
      <c r="K32" s="307"/>
      <c r="L32" s="307"/>
      <c r="M32" s="307"/>
      <c r="N32" s="307"/>
      <c r="O32" s="307"/>
      <c r="P32" s="41"/>
      <c r="R32" s="42"/>
      <c r="S32" s="42" t="s">
        <v>31</v>
      </c>
      <c r="T32" s="427">
        <f>+T26</f>
        <v>4482.5445416666662</v>
      </c>
      <c r="U32" s="400"/>
    </row>
    <row r="33" spans="2:24" ht="20.25" customHeight="1" x14ac:dyDescent="0.2">
      <c r="B33" s="40" t="s">
        <v>32</v>
      </c>
      <c r="C33" s="208" t="s">
        <v>319</v>
      </c>
      <c r="D33" s="208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/>
      <c r="R33" s="45" t="s">
        <v>33</v>
      </c>
      <c r="S33" s="46">
        <f>T33/T32</f>
        <v>0.32130353784965465</v>
      </c>
      <c r="T33" s="426">
        <f>GG!I74</f>
        <v>1440.2574198061586</v>
      </c>
      <c r="U33" s="400"/>
    </row>
    <row r="34" spans="2:24" ht="20.25" customHeight="1" thickBot="1" x14ac:dyDescent="0.25">
      <c r="B34" s="40"/>
      <c r="C34" s="208"/>
      <c r="D34" s="208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210" t="s">
        <v>34</v>
      </c>
      <c r="S34" s="211">
        <v>0.1</v>
      </c>
      <c r="T34" s="389">
        <f>T32*S34</f>
        <v>448.25445416666662</v>
      </c>
      <c r="U34" s="390"/>
      <c r="V34"/>
    </row>
    <row r="35" spans="2:24" ht="20.25" customHeight="1" thickBot="1" x14ac:dyDescent="0.25">
      <c r="B35" s="40"/>
      <c r="C35" s="209" t="s">
        <v>35</v>
      </c>
      <c r="D35" s="208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/>
      <c r="R35" s="212" t="s">
        <v>36</v>
      </c>
      <c r="S35" s="213" t="s">
        <v>37</v>
      </c>
      <c r="T35" s="408">
        <f>T34+T33+T32</f>
        <v>6371.0564156394912</v>
      </c>
      <c r="U35" s="409"/>
    </row>
    <row r="36" spans="2:24" ht="20.25" customHeight="1" x14ac:dyDescent="0.2">
      <c r="B36" s="40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V36"/>
    </row>
    <row r="37" spans="2:24" ht="20.25" customHeight="1" x14ac:dyDescent="0.2">
      <c r="B37" s="40"/>
      <c r="H37" s="25"/>
      <c r="I37" s="41"/>
      <c r="J37" s="41"/>
      <c r="K37" s="307"/>
      <c r="L37" s="307"/>
      <c r="M37" s="307"/>
      <c r="N37" s="307"/>
      <c r="O37" s="307"/>
      <c r="P37" s="41"/>
      <c r="X37" s="166"/>
    </row>
    <row r="38" spans="2:24" ht="20.25" customHeight="1" x14ac:dyDescent="0.2">
      <c r="B38" s="40"/>
      <c r="H38" s="25"/>
      <c r="I38" s="41"/>
      <c r="J38" s="41"/>
      <c r="K38" s="307"/>
      <c r="L38" s="307"/>
      <c r="M38" s="307"/>
      <c r="N38" s="307"/>
      <c r="O38" s="307"/>
      <c r="P38" s="41"/>
      <c r="Q38" s="44"/>
      <c r="R38" s="44"/>
      <c r="S38" s="44"/>
      <c r="U38" s="44"/>
      <c r="X38" s="166"/>
    </row>
    <row r="39" spans="2:24" ht="20.25" customHeight="1" x14ac:dyDescent="0.2">
      <c r="B39" s="22" t="s">
        <v>38</v>
      </c>
      <c r="D39" s="23"/>
      <c r="E39" s="24"/>
      <c r="H39" s="25"/>
      <c r="I39" s="26"/>
      <c r="K39" s="307"/>
      <c r="L39" s="308"/>
      <c r="M39" s="308"/>
      <c r="N39" s="308"/>
      <c r="O39" s="308"/>
      <c r="W39" s="317"/>
    </row>
    <row r="40" spans="2:24" ht="20.25" customHeight="1" x14ac:dyDescent="0.2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28"/>
    </row>
    <row r="41" spans="2:24" ht="20.25" customHeight="1" x14ac:dyDescent="0.2">
      <c r="B41" s="29" t="s">
        <v>39</v>
      </c>
      <c r="D41" s="24"/>
      <c r="E41" s="387">
        <f>T35</f>
        <v>6371.0564156394912</v>
      </c>
      <c r="F41" s="388"/>
      <c r="G41" s="47"/>
      <c r="H41" s="48" t="s">
        <v>40</v>
      </c>
      <c r="I41" s="48"/>
      <c r="J41" s="49"/>
      <c r="K41" s="47" t="s">
        <v>41</v>
      </c>
      <c r="L41" s="214" t="s">
        <v>42</v>
      </c>
      <c r="M41" s="50"/>
      <c r="N41" s="307"/>
      <c r="O41" s="307"/>
      <c r="P41" s="47"/>
      <c r="Q41" s="359" t="s">
        <v>43</v>
      </c>
      <c r="R41" s="43"/>
      <c r="S41" s="43"/>
      <c r="T41" s="43"/>
      <c r="U41" s="51"/>
    </row>
    <row r="42" spans="2:24" ht="20.25" customHeight="1" x14ac:dyDescent="0.2">
      <c r="B42" s="29"/>
      <c r="U42" s="30"/>
    </row>
    <row r="43" spans="2:24" ht="20.25" customHeight="1" x14ac:dyDescent="0.2">
      <c r="B43" s="29" t="s">
        <v>44</v>
      </c>
      <c r="D43" s="24"/>
      <c r="E43" s="24"/>
      <c r="G43" s="167" t="s">
        <v>45</v>
      </c>
      <c r="H43" s="52" t="s">
        <v>46</v>
      </c>
      <c r="I43" s="48"/>
      <c r="K43" s="207"/>
      <c r="L43" s="52" t="s">
        <v>47</v>
      </c>
      <c r="M43" s="53" t="s">
        <v>46</v>
      </c>
      <c r="N43" s="43"/>
      <c r="O43" s="43"/>
      <c r="P43" s="43"/>
      <c r="Q43" s="43"/>
      <c r="R43" s="43"/>
      <c r="S43" s="43"/>
      <c r="T43" s="43"/>
      <c r="U43" s="51"/>
    </row>
    <row r="44" spans="2:24" ht="20.25" customHeight="1" x14ac:dyDescent="0.2">
      <c r="B44" s="29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2:24" ht="20.25" customHeight="1" x14ac:dyDescent="0.2">
      <c r="B45" s="29" t="s">
        <v>48</v>
      </c>
      <c r="D45" s="24"/>
      <c r="E45" s="24"/>
      <c r="G45" s="43" t="s">
        <v>49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51"/>
    </row>
    <row r="46" spans="2:24" ht="20.25" customHeight="1" x14ac:dyDescent="0.2">
      <c r="B46" s="29"/>
      <c r="U46" s="30"/>
    </row>
    <row r="47" spans="2:24" ht="20.25" customHeight="1" x14ac:dyDescent="0.2">
      <c r="B47" s="29" t="s">
        <v>50</v>
      </c>
      <c r="E47" s="24"/>
      <c r="F47" s="24"/>
      <c r="G47" s="14" t="s">
        <v>51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</row>
    <row r="48" spans="2:24" ht="20.25" customHeight="1" x14ac:dyDescent="0.2">
      <c r="B48" s="29"/>
      <c r="U48" s="30"/>
    </row>
    <row r="49" spans="2:21" ht="20.25" customHeight="1" x14ac:dyDescent="0.2">
      <c r="B49" s="29" t="s">
        <v>52</v>
      </c>
      <c r="E49" s="24"/>
      <c r="F49" s="24"/>
      <c r="G49" s="14" t="s">
        <v>53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</row>
    <row r="50" spans="2:21" ht="20.25" customHeight="1" x14ac:dyDescent="0.2">
      <c r="B50" s="29"/>
      <c r="U50" s="30"/>
    </row>
    <row r="51" spans="2:21" ht="20.25" customHeight="1" x14ac:dyDescent="0.2">
      <c r="B51" s="29" t="s">
        <v>54</v>
      </c>
      <c r="D51" s="24"/>
      <c r="E51" s="24"/>
      <c r="G51" s="43" t="s">
        <v>55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51"/>
    </row>
    <row r="52" spans="2:21" ht="20.25" customHeight="1" x14ac:dyDescent="0.2">
      <c r="B52" s="29"/>
      <c r="U52" s="30"/>
    </row>
    <row r="53" spans="2:21" ht="20.25" customHeight="1" x14ac:dyDescent="0.2">
      <c r="B53" s="29" t="s">
        <v>56</v>
      </c>
      <c r="G53" s="14" t="s">
        <v>57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</row>
    <row r="54" spans="2:21" ht="20.25" customHeight="1" x14ac:dyDescent="0.2">
      <c r="B54" s="29"/>
      <c r="G54" s="43" t="s">
        <v>58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/>
    </row>
    <row r="55" spans="2:21" ht="20.25" customHeight="1" x14ac:dyDescent="0.2">
      <c r="B55" s="29"/>
      <c r="U55" s="30"/>
    </row>
    <row r="56" spans="2:21" ht="20.25" customHeight="1" x14ac:dyDescent="0.2">
      <c r="B56" s="56" t="s">
        <v>59</v>
      </c>
      <c r="C56" s="19"/>
      <c r="D56" s="19"/>
      <c r="E56" s="57"/>
      <c r="F56" s="379" t="s">
        <v>60</v>
      </c>
      <c r="G56" s="378"/>
      <c r="H56" s="378"/>
      <c r="I56" s="378"/>
      <c r="J56" s="378"/>
      <c r="K56" s="318" t="s">
        <v>61</v>
      </c>
      <c r="L56" s="383" t="s">
        <v>62</v>
      </c>
      <c r="M56" s="378"/>
      <c r="N56" s="378"/>
      <c r="O56" s="378"/>
      <c r="P56" s="378"/>
      <c r="Q56" s="57" t="s">
        <v>63</v>
      </c>
      <c r="R56" s="406">
        <v>940512282</v>
      </c>
      <c r="S56" s="378"/>
      <c r="T56" s="378"/>
      <c r="U56" s="407"/>
    </row>
    <row r="57" spans="2:21" ht="20.25" customHeight="1" x14ac:dyDescent="0.2">
      <c r="E57" s="24"/>
      <c r="F57" s="168"/>
      <c r="G57" s="168"/>
      <c r="H57" s="168"/>
      <c r="I57" s="168"/>
      <c r="J57" s="168"/>
      <c r="K57" s="319"/>
      <c r="L57" s="320"/>
      <c r="M57" s="321"/>
      <c r="N57" s="321"/>
      <c r="O57" s="321"/>
      <c r="P57" s="321"/>
      <c r="Q57" s="169"/>
      <c r="R57" s="170"/>
      <c r="S57" s="170"/>
      <c r="T57" s="170"/>
      <c r="U57" s="170"/>
    </row>
    <row r="59" spans="2:21" ht="18.75" customHeight="1" x14ac:dyDescent="0.2">
      <c r="Q59" s="3" t="s">
        <v>0</v>
      </c>
      <c r="R59" s="398" t="str">
        <f>+R2</f>
        <v>PS-XXX-2026 PROMCOSER</v>
      </c>
      <c r="S59" s="399"/>
      <c r="T59" s="399"/>
      <c r="U59" s="400"/>
    </row>
    <row r="61" spans="2:21" x14ac:dyDescent="0.2">
      <c r="B61" s="4"/>
      <c r="C61" s="5"/>
      <c r="D61" s="5"/>
      <c r="E61" s="5"/>
      <c r="F61" s="5"/>
      <c r="G61" s="5"/>
      <c r="Q61" s="6" t="s">
        <v>2</v>
      </c>
      <c r="R61" s="413">
        <f>R4</f>
        <v>46245</v>
      </c>
      <c r="S61" s="399"/>
      <c r="T61" s="399"/>
      <c r="U61" s="400"/>
    </row>
    <row r="62" spans="2:21" x14ac:dyDescent="0.2">
      <c r="B62" s="358" t="s">
        <v>3</v>
      </c>
      <c r="C62" s="358"/>
      <c r="D62" s="358"/>
      <c r="E62" s="358"/>
      <c r="F62" s="358"/>
      <c r="G62" s="5"/>
    </row>
    <row r="63" spans="2:21" x14ac:dyDescent="0.2">
      <c r="B63" s="358" t="s">
        <v>64</v>
      </c>
      <c r="C63" s="358"/>
      <c r="D63" s="358"/>
      <c r="E63" s="358"/>
      <c r="F63" s="358"/>
      <c r="G63" s="5"/>
    </row>
    <row r="64" spans="2:21" x14ac:dyDescent="0.2">
      <c r="B64" s="385" t="s">
        <v>5</v>
      </c>
      <c r="C64" s="386"/>
      <c r="D64" s="386"/>
      <c r="E64" s="386"/>
      <c r="F64" s="386"/>
      <c r="G64" s="5"/>
    </row>
    <row r="65" spans="2:21" x14ac:dyDescent="0.2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</row>
    <row r="66" spans="2:21" ht="18.75" customHeight="1" x14ac:dyDescent="0.2">
      <c r="B66" s="59" t="s">
        <v>65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58"/>
    </row>
    <row r="67" spans="2:21" x14ac:dyDescent="0.2"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3"/>
    </row>
    <row r="68" spans="2:21" x14ac:dyDescent="0.2">
      <c r="B68" s="64"/>
      <c r="C68" s="65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7"/>
      <c r="U68" s="68"/>
    </row>
    <row r="69" spans="2:21" x14ac:dyDescent="0.2">
      <c r="B69" s="64"/>
      <c r="C69" s="69"/>
      <c r="D69" s="70" t="s">
        <v>66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2"/>
      <c r="U69" s="68"/>
    </row>
    <row r="70" spans="2:21" x14ac:dyDescent="0.2">
      <c r="B70" s="64"/>
      <c r="C70" s="69"/>
      <c r="D70" s="73" t="s">
        <v>67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4"/>
      <c r="U70" s="68"/>
    </row>
    <row r="71" spans="2:21" x14ac:dyDescent="0.2">
      <c r="B71" s="64"/>
      <c r="C71" s="69"/>
      <c r="D71" s="73" t="s">
        <v>68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4"/>
      <c r="U71" s="68"/>
    </row>
    <row r="72" spans="2:21" x14ac:dyDescent="0.2">
      <c r="B72" s="64"/>
      <c r="C72" s="69"/>
      <c r="D72" s="73" t="s">
        <v>69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4"/>
      <c r="U72" s="68"/>
    </row>
    <row r="73" spans="2:21" x14ac:dyDescent="0.2">
      <c r="B73" s="64"/>
      <c r="C73" s="69"/>
      <c r="D73" s="73" t="s">
        <v>70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4"/>
      <c r="U73" s="68"/>
    </row>
    <row r="74" spans="2:21" x14ac:dyDescent="0.2">
      <c r="B74" s="64"/>
      <c r="C74" s="69"/>
      <c r="D74" s="75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2"/>
      <c r="U74" s="68"/>
    </row>
    <row r="75" spans="2:21" x14ac:dyDescent="0.2">
      <c r="B75" s="64"/>
      <c r="C75" s="69"/>
      <c r="D75" s="75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2"/>
      <c r="U75" s="68"/>
    </row>
    <row r="76" spans="2:21" x14ac:dyDescent="0.2">
      <c r="B76" s="64"/>
      <c r="C76" s="69"/>
      <c r="D76" s="75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2"/>
      <c r="U76" s="68"/>
    </row>
    <row r="77" spans="2:21" x14ac:dyDescent="0.2">
      <c r="B77" s="76"/>
      <c r="C77" s="77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9"/>
      <c r="U77" s="68"/>
    </row>
    <row r="78" spans="2:21" ht="18.75" customHeight="1" x14ac:dyDescent="0.2"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2"/>
    </row>
    <row r="79" spans="2:21" x14ac:dyDescent="0.2">
      <c r="B79" s="83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58"/>
    </row>
    <row r="80" spans="2:21" ht="18.75" customHeight="1" x14ac:dyDescent="0.2">
      <c r="B80" s="59" t="s">
        <v>71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58"/>
    </row>
    <row r="81" spans="2:21" x14ac:dyDescent="0.2">
      <c r="B81" s="61"/>
      <c r="C81" s="401"/>
      <c r="D81" s="402"/>
      <c r="E81" s="402"/>
      <c r="F81" s="402"/>
      <c r="G81" s="402"/>
      <c r="H81" s="402"/>
      <c r="I81" s="402"/>
      <c r="J81" s="402"/>
      <c r="K81" s="402"/>
      <c r="L81" s="402"/>
      <c r="M81" s="402"/>
      <c r="N81" s="402"/>
      <c r="O81" s="402"/>
      <c r="P81" s="402"/>
      <c r="Q81" s="402"/>
      <c r="R81" s="402"/>
      <c r="S81" s="402"/>
      <c r="T81" s="402"/>
      <c r="U81" s="63"/>
    </row>
    <row r="82" spans="2:21" x14ac:dyDescent="0.2">
      <c r="B82" s="64"/>
      <c r="C82" s="85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86"/>
      <c r="U82" s="68"/>
    </row>
    <row r="83" spans="2:21" x14ac:dyDescent="0.2">
      <c r="B83" s="64"/>
      <c r="C83" s="87"/>
      <c r="D83" s="70" t="s">
        <v>72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4"/>
      <c r="U83" s="68"/>
    </row>
    <row r="84" spans="2:21" x14ac:dyDescent="0.2">
      <c r="B84" s="64"/>
      <c r="C84" s="69"/>
      <c r="D84" s="73" t="s">
        <v>73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4"/>
      <c r="U84" s="68"/>
    </row>
    <row r="85" spans="2:21" x14ac:dyDescent="0.2">
      <c r="B85" s="64"/>
      <c r="C85" s="69"/>
      <c r="D85" s="73" t="s">
        <v>74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4"/>
      <c r="U85" s="68"/>
    </row>
    <row r="86" spans="2:21" ht="32.25" customHeight="1" x14ac:dyDescent="0.2">
      <c r="B86" s="64"/>
      <c r="C86" s="69"/>
      <c r="D86" s="395" t="s">
        <v>75</v>
      </c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  <c r="T86" s="74"/>
      <c r="U86" s="68"/>
    </row>
    <row r="87" spans="2:21" x14ac:dyDescent="0.2">
      <c r="B87" s="64"/>
      <c r="C87" s="69"/>
      <c r="D87" s="73" t="s">
        <v>76</v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4"/>
      <c r="U87" s="68"/>
    </row>
    <row r="88" spans="2:21" x14ac:dyDescent="0.2">
      <c r="B88" s="64"/>
      <c r="C88" s="69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4"/>
      <c r="U88" s="68"/>
    </row>
    <row r="89" spans="2:21" x14ac:dyDescent="0.2">
      <c r="B89" s="64"/>
      <c r="C89" s="69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4"/>
      <c r="U89" s="68"/>
    </row>
    <row r="90" spans="2:21" x14ac:dyDescent="0.2">
      <c r="B90" s="64"/>
      <c r="C90" s="69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4"/>
      <c r="U90" s="68"/>
    </row>
    <row r="91" spans="2:21" x14ac:dyDescent="0.2">
      <c r="B91" s="64"/>
      <c r="C91" s="77"/>
      <c r="D91" s="88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90"/>
      <c r="U91" s="68"/>
    </row>
    <row r="92" spans="2:21" x14ac:dyDescent="0.2">
      <c r="B92" s="91"/>
      <c r="C92" s="92"/>
      <c r="D92" s="93"/>
      <c r="E92" s="92"/>
      <c r="F92" s="92"/>
      <c r="G92" s="92"/>
      <c r="H92" s="92"/>
      <c r="I92" s="92"/>
      <c r="J92" s="92"/>
      <c r="K92" s="92"/>
      <c r="L92" s="94"/>
      <c r="M92" s="95"/>
      <c r="N92" s="96"/>
      <c r="O92" s="410"/>
      <c r="P92" s="378"/>
      <c r="Q92" s="96"/>
      <c r="R92" s="410"/>
      <c r="S92" s="378"/>
      <c r="T92" s="92"/>
      <c r="U92" s="82"/>
    </row>
    <row r="93" spans="2:21" x14ac:dyDescent="0.2">
      <c r="B93" s="83"/>
      <c r="C93" s="60"/>
      <c r="D93" s="60"/>
      <c r="E93" s="60"/>
      <c r="F93" s="60"/>
      <c r="G93" s="60"/>
      <c r="H93" s="60"/>
      <c r="I93" s="60"/>
      <c r="J93" s="60"/>
      <c r="K93" s="60"/>
      <c r="L93" s="97"/>
      <c r="M93" s="97"/>
      <c r="N93" s="98"/>
      <c r="O93" s="99"/>
      <c r="P93" s="99"/>
      <c r="Q93" s="98"/>
      <c r="R93" s="99"/>
      <c r="S93" s="99"/>
      <c r="T93" s="60"/>
      <c r="U93" s="58"/>
    </row>
    <row r="94" spans="2:21" ht="18.75" customHeight="1" x14ac:dyDescent="0.2">
      <c r="B94" s="59" t="s">
        <v>77</v>
      </c>
      <c r="C94" s="58"/>
      <c r="D94" s="100"/>
      <c r="E94" s="101"/>
      <c r="F94" s="58"/>
      <c r="G94" s="58"/>
      <c r="H94" s="102"/>
      <c r="I94" s="103"/>
      <c r="J94" s="58"/>
      <c r="K94" s="312"/>
      <c r="L94" s="313"/>
      <c r="M94" s="313"/>
      <c r="N94" s="313"/>
      <c r="O94" s="313"/>
      <c r="P94" s="58"/>
      <c r="Q94" s="58"/>
      <c r="R94" s="58"/>
      <c r="S94" s="58"/>
      <c r="T94" s="58"/>
      <c r="U94" s="58"/>
    </row>
    <row r="95" spans="2:21" x14ac:dyDescent="0.2">
      <c r="B95" s="61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63"/>
    </row>
    <row r="96" spans="2:21" x14ac:dyDescent="0.2">
      <c r="B96" s="64"/>
      <c r="C96" s="65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7"/>
      <c r="U96" s="68"/>
    </row>
    <row r="97" spans="2:21" x14ac:dyDescent="0.2">
      <c r="B97" s="64"/>
      <c r="C97" s="105"/>
      <c r="D97" s="70" t="s">
        <v>78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2"/>
      <c r="U97" s="68"/>
    </row>
    <row r="98" spans="2:21" ht="28.5" customHeight="1" x14ac:dyDescent="0.2">
      <c r="B98" s="64"/>
      <c r="C98" s="69">
        <v>7.1</v>
      </c>
      <c r="D98" s="395" t="s">
        <v>79</v>
      </c>
      <c r="E98" s="396"/>
      <c r="F98" s="396"/>
      <c r="G98" s="396"/>
      <c r="H98" s="396"/>
      <c r="I98" s="396"/>
      <c r="J98" s="396"/>
      <c r="K98" s="396"/>
      <c r="L98" s="396"/>
      <c r="M98" s="396"/>
      <c r="N98" s="396"/>
      <c r="O98" s="396"/>
      <c r="P98" s="396"/>
      <c r="Q98" s="396"/>
      <c r="R98" s="396"/>
      <c r="S98" s="396"/>
      <c r="T98" s="74"/>
      <c r="U98" s="68"/>
    </row>
    <row r="99" spans="2:21" ht="17.25" customHeight="1" x14ac:dyDescent="0.2">
      <c r="B99" s="64"/>
      <c r="C99" s="69">
        <v>7.2</v>
      </c>
      <c r="D99" s="395" t="s">
        <v>80</v>
      </c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74"/>
      <c r="U99" s="68"/>
    </row>
    <row r="100" spans="2:21" x14ac:dyDescent="0.2">
      <c r="B100" s="64"/>
      <c r="C100" s="77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90"/>
      <c r="U100" s="68"/>
    </row>
    <row r="101" spans="2:21" x14ac:dyDescent="0.2">
      <c r="B101" s="91"/>
      <c r="C101" s="377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82"/>
    </row>
    <row r="102" spans="2:21" x14ac:dyDescent="0.2">
      <c r="B102" s="83"/>
      <c r="C102" s="393"/>
      <c r="D102" s="394"/>
      <c r="E102" s="394"/>
      <c r="F102" s="394"/>
      <c r="G102" s="394"/>
      <c r="H102" s="394"/>
      <c r="I102" s="394"/>
      <c r="J102" s="394"/>
      <c r="K102" s="394"/>
      <c r="L102" s="394"/>
      <c r="M102" s="394"/>
      <c r="N102" s="394"/>
      <c r="O102" s="394"/>
      <c r="P102" s="394"/>
      <c r="Q102" s="394"/>
      <c r="R102" s="394"/>
      <c r="S102" s="394"/>
      <c r="T102" s="394"/>
      <c r="U102" s="58"/>
    </row>
    <row r="103" spans="2:21" x14ac:dyDescent="0.2">
      <c r="B103" s="83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</row>
    <row r="104" spans="2:21" x14ac:dyDescent="0.2">
      <c r="B104" s="359" t="s">
        <v>59</v>
      </c>
      <c r="E104" s="24"/>
      <c r="F104" s="392" t="str">
        <f>+F56</f>
        <v>A. Cuellar</v>
      </c>
      <c r="G104" s="375"/>
      <c r="H104" s="375"/>
      <c r="I104" s="375"/>
      <c r="J104" s="375"/>
      <c r="K104" s="322" t="s">
        <v>61</v>
      </c>
      <c r="L104" s="383" t="str">
        <f>L56</f>
        <v>ventas@promcoser.com.pe</v>
      </c>
      <c r="M104" s="378"/>
      <c r="N104" s="378"/>
      <c r="O104" s="378"/>
      <c r="P104" s="378"/>
      <c r="Q104" s="24" t="s">
        <v>63</v>
      </c>
      <c r="R104" s="374">
        <f>+R56</f>
        <v>940512282</v>
      </c>
      <c r="S104" s="375"/>
      <c r="T104" s="375"/>
      <c r="U104" s="376"/>
    </row>
  </sheetData>
  <mergeCells count="55">
    <mergeCell ref="B7:F7"/>
    <mergeCell ref="T30:U30"/>
    <mergeCell ref="P29:Q29"/>
    <mergeCell ref="T33:U33"/>
    <mergeCell ref="R29:S29"/>
    <mergeCell ref="T29:U29"/>
    <mergeCell ref="T32:U32"/>
    <mergeCell ref="B13:D13"/>
    <mergeCell ref="R28:S28"/>
    <mergeCell ref="P25:Q25"/>
    <mergeCell ref="P23:Q23"/>
    <mergeCell ref="C17:T19"/>
    <mergeCell ref="R26:S26"/>
    <mergeCell ref="O23:O24"/>
    <mergeCell ref="R2:U2"/>
    <mergeCell ref="T35:U35"/>
    <mergeCell ref="O92:P92"/>
    <mergeCell ref="D98:S98"/>
    <mergeCell ref="B23:B24"/>
    <mergeCell ref="R61:U61"/>
    <mergeCell ref="R30:S30"/>
    <mergeCell ref="R25:S25"/>
    <mergeCell ref="T25:U25"/>
    <mergeCell ref="R24:S24"/>
    <mergeCell ref="T23:U24"/>
    <mergeCell ref="R4:U4"/>
    <mergeCell ref="P24:Q24"/>
    <mergeCell ref="C23:N24"/>
    <mergeCell ref="R23:S23"/>
    <mergeCell ref="R92:S92"/>
    <mergeCell ref="D99:S99"/>
    <mergeCell ref="T26:U26"/>
    <mergeCell ref="R59:U59"/>
    <mergeCell ref="C81:T81"/>
    <mergeCell ref="P28:Q28"/>
    <mergeCell ref="D86:S86"/>
    <mergeCell ref="T31:U31"/>
    <mergeCell ref="P26:Q26"/>
    <mergeCell ref="R56:U56"/>
    <mergeCell ref="R104:U104"/>
    <mergeCell ref="C101:T101"/>
    <mergeCell ref="F56:J56"/>
    <mergeCell ref="C26:N26"/>
    <mergeCell ref="L56:P56"/>
    <mergeCell ref="P30:Q30"/>
    <mergeCell ref="B64:F64"/>
    <mergeCell ref="E41:F41"/>
    <mergeCell ref="T34:U34"/>
    <mergeCell ref="T28:U28"/>
    <mergeCell ref="T27:U27"/>
    <mergeCell ref="F104:J104"/>
    <mergeCell ref="P27:Q27"/>
    <mergeCell ref="R27:S27"/>
    <mergeCell ref="L104:P104"/>
    <mergeCell ref="C102:T102"/>
  </mergeCells>
  <hyperlinks>
    <hyperlink ref="L56" r:id="rId1" xr:uid="{00000000-0004-0000-0000-000000000000}"/>
    <hyperlink ref="L104" r:id="rId2" display="mmachado@promcoser.com.pe" xr:uid="{00000000-0004-0000-0000-000001000000}"/>
  </hyperlinks>
  <pageMargins left="0.7" right="0.7" top="0.75" bottom="0.75" header="0.3" footer="0.3"/>
  <pageSetup scale="62" orientation="portrait" r:id="rId3"/>
  <rowBreaks count="1" manualBreakCount="1">
    <brk id="56" max="21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3"/>
  <sheetViews>
    <sheetView tabSelected="1" view="pageBreakPreview" topLeftCell="C1" zoomScaleNormal="100" zoomScaleSheetLayoutView="100" workbookViewId="0">
      <pane xSplit="1" ySplit="6" topLeftCell="D7" activePane="bottomRight" state="frozen"/>
      <selection activeCell="C1" sqref="C1"/>
      <selection pane="topRight" activeCell="D1" sqref="D1"/>
      <selection pane="bottomLeft" activeCell="C7" sqref="C7"/>
      <selection pane="bottomRight" activeCell="C8" sqref="C8:H16"/>
    </sheetView>
  </sheetViews>
  <sheetFormatPr baseColWidth="10" defaultColWidth="9.28515625" defaultRowHeight="10.199999999999999" x14ac:dyDescent="0.2"/>
  <cols>
    <col min="1" max="2" width="1" style="109" customWidth="1"/>
    <col min="3" max="3" width="15.85546875" style="362" customWidth="1"/>
    <col min="4" max="4" width="88.42578125" style="109" customWidth="1"/>
    <col min="5" max="5" width="6.85546875" style="362" customWidth="1"/>
    <col min="6" max="6" width="12.42578125" style="362" bestFit="1" customWidth="1"/>
    <col min="7" max="7" width="11.85546875" style="362" customWidth="1"/>
    <col min="8" max="8" width="19.85546875" style="362" customWidth="1"/>
  </cols>
  <sheetData>
    <row r="2" spans="1:8" ht="27" customHeight="1" x14ac:dyDescent="0.2">
      <c r="C2" s="274" t="s">
        <v>81</v>
      </c>
      <c r="D2" s="437" t="str">
        <f>PRESUPUESTO!E12</f>
        <v>AMPLIACION CAMPAMENTO JUSTA SUBTERRANEA</v>
      </c>
      <c r="E2" s="438"/>
      <c r="F2" s="438"/>
      <c r="G2" s="234"/>
      <c r="H2" s="234"/>
    </row>
    <row r="3" spans="1:8" ht="27" customHeight="1" x14ac:dyDescent="0.2">
      <c r="C3" s="274" t="s">
        <v>82</v>
      </c>
      <c r="D3" s="361" t="str">
        <f>PRESUPUESTO!E13</f>
        <v xml:space="preserve">SUMINISTRO, INSTALACION, PRUEBAS Y PUESTA EN MARCHA - RAMAL CONTRAINCENDIOS HDPE TIE-IN-06 A GCI </v>
      </c>
      <c r="G3" s="234"/>
      <c r="H3" s="234"/>
    </row>
    <row r="4" spans="1:8" ht="12" customHeight="1" x14ac:dyDescent="0.2">
      <c r="C4" s="274" t="s">
        <v>83</v>
      </c>
      <c r="D4" s="275" t="str">
        <f>PRESUPUESTO!E9</f>
        <v>COPREFA CONSTRUCCIONES PRE-FABRICADAS S.R.C. (EPC MARCOBRE)</v>
      </c>
      <c r="E4" s="276"/>
      <c r="F4" s="276"/>
      <c r="G4" s="234"/>
      <c r="H4" s="234"/>
    </row>
    <row r="5" spans="1:8" ht="12" customHeight="1" thickBot="1" x14ac:dyDescent="0.25">
      <c r="C5" s="234"/>
      <c r="D5" s="235"/>
      <c r="E5" s="234"/>
      <c r="F5" s="234"/>
      <c r="G5" s="234"/>
      <c r="H5" s="234"/>
    </row>
    <row r="6" spans="1:8" ht="15" customHeight="1" thickBot="1" x14ac:dyDescent="0.25">
      <c r="A6" s="1"/>
      <c r="B6" s="1"/>
      <c r="C6" s="463" t="s">
        <v>84</v>
      </c>
      <c r="D6" s="464" t="s">
        <v>85</v>
      </c>
      <c r="E6" s="465" t="s">
        <v>86</v>
      </c>
      <c r="F6" s="466" t="s">
        <v>87</v>
      </c>
      <c r="G6" s="465" t="s">
        <v>88</v>
      </c>
      <c r="H6" s="467" t="s">
        <v>89</v>
      </c>
    </row>
    <row r="7" spans="1:8" ht="29.4" customHeight="1" thickBot="1" x14ac:dyDescent="0.25">
      <c r="A7" s="1"/>
      <c r="B7" s="1"/>
      <c r="C7" s="468"/>
      <c r="D7" s="469" t="s">
        <v>17</v>
      </c>
      <c r="E7" s="470"/>
      <c r="F7" s="470"/>
      <c r="G7" s="470"/>
      <c r="H7" s="471"/>
    </row>
    <row r="8" spans="1:8" s="232" customFormat="1" ht="15" customHeight="1" x14ac:dyDescent="0.2">
      <c r="A8" s="231"/>
      <c r="B8" s="231"/>
      <c r="C8" s="373" t="s">
        <v>93</v>
      </c>
      <c r="D8" s="287" t="s">
        <v>90</v>
      </c>
      <c r="E8" s="288"/>
      <c r="F8" s="289"/>
      <c r="G8" s="289"/>
      <c r="H8" s="290">
        <f>H9</f>
        <v>433.13333333333333</v>
      </c>
    </row>
    <row r="9" spans="1:8" s="232" customFormat="1" ht="12" customHeight="1" thickBot="1" x14ac:dyDescent="0.25">
      <c r="A9" s="231"/>
      <c r="B9" s="231"/>
      <c r="C9" s="372" t="s">
        <v>94</v>
      </c>
      <c r="D9" s="279" t="s">
        <v>91</v>
      </c>
      <c r="E9" s="280" t="s">
        <v>92</v>
      </c>
      <c r="F9" s="283">
        <v>1</v>
      </c>
      <c r="G9" s="283">
        <f>APU!H9</f>
        <v>433.13333333333333</v>
      </c>
      <c r="H9" s="284">
        <f>G9*F9</f>
        <v>433.13333333333333</v>
      </c>
    </row>
    <row r="10" spans="1:8" ht="14.4" customHeight="1" x14ac:dyDescent="0.2">
      <c r="C10" s="286" t="s">
        <v>100</v>
      </c>
      <c r="D10" s="287" t="s">
        <v>101</v>
      </c>
      <c r="E10" s="288"/>
      <c r="F10" s="289"/>
      <c r="G10" s="289"/>
      <c r="H10" s="290">
        <f>H11+H12+H13+H14+H15+H16</f>
        <v>3130.5148749999998</v>
      </c>
    </row>
    <row r="11" spans="1:8" x14ac:dyDescent="0.2">
      <c r="C11" s="285" t="s">
        <v>102</v>
      </c>
      <c r="D11" s="279" t="s">
        <v>103</v>
      </c>
      <c r="E11" s="280" t="s">
        <v>30</v>
      </c>
      <c r="F11" s="283">
        <v>1</v>
      </c>
      <c r="G11" s="283">
        <f>APU!H20</f>
        <v>802.58899999999994</v>
      </c>
      <c r="H11" s="284">
        <f t="shared" ref="H11:H16" si="0">G11*F11</f>
        <v>802.58899999999994</v>
      </c>
    </row>
    <row r="12" spans="1:8" x14ac:dyDescent="0.2">
      <c r="C12" s="285" t="s">
        <v>104</v>
      </c>
      <c r="D12" s="279" t="s">
        <v>105</v>
      </c>
      <c r="E12" s="280" t="s">
        <v>106</v>
      </c>
      <c r="F12" s="283">
        <v>33.75</v>
      </c>
      <c r="G12" s="283">
        <f>APU!H36</f>
        <v>14.866333333333333</v>
      </c>
      <c r="H12" s="284">
        <f t="shared" si="0"/>
        <v>501.73874999999998</v>
      </c>
    </row>
    <row r="13" spans="1:8" x14ac:dyDescent="0.2">
      <c r="C13" s="285" t="s">
        <v>107</v>
      </c>
      <c r="D13" s="279" t="s">
        <v>108</v>
      </c>
      <c r="E13" s="280" t="s">
        <v>95</v>
      </c>
      <c r="F13" s="283">
        <v>13</v>
      </c>
      <c r="G13" s="283">
        <f>APU!H48</f>
        <v>100.32362499999999</v>
      </c>
      <c r="H13" s="284">
        <f t="shared" si="0"/>
        <v>1304.2071249999999</v>
      </c>
    </row>
    <row r="14" spans="1:8" x14ac:dyDescent="0.2">
      <c r="C14" s="285" t="s">
        <v>109</v>
      </c>
      <c r="D14" s="369" t="s">
        <v>110</v>
      </c>
      <c r="E14" s="280" t="s">
        <v>30</v>
      </c>
      <c r="F14" s="283">
        <v>1</v>
      </c>
      <c r="G14" s="283">
        <f>APU!H62</f>
        <v>343.63550000000004</v>
      </c>
      <c r="H14" s="284">
        <f t="shared" si="0"/>
        <v>343.63550000000004</v>
      </c>
    </row>
    <row r="15" spans="1:8" x14ac:dyDescent="0.2">
      <c r="C15" s="285" t="s">
        <v>111</v>
      </c>
      <c r="D15" s="279" t="s">
        <v>112</v>
      </c>
      <c r="E15" s="280" t="s">
        <v>95</v>
      </c>
      <c r="F15" s="283">
        <v>1</v>
      </c>
      <c r="G15" s="283">
        <f>APU!H81</f>
        <v>89.172250000000005</v>
      </c>
      <c r="H15" s="284">
        <f t="shared" si="0"/>
        <v>89.172250000000005</v>
      </c>
    </row>
    <row r="16" spans="1:8" ht="10.8" thickBot="1" x14ac:dyDescent="0.25">
      <c r="C16" s="472" t="s">
        <v>113</v>
      </c>
      <c r="D16" s="473" t="s">
        <v>114</v>
      </c>
      <c r="E16" s="474" t="s">
        <v>95</v>
      </c>
      <c r="F16" s="475">
        <v>1</v>
      </c>
      <c r="G16" s="475">
        <f>APU!H93</f>
        <v>89.172250000000005</v>
      </c>
      <c r="H16" s="476">
        <f t="shared" si="0"/>
        <v>89.172250000000005</v>
      </c>
    </row>
    <row r="17" spans="3:8" ht="14.4" customHeight="1" x14ac:dyDescent="0.2">
      <c r="C17" s="286" t="s">
        <v>115</v>
      </c>
      <c r="D17" s="287" t="s">
        <v>116</v>
      </c>
      <c r="E17" s="288"/>
      <c r="F17" s="289"/>
      <c r="G17" s="289"/>
      <c r="H17" s="290">
        <f>H18</f>
        <v>800</v>
      </c>
    </row>
    <row r="18" spans="3:8" x14ac:dyDescent="0.2">
      <c r="C18" s="285" t="s">
        <v>117</v>
      </c>
      <c r="D18" s="279" t="s">
        <v>118</v>
      </c>
      <c r="E18" s="280" t="s">
        <v>30</v>
      </c>
      <c r="F18" s="283">
        <v>1</v>
      </c>
      <c r="G18" s="283">
        <f>APU!H105</f>
        <v>800</v>
      </c>
      <c r="H18" s="284">
        <f>G18*F18</f>
        <v>800</v>
      </c>
    </row>
    <row r="19" spans="3:8" ht="14.4" customHeight="1" x14ac:dyDescent="0.2">
      <c r="C19" s="286" t="s">
        <v>119</v>
      </c>
      <c r="D19" s="287" t="s">
        <v>120</v>
      </c>
      <c r="E19" s="288"/>
      <c r="F19" s="289"/>
      <c r="G19" s="289"/>
      <c r="H19" s="290">
        <f>H20+H21+H22</f>
        <v>118.89633333333333</v>
      </c>
    </row>
    <row r="20" spans="3:8" x14ac:dyDescent="0.2">
      <c r="C20" s="285" t="s">
        <v>121</v>
      </c>
      <c r="D20" s="279" t="s">
        <v>122</v>
      </c>
      <c r="E20" s="280" t="s">
        <v>30</v>
      </c>
      <c r="F20" s="283">
        <v>1</v>
      </c>
      <c r="G20" s="283">
        <f>APU!H112</f>
        <v>118.89633333333333</v>
      </c>
      <c r="H20" s="284">
        <f>G20*F20</f>
        <v>118.89633333333333</v>
      </c>
    </row>
    <row r="21" spans="3:8" x14ac:dyDescent="0.2">
      <c r="C21" s="285"/>
      <c r="D21" s="279"/>
      <c r="E21" s="280"/>
      <c r="F21" s="283"/>
      <c r="G21" s="283"/>
      <c r="H21" s="284"/>
    </row>
    <row r="22" spans="3:8" x14ac:dyDescent="0.2">
      <c r="C22" s="285"/>
      <c r="D22" s="279"/>
      <c r="E22" s="280"/>
      <c r="F22" s="283"/>
      <c r="G22" s="283"/>
      <c r="H22" s="284"/>
    </row>
    <row r="23" spans="3:8" ht="15.6" customHeight="1" x14ac:dyDescent="0.2">
      <c r="C23" s="285"/>
      <c r="D23" s="439" t="s">
        <v>123</v>
      </c>
      <c r="E23" s="440"/>
      <c r="F23" s="440"/>
      <c r="G23" s="441"/>
      <c r="H23" s="284">
        <f>H8+H10+H17+H19</f>
        <v>4482.5445416666662</v>
      </c>
    </row>
  </sheetData>
  <mergeCells count="2">
    <mergeCell ref="D2:F2"/>
    <mergeCell ref="D23:G23"/>
  </mergeCells>
  <pageMargins left="0.74803149606299213" right="0.74803149606299213" top="0.98425196850393704" bottom="0.98425196850393704" header="0.51181102362204722" footer="0.51181102362204722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XBW134"/>
  <sheetViews>
    <sheetView view="pageBreakPreview" topLeftCell="A7" zoomScaleNormal="115" zoomScaleSheetLayoutView="100" workbookViewId="0">
      <selection activeCell="B15" sqref="B15"/>
    </sheetView>
  </sheetViews>
  <sheetFormatPr baseColWidth="10" defaultColWidth="11.42578125" defaultRowHeight="12.6" x14ac:dyDescent="0.25"/>
  <cols>
    <col min="1" max="3" width="22.7109375" style="363" customWidth="1"/>
    <col min="4" max="4" width="11.7109375" style="364" customWidth="1"/>
    <col min="5" max="5" width="19.85546875" style="365" customWidth="1"/>
    <col min="6" max="6" width="19.85546875" style="366" customWidth="1"/>
    <col min="7" max="8" width="19.85546875" style="367" customWidth="1"/>
    <col min="9" max="10" width="11.42578125" style="230" customWidth="1"/>
    <col min="11" max="16384" width="11.42578125" style="230"/>
  </cols>
  <sheetData>
    <row r="1" spans="1:8" ht="15" customHeight="1" x14ac:dyDescent="0.3">
      <c r="A1" s="442" t="s">
        <v>124</v>
      </c>
      <c r="B1" s="443"/>
      <c r="C1" s="443"/>
      <c r="D1" s="444"/>
      <c r="E1" s="445"/>
      <c r="F1" s="446"/>
      <c r="G1" s="447"/>
      <c r="H1" s="447"/>
    </row>
    <row r="2" spans="1:8" ht="15" customHeight="1" x14ac:dyDescent="0.3">
      <c r="A2" s="305" t="s">
        <v>125</v>
      </c>
      <c r="B2" s="305"/>
      <c r="C2" s="305"/>
      <c r="D2" s="305"/>
      <c r="E2" s="305"/>
      <c r="F2" s="305"/>
      <c r="G2" s="305"/>
      <c r="H2" s="305"/>
    </row>
    <row r="3" spans="1:8" ht="15" customHeight="1" x14ac:dyDescent="0.3">
      <c r="A3" s="305" t="s">
        <v>126</v>
      </c>
      <c r="B3" s="305"/>
      <c r="C3" s="305"/>
      <c r="D3" s="305"/>
      <c r="E3" s="305"/>
      <c r="F3" s="305"/>
      <c r="G3" s="305"/>
      <c r="H3" s="305"/>
    </row>
    <row r="4" spans="1:8" ht="15" customHeight="1" x14ac:dyDescent="0.3">
      <c r="A4" s="305" t="s">
        <v>127</v>
      </c>
      <c r="B4" s="305"/>
      <c r="C4" s="305"/>
      <c r="D4" s="305"/>
      <c r="E4" s="305"/>
      <c r="F4" s="305"/>
      <c r="G4" s="305"/>
      <c r="H4" s="305"/>
    </row>
    <row r="5" spans="1:8" ht="15" customHeight="1" x14ac:dyDescent="0.3">
      <c r="A5" s="305" t="s">
        <v>128</v>
      </c>
      <c r="B5" s="305"/>
      <c r="C5" s="305"/>
      <c r="D5" s="305"/>
      <c r="E5" s="305"/>
      <c r="F5" s="305"/>
      <c r="G5" s="305"/>
      <c r="H5" s="305"/>
    </row>
    <row r="6" spans="1:8" ht="15" customHeight="1" x14ac:dyDescent="0.3">
      <c r="A6" s="305" t="s">
        <v>129</v>
      </c>
      <c r="B6" s="305"/>
      <c r="C6" s="305"/>
      <c r="D6" s="305"/>
      <c r="E6" s="305"/>
      <c r="F6" s="305"/>
      <c r="G6" s="305"/>
      <c r="H6" s="305"/>
    </row>
    <row r="7" spans="1:8" ht="15" customHeight="1" x14ac:dyDescent="0.3">
      <c r="A7" s="305"/>
      <c r="B7" s="305"/>
      <c r="C7" s="305"/>
      <c r="D7" s="305"/>
      <c r="E7" s="305"/>
      <c r="F7" s="305"/>
      <c r="G7" s="305"/>
      <c r="H7" s="305"/>
    </row>
    <row r="8" spans="1:8" ht="15" customHeight="1" x14ac:dyDescent="0.3">
      <c r="A8" s="291" t="s">
        <v>320</v>
      </c>
      <c r="B8" s="291"/>
      <c r="C8" s="291"/>
      <c r="D8" s="291"/>
      <c r="E8" s="291"/>
      <c r="F8" s="291"/>
      <c r="G8" s="291"/>
      <c r="H8" s="291"/>
    </row>
    <row r="9" spans="1:8" ht="15" customHeight="1" x14ac:dyDescent="0.25">
      <c r="A9" s="281" t="s">
        <v>130</v>
      </c>
      <c r="B9" s="371">
        <v>3</v>
      </c>
      <c r="C9" s="281" t="s">
        <v>131</v>
      </c>
      <c r="D9" s="292"/>
      <c r="E9" s="323" t="s">
        <v>132</v>
      </c>
      <c r="F9" s="324"/>
      <c r="G9" s="293" t="s">
        <v>133</v>
      </c>
      <c r="H9" s="293">
        <f>H13+H16</f>
        <v>433.13333333333333</v>
      </c>
    </row>
    <row r="10" spans="1:8" ht="15" customHeight="1" x14ac:dyDescent="0.25">
      <c r="A10" s="292" t="s">
        <v>134</v>
      </c>
      <c r="B10" s="292"/>
      <c r="C10" s="292"/>
      <c r="D10" s="292" t="s">
        <v>135</v>
      </c>
      <c r="E10" s="325" t="s">
        <v>136</v>
      </c>
      <c r="F10" s="325" t="s">
        <v>24</v>
      </c>
      <c r="G10" s="294" t="s">
        <v>137</v>
      </c>
      <c r="H10" s="294" t="s">
        <v>138</v>
      </c>
    </row>
    <row r="11" spans="1:8" x14ac:dyDescent="0.25">
      <c r="A11" s="363" t="s">
        <v>139</v>
      </c>
      <c r="D11" s="364" t="s">
        <v>140</v>
      </c>
      <c r="E11" s="365">
        <v>1</v>
      </c>
      <c r="F11" s="366">
        <f>10/B9</f>
        <v>3.3333333333333335</v>
      </c>
      <c r="G11" s="367">
        <v>13.94</v>
      </c>
      <c r="H11" s="367">
        <f>E11*F11*G11</f>
        <v>46.466666666666669</v>
      </c>
    </row>
    <row r="12" spans="1:8" x14ac:dyDescent="0.25">
      <c r="A12" s="363" t="s">
        <v>141</v>
      </c>
      <c r="D12" s="364" t="s">
        <v>140</v>
      </c>
      <c r="E12" s="365">
        <v>2</v>
      </c>
      <c r="F12" s="366">
        <f>10/B9</f>
        <v>3.3333333333333335</v>
      </c>
      <c r="G12" s="367">
        <v>13</v>
      </c>
      <c r="H12" s="367">
        <f>E12*F12*G12</f>
        <v>86.666666666666671</v>
      </c>
    </row>
    <row r="13" spans="1:8" ht="15" customHeight="1" x14ac:dyDescent="0.25">
      <c r="A13" s="295"/>
      <c r="B13" s="295"/>
      <c r="C13" s="295"/>
      <c r="D13" s="296"/>
      <c r="E13" s="326"/>
      <c r="F13" s="327"/>
      <c r="G13" s="297" t="s">
        <v>142</v>
      </c>
      <c r="H13" s="297">
        <f>SUM(H11:H12)</f>
        <v>133.13333333333333</v>
      </c>
    </row>
    <row r="15" spans="1:8" ht="15" customHeight="1" x14ac:dyDescent="0.25">
      <c r="A15" s="363" t="s">
        <v>143</v>
      </c>
      <c r="D15" s="364" t="s">
        <v>144</v>
      </c>
      <c r="F15" s="366">
        <v>4</v>
      </c>
      <c r="G15" s="367">
        <v>75</v>
      </c>
      <c r="H15" s="367">
        <f>F15*G15</f>
        <v>300</v>
      </c>
    </row>
    <row r="16" spans="1:8" ht="15" customHeight="1" x14ac:dyDescent="0.25">
      <c r="A16" s="295"/>
      <c r="B16" s="295"/>
      <c r="C16" s="295"/>
      <c r="D16" s="296"/>
      <c r="E16" s="326"/>
      <c r="F16" s="327"/>
      <c r="G16" s="297" t="s">
        <v>145</v>
      </c>
      <c r="H16" s="297">
        <f>SUM(H15:H15)</f>
        <v>300</v>
      </c>
    </row>
    <row r="19" spans="1:8" ht="15" customHeight="1" x14ac:dyDescent="0.3">
      <c r="A19" s="291" t="s">
        <v>150</v>
      </c>
      <c r="B19" s="291"/>
      <c r="C19" s="291"/>
      <c r="D19" s="291"/>
      <c r="E19" s="291"/>
      <c r="F19" s="291"/>
      <c r="G19" s="291"/>
      <c r="H19" s="291"/>
    </row>
    <row r="20" spans="1:8" ht="15" customHeight="1" x14ac:dyDescent="0.25">
      <c r="A20" s="281" t="s">
        <v>151</v>
      </c>
      <c r="B20" s="371">
        <v>1</v>
      </c>
      <c r="C20" s="281" t="s">
        <v>152</v>
      </c>
      <c r="D20" s="292"/>
      <c r="E20" s="323" t="s">
        <v>149</v>
      </c>
      <c r="F20" s="324"/>
      <c r="G20" s="293" t="s">
        <v>133</v>
      </c>
      <c r="H20" s="293">
        <f>H25+H28+H32</f>
        <v>802.58899999999994</v>
      </c>
    </row>
    <row r="21" spans="1:8" ht="15" customHeight="1" x14ac:dyDescent="0.25">
      <c r="A21" s="292" t="s">
        <v>134</v>
      </c>
      <c r="B21" s="292"/>
      <c r="C21" s="292"/>
      <c r="D21" s="292" t="s">
        <v>135</v>
      </c>
      <c r="E21" s="325" t="s">
        <v>136</v>
      </c>
      <c r="F21" s="325" t="s">
        <v>24</v>
      </c>
      <c r="G21" s="294" t="s">
        <v>137</v>
      </c>
      <c r="H21" s="294" t="s">
        <v>138</v>
      </c>
    </row>
    <row r="22" spans="1:8" x14ac:dyDescent="0.25">
      <c r="A22" s="363" t="s">
        <v>153</v>
      </c>
      <c r="D22" s="364" t="s">
        <v>140</v>
      </c>
      <c r="E22" s="365">
        <v>0.5</v>
      </c>
      <c r="F22" s="366">
        <f>10/B20</f>
        <v>10</v>
      </c>
      <c r="G22" s="367">
        <v>15.38</v>
      </c>
      <c r="H22" s="367">
        <f>E22*F22*G22</f>
        <v>76.900000000000006</v>
      </c>
    </row>
    <row r="23" spans="1:8" x14ac:dyDescent="0.25">
      <c r="A23" s="363" t="s">
        <v>139</v>
      </c>
      <c r="D23" s="364" t="s">
        <v>140</v>
      </c>
      <c r="E23" s="365">
        <v>1</v>
      </c>
      <c r="F23" s="366">
        <f>10/B20</f>
        <v>10</v>
      </c>
      <c r="G23" s="316">
        <v>13.94</v>
      </c>
      <c r="H23" s="367">
        <f>E23*F23*G23</f>
        <v>139.4</v>
      </c>
    </row>
    <row r="24" spans="1:8" x14ac:dyDescent="0.25">
      <c r="A24" s="363" t="s">
        <v>141</v>
      </c>
      <c r="D24" s="364" t="s">
        <v>140</v>
      </c>
      <c r="E24" s="365">
        <v>2</v>
      </c>
      <c r="F24" s="366">
        <f>10/B20</f>
        <v>10</v>
      </c>
      <c r="G24" s="316">
        <v>13</v>
      </c>
      <c r="H24" s="367">
        <f>E24*F24*G24</f>
        <v>260</v>
      </c>
    </row>
    <row r="25" spans="1:8" ht="15" customHeight="1" x14ac:dyDescent="0.25">
      <c r="A25" s="295"/>
      <c r="B25" s="295"/>
      <c r="C25" s="295"/>
      <c r="D25" s="296"/>
      <c r="E25" s="326"/>
      <c r="F25" s="327"/>
      <c r="G25" s="297" t="s">
        <v>142</v>
      </c>
      <c r="H25" s="297">
        <f>SUM(H22:H24)</f>
        <v>476.3</v>
      </c>
    </row>
    <row r="27" spans="1:8" x14ac:dyDescent="0.25">
      <c r="A27" s="363" t="s">
        <v>154</v>
      </c>
      <c r="D27" s="364" t="s">
        <v>30</v>
      </c>
      <c r="F27" s="366">
        <v>1</v>
      </c>
      <c r="G27" s="367">
        <v>12</v>
      </c>
      <c r="H27" s="367">
        <f>F27*G27</f>
        <v>12</v>
      </c>
    </row>
    <row r="28" spans="1:8" ht="15" customHeight="1" x14ac:dyDescent="0.25">
      <c r="A28" s="295"/>
      <c r="B28" s="295"/>
      <c r="C28" s="295"/>
      <c r="D28" s="296"/>
      <c r="E28" s="326"/>
      <c r="F28" s="327"/>
      <c r="G28" s="297" t="s">
        <v>147</v>
      </c>
      <c r="H28" s="297">
        <f>SUM(H27:H27)</f>
        <v>12</v>
      </c>
    </row>
    <row r="30" spans="1:8" x14ac:dyDescent="0.25">
      <c r="A30" s="363" t="s">
        <v>155</v>
      </c>
      <c r="D30" s="370" t="s">
        <v>144</v>
      </c>
      <c r="F30" s="366">
        <v>10</v>
      </c>
      <c r="G30" s="367">
        <v>30</v>
      </c>
      <c r="H30" s="367">
        <f>F30*G30</f>
        <v>300</v>
      </c>
    </row>
    <row r="31" spans="1:8" x14ac:dyDescent="0.25">
      <c r="A31" s="363" t="s">
        <v>156</v>
      </c>
      <c r="D31" s="364" t="s">
        <v>157</v>
      </c>
      <c r="F31" s="366">
        <v>3</v>
      </c>
      <c r="G31" s="367">
        <f>H25</f>
        <v>476.3</v>
      </c>
      <c r="H31" s="367">
        <f>G31*F31/100</f>
        <v>14.289000000000001</v>
      </c>
    </row>
    <row r="32" spans="1:8" ht="15" customHeight="1" x14ac:dyDescent="0.25">
      <c r="A32" s="295"/>
      <c r="B32" s="295"/>
      <c r="C32" s="295"/>
      <c r="D32" s="296"/>
      <c r="E32" s="326"/>
      <c r="F32" s="327"/>
      <c r="G32" s="297" t="s">
        <v>145</v>
      </c>
      <c r="H32" s="297">
        <f>SUM(H30:H31)</f>
        <v>314.28899999999999</v>
      </c>
    </row>
    <row r="35" spans="1:16299" ht="15" customHeight="1" x14ac:dyDescent="0.3">
      <c r="A35" s="291" t="s">
        <v>158</v>
      </c>
      <c r="B35" s="291"/>
      <c r="C35" s="291"/>
      <c r="D35" s="291"/>
      <c r="E35" s="291"/>
      <c r="F35" s="291"/>
      <c r="G35" s="291"/>
      <c r="H35" s="291"/>
    </row>
    <row r="36" spans="1:16299" ht="15" customHeight="1" x14ac:dyDescent="0.25">
      <c r="A36" s="281" t="s">
        <v>151</v>
      </c>
      <c r="B36" s="371">
        <v>33</v>
      </c>
      <c r="C36" s="281" t="s">
        <v>159</v>
      </c>
      <c r="D36" s="292"/>
      <c r="E36" s="323" t="s">
        <v>148</v>
      </c>
      <c r="F36" s="324"/>
      <c r="G36" s="293" t="s">
        <v>133</v>
      </c>
      <c r="H36" s="293">
        <f>H41+H44</f>
        <v>14.866333333333333</v>
      </c>
    </row>
    <row r="37" spans="1:16299" ht="15" customHeight="1" x14ac:dyDescent="0.25">
      <c r="A37" s="292" t="s">
        <v>134</v>
      </c>
      <c r="B37" s="292"/>
      <c r="C37" s="292"/>
      <c r="D37" s="292" t="s">
        <v>135</v>
      </c>
      <c r="E37" s="325" t="s">
        <v>136</v>
      </c>
      <c r="F37" s="325" t="s">
        <v>24</v>
      </c>
      <c r="G37" s="294" t="s">
        <v>137</v>
      </c>
      <c r="H37" s="294" t="s">
        <v>138</v>
      </c>
    </row>
    <row r="38" spans="1:16299" ht="15" customHeight="1" x14ac:dyDescent="0.25">
      <c r="A38" s="363" t="s">
        <v>153</v>
      </c>
      <c r="D38" s="364" t="s">
        <v>140</v>
      </c>
      <c r="E38" s="365">
        <v>0.5</v>
      </c>
      <c r="F38" s="366">
        <f>10/B36</f>
        <v>0.30303030303030304</v>
      </c>
      <c r="G38" s="367">
        <v>15.38</v>
      </c>
      <c r="H38" s="367">
        <f>E38*F38*G38</f>
        <v>2.3303030303030305</v>
      </c>
      <c r="I38" s="363"/>
      <c r="J38" s="367"/>
      <c r="K38" s="367"/>
      <c r="L38" s="363"/>
      <c r="M38" s="363"/>
      <c r="N38" s="363"/>
      <c r="O38" s="364"/>
      <c r="P38" s="365"/>
      <c r="Q38" s="366"/>
      <c r="R38" s="367"/>
      <c r="S38" s="367"/>
      <c r="T38" s="363"/>
      <c r="U38" s="363"/>
      <c r="V38" s="363"/>
      <c r="W38" s="364"/>
      <c r="X38" s="365"/>
      <c r="Y38" s="366"/>
      <c r="Z38" s="367"/>
      <c r="AA38" s="367">
        <f>X38*Y38*Z38</f>
        <v>0</v>
      </c>
      <c r="AB38" s="363" t="s">
        <v>153</v>
      </c>
      <c r="AC38" s="363"/>
      <c r="AD38" s="363"/>
      <c r="AE38" s="364" t="s">
        <v>140</v>
      </c>
      <c r="AF38" s="365">
        <v>0.5</v>
      </c>
      <c r="AG38" s="366" t="e">
        <f>10/AC36</f>
        <v>#DIV/0!</v>
      </c>
      <c r="AH38" s="367">
        <v>15.38</v>
      </c>
      <c r="AI38" s="367" t="e">
        <f>AF38*AG38*AH38</f>
        <v>#DIV/0!</v>
      </c>
      <c r="AJ38" s="363" t="s">
        <v>153</v>
      </c>
      <c r="AK38" s="363"/>
      <c r="AL38" s="363"/>
      <c r="AM38" s="364" t="s">
        <v>140</v>
      </c>
      <c r="AN38" s="365">
        <v>0.5</v>
      </c>
      <c r="AO38" s="366" t="e">
        <f>10/AK36</f>
        <v>#DIV/0!</v>
      </c>
      <c r="AP38" s="367">
        <v>15.38</v>
      </c>
      <c r="AQ38" s="367" t="e">
        <f>AN38*AO38*AP38</f>
        <v>#DIV/0!</v>
      </c>
      <c r="AR38" s="363" t="s">
        <v>153</v>
      </c>
      <c r="AS38" s="363"/>
      <c r="AT38" s="363"/>
      <c r="AU38" s="364" t="s">
        <v>140</v>
      </c>
      <c r="AV38" s="365">
        <v>0.5</v>
      </c>
      <c r="AW38" s="366" t="e">
        <f>10/AS36</f>
        <v>#DIV/0!</v>
      </c>
      <c r="AX38" s="367">
        <v>15.38</v>
      </c>
      <c r="AY38" s="367" t="e">
        <f>AV38*AW38*AX38</f>
        <v>#DIV/0!</v>
      </c>
      <c r="AZ38" s="363" t="s">
        <v>153</v>
      </c>
      <c r="BA38" s="363"/>
      <c r="BB38" s="363"/>
      <c r="BC38" s="364" t="s">
        <v>140</v>
      </c>
      <c r="BD38" s="365">
        <v>0.5</v>
      </c>
      <c r="BE38" s="366" t="e">
        <f>10/BA36</f>
        <v>#DIV/0!</v>
      </c>
      <c r="BF38" s="367">
        <v>15.38</v>
      </c>
      <c r="BG38" s="367" t="e">
        <f>BD38*BE38*BF38</f>
        <v>#DIV/0!</v>
      </c>
      <c r="BH38" s="363" t="s">
        <v>153</v>
      </c>
      <c r="BI38" s="363"/>
      <c r="BJ38" s="363"/>
      <c r="BK38" s="364" t="s">
        <v>140</v>
      </c>
      <c r="BL38" s="365">
        <v>0.5</v>
      </c>
      <c r="BM38" s="366" t="e">
        <f>10/BI36</f>
        <v>#DIV/0!</v>
      </c>
      <c r="BN38" s="367">
        <v>15.38</v>
      </c>
      <c r="BO38" s="367" t="e">
        <f>BL38*BM38*BN38</f>
        <v>#DIV/0!</v>
      </c>
      <c r="BP38" s="363" t="s">
        <v>153</v>
      </c>
      <c r="BQ38" s="363"/>
      <c r="BR38" s="363"/>
      <c r="BS38" s="364" t="s">
        <v>140</v>
      </c>
      <c r="BT38" s="365">
        <v>0.5</v>
      </c>
      <c r="BU38" s="366" t="e">
        <f>10/BQ36</f>
        <v>#DIV/0!</v>
      </c>
      <c r="BV38" s="367">
        <v>15.38</v>
      </c>
      <c r="BW38" s="367" t="e">
        <f>BT38*BU38*BV38</f>
        <v>#DIV/0!</v>
      </c>
      <c r="BX38" s="363" t="s">
        <v>153</v>
      </c>
      <c r="BY38" s="363"/>
      <c r="BZ38" s="363"/>
      <c r="CA38" s="364" t="s">
        <v>140</v>
      </c>
      <c r="CB38" s="365">
        <v>0.5</v>
      </c>
      <c r="CC38" s="366" t="e">
        <f>10/BY36</f>
        <v>#DIV/0!</v>
      </c>
      <c r="CD38" s="367">
        <v>15.38</v>
      </c>
      <c r="CE38" s="367" t="e">
        <f>CB38*CC38*CD38</f>
        <v>#DIV/0!</v>
      </c>
      <c r="CF38" s="363" t="s">
        <v>153</v>
      </c>
      <c r="CG38" s="363"/>
      <c r="CH38" s="363"/>
      <c r="CI38" s="364" t="s">
        <v>140</v>
      </c>
      <c r="CJ38" s="365">
        <v>0.5</v>
      </c>
      <c r="CK38" s="366" t="e">
        <f>10/CG36</f>
        <v>#DIV/0!</v>
      </c>
      <c r="CL38" s="367">
        <v>15.38</v>
      </c>
      <c r="CM38" s="367" t="e">
        <f>CJ38*CK38*CL38</f>
        <v>#DIV/0!</v>
      </c>
      <c r="CN38" s="363" t="s">
        <v>153</v>
      </c>
      <c r="CO38" s="363"/>
      <c r="CP38" s="363"/>
      <c r="CQ38" s="364" t="s">
        <v>140</v>
      </c>
      <c r="CR38" s="365">
        <v>0.5</v>
      </c>
      <c r="CS38" s="366" t="e">
        <f>10/CO36</f>
        <v>#DIV/0!</v>
      </c>
      <c r="CT38" s="367">
        <v>15.38</v>
      </c>
      <c r="CU38" s="367" t="e">
        <f>CR38*CS38*CT38</f>
        <v>#DIV/0!</v>
      </c>
      <c r="CV38" s="363" t="s">
        <v>153</v>
      </c>
      <c r="CW38" s="363"/>
      <c r="CX38" s="363"/>
      <c r="CY38" s="364" t="s">
        <v>140</v>
      </c>
      <c r="CZ38" s="365">
        <v>0.5</v>
      </c>
      <c r="DA38" s="366" t="e">
        <f>10/CW36</f>
        <v>#DIV/0!</v>
      </c>
      <c r="DB38" s="367">
        <v>15.38</v>
      </c>
      <c r="DC38" s="367" t="e">
        <f>CZ38*DA38*DB38</f>
        <v>#DIV/0!</v>
      </c>
      <c r="DD38" s="363" t="s">
        <v>153</v>
      </c>
      <c r="DE38" s="363"/>
      <c r="DF38" s="363"/>
      <c r="DG38" s="364" t="s">
        <v>140</v>
      </c>
      <c r="DH38" s="365">
        <v>0.5</v>
      </c>
      <c r="DI38" s="366" t="e">
        <f>10/DE36</f>
        <v>#DIV/0!</v>
      </c>
      <c r="DJ38" s="367">
        <v>15.38</v>
      </c>
      <c r="DK38" s="367" t="e">
        <f>DH38*DI38*DJ38</f>
        <v>#DIV/0!</v>
      </c>
      <c r="DL38" s="363" t="s">
        <v>153</v>
      </c>
      <c r="DM38" s="363"/>
      <c r="DN38" s="363"/>
      <c r="DO38" s="364" t="s">
        <v>140</v>
      </c>
      <c r="DP38" s="365">
        <v>0.5</v>
      </c>
      <c r="DQ38" s="366" t="e">
        <f>10/DM36</f>
        <v>#DIV/0!</v>
      </c>
      <c r="DR38" s="367">
        <v>15.38</v>
      </c>
      <c r="DS38" s="367" t="e">
        <f>DP38*DQ38*DR38</f>
        <v>#DIV/0!</v>
      </c>
      <c r="DT38" s="363" t="s">
        <v>153</v>
      </c>
      <c r="DU38" s="363"/>
      <c r="DV38" s="363"/>
      <c r="DW38" s="364" t="s">
        <v>140</v>
      </c>
      <c r="DX38" s="365">
        <v>0.5</v>
      </c>
      <c r="DY38" s="366" t="e">
        <f>10/DU36</f>
        <v>#DIV/0!</v>
      </c>
      <c r="DZ38" s="367">
        <v>15.38</v>
      </c>
      <c r="EA38" s="367" t="e">
        <f>DX38*DY38*DZ38</f>
        <v>#DIV/0!</v>
      </c>
      <c r="EB38" s="363" t="s">
        <v>153</v>
      </c>
      <c r="EC38" s="363"/>
      <c r="ED38" s="363"/>
      <c r="EE38" s="364" t="s">
        <v>140</v>
      </c>
      <c r="EF38" s="365">
        <v>0.5</v>
      </c>
      <c r="EG38" s="366" t="e">
        <f>10/EC36</f>
        <v>#DIV/0!</v>
      </c>
      <c r="EH38" s="367">
        <v>15.38</v>
      </c>
      <c r="EI38" s="367" t="e">
        <f>EF38*EG38*EH38</f>
        <v>#DIV/0!</v>
      </c>
      <c r="EJ38" s="363" t="s">
        <v>153</v>
      </c>
      <c r="EK38" s="363"/>
      <c r="EL38" s="363"/>
      <c r="EM38" s="364" t="s">
        <v>140</v>
      </c>
      <c r="EN38" s="365">
        <v>0.5</v>
      </c>
      <c r="EO38" s="366" t="e">
        <f>10/EK36</f>
        <v>#DIV/0!</v>
      </c>
      <c r="EP38" s="367">
        <v>15.38</v>
      </c>
      <c r="EQ38" s="367" t="e">
        <f>EN38*EO38*EP38</f>
        <v>#DIV/0!</v>
      </c>
      <c r="ER38" s="363" t="s">
        <v>153</v>
      </c>
      <c r="ES38" s="363"/>
      <c r="ET38" s="363"/>
      <c r="EU38" s="364" t="s">
        <v>140</v>
      </c>
      <c r="EV38" s="365">
        <v>0.5</v>
      </c>
      <c r="EW38" s="366" t="e">
        <f>10/ES36</f>
        <v>#DIV/0!</v>
      </c>
      <c r="EX38" s="367">
        <v>15.38</v>
      </c>
      <c r="EY38" s="367" t="e">
        <f>EV38*EW38*EX38</f>
        <v>#DIV/0!</v>
      </c>
      <c r="EZ38" s="363" t="s">
        <v>153</v>
      </c>
      <c r="FA38" s="363"/>
      <c r="FB38" s="363"/>
      <c r="FC38" s="364" t="s">
        <v>140</v>
      </c>
      <c r="FD38" s="365">
        <v>0.5</v>
      </c>
      <c r="FE38" s="366" t="e">
        <f>10/FA36</f>
        <v>#DIV/0!</v>
      </c>
      <c r="FF38" s="367">
        <v>15.38</v>
      </c>
      <c r="FG38" s="367" t="e">
        <f>FD38*FE38*FF38</f>
        <v>#DIV/0!</v>
      </c>
      <c r="FH38" s="363" t="s">
        <v>153</v>
      </c>
      <c r="FI38" s="363"/>
      <c r="FJ38" s="363"/>
      <c r="FK38" s="364" t="s">
        <v>140</v>
      </c>
      <c r="FL38" s="365">
        <v>0.5</v>
      </c>
      <c r="FM38" s="366" t="e">
        <f>10/FI36</f>
        <v>#DIV/0!</v>
      </c>
      <c r="FN38" s="367">
        <v>15.38</v>
      </c>
      <c r="FO38" s="367" t="e">
        <f>FL38*FM38*FN38</f>
        <v>#DIV/0!</v>
      </c>
      <c r="FP38" s="363" t="s">
        <v>153</v>
      </c>
      <c r="FQ38" s="363"/>
      <c r="FR38" s="363"/>
      <c r="FS38" s="364" t="s">
        <v>140</v>
      </c>
      <c r="FT38" s="365">
        <v>0.5</v>
      </c>
      <c r="FU38" s="366" t="e">
        <f>10/FQ36</f>
        <v>#DIV/0!</v>
      </c>
      <c r="FV38" s="367">
        <v>15.38</v>
      </c>
      <c r="FW38" s="367" t="e">
        <f>FT38*FU38*FV38</f>
        <v>#DIV/0!</v>
      </c>
      <c r="FX38" s="363" t="s">
        <v>153</v>
      </c>
      <c r="FY38" s="363"/>
      <c r="FZ38" s="363"/>
      <c r="GA38" s="364" t="s">
        <v>140</v>
      </c>
      <c r="GB38" s="365">
        <v>0.5</v>
      </c>
      <c r="GC38" s="366" t="e">
        <f>10/FY36</f>
        <v>#DIV/0!</v>
      </c>
      <c r="GD38" s="367">
        <v>15.38</v>
      </c>
      <c r="GE38" s="367" t="e">
        <f>GB38*GC38*GD38</f>
        <v>#DIV/0!</v>
      </c>
      <c r="GF38" s="363" t="s">
        <v>153</v>
      </c>
      <c r="GG38" s="363"/>
      <c r="GH38" s="363"/>
      <c r="GI38" s="364" t="s">
        <v>140</v>
      </c>
      <c r="GJ38" s="365">
        <v>0.5</v>
      </c>
      <c r="GK38" s="366" t="e">
        <f>10/GG36</f>
        <v>#DIV/0!</v>
      </c>
      <c r="GL38" s="367">
        <v>15.38</v>
      </c>
      <c r="GM38" s="367" t="e">
        <f>GJ38*GK38*GL38</f>
        <v>#DIV/0!</v>
      </c>
      <c r="GN38" s="363" t="s">
        <v>153</v>
      </c>
      <c r="GO38" s="363"/>
      <c r="GP38" s="363"/>
      <c r="GQ38" s="364" t="s">
        <v>140</v>
      </c>
      <c r="GR38" s="365">
        <v>0.5</v>
      </c>
      <c r="GS38" s="366" t="e">
        <f>10/GO36</f>
        <v>#DIV/0!</v>
      </c>
      <c r="GT38" s="367">
        <v>15.38</v>
      </c>
      <c r="GU38" s="367" t="e">
        <f>GR38*GS38*GT38</f>
        <v>#DIV/0!</v>
      </c>
      <c r="GV38" s="363" t="s">
        <v>153</v>
      </c>
      <c r="GW38" s="363"/>
      <c r="GX38" s="363"/>
      <c r="GY38" s="364" t="s">
        <v>140</v>
      </c>
      <c r="GZ38" s="365">
        <v>0.5</v>
      </c>
      <c r="HA38" s="366" t="e">
        <f>10/GW36</f>
        <v>#DIV/0!</v>
      </c>
      <c r="HB38" s="367">
        <v>15.38</v>
      </c>
      <c r="HC38" s="367" t="e">
        <f>GZ38*HA38*HB38</f>
        <v>#DIV/0!</v>
      </c>
      <c r="HD38" s="363" t="s">
        <v>153</v>
      </c>
      <c r="HE38" s="363"/>
      <c r="HF38" s="363"/>
      <c r="HG38" s="364" t="s">
        <v>140</v>
      </c>
      <c r="HH38" s="365">
        <v>0.5</v>
      </c>
      <c r="HI38" s="366" t="e">
        <f>10/HE36</f>
        <v>#DIV/0!</v>
      </c>
      <c r="HJ38" s="367">
        <v>15.38</v>
      </c>
      <c r="HK38" s="367" t="e">
        <f>HH38*HI38*HJ38</f>
        <v>#DIV/0!</v>
      </c>
      <c r="HL38" s="363" t="s">
        <v>153</v>
      </c>
      <c r="HM38" s="363"/>
      <c r="HN38" s="363"/>
      <c r="HO38" s="364" t="s">
        <v>140</v>
      </c>
      <c r="HP38" s="365">
        <v>0.5</v>
      </c>
      <c r="HQ38" s="366" t="e">
        <f>10/HM36</f>
        <v>#DIV/0!</v>
      </c>
      <c r="HR38" s="367">
        <v>15.38</v>
      </c>
      <c r="HS38" s="367" t="e">
        <f>HP38*HQ38*HR38</f>
        <v>#DIV/0!</v>
      </c>
      <c r="HT38" s="363" t="s">
        <v>153</v>
      </c>
      <c r="HU38" s="363"/>
      <c r="HV38" s="363"/>
      <c r="HW38" s="364" t="s">
        <v>140</v>
      </c>
      <c r="HX38" s="365">
        <v>0.5</v>
      </c>
      <c r="HY38" s="366" t="e">
        <f>10/HU36</f>
        <v>#DIV/0!</v>
      </c>
      <c r="HZ38" s="367">
        <v>15.38</v>
      </c>
      <c r="IA38" s="367" t="e">
        <f>HX38*HY38*HZ38</f>
        <v>#DIV/0!</v>
      </c>
      <c r="IB38" s="363" t="s">
        <v>153</v>
      </c>
      <c r="IC38" s="363"/>
      <c r="ID38" s="363"/>
      <c r="IE38" s="364" t="s">
        <v>140</v>
      </c>
      <c r="IF38" s="365">
        <v>0.5</v>
      </c>
      <c r="IG38" s="366" t="e">
        <f>10/IC36</f>
        <v>#DIV/0!</v>
      </c>
      <c r="IH38" s="367">
        <v>15.38</v>
      </c>
      <c r="II38" s="367" t="e">
        <f>IF38*IG38*IH38</f>
        <v>#DIV/0!</v>
      </c>
      <c r="IJ38" s="363" t="s">
        <v>153</v>
      </c>
      <c r="IK38" s="363"/>
      <c r="IL38" s="363"/>
      <c r="IM38" s="364" t="s">
        <v>140</v>
      </c>
      <c r="IN38" s="365">
        <v>0.5</v>
      </c>
      <c r="IO38" s="366" t="e">
        <f>10/IK36</f>
        <v>#DIV/0!</v>
      </c>
      <c r="IP38" s="367">
        <v>15.38</v>
      </c>
      <c r="IQ38" s="367" t="e">
        <f>IN38*IO38*IP38</f>
        <v>#DIV/0!</v>
      </c>
      <c r="IR38" s="363" t="s">
        <v>153</v>
      </c>
      <c r="IS38" s="363"/>
      <c r="IT38" s="363"/>
      <c r="IU38" s="364" t="s">
        <v>140</v>
      </c>
      <c r="IV38" s="365">
        <v>0.5</v>
      </c>
      <c r="IW38" s="366" t="e">
        <f>10/IS36</f>
        <v>#DIV/0!</v>
      </c>
      <c r="IX38" s="367">
        <v>15.38</v>
      </c>
      <c r="IY38" s="367" t="e">
        <f>IV38*IW38*IX38</f>
        <v>#DIV/0!</v>
      </c>
      <c r="IZ38" s="363" t="s">
        <v>153</v>
      </c>
      <c r="JA38" s="363"/>
      <c r="JB38" s="363"/>
      <c r="JC38" s="364" t="s">
        <v>140</v>
      </c>
      <c r="JD38" s="365">
        <v>0.5</v>
      </c>
      <c r="JE38" s="366" t="e">
        <f>10/JA36</f>
        <v>#DIV/0!</v>
      </c>
      <c r="JF38" s="367">
        <v>15.38</v>
      </c>
      <c r="JG38" s="367" t="e">
        <f>JD38*JE38*JF38</f>
        <v>#DIV/0!</v>
      </c>
      <c r="JH38" s="363" t="s">
        <v>153</v>
      </c>
      <c r="JI38" s="363"/>
      <c r="JJ38" s="363"/>
      <c r="JK38" s="364" t="s">
        <v>140</v>
      </c>
      <c r="JL38" s="365">
        <v>0.5</v>
      </c>
      <c r="JM38" s="366" t="e">
        <f>10/JI36</f>
        <v>#DIV/0!</v>
      </c>
      <c r="JN38" s="367">
        <v>15.38</v>
      </c>
      <c r="JO38" s="367" t="e">
        <f>JL38*JM38*JN38</f>
        <v>#DIV/0!</v>
      </c>
      <c r="JP38" s="363" t="s">
        <v>153</v>
      </c>
      <c r="JQ38" s="363"/>
      <c r="JR38" s="363"/>
      <c r="JS38" s="364" t="s">
        <v>140</v>
      </c>
      <c r="JT38" s="365">
        <v>0.5</v>
      </c>
      <c r="JU38" s="366" t="e">
        <f>10/JQ36</f>
        <v>#DIV/0!</v>
      </c>
      <c r="JV38" s="367">
        <v>15.38</v>
      </c>
      <c r="JW38" s="367" t="e">
        <f>JT38*JU38*JV38</f>
        <v>#DIV/0!</v>
      </c>
      <c r="JX38" s="363" t="s">
        <v>153</v>
      </c>
      <c r="JY38" s="363"/>
      <c r="JZ38" s="363"/>
      <c r="KA38" s="364" t="s">
        <v>140</v>
      </c>
      <c r="KB38" s="365">
        <v>0.5</v>
      </c>
      <c r="KC38" s="366" t="e">
        <f>10/JY36</f>
        <v>#DIV/0!</v>
      </c>
      <c r="KD38" s="367">
        <v>15.38</v>
      </c>
      <c r="KE38" s="367" t="e">
        <f>KB38*KC38*KD38</f>
        <v>#DIV/0!</v>
      </c>
      <c r="KF38" s="363" t="s">
        <v>153</v>
      </c>
      <c r="KG38" s="363"/>
      <c r="KH38" s="363"/>
      <c r="KI38" s="364" t="s">
        <v>140</v>
      </c>
      <c r="KJ38" s="365">
        <v>0.5</v>
      </c>
      <c r="KK38" s="366" t="e">
        <f>10/KG36</f>
        <v>#DIV/0!</v>
      </c>
      <c r="KL38" s="367">
        <v>15.38</v>
      </c>
      <c r="KM38" s="367" t="e">
        <f>KJ38*KK38*KL38</f>
        <v>#DIV/0!</v>
      </c>
      <c r="KN38" s="363" t="s">
        <v>153</v>
      </c>
      <c r="KO38" s="363"/>
      <c r="KP38" s="363"/>
      <c r="KQ38" s="364" t="s">
        <v>140</v>
      </c>
      <c r="KR38" s="365">
        <v>0.5</v>
      </c>
      <c r="KS38" s="366" t="e">
        <f>10/KO36</f>
        <v>#DIV/0!</v>
      </c>
      <c r="KT38" s="367">
        <v>15.38</v>
      </c>
      <c r="KU38" s="367" t="e">
        <f>KR38*KS38*KT38</f>
        <v>#DIV/0!</v>
      </c>
      <c r="KV38" s="363" t="s">
        <v>153</v>
      </c>
      <c r="KW38" s="363"/>
      <c r="KX38" s="363"/>
      <c r="KY38" s="364" t="s">
        <v>140</v>
      </c>
      <c r="KZ38" s="365">
        <v>0.5</v>
      </c>
      <c r="LA38" s="366" t="e">
        <f>10/KW36</f>
        <v>#DIV/0!</v>
      </c>
      <c r="LB38" s="367">
        <v>15.38</v>
      </c>
      <c r="LC38" s="367" t="e">
        <f>KZ38*LA38*LB38</f>
        <v>#DIV/0!</v>
      </c>
      <c r="LD38" s="363" t="s">
        <v>153</v>
      </c>
      <c r="LE38" s="363"/>
      <c r="LF38" s="363"/>
      <c r="LG38" s="364" t="s">
        <v>140</v>
      </c>
      <c r="LH38" s="365">
        <v>0.5</v>
      </c>
      <c r="LI38" s="366" t="e">
        <f>10/LE36</f>
        <v>#DIV/0!</v>
      </c>
      <c r="LJ38" s="367">
        <v>15.38</v>
      </c>
      <c r="LK38" s="367" t="e">
        <f>LH38*LI38*LJ38</f>
        <v>#DIV/0!</v>
      </c>
      <c r="LL38" s="363" t="s">
        <v>153</v>
      </c>
      <c r="LM38" s="363"/>
      <c r="LN38" s="363"/>
      <c r="LO38" s="364" t="s">
        <v>140</v>
      </c>
      <c r="LP38" s="365">
        <v>0.5</v>
      </c>
      <c r="LQ38" s="366" t="e">
        <f>10/LM36</f>
        <v>#DIV/0!</v>
      </c>
      <c r="LR38" s="367">
        <v>15.38</v>
      </c>
      <c r="LS38" s="367" t="e">
        <f>LP38*LQ38*LR38</f>
        <v>#DIV/0!</v>
      </c>
      <c r="LT38" s="363" t="s">
        <v>153</v>
      </c>
      <c r="LU38" s="363"/>
      <c r="LV38" s="363"/>
      <c r="LW38" s="364" t="s">
        <v>140</v>
      </c>
      <c r="LX38" s="365">
        <v>0.5</v>
      </c>
      <c r="LY38" s="366" t="e">
        <f>10/LU36</f>
        <v>#DIV/0!</v>
      </c>
      <c r="LZ38" s="367">
        <v>15.38</v>
      </c>
      <c r="MA38" s="367" t="e">
        <f>LX38*LY38*LZ38</f>
        <v>#DIV/0!</v>
      </c>
      <c r="MB38" s="363" t="s">
        <v>153</v>
      </c>
      <c r="MC38" s="363"/>
      <c r="MD38" s="363"/>
      <c r="ME38" s="364" t="s">
        <v>140</v>
      </c>
      <c r="MF38" s="365">
        <v>0.5</v>
      </c>
      <c r="MG38" s="366" t="e">
        <f>10/MC36</f>
        <v>#DIV/0!</v>
      </c>
      <c r="MH38" s="367">
        <v>15.38</v>
      </c>
      <c r="MI38" s="367" t="e">
        <f>MF38*MG38*MH38</f>
        <v>#DIV/0!</v>
      </c>
      <c r="MJ38" s="363" t="s">
        <v>153</v>
      </c>
      <c r="MK38" s="363"/>
      <c r="ML38" s="363"/>
      <c r="MM38" s="364" t="s">
        <v>140</v>
      </c>
      <c r="MN38" s="365">
        <v>0.5</v>
      </c>
      <c r="MO38" s="366" t="e">
        <f>10/MK36</f>
        <v>#DIV/0!</v>
      </c>
      <c r="MP38" s="367">
        <v>15.38</v>
      </c>
      <c r="MQ38" s="367" t="e">
        <f>MN38*MO38*MP38</f>
        <v>#DIV/0!</v>
      </c>
      <c r="MR38" s="363" t="s">
        <v>153</v>
      </c>
      <c r="MS38" s="363"/>
      <c r="MT38" s="363"/>
      <c r="MU38" s="364" t="s">
        <v>140</v>
      </c>
      <c r="MV38" s="365">
        <v>0.5</v>
      </c>
      <c r="MW38" s="366" t="e">
        <f>10/MS36</f>
        <v>#DIV/0!</v>
      </c>
      <c r="MX38" s="367">
        <v>15.38</v>
      </c>
      <c r="MY38" s="367" t="e">
        <f>MV38*MW38*MX38</f>
        <v>#DIV/0!</v>
      </c>
      <c r="MZ38" s="363" t="s">
        <v>153</v>
      </c>
      <c r="NA38" s="363"/>
      <c r="NB38" s="363"/>
      <c r="NC38" s="364" t="s">
        <v>140</v>
      </c>
      <c r="ND38" s="365">
        <v>0.5</v>
      </c>
      <c r="NE38" s="366" t="e">
        <f>10/NA36</f>
        <v>#DIV/0!</v>
      </c>
      <c r="NF38" s="367">
        <v>15.38</v>
      </c>
      <c r="NG38" s="367" t="e">
        <f>ND38*NE38*NF38</f>
        <v>#DIV/0!</v>
      </c>
      <c r="NH38" s="363" t="s">
        <v>153</v>
      </c>
      <c r="NI38" s="363"/>
      <c r="NJ38" s="363"/>
      <c r="NK38" s="364" t="s">
        <v>140</v>
      </c>
      <c r="NL38" s="365">
        <v>0.5</v>
      </c>
      <c r="NM38" s="366" t="e">
        <f>10/NI36</f>
        <v>#DIV/0!</v>
      </c>
      <c r="NN38" s="367">
        <v>15.38</v>
      </c>
      <c r="NO38" s="367" t="e">
        <f>NL38*NM38*NN38</f>
        <v>#DIV/0!</v>
      </c>
      <c r="NP38" s="363" t="s">
        <v>153</v>
      </c>
      <c r="NQ38" s="363"/>
      <c r="NR38" s="363"/>
      <c r="NS38" s="364" t="s">
        <v>140</v>
      </c>
      <c r="NT38" s="365">
        <v>0.5</v>
      </c>
      <c r="NU38" s="366" t="e">
        <f>10/NQ36</f>
        <v>#DIV/0!</v>
      </c>
      <c r="NV38" s="367">
        <v>15.38</v>
      </c>
      <c r="NW38" s="367" t="e">
        <f>NT38*NU38*NV38</f>
        <v>#DIV/0!</v>
      </c>
      <c r="NX38" s="363" t="s">
        <v>153</v>
      </c>
      <c r="NY38" s="363"/>
      <c r="NZ38" s="363"/>
      <c r="OA38" s="364" t="s">
        <v>140</v>
      </c>
      <c r="OB38" s="365">
        <v>0.5</v>
      </c>
      <c r="OC38" s="366" t="e">
        <f>10/NY36</f>
        <v>#DIV/0!</v>
      </c>
      <c r="OD38" s="367">
        <v>15.38</v>
      </c>
      <c r="OE38" s="367" t="e">
        <f>OB38*OC38*OD38</f>
        <v>#DIV/0!</v>
      </c>
      <c r="OF38" s="363" t="s">
        <v>153</v>
      </c>
      <c r="OG38" s="363"/>
      <c r="OH38" s="363"/>
      <c r="OI38" s="364" t="s">
        <v>140</v>
      </c>
      <c r="OJ38" s="365">
        <v>0.5</v>
      </c>
      <c r="OK38" s="366" t="e">
        <f>10/OG36</f>
        <v>#DIV/0!</v>
      </c>
      <c r="OL38" s="367">
        <v>15.38</v>
      </c>
      <c r="OM38" s="367" t="e">
        <f>OJ38*OK38*OL38</f>
        <v>#DIV/0!</v>
      </c>
      <c r="ON38" s="363" t="s">
        <v>153</v>
      </c>
      <c r="OO38" s="363"/>
      <c r="OP38" s="363"/>
      <c r="OQ38" s="364" t="s">
        <v>140</v>
      </c>
      <c r="OR38" s="365">
        <v>0.5</v>
      </c>
      <c r="OS38" s="366" t="e">
        <f>10/OO36</f>
        <v>#DIV/0!</v>
      </c>
      <c r="OT38" s="367">
        <v>15.38</v>
      </c>
      <c r="OU38" s="367" t="e">
        <f>OR38*OS38*OT38</f>
        <v>#DIV/0!</v>
      </c>
      <c r="OV38" s="363" t="s">
        <v>153</v>
      </c>
      <c r="OW38" s="363"/>
      <c r="OX38" s="363"/>
      <c r="OY38" s="364" t="s">
        <v>140</v>
      </c>
      <c r="OZ38" s="365">
        <v>0.5</v>
      </c>
      <c r="PA38" s="366" t="e">
        <f>10/OW36</f>
        <v>#DIV/0!</v>
      </c>
      <c r="PB38" s="367">
        <v>15.38</v>
      </c>
      <c r="PC38" s="367" t="e">
        <f>OZ38*PA38*PB38</f>
        <v>#DIV/0!</v>
      </c>
      <c r="PD38" s="363" t="s">
        <v>153</v>
      </c>
      <c r="PE38" s="363"/>
      <c r="PF38" s="363"/>
      <c r="PG38" s="364" t="s">
        <v>140</v>
      </c>
      <c r="PH38" s="365">
        <v>0.5</v>
      </c>
      <c r="PI38" s="366" t="e">
        <f>10/PE36</f>
        <v>#DIV/0!</v>
      </c>
      <c r="PJ38" s="367">
        <v>15.38</v>
      </c>
      <c r="PK38" s="367" t="e">
        <f>PH38*PI38*PJ38</f>
        <v>#DIV/0!</v>
      </c>
      <c r="PL38" s="363" t="s">
        <v>153</v>
      </c>
      <c r="PM38" s="363"/>
      <c r="PN38" s="363"/>
      <c r="PO38" s="364" t="s">
        <v>140</v>
      </c>
      <c r="PP38" s="365">
        <v>0.5</v>
      </c>
      <c r="PQ38" s="366" t="e">
        <f>10/PM36</f>
        <v>#DIV/0!</v>
      </c>
      <c r="PR38" s="367">
        <v>15.38</v>
      </c>
      <c r="PS38" s="367" t="e">
        <f>PP38*PQ38*PR38</f>
        <v>#DIV/0!</v>
      </c>
      <c r="PT38" s="363" t="s">
        <v>153</v>
      </c>
      <c r="PU38" s="363"/>
      <c r="PV38" s="363"/>
      <c r="PW38" s="364" t="s">
        <v>140</v>
      </c>
      <c r="PX38" s="365">
        <v>0.5</v>
      </c>
      <c r="PY38" s="366" t="e">
        <f>10/PU36</f>
        <v>#DIV/0!</v>
      </c>
      <c r="PZ38" s="367">
        <v>15.38</v>
      </c>
      <c r="QA38" s="367" t="e">
        <f>PX38*PY38*PZ38</f>
        <v>#DIV/0!</v>
      </c>
      <c r="QB38" s="363" t="s">
        <v>153</v>
      </c>
      <c r="QC38" s="363"/>
      <c r="QD38" s="363"/>
      <c r="QE38" s="364" t="s">
        <v>140</v>
      </c>
      <c r="QF38" s="365">
        <v>0.5</v>
      </c>
      <c r="QG38" s="366" t="e">
        <f>10/QC36</f>
        <v>#DIV/0!</v>
      </c>
      <c r="QH38" s="367">
        <v>15.38</v>
      </c>
      <c r="QI38" s="367" t="e">
        <f>QF38*QG38*QH38</f>
        <v>#DIV/0!</v>
      </c>
      <c r="QJ38" s="363" t="s">
        <v>153</v>
      </c>
      <c r="QK38" s="363"/>
      <c r="QL38" s="363"/>
      <c r="QM38" s="364" t="s">
        <v>140</v>
      </c>
      <c r="QN38" s="365">
        <v>0.5</v>
      </c>
      <c r="QO38" s="366" t="e">
        <f>10/QK36</f>
        <v>#DIV/0!</v>
      </c>
      <c r="QP38" s="367">
        <v>15.38</v>
      </c>
      <c r="QQ38" s="367" t="e">
        <f>QN38*QO38*QP38</f>
        <v>#DIV/0!</v>
      </c>
      <c r="QR38" s="363" t="s">
        <v>153</v>
      </c>
      <c r="QS38" s="363"/>
      <c r="QT38" s="363"/>
      <c r="QU38" s="364" t="s">
        <v>140</v>
      </c>
      <c r="QV38" s="365">
        <v>0.5</v>
      </c>
      <c r="QW38" s="366" t="e">
        <f>10/QS36</f>
        <v>#DIV/0!</v>
      </c>
      <c r="QX38" s="367">
        <v>15.38</v>
      </c>
      <c r="QY38" s="367" t="e">
        <f>QV38*QW38*QX38</f>
        <v>#DIV/0!</v>
      </c>
      <c r="QZ38" s="363" t="s">
        <v>153</v>
      </c>
      <c r="RA38" s="363"/>
      <c r="RB38" s="363"/>
      <c r="RC38" s="364" t="s">
        <v>140</v>
      </c>
      <c r="RD38" s="365">
        <v>0.5</v>
      </c>
      <c r="RE38" s="366" t="e">
        <f>10/RA36</f>
        <v>#DIV/0!</v>
      </c>
      <c r="RF38" s="367">
        <v>15.38</v>
      </c>
      <c r="RG38" s="367" t="e">
        <f>RD38*RE38*RF38</f>
        <v>#DIV/0!</v>
      </c>
      <c r="RH38" s="363" t="s">
        <v>153</v>
      </c>
      <c r="RI38" s="363"/>
      <c r="RJ38" s="363"/>
      <c r="RK38" s="364" t="s">
        <v>140</v>
      </c>
      <c r="RL38" s="365">
        <v>0.5</v>
      </c>
      <c r="RM38" s="366" t="e">
        <f>10/RI36</f>
        <v>#DIV/0!</v>
      </c>
      <c r="RN38" s="367">
        <v>15.38</v>
      </c>
      <c r="RO38" s="367" t="e">
        <f>RL38*RM38*RN38</f>
        <v>#DIV/0!</v>
      </c>
      <c r="RP38" s="363" t="s">
        <v>153</v>
      </c>
      <c r="RQ38" s="363"/>
      <c r="RR38" s="363"/>
      <c r="RS38" s="364" t="s">
        <v>140</v>
      </c>
      <c r="RT38" s="365">
        <v>0.5</v>
      </c>
      <c r="RU38" s="366" t="e">
        <f>10/RQ36</f>
        <v>#DIV/0!</v>
      </c>
      <c r="RV38" s="367">
        <v>15.38</v>
      </c>
      <c r="RW38" s="367" t="e">
        <f>RT38*RU38*RV38</f>
        <v>#DIV/0!</v>
      </c>
      <c r="RX38" s="363" t="s">
        <v>153</v>
      </c>
      <c r="RY38" s="363"/>
      <c r="RZ38" s="363"/>
      <c r="SA38" s="364" t="s">
        <v>140</v>
      </c>
      <c r="SB38" s="365">
        <v>0.5</v>
      </c>
      <c r="SC38" s="366" t="e">
        <f>10/RY36</f>
        <v>#DIV/0!</v>
      </c>
      <c r="SD38" s="367">
        <v>15.38</v>
      </c>
      <c r="SE38" s="367" t="e">
        <f>SB38*SC38*SD38</f>
        <v>#DIV/0!</v>
      </c>
      <c r="SF38" s="363" t="s">
        <v>153</v>
      </c>
      <c r="SG38" s="363"/>
      <c r="SH38" s="363"/>
      <c r="SI38" s="364" t="s">
        <v>140</v>
      </c>
      <c r="SJ38" s="365">
        <v>0.5</v>
      </c>
      <c r="SK38" s="366" t="e">
        <f>10/SG36</f>
        <v>#DIV/0!</v>
      </c>
      <c r="SL38" s="367">
        <v>15.38</v>
      </c>
      <c r="SM38" s="367" t="e">
        <f>SJ38*SK38*SL38</f>
        <v>#DIV/0!</v>
      </c>
      <c r="SN38" s="363" t="s">
        <v>153</v>
      </c>
      <c r="SO38" s="363"/>
      <c r="SP38" s="363"/>
      <c r="SQ38" s="364" t="s">
        <v>140</v>
      </c>
      <c r="SR38" s="365">
        <v>0.5</v>
      </c>
      <c r="SS38" s="366" t="e">
        <f>10/SO36</f>
        <v>#DIV/0!</v>
      </c>
      <c r="ST38" s="367">
        <v>15.38</v>
      </c>
      <c r="SU38" s="367" t="e">
        <f>SR38*SS38*ST38</f>
        <v>#DIV/0!</v>
      </c>
      <c r="SV38" s="363" t="s">
        <v>153</v>
      </c>
      <c r="SW38" s="363"/>
      <c r="SX38" s="363"/>
      <c r="SY38" s="364" t="s">
        <v>140</v>
      </c>
      <c r="SZ38" s="365">
        <v>0.5</v>
      </c>
      <c r="TA38" s="366" t="e">
        <f>10/SW36</f>
        <v>#DIV/0!</v>
      </c>
      <c r="TB38" s="367">
        <v>15.38</v>
      </c>
      <c r="TC38" s="367" t="e">
        <f>SZ38*TA38*TB38</f>
        <v>#DIV/0!</v>
      </c>
      <c r="TD38" s="363" t="s">
        <v>153</v>
      </c>
      <c r="TE38" s="363"/>
      <c r="TF38" s="363"/>
      <c r="TG38" s="364" t="s">
        <v>140</v>
      </c>
      <c r="TH38" s="365">
        <v>0.5</v>
      </c>
      <c r="TI38" s="366" t="e">
        <f>10/TE36</f>
        <v>#DIV/0!</v>
      </c>
      <c r="TJ38" s="367">
        <v>15.38</v>
      </c>
      <c r="TK38" s="367" t="e">
        <f>TH38*TI38*TJ38</f>
        <v>#DIV/0!</v>
      </c>
      <c r="TL38" s="363" t="s">
        <v>153</v>
      </c>
      <c r="TM38" s="363"/>
      <c r="TN38" s="363"/>
      <c r="TO38" s="364" t="s">
        <v>140</v>
      </c>
      <c r="TP38" s="365">
        <v>0.5</v>
      </c>
      <c r="TQ38" s="366" t="e">
        <f>10/TM36</f>
        <v>#DIV/0!</v>
      </c>
      <c r="TR38" s="367">
        <v>15.38</v>
      </c>
      <c r="TS38" s="367" t="e">
        <f>TP38*TQ38*TR38</f>
        <v>#DIV/0!</v>
      </c>
      <c r="TT38" s="363" t="s">
        <v>153</v>
      </c>
      <c r="TU38" s="363"/>
      <c r="TV38" s="363"/>
      <c r="TW38" s="364" t="s">
        <v>140</v>
      </c>
      <c r="TX38" s="365">
        <v>0.5</v>
      </c>
      <c r="TY38" s="366" t="e">
        <f>10/TU36</f>
        <v>#DIV/0!</v>
      </c>
      <c r="TZ38" s="367">
        <v>15.38</v>
      </c>
      <c r="UA38" s="367" t="e">
        <f>TX38*TY38*TZ38</f>
        <v>#DIV/0!</v>
      </c>
      <c r="UB38" s="363" t="s">
        <v>153</v>
      </c>
      <c r="UC38" s="363"/>
      <c r="UD38" s="363"/>
      <c r="UE38" s="364" t="s">
        <v>140</v>
      </c>
      <c r="UF38" s="365">
        <v>0.5</v>
      </c>
      <c r="UG38" s="366" t="e">
        <f>10/UC36</f>
        <v>#DIV/0!</v>
      </c>
      <c r="UH38" s="367">
        <v>15.38</v>
      </c>
      <c r="UI38" s="367" t="e">
        <f>UF38*UG38*UH38</f>
        <v>#DIV/0!</v>
      </c>
      <c r="UJ38" s="363" t="s">
        <v>153</v>
      </c>
      <c r="UK38" s="363"/>
      <c r="UL38" s="363"/>
      <c r="UM38" s="364" t="s">
        <v>140</v>
      </c>
      <c r="UN38" s="365">
        <v>0.5</v>
      </c>
      <c r="UO38" s="366" t="e">
        <f>10/UK36</f>
        <v>#DIV/0!</v>
      </c>
      <c r="UP38" s="367">
        <v>15.38</v>
      </c>
      <c r="UQ38" s="367" t="e">
        <f>UN38*UO38*UP38</f>
        <v>#DIV/0!</v>
      </c>
      <c r="UR38" s="363" t="s">
        <v>153</v>
      </c>
      <c r="US38" s="363"/>
      <c r="UT38" s="363"/>
      <c r="UU38" s="364" t="s">
        <v>140</v>
      </c>
      <c r="UV38" s="365">
        <v>0.5</v>
      </c>
      <c r="UW38" s="366" t="e">
        <f>10/US36</f>
        <v>#DIV/0!</v>
      </c>
      <c r="UX38" s="367">
        <v>15.38</v>
      </c>
      <c r="UY38" s="367" t="e">
        <f>UV38*UW38*UX38</f>
        <v>#DIV/0!</v>
      </c>
      <c r="UZ38" s="363" t="s">
        <v>153</v>
      </c>
      <c r="VA38" s="363"/>
      <c r="VB38" s="363"/>
      <c r="VC38" s="364" t="s">
        <v>140</v>
      </c>
      <c r="VD38" s="365">
        <v>0.5</v>
      </c>
      <c r="VE38" s="366" t="e">
        <f>10/VA36</f>
        <v>#DIV/0!</v>
      </c>
      <c r="VF38" s="367">
        <v>15.38</v>
      </c>
      <c r="VG38" s="367" t="e">
        <f>VD38*VE38*VF38</f>
        <v>#DIV/0!</v>
      </c>
      <c r="VH38" s="363" t="s">
        <v>153</v>
      </c>
      <c r="VI38" s="363"/>
      <c r="VJ38" s="363"/>
      <c r="VK38" s="364" t="s">
        <v>140</v>
      </c>
      <c r="VL38" s="365">
        <v>0.5</v>
      </c>
      <c r="VM38" s="366" t="e">
        <f>10/VI36</f>
        <v>#DIV/0!</v>
      </c>
      <c r="VN38" s="367">
        <v>15.38</v>
      </c>
      <c r="VO38" s="367" t="e">
        <f>VL38*VM38*VN38</f>
        <v>#DIV/0!</v>
      </c>
      <c r="VP38" s="363" t="s">
        <v>153</v>
      </c>
      <c r="VQ38" s="363"/>
      <c r="VR38" s="363"/>
      <c r="VS38" s="364" t="s">
        <v>140</v>
      </c>
      <c r="VT38" s="365">
        <v>0.5</v>
      </c>
      <c r="VU38" s="366" t="e">
        <f>10/VQ36</f>
        <v>#DIV/0!</v>
      </c>
      <c r="VV38" s="367">
        <v>15.38</v>
      </c>
      <c r="VW38" s="367" t="e">
        <f>VT38*VU38*VV38</f>
        <v>#DIV/0!</v>
      </c>
      <c r="VX38" s="363" t="s">
        <v>153</v>
      </c>
      <c r="VY38" s="363"/>
      <c r="VZ38" s="363"/>
      <c r="WA38" s="364" t="s">
        <v>140</v>
      </c>
      <c r="WB38" s="365">
        <v>0.5</v>
      </c>
      <c r="WC38" s="366" t="e">
        <f>10/VY36</f>
        <v>#DIV/0!</v>
      </c>
      <c r="WD38" s="367">
        <v>15.38</v>
      </c>
      <c r="WE38" s="367" t="e">
        <f>WB38*WC38*WD38</f>
        <v>#DIV/0!</v>
      </c>
      <c r="WF38" s="363" t="s">
        <v>153</v>
      </c>
      <c r="WG38" s="363"/>
      <c r="WH38" s="363"/>
      <c r="WI38" s="364" t="s">
        <v>140</v>
      </c>
      <c r="WJ38" s="365">
        <v>0.5</v>
      </c>
      <c r="WK38" s="366" t="e">
        <f>10/WG36</f>
        <v>#DIV/0!</v>
      </c>
      <c r="WL38" s="367">
        <v>15.38</v>
      </c>
      <c r="WM38" s="367" t="e">
        <f>WJ38*WK38*WL38</f>
        <v>#DIV/0!</v>
      </c>
      <c r="WN38" s="363" t="s">
        <v>153</v>
      </c>
      <c r="WO38" s="363"/>
      <c r="WP38" s="363"/>
      <c r="WQ38" s="364" t="s">
        <v>140</v>
      </c>
      <c r="WR38" s="365">
        <v>0.5</v>
      </c>
      <c r="WS38" s="366" t="e">
        <f>10/WO36</f>
        <v>#DIV/0!</v>
      </c>
      <c r="WT38" s="367">
        <v>15.38</v>
      </c>
      <c r="WU38" s="367" t="e">
        <f>WR38*WS38*WT38</f>
        <v>#DIV/0!</v>
      </c>
      <c r="WV38" s="363" t="s">
        <v>153</v>
      </c>
      <c r="WW38" s="363"/>
      <c r="WX38" s="363"/>
      <c r="WY38" s="364" t="s">
        <v>140</v>
      </c>
      <c r="WZ38" s="365">
        <v>0.5</v>
      </c>
      <c r="XA38" s="366" t="e">
        <f>10/WW36</f>
        <v>#DIV/0!</v>
      </c>
      <c r="XB38" s="367">
        <v>15.38</v>
      </c>
      <c r="XC38" s="367" t="e">
        <f>WZ38*XA38*XB38</f>
        <v>#DIV/0!</v>
      </c>
      <c r="XD38" s="363" t="s">
        <v>153</v>
      </c>
      <c r="XE38" s="363"/>
      <c r="XF38" s="363"/>
      <c r="XG38" s="364" t="s">
        <v>140</v>
      </c>
      <c r="XH38" s="365">
        <v>0.5</v>
      </c>
      <c r="XI38" s="366" t="e">
        <f>10/XE36</f>
        <v>#DIV/0!</v>
      </c>
      <c r="XJ38" s="367">
        <v>15.38</v>
      </c>
      <c r="XK38" s="367" t="e">
        <f>XH38*XI38*XJ38</f>
        <v>#DIV/0!</v>
      </c>
      <c r="XL38" s="363" t="s">
        <v>153</v>
      </c>
      <c r="XM38" s="363"/>
      <c r="XN38" s="363"/>
      <c r="XO38" s="364" t="s">
        <v>140</v>
      </c>
      <c r="XP38" s="365">
        <v>0.5</v>
      </c>
      <c r="XQ38" s="366" t="e">
        <f>10/XM36</f>
        <v>#DIV/0!</v>
      </c>
      <c r="XR38" s="367">
        <v>15.38</v>
      </c>
      <c r="XS38" s="367" t="e">
        <f>XP38*XQ38*XR38</f>
        <v>#DIV/0!</v>
      </c>
      <c r="XT38" s="363" t="s">
        <v>153</v>
      </c>
      <c r="XU38" s="363"/>
      <c r="XV38" s="363"/>
      <c r="XW38" s="364" t="s">
        <v>140</v>
      </c>
      <c r="XX38" s="365">
        <v>0.5</v>
      </c>
      <c r="XY38" s="366" t="e">
        <f>10/XU36</f>
        <v>#DIV/0!</v>
      </c>
      <c r="XZ38" s="367">
        <v>15.38</v>
      </c>
      <c r="YA38" s="367" t="e">
        <f>XX38*XY38*XZ38</f>
        <v>#DIV/0!</v>
      </c>
      <c r="YB38" s="363" t="s">
        <v>153</v>
      </c>
      <c r="YC38" s="363"/>
      <c r="YD38" s="363"/>
      <c r="YE38" s="364" t="s">
        <v>140</v>
      </c>
      <c r="YF38" s="365">
        <v>0.5</v>
      </c>
      <c r="YG38" s="366" t="e">
        <f>10/YC36</f>
        <v>#DIV/0!</v>
      </c>
      <c r="YH38" s="367">
        <v>15.38</v>
      </c>
      <c r="YI38" s="367" t="e">
        <f>YF38*YG38*YH38</f>
        <v>#DIV/0!</v>
      </c>
      <c r="YJ38" s="363" t="s">
        <v>153</v>
      </c>
      <c r="YK38" s="363"/>
      <c r="YL38" s="363"/>
      <c r="YM38" s="364" t="s">
        <v>140</v>
      </c>
      <c r="YN38" s="365">
        <v>0.5</v>
      </c>
      <c r="YO38" s="366" t="e">
        <f>10/YK36</f>
        <v>#DIV/0!</v>
      </c>
      <c r="YP38" s="367">
        <v>15.38</v>
      </c>
      <c r="YQ38" s="367" t="e">
        <f>YN38*YO38*YP38</f>
        <v>#DIV/0!</v>
      </c>
      <c r="YR38" s="363" t="s">
        <v>153</v>
      </c>
      <c r="YS38" s="363"/>
      <c r="YT38" s="363"/>
      <c r="YU38" s="364" t="s">
        <v>140</v>
      </c>
      <c r="YV38" s="365">
        <v>0.5</v>
      </c>
      <c r="YW38" s="366" t="e">
        <f>10/YS36</f>
        <v>#DIV/0!</v>
      </c>
      <c r="YX38" s="367">
        <v>15.38</v>
      </c>
      <c r="YY38" s="367" t="e">
        <f>YV38*YW38*YX38</f>
        <v>#DIV/0!</v>
      </c>
      <c r="YZ38" s="363" t="s">
        <v>153</v>
      </c>
      <c r="ZA38" s="363"/>
      <c r="ZB38" s="363"/>
      <c r="ZC38" s="364" t="s">
        <v>140</v>
      </c>
      <c r="ZD38" s="365">
        <v>0.5</v>
      </c>
      <c r="ZE38" s="366" t="e">
        <f>10/ZA36</f>
        <v>#DIV/0!</v>
      </c>
      <c r="ZF38" s="367">
        <v>15.38</v>
      </c>
      <c r="ZG38" s="367" t="e">
        <f>ZD38*ZE38*ZF38</f>
        <v>#DIV/0!</v>
      </c>
      <c r="ZH38" s="363" t="s">
        <v>153</v>
      </c>
      <c r="ZI38" s="363"/>
      <c r="ZJ38" s="363"/>
      <c r="ZK38" s="364" t="s">
        <v>140</v>
      </c>
      <c r="ZL38" s="365">
        <v>0.5</v>
      </c>
      <c r="ZM38" s="366" t="e">
        <f>10/ZI36</f>
        <v>#DIV/0!</v>
      </c>
      <c r="ZN38" s="367">
        <v>15.38</v>
      </c>
      <c r="ZO38" s="367" t="e">
        <f>ZL38*ZM38*ZN38</f>
        <v>#DIV/0!</v>
      </c>
      <c r="ZP38" s="363" t="s">
        <v>153</v>
      </c>
      <c r="ZQ38" s="363"/>
      <c r="ZR38" s="363"/>
      <c r="ZS38" s="364" t="s">
        <v>140</v>
      </c>
      <c r="ZT38" s="365">
        <v>0.5</v>
      </c>
      <c r="ZU38" s="366" t="e">
        <f>10/ZQ36</f>
        <v>#DIV/0!</v>
      </c>
      <c r="ZV38" s="367">
        <v>15.38</v>
      </c>
      <c r="ZW38" s="367" t="e">
        <f>ZT38*ZU38*ZV38</f>
        <v>#DIV/0!</v>
      </c>
      <c r="ZX38" s="363" t="s">
        <v>153</v>
      </c>
      <c r="ZY38" s="363"/>
      <c r="ZZ38" s="363"/>
      <c r="AAA38" s="364" t="s">
        <v>140</v>
      </c>
      <c r="AAB38" s="365">
        <v>0.5</v>
      </c>
      <c r="AAC38" s="366" t="e">
        <f>10/ZY36</f>
        <v>#DIV/0!</v>
      </c>
      <c r="AAD38" s="367">
        <v>15.38</v>
      </c>
      <c r="AAE38" s="367" t="e">
        <f>AAB38*AAC38*AAD38</f>
        <v>#DIV/0!</v>
      </c>
      <c r="AAF38" s="363" t="s">
        <v>153</v>
      </c>
      <c r="AAG38" s="363"/>
      <c r="AAH38" s="363"/>
      <c r="AAI38" s="364" t="s">
        <v>140</v>
      </c>
      <c r="AAJ38" s="365">
        <v>0.5</v>
      </c>
      <c r="AAK38" s="366" t="e">
        <f>10/AAG36</f>
        <v>#DIV/0!</v>
      </c>
      <c r="AAL38" s="367">
        <v>15.38</v>
      </c>
      <c r="AAM38" s="367" t="e">
        <f>AAJ38*AAK38*AAL38</f>
        <v>#DIV/0!</v>
      </c>
      <c r="AAN38" s="363" t="s">
        <v>153</v>
      </c>
      <c r="AAO38" s="363"/>
      <c r="AAP38" s="363"/>
      <c r="AAQ38" s="364" t="s">
        <v>140</v>
      </c>
      <c r="AAR38" s="365">
        <v>0.5</v>
      </c>
      <c r="AAS38" s="366" t="e">
        <f>10/AAO36</f>
        <v>#DIV/0!</v>
      </c>
      <c r="AAT38" s="367">
        <v>15.38</v>
      </c>
      <c r="AAU38" s="367" t="e">
        <f>AAR38*AAS38*AAT38</f>
        <v>#DIV/0!</v>
      </c>
      <c r="AAV38" s="363" t="s">
        <v>153</v>
      </c>
      <c r="AAW38" s="363"/>
      <c r="AAX38" s="363"/>
      <c r="AAY38" s="364" t="s">
        <v>140</v>
      </c>
      <c r="AAZ38" s="365">
        <v>0.5</v>
      </c>
      <c r="ABA38" s="366" t="e">
        <f>10/AAW36</f>
        <v>#DIV/0!</v>
      </c>
      <c r="ABB38" s="367">
        <v>15.38</v>
      </c>
      <c r="ABC38" s="367" t="e">
        <f>AAZ38*ABA38*ABB38</f>
        <v>#DIV/0!</v>
      </c>
      <c r="ABD38" s="363" t="s">
        <v>153</v>
      </c>
      <c r="ABE38" s="363"/>
      <c r="ABF38" s="363"/>
      <c r="ABG38" s="364" t="s">
        <v>140</v>
      </c>
      <c r="ABH38" s="365">
        <v>0.5</v>
      </c>
      <c r="ABI38" s="366" t="e">
        <f>10/ABE36</f>
        <v>#DIV/0!</v>
      </c>
      <c r="ABJ38" s="367">
        <v>15.38</v>
      </c>
      <c r="ABK38" s="367" t="e">
        <f>ABH38*ABI38*ABJ38</f>
        <v>#DIV/0!</v>
      </c>
      <c r="ABL38" s="363" t="s">
        <v>153</v>
      </c>
      <c r="ABM38" s="363"/>
      <c r="ABN38" s="363"/>
      <c r="ABO38" s="364" t="s">
        <v>140</v>
      </c>
      <c r="ABP38" s="365">
        <v>0.5</v>
      </c>
      <c r="ABQ38" s="366" t="e">
        <f>10/ABM36</f>
        <v>#DIV/0!</v>
      </c>
      <c r="ABR38" s="367">
        <v>15.38</v>
      </c>
      <c r="ABS38" s="367" t="e">
        <f>ABP38*ABQ38*ABR38</f>
        <v>#DIV/0!</v>
      </c>
      <c r="ABT38" s="363" t="s">
        <v>153</v>
      </c>
      <c r="ABU38" s="363"/>
      <c r="ABV38" s="363"/>
      <c r="ABW38" s="364" t="s">
        <v>140</v>
      </c>
      <c r="ABX38" s="365">
        <v>0.5</v>
      </c>
      <c r="ABY38" s="366" t="e">
        <f>10/ABU36</f>
        <v>#DIV/0!</v>
      </c>
      <c r="ABZ38" s="367">
        <v>15.38</v>
      </c>
      <c r="ACA38" s="367" t="e">
        <f>ABX38*ABY38*ABZ38</f>
        <v>#DIV/0!</v>
      </c>
      <c r="ACB38" s="363" t="s">
        <v>153</v>
      </c>
      <c r="ACC38" s="363"/>
      <c r="ACD38" s="363"/>
      <c r="ACE38" s="364" t="s">
        <v>140</v>
      </c>
      <c r="ACF38" s="365">
        <v>0.5</v>
      </c>
      <c r="ACG38" s="366" t="e">
        <f>10/ACC36</f>
        <v>#DIV/0!</v>
      </c>
      <c r="ACH38" s="367">
        <v>15.38</v>
      </c>
      <c r="ACI38" s="367" t="e">
        <f>ACF38*ACG38*ACH38</f>
        <v>#DIV/0!</v>
      </c>
      <c r="ACJ38" s="363" t="s">
        <v>153</v>
      </c>
      <c r="ACK38" s="363"/>
      <c r="ACL38" s="363"/>
      <c r="ACM38" s="364" t="s">
        <v>140</v>
      </c>
      <c r="ACN38" s="365">
        <v>0.5</v>
      </c>
      <c r="ACO38" s="366" t="e">
        <f>10/ACK36</f>
        <v>#DIV/0!</v>
      </c>
      <c r="ACP38" s="367">
        <v>15.38</v>
      </c>
      <c r="ACQ38" s="367" t="e">
        <f>ACN38*ACO38*ACP38</f>
        <v>#DIV/0!</v>
      </c>
      <c r="ACR38" s="363" t="s">
        <v>153</v>
      </c>
      <c r="ACS38" s="363"/>
      <c r="ACT38" s="363"/>
      <c r="ACU38" s="364" t="s">
        <v>140</v>
      </c>
      <c r="ACV38" s="365">
        <v>0.5</v>
      </c>
      <c r="ACW38" s="366" t="e">
        <f>10/ACS36</f>
        <v>#DIV/0!</v>
      </c>
      <c r="ACX38" s="367">
        <v>15.38</v>
      </c>
      <c r="ACY38" s="367" t="e">
        <f>ACV38*ACW38*ACX38</f>
        <v>#DIV/0!</v>
      </c>
      <c r="ACZ38" s="363" t="s">
        <v>153</v>
      </c>
      <c r="ADA38" s="363"/>
      <c r="ADB38" s="363"/>
      <c r="ADC38" s="364" t="s">
        <v>140</v>
      </c>
      <c r="ADD38" s="365">
        <v>0.5</v>
      </c>
      <c r="ADE38" s="366" t="e">
        <f>10/ADA36</f>
        <v>#DIV/0!</v>
      </c>
      <c r="ADF38" s="367">
        <v>15.38</v>
      </c>
      <c r="ADG38" s="367" t="e">
        <f>ADD38*ADE38*ADF38</f>
        <v>#DIV/0!</v>
      </c>
      <c r="ADH38" s="363" t="s">
        <v>153</v>
      </c>
      <c r="ADI38" s="363"/>
      <c r="ADJ38" s="363"/>
      <c r="ADK38" s="364" t="s">
        <v>140</v>
      </c>
      <c r="ADL38" s="365">
        <v>0.5</v>
      </c>
      <c r="ADM38" s="366" t="e">
        <f>10/ADI36</f>
        <v>#DIV/0!</v>
      </c>
      <c r="ADN38" s="367">
        <v>15.38</v>
      </c>
      <c r="ADO38" s="367" t="e">
        <f>ADL38*ADM38*ADN38</f>
        <v>#DIV/0!</v>
      </c>
      <c r="ADP38" s="363" t="s">
        <v>153</v>
      </c>
      <c r="ADQ38" s="363"/>
      <c r="ADR38" s="363"/>
      <c r="ADS38" s="364" t="s">
        <v>140</v>
      </c>
      <c r="ADT38" s="365">
        <v>0.5</v>
      </c>
      <c r="ADU38" s="366" t="e">
        <f>10/ADQ36</f>
        <v>#DIV/0!</v>
      </c>
      <c r="ADV38" s="367">
        <v>15.38</v>
      </c>
      <c r="ADW38" s="367" t="e">
        <f>ADT38*ADU38*ADV38</f>
        <v>#DIV/0!</v>
      </c>
      <c r="ADX38" s="363" t="s">
        <v>153</v>
      </c>
      <c r="ADY38" s="363"/>
      <c r="ADZ38" s="363"/>
      <c r="AEA38" s="364" t="s">
        <v>140</v>
      </c>
      <c r="AEB38" s="365">
        <v>0.5</v>
      </c>
      <c r="AEC38" s="366" t="e">
        <f>10/ADY36</f>
        <v>#DIV/0!</v>
      </c>
      <c r="AED38" s="367">
        <v>15.38</v>
      </c>
      <c r="AEE38" s="367" t="e">
        <f>AEB38*AEC38*AED38</f>
        <v>#DIV/0!</v>
      </c>
      <c r="AEF38" s="363" t="s">
        <v>153</v>
      </c>
      <c r="AEG38" s="363"/>
      <c r="AEH38" s="363"/>
      <c r="AEI38" s="364" t="s">
        <v>140</v>
      </c>
      <c r="AEJ38" s="365">
        <v>0.5</v>
      </c>
      <c r="AEK38" s="366" t="e">
        <f>10/AEG36</f>
        <v>#DIV/0!</v>
      </c>
      <c r="AEL38" s="367">
        <v>15.38</v>
      </c>
      <c r="AEM38" s="367" t="e">
        <f>AEJ38*AEK38*AEL38</f>
        <v>#DIV/0!</v>
      </c>
      <c r="AEN38" s="363" t="s">
        <v>153</v>
      </c>
      <c r="AEO38" s="363"/>
      <c r="AEP38" s="363"/>
      <c r="AEQ38" s="364" t="s">
        <v>140</v>
      </c>
      <c r="AER38" s="365">
        <v>0.5</v>
      </c>
      <c r="AES38" s="366" t="e">
        <f>10/AEO36</f>
        <v>#DIV/0!</v>
      </c>
      <c r="AET38" s="367">
        <v>15.38</v>
      </c>
      <c r="AEU38" s="367" t="e">
        <f>AER38*AES38*AET38</f>
        <v>#DIV/0!</v>
      </c>
      <c r="AEV38" s="363" t="s">
        <v>153</v>
      </c>
      <c r="AEW38" s="363"/>
      <c r="AEX38" s="363"/>
      <c r="AEY38" s="364" t="s">
        <v>140</v>
      </c>
      <c r="AEZ38" s="365">
        <v>0.5</v>
      </c>
      <c r="AFA38" s="366" t="e">
        <f>10/AEW36</f>
        <v>#DIV/0!</v>
      </c>
      <c r="AFB38" s="367">
        <v>15.38</v>
      </c>
      <c r="AFC38" s="367" t="e">
        <f>AEZ38*AFA38*AFB38</f>
        <v>#DIV/0!</v>
      </c>
      <c r="AFD38" s="363" t="s">
        <v>153</v>
      </c>
      <c r="AFE38" s="363"/>
      <c r="AFF38" s="363"/>
      <c r="AFG38" s="364" t="s">
        <v>140</v>
      </c>
      <c r="AFH38" s="365">
        <v>0.5</v>
      </c>
      <c r="AFI38" s="366" t="e">
        <f>10/AFE36</f>
        <v>#DIV/0!</v>
      </c>
      <c r="AFJ38" s="367">
        <v>15.38</v>
      </c>
      <c r="AFK38" s="367" t="e">
        <f>AFH38*AFI38*AFJ38</f>
        <v>#DIV/0!</v>
      </c>
      <c r="AFL38" s="363" t="s">
        <v>153</v>
      </c>
      <c r="AFM38" s="363"/>
      <c r="AFN38" s="363"/>
      <c r="AFO38" s="364" t="s">
        <v>140</v>
      </c>
      <c r="AFP38" s="365">
        <v>0.5</v>
      </c>
      <c r="AFQ38" s="366" t="e">
        <f>10/AFM36</f>
        <v>#DIV/0!</v>
      </c>
      <c r="AFR38" s="367">
        <v>15.38</v>
      </c>
      <c r="AFS38" s="367" t="e">
        <f>AFP38*AFQ38*AFR38</f>
        <v>#DIV/0!</v>
      </c>
      <c r="AFT38" s="363" t="s">
        <v>153</v>
      </c>
      <c r="AFU38" s="363"/>
      <c r="AFV38" s="363"/>
      <c r="AFW38" s="364" t="s">
        <v>140</v>
      </c>
      <c r="AFX38" s="365">
        <v>0.5</v>
      </c>
      <c r="AFY38" s="366" t="e">
        <f>10/AFU36</f>
        <v>#DIV/0!</v>
      </c>
      <c r="AFZ38" s="367">
        <v>15.38</v>
      </c>
      <c r="AGA38" s="367" t="e">
        <f>AFX38*AFY38*AFZ38</f>
        <v>#DIV/0!</v>
      </c>
      <c r="AGB38" s="363" t="s">
        <v>153</v>
      </c>
      <c r="AGC38" s="363"/>
      <c r="AGD38" s="363"/>
      <c r="AGE38" s="364" t="s">
        <v>140</v>
      </c>
      <c r="AGF38" s="365">
        <v>0.5</v>
      </c>
      <c r="AGG38" s="366" t="e">
        <f>10/AGC36</f>
        <v>#DIV/0!</v>
      </c>
      <c r="AGH38" s="367">
        <v>15.38</v>
      </c>
      <c r="AGI38" s="367" t="e">
        <f>AGF38*AGG38*AGH38</f>
        <v>#DIV/0!</v>
      </c>
      <c r="AGJ38" s="363" t="s">
        <v>153</v>
      </c>
      <c r="AGK38" s="363"/>
      <c r="AGL38" s="363"/>
      <c r="AGM38" s="364" t="s">
        <v>140</v>
      </c>
      <c r="AGN38" s="365">
        <v>0.5</v>
      </c>
      <c r="AGO38" s="366" t="e">
        <f>10/AGK36</f>
        <v>#DIV/0!</v>
      </c>
      <c r="AGP38" s="367">
        <v>15.38</v>
      </c>
      <c r="AGQ38" s="367" t="e">
        <f>AGN38*AGO38*AGP38</f>
        <v>#DIV/0!</v>
      </c>
      <c r="AGR38" s="363" t="s">
        <v>153</v>
      </c>
      <c r="AGS38" s="363"/>
      <c r="AGT38" s="363"/>
      <c r="AGU38" s="364" t="s">
        <v>140</v>
      </c>
      <c r="AGV38" s="365">
        <v>0.5</v>
      </c>
      <c r="AGW38" s="366" t="e">
        <f>10/AGS36</f>
        <v>#DIV/0!</v>
      </c>
      <c r="AGX38" s="367">
        <v>15.38</v>
      </c>
      <c r="AGY38" s="367" t="e">
        <f>AGV38*AGW38*AGX38</f>
        <v>#DIV/0!</v>
      </c>
      <c r="AGZ38" s="363" t="s">
        <v>153</v>
      </c>
      <c r="AHA38" s="363"/>
      <c r="AHB38" s="363"/>
      <c r="AHC38" s="364" t="s">
        <v>140</v>
      </c>
      <c r="AHD38" s="365">
        <v>0.5</v>
      </c>
      <c r="AHE38" s="366" t="e">
        <f>10/AHA36</f>
        <v>#DIV/0!</v>
      </c>
      <c r="AHF38" s="367">
        <v>15.38</v>
      </c>
      <c r="AHG38" s="367" t="e">
        <f>AHD38*AHE38*AHF38</f>
        <v>#DIV/0!</v>
      </c>
      <c r="AHH38" s="363" t="s">
        <v>153</v>
      </c>
      <c r="AHI38" s="363"/>
      <c r="AHJ38" s="363"/>
      <c r="AHK38" s="364" t="s">
        <v>140</v>
      </c>
      <c r="AHL38" s="365">
        <v>0.5</v>
      </c>
      <c r="AHM38" s="366" t="e">
        <f>10/AHI36</f>
        <v>#DIV/0!</v>
      </c>
      <c r="AHN38" s="367">
        <v>15.38</v>
      </c>
      <c r="AHO38" s="367" t="e">
        <f>AHL38*AHM38*AHN38</f>
        <v>#DIV/0!</v>
      </c>
      <c r="AHP38" s="363" t="s">
        <v>153</v>
      </c>
      <c r="AHQ38" s="363"/>
      <c r="AHR38" s="363"/>
      <c r="AHS38" s="364" t="s">
        <v>140</v>
      </c>
      <c r="AHT38" s="365">
        <v>0.5</v>
      </c>
      <c r="AHU38" s="366" t="e">
        <f>10/AHQ36</f>
        <v>#DIV/0!</v>
      </c>
      <c r="AHV38" s="367">
        <v>15.38</v>
      </c>
      <c r="AHW38" s="367" t="e">
        <f>AHT38*AHU38*AHV38</f>
        <v>#DIV/0!</v>
      </c>
      <c r="AHX38" s="363" t="s">
        <v>153</v>
      </c>
      <c r="AHY38" s="363"/>
      <c r="AHZ38" s="363"/>
      <c r="AIA38" s="364" t="s">
        <v>140</v>
      </c>
      <c r="AIB38" s="365">
        <v>0.5</v>
      </c>
      <c r="AIC38" s="366" t="e">
        <f>10/AHY36</f>
        <v>#DIV/0!</v>
      </c>
      <c r="AID38" s="367">
        <v>15.38</v>
      </c>
      <c r="AIE38" s="367" t="e">
        <f>AIB38*AIC38*AID38</f>
        <v>#DIV/0!</v>
      </c>
      <c r="AIF38" s="363" t="s">
        <v>153</v>
      </c>
      <c r="AIG38" s="363"/>
      <c r="AIH38" s="363"/>
      <c r="AII38" s="364" t="s">
        <v>140</v>
      </c>
      <c r="AIJ38" s="365">
        <v>0.5</v>
      </c>
      <c r="AIK38" s="366" t="e">
        <f>10/AIG36</f>
        <v>#DIV/0!</v>
      </c>
      <c r="AIL38" s="367">
        <v>15.38</v>
      </c>
      <c r="AIM38" s="367" t="e">
        <f>AIJ38*AIK38*AIL38</f>
        <v>#DIV/0!</v>
      </c>
      <c r="AIN38" s="363" t="s">
        <v>153</v>
      </c>
      <c r="AIO38" s="363"/>
      <c r="AIP38" s="363"/>
      <c r="AIQ38" s="364" t="s">
        <v>140</v>
      </c>
      <c r="AIR38" s="365">
        <v>0.5</v>
      </c>
      <c r="AIS38" s="366" t="e">
        <f>10/AIO36</f>
        <v>#DIV/0!</v>
      </c>
      <c r="AIT38" s="367">
        <v>15.38</v>
      </c>
      <c r="AIU38" s="367" t="e">
        <f>AIR38*AIS38*AIT38</f>
        <v>#DIV/0!</v>
      </c>
      <c r="AIV38" s="363" t="s">
        <v>153</v>
      </c>
      <c r="AIW38" s="363"/>
      <c r="AIX38" s="363"/>
      <c r="AIY38" s="364" t="s">
        <v>140</v>
      </c>
      <c r="AIZ38" s="365">
        <v>0.5</v>
      </c>
      <c r="AJA38" s="366" t="e">
        <f>10/AIW36</f>
        <v>#DIV/0!</v>
      </c>
      <c r="AJB38" s="367">
        <v>15.38</v>
      </c>
      <c r="AJC38" s="367" t="e">
        <f>AIZ38*AJA38*AJB38</f>
        <v>#DIV/0!</v>
      </c>
      <c r="AJD38" s="363" t="s">
        <v>153</v>
      </c>
      <c r="AJE38" s="363"/>
      <c r="AJF38" s="363"/>
      <c r="AJG38" s="364" t="s">
        <v>140</v>
      </c>
      <c r="AJH38" s="365">
        <v>0.5</v>
      </c>
      <c r="AJI38" s="366" t="e">
        <f>10/AJE36</f>
        <v>#DIV/0!</v>
      </c>
      <c r="AJJ38" s="367">
        <v>15.38</v>
      </c>
      <c r="AJK38" s="367" t="e">
        <f>AJH38*AJI38*AJJ38</f>
        <v>#DIV/0!</v>
      </c>
      <c r="AJL38" s="363" t="s">
        <v>153</v>
      </c>
      <c r="AJM38" s="363"/>
      <c r="AJN38" s="363"/>
      <c r="AJO38" s="364" t="s">
        <v>140</v>
      </c>
      <c r="AJP38" s="365">
        <v>0.5</v>
      </c>
      <c r="AJQ38" s="366" t="e">
        <f>10/AJM36</f>
        <v>#DIV/0!</v>
      </c>
      <c r="AJR38" s="367">
        <v>15.38</v>
      </c>
      <c r="AJS38" s="367" t="e">
        <f>AJP38*AJQ38*AJR38</f>
        <v>#DIV/0!</v>
      </c>
      <c r="AJT38" s="363" t="s">
        <v>153</v>
      </c>
      <c r="AJU38" s="363"/>
      <c r="AJV38" s="363"/>
      <c r="AJW38" s="364" t="s">
        <v>140</v>
      </c>
      <c r="AJX38" s="365">
        <v>0.5</v>
      </c>
      <c r="AJY38" s="366" t="e">
        <f>10/AJU36</f>
        <v>#DIV/0!</v>
      </c>
      <c r="AJZ38" s="367">
        <v>15.38</v>
      </c>
      <c r="AKA38" s="367" t="e">
        <f>AJX38*AJY38*AJZ38</f>
        <v>#DIV/0!</v>
      </c>
      <c r="AKB38" s="363" t="s">
        <v>153</v>
      </c>
      <c r="AKC38" s="363"/>
      <c r="AKD38" s="363"/>
      <c r="AKE38" s="364" t="s">
        <v>140</v>
      </c>
      <c r="AKF38" s="365">
        <v>0.5</v>
      </c>
      <c r="AKG38" s="366" t="e">
        <f>10/AKC36</f>
        <v>#DIV/0!</v>
      </c>
      <c r="AKH38" s="367">
        <v>15.38</v>
      </c>
      <c r="AKI38" s="367" t="e">
        <f>AKF38*AKG38*AKH38</f>
        <v>#DIV/0!</v>
      </c>
      <c r="AKJ38" s="363" t="s">
        <v>153</v>
      </c>
      <c r="AKK38" s="363"/>
      <c r="AKL38" s="363"/>
      <c r="AKM38" s="364" t="s">
        <v>140</v>
      </c>
      <c r="AKN38" s="365">
        <v>0.5</v>
      </c>
      <c r="AKO38" s="366" t="e">
        <f>10/AKK36</f>
        <v>#DIV/0!</v>
      </c>
      <c r="AKP38" s="367">
        <v>15.38</v>
      </c>
      <c r="AKQ38" s="367" t="e">
        <f>AKN38*AKO38*AKP38</f>
        <v>#DIV/0!</v>
      </c>
      <c r="AKR38" s="363" t="s">
        <v>153</v>
      </c>
      <c r="AKS38" s="363"/>
      <c r="AKT38" s="363"/>
      <c r="AKU38" s="364" t="s">
        <v>140</v>
      </c>
      <c r="AKV38" s="365">
        <v>0.5</v>
      </c>
      <c r="AKW38" s="366" t="e">
        <f>10/AKS36</f>
        <v>#DIV/0!</v>
      </c>
      <c r="AKX38" s="367">
        <v>15.38</v>
      </c>
      <c r="AKY38" s="367" t="e">
        <f>AKV38*AKW38*AKX38</f>
        <v>#DIV/0!</v>
      </c>
      <c r="AKZ38" s="363" t="s">
        <v>153</v>
      </c>
      <c r="ALA38" s="363"/>
      <c r="ALB38" s="363"/>
      <c r="ALC38" s="364" t="s">
        <v>140</v>
      </c>
      <c r="ALD38" s="365">
        <v>0.5</v>
      </c>
      <c r="ALE38" s="366" t="e">
        <f>10/ALA36</f>
        <v>#DIV/0!</v>
      </c>
      <c r="ALF38" s="367">
        <v>15.38</v>
      </c>
      <c r="ALG38" s="367" t="e">
        <f>ALD38*ALE38*ALF38</f>
        <v>#DIV/0!</v>
      </c>
      <c r="ALH38" s="363" t="s">
        <v>153</v>
      </c>
      <c r="ALI38" s="363"/>
      <c r="ALJ38" s="363"/>
      <c r="ALK38" s="364" t="s">
        <v>140</v>
      </c>
      <c r="ALL38" s="365">
        <v>0.5</v>
      </c>
      <c r="ALM38" s="366" t="e">
        <f>10/ALI36</f>
        <v>#DIV/0!</v>
      </c>
      <c r="ALN38" s="367">
        <v>15.38</v>
      </c>
      <c r="ALO38" s="367" t="e">
        <f>ALL38*ALM38*ALN38</f>
        <v>#DIV/0!</v>
      </c>
      <c r="ALP38" s="363" t="s">
        <v>153</v>
      </c>
      <c r="ALQ38" s="363"/>
      <c r="ALR38" s="363"/>
      <c r="ALS38" s="364" t="s">
        <v>140</v>
      </c>
      <c r="ALT38" s="365">
        <v>0.5</v>
      </c>
      <c r="ALU38" s="366" t="e">
        <f>10/ALQ36</f>
        <v>#DIV/0!</v>
      </c>
      <c r="ALV38" s="367">
        <v>15.38</v>
      </c>
      <c r="ALW38" s="367" t="e">
        <f>ALT38*ALU38*ALV38</f>
        <v>#DIV/0!</v>
      </c>
      <c r="ALX38" s="363" t="s">
        <v>153</v>
      </c>
      <c r="ALY38" s="363"/>
      <c r="ALZ38" s="363"/>
      <c r="AMA38" s="364" t="s">
        <v>140</v>
      </c>
      <c r="AMB38" s="365">
        <v>0.5</v>
      </c>
      <c r="AMC38" s="366" t="e">
        <f>10/ALY36</f>
        <v>#DIV/0!</v>
      </c>
      <c r="AMD38" s="367">
        <v>15.38</v>
      </c>
      <c r="AME38" s="367" t="e">
        <f>AMB38*AMC38*AMD38</f>
        <v>#DIV/0!</v>
      </c>
      <c r="AMF38" s="363" t="s">
        <v>153</v>
      </c>
      <c r="AMG38" s="363"/>
      <c r="AMH38" s="363"/>
      <c r="AMI38" s="364" t="s">
        <v>140</v>
      </c>
      <c r="AMJ38" s="365">
        <v>0.5</v>
      </c>
      <c r="AMK38" s="366" t="e">
        <f>10/AMG36</f>
        <v>#DIV/0!</v>
      </c>
      <c r="AML38" s="367">
        <v>15.38</v>
      </c>
      <c r="AMM38" s="367" t="e">
        <f>AMJ38*AMK38*AML38</f>
        <v>#DIV/0!</v>
      </c>
      <c r="AMN38" s="363" t="s">
        <v>153</v>
      </c>
      <c r="AMO38" s="363"/>
      <c r="AMP38" s="363"/>
      <c r="AMQ38" s="364" t="s">
        <v>140</v>
      </c>
      <c r="AMR38" s="365">
        <v>0.5</v>
      </c>
      <c r="AMS38" s="366" t="e">
        <f>10/AMO36</f>
        <v>#DIV/0!</v>
      </c>
      <c r="AMT38" s="367">
        <v>15.38</v>
      </c>
      <c r="AMU38" s="367" t="e">
        <f>AMR38*AMS38*AMT38</f>
        <v>#DIV/0!</v>
      </c>
      <c r="AMV38" s="363" t="s">
        <v>153</v>
      </c>
      <c r="AMW38" s="363"/>
      <c r="AMX38" s="363"/>
      <c r="AMY38" s="364" t="s">
        <v>140</v>
      </c>
      <c r="AMZ38" s="365">
        <v>0.5</v>
      </c>
      <c r="ANA38" s="366" t="e">
        <f>10/AMW36</f>
        <v>#DIV/0!</v>
      </c>
      <c r="ANB38" s="367">
        <v>15.38</v>
      </c>
      <c r="ANC38" s="367" t="e">
        <f>AMZ38*ANA38*ANB38</f>
        <v>#DIV/0!</v>
      </c>
      <c r="AND38" s="363" t="s">
        <v>153</v>
      </c>
      <c r="ANE38" s="363"/>
      <c r="ANF38" s="363"/>
      <c r="ANG38" s="364" t="s">
        <v>140</v>
      </c>
      <c r="ANH38" s="365">
        <v>0.5</v>
      </c>
      <c r="ANI38" s="366" t="e">
        <f>10/ANE36</f>
        <v>#DIV/0!</v>
      </c>
      <c r="ANJ38" s="367">
        <v>15.38</v>
      </c>
      <c r="ANK38" s="367" t="e">
        <f>ANH38*ANI38*ANJ38</f>
        <v>#DIV/0!</v>
      </c>
      <c r="ANL38" s="363" t="s">
        <v>153</v>
      </c>
      <c r="ANM38" s="363"/>
      <c r="ANN38" s="363"/>
      <c r="ANO38" s="364" t="s">
        <v>140</v>
      </c>
      <c r="ANP38" s="365">
        <v>0.5</v>
      </c>
      <c r="ANQ38" s="366" t="e">
        <f>10/ANM36</f>
        <v>#DIV/0!</v>
      </c>
      <c r="ANR38" s="367">
        <v>15.38</v>
      </c>
      <c r="ANS38" s="367" t="e">
        <f>ANP38*ANQ38*ANR38</f>
        <v>#DIV/0!</v>
      </c>
      <c r="ANT38" s="363" t="s">
        <v>153</v>
      </c>
      <c r="ANU38" s="363"/>
      <c r="ANV38" s="363"/>
      <c r="ANW38" s="364" t="s">
        <v>140</v>
      </c>
      <c r="ANX38" s="365">
        <v>0.5</v>
      </c>
      <c r="ANY38" s="366" t="e">
        <f>10/ANU36</f>
        <v>#DIV/0!</v>
      </c>
      <c r="ANZ38" s="367">
        <v>15.38</v>
      </c>
      <c r="AOA38" s="367" t="e">
        <f>ANX38*ANY38*ANZ38</f>
        <v>#DIV/0!</v>
      </c>
      <c r="AOB38" s="363" t="s">
        <v>153</v>
      </c>
      <c r="AOC38" s="363"/>
      <c r="AOD38" s="363"/>
      <c r="AOE38" s="364" t="s">
        <v>140</v>
      </c>
      <c r="AOF38" s="365">
        <v>0.5</v>
      </c>
      <c r="AOG38" s="366" t="e">
        <f>10/AOC36</f>
        <v>#DIV/0!</v>
      </c>
      <c r="AOH38" s="367">
        <v>15.38</v>
      </c>
      <c r="AOI38" s="367" t="e">
        <f>AOF38*AOG38*AOH38</f>
        <v>#DIV/0!</v>
      </c>
      <c r="AOJ38" s="363" t="s">
        <v>153</v>
      </c>
      <c r="AOK38" s="363"/>
      <c r="AOL38" s="363"/>
      <c r="AOM38" s="364" t="s">
        <v>140</v>
      </c>
      <c r="AON38" s="365">
        <v>0.5</v>
      </c>
      <c r="AOO38" s="366" t="e">
        <f>10/AOK36</f>
        <v>#DIV/0!</v>
      </c>
      <c r="AOP38" s="367">
        <v>15.38</v>
      </c>
      <c r="AOQ38" s="367" t="e">
        <f>AON38*AOO38*AOP38</f>
        <v>#DIV/0!</v>
      </c>
      <c r="AOR38" s="363" t="s">
        <v>153</v>
      </c>
      <c r="AOS38" s="363"/>
      <c r="AOT38" s="363"/>
      <c r="AOU38" s="364" t="s">
        <v>140</v>
      </c>
      <c r="AOV38" s="365">
        <v>0.5</v>
      </c>
      <c r="AOW38" s="366" t="e">
        <f>10/AOS36</f>
        <v>#DIV/0!</v>
      </c>
      <c r="AOX38" s="367">
        <v>15.38</v>
      </c>
      <c r="AOY38" s="367" t="e">
        <f>AOV38*AOW38*AOX38</f>
        <v>#DIV/0!</v>
      </c>
      <c r="AOZ38" s="363" t="s">
        <v>153</v>
      </c>
      <c r="APA38" s="363"/>
      <c r="APB38" s="363"/>
      <c r="APC38" s="364" t="s">
        <v>140</v>
      </c>
      <c r="APD38" s="365">
        <v>0.5</v>
      </c>
      <c r="APE38" s="366" t="e">
        <f>10/APA36</f>
        <v>#DIV/0!</v>
      </c>
      <c r="APF38" s="367">
        <v>15.38</v>
      </c>
      <c r="APG38" s="367" t="e">
        <f>APD38*APE38*APF38</f>
        <v>#DIV/0!</v>
      </c>
      <c r="APH38" s="363" t="s">
        <v>153</v>
      </c>
      <c r="API38" s="363"/>
      <c r="APJ38" s="363"/>
      <c r="APK38" s="364" t="s">
        <v>140</v>
      </c>
      <c r="APL38" s="365">
        <v>0.5</v>
      </c>
      <c r="APM38" s="366" t="e">
        <f>10/API36</f>
        <v>#DIV/0!</v>
      </c>
      <c r="APN38" s="367">
        <v>15.38</v>
      </c>
      <c r="APO38" s="367" t="e">
        <f>APL38*APM38*APN38</f>
        <v>#DIV/0!</v>
      </c>
      <c r="APP38" s="363" t="s">
        <v>153</v>
      </c>
      <c r="APQ38" s="363"/>
      <c r="APR38" s="363"/>
      <c r="APS38" s="364" t="s">
        <v>140</v>
      </c>
      <c r="APT38" s="365">
        <v>0.5</v>
      </c>
      <c r="APU38" s="366" t="e">
        <f>10/APQ36</f>
        <v>#DIV/0!</v>
      </c>
      <c r="APV38" s="367">
        <v>15.38</v>
      </c>
      <c r="APW38" s="367" t="e">
        <f>APT38*APU38*APV38</f>
        <v>#DIV/0!</v>
      </c>
      <c r="APX38" s="363" t="s">
        <v>153</v>
      </c>
      <c r="APY38" s="363"/>
      <c r="APZ38" s="363"/>
      <c r="AQA38" s="364" t="s">
        <v>140</v>
      </c>
      <c r="AQB38" s="365">
        <v>0.5</v>
      </c>
      <c r="AQC38" s="366" t="e">
        <f>10/APY36</f>
        <v>#DIV/0!</v>
      </c>
      <c r="AQD38" s="367">
        <v>15.38</v>
      </c>
      <c r="AQE38" s="367" t="e">
        <f>AQB38*AQC38*AQD38</f>
        <v>#DIV/0!</v>
      </c>
      <c r="AQF38" s="363" t="s">
        <v>153</v>
      </c>
      <c r="AQG38" s="363"/>
      <c r="AQH38" s="363"/>
      <c r="AQI38" s="364" t="s">
        <v>140</v>
      </c>
      <c r="AQJ38" s="365">
        <v>0.5</v>
      </c>
      <c r="AQK38" s="366" t="e">
        <f>10/AQG36</f>
        <v>#DIV/0!</v>
      </c>
      <c r="AQL38" s="367">
        <v>15.38</v>
      </c>
      <c r="AQM38" s="367" t="e">
        <f>AQJ38*AQK38*AQL38</f>
        <v>#DIV/0!</v>
      </c>
      <c r="AQN38" s="363" t="s">
        <v>153</v>
      </c>
      <c r="AQO38" s="363"/>
      <c r="AQP38" s="363"/>
      <c r="AQQ38" s="364" t="s">
        <v>140</v>
      </c>
      <c r="AQR38" s="365">
        <v>0.5</v>
      </c>
      <c r="AQS38" s="366" t="e">
        <f>10/AQO36</f>
        <v>#DIV/0!</v>
      </c>
      <c r="AQT38" s="367">
        <v>15.38</v>
      </c>
      <c r="AQU38" s="367" t="e">
        <f>AQR38*AQS38*AQT38</f>
        <v>#DIV/0!</v>
      </c>
      <c r="AQV38" s="363" t="s">
        <v>153</v>
      </c>
      <c r="AQW38" s="363"/>
      <c r="AQX38" s="363"/>
      <c r="AQY38" s="364" t="s">
        <v>140</v>
      </c>
      <c r="AQZ38" s="365">
        <v>0.5</v>
      </c>
      <c r="ARA38" s="366" t="e">
        <f>10/AQW36</f>
        <v>#DIV/0!</v>
      </c>
      <c r="ARB38" s="367">
        <v>15.38</v>
      </c>
      <c r="ARC38" s="367" t="e">
        <f>AQZ38*ARA38*ARB38</f>
        <v>#DIV/0!</v>
      </c>
      <c r="ARD38" s="363" t="s">
        <v>153</v>
      </c>
      <c r="ARE38" s="363"/>
      <c r="ARF38" s="363"/>
      <c r="ARG38" s="364" t="s">
        <v>140</v>
      </c>
      <c r="ARH38" s="365">
        <v>0.5</v>
      </c>
      <c r="ARI38" s="366" t="e">
        <f>10/ARE36</f>
        <v>#DIV/0!</v>
      </c>
      <c r="ARJ38" s="367">
        <v>15.38</v>
      </c>
      <c r="ARK38" s="367" t="e">
        <f>ARH38*ARI38*ARJ38</f>
        <v>#DIV/0!</v>
      </c>
      <c r="ARL38" s="363" t="s">
        <v>153</v>
      </c>
      <c r="ARM38" s="363"/>
      <c r="ARN38" s="363"/>
      <c r="ARO38" s="364" t="s">
        <v>140</v>
      </c>
      <c r="ARP38" s="365">
        <v>0.5</v>
      </c>
      <c r="ARQ38" s="366" t="e">
        <f>10/ARM36</f>
        <v>#DIV/0!</v>
      </c>
      <c r="ARR38" s="367">
        <v>15.38</v>
      </c>
      <c r="ARS38" s="367" t="e">
        <f>ARP38*ARQ38*ARR38</f>
        <v>#DIV/0!</v>
      </c>
      <c r="ART38" s="363" t="s">
        <v>153</v>
      </c>
      <c r="ARU38" s="363"/>
      <c r="ARV38" s="363"/>
      <c r="ARW38" s="364" t="s">
        <v>140</v>
      </c>
      <c r="ARX38" s="365">
        <v>0.5</v>
      </c>
      <c r="ARY38" s="366" t="e">
        <f>10/ARU36</f>
        <v>#DIV/0!</v>
      </c>
      <c r="ARZ38" s="367">
        <v>15.38</v>
      </c>
      <c r="ASA38" s="367" t="e">
        <f>ARX38*ARY38*ARZ38</f>
        <v>#DIV/0!</v>
      </c>
      <c r="ASB38" s="363" t="s">
        <v>153</v>
      </c>
      <c r="ASC38" s="363"/>
      <c r="ASD38" s="363"/>
      <c r="ASE38" s="364" t="s">
        <v>140</v>
      </c>
      <c r="ASF38" s="365">
        <v>0.5</v>
      </c>
      <c r="ASG38" s="366" t="e">
        <f>10/ASC36</f>
        <v>#DIV/0!</v>
      </c>
      <c r="ASH38" s="367">
        <v>15.38</v>
      </c>
      <c r="ASI38" s="367" t="e">
        <f>ASF38*ASG38*ASH38</f>
        <v>#DIV/0!</v>
      </c>
      <c r="ASJ38" s="363" t="s">
        <v>153</v>
      </c>
      <c r="ASK38" s="363"/>
      <c r="ASL38" s="363"/>
      <c r="ASM38" s="364" t="s">
        <v>140</v>
      </c>
      <c r="ASN38" s="365">
        <v>0.5</v>
      </c>
      <c r="ASO38" s="366" t="e">
        <f>10/ASK36</f>
        <v>#DIV/0!</v>
      </c>
      <c r="ASP38" s="367">
        <v>15.38</v>
      </c>
      <c r="ASQ38" s="367" t="e">
        <f>ASN38*ASO38*ASP38</f>
        <v>#DIV/0!</v>
      </c>
      <c r="ASR38" s="363" t="s">
        <v>153</v>
      </c>
      <c r="ASS38" s="363"/>
      <c r="AST38" s="363"/>
      <c r="ASU38" s="364" t="s">
        <v>140</v>
      </c>
      <c r="ASV38" s="365">
        <v>0.5</v>
      </c>
      <c r="ASW38" s="366" t="e">
        <f>10/ASS36</f>
        <v>#DIV/0!</v>
      </c>
      <c r="ASX38" s="367">
        <v>15.38</v>
      </c>
      <c r="ASY38" s="367" t="e">
        <f>ASV38*ASW38*ASX38</f>
        <v>#DIV/0!</v>
      </c>
      <c r="ASZ38" s="363" t="s">
        <v>153</v>
      </c>
      <c r="ATA38" s="363"/>
      <c r="ATB38" s="363"/>
      <c r="ATC38" s="364" t="s">
        <v>140</v>
      </c>
      <c r="ATD38" s="365">
        <v>0.5</v>
      </c>
      <c r="ATE38" s="366" t="e">
        <f>10/ATA36</f>
        <v>#DIV/0!</v>
      </c>
      <c r="ATF38" s="367">
        <v>15.38</v>
      </c>
      <c r="ATG38" s="367" t="e">
        <f>ATD38*ATE38*ATF38</f>
        <v>#DIV/0!</v>
      </c>
      <c r="ATH38" s="363" t="s">
        <v>153</v>
      </c>
      <c r="ATI38" s="363"/>
      <c r="ATJ38" s="363"/>
      <c r="ATK38" s="364" t="s">
        <v>140</v>
      </c>
      <c r="ATL38" s="365">
        <v>0.5</v>
      </c>
      <c r="ATM38" s="366" t="e">
        <f>10/ATI36</f>
        <v>#DIV/0!</v>
      </c>
      <c r="ATN38" s="367">
        <v>15.38</v>
      </c>
      <c r="ATO38" s="367" t="e">
        <f>ATL38*ATM38*ATN38</f>
        <v>#DIV/0!</v>
      </c>
      <c r="ATP38" s="363" t="s">
        <v>153</v>
      </c>
      <c r="ATQ38" s="363"/>
      <c r="ATR38" s="363"/>
      <c r="ATS38" s="364" t="s">
        <v>140</v>
      </c>
      <c r="ATT38" s="365">
        <v>0.5</v>
      </c>
      <c r="ATU38" s="366" t="e">
        <f>10/ATQ36</f>
        <v>#DIV/0!</v>
      </c>
      <c r="ATV38" s="367">
        <v>15.38</v>
      </c>
      <c r="ATW38" s="367" t="e">
        <f>ATT38*ATU38*ATV38</f>
        <v>#DIV/0!</v>
      </c>
      <c r="ATX38" s="363" t="s">
        <v>153</v>
      </c>
      <c r="ATY38" s="363"/>
      <c r="ATZ38" s="363"/>
      <c r="AUA38" s="364" t="s">
        <v>140</v>
      </c>
      <c r="AUB38" s="365">
        <v>0.5</v>
      </c>
      <c r="AUC38" s="366" t="e">
        <f>10/ATY36</f>
        <v>#DIV/0!</v>
      </c>
      <c r="AUD38" s="367">
        <v>15.38</v>
      </c>
      <c r="AUE38" s="367" t="e">
        <f>AUB38*AUC38*AUD38</f>
        <v>#DIV/0!</v>
      </c>
      <c r="AUF38" s="363" t="s">
        <v>153</v>
      </c>
      <c r="AUG38" s="363"/>
      <c r="AUH38" s="363"/>
      <c r="AUI38" s="364" t="s">
        <v>140</v>
      </c>
      <c r="AUJ38" s="365">
        <v>0.5</v>
      </c>
      <c r="AUK38" s="366" t="e">
        <f>10/AUG36</f>
        <v>#DIV/0!</v>
      </c>
      <c r="AUL38" s="367">
        <v>15.38</v>
      </c>
      <c r="AUM38" s="367" t="e">
        <f>AUJ38*AUK38*AUL38</f>
        <v>#DIV/0!</v>
      </c>
      <c r="AUN38" s="363" t="s">
        <v>153</v>
      </c>
      <c r="AUO38" s="363"/>
      <c r="AUP38" s="363"/>
      <c r="AUQ38" s="364" t="s">
        <v>140</v>
      </c>
      <c r="AUR38" s="365">
        <v>0.5</v>
      </c>
      <c r="AUS38" s="366" t="e">
        <f>10/AUO36</f>
        <v>#DIV/0!</v>
      </c>
      <c r="AUT38" s="367">
        <v>15.38</v>
      </c>
      <c r="AUU38" s="367" t="e">
        <f>AUR38*AUS38*AUT38</f>
        <v>#DIV/0!</v>
      </c>
      <c r="AUV38" s="363" t="s">
        <v>153</v>
      </c>
      <c r="AUW38" s="363"/>
      <c r="AUX38" s="363"/>
      <c r="AUY38" s="364" t="s">
        <v>140</v>
      </c>
      <c r="AUZ38" s="365">
        <v>0.5</v>
      </c>
      <c r="AVA38" s="366" t="e">
        <f>10/AUW36</f>
        <v>#DIV/0!</v>
      </c>
      <c r="AVB38" s="367">
        <v>15.38</v>
      </c>
      <c r="AVC38" s="367" t="e">
        <f>AUZ38*AVA38*AVB38</f>
        <v>#DIV/0!</v>
      </c>
      <c r="AVD38" s="363" t="s">
        <v>153</v>
      </c>
      <c r="AVE38" s="363"/>
      <c r="AVF38" s="363"/>
      <c r="AVG38" s="364" t="s">
        <v>140</v>
      </c>
      <c r="AVH38" s="365">
        <v>0.5</v>
      </c>
      <c r="AVI38" s="366" t="e">
        <f>10/AVE36</f>
        <v>#DIV/0!</v>
      </c>
      <c r="AVJ38" s="367">
        <v>15.38</v>
      </c>
      <c r="AVK38" s="367" t="e">
        <f>AVH38*AVI38*AVJ38</f>
        <v>#DIV/0!</v>
      </c>
      <c r="AVL38" s="363" t="s">
        <v>153</v>
      </c>
      <c r="AVM38" s="363"/>
      <c r="AVN38" s="363"/>
      <c r="AVO38" s="364" t="s">
        <v>140</v>
      </c>
      <c r="AVP38" s="365">
        <v>0.5</v>
      </c>
      <c r="AVQ38" s="366" t="e">
        <f>10/AVM36</f>
        <v>#DIV/0!</v>
      </c>
      <c r="AVR38" s="367">
        <v>15.38</v>
      </c>
      <c r="AVS38" s="367" t="e">
        <f>AVP38*AVQ38*AVR38</f>
        <v>#DIV/0!</v>
      </c>
      <c r="AVT38" s="363" t="s">
        <v>153</v>
      </c>
      <c r="AVU38" s="363"/>
      <c r="AVV38" s="363"/>
      <c r="AVW38" s="364" t="s">
        <v>140</v>
      </c>
      <c r="AVX38" s="365">
        <v>0.5</v>
      </c>
      <c r="AVY38" s="366" t="e">
        <f>10/AVU36</f>
        <v>#DIV/0!</v>
      </c>
      <c r="AVZ38" s="367">
        <v>15.38</v>
      </c>
      <c r="AWA38" s="367" t="e">
        <f>AVX38*AVY38*AVZ38</f>
        <v>#DIV/0!</v>
      </c>
      <c r="AWB38" s="363" t="s">
        <v>153</v>
      </c>
      <c r="AWC38" s="363"/>
      <c r="AWD38" s="363"/>
      <c r="AWE38" s="364" t="s">
        <v>140</v>
      </c>
      <c r="AWF38" s="365">
        <v>0.5</v>
      </c>
      <c r="AWG38" s="366" t="e">
        <f>10/AWC36</f>
        <v>#DIV/0!</v>
      </c>
      <c r="AWH38" s="367">
        <v>15.38</v>
      </c>
      <c r="AWI38" s="367" t="e">
        <f>AWF38*AWG38*AWH38</f>
        <v>#DIV/0!</v>
      </c>
      <c r="AWJ38" s="363" t="s">
        <v>153</v>
      </c>
      <c r="AWK38" s="363"/>
      <c r="AWL38" s="363"/>
      <c r="AWM38" s="364" t="s">
        <v>140</v>
      </c>
      <c r="AWN38" s="365">
        <v>0.5</v>
      </c>
      <c r="AWO38" s="366" t="e">
        <f>10/AWK36</f>
        <v>#DIV/0!</v>
      </c>
      <c r="AWP38" s="367">
        <v>15.38</v>
      </c>
      <c r="AWQ38" s="367" t="e">
        <f>AWN38*AWO38*AWP38</f>
        <v>#DIV/0!</v>
      </c>
      <c r="AWR38" s="363" t="s">
        <v>153</v>
      </c>
      <c r="AWS38" s="363"/>
      <c r="AWT38" s="363"/>
      <c r="AWU38" s="364" t="s">
        <v>140</v>
      </c>
      <c r="AWV38" s="365">
        <v>0.5</v>
      </c>
      <c r="AWW38" s="366" t="e">
        <f>10/AWS36</f>
        <v>#DIV/0!</v>
      </c>
      <c r="AWX38" s="367">
        <v>15.38</v>
      </c>
      <c r="AWY38" s="367" t="e">
        <f>AWV38*AWW38*AWX38</f>
        <v>#DIV/0!</v>
      </c>
      <c r="AWZ38" s="363" t="s">
        <v>153</v>
      </c>
      <c r="AXA38" s="363"/>
      <c r="AXB38" s="363"/>
      <c r="AXC38" s="364" t="s">
        <v>140</v>
      </c>
      <c r="AXD38" s="365">
        <v>0.5</v>
      </c>
      <c r="AXE38" s="366" t="e">
        <f>10/AXA36</f>
        <v>#DIV/0!</v>
      </c>
      <c r="AXF38" s="367">
        <v>15.38</v>
      </c>
      <c r="AXG38" s="367" t="e">
        <f>AXD38*AXE38*AXF38</f>
        <v>#DIV/0!</v>
      </c>
      <c r="AXH38" s="363" t="s">
        <v>153</v>
      </c>
      <c r="AXI38" s="363"/>
      <c r="AXJ38" s="363"/>
      <c r="AXK38" s="364" t="s">
        <v>140</v>
      </c>
      <c r="AXL38" s="365">
        <v>0.5</v>
      </c>
      <c r="AXM38" s="366" t="e">
        <f>10/AXI36</f>
        <v>#DIV/0!</v>
      </c>
      <c r="AXN38" s="367">
        <v>15.38</v>
      </c>
      <c r="AXO38" s="367" t="e">
        <f>AXL38*AXM38*AXN38</f>
        <v>#DIV/0!</v>
      </c>
      <c r="AXP38" s="363" t="s">
        <v>153</v>
      </c>
      <c r="AXQ38" s="363"/>
      <c r="AXR38" s="363"/>
      <c r="AXS38" s="364" t="s">
        <v>140</v>
      </c>
      <c r="AXT38" s="365">
        <v>0.5</v>
      </c>
      <c r="AXU38" s="366" t="e">
        <f>10/AXQ36</f>
        <v>#DIV/0!</v>
      </c>
      <c r="AXV38" s="367">
        <v>15.38</v>
      </c>
      <c r="AXW38" s="367" t="e">
        <f>AXT38*AXU38*AXV38</f>
        <v>#DIV/0!</v>
      </c>
      <c r="AXX38" s="363" t="s">
        <v>153</v>
      </c>
      <c r="AXY38" s="363"/>
      <c r="AXZ38" s="363"/>
      <c r="AYA38" s="364" t="s">
        <v>140</v>
      </c>
      <c r="AYB38" s="365">
        <v>0.5</v>
      </c>
      <c r="AYC38" s="366" t="e">
        <f>10/AXY36</f>
        <v>#DIV/0!</v>
      </c>
      <c r="AYD38" s="367">
        <v>15.38</v>
      </c>
      <c r="AYE38" s="367" t="e">
        <f>AYB38*AYC38*AYD38</f>
        <v>#DIV/0!</v>
      </c>
      <c r="AYF38" s="363" t="s">
        <v>153</v>
      </c>
      <c r="AYG38" s="363"/>
      <c r="AYH38" s="363"/>
      <c r="AYI38" s="364" t="s">
        <v>140</v>
      </c>
      <c r="AYJ38" s="365">
        <v>0.5</v>
      </c>
      <c r="AYK38" s="366" t="e">
        <f>10/AYG36</f>
        <v>#DIV/0!</v>
      </c>
      <c r="AYL38" s="367">
        <v>15.38</v>
      </c>
      <c r="AYM38" s="367" t="e">
        <f>AYJ38*AYK38*AYL38</f>
        <v>#DIV/0!</v>
      </c>
      <c r="AYN38" s="363" t="s">
        <v>153</v>
      </c>
      <c r="AYO38" s="363"/>
      <c r="AYP38" s="363"/>
      <c r="AYQ38" s="364" t="s">
        <v>140</v>
      </c>
      <c r="AYR38" s="365">
        <v>0.5</v>
      </c>
      <c r="AYS38" s="366" t="e">
        <f>10/AYO36</f>
        <v>#DIV/0!</v>
      </c>
      <c r="AYT38" s="367">
        <v>15.38</v>
      </c>
      <c r="AYU38" s="367" t="e">
        <f>AYR38*AYS38*AYT38</f>
        <v>#DIV/0!</v>
      </c>
      <c r="AYV38" s="363" t="s">
        <v>153</v>
      </c>
      <c r="AYW38" s="363"/>
      <c r="AYX38" s="363"/>
      <c r="AYY38" s="364" t="s">
        <v>140</v>
      </c>
      <c r="AYZ38" s="365">
        <v>0.5</v>
      </c>
      <c r="AZA38" s="366" t="e">
        <f>10/AYW36</f>
        <v>#DIV/0!</v>
      </c>
      <c r="AZB38" s="367">
        <v>15.38</v>
      </c>
      <c r="AZC38" s="367" t="e">
        <f>AYZ38*AZA38*AZB38</f>
        <v>#DIV/0!</v>
      </c>
      <c r="AZD38" s="363" t="s">
        <v>153</v>
      </c>
      <c r="AZE38" s="363"/>
      <c r="AZF38" s="363"/>
      <c r="AZG38" s="364" t="s">
        <v>140</v>
      </c>
      <c r="AZH38" s="365">
        <v>0.5</v>
      </c>
      <c r="AZI38" s="366" t="e">
        <f>10/AZE36</f>
        <v>#DIV/0!</v>
      </c>
      <c r="AZJ38" s="367">
        <v>15.38</v>
      </c>
      <c r="AZK38" s="367" t="e">
        <f>AZH38*AZI38*AZJ38</f>
        <v>#DIV/0!</v>
      </c>
      <c r="AZL38" s="363" t="s">
        <v>153</v>
      </c>
      <c r="AZM38" s="363"/>
      <c r="AZN38" s="363"/>
      <c r="AZO38" s="364" t="s">
        <v>140</v>
      </c>
      <c r="AZP38" s="365">
        <v>0.5</v>
      </c>
      <c r="AZQ38" s="366" t="e">
        <f>10/AZM36</f>
        <v>#DIV/0!</v>
      </c>
      <c r="AZR38" s="367">
        <v>15.38</v>
      </c>
      <c r="AZS38" s="367" t="e">
        <f>AZP38*AZQ38*AZR38</f>
        <v>#DIV/0!</v>
      </c>
      <c r="AZT38" s="363" t="s">
        <v>153</v>
      </c>
      <c r="AZU38" s="363"/>
      <c r="AZV38" s="363"/>
      <c r="AZW38" s="364" t="s">
        <v>140</v>
      </c>
      <c r="AZX38" s="365">
        <v>0.5</v>
      </c>
      <c r="AZY38" s="366" t="e">
        <f>10/AZU36</f>
        <v>#DIV/0!</v>
      </c>
      <c r="AZZ38" s="367">
        <v>15.38</v>
      </c>
      <c r="BAA38" s="367" t="e">
        <f>AZX38*AZY38*AZZ38</f>
        <v>#DIV/0!</v>
      </c>
      <c r="BAB38" s="363" t="s">
        <v>153</v>
      </c>
      <c r="BAC38" s="363"/>
      <c r="BAD38" s="363"/>
      <c r="BAE38" s="364" t="s">
        <v>140</v>
      </c>
      <c r="BAF38" s="365">
        <v>0.5</v>
      </c>
      <c r="BAG38" s="366" t="e">
        <f>10/BAC36</f>
        <v>#DIV/0!</v>
      </c>
      <c r="BAH38" s="367">
        <v>15.38</v>
      </c>
      <c r="BAI38" s="367" t="e">
        <f>BAF38*BAG38*BAH38</f>
        <v>#DIV/0!</v>
      </c>
      <c r="BAJ38" s="363" t="s">
        <v>153</v>
      </c>
      <c r="BAK38" s="363"/>
      <c r="BAL38" s="363"/>
      <c r="BAM38" s="364" t="s">
        <v>140</v>
      </c>
      <c r="BAN38" s="365">
        <v>0.5</v>
      </c>
      <c r="BAO38" s="366" t="e">
        <f>10/BAK36</f>
        <v>#DIV/0!</v>
      </c>
      <c r="BAP38" s="367">
        <v>15.38</v>
      </c>
      <c r="BAQ38" s="367" t="e">
        <f>BAN38*BAO38*BAP38</f>
        <v>#DIV/0!</v>
      </c>
      <c r="BAR38" s="363" t="s">
        <v>153</v>
      </c>
      <c r="BAS38" s="363"/>
      <c r="BAT38" s="363"/>
      <c r="BAU38" s="364" t="s">
        <v>140</v>
      </c>
      <c r="BAV38" s="365">
        <v>0.5</v>
      </c>
      <c r="BAW38" s="366" t="e">
        <f>10/BAS36</f>
        <v>#DIV/0!</v>
      </c>
      <c r="BAX38" s="367">
        <v>15.38</v>
      </c>
      <c r="BAY38" s="367" t="e">
        <f>BAV38*BAW38*BAX38</f>
        <v>#DIV/0!</v>
      </c>
      <c r="BAZ38" s="363" t="s">
        <v>153</v>
      </c>
      <c r="BBA38" s="363"/>
      <c r="BBB38" s="363"/>
      <c r="BBC38" s="364" t="s">
        <v>140</v>
      </c>
      <c r="BBD38" s="365">
        <v>0.5</v>
      </c>
      <c r="BBE38" s="366" t="e">
        <f>10/BBA36</f>
        <v>#DIV/0!</v>
      </c>
      <c r="BBF38" s="367">
        <v>15.38</v>
      </c>
      <c r="BBG38" s="367" t="e">
        <f>BBD38*BBE38*BBF38</f>
        <v>#DIV/0!</v>
      </c>
      <c r="BBH38" s="363" t="s">
        <v>153</v>
      </c>
      <c r="BBI38" s="363"/>
      <c r="BBJ38" s="363"/>
      <c r="BBK38" s="364" t="s">
        <v>140</v>
      </c>
      <c r="BBL38" s="365">
        <v>0.5</v>
      </c>
      <c r="BBM38" s="366" t="e">
        <f>10/BBI36</f>
        <v>#DIV/0!</v>
      </c>
      <c r="BBN38" s="367">
        <v>15.38</v>
      </c>
      <c r="BBO38" s="367" t="e">
        <f>BBL38*BBM38*BBN38</f>
        <v>#DIV/0!</v>
      </c>
      <c r="BBP38" s="363" t="s">
        <v>153</v>
      </c>
      <c r="BBQ38" s="363"/>
      <c r="BBR38" s="363"/>
      <c r="BBS38" s="364" t="s">
        <v>140</v>
      </c>
      <c r="BBT38" s="365">
        <v>0.5</v>
      </c>
      <c r="BBU38" s="366" t="e">
        <f>10/BBQ36</f>
        <v>#DIV/0!</v>
      </c>
      <c r="BBV38" s="367">
        <v>15.38</v>
      </c>
      <c r="BBW38" s="367" t="e">
        <f>BBT38*BBU38*BBV38</f>
        <v>#DIV/0!</v>
      </c>
      <c r="BBX38" s="363" t="s">
        <v>153</v>
      </c>
      <c r="BBY38" s="363"/>
      <c r="BBZ38" s="363"/>
      <c r="BCA38" s="364" t="s">
        <v>140</v>
      </c>
      <c r="BCB38" s="365">
        <v>0.5</v>
      </c>
      <c r="BCC38" s="366" t="e">
        <f>10/BBY36</f>
        <v>#DIV/0!</v>
      </c>
      <c r="BCD38" s="367">
        <v>15.38</v>
      </c>
      <c r="BCE38" s="367" t="e">
        <f>BCB38*BCC38*BCD38</f>
        <v>#DIV/0!</v>
      </c>
      <c r="BCF38" s="363" t="s">
        <v>153</v>
      </c>
      <c r="BCG38" s="363"/>
      <c r="BCH38" s="363"/>
      <c r="BCI38" s="364" t="s">
        <v>140</v>
      </c>
      <c r="BCJ38" s="365">
        <v>0.5</v>
      </c>
      <c r="BCK38" s="366" t="e">
        <f>10/BCG36</f>
        <v>#DIV/0!</v>
      </c>
      <c r="BCL38" s="367">
        <v>15.38</v>
      </c>
      <c r="BCM38" s="367" t="e">
        <f>BCJ38*BCK38*BCL38</f>
        <v>#DIV/0!</v>
      </c>
      <c r="BCN38" s="363" t="s">
        <v>153</v>
      </c>
      <c r="BCO38" s="363"/>
      <c r="BCP38" s="363"/>
      <c r="BCQ38" s="364" t="s">
        <v>140</v>
      </c>
      <c r="BCR38" s="365">
        <v>0.5</v>
      </c>
      <c r="BCS38" s="366" t="e">
        <f>10/BCO36</f>
        <v>#DIV/0!</v>
      </c>
      <c r="BCT38" s="367">
        <v>15.38</v>
      </c>
      <c r="BCU38" s="367" t="e">
        <f>BCR38*BCS38*BCT38</f>
        <v>#DIV/0!</v>
      </c>
      <c r="BCV38" s="363" t="s">
        <v>153</v>
      </c>
      <c r="BCW38" s="363"/>
      <c r="BCX38" s="363"/>
      <c r="BCY38" s="364" t="s">
        <v>140</v>
      </c>
      <c r="BCZ38" s="365">
        <v>0.5</v>
      </c>
      <c r="BDA38" s="366" t="e">
        <f>10/BCW36</f>
        <v>#DIV/0!</v>
      </c>
      <c r="BDB38" s="367">
        <v>15.38</v>
      </c>
      <c r="BDC38" s="367" t="e">
        <f>BCZ38*BDA38*BDB38</f>
        <v>#DIV/0!</v>
      </c>
      <c r="BDD38" s="363" t="s">
        <v>153</v>
      </c>
      <c r="BDE38" s="363"/>
      <c r="BDF38" s="363"/>
      <c r="BDG38" s="364" t="s">
        <v>140</v>
      </c>
      <c r="BDH38" s="365">
        <v>0.5</v>
      </c>
      <c r="BDI38" s="366" t="e">
        <f>10/BDE36</f>
        <v>#DIV/0!</v>
      </c>
      <c r="BDJ38" s="367">
        <v>15.38</v>
      </c>
      <c r="BDK38" s="367" t="e">
        <f>BDH38*BDI38*BDJ38</f>
        <v>#DIV/0!</v>
      </c>
      <c r="BDL38" s="363" t="s">
        <v>153</v>
      </c>
      <c r="BDM38" s="363"/>
      <c r="BDN38" s="363"/>
      <c r="BDO38" s="364" t="s">
        <v>140</v>
      </c>
      <c r="BDP38" s="365">
        <v>0.5</v>
      </c>
      <c r="BDQ38" s="366" t="e">
        <f>10/BDM36</f>
        <v>#DIV/0!</v>
      </c>
      <c r="BDR38" s="367">
        <v>15.38</v>
      </c>
      <c r="BDS38" s="367" t="e">
        <f>BDP38*BDQ38*BDR38</f>
        <v>#DIV/0!</v>
      </c>
      <c r="BDT38" s="363" t="s">
        <v>153</v>
      </c>
      <c r="BDU38" s="363"/>
      <c r="BDV38" s="363"/>
      <c r="BDW38" s="364" t="s">
        <v>140</v>
      </c>
      <c r="BDX38" s="365">
        <v>0.5</v>
      </c>
      <c r="BDY38" s="366" t="e">
        <f>10/BDU36</f>
        <v>#DIV/0!</v>
      </c>
      <c r="BDZ38" s="367">
        <v>15.38</v>
      </c>
      <c r="BEA38" s="367" t="e">
        <f>BDX38*BDY38*BDZ38</f>
        <v>#DIV/0!</v>
      </c>
      <c r="BEB38" s="363" t="s">
        <v>153</v>
      </c>
      <c r="BEC38" s="363"/>
      <c r="BED38" s="363"/>
      <c r="BEE38" s="364" t="s">
        <v>140</v>
      </c>
      <c r="BEF38" s="365">
        <v>0.5</v>
      </c>
      <c r="BEG38" s="366" t="e">
        <f>10/BEC36</f>
        <v>#DIV/0!</v>
      </c>
      <c r="BEH38" s="367">
        <v>15.38</v>
      </c>
      <c r="BEI38" s="367" t="e">
        <f>BEF38*BEG38*BEH38</f>
        <v>#DIV/0!</v>
      </c>
      <c r="BEJ38" s="363" t="s">
        <v>153</v>
      </c>
      <c r="BEK38" s="363"/>
      <c r="BEL38" s="363"/>
      <c r="BEM38" s="364" t="s">
        <v>140</v>
      </c>
      <c r="BEN38" s="365">
        <v>0.5</v>
      </c>
      <c r="BEO38" s="366" t="e">
        <f>10/BEK36</f>
        <v>#DIV/0!</v>
      </c>
      <c r="BEP38" s="367">
        <v>15.38</v>
      </c>
      <c r="BEQ38" s="367" t="e">
        <f>BEN38*BEO38*BEP38</f>
        <v>#DIV/0!</v>
      </c>
      <c r="BER38" s="363" t="s">
        <v>153</v>
      </c>
      <c r="BES38" s="363"/>
      <c r="BET38" s="363"/>
      <c r="BEU38" s="364" t="s">
        <v>140</v>
      </c>
      <c r="BEV38" s="365">
        <v>0.5</v>
      </c>
      <c r="BEW38" s="366" t="e">
        <f>10/BES36</f>
        <v>#DIV/0!</v>
      </c>
      <c r="BEX38" s="367">
        <v>15.38</v>
      </c>
      <c r="BEY38" s="367" t="e">
        <f>BEV38*BEW38*BEX38</f>
        <v>#DIV/0!</v>
      </c>
      <c r="BEZ38" s="363" t="s">
        <v>153</v>
      </c>
      <c r="BFA38" s="363"/>
      <c r="BFB38" s="363"/>
      <c r="BFC38" s="364" t="s">
        <v>140</v>
      </c>
      <c r="BFD38" s="365">
        <v>0.5</v>
      </c>
      <c r="BFE38" s="366" t="e">
        <f>10/BFA36</f>
        <v>#DIV/0!</v>
      </c>
      <c r="BFF38" s="367">
        <v>15.38</v>
      </c>
      <c r="BFG38" s="367" t="e">
        <f>BFD38*BFE38*BFF38</f>
        <v>#DIV/0!</v>
      </c>
      <c r="BFH38" s="363" t="s">
        <v>153</v>
      </c>
      <c r="BFI38" s="363"/>
      <c r="BFJ38" s="363"/>
      <c r="BFK38" s="364" t="s">
        <v>140</v>
      </c>
      <c r="BFL38" s="365">
        <v>0.5</v>
      </c>
      <c r="BFM38" s="366" t="e">
        <f>10/BFI36</f>
        <v>#DIV/0!</v>
      </c>
      <c r="BFN38" s="367">
        <v>15.38</v>
      </c>
      <c r="BFO38" s="367" t="e">
        <f>BFL38*BFM38*BFN38</f>
        <v>#DIV/0!</v>
      </c>
      <c r="BFP38" s="363" t="s">
        <v>153</v>
      </c>
      <c r="BFQ38" s="363"/>
      <c r="BFR38" s="363"/>
      <c r="BFS38" s="364" t="s">
        <v>140</v>
      </c>
      <c r="BFT38" s="365">
        <v>0.5</v>
      </c>
      <c r="BFU38" s="366" t="e">
        <f>10/BFQ36</f>
        <v>#DIV/0!</v>
      </c>
      <c r="BFV38" s="367">
        <v>15.38</v>
      </c>
      <c r="BFW38" s="367" t="e">
        <f>BFT38*BFU38*BFV38</f>
        <v>#DIV/0!</v>
      </c>
      <c r="BFX38" s="363" t="s">
        <v>153</v>
      </c>
      <c r="BFY38" s="363"/>
      <c r="BFZ38" s="363"/>
      <c r="BGA38" s="364" t="s">
        <v>140</v>
      </c>
      <c r="BGB38" s="365">
        <v>0.5</v>
      </c>
      <c r="BGC38" s="366" t="e">
        <f>10/BFY36</f>
        <v>#DIV/0!</v>
      </c>
      <c r="BGD38" s="367">
        <v>15.38</v>
      </c>
      <c r="BGE38" s="367" t="e">
        <f>BGB38*BGC38*BGD38</f>
        <v>#DIV/0!</v>
      </c>
      <c r="BGF38" s="363" t="s">
        <v>153</v>
      </c>
      <c r="BGG38" s="363"/>
      <c r="BGH38" s="363"/>
      <c r="BGI38" s="364" t="s">
        <v>140</v>
      </c>
      <c r="BGJ38" s="365">
        <v>0.5</v>
      </c>
      <c r="BGK38" s="366" t="e">
        <f>10/BGG36</f>
        <v>#DIV/0!</v>
      </c>
      <c r="BGL38" s="367">
        <v>15.38</v>
      </c>
      <c r="BGM38" s="367" t="e">
        <f>BGJ38*BGK38*BGL38</f>
        <v>#DIV/0!</v>
      </c>
      <c r="BGN38" s="363" t="s">
        <v>153</v>
      </c>
      <c r="BGO38" s="363"/>
      <c r="BGP38" s="363"/>
      <c r="BGQ38" s="364" t="s">
        <v>140</v>
      </c>
      <c r="BGR38" s="365">
        <v>0.5</v>
      </c>
      <c r="BGS38" s="366" t="e">
        <f>10/BGO36</f>
        <v>#DIV/0!</v>
      </c>
      <c r="BGT38" s="367">
        <v>15.38</v>
      </c>
      <c r="BGU38" s="367" t="e">
        <f>BGR38*BGS38*BGT38</f>
        <v>#DIV/0!</v>
      </c>
      <c r="BGV38" s="363" t="s">
        <v>153</v>
      </c>
      <c r="BGW38" s="363"/>
      <c r="BGX38" s="363"/>
      <c r="BGY38" s="364" t="s">
        <v>140</v>
      </c>
      <c r="BGZ38" s="365">
        <v>0.5</v>
      </c>
      <c r="BHA38" s="366" t="e">
        <f>10/BGW36</f>
        <v>#DIV/0!</v>
      </c>
      <c r="BHB38" s="367">
        <v>15.38</v>
      </c>
      <c r="BHC38" s="367" t="e">
        <f>BGZ38*BHA38*BHB38</f>
        <v>#DIV/0!</v>
      </c>
      <c r="BHD38" s="363" t="s">
        <v>153</v>
      </c>
      <c r="BHE38" s="363"/>
      <c r="BHF38" s="363"/>
      <c r="BHG38" s="364" t="s">
        <v>140</v>
      </c>
      <c r="BHH38" s="365">
        <v>0.5</v>
      </c>
      <c r="BHI38" s="366" t="e">
        <f>10/BHE36</f>
        <v>#DIV/0!</v>
      </c>
      <c r="BHJ38" s="367">
        <v>15.38</v>
      </c>
      <c r="BHK38" s="367" t="e">
        <f>BHH38*BHI38*BHJ38</f>
        <v>#DIV/0!</v>
      </c>
      <c r="BHL38" s="363" t="s">
        <v>153</v>
      </c>
      <c r="BHM38" s="363"/>
      <c r="BHN38" s="363"/>
      <c r="BHO38" s="364" t="s">
        <v>140</v>
      </c>
      <c r="BHP38" s="365">
        <v>0.5</v>
      </c>
      <c r="BHQ38" s="366" t="e">
        <f>10/BHM36</f>
        <v>#DIV/0!</v>
      </c>
      <c r="BHR38" s="367">
        <v>15.38</v>
      </c>
      <c r="BHS38" s="367" t="e">
        <f>BHP38*BHQ38*BHR38</f>
        <v>#DIV/0!</v>
      </c>
      <c r="BHT38" s="363" t="s">
        <v>153</v>
      </c>
      <c r="BHU38" s="363"/>
      <c r="BHV38" s="363"/>
      <c r="BHW38" s="364" t="s">
        <v>140</v>
      </c>
      <c r="BHX38" s="365">
        <v>0.5</v>
      </c>
      <c r="BHY38" s="366" t="e">
        <f>10/BHU36</f>
        <v>#DIV/0!</v>
      </c>
      <c r="BHZ38" s="367">
        <v>15.38</v>
      </c>
      <c r="BIA38" s="367" t="e">
        <f>BHX38*BHY38*BHZ38</f>
        <v>#DIV/0!</v>
      </c>
      <c r="BIB38" s="363" t="s">
        <v>153</v>
      </c>
      <c r="BIC38" s="363"/>
      <c r="BID38" s="363"/>
      <c r="BIE38" s="364" t="s">
        <v>140</v>
      </c>
      <c r="BIF38" s="365">
        <v>0.5</v>
      </c>
      <c r="BIG38" s="366" t="e">
        <f>10/BIC36</f>
        <v>#DIV/0!</v>
      </c>
      <c r="BIH38" s="367">
        <v>15.38</v>
      </c>
      <c r="BII38" s="367" t="e">
        <f>BIF38*BIG38*BIH38</f>
        <v>#DIV/0!</v>
      </c>
      <c r="BIJ38" s="363" t="s">
        <v>153</v>
      </c>
      <c r="BIK38" s="363"/>
      <c r="BIL38" s="363"/>
      <c r="BIM38" s="364" t="s">
        <v>140</v>
      </c>
      <c r="BIN38" s="365">
        <v>0.5</v>
      </c>
      <c r="BIO38" s="366" t="e">
        <f>10/BIK36</f>
        <v>#DIV/0!</v>
      </c>
      <c r="BIP38" s="367">
        <v>15.38</v>
      </c>
      <c r="BIQ38" s="367" t="e">
        <f>BIN38*BIO38*BIP38</f>
        <v>#DIV/0!</v>
      </c>
      <c r="BIR38" s="363" t="s">
        <v>153</v>
      </c>
      <c r="BIS38" s="363"/>
      <c r="BIT38" s="363"/>
      <c r="BIU38" s="364" t="s">
        <v>140</v>
      </c>
      <c r="BIV38" s="365">
        <v>0.5</v>
      </c>
      <c r="BIW38" s="366" t="e">
        <f>10/BIS36</f>
        <v>#DIV/0!</v>
      </c>
      <c r="BIX38" s="367">
        <v>15.38</v>
      </c>
      <c r="BIY38" s="367" t="e">
        <f>BIV38*BIW38*BIX38</f>
        <v>#DIV/0!</v>
      </c>
      <c r="BIZ38" s="363" t="s">
        <v>153</v>
      </c>
      <c r="BJA38" s="363"/>
      <c r="BJB38" s="363"/>
      <c r="BJC38" s="364" t="s">
        <v>140</v>
      </c>
      <c r="BJD38" s="365">
        <v>0.5</v>
      </c>
      <c r="BJE38" s="366" t="e">
        <f>10/BJA36</f>
        <v>#DIV/0!</v>
      </c>
      <c r="BJF38" s="367">
        <v>15.38</v>
      </c>
      <c r="BJG38" s="367" t="e">
        <f>BJD38*BJE38*BJF38</f>
        <v>#DIV/0!</v>
      </c>
      <c r="BJH38" s="363" t="s">
        <v>153</v>
      </c>
      <c r="BJI38" s="363"/>
      <c r="BJJ38" s="363"/>
      <c r="BJK38" s="364" t="s">
        <v>140</v>
      </c>
      <c r="BJL38" s="365">
        <v>0.5</v>
      </c>
      <c r="BJM38" s="366" t="e">
        <f>10/BJI36</f>
        <v>#DIV/0!</v>
      </c>
      <c r="BJN38" s="367">
        <v>15.38</v>
      </c>
      <c r="BJO38" s="367" t="e">
        <f>BJL38*BJM38*BJN38</f>
        <v>#DIV/0!</v>
      </c>
      <c r="BJP38" s="363" t="s">
        <v>153</v>
      </c>
      <c r="BJQ38" s="363"/>
      <c r="BJR38" s="363"/>
      <c r="BJS38" s="364" t="s">
        <v>140</v>
      </c>
      <c r="BJT38" s="365">
        <v>0.5</v>
      </c>
      <c r="BJU38" s="366" t="e">
        <f>10/BJQ36</f>
        <v>#DIV/0!</v>
      </c>
      <c r="BJV38" s="367">
        <v>15.38</v>
      </c>
      <c r="BJW38" s="367" t="e">
        <f>BJT38*BJU38*BJV38</f>
        <v>#DIV/0!</v>
      </c>
      <c r="BJX38" s="363" t="s">
        <v>153</v>
      </c>
      <c r="BJY38" s="363"/>
      <c r="BJZ38" s="363"/>
      <c r="BKA38" s="364" t="s">
        <v>140</v>
      </c>
      <c r="BKB38" s="365">
        <v>0.5</v>
      </c>
      <c r="BKC38" s="366" t="e">
        <f>10/BJY36</f>
        <v>#DIV/0!</v>
      </c>
      <c r="BKD38" s="367">
        <v>15.38</v>
      </c>
      <c r="BKE38" s="367" t="e">
        <f>BKB38*BKC38*BKD38</f>
        <v>#DIV/0!</v>
      </c>
      <c r="BKF38" s="363" t="s">
        <v>153</v>
      </c>
      <c r="BKG38" s="363"/>
      <c r="BKH38" s="363"/>
      <c r="BKI38" s="364" t="s">
        <v>140</v>
      </c>
      <c r="BKJ38" s="365">
        <v>0.5</v>
      </c>
      <c r="BKK38" s="366" t="e">
        <f>10/BKG36</f>
        <v>#DIV/0!</v>
      </c>
      <c r="BKL38" s="367">
        <v>15.38</v>
      </c>
      <c r="BKM38" s="367" t="e">
        <f>BKJ38*BKK38*BKL38</f>
        <v>#DIV/0!</v>
      </c>
      <c r="BKN38" s="363" t="s">
        <v>153</v>
      </c>
      <c r="BKO38" s="363"/>
      <c r="BKP38" s="363"/>
      <c r="BKQ38" s="364" t="s">
        <v>140</v>
      </c>
      <c r="BKR38" s="365">
        <v>0.5</v>
      </c>
      <c r="BKS38" s="366" t="e">
        <f>10/BKO36</f>
        <v>#DIV/0!</v>
      </c>
      <c r="BKT38" s="367">
        <v>15.38</v>
      </c>
      <c r="BKU38" s="367" t="e">
        <f>BKR38*BKS38*BKT38</f>
        <v>#DIV/0!</v>
      </c>
      <c r="BKV38" s="363" t="s">
        <v>153</v>
      </c>
      <c r="BKW38" s="363"/>
      <c r="BKX38" s="363"/>
      <c r="BKY38" s="364" t="s">
        <v>140</v>
      </c>
      <c r="BKZ38" s="365">
        <v>0.5</v>
      </c>
      <c r="BLA38" s="366" t="e">
        <f>10/BKW36</f>
        <v>#DIV/0!</v>
      </c>
      <c r="BLB38" s="367">
        <v>15.38</v>
      </c>
      <c r="BLC38" s="367" t="e">
        <f>BKZ38*BLA38*BLB38</f>
        <v>#DIV/0!</v>
      </c>
      <c r="BLD38" s="363" t="s">
        <v>153</v>
      </c>
      <c r="BLE38" s="363"/>
      <c r="BLF38" s="363"/>
      <c r="BLG38" s="364" t="s">
        <v>140</v>
      </c>
      <c r="BLH38" s="365">
        <v>0.5</v>
      </c>
      <c r="BLI38" s="366" t="e">
        <f>10/BLE36</f>
        <v>#DIV/0!</v>
      </c>
      <c r="BLJ38" s="367">
        <v>15.38</v>
      </c>
      <c r="BLK38" s="367" t="e">
        <f>BLH38*BLI38*BLJ38</f>
        <v>#DIV/0!</v>
      </c>
      <c r="BLL38" s="363" t="s">
        <v>153</v>
      </c>
      <c r="BLM38" s="363"/>
      <c r="BLN38" s="363"/>
      <c r="BLO38" s="364" t="s">
        <v>140</v>
      </c>
      <c r="BLP38" s="365">
        <v>0.5</v>
      </c>
      <c r="BLQ38" s="366" t="e">
        <f>10/BLM36</f>
        <v>#DIV/0!</v>
      </c>
      <c r="BLR38" s="367">
        <v>15.38</v>
      </c>
      <c r="BLS38" s="367" t="e">
        <f>BLP38*BLQ38*BLR38</f>
        <v>#DIV/0!</v>
      </c>
      <c r="BLT38" s="363" t="s">
        <v>153</v>
      </c>
      <c r="BLU38" s="363"/>
      <c r="BLV38" s="363"/>
      <c r="BLW38" s="364" t="s">
        <v>140</v>
      </c>
      <c r="BLX38" s="365">
        <v>0.5</v>
      </c>
      <c r="BLY38" s="366" t="e">
        <f>10/BLU36</f>
        <v>#DIV/0!</v>
      </c>
      <c r="BLZ38" s="367">
        <v>15.38</v>
      </c>
      <c r="BMA38" s="367" t="e">
        <f>BLX38*BLY38*BLZ38</f>
        <v>#DIV/0!</v>
      </c>
      <c r="BMB38" s="363" t="s">
        <v>153</v>
      </c>
      <c r="BMC38" s="363"/>
      <c r="BMD38" s="363"/>
      <c r="BME38" s="364" t="s">
        <v>140</v>
      </c>
      <c r="BMF38" s="365">
        <v>0.5</v>
      </c>
      <c r="BMG38" s="366" t="e">
        <f>10/BMC36</f>
        <v>#DIV/0!</v>
      </c>
      <c r="BMH38" s="367">
        <v>15.38</v>
      </c>
      <c r="BMI38" s="367" t="e">
        <f>BMF38*BMG38*BMH38</f>
        <v>#DIV/0!</v>
      </c>
      <c r="BMJ38" s="363" t="s">
        <v>153</v>
      </c>
      <c r="BMK38" s="363"/>
      <c r="BML38" s="363"/>
      <c r="BMM38" s="364" t="s">
        <v>140</v>
      </c>
      <c r="BMN38" s="365">
        <v>0.5</v>
      </c>
      <c r="BMO38" s="366" t="e">
        <f>10/BMK36</f>
        <v>#DIV/0!</v>
      </c>
      <c r="BMP38" s="367">
        <v>15.38</v>
      </c>
      <c r="BMQ38" s="367" t="e">
        <f>BMN38*BMO38*BMP38</f>
        <v>#DIV/0!</v>
      </c>
      <c r="BMR38" s="363" t="s">
        <v>153</v>
      </c>
      <c r="BMS38" s="363"/>
      <c r="BMT38" s="363"/>
      <c r="BMU38" s="364" t="s">
        <v>140</v>
      </c>
      <c r="BMV38" s="365">
        <v>0.5</v>
      </c>
      <c r="BMW38" s="366" t="e">
        <f>10/BMS36</f>
        <v>#DIV/0!</v>
      </c>
      <c r="BMX38" s="367">
        <v>15.38</v>
      </c>
      <c r="BMY38" s="367" t="e">
        <f>BMV38*BMW38*BMX38</f>
        <v>#DIV/0!</v>
      </c>
      <c r="BMZ38" s="363" t="s">
        <v>153</v>
      </c>
      <c r="BNA38" s="363"/>
      <c r="BNB38" s="363"/>
      <c r="BNC38" s="364" t="s">
        <v>140</v>
      </c>
      <c r="BND38" s="365">
        <v>0.5</v>
      </c>
      <c r="BNE38" s="366" t="e">
        <f>10/BNA36</f>
        <v>#DIV/0!</v>
      </c>
      <c r="BNF38" s="367">
        <v>15.38</v>
      </c>
      <c r="BNG38" s="367" t="e">
        <f>BND38*BNE38*BNF38</f>
        <v>#DIV/0!</v>
      </c>
      <c r="BNH38" s="363" t="s">
        <v>153</v>
      </c>
      <c r="BNI38" s="363"/>
      <c r="BNJ38" s="363"/>
      <c r="BNK38" s="364" t="s">
        <v>140</v>
      </c>
      <c r="BNL38" s="365">
        <v>0.5</v>
      </c>
      <c r="BNM38" s="366" t="e">
        <f>10/BNI36</f>
        <v>#DIV/0!</v>
      </c>
      <c r="BNN38" s="367">
        <v>15.38</v>
      </c>
      <c r="BNO38" s="367" t="e">
        <f>BNL38*BNM38*BNN38</f>
        <v>#DIV/0!</v>
      </c>
      <c r="BNP38" s="363" t="s">
        <v>153</v>
      </c>
      <c r="BNQ38" s="363"/>
      <c r="BNR38" s="363"/>
      <c r="BNS38" s="364" t="s">
        <v>140</v>
      </c>
      <c r="BNT38" s="365">
        <v>0.5</v>
      </c>
      <c r="BNU38" s="366" t="e">
        <f>10/BNQ36</f>
        <v>#DIV/0!</v>
      </c>
      <c r="BNV38" s="367">
        <v>15.38</v>
      </c>
      <c r="BNW38" s="367" t="e">
        <f>BNT38*BNU38*BNV38</f>
        <v>#DIV/0!</v>
      </c>
      <c r="BNX38" s="363" t="s">
        <v>153</v>
      </c>
      <c r="BNY38" s="363"/>
      <c r="BNZ38" s="363"/>
      <c r="BOA38" s="364" t="s">
        <v>140</v>
      </c>
      <c r="BOB38" s="365">
        <v>0.5</v>
      </c>
      <c r="BOC38" s="366" t="e">
        <f>10/BNY36</f>
        <v>#DIV/0!</v>
      </c>
      <c r="BOD38" s="367">
        <v>15.38</v>
      </c>
      <c r="BOE38" s="367" t="e">
        <f>BOB38*BOC38*BOD38</f>
        <v>#DIV/0!</v>
      </c>
      <c r="BOF38" s="363" t="s">
        <v>153</v>
      </c>
      <c r="BOG38" s="363"/>
      <c r="BOH38" s="363"/>
      <c r="BOI38" s="364" t="s">
        <v>140</v>
      </c>
      <c r="BOJ38" s="365">
        <v>0.5</v>
      </c>
      <c r="BOK38" s="366" t="e">
        <f>10/BOG36</f>
        <v>#DIV/0!</v>
      </c>
      <c r="BOL38" s="367">
        <v>15.38</v>
      </c>
      <c r="BOM38" s="367" t="e">
        <f>BOJ38*BOK38*BOL38</f>
        <v>#DIV/0!</v>
      </c>
      <c r="BON38" s="363" t="s">
        <v>153</v>
      </c>
      <c r="BOO38" s="363"/>
      <c r="BOP38" s="363"/>
      <c r="BOQ38" s="364" t="s">
        <v>140</v>
      </c>
      <c r="BOR38" s="365">
        <v>0.5</v>
      </c>
      <c r="BOS38" s="366" t="e">
        <f>10/BOO36</f>
        <v>#DIV/0!</v>
      </c>
      <c r="BOT38" s="367">
        <v>15.38</v>
      </c>
      <c r="BOU38" s="367" t="e">
        <f>BOR38*BOS38*BOT38</f>
        <v>#DIV/0!</v>
      </c>
      <c r="BOV38" s="363" t="s">
        <v>153</v>
      </c>
      <c r="BOW38" s="363"/>
      <c r="BOX38" s="363"/>
      <c r="BOY38" s="364" t="s">
        <v>140</v>
      </c>
      <c r="BOZ38" s="365">
        <v>0.5</v>
      </c>
      <c r="BPA38" s="366" t="e">
        <f>10/BOW36</f>
        <v>#DIV/0!</v>
      </c>
      <c r="BPB38" s="367">
        <v>15.38</v>
      </c>
      <c r="BPC38" s="367" t="e">
        <f>BOZ38*BPA38*BPB38</f>
        <v>#DIV/0!</v>
      </c>
      <c r="BPD38" s="363" t="s">
        <v>153</v>
      </c>
      <c r="BPE38" s="363"/>
      <c r="BPF38" s="363"/>
      <c r="BPG38" s="364" t="s">
        <v>140</v>
      </c>
      <c r="BPH38" s="365">
        <v>0.5</v>
      </c>
      <c r="BPI38" s="366" t="e">
        <f>10/BPE36</f>
        <v>#DIV/0!</v>
      </c>
      <c r="BPJ38" s="367">
        <v>15.38</v>
      </c>
      <c r="BPK38" s="367" t="e">
        <f>BPH38*BPI38*BPJ38</f>
        <v>#DIV/0!</v>
      </c>
      <c r="BPL38" s="363" t="s">
        <v>153</v>
      </c>
      <c r="BPM38" s="363"/>
      <c r="BPN38" s="363"/>
      <c r="BPO38" s="364" t="s">
        <v>140</v>
      </c>
      <c r="BPP38" s="365">
        <v>0.5</v>
      </c>
      <c r="BPQ38" s="366" t="e">
        <f>10/BPM36</f>
        <v>#DIV/0!</v>
      </c>
      <c r="BPR38" s="367">
        <v>15.38</v>
      </c>
      <c r="BPS38" s="367" t="e">
        <f>BPP38*BPQ38*BPR38</f>
        <v>#DIV/0!</v>
      </c>
      <c r="BPT38" s="363" t="s">
        <v>153</v>
      </c>
      <c r="BPU38" s="363"/>
      <c r="BPV38" s="363"/>
      <c r="BPW38" s="364" t="s">
        <v>140</v>
      </c>
      <c r="BPX38" s="365">
        <v>0.5</v>
      </c>
      <c r="BPY38" s="366" t="e">
        <f>10/BPU36</f>
        <v>#DIV/0!</v>
      </c>
      <c r="BPZ38" s="367">
        <v>15.38</v>
      </c>
      <c r="BQA38" s="367" t="e">
        <f>BPX38*BPY38*BPZ38</f>
        <v>#DIV/0!</v>
      </c>
      <c r="BQB38" s="363" t="s">
        <v>153</v>
      </c>
      <c r="BQC38" s="363"/>
      <c r="BQD38" s="363"/>
      <c r="BQE38" s="364" t="s">
        <v>140</v>
      </c>
      <c r="BQF38" s="365">
        <v>0.5</v>
      </c>
      <c r="BQG38" s="366" t="e">
        <f>10/BQC36</f>
        <v>#DIV/0!</v>
      </c>
      <c r="BQH38" s="367">
        <v>15.38</v>
      </c>
      <c r="BQI38" s="367" t="e">
        <f>BQF38*BQG38*BQH38</f>
        <v>#DIV/0!</v>
      </c>
      <c r="BQJ38" s="363" t="s">
        <v>153</v>
      </c>
      <c r="BQK38" s="363"/>
      <c r="BQL38" s="363"/>
      <c r="BQM38" s="364" t="s">
        <v>140</v>
      </c>
      <c r="BQN38" s="365">
        <v>0.5</v>
      </c>
      <c r="BQO38" s="366" t="e">
        <f>10/BQK36</f>
        <v>#DIV/0!</v>
      </c>
      <c r="BQP38" s="367">
        <v>15.38</v>
      </c>
      <c r="BQQ38" s="367" t="e">
        <f>BQN38*BQO38*BQP38</f>
        <v>#DIV/0!</v>
      </c>
      <c r="BQR38" s="363" t="s">
        <v>153</v>
      </c>
      <c r="BQS38" s="363"/>
      <c r="BQT38" s="363"/>
      <c r="BQU38" s="364" t="s">
        <v>140</v>
      </c>
      <c r="BQV38" s="365">
        <v>0.5</v>
      </c>
      <c r="BQW38" s="366" t="e">
        <f>10/BQS36</f>
        <v>#DIV/0!</v>
      </c>
      <c r="BQX38" s="367">
        <v>15.38</v>
      </c>
      <c r="BQY38" s="367" t="e">
        <f>BQV38*BQW38*BQX38</f>
        <v>#DIV/0!</v>
      </c>
      <c r="BQZ38" s="363" t="s">
        <v>153</v>
      </c>
      <c r="BRA38" s="363"/>
      <c r="BRB38" s="363"/>
      <c r="BRC38" s="364" t="s">
        <v>140</v>
      </c>
      <c r="BRD38" s="365">
        <v>0.5</v>
      </c>
      <c r="BRE38" s="366" t="e">
        <f>10/BRA36</f>
        <v>#DIV/0!</v>
      </c>
      <c r="BRF38" s="367">
        <v>15.38</v>
      </c>
      <c r="BRG38" s="367" t="e">
        <f>BRD38*BRE38*BRF38</f>
        <v>#DIV/0!</v>
      </c>
      <c r="BRH38" s="363" t="s">
        <v>153</v>
      </c>
      <c r="BRI38" s="363"/>
      <c r="BRJ38" s="363"/>
      <c r="BRK38" s="364" t="s">
        <v>140</v>
      </c>
      <c r="BRL38" s="365">
        <v>0.5</v>
      </c>
      <c r="BRM38" s="366" t="e">
        <f>10/BRI36</f>
        <v>#DIV/0!</v>
      </c>
      <c r="BRN38" s="367">
        <v>15.38</v>
      </c>
      <c r="BRO38" s="367" t="e">
        <f>BRL38*BRM38*BRN38</f>
        <v>#DIV/0!</v>
      </c>
      <c r="BRP38" s="363" t="s">
        <v>153</v>
      </c>
      <c r="BRQ38" s="363"/>
      <c r="BRR38" s="363"/>
      <c r="BRS38" s="364" t="s">
        <v>140</v>
      </c>
      <c r="BRT38" s="365">
        <v>0.5</v>
      </c>
      <c r="BRU38" s="366" t="e">
        <f>10/BRQ36</f>
        <v>#DIV/0!</v>
      </c>
      <c r="BRV38" s="367">
        <v>15.38</v>
      </c>
      <c r="BRW38" s="367" t="e">
        <f>BRT38*BRU38*BRV38</f>
        <v>#DIV/0!</v>
      </c>
      <c r="BRX38" s="363" t="s">
        <v>153</v>
      </c>
      <c r="BRY38" s="363"/>
      <c r="BRZ38" s="363"/>
      <c r="BSA38" s="364" t="s">
        <v>140</v>
      </c>
      <c r="BSB38" s="365">
        <v>0.5</v>
      </c>
      <c r="BSC38" s="366" t="e">
        <f>10/BRY36</f>
        <v>#DIV/0!</v>
      </c>
      <c r="BSD38" s="367">
        <v>15.38</v>
      </c>
      <c r="BSE38" s="367" t="e">
        <f>BSB38*BSC38*BSD38</f>
        <v>#DIV/0!</v>
      </c>
      <c r="BSF38" s="363" t="s">
        <v>153</v>
      </c>
      <c r="BSG38" s="363"/>
      <c r="BSH38" s="363"/>
      <c r="BSI38" s="364" t="s">
        <v>140</v>
      </c>
      <c r="BSJ38" s="365">
        <v>0.5</v>
      </c>
      <c r="BSK38" s="366" t="e">
        <f>10/BSG36</f>
        <v>#DIV/0!</v>
      </c>
      <c r="BSL38" s="367">
        <v>15.38</v>
      </c>
      <c r="BSM38" s="367" t="e">
        <f>BSJ38*BSK38*BSL38</f>
        <v>#DIV/0!</v>
      </c>
      <c r="BSN38" s="363" t="s">
        <v>153</v>
      </c>
      <c r="BSO38" s="363"/>
      <c r="BSP38" s="363"/>
      <c r="BSQ38" s="364" t="s">
        <v>140</v>
      </c>
      <c r="BSR38" s="365">
        <v>0.5</v>
      </c>
      <c r="BSS38" s="366" t="e">
        <f>10/BSO36</f>
        <v>#DIV/0!</v>
      </c>
      <c r="BST38" s="367">
        <v>15.38</v>
      </c>
      <c r="BSU38" s="367" t="e">
        <f>BSR38*BSS38*BST38</f>
        <v>#DIV/0!</v>
      </c>
      <c r="BSV38" s="363" t="s">
        <v>153</v>
      </c>
      <c r="BSW38" s="363"/>
      <c r="BSX38" s="363"/>
      <c r="BSY38" s="364" t="s">
        <v>140</v>
      </c>
      <c r="BSZ38" s="365">
        <v>0.5</v>
      </c>
      <c r="BTA38" s="366" t="e">
        <f>10/BSW36</f>
        <v>#DIV/0!</v>
      </c>
      <c r="BTB38" s="367">
        <v>15.38</v>
      </c>
      <c r="BTC38" s="367" t="e">
        <f>BSZ38*BTA38*BTB38</f>
        <v>#DIV/0!</v>
      </c>
      <c r="BTD38" s="363" t="s">
        <v>153</v>
      </c>
      <c r="BTE38" s="363"/>
      <c r="BTF38" s="363"/>
      <c r="BTG38" s="364" t="s">
        <v>140</v>
      </c>
      <c r="BTH38" s="365">
        <v>0.5</v>
      </c>
      <c r="BTI38" s="366" t="e">
        <f>10/BTE36</f>
        <v>#DIV/0!</v>
      </c>
      <c r="BTJ38" s="367">
        <v>15.38</v>
      </c>
      <c r="BTK38" s="367" t="e">
        <f>BTH38*BTI38*BTJ38</f>
        <v>#DIV/0!</v>
      </c>
      <c r="BTL38" s="363" t="s">
        <v>153</v>
      </c>
      <c r="BTM38" s="363"/>
      <c r="BTN38" s="363"/>
      <c r="BTO38" s="364" t="s">
        <v>140</v>
      </c>
      <c r="BTP38" s="365">
        <v>0.5</v>
      </c>
      <c r="BTQ38" s="366" t="e">
        <f>10/BTM36</f>
        <v>#DIV/0!</v>
      </c>
      <c r="BTR38" s="367">
        <v>15.38</v>
      </c>
      <c r="BTS38" s="367" t="e">
        <f>BTP38*BTQ38*BTR38</f>
        <v>#DIV/0!</v>
      </c>
      <c r="BTT38" s="363" t="s">
        <v>153</v>
      </c>
      <c r="BTU38" s="363"/>
      <c r="BTV38" s="363"/>
      <c r="BTW38" s="364" t="s">
        <v>140</v>
      </c>
      <c r="BTX38" s="365">
        <v>0.5</v>
      </c>
      <c r="BTY38" s="366" t="e">
        <f>10/BTU36</f>
        <v>#DIV/0!</v>
      </c>
      <c r="BTZ38" s="367">
        <v>15.38</v>
      </c>
      <c r="BUA38" s="367" t="e">
        <f>BTX38*BTY38*BTZ38</f>
        <v>#DIV/0!</v>
      </c>
      <c r="BUB38" s="363" t="s">
        <v>153</v>
      </c>
      <c r="BUC38" s="363"/>
      <c r="BUD38" s="363"/>
      <c r="BUE38" s="364" t="s">
        <v>140</v>
      </c>
      <c r="BUF38" s="365">
        <v>0.5</v>
      </c>
      <c r="BUG38" s="366" t="e">
        <f>10/BUC36</f>
        <v>#DIV/0!</v>
      </c>
      <c r="BUH38" s="367">
        <v>15.38</v>
      </c>
      <c r="BUI38" s="367" t="e">
        <f>BUF38*BUG38*BUH38</f>
        <v>#DIV/0!</v>
      </c>
      <c r="BUJ38" s="363" t="s">
        <v>153</v>
      </c>
      <c r="BUK38" s="363"/>
      <c r="BUL38" s="363"/>
      <c r="BUM38" s="364" t="s">
        <v>140</v>
      </c>
      <c r="BUN38" s="365">
        <v>0.5</v>
      </c>
      <c r="BUO38" s="366" t="e">
        <f>10/BUK36</f>
        <v>#DIV/0!</v>
      </c>
      <c r="BUP38" s="367">
        <v>15.38</v>
      </c>
      <c r="BUQ38" s="367" t="e">
        <f>BUN38*BUO38*BUP38</f>
        <v>#DIV/0!</v>
      </c>
      <c r="BUR38" s="363" t="s">
        <v>153</v>
      </c>
      <c r="BUS38" s="363"/>
      <c r="BUT38" s="363"/>
      <c r="BUU38" s="364" t="s">
        <v>140</v>
      </c>
      <c r="BUV38" s="365">
        <v>0.5</v>
      </c>
      <c r="BUW38" s="366" t="e">
        <f>10/BUS36</f>
        <v>#DIV/0!</v>
      </c>
      <c r="BUX38" s="367">
        <v>15.38</v>
      </c>
      <c r="BUY38" s="367" t="e">
        <f>BUV38*BUW38*BUX38</f>
        <v>#DIV/0!</v>
      </c>
      <c r="BUZ38" s="363" t="s">
        <v>153</v>
      </c>
      <c r="BVA38" s="363"/>
      <c r="BVB38" s="363"/>
      <c r="BVC38" s="364" t="s">
        <v>140</v>
      </c>
      <c r="BVD38" s="365">
        <v>0.5</v>
      </c>
      <c r="BVE38" s="366" t="e">
        <f>10/BVA36</f>
        <v>#DIV/0!</v>
      </c>
      <c r="BVF38" s="367">
        <v>15.38</v>
      </c>
      <c r="BVG38" s="367" t="e">
        <f>BVD38*BVE38*BVF38</f>
        <v>#DIV/0!</v>
      </c>
      <c r="BVH38" s="363" t="s">
        <v>153</v>
      </c>
      <c r="BVI38" s="363"/>
      <c r="BVJ38" s="363"/>
      <c r="BVK38" s="364" t="s">
        <v>140</v>
      </c>
      <c r="BVL38" s="365">
        <v>0.5</v>
      </c>
      <c r="BVM38" s="366" t="e">
        <f>10/BVI36</f>
        <v>#DIV/0!</v>
      </c>
      <c r="BVN38" s="367">
        <v>15.38</v>
      </c>
      <c r="BVO38" s="367" t="e">
        <f>BVL38*BVM38*BVN38</f>
        <v>#DIV/0!</v>
      </c>
      <c r="BVP38" s="363" t="s">
        <v>153</v>
      </c>
      <c r="BVQ38" s="363"/>
      <c r="BVR38" s="363"/>
      <c r="BVS38" s="364" t="s">
        <v>140</v>
      </c>
      <c r="BVT38" s="365">
        <v>0.5</v>
      </c>
      <c r="BVU38" s="366" t="e">
        <f>10/BVQ36</f>
        <v>#DIV/0!</v>
      </c>
      <c r="BVV38" s="367">
        <v>15.38</v>
      </c>
      <c r="BVW38" s="367" t="e">
        <f>BVT38*BVU38*BVV38</f>
        <v>#DIV/0!</v>
      </c>
      <c r="BVX38" s="363" t="s">
        <v>153</v>
      </c>
      <c r="BVY38" s="363"/>
      <c r="BVZ38" s="363"/>
      <c r="BWA38" s="364" t="s">
        <v>140</v>
      </c>
      <c r="BWB38" s="365">
        <v>0.5</v>
      </c>
      <c r="BWC38" s="366" t="e">
        <f>10/BVY36</f>
        <v>#DIV/0!</v>
      </c>
      <c r="BWD38" s="367">
        <v>15.38</v>
      </c>
      <c r="BWE38" s="367" t="e">
        <f>BWB38*BWC38*BWD38</f>
        <v>#DIV/0!</v>
      </c>
      <c r="BWF38" s="363" t="s">
        <v>153</v>
      </c>
      <c r="BWG38" s="363"/>
      <c r="BWH38" s="363"/>
      <c r="BWI38" s="364" t="s">
        <v>140</v>
      </c>
      <c r="BWJ38" s="365">
        <v>0.5</v>
      </c>
      <c r="BWK38" s="366" t="e">
        <f>10/BWG36</f>
        <v>#DIV/0!</v>
      </c>
      <c r="BWL38" s="367">
        <v>15.38</v>
      </c>
      <c r="BWM38" s="367" t="e">
        <f>BWJ38*BWK38*BWL38</f>
        <v>#DIV/0!</v>
      </c>
      <c r="BWN38" s="363" t="s">
        <v>153</v>
      </c>
      <c r="BWO38" s="363"/>
      <c r="BWP38" s="363"/>
      <c r="BWQ38" s="364" t="s">
        <v>140</v>
      </c>
      <c r="BWR38" s="365">
        <v>0.5</v>
      </c>
      <c r="BWS38" s="366" t="e">
        <f>10/BWO36</f>
        <v>#DIV/0!</v>
      </c>
      <c r="BWT38" s="367">
        <v>15.38</v>
      </c>
      <c r="BWU38" s="367" t="e">
        <f>BWR38*BWS38*BWT38</f>
        <v>#DIV/0!</v>
      </c>
      <c r="BWV38" s="363" t="s">
        <v>153</v>
      </c>
      <c r="BWW38" s="363"/>
      <c r="BWX38" s="363"/>
      <c r="BWY38" s="364" t="s">
        <v>140</v>
      </c>
      <c r="BWZ38" s="365">
        <v>0.5</v>
      </c>
      <c r="BXA38" s="366" t="e">
        <f>10/BWW36</f>
        <v>#DIV/0!</v>
      </c>
      <c r="BXB38" s="367">
        <v>15.38</v>
      </c>
      <c r="BXC38" s="367" t="e">
        <f>BWZ38*BXA38*BXB38</f>
        <v>#DIV/0!</v>
      </c>
      <c r="BXD38" s="363" t="s">
        <v>153</v>
      </c>
      <c r="BXE38" s="363"/>
      <c r="BXF38" s="363"/>
      <c r="BXG38" s="364" t="s">
        <v>140</v>
      </c>
      <c r="BXH38" s="365">
        <v>0.5</v>
      </c>
      <c r="BXI38" s="366" t="e">
        <f>10/BXE36</f>
        <v>#DIV/0!</v>
      </c>
      <c r="BXJ38" s="367">
        <v>15.38</v>
      </c>
      <c r="BXK38" s="367" t="e">
        <f>BXH38*BXI38*BXJ38</f>
        <v>#DIV/0!</v>
      </c>
      <c r="BXL38" s="363" t="s">
        <v>153</v>
      </c>
      <c r="BXM38" s="363"/>
      <c r="BXN38" s="363"/>
      <c r="BXO38" s="364" t="s">
        <v>140</v>
      </c>
      <c r="BXP38" s="365">
        <v>0.5</v>
      </c>
      <c r="BXQ38" s="366" t="e">
        <f>10/BXM36</f>
        <v>#DIV/0!</v>
      </c>
      <c r="BXR38" s="367">
        <v>15.38</v>
      </c>
      <c r="BXS38" s="367" t="e">
        <f>BXP38*BXQ38*BXR38</f>
        <v>#DIV/0!</v>
      </c>
      <c r="BXT38" s="363" t="s">
        <v>153</v>
      </c>
      <c r="BXU38" s="363"/>
      <c r="BXV38" s="363"/>
      <c r="BXW38" s="364" t="s">
        <v>140</v>
      </c>
      <c r="BXX38" s="365">
        <v>0.5</v>
      </c>
      <c r="BXY38" s="366" t="e">
        <f>10/BXU36</f>
        <v>#DIV/0!</v>
      </c>
      <c r="BXZ38" s="367">
        <v>15.38</v>
      </c>
      <c r="BYA38" s="367" t="e">
        <f>BXX38*BXY38*BXZ38</f>
        <v>#DIV/0!</v>
      </c>
      <c r="BYB38" s="363" t="s">
        <v>153</v>
      </c>
      <c r="BYC38" s="363"/>
      <c r="BYD38" s="363"/>
      <c r="BYE38" s="364" t="s">
        <v>140</v>
      </c>
      <c r="BYF38" s="365">
        <v>0.5</v>
      </c>
      <c r="BYG38" s="366" t="e">
        <f>10/BYC36</f>
        <v>#DIV/0!</v>
      </c>
      <c r="BYH38" s="367">
        <v>15.38</v>
      </c>
      <c r="BYI38" s="367" t="e">
        <f>BYF38*BYG38*BYH38</f>
        <v>#DIV/0!</v>
      </c>
      <c r="BYJ38" s="363" t="s">
        <v>153</v>
      </c>
      <c r="BYK38" s="363"/>
      <c r="BYL38" s="363"/>
      <c r="BYM38" s="364" t="s">
        <v>140</v>
      </c>
      <c r="BYN38" s="365">
        <v>0.5</v>
      </c>
      <c r="BYO38" s="366" t="e">
        <f>10/BYK36</f>
        <v>#DIV/0!</v>
      </c>
      <c r="BYP38" s="367">
        <v>15.38</v>
      </c>
      <c r="BYQ38" s="367" t="e">
        <f>BYN38*BYO38*BYP38</f>
        <v>#DIV/0!</v>
      </c>
      <c r="BYR38" s="363" t="s">
        <v>153</v>
      </c>
      <c r="BYS38" s="363"/>
      <c r="BYT38" s="363"/>
      <c r="BYU38" s="364" t="s">
        <v>140</v>
      </c>
      <c r="BYV38" s="365">
        <v>0.5</v>
      </c>
      <c r="BYW38" s="366" t="e">
        <f>10/BYS36</f>
        <v>#DIV/0!</v>
      </c>
      <c r="BYX38" s="367">
        <v>15.38</v>
      </c>
      <c r="BYY38" s="367" t="e">
        <f>BYV38*BYW38*BYX38</f>
        <v>#DIV/0!</v>
      </c>
      <c r="BYZ38" s="363" t="s">
        <v>153</v>
      </c>
      <c r="BZA38" s="363"/>
      <c r="BZB38" s="363"/>
      <c r="BZC38" s="364" t="s">
        <v>140</v>
      </c>
      <c r="BZD38" s="365">
        <v>0.5</v>
      </c>
      <c r="BZE38" s="366" t="e">
        <f>10/BZA36</f>
        <v>#DIV/0!</v>
      </c>
      <c r="BZF38" s="367">
        <v>15.38</v>
      </c>
      <c r="BZG38" s="367" t="e">
        <f>BZD38*BZE38*BZF38</f>
        <v>#DIV/0!</v>
      </c>
      <c r="BZH38" s="363" t="s">
        <v>153</v>
      </c>
      <c r="BZI38" s="363"/>
      <c r="BZJ38" s="363"/>
      <c r="BZK38" s="364" t="s">
        <v>140</v>
      </c>
      <c r="BZL38" s="365">
        <v>0.5</v>
      </c>
      <c r="BZM38" s="366" t="e">
        <f>10/BZI36</f>
        <v>#DIV/0!</v>
      </c>
      <c r="BZN38" s="367">
        <v>15.38</v>
      </c>
      <c r="BZO38" s="367" t="e">
        <f>BZL38*BZM38*BZN38</f>
        <v>#DIV/0!</v>
      </c>
      <c r="BZP38" s="363" t="s">
        <v>153</v>
      </c>
      <c r="BZQ38" s="363"/>
      <c r="BZR38" s="363"/>
      <c r="BZS38" s="364" t="s">
        <v>140</v>
      </c>
      <c r="BZT38" s="365">
        <v>0.5</v>
      </c>
      <c r="BZU38" s="366" t="e">
        <f>10/BZQ36</f>
        <v>#DIV/0!</v>
      </c>
      <c r="BZV38" s="367">
        <v>15.38</v>
      </c>
      <c r="BZW38" s="367" t="e">
        <f>BZT38*BZU38*BZV38</f>
        <v>#DIV/0!</v>
      </c>
      <c r="BZX38" s="363" t="s">
        <v>153</v>
      </c>
      <c r="BZY38" s="363"/>
      <c r="BZZ38" s="363"/>
      <c r="CAA38" s="364" t="s">
        <v>140</v>
      </c>
      <c r="CAB38" s="365">
        <v>0.5</v>
      </c>
      <c r="CAC38" s="366" t="e">
        <f>10/BZY36</f>
        <v>#DIV/0!</v>
      </c>
      <c r="CAD38" s="367">
        <v>15.38</v>
      </c>
      <c r="CAE38" s="367" t="e">
        <f>CAB38*CAC38*CAD38</f>
        <v>#DIV/0!</v>
      </c>
      <c r="CAF38" s="363" t="s">
        <v>153</v>
      </c>
      <c r="CAG38" s="363"/>
      <c r="CAH38" s="363"/>
      <c r="CAI38" s="364" t="s">
        <v>140</v>
      </c>
      <c r="CAJ38" s="365">
        <v>0.5</v>
      </c>
      <c r="CAK38" s="366" t="e">
        <f>10/CAG36</f>
        <v>#DIV/0!</v>
      </c>
      <c r="CAL38" s="367">
        <v>15.38</v>
      </c>
      <c r="CAM38" s="367" t="e">
        <f>CAJ38*CAK38*CAL38</f>
        <v>#DIV/0!</v>
      </c>
      <c r="CAN38" s="363" t="s">
        <v>153</v>
      </c>
      <c r="CAO38" s="363"/>
      <c r="CAP38" s="363"/>
      <c r="CAQ38" s="364" t="s">
        <v>140</v>
      </c>
      <c r="CAR38" s="365">
        <v>0.5</v>
      </c>
      <c r="CAS38" s="366" t="e">
        <f>10/CAO36</f>
        <v>#DIV/0!</v>
      </c>
      <c r="CAT38" s="367">
        <v>15.38</v>
      </c>
      <c r="CAU38" s="367" t="e">
        <f>CAR38*CAS38*CAT38</f>
        <v>#DIV/0!</v>
      </c>
      <c r="CAV38" s="363" t="s">
        <v>153</v>
      </c>
      <c r="CAW38" s="363"/>
      <c r="CAX38" s="363"/>
      <c r="CAY38" s="364" t="s">
        <v>140</v>
      </c>
      <c r="CAZ38" s="365">
        <v>0.5</v>
      </c>
      <c r="CBA38" s="366" t="e">
        <f>10/CAW36</f>
        <v>#DIV/0!</v>
      </c>
      <c r="CBB38" s="367">
        <v>15.38</v>
      </c>
      <c r="CBC38" s="367" t="e">
        <f>CAZ38*CBA38*CBB38</f>
        <v>#DIV/0!</v>
      </c>
      <c r="CBD38" s="363" t="s">
        <v>153</v>
      </c>
      <c r="CBE38" s="363"/>
      <c r="CBF38" s="363"/>
      <c r="CBG38" s="364" t="s">
        <v>140</v>
      </c>
      <c r="CBH38" s="365">
        <v>0.5</v>
      </c>
      <c r="CBI38" s="366" t="e">
        <f>10/CBE36</f>
        <v>#DIV/0!</v>
      </c>
      <c r="CBJ38" s="367">
        <v>15.38</v>
      </c>
      <c r="CBK38" s="367" t="e">
        <f>CBH38*CBI38*CBJ38</f>
        <v>#DIV/0!</v>
      </c>
      <c r="CBL38" s="363" t="s">
        <v>153</v>
      </c>
      <c r="CBM38" s="363"/>
      <c r="CBN38" s="363"/>
      <c r="CBO38" s="364" t="s">
        <v>140</v>
      </c>
      <c r="CBP38" s="365">
        <v>0.5</v>
      </c>
      <c r="CBQ38" s="366" t="e">
        <f>10/CBM36</f>
        <v>#DIV/0!</v>
      </c>
      <c r="CBR38" s="367">
        <v>15.38</v>
      </c>
      <c r="CBS38" s="367" t="e">
        <f>CBP38*CBQ38*CBR38</f>
        <v>#DIV/0!</v>
      </c>
      <c r="CBT38" s="363" t="s">
        <v>153</v>
      </c>
      <c r="CBU38" s="363"/>
      <c r="CBV38" s="363"/>
      <c r="CBW38" s="364" t="s">
        <v>140</v>
      </c>
      <c r="CBX38" s="365">
        <v>0.5</v>
      </c>
      <c r="CBY38" s="366" t="e">
        <f>10/CBU36</f>
        <v>#DIV/0!</v>
      </c>
      <c r="CBZ38" s="367">
        <v>15.38</v>
      </c>
      <c r="CCA38" s="367" t="e">
        <f>CBX38*CBY38*CBZ38</f>
        <v>#DIV/0!</v>
      </c>
      <c r="CCB38" s="363" t="s">
        <v>153</v>
      </c>
      <c r="CCC38" s="363"/>
      <c r="CCD38" s="363"/>
      <c r="CCE38" s="364" t="s">
        <v>140</v>
      </c>
      <c r="CCF38" s="365">
        <v>0.5</v>
      </c>
      <c r="CCG38" s="366" t="e">
        <f>10/CCC36</f>
        <v>#DIV/0!</v>
      </c>
      <c r="CCH38" s="367">
        <v>15.38</v>
      </c>
      <c r="CCI38" s="367" t="e">
        <f>CCF38*CCG38*CCH38</f>
        <v>#DIV/0!</v>
      </c>
      <c r="CCJ38" s="363" t="s">
        <v>153</v>
      </c>
      <c r="CCK38" s="363"/>
      <c r="CCL38" s="363"/>
      <c r="CCM38" s="364" t="s">
        <v>140</v>
      </c>
      <c r="CCN38" s="365">
        <v>0.5</v>
      </c>
      <c r="CCO38" s="366" t="e">
        <f>10/CCK36</f>
        <v>#DIV/0!</v>
      </c>
      <c r="CCP38" s="367">
        <v>15.38</v>
      </c>
      <c r="CCQ38" s="367" t="e">
        <f>CCN38*CCO38*CCP38</f>
        <v>#DIV/0!</v>
      </c>
      <c r="CCR38" s="363" t="s">
        <v>153</v>
      </c>
      <c r="CCS38" s="363"/>
      <c r="CCT38" s="363"/>
      <c r="CCU38" s="364" t="s">
        <v>140</v>
      </c>
      <c r="CCV38" s="365">
        <v>0.5</v>
      </c>
      <c r="CCW38" s="366" t="e">
        <f>10/CCS36</f>
        <v>#DIV/0!</v>
      </c>
      <c r="CCX38" s="367">
        <v>15.38</v>
      </c>
      <c r="CCY38" s="367" t="e">
        <f>CCV38*CCW38*CCX38</f>
        <v>#DIV/0!</v>
      </c>
      <c r="CCZ38" s="363" t="s">
        <v>153</v>
      </c>
      <c r="CDA38" s="363"/>
      <c r="CDB38" s="363"/>
      <c r="CDC38" s="364" t="s">
        <v>140</v>
      </c>
      <c r="CDD38" s="365">
        <v>0.5</v>
      </c>
      <c r="CDE38" s="366" t="e">
        <f>10/CDA36</f>
        <v>#DIV/0!</v>
      </c>
      <c r="CDF38" s="367">
        <v>15.38</v>
      </c>
      <c r="CDG38" s="367" t="e">
        <f>CDD38*CDE38*CDF38</f>
        <v>#DIV/0!</v>
      </c>
      <c r="CDH38" s="363" t="s">
        <v>153</v>
      </c>
      <c r="CDI38" s="363"/>
      <c r="CDJ38" s="363"/>
      <c r="CDK38" s="364" t="s">
        <v>140</v>
      </c>
      <c r="CDL38" s="365">
        <v>0.5</v>
      </c>
      <c r="CDM38" s="366" t="e">
        <f>10/CDI36</f>
        <v>#DIV/0!</v>
      </c>
      <c r="CDN38" s="367">
        <v>15.38</v>
      </c>
      <c r="CDO38" s="367" t="e">
        <f>CDL38*CDM38*CDN38</f>
        <v>#DIV/0!</v>
      </c>
      <c r="CDP38" s="363" t="s">
        <v>153</v>
      </c>
      <c r="CDQ38" s="363"/>
      <c r="CDR38" s="363"/>
      <c r="CDS38" s="364" t="s">
        <v>140</v>
      </c>
      <c r="CDT38" s="365">
        <v>0.5</v>
      </c>
      <c r="CDU38" s="366" t="e">
        <f>10/CDQ36</f>
        <v>#DIV/0!</v>
      </c>
      <c r="CDV38" s="367">
        <v>15.38</v>
      </c>
      <c r="CDW38" s="367" t="e">
        <f>CDT38*CDU38*CDV38</f>
        <v>#DIV/0!</v>
      </c>
      <c r="CDX38" s="363" t="s">
        <v>153</v>
      </c>
      <c r="CDY38" s="363"/>
      <c r="CDZ38" s="363"/>
      <c r="CEA38" s="364" t="s">
        <v>140</v>
      </c>
      <c r="CEB38" s="365">
        <v>0.5</v>
      </c>
      <c r="CEC38" s="366" t="e">
        <f>10/CDY36</f>
        <v>#DIV/0!</v>
      </c>
      <c r="CED38" s="367">
        <v>15.38</v>
      </c>
      <c r="CEE38" s="367" t="e">
        <f>CEB38*CEC38*CED38</f>
        <v>#DIV/0!</v>
      </c>
      <c r="CEF38" s="363" t="s">
        <v>153</v>
      </c>
      <c r="CEG38" s="363"/>
      <c r="CEH38" s="363"/>
      <c r="CEI38" s="364" t="s">
        <v>140</v>
      </c>
      <c r="CEJ38" s="365">
        <v>0.5</v>
      </c>
      <c r="CEK38" s="366" t="e">
        <f>10/CEG36</f>
        <v>#DIV/0!</v>
      </c>
      <c r="CEL38" s="367">
        <v>15.38</v>
      </c>
      <c r="CEM38" s="367" t="e">
        <f>CEJ38*CEK38*CEL38</f>
        <v>#DIV/0!</v>
      </c>
      <c r="CEN38" s="363" t="s">
        <v>153</v>
      </c>
      <c r="CEO38" s="363"/>
      <c r="CEP38" s="363"/>
      <c r="CEQ38" s="364" t="s">
        <v>140</v>
      </c>
      <c r="CER38" s="365">
        <v>0.5</v>
      </c>
      <c r="CES38" s="366" t="e">
        <f>10/CEO36</f>
        <v>#DIV/0!</v>
      </c>
      <c r="CET38" s="367">
        <v>15.38</v>
      </c>
      <c r="CEU38" s="367" t="e">
        <f>CER38*CES38*CET38</f>
        <v>#DIV/0!</v>
      </c>
      <c r="CEV38" s="363" t="s">
        <v>153</v>
      </c>
      <c r="CEW38" s="363"/>
      <c r="CEX38" s="363"/>
      <c r="CEY38" s="364" t="s">
        <v>140</v>
      </c>
      <c r="CEZ38" s="365">
        <v>0.5</v>
      </c>
      <c r="CFA38" s="366" t="e">
        <f>10/CEW36</f>
        <v>#DIV/0!</v>
      </c>
      <c r="CFB38" s="367">
        <v>15.38</v>
      </c>
      <c r="CFC38" s="367" t="e">
        <f>CEZ38*CFA38*CFB38</f>
        <v>#DIV/0!</v>
      </c>
      <c r="CFD38" s="363" t="s">
        <v>153</v>
      </c>
      <c r="CFE38" s="363"/>
      <c r="CFF38" s="363"/>
      <c r="CFG38" s="364" t="s">
        <v>140</v>
      </c>
      <c r="CFH38" s="365">
        <v>0.5</v>
      </c>
      <c r="CFI38" s="366" t="e">
        <f>10/CFE36</f>
        <v>#DIV/0!</v>
      </c>
      <c r="CFJ38" s="367">
        <v>15.38</v>
      </c>
      <c r="CFK38" s="367" t="e">
        <f>CFH38*CFI38*CFJ38</f>
        <v>#DIV/0!</v>
      </c>
      <c r="CFL38" s="363" t="s">
        <v>153</v>
      </c>
      <c r="CFM38" s="363"/>
      <c r="CFN38" s="363"/>
      <c r="CFO38" s="364" t="s">
        <v>140</v>
      </c>
      <c r="CFP38" s="365">
        <v>0.5</v>
      </c>
      <c r="CFQ38" s="366" t="e">
        <f>10/CFM36</f>
        <v>#DIV/0!</v>
      </c>
      <c r="CFR38" s="367">
        <v>15.38</v>
      </c>
      <c r="CFS38" s="367" t="e">
        <f>CFP38*CFQ38*CFR38</f>
        <v>#DIV/0!</v>
      </c>
      <c r="CFT38" s="363" t="s">
        <v>153</v>
      </c>
      <c r="CFU38" s="363"/>
      <c r="CFV38" s="363"/>
      <c r="CFW38" s="364" t="s">
        <v>140</v>
      </c>
      <c r="CFX38" s="365">
        <v>0.5</v>
      </c>
      <c r="CFY38" s="366" t="e">
        <f>10/CFU36</f>
        <v>#DIV/0!</v>
      </c>
      <c r="CFZ38" s="367">
        <v>15.38</v>
      </c>
      <c r="CGA38" s="367" t="e">
        <f>CFX38*CFY38*CFZ38</f>
        <v>#DIV/0!</v>
      </c>
      <c r="CGB38" s="363" t="s">
        <v>153</v>
      </c>
      <c r="CGC38" s="363"/>
      <c r="CGD38" s="363"/>
      <c r="CGE38" s="364" t="s">
        <v>140</v>
      </c>
      <c r="CGF38" s="365">
        <v>0.5</v>
      </c>
      <c r="CGG38" s="366" t="e">
        <f>10/CGC36</f>
        <v>#DIV/0!</v>
      </c>
      <c r="CGH38" s="367">
        <v>15.38</v>
      </c>
      <c r="CGI38" s="367" t="e">
        <f>CGF38*CGG38*CGH38</f>
        <v>#DIV/0!</v>
      </c>
      <c r="CGJ38" s="363" t="s">
        <v>153</v>
      </c>
      <c r="CGK38" s="363"/>
      <c r="CGL38" s="363"/>
      <c r="CGM38" s="364" t="s">
        <v>140</v>
      </c>
      <c r="CGN38" s="365">
        <v>0.5</v>
      </c>
      <c r="CGO38" s="366" t="e">
        <f>10/CGK36</f>
        <v>#DIV/0!</v>
      </c>
      <c r="CGP38" s="367">
        <v>15.38</v>
      </c>
      <c r="CGQ38" s="367" t="e">
        <f>CGN38*CGO38*CGP38</f>
        <v>#DIV/0!</v>
      </c>
      <c r="CGR38" s="363" t="s">
        <v>153</v>
      </c>
      <c r="CGS38" s="363"/>
      <c r="CGT38" s="363"/>
      <c r="CGU38" s="364" t="s">
        <v>140</v>
      </c>
      <c r="CGV38" s="365">
        <v>0.5</v>
      </c>
      <c r="CGW38" s="366" t="e">
        <f>10/CGS36</f>
        <v>#DIV/0!</v>
      </c>
      <c r="CGX38" s="367">
        <v>15.38</v>
      </c>
      <c r="CGY38" s="367" t="e">
        <f>CGV38*CGW38*CGX38</f>
        <v>#DIV/0!</v>
      </c>
      <c r="CGZ38" s="363" t="s">
        <v>153</v>
      </c>
      <c r="CHA38" s="363"/>
      <c r="CHB38" s="363"/>
      <c r="CHC38" s="364" t="s">
        <v>140</v>
      </c>
      <c r="CHD38" s="365">
        <v>0.5</v>
      </c>
      <c r="CHE38" s="366" t="e">
        <f>10/CHA36</f>
        <v>#DIV/0!</v>
      </c>
      <c r="CHF38" s="367">
        <v>15.38</v>
      </c>
      <c r="CHG38" s="367" t="e">
        <f>CHD38*CHE38*CHF38</f>
        <v>#DIV/0!</v>
      </c>
      <c r="CHH38" s="363" t="s">
        <v>153</v>
      </c>
      <c r="CHI38" s="363"/>
      <c r="CHJ38" s="363"/>
      <c r="CHK38" s="364" t="s">
        <v>140</v>
      </c>
      <c r="CHL38" s="365">
        <v>0.5</v>
      </c>
      <c r="CHM38" s="366" t="e">
        <f>10/CHI36</f>
        <v>#DIV/0!</v>
      </c>
      <c r="CHN38" s="367">
        <v>15.38</v>
      </c>
      <c r="CHO38" s="367" t="e">
        <f>CHL38*CHM38*CHN38</f>
        <v>#DIV/0!</v>
      </c>
      <c r="CHP38" s="363" t="s">
        <v>153</v>
      </c>
      <c r="CHQ38" s="363"/>
      <c r="CHR38" s="363"/>
      <c r="CHS38" s="364" t="s">
        <v>140</v>
      </c>
      <c r="CHT38" s="365">
        <v>0.5</v>
      </c>
      <c r="CHU38" s="366" t="e">
        <f>10/CHQ36</f>
        <v>#DIV/0!</v>
      </c>
      <c r="CHV38" s="367">
        <v>15.38</v>
      </c>
      <c r="CHW38" s="367" t="e">
        <f>CHT38*CHU38*CHV38</f>
        <v>#DIV/0!</v>
      </c>
      <c r="CHX38" s="363" t="s">
        <v>153</v>
      </c>
      <c r="CHY38" s="363"/>
      <c r="CHZ38" s="363"/>
      <c r="CIA38" s="364" t="s">
        <v>140</v>
      </c>
      <c r="CIB38" s="365">
        <v>0.5</v>
      </c>
      <c r="CIC38" s="366" t="e">
        <f>10/CHY36</f>
        <v>#DIV/0!</v>
      </c>
      <c r="CID38" s="367">
        <v>15.38</v>
      </c>
      <c r="CIE38" s="367" t="e">
        <f>CIB38*CIC38*CID38</f>
        <v>#DIV/0!</v>
      </c>
      <c r="CIF38" s="363" t="s">
        <v>153</v>
      </c>
      <c r="CIG38" s="363"/>
      <c r="CIH38" s="363"/>
      <c r="CII38" s="364" t="s">
        <v>140</v>
      </c>
      <c r="CIJ38" s="365">
        <v>0.5</v>
      </c>
      <c r="CIK38" s="366" t="e">
        <f>10/CIG36</f>
        <v>#DIV/0!</v>
      </c>
      <c r="CIL38" s="367">
        <v>15.38</v>
      </c>
      <c r="CIM38" s="367" t="e">
        <f>CIJ38*CIK38*CIL38</f>
        <v>#DIV/0!</v>
      </c>
      <c r="CIN38" s="363" t="s">
        <v>153</v>
      </c>
      <c r="CIO38" s="363"/>
      <c r="CIP38" s="363"/>
      <c r="CIQ38" s="364" t="s">
        <v>140</v>
      </c>
      <c r="CIR38" s="365">
        <v>0.5</v>
      </c>
      <c r="CIS38" s="366" t="e">
        <f>10/CIO36</f>
        <v>#DIV/0!</v>
      </c>
      <c r="CIT38" s="367">
        <v>15.38</v>
      </c>
      <c r="CIU38" s="367" t="e">
        <f>CIR38*CIS38*CIT38</f>
        <v>#DIV/0!</v>
      </c>
      <c r="CIV38" s="363" t="s">
        <v>153</v>
      </c>
      <c r="CIW38" s="363"/>
      <c r="CIX38" s="363"/>
      <c r="CIY38" s="364" t="s">
        <v>140</v>
      </c>
      <c r="CIZ38" s="365">
        <v>0.5</v>
      </c>
      <c r="CJA38" s="366" t="e">
        <f>10/CIW36</f>
        <v>#DIV/0!</v>
      </c>
      <c r="CJB38" s="367">
        <v>15.38</v>
      </c>
      <c r="CJC38" s="367" t="e">
        <f>CIZ38*CJA38*CJB38</f>
        <v>#DIV/0!</v>
      </c>
      <c r="CJD38" s="363" t="s">
        <v>153</v>
      </c>
      <c r="CJE38" s="363"/>
      <c r="CJF38" s="363"/>
      <c r="CJG38" s="364" t="s">
        <v>140</v>
      </c>
      <c r="CJH38" s="365">
        <v>0.5</v>
      </c>
      <c r="CJI38" s="366" t="e">
        <f>10/CJE36</f>
        <v>#DIV/0!</v>
      </c>
      <c r="CJJ38" s="367">
        <v>15.38</v>
      </c>
      <c r="CJK38" s="367" t="e">
        <f>CJH38*CJI38*CJJ38</f>
        <v>#DIV/0!</v>
      </c>
      <c r="CJL38" s="363" t="s">
        <v>153</v>
      </c>
      <c r="CJM38" s="363"/>
      <c r="CJN38" s="363"/>
      <c r="CJO38" s="364" t="s">
        <v>140</v>
      </c>
      <c r="CJP38" s="365">
        <v>0.5</v>
      </c>
      <c r="CJQ38" s="366" t="e">
        <f>10/CJM36</f>
        <v>#DIV/0!</v>
      </c>
      <c r="CJR38" s="367">
        <v>15.38</v>
      </c>
      <c r="CJS38" s="367" t="e">
        <f>CJP38*CJQ38*CJR38</f>
        <v>#DIV/0!</v>
      </c>
      <c r="CJT38" s="363" t="s">
        <v>153</v>
      </c>
      <c r="CJU38" s="363"/>
      <c r="CJV38" s="363"/>
      <c r="CJW38" s="364" t="s">
        <v>140</v>
      </c>
      <c r="CJX38" s="365">
        <v>0.5</v>
      </c>
      <c r="CJY38" s="366" t="e">
        <f>10/CJU36</f>
        <v>#DIV/0!</v>
      </c>
      <c r="CJZ38" s="367">
        <v>15.38</v>
      </c>
      <c r="CKA38" s="367" t="e">
        <f>CJX38*CJY38*CJZ38</f>
        <v>#DIV/0!</v>
      </c>
      <c r="CKB38" s="363" t="s">
        <v>153</v>
      </c>
      <c r="CKC38" s="363"/>
      <c r="CKD38" s="363"/>
      <c r="CKE38" s="364" t="s">
        <v>140</v>
      </c>
      <c r="CKF38" s="365">
        <v>0.5</v>
      </c>
      <c r="CKG38" s="366" t="e">
        <f>10/CKC36</f>
        <v>#DIV/0!</v>
      </c>
      <c r="CKH38" s="367">
        <v>15.38</v>
      </c>
      <c r="CKI38" s="367" t="e">
        <f>CKF38*CKG38*CKH38</f>
        <v>#DIV/0!</v>
      </c>
      <c r="CKJ38" s="363" t="s">
        <v>153</v>
      </c>
      <c r="CKK38" s="363"/>
      <c r="CKL38" s="363"/>
      <c r="CKM38" s="364" t="s">
        <v>140</v>
      </c>
      <c r="CKN38" s="365">
        <v>0.5</v>
      </c>
      <c r="CKO38" s="366" t="e">
        <f>10/CKK36</f>
        <v>#DIV/0!</v>
      </c>
      <c r="CKP38" s="367">
        <v>15.38</v>
      </c>
      <c r="CKQ38" s="367" t="e">
        <f>CKN38*CKO38*CKP38</f>
        <v>#DIV/0!</v>
      </c>
      <c r="CKR38" s="363" t="s">
        <v>153</v>
      </c>
      <c r="CKS38" s="363"/>
      <c r="CKT38" s="363"/>
      <c r="CKU38" s="364" t="s">
        <v>140</v>
      </c>
      <c r="CKV38" s="365">
        <v>0.5</v>
      </c>
      <c r="CKW38" s="366" t="e">
        <f>10/CKS36</f>
        <v>#DIV/0!</v>
      </c>
      <c r="CKX38" s="367">
        <v>15.38</v>
      </c>
      <c r="CKY38" s="367" t="e">
        <f>CKV38*CKW38*CKX38</f>
        <v>#DIV/0!</v>
      </c>
      <c r="CKZ38" s="363" t="s">
        <v>153</v>
      </c>
      <c r="CLA38" s="363"/>
      <c r="CLB38" s="363"/>
      <c r="CLC38" s="364" t="s">
        <v>140</v>
      </c>
      <c r="CLD38" s="365">
        <v>0.5</v>
      </c>
      <c r="CLE38" s="366" t="e">
        <f>10/CLA36</f>
        <v>#DIV/0!</v>
      </c>
      <c r="CLF38" s="367">
        <v>15.38</v>
      </c>
      <c r="CLG38" s="367" t="e">
        <f>CLD38*CLE38*CLF38</f>
        <v>#DIV/0!</v>
      </c>
      <c r="CLH38" s="363" t="s">
        <v>153</v>
      </c>
      <c r="CLI38" s="363"/>
      <c r="CLJ38" s="363"/>
      <c r="CLK38" s="364" t="s">
        <v>140</v>
      </c>
      <c r="CLL38" s="365">
        <v>0.5</v>
      </c>
      <c r="CLM38" s="366" t="e">
        <f>10/CLI36</f>
        <v>#DIV/0!</v>
      </c>
      <c r="CLN38" s="367">
        <v>15.38</v>
      </c>
      <c r="CLO38" s="367" t="e">
        <f>CLL38*CLM38*CLN38</f>
        <v>#DIV/0!</v>
      </c>
      <c r="CLP38" s="363" t="s">
        <v>153</v>
      </c>
      <c r="CLQ38" s="363"/>
      <c r="CLR38" s="363"/>
      <c r="CLS38" s="364" t="s">
        <v>140</v>
      </c>
      <c r="CLT38" s="365">
        <v>0.5</v>
      </c>
      <c r="CLU38" s="366" t="e">
        <f>10/CLQ36</f>
        <v>#DIV/0!</v>
      </c>
      <c r="CLV38" s="367">
        <v>15.38</v>
      </c>
      <c r="CLW38" s="367" t="e">
        <f>CLT38*CLU38*CLV38</f>
        <v>#DIV/0!</v>
      </c>
      <c r="CLX38" s="363" t="s">
        <v>153</v>
      </c>
      <c r="CLY38" s="363"/>
      <c r="CLZ38" s="363"/>
      <c r="CMA38" s="364" t="s">
        <v>140</v>
      </c>
      <c r="CMB38" s="365">
        <v>0.5</v>
      </c>
      <c r="CMC38" s="366" t="e">
        <f>10/CLY36</f>
        <v>#DIV/0!</v>
      </c>
      <c r="CMD38" s="367">
        <v>15.38</v>
      </c>
      <c r="CME38" s="367" t="e">
        <f>CMB38*CMC38*CMD38</f>
        <v>#DIV/0!</v>
      </c>
      <c r="CMF38" s="363" t="s">
        <v>153</v>
      </c>
      <c r="CMG38" s="363"/>
      <c r="CMH38" s="363"/>
      <c r="CMI38" s="364" t="s">
        <v>140</v>
      </c>
      <c r="CMJ38" s="365">
        <v>0.5</v>
      </c>
      <c r="CMK38" s="366" t="e">
        <f>10/CMG36</f>
        <v>#DIV/0!</v>
      </c>
      <c r="CML38" s="367">
        <v>15.38</v>
      </c>
      <c r="CMM38" s="367" t="e">
        <f>CMJ38*CMK38*CML38</f>
        <v>#DIV/0!</v>
      </c>
      <c r="CMN38" s="363" t="s">
        <v>153</v>
      </c>
      <c r="CMO38" s="363"/>
      <c r="CMP38" s="363"/>
      <c r="CMQ38" s="364" t="s">
        <v>140</v>
      </c>
      <c r="CMR38" s="365">
        <v>0.5</v>
      </c>
      <c r="CMS38" s="366" t="e">
        <f>10/CMO36</f>
        <v>#DIV/0!</v>
      </c>
      <c r="CMT38" s="367">
        <v>15.38</v>
      </c>
      <c r="CMU38" s="367" t="e">
        <f>CMR38*CMS38*CMT38</f>
        <v>#DIV/0!</v>
      </c>
      <c r="CMV38" s="363" t="s">
        <v>153</v>
      </c>
      <c r="CMW38" s="363"/>
      <c r="CMX38" s="363"/>
      <c r="CMY38" s="364" t="s">
        <v>140</v>
      </c>
      <c r="CMZ38" s="365">
        <v>0.5</v>
      </c>
      <c r="CNA38" s="366" t="e">
        <f>10/CMW36</f>
        <v>#DIV/0!</v>
      </c>
      <c r="CNB38" s="367">
        <v>15.38</v>
      </c>
      <c r="CNC38" s="367" t="e">
        <f>CMZ38*CNA38*CNB38</f>
        <v>#DIV/0!</v>
      </c>
      <c r="CND38" s="363" t="s">
        <v>153</v>
      </c>
      <c r="CNE38" s="363"/>
      <c r="CNF38" s="363"/>
      <c r="CNG38" s="364" t="s">
        <v>140</v>
      </c>
      <c r="CNH38" s="365">
        <v>0.5</v>
      </c>
      <c r="CNI38" s="366" t="e">
        <f>10/CNE36</f>
        <v>#DIV/0!</v>
      </c>
      <c r="CNJ38" s="367">
        <v>15.38</v>
      </c>
      <c r="CNK38" s="367" t="e">
        <f>CNH38*CNI38*CNJ38</f>
        <v>#DIV/0!</v>
      </c>
      <c r="CNL38" s="363" t="s">
        <v>153</v>
      </c>
      <c r="CNM38" s="363"/>
      <c r="CNN38" s="363"/>
      <c r="CNO38" s="364" t="s">
        <v>140</v>
      </c>
      <c r="CNP38" s="365">
        <v>0.5</v>
      </c>
      <c r="CNQ38" s="366" t="e">
        <f>10/CNM36</f>
        <v>#DIV/0!</v>
      </c>
      <c r="CNR38" s="367">
        <v>15.38</v>
      </c>
      <c r="CNS38" s="367" t="e">
        <f>CNP38*CNQ38*CNR38</f>
        <v>#DIV/0!</v>
      </c>
      <c r="CNT38" s="363" t="s">
        <v>153</v>
      </c>
      <c r="CNU38" s="363"/>
      <c r="CNV38" s="363"/>
      <c r="CNW38" s="364" t="s">
        <v>140</v>
      </c>
      <c r="CNX38" s="365">
        <v>0.5</v>
      </c>
      <c r="CNY38" s="366" t="e">
        <f>10/CNU36</f>
        <v>#DIV/0!</v>
      </c>
      <c r="CNZ38" s="367">
        <v>15.38</v>
      </c>
      <c r="COA38" s="367" t="e">
        <f>CNX38*CNY38*CNZ38</f>
        <v>#DIV/0!</v>
      </c>
      <c r="COB38" s="363" t="s">
        <v>153</v>
      </c>
      <c r="COC38" s="363"/>
      <c r="COD38" s="363"/>
      <c r="COE38" s="364" t="s">
        <v>140</v>
      </c>
      <c r="COF38" s="365">
        <v>0.5</v>
      </c>
      <c r="COG38" s="366" t="e">
        <f>10/COC36</f>
        <v>#DIV/0!</v>
      </c>
      <c r="COH38" s="367">
        <v>15.38</v>
      </c>
      <c r="COI38" s="367" t="e">
        <f>COF38*COG38*COH38</f>
        <v>#DIV/0!</v>
      </c>
      <c r="COJ38" s="363" t="s">
        <v>153</v>
      </c>
      <c r="COK38" s="363"/>
      <c r="COL38" s="363"/>
      <c r="COM38" s="364" t="s">
        <v>140</v>
      </c>
      <c r="CON38" s="365">
        <v>0.5</v>
      </c>
      <c r="COO38" s="366" t="e">
        <f>10/COK36</f>
        <v>#DIV/0!</v>
      </c>
      <c r="COP38" s="367">
        <v>15.38</v>
      </c>
      <c r="COQ38" s="367" t="e">
        <f>CON38*COO38*COP38</f>
        <v>#DIV/0!</v>
      </c>
      <c r="COR38" s="363" t="s">
        <v>153</v>
      </c>
      <c r="COS38" s="363"/>
      <c r="COT38" s="363"/>
      <c r="COU38" s="364" t="s">
        <v>140</v>
      </c>
      <c r="COV38" s="365">
        <v>0.5</v>
      </c>
      <c r="COW38" s="366" t="e">
        <f>10/COS36</f>
        <v>#DIV/0!</v>
      </c>
      <c r="COX38" s="367">
        <v>15.38</v>
      </c>
      <c r="COY38" s="367" t="e">
        <f>COV38*COW38*COX38</f>
        <v>#DIV/0!</v>
      </c>
      <c r="COZ38" s="363" t="s">
        <v>153</v>
      </c>
      <c r="CPA38" s="363"/>
      <c r="CPB38" s="363"/>
      <c r="CPC38" s="364" t="s">
        <v>140</v>
      </c>
      <c r="CPD38" s="365">
        <v>0.5</v>
      </c>
      <c r="CPE38" s="366" t="e">
        <f>10/CPA36</f>
        <v>#DIV/0!</v>
      </c>
      <c r="CPF38" s="367">
        <v>15.38</v>
      </c>
      <c r="CPG38" s="367" t="e">
        <f>CPD38*CPE38*CPF38</f>
        <v>#DIV/0!</v>
      </c>
      <c r="CPH38" s="363" t="s">
        <v>153</v>
      </c>
      <c r="CPI38" s="363"/>
      <c r="CPJ38" s="363"/>
      <c r="CPK38" s="364" t="s">
        <v>140</v>
      </c>
      <c r="CPL38" s="365">
        <v>0.5</v>
      </c>
      <c r="CPM38" s="366" t="e">
        <f>10/CPI36</f>
        <v>#DIV/0!</v>
      </c>
      <c r="CPN38" s="367">
        <v>15.38</v>
      </c>
      <c r="CPO38" s="367" t="e">
        <f>CPL38*CPM38*CPN38</f>
        <v>#DIV/0!</v>
      </c>
      <c r="CPP38" s="363" t="s">
        <v>153</v>
      </c>
      <c r="CPQ38" s="363"/>
      <c r="CPR38" s="363"/>
      <c r="CPS38" s="364" t="s">
        <v>140</v>
      </c>
      <c r="CPT38" s="365">
        <v>0.5</v>
      </c>
      <c r="CPU38" s="366" t="e">
        <f>10/CPQ36</f>
        <v>#DIV/0!</v>
      </c>
      <c r="CPV38" s="367">
        <v>15.38</v>
      </c>
      <c r="CPW38" s="367" t="e">
        <f>CPT38*CPU38*CPV38</f>
        <v>#DIV/0!</v>
      </c>
      <c r="CPX38" s="363" t="s">
        <v>153</v>
      </c>
      <c r="CPY38" s="363"/>
      <c r="CPZ38" s="363"/>
      <c r="CQA38" s="364" t="s">
        <v>140</v>
      </c>
      <c r="CQB38" s="365">
        <v>0.5</v>
      </c>
      <c r="CQC38" s="366" t="e">
        <f>10/CPY36</f>
        <v>#DIV/0!</v>
      </c>
      <c r="CQD38" s="367">
        <v>15.38</v>
      </c>
      <c r="CQE38" s="367" t="e">
        <f>CQB38*CQC38*CQD38</f>
        <v>#DIV/0!</v>
      </c>
      <c r="CQF38" s="363" t="s">
        <v>153</v>
      </c>
      <c r="CQG38" s="363"/>
      <c r="CQH38" s="363"/>
      <c r="CQI38" s="364" t="s">
        <v>140</v>
      </c>
      <c r="CQJ38" s="365">
        <v>0.5</v>
      </c>
      <c r="CQK38" s="366" t="e">
        <f>10/CQG36</f>
        <v>#DIV/0!</v>
      </c>
      <c r="CQL38" s="367">
        <v>15.38</v>
      </c>
      <c r="CQM38" s="367" t="e">
        <f>CQJ38*CQK38*CQL38</f>
        <v>#DIV/0!</v>
      </c>
      <c r="CQN38" s="363" t="s">
        <v>153</v>
      </c>
      <c r="CQO38" s="363"/>
      <c r="CQP38" s="363"/>
      <c r="CQQ38" s="364" t="s">
        <v>140</v>
      </c>
      <c r="CQR38" s="365">
        <v>0.5</v>
      </c>
      <c r="CQS38" s="366" t="e">
        <f>10/CQO36</f>
        <v>#DIV/0!</v>
      </c>
      <c r="CQT38" s="367">
        <v>15.38</v>
      </c>
      <c r="CQU38" s="367" t="e">
        <f>CQR38*CQS38*CQT38</f>
        <v>#DIV/0!</v>
      </c>
      <c r="CQV38" s="363" t="s">
        <v>153</v>
      </c>
      <c r="CQW38" s="363"/>
      <c r="CQX38" s="363"/>
      <c r="CQY38" s="364" t="s">
        <v>140</v>
      </c>
      <c r="CQZ38" s="365">
        <v>0.5</v>
      </c>
      <c r="CRA38" s="366" t="e">
        <f>10/CQW36</f>
        <v>#DIV/0!</v>
      </c>
      <c r="CRB38" s="367">
        <v>15.38</v>
      </c>
      <c r="CRC38" s="367" t="e">
        <f>CQZ38*CRA38*CRB38</f>
        <v>#DIV/0!</v>
      </c>
      <c r="CRD38" s="363" t="s">
        <v>153</v>
      </c>
      <c r="CRE38" s="363"/>
      <c r="CRF38" s="363"/>
      <c r="CRG38" s="364" t="s">
        <v>140</v>
      </c>
      <c r="CRH38" s="365">
        <v>0.5</v>
      </c>
      <c r="CRI38" s="366" t="e">
        <f>10/CRE36</f>
        <v>#DIV/0!</v>
      </c>
      <c r="CRJ38" s="367">
        <v>15.38</v>
      </c>
      <c r="CRK38" s="367" t="e">
        <f>CRH38*CRI38*CRJ38</f>
        <v>#DIV/0!</v>
      </c>
      <c r="CRL38" s="363" t="s">
        <v>153</v>
      </c>
      <c r="CRM38" s="363"/>
      <c r="CRN38" s="363"/>
      <c r="CRO38" s="364" t="s">
        <v>140</v>
      </c>
      <c r="CRP38" s="365">
        <v>0.5</v>
      </c>
      <c r="CRQ38" s="366" t="e">
        <f>10/CRM36</f>
        <v>#DIV/0!</v>
      </c>
      <c r="CRR38" s="367">
        <v>15.38</v>
      </c>
      <c r="CRS38" s="367" t="e">
        <f>CRP38*CRQ38*CRR38</f>
        <v>#DIV/0!</v>
      </c>
      <c r="CRT38" s="363" t="s">
        <v>153</v>
      </c>
      <c r="CRU38" s="363"/>
      <c r="CRV38" s="363"/>
      <c r="CRW38" s="364" t="s">
        <v>140</v>
      </c>
      <c r="CRX38" s="365">
        <v>0.5</v>
      </c>
      <c r="CRY38" s="366" t="e">
        <f>10/CRU36</f>
        <v>#DIV/0!</v>
      </c>
      <c r="CRZ38" s="367">
        <v>15.38</v>
      </c>
      <c r="CSA38" s="367" t="e">
        <f>CRX38*CRY38*CRZ38</f>
        <v>#DIV/0!</v>
      </c>
      <c r="CSB38" s="363" t="s">
        <v>153</v>
      </c>
      <c r="CSC38" s="363"/>
      <c r="CSD38" s="363"/>
      <c r="CSE38" s="364" t="s">
        <v>140</v>
      </c>
      <c r="CSF38" s="365">
        <v>0.5</v>
      </c>
      <c r="CSG38" s="366" t="e">
        <f>10/CSC36</f>
        <v>#DIV/0!</v>
      </c>
      <c r="CSH38" s="367">
        <v>15.38</v>
      </c>
      <c r="CSI38" s="367" t="e">
        <f>CSF38*CSG38*CSH38</f>
        <v>#DIV/0!</v>
      </c>
      <c r="CSJ38" s="363" t="s">
        <v>153</v>
      </c>
      <c r="CSK38" s="363"/>
      <c r="CSL38" s="363"/>
      <c r="CSM38" s="364" t="s">
        <v>140</v>
      </c>
      <c r="CSN38" s="365">
        <v>0.5</v>
      </c>
      <c r="CSO38" s="366" t="e">
        <f>10/CSK36</f>
        <v>#DIV/0!</v>
      </c>
      <c r="CSP38" s="367">
        <v>15.38</v>
      </c>
      <c r="CSQ38" s="367" t="e">
        <f>CSN38*CSO38*CSP38</f>
        <v>#DIV/0!</v>
      </c>
      <c r="CSR38" s="363" t="s">
        <v>153</v>
      </c>
      <c r="CSS38" s="363"/>
      <c r="CST38" s="363"/>
      <c r="CSU38" s="364" t="s">
        <v>140</v>
      </c>
      <c r="CSV38" s="365">
        <v>0.5</v>
      </c>
      <c r="CSW38" s="366" t="e">
        <f>10/CSS36</f>
        <v>#DIV/0!</v>
      </c>
      <c r="CSX38" s="367">
        <v>15.38</v>
      </c>
      <c r="CSY38" s="367" t="e">
        <f>CSV38*CSW38*CSX38</f>
        <v>#DIV/0!</v>
      </c>
      <c r="CSZ38" s="363" t="s">
        <v>153</v>
      </c>
      <c r="CTA38" s="363"/>
      <c r="CTB38" s="363"/>
      <c r="CTC38" s="364" t="s">
        <v>140</v>
      </c>
      <c r="CTD38" s="365">
        <v>0.5</v>
      </c>
      <c r="CTE38" s="366" t="e">
        <f>10/CTA36</f>
        <v>#DIV/0!</v>
      </c>
      <c r="CTF38" s="367">
        <v>15.38</v>
      </c>
      <c r="CTG38" s="367" t="e">
        <f>CTD38*CTE38*CTF38</f>
        <v>#DIV/0!</v>
      </c>
      <c r="CTH38" s="363" t="s">
        <v>153</v>
      </c>
      <c r="CTI38" s="363"/>
      <c r="CTJ38" s="363"/>
      <c r="CTK38" s="364" t="s">
        <v>140</v>
      </c>
      <c r="CTL38" s="365">
        <v>0.5</v>
      </c>
      <c r="CTM38" s="366" t="e">
        <f>10/CTI36</f>
        <v>#DIV/0!</v>
      </c>
      <c r="CTN38" s="367">
        <v>15.38</v>
      </c>
      <c r="CTO38" s="367" t="e">
        <f>CTL38*CTM38*CTN38</f>
        <v>#DIV/0!</v>
      </c>
      <c r="CTP38" s="363" t="s">
        <v>153</v>
      </c>
      <c r="CTQ38" s="363"/>
      <c r="CTR38" s="363"/>
      <c r="CTS38" s="364" t="s">
        <v>140</v>
      </c>
      <c r="CTT38" s="365">
        <v>0.5</v>
      </c>
      <c r="CTU38" s="366" t="e">
        <f>10/CTQ36</f>
        <v>#DIV/0!</v>
      </c>
      <c r="CTV38" s="367">
        <v>15.38</v>
      </c>
      <c r="CTW38" s="367" t="e">
        <f>CTT38*CTU38*CTV38</f>
        <v>#DIV/0!</v>
      </c>
      <c r="CTX38" s="363" t="s">
        <v>153</v>
      </c>
      <c r="CTY38" s="363"/>
      <c r="CTZ38" s="363"/>
      <c r="CUA38" s="364" t="s">
        <v>140</v>
      </c>
      <c r="CUB38" s="365">
        <v>0.5</v>
      </c>
      <c r="CUC38" s="366" t="e">
        <f>10/CTY36</f>
        <v>#DIV/0!</v>
      </c>
      <c r="CUD38" s="367">
        <v>15.38</v>
      </c>
      <c r="CUE38" s="367" t="e">
        <f>CUB38*CUC38*CUD38</f>
        <v>#DIV/0!</v>
      </c>
      <c r="CUF38" s="363" t="s">
        <v>153</v>
      </c>
      <c r="CUG38" s="363"/>
      <c r="CUH38" s="363"/>
      <c r="CUI38" s="364" t="s">
        <v>140</v>
      </c>
      <c r="CUJ38" s="365">
        <v>0.5</v>
      </c>
      <c r="CUK38" s="366" t="e">
        <f>10/CUG36</f>
        <v>#DIV/0!</v>
      </c>
      <c r="CUL38" s="367">
        <v>15.38</v>
      </c>
      <c r="CUM38" s="367" t="e">
        <f>CUJ38*CUK38*CUL38</f>
        <v>#DIV/0!</v>
      </c>
      <c r="CUN38" s="363" t="s">
        <v>153</v>
      </c>
      <c r="CUO38" s="363"/>
      <c r="CUP38" s="363"/>
      <c r="CUQ38" s="364" t="s">
        <v>140</v>
      </c>
      <c r="CUR38" s="365">
        <v>0.5</v>
      </c>
      <c r="CUS38" s="366" t="e">
        <f>10/CUO36</f>
        <v>#DIV/0!</v>
      </c>
      <c r="CUT38" s="367">
        <v>15.38</v>
      </c>
      <c r="CUU38" s="367" t="e">
        <f>CUR38*CUS38*CUT38</f>
        <v>#DIV/0!</v>
      </c>
      <c r="CUV38" s="363" t="s">
        <v>153</v>
      </c>
      <c r="CUW38" s="363"/>
      <c r="CUX38" s="363"/>
      <c r="CUY38" s="364" t="s">
        <v>140</v>
      </c>
      <c r="CUZ38" s="365">
        <v>0.5</v>
      </c>
      <c r="CVA38" s="366" t="e">
        <f>10/CUW36</f>
        <v>#DIV/0!</v>
      </c>
      <c r="CVB38" s="367">
        <v>15.38</v>
      </c>
      <c r="CVC38" s="367" t="e">
        <f>CUZ38*CVA38*CVB38</f>
        <v>#DIV/0!</v>
      </c>
      <c r="CVD38" s="363" t="s">
        <v>153</v>
      </c>
      <c r="CVE38" s="363"/>
      <c r="CVF38" s="363"/>
      <c r="CVG38" s="364" t="s">
        <v>140</v>
      </c>
      <c r="CVH38" s="365">
        <v>0.5</v>
      </c>
      <c r="CVI38" s="366" t="e">
        <f>10/CVE36</f>
        <v>#DIV/0!</v>
      </c>
      <c r="CVJ38" s="367">
        <v>15.38</v>
      </c>
      <c r="CVK38" s="367" t="e">
        <f>CVH38*CVI38*CVJ38</f>
        <v>#DIV/0!</v>
      </c>
      <c r="CVL38" s="363" t="s">
        <v>153</v>
      </c>
      <c r="CVM38" s="363"/>
      <c r="CVN38" s="363"/>
      <c r="CVO38" s="364" t="s">
        <v>140</v>
      </c>
      <c r="CVP38" s="365">
        <v>0.5</v>
      </c>
      <c r="CVQ38" s="366" t="e">
        <f>10/CVM36</f>
        <v>#DIV/0!</v>
      </c>
      <c r="CVR38" s="367">
        <v>15.38</v>
      </c>
      <c r="CVS38" s="367" t="e">
        <f>CVP38*CVQ38*CVR38</f>
        <v>#DIV/0!</v>
      </c>
      <c r="CVT38" s="363" t="s">
        <v>153</v>
      </c>
      <c r="CVU38" s="363"/>
      <c r="CVV38" s="363"/>
      <c r="CVW38" s="364" t="s">
        <v>140</v>
      </c>
      <c r="CVX38" s="365">
        <v>0.5</v>
      </c>
      <c r="CVY38" s="366" t="e">
        <f>10/CVU36</f>
        <v>#DIV/0!</v>
      </c>
      <c r="CVZ38" s="367">
        <v>15.38</v>
      </c>
      <c r="CWA38" s="367" t="e">
        <f>CVX38*CVY38*CVZ38</f>
        <v>#DIV/0!</v>
      </c>
      <c r="CWB38" s="363" t="s">
        <v>153</v>
      </c>
      <c r="CWC38" s="363"/>
      <c r="CWD38" s="363"/>
      <c r="CWE38" s="364" t="s">
        <v>140</v>
      </c>
      <c r="CWF38" s="365">
        <v>0.5</v>
      </c>
      <c r="CWG38" s="366" t="e">
        <f>10/CWC36</f>
        <v>#DIV/0!</v>
      </c>
      <c r="CWH38" s="367">
        <v>15.38</v>
      </c>
      <c r="CWI38" s="367" t="e">
        <f>CWF38*CWG38*CWH38</f>
        <v>#DIV/0!</v>
      </c>
      <c r="CWJ38" s="363" t="s">
        <v>153</v>
      </c>
      <c r="CWK38" s="363"/>
      <c r="CWL38" s="363"/>
      <c r="CWM38" s="364" t="s">
        <v>140</v>
      </c>
      <c r="CWN38" s="365">
        <v>0.5</v>
      </c>
      <c r="CWO38" s="366" t="e">
        <f>10/CWK36</f>
        <v>#DIV/0!</v>
      </c>
      <c r="CWP38" s="367">
        <v>15.38</v>
      </c>
      <c r="CWQ38" s="367" t="e">
        <f>CWN38*CWO38*CWP38</f>
        <v>#DIV/0!</v>
      </c>
      <c r="CWR38" s="363" t="s">
        <v>153</v>
      </c>
      <c r="CWS38" s="363"/>
      <c r="CWT38" s="363"/>
      <c r="CWU38" s="364" t="s">
        <v>140</v>
      </c>
      <c r="CWV38" s="365">
        <v>0.5</v>
      </c>
      <c r="CWW38" s="366" t="e">
        <f>10/CWS36</f>
        <v>#DIV/0!</v>
      </c>
      <c r="CWX38" s="367">
        <v>15.38</v>
      </c>
      <c r="CWY38" s="367" t="e">
        <f>CWV38*CWW38*CWX38</f>
        <v>#DIV/0!</v>
      </c>
      <c r="CWZ38" s="363" t="s">
        <v>153</v>
      </c>
      <c r="CXA38" s="363"/>
      <c r="CXB38" s="363"/>
      <c r="CXC38" s="364" t="s">
        <v>140</v>
      </c>
      <c r="CXD38" s="365">
        <v>0.5</v>
      </c>
      <c r="CXE38" s="366" t="e">
        <f>10/CXA36</f>
        <v>#DIV/0!</v>
      </c>
      <c r="CXF38" s="367">
        <v>15.38</v>
      </c>
      <c r="CXG38" s="367" t="e">
        <f>CXD38*CXE38*CXF38</f>
        <v>#DIV/0!</v>
      </c>
      <c r="CXH38" s="363" t="s">
        <v>153</v>
      </c>
      <c r="CXI38" s="363"/>
      <c r="CXJ38" s="363"/>
      <c r="CXK38" s="364" t="s">
        <v>140</v>
      </c>
      <c r="CXL38" s="365">
        <v>0.5</v>
      </c>
      <c r="CXM38" s="366" t="e">
        <f>10/CXI36</f>
        <v>#DIV/0!</v>
      </c>
      <c r="CXN38" s="367">
        <v>15.38</v>
      </c>
      <c r="CXO38" s="367" t="e">
        <f>CXL38*CXM38*CXN38</f>
        <v>#DIV/0!</v>
      </c>
      <c r="CXP38" s="363" t="s">
        <v>153</v>
      </c>
      <c r="CXQ38" s="363"/>
      <c r="CXR38" s="363"/>
      <c r="CXS38" s="364" t="s">
        <v>140</v>
      </c>
      <c r="CXT38" s="365">
        <v>0.5</v>
      </c>
      <c r="CXU38" s="366" t="e">
        <f>10/CXQ36</f>
        <v>#DIV/0!</v>
      </c>
      <c r="CXV38" s="367">
        <v>15.38</v>
      </c>
      <c r="CXW38" s="367" t="e">
        <f>CXT38*CXU38*CXV38</f>
        <v>#DIV/0!</v>
      </c>
      <c r="CXX38" s="363" t="s">
        <v>153</v>
      </c>
      <c r="CXY38" s="363"/>
      <c r="CXZ38" s="363"/>
      <c r="CYA38" s="364" t="s">
        <v>140</v>
      </c>
      <c r="CYB38" s="365">
        <v>0.5</v>
      </c>
      <c r="CYC38" s="366" t="e">
        <f>10/CXY36</f>
        <v>#DIV/0!</v>
      </c>
      <c r="CYD38" s="367">
        <v>15.38</v>
      </c>
      <c r="CYE38" s="367" t="e">
        <f>CYB38*CYC38*CYD38</f>
        <v>#DIV/0!</v>
      </c>
      <c r="CYF38" s="363" t="s">
        <v>153</v>
      </c>
      <c r="CYG38" s="363"/>
      <c r="CYH38" s="363"/>
      <c r="CYI38" s="364" t="s">
        <v>140</v>
      </c>
      <c r="CYJ38" s="365">
        <v>0.5</v>
      </c>
      <c r="CYK38" s="366" t="e">
        <f>10/CYG36</f>
        <v>#DIV/0!</v>
      </c>
      <c r="CYL38" s="367">
        <v>15.38</v>
      </c>
      <c r="CYM38" s="367" t="e">
        <f>CYJ38*CYK38*CYL38</f>
        <v>#DIV/0!</v>
      </c>
      <c r="CYN38" s="363" t="s">
        <v>153</v>
      </c>
      <c r="CYO38" s="363"/>
      <c r="CYP38" s="363"/>
      <c r="CYQ38" s="364" t="s">
        <v>140</v>
      </c>
      <c r="CYR38" s="365">
        <v>0.5</v>
      </c>
      <c r="CYS38" s="366" t="e">
        <f>10/CYO36</f>
        <v>#DIV/0!</v>
      </c>
      <c r="CYT38" s="367">
        <v>15.38</v>
      </c>
      <c r="CYU38" s="367" t="e">
        <f>CYR38*CYS38*CYT38</f>
        <v>#DIV/0!</v>
      </c>
      <c r="CYV38" s="363" t="s">
        <v>153</v>
      </c>
      <c r="CYW38" s="363"/>
      <c r="CYX38" s="363"/>
      <c r="CYY38" s="364" t="s">
        <v>140</v>
      </c>
      <c r="CYZ38" s="365">
        <v>0.5</v>
      </c>
      <c r="CZA38" s="366" t="e">
        <f>10/CYW36</f>
        <v>#DIV/0!</v>
      </c>
      <c r="CZB38" s="367">
        <v>15.38</v>
      </c>
      <c r="CZC38" s="367" t="e">
        <f>CYZ38*CZA38*CZB38</f>
        <v>#DIV/0!</v>
      </c>
      <c r="CZD38" s="363" t="s">
        <v>153</v>
      </c>
      <c r="CZE38" s="363"/>
      <c r="CZF38" s="363"/>
      <c r="CZG38" s="364" t="s">
        <v>140</v>
      </c>
      <c r="CZH38" s="365">
        <v>0.5</v>
      </c>
      <c r="CZI38" s="366" t="e">
        <f>10/CZE36</f>
        <v>#DIV/0!</v>
      </c>
      <c r="CZJ38" s="367">
        <v>15.38</v>
      </c>
      <c r="CZK38" s="367" t="e">
        <f>CZH38*CZI38*CZJ38</f>
        <v>#DIV/0!</v>
      </c>
      <c r="CZL38" s="363" t="s">
        <v>153</v>
      </c>
      <c r="CZM38" s="363"/>
      <c r="CZN38" s="363"/>
      <c r="CZO38" s="364" t="s">
        <v>140</v>
      </c>
      <c r="CZP38" s="365">
        <v>0.5</v>
      </c>
      <c r="CZQ38" s="366" t="e">
        <f>10/CZM36</f>
        <v>#DIV/0!</v>
      </c>
      <c r="CZR38" s="367">
        <v>15.38</v>
      </c>
      <c r="CZS38" s="367" t="e">
        <f>CZP38*CZQ38*CZR38</f>
        <v>#DIV/0!</v>
      </c>
      <c r="CZT38" s="363" t="s">
        <v>153</v>
      </c>
      <c r="CZU38" s="363"/>
      <c r="CZV38" s="363"/>
      <c r="CZW38" s="364" t="s">
        <v>140</v>
      </c>
      <c r="CZX38" s="365">
        <v>0.5</v>
      </c>
      <c r="CZY38" s="366" t="e">
        <f>10/CZU36</f>
        <v>#DIV/0!</v>
      </c>
      <c r="CZZ38" s="367">
        <v>15.38</v>
      </c>
      <c r="DAA38" s="367" t="e">
        <f>CZX38*CZY38*CZZ38</f>
        <v>#DIV/0!</v>
      </c>
      <c r="DAB38" s="363" t="s">
        <v>153</v>
      </c>
      <c r="DAC38" s="363"/>
      <c r="DAD38" s="363"/>
      <c r="DAE38" s="364" t="s">
        <v>140</v>
      </c>
      <c r="DAF38" s="365">
        <v>0.5</v>
      </c>
      <c r="DAG38" s="366" t="e">
        <f>10/DAC36</f>
        <v>#DIV/0!</v>
      </c>
      <c r="DAH38" s="367">
        <v>15.38</v>
      </c>
      <c r="DAI38" s="367" t="e">
        <f>DAF38*DAG38*DAH38</f>
        <v>#DIV/0!</v>
      </c>
      <c r="DAJ38" s="363" t="s">
        <v>153</v>
      </c>
      <c r="DAK38" s="363"/>
      <c r="DAL38" s="363"/>
      <c r="DAM38" s="364" t="s">
        <v>140</v>
      </c>
      <c r="DAN38" s="365">
        <v>0.5</v>
      </c>
      <c r="DAO38" s="366" t="e">
        <f>10/DAK36</f>
        <v>#DIV/0!</v>
      </c>
      <c r="DAP38" s="367">
        <v>15.38</v>
      </c>
      <c r="DAQ38" s="367" t="e">
        <f>DAN38*DAO38*DAP38</f>
        <v>#DIV/0!</v>
      </c>
      <c r="DAR38" s="363" t="s">
        <v>153</v>
      </c>
      <c r="DAS38" s="363"/>
      <c r="DAT38" s="363"/>
      <c r="DAU38" s="364" t="s">
        <v>140</v>
      </c>
      <c r="DAV38" s="365">
        <v>0.5</v>
      </c>
      <c r="DAW38" s="366" t="e">
        <f>10/DAS36</f>
        <v>#DIV/0!</v>
      </c>
      <c r="DAX38" s="367">
        <v>15.38</v>
      </c>
      <c r="DAY38" s="367" t="e">
        <f>DAV38*DAW38*DAX38</f>
        <v>#DIV/0!</v>
      </c>
      <c r="DAZ38" s="363" t="s">
        <v>153</v>
      </c>
      <c r="DBA38" s="363"/>
      <c r="DBB38" s="363"/>
      <c r="DBC38" s="364" t="s">
        <v>140</v>
      </c>
      <c r="DBD38" s="365">
        <v>0.5</v>
      </c>
      <c r="DBE38" s="366" t="e">
        <f>10/DBA36</f>
        <v>#DIV/0!</v>
      </c>
      <c r="DBF38" s="367">
        <v>15.38</v>
      </c>
      <c r="DBG38" s="367" t="e">
        <f>DBD38*DBE38*DBF38</f>
        <v>#DIV/0!</v>
      </c>
      <c r="DBH38" s="363" t="s">
        <v>153</v>
      </c>
      <c r="DBI38" s="363"/>
      <c r="DBJ38" s="363"/>
      <c r="DBK38" s="364" t="s">
        <v>140</v>
      </c>
      <c r="DBL38" s="365">
        <v>0.5</v>
      </c>
      <c r="DBM38" s="366" t="e">
        <f>10/DBI36</f>
        <v>#DIV/0!</v>
      </c>
      <c r="DBN38" s="367">
        <v>15.38</v>
      </c>
      <c r="DBO38" s="367" t="e">
        <f>DBL38*DBM38*DBN38</f>
        <v>#DIV/0!</v>
      </c>
      <c r="DBP38" s="363" t="s">
        <v>153</v>
      </c>
      <c r="DBQ38" s="363"/>
      <c r="DBR38" s="363"/>
      <c r="DBS38" s="364" t="s">
        <v>140</v>
      </c>
      <c r="DBT38" s="365">
        <v>0.5</v>
      </c>
      <c r="DBU38" s="366" t="e">
        <f>10/DBQ36</f>
        <v>#DIV/0!</v>
      </c>
      <c r="DBV38" s="367">
        <v>15.38</v>
      </c>
      <c r="DBW38" s="367" t="e">
        <f>DBT38*DBU38*DBV38</f>
        <v>#DIV/0!</v>
      </c>
      <c r="DBX38" s="363" t="s">
        <v>153</v>
      </c>
      <c r="DBY38" s="363"/>
      <c r="DBZ38" s="363"/>
      <c r="DCA38" s="364" t="s">
        <v>140</v>
      </c>
      <c r="DCB38" s="365">
        <v>0.5</v>
      </c>
      <c r="DCC38" s="366" t="e">
        <f>10/DBY36</f>
        <v>#DIV/0!</v>
      </c>
      <c r="DCD38" s="367">
        <v>15.38</v>
      </c>
      <c r="DCE38" s="367" t="e">
        <f>DCB38*DCC38*DCD38</f>
        <v>#DIV/0!</v>
      </c>
      <c r="DCF38" s="363" t="s">
        <v>153</v>
      </c>
      <c r="DCG38" s="363"/>
      <c r="DCH38" s="363"/>
      <c r="DCI38" s="364" t="s">
        <v>140</v>
      </c>
      <c r="DCJ38" s="365">
        <v>0.5</v>
      </c>
      <c r="DCK38" s="366" t="e">
        <f>10/DCG36</f>
        <v>#DIV/0!</v>
      </c>
      <c r="DCL38" s="367">
        <v>15.38</v>
      </c>
      <c r="DCM38" s="367" t="e">
        <f>DCJ38*DCK38*DCL38</f>
        <v>#DIV/0!</v>
      </c>
      <c r="DCN38" s="363" t="s">
        <v>153</v>
      </c>
      <c r="DCO38" s="363"/>
      <c r="DCP38" s="363"/>
      <c r="DCQ38" s="364" t="s">
        <v>140</v>
      </c>
      <c r="DCR38" s="365">
        <v>0.5</v>
      </c>
      <c r="DCS38" s="366" t="e">
        <f>10/DCO36</f>
        <v>#DIV/0!</v>
      </c>
      <c r="DCT38" s="367">
        <v>15.38</v>
      </c>
      <c r="DCU38" s="367" t="e">
        <f>DCR38*DCS38*DCT38</f>
        <v>#DIV/0!</v>
      </c>
      <c r="DCV38" s="363" t="s">
        <v>153</v>
      </c>
      <c r="DCW38" s="363"/>
      <c r="DCX38" s="363"/>
      <c r="DCY38" s="364" t="s">
        <v>140</v>
      </c>
      <c r="DCZ38" s="365">
        <v>0.5</v>
      </c>
      <c r="DDA38" s="366" t="e">
        <f>10/DCW36</f>
        <v>#DIV/0!</v>
      </c>
      <c r="DDB38" s="367">
        <v>15.38</v>
      </c>
      <c r="DDC38" s="367" t="e">
        <f>DCZ38*DDA38*DDB38</f>
        <v>#DIV/0!</v>
      </c>
      <c r="DDD38" s="363" t="s">
        <v>153</v>
      </c>
      <c r="DDE38" s="363"/>
      <c r="DDF38" s="363"/>
      <c r="DDG38" s="364" t="s">
        <v>140</v>
      </c>
      <c r="DDH38" s="365">
        <v>0.5</v>
      </c>
      <c r="DDI38" s="366" t="e">
        <f>10/DDE36</f>
        <v>#DIV/0!</v>
      </c>
      <c r="DDJ38" s="367">
        <v>15.38</v>
      </c>
      <c r="DDK38" s="367" t="e">
        <f>DDH38*DDI38*DDJ38</f>
        <v>#DIV/0!</v>
      </c>
      <c r="DDL38" s="363" t="s">
        <v>153</v>
      </c>
      <c r="DDM38" s="363"/>
      <c r="DDN38" s="363"/>
      <c r="DDO38" s="364" t="s">
        <v>140</v>
      </c>
      <c r="DDP38" s="365">
        <v>0.5</v>
      </c>
      <c r="DDQ38" s="366" t="e">
        <f>10/DDM36</f>
        <v>#DIV/0!</v>
      </c>
      <c r="DDR38" s="367">
        <v>15.38</v>
      </c>
      <c r="DDS38" s="367" t="e">
        <f>DDP38*DDQ38*DDR38</f>
        <v>#DIV/0!</v>
      </c>
      <c r="DDT38" s="363" t="s">
        <v>153</v>
      </c>
      <c r="DDU38" s="363"/>
      <c r="DDV38" s="363"/>
      <c r="DDW38" s="364" t="s">
        <v>140</v>
      </c>
      <c r="DDX38" s="365">
        <v>0.5</v>
      </c>
      <c r="DDY38" s="366" t="e">
        <f>10/DDU36</f>
        <v>#DIV/0!</v>
      </c>
      <c r="DDZ38" s="367">
        <v>15.38</v>
      </c>
      <c r="DEA38" s="367" t="e">
        <f>DDX38*DDY38*DDZ38</f>
        <v>#DIV/0!</v>
      </c>
      <c r="DEB38" s="363" t="s">
        <v>153</v>
      </c>
      <c r="DEC38" s="363"/>
      <c r="DED38" s="363"/>
      <c r="DEE38" s="364" t="s">
        <v>140</v>
      </c>
      <c r="DEF38" s="365">
        <v>0.5</v>
      </c>
      <c r="DEG38" s="366" t="e">
        <f>10/DEC36</f>
        <v>#DIV/0!</v>
      </c>
      <c r="DEH38" s="367">
        <v>15.38</v>
      </c>
      <c r="DEI38" s="367" t="e">
        <f>DEF38*DEG38*DEH38</f>
        <v>#DIV/0!</v>
      </c>
      <c r="DEJ38" s="363" t="s">
        <v>153</v>
      </c>
      <c r="DEK38" s="363"/>
      <c r="DEL38" s="363"/>
      <c r="DEM38" s="364" t="s">
        <v>140</v>
      </c>
      <c r="DEN38" s="365">
        <v>0.5</v>
      </c>
      <c r="DEO38" s="366" t="e">
        <f>10/DEK36</f>
        <v>#DIV/0!</v>
      </c>
      <c r="DEP38" s="367">
        <v>15.38</v>
      </c>
      <c r="DEQ38" s="367" t="e">
        <f>DEN38*DEO38*DEP38</f>
        <v>#DIV/0!</v>
      </c>
      <c r="DER38" s="363" t="s">
        <v>153</v>
      </c>
      <c r="DES38" s="363"/>
      <c r="DET38" s="363"/>
      <c r="DEU38" s="364" t="s">
        <v>140</v>
      </c>
      <c r="DEV38" s="365">
        <v>0.5</v>
      </c>
      <c r="DEW38" s="366" t="e">
        <f>10/DES36</f>
        <v>#DIV/0!</v>
      </c>
      <c r="DEX38" s="367">
        <v>15.38</v>
      </c>
      <c r="DEY38" s="367" t="e">
        <f>DEV38*DEW38*DEX38</f>
        <v>#DIV/0!</v>
      </c>
      <c r="DEZ38" s="363" t="s">
        <v>153</v>
      </c>
      <c r="DFA38" s="363"/>
      <c r="DFB38" s="363"/>
      <c r="DFC38" s="364" t="s">
        <v>140</v>
      </c>
      <c r="DFD38" s="365">
        <v>0.5</v>
      </c>
      <c r="DFE38" s="366" t="e">
        <f>10/DFA36</f>
        <v>#DIV/0!</v>
      </c>
      <c r="DFF38" s="367">
        <v>15.38</v>
      </c>
      <c r="DFG38" s="367" t="e">
        <f>DFD38*DFE38*DFF38</f>
        <v>#DIV/0!</v>
      </c>
      <c r="DFH38" s="363" t="s">
        <v>153</v>
      </c>
      <c r="DFI38" s="363"/>
      <c r="DFJ38" s="363"/>
      <c r="DFK38" s="364" t="s">
        <v>140</v>
      </c>
      <c r="DFL38" s="365">
        <v>0.5</v>
      </c>
      <c r="DFM38" s="366" t="e">
        <f>10/DFI36</f>
        <v>#DIV/0!</v>
      </c>
      <c r="DFN38" s="367">
        <v>15.38</v>
      </c>
      <c r="DFO38" s="367" t="e">
        <f>DFL38*DFM38*DFN38</f>
        <v>#DIV/0!</v>
      </c>
      <c r="DFP38" s="363" t="s">
        <v>153</v>
      </c>
      <c r="DFQ38" s="363"/>
      <c r="DFR38" s="363"/>
      <c r="DFS38" s="364" t="s">
        <v>140</v>
      </c>
      <c r="DFT38" s="365">
        <v>0.5</v>
      </c>
      <c r="DFU38" s="366" t="e">
        <f>10/DFQ36</f>
        <v>#DIV/0!</v>
      </c>
      <c r="DFV38" s="367">
        <v>15.38</v>
      </c>
      <c r="DFW38" s="367" t="e">
        <f>DFT38*DFU38*DFV38</f>
        <v>#DIV/0!</v>
      </c>
      <c r="DFX38" s="363" t="s">
        <v>153</v>
      </c>
      <c r="DFY38" s="363"/>
      <c r="DFZ38" s="363"/>
      <c r="DGA38" s="364" t="s">
        <v>140</v>
      </c>
      <c r="DGB38" s="365">
        <v>0.5</v>
      </c>
      <c r="DGC38" s="366" t="e">
        <f>10/DFY36</f>
        <v>#DIV/0!</v>
      </c>
      <c r="DGD38" s="367">
        <v>15.38</v>
      </c>
      <c r="DGE38" s="367" t="e">
        <f>DGB38*DGC38*DGD38</f>
        <v>#DIV/0!</v>
      </c>
      <c r="DGF38" s="363" t="s">
        <v>153</v>
      </c>
      <c r="DGG38" s="363"/>
      <c r="DGH38" s="363"/>
      <c r="DGI38" s="364" t="s">
        <v>140</v>
      </c>
      <c r="DGJ38" s="365">
        <v>0.5</v>
      </c>
      <c r="DGK38" s="366" t="e">
        <f>10/DGG36</f>
        <v>#DIV/0!</v>
      </c>
      <c r="DGL38" s="367">
        <v>15.38</v>
      </c>
      <c r="DGM38" s="367" t="e">
        <f>DGJ38*DGK38*DGL38</f>
        <v>#DIV/0!</v>
      </c>
      <c r="DGN38" s="363" t="s">
        <v>153</v>
      </c>
      <c r="DGO38" s="363"/>
      <c r="DGP38" s="363"/>
      <c r="DGQ38" s="364" t="s">
        <v>140</v>
      </c>
      <c r="DGR38" s="365">
        <v>0.5</v>
      </c>
      <c r="DGS38" s="366" t="e">
        <f>10/DGO36</f>
        <v>#DIV/0!</v>
      </c>
      <c r="DGT38" s="367">
        <v>15.38</v>
      </c>
      <c r="DGU38" s="367" t="e">
        <f>DGR38*DGS38*DGT38</f>
        <v>#DIV/0!</v>
      </c>
      <c r="DGV38" s="363" t="s">
        <v>153</v>
      </c>
      <c r="DGW38" s="363"/>
      <c r="DGX38" s="363"/>
      <c r="DGY38" s="364" t="s">
        <v>140</v>
      </c>
      <c r="DGZ38" s="365">
        <v>0.5</v>
      </c>
      <c r="DHA38" s="366" t="e">
        <f>10/DGW36</f>
        <v>#DIV/0!</v>
      </c>
      <c r="DHB38" s="367">
        <v>15.38</v>
      </c>
      <c r="DHC38" s="367" t="e">
        <f>DGZ38*DHA38*DHB38</f>
        <v>#DIV/0!</v>
      </c>
      <c r="DHD38" s="363" t="s">
        <v>153</v>
      </c>
      <c r="DHE38" s="363"/>
      <c r="DHF38" s="363"/>
      <c r="DHG38" s="364" t="s">
        <v>140</v>
      </c>
      <c r="DHH38" s="365">
        <v>0.5</v>
      </c>
      <c r="DHI38" s="366" t="e">
        <f>10/DHE36</f>
        <v>#DIV/0!</v>
      </c>
      <c r="DHJ38" s="367">
        <v>15.38</v>
      </c>
      <c r="DHK38" s="367" t="e">
        <f>DHH38*DHI38*DHJ38</f>
        <v>#DIV/0!</v>
      </c>
      <c r="DHL38" s="363" t="s">
        <v>153</v>
      </c>
      <c r="DHM38" s="363"/>
      <c r="DHN38" s="363"/>
      <c r="DHO38" s="364" t="s">
        <v>140</v>
      </c>
      <c r="DHP38" s="365">
        <v>0.5</v>
      </c>
      <c r="DHQ38" s="366" t="e">
        <f>10/DHM36</f>
        <v>#DIV/0!</v>
      </c>
      <c r="DHR38" s="367">
        <v>15.38</v>
      </c>
      <c r="DHS38" s="367" t="e">
        <f>DHP38*DHQ38*DHR38</f>
        <v>#DIV/0!</v>
      </c>
      <c r="DHT38" s="363" t="s">
        <v>153</v>
      </c>
      <c r="DHU38" s="363"/>
      <c r="DHV38" s="363"/>
      <c r="DHW38" s="364" t="s">
        <v>140</v>
      </c>
      <c r="DHX38" s="365">
        <v>0.5</v>
      </c>
      <c r="DHY38" s="366" t="e">
        <f>10/DHU36</f>
        <v>#DIV/0!</v>
      </c>
      <c r="DHZ38" s="367">
        <v>15.38</v>
      </c>
      <c r="DIA38" s="367" t="e">
        <f>DHX38*DHY38*DHZ38</f>
        <v>#DIV/0!</v>
      </c>
      <c r="DIB38" s="363" t="s">
        <v>153</v>
      </c>
      <c r="DIC38" s="363"/>
      <c r="DID38" s="363"/>
      <c r="DIE38" s="364" t="s">
        <v>140</v>
      </c>
      <c r="DIF38" s="365">
        <v>0.5</v>
      </c>
      <c r="DIG38" s="366" t="e">
        <f>10/DIC36</f>
        <v>#DIV/0!</v>
      </c>
      <c r="DIH38" s="367">
        <v>15.38</v>
      </c>
      <c r="DII38" s="367" t="e">
        <f>DIF38*DIG38*DIH38</f>
        <v>#DIV/0!</v>
      </c>
      <c r="DIJ38" s="363" t="s">
        <v>153</v>
      </c>
      <c r="DIK38" s="363"/>
      <c r="DIL38" s="363"/>
      <c r="DIM38" s="364" t="s">
        <v>140</v>
      </c>
      <c r="DIN38" s="365">
        <v>0.5</v>
      </c>
      <c r="DIO38" s="366" t="e">
        <f>10/DIK36</f>
        <v>#DIV/0!</v>
      </c>
      <c r="DIP38" s="367">
        <v>15.38</v>
      </c>
      <c r="DIQ38" s="367" t="e">
        <f>DIN38*DIO38*DIP38</f>
        <v>#DIV/0!</v>
      </c>
      <c r="DIR38" s="363" t="s">
        <v>153</v>
      </c>
      <c r="DIS38" s="363"/>
      <c r="DIT38" s="363"/>
      <c r="DIU38" s="364" t="s">
        <v>140</v>
      </c>
      <c r="DIV38" s="365">
        <v>0.5</v>
      </c>
      <c r="DIW38" s="366" t="e">
        <f>10/DIS36</f>
        <v>#DIV/0!</v>
      </c>
      <c r="DIX38" s="367">
        <v>15.38</v>
      </c>
      <c r="DIY38" s="367" t="e">
        <f>DIV38*DIW38*DIX38</f>
        <v>#DIV/0!</v>
      </c>
      <c r="DIZ38" s="363" t="s">
        <v>153</v>
      </c>
      <c r="DJA38" s="363"/>
      <c r="DJB38" s="363"/>
      <c r="DJC38" s="364" t="s">
        <v>140</v>
      </c>
      <c r="DJD38" s="365">
        <v>0.5</v>
      </c>
      <c r="DJE38" s="366" t="e">
        <f>10/DJA36</f>
        <v>#DIV/0!</v>
      </c>
      <c r="DJF38" s="367">
        <v>15.38</v>
      </c>
      <c r="DJG38" s="367" t="e">
        <f>DJD38*DJE38*DJF38</f>
        <v>#DIV/0!</v>
      </c>
      <c r="DJH38" s="363" t="s">
        <v>153</v>
      </c>
      <c r="DJI38" s="363"/>
      <c r="DJJ38" s="363"/>
      <c r="DJK38" s="364" t="s">
        <v>140</v>
      </c>
      <c r="DJL38" s="365">
        <v>0.5</v>
      </c>
      <c r="DJM38" s="366" t="e">
        <f>10/DJI36</f>
        <v>#DIV/0!</v>
      </c>
      <c r="DJN38" s="367">
        <v>15.38</v>
      </c>
      <c r="DJO38" s="367" t="e">
        <f>DJL38*DJM38*DJN38</f>
        <v>#DIV/0!</v>
      </c>
      <c r="DJP38" s="363" t="s">
        <v>153</v>
      </c>
      <c r="DJQ38" s="363"/>
      <c r="DJR38" s="363"/>
      <c r="DJS38" s="364" t="s">
        <v>140</v>
      </c>
      <c r="DJT38" s="365">
        <v>0.5</v>
      </c>
      <c r="DJU38" s="366" t="e">
        <f>10/DJQ36</f>
        <v>#DIV/0!</v>
      </c>
      <c r="DJV38" s="367">
        <v>15.38</v>
      </c>
      <c r="DJW38" s="367" t="e">
        <f>DJT38*DJU38*DJV38</f>
        <v>#DIV/0!</v>
      </c>
      <c r="DJX38" s="363" t="s">
        <v>153</v>
      </c>
      <c r="DJY38" s="363"/>
      <c r="DJZ38" s="363"/>
      <c r="DKA38" s="364" t="s">
        <v>140</v>
      </c>
      <c r="DKB38" s="365">
        <v>0.5</v>
      </c>
      <c r="DKC38" s="366" t="e">
        <f>10/DJY36</f>
        <v>#DIV/0!</v>
      </c>
      <c r="DKD38" s="367">
        <v>15.38</v>
      </c>
      <c r="DKE38" s="367" t="e">
        <f>DKB38*DKC38*DKD38</f>
        <v>#DIV/0!</v>
      </c>
      <c r="DKF38" s="363" t="s">
        <v>153</v>
      </c>
      <c r="DKG38" s="363"/>
      <c r="DKH38" s="363"/>
      <c r="DKI38" s="364" t="s">
        <v>140</v>
      </c>
      <c r="DKJ38" s="365">
        <v>0.5</v>
      </c>
      <c r="DKK38" s="366" t="e">
        <f>10/DKG36</f>
        <v>#DIV/0!</v>
      </c>
      <c r="DKL38" s="367">
        <v>15.38</v>
      </c>
      <c r="DKM38" s="367" t="e">
        <f>DKJ38*DKK38*DKL38</f>
        <v>#DIV/0!</v>
      </c>
      <c r="DKN38" s="363" t="s">
        <v>153</v>
      </c>
      <c r="DKO38" s="363"/>
      <c r="DKP38" s="363"/>
      <c r="DKQ38" s="364" t="s">
        <v>140</v>
      </c>
      <c r="DKR38" s="365">
        <v>0.5</v>
      </c>
      <c r="DKS38" s="366" t="e">
        <f>10/DKO36</f>
        <v>#DIV/0!</v>
      </c>
      <c r="DKT38" s="367">
        <v>15.38</v>
      </c>
      <c r="DKU38" s="367" t="e">
        <f>DKR38*DKS38*DKT38</f>
        <v>#DIV/0!</v>
      </c>
      <c r="DKV38" s="363" t="s">
        <v>153</v>
      </c>
      <c r="DKW38" s="363"/>
      <c r="DKX38" s="363"/>
      <c r="DKY38" s="364" t="s">
        <v>140</v>
      </c>
      <c r="DKZ38" s="365">
        <v>0.5</v>
      </c>
      <c r="DLA38" s="366" t="e">
        <f>10/DKW36</f>
        <v>#DIV/0!</v>
      </c>
      <c r="DLB38" s="367">
        <v>15.38</v>
      </c>
      <c r="DLC38" s="367" t="e">
        <f>DKZ38*DLA38*DLB38</f>
        <v>#DIV/0!</v>
      </c>
      <c r="DLD38" s="363" t="s">
        <v>153</v>
      </c>
      <c r="DLE38" s="363"/>
      <c r="DLF38" s="363"/>
      <c r="DLG38" s="364" t="s">
        <v>140</v>
      </c>
      <c r="DLH38" s="365">
        <v>0.5</v>
      </c>
      <c r="DLI38" s="366" t="e">
        <f>10/DLE36</f>
        <v>#DIV/0!</v>
      </c>
      <c r="DLJ38" s="367">
        <v>15.38</v>
      </c>
      <c r="DLK38" s="367" t="e">
        <f>DLH38*DLI38*DLJ38</f>
        <v>#DIV/0!</v>
      </c>
      <c r="DLL38" s="363" t="s">
        <v>153</v>
      </c>
      <c r="DLM38" s="363"/>
      <c r="DLN38" s="363"/>
      <c r="DLO38" s="364" t="s">
        <v>140</v>
      </c>
      <c r="DLP38" s="365">
        <v>0.5</v>
      </c>
      <c r="DLQ38" s="366" t="e">
        <f>10/DLM36</f>
        <v>#DIV/0!</v>
      </c>
      <c r="DLR38" s="367">
        <v>15.38</v>
      </c>
      <c r="DLS38" s="367" t="e">
        <f>DLP38*DLQ38*DLR38</f>
        <v>#DIV/0!</v>
      </c>
      <c r="DLT38" s="363" t="s">
        <v>153</v>
      </c>
      <c r="DLU38" s="363"/>
      <c r="DLV38" s="363"/>
      <c r="DLW38" s="364" t="s">
        <v>140</v>
      </c>
      <c r="DLX38" s="365">
        <v>0.5</v>
      </c>
      <c r="DLY38" s="366" t="e">
        <f>10/DLU36</f>
        <v>#DIV/0!</v>
      </c>
      <c r="DLZ38" s="367">
        <v>15.38</v>
      </c>
      <c r="DMA38" s="367" t="e">
        <f>DLX38*DLY38*DLZ38</f>
        <v>#DIV/0!</v>
      </c>
      <c r="DMB38" s="363" t="s">
        <v>153</v>
      </c>
      <c r="DMC38" s="363"/>
      <c r="DMD38" s="363"/>
      <c r="DME38" s="364" t="s">
        <v>140</v>
      </c>
      <c r="DMF38" s="365">
        <v>0.5</v>
      </c>
      <c r="DMG38" s="366" t="e">
        <f>10/DMC36</f>
        <v>#DIV/0!</v>
      </c>
      <c r="DMH38" s="367">
        <v>15.38</v>
      </c>
      <c r="DMI38" s="367" t="e">
        <f>DMF38*DMG38*DMH38</f>
        <v>#DIV/0!</v>
      </c>
      <c r="DMJ38" s="363" t="s">
        <v>153</v>
      </c>
      <c r="DMK38" s="363"/>
      <c r="DML38" s="363"/>
      <c r="DMM38" s="364" t="s">
        <v>140</v>
      </c>
      <c r="DMN38" s="365">
        <v>0.5</v>
      </c>
      <c r="DMO38" s="366" t="e">
        <f>10/DMK36</f>
        <v>#DIV/0!</v>
      </c>
      <c r="DMP38" s="367">
        <v>15.38</v>
      </c>
      <c r="DMQ38" s="367" t="e">
        <f>DMN38*DMO38*DMP38</f>
        <v>#DIV/0!</v>
      </c>
      <c r="DMR38" s="363" t="s">
        <v>153</v>
      </c>
      <c r="DMS38" s="363"/>
      <c r="DMT38" s="363"/>
      <c r="DMU38" s="364" t="s">
        <v>140</v>
      </c>
      <c r="DMV38" s="365">
        <v>0.5</v>
      </c>
      <c r="DMW38" s="366" t="e">
        <f>10/DMS36</f>
        <v>#DIV/0!</v>
      </c>
      <c r="DMX38" s="367">
        <v>15.38</v>
      </c>
      <c r="DMY38" s="367" t="e">
        <f>DMV38*DMW38*DMX38</f>
        <v>#DIV/0!</v>
      </c>
      <c r="DMZ38" s="363" t="s">
        <v>153</v>
      </c>
      <c r="DNA38" s="363"/>
      <c r="DNB38" s="363"/>
      <c r="DNC38" s="364" t="s">
        <v>140</v>
      </c>
      <c r="DND38" s="365">
        <v>0.5</v>
      </c>
      <c r="DNE38" s="366" t="e">
        <f>10/DNA36</f>
        <v>#DIV/0!</v>
      </c>
      <c r="DNF38" s="367">
        <v>15.38</v>
      </c>
      <c r="DNG38" s="367" t="e">
        <f>DND38*DNE38*DNF38</f>
        <v>#DIV/0!</v>
      </c>
      <c r="DNH38" s="363" t="s">
        <v>153</v>
      </c>
      <c r="DNI38" s="363"/>
      <c r="DNJ38" s="363"/>
      <c r="DNK38" s="364" t="s">
        <v>140</v>
      </c>
      <c r="DNL38" s="365">
        <v>0.5</v>
      </c>
      <c r="DNM38" s="366" t="e">
        <f>10/DNI36</f>
        <v>#DIV/0!</v>
      </c>
      <c r="DNN38" s="367">
        <v>15.38</v>
      </c>
      <c r="DNO38" s="367" t="e">
        <f>DNL38*DNM38*DNN38</f>
        <v>#DIV/0!</v>
      </c>
      <c r="DNP38" s="363" t="s">
        <v>153</v>
      </c>
      <c r="DNQ38" s="363"/>
      <c r="DNR38" s="363"/>
      <c r="DNS38" s="364" t="s">
        <v>140</v>
      </c>
      <c r="DNT38" s="365">
        <v>0.5</v>
      </c>
      <c r="DNU38" s="366" t="e">
        <f>10/DNQ36</f>
        <v>#DIV/0!</v>
      </c>
      <c r="DNV38" s="367">
        <v>15.38</v>
      </c>
      <c r="DNW38" s="367" t="e">
        <f>DNT38*DNU38*DNV38</f>
        <v>#DIV/0!</v>
      </c>
      <c r="DNX38" s="363" t="s">
        <v>153</v>
      </c>
      <c r="DNY38" s="363"/>
      <c r="DNZ38" s="363"/>
      <c r="DOA38" s="364" t="s">
        <v>140</v>
      </c>
      <c r="DOB38" s="365">
        <v>0.5</v>
      </c>
      <c r="DOC38" s="366" t="e">
        <f>10/DNY36</f>
        <v>#DIV/0!</v>
      </c>
      <c r="DOD38" s="367">
        <v>15.38</v>
      </c>
      <c r="DOE38" s="367" t="e">
        <f>DOB38*DOC38*DOD38</f>
        <v>#DIV/0!</v>
      </c>
      <c r="DOF38" s="363" t="s">
        <v>153</v>
      </c>
      <c r="DOG38" s="363"/>
      <c r="DOH38" s="363"/>
      <c r="DOI38" s="364" t="s">
        <v>140</v>
      </c>
      <c r="DOJ38" s="365">
        <v>0.5</v>
      </c>
      <c r="DOK38" s="366" t="e">
        <f>10/DOG36</f>
        <v>#DIV/0!</v>
      </c>
      <c r="DOL38" s="367">
        <v>15.38</v>
      </c>
      <c r="DOM38" s="367" t="e">
        <f>DOJ38*DOK38*DOL38</f>
        <v>#DIV/0!</v>
      </c>
      <c r="DON38" s="363" t="s">
        <v>153</v>
      </c>
      <c r="DOO38" s="363"/>
      <c r="DOP38" s="363"/>
      <c r="DOQ38" s="364" t="s">
        <v>140</v>
      </c>
      <c r="DOR38" s="365">
        <v>0.5</v>
      </c>
      <c r="DOS38" s="366" t="e">
        <f>10/DOO36</f>
        <v>#DIV/0!</v>
      </c>
      <c r="DOT38" s="367">
        <v>15.38</v>
      </c>
      <c r="DOU38" s="367" t="e">
        <f>DOR38*DOS38*DOT38</f>
        <v>#DIV/0!</v>
      </c>
      <c r="DOV38" s="363" t="s">
        <v>153</v>
      </c>
      <c r="DOW38" s="363"/>
      <c r="DOX38" s="363"/>
      <c r="DOY38" s="364" t="s">
        <v>140</v>
      </c>
      <c r="DOZ38" s="365">
        <v>0.5</v>
      </c>
      <c r="DPA38" s="366" t="e">
        <f>10/DOW36</f>
        <v>#DIV/0!</v>
      </c>
      <c r="DPB38" s="367">
        <v>15.38</v>
      </c>
      <c r="DPC38" s="367" t="e">
        <f>DOZ38*DPA38*DPB38</f>
        <v>#DIV/0!</v>
      </c>
      <c r="DPD38" s="363" t="s">
        <v>153</v>
      </c>
      <c r="DPE38" s="363"/>
      <c r="DPF38" s="363"/>
      <c r="DPG38" s="364" t="s">
        <v>140</v>
      </c>
      <c r="DPH38" s="365">
        <v>0.5</v>
      </c>
      <c r="DPI38" s="366" t="e">
        <f>10/DPE36</f>
        <v>#DIV/0!</v>
      </c>
      <c r="DPJ38" s="367">
        <v>15.38</v>
      </c>
      <c r="DPK38" s="367" t="e">
        <f>DPH38*DPI38*DPJ38</f>
        <v>#DIV/0!</v>
      </c>
      <c r="DPL38" s="363" t="s">
        <v>153</v>
      </c>
      <c r="DPM38" s="363"/>
      <c r="DPN38" s="363"/>
      <c r="DPO38" s="364" t="s">
        <v>140</v>
      </c>
      <c r="DPP38" s="365">
        <v>0.5</v>
      </c>
      <c r="DPQ38" s="366" t="e">
        <f>10/DPM36</f>
        <v>#DIV/0!</v>
      </c>
      <c r="DPR38" s="367">
        <v>15.38</v>
      </c>
      <c r="DPS38" s="367" t="e">
        <f>DPP38*DPQ38*DPR38</f>
        <v>#DIV/0!</v>
      </c>
      <c r="DPT38" s="363" t="s">
        <v>153</v>
      </c>
      <c r="DPU38" s="363"/>
      <c r="DPV38" s="363"/>
      <c r="DPW38" s="364" t="s">
        <v>140</v>
      </c>
      <c r="DPX38" s="365">
        <v>0.5</v>
      </c>
      <c r="DPY38" s="366" t="e">
        <f>10/DPU36</f>
        <v>#DIV/0!</v>
      </c>
      <c r="DPZ38" s="367">
        <v>15.38</v>
      </c>
      <c r="DQA38" s="367" t="e">
        <f>DPX38*DPY38*DPZ38</f>
        <v>#DIV/0!</v>
      </c>
      <c r="DQB38" s="363" t="s">
        <v>153</v>
      </c>
      <c r="DQC38" s="363"/>
      <c r="DQD38" s="363"/>
      <c r="DQE38" s="364" t="s">
        <v>140</v>
      </c>
      <c r="DQF38" s="365">
        <v>0.5</v>
      </c>
      <c r="DQG38" s="366" t="e">
        <f>10/DQC36</f>
        <v>#DIV/0!</v>
      </c>
      <c r="DQH38" s="367">
        <v>15.38</v>
      </c>
      <c r="DQI38" s="367" t="e">
        <f>DQF38*DQG38*DQH38</f>
        <v>#DIV/0!</v>
      </c>
      <c r="DQJ38" s="363" t="s">
        <v>153</v>
      </c>
      <c r="DQK38" s="363"/>
      <c r="DQL38" s="363"/>
      <c r="DQM38" s="364" t="s">
        <v>140</v>
      </c>
      <c r="DQN38" s="365">
        <v>0.5</v>
      </c>
      <c r="DQO38" s="366" t="e">
        <f>10/DQK36</f>
        <v>#DIV/0!</v>
      </c>
      <c r="DQP38" s="367">
        <v>15.38</v>
      </c>
      <c r="DQQ38" s="367" t="e">
        <f>DQN38*DQO38*DQP38</f>
        <v>#DIV/0!</v>
      </c>
      <c r="DQR38" s="363" t="s">
        <v>153</v>
      </c>
      <c r="DQS38" s="363"/>
      <c r="DQT38" s="363"/>
      <c r="DQU38" s="364" t="s">
        <v>140</v>
      </c>
      <c r="DQV38" s="365">
        <v>0.5</v>
      </c>
      <c r="DQW38" s="366" t="e">
        <f>10/DQS36</f>
        <v>#DIV/0!</v>
      </c>
      <c r="DQX38" s="367">
        <v>15.38</v>
      </c>
      <c r="DQY38" s="367" t="e">
        <f>DQV38*DQW38*DQX38</f>
        <v>#DIV/0!</v>
      </c>
      <c r="DQZ38" s="363" t="s">
        <v>153</v>
      </c>
      <c r="DRA38" s="363"/>
      <c r="DRB38" s="363"/>
      <c r="DRC38" s="364" t="s">
        <v>140</v>
      </c>
      <c r="DRD38" s="365">
        <v>0.5</v>
      </c>
      <c r="DRE38" s="366" t="e">
        <f>10/DRA36</f>
        <v>#DIV/0!</v>
      </c>
      <c r="DRF38" s="367">
        <v>15.38</v>
      </c>
      <c r="DRG38" s="367" t="e">
        <f>DRD38*DRE38*DRF38</f>
        <v>#DIV/0!</v>
      </c>
      <c r="DRH38" s="363" t="s">
        <v>153</v>
      </c>
      <c r="DRI38" s="363"/>
      <c r="DRJ38" s="363"/>
      <c r="DRK38" s="364" t="s">
        <v>140</v>
      </c>
      <c r="DRL38" s="365">
        <v>0.5</v>
      </c>
      <c r="DRM38" s="366" t="e">
        <f>10/DRI36</f>
        <v>#DIV/0!</v>
      </c>
      <c r="DRN38" s="367">
        <v>15.38</v>
      </c>
      <c r="DRO38" s="367" t="e">
        <f>DRL38*DRM38*DRN38</f>
        <v>#DIV/0!</v>
      </c>
      <c r="DRP38" s="363" t="s">
        <v>153</v>
      </c>
      <c r="DRQ38" s="363"/>
      <c r="DRR38" s="363"/>
      <c r="DRS38" s="364" t="s">
        <v>140</v>
      </c>
      <c r="DRT38" s="365">
        <v>0.5</v>
      </c>
      <c r="DRU38" s="366" t="e">
        <f>10/DRQ36</f>
        <v>#DIV/0!</v>
      </c>
      <c r="DRV38" s="367">
        <v>15.38</v>
      </c>
      <c r="DRW38" s="367" t="e">
        <f>DRT38*DRU38*DRV38</f>
        <v>#DIV/0!</v>
      </c>
      <c r="DRX38" s="363" t="s">
        <v>153</v>
      </c>
      <c r="DRY38" s="363"/>
      <c r="DRZ38" s="363"/>
      <c r="DSA38" s="364" t="s">
        <v>140</v>
      </c>
      <c r="DSB38" s="365">
        <v>0.5</v>
      </c>
      <c r="DSC38" s="366" t="e">
        <f>10/DRY36</f>
        <v>#DIV/0!</v>
      </c>
      <c r="DSD38" s="367">
        <v>15.38</v>
      </c>
      <c r="DSE38" s="367" t="e">
        <f>DSB38*DSC38*DSD38</f>
        <v>#DIV/0!</v>
      </c>
      <c r="DSF38" s="363" t="s">
        <v>153</v>
      </c>
      <c r="DSG38" s="363"/>
      <c r="DSH38" s="363"/>
      <c r="DSI38" s="364" t="s">
        <v>140</v>
      </c>
      <c r="DSJ38" s="365">
        <v>0.5</v>
      </c>
      <c r="DSK38" s="366" t="e">
        <f>10/DSG36</f>
        <v>#DIV/0!</v>
      </c>
      <c r="DSL38" s="367">
        <v>15.38</v>
      </c>
      <c r="DSM38" s="367" t="e">
        <f>DSJ38*DSK38*DSL38</f>
        <v>#DIV/0!</v>
      </c>
      <c r="DSN38" s="363" t="s">
        <v>153</v>
      </c>
      <c r="DSO38" s="363"/>
      <c r="DSP38" s="363"/>
      <c r="DSQ38" s="364" t="s">
        <v>140</v>
      </c>
      <c r="DSR38" s="365">
        <v>0.5</v>
      </c>
      <c r="DSS38" s="366" t="e">
        <f>10/DSO36</f>
        <v>#DIV/0!</v>
      </c>
      <c r="DST38" s="367">
        <v>15.38</v>
      </c>
      <c r="DSU38" s="367" t="e">
        <f>DSR38*DSS38*DST38</f>
        <v>#DIV/0!</v>
      </c>
      <c r="DSV38" s="363" t="s">
        <v>153</v>
      </c>
      <c r="DSW38" s="363"/>
      <c r="DSX38" s="363"/>
      <c r="DSY38" s="364" t="s">
        <v>140</v>
      </c>
      <c r="DSZ38" s="365">
        <v>0.5</v>
      </c>
      <c r="DTA38" s="366" t="e">
        <f>10/DSW36</f>
        <v>#DIV/0!</v>
      </c>
      <c r="DTB38" s="367">
        <v>15.38</v>
      </c>
      <c r="DTC38" s="367" t="e">
        <f>DSZ38*DTA38*DTB38</f>
        <v>#DIV/0!</v>
      </c>
      <c r="DTD38" s="363" t="s">
        <v>153</v>
      </c>
      <c r="DTE38" s="363"/>
      <c r="DTF38" s="363"/>
      <c r="DTG38" s="364" t="s">
        <v>140</v>
      </c>
      <c r="DTH38" s="365">
        <v>0.5</v>
      </c>
      <c r="DTI38" s="366" t="e">
        <f>10/DTE36</f>
        <v>#DIV/0!</v>
      </c>
      <c r="DTJ38" s="367">
        <v>15.38</v>
      </c>
      <c r="DTK38" s="367" t="e">
        <f>DTH38*DTI38*DTJ38</f>
        <v>#DIV/0!</v>
      </c>
      <c r="DTL38" s="363" t="s">
        <v>153</v>
      </c>
      <c r="DTM38" s="363"/>
      <c r="DTN38" s="363"/>
      <c r="DTO38" s="364" t="s">
        <v>140</v>
      </c>
      <c r="DTP38" s="365">
        <v>0.5</v>
      </c>
      <c r="DTQ38" s="366" t="e">
        <f>10/DTM36</f>
        <v>#DIV/0!</v>
      </c>
      <c r="DTR38" s="367">
        <v>15.38</v>
      </c>
      <c r="DTS38" s="367" t="e">
        <f>DTP38*DTQ38*DTR38</f>
        <v>#DIV/0!</v>
      </c>
      <c r="DTT38" s="363" t="s">
        <v>153</v>
      </c>
      <c r="DTU38" s="363"/>
      <c r="DTV38" s="363"/>
      <c r="DTW38" s="364" t="s">
        <v>140</v>
      </c>
      <c r="DTX38" s="365">
        <v>0.5</v>
      </c>
      <c r="DTY38" s="366" t="e">
        <f>10/DTU36</f>
        <v>#DIV/0!</v>
      </c>
      <c r="DTZ38" s="367">
        <v>15.38</v>
      </c>
      <c r="DUA38" s="367" t="e">
        <f>DTX38*DTY38*DTZ38</f>
        <v>#DIV/0!</v>
      </c>
      <c r="DUB38" s="363" t="s">
        <v>153</v>
      </c>
      <c r="DUC38" s="363"/>
      <c r="DUD38" s="363"/>
      <c r="DUE38" s="364" t="s">
        <v>140</v>
      </c>
      <c r="DUF38" s="365">
        <v>0.5</v>
      </c>
      <c r="DUG38" s="366" t="e">
        <f>10/DUC36</f>
        <v>#DIV/0!</v>
      </c>
      <c r="DUH38" s="367">
        <v>15.38</v>
      </c>
      <c r="DUI38" s="367" t="e">
        <f>DUF38*DUG38*DUH38</f>
        <v>#DIV/0!</v>
      </c>
      <c r="DUJ38" s="363" t="s">
        <v>153</v>
      </c>
      <c r="DUK38" s="363"/>
      <c r="DUL38" s="363"/>
      <c r="DUM38" s="364" t="s">
        <v>140</v>
      </c>
      <c r="DUN38" s="365">
        <v>0.5</v>
      </c>
      <c r="DUO38" s="366" t="e">
        <f>10/DUK36</f>
        <v>#DIV/0!</v>
      </c>
      <c r="DUP38" s="367">
        <v>15.38</v>
      </c>
      <c r="DUQ38" s="367" t="e">
        <f>DUN38*DUO38*DUP38</f>
        <v>#DIV/0!</v>
      </c>
      <c r="DUR38" s="363" t="s">
        <v>153</v>
      </c>
      <c r="DUS38" s="363"/>
      <c r="DUT38" s="363"/>
      <c r="DUU38" s="364" t="s">
        <v>140</v>
      </c>
      <c r="DUV38" s="365">
        <v>0.5</v>
      </c>
      <c r="DUW38" s="366" t="e">
        <f>10/DUS36</f>
        <v>#DIV/0!</v>
      </c>
      <c r="DUX38" s="367">
        <v>15.38</v>
      </c>
      <c r="DUY38" s="367" t="e">
        <f>DUV38*DUW38*DUX38</f>
        <v>#DIV/0!</v>
      </c>
      <c r="DUZ38" s="363" t="s">
        <v>153</v>
      </c>
      <c r="DVA38" s="363"/>
      <c r="DVB38" s="363"/>
      <c r="DVC38" s="364" t="s">
        <v>140</v>
      </c>
      <c r="DVD38" s="365">
        <v>0.5</v>
      </c>
      <c r="DVE38" s="366" t="e">
        <f>10/DVA36</f>
        <v>#DIV/0!</v>
      </c>
      <c r="DVF38" s="367">
        <v>15.38</v>
      </c>
      <c r="DVG38" s="367" t="e">
        <f>DVD38*DVE38*DVF38</f>
        <v>#DIV/0!</v>
      </c>
      <c r="DVH38" s="363" t="s">
        <v>153</v>
      </c>
      <c r="DVI38" s="363"/>
      <c r="DVJ38" s="363"/>
      <c r="DVK38" s="364" t="s">
        <v>140</v>
      </c>
      <c r="DVL38" s="365">
        <v>0.5</v>
      </c>
      <c r="DVM38" s="366" t="e">
        <f>10/DVI36</f>
        <v>#DIV/0!</v>
      </c>
      <c r="DVN38" s="367">
        <v>15.38</v>
      </c>
      <c r="DVO38" s="367" t="e">
        <f>DVL38*DVM38*DVN38</f>
        <v>#DIV/0!</v>
      </c>
      <c r="DVP38" s="363" t="s">
        <v>153</v>
      </c>
      <c r="DVQ38" s="363"/>
      <c r="DVR38" s="363"/>
      <c r="DVS38" s="364" t="s">
        <v>140</v>
      </c>
      <c r="DVT38" s="365">
        <v>0.5</v>
      </c>
      <c r="DVU38" s="366" t="e">
        <f>10/DVQ36</f>
        <v>#DIV/0!</v>
      </c>
      <c r="DVV38" s="367">
        <v>15.38</v>
      </c>
      <c r="DVW38" s="367" t="e">
        <f>DVT38*DVU38*DVV38</f>
        <v>#DIV/0!</v>
      </c>
      <c r="DVX38" s="363" t="s">
        <v>153</v>
      </c>
      <c r="DVY38" s="363"/>
      <c r="DVZ38" s="363"/>
      <c r="DWA38" s="364" t="s">
        <v>140</v>
      </c>
      <c r="DWB38" s="365">
        <v>0.5</v>
      </c>
      <c r="DWC38" s="366" t="e">
        <f>10/DVY36</f>
        <v>#DIV/0!</v>
      </c>
      <c r="DWD38" s="367">
        <v>15.38</v>
      </c>
      <c r="DWE38" s="367" t="e">
        <f>DWB38*DWC38*DWD38</f>
        <v>#DIV/0!</v>
      </c>
      <c r="DWF38" s="363" t="s">
        <v>153</v>
      </c>
      <c r="DWG38" s="363"/>
      <c r="DWH38" s="363"/>
      <c r="DWI38" s="364" t="s">
        <v>140</v>
      </c>
      <c r="DWJ38" s="365">
        <v>0.5</v>
      </c>
      <c r="DWK38" s="366" t="e">
        <f>10/DWG36</f>
        <v>#DIV/0!</v>
      </c>
      <c r="DWL38" s="367">
        <v>15.38</v>
      </c>
      <c r="DWM38" s="367" t="e">
        <f>DWJ38*DWK38*DWL38</f>
        <v>#DIV/0!</v>
      </c>
      <c r="DWN38" s="363" t="s">
        <v>153</v>
      </c>
      <c r="DWO38" s="363"/>
      <c r="DWP38" s="363"/>
      <c r="DWQ38" s="364" t="s">
        <v>140</v>
      </c>
      <c r="DWR38" s="365">
        <v>0.5</v>
      </c>
      <c r="DWS38" s="366" t="e">
        <f>10/DWO36</f>
        <v>#DIV/0!</v>
      </c>
      <c r="DWT38" s="367">
        <v>15.38</v>
      </c>
      <c r="DWU38" s="367" t="e">
        <f>DWR38*DWS38*DWT38</f>
        <v>#DIV/0!</v>
      </c>
      <c r="DWV38" s="363" t="s">
        <v>153</v>
      </c>
      <c r="DWW38" s="363"/>
      <c r="DWX38" s="363"/>
      <c r="DWY38" s="364" t="s">
        <v>140</v>
      </c>
      <c r="DWZ38" s="365">
        <v>0.5</v>
      </c>
      <c r="DXA38" s="366" t="e">
        <f>10/DWW36</f>
        <v>#DIV/0!</v>
      </c>
      <c r="DXB38" s="367">
        <v>15.38</v>
      </c>
      <c r="DXC38" s="367" t="e">
        <f>DWZ38*DXA38*DXB38</f>
        <v>#DIV/0!</v>
      </c>
      <c r="DXD38" s="363" t="s">
        <v>153</v>
      </c>
      <c r="DXE38" s="363"/>
      <c r="DXF38" s="363"/>
      <c r="DXG38" s="364" t="s">
        <v>140</v>
      </c>
      <c r="DXH38" s="365">
        <v>0.5</v>
      </c>
      <c r="DXI38" s="366" t="e">
        <f>10/DXE36</f>
        <v>#DIV/0!</v>
      </c>
      <c r="DXJ38" s="367">
        <v>15.38</v>
      </c>
      <c r="DXK38" s="367" t="e">
        <f>DXH38*DXI38*DXJ38</f>
        <v>#DIV/0!</v>
      </c>
      <c r="DXL38" s="363" t="s">
        <v>153</v>
      </c>
      <c r="DXM38" s="363"/>
      <c r="DXN38" s="363"/>
      <c r="DXO38" s="364" t="s">
        <v>140</v>
      </c>
      <c r="DXP38" s="365">
        <v>0.5</v>
      </c>
      <c r="DXQ38" s="366" t="e">
        <f>10/DXM36</f>
        <v>#DIV/0!</v>
      </c>
      <c r="DXR38" s="367">
        <v>15.38</v>
      </c>
      <c r="DXS38" s="367" t="e">
        <f>DXP38*DXQ38*DXR38</f>
        <v>#DIV/0!</v>
      </c>
      <c r="DXT38" s="363" t="s">
        <v>153</v>
      </c>
      <c r="DXU38" s="363"/>
      <c r="DXV38" s="363"/>
      <c r="DXW38" s="364" t="s">
        <v>140</v>
      </c>
      <c r="DXX38" s="365">
        <v>0.5</v>
      </c>
      <c r="DXY38" s="366" t="e">
        <f>10/DXU36</f>
        <v>#DIV/0!</v>
      </c>
      <c r="DXZ38" s="367">
        <v>15.38</v>
      </c>
      <c r="DYA38" s="367" t="e">
        <f>DXX38*DXY38*DXZ38</f>
        <v>#DIV/0!</v>
      </c>
      <c r="DYB38" s="363" t="s">
        <v>153</v>
      </c>
      <c r="DYC38" s="363"/>
      <c r="DYD38" s="363"/>
      <c r="DYE38" s="364" t="s">
        <v>140</v>
      </c>
      <c r="DYF38" s="365">
        <v>0.5</v>
      </c>
      <c r="DYG38" s="366" t="e">
        <f>10/DYC36</f>
        <v>#DIV/0!</v>
      </c>
      <c r="DYH38" s="367">
        <v>15.38</v>
      </c>
      <c r="DYI38" s="367" t="e">
        <f>DYF38*DYG38*DYH38</f>
        <v>#DIV/0!</v>
      </c>
      <c r="DYJ38" s="363" t="s">
        <v>153</v>
      </c>
      <c r="DYK38" s="363"/>
      <c r="DYL38" s="363"/>
      <c r="DYM38" s="364" t="s">
        <v>140</v>
      </c>
      <c r="DYN38" s="365">
        <v>0.5</v>
      </c>
      <c r="DYO38" s="366" t="e">
        <f>10/DYK36</f>
        <v>#DIV/0!</v>
      </c>
      <c r="DYP38" s="367">
        <v>15.38</v>
      </c>
      <c r="DYQ38" s="367" t="e">
        <f>DYN38*DYO38*DYP38</f>
        <v>#DIV/0!</v>
      </c>
      <c r="DYR38" s="363" t="s">
        <v>153</v>
      </c>
      <c r="DYS38" s="363"/>
      <c r="DYT38" s="363"/>
      <c r="DYU38" s="364" t="s">
        <v>140</v>
      </c>
      <c r="DYV38" s="365">
        <v>0.5</v>
      </c>
      <c r="DYW38" s="366" t="e">
        <f>10/DYS36</f>
        <v>#DIV/0!</v>
      </c>
      <c r="DYX38" s="367">
        <v>15.38</v>
      </c>
      <c r="DYY38" s="367" t="e">
        <f>DYV38*DYW38*DYX38</f>
        <v>#DIV/0!</v>
      </c>
      <c r="DYZ38" s="363" t="s">
        <v>153</v>
      </c>
      <c r="DZA38" s="363"/>
      <c r="DZB38" s="363"/>
      <c r="DZC38" s="364" t="s">
        <v>140</v>
      </c>
      <c r="DZD38" s="365">
        <v>0.5</v>
      </c>
      <c r="DZE38" s="366" t="e">
        <f>10/DZA36</f>
        <v>#DIV/0!</v>
      </c>
      <c r="DZF38" s="367">
        <v>15.38</v>
      </c>
      <c r="DZG38" s="367" t="e">
        <f>DZD38*DZE38*DZF38</f>
        <v>#DIV/0!</v>
      </c>
      <c r="DZH38" s="363" t="s">
        <v>153</v>
      </c>
      <c r="DZI38" s="363"/>
      <c r="DZJ38" s="363"/>
      <c r="DZK38" s="364" t="s">
        <v>140</v>
      </c>
      <c r="DZL38" s="365">
        <v>0.5</v>
      </c>
      <c r="DZM38" s="366" t="e">
        <f>10/DZI36</f>
        <v>#DIV/0!</v>
      </c>
      <c r="DZN38" s="367">
        <v>15.38</v>
      </c>
      <c r="DZO38" s="367" t="e">
        <f>DZL38*DZM38*DZN38</f>
        <v>#DIV/0!</v>
      </c>
      <c r="DZP38" s="363" t="s">
        <v>153</v>
      </c>
      <c r="DZQ38" s="363"/>
      <c r="DZR38" s="363"/>
      <c r="DZS38" s="364" t="s">
        <v>140</v>
      </c>
      <c r="DZT38" s="365">
        <v>0.5</v>
      </c>
      <c r="DZU38" s="366" t="e">
        <f>10/DZQ36</f>
        <v>#DIV/0!</v>
      </c>
      <c r="DZV38" s="367">
        <v>15.38</v>
      </c>
      <c r="DZW38" s="367" t="e">
        <f>DZT38*DZU38*DZV38</f>
        <v>#DIV/0!</v>
      </c>
      <c r="DZX38" s="363" t="s">
        <v>153</v>
      </c>
      <c r="DZY38" s="363"/>
      <c r="DZZ38" s="363"/>
      <c r="EAA38" s="364" t="s">
        <v>140</v>
      </c>
      <c r="EAB38" s="365">
        <v>0.5</v>
      </c>
      <c r="EAC38" s="366" t="e">
        <f>10/DZY36</f>
        <v>#DIV/0!</v>
      </c>
      <c r="EAD38" s="367">
        <v>15.38</v>
      </c>
      <c r="EAE38" s="367" t="e">
        <f>EAB38*EAC38*EAD38</f>
        <v>#DIV/0!</v>
      </c>
      <c r="EAF38" s="363" t="s">
        <v>153</v>
      </c>
      <c r="EAG38" s="363"/>
      <c r="EAH38" s="363"/>
      <c r="EAI38" s="364" t="s">
        <v>140</v>
      </c>
      <c r="EAJ38" s="365">
        <v>0.5</v>
      </c>
      <c r="EAK38" s="366" t="e">
        <f>10/EAG36</f>
        <v>#DIV/0!</v>
      </c>
      <c r="EAL38" s="367">
        <v>15.38</v>
      </c>
      <c r="EAM38" s="367" t="e">
        <f>EAJ38*EAK38*EAL38</f>
        <v>#DIV/0!</v>
      </c>
      <c r="EAN38" s="363" t="s">
        <v>153</v>
      </c>
      <c r="EAO38" s="363"/>
      <c r="EAP38" s="363"/>
      <c r="EAQ38" s="364" t="s">
        <v>140</v>
      </c>
      <c r="EAR38" s="365">
        <v>0.5</v>
      </c>
      <c r="EAS38" s="366" t="e">
        <f>10/EAO36</f>
        <v>#DIV/0!</v>
      </c>
      <c r="EAT38" s="367">
        <v>15.38</v>
      </c>
      <c r="EAU38" s="367" t="e">
        <f>EAR38*EAS38*EAT38</f>
        <v>#DIV/0!</v>
      </c>
      <c r="EAV38" s="363" t="s">
        <v>153</v>
      </c>
      <c r="EAW38" s="363"/>
      <c r="EAX38" s="363"/>
      <c r="EAY38" s="364" t="s">
        <v>140</v>
      </c>
      <c r="EAZ38" s="365">
        <v>0.5</v>
      </c>
      <c r="EBA38" s="366" t="e">
        <f>10/EAW36</f>
        <v>#DIV/0!</v>
      </c>
      <c r="EBB38" s="367">
        <v>15.38</v>
      </c>
      <c r="EBC38" s="367" t="e">
        <f>EAZ38*EBA38*EBB38</f>
        <v>#DIV/0!</v>
      </c>
      <c r="EBD38" s="363" t="s">
        <v>153</v>
      </c>
      <c r="EBE38" s="363"/>
      <c r="EBF38" s="363"/>
      <c r="EBG38" s="364" t="s">
        <v>140</v>
      </c>
      <c r="EBH38" s="365">
        <v>0.5</v>
      </c>
      <c r="EBI38" s="366" t="e">
        <f>10/EBE36</f>
        <v>#DIV/0!</v>
      </c>
      <c r="EBJ38" s="367">
        <v>15.38</v>
      </c>
      <c r="EBK38" s="367" t="e">
        <f>EBH38*EBI38*EBJ38</f>
        <v>#DIV/0!</v>
      </c>
      <c r="EBL38" s="363" t="s">
        <v>153</v>
      </c>
      <c r="EBM38" s="363"/>
      <c r="EBN38" s="363"/>
      <c r="EBO38" s="364" t="s">
        <v>140</v>
      </c>
      <c r="EBP38" s="365">
        <v>0.5</v>
      </c>
      <c r="EBQ38" s="366" t="e">
        <f>10/EBM36</f>
        <v>#DIV/0!</v>
      </c>
      <c r="EBR38" s="367">
        <v>15.38</v>
      </c>
      <c r="EBS38" s="367" t="e">
        <f>EBP38*EBQ38*EBR38</f>
        <v>#DIV/0!</v>
      </c>
      <c r="EBT38" s="363" t="s">
        <v>153</v>
      </c>
      <c r="EBU38" s="363"/>
      <c r="EBV38" s="363"/>
      <c r="EBW38" s="364" t="s">
        <v>140</v>
      </c>
      <c r="EBX38" s="365">
        <v>0.5</v>
      </c>
      <c r="EBY38" s="366" t="e">
        <f>10/EBU36</f>
        <v>#DIV/0!</v>
      </c>
      <c r="EBZ38" s="367">
        <v>15.38</v>
      </c>
      <c r="ECA38" s="367" t="e">
        <f>EBX38*EBY38*EBZ38</f>
        <v>#DIV/0!</v>
      </c>
      <c r="ECB38" s="363" t="s">
        <v>153</v>
      </c>
      <c r="ECC38" s="363"/>
      <c r="ECD38" s="363"/>
      <c r="ECE38" s="364" t="s">
        <v>140</v>
      </c>
      <c r="ECF38" s="365">
        <v>0.5</v>
      </c>
      <c r="ECG38" s="366" t="e">
        <f>10/ECC36</f>
        <v>#DIV/0!</v>
      </c>
      <c r="ECH38" s="367">
        <v>15.38</v>
      </c>
      <c r="ECI38" s="367" t="e">
        <f>ECF38*ECG38*ECH38</f>
        <v>#DIV/0!</v>
      </c>
      <c r="ECJ38" s="363" t="s">
        <v>153</v>
      </c>
      <c r="ECK38" s="363"/>
      <c r="ECL38" s="363"/>
      <c r="ECM38" s="364" t="s">
        <v>140</v>
      </c>
      <c r="ECN38" s="365">
        <v>0.5</v>
      </c>
      <c r="ECO38" s="366" t="e">
        <f>10/ECK36</f>
        <v>#DIV/0!</v>
      </c>
      <c r="ECP38" s="367">
        <v>15.38</v>
      </c>
      <c r="ECQ38" s="367" t="e">
        <f>ECN38*ECO38*ECP38</f>
        <v>#DIV/0!</v>
      </c>
      <c r="ECR38" s="363" t="s">
        <v>153</v>
      </c>
      <c r="ECS38" s="363"/>
      <c r="ECT38" s="363"/>
      <c r="ECU38" s="364" t="s">
        <v>140</v>
      </c>
      <c r="ECV38" s="365">
        <v>0.5</v>
      </c>
      <c r="ECW38" s="366" t="e">
        <f>10/ECS36</f>
        <v>#DIV/0!</v>
      </c>
      <c r="ECX38" s="367">
        <v>15.38</v>
      </c>
      <c r="ECY38" s="367" t="e">
        <f>ECV38*ECW38*ECX38</f>
        <v>#DIV/0!</v>
      </c>
      <c r="ECZ38" s="363" t="s">
        <v>153</v>
      </c>
      <c r="EDA38" s="363"/>
      <c r="EDB38" s="363"/>
      <c r="EDC38" s="364" t="s">
        <v>140</v>
      </c>
      <c r="EDD38" s="365">
        <v>0.5</v>
      </c>
      <c r="EDE38" s="366" t="e">
        <f>10/EDA36</f>
        <v>#DIV/0!</v>
      </c>
      <c r="EDF38" s="367">
        <v>15.38</v>
      </c>
      <c r="EDG38" s="367" t="e">
        <f>EDD38*EDE38*EDF38</f>
        <v>#DIV/0!</v>
      </c>
      <c r="EDH38" s="363" t="s">
        <v>153</v>
      </c>
      <c r="EDI38" s="363"/>
      <c r="EDJ38" s="363"/>
      <c r="EDK38" s="364" t="s">
        <v>140</v>
      </c>
      <c r="EDL38" s="365">
        <v>0.5</v>
      </c>
      <c r="EDM38" s="366" t="e">
        <f>10/EDI36</f>
        <v>#DIV/0!</v>
      </c>
      <c r="EDN38" s="367">
        <v>15.38</v>
      </c>
      <c r="EDO38" s="367" t="e">
        <f>EDL38*EDM38*EDN38</f>
        <v>#DIV/0!</v>
      </c>
      <c r="EDP38" s="363" t="s">
        <v>153</v>
      </c>
      <c r="EDQ38" s="363"/>
      <c r="EDR38" s="363"/>
      <c r="EDS38" s="364" t="s">
        <v>140</v>
      </c>
      <c r="EDT38" s="365">
        <v>0.5</v>
      </c>
      <c r="EDU38" s="366" t="e">
        <f>10/EDQ36</f>
        <v>#DIV/0!</v>
      </c>
      <c r="EDV38" s="367">
        <v>15.38</v>
      </c>
      <c r="EDW38" s="367" t="e">
        <f>EDT38*EDU38*EDV38</f>
        <v>#DIV/0!</v>
      </c>
      <c r="EDX38" s="363" t="s">
        <v>153</v>
      </c>
      <c r="EDY38" s="363"/>
      <c r="EDZ38" s="363"/>
      <c r="EEA38" s="364" t="s">
        <v>140</v>
      </c>
      <c r="EEB38" s="365">
        <v>0.5</v>
      </c>
      <c r="EEC38" s="366" t="e">
        <f>10/EDY36</f>
        <v>#DIV/0!</v>
      </c>
      <c r="EED38" s="367">
        <v>15.38</v>
      </c>
      <c r="EEE38" s="367" t="e">
        <f>EEB38*EEC38*EED38</f>
        <v>#DIV/0!</v>
      </c>
      <c r="EEF38" s="363" t="s">
        <v>153</v>
      </c>
      <c r="EEG38" s="363"/>
      <c r="EEH38" s="363"/>
      <c r="EEI38" s="364" t="s">
        <v>140</v>
      </c>
      <c r="EEJ38" s="365">
        <v>0.5</v>
      </c>
      <c r="EEK38" s="366" t="e">
        <f>10/EEG36</f>
        <v>#DIV/0!</v>
      </c>
      <c r="EEL38" s="367">
        <v>15.38</v>
      </c>
      <c r="EEM38" s="367" t="e">
        <f>EEJ38*EEK38*EEL38</f>
        <v>#DIV/0!</v>
      </c>
      <c r="EEN38" s="363" t="s">
        <v>153</v>
      </c>
      <c r="EEO38" s="363"/>
      <c r="EEP38" s="363"/>
      <c r="EEQ38" s="364" t="s">
        <v>140</v>
      </c>
      <c r="EER38" s="365">
        <v>0.5</v>
      </c>
      <c r="EES38" s="366" t="e">
        <f>10/EEO36</f>
        <v>#DIV/0!</v>
      </c>
      <c r="EET38" s="367">
        <v>15.38</v>
      </c>
      <c r="EEU38" s="367" t="e">
        <f>EER38*EES38*EET38</f>
        <v>#DIV/0!</v>
      </c>
      <c r="EEV38" s="363" t="s">
        <v>153</v>
      </c>
      <c r="EEW38" s="363"/>
      <c r="EEX38" s="363"/>
      <c r="EEY38" s="364" t="s">
        <v>140</v>
      </c>
      <c r="EEZ38" s="365">
        <v>0.5</v>
      </c>
      <c r="EFA38" s="366" t="e">
        <f>10/EEW36</f>
        <v>#DIV/0!</v>
      </c>
      <c r="EFB38" s="367">
        <v>15.38</v>
      </c>
      <c r="EFC38" s="367" t="e">
        <f>EEZ38*EFA38*EFB38</f>
        <v>#DIV/0!</v>
      </c>
      <c r="EFD38" s="363" t="s">
        <v>153</v>
      </c>
      <c r="EFE38" s="363"/>
      <c r="EFF38" s="363"/>
      <c r="EFG38" s="364" t="s">
        <v>140</v>
      </c>
      <c r="EFH38" s="365">
        <v>0.5</v>
      </c>
      <c r="EFI38" s="366" t="e">
        <f>10/EFE36</f>
        <v>#DIV/0!</v>
      </c>
      <c r="EFJ38" s="367">
        <v>15.38</v>
      </c>
      <c r="EFK38" s="367" t="e">
        <f>EFH38*EFI38*EFJ38</f>
        <v>#DIV/0!</v>
      </c>
      <c r="EFL38" s="363" t="s">
        <v>153</v>
      </c>
      <c r="EFM38" s="363"/>
      <c r="EFN38" s="363"/>
      <c r="EFO38" s="364" t="s">
        <v>140</v>
      </c>
      <c r="EFP38" s="365">
        <v>0.5</v>
      </c>
      <c r="EFQ38" s="366" t="e">
        <f>10/EFM36</f>
        <v>#DIV/0!</v>
      </c>
      <c r="EFR38" s="367">
        <v>15.38</v>
      </c>
      <c r="EFS38" s="367" t="e">
        <f>EFP38*EFQ38*EFR38</f>
        <v>#DIV/0!</v>
      </c>
      <c r="EFT38" s="363" t="s">
        <v>153</v>
      </c>
      <c r="EFU38" s="363"/>
      <c r="EFV38" s="363"/>
      <c r="EFW38" s="364" t="s">
        <v>140</v>
      </c>
      <c r="EFX38" s="365">
        <v>0.5</v>
      </c>
      <c r="EFY38" s="366" t="e">
        <f>10/EFU36</f>
        <v>#DIV/0!</v>
      </c>
      <c r="EFZ38" s="367">
        <v>15.38</v>
      </c>
      <c r="EGA38" s="367" t="e">
        <f>EFX38*EFY38*EFZ38</f>
        <v>#DIV/0!</v>
      </c>
      <c r="EGB38" s="363" t="s">
        <v>153</v>
      </c>
      <c r="EGC38" s="363"/>
      <c r="EGD38" s="363"/>
      <c r="EGE38" s="364" t="s">
        <v>140</v>
      </c>
      <c r="EGF38" s="365">
        <v>0.5</v>
      </c>
      <c r="EGG38" s="366" t="e">
        <f>10/EGC36</f>
        <v>#DIV/0!</v>
      </c>
      <c r="EGH38" s="367">
        <v>15.38</v>
      </c>
      <c r="EGI38" s="367" t="e">
        <f>EGF38*EGG38*EGH38</f>
        <v>#DIV/0!</v>
      </c>
      <c r="EGJ38" s="363" t="s">
        <v>153</v>
      </c>
      <c r="EGK38" s="363"/>
      <c r="EGL38" s="363"/>
      <c r="EGM38" s="364" t="s">
        <v>140</v>
      </c>
      <c r="EGN38" s="365">
        <v>0.5</v>
      </c>
      <c r="EGO38" s="366" t="e">
        <f>10/EGK36</f>
        <v>#DIV/0!</v>
      </c>
      <c r="EGP38" s="367">
        <v>15.38</v>
      </c>
      <c r="EGQ38" s="367" t="e">
        <f>EGN38*EGO38*EGP38</f>
        <v>#DIV/0!</v>
      </c>
      <c r="EGR38" s="363" t="s">
        <v>153</v>
      </c>
      <c r="EGS38" s="363"/>
      <c r="EGT38" s="363"/>
      <c r="EGU38" s="364" t="s">
        <v>140</v>
      </c>
      <c r="EGV38" s="365">
        <v>0.5</v>
      </c>
      <c r="EGW38" s="366" t="e">
        <f>10/EGS36</f>
        <v>#DIV/0!</v>
      </c>
      <c r="EGX38" s="367">
        <v>15.38</v>
      </c>
      <c r="EGY38" s="367" t="e">
        <f>EGV38*EGW38*EGX38</f>
        <v>#DIV/0!</v>
      </c>
      <c r="EGZ38" s="363" t="s">
        <v>153</v>
      </c>
      <c r="EHA38" s="363"/>
      <c r="EHB38" s="363"/>
      <c r="EHC38" s="364" t="s">
        <v>140</v>
      </c>
      <c r="EHD38" s="365">
        <v>0.5</v>
      </c>
      <c r="EHE38" s="366" t="e">
        <f>10/EHA36</f>
        <v>#DIV/0!</v>
      </c>
      <c r="EHF38" s="367">
        <v>15.38</v>
      </c>
      <c r="EHG38" s="367" t="e">
        <f>EHD38*EHE38*EHF38</f>
        <v>#DIV/0!</v>
      </c>
      <c r="EHH38" s="363" t="s">
        <v>153</v>
      </c>
      <c r="EHI38" s="363"/>
      <c r="EHJ38" s="363"/>
      <c r="EHK38" s="364" t="s">
        <v>140</v>
      </c>
      <c r="EHL38" s="365">
        <v>0.5</v>
      </c>
      <c r="EHM38" s="366" t="e">
        <f>10/EHI36</f>
        <v>#DIV/0!</v>
      </c>
      <c r="EHN38" s="367">
        <v>15.38</v>
      </c>
      <c r="EHO38" s="367" t="e">
        <f>EHL38*EHM38*EHN38</f>
        <v>#DIV/0!</v>
      </c>
      <c r="EHP38" s="363" t="s">
        <v>153</v>
      </c>
      <c r="EHQ38" s="363"/>
      <c r="EHR38" s="363"/>
      <c r="EHS38" s="364" t="s">
        <v>140</v>
      </c>
      <c r="EHT38" s="365">
        <v>0.5</v>
      </c>
      <c r="EHU38" s="366" t="e">
        <f>10/EHQ36</f>
        <v>#DIV/0!</v>
      </c>
      <c r="EHV38" s="367">
        <v>15.38</v>
      </c>
      <c r="EHW38" s="367" t="e">
        <f>EHT38*EHU38*EHV38</f>
        <v>#DIV/0!</v>
      </c>
      <c r="EHX38" s="363" t="s">
        <v>153</v>
      </c>
      <c r="EHY38" s="363"/>
      <c r="EHZ38" s="363"/>
      <c r="EIA38" s="364" t="s">
        <v>140</v>
      </c>
      <c r="EIB38" s="365">
        <v>0.5</v>
      </c>
      <c r="EIC38" s="366" t="e">
        <f>10/EHY36</f>
        <v>#DIV/0!</v>
      </c>
      <c r="EID38" s="367">
        <v>15.38</v>
      </c>
      <c r="EIE38" s="367" t="e">
        <f>EIB38*EIC38*EID38</f>
        <v>#DIV/0!</v>
      </c>
      <c r="EIF38" s="363" t="s">
        <v>153</v>
      </c>
      <c r="EIG38" s="363"/>
      <c r="EIH38" s="363"/>
      <c r="EII38" s="364" t="s">
        <v>140</v>
      </c>
      <c r="EIJ38" s="365">
        <v>0.5</v>
      </c>
      <c r="EIK38" s="366" t="e">
        <f>10/EIG36</f>
        <v>#DIV/0!</v>
      </c>
      <c r="EIL38" s="367">
        <v>15.38</v>
      </c>
      <c r="EIM38" s="367" t="e">
        <f>EIJ38*EIK38*EIL38</f>
        <v>#DIV/0!</v>
      </c>
      <c r="EIN38" s="363" t="s">
        <v>153</v>
      </c>
      <c r="EIO38" s="363"/>
      <c r="EIP38" s="363"/>
      <c r="EIQ38" s="364" t="s">
        <v>140</v>
      </c>
      <c r="EIR38" s="365">
        <v>0.5</v>
      </c>
      <c r="EIS38" s="366" t="e">
        <f>10/EIO36</f>
        <v>#DIV/0!</v>
      </c>
      <c r="EIT38" s="367">
        <v>15.38</v>
      </c>
      <c r="EIU38" s="367" t="e">
        <f>EIR38*EIS38*EIT38</f>
        <v>#DIV/0!</v>
      </c>
      <c r="EIV38" s="363" t="s">
        <v>153</v>
      </c>
      <c r="EIW38" s="363"/>
      <c r="EIX38" s="363"/>
      <c r="EIY38" s="364" t="s">
        <v>140</v>
      </c>
      <c r="EIZ38" s="365">
        <v>0.5</v>
      </c>
      <c r="EJA38" s="366" t="e">
        <f>10/EIW36</f>
        <v>#DIV/0!</v>
      </c>
      <c r="EJB38" s="367">
        <v>15.38</v>
      </c>
      <c r="EJC38" s="367" t="e">
        <f>EIZ38*EJA38*EJB38</f>
        <v>#DIV/0!</v>
      </c>
      <c r="EJD38" s="363" t="s">
        <v>153</v>
      </c>
      <c r="EJE38" s="363"/>
      <c r="EJF38" s="363"/>
      <c r="EJG38" s="364" t="s">
        <v>140</v>
      </c>
      <c r="EJH38" s="365">
        <v>0.5</v>
      </c>
      <c r="EJI38" s="366" t="e">
        <f>10/EJE36</f>
        <v>#DIV/0!</v>
      </c>
      <c r="EJJ38" s="367">
        <v>15.38</v>
      </c>
      <c r="EJK38" s="367" t="e">
        <f>EJH38*EJI38*EJJ38</f>
        <v>#DIV/0!</v>
      </c>
      <c r="EJL38" s="363" t="s">
        <v>153</v>
      </c>
      <c r="EJM38" s="363"/>
      <c r="EJN38" s="363"/>
      <c r="EJO38" s="364" t="s">
        <v>140</v>
      </c>
      <c r="EJP38" s="365">
        <v>0.5</v>
      </c>
      <c r="EJQ38" s="366" t="e">
        <f>10/EJM36</f>
        <v>#DIV/0!</v>
      </c>
      <c r="EJR38" s="367">
        <v>15.38</v>
      </c>
      <c r="EJS38" s="367" t="e">
        <f>EJP38*EJQ38*EJR38</f>
        <v>#DIV/0!</v>
      </c>
      <c r="EJT38" s="363" t="s">
        <v>153</v>
      </c>
      <c r="EJU38" s="363"/>
      <c r="EJV38" s="363"/>
      <c r="EJW38" s="364" t="s">
        <v>140</v>
      </c>
      <c r="EJX38" s="365">
        <v>0.5</v>
      </c>
      <c r="EJY38" s="366" t="e">
        <f>10/EJU36</f>
        <v>#DIV/0!</v>
      </c>
      <c r="EJZ38" s="367">
        <v>15.38</v>
      </c>
      <c r="EKA38" s="367" t="e">
        <f>EJX38*EJY38*EJZ38</f>
        <v>#DIV/0!</v>
      </c>
      <c r="EKB38" s="363" t="s">
        <v>153</v>
      </c>
      <c r="EKC38" s="363"/>
      <c r="EKD38" s="363"/>
      <c r="EKE38" s="364" t="s">
        <v>140</v>
      </c>
      <c r="EKF38" s="365">
        <v>0.5</v>
      </c>
      <c r="EKG38" s="366" t="e">
        <f>10/EKC36</f>
        <v>#DIV/0!</v>
      </c>
      <c r="EKH38" s="367">
        <v>15.38</v>
      </c>
      <c r="EKI38" s="367" t="e">
        <f>EKF38*EKG38*EKH38</f>
        <v>#DIV/0!</v>
      </c>
      <c r="EKJ38" s="363" t="s">
        <v>153</v>
      </c>
      <c r="EKK38" s="363"/>
      <c r="EKL38" s="363"/>
      <c r="EKM38" s="364" t="s">
        <v>140</v>
      </c>
      <c r="EKN38" s="365">
        <v>0.5</v>
      </c>
      <c r="EKO38" s="366" t="e">
        <f>10/EKK36</f>
        <v>#DIV/0!</v>
      </c>
      <c r="EKP38" s="367">
        <v>15.38</v>
      </c>
      <c r="EKQ38" s="367" t="e">
        <f>EKN38*EKO38*EKP38</f>
        <v>#DIV/0!</v>
      </c>
      <c r="EKR38" s="363" t="s">
        <v>153</v>
      </c>
      <c r="EKS38" s="363"/>
      <c r="EKT38" s="363"/>
      <c r="EKU38" s="364" t="s">
        <v>140</v>
      </c>
      <c r="EKV38" s="365">
        <v>0.5</v>
      </c>
      <c r="EKW38" s="366" t="e">
        <f>10/EKS36</f>
        <v>#DIV/0!</v>
      </c>
      <c r="EKX38" s="367">
        <v>15.38</v>
      </c>
      <c r="EKY38" s="367" t="e">
        <f>EKV38*EKW38*EKX38</f>
        <v>#DIV/0!</v>
      </c>
      <c r="EKZ38" s="363" t="s">
        <v>153</v>
      </c>
      <c r="ELA38" s="363"/>
      <c r="ELB38" s="363"/>
      <c r="ELC38" s="364" t="s">
        <v>140</v>
      </c>
      <c r="ELD38" s="365">
        <v>0.5</v>
      </c>
      <c r="ELE38" s="366" t="e">
        <f>10/ELA36</f>
        <v>#DIV/0!</v>
      </c>
      <c r="ELF38" s="367">
        <v>15.38</v>
      </c>
      <c r="ELG38" s="367" t="e">
        <f>ELD38*ELE38*ELF38</f>
        <v>#DIV/0!</v>
      </c>
      <c r="ELH38" s="363" t="s">
        <v>153</v>
      </c>
      <c r="ELI38" s="363"/>
      <c r="ELJ38" s="363"/>
      <c r="ELK38" s="364" t="s">
        <v>140</v>
      </c>
      <c r="ELL38" s="365">
        <v>0.5</v>
      </c>
      <c r="ELM38" s="366" t="e">
        <f>10/ELI36</f>
        <v>#DIV/0!</v>
      </c>
      <c r="ELN38" s="367">
        <v>15.38</v>
      </c>
      <c r="ELO38" s="367" t="e">
        <f>ELL38*ELM38*ELN38</f>
        <v>#DIV/0!</v>
      </c>
      <c r="ELP38" s="363" t="s">
        <v>153</v>
      </c>
      <c r="ELQ38" s="363"/>
      <c r="ELR38" s="363"/>
      <c r="ELS38" s="364" t="s">
        <v>140</v>
      </c>
      <c r="ELT38" s="365">
        <v>0.5</v>
      </c>
      <c r="ELU38" s="366" t="e">
        <f>10/ELQ36</f>
        <v>#DIV/0!</v>
      </c>
      <c r="ELV38" s="367">
        <v>15.38</v>
      </c>
      <c r="ELW38" s="367" t="e">
        <f>ELT38*ELU38*ELV38</f>
        <v>#DIV/0!</v>
      </c>
      <c r="ELX38" s="363" t="s">
        <v>153</v>
      </c>
      <c r="ELY38" s="363"/>
      <c r="ELZ38" s="363"/>
      <c r="EMA38" s="364" t="s">
        <v>140</v>
      </c>
      <c r="EMB38" s="365">
        <v>0.5</v>
      </c>
      <c r="EMC38" s="366" t="e">
        <f>10/ELY36</f>
        <v>#DIV/0!</v>
      </c>
      <c r="EMD38" s="367">
        <v>15.38</v>
      </c>
      <c r="EME38" s="367" t="e">
        <f>EMB38*EMC38*EMD38</f>
        <v>#DIV/0!</v>
      </c>
      <c r="EMF38" s="363" t="s">
        <v>153</v>
      </c>
      <c r="EMG38" s="363"/>
      <c r="EMH38" s="363"/>
      <c r="EMI38" s="364" t="s">
        <v>140</v>
      </c>
      <c r="EMJ38" s="365">
        <v>0.5</v>
      </c>
      <c r="EMK38" s="366" t="e">
        <f>10/EMG36</f>
        <v>#DIV/0!</v>
      </c>
      <c r="EML38" s="367">
        <v>15.38</v>
      </c>
      <c r="EMM38" s="367" t="e">
        <f>EMJ38*EMK38*EML38</f>
        <v>#DIV/0!</v>
      </c>
      <c r="EMN38" s="363" t="s">
        <v>153</v>
      </c>
      <c r="EMO38" s="363"/>
      <c r="EMP38" s="363"/>
      <c r="EMQ38" s="364" t="s">
        <v>140</v>
      </c>
      <c r="EMR38" s="365">
        <v>0.5</v>
      </c>
      <c r="EMS38" s="366" t="e">
        <f>10/EMO36</f>
        <v>#DIV/0!</v>
      </c>
      <c r="EMT38" s="367">
        <v>15.38</v>
      </c>
      <c r="EMU38" s="367" t="e">
        <f>EMR38*EMS38*EMT38</f>
        <v>#DIV/0!</v>
      </c>
      <c r="EMV38" s="363" t="s">
        <v>153</v>
      </c>
      <c r="EMW38" s="363"/>
      <c r="EMX38" s="363"/>
      <c r="EMY38" s="364" t="s">
        <v>140</v>
      </c>
      <c r="EMZ38" s="365">
        <v>0.5</v>
      </c>
      <c r="ENA38" s="366" t="e">
        <f>10/EMW36</f>
        <v>#DIV/0!</v>
      </c>
      <c r="ENB38" s="367">
        <v>15.38</v>
      </c>
      <c r="ENC38" s="367" t="e">
        <f>EMZ38*ENA38*ENB38</f>
        <v>#DIV/0!</v>
      </c>
      <c r="END38" s="363" t="s">
        <v>153</v>
      </c>
      <c r="ENE38" s="363"/>
      <c r="ENF38" s="363"/>
      <c r="ENG38" s="364" t="s">
        <v>140</v>
      </c>
      <c r="ENH38" s="365">
        <v>0.5</v>
      </c>
      <c r="ENI38" s="366" t="e">
        <f>10/ENE36</f>
        <v>#DIV/0!</v>
      </c>
      <c r="ENJ38" s="367">
        <v>15.38</v>
      </c>
      <c r="ENK38" s="367" t="e">
        <f>ENH38*ENI38*ENJ38</f>
        <v>#DIV/0!</v>
      </c>
      <c r="ENL38" s="363" t="s">
        <v>153</v>
      </c>
      <c r="ENM38" s="363"/>
      <c r="ENN38" s="363"/>
      <c r="ENO38" s="364" t="s">
        <v>140</v>
      </c>
      <c r="ENP38" s="365">
        <v>0.5</v>
      </c>
      <c r="ENQ38" s="366" t="e">
        <f>10/ENM36</f>
        <v>#DIV/0!</v>
      </c>
      <c r="ENR38" s="367">
        <v>15.38</v>
      </c>
      <c r="ENS38" s="367" t="e">
        <f>ENP38*ENQ38*ENR38</f>
        <v>#DIV/0!</v>
      </c>
      <c r="ENT38" s="363" t="s">
        <v>153</v>
      </c>
      <c r="ENU38" s="363"/>
      <c r="ENV38" s="363"/>
      <c r="ENW38" s="364" t="s">
        <v>140</v>
      </c>
      <c r="ENX38" s="365">
        <v>0.5</v>
      </c>
      <c r="ENY38" s="366" t="e">
        <f>10/ENU36</f>
        <v>#DIV/0!</v>
      </c>
      <c r="ENZ38" s="367">
        <v>15.38</v>
      </c>
      <c r="EOA38" s="367" t="e">
        <f>ENX38*ENY38*ENZ38</f>
        <v>#DIV/0!</v>
      </c>
      <c r="EOB38" s="363" t="s">
        <v>153</v>
      </c>
      <c r="EOC38" s="363"/>
      <c r="EOD38" s="363"/>
      <c r="EOE38" s="364" t="s">
        <v>140</v>
      </c>
      <c r="EOF38" s="365">
        <v>0.5</v>
      </c>
      <c r="EOG38" s="366" t="e">
        <f>10/EOC36</f>
        <v>#DIV/0!</v>
      </c>
      <c r="EOH38" s="367">
        <v>15.38</v>
      </c>
      <c r="EOI38" s="367" t="e">
        <f>EOF38*EOG38*EOH38</f>
        <v>#DIV/0!</v>
      </c>
      <c r="EOJ38" s="363" t="s">
        <v>153</v>
      </c>
      <c r="EOK38" s="363"/>
      <c r="EOL38" s="363"/>
      <c r="EOM38" s="364" t="s">
        <v>140</v>
      </c>
      <c r="EON38" s="365">
        <v>0.5</v>
      </c>
      <c r="EOO38" s="366" t="e">
        <f>10/EOK36</f>
        <v>#DIV/0!</v>
      </c>
      <c r="EOP38" s="367">
        <v>15.38</v>
      </c>
      <c r="EOQ38" s="367" t="e">
        <f>EON38*EOO38*EOP38</f>
        <v>#DIV/0!</v>
      </c>
      <c r="EOR38" s="363" t="s">
        <v>153</v>
      </c>
      <c r="EOS38" s="363"/>
      <c r="EOT38" s="363"/>
      <c r="EOU38" s="364" t="s">
        <v>140</v>
      </c>
      <c r="EOV38" s="365">
        <v>0.5</v>
      </c>
      <c r="EOW38" s="366" t="e">
        <f>10/EOS36</f>
        <v>#DIV/0!</v>
      </c>
      <c r="EOX38" s="367">
        <v>15.38</v>
      </c>
      <c r="EOY38" s="367" t="e">
        <f>EOV38*EOW38*EOX38</f>
        <v>#DIV/0!</v>
      </c>
      <c r="EOZ38" s="363" t="s">
        <v>153</v>
      </c>
      <c r="EPA38" s="363"/>
      <c r="EPB38" s="363"/>
      <c r="EPC38" s="364" t="s">
        <v>140</v>
      </c>
      <c r="EPD38" s="365">
        <v>0.5</v>
      </c>
      <c r="EPE38" s="366" t="e">
        <f>10/EPA36</f>
        <v>#DIV/0!</v>
      </c>
      <c r="EPF38" s="367">
        <v>15.38</v>
      </c>
      <c r="EPG38" s="367" t="e">
        <f>EPD38*EPE38*EPF38</f>
        <v>#DIV/0!</v>
      </c>
      <c r="EPH38" s="363" t="s">
        <v>153</v>
      </c>
      <c r="EPI38" s="363"/>
      <c r="EPJ38" s="363"/>
      <c r="EPK38" s="364" t="s">
        <v>140</v>
      </c>
      <c r="EPL38" s="365">
        <v>0.5</v>
      </c>
      <c r="EPM38" s="366" t="e">
        <f>10/EPI36</f>
        <v>#DIV/0!</v>
      </c>
      <c r="EPN38" s="367">
        <v>15.38</v>
      </c>
      <c r="EPO38" s="367" t="e">
        <f>EPL38*EPM38*EPN38</f>
        <v>#DIV/0!</v>
      </c>
      <c r="EPP38" s="363" t="s">
        <v>153</v>
      </c>
      <c r="EPQ38" s="363"/>
      <c r="EPR38" s="363"/>
      <c r="EPS38" s="364" t="s">
        <v>140</v>
      </c>
      <c r="EPT38" s="365">
        <v>0.5</v>
      </c>
      <c r="EPU38" s="366" t="e">
        <f>10/EPQ36</f>
        <v>#DIV/0!</v>
      </c>
      <c r="EPV38" s="367">
        <v>15.38</v>
      </c>
      <c r="EPW38" s="367" t="e">
        <f>EPT38*EPU38*EPV38</f>
        <v>#DIV/0!</v>
      </c>
      <c r="EPX38" s="363" t="s">
        <v>153</v>
      </c>
      <c r="EPY38" s="363"/>
      <c r="EPZ38" s="363"/>
      <c r="EQA38" s="364" t="s">
        <v>140</v>
      </c>
      <c r="EQB38" s="365">
        <v>0.5</v>
      </c>
      <c r="EQC38" s="366" t="e">
        <f>10/EPY36</f>
        <v>#DIV/0!</v>
      </c>
      <c r="EQD38" s="367">
        <v>15.38</v>
      </c>
      <c r="EQE38" s="367" t="e">
        <f>EQB38*EQC38*EQD38</f>
        <v>#DIV/0!</v>
      </c>
      <c r="EQF38" s="363" t="s">
        <v>153</v>
      </c>
      <c r="EQG38" s="363"/>
      <c r="EQH38" s="363"/>
      <c r="EQI38" s="364" t="s">
        <v>140</v>
      </c>
      <c r="EQJ38" s="365">
        <v>0.5</v>
      </c>
      <c r="EQK38" s="366" t="e">
        <f>10/EQG36</f>
        <v>#DIV/0!</v>
      </c>
      <c r="EQL38" s="367">
        <v>15.38</v>
      </c>
      <c r="EQM38" s="367" t="e">
        <f>EQJ38*EQK38*EQL38</f>
        <v>#DIV/0!</v>
      </c>
      <c r="EQN38" s="363" t="s">
        <v>153</v>
      </c>
      <c r="EQO38" s="363"/>
      <c r="EQP38" s="363"/>
      <c r="EQQ38" s="364" t="s">
        <v>140</v>
      </c>
      <c r="EQR38" s="365">
        <v>0.5</v>
      </c>
      <c r="EQS38" s="366" t="e">
        <f>10/EQO36</f>
        <v>#DIV/0!</v>
      </c>
      <c r="EQT38" s="367">
        <v>15.38</v>
      </c>
      <c r="EQU38" s="367" t="e">
        <f>EQR38*EQS38*EQT38</f>
        <v>#DIV/0!</v>
      </c>
      <c r="EQV38" s="363" t="s">
        <v>153</v>
      </c>
      <c r="EQW38" s="363"/>
      <c r="EQX38" s="363"/>
      <c r="EQY38" s="364" t="s">
        <v>140</v>
      </c>
      <c r="EQZ38" s="365">
        <v>0.5</v>
      </c>
      <c r="ERA38" s="366" t="e">
        <f>10/EQW36</f>
        <v>#DIV/0!</v>
      </c>
      <c r="ERB38" s="367">
        <v>15.38</v>
      </c>
      <c r="ERC38" s="367" t="e">
        <f>EQZ38*ERA38*ERB38</f>
        <v>#DIV/0!</v>
      </c>
      <c r="ERD38" s="363" t="s">
        <v>153</v>
      </c>
      <c r="ERE38" s="363"/>
      <c r="ERF38" s="363"/>
      <c r="ERG38" s="364" t="s">
        <v>140</v>
      </c>
      <c r="ERH38" s="365">
        <v>0.5</v>
      </c>
      <c r="ERI38" s="366" t="e">
        <f>10/ERE36</f>
        <v>#DIV/0!</v>
      </c>
      <c r="ERJ38" s="367">
        <v>15.38</v>
      </c>
      <c r="ERK38" s="367" t="e">
        <f>ERH38*ERI38*ERJ38</f>
        <v>#DIV/0!</v>
      </c>
      <c r="ERL38" s="363" t="s">
        <v>153</v>
      </c>
      <c r="ERM38" s="363"/>
      <c r="ERN38" s="363"/>
      <c r="ERO38" s="364" t="s">
        <v>140</v>
      </c>
      <c r="ERP38" s="365">
        <v>0.5</v>
      </c>
      <c r="ERQ38" s="366" t="e">
        <f>10/ERM36</f>
        <v>#DIV/0!</v>
      </c>
      <c r="ERR38" s="367">
        <v>15.38</v>
      </c>
      <c r="ERS38" s="367" t="e">
        <f>ERP38*ERQ38*ERR38</f>
        <v>#DIV/0!</v>
      </c>
      <c r="ERT38" s="363" t="s">
        <v>153</v>
      </c>
      <c r="ERU38" s="363"/>
      <c r="ERV38" s="363"/>
      <c r="ERW38" s="364" t="s">
        <v>140</v>
      </c>
      <c r="ERX38" s="365">
        <v>0.5</v>
      </c>
      <c r="ERY38" s="366" t="e">
        <f>10/ERU36</f>
        <v>#DIV/0!</v>
      </c>
      <c r="ERZ38" s="367">
        <v>15.38</v>
      </c>
      <c r="ESA38" s="367" t="e">
        <f>ERX38*ERY38*ERZ38</f>
        <v>#DIV/0!</v>
      </c>
      <c r="ESB38" s="363" t="s">
        <v>153</v>
      </c>
      <c r="ESC38" s="363"/>
      <c r="ESD38" s="363"/>
      <c r="ESE38" s="364" t="s">
        <v>140</v>
      </c>
      <c r="ESF38" s="365">
        <v>0.5</v>
      </c>
      <c r="ESG38" s="366" t="e">
        <f>10/ESC36</f>
        <v>#DIV/0!</v>
      </c>
      <c r="ESH38" s="367">
        <v>15.38</v>
      </c>
      <c r="ESI38" s="367" t="e">
        <f>ESF38*ESG38*ESH38</f>
        <v>#DIV/0!</v>
      </c>
      <c r="ESJ38" s="363" t="s">
        <v>153</v>
      </c>
      <c r="ESK38" s="363"/>
      <c r="ESL38" s="363"/>
      <c r="ESM38" s="364" t="s">
        <v>140</v>
      </c>
      <c r="ESN38" s="365">
        <v>0.5</v>
      </c>
      <c r="ESO38" s="366" t="e">
        <f>10/ESK36</f>
        <v>#DIV/0!</v>
      </c>
      <c r="ESP38" s="367">
        <v>15.38</v>
      </c>
      <c r="ESQ38" s="367" t="e">
        <f>ESN38*ESO38*ESP38</f>
        <v>#DIV/0!</v>
      </c>
      <c r="ESR38" s="363" t="s">
        <v>153</v>
      </c>
      <c r="ESS38" s="363"/>
      <c r="EST38" s="363"/>
      <c r="ESU38" s="364" t="s">
        <v>140</v>
      </c>
      <c r="ESV38" s="365">
        <v>0.5</v>
      </c>
      <c r="ESW38" s="366" t="e">
        <f>10/ESS36</f>
        <v>#DIV/0!</v>
      </c>
      <c r="ESX38" s="367">
        <v>15.38</v>
      </c>
      <c r="ESY38" s="367" t="e">
        <f>ESV38*ESW38*ESX38</f>
        <v>#DIV/0!</v>
      </c>
      <c r="ESZ38" s="363" t="s">
        <v>153</v>
      </c>
      <c r="ETA38" s="363"/>
      <c r="ETB38" s="363"/>
      <c r="ETC38" s="364" t="s">
        <v>140</v>
      </c>
      <c r="ETD38" s="365">
        <v>0.5</v>
      </c>
      <c r="ETE38" s="366" t="e">
        <f>10/ETA36</f>
        <v>#DIV/0!</v>
      </c>
      <c r="ETF38" s="367">
        <v>15.38</v>
      </c>
      <c r="ETG38" s="367" t="e">
        <f>ETD38*ETE38*ETF38</f>
        <v>#DIV/0!</v>
      </c>
      <c r="ETH38" s="363" t="s">
        <v>153</v>
      </c>
      <c r="ETI38" s="363"/>
      <c r="ETJ38" s="363"/>
      <c r="ETK38" s="364" t="s">
        <v>140</v>
      </c>
      <c r="ETL38" s="365">
        <v>0.5</v>
      </c>
      <c r="ETM38" s="366" t="e">
        <f>10/ETI36</f>
        <v>#DIV/0!</v>
      </c>
      <c r="ETN38" s="367">
        <v>15.38</v>
      </c>
      <c r="ETO38" s="367" t="e">
        <f>ETL38*ETM38*ETN38</f>
        <v>#DIV/0!</v>
      </c>
      <c r="ETP38" s="363" t="s">
        <v>153</v>
      </c>
      <c r="ETQ38" s="363"/>
      <c r="ETR38" s="363"/>
      <c r="ETS38" s="364" t="s">
        <v>140</v>
      </c>
      <c r="ETT38" s="365">
        <v>0.5</v>
      </c>
      <c r="ETU38" s="366" t="e">
        <f>10/ETQ36</f>
        <v>#DIV/0!</v>
      </c>
      <c r="ETV38" s="367">
        <v>15.38</v>
      </c>
      <c r="ETW38" s="367" t="e">
        <f>ETT38*ETU38*ETV38</f>
        <v>#DIV/0!</v>
      </c>
      <c r="ETX38" s="363" t="s">
        <v>153</v>
      </c>
      <c r="ETY38" s="363"/>
      <c r="ETZ38" s="363"/>
      <c r="EUA38" s="364" t="s">
        <v>140</v>
      </c>
      <c r="EUB38" s="365">
        <v>0.5</v>
      </c>
      <c r="EUC38" s="366" t="e">
        <f>10/ETY36</f>
        <v>#DIV/0!</v>
      </c>
      <c r="EUD38" s="367">
        <v>15.38</v>
      </c>
      <c r="EUE38" s="367" t="e">
        <f>EUB38*EUC38*EUD38</f>
        <v>#DIV/0!</v>
      </c>
      <c r="EUF38" s="363" t="s">
        <v>153</v>
      </c>
      <c r="EUG38" s="363"/>
      <c r="EUH38" s="363"/>
      <c r="EUI38" s="364" t="s">
        <v>140</v>
      </c>
      <c r="EUJ38" s="365">
        <v>0.5</v>
      </c>
      <c r="EUK38" s="366" t="e">
        <f>10/EUG36</f>
        <v>#DIV/0!</v>
      </c>
      <c r="EUL38" s="367">
        <v>15.38</v>
      </c>
      <c r="EUM38" s="367" t="e">
        <f>EUJ38*EUK38*EUL38</f>
        <v>#DIV/0!</v>
      </c>
      <c r="EUN38" s="363" t="s">
        <v>153</v>
      </c>
      <c r="EUO38" s="363"/>
      <c r="EUP38" s="363"/>
      <c r="EUQ38" s="364" t="s">
        <v>140</v>
      </c>
      <c r="EUR38" s="365">
        <v>0.5</v>
      </c>
      <c r="EUS38" s="366" t="e">
        <f>10/EUO36</f>
        <v>#DIV/0!</v>
      </c>
      <c r="EUT38" s="367">
        <v>15.38</v>
      </c>
      <c r="EUU38" s="367" t="e">
        <f>EUR38*EUS38*EUT38</f>
        <v>#DIV/0!</v>
      </c>
      <c r="EUV38" s="363" t="s">
        <v>153</v>
      </c>
      <c r="EUW38" s="363"/>
      <c r="EUX38" s="363"/>
      <c r="EUY38" s="364" t="s">
        <v>140</v>
      </c>
      <c r="EUZ38" s="365">
        <v>0.5</v>
      </c>
      <c r="EVA38" s="366" t="e">
        <f>10/EUW36</f>
        <v>#DIV/0!</v>
      </c>
      <c r="EVB38" s="367">
        <v>15.38</v>
      </c>
      <c r="EVC38" s="367" t="e">
        <f>EUZ38*EVA38*EVB38</f>
        <v>#DIV/0!</v>
      </c>
      <c r="EVD38" s="363" t="s">
        <v>153</v>
      </c>
      <c r="EVE38" s="363"/>
      <c r="EVF38" s="363"/>
      <c r="EVG38" s="364" t="s">
        <v>140</v>
      </c>
      <c r="EVH38" s="365">
        <v>0.5</v>
      </c>
      <c r="EVI38" s="366" t="e">
        <f>10/EVE36</f>
        <v>#DIV/0!</v>
      </c>
      <c r="EVJ38" s="367">
        <v>15.38</v>
      </c>
      <c r="EVK38" s="367" t="e">
        <f>EVH38*EVI38*EVJ38</f>
        <v>#DIV/0!</v>
      </c>
      <c r="EVL38" s="363" t="s">
        <v>153</v>
      </c>
      <c r="EVM38" s="363"/>
      <c r="EVN38" s="363"/>
      <c r="EVO38" s="364" t="s">
        <v>140</v>
      </c>
      <c r="EVP38" s="365">
        <v>0.5</v>
      </c>
      <c r="EVQ38" s="366" t="e">
        <f>10/EVM36</f>
        <v>#DIV/0!</v>
      </c>
      <c r="EVR38" s="367">
        <v>15.38</v>
      </c>
      <c r="EVS38" s="367" t="e">
        <f>EVP38*EVQ38*EVR38</f>
        <v>#DIV/0!</v>
      </c>
      <c r="EVT38" s="363" t="s">
        <v>153</v>
      </c>
      <c r="EVU38" s="363"/>
      <c r="EVV38" s="363"/>
      <c r="EVW38" s="364" t="s">
        <v>140</v>
      </c>
      <c r="EVX38" s="365">
        <v>0.5</v>
      </c>
      <c r="EVY38" s="366" t="e">
        <f>10/EVU36</f>
        <v>#DIV/0!</v>
      </c>
      <c r="EVZ38" s="367">
        <v>15.38</v>
      </c>
      <c r="EWA38" s="367" t="e">
        <f>EVX38*EVY38*EVZ38</f>
        <v>#DIV/0!</v>
      </c>
      <c r="EWB38" s="363" t="s">
        <v>153</v>
      </c>
      <c r="EWC38" s="363"/>
      <c r="EWD38" s="363"/>
      <c r="EWE38" s="364" t="s">
        <v>140</v>
      </c>
      <c r="EWF38" s="365">
        <v>0.5</v>
      </c>
      <c r="EWG38" s="366" t="e">
        <f>10/EWC36</f>
        <v>#DIV/0!</v>
      </c>
      <c r="EWH38" s="367">
        <v>15.38</v>
      </c>
      <c r="EWI38" s="367" t="e">
        <f>EWF38*EWG38*EWH38</f>
        <v>#DIV/0!</v>
      </c>
      <c r="EWJ38" s="363" t="s">
        <v>153</v>
      </c>
      <c r="EWK38" s="363"/>
      <c r="EWL38" s="363"/>
      <c r="EWM38" s="364" t="s">
        <v>140</v>
      </c>
      <c r="EWN38" s="365">
        <v>0.5</v>
      </c>
      <c r="EWO38" s="366" t="e">
        <f>10/EWK36</f>
        <v>#DIV/0!</v>
      </c>
      <c r="EWP38" s="367">
        <v>15.38</v>
      </c>
      <c r="EWQ38" s="367" t="e">
        <f>EWN38*EWO38*EWP38</f>
        <v>#DIV/0!</v>
      </c>
      <c r="EWR38" s="363" t="s">
        <v>153</v>
      </c>
      <c r="EWS38" s="363"/>
      <c r="EWT38" s="363"/>
      <c r="EWU38" s="364" t="s">
        <v>140</v>
      </c>
      <c r="EWV38" s="365">
        <v>0.5</v>
      </c>
      <c r="EWW38" s="366" t="e">
        <f>10/EWS36</f>
        <v>#DIV/0!</v>
      </c>
      <c r="EWX38" s="367">
        <v>15.38</v>
      </c>
      <c r="EWY38" s="367" t="e">
        <f>EWV38*EWW38*EWX38</f>
        <v>#DIV/0!</v>
      </c>
      <c r="EWZ38" s="363" t="s">
        <v>153</v>
      </c>
      <c r="EXA38" s="363"/>
      <c r="EXB38" s="363"/>
      <c r="EXC38" s="364" t="s">
        <v>140</v>
      </c>
      <c r="EXD38" s="365">
        <v>0.5</v>
      </c>
      <c r="EXE38" s="366" t="e">
        <f>10/EXA36</f>
        <v>#DIV/0!</v>
      </c>
      <c r="EXF38" s="367">
        <v>15.38</v>
      </c>
      <c r="EXG38" s="367" t="e">
        <f>EXD38*EXE38*EXF38</f>
        <v>#DIV/0!</v>
      </c>
      <c r="EXH38" s="363" t="s">
        <v>153</v>
      </c>
      <c r="EXI38" s="363"/>
      <c r="EXJ38" s="363"/>
      <c r="EXK38" s="364" t="s">
        <v>140</v>
      </c>
      <c r="EXL38" s="365">
        <v>0.5</v>
      </c>
      <c r="EXM38" s="366" t="e">
        <f>10/EXI36</f>
        <v>#DIV/0!</v>
      </c>
      <c r="EXN38" s="367">
        <v>15.38</v>
      </c>
      <c r="EXO38" s="367" t="e">
        <f>EXL38*EXM38*EXN38</f>
        <v>#DIV/0!</v>
      </c>
      <c r="EXP38" s="363" t="s">
        <v>153</v>
      </c>
      <c r="EXQ38" s="363"/>
      <c r="EXR38" s="363"/>
      <c r="EXS38" s="364" t="s">
        <v>140</v>
      </c>
      <c r="EXT38" s="365">
        <v>0.5</v>
      </c>
      <c r="EXU38" s="366" t="e">
        <f>10/EXQ36</f>
        <v>#DIV/0!</v>
      </c>
      <c r="EXV38" s="367">
        <v>15.38</v>
      </c>
      <c r="EXW38" s="367" t="e">
        <f>EXT38*EXU38*EXV38</f>
        <v>#DIV/0!</v>
      </c>
      <c r="EXX38" s="363" t="s">
        <v>153</v>
      </c>
      <c r="EXY38" s="363"/>
      <c r="EXZ38" s="363"/>
      <c r="EYA38" s="364" t="s">
        <v>140</v>
      </c>
      <c r="EYB38" s="365">
        <v>0.5</v>
      </c>
      <c r="EYC38" s="366" t="e">
        <f>10/EXY36</f>
        <v>#DIV/0!</v>
      </c>
      <c r="EYD38" s="367">
        <v>15.38</v>
      </c>
      <c r="EYE38" s="367" t="e">
        <f>EYB38*EYC38*EYD38</f>
        <v>#DIV/0!</v>
      </c>
      <c r="EYF38" s="363" t="s">
        <v>153</v>
      </c>
      <c r="EYG38" s="363"/>
      <c r="EYH38" s="363"/>
      <c r="EYI38" s="364" t="s">
        <v>140</v>
      </c>
      <c r="EYJ38" s="365">
        <v>0.5</v>
      </c>
      <c r="EYK38" s="366" t="e">
        <f>10/EYG36</f>
        <v>#DIV/0!</v>
      </c>
      <c r="EYL38" s="367">
        <v>15.38</v>
      </c>
      <c r="EYM38" s="367" t="e">
        <f>EYJ38*EYK38*EYL38</f>
        <v>#DIV/0!</v>
      </c>
      <c r="EYN38" s="363" t="s">
        <v>153</v>
      </c>
      <c r="EYO38" s="363"/>
      <c r="EYP38" s="363"/>
      <c r="EYQ38" s="364" t="s">
        <v>140</v>
      </c>
      <c r="EYR38" s="365">
        <v>0.5</v>
      </c>
      <c r="EYS38" s="366" t="e">
        <f>10/EYO36</f>
        <v>#DIV/0!</v>
      </c>
      <c r="EYT38" s="367">
        <v>15.38</v>
      </c>
      <c r="EYU38" s="367" t="e">
        <f>EYR38*EYS38*EYT38</f>
        <v>#DIV/0!</v>
      </c>
      <c r="EYV38" s="363" t="s">
        <v>153</v>
      </c>
      <c r="EYW38" s="363"/>
      <c r="EYX38" s="363"/>
      <c r="EYY38" s="364" t="s">
        <v>140</v>
      </c>
      <c r="EYZ38" s="365">
        <v>0.5</v>
      </c>
      <c r="EZA38" s="366" t="e">
        <f>10/EYW36</f>
        <v>#DIV/0!</v>
      </c>
      <c r="EZB38" s="367">
        <v>15.38</v>
      </c>
      <c r="EZC38" s="367" t="e">
        <f>EYZ38*EZA38*EZB38</f>
        <v>#DIV/0!</v>
      </c>
      <c r="EZD38" s="363" t="s">
        <v>153</v>
      </c>
      <c r="EZE38" s="363"/>
      <c r="EZF38" s="363"/>
      <c r="EZG38" s="364" t="s">
        <v>140</v>
      </c>
      <c r="EZH38" s="365">
        <v>0.5</v>
      </c>
      <c r="EZI38" s="366" t="e">
        <f>10/EZE36</f>
        <v>#DIV/0!</v>
      </c>
      <c r="EZJ38" s="367">
        <v>15.38</v>
      </c>
      <c r="EZK38" s="367" t="e">
        <f>EZH38*EZI38*EZJ38</f>
        <v>#DIV/0!</v>
      </c>
      <c r="EZL38" s="363" t="s">
        <v>153</v>
      </c>
      <c r="EZM38" s="363"/>
      <c r="EZN38" s="363"/>
      <c r="EZO38" s="364" t="s">
        <v>140</v>
      </c>
      <c r="EZP38" s="365">
        <v>0.5</v>
      </c>
      <c r="EZQ38" s="366" t="e">
        <f>10/EZM36</f>
        <v>#DIV/0!</v>
      </c>
      <c r="EZR38" s="367">
        <v>15.38</v>
      </c>
      <c r="EZS38" s="367" t="e">
        <f>EZP38*EZQ38*EZR38</f>
        <v>#DIV/0!</v>
      </c>
      <c r="EZT38" s="363" t="s">
        <v>153</v>
      </c>
      <c r="EZU38" s="363"/>
      <c r="EZV38" s="363"/>
      <c r="EZW38" s="364" t="s">
        <v>140</v>
      </c>
      <c r="EZX38" s="365">
        <v>0.5</v>
      </c>
      <c r="EZY38" s="366" t="e">
        <f>10/EZU36</f>
        <v>#DIV/0!</v>
      </c>
      <c r="EZZ38" s="367">
        <v>15.38</v>
      </c>
      <c r="FAA38" s="367" t="e">
        <f>EZX38*EZY38*EZZ38</f>
        <v>#DIV/0!</v>
      </c>
      <c r="FAB38" s="363" t="s">
        <v>153</v>
      </c>
      <c r="FAC38" s="363"/>
      <c r="FAD38" s="363"/>
      <c r="FAE38" s="364" t="s">
        <v>140</v>
      </c>
      <c r="FAF38" s="365">
        <v>0.5</v>
      </c>
      <c r="FAG38" s="366" t="e">
        <f>10/FAC36</f>
        <v>#DIV/0!</v>
      </c>
      <c r="FAH38" s="367">
        <v>15.38</v>
      </c>
      <c r="FAI38" s="367" t="e">
        <f>FAF38*FAG38*FAH38</f>
        <v>#DIV/0!</v>
      </c>
      <c r="FAJ38" s="363" t="s">
        <v>153</v>
      </c>
      <c r="FAK38" s="363"/>
      <c r="FAL38" s="363"/>
      <c r="FAM38" s="364" t="s">
        <v>140</v>
      </c>
      <c r="FAN38" s="365">
        <v>0.5</v>
      </c>
      <c r="FAO38" s="366" t="e">
        <f>10/FAK36</f>
        <v>#DIV/0!</v>
      </c>
      <c r="FAP38" s="367">
        <v>15.38</v>
      </c>
      <c r="FAQ38" s="367" t="e">
        <f>FAN38*FAO38*FAP38</f>
        <v>#DIV/0!</v>
      </c>
      <c r="FAR38" s="363" t="s">
        <v>153</v>
      </c>
      <c r="FAS38" s="363"/>
      <c r="FAT38" s="363"/>
      <c r="FAU38" s="364" t="s">
        <v>140</v>
      </c>
      <c r="FAV38" s="365">
        <v>0.5</v>
      </c>
      <c r="FAW38" s="366" t="e">
        <f>10/FAS36</f>
        <v>#DIV/0!</v>
      </c>
      <c r="FAX38" s="367">
        <v>15.38</v>
      </c>
      <c r="FAY38" s="367" t="e">
        <f>FAV38*FAW38*FAX38</f>
        <v>#DIV/0!</v>
      </c>
      <c r="FAZ38" s="363" t="s">
        <v>153</v>
      </c>
      <c r="FBA38" s="363"/>
      <c r="FBB38" s="363"/>
      <c r="FBC38" s="364" t="s">
        <v>140</v>
      </c>
      <c r="FBD38" s="365">
        <v>0.5</v>
      </c>
      <c r="FBE38" s="366" t="e">
        <f>10/FBA36</f>
        <v>#DIV/0!</v>
      </c>
      <c r="FBF38" s="367">
        <v>15.38</v>
      </c>
      <c r="FBG38" s="367" t="e">
        <f>FBD38*FBE38*FBF38</f>
        <v>#DIV/0!</v>
      </c>
      <c r="FBH38" s="363" t="s">
        <v>153</v>
      </c>
      <c r="FBI38" s="363"/>
      <c r="FBJ38" s="363"/>
      <c r="FBK38" s="364" t="s">
        <v>140</v>
      </c>
      <c r="FBL38" s="365">
        <v>0.5</v>
      </c>
      <c r="FBM38" s="366" t="e">
        <f>10/FBI36</f>
        <v>#DIV/0!</v>
      </c>
      <c r="FBN38" s="367">
        <v>15.38</v>
      </c>
      <c r="FBO38" s="367" t="e">
        <f>FBL38*FBM38*FBN38</f>
        <v>#DIV/0!</v>
      </c>
      <c r="FBP38" s="363" t="s">
        <v>153</v>
      </c>
      <c r="FBQ38" s="363"/>
      <c r="FBR38" s="363"/>
      <c r="FBS38" s="364" t="s">
        <v>140</v>
      </c>
      <c r="FBT38" s="365">
        <v>0.5</v>
      </c>
      <c r="FBU38" s="366" t="e">
        <f>10/FBQ36</f>
        <v>#DIV/0!</v>
      </c>
      <c r="FBV38" s="367">
        <v>15.38</v>
      </c>
      <c r="FBW38" s="367" t="e">
        <f>FBT38*FBU38*FBV38</f>
        <v>#DIV/0!</v>
      </c>
      <c r="FBX38" s="363" t="s">
        <v>153</v>
      </c>
      <c r="FBY38" s="363"/>
      <c r="FBZ38" s="363"/>
      <c r="FCA38" s="364" t="s">
        <v>140</v>
      </c>
      <c r="FCB38" s="365">
        <v>0.5</v>
      </c>
      <c r="FCC38" s="366" t="e">
        <f>10/FBY36</f>
        <v>#DIV/0!</v>
      </c>
      <c r="FCD38" s="367">
        <v>15.38</v>
      </c>
      <c r="FCE38" s="367" t="e">
        <f>FCB38*FCC38*FCD38</f>
        <v>#DIV/0!</v>
      </c>
      <c r="FCF38" s="363" t="s">
        <v>153</v>
      </c>
      <c r="FCG38" s="363"/>
      <c r="FCH38" s="363"/>
      <c r="FCI38" s="364" t="s">
        <v>140</v>
      </c>
      <c r="FCJ38" s="365">
        <v>0.5</v>
      </c>
      <c r="FCK38" s="366" t="e">
        <f>10/FCG36</f>
        <v>#DIV/0!</v>
      </c>
      <c r="FCL38" s="367">
        <v>15.38</v>
      </c>
      <c r="FCM38" s="367" t="e">
        <f>FCJ38*FCK38*FCL38</f>
        <v>#DIV/0!</v>
      </c>
      <c r="FCN38" s="363" t="s">
        <v>153</v>
      </c>
      <c r="FCO38" s="363"/>
      <c r="FCP38" s="363"/>
      <c r="FCQ38" s="364" t="s">
        <v>140</v>
      </c>
      <c r="FCR38" s="365">
        <v>0.5</v>
      </c>
      <c r="FCS38" s="366" t="e">
        <f>10/FCO36</f>
        <v>#DIV/0!</v>
      </c>
      <c r="FCT38" s="367">
        <v>15.38</v>
      </c>
      <c r="FCU38" s="367" t="e">
        <f>FCR38*FCS38*FCT38</f>
        <v>#DIV/0!</v>
      </c>
      <c r="FCV38" s="363" t="s">
        <v>153</v>
      </c>
      <c r="FCW38" s="363"/>
      <c r="FCX38" s="363"/>
      <c r="FCY38" s="364" t="s">
        <v>140</v>
      </c>
      <c r="FCZ38" s="365">
        <v>0.5</v>
      </c>
      <c r="FDA38" s="366" t="e">
        <f>10/FCW36</f>
        <v>#DIV/0!</v>
      </c>
      <c r="FDB38" s="367">
        <v>15.38</v>
      </c>
      <c r="FDC38" s="367" t="e">
        <f>FCZ38*FDA38*FDB38</f>
        <v>#DIV/0!</v>
      </c>
      <c r="FDD38" s="363" t="s">
        <v>153</v>
      </c>
      <c r="FDE38" s="363"/>
      <c r="FDF38" s="363"/>
      <c r="FDG38" s="364" t="s">
        <v>140</v>
      </c>
      <c r="FDH38" s="365">
        <v>0.5</v>
      </c>
      <c r="FDI38" s="366" t="e">
        <f>10/FDE36</f>
        <v>#DIV/0!</v>
      </c>
      <c r="FDJ38" s="367">
        <v>15.38</v>
      </c>
      <c r="FDK38" s="367" t="e">
        <f>FDH38*FDI38*FDJ38</f>
        <v>#DIV/0!</v>
      </c>
      <c r="FDL38" s="363" t="s">
        <v>153</v>
      </c>
      <c r="FDM38" s="363"/>
      <c r="FDN38" s="363"/>
      <c r="FDO38" s="364" t="s">
        <v>140</v>
      </c>
      <c r="FDP38" s="365">
        <v>0.5</v>
      </c>
      <c r="FDQ38" s="366" t="e">
        <f>10/FDM36</f>
        <v>#DIV/0!</v>
      </c>
      <c r="FDR38" s="367">
        <v>15.38</v>
      </c>
      <c r="FDS38" s="367" t="e">
        <f>FDP38*FDQ38*FDR38</f>
        <v>#DIV/0!</v>
      </c>
      <c r="FDT38" s="363" t="s">
        <v>153</v>
      </c>
      <c r="FDU38" s="363"/>
      <c r="FDV38" s="363"/>
      <c r="FDW38" s="364" t="s">
        <v>140</v>
      </c>
      <c r="FDX38" s="365">
        <v>0.5</v>
      </c>
      <c r="FDY38" s="366" t="e">
        <f>10/FDU36</f>
        <v>#DIV/0!</v>
      </c>
      <c r="FDZ38" s="367">
        <v>15.38</v>
      </c>
      <c r="FEA38" s="367" t="e">
        <f>FDX38*FDY38*FDZ38</f>
        <v>#DIV/0!</v>
      </c>
      <c r="FEB38" s="363" t="s">
        <v>153</v>
      </c>
      <c r="FEC38" s="363"/>
      <c r="FED38" s="363"/>
      <c r="FEE38" s="364" t="s">
        <v>140</v>
      </c>
      <c r="FEF38" s="365">
        <v>0.5</v>
      </c>
      <c r="FEG38" s="366" t="e">
        <f>10/FEC36</f>
        <v>#DIV/0!</v>
      </c>
      <c r="FEH38" s="367">
        <v>15.38</v>
      </c>
      <c r="FEI38" s="367" t="e">
        <f>FEF38*FEG38*FEH38</f>
        <v>#DIV/0!</v>
      </c>
      <c r="FEJ38" s="363" t="s">
        <v>153</v>
      </c>
      <c r="FEK38" s="363"/>
      <c r="FEL38" s="363"/>
      <c r="FEM38" s="364" t="s">
        <v>140</v>
      </c>
      <c r="FEN38" s="365">
        <v>0.5</v>
      </c>
      <c r="FEO38" s="366" t="e">
        <f>10/FEK36</f>
        <v>#DIV/0!</v>
      </c>
      <c r="FEP38" s="367">
        <v>15.38</v>
      </c>
      <c r="FEQ38" s="367" t="e">
        <f>FEN38*FEO38*FEP38</f>
        <v>#DIV/0!</v>
      </c>
      <c r="FER38" s="363" t="s">
        <v>153</v>
      </c>
      <c r="FES38" s="363"/>
      <c r="FET38" s="363"/>
      <c r="FEU38" s="364" t="s">
        <v>140</v>
      </c>
      <c r="FEV38" s="365">
        <v>0.5</v>
      </c>
      <c r="FEW38" s="366" t="e">
        <f>10/FES36</f>
        <v>#DIV/0!</v>
      </c>
      <c r="FEX38" s="367">
        <v>15.38</v>
      </c>
      <c r="FEY38" s="367" t="e">
        <f>FEV38*FEW38*FEX38</f>
        <v>#DIV/0!</v>
      </c>
      <c r="FEZ38" s="363" t="s">
        <v>153</v>
      </c>
      <c r="FFA38" s="363"/>
      <c r="FFB38" s="363"/>
      <c r="FFC38" s="364" t="s">
        <v>140</v>
      </c>
      <c r="FFD38" s="365">
        <v>0.5</v>
      </c>
      <c r="FFE38" s="366" t="e">
        <f>10/FFA36</f>
        <v>#DIV/0!</v>
      </c>
      <c r="FFF38" s="367">
        <v>15.38</v>
      </c>
      <c r="FFG38" s="367" t="e">
        <f>FFD38*FFE38*FFF38</f>
        <v>#DIV/0!</v>
      </c>
      <c r="FFH38" s="363" t="s">
        <v>153</v>
      </c>
      <c r="FFI38" s="363"/>
      <c r="FFJ38" s="363"/>
      <c r="FFK38" s="364" t="s">
        <v>140</v>
      </c>
      <c r="FFL38" s="365">
        <v>0.5</v>
      </c>
      <c r="FFM38" s="366" t="e">
        <f>10/FFI36</f>
        <v>#DIV/0!</v>
      </c>
      <c r="FFN38" s="367">
        <v>15.38</v>
      </c>
      <c r="FFO38" s="367" t="e">
        <f>FFL38*FFM38*FFN38</f>
        <v>#DIV/0!</v>
      </c>
      <c r="FFP38" s="363" t="s">
        <v>153</v>
      </c>
      <c r="FFQ38" s="363"/>
      <c r="FFR38" s="363"/>
      <c r="FFS38" s="364" t="s">
        <v>140</v>
      </c>
      <c r="FFT38" s="365">
        <v>0.5</v>
      </c>
      <c r="FFU38" s="366" t="e">
        <f>10/FFQ36</f>
        <v>#DIV/0!</v>
      </c>
      <c r="FFV38" s="367">
        <v>15.38</v>
      </c>
      <c r="FFW38" s="367" t="e">
        <f>FFT38*FFU38*FFV38</f>
        <v>#DIV/0!</v>
      </c>
      <c r="FFX38" s="363" t="s">
        <v>153</v>
      </c>
      <c r="FFY38" s="363"/>
      <c r="FFZ38" s="363"/>
      <c r="FGA38" s="364" t="s">
        <v>140</v>
      </c>
      <c r="FGB38" s="365">
        <v>0.5</v>
      </c>
      <c r="FGC38" s="366" t="e">
        <f>10/FFY36</f>
        <v>#DIV/0!</v>
      </c>
      <c r="FGD38" s="367">
        <v>15.38</v>
      </c>
      <c r="FGE38" s="367" t="e">
        <f>FGB38*FGC38*FGD38</f>
        <v>#DIV/0!</v>
      </c>
      <c r="FGF38" s="363" t="s">
        <v>153</v>
      </c>
      <c r="FGG38" s="363"/>
      <c r="FGH38" s="363"/>
      <c r="FGI38" s="364" t="s">
        <v>140</v>
      </c>
      <c r="FGJ38" s="365">
        <v>0.5</v>
      </c>
      <c r="FGK38" s="366" t="e">
        <f>10/FGG36</f>
        <v>#DIV/0!</v>
      </c>
      <c r="FGL38" s="367">
        <v>15.38</v>
      </c>
      <c r="FGM38" s="367" t="e">
        <f>FGJ38*FGK38*FGL38</f>
        <v>#DIV/0!</v>
      </c>
      <c r="FGN38" s="363" t="s">
        <v>153</v>
      </c>
      <c r="FGO38" s="363"/>
      <c r="FGP38" s="363"/>
      <c r="FGQ38" s="364" t="s">
        <v>140</v>
      </c>
      <c r="FGR38" s="365">
        <v>0.5</v>
      </c>
      <c r="FGS38" s="366" t="e">
        <f>10/FGO36</f>
        <v>#DIV/0!</v>
      </c>
      <c r="FGT38" s="367">
        <v>15.38</v>
      </c>
      <c r="FGU38" s="367" t="e">
        <f>FGR38*FGS38*FGT38</f>
        <v>#DIV/0!</v>
      </c>
      <c r="FGV38" s="363" t="s">
        <v>153</v>
      </c>
      <c r="FGW38" s="363"/>
      <c r="FGX38" s="363"/>
      <c r="FGY38" s="364" t="s">
        <v>140</v>
      </c>
      <c r="FGZ38" s="365">
        <v>0.5</v>
      </c>
      <c r="FHA38" s="366" t="e">
        <f>10/FGW36</f>
        <v>#DIV/0!</v>
      </c>
      <c r="FHB38" s="367">
        <v>15.38</v>
      </c>
      <c r="FHC38" s="367" t="e">
        <f>FGZ38*FHA38*FHB38</f>
        <v>#DIV/0!</v>
      </c>
      <c r="FHD38" s="363" t="s">
        <v>153</v>
      </c>
      <c r="FHE38" s="363"/>
      <c r="FHF38" s="363"/>
      <c r="FHG38" s="364" t="s">
        <v>140</v>
      </c>
      <c r="FHH38" s="365">
        <v>0.5</v>
      </c>
      <c r="FHI38" s="366" t="e">
        <f>10/FHE36</f>
        <v>#DIV/0!</v>
      </c>
      <c r="FHJ38" s="367">
        <v>15.38</v>
      </c>
      <c r="FHK38" s="367" t="e">
        <f>FHH38*FHI38*FHJ38</f>
        <v>#DIV/0!</v>
      </c>
      <c r="FHL38" s="363" t="s">
        <v>153</v>
      </c>
      <c r="FHM38" s="363"/>
      <c r="FHN38" s="363"/>
      <c r="FHO38" s="364" t="s">
        <v>140</v>
      </c>
      <c r="FHP38" s="365">
        <v>0.5</v>
      </c>
      <c r="FHQ38" s="366" t="e">
        <f>10/FHM36</f>
        <v>#DIV/0!</v>
      </c>
      <c r="FHR38" s="367">
        <v>15.38</v>
      </c>
      <c r="FHS38" s="367" t="e">
        <f>FHP38*FHQ38*FHR38</f>
        <v>#DIV/0!</v>
      </c>
      <c r="FHT38" s="363" t="s">
        <v>153</v>
      </c>
      <c r="FHU38" s="363"/>
      <c r="FHV38" s="363"/>
      <c r="FHW38" s="364" t="s">
        <v>140</v>
      </c>
      <c r="FHX38" s="365">
        <v>0.5</v>
      </c>
      <c r="FHY38" s="366" t="e">
        <f>10/FHU36</f>
        <v>#DIV/0!</v>
      </c>
      <c r="FHZ38" s="367">
        <v>15.38</v>
      </c>
      <c r="FIA38" s="367" t="e">
        <f>FHX38*FHY38*FHZ38</f>
        <v>#DIV/0!</v>
      </c>
      <c r="FIB38" s="363" t="s">
        <v>153</v>
      </c>
      <c r="FIC38" s="363"/>
      <c r="FID38" s="363"/>
      <c r="FIE38" s="364" t="s">
        <v>140</v>
      </c>
      <c r="FIF38" s="365">
        <v>0.5</v>
      </c>
      <c r="FIG38" s="366" t="e">
        <f>10/FIC36</f>
        <v>#DIV/0!</v>
      </c>
      <c r="FIH38" s="367">
        <v>15.38</v>
      </c>
      <c r="FII38" s="367" t="e">
        <f>FIF38*FIG38*FIH38</f>
        <v>#DIV/0!</v>
      </c>
      <c r="FIJ38" s="363" t="s">
        <v>153</v>
      </c>
      <c r="FIK38" s="363"/>
      <c r="FIL38" s="363"/>
      <c r="FIM38" s="364" t="s">
        <v>140</v>
      </c>
      <c r="FIN38" s="365">
        <v>0.5</v>
      </c>
      <c r="FIO38" s="366" t="e">
        <f>10/FIK36</f>
        <v>#DIV/0!</v>
      </c>
      <c r="FIP38" s="367">
        <v>15.38</v>
      </c>
      <c r="FIQ38" s="367" t="e">
        <f>FIN38*FIO38*FIP38</f>
        <v>#DIV/0!</v>
      </c>
      <c r="FIR38" s="363" t="s">
        <v>153</v>
      </c>
      <c r="FIS38" s="363"/>
      <c r="FIT38" s="363"/>
      <c r="FIU38" s="364" t="s">
        <v>140</v>
      </c>
      <c r="FIV38" s="365">
        <v>0.5</v>
      </c>
      <c r="FIW38" s="366" t="e">
        <f>10/FIS36</f>
        <v>#DIV/0!</v>
      </c>
      <c r="FIX38" s="367">
        <v>15.38</v>
      </c>
      <c r="FIY38" s="367" t="e">
        <f>FIV38*FIW38*FIX38</f>
        <v>#DIV/0!</v>
      </c>
      <c r="FIZ38" s="363" t="s">
        <v>153</v>
      </c>
      <c r="FJA38" s="363"/>
      <c r="FJB38" s="363"/>
      <c r="FJC38" s="364" t="s">
        <v>140</v>
      </c>
      <c r="FJD38" s="365">
        <v>0.5</v>
      </c>
      <c r="FJE38" s="366" t="e">
        <f>10/FJA36</f>
        <v>#DIV/0!</v>
      </c>
      <c r="FJF38" s="367">
        <v>15.38</v>
      </c>
      <c r="FJG38" s="367" t="e">
        <f>FJD38*FJE38*FJF38</f>
        <v>#DIV/0!</v>
      </c>
      <c r="FJH38" s="363" t="s">
        <v>153</v>
      </c>
      <c r="FJI38" s="363"/>
      <c r="FJJ38" s="363"/>
      <c r="FJK38" s="364" t="s">
        <v>140</v>
      </c>
      <c r="FJL38" s="365">
        <v>0.5</v>
      </c>
      <c r="FJM38" s="366" t="e">
        <f>10/FJI36</f>
        <v>#DIV/0!</v>
      </c>
      <c r="FJN38" s="367">
        <v>15.38</v>
      </c>
      <c r="FJO38" s="367" t="e">
        <f>FJL38*FJM38*FJN38</f>
        <v>#DIV/0!</v>
      </c>
      <c r="FJP38" s="363" t="s">
        <v>153</v>
      </c>
      <c r="FJQ38" s="363"/>
      <c r="FJR38" s="363"/>
      <c r="FJS38" s="364" t="s">
        <v>140</v>
      </c>
      <c r="FJT38" s="365">
        <v>0.5</v>
      </c>
      <c r="FJU38" s="366" t="e">
        <f>10/FJQ36</f>
        <v>#DIV/0!</v>
      </c>
      <c r="FJV38" s="367">
        <v>15.38</v>
      </c>
      <c r="FJW38" s="367" t="e">
        <f>FJT38*FJU38*FJV38</f>
        <v>#DIV/0!</v>
      </c>
      <c r="FJX38" s="363" t="s">
        <v>153</v>
      </c>
      <c r="FJY38" s="363"/>
      <c r="FJZ38" s="363"/>
      <c r="FKA38" s="364" t="s">
        <v>140</v>
      </c>
      <c r="FKB38" s="365">
        <v>0.5</v>
      </c>
      <c r="FKC38" s="366" t="e">
        <f>10/FJY36</f>
        <v>#DIV/0!</v>
      </c>
      <c r="FKD38" s="367">
        <v>15.38</v>
      </c>
      <c r="FKE38" s="367" t="e">
        <f>FKB38*FKC38*FKD38</f>
        <v>#DIV/0!</v>
      </c>
      <c r="FKF38" s="363" t="s">
        <v>153</v>
      </c>
      <c r="FKG38" s="363"/>
      <c r="FKH38" s="363"/>
      <c r="FKI38" s="364" t="s">
        <v>140</v>
      </c>
      <c r="FKJ38" s="365">
        <v>0.5</v>
      </c>
      <c r="FKK38" s="366" t="e">
        <f>10/FKG36</f>
        <v>#DIV/0!</v>
      </c>
      <c r="FKL38" s="367">
        <v>15.38</v>
      </c>
      <c r="FKM38" s="367" t="e">
        <f>FKJ38*FKK38*FKL38</f>
        <v>#DIV/0!</v>
      </c>
      <c r="FKN38" s="363" t="s">
        <v>153</v>
      </c>
      <c r="FKO38" s="363"/>
      <c r="FKP38" s="363"/>
      <c r="FKQ38" s="364" t="s">
        <v>140</v>
      </c>
      <c r="FKR38" s="365">
        <v>0.5</v>
      </c>
      <c r="FKS38" s="366" t="e">
        <f>10/FKO36</f>
        <v>#DIV/0!</v>
      </c>
      <c r="FKT38" s="367">
        <v>15.38</v>
      </c>
      <c r="FKU38" s="367" t="e">
        <f>FKR38*FKS38*FKT38</f>
        <v>#DIV/0!</v>
      </c>
      <c r="FKV38" s="363" t="s">
        <v>153</v>
      </c>
      <c r="FKW38" s="363"/>
      <c r="FKX38" s="363"/>
      <c r="FKY38" s="364" t="s">
        <v>140</v>
      </c>
      <c r="FKZ38" s="365">
        <v>0.5</v>
      </c>
      <c r="FLA38" s="366" t="e">
        <f>10/FKW36</f>
        <v>#DIV/0!</v>
      </c>
      <c r="FLB38" s="367">
        <v>15.38</v>
      </c>
      <c r="FLC38" s="367" t="e">
        <f>FKZ38*FLA38*FLB38</f>
        <v>#DIV/0!</v>
      </c>
      <c r="FLD38" s="363" t="s">
        <v>153</v>
      </c>
      <c r="FLE38" s="363"/>
      <c r="FLF38" s="363"/>
      <c r="FLG38" s="364" t="s">
        <v>140</v>
      </c>
      <c r="FLH38" s="365">
        <v>0.5</v>
      </c>
      <c r="FLI38" s="366" t="e">
        <f>10/FLE36</f>
        <v>#DIV/0!</v>
      </c>
      <c r="FLJ38" s="367">
        <v>15.38</v>
      </c>
      <c r="FLK38" s="367" t="e">
        <f>FLH38*FLI38*FLJ38</f>
        <v>#DIV/0!</v>
      </c>
      <c r="FLL38" s="363" t="s">
        <v>153</v>
      </c>
      <c r="FLM38" s="363"/>
      <c r="FLN38" s="363"/>
      <c r="FLO38" s="364" t="s">
        <v>140</v>
      </c>
      <c r="FLP38" s="365">
        <v>0.5</v>
      </c>
      <c r="FLQ38" s="366" t="e">
        <f>10/FLM36</f>
        <v>#DIV/0!</v>
      </c>
      <c r="FLR38" s="367">
        <v>15.38</v>
      </c>
      <c r="FLS38" s="367" t="e">
        <f>FLP38*FLQ38*FLR38</f>
        <v>#DIV/0!</v>
      </c>
      <c r="FLT38" s="363" t="s">
        <v>153</v>
      </c>
      <c r="FLU38" s="363"/>
      <c r="FLV38" s="363"/>
      <c r="FLW38" s="364" t="s">
        <v>140</v>
      </c>
      <c r="FLX38" s="365">
        <v>0.5</v>
      </c>
      <c r="FLY38" s="366" t="e">
        <f>10/FLU36</f>
        <v>#DIV/0!</v>
      </c>
      <c r="FLZ38" s="367">
        <v>15.38</v>
      </c>
      <c r="FMA38" s="367" t="e">
        <f>FLX38*FLY38*FLZ38</f>
        <v>#DIV/0!</v>
      </c>
      <c r="FMB38" s="363" t="s">
        <v>153</v>
      </c>
      <c r="FMC38" s="363"/>
      <c r="FMD38" s="363"/>
      <c r="FME38" s="364" t="s">
        <v>140</v>
      </c>
      <c r="FMF38" s="365">
        <v>0.5</v>
      </c>
      <c r="FMG38" s="366" t="e">
        <f>10/FMC36</f>
        <v>#DIV/0!</v>
      </c>
      <c r="FMH38" s="367">
        <v>15.38</v>
      </c>
      <c r="FMI38" s="367" t="e">
        <f>FMF38*FMG38*FMH38</f>
        <v>#DIV/0!</v>
      </c>
      <c r="FMJ38" s="363" t="s">
        <v>153</v>
      </c>
      <c r="FMK38" s="363"/>
      <c r="FML38" s="363"/>
      <c r="FMM38" s="364" t="s">
        <v>140</v>
      </c>
      <c r="FMN38" s="365">
        <v>0.5</v>
      </c>
      <c r="FMO38" s="366" t="e">
        <f>10/FMK36</f>
        <v>#DIV/0!</v>
      </c>
      <c r="FMP38" s="367">
        <v>15.38</v>
      </c>
      <c r="FMQ38" s="367" t="e">
        <f>FMN38*FMO38*FMP38</f>
        <v>#DIV/0!</v>
      </c>
      <c r="FMR38" s="363" t="s">
        <v>153</v>
      </c>
      <c r="FMS38" s="363"/>
      <c r="FMT38" s="363"/>
      <c r="FMU38" s="364" t="s">
        <v>140</v>
      </c>
      <c r="FMV38" s="365">
        <v>0.5</v>
      </c>
      <c r="FMW38" s="366" t="e">
        <f>10/FMS36</f>
        <v>#DIV/0!</v>
      </c>
      <c r="FMX38" s="367">
        <v>15.38</v>
      </c>
      <c r="FMY38" s="367" t="e">
        <f>FMV38*FMW38*FMX38</f>
        <v>#DIV/0!</v>
      </c>
      <c r="FMZ38" s="363" t="s">
        <v>153</v>
      </c>
      <c r="FNA38" s="363"/>
      <c r="FNB38" s="363"/>
      <c r="FNC38" s="364" t="s">
        <v>140</v>
      </c>
      <c r="FND38" s="365">
        <v>0.5</v>
      </c>
      <c r="FNE38" s="366" t="e">
        <f>10/FNA36</f>
        <v>#DIV/0!</v>
      </c>
      <c r="FNF38" s="367">
        <v>15.38</v>
      </c>
      <c r="FNG38" s="367" t="e">
        <f>FND38*FNE38*FNF38</f>
        <v>#DIV/0!</v>
      </c>
      <c r="FNH38" s="363" t="s">
        <v>153</v>
      </c>
      <c r="FNI38" s="363"/>
      <c r="FNJ38" s="363"/>
      <c r="FNK38" s="364" t="s">
        <v>140</v>
      </c>
      <c r="FNL38" s="365">
        <v>0.5</v>
      </c>
      <c r="FNM38" s="366" t="e">
        <f>10/FNI36</f>
        <v>#DIV/0!</v>
      </c>
      <c r="FNN38" s="367">
        <v>15.38</v>
      </c>
      <c r="FNO38" s="367" t="e">
        <f>FNL38*FNM38*FNN38</f>
        <v>#DIV/0!</v>
      </c>
      <c r="FNP38" s="363" t="s">
        <v>153</v>
      </c>
      <c r="FNQ38" s="363"/>
      <c r="FNR38" s="363"/>
      <c r="FNS38" s="364" t="s">
        <v>140</v>
      </c>
      <c r="FNT38" s="365">
        <v>0.5</v>
      </c>
      <c r="FNU38" s="366" t="e">
        <f>10/FNQ36</f>
        <v>#DIV/0!</v>
      </c>
      <c r="FNV38" s="367">
        <v>15.38</v>
      </c>
      <c r="FNW38" s="367" t="e">
        <f>FNT38*FNU38*FNV38</f>
        <v>#DIV/0!</v>
      </c>
      <c r="FNX38" s="363" t="s">
        <v>153</v>
      </c>
      <c r="FNY38" s="363"/>
      <c r="FNZ38" s="363"/>
      <c r="FOA38" s="364" t="s">
        <v>140</v>
      </c>
      <c r="FOB38" s="365">
        <v>0.5</v>
      </c>
      <c r="FOC38" s="366" t="e">
        <f>10/FNY36</f>
        <v>#DIV/0!</v>
      </c>
      <c r="FOD38" s="367">
        <v>15.38</v>
      </c>
      <c r="FOE38" s="367" t="e">
        <f>FOB38*FOC38*FOD38</f>
        <v>#DIV/0!</v>
      </c>
      <c r="FOF38" s="363" t="s">
        <v>153</v>
      </c>
      <c r="FOG38" s="363"/>
      <c r="FOH38" s="363"/>
      <c r="FOI38" s="364" t="s">
        <v>140</v>
      </c>
      <c r="FOJ38" s="365">
        <v>0.5</v>
      </c>
      <c r="FOK38" s="366" t="e">
        <f>10/FOG36</f>
        <v>#DIV/0!</v>
      </c>
      <c r="FOL38" s="367">
        <v>15.38</v>
      </c>
      <c r="FOM38" s="367" t="e">
        <f>FOJ38*FOK38*FOL38</f>
        <v>#DIV/0!</v>
      </c>
      <c r="FON38" s="363" t="s">
        <v>153</v>
      </c>
      <c r="FOO38" s="363"/>
      <c r="FOP38" s="363"/>
      <c r="FOQ38" s="364" t="s">
        <v>140</v>
      </c>
      <c r="FOR38" s="365">
        <v>0.5</v>
      </c>
      <c r="FOS38" s="366" t="e">
        <f>10/FOO36</f>
        <v>#DIV/0!</v>
      </c>
      <c r="FOT38" s="367">
        <v>15.38</v>
      </c>
      <c r="FOU38" s="367" t="e">
        <f>FOR38*FOS38*FOT38</f>
        <v>#DIV/0!</v>
      </c>
      <c r="FOV38" s="363" t="s">
        <v>153</v>
      </c>
      <c r="FOW38" s="363"/>
      <c r="FOX38" s="363"/>
      <c r="FOY38" s="364" t="s">
        <v>140</v>
      </c>
      <c r="FOZ38" s="365">
        <v>0.5</v>
      </c>
      <c r="FPA38" s="366" t="e">
        <f>10/FOW36</f>
        <v>#DIV/0!</v>
      </c>
      <c r="FPB38" s="367">
        <v>15.38</v>
      </c>
      <c r="FPC38" s="367" t="e">
        <f>FOZ38*FPA38*FPB38</f>
        <v>#DIV/0!</v>
      </c>
      <c r="FPD38" s="363" t="s">
        <v>153</v>
      </c>
      <c r="FPE38" s="363"/>
      <c r="FPF38" s="363"/>
      <c r="FPG38" s="364" t="s">
        <v>140</v>
      </c>
      <c r="FPH38" s="365">
        <v>0.5</v>
      </c>
      <c r="FPI38" s="366" t="e">
        <f>10/FPE36</f>
        <v>#DIV/0!</v>
      </c>
      <c r="FPJ38" s="367">
        <v>15.38</v>
      </c>
      <c r="FPK38" s="367" t="e">
        <f>FPH38*FPI38*FPJ38</f>
        <v>#DIV/0!</v>
      </c>
      <c r="FPL38" s="363" t="s">
        <v>153</v>
      </c>
      <c r="FPM38" s="363"/>
      <c r="FPN38" s="363"/>
      <c r="FPO38" s="364" t="s">
        <v>140</v>
      </c>
      <c r="FPP38" s="365">
        <v>0.5</v>
      </c>
      <c r="FPQ38" s="366" t="e">
        <f>10/FPM36</f>
        <v>#DIV/0!</v>
      </c>
      <c r="FPR38" s="367">
        <v>15.38</v>
      </c>
      <c r="FPS38" s="367" t="e">
        <f>FPP38*FPQ38*FPR38</f>
        <v>#DIV/0!</v>
      </c>
      <c r="FPT38" s="363" t="s">
        <v>153</v>
      </c>
      <c r="FPU38" s="363"/>
      <c r="FPV38" s="363"/>
      <c r="FPW38" s="364" t="s">
        <v>140</v>
      </c>
      <c r="FPX38" s="365">
        <v>0.5</v>
      </c>
      <c r="FPY38" s="366" t="e">
        <f>10/FPU36</f>
        <v>#DIV/0!</v>
      </c>
      <c r="FPZ38" s="367">
        <v>15.38</v>
      </c>
      <c r="FQA38" s="367" t="e">
        <f>FPX38*FPY38*FPZ38</f>
        <v>#DIV/0!</v>
      </c>
      <c r="FQB38" s="363" t="s">
        <v>153</v>
      </c>
      <c r="FQC38" s="363"/>
      <c r="FQD38" s="363"/>
      <c r="FQE38" s="364" t="s">
        <v>140</v>
      </c>
      <c r="FQF38" s="365">
        <v>0.5</v>
      </c>
      <c r="FQG38" s="366" t="e">
        <f>10/FQC36</f>
        <v>#DIV/0!</v>
      </c>
      <c r="FQH38" s="367">
        <v>15.38</v>
      </c>
      <c r="FQI38" s="367" t="e">
        <f>FQF38*FQG38*FQH38</f>
        <v>#DIV/0!</v>
      </c>
      <c r="FQJ38" s="363" t="s">
        <v>153</v>
      </c>
      <c r="FQK38" s="363"/>
      <c r="FQL38" s="363"/>
      <c r="FQM38" s="364" t="s">
        <v>140</v>
      </c>
      <c r="FQN38" s="365">
        <v>0.5</v>
      </c>
      <c r="FQO38" s="366" t="e">
        <f>10/FQK36</f>
        <v>#DIV/0!</v>
      </c>
      <c r="FQP38" s="367">
        <v>15.38</v>
      </c>
      <c r="FQQ38" s="367" t="e">
        <f>FQN38*FQO38*FQP38</f>
        <v>#DIV/0!</v>
      </c>
      <c r="FQR38" s="363" t="s">
        <v>153</v>
      </c>
      <c r="FQS38" s="363"/>
      <c r="FQT38" s="363"/>
      <c r="FQU38" s="364" t="s">
        <v>140</v>
      </c>
      <c r="FQV38" s="365">
        <v>0.5</v>
      </c>
      <c r="FQW38" s="366" t="e">
        <f>10/FQS36</f>
        <v>#DIV/0!</v>
      </c>
      <c r="FQX38" s="367">
        <v>15.38</v>
      </c>
      <c r="FQY38" s="367" t="e">
        <f>FQV38*FQW38*FQX38</f>
        <v>#DIV/0!</v>
      </c>
      <c r="FQZ38" s="363" t="s">
        <v>153</v>
      </c>
      <c r="FRA38" s="363"/>
      <c r="FRB38" s="363"/>
      <c r="FRC38" s="364" t="s">
        <v>140</v>
      </c>
      <c r="FRD38" s="365">
        <v>0.5</v>
      </c>
      <c r="FRE38" s="366" t="e">
        <f>10/FRA36</f>
        <v>#DIV/0!</v>
      </c>
      <c r="FRF38" s="367">
        <v>15.38</v>
      </c>
      <c r="FRG38" s="367" t="e">
        <f>FRD38*FRE38*FRF38</f>
        <v>#DIV/0!</v>
      </c>
      <c r="FRH38" s="363" t="s">
        <v>153</v>
      </c>
      <c r="FRI38" s="363"/>
      <c r="FRJ38" s="363"/>
      <c r="FRK38" s="364" t="s">
        <v>140</v>
      </c>
      <c r="FRL38" s="365">
        <v>0.5</v>
      </c>
      <c r="FRM38" s="366" t="e">
        <f>10/FRI36</f>
        <v>#DIV/0!</v>
      </c>
      <c r="FRN38" s="367">
        <v>15.38</v>
      </c>
      <c r="FRO38" s="367" t="e">
        <f>FRL38*FRM38*FRN38</f>
        <v>#DIV/0!</v>
      </c>
      <c r="FRP38" s="363" t="s">
        <v>153</v>
      </c>
      <c r="FRQ38" s="363"/>
      <c r="FRR38" s="363"/>
      <c r="FRS38" s="364" t="s">
        <v>140</v>
      </c>
      <c r="FRT38" s="365">
        <v>0.5</v>
      </c>
      <c r="FRU38" s="366" t="e">
        <f>10/FRQ36</f>
        <v>#DIV/0!</v>
      </c>
      <c r="FRV38" s="367">
        <v>15.38</v>
      </c>
      <c r="FRW38" s="367" t="e">
        <f>FRT38*FRU38*FRV38</f>
        <v>#DIV/0!</v>
      </c>
      <c r="FRX38" s="363" t="s">
        <v>153</v>
      </c>
      <c r="FRY38" s="363"/>
      <c r="FRZ38" s="363"/>
      <c r="FSA38" s="364" t="s">
        <v>140</v>
      </c>
      <c r="FSB38" s="365">
        <v>0.5</v>
      </c>
      <c r="FSC38" s="366" t="e">
        <f>10/FRY36</f>
        <v>#DIV/0!</v>
      </c>
      <c r="FSD38" s="367">
        <v>15.38</v>
      </c>
      <c r="FSE38" s="367" t="e">
        <f>FSB38*FSC38*FSD38</f>
        <v>#DIV/0!</v>
      </c>
      <c r="FSF38" s="363" t="s">
        <v>153</v>
      </c>
      <c r="FSG38" s="363"/>
      <c r="FSH38" s="363"/>
      <c r="FSI38" s="364" t="s">
        <v>140</v>
      </c>
      <c r="FSJ38" s="365">
        <v>0.5</v>
      </c>
      <c r="FSK38" s="366" t="e">
        <f>10/FSG36</f>
        <v>#DIV/0!</v>
      </c>
      <c r="FSL38" s="367">
        <v>15.38</v>
      </c>
      <c r="FSM38" s="367" t="e">
        <f>FSJ38*FSK38*FSL38</f>
        <v>#DIV/0!</v>
      </c>
      <c r="FSN38" s="363" t="s">
        <v>153</v>
      </c>
      <c r="FSO38" s="363"/>
      <c r="FSP38" s="363"/>
      <c r="FSQ38" s="364" t="s">
        <v>140</v>
      </c>
      <c r="FSR38" s="365">
        <v>0.5</v>
      </c>
      <c r="FSS38" s="366" t="e">
        <f>10/FSO36</f>
        <v>#DIV/0!</v>
      </c>
      <c r="FST38" s="367">
        <v>15.38</v>
      </c>
      <c r="FSU38" s="367" t="e">
        <f>FSR38*FSS38*FST38</f>
        <v>#DIV/0!</v>
      </c>
      <c r="FSV38" s="363" t="s">
        <v>153</v>
      </c>
      <c r="FSW38" s="363"/>
      <c r="FSX38" s="363"/>
      <c r="FSY38" s="364" t="s">
        <v>140</v>
      </c>
      <c r="FSZ38" s="365">
        <v>0.5</v>
      </c>
      <c r="FTA38" s="366" t="e">
        <f>10/FSW36</f>
        <v>#DIV/0!</v>
      </c>
      <c r="FTB38" s="367">
        <v>15.38</v>
      </c>
      <c r="FTC38" s="367" t="e">
        <f>FSZ38*FTA38*FTB38</f>
        <v>#DIV/0!</v>
      </c>
      <c r="FTD38" s="363" t="s">
        <v>153</v>
      </c>
      <c r="FTE38" s="363"/>
      <c r="FTF38" s="363"/>
      <c r="FTG38" s="364" t="s">
        <v>140</v>
      </c>
      <c r="FTH38" s="365">
        <v>0.5</v>
      </c>
      <c r="FTI38" s="366" t="e">
        <f>10/FTE36</f>
        <v>#DIV/0!</v>
      </c>
      <c r="FTJ38" s="367">
        <v>15.38</v>
      </c>
      <c r="FTK38" s="367" t="e">
        <f>FTH38*FTI38*FTJ38</f>
        <v>#DIV/0!</v>
      </c>
      <c r="FTL38" s="363" t="s">
        <v>153</v>
      </c>
      <c r="FTM38" s="363"/>
      <c r="FTN38" s="363"/>
      <c r="FTO38" s="364" t="s">
        <v>140</v>
      </c>
      <c r="FTP38" s="365">
        <v>0.5</v>
      </c>
      <c r="FTQ38" s="366" t="e">
        <f>10/FTM36</f>
        <v>#DIV/0!</v>
      </c>
      <c r="FTR38" s="367">
        <v>15.38</v>
      </c>
      <c r="FTS38" s="367" t="e">
        <f>FTP38*FTQ38*FTR38</f>
        <v>#DIV/0!</v>
      </c>
      <c r="FTT38" s="363" t="s">
        <v>153</v>
      </c>
      <c r="FTU38" s="363"/>
      <c r="FTV38" s="363"/>
      <c r="FTW38" s="364" t="s">
        <v>140</v>
      </c>
      <c r="FTX38" s="365">
        <v>0.5</v>
      </c>
      <c r="FTY38" s="366" t="e">
        <f>10/FTU36</f>
        <v>#DIV/0!</v>
      </c>
      <c r="FTZ38" s="367">
        <v>15.38</v>
      </c>
      <c r="FUA38" s="367" t="e">
        <f>FTX38*FTY38*FTZ38</f>
        <v>#DIV/0!</v>
      </c>
      <c r="FUB38" s="363" t="s">
        <v>153</v>
      </c>
      <c r="FUC38" s="363"/>
      <c r="FUD38" s="363"/>
      <c r="FUE38" s="364" t="s">
        <v>140</v>
      </c>
      <c r="FUF38" s="365">
        <v>0.5</v>
      </c>
      <c r="FUG38" s="366" t="e">
        <f>10/FUC36</f>
        <v>#DIV/0!</v>
      </c>
      <c r="FUH38" s="367">
        <v>15.38</v>
      </c>
      <c r="FUI38" s="367" t="e">
        <f>FUF38*FUG38*FUH38</f>
        <v>#DIV/0!</v>
      </c>
      <c r="FUJ38" s="363" t="s">
        <v>153</v>
      </c>
      <c r="FUK38" s="363"/>
      <c r="FUL38" s="363"/>
      <c r="FUM38" s="364" t="s">
        <v>140</v>
      </c>
      <c r="FUN38" s="365">
        <v>0.5</v>
      </c>
      <c r="FUO38" s="366" t="e">
        <f>10/FUK36</f>
        <v>#DIV/0!</v>
      </c>
      <c r="FUP38" s="367">
        <v>15.38</v>
      </c>
      <c r="FUQ38" s="367" t="e">
        <f>FUN38*FUO38*FUP38</f>
        <v>#DIV/0!</v>
      </c>
      <c r="FUR38" s="363" t="s">
        <v>153</v>
      </c>
      <c r="FUS38" s="363"/>
      <c r="FUT38" s="363"/>
      <c r="FUU38" s="364" t="s">
        <v>140</v>
      </c>
      <c r="FUV38" s="365">
        <v>0.5</v>
      </c>
      <c r="FUW38" s="366" t="e">
        <f>10/FUS36</f>
        <v>#DIV/0!</v>
      </c>
      <c r="FUX38" s="367">
        <v>15.38</v>
      </c>
      <c r="FUY38" s="367" t="e">
        <f>FUV38*FUW38*FUX38</f>
        <v>#DIV/0!</v>
      </c>
      <c r="FUZ38" s="363" t="s">
        <v>153</v>
      </c>
      <c r="FVA38" s="363"/>
      <c r="FVB38" s="363"/>
      <c r="FVC38" s="364" t="s">
        <v>140</v>
      </c>
      <c r="FVD38" s="365">
        <v>0.5</v>
      </c>
      <c r="FVE38" s="366" t="e">
        <f>10/FVA36</f>
        <v>#DIV/0!</v>
      </c>
      <c r="FVF38" s="367">
        <v>15.38</v>
      </c>
      <c r="FVG38" s="367" t="e">
        <f>FVD38*FVE38*FVF38</f>
        <v>#DIV/0!</v>
      </c>
      <c r="FVH38" s="363" t="s">
        <v>153</v>
      </c>
      <c r="FVI38" s="363"/>
      <c r="FVJ38" s="363"/>
      <c r="FVK38" s="364" t="s">
        <v>140</v>
      </c>
      <c r="FVL38" s="365">
        <v>0.5</v>
      </c>
      <c r="FVM38" s="366" t="e">
        <f>10/FVI36</f>
        <v>#DIV/0!</v>
      </c>
      <c r="FVN38" s="367">
        <v>15.38</v>
      </c>
      <c r="FVO38" s="367" t="e">
        <f>FVL38*FVM38*FVN38</f>
        <v>#DIV/0!</v>
      </c>
      <c r="FVP38" s="363" t="s">
        <v>153</v>
      </c>
      <c r="FVQ38" s="363"/>
      <c r="FVR38" s="363"/>
      <c r="FVS38" s="364" t="s">
        <v>140</v>
      </c>
      <c r="FVT38" s="365">
        <v>0.5</v>
      </c>
      <c r="FVU38" s="366" t="e">
        <f>10/FVQ36</f>
        <v>#DIV/0!</v>
      </c>
      <c r="FVV38" s="367">
        <v>15.38</v>
      </c>
      <c r="FVW38" s="367" t="e">
        <f>FVT38*FVU38*FVV38</f>
        <v>#DIV/0!</v>
      </c>
      <c r="FVX38" s="363" t="s">
        <v>153</v>
      </c>
      <c r="FVY38" s="363"/>
      <c r="FVZ38" s="363"/>
      <c r="FWA38" s="364" t="s">
        <v>140</v>
      </c>
      <c r="FWB38" s="365">
        <v>0.5</v>
      </c>
      <c r="FWC38" s="366" t="e">
        <f>10/FVY36</f>
        <v>#DIV/0!</v>
      </c>
      <c r="FWD38" s="367">
        <v>15.38</v>
      </c>
      <c r="FWE38" s="367" t="e">
        <f>FWB38*FWC38*FWD38</f>
        <v>#DIV/0!</v>
      </c>
      <c r="FWF38" s="363" t="s">
        <v>153</v>
      </c>
      <c r="FWG38" s="363"/>
      <c r="FWH38" s="363"/>
      <c r="FWI38" s="364" t="s">
        <v>140</v>
      </c>
      <c r="FWJ38" s="365">
        <v>0.5</v>
      </c>
      <c r="FWK38" s="366" t="e">
        <f>10/FWG36</f>
        <v>#DIV/0!</v>
      </c>
      <c r="FWL38" s="367">
        <v>15.38</v>
      </c>
      <c r="FWM38" s="367" t="e">
        <f>FWJ38*FWK38*FWL38</f>
        <v>#DIV/0!</v>
      </c>
      <c r="FWN38" s="363" t="s">
        <v>153</v>
      </c>
      <c r="FWO38" s="363"/>
      <c r="FWP38" s="363"/>
      <c r="FWQ38" s="364" t="s">
        <v>140</v>
      </c>
      <c r="FWR38" s="365">
        <v>0.5</v>
      </c>
      <c r="FWS38" s="366" t="e">
        <f>10/FWO36</f>
        <v>#DIV/0!</v>
      </c>
      <c r="FWT38" s="367">
        <v>15.38</v>
      </c>
      <c r="FWU38" s="367" t="e">
        <f>FWR38*FWS38*FWT38</f>
        <v>#DIV/0!</v>
      </c>
      <c r="FWV38" s="363" t="s">
        <v>153</v>
      </c>
      <c r="FWW38" s="363"/>
      <c r="FWX38" s="363"/>
      <c r="FWY38" s="364" t="s">
        <v>140</v>
      </c>
      <c r="FWZ38" s="365">
        <v>0.5</v>
      </c>
      <c r="FXA38" s="366" t="e">
        <f>10/FWW36</f>
        <v>#DIV/0!</v>
      </c>
      <c r="FXB38" s="367">
        <v>15.38</v>
      </c>
      <c r="FXC38" s="367" t="e">
        <f>FWZ38*FXA38*FXB38</f>
        <v>#DIV/0!</v>
      </c>
      <c r="FXD38" s="363" t="s">
        <v>153</v>
      </c>
      <c r="FXE38" s="363"/>
      <c r="FXF38" s="363"/>
      <c r="FXG38" s="364" t="s">
        <v>140</v>
      </c>
      <c r="FXH38" s="365">
        <v>0.5</v>
      </c>
      <c r="FXI38" s="366" t="e">
        <f>10/FXE36</f>
        <v>#DIV/0!</v>
      </c>
      <c r="FXJ38" s="367">
        <v>15.38</v>
      </c>
      <c r="FXK38" s="367" t="e">
        <f>FXH38*FXI38*FXJ38</f>
        <v>#DIV/0!</v>
      </c>
      <c r="FXL38" s="363" t="s">
        <v>153</v>
      </c>
      <c r="FXM38" s="363"/>
      <c r="FXN38" s="363"/>
      <c r="FXO38" s="364" t="s">
        <v>140</v>
      </c>
      <c r="FXP38" s="365">
        <v>0.5</v>
      </c>
      <c r="FXQ38" s="366" t="e">
        <f>10/FXM36</f>
        <v>#DIV/0!</v>
      </c>
      <c r="FXR38" s="367">
        <v>15.38</v>
      </c>
      <c r="FXS38" s="367" t="e">
        <f>FXP38*FXQ38*FXR38</f>
        <v>#DIV/0!</v>
      </c>
      <c r="FXT38" s="363" t="s">
        <v>153</v>
      </c>
      <c r="FXU38" s="363"/>
      <c r="FXV38" s="363"/>
      <c r="FXW38" s="364" t="s">
        <v>140</v>
      </c>
      <c r="FXX38" s="365">
        <v>0.5</v>
      </c>
      <c r="FXY38" s="366" t="e">
        <f>10/FXU36</f>
        <v>#DIV/0!</v>
      </c>
      <c r="FXZ38" s="367">
        <v>15.38</v>
      </c>
      <c r="FYA38" s="367" t="e">
        <f>FXX38*FXY38*FXZ38</f>
        <v>#DIV/0!</v>
      </c>
      <c r="FYB38" s="363" t="s">
        <v>153</v>
      </c>
      <c r="FYC38" s="363"/>
      <c r="FYD38" s="363"/>
      <c r="FYE38" s="364" t="s">
        <v>140</v>
      </c>
      <c r="FYF38" s="365">
        <v>0.5</v>
      </c>
      <c r="FYG38" s="366" t="e">
        <f>10/FYC36</f>
        <v>#DIV/0!</v>
      </c>
      <c r="FYH38" s="367">
        <v>15.38</v>
      </c>
      <c r="FYI38" s="367" t="e">
        <f>FYF38*FYG38*FYH38</f>
        <v>#DIV/0!</v>
      </c>
      <c r="FYJ38" s="363" t="s">
        <v>153</v>
      </c>
      <c r="FYK38" s="363"/>
      <c r="FYL38" s="363"/>
      <c r="FYM38" s="364" t="s">
        <v>140</v>
      </c>
      <c r="FYN38" s="365">
        <v>0.5</v>
      </c>
      <c r="FYO38" s="366" t="e">
        <f>10/FYK36</f>
        <v>#DIV/0!</v>
      </c>
      <c r="FYP38" s="367">
        <v>15.38</v>
      </c>
      <c r="FYQ38" s="367" t="e">
        <f>FYN38*FYO38*FYP38</f>
        <v>#DIV/0!</v>
      </c>
      <c r="FYR38" s="363" t="s">
        <v>153</v>
      </c>
      <c r="FYS38" s="363"/>
      <c r="FYT38" s="363"/>
      <c r="FYU38" s="364" t="s">
        <v>140</v>
      </c>
      <c r="FYV38" s="365">
        <v>0.5</v>
      </c>
      <c r="FYW38" s="366" t="e">
        <f>10/FYS36</f>
        <v>#DIV/0!</v>
      </c>
      <c r="FYX38" s="367">
        <v>15.38</v>
      </c>
      <c r="FYY38" s="367" t="e">
        <f>FYV38*FYW38*FYX38</f>
        <v>#DIV/0!</v>
      </c>
      <c r="FYZ38" s="363" t="s">
        <v>153</v>
      </c>
      <c r="FZA38" s="363"/>
      <c r="FZB38" s="363"/>
      <c r="FZC38" s="364" t="s">
        <v>140</v>
      </c>
      <c r="FZD38" s="365">
        <v>0.5</v>
      </c>
      <c r="FZE38" s="366" t="e">
        <f>10/FZA36</f>
        <v>#DIV/0!</v>
      </c>
      <c r="FZF38" s="367">
        <v>15.38</v>
      </c>
      <c r="FZG38" s="367" t="e">
        <f>FZD38*FZE38*FZF38</f>
        <v>#DIV/0!</v>
      </c>
      <c r="FZH38" s="363" t="s">
        <v>153</v>
      </c>
      <c r="FZI38" s="363"/>
      <c r="FZJ38" s="363"/>
      <c r="FZK38" s="364" t="s">
        <v>140</v>
      </c>
      <c r="FZL38" s="365">
        <v>0.5</v>
      </c>
      <c r="FZM38" s="366" t="e">
        <f>10/FZI36</f>
        <v>#DIV/0!</v>
      </c>
      <c r="FZN38" s="367">
        <v>15.38</v>
      </c>
      <c r="FZO38" s="367" t="e">
        <f>FZL38*FZM38*FZN38</f>
        <v>#DIV/0!</v>
      </c>
      <c r="FZP38" s="363" t="s">
        <v>153</v>
      </c>
      <c r="FZQ38" s="363"/>
      <c r="FZR38" s="363"/>
      <c r="FZS38" s="364" t="s">
        <v>140</v>
      </c>
      <c r="FZT38" s="365">
        <v>0.5</v>
      </c>
      <c r="FZU38" s="366" t="e">
        <f>10/FZQ36</f>
        <v>#DIV/0!</v>
      </c>
      <c r="FZV38" s="367">
        <v>15.38</v>
      </c>
      <c r="FZW38" s="367" t="e">
        <f>FZT38*FZU38*FZV38</f>
        <v>#DIV/0!</v>
      </c>
      <c r="FZX38" s="363" t="s">
        <v>153</v>
      </c>
      <c r="FZY38" s="363"/>
      <c r="FZZ38" s="363"/>
      <c r="GAA38" s="364" t="s">
        <v>140</v>
      </c>
      <c r="GAB38" s="365">
        <v>0.5</v>
      </c>
      <c r="GAC38" s="366" t="e">
        <f>10/FZY36</f>
        <v>#DIV/0!</v>
      </c>
      <c r="GAD38" s="367">
        <v>15.38</v>
      </c>
      <c r="GAE38" s="367" t="e">
        <f>GAB38*GAC38*GAD38</f>
        <v>#DIV/0!</v>
      </c>
      <c r="GAF38" s="363" t="s">
        <v>153</v>
      </c>
      <c r="GAG38" s="363"/>
      <c r="GAH38" s="363"/>
      <c r="GAI38" s="364" t="s">
        <v>140</v>
      </c>
      <c r="GAJ38" s="365">
        <v>0.5</v>
      </c>
      <c r="GAK38" s="366" t="e">
        <f>10/GAG36</f>
        <v>#DIV/0!</v>
      </c>
      <c r="GAL38" s="367">
        <v>15.38</v>
      </c>
      <c r="GAM38" s="367" t="e">
        <f>GAJ38*GAK38*GAL38</f>
        <v>#DIV/0!</v>
      </c>
      <c r="GAN38" s="363" t="s">
        <v>153</v>
      </c>
      <c r="GAO38" s="363"/>
      <c r="GAP38" s="363"/>
      <c r="GAQ38" s="364" t="s">
        <v>140</v>
      </c>
      <c r="GAR38" s="365">
        <v>0.5</v>
      </c>
      <c r="GAS38" s="366" t="e">
        <f>10/GAO36</f>
        <v>#DIV/0!</v>
      </c>
      <c r="GAT38" s="367">
        <v>15.38</v>
      </c>
      <c r="GAU38" s="367" t="e">
        <f>GAR38*GAS38*GAT38</f>
        <v>#DIV/0!</v>
      </c>
      <c r="GAV38" s="363" t="s">
        <v>153</v>
      </c>
      <c r="GAW38" s="363"/>
      <c r="GAX38" s="363"/>
      <c r="GAY38" s="364" t="s">
        <v>140</v>
      </c>
      <c r="GAZ38" s="365">
        <v>0.5</v>
      </c>
      <c r="GBA38" s="366" t="e">
        <f>10/GAW36</f>
        <v>#DIV/0!</v>
      </c>
      <c r="GBB38" s="367">
        <v>15.38</v>
      </c>
      <c r="GBC38" s="367" t="e">
        <f>GAZ38*GBA38*GBB38</f>
        <v>#DIV/0!</v>
      </c>
      <c r="GBD38" s="363" t="s">
        <v>153</v>
      </c>
      <c r="GBE38" s="363"/>
      <c r="GBF38" s="363"/>
      <c r="GBG38" s="364" t="s">
        <v>140</v>
      </c>
      <c r="GBH38" s="365">
        <v>0.5</v>
      </c>
      <c r="GBI38" s="366" t="e">
        <f>10/GBE36</f>
        <v>#DIV/0!</v>
      </c>
      <c r="GBJ38" s="367">
        <v>15.38</v>
      </c>
      <c r="GBK38" s="367" t="e">
        <f>GBH38*GBI38*GBJ38</f>
        <v>#DIV/0!</v>
      </c>
      <c r="GBL38" s="363" t="s">
        <v>153</v>
      </c>
      <c r="GBM38" s="363"/>
      <c r="GBN38" s="363"/>
      <c r="GBO38" s="364" t="s">
        <v>140</v>
      </c>
      <c r="GBP38" s="365">
        <v>0.5</v>
      </c>
      <c r="GBQ38" s="366" t="e">
        <f>10/GBM36</f>
        <v>#DIV/0!</v>
      </c>
      <c r="GBR38" s="367">
        <v>15.38</v>
      </c>
      <c r="GBS38" s="367" t="e">
        <f>GBP38*GBQ38*GBR38</f>
        <v>#DIV/0!</v>
      </c>
      <c r="GBT38" s="363" t="s">
        <v>153</v>
      </c>
      <c r="GBU38" s="363"/>
      <c r="GBV38" s="363"/>
      <c r="GBW38" s="364" t="s">
        <v>140</v>
      </c>
      <c r="GBX38" s="365">
        <v>0.5</v>
      </c>
      <c r="GBY38" s="366" t="e">
        <f>10/GBU36</f>
        <v>#DIV/0!</v>
      </c>
      <c r="GBZ38" s="367">
        <v>15.38</v>
      </c>
      <c r="GCA38" s="367" t="e">
        <f>GBX38*GBY38*GBZ38</f>
        <v>#DIV/0!</v>
      </c>
      <c r="GCB38" s="363" t="s">
        <v>153</v>
      </c>
      <c r="GCC38" s="363"/>
      <c r="GCD38" s="363"/>
      <c r="GCE38" s="364" t="s">
        <v>140</v>
      </c>
      <c r="GCF38" s="365">
        <v>0.5</v>
      </c>
      <c r="GCG38" s="366" t="e">
        <f>10/GCC36</f>
        <v>#DIV/0!</v>
      </c>
      <c r="GCH38" s="367">
        <v>15.38</v>
      </c>
      <c r="GCI38" s="367" t="e">
        <f>GCF38*GCG38*GCH38</f>
        <v>#DIV/0!</v>
      </c>
      <c r="GCJ38" s="363" t="s">
        <v>153</v>
      </c>
      <c r="GCK38" s="363"/>
      <c r="GCL38" s="363"/>
      <c r="GCM38" s="364" t="s">
        <v>140</v>
      </c>
      <c r="GCN38" s="365">
        <v>0.5</v>
      </c>
      <c r="GCO38" s="366" t="e">
        <f>10/GCK36</f>
        <v>#DIV/0!</v>
      </c>
      <c r="GCP38" s="367">
        <v>15.38</v>
      </c>
      <c r="GCQ38" s="367" t="e">
        <f>GCN38*GCO38*GCP38</f>
        <v>#DIV/0!</v>
      </c>
      <c r="GCR38" s="363" t="s">
        <v>153</v>
      </c>
      <c r="GCS38" s="363"/>
      <c r="GCT38" s="363"/>
      <c r="GCU38" s="364" t="s">
        <v>140</v>
      </c>
      <c r="GCV38" s="365">
        <v>0.5</v>
      </c>
      <c r="GCW38" s="366" t="e">
        <f>10/GCS36</f>
        <v>#DIV/0!</v>
      </c>
      <c r="GCX38" s="367">
        <v>15.38</v>
      </c>
      <c r="GCY38" s="367" t="e">
        <f>GCV38*GCW38*GCX38</f>
        <v>#DIV/0!</v>
      </c>
      <c r="GCZ38" s="363" t="s">
        <v>153</v>
      </c>
      <c r="GDA38" s="363"/>
      <c r="GDB38" s="363"/>
      <c r="GDC38" s="364" t="s">
        <v>140</v>
      </c>
      <c r="GDD38" s="365">
        <v>0.5</v>
      </c>
      <c r="GDE38" s="366" t="e">
        <f>10/GDA36</f>
        <v>#DIV/0!</v>
      </c>
      <c r="GDF38" s="367">
        <v>15.38</v>
      </c>
      <c r="GDG38" s="367" t="e">
        <f>GDD38*GDE38*GDF38</f>
        <v>#DIV/0!</v>
      </c>
      <c r="GDH38" s="363" t="s">
        <v>153</v>
      </c>
      <c r="GDI38" s="363"/>
      <c r="GDJ38" s="363"/>
      <c r="GDK38" s="364" t="s">
        <v>140</v>
      </c>
      <c r="GDL38" s="365">
        <v>0.5</v>
      </c>
      <c r="GDM38" s="366" t="e">
        <f>10/GDI36</f>
        <v>#DIV/0!</v>
      </c>
      <c r="GDN38" s="367">
        <v>15.38</v>
      </c>
      <c r="GDO38" s="367" t="e">
        <f>GDL38*GDM38*GDN38</f>
        <v>#DIV/0!</v>
      </c>
      <c r="GDP38" s="363" t="s">
        <v>153</v>
      </c>
      <c r="GDQ38" s="363"/>
      <c r="GDR38" s="363"/>
      <c r="GDS38" s="364" t="s">
        <v>140</v>
      </c>
      <c r="GDT38" s="365">
        <v>0.5</v>
      </c>
      <c r="GDU38" s="366" t="e">
        <f>10/GDQ36</f>
        <v>#DIV/0!</v>
      </c>
      <c r="GDV38" s="367">
        <v>15.38</v>
      </c>
      <c r="GDW38" s="367" t="e">
        <f>GDT38*GDU38*GDV38</f>
        <v>#DIV/0!</v>
      </c>
      <c r="GDX38" s="363" t="s">
        <v>153</v>
      </c>
      <c r="GDY38" s="363"/>
      <c r="GDZ38" s="363"/>
      <c r="GEA38" s="364" t="s">
        <v>140</v>
      </c>
      <c r="GEB38" s="365">
        <v>0.5</v>
      </c>
      <c r="GEC38" s="366" t="e">
        <f>10/GDY36</f>
        <v>#DIV/0!</v>
      </c>
      <c r="GED38" s="367">
        <v>15.38</v>
      </c>
      <c r="GEE38" s="367" t="e">
        <f>GEB38*GEC38*GED38</f>
        <v>#DIV/0!</v>
      </c>
      <c r="GEF38" s="363" t="s">
        <v>153</v>
      </c>
      <c r="GEG38" s="363"/>
      <c r="GEH38" s="363"/>
      <c r="GEI38" s="364" t="s">
        <v>140</v>
      </c>
      <c r="GEJ38" s="365">
        <v>0.5</v>
      </c>
      <c r="GEK38" s="366" t="e">
        <f>10/GEG36</f>
        <v>#DIV/0!</v>
      </c>
      <c r="GEL38" s="367">
        <v>15.38</v>
      </c>
      <c r="GEM38" s="367" t="e">
        <f>GEJ38*GEK38*GEL38</f>
        <v>#DIV/0!</v>
      </c>
      <c r="GEN38" s="363" t="s">
        <v>153</v>
      </c>
      <c r="GEO38" s="363"/>
      <c r="GEP38" s="363"/>
      <c r="GEQ38" s="364" t="s">
        <v>140</v>
      </c>
      <c r="GER38" s="365">
        <v>0.5</v>
      </c>
      <c r="GES38" s="366" t="e">
        <f>10/GEO36</f>
        <v>#DIV/0!</v>
      </c>
      <c r="GET38" s="367">
        <v>15.38</v>
      </c>
      <c r="GEU38" s="367" t="e">
        <f>GER38*GES38*GET38</f>
        <v>#DIV/0!</v>
      </c>
      <c r="GEV38" s="363" t="s">
        <v>153</v>
      </c>
      <c r="GEW38" s="363"/>
      <c r="GEX38" s="363"/>
      <c r="GEY38" s="364" t="s">
        <v>140</v>
      </c>
      <c r="GEZ38" s="365">
        <v>0.5</v>
      </c>
      <c r="GFA38" s="366" t="e">
        <f>10/GEW36</f>
        <v>#DIV/0!</v>
      </c>
      <c r="GFB38" s="367">
        <v>15.38</v>
      </c>
      <c r="GFC38" s="367" t="e">
        <f>GEZ38*GFA38*GFB38</f>
        <v>#DIV/0!</v>
      </c>
      <c r="GFD38" s="363" t="s">
        <v>153</v>
      </c>
      <c r="GFE38" s="363"/>
      <c r="GFF38" s="363"/>
      <c r="GFG38" s="364" t="s">
        <v>140</v>
      </c>
      <c r="GFH38" s="365">
        <v>0.5</v>
      </c>
      <c r="GFI38" s="366" t="e">
        <f>10/GFE36</f>
        <v>#DIV/0!</v>
      </c>
      <c r="GFJ38" s="367">
        <v>15.38</v>
      </c>
      <c r="GFK38" s="367" t="e">
        <f>GFH38*GFI38*GFJ38</f>
        <v>#DIV/0!</v>
      </c>
      <c r="GFL38" s="363" t="s">
        <v>153</v>
      </c>
      <c r="GFM38" s="363"/>
      <c r="GFN38" s="363"/>
      <c r="GFO38" s="364" t="s">
        <v>140</v>
      </c>
      <c r="GFP38" s="365">
        <v>0.5</v>
      </c>
      <c r="GFQ38" s="366" t="e">
        <f>10/GFM36</f>
        <v>#DIV/0!</v>
      </c>
      <c r="GFR38" s="367">
        <v>15.38</v>
      </c>
      <c r="GFS38" s="367" t="e">
        <f>GFP38*GFQ38*GFR38</f>
        <v>#DIV/0!</v>
      </c>
      <c r="GFT38" s="363" t="s">
        <v>153</v>
      </c>
      <c r="GFU38" s="363"/>
      <c r="GFV38" s="363"/>
      <c r="GFW38" s="364" t="s">
        <v>140</v>
      </c>
      <c r="GFX38" s="365">
        <v>0.5</v>
      </c>
      <c r="GFY38" s="366" t="e">
        <f>10/GFU36</f>
        <v>#DIV/0!</v>
      </c>
      <c r="GFZ38" s="367">
        <v>15.38</v>
      </c>
      <c r="GGA38" s="367" t="e">
        <f>GFX38*GFY38*GFZ38</f>
        <v>#DIV/0!</v>
      </c>
      <c r="GGB38" s="363" t="s">
        <v>153</v>
      </c>
      <c r="GGC38" s="363"/>
      <c r="GGD38" s="363"/>
      <c r="GGE38" s="364" t="s">
        <v>140</v>
      </c>
      <c r="GGF38" s="365">
        <v>0.5</v>
      </c>
      <c r="GGG38" s="366" t="e">
        <f>10/GGC36</f>
        <v>#DIV/0!</v>
      </c>
      <c r="GGH38" s="367">
        <v>15.38</v>
      </c>
      <c r="GGI38" s="367" t="e">
        <f>GGF38*GGG38*GGH38</f>
        <v>#DIV/0!</v>
      </c>
      <c r="GGJ38" s="363" t="s">
        <v>153</v>
      </c>
      <c r="GGK38" s="363"/>
      <c r="GGL38" s="363"/>
      <c r="GGM38" s="364" t="s">
        <v>140</v>
      </c>
      <c r="GGN38" s="365">
        <v>0.5</v>
      </c>
      <c r="GGO38" s="366" t="e">
        <f>10/GGK36</f>
        <v>#DIV/0!</v>
      </c>
      <c r="GGP38" s="367">
        <v>15.38</v>
      </c>
      <c r="GGQ38" s="367" t="e">
        <f>GGN38*GGO38*GGP38</f>
        <v>#DIV/0!</v>
      </c>
      <c r="GGR38" s="363" t="s">
        <v>153</v>
      </c>
      <c r="GGS38" s="363"/>
      <c r="GGT38" s="363"/>
      <c r="GGU38" s="364" t="s">
        <v>140</v>
      </c>
      <c r="GGV38" s="365">
        <v>0.5</v>
      </c>
      <c r="GGW38" s="366" t="e">
        <f>10/GGS36</f>
        <v>#DIV/0!</v>
      </c>
      <c r="GGX38" s="367">
        <v>15.38</v>
      </c>
      <c r="GGY38" s="367" t="e">
        <f>GGV38*GGW38*GGX38</f>
        <v>#DIV/0!</v>
      </c>
      <c r="GGZ38" s="363" t="s">
        <v>153</v>
      </c>
      <c r="GHA38" s="363"/>
      <c r="GHB38" s="363"/>
      <c r="GHC38" s="364" t="s">
        <v>140</v>
      </c>
      <c r="GHD38" s="365">
        <v>0.5</v>
      </c>
      <c r="GHE38" s="366" t="e">
        <f>10/GHA36</f>
        <v>#DIV/0!</v>
      </c>
      <c r="GHF38" s="367">
        <v>15.38</v>
      </c>
      <c r="GHG38" s="367" t="e">
        <f>GHD38*GHE38*GHF38</f>
        <v>#DIV/0!</v>
      </c>
      <c r="GHH38" s="363" t="s">
        <v>153</v>
      </c>
      <c r="GHI38" s="363"/>
      <c r="GHJ38" s="363"/>
      <c r="GHK38" s="364" t="s">
        <v>140</v>
      </c>
      <c r="GHL38" s="365">
        <v>0.5</v>
      </c>
      <c r="GHM38" s="366" t="e">
        <f>10/GHI36</f>
        <v>#DIV/0!</v>
      </c>
      <c r="GHN38" s="367">
        <v>15.38</v>
      </c>
      <c r="GHO38" s="367" t="e">
        <f>GHL38*GHM38*GHN38</f>
        <v>#DIV/0!</v>
      </c>
      <c r="GHP38" s="363" t="s">
        <v>153</v>
      </c>
      <c r="GHQ38" s="363"/>
      <c r="GHR38" s="363"/>
      <c r="GHS38" s="364" t="s">
        <v>140</v>
      </c>
      <c r="GHT38" s="365">
        <v>0.5</v>
      </c>
      <c r="GHU38" s="366" t="e">
        <f>10/GHQ36</f>
        <v>#DIV/0!</v>
      </c>
      <c r="GHV38" s="367">
        <v>15.38</v>
      </c>
      <c r="GHW38" s="367" t="e">
        <f>GHT38*GHU38*GHV38</f>
        <v>#DIV/0!</v>
      </c>
      <c r="GHX38" s="363" t="s">
        <v>153</v>
      </c>
      <c r="GHY38" s="363"/>
      <c r="GHZ38" s="363"/>
      <c r="GIA38" s="364" t="s">
        <v>140</v>
      </c>
      <c r="GIB38" s="365">
        <v>0.5</v>
      </c>
      <c r="GIC38" s="366" t="e">
        <f>10/GHY36</f>
        <v>#DIV/0!</v>
      </c>
      <c r="GID38" s="367">
        <v>15.38</v>
      </c>
      <c r="GIE38" s="367" t="e">
        <f>GIB38*GIC38*GID38</f>
        <v>#DIV/0!</v>
      </c>
      <c r="GIF38" s="363" t="s">
        <v>153</v>
      </c>
      <c r="GIG38" s="363"/>
      <c r="GIH38" s="363"/>
      <c r="GII38" s="364" t="s">
        <v>140</v>
      </c>
      <c r="GIJ38" s="365">
        <v>0.5</v>
      </c>
      <c r="GIK38" s="366" t="e">
        <f>10/GIG36</f>
        <v>#DIV/0!</v>
      </c>
      <c r="GIL38" s="367">
        <v>15.38</v>
      </c>
      <c r="GIM38" s="367" t="e">
        <f>GIJ38*GIK38*GIL38</f>
        <v>#DIV/0!</v>
      </c>
      <c r="GIN38" s="363" t="s">
        <v>153</v>
      </c>
      <c r="GIO38" s="363"/>
      <c r="GIP38" s="363"/>
      <c r="GIQ38" s="364" t="s">
        <v>140</v>
      </c>
      <c r="GIR38" s="365">
        <v>0.5</v>
      </c>
      <c r="GIS38" s="366" t="e">
        <f>10/GIO36</f>
        <v>#DIV/0!</v>
      </c>
      <c r="GIT38" s="367">
        <v>15.38</v>
      </c>
      <c r="GIU38" s="367" t="e">
        <f>GIR38*GIS38*GIT38</f>
        <v>#DIV/0!</v>
      </c>
      <c r="GIV38" s="363" t="s">
        <v>153</v>
      </c>
      <c r="GIW38" s="363"/>
      <c r="GIX38" s="363"/>
      <c r="GIY38" s="364" t="s">
        <v>140</v>
      </c>
      <c r="GIZ38" s="365">
        <v>0.5</v>
      </c>
      <c r="GJA38" s="366" t="e">
        <f>10/GIW36</f>
        <v>#DIV/0!</v>
      </c>
      <c r="GJB38" s="367">
        <v>15.38</v>
      </c>
      <c r="GJC38" s="367" t="e">
        <f>GIZ38*GJA38*GJB38</f>
        <v>#DIV/0!</v>
      </c>
      <c r="GJD38" s="363" t="s">
        <v>153</v>
      </c>
      <c r="GJE38" s="363"/>
      <c r="GJF38" s="363"/>
      <c r="GJG38" s="364" t="s">
        <v>140</v>
      </c>
      <c r="GJH38" s="365">
        <v>0.5</v>
      </c>
      <c r="GJI38" s="366" t="e">
        <f>10/GJE36</f>
        <v>#DIV/0!</v>
      </c>
      <c r="GJJ38" s="367">
        <v>15.38</v>
      </c>
      <c r="GJK38" s="367" t="e">
        <f>GJH38*GJI38*GJJ38</f>
        <v>#DIV/0!</v>
      </c>
      <c r="GJL38" s="363" t="s">
        <v>153</v>
      </c>
      <c r="GJM38" s="363"/>
      <c r="GJN38" s="363"/>
      <c r="GJO38" s="364" t="s">
        <v>140</v>
      </c>
      <c r="GJP38" s="365">
        <v>0.5</v>
      </c>
      <c r="GJQ38" s="366" t="e">
        <f>10/GJM36</f>
        <v>#DIV/0!</v>
      </c>
      <c r="GJR38" s="367">
        <v>15.38</v>
      </c>
      <c r="GJS38" s="367" t="e">
        <f>GJP38*GJQ38*GJR38</f>
        <v>#DIV/0!</v>
      </c>
      <c r="GJT38" s="363" t="s">
        <v>153</v>
      </c>
      <c r="GJU38" s="363"/>
      <c r="GJV38" s="363"/>
      <c r="GJW38" s="364" t="s">
        <v>140</v>
      </c>
      <c r="GJX38" s="365">
        <v>0.5</v>
      </c>
      <c r="GJY38" s="366" t="e">
        <f>10/GJU36</f>
        <v>#DIV/0!</v>
      </c>
      <c r="GJZ38" s="367">
        <v>15.38</v>
      </c>
      <c r="GKA38" s="367" t="e">
        <f>GJX38*GJY38*GJZ38</f>
        <v>#DIV/0!</v>
      </c>
      <c r="GKB38" s="363" t="s">
        <v>153</v>
      </c>
      <c r="GKC38" s="363"/>
      <c r="GKD38" s="363"/>
      <c r="GKE38" s="364" t="s">
        <v>140</v>
      </c>
      <c r="GKF38" s="365">
        <v>0.5</v>
      </c>
      <c r="GKG38" s="366" t="e">
        <f>10/GKC36</f>
        <v>#DIV/0!</v>
      </c>
      <c r="GKH38" s="367">
        <v>15.38</v>
      </c>
      <c r="GKI38" s="367" t="e">
        <f>GKF38*GKG38*GKH38</f>
        <v>#DIV/0!</v>
      </c>
      <c r="GKJ38" s="363" t="s">
        <v>153</v>
      </c>
      <c r="GKK38" s="363"/>
      <c r="GKL38" s="363"/>
      <c r="GKM38" s="364" t="s">
        <v>140</v>
      </c>
      <c r="GKN38" s="365">
        <v>0.5</v>
      </c>
      <c r="GKO38" s="366" t="e">
        <f>10/GKK36</f>
        <v>#DIV/0!</v>
      </c>
      <c r="GKP38" s="367">
        <v>15.38</v>
      </c>
      <c r="GKQ38" s="367" t="e">
        <f>GKN38*GKO38*GKP38</f>
        <v>#DIV/0!</v>
      </c>
      <c r="GKR38" s="363" t="s">
        <v>153</v>
      </c>
      <c r="GKS38" s="363"/>
      <c r="GKT38" s="363"/>
      <c r="GKU38" s="364" t="s">
        <v>140</v>
      </c>
      <c r="GKV38" s="365">
        <v>0.5</v>
      </c>
      <c r="GKW38" s="366" t="e">
        <f>10/GKS36</f>
        <v>#DIV/0!</v>
      </c>
      <c r="GKX38" s="367">
        <v>15.38</v>
      </c>
      <c r="GKY38" s="367" t="e">
        <f>GKV38*GKW38*GKX38</f>
        <v>#DIV/0!</v>
      </c>
      <c r="GKZ38" s="363" t="s">
        <v>153</v>
      </c>
      <c r="GLA38" s="363"/>
      <c r="GLB38" s="363"/>
      <c r="GLC38" s="364" t="s">
        <v>140</v>
      </c>
      <c r="GLD38" s="365">
        <v>0.5</v>
      </c>
      <c r="GLE38" s="366" t="e">
        <f>10/GLA36</f>
        <v>#DIV/0!</v>
      </c>
      <c r="GLF38" s="367">
        <v>15.38</v>
      </c>
      <c r="GLG38" s="367" t="e">
        <f>GLD38*GLE38*GLF38</f>
        <v>#DIV/0!</v>
      </c>
      <c r="GLH38" s="363" t="s">
        <v>153</v>
      </c>
      <c r="GLI38" s="363"/>
      <c r="GLJ38" s="363"/>
      <c r="GLK38" s="364" t="s">
        <v>140</v>
      </c>
      <c r="GLL38" s="365">
        <v>0.5</v>
      </c>
      <c r="GLM38" s="366" t="e">
        <f>10/GLI36</f>
        <v>#DIV/0!</v>
      </c>
      <c r="GLN38" s="367">
        <v>15.38</v>
      </c>
      <c r="GLO38" s="367" t="e">
        <f>GLL38*GLM38*GLN38</f>
        <v>#DIV/0!</v>
      </c>
      <c r="GLP38" s="363" t="s">
        <v>153</v>
      </c>
      <c r="GLQ38" s="363"/>
      <c r="GLR38" s="363"/>
      <c r="GLS38" s="364" t="s">
        <v>140</v>
      </c>
      <c r="GLT38" s="365">
        <v>0.5</v>
      </c>
      <c r="GLU38" s="366" t="e">
        <f>10/GLQ36</f>
        <v>#DIV/0!</v>
      </c>
      <c r="GLV38" s="367">
        <v>15.38</v>
      </c>
      <c r="GLW38" s="367" t="e">
        <f>GLT38*GLU38*GLV38</f>
        <v>#DIV/0!</v>
      </c>
      <c r="GLX38" s="363" t="s">
        <v>153</v>
      </c>
      <c r="GLY38" s="363"/>
      <c r="GLZ38" s="363"/>
      <c r="GMA38" s="364" t="s">
        <v>140</v>
      </c>
      <c r="GMB38" s="365">
        <v>0.5</v>
      </c>
      <c r="GMC38" s="366" t="e">
        <f>10/GLY36</f>
        <v>#DIV/0!</v>
      </c>
      <c r="GMD38" s="367">
        <v>15.38</v>
      </c>
      <c r="GME38" s="367" t="e">
        <f>GMB38*GMC38*GMD38</f>
        <v>#DIV/0!</v>
      </c>
      <c r="GMF38" s="363" t="s">
        <v>153</v>
      </c>
      <c r="GMG38" s="363"/>
      <c r="GMH38" s="363"/>
      <c r="GMI38" s="364" t="s">
        <v>140</v>
      </c>
      <c r="GMJ38" s="365">
        <v>0.5</v>
      </c>
      <c r="GMK38" s="366" t="e">
        <f>10/GMG36</f>
        <v>#DIV/0!</v>
      </c>
      <c r="GML38" s="367">
        <v>15.38</v>
      </c>
      <c r="GMM38" s="367" t="e">
        <f>GMJ38*GMK38*GML38</f>
        <v>#DIV/0!</v>
      </c>
      <c r="GMN38" s="363" t="s">
        <v>153</v>
      </c>
      <c r="GMO38" s="363"/>
      <c r="GMP38" s="363"/>
      <c r="GMQ38" s="364" t="s">
        <v>140</v>
      </c>
      <c r="GMR38" s="365">
        <v>0.5</v>
      </c>
      <c r="GMS38" s="366" t="e">
        <f>10/GMO36</f>
        <v>#DIV/0!</v>
      </c>
      <c r="GMT38" s="367">
        <v>15.38</v>
      </c>
      <c r="GMU38" s="367" t="e">
        <f>GMR38*GMS38*GMT38</f>
        <v>#DIV/0!</v>
      </c>
      <c r="GMV38" s="363" t="s">
        <v>153</v>
      </c>
      <c r="GMW38" s="363"/>
      <c r="GMX38" s="363"/>
      <c r="GMY38" s="364" t="s">
        <v>140</v>
      </c>
      <c r="GMZ38" s="365">
        <v>0.5</v>
      </c>
      <c r="GNA38" s="366" t="e">
        <f>10/GMW36</f>
        <v>#DIV/0!</v>
      </c>
      <c r="GNB38" s="367">
        <v>15.38</v>
      </c>
      <c r="GNC38" s="367" t="e">
        <f>GMZ38*GNA38*GNB38</f>
        <v>#DIV/0!</v>
      </c>
      <c r="GND38" s="363" t="s">
        <v>153</v>
      </c>
      <c r="GNE38" s="363"/>
      <c r="GNF38" s="363"/>
      <c r="GNG38" s="364" t="s">
        <v>140</v>
      </c>
      <c r="GNH38" s="365">
        <v>0.5</v>
      </c>
      <c r="GNI38" s="366" t="e">
        <f>10/GNE36</f>
        <v>#DIV/0!</v>
      </c>
      <c r="GNJ38" s="367">
        <v>15.38</v>
      </c>
      <c r="GNK38" s="367" t="e">
        <f>GNH38*GNI38*GNJ38</f>
        <v>#DIV/0!</v>
      </c>
      <c r="GNL38" s="363" t="s">
        <v>153</v>
      </c>
      <c r="GNM38" s="363"/>
      <c r="GNN38" s="363"/>
      <c r="GNO38" s="364" t="s">
        <v>140</v>
      </c>
      <c r="GNP38" s="365">
        <v>0.5</v>
      </c>
      <c r="GNQ38" s="366" t="e">
        <f>10/GNM36</f>
        <v>#DIV/0!</v>
      </c>
      <c r="GNR38" s="367">
        <v>15.38</v>
      </c>
      <c r="GNS38" s="367" t="e">
        <f>GNP38*GNQ38*GNR38</f>
        <v>#DIV/0!</v>
      </c>
      <c r="GNT38" s="363" t="s">
        <v>153</v>
      </c>
      <c r="GNU38" s="363"/>
      <c r="GNV38" s="363"/>
      <c r="GNW38" s="364" t="s">
        <v>140</v>
      </c>
      <c r="GNX38" s="365">
        <v>0.5</v>
      </c>
      <c r="GNY38" s="366" t="e">
        <f>10/GNU36</f>
        <v>#DIV/0!</v>
      </c>
      <c r="GNZ38" s="367">
        <v>15.38</v>
      </c>
      <c r="GOA38" s="367" t="e">
        <f>GNX38*GNY38*GNZ38</f>
        <v>#DIV/0!</v>
      </c>
      <c r="GOB38" s="363" t="s">
        <v>153</v>
      </c>
      <c r="GOC38" s="363"/>
      <c r="GOD38" s="363"/>
      <c r="GOE38" s="364" t="s">
        <v>140</v>
      </c>
      <c r="GOF38" s="365">
        <v>0.5</v>
      </c>
      <c r="GOG38" s="366" t="e">
        <f>10/GOC36</f>
        <v>#DIV/0!</v>
      </c>
      <c r="GOH38" s="367">
        <v>15.38</v>
      </c>
      <c r="GOI38" s="367" t="e">
        <f>GOF38*GOG38*GOH38</f>
        <v>#DIV/0!</v>
      </c>
      <c r="GOJ38" s="363" t="s">
        <v>153</v>
      </c>
      <c r="GOK38" s="363"/>
      <c r="GOL38" s="363"/>
      <c r="GOM38" s="364" t="s">
        <v>140</v>
      </c>
      <c r="GON38" s="365">
        <v>0.5</v>
      </c>
      <c r="GOO38" s="366" t="e">
        <f>10/GOK36</f>
        <v>#DIV/0!</v>
      </c>
      <c r="GOP38" s="367">
        <v>15.38</v>
      </c>
      <c r="GOQ38" s="367" t="e">
        <f>GON38*GOO38*GOP38</f>
        <v>#DIV/0!</v>
      </c>
      <c r="GOR38" s="363" t="s">
        <v>153</v>
      </c>
      <c r="GOS38" s="363"/>
      <c r="GOT38" s="363"/>
      <c r="GOU38" s="364" t="s">
        <v>140</v>
      </c>
      <c r="GOV38" s="365">
        <v>0.5</v>
      </c>
      <c r="GOW38" s="366" t="e">
        <f>10/GOS36</f>
        <v>#DIV/0!</v>
      </c>
      <c r="GOX38" s="367">
        <v>15.38</v>
      </c>
      <c r="GOY38" s="367" t="e">
        <f>GOV38*GOW38*GOX38</f>
        <v>#DIV/0!</v>
      </c>
      <c r="GOZ38" s="363" t="s">
        <v>153</v>
      </c>
      <c r="GPA38" s="363"/>
      <c r="GPB38" s="363"/>
      <c r="GPC38" s="364" t="s">
        <v>140</v>
      </c>
      <c r="GPD38" s="365">
        <v>0.5</v>
      </c>
      <c r="GPE38" s="366" t="e">
        <f>10/GPA36</f>
        <v>#DIV/0!</v>
      </c>
      <c r="GPF38" s="367">
        <v>15.38</v>
      </c>
      <c r="GPG38" s="367" t="e">
        <f>GPD38*GPE38*GPF38</f>
        <v>#DIV/0!</v>
      </c>
      <c r="GPH38" s="363" t="s">
        <v>153</v>
      </c>
      <c r="GPI38" s="363"/>
      <c r="GPJ38" s="363"/>
      <c r="GPK38" s="364" t="s">
        <v>140</v>
      </c>
      <c r="GPL38" s="365">
        <v>0.5</v>
      </c>
      <c r="GPM38" s="366" t="e">
        <f>10/GPI36</f>
        <v>#DIV/0!</v>
      </c>
      <c r="GPN38" s="367">
        <v>15.38</v>
      </c>
      <c r="GPO38" s="367" t="e">
        <f>GPL38*GPM38*GPN38</f>
        <v>#DIV/0!</v>
      </c>
      <c r="GPP38" s="363" t="s">
        <v>153</v>
      </c>
      <c r="GPQ38" s="363"/>
      <c r="GPR38" s="363"/>
      <c r="GPS38" s="364" t="s">
        <v>140</v>
      </c>
      <c r="GPT38" s="365">
        <v>0.5</v>
      </c>
      <c r="GPU38" s="366" t="e">
        <f>10/GPQ36</f>
        <v>#DIV/0!</v>
      </c>
      <c r="GPV38" s="367">
        <v>15.38</v>
      </c>
      <c r="GPW38" s="367" t="e">
        <f>GPT38*GPU38*GPV38</f>
        <v>#DIV/0!</v>
      </c>
      <c r="GPX38" s="363" t="s">
        <v>153</v>
      </c>
      <c r="GPY38" s="363"/>
      <c r="GPZ38" s="363"/>
      <c r="GQA38" s="364" t="s">
        <v>140</v>
      </c>
      <c r="GQB38" s="365">
        <v>0.5</v>
      </c>
      <c r="GQC38" s="366" t="e">
        <f>10/GPY36</f>
        <v>#DIV/0!</v>
      </c>
      <c r="GQD38" s="367">
        <v>15.38</v>
      </c>
      <c r="GQE38" s="367" t="e">
        <f>GQB38*GQC38*GQD38</f>
        <v>#DIV/0!</v>
      </c>
      <c r="GQF38" s="363" t="s">
        <v>153</v>
      </c>
      <c r="GQG38" s="363"/>
      <c r="GQH38" s="363"/>
      <c r="GQI38" s="364" t="s">
        <v>140</v>
      </c>
      <c r="GQJ38" s="365">
        <v>0.5</v>
      </c>
      <c r="GQK38" s="366" t="e">
        <f>10/GQG36</f>
        <v>#DIV/0!</v>
      </c>
      <c r="GQL38" s="367">
        <v>15.38</v>
      </c>
      <c r="GQM38" s="367" t="e">
        <f>GQJ38*GQK38*GQL38</f>
        <v>#DIV/0!</v>
      </c>
      <c r="GQN38" s="363" t="s">
        <v>153</v>
      </c>
      <c r="GQO38" s="363"/>
      <c r="GQP38" s="363"/>
      <c r="GQQ38" s="364" t="s">
        <v>140</v>
      </c>
      <c r="GQR38" s="365">
        <v>0.5</v>
      </c>
      <c r="GQS38" s="366" t="e">
        <f>10/GQO36</f>
        <v>#DIV/0!</v>
      </c>
      <c r="GQT38" s="367">
        <v>15.38</v>
      </c>
      <c r="GQU38" s="367" t="e">
        <f>GQR38*GQS38*GQT38</f>
        <v>#DIV/0!</v>
      </c>
      <c r="GQV38" s="363" t="s">
        <v>153</v>
      </c>
      <c r="GQW38" s="363"/>
      <c r="GQX38" s="363"/>
      <c r="GQY38" s="364" t="s">
        <v>140</v>
      </c>
      <c r="GQZ38" s="365">
        <v>0.5</v>
      </c>
      <c r="GRA38" s="366" t="e">
        <f>10/GQW36</f>
        <v>#DIV/0!</v>
      </c>
      <c r="GRB38" s="367">
        <v>15.38</v>
      </c>
      <c r="GRC38" s="367" t="e">
        <f>GQZ38*GRA38*GRB38</f>
        <v>#DIV/0!</v>
      </c>
      <c r="GRD38" s="363" t="s">
        <v>153</v>
      </c>
      <c r="GRE38" s="363"/>
      <c r="GRF38" s="363"/>
      <c r="GRG38" s="364" t="s">
        <v>140</v>
      </c>
      <c r="GRH38" s="365">
        <v>0.5</v>
      </c>
      <c r="GRI38" s="366" t="e">
        <f>10/GRE36</f>
        <v>#DIV/0!</v>
      </c>
      <c r="GRJ38" s="367">
        <v>15.38</v>
      </c>
      <c r="GRK38" s="367" t="e">
        <f>GRH38*GRI38*GRJ38</f>
        <v>#DIV/0!</v>
      </c>
      <c r="GRL38" s="363" t="s">
        <v>153</v>
      </c>
      <c r="GRM38" s="363"/>
      <c r="GRN38" s="363"/>
      <c r="GRO38" s="364" t="s">
        <v>140</v>
      </c>
      <c r="GRP38" s="365">
        <v>0.5</v>
      </c>
      <c r="GRQ38" s="366" t="e">
        <f>10/GRM36</f>
        <v>#DIV/0!</v>
      </c>
      <c r="GRR38" s="367">
        <v>15.38</v>
      </c>
      <c r="GRS38" s="367" t="e">
        <f>GRP38*GRQ38*GRR38</f>
        <v>#DIV/0!</v>
      </c>
      <c r="GRT38" s="363" t="s">
        <v>153</v>
      </c>
      <c r="GRU38" s="363"/>
      <c r="GRV38" s="363"/>
      <c r="GRW38" s="364" t="s">
        <v>140</v>
      </c>
      <c r="GRX38" s="365">
        <v>0.5</v>
      </c>
      <c r="GRY38" s="366" t="e">
        <f>10/GRU36</f>
        <v>#DIV/0!</v>
      </c>
      <c r="GRZ38" s="367">
        <v>15.38</v>
      </c>
      <c r="GSA38" s="367" t="e">
        <f>GRX38*GRY38*GRZ38</f>
        <v>#DIV/0!</v>
      </c>
      <c r="GSB38" s="363" t="s">
        <v>153</v>
      </c>
      <c r="GSC38" s="363"/>
      <c r="GSD38" s="363"/>
      <c r="GSE38" s="364" t="s">
        <v>140</v>
      </c>
      <c r="GSF38" s="365">
        <v>0.5</v>
      </c>
      <c r="GSG38" s="366" t="e">
        <f>10/GSC36</f>
        <v>#DIV/0!</v>
      </c>
      <c r="GSH38" s="367">
        <v>15.38</v>
      </c>
      <c r="GSI38" s="367" t="e">
        <f>GSF38*GSG38*GSH38</f>
        <v>#DIV/0!</v>
      </c>
      <c r="GSJ38" s="363" t="s">
        <v>153</v>
      </c>
      <c r="GSK38" s="363"/>
      <c r="GSL38" s="363"/>
      <c r="GSM38" s="364" t="s">
        <v>140</v>
      </c>
      <c r="GSN38" s="365">
        <v>0.5</v>
      </c>
      <c r="GSO38" s="366" t="e">
        <f>10/GSK36</f>
        <v>#DIV/0!</v>
      </c>
      <c r="GSP38" s="367">
        <v>15.38</v>
      </c>
      <c r="GSQ38" s="367" t="e">
        <f>GSN38*GSO38*GSP38</f>
        <v>#DIV/0!</v>
      </c>
      <c r="GSR38" s="363" t="s">
        <v>153</v>
      </c>
      <c r="GSS38" s="363"/>
      <c r="GST38" s="363"/>
      <c r="GSU38" s="364" t="s">
        <v>140</v>
      </c>
      <c r="GSV38" s="365">
        <v>0.5</v>
      </c>
      <c r="GSW38" s="366" t="e">
        <f>10/GSS36</f>
        <v>#DIV/0!</v>
      </c>
      <c r="GSX38" s="367">
        <v>15.38</v>
      </c>
      <c r="GSY38" s="367" t="e">
        <f>GSV38*GSW38*GSX38</f>
        <v>#DIV/0!</v>
      </c>
      <c r="GSZ38" s="363" t="s">
        <v>153</v>
      </c>
      <c r="GTA38" s="363"/>
      <c r="GTB38" s="363"/>
      <c r="GTC38" s="364" t="s">
        <v>140</v>
      </c>
      <c r="GTD38" s="365">
        <v>0.5</v>
      </c>
      <c r="GTE38" s="366" t="e">
        <f>10/GTA36</f>
        <v>#DIV/0!</v>
      </c>
      <c r="GTF38" s="367">
        <v>15.38</v>
      </c>
      <c r="GTG38" s="367" t="e">
        <f>GTD38*GTE38*GTF38</f>
        <v>#DIV/0!</v>
      </c>
      <c r="GTH38" s="363" t="s">
        <v>153</v>
      </c>
      <c r="GTI38" s="363"/>
      <c r="GTJ38" s="363"/>
      <c r="GTK38" s="364" t="s">
        <v>140</v>
      </c>
      <c r="GTL38" s="365">
        <v>0.5</v>
      </c>
      <c r="GTM38" s="366" t="e">
        <f>10/GTI36</f>
        <v>#DIV/0!</v>
      </c>
      <c r="GTN38" s="367">
        <v>15.38</v>
      </c>
      <c r="GTO38" s="367" t="e">
        <f>GTL38*GTM38*GTN38</f>
        <v>#DIV/0!</v>
      </c>
      <c r="GTP38" s="363" t="s">
        <v>153</v>
      </c>
      <c r="GTQ38" s="363"/>
      <c r="GTR38" s="363"/>
      <c r="GTS38" s="364" t="s">
        <v>140</v>
      </c>
      <c r="GTT38" s="365">
        <v>0.5</v>
      </c>
      <c r="GTU38" s="366" t="e">
        <f>10/GTQ36</f>
        <v>#DIV/0!</v>
      </c>
      <c r="GTV38" s="367">
        <v>15.38</v>
      </c>
      <c r="GTW38" s="367" t="e">
        <f>GTT38*GTU38*GTV38</f>
        <v>#DIV/0!</v>
      </c>
      <c r="GTX38" s="363" t="s">
        <v>153</v>
      </c>
      <c r="GTY38" s="363"/>
      <c r="GTZ38" s="363"/>
      <c r="GUA38" s="364" t="s">
        <v>140</v>
      </c>
      <c r="GUB38" s="365">
        <v>0.5</v>
      </c>
      <c r="GUC38" s="366" t="e">
        <f>10/GTY36</f>
        <v>#DIV/0!</v>
      </c>
      <c r="GUD38" s="367">
        <v>15.38</v>
      </c>
      <c r="GUE38" s="367" t="e">
        <f>GUB38*GUC38*GUD38</f>
        <v>#DIV/0!</v>
      </c>
      <c r="GUF38" s="363" t="s">
        <v>153</v>
      </c>
      <c r="GUG38" s="363"/>
      <c r="GUH38" s="363"/>
      <c r="GUI38" s="364" t="s">
        <v>140</v>
      </c>
      <c r="GUJ38" s="365">
        <v>0.5</v>
      </c>
      <c r="GUK38" s="366" t="e">
        <f>10/GUG36</f>
        <v>#DIV/0!</v>
      </c>
      <c r="GUL38" s="367">
        <v>15.38</v>
      </c>
      <c r="GUM38" s="367" t="e">
        <f>GUJ38*GUK38*GUL38</f>
        <v>#DIV/0!</v>
      </c>
      <c r="GUN38" s="363" t="s">
        <v>153</v>
      </c>
      <c r="GUO38" s="363"/>
      <c r="GUP38" s="363"/>
      <c r="GUQ38" s="364" t="s">
        <v>140</v>
      </c>
      <c r="GUR38" s="365">
        <v>0.5</v>
      </c>
      <c r="GUS38" s="366" t="e">
        <f>10/GUO36</f>
        <v>#DIV/0!</v>
      </c>
      <c r="GUT38" s="367">
        <v>15.38</v>
      </c>
      <c r="GUU38" s="367" t="e">
        <f>GUR38*GUS38*GUT38</f>
        <v>#DIV/0!</v>
      </c>
      <c r="GUV38" s="363" t="s">
        <v>153</v>
      </c>
      <c r="GUW38" s="363"/>
      <c r="GUX38" s="363"/>
      <c r="GUY38" s="364" t="s">
        <v>140</v>
      </c>
      <c r="GUZ38" s="365">
        <v>0.5</v>
      </c>
      <c r="GVA38" s="366" t="e">
        <f>10/GUW36</f>
        <v>#DIV/0!</v>
      </c>
      <c r="GVB38" s="367">
        <v>15.38</v>
      </c>
      <c r="GVC38" s="367" t="e">
        <f>GUZ38*GVA38*GVB38</f>
        <v>#DIV/0!</v>
      </c>
      <c r="GVD38" s="363" t="s">
        <v>153</v>
      </c>
      <c r="GVE38" s="363"/>
      <c r="GVF38" s="363"/>
      <c r="GVG38" s="364" t="s">
        <v>140</v>
      </c>
      <c r="GVH38" s="365">
        <v>0.5</v>
      </c>
      <c r="GVI38" s="366" t="e">
        <f>10/GVE36</f>
        <v>#DIV/0!</v>
      </c>
      <c r="GVJ38" s="367">
        <v>15.38</v>
      </c>
      <c r="GVK38" s="367" t="e">
        <f>GVH38*GVI38*GVJ38</f>
        <v>#DIV/0!</v>
      </c>
      <c r="GVL38" s="363" t="s">
        <v>153</v>
      </c>
      <c r="GVM38" s="363"/>
      <c r="GVN38" s="363"/>
      <c r="GVO38" s="364" t="s">
        <v>140</v>
      </c>
      <c r="GVP38" s="365">
        <v>0.5</v>
      </c>
      <c r="GVQ38" s="366" t="e">
        <f>10/GVM36</f>
        <v>#DIV/0!</v>
      </c>
      <c r="GVR38" s="367">
        <v>15.38</v>
      </c>
      <c r="GVS38" s="367" t="e">
        <f>GVP38*GVQ38*GVR38</f>
        <v>#DIV/0!</v>
      </c>
      <c r="GVT38" s="363" t="s">
        <v>153</v>
      </c>
      <c r="GVU38" s="363"/>
      <c r="GVV38" s="363"/>
      <c r="GVW38" s="364" t="s">
        <v>140</v>
      </c>
      <c r="GVX38" s="365">
        <v>0.5</v>
      </c>
      <c r="GVY38" s="366" t="e">
        <f>10/GVU36</f>
        <v>#DIV/0!</v>
      </c>
      <c r="GVZ38" s="367">
        <v>15.38</v>
      </c>
      <c r="GWA38" s="367" t="e">
        <f>GVX38*GVY38*GVZ38</f>
        <v>#DIV/0!</v>
      </c>
      <c r="GWB38" s="363" t="s">
        <v>153</v>
      </c>
      <c r="GWC38" s="363"/>
      <c r="GWD38" s="363"/>
      <c r="GWE38" s="364" t="s">
        <v>140</v>
      </c>
      <c r="GWF38" s="365">
        <v>0.5</v>
      </c>
      <c r="GWG38" s="366" t="e">
        <f>10/GWC36</f>
        <v>#DIV/0!</v>
      </c>
      <c r="GWH38" s="367">
        <v>15.38</v>
      </c>
      <c r="GWI38" s="367" t="e">
        <f>GWF38*GWG38*GWH38</f>
        <v>#DIV/0!</v>
      </c>
      <c r="GWJ38" s="363" t="s">
        <v>153</v>
      </c>
      <c r="GWK38" s="363"/>
      <c r="GWL38" s="363"/>
      <c r="GWM38" s="364" t="s">
        <v>140</v>
      </c>
      <c r="GWN38" s="365">
        <v>0.5</v>
      </c>
      <c r="GWO38" s="366" t="e">
        <f>10/GWK36</f>
        <v>#DIV/0!</v>
      </c>
      <c r="GWP38" s="367">
        <v>15.38</v>
      </c>
      <c r="GWQ38" s="367" t="e">
        <f>GWN38*GWO38*GWP38</f>
        <v>#DIV/0!</v>
      </c>
      <c r="GWR38" s="363" t="s">
        <v>153</v>
      </c>
      <c r="GWS38" s="363"/>
      <c r="GWT38" s="363"/>
      <c r="GWU38" s="364" t="s">
        <v>140</v>
      </c>
      <c r="GWV38" s="365">
        <v>0.5</v>
      </c>
      <c r="GWW38" s="366" t="e">
        <f>10/GWS36</f>
        <v>#DIV/0!</v>
      </c>
      <c r="GWX38" s="367">
        <v>15.38</v>
      </c>
      <c r="GWY38" s="367" t="e">
        <f>GWV38*GWW38*GWX38</f>
        <v>#DIV/0!</v>
      </c>
      <c r="GWZ38" s="363" t="s">
        <v>153</v>
      </c>
      <c r="GXA38" s="363"/>
      <c r="GXB38" s="363"/>
      <c r="GXC38" s="364" t="s">
        <v>140</v>
      </c>
      <c r="GXD38" s="365">
        <v>0.5</v>
      </c>
      <c r="GXE38" s="366" t="e">
        <f>10/GXA36</f>
        <v>#DIV/0!</v>
      </c>
      <c r="GXF38" s="367">
        <v>15.38</v>
      </c>
      <c r="GXG38" s="367" t="e">
        <f>GXD38*GXE38*GXF38</f>
        <v>#DIV/0!</v>
      </c>
      <c r="GXH38" s="363" t="s">
        <v>153</v>
      </c>
      <c r="GXI38" s="363"/>
      <c r="GXJ38" s="363"/>
      <c r="GXK38" s="364" t="s">
        <v>140</v>
      </c>
      <c r="GXL38" s="365">
        <v>0.5</v>
      </c>
      <c r="GXM38" s="366" t="e">
        <f>10/GXI36</f>
        <v>#DIV/0!</v>
      </c>
      <c r="GXN38" s="367">
        <v>15.38</v>
      </c>
      <c r="GXO38" s="367" t="e">
        <f>GXL38*GXM38*GXN38</f>
        <v>#DIV/0!</v>
      </c>
      <c r="GXP38" s="363" t="s">
        <v>153</v>
      </c>
      <c r="GXQ38" s="363"/>
      <c r="GXR38" s="363"/>
      <c r="GXS38" s="364" t="s">
        <v>140</v>
      </c>
      <c r="GXT38" s="365">
        <v>0.5</v>
      </c>
      <c r="GXU38" s="366" t="e">
        <f>10/GXQ36</f>
        <v>#DIV/0!</v>
      </c>
      <c r="GXV38" s="367">
        <v>15.38</v>
      </c>
      <c r="GXW38" s="367" t="e">
        <f>GXT38*GXU38*GXV38</f>
        <v>#DIV/0!</v>
      </c>
      <c r="GXX38" s="363" t="s">
        <v>153</v>
      </c>
      <c r="GXY38" s="363"/>
      <c r="GXZ38" s="363"/>
      <c r="GYA38" s="364" t="s">
        <v>140</v>
      </c>
      <c r="GYB38" s="365">
        <v>0.5</v>
      </c>
      <c r="GYC38" s="366" t="e">
        <f>10/GXY36</f>
        <v>#DIV/0!</v>
      </c>
      <c r="GYD38" s="367">
        <v>15.38</v>
      </c>
      <c r="GYE38" s="367" t="e">
        <f>GYB38*GYC38*GYD38</f>
        <v>#DIV/0!</v>
      </c>
      <c r="GYF38" s="363" t="s">
        <v>153</v>
      </c>
      <c r="GYG38" s="363"/>
      <c r="GYH38" s="363"/>
      <c r="GYI38" s="364" t="s">
        <v>140</v>
      </c>
      <c r="GYJ38" s="365">
        <v>0.5</v>
      </c>
      <c r="GYK38" s="366" t="e">
        <f>10/GYG36</f>
        <v>#DIV/0!</v>
      </c>
      <c r="GYL38" s="367">
        <v>15.38</v>
      </c>
      <c r="GYM38" s="367" t="e">
        <f>GYJ38*GYK38*GYL38</f>
        <v>#DIV/0!</v>
      </c>
      <c r="GYN38" s="363" t="s">
        <v>153</v>
      </c>
      <c r="GYO38" s="363"/>
      <c r="GYP38" s="363"/>
      <c r="GYQ38" s="364" t="s">
        <v>140</v>
      </c>
      <c r="GYR38" s="365">
        <v>0.5</v>
      </c>
      <c r="GYS38" s="366" t="e">
        <f>10/GYO36</f>
        <v>#DIV/0!</v>
      </c>
      <c r="GYT38" s="367">
        <v>15.38</v>
      </c>
      <c r="GYU38" s="367" t="e">
        <f>GYR38*GYS38*GYT38</f>
        <v>#DIV/0!</v>
      </c>
      <c r="GYV38" s="363" t="s">
        <v>153</v>
      </c>
      <c r="GYW38" s="363"/>
      <c r="GYX38" s="363"/>
      <c r="GYY38" s="364" t="s">
        <v>140</v>
      </c>
      <c r="GYZ38" s="365">
        <v>0.5</v>
      </c>
      <c r="GZA38" s="366" t="e">
        <f>10/GYW36</f>
        <v>#DIV/0!</v>
      </c>
      <c r="GZB38" s="367">
        <v>15.38</v>
      </c>
      <c r="GZC38" s="367" t="e">
        <f>GYZ38*GZA38*GZB38</f>
        <v>#DIV/0!</v>
      </c>
      <c r="GZD38" s="363" t="s">
        <v>153</v>
      </c>
      <c r="GZE38" s="363"/>
      <c r="GZF38" s="363"/>
      <c r="GZG38" s="364" t="s">
        <v>140</v>
      </c>
      <c r="GZH38" s="365">
        <v>0.5</v>
      </c>
      <c r="GZI38" s="366" t="e">
        <f>10/GZE36</f>
        <v>#DIV/0!</v>
      </c>
      <c r="GZJ38" s="367">
        <v>15.38</v>
      </c>
      <c r="GZK38" s="367" t="e">
        <f>GZH38*GZI38*GZJ38</f>
        <v>#DIV/0!</v>
      </c>
      <c r="GZL38" s="363" t="s">
        <v>153</v>
      </c>
      <c r="GZM38" s="363"/>
      <c r="GZN38" s="363"/>
      <c r="GZO38" s="364" t="s">
        <v>140</v>
      </c>
      <c r="GZP38" s="365">
        <v>0.5</v>
      </c>
      <c r="GZQ38" s="366" t="e">
        <f>10/GZM36</f>
        <v>#DIV/0!</v>
      </c>
      <c r="GZR38" s="367">
        <v>15.38</v>
      </c>
      <c r="GZS38" s="367" t="e">
        <f>GZP38*GZQ38*GZR38</f>
        <v>#DIV/0!</v>
      </c>
      <c r="GZT38" s="363" t="s">
        <v>153</v>
      </c>
      <c r="GZU38" s="363"/>
      <c r="GZV38" s="363"/>
      <c r="GZW38" s="364" t="s">
        <v>140</v>
      </c>
      <c r="GZX38" s="365">
        <v>0.5</v>
      </c>
      <c r="GZY38" s="366" t="e">
        <f>10/GZU36</f>
        <v>#DIV/0!</v>
      </c>
      <c r="GZZ38" s="367">
        <v>15.38</v>
      </c>
      <c r="HAA38" s="367" t="e">
        <f>GZX38*GZY38*GZZ38</f>
        <v>#DIV/0!</v>
      </c>
      <c r="HAB38" s="363" t="s">
        <v>153</v>
      </c>
      <c r="HAC38" s="363"/>
      <c r="HAD38" s="363"/>
      <c r="HAE38" s="364" t="s">
        <v>140</v>
      </c>
      <c r="HAF38" s="365">
        <v>0.5</v>
      </c>
      <c r="HAG38" s="366" t="e">
        <f>10/HAC36</f>
        <v>#DIV/0!</v>
      </c>
      <c r="HAH38" s="367">
        <v>15.38</v>
      </c>
      <c r="HAI38" s="367" t="e">
        <f>HAF38*HAG38*HAH38</f>
        <v>#DIV/0!</v>
      </c>
      <c r="HAJ38" s="363" t="s">
        <v>153</v>
      </c>
      <c r="HAK38" s="363"/>
      <c r="HAL38" s="363"/>
      <c r="HAM38" s="364" t="s">
        <v>140</v>
      </c>
      <c r="HAN38" s="365">
        <v>0.5</v>
      </c>
      <c r="HAO38" s="366" t="e">
        <f>10/HAK36</f>
        <v>#DIV/0!</v>
      </c>
      <c r="HAP38" s="367">
        <v>15.38</v>
      </c>
      <c r="HAQ38" s="367" t="e">
        <f>HAN38*HAO38*HAP38</f>
        <v>#DIV/0!</v>
      </c>
      <c r="HAR38" s="363" t="s">
        <v>153</v>
      </c>
      <c r="HAS38" s="363"/>
      <c r="HAT38" s="363"/>
      <c r="HAU38" s="364" t="s">
        <v>140</v>
      </c>
      <c r="HAV38" s="365">
        <v>0.5</v>
      </c>
      <c r="HAW38" s="366" t="e">
        <f>10/HAS36</f>
        <v>#DIV/0!</v>
      </c>
      <c r="HAX38" s="367">
        <v>15.38</v>
      </c>
      <c r="HAY38" s="367" t="e">
        <f>HAV38*HAW38*HAX38</f>
        <v>#DIV/0!</v>
      </c>
      <c r="HAZ38" s="363" t="s">
        <v>153</v>
      </c>
      <c r="HBA38" s="363"/>
      <c r="HBB38" s="363"/>
      <c r="HBC38" s="364" t="s">
        <v>140</v>
      </c>
      <c r="HBD38" s="365">
        <v>0.5</v>
      </c>
      <c r="HBE38" s="366" t="e">
        <f>10/HBA36</f>
        <v>#DIV/0!</v>
      </c>
      <c r="HBF38" s="367">
        <v>15.38</v>
      </c>
      <c r="HBG38" s="367" t="e">
        <f>HBD38*HBE38*HBF38</f>
        <v>#DIV/0!</v>
      </c>
      <c r="HBH38" s="363" t="s">
        <v>153</v>
      </c>
      <c r="HBI38" s="363"/>
      <c r="HBJ38" s="363"/>
      <c r="HBK38" s="364" t="s">
        <v>140</v>
      </c>
      <c r="HBL38" s="365">
        <v>0.5</v>
      </c>
      <c r="HBM38" s="366" t="e">
        <f>10/HBI36</f>
        <v>#DIV/0!</v>
      </c>
      <c r="HBN38" s="367">
        <v>15.38</v>
      </c>
      <c r="HBO38" s="367" t="e">
        <f>HBL38*HBM38*HBN38</f>
        <v>#DIV/0!</v>
      </c>
      <c r="HBP38" s="363" t="s">
        <v>153</v>
      </c>
      <c r="HBQ38" s="363"/>
      <c r="HBR38" s="363"/>
      <c r="HBS38" s="364" t="s">
        <v>140</v>
      </c>
      <c r="HBT38" s="365">
        <v>0.5</v>
      </c>
      <c r="HBU38" s="366" t="e">
        <f>10/HBQ36</f>
        <v>#DIV/0!</v>
      </c>
      <c r="HBV38" s="367">
        <v>15.38</v>
      </c>
      <c r="HBW38" s="367" t="e">
        <f>HBT38*HBU38*HBV38</f>
        <v>#DIV/0!</v>
      </c>
      <c r="HBX38" s="363" t="s">
        <v>153</v>
      </c>
      <c r="HBY38" s="363"/>
      <c r="HBZ38" s="363"/>
      <c r="HCA38" s="364" t="s">
        <v>140</v>
      </c>
      <c r="HCB38" s="365">
        <v>0.5</v>
      </c>
      <c r="HCC38" s="366" t="e">
        <f>10/HBY36</f>
        <v>#DIV/0!</v>
      </c>
      <c r="HCD38" s="367">
        <v>15.38</v>
      </c>
      <c r="HCE38" s="367" t="e">
        <f>HCB38*HCC38*HCD38</f>
        <v>#DIV/0!</v>
      </c>
      <c r="HCF38" s="363" t="s">
        <v>153</v>
      </c>
      <c r="HCG38" s="363"/>
      <c r="HCH38" s="363"/>
      <c r="HCI38" s="364" t="s">
        <v>140</v>
      </c>
      <c r="HCJ38" s="365">
        <v>0.5</v>
      </c>
      <c r="HCK38" s="366" t="e">
        <f>10/HCG36</f>
        <v>#DIV/0!</v>
      </c>
      <c r="HCL38" s="367">
        <v>15.38</v>
      </c>
      <c r="HCM38" s="367" t="e">
        <f>HCJ38*HCK38*HCL38</f>
        <v>#DIV/0!</v>
      </c>
      <c r="HCN38" s="363" t="s">
        <v>153</v>
      </c>
      <c r="HCO38" s="363"/>
      <c r="HCP38" s="363"/>
      <c r="HCQ38" s="364" t="s">
        <v>140</v>
      </c>
      <c r="HCR38" s="365">
        <v>0.5</v>
      </c>
      <c r="HCS38" s="366" t="e">
        <f>10/HCO36</f>
        <v>#DIV/0!</v>
      </c>
      <c r="HCT38" s="367">
        <v>15.38</v>
      </c>
      <c r="HCU38" s="367" t="e">
        <f>HCR38*HCS38*HCT38</f>
        <v>#DIV/0!</v>
      </c>
      <c r="HCV38" s="363" t="s">
        <v>153</v>
      </c>
      <c r="HCW38" s="363"/>
      <c r="HCX38" s="363"/>
      <c r="HCY38" s="364" t="s">
        <v>140</v>
      </c>
      <c r="HCZ38" s="365">
        <v>0.5</v>
      </c>
      <c r="HDA38" s="366" t="e">
        <f>10/HCW36</f>
        <v>#DIV/0!</v>
      </c>
      <c r="HDB38" s="367">
        <v>15.38</v>
      </c>
      <c r="HDC38" s="367" t="e">
        <f>HCZ38*HDA38*HDB38</f>
        <v>#DIV/0!</v>
      </c>
      <c r="HDD38" s="363" t="s">
        <v>153</v>
      </c>
      <c r="HDE38" s="363"/>
      <c r="HDF38" s="363"/>
      <c r="HDG38" s="364" t="s">
        <v>140</v>
      </c>
      <c r="HDH38" s="365">
        <v>0.5</v>
      </c>
      <c r="HDI38" s="366" t="e">
        <f>10/HDE36</f>
        <v>#DIV/0!</v>
      </c>
      <c r="HDJ38" s="367">
        <v>15.38</v>
      </c>
      <c r="HDK38" s="367" t="e">
        <f>HDH38*HDI38*HDJ38</f>
        <v>#DIV/0!</v>
      </c>
      <c r="HDL38" s="363" t="s">
        <v>153</v>
      </c>
      <c r="HDM38" s="363"/>
      <c r="HDN38" s="363"/>
      <c r="HDO38" s="364" t="s">
        <v>140</v>
      </c>
      <c r="HDP38" s="365">
        <v>0.5</v>
      </c>
      <c r="HDQ38" s="366" t="e">
        <f>10/HDM36</f>
        <v>#DIV/0!</v>
      </c>
      <c r="HDR38" s="367">
        <v>15.38</v>
      </c>
      <c r="HDS38" s="367" t="e">
        <f>HDP38*HDQ38*HDR38</f>
        <v>#DIV/0!</v>
      </c>
      <c r="HDT38" s="363" t="s">
        <v>153</v>
      </c>
      <c r="HDU38" s="363"/>
      <c r="HDV38" s="363"/>
      <c r="HDW38" s="364" t="s">
        <v>140</v>
      </c>
      <c r="HDX38" s="365">
        <v>0.5</v>
      </c>
      <c r="HDY38" s="366" t="e">
        <f>10/HDU36</f>
        <v>#DIV/0!</v>
      </c>
      <c r="HDZ38" s="367">
        <v>15.38</v>
      </c>
      <c r="HEA38" s="367" t="e">
        <f>HDX38*HDY38*HDZ38</f>
        <v>#DIV/0!</v>
      </c>
      <c r="HEB38" s="363" t="s">
        <v>153</v>
      </c>
      <c r="HEC38" s="363"/>
      <c r="HED38" s="363"/>
      <c r="HEE38" s="364" t="s">
        <v>140</v>
      </c>
      <c r="HEF38" s="365">
        <v>0.5</v>
      </c>
      <c r="HEG38" s="366" t="e">
        <f>10/HEC36</f>
        <v>#DIV/0!</v>
      </c>
      <c r="HEH38" s="367">
        <v>15.38</v>
      </c>
      <c r="HEI38" s="367" t="e">
        <f>HEF38*HEG38*HEH38</f>
        <v>#DIV/0!</v>
      </c>
      <c r="HEJ38" s="363" t="s">
        <v>153</v>
      </c>
      <c r="HEK38" s="363"/>
      <c r="HEL38" s="363"/>
      <c r="HEM38" s="364" t="s">
        <v>140</v>
      </c>
      <c r="HEN38" s="365">
        <v>0.5</v>
      </c>
      <c r="HEO38" s="366" t="e">
        <f>10/HEK36</f>
        <v>#DIV/0!</v>
      </c>
      <c r="HEP38" s="367">
        <v>15.38</v>
      </c>
      <c r="HEQ38" s="367" t="e">
        <f>HEN38*HEO38*HEP38</f>
        <v>#DIV/0!</v>
      </c>
      <c r="HER38" s="363" t="s">
        <v>153</v>
      </c>
      <c r="HES38" s="363"/>
      <c r="HET38" s="363"/>
      <c r="HEU38" s="364" t="s">
        <v>140</v>
      </c>
      <c r="HEV38" s="365">
        <v>0.5</v>
      </c>
      <c r="HEW38" s="366" t="e">
        <f>10/HES36</f>
        <v>#DIV/0!</v>
      </c>
      <c r="HEX38" s="367">
        <v>15.38</v>
      </c>
      <c r="HEY38" s="367" t="e">
        <f>HEV38*HEW38*HEX38</f>
        <v>#DIV/0!</v>
      </c>
      <c r="HEZ38" s="363" t="s">
        <v>153</v>
      </c>
      <c r="HFA38" s="363"/>
      <c r="HFB38" s="363"/>
      <c r="HFC38" s="364" t="s">
        <v>140</v>
      </c>
      <c r="HFD38" s="365">
        <v>0.5</v>
      </c>
      <c r="HFE38" s="366" t="e">
        <f>10/HFA36</f>
        <v>#DIV/0!</v>
      </c>
      <c r="HFF38" s="367">
        <v>15.38</v>
      </c>
      <c r="HFG38" s="367" t="e">
        <f>HFD38*HFE38*HFF38</f>
        <v>#DIV/0!</v>
      </c>
      <c r="HFH38" s="363" t="s">
        <v>153</v>
      </c>
      <c r="HFI38" s="363"/>
      <c r="HFJ38" s="363"/>
      <c r="HFK38" s="364" t="s">
        <v>140</v>
      </c>
      <c r="HFL38" s="365">
        <v>0.5</v>
      </c>
      <c r="HFM38" s="366" t="e">
        <f>10/HFI36</f>
        <v>#DIV/0!</v>
      </c>
      <c r="HFN38" s="367">
        <v>15.38</v>
      </c>
      <c r="HFO38" s="367" t="e">
        <f>HFL38*HFM38*HFN38</f>
        <v>#DIV/0!</v>
      </c>
      <c r="HFP38" s="363" t="s">
        <v>153</v>
      </c>
      <c r="HFQ38" s="363"/>
      <c r="HFR38" s="363"/>
      <c r="HFS38" s="364" t="s">
        <v>140</v>
      </c>
      <c r="HFT38" s="365">
        <v>0.5</v>
      </c>
      <c r="HFU38" s="366" t="e">
        <f>10/HFQ36</f>
        <v>#DIV/0!</v>
      </c>
      <c r="HFV38" s="367">
        <v>15.38</v>
      </c>
      <c r="HFW38" s="367" t="e">
        <f>HFT38*HFU38*HFV38</f>
        <v>#DIV/0!</v>
      </c>
      <c r="HFX38" s="363" t="s">
        <v>153</v>
      </c>
      <c r="HFY38" s="363"/>
      <c r="HFZ38" s="363"/>
      <c r="HGA38" s="364" t="s">
        <v>140</v>
      </c>
      <c r="HGB38" s="365">
        <v>0.5</v>
      </c>
      <c r="HGC38" s="366" t="e">
        <f>10/HFY36</f>
        <v>#DIV/0!</v>
      </c>
      <c r="HGD38" s="367">
        <v>15.38</v>
      </c>
      <c r="HGE38" s="367" t="e">
        <f>HGB38*HGC38*HGD38</f>
        <v>#DIV/0!</v>
      </c>
      <c r="HGF38" s="363" t="s">
        <v>153</v>
      </c>
      <c r="HGG38" s="363"/>
      <c r="HGH38" s="363"/>
      <c r="HGI38" s="364" t="s">
        <v>140</v>
      </c>
      <c r="HGJ38" s="365">
        <v>0.5</v>
      </c>
      <c r="HGK38" s="366" t="e">
        <f>10/HGG36</f>
        <v>#DIV/0!</v>
      </c>
      <c r="HGL38" s="367">
        <v>15.38</v>
      </c>
      <c r="HGM38" s="367" t="e">
        <f>HGJ38*HGK38*HGL38</f>
        <v>#DIV/0!</v>
      </c>
      <c r="HGN38" s="363" t="s">
        <v>153</v>
      </c>
      <c r="HGO38" s="363"/>
      <c r="HGP38" s="363"/>
      <c r="HGQ38" s="364" t="s">
        <v>140</v>
      </c>
      <c r="HGR38" s="365">
        <v>0.5</v>
      </c>
      <c r="HGS38" s="366" t="e">
        <f>10/HGO36</f>
        <v>#DIV/0!</v>
      </c>
      <c r="HGT38" s="367">
        <v>15.38</v>
      </c>
      <c r="HGU38" s="367" t="e">
        <f>HGR38*HGS38*HGT38</f>
        <v>#DIV/0!</v>
      </c>
      <c r="HGV38" s="363" t="s">
        <v>153</v>
      </c>
      <c r="HGW38" s="363"/>
      <c r="HGX38" s="363"/>
      <c r="HGY38" s="364" t="s">
        <v>140</v>
      </c>
      <c r="HGZ38" s="365">
        <v>0.5</v>
      </c>
      <c r="HHA38" s="366" t="e">
        <f>10/HGW36</f>
        <v>#DIV/0!</v>
      </c>
      <c r="HHB38" s="367">
        <v>15.38</v>
      </c>
      <c r="HHC38" s="367" t="e">
        <f>HGZ38*HHA38*HHB38</f>
        <v>#DIV/0!</v>
      </c>
      <c r="HHD38" s="363" t="s">
        <v>153</v>
      </c>
      <c r="HHE38" s="363"/>
      <c r="HHF38" s="363"/>
      <c r="HHG38" s="364" t="s">
        <v>140</v>
      </c>
      <c r="HHH38" s="365">
        <v>0.5</v>
      </c>
      <c r="HHI38" s="366" t="e">
        <f>10/HHE36</f>
        <v>#DIV/0!</v>
      </c>
      <c r="HHJ38" s="367">
        <v>15.38</v>
      </c>
      <c r="HHK38" s="367" t="e">
        <f>HHH38*HHI38*HHJ38</f>
        <v>#DIV/0!</v>
      </c>
      <c r="HHL38" s="363" t="s">
        <v>153</v>
      </c>
      <c r="HHM38" s="363"/>
      <c r="HHN38" s="363"/>
      <c r="HHO38" s="364" t="s">
        <v>140</v>
      </c>
      <c r="HHP38" s="365">
        <v>0.5</v>
      </c>
      <c r="HHQ38" s="366" t="e">
        <f>10/HHM36</f>
        <v>#DIV/0!</v>
      </c>
      <c r="HHR38" s="367">
        <v>15.38</v>
      </c>
      <c r="HHS38" s="367" t="e">
        <f>HHP38*HHQ38*HHR38</f>
        <v>#DIV/0!</v>
      </c>
      <c r="HHT38" s="363" t="s">
        <v>153</v>
      </c>
      <c r="HHU38" s="363"/>
      <c r="HHV38" s="363"/>
      <c r="HHW38" s="364" t="s">
        <v>140</v>
      </c>
      <c r="HHX38" s="365">
        <v>0.5</v>
      </c>
      <c r="HHY38" s="366" t="e">
        <f>10/HHU36</f>
        <v>#DIV/0!</v>
      </c>
      <c r="HHZ38" s="367">
        <v>15.38</v>
      </c>
      <c r="HIA38" s="367" t="e">
        <f>HHX38*HHY38*HHZ38</f>
        <v>#DIV/0!</v>
      </c>
      <c r="HIB38" s="363" t="s">
        <v>153</v>
      </c>
      <c r="HIC38" s="363"/>
      <c r="HID38" s="363"/>
      <c r="HIE38" s="364" t="s">
        <v>140</v>
      </c>
      <c r="HIF38" s="365">
        <v>0.5</v>
      </c>
      <c r="HIG38" s="366" t="e">
        <f>10/HIC36</f>
        <v>#DIV/0!</v>
      </c>
      <c r="HIH38" s="367">
        <v>15.38</v>
      </c>
      <c r="HII38" s="367" t="e">
        <f>HIF38*HIG38*HIH38</f>
        <v>#DIV/0!</v>
      </c>
      <c r="HIJ38" s="363" t="s">
        <v>153</v>
      </c>
      <c r="HIK38" s="363"/>
      <c r="HIL38" s="363"/>
      <c r="HIM38" s="364" t="s">
        <v>140</v>
      </c>
      <c r="HIN38" s="365">
        <v>0.5</v>
      </c>
      <c r="HIO38" s="366" t="e">
        <f>10/HIK36</f>
        <v>#DIV/0!</v>
      </c>
      <c r="HIP38" s="367">
        <v>15.38</v>
      </c>
      <c r="HIQ38" s="367" t="e">
        <f>HIN38*HIO38*HIP38</f>
        <v>#DIV/0!</v>
      </c>
      <c r="HIR38" s="363" t="s">
        <v>153</v>
      </c>
      <c r="HIS38" s="363"/>
      <c r="HIT38" s="363"/>
      <c r="HIU38" s="364" t="s">
        <v>140</v>
      </c>
      <c r="HIV38" s="365">
        <v>0.5</v>
      </c>
      <c r="HIW38" s="366" t="e">
        <f>10/HIS36</f>
        <v>#DIV/0!</v>
      </c>
      <c r="HIX38" s="367">
        <v>15.38</v>
      </c>
      <c r="HIY38" s="367" t="e">
        <f>HIV38*HIW38*HIX38</f>
        <v>#DIV/0!</v>
      </c>
      <c r="HIZ38" s="363" t="s">
        <v>153</v>
      </c>
      <c r="HJA38" s="363"/>
      <c r="HJB38" s="363"/>
      <c r="HJC38" s="364" t="s">
        <v>140</v>
      </c>
      <c r="HJD38" s="365">
        <v>0.5</v>
      </c>
      <c r="HJE38" s="366" t="e">
        <f>10/HJA36</f>
        <v>#DIV/0!</v>
      </c>
      <c r="HJF38" s="367">
        <v>15.38</v>
      </c>
      <c r="HJG38" s="367" t="e">
        <f>HJD38*HJE38*HJF38</f>
        <v>#DIV/0!</v>
      </c>
      <c r="HJH38" s="363" t="s">
        <v>153</v>
      </c>
      <c r="HJI38" s="363"/>
      <c r="HJJ38" s="363"/>
      <c r="HJK38" s="364" t="s">
        <v>140</v>
      </c>
      <c r="HJL38" s="365">
        <v>0.5</v>
      </c>
      <c r="HJM38" s="366" t="e">
        <f>10/HJI36</f>
        <v>#DIV/0!</v>
      </c>
      <c r="HJN38" s="367">
        <v>15.38</v>
      </c>
      <c r="HJO38" s="367" t="e">
        <f>HJL38*HJM38*HJN38</f>
        <v>#DIV/0!</v>
      </c>
      <c r="HJP38" s="363" t="s">
        <v>153</v>
      </c>
      <c r="HJQ38" s="363"/>
      <c r="HJR38" s="363"/>
      <c r="HJS38" s="364" t="s">
        <v>140</v>
      </c>
      <c r="HJT38" s="365">
        <v>0.5</v>
      </c>
      <c r="HJU38" s="366" t="e">
        <f>10/HJQ36</f>
        <v>#DIV/0!</v>
      </c>
      <c r="HJV38" s="367">
        <v>15.38</v>
      </c>
      <c r="HJW38" s="367" t="e">
        <f>HJT38*HJU38*HJV38</f>
        <v>#DIV/0!</v>
      </c>
      <c r="HJX38" s="363" t="s">
        <v>153</v>
      </c>
      <c r="HJY38" s="363"/>
      <c r="HJZ38" s="363"/>
      <c r="HKA38" s="364" t="s">
        <v>140</v>
      </c>
      <c r="HKB38" s="365">
        <v>0.5</v>
      </c>
      <c r="HKC38" s="366" t="e">
        <f>10/HJY36</f>
        <v>#DIV/0!</v>
      </c>
      <c r="HKD38" s="367">
        <v>15.38</v>
      </c>
      <c r="HKE38" s="367" t="e">
        <f>HKB38*HKC38*HKD38</f>
        <v>#DIV/0!</v>
      </c>
      <c r="HKF38" s="363" t="s">
        <v>153</v>
      </c>
      <c r="HKG38" s="363"/>
      <c r="HKH38" s="363"/>
      <c r="HKI38" s="364" t="s">
        <v>140</v>
      </c>
      <c r="HKJ38" s="365">
        <v>0.5</v>
      </c>
      <c r="HKK38" s="366" t="e">
        <f>10/HKG36</f>
        <v>#DIV/0!</v>
      </c>
      <c r="HKL38" s="367">
        <v>15.38</v>
      </c>
      <c r="HKM38" s="367" t="e">
        <f>HKJ38*HKK38*HKL38</f>
        <v>#DIV/0!</v>
      </c>
      <c r="HKN38" s="363" t="s">
        <v>153</v>
      </c>
      <c r="HKO38" s="363"/>
      <c r="HKP38" s="363"/>
      <c r="HKQ38" s="364" t="s">
        <v>140</v>
      </c>
      <c r="HKR38" s="365">
        <v>0.5</v>
      </c>
      <c r="HKS38" s="366" t="e">
        <f>10/HKO36</f>
        <v>#DIV/0!</v>
      </c>
      <c r="HKT38" s="367">
        <v>15.38</v>
      </c>
      <c r="HKU38" s="367" t="e">
        <f>HKR38*HKS38*HKT38</f>
        <v>#DIV/0!</v>
      </c>
      <c r="HKV38" s="363" t="s">
        <v>153</v>
      </c>
      <c r="HKW38" s="363"/>
      <c r="HKX38" s="363"/>
      <c r="HKY38" s="364" t="s">
        <v>140</v>
      </c>
      <c r="HKZ38" s="365">
        <v>0.5</v>
      </c>
      <c r="HLA38" s="366" t="e">
        <f>10/HKW36</f>
        <v>#DIV/0!</v>
      </c>
      <c r="HLB38" s="367">
        <v>15.38</v>
      </c>
      <c r="HLC38" s="367" t="e">
        <f>HKZ38*HLA38*HLB38</f>
        <v>#DIV/0!</v>
      </c>
      <c r="HLD38" s="363" t="s">
        <v>153</v>
      </c>
      <c r="HLE38" s="363"/>
      <c r="HLF38" s="363"/>
      <c r="HLG38" s="364" t="s">
        <v>140</v>
      </c>
      <c r="HLH38" s="365">
        <v>0.5</v>
      </c>
      <c r="HLI38" s="366" t="e">
        <f>10/HLE36</f>
        <v>#DIV/0!</v>
      </c>
      <c r="HLJ38" s="367">
        <v>15.38</v>
      </c>
      <c r="HLK38" s="367" t="e">
        <f>HLH38*HLI38*HLJ38</f>
        <v>#DIV/0!</v>
      </c>
      <c r="HLL38" s="363" t="s">
        <v>153</v>
      </c>
      <c r="HLM38" s="363"/>
      <c r="HLN38" s="363"/>
      <c r="HLO38" s="364" t="s">
        <v>140</v>
      </c>
      <c r="HLP38" s="365">
        <v>0.5</v>
      </c>
      <c r="HLQ38" s="366" t="e">
        <f>10/HLM36</f>
        <v>#DIV/0!</v>
      </c>
      <c r="HLR38" s="367">
        <v>15.38</v>
      </c>
      <c r="HLS38" s="367" t="e">
        <f>HLP38*HLQ38*HLR38</f>
        <v>#DIV/0!</v>
      </c>
      <c r="HLT38" s="363" t="s">
        <v>153</v>
      </c>
      <c r="HLU38" s="363"/>
      <c r="HLV38" s="363"/>
      <c r="HLW38" s="364" t="s">
        <v>140</v>
      </c>
      <c r="HLX38" s="365">
        <v>0.5</v>
      </c>
      <c r="HLY38" s="366" t="e">
        <f>10/HLU36</f>
        <v>#DIV/0!</v>
      </c>
      <c r="HLZ38" s="367">
        <v>15.38</v>
      </c>
      <c r="HMA38" s="367" t="e">
        <f>HLX38*HLY38*HLZ38</f>
        <v>#DIV/0!</v>
      </c>
      <c r="HMB38" s="363" t="s">
        <v>153</v>
      </c>
      <c r="HMC38" s="363"/>
      <c r="HMD38" s="363"/>
      <c r="HME38" s="364" t="s">
        <v>140</v>
      </c>
      <c r="HMF38" s="365">
        <v>0.5</v>
      </c>
      <c r="HMG38" s="366" t="e">
        <f>10/HMC36</f>
        <v>#DIV/0!</v>
      </c>
      <c r="HMH38" s="367">
        <v>15.38</v>
      </c>
      <c r="HMI38" s="367" t="e">
        <f>HMF38*HMG38*HMH38</f>
        <v>#DIV/0!</v>
      </c>
      <c r="HMJ38" s="363" t="s">
        <v>153</v>
      </c>
      <c r="HMK38" s="363"/>
      <c r="HML38" s="363"/>
      <c r="HMM38" s="364" t="s">
        <v>140</v>
      </c>
      <c r="HMN38" s="365">
        <v>0.5</v>
      </c>
      <c r="HMO38" s="366" t="e">
        <f>10/HMK36</f>
        <v>#DIV/0!</v>
      </c>
      <c r="HMP38" s="367">
        <v>15.38</v>
      </c>
      <c r="HMQ38" s="367" t="e">
        <f>HMN38*HMO38*HMP38</f>
        <v>#DIV/0!</v>
      </c>
      <c r="HMR38" s="363" t="s">
        <v>153</v>
      </c>
      <c r="HMS38" s="363"/>
      <c r="HMT38" s="363"/>
      <c r="HMU38" s="364" t="s">
        <v>140</v>
      </c>
      <c r="HMV38" s="365">
        <v>0.5</v>
      </c>
      <c r="HMW38" s="366" t="e">
        <f>10/HMS36</f>
        <v>#DIV/0!</v>
      </c>
      <c r="HMX38" s="367">
        <v>15.38</v>
      </c>
      <c r="HMY38" s="367" t="e">
        <f>HMV38*HMW38*HMX38</f>
        <v>#DIV/0!</v>
      </c>
      <c r="HMZ38" s="363" t="s">
        <v>153</v>
      </c>
      <c r="HNA38" s="363"/>
      <c r="HNB38" s="363"/>
      <c r="HNC38" s="364" t="s">
        <v>140</v>
      </c>
      <c r="HND38" s="365">
        <v>0.5</v>
      </c>
      <c r="HNE38" s="366" t="e">
        <f>10/HNA36</f>
        <v>#DIV/0!</v>
      </c>
      <c r="HNF38" s="367">
        <v>15.38</v>
      </c>
      <c r="HNG38" s="367" t="e">
        <f>HND38*HNE38*HNF38</f>
        <v>#DIV/0!</v>
      </c>
      <c r="HNH38" s="363" t="s">
        <v>153</v>
      </c>
      <c r="HNI38" s="363"/>
      <c r="HNJ38" s="363"/>
      <c r="HNK38" s="364" t="s">
        <v>140</v>
      </c>
      <c r="HNL38" s="365">
        <v>0.5</v>
      </c>
      <c r="HNM38" s="366" t="e">
        <f>10/HNI36</f>
        <v>#DIV/0!</v>
      </c>
      <c r="HNN38" s="367">
        <v>15.38</v>
      </c>
      <c r="HNO38" s="367" t="e">
        <f>HNL38*HNM38*HNN38</f>
        <v>#DIV/0!</v>
      </c>
      <c r="HNP38" s="363" t="s">
        <v>153</v>
      </c>
      <c r="HNQ38" s="363"/>
      <c r="HNR38" s="363"/>
      <c r="HNS38" s="364" t="s">
        <v>140</v>
      </c>
      <c r="HNT38" s="365">
        <v>0.5</v>
      </c>
      <c r="HNU38" s="366" t="e">
        <f>10/HNQ36</f>
        <v>#DIV/0!</v>
      </c>
      <c r="HNV38" s="367">
        <v>15.38</v>
      </c>
      <c r="HNW38" s="367" t="e">
        <f>HNT38*HNU38*HNV38</f>
        <v>#DIV/0!</v>
      </c>
      <c r="HNX38" s="363" t="s">
        <v>153</v>
      </c>
      <c r="HNY38" s="363"/>
      <c r="HNZ38" s="363"/>
      <c r="HOA38" s="364" t="s">
        <v>140</v>
      </c>
      <c r="HOB38" s="365">
        <v>0.5</v>
      </c>
      <c r="HOC38" s="366" t="e">
        <f>10/HNY36</f>
        <v>#DIV/0!</v>
      </c>
      <c r="HOD38" s="367">
        <v>15.38</v>
      </c>
      <c r="HOE38" s="367" t="e">
        <f>HOB38*HOC38*HOD38</f>
        <v>#DIV/0!</v>
      </c>
      <c r="HOF38" s="363" t="s">
        <v>153</v>
      </c>
      <c r="HOG38" s="363"/>
      <c r="HOH38" s="363"/>
      <c r="HOI38" s="364" t="s">
        <v>140</v>
      </c>
      <c r="HOJ38" s="365">
        <v>0.5</v>
      </c>
      <c r="HOK38" s="366" t="e">
        <f>10/HOG36</f>
        <v>#DIV/0!</v>
      </c>
      <c r="HOL38" s="367">
        <v>15.38</v>
      </c>
      <c r="HOM38" s="367" t="e">
        <f>HOJ38*HOK38*HOL38</f>
        <v>#DIV/0!</v>
      </c>
      <c r="HON38" s="363" t="s">
        <v>153</v>
      </c>
      <c r="HOO38" s="363"/>
      <c r="HOP38" s="363"/>
      <c r="HOQ38" s="364" t="s">
        <v>140</v>
      </c>
      <c r="HOR38" s="365">
        <v>0.5</v>
      </c>
      <c r="HOS38" s="366" t="e">
        <f>10/HOO36</f>
        <v>#DIV/0!</v>
      </c>
      <c r="HOT38" s="367">
        <v>15.38</v>
      </c>
      <c r="HOU38" s="367" t="e">
        <f>HOR38*HOS38*HOT38</f>
        <v>#DIV/0!</v>
      </c>
      <c r="HOV38" s="363" t="s">
        <v>153</v>
      </c>
      <c r="HOW38" s="363"/>
      <c r="HOX38" s="363"/>
      <c r="HOY38" s="364" t="s">
        <v>140</v>
      </c>
      <c r="HOZ38" s="365">
        <v>0.5</v>
      </c>
      <c r="HPA38" s="366" t="e">
        <f>10/HOW36</f>
        <v>#DIV/0!</v>
      </c>
      <c r="HPB38" s="367">
        <v>15.38</v>
      </c>
      <c r="HPC38" s="367" t="e">
        <f>HOZ38*HPA38*HPB38</f>
        <v>#DIV/0!</v>
      </c>
      <c r="HPD38" s="363" t="s">
        <v>153</v>
      </c>
      <c r="HPE38" s="363"/>
      <c r="HPF38" s="363"/>
      <c r="HPG38" s="364" t="s">
        <v>140</v>
      </c>
      <c r="HPH38" s="365">
        <v>0.5</v>
      </c>
      <c r="HPI38" s="366" t="e">
        <f>10/HPE36</f>
        <v>#DIV/0!</v>
      </c>
      <c r="HPJ38" s="367">
        <v>15.38</v>
      </c>
      <c r="HPK38" s="367" t="e">
        <f>HPH38*HPI38*HPJ38</f>
        <v>#DIV/0!</v>
      </c>
      <c r="HPL38" s="363" t="s">
        <v>153</v>
      </c>
      <c r="HPM38" s="363"/>
      <c r="HPN38" s="363"/>
      <c r="HPO38" s="364" t="s">
        <v>140</v>
      </c>
      <c r="HPP38" s="365">
        <v>0.5</v>
      </c>
      <c r="HPQ38" s="366" t="e">
        <f>10/HPM36</f>
        <v>#DIV/0!</v>
      </c>
      <c r="HPR38" s="367">
        <v>15.38</v>
      </c>
      <c r="HPS38" s="367" t="e">
        <f>HPP38*HPQ38*HPR38</f>
        <v>#DIV/0!</v>
      </c>
      <c r="HPT38" s="363" t="s">
        <v>153</v>
      </c>
      <c r="HPU38" s="363"/>
      <c r="HPV38" s="363"/>
      <c r="HPW38" s="364" t="s">
        <v>140</v>
      </c>
      <c r="HPX38" s="365">
        <v>0.5</v>
      </c>
      <c r="HPY38" s="366" t="e">
        <f>10/HPU36</f>
        <v>#DIV/0!</v>
      </c>
      <c r="HPZ38" s="367">
        <v>15.38</v>
      </c>
      <c r="HQA38" s="367" t="e">
        <f>HPX38*HPY38*HPZ38</f>
        <v>#DIV/0!</v>
      </c>
      <c r="HQB38" s="363" t="s">
        <v>153</v>
      </c>
      <c r="HQC38" s="363"/>
      <c r="HQD38" s="363"/>
      <c r="HQE38" s="364" t="s">
        <v>140</v>
      </c>
      <c r="HQF38" s="365">
        <v>0.5</v>
      </c>
      <c r="HQG38" s="366" t="e">
        <f>10/HQC36</f>
        <v>#DIV/0!</v>
      </c>
      <c r="HQH38" s="367">
        <v>15.38</v>
      </c>
      <c r="HQI38" s="367" t="e">
        <f>HQF38*HQG38*HQH38</f>
        <v>#DIV/0!</v>
      </c>
      <c r="HQJ38" s="363" t="s">
        <v>153</v>
      </c>
      <c r="HQK38" s="363"/>
      <c r="HQL38" s="363"/>
      <c r="HQM38" s="364" t="s">
        <v>140</v>
      </c>
      <c r="HQN38" s="365">
        <v>0.5</v>
      </c>
      <c r="HQO38" s="366" t="e">
        <f>10/HQK36</f>
        <v>#DIV/0!</v>
      </c>
      <c r="HQP38" s="367">
        <v>15.38</v>
      </c>
      <c r="HQQ38" s="367" t="e">
        <f>HQN38*HQO38*HQP38</f>
        <v>#DIV/0!</v>
      </c>
      <c r="HQR38" s="363" t="s">
        <v>153</v>
      </c>
      <c r="HQS38" s="363"/>
      <c r="HQT38" s="363"/>
      <c r="HQU38" s="364" t="s">
        <v>140</v>
      </c>
      <c r="HQV38" s="365">
        <v>0.5</v>
      </c>
      <c r="HQW38" s="366" t="e">
        <f>10/HQS36</f>
        <v>#DIV/0!</v>
      </c>
      <c r="HQX38" s="367">
        <v>15.38</v>
      </c>
      <c r="HQY38" s="367" t="e">
        <f>HQV38*HQW38*HQX38</f>
        <v>#DIV/0!</v>
      </c>
      <c r="HQZ38" s="363" t="s">
        <v>153</v>
      </c>
      <c r="HRA38" s="363"/>
      <c r="HRB38" s="363"/>
      <c r="HRC38" s="364" t="s">
        <v>140</v>
      </c>
      <c r="HRD38" s="365">
        <v>0.5</v>
      </c>
      <c r="HRE38" s="366" t="e">
        <f>10/HRA36</f>
        <v>#DIV/0!</v>
      </c>
      <c r="HRF38" s="367">
        <v>15.38</v>
      </c>
      <c r="HRG38" s="367" t="e">
        <f>HRD38*HRE38*HRF38</f>
        <v>#DIV/0!</v>
      </c>
      <c r="HRH38" s="363" t="s">
        <v>153</v>
      </c>
      <c r="HRI38" s="363"/>
      <c r="HRJ38" s="363"/>
      <c r="HRK38" s="364" t="s">
        <v>140</v>
      </c>
      <c r="HRL38" s="365">
        <v>0.5</v>
      </c>
      <c r="HRM38" s="366" t="e">
        <f>10/HRI36</f>
        <v>#DIV/0!</v>
      </c>
      <c r="HRN38" s="367">
        <v>15.38</v>
      </c>
      <c r="HRO38" s="367" t="e">
        <f>HRL38*HRM38*HRN38</f>
        <v>#DIV/0!</v>
      </c>
      <c r="HRP38" s="363" t="s">
        <v>153</v>
      </c>
      <c r="HRQ38" s="363"/>
      <c r="HRR38" s="363"/>
      <c r="HRS38" s="364" t="s">
        <v>140</v>
      </c>
      <c r="HRT38" s="365">
        <v>0.5</v>
      </c>
      <c r="HRU38" s="366" t="e">
        <f>10/HRQ36</f>
        <v>#DIV/0!</v>
      </c>
      <c r="HRV38" s="367">
        <v>15.38</v>
      </c>
      <c r="HRW38" s="367" t="e">
        <f>HRT38*HRU38*HRV38</f>
        <v>#DIV/0!</v>
      </c>
      <c r="HRX38" s="363" t="s">
        <v>153</v>
      </c>
      <c r="HRY38" s="363"/>
      <c r="HRZ38" s="363"/>
      <c r="HSA38" s="364" t="s">
        <v>140</v>
      </c>
      <c r="HSB38" s="365">
        <v>0.5</v>
      </c>
      <c r="HSC38" s="366" t="e">
        <f>10/HRY36</f>
        <v>#DIV/0!</v>
      </c>
      <c r="HSD38" s="367">
        <v>15.38</v>
      </c>
      <c r="HSE38" s="367" t="e">
        <f>HSB38*HSC38*HSD38</f>
        <v>#DIV/0!</v>
      </c>
      <c r="HSF38" s="363" t="s">
        <v>153</v>
      </c>
      <c r="HSG38" s="363"/>
      <c r="HSH38" s="363"/>
      <c r="HSI38" s="364" t="s">
        <v>140</v>
      </c>
      <c r="HSJ38" s="365">
        <v>0.5</v>
      </c>
      <c r="HSK38" s="366" t="e">
        <f>10/HSG36</f>
        <v>#DIV/0!</v>
      </c>
      <c r="HSL38" s="367">
        <v>15.38</v>
      </c>
      <c r="HSM38" s="367" t="e">
        <f>HSJ38*HSK38*HSL38</f>
        <v>#DIV/0!</v>
      </c>
      <c r="HSN38" s="363" t="s">
        <v>153</v>
      </c>
      <c r="HSO38" s="363"/>
      <c r="HSP38" s="363"/>
      <c r="HSQ38" s="364" t="s">
        <v>140</v>
      </c>
      <c r="HSR38" s="365">
        <v>0.5</v>
      </c>
      <c r="HSS38" s="366" t="e">
        <f>10/HSO36</f>
        <v>#DIV/0!</v>
      </c>
      <c r="HST38" s="367">
        <v>15.38</v>
      </c>
      <c r="HSU38" s="367" t="e">
        <f>HSR38*HSS38*HST38</f>
        <v>#DIV/0!</v>
      </c>
      <c r="HSV38" s="363" t="s">
        <v>153</v>
      </c>
      <c r="HSW38" s="363"/>
      <c r="HSX38" s="363"/>
      <c r="HSY38" s="364" t="s">
        <v>140</v>
      </c>
      <c r="HSZ38" s="365">
        <v>0.5</v>
      </c>
      <c r="HTA38" s="366" t="e">
        <f>10/HSW36</f>
        <v>#DIV/0!</v>
      </c>
      <c r="HTB38" s="367">
        <v>15.38</v>
      </c>
      <c r="HTC38" s="367" t="e">
        <f>HSZ38*HTA38*HTB38</f>
        <v>#DIV/0!</v>
      </c>
      <c r="HTD38" s="363" t="s">
        <v>153</v>
      </c>
      <c r="HTE38" s="363"/>
      <c r="HTF38" s="363"/>
      <c r="HTG38" s="364" t="s">
        <v>140</v>
      </c>
      <c r="HTH38" s="365">
        <v>0.5</v>
      </c>
      <c r="HTI38" s="366" t="e">
        <f>10/HTE36</f>
        <v>#DIV/0!</v>
      </c>
      <c r="HTJ38" s="367">
        <v>15.38</v>
      </c>
      <c r="HTK38" s="367" t="e">
        <f>HTH38*HTI38*HTJ38</f>
        <v>#DIV/0!</v>
      </c>
      <c r="HTL38" s="363" t="s">
        <v>153</v>
      </c>
      <c r="HTM38" s="363"/>
      <c r="HTN38" s="363"/>
      <c r="HTO38" s="364" t="s">
        <v>140</v>
      </c>
      <c r="HTP38" s="365">
        <v>0.5</v>
      </c>
      <c r="HTQ38" s="366" t="e">
        <f>10/HTM36</f>
        <v>#DIV/0!</v>
      </c>
      <c r="HTR38" s="367">
        <v>15.38</v>
      </c>
      <c r="HTS38" s="367" t="e">
        <f>HTP38*HTQ38*HTR38</f>
        <v>#DIV/0!</v>
      </c>
      <c r="HTT38" s="363" t="s">
        <v>153</v>
      </c>
      <c r="HTU38" s="363"/>
      <c r="HTV38" s="363"/>
      <c r="HTW38" s="364" t="s">
        <v>140</v>
      </c>
      <c r="HTX38" s="365">
        <v>0.5</v>
      </c>
      <c r="HTY38" s="366" t="e">
        <f>10/HTU36</f>
        <v>#DIV/0!</v>
      </c>
      <c r="HTZ38" s="367">
        <v>15.38</v>
      </c>
      <c r="HUA38" s="367" t="e">
        <f>HTX38*HTY38*HTZ38</f>
        <v>#DIV/0!</v>
      </c>
      <c r="HUB38" s="363" t="s">
        <v>153</v>
      </c>
      <c r="HUC38" s="363"/>
      <c r="HUD38" s="363"/>
      <c r="HUE38" s="364" t="s">
        <v>140</v>
      </c>
      <c r="HUF38" s="365">
        <v>0.5</v>
      </c>
      <c r="HUG38" s="366" t="e">
        <f>10/HUC36</f>
        <v>#DIV/0!</v>
      </c>
      <c r="HUH38" s="367">
        <v>15.38</v>
      </c>
      <c r="HUI38" s="367" t="e">
        <f>HUF38*HUG38*HUH38</f>
        <v>#DIV/0!</v>
      </c>
      <c r="HUJ38" s="363" t="s">
        <v>153</v>
      </c>
      <c r="HUK38" s="363"/>
      <c r="HUL38" s="363"/>
      <c r="HUM38" s="364" t="s">
        <v>140</v>
      </c>
      <c r="HUN38" s="365">
        <v>0.5</v>
      </c>
      <c r="HUO38" s="366" t="e">
        <f>10/HUK36</f>
        <v>#DIV/0!</v>
      </c>
      <c r="HUP38" s="367">
        <v>15.38</v>
      </c>
      <c r="HUQ38" s="367" t="e">
        <f>HUN38*HUO38*HUP38</f>
        <v>#DIV/0!</v>
      </c>
      <c r="HUR38" s="363" t="s">
        <v>153</v>
      </c>
      <c r="HUS38" s="363"/>
      <c r="HUT38" s="363"/>
      <c r="HUU38" s="364" t="s">
        <v>140</v>
      </c>
      <c r="HUV38" s="365">
        <v>0.5</v>
      </c>
      <c r="HUW38" s="366" t="e">
        <f>10/HUS36</f>
        <v>#DIV/0!</v>
      </c>
      <c r="HUX38" s="367">
        <v>15.38</v>
      </c>
      <c r="HUY38" s="367" t="e">
        <f>HUV38*HUW38*HUX38</f>
        <v>#DIV/0!</v>
      </c>
      <c r="HUZ38" s="363" t="s">
        <v>153</v>
      </c>
      <c r="HVA38" s="363"/>
      <c r="HVB38" s="363"/>
      <c r="HVC38" s="364" t="s">
        <v>140</v>
      </c>
      <c r="HVD38" s="365">
        <v>0.5</v>
      </c>
      <c r="HVE38" s="366" t="e">
        <f>10/HVA36</f>
        <v>#DIV/0!</v>
      </c>
      <c r="HVF38" s="367">
        <v>15.38</v>
      </c>
      <c r="HVG38" s="367" t="e">
        <f>HVD38*HVE38*HVF38</f>
        <v>#DIV/0!</v>
      </c>
      <c r="HVH38" s="363" t="s">
        <v>153</v>
      </c>
      <c r="HVI38" s="363"/>
      <c r="HVJ38" s="363"/>
      <c r="HVK38" s="364" t="s">
        <v>140</v>
      </c>
      <c r="HVL38" s="365">
        <v>0.5</v>
      </c>
      <c r="HVM38" s="366" t="e">
        <f>10/HVI36</f>
        <v>#DIV/0!</v>
      </c>
      <c r="HVN38" s="367">
        <v>15.38</v>
      </c>
      <c r="HVO38" s="367" t="e">
        <f>HVL38*HVM38*HVN38</f>
        <v>#DIV/0!</v>
      </c>
      <c r="HVP38" s="363" t="s">
        <v>153</v>
      </c>
      <c r="HVQ38" s="363"/>
      <c r="HVR38" s="363"/>
      <c r="HVS38" s="364" t="s">
        <v>140</v>
      </c>
      <c r="HVT38" s="365">
        <v>0.5</v>
      </c>
      <c r="HVU38" s="366" t="e">
        <f>10/HVQ36</f>
        <v>#DIV/0!</v>
      </c>
      <c r="HVV38" s="367">
        <v>15.38</v>
      </c>
      <c r="HVW38" s="367" t="e">
        <f>HVT38*HVU38*HVV38</f>
        <v>#DIV/0!</v>
      </c>
      <c r="HVX38" s="363" t="s">
        <v>153</v>
      </c>
      <c r="HVY38" s="363"/>
      <c r="HVZ38" s="363"/>
      <c r="HWA38" s="364" t="s">
        <v>140</v>
      </c>
      <c r="HWB38" s="365">
        <v>0.5</v>
      </c>
      <c r="HWC38" s="366" t="e">
        <f>10/HVY36</f>
        <v>#DIV/0!</v>
      </c>
      <c r="HWD38" s="367">
        <v>15.38</v>
      </c>
      <c r="HWE38" s="367" t="e">
        <f>HWB38*HWC38*HWD38</f>
        <v>#DIV/0!</v>
      </c>
      <c r="HWF38" s="363" t="s">
        <v>153</v>
      </c>
      <c r="HWG38" s="363"/>
      <c r="HWH38" s="363"/>
      <c r="HWI38" s="364" t="s">
        <v>140</v>
      </c>
      <c r="HWJ38" s="365">
        <v>0.5</v>
      </c>
      <c r="HWK38" s="366" t="e">
        <f>10/HWG36</f>
        <v>#DIV/0!</v>
      </c>
      <c r="HWL38" s="367">
        <v>15.38</v>
      </c>
      <c r="HWM38" s="367" t="e">
        <f>HWJ38*HWK38*HWL38</f>
        <v>#DIV/0!</v>
      </c>
      <c r="HWN38" s="363" t="s">
        <v>153</v>
      </c>
      <c r="HWO38" s="363"/>
      <c r="HWP38" s="363"/>
      <c r="HWQ38" s="364" t="s">
        <v>140</v>
      </c>
      <c r="HWR38" s="365">
        <v>0.5</v>
      </c>
      <c r="HWS38" s="366" t="e">
        <f>10/HWO36</f>
        <v>#DIV/0!</v>
      </c>
      <c r="HWT38" s="367">
        <v>15.38</v>
      </c>
      <c r="HWU38" s="367" t="e">
        <f>HWR38*HWS38*HWT38</f>
        <v>#DIV/0!</v>
      </c>
      <c r="HWV38" s="363" t="s">
        <v>153</v>
      </c>
      <c r="HWW38" s="363"/>
      <c r="HWX38" s="363"/>
      <c r="HWY38" s="364" t="s">
        <v>140</v>
      </c>
      <c r="HWZ38" s="365">
        <v>0.5</v>
      </c>
      <c r="HXA38" s="366" t="e">
        <f>10/HWW36</f>
        <v>#DIV/0!</v>
      </c>
      <c r="HXB38" s="367">
        <v>15.38</v>
      </c>
      <c r="HXC38" s="367" t="e">
        <f>HWZ38*HXA38*HXB38</f>
        <v>#DIV/0!</v>
      </c>
      <c r="HXD38" s="363" t="s">
        <v>153</v>
      </c>
      <c r="HXE38" s="363"/>
      <c r="HXF38" s="363"/>
      <c r="HXG38" s="364" t="s">
        <v>140</v>
      </c>
      <c r="HXH38" s="365">
        <v>0.5</v>
      </c>
      <c r="HXI38" s="366" t="e">
        <f>10/HXE36</f>
        <v>#DIV/0!</v>
      </c>
      <c r="HXJ38" s="367">
        <v>15.38</v>
      </c>
      <c r="HXK38" s="367" t="e">
        <f>HXH38*HXI38*HXJ38</f>
        <v>#DIV/0!</v>
      </c>
      <c r="HXL38" s="363" t="s">
        <v>153</v>
      </c>
      <c r="HXM38" s="363"/>
      <c r="HXN38" s="363"/>
      <c r="HXO38" s="364" t="s">
        <v>140</v>
      </c>
      <c r="HXP38" s="365">
        <v>0.5</v>
      </c>
      <c r="HXQ38" s="366" t="e">
        <f>10/HXM36</f>
        <v>#DIV/0!</v>
      </c>
      <c r="HXR38" s="367">
        <v>15.38</v>
      </c>
      <c r="HXS38" s="367" t="e">
        <f>HXP38*HXQ38*HXR38</f>
        <v>#DIV/0!</v>
      </c>
      <c r="HXT38" s="363" t="s">
        <v>153</v>
      </c>
      <c r="HXU38" s="363"/>
      <c r="HXV38" s="363"/>
      <c r="HXW38" s="364" t="s">
        <v>140</v>
      </c>
      <c r="HXX38" s="365">
        <v>0.5</v>
      </c>
      <c r="HXY38" s="366" t="e">
        <f>10/HXU36</f>
        <v>#DIV/0!</v>
      </c>
      <c r="HXZ38" s="367">
        <v>15.38</v>
      </c>
      <c r="HYA38" s="367" t="e">
        <f>HXX38*HXY38*HXZ38</f>
        <v>#DIV/0!</v>
      </c>
      <c r="HYB38" s="363" t="s">
        <v>153</v>
      </c>
      <c r="HYC38" s="363"/>
      <c r="HYD38" s="363"/>
      <c r="HYE38" s="364" t="s">
        <v>140</v>
      </c>
      <c r="HYF38" s="365">
        <v>0.5</v>
      </c>
      <c r="HYG38" s="366" t="e">
        <f>10/HYC36</f>
        <v>#DIV/0!</v>
      </c>
      <c r="HYH38" s="367">
        <v>15.38</v>
      </c>
      <c r="HYI38" s="367" t="e">
        <f>HYF38*HYG38*HYH38</f>
        <v>#DIV/0!</v>
      </c>
      <c r="HYJ38" s="363" t="s">
        <v>153</v>
      </c>
      <c r="HYK38" s="363"/>
      <c r="HYL38" s="363"/>
      <c r="HYM38" s="364" t="s">
        <v>140</v>
      </c>
      <c r="HYN38" s="365">
        <v>0.5</v>
      </c>
      <c r="HYO38" s="366" t="e">
        <f>10/HYK36</f>
        <v>#DIV/0!</v>
      </c>
      <c r="HYP38" s="367">
        <v>15.38</v>
      </c>
      <c r="HYQ38" s="367" t="e">
        <f>HYN38*HYO38*HYP38</f>
        <v>#DIV/0!</v>
      </c>
      <c r="HYR38" s="363" t="s">
        <v>153</v>
      </c>
      <c r="HYS38" s="363"/>
      <c r="HYT38" s="363"/>
      <c r="HYU38" s="364" t="s">
        <v>140</v>
      </c>
      <c r="HYV38" s="365">
        <v>0.5</v>
      </c>
      <c r="HYW38" s="366" t="e">
        <f>10/HYS36</f>
        <v>#DIV/0!</v>
      </c>
      <c r="HYX38" s="367">
        <v>15.38</v>
      </c>
      <c r="HYY38" s="367" t="e">
        <f>HYV38*HYW38*HYX38</f>
        <v>#DIV/0!</v>
      </c>
      <c r="HYZ38" s="363" t="s">
        <v>153</v>
      </c>
      <c r="HZA38" s="363"/>
      <c r="HZB38" s="363"/>
      <c r="HZC38" s="364" t="s">
        <v>140</v>
      </c>
      <c r="HZD38" s="365">
        <v>0.5</v>
      </c>
      <c r="HZE38" s="366" t="e">
        <f>10/HZA36</f>
        <v>#DIV/0!</v>
      </c>
      <c r="HZF38" s="367">
        <v>15.38</v>
      </c>
      <c r="HZG38" s="367" t="e">
        <f>HZD38*HZE38*HZF38</f>
        <v>#DIV/0!</v>
      </c>
      <c r="HZH38" s="363" t="s">
        <v>153</v>
      </c>
      <c r="HZI38" s="363"/>
      <c r="HZJ38" s="363"/>
      <c r="HZK38" s="364" t="s">
        <v>140</v>
      </c>
      <c r="HZL38" s="365">
        <v>0.5</v>
      </c>
      <c r="HZM38" s="366" t="e">
        <f>10/HZI36</f>
        <v>#DIV/0!</v>
      </c>
      <c r="HZN38" s="367">
        <v>15.38</v>
      </c>
      <c r="HZO38" s="367" t="e">
        <f>HZL38*HZM38*HZN38</f>
        <v>#DIV/0!</v>
      </c>
      <c r="HZP38" s="363" t="s">
        <v>153</v>
      </c>
      <c r="HZQ38" s="363"/>
      <c r="HZR38" s="363"/>
      <c r="HZS38" s="364" t="s">
        <v>140</v>
      </c>
      <c r="HZT38" s="365">
        <v>0.5</v>
      </c>
      <c r="HZU38" s="366" t="e">
        <f>10/HZQ36</f>
        <v>#DIV/0!</v>
      </c>
      <c r="HZV38" s="367">
        <v>15.38</v>
      </c>
      <c r="HZW38" s="367" t="e">
        <f>HZT38*HZU38*HZV38</f>
        <v>#DIV/0!</v>
      </c>
      <c r="HZX38" s="363" t="s">
        <v>153</v>
      </c>
      <c r="HZY38" s="363"/>
      <c r="HZZ38" s="363"/>
      <c r="IAA38" s="364" t="s">
        <v>140</v>
      </c>
      <c r="IAB38" s="365">
        <v>0.5</v>
      </c>
      <c r="IAC38" s="366" t="e">
        <f>10/HZY36</f>
        <v>#DIV/0!</v>
      </c>
      <c r="IAD38" s="367">
        <v>15.38</v>
      </c>
      <c r="IAE38" s="367" t="e">
        <f>IAB38*IAC38*IAD38</f>
        <v>#DIV/0!</v>
      </c>
      <c r="IAF38" s="363" t="s">
        <v>153</v>
      </c>
      <c r="IAG38" s="363"/>
      <c r="IAH38" s="363"/>
      <c r="IAI38" s="364" t="s">
        <v>140</v>
      </c>
      <c r="IAJ38" s="365">
        <v>0.5</v>
      </c>
      <c r="IAK38" s="366" t="e">
        <f>10/IAG36</f>
        <v>#DIV/0!</v>
      </c>
      <c r="IAL38" s="367">
        <v>15.38</v>
      </c>
      <c r="IAM38" s="367" t="e">
        <f>IAJ38*IAK38*IAL38</f>
        <v>#DIV/0!</v>
      </c>
      <c r="IAN38" s="363" t="s">
        <v>153</v>
      </c>
      <c r="IAO38" s="363"/>
      <c r="IAP38" s="363"/>
      <c r="IAQ38" s="364" t="s">
        <v>140</v>
      </c>
      <c r="IAR38" s="365">
        <v>0.5</v>
      </c>
      <c r="IAS38" s="366" t="e">
        <f>10/IAO36</f>
        <v>#DIV/0!</v>
      </c>
      <c r="IAT38" s="367">
        <v>15.38</v>
      </c>
      <c r="IAU38" s="367" t="e">
        <f>IAR38*IAS38*IAT38</f>
        <v>#DIV/0!</v>
      </c>
      <c r="IAV38" s="363" t="s">
        <v>153</v>
      </c>
      <c r="IAW38" s="363"/>
      <c r="IAX38" s="363"/>
      <c r="IAY38" s="364" t="s">
        <v>140</v>
      </c>
      <c r="IAZ38" s="365">
        <v>0.5</v>
      </c>
      <c r="IBA38" s="366" t="e">
        <f>10/IAW36</f>
        <v>#DIV/0!</v>
      </c>
      <c r="IBB38" s="367">
        <v>15.38</v>
      </c>
      <c r="IBC38" s="367" t="e">
        <f>IAZ38*IBA38*IBB38</f>
        <v>#DIV/0!</v>
      </c>
      <c r="IBD38" s="363" t="s">
        <v>153</v>
      </c>
      <c r="IBE38" s="363"/>
      <c r="IBF38" s="363"/>
      <c r="IBG38" s="364" t="s">
        <v>140</v>
      </c>
      <c r="IBH38" s="365">
        <v>0.5</v>
      </c>
      <c r="IBI38" s="366" t="e">
        <f>10/IBE36</f>
        <v>#DIV/0!</v>
      </c>
      <c r="IBJ38" s="367">
        <v>15.38</v>
      </c>
      <c r="IBK38" s="367" t="e">
        <f>IBH38*IBI38*IBJ38</f>
        <v>#DIV/0!</v>
      </c>
      <c r="IBL38" s="363" t="s">
        <v>153</v>
      </c>
      <c r="IBM38" s="363"/>
      <c r="IBN38" s="363"/>
      <c r="IBO38" s="364" t="s">
        <v>140</v>
      </c>
      <c r="IBP38" s="365">
        <v>0.5</v>
      </c>
      <c r="IBQ38" s="366" t="e">
        <f>10/IBM36</f>
        <v>#DIV/0!</v>
      </c>
      <c r="IBR38" s="367">
        <v>15.38</v>
      </c>
      <c r="IBS38" s="367" t="e">
        <f>IBP38*IBQ38*IBR38</f>
        <v>#DIV/0!</v>
      </c>
      <c r="IBT38" s="363" t="s">
        <v>153</v>
      </c>
      <c r="IBU38" s="363"/>
      <c r="IBV38" s="363"/>
      <c r="IBW38" s="364" t="s">
        <v>140</v>
      </c>
      <c r="IBX38" s="365">
        <v>0.5</v>
      </c>
      <c r="IBY38" s="366" t="e">
        <f>10/IBU36</f>
        <v>#DIV/0!</v>
      </c>
      <c r="IBZ38" s="367">
        <v>15.38</v>
      </c>
      <c r="ICA38" s="367" t="e">
        <f>IBX38*IBY38*IBZ38</f>
        <v>#DIV/0!</v>
      </c>
      <c r="ICB38" s="363" t="s">
        <v>153</v>
      </c>
      <c r="ICC38" s="363"/>
      <c r="ICD38" s="363"/>
      <c r="ICE38" s="364" t="s">
        <v>140</v>
      </c>
      <c r="ICF38" s="365">
        <v>0.5</v>
      </c>
      <c r="ICG38" s="366" t="e">
        <f>10/ICC36</f>
        <v>#DIV/0!</v>
      </c>
      <c r="ICH38" s="367">
        <v>15.38</v>
      </c>
      <c r="ICI38" s="367" t="e">
        <f>ICF38*ICG38*ICH38</f>
        <v>#DIV/0!</v>
      </c>
      <c r="ICJ38" s="363" t="s">
        <v>153</v>
      </c>
      <c r="ICK38" s="363"/>
      <c r="ICL38" s="363"/>
      <c r="ICM38" s="364" t="s">
        <v>140</v>
      </c>
      <c r="ICN38" s="365">
        <v>0.5</v>
      </c>
      <c r="ICO38" s="366" t="e">
        <f>10/ICK36</f>
        <v>#DIV/0!</v>
      </c>
      <c r="ICP38" s="367">
        <v>15.38</v>
      </c>
      <c r="ICQ38" s="367" t="e">
        <f>ICN38*ICO38*ICP38</f>
        <v>#DIV/0!</v>
      </c>
      <c r="ICR38" s="363" t="s">
        <v>153</v>
      </c>
      <c r="ICS38" s="363"/>
      <c r="ICT38" s="363"/>
      <c r="ICU38" s="364" t="s">
        <v>140</v>
      </c>
      <c r="ICV38" s="365">
        <v>0.5</v>
      </c>
      <c r="ICW38" s="366" t="e">
        <f>10/ICS36</f>
        <v>#DIV/0!</v>
      </c>
      <c r="ICX38" s="367">
        <v>15.38</v>
      </c>
      <c r="ICY38" s="367" t="e">
        <f>ICV38*ICW38*ICX38</f>
        <v>#DIV/0!</v>
      </c>
      <c r="ICZ38" s="363" t="s">
        <v>153</v>
      </c>
      <c r="IDA38" s="363"/>
      <c r="IDB38" s="363"/>
      <c r="IDC38" s="364" t="s">
        <v>140</v>
      </c>
      <c r="IDD38" s="365">
        <v>0.5</v>
      </c>
      <c r="IDE38" s="366" t="e">
        <f>10/IDA36</f>
        <v>#DIV/0!</v>
      </c>
      <c r="IDF38" s="367">
        <v>15.38</v>
      </c>
      <c r="IDG38" s="367" t="e">
        <f>IDD38*IDE38*IDF38</f>
        <v>#DIV/0!</v>
      </c>
      <c r="IDH38" s="363" t="s">
        <v>153</v>
      </c>
      <c r="IDI38" s="363"/>
      <c r="IDJ38" s="363"/>
      <c r="IDK38" s="364" t="s">
        <v>140</v>
      </c>
      <c r="IDL38" s="365">
        <v>0.5</v>
      </c>
      <c r="IDM38" s="366" t="e">
        <f>10/IDI36</f>
        <v>#DIV/0!</v>
      </c>
      <c r="IDN38" s="367">
        <v>15.38</v>
      </c>
      <c r="IDO38" s="367" t="e">
        <f>IDL38*IDM38*IDN38</f>
        <v>#DIV/0!</v>
      </c>
      <c r="IDP38" s="363" t="s">
        <v>153</v>
      </c>
      <c r="IDQ38" s="363"/>
      <c r="IDR38" s="363"/>
      <c r="IDS38" s="364" t="s">
        <v>140</v>
      </c>
      <c r="IDT38" s="365">
        <v>0.5</v>
      </c>
      <c r="IDU38" s="366" t="e">
        <f>10/IDQ36</f>
        <v>#DIV/0!</v>
      </c>
      <c r="IDV38" s="367">
        <v>15.38</v>
      </c>
      <c r="IDW38" s="367" t="e">
        <f>IDT38*IDU38*IDV38</f>
        <v>#DIV/0!</v>
      </c>
      <c r="IDX38" s="363" t="s">
        <v>153</v>
      </c>
      <c r="IDY38" s="363"/>
      <c r="IDZ38" s="363"/>
      <c r="IEA38" s="364" t="s">
        <v>140</v>
      </c>
      <c r="IEB38" s="365">
        <v>0.5</v>
      </c>
      <c r="IEC38" s="366" t="e">
        <f>10/IDY36</f>
        <v>#DIV/0!</v>
      </c>
      <c r="IED38" s="367">
        <v>15.38</v>
      </c>
      <c r="IEE38" s="367" t="e">
        <f>IEB38*IEC38*IED38</f>
        <v>#DIV/0!</v>
      </c>
      <c r="IEF38" s="363" t="s">
        <v>153</v>
      </c>
      <c r="IEG38" s="363"/>
      <c r="IEH38" s="363"/>
      <c r="IEI38" s="364" t="s">
        <v>140</v>
      </c>
      <c r="IEJ38" s="365">
        <v>0.5</v>
      </c>
      <c r="IEK38" s="366" t="e">
        <f>10/IEG36</f>
        <v>#DIV/0!</v>
      </c>
      <c r="IEL38" s="367">
        <v>15.38</v>
      </c>
      <c r="IEM38" s="367" t="e">
        <f>IEJ38*IEK38*IEL38</f>
        <v>#DIV/0!</v>
      </c>
      <c r="IEN38" s="363" t="s">
        <v>153</v>
      </c>
      <c r="IEO38" s="363"/>
      <c r="IEP38" s="363"/>
      <c r="IEQ38" s="364" t="s">
        <v>140</v>
      </c>
      <c r="IER38" s="365">
        <v>0.5</v>
      </c>
      <c r="IES38" s="366" t="e">
        <f>10/IEO36</f>
        <v>#DIV/0!</v>
      </c>
      <c r="IET38" s="367">
        <v>15.38</v>
      </c>
      <c r="IEU38" s="367" t="e">
        <f>IER38*IES38*IET38</f>
        <v>#DIV/0!</v>
      </c>
      <c r="IEV38" s="363" t="s">
        <v>153</v>
      </c>
      <c r="IEW38" s="363"/>
      <c r="IEX38" s="363"/>
      <c r="IEY38" s="364" t="s">
        <v>140</v>
      </c>
      <c r="IEZ38" s="365">
        <v>0.5</v>
      </c>
      <c r="IFA38" s="366" t="e">
        <f>10/IEW36</f>
        <v>#DIV/0!</v>
      </c>
      <c r="IFB38" s="367">
        <v>15.38</v>
      </c>
      <c r="IFC38" s="367" t="e">
        <f>IEZ38*IFA38*IFB38</f>
        <v>#DIV/0!</v>
      </c>
      <c r="IFD38" s="363" t="s">
        <v>153</v>
      </c>
      <c r="IFE38" s="363"/>
      <c r="IFF38" s="363"/>
      <c r="IFG38" s="364" t="s">
        <v>140</v>
      </c>
      <c r="IFH38" s="365">
        <v>0.5</v>
      </c>
      <c r="IFI38" s="366" t="e">
        <f>10/IFE36</f>
        <v>#DIV/0!</v>
      </c>
      <c r="IFJ38" s="367">
        <v>15.38</v>
      </c>
      <c r="IFK38" s="367" t="e">
        <f>IFH38*IFI38*IFJ38</f>
        <v>#DIV/0!</v>
      </c>
      <c r="IFL38" s="363" t="s">
        <v>153</v>
      </c>
      <c r="IFM38" s="363"/>
      <c r="IFN38" s="363"/>
      <c r="IFO38" s="364" t="s">
        <v>140</v>
      </c>
      <c r="IFP38" s="365">
        <v>0.5</v>
      </c>
      <c r="IFQ38" s="366" t="e">
        <f>10/IFM36</f>
        <v>#DIV/0!</v>
      </c>
      <c r="IFR38" s="367">
        <v>15.38</v>
      </c>
      <c r="IFS38" s="367" t="e">
        <f>IFP38*IFQ38*IFR38</f>
        <v>#DIV/0!</v>
      </c>
      <c r="IFT38" s="363" t="s">
        <v>153</v>
      </c>
      <c r="IFU38" s="363"/>
      <c r="IFV38" s="363"/>
      <c r="IFW38" s="364" t="s">
        <v>140</v>
      </c>
      <c r="IFX38" s="365">
        <v>0.5</v>
      </c>
      <c r="IFY38" s="366" t="e">
        <f>10/IFU36</f>
        <v>#DIV/0!</v>
      </c>
      <c r="IFZ38" s="367">
        <v>15.38</v>
      </c>
      <c r="IGA38" s="367" t="e">
        <f>IFX38*IFY38*IFZ38</f>
        <v>#DIV/0!</v>
      </c>
      <c r="IGB38" s="363" t="s">
        <v>153</v>
      </c>
      <c r="IGC38" s="363"/>
      <c r="IGD38" s="363"/>
      <c r="IGE38" s="364" t="s">
        <v>140</v>
      </c>
      <c r="IGF38" s="365">
        <v>0.5</v>
      </c>
      <c r="IGG38" s="366" t="e">
        <f>10/IGC36</f>
        <v>#DIV/0!</v>
      </c>
      <c r="IGH38" s="367">
        <v>15.38</v>
      </c>
      <c r="IGI38" s="367" t="e">
        <f>IGF38*IGG38*IGH38</f>
        <v>#DIV/0!</v>
      </c>
      <c r="IGJ38" s="363" t="s">
        <v>153</v>
      </c>
      <c r="IGK38" s="363"/>
      <c r="IGL38" s="363"/>
      <c r="IGM38" s="364" t="s">
        <v>140</v>
      </c>
      <c r="IGN38" s="365">
        <v>0.5</v>
      </c>
      <c r="IGO38" s="366" t="e">
        <f>10/IGK36</f>
        <v>#DIV/0!</v>
      </c>
      <c r="IGP38" s="367">
        <v>15.38</v>
      </c>
      <c r="IGQ38" s="367" t="e">
        <f>IGN38*IGO38*IGP38</f>
        <v>#DIV/0!</v>
      </c>
      <c r="IGR38" s="363" t="s">
        <v>153</v>
      </c>
      <c r="IGS38" s="363"/>
      <c r="IGT38" s="363"/>
      <c r="IGU38" s="364" t="s">
        <v>140</v>
      </c>
      <c r="IGV38" s="365">
        <v>0.5</v>
      </c>
      <c r="IGW38" s="366" t="e">
        <f>10/IGS36</f>
        <v>#DIV/0!</v>
      </c>
      <c r="IGX38" s="367">
        <v>15.38</v>
      </c>
      <c r="IGY38" s="367" t="e">
        <f>IGV38*IGW38*IGX38</f>
        <v>#DIV/0!</v>
      </c>
      <c r="IGZ38" s="363" t="s">
        <v>153</v>
      </c>
      <c r="IHA38" s="363"/>
      <c r="IHB38" s="363"/>
      <c r="IHC38" s="364" t="s">
        <v>140</v>
      </c>
      <c r="IHD38" s="365">
        <v>0.5</v>
      </c>
      <c r="IHE38" s="366" t="e">
        <f>10/IHA36</f>
        <v>#DIV/0!</v>
      </c>
      <c r="IHF38" s="367">
        <v>15.38</v>
      </c>
      <c r="IHG38" s="367" t="e">
        <f>IHD38*IHE38*IHF38</f>
        <v>#DIV/0!</v>
      </c>
      <c r="IHH38" s="363" t="s">
        <v>153</v>
      </c>
      <c r="IHI38" s="363"/>
      <c r="IHJ38" s="363"/>
      <c r="IHK38" s="364" t="s">
        <v>140</v>
      </c>
      <c r="IHL38" s="365">
        <v>0.5</v>
      </c>
      <c r="IHM38" s="366" t="e">
        <f>10/IHI36</f>
        <v>#DIV/0!</v>
      </c>
      <c r="IHN38" s="367">
        <v>15.38</v>
      </c>
      <c r="IHO38" s="367" t="e">
        <f>IHL38*IHM38*IHN38</f>
        <v>#DIV/0!</v>
      </c>
      <c r="IHP38" s="363" t="s">
        <v>153</v>
      </c>
      <c r="IHQ38" s="363"/>
      <c r="IHR38" s="363"/>
      <c r="IHS38" s="364" t="s">
        <v>140</v>
      </c>
      <c r="IHT38" s="365">
        <v>0.5</v>
      </c>
      <c r="IHU38" s="366" t="e">
        <f>10/IHQ36</f>
        <v>#DIV/0!</v>
      </c>
      <c r="IHV38" s="367">
        <v>15.38</v>
      </c>
      <c r="IHW38" s="367" t="e">
        <f>IHT38*IHU38*IHV38</f>
        <v>#DIV/0!</v>
      </c>
      <c r="IHX38" s="363" t="s">
        <v>153</v>
      </c>
      <c r="IHY38" s="363"/>
      <c r="IHZ38" s="363"/>
      <c r="IIA38" s="364" t="s">
        <v>140</v>
      </c>
      <c r="IIB38" s="365">
        <v>0.5</v>
      </c>
      <c r="IIC38" s="366" t="e">
        <f>10/IHY36</f>
        <v>#DIV/0!</v>
      </c>
      <c r="IID38" s="367">
        <v>15.38</v>
      </c>
      <c r="IIE38" s="367" t="e">
        <f>IIB38*IIC38*IID38</f>
        <v>#DIV/0!</v>
      </c>
      <c r="IIF38" s="363" t="s">
        <v>153</v>
      </c>
      <c r="IIG38" s="363"/>
      <c r="IIH38" s="363"/>
      <c r="III38" s="364" t="s">
        <v>140</v>
      </c>
      <c r="IIJ38" s="365">
        <v>0.5</v>
      </c>
      <c r="IIK38" s="366" t="e">
        <f>10/IIG36</f>
        <v>#DIV/0!</v>
      </c>
      <c r="IIL38" s="367">
        <v>15.38</v>
      </c>
      <c r="IIM38" s="367" t="e">
        <f>IIJ38*IIK38*IIL38</f>
        <v>#DIV/0!</v>
      </c>
      <c r="IIN38" s="363" t="s">
        <v>153</v>
      </c>
      <c r="IIO38" s="363"/>
      <c r="IIP38" s="363"/>
      <c r="IIQ38" s="364" t="s">
        <v>140</v>
      </c>
      <c r="IIR38" s="365">
        <v>0.5</v>
      </c>
      <c r="IIS38" s="366" t="e">
        <f>10/IIO36</f>
        <v>#DIV/0!</v>
      </c>
      <c r="IIT38" s="367">
        <v>15.38</v>
      </c>
      <c r="IIU38" s="367" t="e">
        <f>IIR38*IIS38*IIT38</f>
        <v>#DIV/0!</v>
      </c>
      <c r="IIV38" s="363" t="s">
        <v>153</v>
      </c>
      <c r="IIW38" s="363"/>
      <c r="IIX38" s="363"/>
      <c r="IIY38" s="364" t="s">
        <v>140</v>
      </c>
      <c r="IIZ38" s="365">
        <v>0.5</v>
      </c>
      <c r="IJA38" s="366" t="e">
        <f>10/IIW36</f>
        <v>#DIV/0!</v>
      </c>
      <c r="IJB38" s="367">
        <v>15.38</v>
      </c>
      <c r="IJC38" s="367" t="e">
        <f>IIZ38*IJA38*IJB38</f>
        <v>#DIV/0!</v>
      </c>
      <c r="IJD38" s="363" t="s">
        <v>153</v>
      </c>
      <c r="IJE38" s="363"/>
      <c r="IJF38" s="363"/>
      <c r="IJG38" s="364" t="s">
        <v>140</v>
      </c>
      <c r="IJH38" s="365">
        <v>0.5</v>
      </c>
      <c r="IJI38" s="366" t="e">
        <f>10/IJE36</f>
        <v>#DIV/0!</v>
      </c>
      <c r="IJJ38" s="367">
        <v>15.38</v>
      </c>
      <c r="IJK38" s="367" t="e">
        <f>IJH38*IJI38*IJJ38</f>
        <v>#DIV/0!</v>
      </c>
      <c r="IJL38" s="363" t="s">
        <v>153</v>
      </c>
      <c r="IJM38" s="363"/>
      <c r="IJN38" s="363"/>
      <c r="IJO38" s="364" t="s">
        <v>140</v>
      </c>
      <c r="IJP38" s="365">
        <v>0.5</v>
      </c>
      <c r="IJQ38" s="366" t="e">
        <f>10/IJM36</f>
        <v>#DIV/0!</v>
      </c>
      <c r="IJR38" s="367">
        <v>15.38</v>
      </c>
      <c r="IJS38" s="367" t="e">
        <f>IJP38*IJQ38*IJR38</f>
        <v>#DIV/0!</v>
      </c>
      <c r="IJT38" s="363" t="s">
        <v>153</v>
      </c>
      <c r="IJU38" s="363"/>
      <c r="IJV38" s="363"/>
      <c r="IJW38" s="364" t="s">
        <v>140</v>
      </c>
      <c r="IJX38" s="365">
        <v>0.5</v>
      </c>
      <c r="IJY38" s="366" t="e">
        <f>10/IJU36</f>
        <v>#DIV/0!</v>
      </c>
      <c r="IJZ38" s="367">
        <v>15.38</v>
      </c>
      <c r="IKA38" s="367" t="e">
        <f>IJX38*IJY38*IJZ38</f>
        <v>#DIV/0!</v>
      </c>
      <c r="IKB38" s="363" t="s">
        <v>153</v>
      </c>
      <c r="IKC38" s="363"/>
      <c r="IKD38" s="363"/>
      <c r="IKE38" s="364" t="s">
        <v>140</v>
      </c>
      <c r="IKF38" s="365">
        <v>0.5</v>
      </c>
      <c r="IKG38" s="366" t="e">
        <f>10/IKC36</f>
        <v>#DIV/0!</v>
      </c>
      <c r="IKH38" s="367">
        <v>15.38</v>
      </c>
      <c r="IKI38" s="367" t="e">
        <f>IKF38*IKG38*IKH38</f>
        <v>#DIV/0!</v>
      </c>
      <c r="IKJ38" s="363" t="s">
        <v>153</v>
      </c>
      <c r="IKK38" s="363"/>
      <c r="IKL38" s="363"/>
      <c r="IKM38" s="364" t="s">
        <v>140</v>
      </c>
      <c r="IKN38" s="365">
        <v>0.5</v>
      </c>
      <c r="IKO38" s="366" t="e">
        <f>10/IKK36</f>
        <v>#DIV/0!</v>
      </c>
      <c r="IKP38" s="367">
        <v>15.38</v>
      </c>
      <c r="IKQ38" s="367" t="e">
        <f>IKN38*IKO38*IKP38</f>
        <v>#DIV/0!</v>
      </c>
      <c r="IKR38" s="363" t="s">
        <v>153</v>
      </c>
      <c r="IKS38" s="363"/>
      <c r="IKT38" s="363"/>
      <c r="IKU38" s="364" t="s">
        <v>140</v>
      </c>
      <c r="IKV38" s="365">
        <v>0.5</v>
      </c>
      <c r="IKW38" s="366" t="e">
        <f>10/IKS36</f>
        <v>#DIV/0!</v>
      </c>
      <c r="IKX38" s="367">
        <v>15.38</v>
      </c>
      <c r="IKY38" s="367" t="e">
        <f>IKV38*IKW38*IKX38</f>
        <v>#DIV/0!</v>
      </c>
      <c r="IKZ38" s="363" t="s">
        <v>153</v>
      </c>
      <c r="ILA38" s="363"/>
      <c r="ILB38" s="363"/>
      <c r="ILC38" s="364" t="s">
        <v>140</v>
      </c>
      <c r="ILD38" s="365">
        <v>0.5</v>
      </c>
      <c r="ILE38" s="366" t="e">
        <f>10/ILA36</f>
        <v>#DIV/0!</v>
      </c>
      <c r="ILF38" s="367">
        <v>15.38</v>
      </c>
      <c r="ILG38" s="367" t="e">
        <f>ILD38*ILE38*ILF38</f>
        <v>#DIV/0!</v>
      </c>
      <c r="ILH38" s="363" t="s">
        <v>153</v>
      </c>
      <c r="ILI38" s="363"/>
      <c r="ILJ38" s="363"/>
      <c r="ILK38" s="364" t="s">
        <v>140</v>
      </c>
      <c r="ILL38" s="365">
        <v>0.5</v>
      </c>
      <c r="ILM38" s="366" t="e">
        <f>10/ILI36</f>
        <v>#DIV/0!</v>
      </c>
      <c r="ILN38" s="367">
        <v>15.38</v>
      </c>
      <c r="ILO38" s="367" t="e">
        <f>ILL38*ILM38*ILN38</f>
        <v>#DIV/0!</v>
      </c>
      <c r="ILP38" s="363" t="s">
        <v>153</v>
      </c>
      <c r="ILQ38" s="363"/>
      <c r="ILR38" s="363"/>
      <c r="ILS38" s="364" t="s">
        <v>140</v>
      </c>
      <c r="ILT38" s="365">
        <v>0.5</v>
      </c>
      <c r="ILU38" s="366" t="e">
        <f>10/ILQ36</f>
        <v>#DIV/0!</v>
      </c>
      <c r="ILV38" s="367">
        <v>15.38</v>
      </c>
      <c r="ILW38" s="367" t="e">
        <f>ILT38*ILU38*ILV38</f>
        <v>#DIV/0!</v>
      </c>
      <c r="ILX38" s="363" t="s">
        <v>153</v>
      </c>
      <c r="ILY38" s="363"/>
      <c r="ILZ38" s="363"/>
      <c r="IMA38" s="364" t="s">
        <v>140</v>
      </c>
      <c r="IMB38" s="365">
        <v>0.5</v>
      </c>
      <c r="IMC38" s="366" t="e">
        <f>10/ILY36</f>
        <v>#DIV/0!</v>
      </c>
      <c r="IMD38" s="367">
        <v>15.38</v>
      </c>
      <c r="IME38" s="367" t="e">
        <f>IMB38*IMC38*IMD38</f>
        <v>#DIV/0!</v>
      </c>
      <c r="IMF38" s="363" t="s">
        <v>153</v>
      </c>
      <c r="IMG38" s="363"/>
      <c r="IMH38" s="363"/>
      <c r="IMI38" s="364" t="s">
        <v>140</v>
      </c>
      <c r="IMJ38" s="365">
        <v>0.5</v>
      </c>
      <c r="IMK38" s="366" t="e">
        <f>10/IMG36</f>
        <v>#DIV/0!</v>
      </c>
      <c r="IML38" s="367">
        <v>15.38</v>
      </c>
      <c r="IMM38" s="367" t="e">
        <f>IMJ38*IMK38*IML38</f>
        <v>#DIV/0!</v>
      </c>
      <c r="IMN38" s="363" t="s">
        <v>153</v>
      </c>
      <c r="IMO38" s="363"/>
      <c r="IMP38" s="363"/>
      <c r="IMQ38" s="364" t="s">
        <v>140</v>
      </c>
      <c r="IMR38" s="365">
        <v>0.5</v>
      </c>
      <c r="IMS38" s="366" t="e">
        <f>10/IMO36</f>
        <v>#DIV/0!</v>
      </c>
      <c r="IMT38" s="367">
        <v>15.38</v>
      </c>
      <c r="IMU38" s="367" t="e">
        <f>IMR38*IMS38*IMT38</f>
        <v>#DIV/0!</v>
      </c>
      <c r="IMV38" s="363" t="s">
        <v>153</v>
      </c>
      <c r="IMW38" s="363"/>
      <c r="IMX38" s="363"/>
      <c r="IMY38" s="364" t="s">
        <v>140</v>
      </c>
      <c r="IMZ38" s="365">
        <v>0.5</v>
      </c>
      <c r="INA38" s="366" t="e">
        <f>10/IMW36</f>
        <v>#DIV/0!</v>
      </c>
      <c r="INB38" s="367">
        <v>15.38</v>
      </c>
      <c r="INC38" s="367" t="e">
        <f>IMZ38*INA38*INB38</f>
        <v>#DIV/0!</v>
      </c>
      <c r="IND38" s="363" t="s">
        <v>153</v>
      </c>
      <c r="INE38" s="363"/>
      <c r="INF38" s="363"/>
      <c r="ING38" s="364" t="s">
        <v>140</v>
      </c>
      <c r="INH38" s="365">
        <v>0.5</v>
      </c>
      <c r="INI38" s="366" t="e">
        <f>10/INE36</f>
        <v>#DIV/0!</v>
      </c>
      <c r="INJ38" s="367">
        <v>15.38</v>
      </c>
      <c r="INK38" s="367" t="e">
        <f>INH38*INI38*INJ38</f>
        <v>#DIV/0!</v>
      </c>
      <c r="INL38" s="363" t="s">
        <v>153</v>
      </c>
      <c r="INM38" s="363"/>
      <c r="INN38" s="363"/>
      <c r="INO38" s="364" t="s">
        <v>140</v>
      </c>
      <c r="INP38" s="365">
        <v>0.5</v>
      </c>
      <c r="INQ38" s="366" t="e">
        <f>10/INM36</f>
        <v>#DIV/0!</v>
      </c>
      <c r="INR38" s="367">
        <v>15.38</v>
      </c>
      <c r="INS38" s="367" t="e">
        <f>INP38*INQ38*INR38</f>
        <v>#DIV/0!</v>
      </c>
      <c r="INT38" s="363" t="s">
        <v>153</v>
      </c>
      <c r="INU38" s="363"/>
      <c r="INV38" s="363"/>
      <c r="INW38" s="364" t="s">
        <v>140</v>
      </c>
      <c r="INX38" s="365">
        <v>0.5</v>
      </c>
      <c r="INY38" s="366" t="e">
        <f>10/INU36</f>
        <v>#DIV/0!</v>
      </c>
      <c r="INZ38" s="367">
        <v>15.38</v>
      </c>
      <c r="IOA38" s="367" t="e">
        <f>INX38*INY38*INZ38</f>
        <v>#DIV/0!</v>
      </c>
      <c r="IOB38" s="363" t="s">
        <v>153</v>
      </c>
      <c r="IOC38" s="363"/>
      <c r="IOD38" s="363"/>
      <c r="IOE38" s="364" t="s">
        <v>140</v>
      </c>
      <c r="IOF38" s="365">
        <v>0.5</v>
      </c>
      <c r="IOG38" s="366" t="e">
        <f>10/IOC36</f>
        <v>#DIV/0!</v>
      </c>
      <c r="IOH38" s="367">
        <v>15.38</v>
      </c>
      <c r="IOI38" s="367" t="e">
        <f>IOF38*IOG38*IOH38</f>
        <v>#DIV/0!</v>
      </c>
      <c r="IOJ38" s="363" t="s">
        <v>153</v>
      </c>
      <c r="IOK38" s="363"/>
      <c r="IOL38" s="363"/>
      <c r="IOM38" s="364" t="s">
        <v>140</v>
      </c>
      <c r="ION38" s="365">
        <v>0.5</v>
      </c>
      <c r="IOO38" s="366" t="e">
        <f>10/IOK36</f>
        <v>#DIV/0!</v>
      </c>
      <c r="IOP38" s="367">
        <v>15.38</v>
      </c>
      <c r="IOQ38" s="367" t="e">
        <f>ION38*IOO38*IOP38</f>
        <v>#DIV/0!</v>
      </c>
      <c r="IOR38" s="363" t="s">
        <v>153</v>
      </c>
      <c r="IOS38" s="363"/>
      <c r="IOT38" s="363"/>
      <c r="IOU38" s="364" t="s">
        <v>140</v>
      </c>
      <c r="IOV38" s="365">
        <v>0.5</v>
      </c>
      <c r="IOW38" s="366" t="e">
        <f>10/IOS36</f>
        <v>#DIV/0!</v>
      </c>
      <c r="IOX38" s="367">
        <v>15.38</v>
      </c>
      <c r="IOY38" s="367" t="e">
        <f>IOV38*IOW38*IOX38</f>
        <v>#DIV/0!</v>
      </c>
      <c r="IOZ38" s="363" t="s">
        <v>153</v>
      </c>
      <c r="IPA38" s="363"/>
      <c r="IPB38" s="363"/>
      <c r="IPC38" s="364" t="s">
        <v>140</v>
      </c>
      <c r="IPD38" s="365">
        <v>0.5</v>
      </c>
      <c r="IPE38" s="366" t="e">
        <f>10/IPA36</f>
        <v>#DIV/0!</v>
      </c>
      <c r="IPF38" s="367">
        <v>15.38</v>
      </c>
      <c r="IPG38" s="367" t="e">
        <f>IPD38*IPE38*IPF38</f>
        <v>#DIV/0!</v>
      </c>
      <c r="IPH38" s="363" t="s">
        <v>153</v>
      </c>
      <c r="IPI38" s="363"/>
      <c r="IPJ38" s="363"/>
      <c r="IPK38" s="364" t="s">
        <v>140</v>
      </c>
      <c r="IPL38" s="365">
        <v>0.5</v>
      </c>
      <c r="IPM38" s="366" t="e">
        <f>10/IPI36</f>
        <v>#DIV/0!</v>
      </c>
      <c r="IPN38" s="367">
        <v>15.38</v>
      </c>
      <c r="IPO38" s="367" t="e">
        <f>IPL38*IPM38*IPN38</f>
        <v>#DIV/0!</v>
      </c>
      <c r="IPP38" s="363" t="s">
        <v>153</v>
      </c>
      <c r="IPQ38" s="363"/>
      <c r="IPR38" s="363"/>
      <c r="IPS38" s="364" t="s">
        <v>140</v>
      </c>
      <c r="IPT38" s="365">
        <v>0.5</v>
      </c>
      <c r="IPU38" s="366" t="e">
        <f>10/IPQ36</f>
        <v>#DIV/0!</v>
      </c>
      <c r="IPV38" s="367">
        <v>15.38</v>
      </c>
      <c r="IPW38" s="367" t="e">
        <f>IPT38*IPU38*IPV38</f>
        <v>#DIV/0!</v>
      </c>
      <c r="IPX38" s="363" t="s">
        <v>153</v>
      </c>
      <c r="IPY38" s="363"/>
      <c r="IPZ38" s="363"/>
      <c r="IQA38" s="364" t="s">
        <v>140</v>
      </c>
      <c r="IQB38" s="365">
        <v>0.5</v>
      </c>
      <c r="IQC38" s="366" t="e">
        <f>10/IPY36</f>
        <v>#DIV/0!</v>
      </c>
      <c r="IQD38" s="367">
        <v>15.38</v>
      </c>
      <c r="IQE38" s="367" t="e">
        <f>IQB38*IQC38*IQD38</f>
        <v>#DIV/0!</v>
      </c>
      <c r="IQF38" s="363" t="s">
        <v>153</v>
      </c>
      <c r="IQG38" s="363"/>
      <c r="IQH38" s="363"/>
      <c r="IQI38" s="364" t="s">
        <v>140</v>
      </c>
      <c r="IQJ38" s="365">
        <v>0.5</v>
      </c>
      <c r="IQK38" s="366" t="e">
        <f>10/IQG36</f>
        <v>#DIV/0!</v>
      </c>
      <c r="IQL38" s="367">
        <v>15.38</v>
      </c>
      <c r="IQM38" s="367" t="e">
        <f>IQJ38*IQK38*IQL38</f>
        <v>#DIV/0!</v>
      </c>
      <c r="IQN38" s="363" t="s">
        <v>153</v>
      </c>
      <c r="IQO38" s="363"/>
      <c r="IQP38" s="363"/>
      <c r="IQQ38" s="364" t="s">
        <v>140</v>
      </c>
      <c r="IQR38" s="365">
        <v>0.5</v>
      </c>
      <c r="IQS38" s="366" t="e">
        <f>10/IQO36</f>
        <v>#DIV/0!</v>
      </c>
      <c r="IQT38" s="367">
        <v>15.38</v>
      </c>
      <c r="IQU38" s="367" t="e">
        <f>IQR38*IQS38*IQT38</f>
        <v>#DIV/0!</v>
      </c>
      <c r="IQV38" s="363" t="s">
        <v>153</v>
      </c>
      <c r="IQW38" s="363"/>
      <c r="IQX38" s="363"/>
      <c r="IQY38" s="364" t="s">
        <v>140</v>
      </c>
      <c r="IQZ38" s="365">
        <v>0.5</v>
      </c>
      <c r="IRA38" s="366" t="e">
        <f>10/IQW36</f>
        <v>#DIV/0!</v>
      </c>
      <c r="IRB38" s="367">
        <v>15.38</v>
      </c>
      <c r="IRC38" s="367" t="e">
        <f>IQZ38*IRA38*IRB38</f>
        <v>#DIV/0!</v>
      </c>
      <c r="IRD38" s="363" t="s">
        <v>153</v>
      </c>
      <c r="IRE38" s="363"/>
      <c r="IRF38" s="363"/>
      <c r="IRG38" s="364" t="s">
        <v>140</v>
      </c>
      <c r="IRH38" s="365">
        <v>0.5</v>
      </c>
      <c r="IRI38" s="366" t="e">
        <f>10/IRE36</f>
        <v>#DIV/0!</v>
      </c>
      <c r="IRJ38" s="367">
        <v>15.38</v>
      </c>
      <c r="IRK38" s="367" t="e">
        <f>IRH38*IRI38*IRJ38</f>
        <v>#DIV/0!</v>
      </c>
      <c r="IRL38" s="363" t="s">
        <v>153</v>
      </c>
      <c r="IRM38" s="363"/>
      <c r="IRN38" s="363"/>
      <c r="IRO38" s="364" t="s">
        <v>140</v>
      </c>
      <c r="IRP38" s="365">
        <v>0.5</v>
      </c>
      <c r="IRQ38" s="366" t="e">
        <f>10/IRM36</f>
        <v>#DIV/0!</v>
      </c>
      <c r="IRR38" s="367">
        <v>15.38</v>
      </c>
      <c r="IRS38" s="367" t="e">
        <f>IRP38*IRQ38*IRR38</f>
        <v>#DIV/0!</v>
      </c>
      <c r="IRT38" s="363" t="s">
        <v>153</v>
      </c>
      <c r="IRU38" s="363"/>
      <c r="IRV38" s="363"/>
      <c r="IRW38" s="364" t="s">
        <v>140</v>
      </c>
      <c r="IRX38" s="365">
        <v>0.5</v>
      </c>
      <c r="IRY38" s="366" t="e">
        <f>10/IRU36</f>
        <v>#DIV/0!</v>
      </c>
      <c r="IRZ38" s="367">
        <v>15.38</v>
      </c>
      <c r="ISA38" s="367" t="e">
        <f>IRX38*IRY38*IRZ38</f>
        <v>#DIV/0!</v>
      </c>
      <c r="ISB38" s="363" t="s">
        <v>153</v>
      </c>
      <c r="ISC38" s="363"/>
      <c r="ISD38" s="363"/>
      <c r="ISE38" s="364" t="s">
        <v>140</v>
      </c>
      <c r="ISF38" s="365">
        <v>0.5</v>
      </c>
      <c r="ISG38" s="366" t="e">
        <f>10/ISC36</f>
        <v>#DIV/0!</v>
      </c>
      <c r="ISH38" s="367">
        <v>15.38</v>
      </c>
      <c r="ISI38" s="367" t="e">
        <f>ISF38*ISG38*ISH38</f>
        <v>#DIV/0!</v>
      </c>
      <c r="ISJ38" s="363" t="s">
        <v>153</v>
      </c>
      <c r="ISK38" s="363"/>
      <c r="ISL38" s="363"/>
      <c r="ISM38" s="364" t="s">
        <v>140</v>
      </c>
      <c r="ISN38" s="365">
        <v>0.5</v>
      </c>
      <c r="ISO38" s="366" t="e">
        <f>10/ISK36</f>
        <v>#DIV/0!</v>
      </c>
      <c r="ISP38" s="367">
        <v>15.38</v>
      </c>
      <c r="ISQ38" s="367" t="e">
        <f>ISN38*ISO38*ISP38</f>
        <v>#DIV/0!</v>
      </c>
      <c r="ISR38" s="363" t="s">
        <v>153</v>
      </c>
      <c r="ISS38" s="363"/>
      <c r="IST38" s="363"/>
      <c r="ISU38" s="364" t="s">
        <v>140</v>
      </c>
      <c r="ISV38" s="365">
        <v>0.5</v>
      </c>
      <c r="ISW38" s="366" t="e">
        <f>10/ISS36</f>
        <v>#DIV/0!</v>
      </c>
      <c r="ISX38" s="367">
        <v>15.38</v>
      </c>
      <c r="ISY38" s="367" t="e">
        <f>ISV38*ISW38*ISX38</f>
        <v>#DIV/0!</v>
      </c>
      <c r="ISZ38" s="363" t="s">
        <v>153</v>
      </c>
      <c r="ITA38" s="363"/>
      <c r="ITB38" s="363"/>
      <c r="ITC38" s="364" t="s">
        <v>140</v>
      </c>
      <c r="ITD38" s="365">
        <v>0.5</v>
      </c>
      <c r="ITE38" s="366" t="e">
        <f>10/ITA36</f>
        <v>#DIV/0!</v>
      </c>
      <c r="ITF38" s="367">
        <v>15.38</v>
      </c>
      <c r="ITG38" s="367" t="e">
        <f>ITD38*ITE38*ITF38</f>
        <v>#DIV/0!</v>
      </c>
      <c r="ITH38" s="363" t="s">
        <v>153</v>
      </c>
      <c r="ITI38" s="363"/>
      <c r="ITJ38" s="363"/>
      <c r="ITK38" s="364" t="s">
        <v>140</v>
      </c>
      <c r="ITL38" s="365">
        <v>0.5</v>
      </c>
      <c r="ITM38" s="366" t="e">
        <f>10/ITI36</f>
        <v>#DIV/0!</v>
      </c>
      <c r="ITN38" s="367">
        <v>15.38</v>
      </c>
      <c r="ITO38" s="367" t="e">
        <f>ITL38*ITM38*ITN38</f>
        <v>#DIV/0!</v>
      </c>
      <c r="ITP38" s="363" t="s">
        <v>153</v>
      </c>
      <c r="ITQ38" s="363"/>
      <c r="ITR38" s="363"/>
      <c r="ITS38" s="364" t="s">
        <v>140</v>
      </c>
      <c r="ITT38" s="365">
        <v>0.5</v>
      </c>
      <c r="ITU38" s="366" t="e">
        <f>10/ITQ36</f>
        <v>#DIV/0!</v>
      </c>
      <c r="ITV38" s="367">
        <v>15.38</v>
      </c>
      <c r="ITW38" s="367" t="e">
        <f>ITT38*ITU38*ITV38</f>
        <v>#DIV/0!</v>
      </c>
      <c r="ITX38" s="363" t="s">
        <v>153</v>
      </c>
      <c r="ITY38" s="363"/>
      <c r="ITZ38" s="363"/>
      <c r="IUA38" s="364" t="s">
        <v>140</v>
      </c>
      <c r="IUB38" s="365">
        <v>0.5</v>
      </c>
      <c r="IUC38" s="366" t="e">
        <f>10/ITY36</f>
        <v>#DIV/0!</v>
      </c>
      <c r="IUD38" s="367">
        <v>15.38</v>
      </c>
      <c r="IUE38" s="367" t="e">
        <f>IUB38*IUC38*IUD38</f>
        <v>#DIV/0!</v>
      </c>
      <c r="IUF38" s="363" t="s">
        <v>153</v>
      </c>
      <c r="IUG38" s="363"/>
      <c r="IUH38" s="363"/>
      <c r="IUI38" s="364" t="s">
        <v>140</v>
      </c>
      <c r="IUJ38" s="365">
        <v>0.5</v>
      </c>
      <c r="IUK38" s="366" t="e">
        <f>10/IUG36</f>
        <v>#DIV/0!</v>
      </c>
      <c r="IUL38" s="367">
        <v>15.38</v>
      </c>
      <c r="IUM38" s="367" t="e">
        <f>IUJ38*IUK38*IUL38</f>
        <v>#DIV/0!</v>
      </c>
      <c r="IUN38" s="363" t="s">
        <v>153</v>
      </c>
      <c r="IUO38" s="363"/>
      <c r="IUP38" s="363"/>
      <c r="IUQ38" s="364" t="s">
        <v>140</v>
      </c>
      <c r="IUR38" s="365">
        <v>0.5</v>
      </c>
      <c r="IUS38" s="366" t="e">
        <f>10/IUO36</f>
        <v>#DIV/0!</v>
      </c>
      <c r="IUT38" s="367">
        <v>15.38</v>
      </c>
      <c r="IUU38" s="367" t="e">
        <f>IUR38*IUS38*IUT38</f>
        <v>#DIV/0!</v>
      </c>
      <c r="IUV38" s="363" t="s">
        <v>153</v>
      </c>
      <c r="IUW38" s="363"/>
      <c r="IUX38" s="363"/>
      <c r="IUY38" s="364" t="s">
        <v>140</v>
      </c>
      <c r="IUZ38" s="365">
        <v>0.5</v>
      </c>
      <c r="IVA38" s="366" t="e">
        <f>10/IUW36</f>
        <v>#DIV/0!</v>
      </c>
      <c r="IVB38" s="367">
        <v>15.38</v>
      </c>
      <c r="IVC38" s="367" t="e">
        <f>IUZ38*IVA38*IVB38</f>
        <v>#DIV/0!</v>
      </c>
      <c r="IVD38" s="363" t="s">
        <v>153</v>
      </c>
      <c r="IVE38" s="363"/>
      <c r="IVF38" s="363"/>
      <c r="IVG38" s="364" t="s">
        <v>140</v>
      </c>
      <c r="IVH38" s="365">
        <v>0.5</v>
      </c>
      <c r="IVI38" s="366" t="e">
        <f>10/IVE36</f>
        <v>#DIV/0!</v>
      </c>
      <c r="IVJ38" s="367">
        <v>15.38</v>
      </c>
      <c r="IVK38" s="367" t="e">
        <f>IVH38*IVI38*IVJ38</f>
        <v>#DIV/0!</v>
      </c>
      <c r="IVL38" s="363" t="s">
        <v>153</v>
      </c>
      <c r="IVM38" s="363"/>
      <c r="IVN38" s="363"/>
      <c r="IVO38" s="364" t="s">
        <v>140</v>
      </c>
      <c r="IVP38" s="365">
        <v>0.5</v>
      </c>
      <c r="IVQ38" s="366" t="e">
        <f>10/IVM36</f>
        <v>#DIV/0!</v>
      </c>
      <c r="IVR38" s="367">
        <v>15.38</v>
      </c>
      <c r="IVS38" s="367" t="e">
        <f>IVP38*IVQ38*IVR38</f>
        <v>#DIV/0!</v>
      </c>
      <c r="IVT38" s="363" t="s">
        <v>153</v>
      </c>
      <c r="IVU38" s="363"/>
      <c r="IVV38" s="363"/>
      <c r="IVW38" s="364" t="s">
        <v>140</v>
      </c>
      <c r="IVX38" s="365">
        <v>0.5</v>
      </c>
      <c r="IVY38" s="366" t="e">
        <f>10/IVU36</f>
        <v>#DIV/0!</v>
      </c>
      <c r="IVZ38" s="367">
        <v>15.38</v>
      </c>
      <c r="IWA38" s="367" t="e">
        <f>IVX38*IVY38*IVZ38</f>
        <v>#DIV/0!</v>
      </c>
      <c r="IWB38" s="363" t="s">
        <v>153</v>
      </c>
      <c r="IWC38" s="363"/>
      <c r="IWD38" s="363"/>
      <c r="IWE38" s="364" t="s">
        <v>140</v>
      </c>
      <c r="IWF38" s="365">
        <v>0.5</v>
      </c>
      <c r="IWG38" s="366" t="e">
        <f>10/IWC36</f>
        <v>#DIV/0!</v>
      </c>
      <c r="IWH38" s="367">
        <v>15.38</v>
      </c>
      <c r="IWI38" s="367" t="e">
        <f>IWF38*IWG38*IWH38</f>
        <v>#DIV/0!</v>
      </c>
      <c r="IWJ38" s="363" t="s">
        <v>153</v>
      </c>
      <c r="IWK38" s="363"/>
      <c r="IWL38" s="363"/>
      <c r="IWM38" s="364" t="s">
        <v>140</v>
      </c>
      <c r="IWN38" s="365">
        <v>0.5</v>
      </c>
      <c r="IWO38" s="366" t="e">
        <f>10/IWK36</f>
        <v>#DIV/0!</v>
      </c>
      <c r="IWP38" s="367">
        <v>15.38</v>
      </c>
      <c r="IWQ38" s="367" t="e">
        <f>IWN38*IWO38*IWP38</f>
        <v>#DIV/0!</v>
      </c>
      <c r="IWR38" s="363" t="s">
        <v>153</v>
      </c>
      <c r="IWS38" s="363"/>
      <c r="IWT38" s="363"/>
      <c r="IWU38" s="364" t="s">
        <v>140</v>
      </c>
      <c r="IWV38" s="365">
        <v>0.5</v>
      </c>
      <c r="IWW38" s="366" t="e">
        <f>10/IWS36</f>
        <v>#DIV/0!</v>
      </c>
      <c r="IWX38" s="367">
        <v>15.38</v>
      </c>
      <c r="IWY38" s="367" t="e">
        <f>IWV38*IWW38*IWX38</f>
        <v>#DIV/0!</v>
      </c>
      <c r="IWZ38" s="363" t="s">
        <v>153</v>
      </c>
      <c r="IXA38" s="363"/>
      <c r="IXB38" s="363"/>
      <c r="IXC38" s="364" t="s">
        <v>140</v>
      </c>
      <c r="IXD38" s="365">
        <v>0.5</v>
      </c>
      <c r="IXE38" s="366" t="e">
        <f>10/IXA36</f>
        <v>#DIV/0!</v>
      </c>
      <c r="IXF38" s="367">
        <v>15.38</v>
      </c>
      <c r="IXG38" s="367" t="e">
        <f>IXD38*IXE38*IXF38</f>
        <v>#DIV/0!</v>
      </c>
      <c r="IXH38" s="363" t="s">
        <v>153</v>
      </c>
      <c r="IXI38" s="363"/>
      <c r="IXJ38" s="363"/>
      <c r="IXK38" s="364" t="s">
        <v>140</v>
      </c>
      <c r="IXL38" s="365">
        <v>0.5</v>
      </c>
      <c r="IXM38" s="366" t="e">
        <f>10/IXI36</f>
        <v>#DIV/0!</v>
      </c>
      <c r="IXN38" s="367">
        <v>15.38</v>
      </c>
      <c r="IXO38" s="367" t="e">
        <f>IXL38*IXM38*IXN38</f>
        <v>#DIV/0!</v>
      </c>
      <c r="IXP38" s="363" t="s">
        <v>153</v>
      </c>
      <c r="IXQ38" s="363"/>
      <c r="IXR38" s="363"/>
      <c r="IXS38" s="364" t="s">
        <v>140</v>
      </c>
      <c r="IXT38" s="365">
        <v>0.5</v>
      </c>
      <c r="IXU38" s="366" t="e">
        <f>10/IXQ36</f>
        <v>#DIV/0!</v>
      </c>
      <c r="IXV38" s="367">
        <v>15.38</v>
      </c>
      <c r="IXW38" s="367" t="e">
        <f>IXT38*IXU38*IXV38</f>
        <v>#DIV/0!</v>
      </c>
      <c r="IXX38" s="363" t="s">
        <v>153</v>
      </c>
      <c r="IXY38" s="363"/>
      <c r="IXZ38" s="363"/>
      <c r="IYA38" s="364" t="s">
        <v>140</v>
      </c>
      <c r="IYB38" s="365">
        <v>0.5</v>
      </c>
      <c r="IYC38" s="366" t="e">
        <f>10/IXY36</f>
        <v>#DIV/0!</v>
      </c>
      <c r="IYD38" s="367">
        <v>15.38</v>
      </c>
      <c r="IYE38" s="367" t="e">
        <f>IYB38*IYC38*IYD38</f>
        <v>#DIV/0!</v>
      </c>
      <c r="IYF38" s="363" t="s">
        <v>153</v>
      </c>
      <c r="IYG38" s="363"/>
      <c r="IYH38" s="363"/>
      <c r="IYI38" s="364" t="s">
        <v>140</v>
      </c>
      <c r="IYJ38" s="365">
        <v>0.5</v>
      </c>
      <c r="IYK38" s="366" t="e">
        <f>10/IYG36</f>
        <v>#DIV/0!</v>
      </c>
      <c r="IYL38" s="367">
        <v>15.38</v>
      </c>
      <c r="IYM38" s="367" t="e">
        <f>IYJ38*IYK38*IYL38</f>
        <v>#DIV/0!</v>
      </c>
      <c r="IYN38" s="363" t="s">
        <v>153</v>
      </c>
      <c r="IYO38" s="363"/>
      <c r="IYP38" s="363"/>
      <c r="IYQ38" s="364" t="s">
        <v>140</v>
      </c>
      <c r="IYR38" s="365">
        <v>0.5</v>
      </c>
      <c r="IYS38" s="366" t="e">
        <f>10/IYO36</f>
        <v>#DIV/0!</v>
      </c>
      <c r="IYT38" s="367">
        <v>15.38</v>
      </c>
      <c r="IYU38" s="367" t="e">
        <f>IYR38*IYS38*IYT38</f>
        <v>#DIV/0!</v>
      </c>
      <c r="IYV38" s="363" t="s">
        <v>153</v>
      </c>
      <c r="IYW38" s="363"/>
      <c r="IYX38" s="363"/>
      <c r="IYY38" s="364" t="s">
        <v>140</v>
      </c>
      <c r="IYZ38" s="365">
        <v>0.5</v>
      </c>
      <c r="IZA38" s="366" t="e">
        <f>10/IYW36</f>
        <v>#DIV/0!</v>
      </c>
      <c r="IZB38" s="367">
        <v>15.38</v>
      </c>
      <c r="IZC38" s="367" t="e">
        <f>IYZ38*IZA38*IZB38</f>
        <v>#DIV/0!</v>
      </c>
      <c r="IZD38" s="363" t="s">
        <v>153</v>
      </c>
      <c r="IZE38" s="363"/>
      <c r="IZF38" s="363"/>
      <c r="IZG38" s="364" t="s">
        <v>140</v>
      </c>
      <c r="IZH38" s="365">
        <v>0.5</v>
      </c>
      <c r="IZI38" s="366" t="e">
        <f>10/IZE36</f>
        <v>#DIV/0!</v>
      </c>
      <c r="IZJ38" s="367">
        <v>15.38</v>
      </c>
      <c r="IZK38" s="367" t="e">
        <f>IZH38*IZI38*IZJ38</f>
        <v>#DIV/0!</v>
      </c>
      <c r="IZL38" s="363" t="s">
        <v>153</v>
      </c>
      <c r="IZM38" s="363"/>
      <c r="IZN38" s="363"/>
      <c r="IZO38" s="364" t="s">
        <v>140</v>
      </c>
      <c r="IZP38" s="365">
        <v>0.5</v>
      </c>
      <c r="IZQ38" s="366" t="e">
        <f>10/IZM36</f>
        <v>#DIV/0!</v>
      </c>
      <c r="IZR38" s="367">
        <v>15.38</v>
      </c>
      <c r="IZS38" s="367" t="e">
        <f>IZP38*IZQ38*IZR38</f>
        <v>#DIV/0!</v>
      </c>
      <c r="IZT38" s="363" t="s">
        <v>153</v>
      </c>
      <c r="IZU38" s="363"/>
      <c r="IZV38" s="363"/>
      <c r="IZW38" s="364" t="s">
        <v>140</v>
      </c>
      <c r="IZX38" s="365">
        <v>0.5</v>
      </c>
      <c r="IZY38" s="366" t="e">
        <f>10/IZU36</f>
        <v>#DIV/0!</v>
      </c>
      <c r="IZZ38" s="367">
        <v>15.38</v>
      </c>
      <c r="JAA38" s="367" t="e">
        <f>IZX38*IZY38*IZZ38</f>
        <v>#DIV/0!</v>
      </c>
      <c r="JAB38" s="363" t="s">
        <v>153</v>
      </c>
      <c r="JAC38" s="363"/>
      <c r="JAD38" s="363"/>
      <c r="JAE38" s="364" t="s">
        <v>140</v>
      </c>
      <c r="JAF38" s="365">
        <v>0.5</v>
      </c>
      <c r="JAG38" s="366" t="e">
        <f>10/JAC36</f>
        <v>#DIV/0!</v>
      </c>
      <c r="JAH38" s="367">
        <v>15.38</v>
      </c>
      <c r="JAI38" s="367" t="e">
        <f>JAF38*JAG38*JAH38</f>
        <v>#DIV/0!</v>
      </c>
      <c r="JAJ38" s="363" t="s">
        <v>153</v>
      </c>
      <c r="JAK38" s="363"/>
      <c r="JAL38" s="363"/>
      <c r="JAM38" s="364" t="s">
        <v>140</v>
      </c>
      <c r="JAN38" s="365">
        <v>0.5</v>
      </c>
      <c r="JAO38" s="366" t="e">
        <f>10/JAK36</f>
        <v>#DIV/0!</v>
      </c>
      <c r="JAP38" s="367">
        <v>15.38</v>
      </c>
      <c r="JAQ38" s="367" t="e">
        <f>JAN38*JAO38*JAP38</f>
        <v>#DIV/0!</v>
      </c>
      <c r="JAR38" s="363" t="s">
        <v>153</v>
      </c>
      <c r="JAS38" s="363"/>
      <c r="JAT38" s="363"/>
      <c r="JAU38" s="364" t="s">
        <v>140</v>
      </c>
      <c r="JAV38" s="365">
        <v>0.5</v>
      </c>
      <c r="JAW38" s="366" t="e">
        <f>10/JAS36</f>
        <v>#DIV/0!</v>
      </c>
      <c r="JAX38" s="367">
        <v>15.38</v>
      </c>
      <c r="JAY38" s="367" t="e">
        <f>JAV38*JAW38*JAX38</f>
        <v>#DIV/0!</v>
      </c>
      <c r="JAZ38" s="363" t="s">
        <v>153</v>
      </c>
      <c r="JBA38" s="363"/>
      <c r="JBB38" s="363"/>
      <c r="JBC38" s="364" t="s">
        <v>140</v>
      </c>
      <c r="JBD38" s="365">
        <v>0.5</v>
      </c>
      <c r="JBE38" s="366" t="e">
        <f>10/JBA36</f>
        <v>#DIV/0!</v>
      </c>
      <c r="JBF38" s="367">
        <v>15.38</v>
      </c>
      <c r="JBG38" s="367" t="e">
        <f>JBD38*JBE38*JBF38</f>
        <v>#DIV/0!</v>
      </c>
      <c r="JBH38" s="363" t="s">
        <v>153</v>
      </c>
      <c r="JBI38" s="363"/>
      <c r="JBJ38" s="363"/>
      <c r="JBK38" s="364" t="s">
        <v>140</v>
      </c>
      <c r="JBL38" s="365">
        <v>0.5</v>
      </c>
      <c r="JBM38" s="366" t="e">
        <f>10/JBI36</f>
        <v>#DIV/0!</v>
      </c>
      <c r="JBN38" s="367">
        <v>15.38</v>
      </c>
      <c r="JBO38" s="367" t="e">
        <f>JBL38*JBM38*JBN38</f>
        <v>#DIV/0!</v>
      </c>
      <c r="JBP38" s="363" t="s">
        <v>153</v>
      </c>
      <c r="JBQ38" s="363"/>
      <c r="JBR38" s="363"/>
      <c r="JBS38" s="364" t="s">
        <v>140</v>
      </c>
      <c r="JBT38" s="365">
        <v>0.5</v>
      </c>
      <c r="JBU38" s="366" t="e">
        <f>10/JBQ36</f>
        <v>#DIV/0!</v>
      </c>
      <c r="JBV38" s="367">
        <v>15.38</v>
      </c>
      <c r="JBW38" s="367" t="e">
        <f>JBT38*JBU38*JBV38</f>
        <v>#DIV/0!</v>
      </c>
      <c r="JBX38" s="363" t="s">
        <v>153</v>
      </c>
      <c r="JBY38" s="363"/>
      <c r="JBZ38" s="363"/>
      <c r="JCA38" s="364" t="s">
        <v>140</v>
      </c>
      <c r="JCB38" s="365">
        <v>0.5</v>
      </c>
      <c r="JCC38" s="366" t="e">
        <f>10/JBY36</f>
        <v>#DIV/0!</v>
      </c>
      <c r="JCD38" s="367">
        <v>15.38</v>
      </c>
      <c r="JCE38" s="367" t="e">
        <f>JCB38*JCC38*JCD38</f>
        <v>#DIV/0!</v>
      </c>
      <c r="JCF38" s="363" t="s">
        <v>153</v>
      </c>
      <c r="JCG38" s="363"/>
      <c r="JCH38" s="363"/>
      <c r="JCI38" s="364" t="s">
        <v>140</v>
      </c>
      <c r="JCJ38" s="365">
        <v>0.5</v>
      </c>
      <c r="JCK38" s="366" t="e">
        <f>10/JCG36</f>
        <v>#DIV/0!</v>
      </c>
      <c r="JCL38" s="367">
        <v>15.38</v>
      </c>
      <c r="JCM38" s="367" t="e">
        <f>JCJ38*JCK38*JCL38</f>
        <v>#DIV/0!</v>
      </c>
      <c r="JCN38" s="363" t="s">
        <v>153</v>
      </c>
      <c r="JCO38" s="363"/>
      <c r="JCP38" s="363"/>
      <c r="JCQ38" s="364" t="s">
        <v>140</v>
      </c>
      <c r="JCR38" s="365">
        <v>0.5</v>
      </c>
      <c r="JCS38" s="366" t="e">
        <f>10/JCO36</f>
        <v>#DIV/0!</v>
      </c>
      <c r="JCT38" s="367">
        <v>15.38</v>
      </c>
      <c r="JCU38" s="367" t="e">
        <f>JCR38*JCS38*JCT38</f>
        <v>#DIV/0!</v>
      </c>
      <c r="JCV38" s="363" t="s">
        <v>153</v>
      </c>
      <c r="JCW38" s="363"/>
      <c r="JCX38" s="363"/>
      <c r="JCY38" s="364" t="s">
        <v>140</v>
      </c>
      <c r="JCZ38" s="365">
        <v>0.5</v>
      </c>
      <c r="JDA38" s="366" t="e">
        <f>10/JCW36</f>
        <v>#DIV/0!</v>
      </c>
      <c r="JDB38" s="367">
        <v>15.38</v>
      </c>
      <c r="JDC38" s="367" t="e">
        <f>JCZ38*JDA38*JDB38</f>
        <v>#DIV/0!</v>
      </c>
      <c r="JDD38" s="363" t="s">
        <v>153</v>
      </c>
      <c r="JDE38" s="363"/>
      <c r="JDF38" s="363"/>
      <c r="JDG38" s="364" t="s">
        <v>140</v>
      </c>
      <c r="JDH38" s="365">
        <v>0.5</v>
      </c>
      <c r="JDI38" s="366" t="e">
        <f>10/JDE36</f>
        <v>#DIV/0!</v>
      </c>
      <c r="JDJ38" s="367">
        <v>15.38</v>
      </c>
      <c r="JDK38" s="367" t="e">
        <f>JDH38*JDI38*JDJ38</f>
        <v>#DIV/0!</v>
      </c>
      <c r="JDL38" s="363" t="s">
        <v>153</v>
      </c>
      <c r="JDM38" s="363"/>
      <c r="JDN38" s="363"/>
      <c r="JDO38" s="364" t="s">
        <v>140</v>
      </c>
      <c r="JDP38" s="365">
        <v>0.5</v>
      </c>
      <c r="JDQ38" s="366" t="e">
        <f>10/JDM36</f>
        <v>#DIV/0!</v>
      </c>
      <c r="JDR38" s="367">
        <v>15.38</v>
      </c>
      <c r="JDS38" s="367" t="e">
        <f>JDP38*JDQ38*JDR38</f>
        <v>#DIV/0!</v>
      </c>
      <c r="JDT38" s="363" t="s">
        <v>153</v>
      </c>
      <c r="JDU38" s="363"/>
      <c r="JDV38" s="363"/>
      <c r="JDW38" s="364" t="s">
        <v>140</v>
      </c>
      <c r="JDX38" s="365">
        <v>0.5</v>
      </c>
      <c r="JDY38" s="366" t="e">
        <f>10/JDU36</f>
        <v>#DIV/0!</v>
      </c>
      <c r="JDZ38" s="367">
        <v>15.38</v>
      </c>
      <c r="JEA38" s="367" t="e">
        <f>JDX38*JDY38*JDZ38</f>
        <v>#DIV/0!</v>
      </c>
      <c r="JEB38" s="363" t="s">
        <v>153</v>
      </c>
      <c r="JEC38" s="363"/>
      <c r="JED38" s="363"/>
      <c r="JEE38" s="364" t="s">
        <v>140</v>
      </c>
      <c r="JEF38" s="365">
        <v>0.5</v>
      </c>
      <c r="JEG38" s="366" t="e">
        <f>10/JEC36</f>
        <v>#DIV/0!</v>
      </c>
      <c r="JEH38" s="367">
        <v>15.38</v>
      </c>
      <c r="JEI38" s="367" t="e">
        <f>JEF38*JEG38*JEH38</f>
        <v>#DIV/0!</v>
      </c>
      <c r="JEJ38" s="363" t="s">
        <v>153</v>
      </c>
      <c r="JEK38" s="363"/>
      <c r="JEL38" s="363"/>
      <c r="JEM38" s="364" t="s">
        <v>140</v>
      </c>
      <c r="JEN38" s="365">
        <v>0.5</v>
      </c>
      <c r="JEO38" s="366" t="e">
        <f>10/JEK36</f>
        <v>#DIV/0!</v>
      </c>
      <c r="JEP38" s="367">
        <v>15.38</v>
      </c>
      <c r="JEQ38" s="367" t="e">
        <f>JEN38*JEO38*JEP38</f>
        <v>#DIV/0!</v>
      </c>
      <c r="JER38" s="363" t="s">
        <v>153</v>
      </c>
      <c r="JES38" s="363"/>
      <c r="JET38" s="363"/>
      <c r="JEU38" s="364" t="s">
        <v>140</v>
      </c>
      <c r="JEV38" s="365">
        <v>0.5</v>
      </c>
      <c r="JEW38" s="366" t="e">
        <f>10/JES36</f>
        <v>#DIV/0!</v>
      </c>
      <c r="JEX38" s="367">
        <v>15.38</v>
      </c>
      <c r="JEY38" s="367" t="e">
        <f>JEV38*JEW38*JEX38</f>
        <v>#DIV/0!</v>
      </c>
      <c r="JEZ38" s="363" t="s">
        <v>153</v>
      </c>
      <c r="JFA38" s="363"/>
      <c r="JFB38" s="363"/>
      <c r="JFC38" s="364" t="s">
        <v>140</v>
      </c>
      <c r="JFD38" s="365">
        <v>0.5</v>
      </c>
      <c r="JFE38" s="366" t="e">
        <f>10/JFA36</f>
        <v>#DIV/0!</v>
      </c>
      <c r="JFF38" s="367">
        <v>15.38</v>
      </c>
      <c r="JFG38" s="367" t="e">
        <f>JFD38*JFE38*JFF38</f>
        <v>#DIV/0!</v>
      </c>
      <c r="JFH38" s="363" t="s">
        <v>153</v>
      </c>
      <c r="JFI38" s="363"/>
      <c r="JFJ38" s="363"/>
      <c r="JFK38" s="364" t="s">
        <v>140</v>
      </c>
      <c r="JFL38" s="365">
        <v>0.5</v>
      </c>
      <c r="JFM38" s="366" t="e">
        <f>10/JFI36</f>
        <v>#DIV/0!</v>
      </c>
      <c r="JFN38" s="367">
        <v>15.38</v>
      </c>
      <c r="JFO38" s="367" t="e">
        <f>JFL38*JFM38*JFN38</f>
        <v>#DIV/0!</v>
      </c>
      <c r="JFP38" s="363" t="s">
        <v>153</v>
      </c>
      <c r="JFQ38" s="363"/>
      <c r="JFR38" s="363"/>
      <c r="JFS38" s="364" t="s">
        <v>140</v>
      </c>
      <c r="JFT38" s="365">
        <v>0.5</v>
      </c>
      <c r="JFU38" s="366" t="e">
        <f>10/JFQ36</f>
        <v>#DIV/0!</v>
      </c>
      <c r="JFV38" s="367">
        <v>15.38</v>
      </c>
      <c r="JFW38" s="367" t="e">
        <f>JFT38*JFU38*JFV38</f>
        <v>#DIV/0!</v>
      </c>
      <c r="JFX38" s="363" t="s">
        <v>153</v>
      </c>
      <c r="JFY38" s="363"/>
      <c r="JFZ38" s="363"/>
      <c r="JGA38" s="364" t="s">
        <v>140</v>
      </c>
      <c r="JGB38" s="365">
        <v>0.5</v>
      </c>
      <c r="JGC38" s="366" t="e">
        <f>10/JFY36</f>
        <v>#DIV/0!</v>
      </c>
      <c r="JGD38" s="367">
        <v>15.38</v>
      </c>
      <c r="JGE38" s="367" t="e">
        <f>JGB38*JGC38*JGD38</f>
        <v>#DIV/0!</v>
      </c>
      <c r="JGF38" s="363" t="s">
        <v>153</v>
      </c>
      <c r="JGG38" s="363"/>
      <c r="JGH38" s="363"/>
      <c r="JGI38" s="364" t="s">
        <v>140</v>
      </c>
      <c r="JGJ38" s="365">
        <v>0.5</v>
      </c>
      <c r="JGK38" s="366" t="e">
        <f>10/JGG36</f>
        <v>#DIV/0!</v>
      </c>
      <c r="JGL38" s="367">
        <v>15.38</v>
      </c>
      <c r="JGM38" s="367" t="e">
        <f>JGJ38*JGK38*JGL38</f>
        <v>#DIV/0!</v>
      </c>
      <c r="JGN38" s="363" t="s">
        <v>153</v>
      </c>
      <c r="JGO38" s="363"/>
      <c r="JGP38" s="363"/>
      <c r="JGQ38" s="364" t="s">
        <v>140</v>
      </c>
      <c r="JGR38" s="365">
        <v>0.5</v>
      </c>
      <c r="JGS38" s="366" t="e">
        <f>10/JGO36</f>
        <v>#DIV/0!</v>
      </c>
      <c r="JGT38" s="367">
        <v>15.38</v>
      </c>
      <c r="JGU38" s="367" t="e">
        <f>JGR38*JGS38*JGT38</f>
        <v>#DIV/0!</v>
      </c>
      <c r="JGV38" s="363" t="s">
        <v>153</v>
      </c>
      <c r="JGW38" s="363"/>
      <c r="JGX38" s="363"/>
      <c r="JGY38" s="364" t="s">
        <v>140</v>
      </c>
      <c r="JGZ38" s="365">
        <v>0.5</v>
      </c>
      <c r="JHA38" s="366" t="e">
        <f>10/JGW36</f>
        <v>#DIV/0!</v>
      </c>
      <c r="JHB38" s="367">
        <v>15.38</v>
      </c>
      <c r="JHC38" s="367" t="e">
        <f>JGZ38*JHA38*JHB38</f>
        <v>#DIV/0!</v>
      </c>
      <c r="JHD38" s="363" t="s">
        <v>153</v>
      </c>
      <c r="JHE38" s="363"/>
      <c r="JHF38" s="363"/>
      <c r="JHG38" s="364" t="s">
        <v>140</v>
      </c>
      <c r="JHH38" s="365">
        <v>0.5</v>
      </c>
      <c r="JHI38" s="366" t="e">
        <f>10/JHE36</f>
        <v>#DIV/0!</v>
      </c>
      <c r="JHJ38" s="367">
        <v>15.38</v>
      </c>
      <c r="JHK38" s="367" t="e">
        <f>JHH38*JHI38*JHJ38</f>
        <v>#DIV/0!</v>
      </c>
      <c r="JHL38" s="363" t="s">
        <v>153</v>
      </c>
      <c r="JHM38" s="363"/>
      <c r="JHN38" s="363"/>
      <c r="JHO38" s="364" t="s">
        <v>140</v>
      </c>
      <c r="JHP38" s="365">
        <v>0.5</v>
      </c>
      <c r="JHQ38" s="366" t="e">
        <f>10/JHM36</f>
        <v>#DIV/0!</v>
      </c>
      <c r="JHR38" s="367">
        <v>15.38</v>
      </c>
      <c r="JHS38" s="367" t="e">
        <f>JHP38*JHQ38*JHR38</f>
        <v>#DIV/0!</v>
      </c>
      <c r="JHT38" s="363" t="s">
        <v>153</v>
      </c>
      <c r="JHU38" s="363"/>
      <c r="JHV38" s="363"/>
      <c r="JHW38" s="364" t="s">
        <v>140</v>
      </c>
      <c r="JHX38" s="365">
        <v>0.5</v>
      </c>
      <c r="JHY38" s="366" t="e">
        <f>10/JHU36</f>
        <v>#DIV/0!</v>
      </c>
      <c r="JHZ38" s="367">
        <v>15.38</v>
      </c>
      <c r="JIA38" s="367" t="e">
        <f>JHX38*JHY38*JHZ38</f>
        <v>#DIV/0!</v>
      </c>
      <c r="JIB38" s="363" t="s">
        <v>153</v>
      </c>
      <c r="JIC38" s="363"/>
      <c r="JID38" s="363"/>
      <c r="JIE38" s="364" t="s">
        <v>140</v>
      </c>
      <c r="JIF38" s="365">
        <v>0.5</v>
      </c>
      <c r="JIG38" s="366" t="e">
        <f>10/JIC36</f>
        <v>#DIV/0!</v>
      </c>
      <c r="JIH38" s="367">
        <v>15.38</v>
      </c>
      <c r="JII38" s="367" t="e">
        <f>JIF38*JIG38*JIH38</f>
        <v>#DIV/0!</v>
      </c>
      <c r="JIJ38" s="363" t="s">
        <v>153</v>
      </c>
      <c r="JIK38" s="363"/>
      <c r="JIL38" s="363"/>
      <c r="JIM38" s="364" t="s">
        <v>140</v>
      </c>
      <c r="JIN38" s="365">
        <v>0.5</v>
      </c>
      <c r="JIO38" s="366" t="e">
        <f>10/JIK36</f>
        <v>#DIV/0!</v>
      </c>
      <c r="JIP38" s="367">
        <v>15.38</v>
      </c>
      <c r="JIQ38" s="367" t="e">
        <f>JIN38*JIO38*JIP38</f>
        <v>#DIV/0!</v>
      </c>
      <c r="JIR38" s="363" t="s">
        <v>153</v>
      </c>
      <c r="JIS38" s="363"/>
      <c r="JIT38" s="363"/>
      <c r="JIU38" s="364" t="s">
        <v>140</v>
      </c>
      <c r="JIV38" s="365">
        <v>0.5</v>
      </c>
      <c r="JIW38" s="366" t="e">
        <f>10/JIS36</f>
        <v>#DIV/0!</v>
      </c>
      <c r="JIX38" s="367">
        <v>15.38</v>
      </c>
      <c r="JIY38" s="367" t="e">
        <f>JIV38*JIW38*JIX38</f>
        <v>#DIV/0!</v>
      </c>
      <c r="JIZ38" s="363" t="s">
        <v>153</v>
      </c>
      <c r="JJA38" s="363"/>
      <c r="JJB38" s="363"/>
      <c r="JJC38" s="364" t="s">
        <v>140</v>
      </c>
      <c r="JJD38" s="365">
        <v>0.5</v>
      </c>
      <c r="JJE38" s="366" t="e">
        <f>10/JJA36</f>
        <v>#DIV/0!</v>
      </c>
      <c r="JJF38" s="367">
        <v>15.38</v>
      </c>
      <c r="JJG38" s="367" t="e">
        <f>JJD38*JJE38*JJF38</f>
        <v>#DIV/0!</v>
      </c>
      <c r="JJH38" s="363" t="s">
        <v>153</v>
      </c>
      <c r="JJI38" s="363"/>
      <c r="JJJ38" s="363"/>
      <c r="JJK38" s="364" t="s">
        <v>140</v>
      </c>
      <c r="JJL38" s="365">
        <v>0.5</v>
      </c>
      <c r="JJM38" s="366" t="e">
        <f>10/JJI36</f>
        <v>#DIV/0!</v>
      </c>
      <c r="JJN38" s="367">
        <v>15.38</v>
      </c>
      <c r="JJO38" s="367" t="e">
        <f>JJL38*JJM38*JJN38</f>
        <v>#DIV/0!</v>
      </c>
      <c r="JJP38" s="363" t="s">
        <v>153</v>
      </c>
      <c r="JJQ38" s="363"/>
      <c r="JJR38" s="363"/>
      <c r="JJS38" s="364" t="s">
        <v>140</v>
      </c>
      <c r="JJT38" s="365">
        <v>0.5</v>
      </c>
      <c r="JJU38" s="366" t="e">
        <f>10/JJQ36</f>
        <v>#DIV/0!</v>
      </c>
      <c r="JJV38" s="367">
        <v>15.38</v>
      </c>
      <c r="JJW38" s="367" t="e">
        <f>JJT38*JJU38*JJV38</f>
        <v>#DIV/0!</v>
      </c>
      <c r="JJX38" s="363" t="s">
        <v>153</v>
      </c>
      <c r="JJY38" s="363"/>
      <c r="JJZ38" s="363"/>
      <c r="JKA38" s="364" t="s">
        <v>140</v>
      </c>
      <c r="JKB38" s="365">
        <v>0.5</v>
      </c>
      <c r="JKC38" s="366" t="e">
        <f>10/JJY36</f>
        <v>#DIV/0!</v>
      </c>
      <c r="JKD38" s="367">
        <v>15.38</v>
      </c>
      <c r="JKE38" s="367" t="e">
        <f>JKB38*JKC38*JKD38</f>
        <v>#DIV/0!</v>
      </c>
      <c r="JKF38" s="363" t="s">
        <v>153</v>
      </c>
      <c r="JKG38" s="363"/>
      <c r="JKH38" s="363"/>
      <c r="JKI38" s="364" t="s">
        <v>140</v>
      </c>
      <c r="JKJ38" s="365">
        <v>0.5</v>
      </c>
      <c r="JKK38" s="366" t="e">
        <f>10/JKG36</f>
        <v>#DIV/0!</v>
      </c>
      <c r="JKL38" s="367">
        <v>15.38</v>
      </c>
      <c r="JKM38" s="367" t="e">
        <f>JKJ38*JKK38*JKL38</f>
        <v>#DIV/0!</v>
      </c>
      <c r="JKN38" s="363" t="s">
        <v>153</v>
      </c>
      <c r="JKO38" s="363"/>
      <c r="JKP38" s="363"/>
      <c r="JKQ38" s="364" t="s">
        <v>140</v>
      </c>
      <c r="JKR38" s="365">
        <v>0.5</v>
      </c>
      <c r="JKS38" s="366" t="e">
        <f>10/JKO36</f>
        <v>#DIV/0!</v>
      </c>
      <c r="JKT38" s="367">
        <v>15.38</v>
      </c>
      <c r="JKU38" s="367" t="e">
        <f>JKR38*JKS38*JKT38</f>
        <v>#DIV/0!</v>
      </c>
      <c r="JKV38" s="363" t="s">
        <v>153</v>
      </c>
      <c r="JKW38" s="363"/>
      <c r="JKX38" s="363"/>
      <c r="JKY38" s="364" t="s">
        <v>140</v>
      </c>
      <c r="JKZ38" s="365">
        <v>0.5</v>
      </c>
      <c r="JLA38" s="366" t="e">
        <f>10/JKW36</f>
        <v>#DIV/0!</v>
      </c>
      <c r="JLB38" s="367">
        <v>15.38</v>
      </c>
      <c r="JLC38" s="367" t="e">
        <f>JKZ38*JLA38*JLB38</f>
        <v>#DIV/0!</v>
      </c>
      <c r="JLD38" s="363" t="s">
        <v>153</v>
      </c>
      <c r="JLE38" s="363"/>
      <c r="JLF38" s="363"/>
      <c r="JLG38" s="364" t="s">
        <v>140</v>
      </c>
      <c r="JLH38" s="365">
        <v>0.5</v>
      </c>
      <c r="JLI38" s="366" t="e">
        <f>10/JLE36</f>
        <v>#DIV/0!</v>
      </c>
      <c r="JLJ38" s="367">
        <v>15.38</v>
      </c>
      <c r="JLK38" s="367" t="e">
        <f>JLH38*JLI38*JLJ38</f>
        <v>#DIV/0!</v>
      </c>
      <c r="JLL38" s="363" t="s">
        <v>153</v>
      </c>
      <c r="JLM38" s="363"/>
      <c r="JLN38" s="363"/>
      <c r="JLO38" s="364" t="s">
        <v>140</v>
      </c>
      <c r="JLP38" s="365">
        <v>0.5</v>
      </c>
      <c r="JLQ38" s="366" t="e">
        <f>10/JLM36</f>
        <v>#DIV/0!</v>
      </c>
      <c r="JLR38" s="367">
        <v>15.38</v>
      </c>
      <c r="JLS38" s="367" t="e">
        <f>JLP38*JLQ38*JLR38</f>
        <v>#DIV/0!</v>
      </c>
      <c r="JLT38" s="363" t="s">
        <v>153</v>
      </c>
      <c r="JLU38" s="363"/>
      <c r="JLV38" s="363"/>
      <c r="JLW38" s="364" t="s">
        <v>140</v>
      </c>
      <c r="JLX38" s="365">
        <v>0.5</v>
      </c>
      <c r="JLY38" s="366" t="e">
        <f>10/JLU36</f>
        <v>#DIV/0!</v>
      </c>
      <c r="JLZ38" s="367">
        <v>15.38</v>
      </c>
      <c r="JMA38" s="367" t="e">
        <f>JLX38*JLY38*JLZ38</f>
        <v>#DIV/0!</v>
      </c>
      <c r="JMB38" s="363" t="s">
        <v>153</v>
      </c>
      <c r="JMC38" s="363"/>
      <c r="JMD38" s="363"/>
      <c r="JME38" s="364" t="s">
        <v>140</v>
      </c>
      <c r="JMF38" s="365">
        <v>0.5</v>
      </c>
      <c r="JMG38" s="366" t="e">
        <f>10/JMC36</f>
        <v>#DIV/0!</v>
      </c>
      <c r="JMH38" s="367">
        <v>15.38</v>
      </c>
      <c r="JMI38" s="367" t="e">
        <f>JMF38*JMG38*JMH38</f>
        <v>#DIV/0!</v>
      </c>
      <c r="JMJ38" s="363" t="s">
        <v>153</v>
      </c>
      <c r="JMK38" s="363"/>
      <c r="JML38" s="363"/>
      <c r="JMM38" s="364" t="s">
        <v>140</v>
      </c>
      <c r="JMN38" s="365">
        <v>0.5</v>
      </c>
      <c r="JMO38" s="366" t="e">
        <f>10/JMK36</f>
        <v>#DIV/0!</v>
      </c>
      <c r="JMP38" s="367">
        <v>15.38</v>
      </c>
      <c r="JMQ38" s="367" t="e">
        <f>JMN38*JMO38*JMP38</f>
        <v>#DIV/0!</v>
      </c>
      <c r="JMR38" s="363" t="s">
        <v>153</v>
      </c>
      <c r="JMS38" s="363"/>
      <c r="JMT38" s="363"/>
      <c r="JMU38" s="364" t="s">
        <v>140</v>
      </c>
      <c r="JMV38" s="365">
        <v>0.5</v>
      </c>
      <c r="JMW38" s="366" t="e">
        <f>10/JMS36</f>
        <v>#DIV/0!</v>
      </c>
      <c r="JMX38" s="367">
        <v>15.38</v>
      </c>
      <c r="JMY38" s="367" t="e">
        <f>JMV38*JMW38*JMX38</f>
        <v>#DIV/0!</v>
      </c>
      <c r="JMZ38" s="363" t="s">
        <v>153</v>
      </c>
      <c r="JNA38" s="363"/>
      <c r="JNB38" s="363"/>
      <c r="JNC38" s="364" t="s">
        <v>140</v>
      </c>
      <c r="JND38" s="365">
        <v>0.5</v>
      </c>
      <c r="JNE38" s="366" t="e">
        <f>10/JNA36</f>
        <v>#DIV/0!</v>
      </c>
      <c r="JNF38" s="367">
        <v>15.38</v>
      </c>
      <c r="JNG38" s="367" t="e">
        <f>JND38*JNE38*JNF38</f>
        <v>#DIV/0!</v>
      </c>
      <c r="JNH38" s="363" t="s">
        <v>153</v>
      </c>
      <c r="JNI38" s="363"/>
      <c r="JNJ38" s="363"/>
      <c r="JNK38" s="364" t="s">
        <v>140</v>
      </c>
      <c r="JNL38" s="365">
        <v>0.5</v>
      </c>
      <c r="JNM38" s="366" t="e">
        <f>10/JNI36</f>
        <v>#DIV/0!</v>
      </c>
      <c r="JNN38" s="367">
        <v>15.38</v>
      </c>
      <c r="JNO38" s="367" t="e">
        <f>JNL38*JNM38*JNN38</f>
        <v>#DIV/0!</v>
      </c>
      <c r="JNP38" s="363" t="s">
        <v>153</v>
      </c>
      <c r="JNQ38" s="363"/>
      <c r="JNR38" s="363"/>
      <c r="JNS38" s="364" t="s">
        <v>140</v>
      </c>
      <c r="JNT38" s="365">
        <v>0.5</v>
      </c>
      <c r="JNU38" s="366" t="e">
        <f>10/JNQ36</f>
        <v>#DIV/0!</v>
      </c>
      <c r="JNV38" s="367">
        <v>15.38</v>
      </c>
      <c r="JNW38" s="367" t="e">
        <f>JNT38*JNU38*JNV38</f>
        <v>#DIV/0!</v>
      </c>
      <c r="JNX38" s="363" t="s">
        <v>153</v>
      </c>
      <c r="JNY38" s="363"/>
      <c r="JNZ38" s="363"/>
      <c r="JOA38" s="364" t="s">
        <v>140</v>
      </c>
      <c r="JOB38" s="365">
        <v>0.5</v>
      </c>
      <c r="JOC38" s="366" t="e">
        <f>10/JNY36</f>
        <v>#DIV/0!</v>
      </c>
      <c r="JOD38" s="367">
        <v>15.38</v>
      </c>
      <c r="JOE38" s="367" t="e">
        <f>JOB38*JOC38*JOD38</f>
        <v>#DIV/0!</v>
      </c>
      <c r="JOF38" s="363" t="s">
        <v>153</v>
      </c>
      <c r="JOG38" s="363"/>
      <c r="JOH38" s="363"/>
      <c r="JOI38" s="364" t="s">
        <v>140</v>
      </c>
      <c r="JOJ38" s="365">
        <v>0.5</v>
      </c>
      <c r="JOK38" s="366" t="e">
        <f>10/JOG36</f>
        <v>#DIV/0!</v>
      </c>
      <c r="JOL38" s="367">
        <v>15.38</v>
      </c>
      <c r="JOM38" s="367" t="e">
        <f>JOJ38*JOK38*JOL38</f>
        <v>#DIV/0!</v>
      </c>
      <c r="JON38" s="363" t="s">
        <v>153</v>
      </c>
      <c r="JOO38" s="363"/>
      <c r="JOP38" s="363"/>
      <c r="JOQ38" s="364" t="s">
        <v>140</v>
      </c>
      <c r="JOR38" s="365">
        <v>0.5</v>
      </c>
      <c r="JOS38" s="366" t="e">
        <f>10/JOO36</f>
        <v>#DIV/0!</v>
      </c>
      <c r="JOT38" s="367">
        <v>15.38</v>
      </c>
      <c r="JOU38" s="367" t="e">
        <f>JOR38*JOS38*JOT38</f>
        <v>#DIV/0!</v>
      </c>
      <c r="JOV38" s="363" t="s">
        <v>153</v>
      </c>
      <c r="JOW38" s="363"/>
      <c r="JOX38" s="363"/>
      <c r="JOY38" s="364" t="s">
        <v>140</v>
      </c>
      <c r="JOZ38" s="365">
        <v>0.5</v>
      </c>
      <c r="JPA38" s="366" t="e">
        <f>10/JOW36</f>
        <v>#DIV/0!</v>
      </c>
      <c r="JPB38" s="367">
        <v>15.38</v>
      </c>
      <c r="JPC38" s="367" t="e">
        <f>JOZ38*JPA38*JPB38</f>
        <v>#DIV/0!</v>
      </c>
      <c r="JPD38" s="363" t="s">
        <v>153</v>
      </c>
      <c r="JPE38" s="363"/>
      <c r="JPF38" s="363"/>
      <c r="JPG38" s="364" t="s">
        <v>140</v>
      </c>
      <c r="JPH38" s="365">
        <v>0.5</v>
      </c>
      <c r="JPI38" s="366" t="e">
        <f>10/JPE36</f>
        <v>#DIV/0!</v>
      </c>
      <c r="JPJ38" s="367">
        <v>15.38</v>
      </c>
      <c r="JPK38" s="367" t="e">
        <f>JPH38*JPI38*JPJ38</f>
        <v>#DIV/0!</v>
      </c>
      <c r="JPL38" s="363" t="s">
        <v>153</v>
      </c>
      <c r="JPM38" s="363"/>
      <c r="JPN38" s="363"/>
      <c r="JPO38" s="364" t="s">
        <v>140</v>
      </c>
      <c r="JPP38" s="365">
        <v>0.5</v>
      </c>
      <c r="JPQ38" s="366" t="e">
        <f>10/JPM36</f>
        <v>#DIV/0!</v>
      </c>
      <c r="JPR38" s="367">
        <v>15.38</v>
      </c>
      <c r="JPS38" s="367" t="e">
        <f>JPP38*JPQ38*JPR38</f>
        <v>#DIV/0!</v>
      </c>
      <c r="JPT38" s="363" t="s">
        <v>153</v>
      </c>
      <c r="JPU38" s="363"/>
      <c r="JPV38" s="363"/>
      <c r="JPW38" s="364" t="s">
        <v>140</v>
      </c>
      <c r="JPX38" s="365">
        <v>0.5</v>
      </c>
      <c r="JPY38" s="366" t="e">
        <f>10/JPU36</f>
        <v>#DIV/0!</v>
      </c>
      <c r="JPZ38" s="367">
        <v>15.38</v>
      </c>
      <c r="JQA38" s="367" t="e">
        <f>JPX38*JPY38*JPZ38</f>
        <v>#DIV/0!</v>
      </c>
      <c r="JQB38" s="363" t="s">
        <v>153</v>
      </c>
      <c r="JQC38" s="363"/>
      <c r="JQD38" s="363"/>
      <c r="JQE38" s="364" t="s">
        <v>140</v>
      </c>
      <c r="JQF38" s="365">
        <v>0.5</v>
      </c>
      <c r="JQG38" s="366" t="e">
        <f>10/JQC36</f>
        <v>#DIV/0!</v>
      </c>
      <c r="JQH38" s="367">
        <v>15.38</v>
      </c>
      <c r="JQI38" s="367" t="e">
        <f>JQF38*JQG38*JQH38</f>
        <v>#DIV/0!</v>
      </c>
      <c r="JQJ38" s="363" t="s">
        <v>153</v>
      </c>
      <c r="JQK38" s="363"/>
      <c r="JQL38" s="363"/>
      <c r="JQM38" s="364" t="s">
        <v>140</v>
      </c>
      <c r="JQN38" s="365">
        <v>0.5</v>
      </c>
      <c r="JQO38" s="366" t="e">
        <f>10/JQK36</f>
        <v>#DIV/0!</v>
      </c>
      <c r="JQP38" s="367">
        <v>15.38</v>
      </c>
      <c r="JQQ38" s="367" t="e">
        <f>JQN38*JQO38*JQP38</f>
        <v>#DIV/0!</v>
      </c>
      <c r="JQR38" s="363" t="s">
        <v>153</v>
      </c>
      <c r="JQS38" s="363"/>
      <c r="JQT38" s="363"/>
      <c r="JQU38" s="364" t="s">
        <v>140</v>
      </c>
      <c r="JQV38" s="365">
        <v>0.5</v>
      </c>
      <c r="JQW38" s="366" t="e">
        <f>10/JQS36</f>
        <v>#DIV/0!</v>
      </c>
      <c r="JQX38" s="367">
        <v>15.38</v>
      </c>
      <c r="JQY38" s="367" t="e">
        <f>JQV38*JQW38*JQX38</f>
        <v>#DIV/0!</v>
      </c>
      <c r="JQZ38" s="363" t="s">
        <v>153</v>
      </c>
      <c r="JRA38" s="363"/>
      <c r="JRB38" s="363"/>
      <c r="JRC38" s="364" t="s">
        <v>140</v>
      </c>
      <c r="JRD38" s="365">
        <v>0.5</v>
      </c>
      <c r="JRE38" s="366" t="e">
        <f>10/JRA36</f>
        <v>#DIV/0!</v>
      </c>
      <c r="JRF38" s="367">
        <v>15.38</v>
      </c>
      <c r="JRG38" s="367" t="e">
        <f>JRD38*JRE38*JRF38</f>
        <v>#DIV/0!</v>
      </c>
      <c r="JRH38" s="363" t="s">
        <v>153</v>
      </c>
      <c r="JRI38" s="363"/>
      <c r="JRJ38" s="363"/>
      <c r="JRK38" s="364" t="s">
        <v>140</v>
      </c>
      <c r="JRL38" s="365">
        <v>0.5</v>
      </c>
      <c r="JRM38" s="366" t="e">
        <f>10/JRI36</f>
        <v>#DIV/0!</v>
      </c>
      <c r="JRN38" s="367">
        <v>15.38</v>
      </c>
      <c r="JRO38" s="367" t="e">
        <f>JRL38*JRM38*JRN38</f>
        <v>#DIV/0!</v>
      </c>
      <c r="JRP38" s="363" t="s">
        <v>153</v>
      </c>
      <c r="JRQ38" s="363"/>
      <c r="JRR38" s="363"/>
      <c r="JRS38" s="364" t="s">
        <v>140</v>
      </c>
      <c r="JRT38" s="365">
        <v>0.5</v>
      </c>
      <c r="JRU38" s="366" t="e">
        <f>10/JRQ36</f>
        <v>#DIV/0!</v>
      </c>
      <c r="JRV38" s="367">
        <v>15.38</v>
      </c>
      <c r="JRW38" s="367" t="e">
        <f>JRT38*JRU38*JRV38</f>
        <v>#DIV/0!</v>
      </c>
      <c r="JRX38" s="363" t="s">
        <v>153</v>
      </c>
      <c r="JRY38" s="363"/>
      <c r="JRZ38" s="363"/>
      <c r="JSA38" s="364" t="s">
        <v>140</v>
      </c>
      <c r="JSB38" s="365">
        <v>0.5</v>
      </c>
      <c r="JSC38" s="366" t="e">
        <f>10/JRY36</f>
        <v>#DIV/0!</v>
      </c>
      <c r="JSD38" s="367">
        <v>15.38</v>
      </c>
      <c r="JSE38" s="367" t="e">
        <f>JSB38*JSC38*JSD38</f>
        <v>#DIV/0!</v>
      </c>
      <c r="JSF38" s="363" t="s">
        <v>153</v>
      </c>
      <c r="JSG38" s="363"/>
      <c r="JSH38" s="363"/>
      <c r="JSI38" s="364" t="s">
        <v>140</v>
      </c>
      <c r="JSJ38" s="365">
        <v>0.5</v>
      </c>
      <c r="JSK38" s="366" t="e">
        <f>10/JSG36</f>
        <v>#DIV/0!</v>
      </c>
      <c r="JSL38" s="367">
        <v>15.38</v>
      </c>
      <c r="JSM38" s="367" t="e">
        <f>JSJ38*JSK38*JSL38</f>
        <v>#DIV/0!</v>
      </c>
      <c r="JSN38" s="363" t="s">
        <v>153</v>
      </c>
      <c r="JSO38" s="363"/>
      <c r="JSP38" s="363"/>
      <c r="JSQ38" s="364" t="s">
        <v>140</v>
      </c>
      <c r="JSR38" s="365">
        <v>0.5</v>
      </c>
      <c r="JSS38" s="366" t="e">
        <f>10/JSO36</f>
        <v>#DIV/0!</v>
      </c>
      <c r="JST38" s="367">
        <v>15.38</v>
      </c>
      <c r="JSU38" s="367" t="e">
        <f>JSR38*JSS38*JST38</f>
        <v>#DIV/0!</v>
      </c>
      <c r="JSV38" s="363" t="s">
        <v>153</v>
      </c>
      <c r="JSW38" s="363"/>
      <c r="JSX38" s="363"/>
      <c r="JSY38" s="364" t="s">
        <v>140</v>
      </c>
      <c r="JSZ38" s="365">
        <v>0.5</v>
      </c>
      <c r="JTA38" s="366" t="e">
        <f>10/JSW36</f>
        <v>#DIV/0!</v>
      </c>
      <c r="JTB38" s="367">
        <v>15.38</v>
      </c>
      <c r="JTC38" s="367" t="e">
        <f>JSZ38*JTA38*JTB38</f>
        <v>#DIV/0!</v>
      </c>
      <c r="JTD38" s="363" t="s">
        <v>153</v>
      </c>
      <c r="JTE38" s="363"/>
      <c r="JTF38" s="363"/>
      <c r="JTG38" s="364" t="s">
        <v>140</v>
      </c>
      <c r="JTH38" s="365">
        <v>0.5</v>
      </c>
      <c r="JTI38" s="366" t="e">
        <f>10/JTE36</f>
        <v>#DIV/0!</v>
      </c>
      <c r="JTJ38" s="367">
        <v>15.38</v>
      </c>
      <c r="JTK38" s="367" t="e">
        <f>JTH38*JTI38*JTJ38</f>
        <v>#DIV/0!</v>
      </c>
      <c r="JTL38" s="363" t="s">
        <v>153</v>
      </c>
      <c r="JTM38" s="363"/>
      <c r="JTN38" s="363"/>
      <c r="JTO38" s="364" t="s">
        <v>140</v>
      </c>
      <c r="JTP38" s="365">
        <v>0.5</v>
      </c>
      <c r="JTQ38" s="366" t="e">
        <f>10/JTM36</f>
        <v>#DIV/0!</v>
      </c>
      <c r="JTR38" s="367">
        <v>15.38</v>
      </c>
      <c r="JTS38" s="367" t="e">
        <f>JTP38*JTQ38*JTR38</f>
        <v>#DIV/0!</v>
      </c>
      <c r="JTT38" s="363" t="s">
        <v>153</v>
      </c>
      <c r="JTU38" s="363"/>
      <c r="JTV38" s="363"/>
      <c r="JTW38" s="364" t="s">
        <v>140</v>
      </c>
      <c r="JTX38" s="365">
        <v>0.5</v>
      </c>
      <c r="JTY38" s="366" t="e">
        <f>10/JTU36</f>
        <v>#DIV/0!</v>
      </c>
      <c r="JTZ38" s="367">
        <v>15.38</v>
      </c>
      <c r="JUA38" s="367" t="e">
        <f>JTX38*JTY38*JTZ38</f>
        <v>#DIV/0!</v>
      </c>
      <c r="JUB38" s="363" t="s">
        <v>153</v>
      </c>
      <c r="JUC38" s="363"/>
      <c r="JUD38" s="363"/>
      <c r="JUE38" s="364" t="s">
        <v>140</v>
      </c>
      <c r="JUF38" s="365">
        <v>0.5</v>
      </c>
      <c r="JUG38" s="366" t="e">
        <f>10/JUC36</f>
        <v>#DIV/0!</v>
      </c>
      <c r="JUH38" s="367">
        <v>15.38</v>
      </c>
      <c r="JUI38" s="367" t="e">
        <f>JUF38*JUG38*JUH38</f>
        <v>#DIV/0!</v>
      </c>
      <c r="JUJ38" s="363" t="s">
        <v>153</v>
      </c>
      <c r="JUK38" s="363"/>
      <c r="JUL38" s="363"/>
      <c r="JUM38" s="364" t="s">
        <v>140</v>
      </c>
      <c r="JUN38" s="365">
        <v>0.5</v>
      </c>
      <c r="JUO38" s="366" t="e">
        <f>10/JUK36</f>
        <v>#DIV/0!</v>
      </c>
      <c r="JUP38" s="367">
        <v>15.38</v>
      </c>
      <c r="JUQ38" s="367" t="e">
        <f>JUN38*JUO38*JUP38</f>
        <v>#DIV/0!</v>
      </c>
      <c r="JUR38" s="363" t="s">
        <v>153</v>
      </c>
      <c r="JUS38" s="363"/>
      <c r="JUT38" s="363"/>
      <c r="JUU38" s="364" t="s">
        <v>140</v>
      </c>
      <c r="JUV38" s="365">
        <v>0.5</v>
      </c>
      <c r="JUW38" s="366" t="e">
        <f>10/JUS36</f>
        <v>#DIV/0!</v>
      </c>
      <c r="JUX38" s="367">
        <v>15.38</v>
      </c>
      <c r="JUY38" s="367" t="e">
        <f>JUV38*JUW38*JUX38</f>
        <v>#DIV/0!</v>
      </c>
      <c r="JUZ38" s="363" t="s">
        <v>153</v>
      </c>
      <c r="JVA38" s="363"/>
      <c r="JVB38" s="363"/>
      <c r="JVC38" s="364" t="s">
        <v>140</v>
      </c>
      <c r="JVD38" s="365">
        <v>0.5</v>
      </c>
      <c r="JVE38" s="366" t="e">
        <f>10/JVA36</f>
        <v>#DIV/0!</v>
      </c>
      <c r="JVF38" s="367">
        <v>15.38</v>
      </c>
      <c r="JVG38" s="367" t="e">
        <f>JVD38*JVE38*JVF38</f>
        <v>#DIV/0!</v>
      </c>
      <c r="JVH38" s="363" t="s">
        <v>153</v>
      </c>
      <c r="JVI38" s="363"/>
      <c r="JVJ38" s="363"/>
      <c r="JVK38" s="364" t="s">
        <v>140</v>
      </c>
      <c r="JVL38" s="365">
        <v>0.5</v>
      </c>
      <c r="JVM38" s="366" t="e">
        <f>10/JVI36</f>
        <v>#DIV/0!</v>
      </c>
      <c r="JVN38" s="367">
        <v>15.38</v>
      </c>
      <c r="JVO38" s="367" t="e">
        <f>JVL38*JVM38*JVN38</f>
        <v>#DIV/0!</v>
      </c>
      <c r="JVP38" s="363" t="s">
        <v>153</v>
      </c>
      <c r="JVQ38" s="363"/>
      <c r="JVR38" s="363"/>
      <c r="JVS38" s="364" t="s">
        <v>140</v>
      </c>
      <c r="JVT38" s="365">
        <v>0.5</v>
      </c>
      <c r="JVU38" s="366" t="e">
        <f>10/JVQ36</f>
        <v>#DIV/0!</v>
      </c>
      <c r="JVV38" s="367">
        <v>15.38</v>
      </c>
      <c r="JVW38" s="367" t="e">
        <f>JVT38*JVU38*JVV38</f>
        <v>#DIV/0!</v>
      </c>
      <c r="JVX38" s="363" t="s">
        <v>153</v>
      </c>
      <c r="JVY38" s="363"/>
      <c r="JVZ38" s="363"/>
      <c r="JWA38" s="364" t="s">
        <v>140</v>
      </c>
      <c r="JWB38" s="365">
        <v>0.5</v>
      </c>
      <c r="JWC38" s="366" t="e">
        <f>10/JVY36</f>
        <v>#DIV/0!</v>
      </c>
      <c r="JWD38" s="367">
        <v>15.38</v>
      </c>
      <c r="JWE38" s="367" t="e">
        <f>JWB38*JWC38*JWD38</f>
        <v>#DIV/0!</v>
      </c>
      <c r="JWF38" s="363" t="s">
        <v>153</v>
      </c>
      <c r="JWG38" s="363"/>
      <c r="JWH38" s="363"/>
      <c r="JWI38" s="364" t="s">
        <v>140</v>
      </c>
      <c r="JWJ38" s="365">
        <v>0.5</v>
      </c>
      <c r="JWK38" s="366" t="e">
        <f>10/JWG36</f>
        <v>#DIV/0!</v>
      </c>
      <c r="JWL38" s="367">
        <v>15.38</v>
      </c>
      <c r="JWM38" s="367" t="e">
        <f>JWJ38*JWK38*JWL38</f>
        <v>#DIV/0!</v>
      </c>
      <c r="JWN38" s="363" t="s">
        <v>153</v>
      </c>
      <c r="JWO38" s="363"/>
      <c r="JWP38" s="363"/>
      <c r="JWQ38" s="364" t="s">
        <v>140</v>
      </c>
      <c r="JWR38" s="365">
        <v>0.5</v>
      </c>
      <c r="JWS38" s="366" t="e">
        <f>10/JWO36</f>
        <v>#DIV/0!</v>
      </c>
      <c r="JWT38" s="367">
        <v>15.38</v>
      </c>
      <c r="JWU38" s="367" t="e">
        <f>JWR38*JWS38*JWT38</f>
        <v>#DIV/0!</v>
      </c>
      <c r="JWV38" s="363" t="s">
        <v>153</v>
      </c>
      <c r="JWW38" s="363"/>
      <c r="JWX38" s="363"/>
      <c r="JWY38" s="364" t="s">
        <v>140</v>
      </c>
      <c r="JWZ38" s="365">
        <v>0.5</v>
      </c>
      <c r="JXA38" s="366" t="e">
        <f>10/JWW36</f>
        <v>#DIV/0!</v>
      </c>
      <c r="JXB38" s="367">
        <v>15.38</v>
      </c>
      <c r="JXC38" s="367" t="e">
        <f>JWZ38*JXA38*JXB38</f>
        <v>#DIV/0!</v>
      </c>
      <c r="JXD38" s="363" t="s">
        <v>153</v>
      </c>
      <c r="JXE38" s="363"/>
      <c r="JXF38" s="363"/>
      <c r="JXG38" s="364" t="s">
        <v>140</v>
      </c>
      <c r="JXH38" s="365">
        <v>0.5</v>
      </c>
      <c r="JXI38" s="366" t="e">
        <f>10/JXE36</f>
        <v>#DIV/0!</v>
      </c>
      <c r="JXJ38" s="367">
        <v>15.38</v>
      </c>
      <c r="JXK38" s="367" t="e">
        <f>JXH38*JXI38*JXJ38</f>
        <v>#DIV/0!</v>
      </c>
      <c r="JXL38" s="363" t="s">
        <v>153</v>
      </c>
      <c r="JXM38" s="363"/>
      <c r="JXN38" s="363"/>
      <c r="JXO38" s="364" t="s">
        <v>140</v>
      </c>
      <c r="JXP38" s="365">
        <v>0.5</v>
      </c>
      <c r="JXQ38" s="366" t="e">
        <f>10/JXM36</f>
        <v>#DIV/0!</v>
      </c>
      <c r="JXR38" s="367">
        <v>15.38</v>
      </c>
      <c r="JXS38" s="367" t="e">
        <f>JXP38*JXQ38*JXR38</f>
        <v>#DIV/0!</v>
      </c>
      <c r="JXT38" s="363" t="s">
        <v>153</v>
      </c>
      <c r="JXU38" s="363"/>
      <c r="JXV38" s="363"/>
      <c r="JXW38" s="364" t="s">
        <v>140</v>
      </c>
      <c r="JXX38" s="365">
        <v>0.5</v>
      </c>
      <c r="JXY38" s="366" t="e">
        <f>10/JXU36</f>
        <v>#DIV/0!</v>
      </c>
      <c r="JXZ38" s="367">
        <v>15.38</v>
      </c>
      <c r="JYA38" s="367" t="e">
        <f>JXX38*JXY38*JXZ38</f>
        <v>#DIV/0!</v>
      </c>
      <c r="JYB38" s="363" t="s">
        <v>153</v>
      </c>
      <c r="JYC38" s="363"/>
      <c r="JYD38" s="363"/>
      <c r="JYE38" s="364" t="s">
        <v>140</v>
      </c>
      <c r="JYF38" s="365">
        <v>0.5</v>
      </c>
      <c r="JYG38" s="366" t="e">
        <f>10/JYC36</f>
        <v>#DIV/0!</v>
      </c>
      <c r="JYH38" s="367">
        <v>15.38</v>
      </c>
      <c r="JYI38" s="367" t="e">
        <f>JYF38*JYG38*JYH38</f>
        <v>#DIV/0!</v>
      </c>
      <c r="JYJ38" s="363" t="s">
        <v>153</v>
      </c>
      <c r="JYK38" s="363"/>
      <c r="JYL38" s="363"/>
      <c r="JYM38" s="364" t="s">
        <v>140</v>
      </c>
      <c r="JYN38" s="365">
        <v>0.5</v>
      </c>
      <c r="JYO38" s="366" t="e">
        <f>10/JYK36</f>
        <v>#DIV/0!</v>
      </c>
      <c r="JYP38" s="367">
        <v>15.38</v>
      </c>
      <c r="JYQ38" s="367" t="e">
        <f>JYN38*JYO38*JYP38</f>
        <v>#DIV/0!</v>
      </c>
      <c r="JYR38" s="363" t="s">
        <v>153</v>
      </c>
      <c r="JYS38" s="363"/>
      <c r="JYT38" s="363"/>
      <c r="JYU38" s="364" t="s">
        <v>140</v>
      </c>
      <c r="JYV38" s="365">
        <v>0.5</v>
      </c>
      <c r="JYW38" s="366" t="e">
        <f>10/JYS36</f>
        <v>#DIV/0!</v>
      </c>
      <c r="JYX38" s="367">
        <v>15.38</v>
      </c>
      <c r="JYY38" s="367" t="e">
        <f>JYV38*JYW38*JYX38</f>
        <v>#DIV/0!</v>
      </c>
      <c r="JYZ38" s="363" t="s">
        <v>153</v>
      </c>
      <c r="JZA38" s="363"/>
      <c r="JZB38" s="363"/>
      <c r="JZC38" s="364" t="s">
        <v>140</v>
      </c>
      <c r="JZD38" s="365">
        <v>0.5</v>
      </c>
      <c r="JZE38" s="366" t="e">
        <f>10/JZA36</f>
        <v>#DIV/0!</v>
      </c>
      <c r="JZF38" s="367">
        <v>15.38</v>
      </c>
      <c r="JZG38" s="367" t="e">
        <f>JZD38*JZE38*JZF38</f>
        <v>#DIV/0!</v>
      </c>
      <c r="JZH38" s="363" t="s">
        <v>153</v>
      </c>
      <c r="JZI38" s="363"/>
      <c r="JZJ38" s="363"/>
      <c r="JZK38" s="364" t="s">
        <v>140</v>
      </c>
      <c r="JZL38" s="365">
        <v>0.5</v>
      </c>
      <c r="JZM38" s="366" t="e">
        <f>10/JZI36</f>
        <v>#DIV/0!</v>
      </c>
      <c r="JZN38" s="367">
        <v>15.38</v>
      </c>
      <c r="JZO38" s="367" t="e">
        <f>JZL38*JZM38*JZN38</f>
        <v>#DIV/0!</v>
      </c>
      <c r="JZP38" s="363" t="s">
        <v>153</v>
      </c>
      <c r="JZQ38" s="363"/>
      <c r="JZR38" s="363"/>
      <c r="JZS38" s="364" t="s">
        <v>140</v>
      </c>
      <c r="JZT38" s="365">
        <v>0.5</v>
      </c>
      <c r="JZU38" s="366" t="e">
        <f>10/JZQ36</f>
        <v>#DIV/0!</v>
      </c>
      <c r="JZV38" s="367">
        <v>15.38</v>
      </c>
      <c r="JZW38" s="367" t="e">
        <f>JZT38*JZU38*JZV38</f>
        <v>#DIV/0!</v>
      </c>
      <c r="JZX38" s="363" t="s">
        <v>153</v>
      </c>
      <c r="JZY38" s="363"/>
      <c r="JZZ38" s="363"/>
      <c r="KAA38" s="364" t="s">
        <v>140</v>
      </c>
      <c r="KAB38" s="365">
        <v>0.5</v>
      </c>
      <c r="KAC38" s="366" t="e">
        <f>10/JZY36</f>
        <v>#DIV/0!</v>
      </c>
      <c r="KAD38" s="367">
        <v>15.38</v>
      </c>
      <c r="KAE38" s="367" t="e">
        <f>KAB38*KAC38*KAD38</f>
        <v>#DIV/0!</v>
      </c>
      <c r="KAF38" s="363" t="s">
        <v>153</v>
      </c>
      <c r="KAG38" s="363"/>
      <c r="KAH38" s="363"/>
      <c r="KAI38" s="364" t="s">
        <v>140</v>
      </c>
      <c r="KAJ38" s="365">
        <v>0.5</v>
      </c>
      <c r="KAK38" s="366" t="e">
        <f>10/KAG36</f>
        <v>#DIV/0!</v>
      </c>
      <c r="KAL38" s="367">
        <v>15.38</v>
      </c>
      <c r="KAM38" s="367" t="e">
        <f>KAJ38*KAK38*KAL38</f>
        <v>#DIV/0!</v>
      </c>
      <c r="KAN38" s="363" t="s">
        <v>153</v>
      </c>
      <c r="KAO38" s="363"/>
      <c r="KAP38" s="363"/>
      <c r="KAQ38" s="364" t="s">
        <v>140</v>
      </c>
      <c r="KAR38" s="365">
        <v>0.5</v>
      </c>
      <c r="KAS38" s="366" t="e">
        <f>10/KAO36</f>
        <v>#DIV/0!</v>
      </c>
      <c r="KAT38" s="367">
        <v>15.38</v>
      </c>
      <c r="KAU38" s="367" t="e">
        <f>KAR38*KAS38*KAT38</f>
        <v>#DIV/0!</v>
      </c>
      <c r="KAV38" s="363" t="s">
        <v>153</v>
      </c>
      <c r="KAW38" s="363"/>
      <c r="KAX38" s="363"/>
      <c r="KAY38" s="364" t="s">
        <v>140</v>
      </c>
      <c r="KAZ38" s="365">
        <v>0.5</v>
      </c>
      <c r="KBA38" s="366" t="e">
        <f>10/KAW36</f>
        <v>#DIV/0!</v>
      </c>
      <c r="KBB38" s="367">
        <v>15.38</v>
      </c>
      <c r="KBC38" s="367" t="e">
        <f>KAZ38*KBA38*KBB38</f>
        <v>#DIV/0!</v>
      </c>
      <c r="KBD38" s="363" t="s">
        <v>153</v>
      </c>
      <c r="KBE38" s="363"/>
      <c r="KBF38" s="363"/>
      <c r="KBG38" s="364" t="s">
        <v>140</v>
      </c>
      <c r="KBH38" s="365">
        <v>0.5</v>
      </c>
      <c r="KBI38" s="366" t="e">
        <f>10/KBE36</f>
        <v>#DIV/0!</v>
      </c>
      <c r="KBJ38" s="367">
        <v>15.38</v>
      </c>
      <c r="KBK38" s="367" t="e">
        <f>KBH38*KBI38*KBJ38</f>
        <v>#DIV/0!</v>
      </c>
      <c r="KBL38" s="363" t="s">
        <v>153</v>
      </c>
      <c r="KBM38" s="363"/>
      <c r="KBN38" s="363"/>
      <c r="KBO38" s="364" t="s">
        <v>140</v>
      </c>
      <c r="KBP38" s="365">
        <v>0.5</v>
      </c>
      <c r="KBQ38" s="366" t="e">
        <f>10/KBM36</f>
        <v>#DIV/0!</v>
      </c>
      <c r="KBR38" s="367">
        <v>15.38</v>
      </c>
      <c r="KBS38" s="367" t="e">
        <f>KBP38*KBQ38*KBR38</f>
        <v>#DIV/0!</v>
      </c>
      <c r="KBT38" s="363" t="s">
        <v>153</v>
      </c>
      <c r="KBU38" s="363"/>
      <c r="KBV38" s="363"/>
      <c r="KBW38" s="364" t="s">
        <v>140</v>
      </c>
      <c r="KBX38" s="365">
        <v>0.5</v>
      </c>
      <c r="KBY38" s="366" t="e">
        <f>10/KBU36</f>
        <v>#DIV/0!</v>
      </c>
      <c r="KBZ38" s="367">
        <v>15.38</v>
      </c>
      <c r="KCA38" s="367" t="e">
        <f>KBX38*KBY38*KBZ38</f>
        <v>#DIV/0!</v>
      </c>
      <c r="KCB38" s="363" t="s">
        <v>153</v>
      </c>
      <c r="KCC38" s="363"/>
      <c r="KCD38" s="363"/>
      <c r="KCE38" s="364" t="s">
        <v>140</v>
      </c>
      <c r="KCF38" s="365">
        <v>0.5</v>
      </c>
      <c r="KCG38" s="366" t="e">
        <f>10/KCC36</f>
        <v>#DIV/0!</v>
      </c>
      <c r="KCH38" s="367">
        <v>15.38</v>
      </c>
      <c r="KCI38" s="367" t="e">
        <f>KCF38*KCG38*KCH38</f>
        <v>#DIV/0!</v>
      </c>
      <c r="KCJ38" s="363" t="s">
        <v>153</v>
      </c>
      <c r="KCK38" s="363"/>
      <c r="KCL38" s="363"/>
      <c r="KCM38" s="364" t="s">
        <v>140</v>
      </c>
      <c r="KCN38" s="365">
        <v>0.5</v>
      </c>
      <c r="KCO38" s="366" t="e">
        <f>10/KCK36</f>
        <v>#DIV/0!</v>
      </c>
      <c r="KCP38" s="367">
        <v>15.38</v>
      </c>
      <c r="KCQ38" s="367" t="e">
        <f>KCN38*KCO38*KCP38</f>
        <v>#DIV/0!</v>
      </c>
      <c r="KCR38" s="363" t="s">
        <v>153</v>
      </c>
      <c r="KCS38" s="363"/>
      <c r="KCT38" s="363"/>
      <c r="KCU38" s="364" t="s">
        <v>140</v>
      </c>
      <c r="KCV38" s="365">
        <v>0.5</v>
      </c>
      <c r="KCW38" s="366" t="e">
        <f>10/KCS36</f>
        <v>#DIV/0!</v>
      </c>
      <c r="KCX38" s="367">
        <v>15.38</v>
      </c>
      <c r="KCY38" s="367" t="e">
        <f>KCV38*KCW38*KCX38</f>
        <v>#DIV/0!</v>
      </c>
      <c r="KCZ38" s="363" t="s">
        <v>153</v>
      </c>
      <c r="KDA38" s="363"/>
      <c r="KDB38" s="363"/>
      <c r="KDC38" s="364" t="s">
        <v>140</v>
      </c>
      <c r="KDD38" s="365">
        <v>0.5</v>
      </c>
      <c r="KDE38" s="366" t="e">
        <f>10/KDA36</f>
        <v>#DIV/0!</v>
      </c>
      <c r="KDF38" s="367">
        <v>15.38</v>
      </c>
      <c r="KDG38" s="367" t="e">
        <f>KDD38*KDE38*KDF38</f>
        <v>#DIV/0!</v>
      </c>
      <c r="KDH38" s="363" t="s">
        <v>153</v>
      </c>
      <c r="KDI38" s="363"/>
      <c r="KDJ38" s="363"/>
      <c r="KDK38" s="364" t="s">
        <v>140</v>
      </c>
      <c r="KDL38" s="365">
        <v>0.5</v>
      </c>
      <c r="KDM38" s="366" t="e">
        <f>10/KDI36</f>
        <v>#DIV/0!</v>
      </c>
      <c r="KDN38" s="367">
        <v>15.38</v>
      </c>
      <c r="KDO38" s="367" t="e">
        <f>KDL38*KDM38*KDN38</f>
        <v>#DIV/0!</v>
      </c>
      <c r="KDP38" s="363" t="s">
        <v>153</v>
      </c>
      <c r="KDQ38" s="363"/>
      <c r="KDR38" s="363"/>
      <c r="KDS38" s="364" t="s">
        <v>140</v>
      </c>
      <c r="KDT38" s="365">
        <v>0.5</v>
      </c>
      <c r="KDU38" s="366" t="e">
        <f>10/KDQ36</f>
        <v>#DIV/0!</v>
      </c>
      <c r="KDV38" s="367">
        <v>15.38</v>
      </c>
      <c r="KDW38" s="367" t="e">
        <f>KDT38*KDU38*KDV38</f>
        <v>#DIV/0!</v>
      </c>
      <c r="KDX38" s="363" t="s">
        <v>153</v>
      </c>
      <c r="KDY38" s="363"/>
      <c r="KDZ38" s="363"/>
      <c r="KEA38" s="364" t="s">
        <v>140</v>
      </c>
      <c r="KEB38" s="365">
        <v>0.5</v>
      </c>
      <c r="KEC38" s="366" t="e">
        <f>10/KDY36</f>
        <v>#DIV/0!</v>
      </c>
      <c r="KED38" s="367">
        <v>15.38</v>
      </c>
      <c r="KEE38" s="367" t="e">
        <f>KEB38*KEC38*KED38</f>
        <v>#DIV/0!</v>
      </c>
      <c r="KEF38" s="363" t="s">
        <v>153</v>
      </c>
      <c r="KEG38" s="363"/>
      <c r="KEH38" s="363"/>
      <c r="KEI38" s="364" t="s">
        <v>140</v>
      </c>
      <c r="KEJ38" s="365">
        <v>0.5</v>
      </c>
      <c r="KEK38" s="366" t="e">
        <f>10/KEG36</f>
        <v>#DIV/0!</v>
      </c>
      <c r="KEL38" s="367">
        <v>15.38</v>
      </c>
      <c r="KEM38" s="367" t="e">
        <f>KEJ38*KEK38*KEL38</f>
        <v>#DIV/0!</v>
      </c>
      <c r="KEN38" s="363" t="s">
        <v>153</v>
      </c>
      <c r="KEO38" s="363"/>
      <c r="KEP38" s="363"/>
      <c r="KEQ38" s="364" t="s">
        <v>140</v>
      </c>
      <c r="KER38" s="365">
        <v>0.5</v>
      </c>
      <c r="KES38" s="366" t="e">
        <f>10/KEO36</f>
        <v>#DIV/0!</v>
      </c>
      <c r="KET38" s="367">
        <v>15.38</v>
      </c>
      <c r="KEU38" s="367" t="e">
        <f>KER38*KES38*KET38</f>
        <v>#DIV/0!</v>
      </c>
      <c r="KEV38" s="363" t="s">
        <v>153</v>
      </c>
      <c r="KEW38" s="363"/>
      <c r="KEX38" s="363"/>
      <c r="KEY38" s="364" t="s">
        <v>140</v>
      </c>
      <c r="KEZ38" s="365">
        <v>0.5</v>
      </c>
      <c r="KFA38" s="366" t="e">
        <f>10/KEW36</f>
        <v>#DIV/0!</v>
      </c>
      <c r="KFB38" s="367">
        <v>15.38</v>
      </c>
      <c r="KFC38" s="367" t="e">
        <f>KEZ38*KFA38*KFB38</f>
        <v>#DIV/0!</v>
      </c>
      <c r="KFD38" s="363" t="s">
        <v>153</v>
      </c>
      <c r="KFE38" s="363"/>
      <c r="KFF38" s="363"/>
      <c r="KFG38" s="364" t="s">
        <v>140</v>
      </c>
      <c r="KFH38" s="365">
        <v>0.5</v>
      </c>
      <c r="KFI38" s="366" t="e">
        <f>10/KFE36</f>
        <v>#DIV/0!</v>
      </c>
      <c r="KFJ38" s="367">
        <v>15.38</v>
      </c>
      <c r="KFK38" s="367" t="e">
        <f>KFH38*KFI38*KFJ38</f>
        <v>#DIV/0!</v>
      </c>
      <c r="KFL38" s="363" t="s">
        <v>153</v>
      </c>
      <c r="KFM38" s="363"/>
      <c r="KFN38" s="363"/>
      <c r="KFO38" s="364" t="s">
        <v>140</v>
      </c>
      <c r="KFP38" s="365">
        <v>0.5</v>
      </c>
      <c r="KFQ38" s="366" t="e">
        <f>10/KFM36</f>
        <v>#DIV/0!</v>
      </c>
      <c r="KFR38" s="367">
        <v>15.38</v>
      </c>
      <c r="KFS38" s="367" t="e">
        <f>KFP38*KFQ38*KFR38</f>
        <v>#DIV/0!</v>
      </c>
      <c r="KFT38" s="363" t="s">
        <v>153</v>
      </c>
      <c r="KFU38" s="363"/>
      <c r="KFV38" s="363"/>
      <c r="KFW38" s="364" t="s">
        <v>140</v>
      </c>
      <c r="KFX38" s="365">
        <v>0.5</v>
      </c>
      <c r="KFY38" s="366" t="e">
        <f>10/KFU36</f>
        <v>#DIV/0!</v>
      </c>
      <c r="KFZ38" s="367">
        <v>15.38</v>
      </c>
      <c r="KGA38" s="367" t="e">
        <f>KFX38*KFY38*KFZ38</f>
        <v>#DIV/0!</v>
      </c>
      <c r="KGB38" s="363" t="s">
        <v>153</v>
      </c>
      <c r="KGC38" s="363"/>
      <c r="KGD38" s="363"/>
      <c r="KGE38" s="364" t="s">
        <v>140</v>
      </c>
      <c r="KGF38" s="365">
        <v>0.5</v>
      </c>
      <c r="KGG38" s="366" t="e">
        <f>10/KGC36</f>
        <v>#DIV/0!</v>
      </c>
      <c r="KGH38" s="367">
        <v>15.38</v>
      </c>
      <c r="KGI38" s="367" t="e">
        <f>KGF38*KGG38*KGH38</f>
        <v>#DIV/0!</v>
      </c>
      <c r="KGJ38" s="363" t="s">
        <v>153</v>
      </c>
      <c r="KGK38" s="363"/>
      <c r="KGL38" s="363"/>
      <c r="KGM38" s="364" t="s">
        <v>140</v>
      </c>
      <c r="KGN38" s="365">
        <v>0.5</v>
      </c>
      <c r="KGO38" s="366" t="e">
        <f>10/KGK36</f>
        <v>#DIV/0!</v>
      </c>
      <c r="KGP38" s="367">
        <v>15.38</v>
      </c>
      <c r="KGQ38" s="367" t="e">
        <f>KGN38*KGO38*KGP38</f>
        <v>#DIV/0!</v>
      </c>
      <c r="KGR38" s="363" t="s">
        <v>153</v>
      </c>
      <c r="KGS38" s="363"/>
      <c r="KGT38" s="363"/>
      <c r="KGU38" s="364" t="s">
        <v>140</v>
      </c>
      <c r="KGV38" s="365">
        <v>0.5</v>
      </c>
      <c r="KGW38" s="366" t="e">
        <f>10/KGS36</f>
        <v>#DIV/0!</v>
      </c>
      <c r="KGX38" s="367">
        <v>15.38</v>
      </c>
      <c r="KGY38" s="367" t="e">
        <f>KGV38*KGW38*KGX38</f>
        <v>#DIV/0!</v>
      </c>
      <c r="KGZ38" s="363" t="s">
        <v>153</v>
      </c>
      <c r="KHA38" s="363"/>
      <c r="KHB38" s="363"/>
      <c r="KHC38" s="364" t="s">
        <v>140</v>
      </c>
      <c r="KHD38" s="365">
        <v>0.5</v>
      </c>
      <c r="KHE38" s="366" t="e">
        <f>10/KHA36</f>
        <v>#DIV/0!</v>
      </c>
      <c r="KHF38" s="367">
        <v>15.38</v>
      </c>
      <c r="KHG38" s="367" t="e">
        <f>KHD38*KHE38*KHF38</f>
        <v>#DIV/0!</v>
      </c>
      <c r="KHH38" s="363" t="s">
        <v>153</v>
      </c>
      <c r="KHI38" s="363"/>
      <c r="KHJ38" s="363"/>
      <c r="KHK38" s="364" t="s">
        <v>140</v>
      </c>
      <c r="KHL38" s="365">
        <v>0.5</v>
      </c>
      <c r="KHM38" s="366" t="e">
        <f>10/KHI36</f>
        <v>#DIV/0!</v>
      </c>
      <c r="KHN38" s="367">
        <v>15.38</v>
      </c>
      <c r="KHO38" s="367" t="e">
        <f>KHL38*KHM38*KHN38</f>
        <v>#DIV/0!</v>
      </c>
      <c r="KHP38" s="363" t="s">
        <v>153</v>
      </c>
      <c r="KHQ38" s="363"/>
      <c r="KHR38" s="363"/>
      <c r="KHS38" s="364" t="s">
        <v>140</v>
      </c>
      <c r="KHT38" s="365">
        <v>0.5</v>
      </c>
      <c r="KHU38" s="366" t="e">
        <f>10/KHQ36</f>
        <v>#DIV/0!</v>
      </c>
      <c r="KHV38" s="367">
        <v>15.38</v>
      </c>
      <c r="KHW38" s="367" t="e">
        <f>KHT38*KHU38*KHV38</f>
        <v>#DIV/0!</v>
      </c>
      <c r="KHX38" s="363" t="s">
        <v>153</v>
      </c>
      <c r="KHY38" s="363"/>
      <c r="KHZ38" s="363"/>
      <c r="KIA38" s="364" t="s">
        <v>140</v>
      </c>
      <c r="KIB38" s="365">
        <v>0.5</v>
      </c>
      <c r="KIC38" s="366" t="e">
        <f>10/KHY36</f>
        <v>#DIV/0!</v>
      </c>
      <c r="KID38" s="367">
        <v>15.38</v>
      </c>
      <c r="KIE38" s="367" t="e">
        <f>KIB38*KIC38*KID38</f>
        <v>#DIV/0!</v>
      </c>
      <c r="KIF38" s="363" t="s">
        <v>153</v>
      </c>
      <c r="KIG38" s="363"/>
      <c r="KIH38" s="363"/>
      <c r="KII38" s="364" t="s">
        <v>140</v>
      </c>
      <c r="KIJ38" s="365">
        <v>0.5</v>
      </c>
      <c r="KIK38" s="366" t="e">
        <f>10/KIG36</f>
        <v>#DIV/0!</v>
      </c>
      <c r="KIL38" s="367">
        <v>15.38</v>
      </c>
      <c r="KIM38" s="367" t="e">
        <f>KIJ38*KIK38*KIL38</f>
        <v>#DIV/0!</v>
      </c>
      <c r="KIN38" s="363" t="s">
        <v>153</v>
      </c>
      <c r="KIO38" s="363"/>
      <c r="KIP38" s="363"/>
      <c r="KIQ38" s="364" t="s">
        <v>140</v>
      </c>
      <c r="KIR38" s="365">
        <v>0.5</v>
      </c>
      <c r="KIS38" s="366" t="e">
        <f>10/KIO36</f>
        <v>#DIV/0!</v>
      </c>
      <c r="KIT38" s="367">
        <v>15.38</v>
      </c>
      <c r="KIU38" s="367" t="e">
        <f>KIR38*KIS38*KIT38</f>
        <v>#DIV/0!</v>
      </c>
      <c r="KIV38" s="363" t="s">
        <v>153</v>
      </c>
      <c r="KIW38" s="363"/>
      <c r="KIX38" s="363"/>
      <c r="KIY38" s="364" t="s">
        <v>140</v>
      </c>
      <c r="KIZ38" s="365">
        <v>0.5</v>
      </c>
      <c r="KJA38" s="366" t="e">
        <f>10/KIW36</f>
        <v>#DIV/0!</v>
      </c>
      <c r="KJB38" s="367">
        <v>15.38</v>
      </c>
      <c r="KJC38" s="367" t="e">
        <f>KIZ38*KJA38*KJB38</f>
        <v>#DIV/0!</v>
      </c>
      <c r="KJD38" s="363" t="s">
        <v>153</v>
      </c>
      <c r="KJE38" s="363"/>
      <c r="KJF38" s="363"/>
      <c r="KJG38" s="364" t="s">
        <v>140</v>
      </c>
      <c r="KJH38" s="365">
        <v>0.5</v>
      </c>
      <c r="KJI38" s="366" t="e">
        <f>10/KJE36</f>
        <v>#DIV/0!</v>
      </c>
      <c r="KJJ38" s="367">
        <v>15.38</v>
      </c>
      <c r="KJK38" s="367" t="e">
        <f>KJH38*KJI38*KJJ38</f>
        <v>#DIV/0!</v>
      </c>
      <c r="KJL38" s="363" t="s">
        <v>153</v>
      </c>
      <c r="KJM38" s="363"/>
      <c r="KJN38" s="363"/>
      <c r="KJO38" s="364" t="s">
        <v>140</v>
      </c>
      <c r="KJP38" s="365">
        <v>0.5</v>
      </c>
      <c r="KJQ38" s="366" t="e">
        <f>10/KJM36</f>
        <v>#DIV/0!</v>
      </c>
      <c r="KJR38" s="367">
        <v>15.38</v>
      </c>
      <c r="KJS38" s="367" t="e">
        <f>KJP38*KJQ38*KJR38</f>
        <v>#DIV/0!</v>
      </c>
      <c r="KJT38" s="363" t="s">
        <v>153</v>
      </c>
      <c r="KJU38" s="363"/>
      <c r="KJV38" s="363"/>
      <c r="KJW38" s="364" t="s">
        <v>140</v>
      </c>
      <c r="KJX38" s="365">
        <v>0.5</v>
      </c>
      <c r="KJY38" s="366" t="e">
        <f>10/KJU36</f>
        <v>#DIV/0!</v>
      </c>
      <c r="KJZ38" s="367">
        <v>15.38</v>
      </c>
      <c r="KKA38" s="367" t="e">
        <f>KJX38*KJY38*KJZ38</f>
        <v>#DIV/0!</v>
      </c>
      <c r="KKB38" s="363" t="s">
        <v>153</v>
      </c>
      <c r="KKC38" s="363"/>
      <c r="KKD38" s="363"/>
      <c r="KKE38" s="364" t="s">
        <v>140</v>
      </c>
      <c r="KKF38" s="365">
        <v>0.5</v>
      </c>
      <c r="KKG38" s="366" t="e">
        <f>10/KKC36</f>
        <v>#DIV/0!</v>
      </c>
      <c r="KKH38" s="367">
        <v>15.38</v>
      </c>
      <c r="KKI38" s="367" t="e">
        <f>KKF38*KKG38*KKH38</f>
        <v>#DIV/0!</v>
      </c>
      <c r="KKJ38" s="363" t="s">
        <v>153</v>
      </c>
      <c r="KKK38" s="363"/>
      <c r="KKL38" s="363"/>
      <c r="KKM38" s="364" t="s">
        <v>140</v>
      </c>
      <c r="KKN38" s="365">
        <v>0.5</v>
      </c>
      <c r="KKO38" s="366" t="e">
        <f>10/KKK36</f>
        <v>#DIV/0!</v>
      </c>
      <c r="KKP38" s="367">
        <v>15.38</v>
      </c>
      <c r="KKQ38" s="367" t="e">
        <f>KKN38*KKO38*KKP38</f>
        <v>#DIV/0!</v>
      </c>
      <c r="KKR38" s="363" t="s">
        <v>153</v>
      </c>
      <c r="KKS38" s="363"/>
      <c r="KKT38" s="363"/>
      <c r="KKU38" s="364" t="s">
        <v>140</v>
      </c>
      <c r="KKV38" s="365">
        <v>0.5</v>
      </c>
      <c r="KKW38" s="366" t="e">
        <f>10/KKS36</f>
        <v>#DIV/0!</v>
      </c>
      <c r="KKX38" s="367">
        <v>15.38</v>
      </c>
      <c r="KKY38" s="367" t="e">
        <f>KKV38*KKW38*KKX38</f>
        <v>#DIV/0!</v>
      </c>
      <c r="KKZ38" s="363" t="s">
        <v>153</v>
      </c>
      <c r="KLA38" s="363"/>
      <c r="KLB38" s="363"/>
      <c r="KLC38" s="364" t="s">
        <v>140</v>
      </c>
      <c r="KLD38" s="365">
        <v>0.5</v>
      </c>
      <c r="KLE38" s="366" t="e">
        <f>10/KLA36</f>
        <v>#DIV/0!</v>
      </c>
      <c r="KLF38" s="367">
        <v>15.38</v>
      </c>
      <c r="KLG38" s="367" t="e">
        <f>KLD38*KLE38*KLF38</f>
        <v>#DIV/0!</v>
      </c>
      <c r="KLH38" s="363" t="s">
        <v>153</v>
      </c>
      <c r="KLI38" s="363"/>
      <c r="KLJ38" s="363"/>
      <c r="KLK38" s="364" t="s">
        <v>140</v>
      </c>
      <c r="KLL38" s="365">
        <v>0.5</v>
      </c>
      <c r="KLM38" s="366" t="e">
        <f>10/KLI36</f>
        <v>#DIV/0!</v>
      </c>
      <c r="KLN38" s="367">
        <v>15.38</v>
      </c>
      <c r="KLO38" s="367" t="e">
        <f>KLL38*KLM38*KLN38</f>
        <v>#DIV/0!</v>
      </c>
      <c r="KLP38" s="363" t="s">
        <v>153</v>
      </c>
      <c r="KLQ38" s="363"/>
      <c r="KLR38" s="363"/>
      <c r="KLS38" s="364" t="s">
        <v>140</v>
      </c>
      <c r="KLT38" s="365">
        <v>0.5</v>
      </c>
      <c r="KLU38" s="366" t="e">
        <f>10/KLQ36</f>
        <v>#DIV/0!</v>
      </c>
      <c r="KLV38" s="367">
        <v>15.38</v>
      </c>
      <c r="KLW38" s="367" t="e">
        <f>KLT38*KLU38*KLV38</f>
        <v>#DIV/0!</v>
      </c>
      <c r="KLX38" s="363" t="s">
        <v>153</v>
      </c>
      <c r="KLY38" s="363"/>
      <c r="KLZ38" s="363"/>
      <c r="KMA38" s="364" t="s">
        <v>140</v>
      </c>
      <c r="KMB38" s="365">
        <v>0.5</v>
      </c>
      <c r="KMC38" s="366" t="e">
        <f>10/KLY36</f>
        <v>#DIV/0!</v>
      </c>
      <c r="KMD38" s="367">
        <v>15.38</v>
      </c>
      <c r="KME38" s="367" t="e">
        <f>KMB38*KMC38*KMD38</f>
        <v>#DIV/0!</v>
      </c>
      <c r="KMF38" s="363" t="s">
        <v>153</v>
      </c>
      <c r="KMG38" s="363"/>
      <c r="KMH38" s="363"/>
      <c r="KMI38" s="364" t="s">
        <v>140</v>
      </c>
      <c r="KMJ38" s="365">
        <v>0.5</v>
      </c>
      <c r="KMK38" s="366" t="e">
        <f>10/KMG36</f>
        <v>#DIV/0!</v>
      </c>
      <c r="KML38" s="367">
        <v>15.38</v>
      </c>
      <c r="KMM38" s="367" t="e">
        <f>KMJ38*KMK38*KML38</f>
        <v>#DIV/0!</v>
      </c>
      <c r="KMN38" s="363" t="s">
        <v>153</v>
      </c>
      <c r="KMO38" s="363"/>
      <c r="KMP38" s="363"/>
      <c r="KMQ38" s="364" t="s">
        <v>140</v>
      </c>
      <c r="KMR38" s="365">
        <v>0.5</v>
      </c>
      <c r="KMS38" s="366" t="e">
        <f>10/KMO36</f>
        <v>#DIV/0!</v>
      </c>
      <c r="KMT38" s="367">
        <v>15.38</v>
      </c>
      <c r="KMU38" s="367" t="e">
        <f>KMR38*KMS38*KMT38</f>
        <v>#DIV/0!</v>
      </c>
      <c r="KMV38" s="363" t="s">
        <v>153</v>
      </c>
      <c r="KMW38" s="363"/>
      <c r="KMX38" s="363"/>
      <c r="KMY38" s="364" t="s">
        <v>140</v>
      </c>
      <c r="KMZ38" s="365">
        <v>0.5</v>
      </c>
      <c r="KNA38" s="366" t="e">
        <f>10/KMW36</f>
        <v>#DIV/0!</v>
      </c>
      <c r="KNB38" s="367">
        <v>15.38</v>
      </c>
      <c r="KNC38" s="367" t="e">
        <f>KMZ38*KNA38*KNB38</f>
        <v>#DIV/0!</v>
      </c>
      <c r="KND38" s="363" t="s">
        <v>153</v>
      </c>
      <c r="KNE38" s="363"/>
      <c r="KNF38" s="363"/>
      <c r="KNG38" s="364" t="s">
        <v>140</v>
      </c>
      <c r="KNH38" s="365">
        <v>0.5</v>
      </c>
      <c r="KNI38" s="366" t="e">
        <f>10/KNE36</f>
        <v>#DIV/0!</v>
      </c>
      <c r="KNJ38" s="367">
        <v>15.38</v>
      </c>
      <c r="KNK38" s="367" t="e">
        <f>KNH38*KNI38*KNJ38</f>
        <v>#DIV/0!</v>
      </c>
      <c r="KNL38" s="363" t="s">
        <v>153</v>
      </c>
      <c r="KNM38" s="363"/>
      <c r="KNN38" s="363"/>
      <c r="KNO38" s="364" t="s">
        <v>140</v>
      </c>
      <c r="KNP38" s="365">
        <v>0.5</v>
      </c>
      <c r="KNQ38" s="366" t="e">
        <f>10/KNM36</f>
        <v>#DIV/0!</v>
      </c>
      <c r="KNR38" s="367">
        <v>15.38</v>
      </c>
      <c r="KNS38" s="367" t="e">
        <f>KNP38*KNQ38*KNR38</f>
        <v>#DIV/0!</v>
      </c>
      <c r="KNT38" s="363" t="s">
        <v>153</v>
      </c>
      <c r="KNU38" s="363"/>
      <c r="KNV38" s="363"/>
      <c r="KNW38" s="364" t="s">
        <v>140</v>
      </c>
      <c r="KNX38" s="365">
        <v>0.5</v>
      </c>
      <c r="KNY38" s="366" t="e">
        <f>10/KNU36</f>
        <v>#DIV/0!</v>
      </c>
      <c r="KNZ38" s="367">
        <v>15.38</v>
      </c>
      <c r="KOA38" s="367" t="e">
        <f>KNX38*KNY38*KNZ38</f>
        <v>#DIV/0!</v>
      </c>
      <c r="KOB38" s="363" t="s">
        <v>153</v>
      </c>
      <c r="KOC38" s="363"/>
      <c r="KOD38" s="363"/>
      <c r="KOE38" s="364" t="s">
        <v>140</v>
      </c>
      <c r="KOF38" s="365">
        <v>0.5</v>
      </c>
      <c r="KOG38" s="366" t="e">
        <f>10/KOC36</f>
        <v>#DIV/0!</v>
      </c>
      <c r="KOH38" s="367">
        <v>15.38</v>
      </c>
      <c r="KOI38" s="367" t="e">
        <f>KOF38*KOG38*KOH38</f>
        <v>#DIV/0!</v>
      </c>
      <c r="KOJ38" s="363" t="s">
        <v>153</v>
      </c>
      <c r="KOK38" s="363"/>
      <c r="KOL38" s="363"/>
      <c r="KOM38" s="364" t="s">
        <v>140</v>
      </c>
      <c r="KON38" s="365">
        <v>0.5</v>
      </c>
      <c r="KOO38" s="366" t="e">
        <f>10/KOK36</f>
        <v>#DIV/0!</v>
      </c>
      <c r="KOP38" s="367">
        <v>15.38</v>
      </c>
      <c r="KOQ38" s="367" t="e">
        <f>KON38*KOO38*KOP38</f>
        <v>#DIV/0!</v>
      </c>
      <c r="KOR38" s="363" t="s">
        <v>153</v>
      </c>
      <c r="KOS38" s="363"/>
      <c r="KOT38" s="363"/>
      <c r="KOU38" s="364" t="s">
        <v>140</v>
      </c>
      <c r="KOV38" s="365">
        <v>0.5</v>
      </c>
      <c r="KOW38" s="366" t="e">
        <f>10/KOS36</f>
        <v>#DIV/0!</v>
      </c>
      <c r="KOX38" s="367">
        <v>15.38</v>
      </c>
      <c r="KOY38" s="367" t="e">
        <f>KOV38*KOW38*KOX38</f>
        <v>#DIV/0!</v>
      </c>
      <c r="KOZ38" s="363" t="s">
        <v>153</v>
      </c>
      <c r="KPA38" s="363"/>
      <c r="KPB38" s="363"/>
      <c r="KPC38" s="364" t="s">
        <v>140</v>
      </c>
      <c r="KPD38" s="365">
        <v>0.5</v>
      </c>
      <c r="KPE38" s="366" t="e">
        <f>10/KPA36</f>
        <v>#DIV/0!</v>
      </c>
      <c r="KPF38" s="367">
        <v>15.38</v>
      </c>
      <c r="KPG38" s="367" t="e">
        <f>KPD38*KPE38*KPF38</f>
        <v>#DIV/0!</v>
      </c>
      <c r="KPH38" s="363" t="s">
        <v>153</v>
      </c>
      <c r="KPI38" s="363"/>
      <c r="KPJ38" s="363"/>
      <c r="KPK38" s="364" t="s">
        <v>140</v>
      </c>
      <c r="KPL38" s="365">
        <v>0.5</v>
      </c>
      <c r="KPM38" s="366" t="e">
        <f>10/KPI36</f>
        <v>#DIV/0!</v>
      </c>
      <c r="KPN38" s="367">
        <v>15.38</v>
      </c>
      <c r="KPO38" s="367" t="e">
        <f>KPL38*KPM38*KPN38</f>
        <v>#DIV/0!</v>
      </c>
      <c r="KPP38" s="363" t="s">
        <v>153</v>
      </c>
      <c r="KPQ38" s="363"/>
      <c r="KPR38" s="363"/>
      <c r="KPS38" s="364" t="s">
        <v>140</v>
      </c>
      <c r="KPT38" s="365">
        <v>0.5</v>
      </c>
      <c r="KPU38" s="366" t="e">
        <f>10/KPQ36</f>
        <v>#DIV/0!</v>
      </c>
      <c r="KPV38" s="367">
        <v>15.38</v>
      </c>
      <c r="KPW38" s="367" t="e">
        <f>KPT38*KPU38*KPV38</f>
        <v>#DIV/0!</v>
      </c>
      <c r="KPX38" s="363" t="s">
        <v>153</v>
      </c>
      <c r="KPY38" s="363"/>
      <c r="KPZ38" s="363"/>
      <c r="KQA38" s="364" t="s">
        <v>140</v>
      </c>
      <c r="KQB38" s="365">
        <v>0.5</v>
      </c>
      <c r="KQC38" s="366" t="e">
        <f>10/KPY36</f>
        <v>#DIV/0!</v>
      </c>
      <c r="KQD38" s="367">
        <v>15.38</v>
      </c>
      <c r="KQE38" s="367" t="e">
        <f>KQB38*KQC38*KQD38</f>
        <v>#DIV/0!</v>
      </c>
      <c r="KQF38" s="363" t="s">
        <v>153</v>
      </c>
      <c r="KQG38" s="363"/>
      <c r="KQH38" s="363"/>
      <c r="KQI38" s="364" t="s">
        <v>140</v>
      </c>
      <c r="KQJ38" s="365">
        <v>0.5</v>
      </c>
      <c r="KQK38" s="366" t="e">
        <f>10/KQG36</f>
        <v>#DIV/0!</v>
      </c>
      <c r="KQL38" s="367">
        <v>15.38</v>
      </c>
      <c r="KQM38" s="367" t="e">
        <f>KQJ38*KQK38*KQL38</f>
        <v>#DIV/0!</v>
      </c>
      <c r="KQN38" s="363" t="s">
        <v>153</v>
      </c>
      <c r="KQO38" s="363"/>
      <c r="KQP38" s="363"/>
      <c r="KQQ38" s="364" t="s">
        <v>140</v>
      </c>
      <c r="KQR38" s="365">
        <v>0.5</v>
      </c>
      <c r="KQS38" s="366" t="e">
        <f>10/KQO36</f>
        <v>#DIV/0!</v>
      </c>
      <c r="KQT38" s="367">
        <v>15.38</v>
      </c>
      <c r="KQU38" s="367" t="e">
        <f>KQR38*KQS38*KQT38</f>
        <v>#DIV/0!</v>
      </c>
      <c r="KQV38" s="363" t="s">
        <v>153</v>
      </c>
      <c r="KQW38" s="363"/>
      <c r="KQX38" s="363"/>
      <c r="KQY38" s="364" t="s">
        <v>140</v>
      </c>
      <c r="KQZ38" s="365">
        <v>0.5</v>
      </c>
      <c r="KRA38" s="366" t="e">
        <f>10/KQW36</f>
        <v>#DIV/0!</v>
      </c>
      <c r="KRB38" s="367">
        <v>15.38</v>
      </c>
      <c r="KRC38" s="367" t="e">
        <f>KQZ38*KRA38*KRB38</f>
        <v>#DIV/0!</v>
      </c>
      <c r="KRD38" s="363" t="s">
        <v>153</v>
      </c>
      <c r="KRE38" s="363"/>
      <c r="KRF38" s="363"/>
      <c r="KRG38" s="364" t="s">
        <v>140</v>
      </c>
      <c r="KRH38" s="365">
        <v>0.5</v>
      </c>
      <c r="KRI38" s="366" t="e">
        <f>10/KRE36</f>
        <v>#DIV/0!</v>
      </c>
      <c r="KRJ38" s="367">
        <v>15.38</v>
      </c>
      <c r="KRK38" s="367" t="e">
        <f>KRH38*KRI38*KRJ38</f>
        <v>#DIV/0!</v>
      </c>
      <c r="KRL38" s="363" t="s">
        <v>153</v>
      </c>
      <c r="KRM38" s="363"/>
      <c r="KRN38" s="363"/>
      <c r="KRO38" s="364" t="s">
        <v>140</v>
      </c>
      <c r="KRP38" s="365">
        <v>0.5</v>
      </c>
      <c r="KRQ38" s="366" t="e">
        <f>10/KRM36</f>
        <v>#DIV/0!</v>
      </c>
      <c r="KRR38" s="367">
        <v>15.38</v>
      </c>
      <c r="KRS38" s="367" t="e">
        <f>KRP38*KRQ38*KRR38</f>
        <v>#DIV/0!</v>
      </c>
      <c r="KRT38" s="363" t="s">
        <v>153</v>
      </c>
      <c r="KRU38" s="363"/>
      <c r="KRV38" s="363"/>
      <c r="KRW38" s="364" t="s">
        <v>140</v>
      </c>
      <c r="KRX38" s="365">
        <v>0.5</v>
      </c>
      <c r="KRY38" s="366" t="e">
        <f>10/KRU36</f>
        <v>#DIV/0!</v>
      </c>
      <c r="KRZ38" s="367">
        <v>15.38</v>
      </c>
      <c r="KSA38" s="367" t="e">
        <f>KRX38*KRY38*KRZ38</f>
        <v>#DIV/0!</v>
      </c>
      <c r="KSB38" s="363" t="s">
        <v>153</v>
      </c>
      <c r="KSC38" s="363"/>
      <c r="KSD38" s="363"/>
      <c r="KSE38" s="364" t="s">
        <v>140</v>
      </c>
      <c r="KSF38" s="365">
        <v>0.5</v>
      </c>
      <c r="KSG38" s="366" t="e">
        <f>10/KSC36</f>
        <v>#DIV/0!</v>
      </c>
      <c r="KSH38" s="367">
        <v>15.38</v>
      </c>
      <c r="KSI38" s="367" t="e">
        <f>KSF38*KSG38*KSH38</f>
        <v>#DIV/0!</v>
      </c>
      <c r="KSJ38" s="363" t="s">
        <v>153</v>
      </c>
      <c r="KSK38" s="363"/>
      <c r="KSL38" s="363"/>
      <c r="KSM38" s="364" t="s">
        <v>140</v>
      </c>
      <c r="KSN38" s="365">
        <v>0.5</v>
      </c>
      <c r="KSO38" s="366" t="e">
        <f>10/KSK36</f>
        <v>#DIV/0!</v>
      </c>
      <c r="KSP38" s="367">
        <v>15.38</v>
      </c>
      <c r="KSQ38" s="367" t="e">
        <f>KSN38*KSO38*KSP38</f>
        <v>#DIV/0!</v>
      </c>
      <c r="KSR38" s="363" t="s">
        <v>153</v>
      </c>
      <c r="KSS38" s="363"/>
      <c r="KST38" s="363"/>
      <c r="KSU38" s="364" t="s">
        <v>140</v>
      </c>
      <c r="KSV38" s="365">
        <v>0.5</v>
      </c>
      <c r="KSW38" s="366" t="e">
        <f>10/KSS36</f>
        <v>#DIV/0!</v>
      </c>
      <c r="KSX38" s="367">
        <v>15.38</v>
      </c>
      <c r="KSY38" s="367" t="e">
        <f>KSV38*KSW38*KSX38</f>
        <v>#DIV/0!</v>
      </c>
      <c r="KSZ38" s="363" t="s">
        <v>153</v>
      </c>
      <c r="KTA38" s="363"/>
      <c r="KTB38" s="363"/>
      <c r="KTC38" s="364" t="s">
        <v>140</v>
      </c>
      <c r="KTD38" s="365">
        <v>0.5</v>
      </c>
      <c r="KTE38" s="366" t="e">
        <f>10/KTA36</f>
        <v>#DIV/0!</v>
      </c>
      <c r="KTF38" s="367">
        <v>15.38</v>
      </c>
      <c r="KTG38" s="367" t="e">
        <f>KTD38*KTE38*KTF38</f>
        <v>#DIV/0!</v>
      </c>
      <c r="KTH38" s="363" t="s">
        <v>153</v>
      </c>
      <c r="KTI38" s="363"/>
      <c r="KTJ38" s="363"/>
      <c r="KTK38" s="364" t="s">
        <v>140</v>
      </c>
      <c r="KTL38" s="365">
        <v>0.5</v>
      </c>
      <c r="KTM38" s="366" t="e">
        <f>10/KTI36</f>
        <v>#DIV/0!</v>
      </c>
      <c r="KTN38" s="367">
        <v>15.38</v>
      </c>
      <c r="KTO38" s="367" t="e">
        <f>KTL38*KTM38*KTN38</f>
        <v>#DIV/0!</v>
      </c>
      <c r="KTP38" s="363" t="s">
        <v>153</v>
      </c>
      <c r="KTQ38" s="363"/>
      <c r="KTR38" s="363"/>
      <c r="KTS38" s="364" t="s">
        <v>140</v>
      </c>
      <c r="KTT38" s="365">
        <v>0.5</v>
      </c>
      <c r="KTU38" s="366" t="e">
        <f>10/KTQ36</f>
        <v>#DIV/0!</v>
      </c>
      <c r="KTV38" s="367">
        <v>15.38</v>
      </c>
      <c r="KTW38" s="367" t="e">
        <f>KTT38*KTU38*KTV38</f>
        <v>#DIV/0!</v>
      </c>
      <c r="KTX38" s="363" t="s">
        <v>153</v>
      </c>
      <c r="KTY38" s="363"/>
      <c r="KTZ38" s="363"/>
      <c r="KUA38" s="364" t="s">
        <v>140</v>
      </c>
      <c r="KUB38" s="365">
        <v>0.5</v>
      </c>
      <c r="KUC38" s="366" t="e">
        <f>10/KTY36</f>
        <v>#DIV/0!</v>
      </c>
      <c r="KUD38" s="367">
        <v>15.38</v>
      </c>
      <c r="KUE38" s="367" t="e">
        <f>KUB38*KUC38*KUD38</f>
        <v>#DIV/0!</v>
      </c>
      <c r="KUF38" s="363" t="s">
        <v>153</v>
      </c>
      <c r="KUG38" s="363"/>
      <c r="KUH38" s="363"/>
      <c r="KUI38" s="364" t="s">
        <v>140</v>
      </c>
      <c r="KUJ38" s="365">
        <v>0.5</v>
      </c>
      <c r="KUK38" s="366" t="e">
        <f>10/KUG36</f>
        <v>#DIV/0!</v>
      </c>
      <c r="KUL38" s="367">
        <v>15.38</v>
      </c>
      <c r="KUM38" s="367" t="e">
        <f>KUJ38*KUK38*KUL38</f>
        <v>#DIV/0!</v>
      </c>
      <c r="KUN38" s="363" t="s">
        <v>153</v>
      </c>
      <c r="KUO38" s="363"/>
      <c r="KUP38" s="363"/>
      <c r="KUQ38" s="364" t="s">
        <v>140</v>
      </c>
      <c r="KUR38" s="365">
        <v>0.5</v>
      </c>
      <c r="KUS38" s="366" t="e">
        <f>10/KUO36</f>
        <v>#DIV/0!</v>
      </c>
      <c r="KUT38" s="367">
        <v>15.38</v>
      </c>
      <c r="KUU38" s="367" t="e">
        <f>KUR38*KUS38*KUT38</f>
        <v>#DIV/0!</v>
      </c>
      <c r="KUV38" s="363" t="s">
        <v>153</v>
      </c>
      <c r="KUW38" s="363"/>
      <c r="KUX38" s="363"/>
      <c r="KUY38" s="364" t="s">
        <v>140</v>
      </c>
      <c r="KUZ38" s="365">
        <v>0.5</v>
      </c>
      <c r="KVA38" s="366" t="e">
        <f>10/KUW36</f>
        <v>#DIV/0!</v>
      </c>
      <c r="KVB38" s="367">
        <v>15.38</v>
      </c>
      <c r="KVC38" s="367" t="e">
        <f>KUZ38*KVA38*KVB38</f>
        <v>#DIV/0!</v>
      </c>
      <c r="KVD38" s="363" t="s">
        <v>153</v>
      </c>
      <c r="KVE38" s="363"/>
      <c r="KVF38" s="363"/>
      <c r="KVG38" s="364" t="s">
        <v>140</v>
      </c>
      <c r="KVH38" s="365">
        <v>0.5</v>
      </c>
      <c r="KVI38" s="366" t="e">
        <f>10/KVE36</f>
        <v>#DIV/0!</v>
      </c>
      <c r="KVJ38" s="367">
        <v>15.38</v>
      </c>
      <c r="KVK38" s="367" t="e">
        <f>KVH38*KVI38*KVJ38</f>
        <v>#DIV/0!</v>
      </c>
      <c r="KVL38" s="363" t="s">
        <v>153</v>
      </c>
      <c r="KVM38" s="363"/>
      <c r="KVN38" s="363"/>
      <c r="KVO38" s="364" t="s">
        <v>140</v>
      </c>
      <c r="KVP38" s="365">
        <v>0.5</v>
      </c>
      <c r="KVQ38" s="366" t="e">
        <f>10/KVM36</f>
        <v>#DIV/0!</v>
      </c>
      <c r="KVR38" s="367">
        <v>15.38</v>
      </c>
      <c r="KVS38" s="367" t="e">
        <f>KVP38*KVQ38*KVR38</f>
        <v>#DIV/0!</v>
      </c>
      <c r="KVT38" s="363" t="s">
        <v>153</v>
      </c>
      <c r="KVU38" s="363"/>
      <c r="KVV38" s="363"/>
      <c r="KVW38" s="364" t="s">
        <v>140</v>
      </c>
      <c r="KVX38" s="365">
        <v>0.5</v>
      </c>
      <c r="KVY38" s="366" t="e">
        <f>10/KVU36</f>
        <v>#DIV/0!</v>
      </c>
      <c r="KVZ38" s="367">
        <v>15.38</v>
      </c>
      <c r="KWA38" s="367" t="e">
        <f>KVX38*KVY38*KVZ38</f>
        <v>#DIV/0!</v>
      </c>
      <c r="KWB38" s="363" t="s">
        <v>153</v>
      </c>
      <c r="KWC38" s="363"/>
      <c r="KWD38" s="363"/>
      <c r="KWE38" s="364" t="s">
        <v>140</v>
      </c>
      <c r="KWF38" s="365">
        <v>0.5</v>
      </c>
      <c r="KWG38" s="366" t="e">
        <f>10/KWC36</f>
        <v>#DIV/0!</v>
      </c>
      <c r="KWH38" s="367">
        <v>15.38</v>
      </c>
      <c r="KWI38" s="367" t="e">
        <f>KWF38*KWG38*KWH38</f>
        <v>#DIV/0!</v>
      </c>
      <c r="KWJ38" s="363" t="s">
        <v>153</v>
      </c>
      <c r="KWK38" s="363"/>
      <c r="KWL38" s="363"/>
      <c r="KWM38" s="364" t="s">
        <v>140</v>
      </c>
      <c r="KWN38" s="365">
        <v>0.5</v>
      </c>
      <c r="KWO38" s="366" t="e">
        <f>10/KWK36</f>
        <v>#DIV/0!</v>
      </c>
      <c r="KWP38" s="367">
        <v>15.38</v>
      </c>
      <c r="KWQ38" s="367" t="e">
        <f>KWN38*KWO38*KWP38</f>
        <v>#DIV/0!</v>
      </c>
      <c r="KWR38" s="363" t="s">
        <v>153</v>
      </c>
      <c r="KWS38" s="363"/>
      <c r="KWT38" s="363"/>
      <c r="KWU38" s="364" t="s">
        <v>140</v>
      </c>
      <c r="KWV38" s="365">
        <v>0.5</v>
      </c>
      <c r="KWW38" s="366" t="e">
        <f>10/KWS36</f>
        <v>#DIV/0!</v>
      </c>
      <c r="KWX38" s="367">
        <v>15.38</v>
      </c>
      <c r="KWY38" s="367" t="e">
        <f>KWV38*KWW38*KWX38</f>
        <v>#DIV/0!</v>
      </c>
      <c r="KWZ38" s="363" t="s">
        <v>153</v>
      </c>
      <c r="KXA38" s="363"/>
      <c r="KXB38" s="363"/>
      <c r="KXC38" s="364" t="s">
        <v>140</v>
      </c>
      <c r="KXD38" s="365">
        <v>0.5</v>
      </c>
      <c r="KXE38" s="366" t="e">
        <f>10/KXA36</f>
        <v>#DIV/0!</v>
      </c>
      <c r="KXF38" s="367">
        <v>15.38</v>
      </c>
      <c r="KXG38" s="367" t="e">
        <f>KXD38*KXE38*KXF38</f>
        <v>#DIV/0!</v>
      </c>
      <c r="KXH38" s="363" t="s">
        <v>153</v>
      </c>
      <c r="KXI38" s="363"/>
      <c r="KXJ38" s="363"/>
      <c r="KXK38" s="364" t="s">
        <v>140</v>
      </c>
      <c r="KXL38" s="365">
        <v>0.5</v>
      </c>
      <c r="KXM38" s="366" t="e">
        <f>10/KXI36</f>
        <v>#DIV/0!</v>
      </c>
      <c r="KXN38" s="367">
        <v>15.38</v>
      </c>
      <c r="KXO38" s="367" t="e">
        <f>KXL38*KXM38*KXN38</f>
        <v>#DIV/0!</v>
      </c>
      <c r="KXP38" s="363" t="s">
        <v>153</v>
      </c>
      <c r="KXQ38" s="363"/>
      <c r="KXR38" s="363"/>
      <c r="KXS38" s="364" t="s">
        <v>140</v>
      </c>
      <c r="KXT38" s="365">
        <v>0.5</v>
      </c>
      <c r="KXU38" s="366" t="e">
        <f>10/KXQ36</f>
        <v>#DIV/0!</v>
      </c>
      <c r="KXV38" s="367">
        <v>15.38</v>
      </c>
      <c r="KXW38" s="367" t="e">
        <f>KXT38*KXU38*KXV38</f>
        <v>#DIV/0!</v>
      </c>
      <c r="KXX38" s="363" t="s">
        <v>153</v>
      </c>
      <c r="KXY38" s="363"/>
      <c r="KXZ38" s="363"/>
      <c r="KYA38" s="364" t="s">
        <v>140</v>
      </c>
      <c r="KYB38" s="365">
        <v>0.5</v>
      </c>
      <c r="KYC38" s="366" t="e">
        <f>10/KXY36</f>
        <v>#DIV/0!</v>
      </c>
      <c r="KYD38" s="367">
        <v>15.38</v>
      </c>
      <c r="KYE38" s="367" t="e">
        <f>KYB38*KYC38*KYD38</f>
        <v>#DIV/0!</v>
      </c>
      <c r="KYF38" s="363" t="s">
        <v>153</v>
      </c>
      <c r="KYG38" s="363"/>
      <c r="KYH38" s="363"/>
      <c r="KYI38" s="364" t="s">
        <v>140</v>
      </c>
      <c r="KYJ38" s="365">
        <v>0.5</v>
      </c>
      <c r="KYK38" s="366" t="e">
        <f>10/KYG36</f>
        <v>#DIV/0!</v>
      </c>
      <c r="KYL38" s="367">
        <v>15.38</v>
      </c>
      <c r="KYM38" s="367" t="e">
        <f>KYJ38*KYK38*KYL38</f>
        <v>#DIV/0!</v>
      </c>
      <c r="KYN38" s="363" t="s">
        <v>153</v>
      </c>
      <c r="KYO38" s="363"/>
      <c r="KYP38" s="363"/>
      <c r="KYQ38" s="364" t="s">
        <v>140</v>
      </c>
      <c r="KYR38" s="365">
        <v>0.5</v>
      </c>
      <c r="KYS38" s="366" t="e">
        <f>10/KYO36</f>
        <v>#DIV/0!</v>
      </c>
      <c r="KYT38" s="367">
        <v>15.38</v>
      </c>
      <c r="KYU38" s="367" t="e">
        <f>KYR38*KYS38*KYT38</f>
        <v>#DIV/0!</v>
      </c>
      <c r="KYV38" s="363" t="s">
        <v>153</v>
      </c>
      <c r="KYW38" s="363"/>
      <c r="KYX38" s="363"/>
      <c r="KYY38" s="364" t="s">
        <v>140</v>
      </c>
      <c r="KYZ38" s="365">
        <v>0.5</v>
      </c>
      <c r="KZA38" s="366" t="e">
        <f>10/KYW36</f>
        <v>#DIV/0!</v>
      </c>
      <c r="KZB38" s="367">
        <v>15.38</v>
      </c>
      <c r="KZC38" s="367" t="e">
        <f>KYZ38*KZA38*KZB38</f>
        <v>#DIV/0!</v>
      </c>
      <c r="KZD38" s="363" t="s">
        <v>153</v>
      </c>
      <c r="KZE38" s="363"/>
      <c r="KZF38" s="363"/>
      <c r="KZG38" s="364" t="s">
        <v>140</v>
      </c>
      <c r="KZH38" s="365">
        <v>0.5</v>
      </c>
      <c r="KZI38" s="366" t="e">
        <f>10/KZE36</f>
        <v>#DIV/0!</v>
      </c>
      <c r="KZJ38" s="367">
        <v>15.38</v>
      </c>
      <c r="KZK38" s="367" t="e">
        <f>KZH38*KZI38*KZJ38</f>
        <v>#DIV/0!</v>
      </c>
      <c r="KZL38" s="363" t="s">
        <v>153</v>
      </c>
      <c r="KZM38" s="363"/>
      <c r="KZN38" s="363"/>
      <c r="KZO38" s="364" t="s">
        <v>140</v>
      </c>
      <c r="KZP38" s="365">
        <v>0.5</v>
      </c>
      <c r="KZQ38" s="366" t="e">
        <f>10/KZM36</f>
        <v>#DIV/0!</v>
      </c>
      <c r="KZR38" s="367">
        <v>15.38</v>
      </c>
      <c r="KZS38" s="367" t="e">
        <f>KZP38*KZQ38*KZR38</f>
        <v>#DIV/0!</v>
      </c>
      <c r="KZT38" s="363" t="s">
        <v>153</v>
      </c>
      <c r="KZU38" s="363"/>
      <c r="KZV38" s="363"/>
      <c r="KZW38" s="364" t="s">
        <v>140</v>
      </c>
      <c r="KZX38" s="365">
        <v>0.5</v>
      </c>
      <c r="KZY38" s="366" t="e">
        <f>10/KZU36</f>
        <v>#DIV/0!</v>
      </c>
      <c r="KZZ38" s="367">
        <v>15.38</v>
      </c>
      <c r="LAA38" s="367" t="e">
        <f>KZX38*KZY38*KZZ38</f>
        <v>#DIV/0!</v>
      </c>
      <c r="LAB38" s="363" t="s">
        <v>153</v>
      </c>
      <c r="LAC38" s="363"/>
      <c r="LAD38" s="363"/>
      <c r="LAE38" s="364" t="s">
        <v>140</v>
      </c>
      <c r="LAF38" s="365">
        <v>0.5</v>
      </c>
      <c r="LAG38" s="366" t="e">
        <f>10/LAC36</f>
        <v>#DIV/0!</v>
      </c>
      <c r="LAH38" s="367">
        <v>15.38</v>
      </c>
      <c r="LAI38" s="367" t="e">
        <f>LAF38*LAG38*LAH38</f>
        <v>#DIV/0!</v>
      </c>
      <c r="LAJ38" s="363" t="s">
        <v>153</v>
      </c>
      <c r="LAK38" s="363"/>
      <c r="LAL38" s="363"/>
      <c r="LAM38" s="364" t="s">
        <v>140</v>
      </c>
      <c r="LAN38" s="365">
        <v>0.5</v>
      </c>
      <c r="LAO38" s="366" t="e">
        <f>10/LAK36</f>
        <v>#DIV/0!</v>
      </c>
      <c r="LAP38" s="367">
        <v>15.38</v>
      </c>
      <c r="LAQ38" s="367" t="e">
        <f>LAN38*LAO38*LAP38</f>
        <v>#DIV/0!</v>
      </c>
      <c r="LAR38" s="363" t="s">
        <v>153</v>
      </c>
      <c r="LAS38" s="363"/>
      <c r="LAT38" s="363"/>
      <c r="LAU38" s="364" t="s">
        <v>140</v>
      </c>
      <c r="LAV38" s="365">
        <v>0.5</v>
      </c>
      <c r="LAW38" s="366" t="e">
        <f>10/LAS36</f>
        <v>#DIV/0!</v>
      </c>
      <c r="LAX38" s="367">
        <v>15.38</v>
      </c>
      <c r="LAY38" s="367" t="e">
        <f>LAV38*LAW38*LAX38</f>
        <v>#DIV/0!</v>
      </c>
      <c r="LAZ38" s="363" t="s">
        <v>153</v>
      </c>
      <c r="LBA38" s="363"/>
      <c r="LBB38" s="363"/>
      <c r="LBC38" s="364" t="s">
        <v>140</v>
      </c>
      <c r="LBD38" s="365">
        <v>0.5</v>
      </c>
      <c r="LBE38" s="366" t="e">
        <f>10/LBA36</f>
        <v>#DIV/0!</v>
      </c>
      <c r="LBF38" s="367">
        <v>15.38</v>
      </c>
      <c r="LBG38" s="367" t="e">
        <f>LBD38*LBE38*LBF38</f>
        <v>#DIV/0!</v>
      </c>
      <c r="LBH38" s="363" t="s">
        <v>153</v>
      </c>
      <c r="LBI38" s="363"/>
      <c r="LBJ38" s="363"/>
      <c r="LBK38" s="364" t="s">
        <v>140</v>
      </c>
      <c r="LBL38" s="365">
        <v>0.5</v>
      </c>
      <c r="LBM38" s="366" t="e">
        <f>10/LBI36</f>
        <v>#DIV/0!</v>
      </c>
      <c r="LBN38" s="367">
        <v>15.38</v>
      </c>
      <c r="LBO38" s="367" t="e">
        <f>LBL38*LBM38*LBN38</f>
        <v>#DIV/0!</v>
      </c>
      <c r="LBP38" s="363" t="s">
        <v>153</v>
      </c>
      <c r="LBQ38" s="363"/>
      <c r="LBR38" s="363"/>
      <c r="LBS38" s="364" t="s">
        <v>140</v>
      </c>
      <c r="LBT38" s="365">
        <v>0.5</v>
      </c>
      <c r="LBU38" s="366" t="e">
        <f>10/LBQ36</f>
        <v>#DIV/0!</v>
      </c>
      <c r="LBV38" s="367">
        <v>15.38</v>
      </c>
      <c r="LBW38" s="367" t="e">
        <f>LBT38*LBU38*LBV38</f>
        <v>#DIV/0!</v>
      </c>
      <c r="LBX38" s="363" t="s">
        <v>153</v>
      </c>
      <c r="LBY38" s="363"/>
      <c r="LBZ38" s="363"/>
      <c r="LCA38" s="364" t="s">
        <v>140</v>
      </c>
      <c r="LCB38" s="365">
        <v>0.5</v>
      </c>
      <c r="LCC38" s="366" t="e">
        <f>10/LBY36</f>
        <v>#DIV/0!</v>
      </c>
      <c r="LCD38" s="367">
        <v>15.38</v>
      </c>
      <c r="LCE38" s="367" t="e">
        <f>LCB38*LCC38*LCD38</f>
        <v>#DIV/0!</v>
      </c>
      <c r="LCF38" s="363" t="s">
        <v>153</v>
      </c>
      <c r="LCG38" s="363"/>
      <c r="LCH38" s="363"/>
      <c r="LCI38" s="364" t="s">
        <v>140</v>
      </c>
      <c r="LCJ38" s="365">
        <v>0.5</v>
      </c>
      <c r="LCK38" s="366" t="e">
        <f>10/LCG36</f>
        <v>#DIV/0!</v>
      </c>
      <c r="LCL38" s="367">
        <v>15.38</v>
      </c>
      <c r="LCM38" s="367" t="e">
        <f>LCJ38*LCK38*LCL38</f>
        <v>#DIV/0!</v>
      </c>
      <c r="LCN38" s="363" t="s">
        <v>153</v>
      </c>
      <c r="LCO38" s="363"/>
      <c r="LCP38" s="363"/>
      <c r="LCQ38" s="364" t="s">
        <v>140</v>
      </c>
      <c r="LCR38" s="365">
        <v>0.5</v>
      </c>
      <c r="LCS38" s="366" t="e">
        <f>10/LCO36</f>
        <v>#DIV/0!</v>
      </c>
      <c r="LCT38" s="367">
        <v>15.38</v>
      </c>
      <c r="LCU38" s="367" t="e">
        <f>LCR38*LCS38*LCT38</f>
        <v>#DIV/0!</v>
      </c>
      <c r="LCV38" s="363" t="s">
        <v>153</v>
      </c>
      <c r="LCW38" s="363"/>
      <c r="LCX38" s="363"/>
      <c r="LCY38" s="364" t="s">
        <v>140</v>
      </c>
      <c r="LCZ38" s="365">
        <v>0.5</v>
      </c>
      <c r="LDA38" s="366" t="e">
        <f>10/LCW36</f>
        <v>#DIV/0!</v>
      </c>
      <c r="LDB38" s="367">
        <v>15.38</v>
      </c>
      <c r="LDC38" s="367" t="e">
        <f>LCZ38*LDA38*LDB38</f>
        <v>#DIV/0!</v>
      </c>
      <c r="LDD38" s="363" t="s">
        <v>153</v>
      </c>
      <c r="LDE38" s="363"/>
      <c r="LDF38" s="363"/>
      <c r="LDG38" s="364" t="s">
        <v>140</v>
      </c>
      <c r="LDH38" s="365">
        <v>0.5</v>
      </c>
      <c r="LDI38" s="366" t="e">
        <f>10/LDE36</f>
        <v>#DIV/0!</v>
      </c>
      <c r="LDJ38" s="367">
        <v>15.38</v>
      </c>
      <c r="LDK38" s="367" t="e">
        <f>LDH38*LDI38*LDJ38</f>
        <v>#DIV/0!</v>
      </c>
      <c r="LDL38" s="363" t="s">
        <v>153</v>
      </c>
      <c r="LDM38" s="363"/>
      <c r="LDN38" s="363"/>
      <c r="LDO38" s="364" t="s">
        <v>140</v>
      </c>
      <c r="LDP38" s="365">
        <v>0.5</v>
      </c>
      <c r="LDQ38" s="366" t="e">
        <f>10/LDM36</f>
        <v>#DIV/0!</v>
      </c>
      <c r="LDR38" s="367">
        <v>15.38</v>
      </c>
      <c r="LDS38" s="367" t="e">
        <f>LDP38*LDQ38*LDR38</f>
        <v>#DIV/0!</v>
      </c>
      <c r="LDT38" s="363" t="s">
        <v>153</v>
      </c>
      <c r="LDU38" s="363"/>
      <c r="LDV38" s="363"/>
      <c r="LDW38" s="364" t="s">
        <v>140</v>
      </c>
      <c r="LDX38" s="365">
        <v>0.5</v>
      </c>
      <c r="LDY38" s="366" t="e">
        <f>10/LDU36</f>
        <v>#DIV/0!</v>
      </c>
      <c r="LDZ38" s="367">
        <v>15.38</v>
      </c>
      <c r="LEA38" s="367" t="e">
        <f>LDX38*LDY38*LDZ38</f>
        <v>#DIV/0!</v>
      </c>
      <c r="LEB38" s="363" t="s">
        <v>153</v>
      </c>
      <c r="LEC38" s="363"/>
      <c r="LED38" s="363"/>
      <c r="LEE38" s="364" t="s">
        <v>140</v>
      </c>
      <c r="LEF38" s="365">
        <v>0.5</v>
      </c>
      <c r="LEG38" s="366" t="e">
        <f>10/LEC36</f>
        <v>#DIV/0!</v>
      </c>
      <c r="LEH38" s="367">
        <v>15.38</v>
      </c>
      <c r="LEI38" s="367" t="e">
        <f>LEF38*LEG38*LEH38</f>
        <v>#DIV/0!</v>
      </c>
      <c r="LEJ38" s="363" t="s">
        <v>153</v>
      </c>
      <c r="LEK38" s="363"/>
      <c r="LEL38" s="363"/>
      <c r="LEM38" s="364" t="s">
        <v>140</v>
      </c>
      <c r="LEN38" s="365">
        <v>0.5</v>
      </c>
      <c r="LEO38" s="366" t="e">
        <f>10/LEK36</f>
        <v>#DIV/0!</v>
      </c>
      <c r="LEP38" s="367">
        <v>15.38</v>
      </c>
      <c r="LEQ38" s="367" t="e">
        <f>LEN38*LEO38*LEP38</f>
        <v>#DIV/0!</v>
      </c>
      <c r="LER38" s="363" t="s">
        <v>153</v>
      </c>
      <c r="LES38" s="363"/>
      <c r="LET38" s="363"/>
      <c r="LEU38" s="364" t="s">
        <v>140</v>
      </c>
      <c r="LEV38" s="365">
        <v>0.5</v>
      </c>
      <c r="LEW38" s="366" t="e">
        <f>10/LES36</f>
        <v>#DIV/0!</v>
      </c>
      <c r="LEX38" s="367">
        <v>15.38</v>
      </c>
      <c r="LEY38" s="367" t="e">
        <f>LEV38*LEW38*LEX38</f>
        <v>#DIV/0!</v>
      </c>
      <c r="LEZ38" s="363" t="s">
        <v>153</v>
      </c>
      <c r="LFA38" s="363"/>
      <c r="LFB38" s="363"/>
      <c r="LFC38" s="364" t="s">
        <v>140</v>
      </c>
      <c r="LFD38" s="365">
        <v>0.5</v>
      </c>
      <c r="LFE38" s="366" t="e">
        <f>10/LFA36</f>
        <v>#DIV/0!</v>
      </c>
      <c r="LFF38" s="367">
        <v>15.38</v>
      </c>
      <c r="LFG38" s="367" t="e">
        <f>LFD38*LFE38*LFF38</f>
        <v>#DIV/0!</v>
      </c>
      <c r="LFH38" s="363" t="s">
        <v>153</v>
      </c>
      <c r="LFI38" s="363"/>
      <c r="LFJ38" s="363"/>
      <c r="LFK38" s="364" t="s">
        <v>140</v>
      </c>
      <c r="LFL38" s="365">
        <v>0.5</v>
      </c>
      <c r="LFM38" s="366" t="e">
        <f>10/LFI36</f>
        <v>#DIV/0!</v>
      </c>
      <c r="LFN38" s="367">
        <v>15.38</v>
      </c>
      <c r="LFO38" s="367" t="e">
        <f>LFL38*LFM38*LFN38</f>
        <v>#DIV/0!</v>
      </c>
      <c r="LFP38" s="363" t="s">
        <v>153</v>
      </c>
      <c r="LFQ38" s="363"/>
      <c r="LFR38" s="363"/>
      <c r="LFS38" s="364" t="s">
        <v>140</v>
      </c>
      <c r="LFT38" s="365">
        <v>0.5</v>
      </c>
      <c r="LFU38" s="366" t="e">
        <f>10/LFQ36</f>
        <v>#DIV/0!</v>
      </c>
      <c r="LFV38" s="367">
        <v>15.38</v>
      </c>
      <c r="LFW38" s="367" t="e">
        <f>LFT38*LFU38*LFV38</f>
        <v>#DIV/0!</v>
      </c>
      <c r="LFX38" s="363" t="s">
        <v>153</v>
      </c>
      <c r="LFY38" s="363"/>
      <c r="LFZ38" s="363"/>
      <c r="LGA38" s="364" t="s">
        <v>140</v>
      </c>
      <c r="LGB38" s="365">
        <v>0.5</v>
      </c>
      <c r="LGC38" s="366" t="e">
        <f>10/LFY36</f>
        <v>#DIV/0!</v>
      </c>
      <c r="LGD38" s="367">
        <v>15.38</v>
      </c>
      <c r="LGE38" s="367" t="e">
        <f>LGB38*LGC38*LGD38</f>
        <v>#DIV/0!</v>
      </c>
      <c r="LGF38" s="363" t="s">
        <v>153</v>
      </c>
      <c r="LGG38" s="363"/>
      <c r="LGH38" s="363"/>
      <c r="LGI38" s="364" t="s">
        <v>140</v>
      </c>
      <c r="LGJ38" s="365">
        <v>0.5</v>
      </c>
      <c r="LGK38" s="366" t="e">
        <f>10/LGG36</f>
        <v>#DIV/0!</v>
      </c>
      <c r="LGL38" s="367">
        <v>15.38</v>
      </c>
      <c r="LGM38" s="367" t="e">
        <f>LGJ38*LGK38*LGL38</f>
        <v>#DIV/0!</v>
      </c>
      <c r="LGN38" s="363" t="s">
        <v>153</v>
      </c>
      <c r="LGO38" s="363"/>
      <c r="LGP38" s="363"/>
      <c r="LGQ38" s="364" t="s">
        <v>140</v>
      </c>
      <c r="LGR38" s="365">
        <v>0.5</v>
      </c>
      <c r="LGS38" s="366" t="e">
        <f>10/LGO36</f>
        <v>#DIV/0!</v>
      </c>
      <c r="LGT38" s="367">
        <v>15.38</v>
      </c>
      <c r="LGU38" s="367" t="e">
        <f>LGR38*LGS38*LGT38</f>
        <v>#DIV/0!</v>
      </c>
      <c r="LGV38" s="363" t="s">
        <v>153</v>
      </c>
      <c r="LGW38" s="363"/>
      <c r="LGX38" s="363"/>
      <c r="LGY38" s="364" t="s">
        <v>140</v>
      </c>
      <c r="LGZ38" s="365">
        <v>0.5</v>
      </c>
      <c r="LHA38" s="366" t="e">
        <f>10/LGW36</f>
        <v>#DIV/0!</v>
      </c>
      <c r="LHB38" s="367">
        <v>15.38</v>
      </c>
      <c r="LHC38" s="367" t="e">
        <f>LGZ38*LHA38*LHB38</f>
        <v>#DIV/0!</v>
      </c>
      <c r="LHD38" s="363" t="s">
        <v>153</v>
      </c>
      <c r="LHE38" s="363"/>
      <c r="LHF38" s="363"/>
      <c r="LHG38" s="364" t="s">
        <v>140</v>
      </c>
      <c r="LHH38" s="365">
        <v>0.5</v>
      </c>
      <c r="LHI38" s="366" t="e">
        <f>10/LHE36</f>
        <v>#DIV/0!</v>
      </c>
      <c r="LHJ38" s="367">
        <v>15.38</v>
      </c>
      <c r="LHK38" s="367" t="e">
        <f>LHH38*LHI38*LHJ38</f>
        <v>#DIV/0!</v>
      </c>
      <c r="LHL38" s="363" t="s">
        <v>153</v>
      </c>
      <c r="LHM38" s="363"/>
      <c r="LHN38" s="363"/>
      <c r="LHO38" s="364" t="s">
        <v>140</v>
      </c>
      <c r="LHP38" s="365">
        <v>0.5</v>
      </c>
      <c r="LHQ38" s="366" t="e">
        <f>10/LHM36</f>
        <v>#DIV/0!</v>
      </c>
      <c r="LHR38" s="367">
        <v>15.38</v>
      </c>
      <c r="LHS38" s="367" t="e">
        <f>LHP38*LHQ38*LHR38</f>
        <v>#DIV/0!</v>
      </c>
      <c r="LHT38" s="363" t="s">
        <v>153</v>
      </c>
      <c r="LHU38" s="363"/>
      <c r="LHV38" s="363"/>
      <c r="LHW38" s="364" t="s">
        <v>140</v>
      </c>
      <c r="LHX38" s="365">
        <v>0.5</v>
      </c>
      <c r="LHY38" s="366" t="e">
        <f>10/LHU36</f>
        <v>#DIV/0!</v>
      </c>
      <c r="LHZ38" s="367">
        <v>15.38</v>
      </c>
      <c r="LIA38" s="367" t="e">
        <f>LHX38*LHY38*LHZ38</f>
        <v>#DIV/0!</v>
      </c>
      <c r="LIB38" s="363" t="s">
        <v>153</v>
      </c>
      <c r="LIC38" s="363"/>
      <c r="LID38" s="363"/>
      <c r="LIE38" s="364" t="s">
        <v>140</v>
      </c>
      <c r="LIF38" s="365">
        <v>0.5</v>
      </c>
      <c r="LIG38" s="366" t="e">
        <f>10/LIC36</f>
        <v>#DIV/0!</v>
      </c>
      <c r="LIH38" s="367">
        <v>15.38</v>
      </c>
      <c r="LII38" s="367" t="e">
        <f>LIF38*LIG38*LIH38</f>
        <v>#DIV/0!</v>
      </c>
      <c r="LIJ38" s="363" t="s">
        <v>153</v>
      </c>
      <c r="LIK38" s="363"/>
      <c r="LIL38" s="363"/>
      <c r="LIM38" s="364" t="s">
        <v>140</v>
      </c>
      <c r="LIN38" s="365">
        <v>0.5</v>
      </c>
      <c r="LIO38" s="366" t="e">
        <f>10/LIK36</f>
        <v>#DIV/0!</v>
      </c>
      <c r="LIP38" s="367">
        <v>15.38</v>
      </c>
      <c r="LIQ38" s="367" t="e">
        <f>LIN38*LIO38*LIP38</f>
        <v>#DIV/0!</v>
      </c>
      <c r="LIR38" s="363" t="s">
        <v>153</v>
      </c>
      <c r="LIS38" s="363"/>
      <c r="LIT38" s="363"/>
      <c r="LIU38" s="364" t="s">
        <v>140</v>
      </c>
      <c r="LIV38" s="365">
        <v>0.5</v>
      </c>
      <c r="LIW38" s="366" t="e">
        <f>10/LIS36</f>
        <v>#DIV/0!</v>
      </c>
      <c r="LIX38" s="367">
        <v>15.38</v>
      </c>
      <c r="LIY38" s="367" t="e">
        <f>LIV38*LIW38*LIX38</f>
        <v>#DIV/0!</v>
      </c>
      <c r="LIZ38" s="363" t="s">
        <v>153</v>
      </c>
      <c r="LJA38" s="363"/>
      <c r="LJB38" s="363"/>
      <c r="LJC38" s="364" t="s">
        <v>140</v>
      </c>
      <c r="LJD38" s="365">
        <v>0.5</v>
      </c>
      <c r="LJE38" s="366" t="e">
        <f>10/LJA36</f>
        <v>#DIV/0!</v>
      </c>
      <c r="LJF38" s="367">
        <v>15.38</v>
      </c>
      <c r="LJG38" s="367" t="e">
        <f>LJD38*LJE38*LJF38</f>
        <v>#DIV/0!</v>
      </c>
      <c r="LJH38" s="363" t="s">
        <v>153</v>
      </c>
      <c r="LJI38" s="363"/>
      <c r="LJJ38" s="363"/>
      <c r="LJK38" s="364" t="s">
        <v>140</v>
      </c>
      <c r="LJL38" s="365">
        <v>0.5</v>
      </c>
      <c r="LJM38" s="366" t="e">
        <f>10/LJI36</f>
        <v>#DIV/0!</v>
      </c>
      <c r="LJN38" s="367">
        <v>15.38</v>
      </c>
      <c r="LJO38" s="367" t="e">
        <f>LJL38*LJM38*LJN38</f>
        <v>#DIV/0!</v>
      </c>
      <c r="LJP38" s="363" t="s">
        <v>153</v>
      </c>
      <c r="LJQ38" s="363"/>
      <c r="LJR38" s="363"/>
      <c r="LJS38" s="364" t="s">
        <v>140</v>
      </c>
      <c r="LJT38" s="365">
        <v>0.5</v>
      </c>
      <c r="LJU38" s="366" t="e">
        <f>10/LJQ36</f>
        <v>#DIV/0!</v>
      </c>
      <c r="LJV38" s="367">
        <v>15.38</v>
      </c>
      <c r="LJW38" s="367" t="e">
        <f>LJT38*LJU38*LJV38</f>
        <v>#DIV/0!</v>
      </c>
      <c r="LJX38" s="363" t="s">
        <v>153</v>
      </c>
      <c r="LJY38" s="363"/>
      <c r="LJZ38" s="363"/>
      <c r="LKA38" s="364" t="s">
        <v>140</v>
      </c>
      <c r="LKB38" s="365">
        <v>0.5</v>
      </c>
      <c r="LKC38" s="366" t="e">
        <f>10/LJY36</f>
        <v>#DIV/0!</v>
      </c>
      <c r="LKD38" s="367">
        <v>15.38</v>
      </c>
      <c r="LKE38" s="367" t="e">
        <f>LKB38*LKC38*LKD38</f>
        <v>#DIV/0!</v>
      </c>
      <c r="LKF38" s="363" t="s">
        <v>153</v>
      </c>
      <c r="LKG38" s="363"/>
      <c r="LKH38" s="363"/>
      <c r="LKI38" s="364" t="s">
        <v>140</v>
      </c>
      <c r="LKJ38" s="365">
        <v>0.5</v>
      </c>
      <c r="LKK38" s="366" t="e">
        <f>10/LKG36</f>
        <v>#DIV/0!</v>
      </c>
      <c r="LKL38" s="367">
        <v>15.38</v>
      </c>
      <c r="LKM38" s="367" t="e">
        <f>LKJ38*LKK38*LKL38</f>
        <v>#DIV/0!</v>
      </c>
      <c r="LKN38" s="363" t="s">
        <v>153</v>
      </c>
      <c r="LKO38" s="363"/>
      <c r="LKP38" s="363"/>
      <c r="LKQ38" s="364" t="s">
        <v>140</v>
      </c>
      <c r="LKR38" s="365">
        <v>0.5</v>
      </c>
      <c r="LKS38" s="366" t="e">
        <f>10/LKO36</f>
        <v>#DIV/0!</v>
      </c>
      <c r="LKT38" s="367">
        <v>15.38</v>
      </c>
      <c r="LKU38" s="367" t="e">
        <f>LKR38*LKS38*LKT38</f>
        <v>#DIV/0!</v>
      </c>
      <c r="LKV38" s="363" t="s">
        <v>153</v>
      </c>
      <c r="LKW38" s="363"/>
      <c r="LKX38" s="363"/>
      <c r="LKY38" s="364" t="s">
        <v>140</v>
      </c>
      <c r="LKZ38" s="365">
        <v>0.5</v>
      </c>
      <c r="LLA38" s="366" t="e">
        <f>10/LKW36</f>
        <v>#DIV/0!</v>
      </c>
      <c r="LLB38" s="367">
        <v>15.38</v>
      </c>
      <c r="LLC38" s="367" t="e">
        <f>LKZ38*LLA38*LLB38</f>
        <v>#DIV/0!</v>
      </c>
      <c r="LLD38" s="363" t="s">
        <v>153</v>
      </c>
      <c r="LLE38" s="363"/>
      <c r="LLF38" s="363"/>
      <c r="LLG38" s="364" t="s">
        <v>140</v>
      </c>
      <c r="LLH38" s="365">
        <v>0.5</v>
      </c>
      <c r="LLI38" s="366" t="e">
        <f>10/LLE36</f>
        <v>#DIV/0!</v>
      </c>
      <c r="LLJ38" s="367">
        <v>15.38</v>
      </c>
      <c r="LLK38" s="367" t="e">
        <f>LLH38*LLI38*LLJ38</f>
        <v>#DIV/0!</v>
      </c>
      <c r="LLL38" s="363" t="s">
        <v>153</v>
      </c>
      <c r="LLM38" s="363"/>
      <c r="LLN38" s="363"/>
      <c r="LLO38" s="364" t="s">
        <v>140</v>
      </c>
      <c r="LLP38" s="365">
        <v>0.5</v>
      </c>
      <c r="LLQ38" s="366" t="e">
        <f>10/LLM36</f>
        <v>#DIV/0!</v>
      </c>
      <c r="LLR38" s="367">
        <v>15.38</v>
      </c>
      <c r="LLS38" s="367" t="e">
        <f>LLP38*LLQ38*LLR38</f>
        <v>#DIV/0!</v>
      </c>
      <c r="LLT38" s="363" t="s">
        <v>153</v>
      </c>
      <c r="LLU38" s="363"/>
      <c r="LLV38" s="363"/>
      <c r="LLW38" s="364" t="s">
        <v>140</v>
      </c>
      <c r="LLX38" s="365">
        <v>0.5</v>
      </c>
      <c r="LLY38" s="366" t="e">
        <f>10/LLU36</f>
        <v>#DIV/0!</v>
      </c>
      <c r="LLZ38" s="367">
        <v>15.38</v>
      </c>
      <c r="LMA38" s="367" t="e">
        <f>LLX38*LLY38*LLZ38</f>
        <v>#DIV/0!</v>
      </c>
      <c r="LMB38" s="363" t="s">
        <v>153</v>
      </c>
      <c r="LMC38" s="363"/>
      <c r="LMD38" s="363"/>
      <c r="LME38" s="364" t="s">
        <v>140</v>
      </c>
      <c r="LMF38" s="365">
        <v>0.5</v>
      </c>
      <c r="LMG38" s="366" t="e">
        <f>10/LMC36</f>
        <v>#DIV/0!</v>
      </c>
      <c r="LMH38" s="367">
        <v>15.38</v>
      </c>
      <c r="LMI38" s="367" t="e">
        <f>LMF38*LMG38*LMH38</f>
        <v>#DIV/0!</v>
      </c>
      <c r="LMJ38" s="363" t="s">
        <v>153</v>
      </c>
      <c r="LMK38" s="363"/>
      <c r="LML38" s="363"/>
      <c r="LMM38" s="364" t="s">
        <v>140</v>
      </c>
      <c r="LMN38" s="365">
        <v>0.5</v>
      </c>
      <c r="LMO38" s="366" t="e">
        <f>10/LMK36</f>
        <v>#DIV/0!</v>
      </c>
      <c r="LMP38" s="367">
        <v>15.38</v>
      </c>
      <c r="LMQ38" s="367" t="e">
        <f>LMN38*LMO38*LMP38</f>
        <v>#DIV/0!</v>
      </c>
      <c r="LMR38" s="363" t="s">
        <v>153</v>
      </c>
      <c r="LMS38" s="363"/>
      <c r="LMT38" s="363"/>
      <c r="LMU38" s="364" t="s">
        <v>140</v>
      </c>
      <c r="LMV38" s="365">
        <v>0.5</v>
      </c>
      <c r="LMW38" s="366" t="e">
        <f>10/LMS36</f>
        <v>#DIV/0!</v>
      </c>
      <c r="LMX38" s="367">
        <v>15.38</v>
      </c>
      <c r="LMY38" s="367" t="e">
        <f>LMV38*LMW38*LMX38</f>
        <v>#DIV/0!</v>
      </c>
      <c r="LMZ38" s="363" t="s">
        <v>153</v>
      </c>
      <c r="LNA38" s="363"/>
      <c r="LNB38" s="363"/>
      <c r="LNC38" s="364" t="s">
        <v>140</v>
      </c>
      <c r="LND38" s="365">
        <v>0.5</v>
      </c>
      <c r="LNE38" s="366" t="e">
        <f>10/LNA36</f>
        <v>#DIV/0!</v>
      </c>
      <c r="LNF38" s="367">
        <v>15.38</v>
      </c>
      <c r="LNG38" s="367" t="e">
        <f>LND38*LNE38*LNF38</f>
        <v>#DIV/0!</v>
      </c>
      <c r="LNH38" s="363" t="s">
        <v>153</v>
      </c>
      <c r="LNI38" s="363"/>
      <c r="LNJ38" s="363"/>
      <c r="LNK38" s="364" t="s">
        <v>140</v>
      </c>
      <c r="LNL38" s="365">
        <v>0.5</v>
      </c>
      <c r="LNM38" s="366" t="e">
        <f>10/LNI36</f>
        <v>#DIV/0!</v>
      </c>
      <c r="LNN38" s="367">
        <v>15.38</v>
      </c>
      <c r="LNO38" s="367" t="e">
        <f>LNL38*LNM38*LNN38</f>
        <v>#DIV/0!</v>
      </c>
      <c r="LNP38" s="363" t="s">
        <v>153</v>
      </c>
      <c r="LNQ38" s="363"/>
      <c r="LNR38" s="363"/>
      <c r="LNS38" s="364" t="s">
        <v>140</v>
      </c>
      <c r="LNT38" s="365">
        <v>0.5</v>
      </c>
      <c r="LNU38" s="366" t="e">
        <f>10/LNQ36</f>
        <v>#DIV/0!</v>
      </c>
      <c r="LNV38" s="367">
        <v>15.38</v>
      </c>
      <c r="LNW38" s="367" t="e">
        <f>LNT38*LNU38*LNV38</f>
        <v>#DIV/0!</v>
      </c>
      <c r="LNX38" s="363" t="s">
        <v>153</v>
      </c>
      <c r="LNY38" s="363"/>
      <c r="LNZ38" s="363"/>
      <c r="LOA38" s="364" t="s">
        <v>140</v>
      </c>
      <c r="LOB38" s="365">
        <v>0.5</v>
      </c>
      <c r="LOC38" s="366" t="e">
        <f>10/LNY36</f>
        <v>#DIV/0!</v>
      </c>
      <c r="LOD38" s="367">
        <v>15.38</v>
      </c>
      <c r="LOE38" s="367" t="e">
        <f>LOB38*LOC38*LOD38</f>
        <v>#DIV/0!</v>
      </c>
      <c r="LOF38" s="363" t="s">
        <v>153</v>
      </c>
      <c r="LOG38" s="363"/>
      <c r="LOH38" s="363"/>
      <c r="LOI38" s="364" t="s">
        <v>140</v>
      </c>
      <c r="LOJ38" s="365">
        <v>0.5</v>
      </c>
      <c r="LOK38" s="366" t="e">
        <f>10/LOG36</f>
        <v>#DIV/0!</v>
      </c>
      <c r="LOL38" s="367">
        <v>15.38</v>
      </c>
      <c r="LOM38" s="367" t="e">
        <f>LOJ38*LOK38*LOL38</f>
        <v>#DIV/0!</v>
      </c>
      <c r="LON38" s="363" t="s">
        <v>153</v>
      </c>
      <c r="LOO38" s="363"/>
      <c r="LOP38" s="363"/>
      <c r="LOQ38" s="364" t="s">
        <v>140</v>
      </c>
      <c r="LOR38" s="365">
        <v>0.5</v>
      </c>
      <c r="LOS38" s="366" t="e">
        <f>10/LOO36</f>
        <v>#DIV/0!</v>
      </c>
      <c r="LOT38" s="367">
        <v>15.38</v>
      </c>
      <c r="LOU38" s="367" t="e">
        <f>LOR38*LOS38*LOT38</f>
        <v>#DIV/0!</v>
      </c>
      <c r="LOV38" s="363" t="s">
        <v>153</v>
      </c>
      <c r="LOW38" s="363"/>
      <c r="LOX38" s="363"/>
      <c r="LOY38" s="364" t="s">
        <v>140</v>
      </c>
      <c r="LOZ38" s="365">
        <v>0.5</v>
      </c>
      <c r="LPA38" s="366" t="e">
        <f>10/LOW36</f>
        <v>#DIV/0!</v>
      </c>
      <c r="LPB38" s="367">
        <v>15.38</v>
      </c>
      <c r="LPC38" s="367" t="e">
        <f>LOZ38*LPA38*LPB38</f>
        <v>#DIV/0!</v>
      </c>
      <c r="LPD38" s="363" t="s">
        <v>153</v>
      </c>
      <c r="LPE38" s="363"/>
      <c r="LPF38" s="363"/>
      <c r="LPG38" s="364" t="s">
        <v>140</v>
      </c>
      <c r="LPH38" s="365">
        <v>0.5</v>
      </c>
      <c r="LPI38" s="366" t="e">
        <f>10/LPE36</f>
        <v>#DIV/0!</v>
      </c>
      <c r="LPJ38" s="367">
        <v>15.38</v>
      </c>
      <c r="LPK38" s="367" t="e">
        <f>LPH38*LPI38*LPJ38</f>
        <v>#DIV/0!</v>
      </c>
      <c r="LPL38" s="363" t="s">
        <v>153</v>
      </c>
      <c r="LPM38" s="363"/>
      <c r="LPN38" s="363"/>
      <c r="LPO38" s="364" t="s">
        <v>140</v>
      </c>
      <c r="LPP38" s="365">
        <v>0.5</v>
      </c>
      <c r="LPQ38" s="366" t="e">
        <f>10/LPM36</f>
        <v>#DIV/0!</v>
      </c>
      <c r="LPR38" s="367">
        <v>15.38</v>
      </c>
      <c r="LPS38" s="367" t="e">
        <f>LPP38*LPQ38*LPR38</f>
        <v>#DIV/0!</v>
      </c>
      <c r="LPT38" s="363" t="s">
        <v>153</v>
      </c>
      <c r="LPU38" s="363"/>
      <c r="LPV38" s="363"/>
      <c r="LPW38" s="364" t="s">
        <v>140</v>
      </c>
      <c r="LPX38" s="365">
        <v>0.5</v>
      </c>
      <c r="LPY38" s="366" t="e">
        <f>10/LPU36</f>
        <v>#DIV/0!</v>
      </c>
      <c r="LPZ38" s="367">
        <v>15.38</v>
      </c>
      <c r="LQA38" s="367" t="e">
        <f>LPX38*LPY38*LPZ38</f>
        <v>#DIV/0!</v>
      </c>
      <c r="LQB38" s="363" t="s">
        <v>153</v>
      </c>
      <c r="LQC38" s="363"/>
      <c r="LQD38" s="363"/>
      <c r="LQE38" s="364" t="s">
        <v>140</v>
      </c>
      <c r="LQF38" s="365">
        <v>0.5</v>
      </c>
      <c r="LQG38" s="366" t="e">
        <f>10/LQC36</f>
        <v>#DIV/0!</v>
      </c>
      <c r="LQH38" s="367">
        <v>15.38</v>
      </c>
      <c r="LQI38" s="367" t="e">
        <f>LQF38*LQG38*LQH38</f>
        <v>#DIV/0!</v>
      </c>
      <c r="LQJ38" s="363" t="s">
        <v>153</v>
      </c>
      <c r="LQK38" s="363"/>
      <c r="LQL38" s="363"/>
      <c r="LQM38" s="364" t="s">
        <v>140</v>
      </c>
      <c r="LQN38" s="365">
        <v>0.5</v>
      </c>
      <c r="LQO38" s="366" t="e">
        <f>10/LQK36</f>
        <v>#DIV/0!</v>
      </c>
      <c r="LQP38" s="367">
        <v>15.38</v>
      </c>
      <c r="LQQ38" s="367" t="e">
        <f>LQN38*LQO38*LQP38</f>
        <v>#DIV/0!</v>
      </c>
      <c r="LQR38" s="363" t="s">
        <v>153</v>
      </c>
      <c r="LQS38" s="363"/>
      <c r="LQT38" s="363"/>
      <c r="LQU38" s="364" t="s">
        <v>140</v>
      </c>
      <c r="LQV38" s="365">
        <v>0.5</v>
      </c>
      <c r="LQW38" s="366" t="e">
        <f>10/LQS36</f>
        <v>#DIV/0!</v>
      </c>
      <c r="LQX38" s="367">
        <v>15.38</v>
      </c>
      <c r="LQY38" s="367" t="e">
        <f>LQV38*LQW38*LQX38</f>
        <v>#DIV/0!</v>
      </c>
      <c r="LQZ38" s="363" t="s">
        <v>153</v>
      </c>
      <c r="LRA38" s="363"/>
      <c r="LRB38" s="363"/>
      <c r="LRC38" s="364" t="s">
        <v>140</v>
      </c>
      <c r="LRD38" s="365">
        <v>0.5</v>
      </c>
      <c r="LRE38" s="366" t="e">
        <f>10/LRA36</f>
        <v>#DIV/0!</v>
      </c>
      <c r="LRF38" s="367">
        <v>15.38</v>
      </c>
      <c r="LRG38" s="367" t="e">
        <f>LRD38*LRE38*LRF38</f>
        <v>#DIV/0!</v>
      </c>
      <c r="LRH38" s="363" t="s">
        <v>153</v>
      </c>
      <c r="LRI38" s="363"/>
      <c r="LRJ38" s="363"/>
      <c r="LRK38" s="364" t="s">
        <v>140</v>
      </c>
      <c r="LRL38" s="365">
        <v>0.5</v>
      </c>
      <c r="LRM38" s="366" t="e">
        <f>10/LRI36</f>
        <v>#DIV/0!</v>
      </c>
      <c r="LRN38" s="367">
        <v>15.38</v>
      </c>
      <c r="LRO38" s="367" t="e">
        <f>LRL38*LRM38*LRN38</f>
        <v>#DIV/0!</v>
      </c>
      <c r="LRP38" s="363" t="s">
        <v>153</v>
      </c>
      <c r="LRQ38" s="363"/>
      <c r="LRR38" s="363"/>
      <c r="LRS38" s="364" t="s">
        <v>140</v>
      </c>
      <c r="LRT38" s="365">
        <v>0.5</v>
      </c>
      <c r="LRU38" s="366" t="e">
        <f>10/LRQ36</f>
        <v>#DIV/0!</v>
      </c>
      <c r="LRV38" s="367">
        <v>15.38</v>
      </c>
      <c r="LRW38" s="367" t="e">
        <f>LRT38*LRU38*LRV38</f>
        <v>#DIV/0!</v>
      </c>
      <c r="LRX38" s="363" t="s">
        <v>153</v>
      </c>
      <c r="LRY38" s="363"/>
      <c r="LRZ38" s="363"/>
      <c r="LSA38" s="364" t="s">
        <v>140</v>
      </c>
      <c r="LSB38" s="365">
        <v>0.5</v>
      </c>
      <c r="LSC38" s="366" t="e">
        <f>10/LRY36</f>
        <v>#DIV/0!</v>
      </c>
      <c r="LSD38" s="367">
        <v>15.38</v>
      </c>
      <c r="LSE38" s="367" t="e">
        <f>LSB38*LSC38*LSD38</f>
        <v>#DIV/0!</v>
      </c>
      <c r="LSF38" s="363" t="s">
        <v>153</v>
      </c>
      <c r="LSG38" s="363"/>
      <c r="LSH38" s="363"/>
      <c r="LSI38" s="364" t="s">
        <v>140</v>
      </c>
      <c r="LSJ38" s="365">
        <v>0.5</v>
      </c>
      <c r="LSK38" s="366" t="e">
        <f>10/LSG36</f>
        <v>#DIV/0!</v>
      </c>
      <c r="LSL38" s="367">
        <v>15.38</v>
      </c>
      <c r="LSM38" s="367" t="e">
        <f>LSJ38*LSK38*LSL38</f>
        <v>#DIV/0!</v>
      </c>
      <c r="LSN38" s="363" t="s">
        <v>153</v>
      </c>
      <c r="LSO38" s="363"/>
      <c r="LSP38" s="363"/>
      <c r="LSQ38" s="364" t="s">
        <v>140</v>
      </c>
      <c r="LSR38" s="365">
        <v>0.5</v>
      </c>
      <c r="LSS38" s="366" t="e">
        <f>10/LSO36</f>
        <v>#DIV/0!</v>
      </c>
      <c r="LST38" s="367">
        <v>15.38</v>
      </c>
      <c r="LSU38" s="367" t="e">
        <f>LSR38*LSS38*LST38</f>
        <v>#DIV/0!</v>
      </c>
      <c r="LSV38" s="363" t="s">
        <v>153</v>
      </c>
      <c r="LSW38" s="363"/>
      <c r="LSX38" s="363"/>
      <c r="LSY38" s="364" t="s">
        <v>140</v>
      </c>
      <c r="LSZ38" s="365">
        <v>0.5</v>
      </c>
      <c r="LTA38" s="366" t="e">
        <f>10/LSW36</f>
        <v>#DIV/0!</v>
      </c>
      <c r="LTB38" s="367">
        <v>15.38</v>
      </c>
      <c r="LTC38" s="367" t="e">
        <f>LSZ38*LTA38*LTB38</f>
        <v>#DIV/0!</v>
      </c>
      <c r="LTD38" s="363" t="s">
        <v>153</v>
      </c>
      <c r="LTE38" s="363"/>
      <c r="LTF38" s="363"/>
      <c r="LTG38" s="364" t="s">
        <v>140</v>
      </c>
      <c r="LTH38" s="365">
        <v>0.5</v>
      </c>
      <c r="LTI38" s="366" t="e">
        <f>10/LTE36</f>
        <v>#DIV/0!</v>
      </c>
      <c r="LTJ38" s="367">
        <v>15.38</v>
      </c>
      <c r="LTK38" s="367" t="e">
        <f>LTH38*LTI38*LTJ38</f>
        <v>#DIV/0!</v>
      </c>
      <c r="LTL38" s="363" t="s">
        <v>153</v>
      </c>
      <c r="LTM38" s="363"/>
      <c r="LTN38" s="363"/>
      <c r="LTO38" s="364" t="s">
        <v>140</v>
      </c>
      <c r="LTP38" s="365">
        <v>0.5</v>
      </c>
      <c r="LTQ38" s="366" t="e">
        <f>10/LTM36</f>
        <v>#DIV/0!</v>
      </c>
      <c r="LTR38" s="367">
        <v>15.38</v>
      </c>
      <c r="LTS38" s="367" t="e">
        <f>LTP38*LTQ38*LTR38</f>
        <v>#DIV/0!</v>
      </c>
      <c r="LTT38" s="363" t="s">
        <v>153</v>
      </c>
      <c r="LTU38" s="363"/>
      <c r="LTV38" s="363"/>
      <c r="LTW38" s="364" t="s">
        <v>140</v>
      </c>
      <c r="LTX38" s="365">
        <v>0.5</v>
      </c>
      <c r="LTY38" s="366" t="e">
        <f>10/LTU36</f>
        <v>#DIV/0!</v>
      </c>
      <c r="LTZ38" s="367">
        <v>15.38</v>
      </c>
      <c r="LUA38" s="367" t="e">
        <f>LTX38*LTY38*LTZ38</f>
        <v>#DIV/0!</v>
      </c>
      <c r="LUB38" s="363" t="s">
        <v>153</v>
      </c>
      <c r="LUC38" s="363"/>
      <c r="LUD38" s="363"/>
      <c r="LUE38" s="364" t="s">
        <v>140</v>
      </c>
      <c r="LUF38" s="365">
        <v>0.5</v>
      </c>
      <c r="LUG38" s="366" t="e">
        <f>10/LUC36</f>
        <v>#DIV/0!</v>
      </c>
      <c r="LUH38" s="367">
        <v>15.38</v>
      </c>
      <c r="LUI38" s="367" t="e">
        <f>LUF38*LUG38*LUH38</f>
        <v>#DIV/0!</v>
      </c>
      <c r="LUJ38" s="363" t="s">
        <v>153</v>
      </c>
      <c r="LUK38" s="363"/>
      <c r="LUL38" s="363"/>
      <c r="LUM38" s="364" t="s">
        <v>140</v>
      </c>
      <c r="LUN38" s="365">
        <v>0.5</v>
      </c>
      <c r="LUO38" s="366" t="e">
        <f>10/LUK36</f>
        <v>#DIV/0!</v>
      </c>
      <c r="LUP38" s="367">
        <v>15.38</v>
      </c>
      <c r="LUQ38" s="367" t="e">
        <f>LUN38*LUO38*LUP38</f>
        <v>#DIV/0!</v>
      </c>
      <c r="LUR38" s="363" t="s">
        <v>153</v>
      </c>
      <c r="LUS38" s="363"/>
      <c r="LUT38" s="363"/>
      <c r="LUU38" s="364" t="s">
        <v>140</v>
      </c>
      <c r="LUV38" s="365">
        <v>0.5</v>
      </c>
      <c r="LUW38" s="366" t="e">
        <f>10/LUS36</f>
        <v>#DIV/0!</v>
      </c>
      <c r="LUX38" s="367">
        <v>15.38</v>
      </c>
      <c r="LUY38" s="367" t="e">
        <f>LUV38*LUW38*LUX38</f>
        <v>#DIV/0!</v>
      </c>
      <c r="LUZ38" s="363" t="s">
        <v>153</v>
      </c>
      <c r="LVA38" s="363"/>
      <c r="LVB38" s="363"/>
      <c r="LVC38" s="364" t="s">
        <v>140</v>
      </c>
      <c r="LVD38" s="365">
        <v>0.5</v>
      </c>
      <c r="LVE38" s="366" t="e">
        <f>10/LVA36</f>
        <v>#DIV/0!</v>
      </c>
      <c r="LVF38" s="367">
        <v>15.38</v>
      </c>
      <c r="LVG38" s="367" t="e">
        <f>LVD38*LVE38*LVF38</f>
        <v>#DIV/0!</v>
      </c>
      <c r="LVH38" s="363" t="s">
        <v>153</v>
      </c>
      <c r="LVI38" s="363"/>
      <c r="LVJ38" s="363"/>
      <c r="LVK38" s="364" t="s">
        <v>140</v>
      </c>
      <c r="LVL38" s="365">
        <v>0.5</v>
      </c>
      <c r="LVM38" s="366" t="e">
        <f>10/LVI36</f>
        <v>#DIV/0!</v>
      </c>
      <c r="LVN38" s="367">
        <v>15.38</v>
      </c>
      <c r="LVO38" s="367" t="e">
        <f>LVL38*LVM38*LVN38</f>
        <v>#DIV/0!</v>
      </c>
      <c r="LVP38" s="363" t="s">
        <v>153</v>
      </c>
      <c r="LVQ38" s="363"/>
      <c r="LVR38" s="363"/>
      <c r="LVS38" s="364" t="s">
        <v>140</v>
      </c>
      <c r="LVT38" s="365">
        <v>0.5</v>
      </c>
      <c r="LVU38" s="366" t="e">
        <f>10/LVQ36</f>
        <v>#DIV/0!</v>
      </c>
      <c r="LVV38" s="367">
        <v>15.38</v>
      </c>
      <c r="LVW38" s="367" t="e">
        <f>LVT38*LVU38*LVV38</f>
        <v>#DIV/0!</v>
      </c>
      <c r="LVX38" s="363" t="s">
        <v>153</v>
      </c>
      <c r="LVY38" s="363"/>
      <c r="LVZ38" s="363"/>
      <c r="LWA38" s="364" t="s">
        <v>140</v>
      </c>
      <c r="LWB38" s="365">
        <v>0.5</v>
      </c>
      <c r="LWC38" s="366" t="e">
        <f>10/LVY36</f>
        <v>#DIV/0!</v>
      </c>
      <c r="LWD38" s="367">
        <v>15.38</v>
      </c>
      <c r="LWE38" s="367" t="e">
        <f>LWB38*LWC38*LWD38</f>
        <v>#DIV/0!</v>
      </c>
      <c r="LWF38" s="363" t="s">
        <v>153</v>
      </c>
      <c r="LWG38" s="363"/>
      <c r="LWH38" s="363"/>
      <c r="LWI38" s="364" t="s">
        <v>140</v>
      </c>
      <c r="LWJ38" s="365">
        <v>0.5</v>
      </c>
      <c r="LWK38" s="366" t="e">
        <f>10/LWG36</f>
        <v>#DIV/0!</v>
      </c>
      <c r="LWL38" s="367">
        <v>15.38</v>
      </c>
      <c r="LWM38" s="367" t="e">
        <f>LWJ38*LWK38*LWL38</f>
        <v>#DIV/0!</v>
      </c>
      <c r="LWN38" s="363" t="s">
        <v>153</v>
      </c>
      <c r="LWO38" s="363"/>
      <c r="LWP38" s="363"/>
      <c r="LWQ38" s="364" t="s">
        <v>140</v>
      </c>
      <c r="LWR38" s="365">
        <v>0.5</v>
      </c>
      <c r="LWS38" s="366" t="e">
        <f>10/LWO36</f>
        <v>#DIV/0!</v>
      </c>
      <c r="LWT38" s="367">
        <v>15.38</v>
      </c>
      <c r="LWU38" s="367" t="e">
        <f>LWR38*LWS38*LWT38</f>
        <v>#DIV/0!</v>
      </c>
      <c r="LWV38" s="363" t="s">
        <v>153</v>
      </c>
      <c r="LWW38" s="363"/>
      <c r="LWX38" s="363"/>
      <c r="LWY38" s="364" t="s">
        <v>140</v>
      </c>
      <c r="LWZ38" s="365">
        <v>0.5</v>
      </c>
      <c r="LXA38" s="366" t="e">
        <f>10/LWW36</f>
        <v>#DIV/0!</v>
      </c>
      <c r="LXB38" s="367">
        <v>15.38</v>
      </c>
      <c r="LXC38" s="367" t="e">
        <f>LWZ38*LXA38*LXB38</f>
        <v>#DIV/0!</v>
      </c>
      <c r="LXD38" s="363" t="s">
        <v>153</v>
      </c>
      <c r="LXE38" s="363"/>
      <c r="LXF38" s="363"/>
      <c r="LXG38" s="364" t="s">
        <v>140</v>
      </c>
      <c r="LXH38" s="365">
        <v>0.5</v>
      </c>
      <c r="LXI38" s="366" t="e">
        <f>10/LXE36</f>
        <v>#DIV/0!</v>
      </c>
      <c r="LXJ38" s="367">
        <v>15.38</v>
      </c>
      <c r="LXK38" s="367" t="e">
        <f>LXH38*LXI38*LXJ38</f>
        <v>#DIV/0!</v>
      </c>
      <c r="LXL38" s="363" t="s">
        <v>153</v>
      </c>
      <c r="LXM38" s="363"/>
      <c r="LXN38" s="363"/>
      <c r="LXO38" s="364" t="s">
        <v>140</v>
      </c>
      <c r="LXP38" s="365">
        <v>0.5</v>
      </c>
      <c r="LXQ38" s="366" t="e">
        <f>10/LXM36</f>
        <v>#DIV/0!</v>
      </c>
      <c r="LXR38" s="367">
        <v>15.38</v>
      </c>
      <c r="LXS38" s="367" t="e">
        <f>LXP38*LXQ38*LXR38</f>
        <v>#DIV/0!</v>
      </c>
      <c r="LXT38" s="363" t="s">
        <v>153</v>
      </c>
      <c r="LXU38" s="363"/>
      <c r="LXV38" s="363"/>
      <c r="LXW38" s="364" t="s">
        <v>140</v>
      </c>
      <c r="LXX38" s="365">
        <v>0.5</v>
      </c>
      <c r="LXY38" s="366" t="e">
        <f>10/LXU36</f>
        <v>#DIV/0!</v>
      </c>
      <c r="LXZ38" s="367">
        <v>15.38</v>
      </c>
      <c r="LYA38" s="367" t="e">
        <f>LXX38*LXY38*LXZ38</f>
        <v>#DIV/0!</v>
      </c>
      <c r="LYB38" s="363" t="s">
        <v>153</v>
      </c>
      <c r="LYC38" s="363"/>
      <c r="LYD38" s="363"/>
      <c r="LYE38" s="364" t="s">
        <v>140</v>
      </c>
      <c r="LYF38" s="365">
        <v>0.5</v>
      </c>
      <c r="LYG38" s="366" t="e">
        <f>10/LYC36</f>
        <v>#DIV/0!</v>
      </c>
      <c r="LYH38" s="367">
        <v>15.38</v>
      </c>
      <c r="LYI38" s="367" t="e">
        <f>LYF38*LYG38*LYH38</f>
        <v>#DIV/0!</v>
      </c>
      <c r="LYJ38" s="363" t="s">
        <v>153</v>
      </c>
      <c r="LYK38" s="363"/>
      <c r="LYL38" s="363"/>
      <c r="LYM38" s="364" t="s">
        <v>140</v>
      </c>
      <c r="LYN38" s="365">
        <v>0.5</v>
      </c>
      <c r="LYO38" s="366" t="e">
        <f>10/LYK36</f>
        <v>#DIV/0!</v>
      </c>
      <c r="LYP38" s="367">
        <v>15.38</v>
      </c>
      <c r="LYQ38" s="367" t="e">
        <f>LYN38*LYO38*LYP38</f>
        <v>#DIV/0!</v>
      </c>
      <c r="LYR38" s="363" t="s">
        <v>153</v>
      </c>
      <c r="LYS38" s="363"/>
      <c r="LYT38" s="363"/>
      <c r="LYU38" s="364" t="s">
        <v>140</v>
      </c>
      <c r="LYV38" s="365">
        <v>0.5</v>
      </c>
      <c r="LYW38" s="366" t="e">
        <f>10/LYS36</f>
        <v>#DIV/0!</v>
      </c>
      <c r="LYX38" s="367">
        <v>15.38</v>
      </c>
      <c r="LYY38" s="367" t="e">
        <f>LYV38*LYW38*LYX38</f>
        <v>#DIV/0!</v>
      </c>
      <c r="LYZ38" s="363" t="s">
        <v>153</v>
      </c>
      <c r="LZA38" s="363"/>
      <c r="LZB38" s="363"/>
      <c r="LZC38" s="364" t="s">
        <v>140</v>
      </c>
      <c r="LZD38" s="365">
        <v>0.5</v>
      </c>
      <c r="LZE38" s="366" t="e">
        <f>10/LZA36</f>
        <v>#DIV/0!</v>
      </c>
      <c r="LZF38" s="367">
        <v>15.38</v>
      </c>
      <c r="LZG38" s="367" t="e">
        <f>LZD38*LZE38*LZF38</f>
        <v>#DIV/0!</v>
      </c>
      <c r="LZH38" s="363" t="s">
        <v>153</v>
      </c>
      <c r="LZI38" s="363"/>
      <c r="LZJ38" s="363"/>
      <c r="LZK38" s="364" t="s">
        <v>140</v>
      </c>
      <c r="LZL38" s="365">
        <v>0.5</v>
      </c>
      <c r="LZM38" s="366" t="e">
        <f>10/LZI36</f>
        <v>#DIV/0!</v>
      </c>
      <c r="LZN38" s="367">
        <v>15.38</v>
      </c>
      <c r="LZO38" s="367" t="e">
        <f>LZL38*LZM38*LZN38</f>
        <v>#DIV/0!</v>
      </c>
      <c r="LZP38" s="363" t="s">
        <v>153</v>
      </c>
      <c r="LZQ38" s="363"/>
      <c r="LZR38" s="363"/>
      <c r="LZS38" s="364" t="s">
        <v>140</v>
      </c>
      <c r="LZT38" s="365">
        <v>0.5</v>
      </c>
      <c r="LZU38" s="366" t="e">
        <f>10/LZQ36</f>
        <v>#DIV/0!</v>
      </c>
      <c r="LZV38" s="367">
        <v>15.38</v>
      </c>
      <c r="LZW38" s="367" t="e">
        <f>LZT38*LZU38*LZV38</f>
        <v>#DIV/0!</v>
      </c>
      <c r="LZX38" s="363" t="s">
        <v>153</v>
      </c>
      <c r="LZY38" s="363"/>
      <c r="LZZ38" s="363"/>
      <c r="MAA38" s="364" t="s">
        <v>140</v>
      </c>
      <c r="MAB38" s="365">
        <v>0.5</v>
      </c>
      <c r="MAC38" s="366" t="e">
        <f>10/LZY36</f>
        <v>#DIV/0!</v>
      </c>
      <c r="MAD38" s="367">
        <v>15.38</v>
      </c>
      <c r="MAE38" s="367" t="e">
        <f>MAB38*MAC38*MAD38</f>
        <v>#DIV/0!</v>
      </c>
      <c r="MAF38" s="363" t="s">
        <v>153</v>
      </c>
      <c r="MAG38" s="363"/>
      <c r="MAH38" s="363"/>
      <c r="MAI38" s="364" t="s">
        <v>140</v>
      </c>
      <c r="MAJ38" s="365">
        <v>0.5</v>
      </c>
      <c r="MAK38" s="366" t="e">
        <f>10/MAG36</f>
        <v>#DIV/0!</v>
      </c>
      <c r="MAL38" s="367">
        <v>15.38</v>
      </c>
      <c r="MAM38" s="367" t="e">
        <f>MAJ38*MAK38*MAL38</f>
        <v>#DIV/0!</v>
      </c>
      <c r="MAN38" s="363" t="s">
        <v>153</v>
      </c>
      <c r="MAO38" s="363"/>
      <c r="MAP38" s="363"/>
      <c r="MAQ38" s="364" t="s">
        <v>140</v>
      </c>
      <c r="MAR38" s="365">
        <v>0.5</v>
      </c>
      <c r="MAS38" s="366" t="e">
        <f>10/MAO36</f>
        <v>#DIV/0!</v>
      </c>
      <c r="MAT38" s="367">
        <v>15.38</v>
      </c>
      <c r="MAU38" s="367" t="e">
        <f>MAR38*MAS38*MAT38</f>
        <v>#DIV/0!</v>
      </c>
      <c r="MAV38" s="363" t="s">
        <v>153</v>
      </c>
      <c r="MAW38" s="363"/>
      <c r="MAX38" s="363"/>
      <c r="MAY38" s="364" t="s">
        <v>140</v>
      </c>
      <c r="MAZ38" s="365">
        <v>0.5</v>
      </c>
      <c r="MBA38" s="366" t="e">
        <f>10/MAW36</f>
        <v>#DIV/0!</v>
      </c>
      <c r="MBB38" s="367">
        <v>15.38</v>
      </c>
      <c r="MBC38" s="367" t="e">
        <f>MAZ38*MBA38*MBB38</f>
        <v>#DIV/0!</v>
      </c>
      <c r="MBD38" s="363" t="s">
        <v>153</v>
      </c>
      <c r="MBE38" s="363"/>
      <c r="MBF38" s="363"/>
      <c r="MBG38" s="364" t="s">
        <v>140</v>
      </c>
      <c r="MBH38" s="365">
        <v>0.5</v>
      </c>
      <c r="MBI38" s="366" t="e">
        <f>10/MBE36</f>
        <v>#DIV/0!</v>
      </c>
      <c r="MBJ38" s="367">
        <v>15.38</v>
      </c>
      <c r="MBK38" s="367" t="e">
        <f>MBH38*MBI38*MBJ38</f>
        <v>#DIV/0!</v>
      </c>
      <c r="MBL38" s="363" t="s">
        <v>153</v>
      </c>
      <c r="MBM38" s="363"/>
      <c r="MBN38" s="363"/>
      <c r="MBO38" s="364" t="s">
        <v>140</v>
      </c>
      <c r="MBP38" s="365">
        <v>0.5</v>
      </c>
      <c r="MBQ38" s="366" t="e">
        <f>10/MBM36</f>
        <v>#DIV/0!</v>
      </c>
      <c r="MBR38" s="367">
        <v>15.38</v>
      </c>
      <c r="MBS38" s="367" t="e">
        <f>MBP38*MBQ38*MBR38</f>
        <v>#DIV/0!</v>
      </c>
      <c r="MBT38" s="363" t="s">
        <v>153</v>
      </c>
      <c r="MBU38" s="363"/>
      <c r="MBV38" s="363"/>
      <c r="MBW38" s="364" t="s">
        <v>140</v>
      </c>
      <c r="MBX38" s="365">
        <v>0.5</v>
      </c>
      <c r="MBY38" s="366" t="e">
        <f>10/MBU36</f>
        <v>#DIV/0!</v>
      </c>
      <c r="MBZ38" s="367">
        <v>15.38</v>
      </c>
      <c r="MCA38" s="367" t="e">
        <f>MBX38*MBY38*MBZ38</f>
        <v>#DIV/0!</v>
      </c>
      <c r="MCB38" s="363" t="s">
        <v>153</v>
      </c>
      <c r="MCC38" s="363"/>
      <c r="MCD38" s="363"/>
      <c r="MCE38" s="364" t="s">
        <v>140</v>
      </c>
      <c r="MCF38" s="365">
        <v>0.5</v>
      </c>
      <c r="MCG38" s="366" t="e">
        <f>10/MCC36</f>
        <v>#DIV/0!</v>
      </c>
      <c r="MCH38" s="367">
        <v>15.38</v>
      </c>
      <c r="MCI38" s="367" t="e">
        <f>MCF38*MCG38*MCH38</f>
        <v>#DIV/0!</v>
      </c>
      <c r="MCJ38" s="363" t="s">
        <v>153</v>
      </c>
      <c r="MCK38" s="363"/>
      <c r="MCL38" s="363"/>
      <c r="MCM38" s="364" t="s">
        <v>140</v>
      </c>
      <c r="MCN38" s="365">
        <v>0.5</v>
      </c>
      <c r="MCO38" s="366" t="e">
        <f>10/MCK36</f>
        <v>#DIV/0!</v>
      </c>
      <c r="MCP38" s="367">
        <v>15.38</v>
      </c>
      <c r="MCQ38" s="367" t="e">
        <f>MCN38*MCO38*MCP38</f>
        <v>#DIV/0!</v>
      </c>
      <c r="MCR38" s="363" t="s">
        <v>153</v>
      </c>
      <c r="MCS38" s="363"/>
      <c r="MCT38" s="363"/>
      <c r="MCU38" s="364" t="s">
        <v>140</v>
      </c>
      <c r="MCV38" s="365">
        <v>0.5</v>
      </c>
      <c r="MCW38" s="366" t="e">
        <f>10/MCS36</f>
        <v>#DIV/0!</v>
      </c>
      <c r="MCX38" s="367">
        <v>15.38</v>
      </c>
      <c r="MCY38" s="367" t="e">
        <f>MCV38*MCW38*MCX38</f>
        <v>#DIV/0!</v>
      </c>
      <c r="MCZ38" s="363" t="s">
        <v>153</v>
      </c>
      <c r="MDA38" s="363"/>
      <c r="MDB38" s="363"/>
      <c r="MDC38" s="364" t="s">
        <v>140</v>
      </c>
      <c r="MDD38" s="365">
        <v>0.5</v>
      </c>
      <c r="MDE38" s="366" t="e">
        <f>10/MDA36</f>
        <v>#DIV/0!</v>
      </c>
      <c r="MDF38" s="367">
        <v>15.38</v>
      </c>
      <c r="MDG38" s="367" t="e">
        <f>MDD38*MDE38*MDF38</f>
        <v>#DIV/0!</v>
      </c>
      <c r="MDH38" s="363" t="s">
        <v>153</v>
      </c>
      <c r="MDI38" s="363"/>
      <c r="MDJ38" s="363"/>
      <c r="MDK38" s="364" t="s">
        <v>140</v>
      </c>
      <c r="MDL38" s="365">
        <v>0.5</v>
      </c>
      <c r="MDM38" s="366" t="e">
        <f>10/MDI36</f>
        <v>#DIV/0!</v>
      </c>
      <c r="MDN38" s="367">
        <v>15.38</v>
      </c>
      <c r="MDO38" s="367" t="e">
        <f>MDL38*MDM38*MDN38</f>
        <v>#DIV/0!</v>
      </c>
      <c r="MDP38" s="363" t="s">
        <v>153</v>
      </c>
      <c r="MDQ38" s="363"/>
      <c r="MDR38" s="363"/>
      <c r="MDS38" s="364" t="s">
        <v>140</v>
      </c>
      <c r="MDT38" s="365">
        <v>0.5</v>
      </c>
      <c r="MDU38" s="366" t="e">
        <f>10/MDQ36</f>
        <v>#DIV/0!</v>
      </c>
      <c r="MDV38" s="367">
        <v>15.38</v>
      </c>
      <c r="MDW38" s="367" t="e">
        <f>MDT38*MDU38*MDV38</f>
        <v>#DIV/0!</v>
      </c>
      <c r="MDX38" s="363" t="s">
        <v>153</v>
      </c>
      <c r="MDY38" s="363"/>
      <c r="MDZ38" s="363"/>
      <c r="MEA38" s="364" t="s">
        <v>140</v>
      </c>
      <c r="MEB38" s="365">
        <v>0.5</v>
      </c>
      <c r="MEC38" s="366" t="e">
        <f>10/MDY36</f>
        <v>#DIV/0!</v>
      </c>
      <c r="MED38" s="367">
        <v>15.38</v>
      </c>
      <c r="MEE38" s="367" t="e">
        <f>MEB38*MEC38*MED38</f>
        <v>#DIV/0!</v>
      </c>
      <c r="MEF38" s="363" t="s">
        <v>153</v>
      </c>
      <c r="MEG38" s="363"/>
      <c r="MEH38" s="363"/>
      <c r="MEI38" s="364" t="s">
        <v>140</v>
      </c>
      <c r="MEJ38" s="365">
        <v>0.5</v>
      </c>
      <c r="MEK38" s="366" t="e">
        <f>10/MEG36</f>
        <v>#DIV/0!</v>
      </c>
      <c r="MEL38" s="367">
        <v>15.38</v>
      </c>
      <c r="MEM38" s="367" t="e">
        <f>MEJ38*MEK38*MEL38</f>
        <v>#DIV/0!</v>
      </c>
      <c r="MEN38" s="363" t="s">
        <v>153</v>
      </c>
      <c r="MEO38" s="363"/>
      <c r="MEP38" s="363"/>
      <c r="MEQ38" s="364" t="s">
        <v>140</v>
      </c>
      <c r="MER38" s="365">
        <v>0.5</v>
      </c>
      <c r="MES38" s="366" t="e">
        <f>10/MEO36</f>
        <v>#DIV/0!</v>
      </c>
      <c r="MET38" s="367">
        <v>15.38</v>
      </c>
      <c r="MEU38" s="367" t="e">
        <f>MER38*MES38*MET38</f>
        <v>#DIV/0!</v>
      </c>
      <c r="MEV38" s="363" t="s">
        <v>153</v>
      </c>
      <c r="MEW38" s="363"/>
      <c r="MEX38" s="363"/>
      <c r="MEY38" s="364" t="s">
        <v>140</v>
      </c>
      <c r="MEZ38" s="365">
        <v>0.5</v>
      </c>
      <c r="MFA38" s="366" t="e">
        <f>10/MEW36</f>
        <v>#DIV/0!</v>
      </c>
      <c r="MFB38" s="367">
        <v>15.38</v>
      </c>
      <c r="MFC38" s="367" t="e">
        <f>MEZ38*MFA38*MFB38</f>
        <v>#DIV/0!</v>
      </c>
      <c r="MFD38" s="363" t="s">
        <v>153</v>
      </c>
      <c r="MFE38" s="363"/>
      <c r="MFF38" s="363"/>
      <c r="MFG38" s="364" t="s">
        <v>140</v>
      </c>
      <c r="MFH38" s="365">
        <v>0.5</v>
      </c>
      <c r="MFI38" s="366" t="e">
        <f>10/MFE36</f>
        <v>#DIV/0!</v>
      </c>
      <c r="MFJ38" s="367">
        <v>15.38</v>
      </c>
      <c r="MFK38" s="367" t="e">
        <f>MFH38*MFI38*MFJ38</f>
        <v>#DIV/0!</v>
      </c>
      <c r="MFL38" s="363" t="s">
        <v>153</v>
      </c>
      <c r="MFM38" s="363"/>
      <c r="MFN38" s="363"/>
      <c r="MFO38" s="364" t="s">
        <v>140</v>
      </c>
      <c r="MFP38" s="365">
        <v>0.5</v>
      </c>
      <c r="MFQ38" s="366" t="e">
        <f>10/MFM36</f>
        <v>#DIV/0!</v>
      </c>
      <c r="MFR38" s="367">
        <v>15.38</v>
      </c>
      <c r="MFS38" s="367" t="e">
        <f>MFP38*MFQ38*MFR38</f>
        <v>#DIV/0!</v>
      </c>
      <c r="MFT38" s="363" t="s">
        <v>153</v>
      </c>
      <c r="MFU38" s="363"/>
      <c r="MFV38" s="363"/>
      <c r="MFW38" s="364" t="s">
        <v>140</v>
      </c>
      <c r="MFX38" s="365">
        <v>0.5</v>
      </c>
      <c r="MFY38" s="366" t="e">
        <f>10/MFU36</f>
        <v>#DIV/0!</v>
      </c>
      <c r="MFZ38" s="367">
        <v>15.38</v>
      </c>
      <c r="MGA38" s="367" t="e">
        <f>MFX38*MFY38*MFZ38</f>
        <v>#DIV/0!</v>
      </c>
      <c r="MGB38" s="363" t="s">
        <v>153</v>
      </c>
      <c r="MGC38" s="363"/>
      <c r="MGD38" s="363"/>
      <c r="MGE38" s="364" t="s">
        <v>140</v>
      </c>
      <c r="MGF38" s="365">
        <v>0.5</v>
      </c>
      <c r="MGG38" s="366" t="e">
        <f>10/MGC36</f>
        <v>#DIV/0!</v>
      </c>
      <c r="MGH38" s="367">
        <v>15.38</v>
      </c>
      <c r="MGI38" s="367" t="e">
        <f>MGF38*MGG38*MGH38</f>
        <v>#DIV/0!</v>
      </c>
      <c r="MGJ38" s="363" t="s">
        <v>153</v>
      </c>
      <c r="MGK38" s="363"/>
      <c r="MGL38" s="363"/>
      <c r="MGM38" s="364" t="s">
        <v>140</v>
      </c>
      <c r="MGN38" s="365">
        <v>0.5</v>
      </c>
      <c r="MGO38" s="366" t="e">
        <f>10/MGK36</f>
        <v>#DIV/0!</v>
      </c>
      <c r="MGP38" s="367">
        <v>15.38</v>
      </c>
      <c r="MGQ38" s="367" t="e">
        <f>MGN38*MGO38*MGP38</f>
        <v>#DIV/0!</v>
      </c>
      <c r="MGR38" s="363" t="s">
        <v>153</v>
      </c>
      <c r="MGS38" s="363"/>
      <c r="MGT38" s="363"/>
      <c r="MGU38" s="364" t="s">
        <v>140</v>
      </c>
      <c r="MGV38" s="365">
        <v>0.5</v>
      </c>
      <c r="MGW38" s="366" t="e">
        <f>10/MGS36</f>
        <v>#DIV/0!</v>
      </c>
      <c r="MGX38" s="367">
        <v>15.38</v>
      </c>
      <c r="MGY38" s="367" t="e">
        <f>MGV38*MGW38*MGX38</f>
        <v>#DIV/0!</v>
      </c>
      <c r="MGZ38" s="363" t="s">
        <v>153</v>
      </c>
      <c r="MHA38" s="363"/>
      <c r="MHB38" s="363"/>
      <c r="MHC38" s="364" t="s">
        <v>140</v>
      </c>
      <c r="MHD38" s="365">
        <v>0.5</v>
      </c>
      <c r="MHE38" s="366" t="e">
        <f>10/MHA36</f>
        <v>#DIV/0!</v>
      </c>
      <c r="MHF38" s="367">
        <v>15.38</v>
      </c>
      <c r="MHG38" s="367" t="e">
        <f>MHD38*MHE38*MHF38</f>
        <v>#DIV/0!</v>
      </c>
      <c r="MHH38" s="363" t="s">
        <v>153</v>
      </c>
      <c r="MHI38" s="363"/>
      <c r="MHJ38" s="363"/>
      <c r="MHK38" s="364" t="s">
        <v>140</v>
      </c>
      <c r="MHL38" s="365">
        <v>0.5</v>
      </c>
      <c r="MHM38" s="366" t="e">
        <f>10/MHI36</f>
        <v>#DIV/0!</v>
      </c>
      <c r="MHN38" s="367">
        <v>15.38</v>
      </c>
      <c r="MHO38" s="367" t="e">
        <f>MHL38*MHM38*MHN38</f>
        <v>#DIV/0!</v>
      </c>
      <c r="MHP38" s="363" t="s">
        <v>153</v>
      </c>
      <c r="MHQ38" s="363"/>
      <c r="MHR38" s="363"/>
      <c r="MHS38" s="364" t="s">
        <v>140</v>
      </c>
      <c r="MHT38" s="365">
        <v>0.5</v>
      </c>
      <c r="MHU38" s="366" t="e">
        <f>10/MHQ36</f>
        <v>#DIV/0!</v>
      </c>
      <c r="MHV38" s="367">
        <v>15.38</v>
      </c>
      <c r="MHW38" s="367" t="e">
        <f>MHT38*MHU38*MHV38</f>
        <v>#DIV/0!</v>
      </c>
      <c r="MHX38" s="363" t="s">
        <v>153</v>
      </c>
      <c r="MHY38" s="363"/>
      <c r="MHZ38" s="363"/>
      <c r="MIA38" s="364" t="s">
        <v>140</v>
      </c>
      <c r="MIB38" s="365">
        <v>0.5</v>
      </c>
      <c r="MIC38" s="366" t="e">
        <f>10/MHY36</f>
        <v>#DIV/0!</v>
      </c>
      <c r="MID38" s="367">
        <v>15.38</v>
      </c>
      <c r="MIE38" s="367" t="e">
        <f>MIB38*MIC38*MID38</f>
        <v>#DIV/0!</v>
      </c>
      <c r="MIF38" s="363" t="s">
        <v>153</v>
      </c>
      <c r="MIG38" s="363"/>
      <c r="MIH38" s="363"/>
      <c r="MII38" s="364" t="s">
        <v>140</v>
      </c>
      <c r="MIJ38" s="365">
        <v>0.5</v>
      </c>
      <c r="MIK38" s="366" t="e">
        <f>10/MIG36</f>
        <v>#DIV/0!</v>
      </c>
      <c r="MIL38" s="367">
        <v>15.38</v>
      </c>
      <c r="MIM38" s="367" t="e">
        <f>MIJ38*MIK38*MIL38</f>
        <v>#DIV/0!</v>
      </c>
      <c r="MIN38" s="363" t="s">
        <v>153</v>
      </c>
      <c r="MIO38" s="363"/>
      <c r="MIP38" s="363"/>
      <c r="MIQ38" s="364" t="s">
        <v>140</v>
      </c>
      <c r="MIR38" s="365">
        <v>0.5</v>
      </c>
      <c r="MIS38" s="366" t="e">
        <f>10/MIO36</f>
        <v>#DIV/0!</v>
      </c>
      <c r="MIT38" s="367">
        <v>15.38</v>
      </c>
      <c r="MIU38" s="367" t="e">
        <f>MIR38*MIS38*MIT38</f>
        <v>#DIV/0!</v>
      </c>
      <c r="MIV38" s="363" t="s">
        <v>153</v>
      </c>
      <c r="MIW38" s="363"/>
      <c r="MIX38" s="363"/>
      <c r="MIY38" s="364" t="s">
        <v>140</v>
      </c>
      <c r="MIZ38" s="365">
        <v>0.5</v>
      </c>
      <c r="MJA38" s="366" t="e">
        <f>10/MIW36</f>
        <v>#DIV/0!</v>
      </c>
      <c r="MJB38" s="367">
        <v>15.38</v>
      </c>
      <c r="MJC38" s="367" t="e">
        <f>MIZ38*MJA38*MJB38</f>
        <v>#DIV/0!</v>
      </c>
      <c r="MJD38" s="363" t="s">
        <v>153</v>
      </c>
      <c r="MJE38" s="363"/>
      <c r="MJF38" s="363"/>
      <c r="MJG38" s="364" t="s">
        <v>140</v>
      </c>
      <c r="MJH38" s="365">
        <v>0.5</v>
      </c>
      <c r="MJI38" s="366" t="e">
        <f>10/MJE36</f>
        <v>#DIV/0!</v>
      </c>
      <c r="MJJ38" s="367">
        <v>15.38</v>
      </c>
      <c r="MJK38" s="367" t="e">
        <f>MJH38*MJI38*MJJ38</f>
        <v>#DIV/0!</v>
      </c>
      <c r="MJL38" s="363" t="s">
        <v>153</v>
      </c>
      <c r="MJM38" s="363"/>
      <c r="MJN38" s="363"/>
      <c r="MJO38" s="364" t="s">
        <v>140</v>
      </c>
      <c r="MJP38" s="365">
        <v>0.5</v>
      </c>
      <c r="MJQ38" s="366" t="e">
        <f>10/MJM36</f>
        <v>#DIV/0!</v>
      </c>
      <c r="MJR38" s="367">
        <v>15.38</v>
      </c>
      <c r="MJS38" s="367" t="e">
        <f>MJP38*MJQ38*MJR38</f>
        <v>#DIV/0!</v>
      </c>
      <c r="MJT38" s="363" t="s">
        <v>153</v>
      </c>
      <c r="MJU38" s="363"/>
      <c r="MJV38" s="363"/>
      <c r="MJW38" s="364" t="s">
        <v>140</v>
      </c>
      <c r="MJX38" s="365">
        <v>0.5</v>
      </c>
      <c r="MJY38" s="366" t="e">
        <f>10/MJU36</f>
        <v>#DIV/0!</v>
      </c>
      <c r="MJZ38" s="367">
        <v>15.38</v>
      </c>
      <c r="MKA38" s="367" t="e">
        <f>MJX38*MJY38*MJZ38</f>
        <v>#DIV/0!</v>
      </c>
      <c r="MKB38" s="363" t="s">
        <v>153</v>
      </c>
      <c r="MKC38" s="363"/>
      <c r="MKD38" s="363"/>
      <c r="MKE38" s="364" t="s">
        <v>140</v>
      </c>
      <c r="MKF38" s="365">
        <v>0.5</v>
      </c>
      <c r="MKG38" s="366" t="e">
        <f>10/MKC36</f>
        <v>#DIV/0!</v>
      </c>
      <c r="MKH38" s="367">
        <v>15.38</v>
      </c>
      <c r="MKI38" s="367" t="e">
        <f>MKF38*MKG38*MKH38</f>
        <v>#DIV/0!</v>
      </c>
      <c r="MKJ38" s="363" t="s">
        <v>153</v>
      </c>
      <c r="MKK38" s="363"/>
      <c r="MKL38" s="363"/>
      <c r="MKM38" s="364" t="s">
        <v>140</v>
      </c>
      <c r="MKN38" s="365">
        <v>0.5</v>
      </c>
      <c r="MKO38" s="366" t="e">
        <f>10/MKK36</f>
        <v>#DIV/0!</v>
      </c>
      <c r="MKP38" s="367">
        <v>15.38</v>
      </c>
      <c r="MKQ38" s="367" t="e">
        <f>MKN38*MKO38*MKP38</f>
        <v>#DIV/0!</v>
      </c>
      <c r="MKR38" s="363" t="s">
        <v>153</v>
      </c>
      <c r="MKS38" s="363"/>
      <c r="MKT38" s="363"/>
      <c r="MKU38" s="364" t="s">
        <v>140</v>
      </c>
      <c r="MKV38" s="365">
        <v>0.5</v>
      </c>
      <c r="MKW38" s="366" t="e">
        <f>10/MKS36</f>
        <v>#DIV/0!</v>
      </c>
      <c r="MKX38" s="367">
        <v>15.38</v>
      </c>
      <c r="MKY38" s="367" t="e">
        <f>MKV38*MKW38*MKX38</f>
        <v>#DIV/0!</v>
      </c>
      <c r="MKZ38" s="363" t="s">
        <v>153</v>
      </c>
      <c r="MLA38" s="363"/>
      <c r="MLB38" s="363"/>
      <c r="MLC38" s="364" t="s">
        <v>140</v>
      </c>
      <c r="MLD38" s="365">
        <v>0.5</v>
      </c>
      <c r="MLE38" s="366" t="e">
        <f>10/MLA36</f>
        <v>#DIV/0!</v>
      </c>
      <c r="MLF38" s="367">
        <v>15.38</v>
      </c>
      <c r="MLG38" s="367" t="e">
        <f>MLD38*MLE38*MLF38</f>
        <v>#DIV/0!</v>
      </c>
      <c r="MLH38" s="363" t="s">
        <v>153</v>
      </c>
      <c r="MLI38" s="363"/>
      <c r="MLJ38" s="363"/>
      <c r="MLK38" s="364" t="s">
        <v>140</v>
      </c>
      <c r="MLL38" s="365">
        <v>0.5</v>
      </c>
      <c r="MLM38" s="366" t="e">
        <f>10/MLI36</f>
        <v>#DIV/0!</v>
      </c>
      <c r="MLN38" s="367">
        <v>15.38</v>
      </c>
      <c r="MLO38" s="367" t="e">
        <f>MLL38*MLM38*MLN38</f>
        <v>#DIV/0!</v>
      </c>
      <c r="MLP38" s="363" t="s">
        <v>153</v>
      </c>
      <c r="MLQ38" s="363"/>
      <c r="MLR38" s="363"/>
      <c r="MLS38" s="364" t="s">
        <v>140</v>
      </c>
      <c r="MLT38" s="365">
        <v>0.5</v>
      </c>
      <c r="MLU38" s="366" t="e">
        <f>10/MLQ36</f>
        <v>#DIV/0!</v>
      </c>
      <c r="MLV38" s="367">
        <v>15.38</v>
      </c>
      <c r="MLW38" s="367" t="e">
        <f>MLT38*MLU38*MLV38</f>
        <v>#DIV/0!</v>
      </c>
      <c r="MLX38" s="363" t="s">
        <v>153</v>
      </c>
      <c r="MLY38" s="363"/>
      <c r="MLZ38" s="363"/>
      <c r="MMA38" s="364" t="s">
        <v>140</v>
      </c>
      <c r="MMB38" s="365">
        <v>0.5</v>
      </c>
      <c r="MMC38" s="366" t="e">
        <f>10/MLY36</f>
        <v>#DIV/0!</v>
      </c>
      <c r="MMD38" s="367">
        <v>15.38</v>
      </c>
      <c r="MME38" s="367" t="e">
        <f>MMB38*MMC38*MMD38</f>
        <v>#DIV/0!</v>
      </c>
      <c r="MMF38" s="363" t="s">
        <v>153</v>
      </c>
      <c r="MMG38" s="363"/>
      <c r="MMH38" s="363"/>
      <c r="MMI38" s="364" t="s">
        <v>140</v>
      </c>
      <c r="MMJ38" s="365">
        <v>0.5</v>
      </c>
      <c r="MMK38" s="366" t="e">
        <f>10/MMG36</f>
        <v>#DIV/0!</v>
      </c>
      <c r="MML38" s="367">
        <v>15.38</v>
      </c>
      <c r="MMM38" s="367" t="e">
        <f>MMJ38*MMK38*MML38</f>
        <v>#DIV/0!</v>
      </c>
      <c r="MMN38" s="363" t="s">
        <v>153</v>
      </c>
      <c r="MMO38" s="363"/>
      <c r="MMP38" s="363"/>
      <c r="MMQ38" s="364" t="s">
        <v>140</v>
      </c>
      <c r="MMR38" s="365">
        <v>0.5</v>
      </c>
      <c r="MMS38" s="366" t="e">
        <f>10/MMO36</f>
        <v>#DIV/0!</v>
      </c>
      <c r="MMT38" s="367">
        <v>15.38</v>
      </c>
      <c r="MMU38" s="367" t="e">
        <f>MMR38*MMS38*MMT38</f>
        <v>#DIV/0!</v>
      </c>
      <c r="MMV38" s="363" t="s">
        <v>153</v>
      </c>
      <c r="MMW38" s="363"/>
      <c r="MMX38" s="363"/>
      <c r="MMY38" s="364" t="s">
        <v>140</v>
      </c>
      <c r="MMZ38" s="365">
        <v>0.5</v>
      </c>
      <c r="MNA38" s="366" t="e">
        <f>10/MMW36</f>
        <v>#DIV/0!</v>
      </c>
      <c r="MNB38" s="367">
        <v>15.38</v>
      </c>
      <c r="MNC38" s="367" t="e">
        <f>MMZ38*MNA38*MNB38</f>
        <v>#DIV/0!</v>
      </c>
      <c r="MND38" s="363" t="s">
        <v>153</v>
      </c>
      <c r="MNE38" s="363"/>
      <c r="MNF38" s="363"/>
      <c r="MNG38" s="364" t="s">
        <v>140</v>
      </c>
      <c r="MNH38" s="365">
        <v>0.5</v>
      </c>
      <c r="MNI38" s="366" t="e">
        <f>10/MNE36</f>
        <v>#DIV/0!</v>
      </c>
      <c r="MNJ38" s="367">
        <v>15.38</v>
      </c>
      <c r="MNK38" s="367" t="e">
        <f>MNH38*MNI38*MNJ38</f>
        <v>#DIV/0!</v>
      </c>
      <c r="MNL38" s="363" t="s">
        <v>153</v>
      </c>
      <c r="MNM38" s="363"/>
      <c r="MNN38" s="363"/>
      <c r="MNO38" s="364" t="s">
        <v>140</v>
      </c>
      <c r="MNP38" s="365">
        <v>0.5</v>
      </c>
      <c r="MNQ38" s="366" t="e">
        <f>10/MNM36</f>
        <v>#DIV/0!</v>
      </c>
      <c r="MNR38" s="367">
        <v>15.38</v>
      </c>
      <c r="MNS38" s="367" t="e">
        <f>MNP38*MNQ38*MNR38</f>
        <v>#DIV/0!</v>
      </c>
      <c r="MNT38" s="363" t="s">
        <v>153</v>
      </c>
      <c r="MNU38" s="363"/>
      <c r="MNV38" s="363"/>
      <c r="MNW38" s="364" t="s">
        <v>140</v>
      </c>
      <c r="MNX38" s="365">
        <v>0.5</v>
      </c>
      <c r="MNY38" s="366" t="e">
        <f>10/MNU36</f>
        <v>#DIV/0!</v>
      </c>
      <c r="MNZ38" s="367">
        <v>15.38</v>
      </c>
      <c r="MOA38" s="367" t="e">
        <f>MNX38*MNY38*MNZ38</f>
        <v>#DIV/0!</v>
      </c>
      <c r="MOB38" s="363" t="s">
        <v>153</v>
      </c>
      <c r="MOC38" s="363"/>
      <c r="MOD38" s="363"/>
      <c r="MOE38" s="364" t="s">
        <v>140</v>
      </c>
      <c r="MOF38" s="365">
        <v>0.5</v>
      </c>
      <c r="MOG38" s="366" t="e">
        <f>10/MOC36</f>
        <v>#DIV/0!</v>
      </c>
      <c r="MOH38" s="367">
        <v>15.38</v>
      </c>
      <c r="MOI38" s="367" t="e">
        <f>MOF38*MOG38*MOH38</f>
        <v>#DIV/0!</v>
      </c>
      <c r="MOJ38" s="363" t="s">
        <v>153</v>
      </c>
      <c r="MOK38" s="363"/>
      <c r="MOL38" s="363"/>
      <c r="MOM38" s="364" t="s">
        <v>140</v>
      </c>
      <c r="MON38" s="365">
        <v>0.5</v>
      </c>
      <c r="MOO38" s="366" t="e">
        <f>10/MOK36</f>
        <v>#DIV/0!</v>
      </c>
      <c r="MOP38" s="367">
        <v>15.38</v>
      </c>
      <c r="MOQ38" s="367" t="e">
        <f>MON38*MOO38*MOP38</f>
        <v>#DIV/0!</v>
      </c>
      <c r="MOR38" s="363" t="s">
        <v>153</v>
      </c>
      <c r="MOS38" s="363"/>
      <c r="MOT38" s="363"/>
      <c r="MOU38" s="364" t="s">
        <v>140</v>
      </c>
      <c r="MOV38" s="365">
        <v>0.5</v>
      </c>
      <c r="MOW38" s="366" t="e">
        <f>10/MOS36</f>
        <v>#DIV/0!</v>
      </c>
      <c r="MOX38" s="367">
        <v>15.38</v>
      </c>
      <c r="MOY38" s="367" t="e">
        <f>MOV38*MOW38*MOX38</f>
        <v>#DIV/0!</v>
      </c>
      <c r="MOZ38" s="363" t="s">
        <v>153</v>
      </c>
      <c r="MPA38" s="363"/>
      <c r="MPB38" s="363"/>
      <c r="MPC38" s="364" t="s">
        <v>140</v>
      </c>
      <c r="MPD38" s="365">
        <v>0.5</v>
      </c>
      <c r="MPE38" s="366" t="e">
        <f>10/MPA36</f>
        <v>#DIV/0!</v>
      </c>
      <c r="MPF38" s="367">
        <v>15.38</v>
      </c>
      <c r="MPG38" s="367" t="e">
        <f>MPD38*MPE38*MPF38</f>
        <v>#DIV/0!</v>
      </c>
      <c r="MPH38" s="363" t="s">
        <v>153</v>
      </c>
      <c r="MPI38" s="363"/>
      <c r="MPJ38" s="363"/>
      <c r="MPK38" s="364" t="s">
        <v>140</v>
      </c>
      <c r="MPL38" s="365">
        <v>0.5</v>
      </c>
      <c r="MPM38" s="366" t="e">
        <f>10/MPI36</f>
        <v>#DIV/0!</v>
      </c>
      <c r="MPN38" s="367">
        <v>15.38</v>
      </c>
      <c r="MPO38" s="367" t="e">
        <f>MPL38*MPM38*MPN38</f>
        <v>#DIV/0!</v>
      </c>
      <c r="MPP38" s="363" t="s">
        <v>153</v>
      </c>
      <c r="MPQ38" s="363"/>
      <c r="MPR38" s="363"/>
      <c r="MPS38" s="364" t="s">
        <v>140</v>
      </c>
      <c r="MPT38" s="365">
        <v>0.5</v>
      </c>
      <c r="MPU38" s="366" t="e">
        <f>10/MPQ36</f>
        <v>#DIV/0!</v>
      </c>
      <c r="MPV38" s="367">
        <v>15.38</v>
      </c>
      <c r="MPW38" s="367" t="e">
        <f>MPT38*MPU38*MPV38</f>
        <v>#DIV/0!</v>
      </c>
      <c r="MPX38" s="363" t="s">
        <v>153</v>
      </c>
      <c r="MPY38" s="363"/>
      <c r="MPZ38" s="363"/>
      <c r="MQA38" s="364" t="s">
        <v>140</v>
      </c>
      <c r="MQB38" s="365">
        <v>0.5</v>
      </c>
      <c r="MQC38" s="366" t="e">
        <f>10/MPY36</f>
        <v>#DIV/0!</v>
      </c>
      <c r="MQD38" s="367">
        <v>15.38</v>
      </c>
      <c r="MQE38" s="367" t="e">
        <f>MQB38*MQC38*MQD38</f>
        <v>#DIV/0!</v>
      </c>
      <c r="MQF38" s="363" t="s">
        <v>153</v>
      </c>
      <c r="MQG38" s="363"/>
      <c r="MQH38" s="363"/>
      <c r="MQI38" s="364" t="s">
        <v>140</v>
      </c>
      <c r="MQJ38" s="365">
        <v>0.5</v>
      </c>
      <c r="MQK38" s="366" t="e">
        <f>10/MQG36</f>
        <v>#DIV/0!</v>
      </c>
      <c r="MQL38" s="367">
        <v>15.38</v>
      </c>
      <c r="MQM38" s="367" t="e">
        <f>MQJ38*MQK38*MQL38</f>
        <v>#DIV/0!</v>
      </c>
      <c r="MQN38" s="363" t="s">
        <v>153</v>
      </c>
      <c r="MQO38" s="363"/>
      <c r="MQP38" s="363"/>
      <c r="MQQ38" s="364" t="s">
        <v>140</v>
      </c>
      <c r="MQR38" s="365">
        <v>0.5</v>
      </c>
      <c r="MQS38" s="366" t="e">
        <f>10/MQO36</f>
        <v>#DIV/0!</v>
      </c>
      <c r="MQT38" s="367">
        <v>15.38</v>
      </c>
      <c r="MQU38" s="367" t="e">
        <f>MQR38*MQS38*MQT38</f>
        <v>#DIV/0!</v>
      </c>
      <c r="MQV38" s="363" t="s">
        <v>153</v>
      </c>
      <c r="MQW38" s="363"/>
      <c r="MQX38" s="363"/>
      <c r="MQY38" s="364" t="s">
        <v>140</v>
      </c>
      <c r="MQZ38" s="365">
        <v>0.5</v>
      </c>
      <c r="MRA38" s="366" t="e">
        <f>10/MQW36</f>
        <v>#DIV/0!</v>
      </c>
      <c r="MRB38" s="367">
        <v>15.38</v>
      </c>
      <c r="MRC38" s="367" t="e">
        <f>MQZ38*MRA38*MRB38</f>
        <v>#DIV/0!</v>
      </c>
      <c r="MRD38" s="363" t="s">
        <v>153</v>
      </c>
      <c r="MRE38" s="363"/>
      <c r="MRF38" s="363"/>
      <c r="MRG38" s="364" t="s">
        <v>140</v>
      </c>
      <c r="MRH38" s="365">
        <v>0.5</v>
      </c>
      <c r="MRI38" s="366" t="e">
        <f>10/MRE36</f>
        <v>#DIV/0!</v>
      </c>
      <c r="MRJ38" s="367">
        <v>15.38</v>
      </c>
      <c r="MRK38" s="367" t="e">
        <f>MRH38*MRI38*MRJ38</f>
        <v>#DIV/0!</v>
      </c>
      <c r="MRL38" s="363" t="s">
        <v>153</v>
      </c>
      <c r="MRM38" s="363"/>
      <c r="MRN38" s="363"/>
      <c r="MRO38" s="364" t="s">
        <v>140</v>
      </c>
      <c r="MRP38" s="365">
        <v>0.5</v>
      </c>
      <c r="MRQ38" s="366" t="e">
        <f>10/MRM36</f>
        <v>#DIV/0!</v>
      </c>
      <c r="MRR38" s="367">
        <v>15.38</v>
      </c>
      <c r="MRS38" s="367" t="e">
        <f>MRP38*MRQ38*MRR38</f>
        <v>#DIV/0!</v>
      </c>
      <c r="MRT38" s="363" t="s">
        <v>153</v>
      </c>
      <c r="MRU38" s="363"/>
      <c r="MRV38" s="363"/>
      <c r="MRW38" s="364" t="s">
        <v>140</v>
      </c>
      <c r="MRX38" s="365">
        <v>0.5</v>
      </c>
      <c r="MRY38" s="366" t="e">
        <f>10/MRU36</f>
        <v>#DIV/0!</v>
      </c>
      <c r="MRZ38" s="367">
        <v>15.38</v>
      </c>
      <c r="MSA38" s="367" t="e">
        <f>MRX38*MRY38*MRZ38</f>
        <v>#DIV/0!</v>
      </c>
      <c r="MSB38" s="363" t="s">
        <v>153</v>
      </c>
      <c r="MSC38" s="363"/>
      <c r="MSD38" s="363"/>
      <c r="MSE38" s="364" t="s">
        <v>140</v>
      </c>
      <c r="MSF38" s="365">
        <v>0.5</v>
      </c>
      <c r="MSG38" s="366" t="e">
        <f>10/MSC36</f>
        <v>#DIV/0!</v>
      </c>
      <c r="MSH38" s="367">
        <v>15.38</v>
      </c>
      <c r="MSI38" s="367" t="e">
        <f>MSF38*MSG38*MSH38</f>
        <v>#DIV/0!</v>
      </c>
      <c r="MSJ38" s="363" t="s">
        <v>153</v>
      </c>
      <c r="MSK38" s="363"/>
      <c r="MSL38" s="363"/>
      <c r="MSM38" s="364" t="s">
        <v>140</v>
      </c>
      <c r="MSN38" s="365">
        <v>0.5</v>
      </c>
      <c r="MSO38" s="366" t="e">
        <f>10/MSK36</f>
        <v>#DIV/0!</v>
      </c>
      <c r="MSP38" s="367">
        <v>15.38</v>
      </c>
      <c r="MSQ38" s="367" t="e">
        <f>MSN38*MSO38*MSP38</f>
        <v>#DIV/0!</v>
      </c>
      <c r="MSR38" s="363" t="s">
        <v>153</v>
      </c>
      <c r="MSS38" s="363"/>
      <c r="MST38" s="363"/>
      <c r="MSU38" s="364" t="s">
        <v>140</v>
      </c>
      <c r="MSV38" s="365">
        <v>0.5</v>
      </c>
      <c r="MSW38" s="366" t="e">
        <f>10/MSS36</f>
        <v>#DIV/0!</v>
      </c>
      <c r="MSX38" s="367">
        <v>15.38</v>
      </c>
      <c r="MSY38" s="367" t="e">
        <f>MSV38*MSW38*MSX38</f>
        <v>#DIV/0!</v>
      </c>
      <c r="MSZ38" s="363" t="s">
        <v>153</v>
      </c>
      <c r="MTA38" s="363"/>
      <c r="MTB38" s="363"/>
      <c r="MTC38" s="364" t="s">
        <v>140</v>
      </c>
      <c r="MTD38" s="365">
        <v>0.5</v>
      </c>
      <c r="MTE38" s="366" t="e">
        <f>10/MTA36</f>
        <v>#DIV/0!</v>
      </c>
      <c r="MTF38" s="367">
        <v>15.38</v>
      </c>
      <c r="MTG38" s="367" t="e">
        <f>MTD38*MTE38*MTF38</f>
        <v>#DIV/0!</v>
      </c>
      <c r="MTH38" s="363" t="s">
        <v>153</v>
      </c>
      <c r="MTI38" s="363"/>
      <c r="MTJ38" s="363"/>
      <c r="MTK38" s="364" t="s">
        <v>140</v>
      </c>
      <c r="MTL38" s="365">
        <v>0.5</v>
      </c>
      <c r="MTM38" s="366" t="e">
        <f>10/MTI36</f>
        <v>#DIV/0!</v>
      </c>
      <c r="MTN38" s="367">
        <v>15.38</v>
      </c>
      <c r="MTO38" s="367" t="e">
        <f>MTL38*MTM38*MTN38</f>
        <v>#DIV/0!</v>
      </c>
      <c r="MTP38" s="363" t="s">
        <v>153</v>
      </c>
      <c r="MTQ38" s="363"/>
      <c r="MTR38" s="363"/>
      <c r="MTS38" s="364" t="s">
        <v>140</v>
      </c>
      <c r="MTT38" s="365">
        <v>0.5</v>
      </c>
      <c r="MTU38" s="366" t="e">
        <f>10/MTQ36</f>
        <v>#DIV/0!</v>
      </c>
      <c r="MTV38" s="367">
        <v>15.38</v>
      </c>
      <c r="MTW38" s="367" t="e">
        <f>MTT38*MTU38*MTV38</f>
        <v>#DIV/0!</v>
      </c>
      <c r="MTX38" s="363" t="s">
        <v>153</v>
      </c>
      <c r="MTY38" s="363"/>
      <c r="MTZ38" s="363"/>
      <c r="MUA38" s="364" t="s">
        <v>140</v>
      </c>
      <c r="MUB38" s="365">
        <v>0.5</v>
      </c>
      <c r="MUC38" s="366" t="e">
        <f>10/MTY36</f>
        <v>#DIV/0!</v>
      </c>
      <c r="MUD38" s="367">
        <v>15.38</v>
      </c>
      <c r="MUE38" s="367" t="e">
        <f>MUB38*MUC38*MUD38</f>
        <v>#DIV/0!</v>
      </c>
      <c r="MUF38" s="363" t="s">
        <v>153</v>
      </c>
      <c r="MUG38" s="363"/>
      <c r="MUH38" s="363"/>
      <c r="MUI38" s="364" t="s">
        <v>140</v>
      </c>
      <c r="MUJ38" s="365">
        <v>0.5</v>
      </c>
      <c r="MUK38" s="366" t="e">
        <f>10/MUG36</f>
        <v>#DIV/0!</v>
      </c>
      <c r="MUL38" s="367">
        <v>15.38</v>
      </c>
      <c r="MUM38" s="367" t="e">
        <f>MUJ38*MUK38*MUL38</f>
        <v>#DIV/0!</v>
      </c>
      <c r="MUN38" s="363" t="s">
        <v>153</v>
      </c>
      <c r="MUO38" s="363"/>
      <c r="MUP38" s="363"/>
      <c r="MUQ38" s="364" t="s">
        <v>140</v>
      </c>
      <c r="MUR38" s="365">
        <v>0.5</v>
      </c>
      <c r="MUS38" s="366" t="e">
        <f>10/MUO36</f>
        <v>#DIV/0!</v>
      </c>
      <c r="MUT38" s="367">
        <v>15.38</v>
      </c>
      <c r="MUU38" s="367" t="e">
        <f>MUR38*MUS38*MUT38</f>
        <v>#DIV/0!</v>
      </c>
      <c r="MUV38" s="363" t="s">
        <v>153</v>
      </c>
      <c r="MUW38" s="363"/>
      <c r="MUX38" s="363"/>
      <c r="MUY38" s="364" t="s">
        <v>140</v>
      </c>
      <c r="MUZ38" s="365">
        <v>0.5</v>
      </c>
      <c r="MVA38" s="366" t="e">
        <f>10/MUW36</f>
        <v>#DIV/0!</v>
      </c>
      <c r="MVB38" s="367">
        <v>15.38</v>
      </c>
      <c r="MVC38" s="367" t="e">
        <f>MUZ38*MVA38*MVB38</f>
        <v>#DIV/0!</v>
      </c>
      <c r="MVD38" s="363" t="s">
        <v>153</v>
      </c>
      <c r="MVE38" s="363"/>
      <c r="MVF38" s="363"/>
      <c r="MVG38" s="364" t="s">
        <v>140</v>
      </c>
      <c r="MVH38" s="365">
        <v>0.5</v>
      </c>
      <c r="MVI38" s="366" t="e">
        <f>10/MVE36</f>
        <v>#DIV/0!</v>
      </c>
      <c r="MVJ38" s="367">
        <v>15.38</v>
      </c>
      <c r="MVK38" s="367" t="e">
        <f>MVH38*MVI38*MVJ38</f>
        <v>#DIV/0!</v>
      </c>
      <c r="MVL38" s="363" t="s">
        <v>153</v>
      </c>
      <c r="MVM38" s="363"/>
      <c r="MVN38" s="363"/>
      <c r="MVO38" s="364" t="s">
        <v>140</v>
      </c>
      <c r="MVP38" s="365">
        <v>0.5</v>
      </c>
      <c r="MVQ38" s="366" t="e">
        <f>10/MVM36</f>
        <v>#DIV/0!</v>
      </c>
      <c r="MVR38" s="367">
        <v>15.38</v>
      </c>
      <c r="MVS38" s="367" t="e">
        <f>MVP38*MVQ38*MVR38</f>
        <v>#DIV/0!</v>
      </c>
      <c r="MVT38" s="363" t="s">
        <v>153</v>
      </c>
      <c r="MVU38" s="363"/>
      <c r="MVV38" s="363"/>
      <c r="MVW38" s="364" t="s">
        <v>140</v>
      </c>
      <c r="MVX38" s="365">
        <v>0.5</v>
      </c>
      <c r="MVY38" s="366" t="e">
        <f>10/MVU36</f>
        <v>#DIV/0!</v>
      </c>
      <c r="MVZ38" s="367">
        <v>15.38</v>
      </c>
      <c r="MWA38" s="367" t="e">
        <f>MVX38*MVY38*MVZ38</f>
        <v>#DIV/0!</v>
      </c>
      <c r="MWB38" s="363" t="s">
        <v>153</v>
      </c>
      <c r="MWC38" s="363"/>
      <c r="MWD38" s="363"/>
      <c r="MWE38" s="364" t="s">
        <v>140</v>
      </c>
      <c r="MWF38" s="365">
        <v>0.5</v>
      </c>
      <c r="MWG38" s="366" t="e">
        <f>10/MWC36</f>
        <v>#DIV/0!</v>
      </c>
      <c r="MWH38" s="367">
        <v>15.38</v>
      </c>
      <c r="MWI38" s="367" t="e">
        <f>MWF38*MWG38*MWH38</f>
        <v>#DIV/0!</v>
      </c>
      <c r="MWJ38" s="363" t="s">
        <v>153</v>
      </c>
      <c r="MWK38" s="363"/>
      <c r="MWL38" s="363"/>
      <c r="MWM38" s="364" t="s">
        <v>140</v>
      </c>
      <c r="MWN38" s="365">
        <v>0.5</v>
      </c>
      <c r="MWO38" s="366" t="e">
        <f>10/MWK36</f>
        <v>#DIV/0!</v>
      </c>
      <c r="MWP38" s="367">
        <v>15.38</v>
      </c>
      <c r="MWQ38" s="367" t="e">
        <f>MWN38*MWO38*MWP38</f>
        <v>#DIV/0!</v>
      </c>
      <c r="MWR38" s="363" t="s">
        <v>153</v>
      </c>
      <c r="MWS38" s="363"/>
      <c r="MWT38" s="363"/>
      <c r="MWU38" s="364" t="s">
        <v>140</v>
      </c>
      <c r="MWV38" s="365">
        <v>0.5</v>
      </c>
      <c r="MWW38" s="366" t="e">
        <f>10/MWS36</f>
        <v>#DIV/0!</v>
      </c>
      <c r="MWX38" s="367">
        <v>15.38</v>
      </c>
      <c r="MWY38" s="367" t="e">
        <f>MWV38*MWW38*MWX38</f>
        <v>#DIV/0!</v>
      </c>
      <c r="MWZ38" s="363" t="s">
        <v>153</v>
      </c>
      <c r="MXA38" s="363"/>
      <c r="MXB38" s="363"/>
      <c r="MXC38" s="364" t="s">
        <v>140</v>
      </c>
      <c r="MXD38" s="365">
        <v>0.5</v>
      </c>
      <c r="MXE38" s="366" t="e">
        <f>10/MXA36</f>
        <v>#DIV/0!</v>
      </c>
      <c r="MXF38" s="367">
        <v>15.38</v>
      </c>
      <c r="MXG38" s="367" t="e">
        <f>MXD38*MXE38*MXF38</f>
        <v>#DIV/0!</v>
      </c>
      <c r="MXH38" s="363" t="s">
        <v>153</v>
      </c>
      <c r="MXI38" s="363"/>
      <c r="MXJ38" s="363"/>
      <c r="MXK38" s="364" t="s">
        <v>140</v>
      </c>
      <c r="MXL38" s="365">
        <v>0.5</v>
      </c>
      <c r="MXM38" s="366" t="e">
        <f>10/MXI36</f>
        <v>#DIV/0!</v>
      </c>
      <c r="MXN38" s="367">
        <v>15.38</v>
      </c>
      <c r="MXO38" s="367" t="e">
        <f>MXL38*MXM38*MXN38</f>
        <v>#DIV/0!</v>
      </c>
      <c r="MXP38" s="363" t="s">
        <v>153</v>
      </c>
      <c r="MXQ38" s="363"/>
      <c r="MXR38" s="363"/>
      <c r="MXS38" s="364" t="s">
        <v>140</v>
      </c>
      <c r="MXT38" s="365">
        <v>0.5</v>
      </c>
      <c r="MXU38" s="366" t="e">
        <f>10/MXQ36</f>
        <v>#DIV/0!</v>
      </c>
      <c r="MXV38" s="367">
        <v>15.38</v>
      </c>
      <c r="MXW38" s="367" t="e">
        <f>MXT38*MXU38*MXV38</f>
        <v>#DIV/0!</v>
      </c>
      <c r="MXX38" s="363" t="s">
        <v>153</v>
      </c>
      <c r="MXY38" s="363"/>
      <c r="MXZ38" s="363"/>
      <c r="MYA38" s="364" t="s">
        <v>140</v>
      </c>
      <c r="MYB38" s="365">
        <v>0.5</v>
      </c>
      <c r="MYC38" s="366" t="e">
        <f>10/MXY36</f>
        <v>#DIV/0!</v>
      </c>
      <c r="MYD38" s="367">
        <v>15.38</v>
      </c>
      <c r="MYE38" s="367" t="e">
        <f>MYB38*MYC38*MYD38</f>
        <v>#DIV/0!</v>
      </c>
      <c r="MYF38" s="363" t="s">
        <v>153</v>
      </c>
      <c r="MYG38" s="363"/>
      <c r="MYH38" s="363"/>
      <c r="MYI38" s="364" t="s">
        <v>140</v>
      </c>
      <c r="MYJ38" s="365">
        <v>0.5</v>
      </c>
      <c r="MYK38" s="366" t="e">
        <f>10/MYG36</f>
        <v>#DIV/0!</v>
      </c>
      <c r="MYL38" s="367">
        <v>15.38</v>
      </c>
      <c r="MYM38" s="367" t="e">
        <f>MYJ38*MYK38*MYL38</f>
        <v>#DIV/0!</v>
      </c>
      <c r="MYN38" s="363" t="s">
        <v>153</v>
      </c>
      <c r="MYO38" s="363"/>
      <c r="MYP38" s="363"/>
      <c r="MYQ38" s="364" t="s">
        <v>140</v>
      </c>
      <c r="MYR38" s="365">
        <v>0.5</v>
      </c>
      <c r="MYS38" s="366" t="e">
        <f>10/MYO36</f>
        <v>#DIV/0!</v>
      </c>
      <c r="MYT38" s="367">
        <v>15.38</v>
      </c>
      <c r="MYU38" s="367" t="e">
        <f>MYR38*MYS38*MYT38</f>
        <v>#DIV/0!</v>
      </c>
      <c r="MYV38" s="363" t="s">
        <v>153</v>
      </c>
      <c r="MYW38" s="363"/>
      <c r="MYX38" s="363"/>
      <c r="MYY38" s="364" t="s">
        <v>140</v>
      </c>
      <c r="MYZ38" s="365">
        <v>0.5</v>
      </c>
      <c r="MZA38" s="366" t="e">
        <f>10/MYW36</f>
        <v>#DIV/0!</v>
      </c>
      <c r="MZB38" s="367">
        <v>15.38</v>
      </c>
      <c r="MZC38" s="367" t="e">
        <f>MYZ38*MZA38*MZB38</f>
        <v>#DIV/0!</v>
      </c>
      <c r="MZD38" s="363" t="s">
        <v>153</v>
      </c>
      <c r="MZE38" s="363"/>
      <c r="MZF38" s="363"/>
      <c r="MZG38" s="364" t="s">
        <v>140</v>
      </c>
      <c r="MZH38" s="365">
        <v>0.5</v>
      </c>
      <c r="MZI38" s="366" t="e">
        <f>10/MZE36</f>
        <v>#DIV/0!</v>
      </c>
      <c r="MZJ38" s="367">
        <v>15.38</v>
      </c>
      <c r="MZK38" s="367" t="e">
        <f>MZH38*MZI38*MZJ38</f>
        <v>#DIV/0!</v>
      </c>
      <c r="MZL38" s="363" t="s">
        <v>153</v>
      </c>
      <c r="MZM38" s="363"/>
      <c r="MZN38" s="363"/>
      <c r="MZO38" s="364" t="s">
        <v>140</v>
      </c>
      <c r="MZP38" s="365">
        <v>0.5</v>
      </c>
      <c r="MZQ38" s="366" t="e">
        <f>10/MZM36</f>
        <v>#DIV/0!</v>
      </c>
      <c r="MZR38" s="367">
        <v>15.38</v>
      </c>
      <c r="MZS38" s="367" t="e">
        <f>MZP38*MZQ38*MZR38</f>
        <v>#DIV/0!</v>
      </c>
      <c r="MZT38" s="363" t="s">
        <v>153</v>
      </c>
      <c r="MZU38" s="363"/>
      <c r="MZV38" s="363"/>
      <c r="MZW38" s="364" t="s">
        <v>140</v>
      </c>
      <c r="MZX38" s="365">
        <v>0.5</v>
      </c>
      <c r="MZY38" s="366" t="e">
        <f>10/MZU36</f>
        <v>#DIV/0!</v>
      </c>
      <c r="MZZ38" s="367">
        <v>15.38</v>
      </c>
      <c r="NAA38" s="367" t="e">
        <f>MZX38*MZY38*MZZ38</f>
        <v>#DIV/0!</v>
      </c>
      <c r="NAB38" s="363" t="s">
        <v>153</v>
      </c>
      <c r="NAC38" s="363"/>
      <c r="NAD38" s="363"/>
      <c r="NAE38" s="364" t="s">
        <v>140</v>
      </c>
      <c r="NAF38" s="365">
        <v>0.5</v>
      </c>
      <c r="NAG38" s="366" t="e">
        <f>10/NAC36</f>
        <v>#DIV/0!</v>
      </c>
      <c r="NAH38" s="367">
        <v>15.38</v>
      </c>
      <c r="NAI38" s="367" t="e">
        <f>NAF38*NAG38*NAH38</f>
        <v>#DIV/0!</v>
      </c>
      <c r="NAJ38" s="363" t="s">
        <v>153</v>
      </c>
      <c r="NAK38" s="363"/>
      <c r="NAL38" s="363"/>
      <c r="NAM38" s="364" t="s">
        <v>140</v>
      </c>
      <c r="NAN38" s="365">
        <v>0.5</v>
      </c>
      <c r="NAO38" s="366" t="e">
        <f>10/NAK36</f>
        <v>#DIV/0!</v>
      </c>
      <c r="NAP38" s="367">
        <v>15.38</v>
      </c>
      <c r="NAQ38" s="367" t="e">
        <f>NAN38*NAO38*NAP38</f>
        <v>#DIV/0!</v>
      </c>
      <c r="NAR38" s="363" t="s">
        <v>153</v>
      </c>
      <c r="NAS38" s="363"/>
      <c r="NAT38" s="363"/>
      <c r="NAU38" s="364" t="s">
        <v>140</v>
      </c>
      <c r="NAV38" s="365">
        <v>0.5</v>
      </c>
      <c r="NAW38" s="366" t="e">
        <f>10/NAS36</f>
        <v>#DIV/0!</v>
      </c>
      <c r="NAX38" s="367">
        <v>15.38</v>
      </c>
      <c r="NAY38" s="367" t="e">
        <f>NAV38*NAW38*NAX38</f>
        <v>#DIV/0!</v>
      </c>
      <c r="NAZ38" s="363" t="s">
        <v>153</v>
      </c>
      <c r="NBA38" s="363"/>
      <c r="NBB38" s="363"/>
      <c r="NBC38" s="364" t="s">
        <v>140</v>
      </c>
      <c r="NBD38" s="365">
        <v>0.5</v>
      </c>
      <c r="NBE38" s="366" t="e">
        <f>10/NBA36</f>
        <v>#DIV/0!</v>
      </c>
      <c r="NBF38" s="367">
        <v>15.38</v>
      </c>
      <c r="NBG38" s="367" t="e">
        <f>NBD38*NBE38*NBF38</f>
        <v>#DIV/0!</v>
      </c>
      <c r="NBH38" s="363" t="s">
        <v>153</v>
      </c>
      <c r="NBI38" s="363"/>
      <c r="NBJ38" s="363"/>
      <c r="NBK38" s="364" t="s">
        <v>140</v>
      </c>
      <c r="NBL38" s="365">
        <v>0.5</v>
      </c>
      <c r="NBM38" s="366" t="e">
        <f>10/NBI36</f>
        <v>#DIV/0!</v>
      </c>
      <c r="NBN38" s="367">
        <v>15.38</v>
      </c>
      <c r="NBO38" s="367" t="e">
        <f>NBL38*NBM38*NBN38</f>
        <v>#DIV/0!</v>
      </c>
      <c r="NBP38" s="363" t="s">
        <v>153</v>
      </c>
      <c r="NBQ38" s="363"/>
      <c r="NBR38" s="363"/>
      <c r="NBS38" s="364" t="s">
        <v>140</v>
      </c>
      <c r="NBT38" s="365">
        <v>0.5</v>
      </c>
      <c r="NBU38" s="366" t="e">
        <f>10/NBQ36</f>
        <v>#DIV/0!</v>
      </c>
      <c r="NBV38" s="367">
        <v>15.38</v>
      </c>
      <c r="NBW38" s="367" t="e">
        <f>NBT38*NBU38*NBV38</f>
        <v>#DIV/0!</v>
      </c>
      <c r="NBX38" s="363" t="s">
        <v>153</v>
      </c>
      <c r="NBY38" s="363"/>
      <c r="NBZ38" s="363"/>
      <c r="NCA38" s="364" t="s">
        <v>140</v>
      </c>
      <c r="NCB38" s="365">
        <v>0.5</v>
      </c>
      <c r="NCC38" s="366" t="e">
        <f>10/NBY36</f>
        <v>#DIV/0!</v>
      </c>
      <c r="NCD38" s="367">
        <v>15.38</v>
      </c>
      <c r="NCE38" s="367" t="e">
        <f>NCB38*NCC38*NCD38</f>
        <v>#DIV/0!</v>
      </c>
      <c r="NCF38" s="363" t="s">
        <v>153</v>
      </c>
      <c r="NCG38" s="363"/>
      <c r="NCH38" s="363"/>
      <c r="NCI38" s="364" t="s">
        <v>140</v>
      </c>
      <c r="NCJ38" s="365">
        <v>0.5</v>
      </c>
      <c r="NCK38" s="366" t="e">
        <f>10/NCG36</f>
        <v>#DIV/0!</v>
      </c>
      <c r="NCL38" s="367">
        <v>15.38</v>
      </c>
      <c r="NCM38" s="367" t="e">
        <f>NCJ38*NCK38*NCL38</f>
        <v>#DIV/0!</v>
      </c>
      <c r="NCN38" s="363" t="s">
        <v>153</v>
      </c>
      <c r="NCO38" s="363"/>
      <c r="NCP38" s="363"/>
      <c r="NCQ38" s="364" t="s">
        <v>140</v>
      </c>
      <c r="NCR38" s="365">
        <v>0.5</v>
      </c>
      <c r="NCS38" s="366" t="e">
        <f>10/NCO36</f>
        <v>#DIV/0!</v>
      </c>
      <c r="NCT38" s="367">
        <v>15.38</v>
      </c>
      <c r="NCU38" s="367" t="e">
        <f>NCR38*NCS38*NCT38</f>
        <v>#DIV/0!</v>
      </c>
      <c r="NCV38" s="363" t="s">
        <v>153</v>
      </c>
      <c r="NCW38" s="363"/>
      <c r="NCX38" s="363"/>
      <c r="NCY38" s="364" t="s">
        <v>140</v>
      </c>
      <c r="NCZ38" s="365">
        <v>0.5</v>
      </c>
      <c r="NDA38" s="366" t="e">
        <f>10/NCW36</f>
        <v>#DIV/0!</v>
      </c>
      <c r="NDB38" s="367">
        <v>15.38</v>
      </c>
      <c r="NDC38" s="367" t="e">
        <f>NCZ38*NDA38*NDB38</f>
        <v>#DIV/0!</v>
      </c>
      <c r="NDD38" s="363" t="s">
        <v>153</v>
      </c>
      <c r="NDE38" s="363"/>
      <c r="NDF38" s="363"/>
      <c r="NDG38" s="364" t="s">
        <v>140</v>
      </c>
      <c r="NDH38" s="365">
        <v>0.5</v>
      </c>
      <c r="NDI38" s="366" t="e">
        <f>10/NDE36</f>
        <v>#DIV/0!</v>
      </c>
      <c r="NDJ38" s="367">
        <v>15.38</v>
      </c>
      <c r="NDK38" s="367" t="e">
        <f>NDH38*NDI38*NDJ38</f>
        <v>#DIV/0!</v>
      </c>
      <c r="NDL38" s="363" t="s">
        <v>153</v>
      </c>
      <c r="NDM38" s="363"/>
      <c r="NDN38" s="363"/>
      <c r="NDO38" s="364" t="s">
        <v>140</v>
      </c>
      <c r="NDP38" s="365">
        <v>0.5</v>
      </c>
      <c r="NDQ38" s="366" t="e">
        <f>10/NDM36</f>
        <v>#DIV/0!</v>
      </c>
      <c r="NDR38" s="367">
        <v>15.38</v>
      </c>
      <c r="NDS38" s="367" t="e">
        <f>NDP38*NDQ38*NDR38</f>
        <v>#DIV/0!</v>
      </c>
      <c r="NDT38" s="363" t="s">
        <v>153</v>
      </c>
      <c r="NDU38" s="363"/>
      <c r="NDV38" s="363"/>
      <c r="NDW38" s="364" t="s">
        <v>140</v>
      </c>
      <c r="NDX38" s="365">
        <v>0.5</v>
      </c>
      <c r="NDY38" s="366" t="e">
        <f>10/NDU36</f>
        <v>#DIV/0!</v>
      </c>
      <c r="NDZ38" s="367">
        <v>15.38</v>
      </c>
      <c r="NEA38" s="367" t="e">
        <f>NDX38*NDY38*NDZ38</f>
        <v>#DIV/0!</v>
      </c>
      <c r="NEB38" s="363" t="s">
        <v>153</v>
      </c>
      <c r="NEC38" s="363"/>
      <c r="NED38" s="363"/>
      <c r="NEE38" s="364" t="s">
        <v>140</v>
      </c>
      <c r="NEF38" s="365">
        <v>0.5</v>
      </c>
      <c r="NEG38" s="366" t="e">
        <f>10/NEC36</f>
        <v>#DIV/0!</v>
      </c>
      <c r="NEH38" s="367">
        <v>15.38</v>
      </c>
      <c r="NEI38" s="367" t="e">
        <f>NEF38*NEG38*NEH38</f>
        <v>#DIV/0!</v>
      </c>
      <c r="NEJ38" s="363" t="s">
        <v>153</v>
      </c>
      <c r="NEK38" s="363"/>
      <c r="NEL38" s="363"/>
      <c r="NEM38" s="364" t="s">
        <v>140</v>
      </c>
      <c r="NEN38" s="365">
        <v>0.5</v>
      </c>
      <c r="NEO38" s="366" t="e">
        <f>10/NEK36</f>
        <v>#DIV/0!</v>
      </c>
      <c r="NEP38" s="367">
        <v>15.38</v>
      </c>
      <c r="NEQ38" s="367" t="e">
        <f>NEN38*NEO38*NEP38</f>
        <v>#DIV/0!</v>
      </c>
      <c r="NER38" s="363" t="s">
        <v>153</v>
      </c>
      <c r="NES38" s="363"/>
      <c r="NET38" s="363"/>
      <c r="NEU38" s="364" t="s">
        <v>140</v>
      </c>
      <c r="NEV38" s="365">
        <v>0.5</v>
      </c>
      <c r="NEW38" s="366" t="e">
        <f>10/NES36</f>
        <v>#DIV/0!</v>
      </c>
      <c r="NEX38" s="367">
        <v>15.38</v>
      </c>
      <c r="NEY38" s="367" t="e">
        <f>NEV38*NEW38*NEX38</f>
        <v>#DIV/0!</v>
      </c>
      <c r="NEZ38" s="363" t="s">
        <v>153</v>
      </c>
      <c r="NFA38" s="363"/>
      <c r="NFB38" s="363"/>
      <c r="NFC38" s="364" t="s">
        <v>140</v>
      </c>
      <c r="NFD38" s="365">
        <v>0.5</v>
      </c>
      <c r="NFE38" s="366" t="e">
        <f>10/NFA36</f>
        <v>#DIV/0!</v>
      </c>
      <c r="NFF38" s="367">
        <v>15.38</v>
      </c>
      <c r="NFG38" s="367" t="e">
        <f>NFD38*NFE38*NFF38</f>
        <v>#DIV/0!</v>
      </c>
      <c r="NFH38" s="363" t="s">
        <v>153</v>
      </c>
      <c r="NFI38" s="363"/>
      <c r="NFJ38" s="363"/>
      <c r="NFK38" s="364" t="s">
        <v>140</v>
      </c>
      <c r="NFL38" s="365">
        <v>0.5</v>
      </c>
      <c r="NFM38" s="366" t="e">
        <f>10/NFI36</f>
        <v>#DIV/0!</v>
      </c>
      <c r="NFN38" s="367">
        <v>15.38</v>
      </c>
      <c r="NFO38" s="367" t="e">
        <f>NFL38*NFM38*NFN38</f>
        <v>#DIV/0!</v>
      </c>
      <c r="NFP38" s="363" t="s">
        <v>153</v>
      </c>
      <c r="NFQ38" s="363"/>
      <c r="NFR38" s="363"/>
      <c r="NFS38" s="364" t="s">
        <v>140</v>
      </c>
      <c r="NFT38" s="365">
        <v>0.5</v>
      </c>
      <c r="NFU38" s="366" t="e">
        <f>10/NFQ36</f>
        <v>#DIV/0!</v>
      </c>
      <c r="NFV38" s="367">
        <v>15.38</v>
      </c>
      <c r="NFW38" s="367" t="e">
        <f>NFT38*NFU38*NFV38</f>
        <v>#DIV/0!</v>
      </c>
      <c r="NFX38" s="363" t="s">
        <v>153</v>
      </c>
      <c r="NFY38" s="363"/>
      <c r="NFZ38" s="363"/>
      <c r="NGA38" s="364" t="s">
        <v>140</v>
      </c>
      <c r="NGB38" s="365">
        <v>0.5</v>
      </c>
      <c r="NGC38" s="366" t="e">
        <f>10/NFY36</f>
        <v>#DIV/0!</v>
      </c>
      <c r="NGD38" s="367">
        <v>15.38</v>
      </c>
      <c r="NGE38" s="367" t="e">
        <f>NGB38*NGC38*NGD38</f>
        <v>#DIV/0!</v>
      </c>
      <c r="NGF38" s="363" t="s">
        <v>153</v>
      </c>
      <c r="NGG38" s="363"/>
      <c r="NGH38" s="363"/>
      <c r="NGI38" s="364" t="s">
        <v>140</v>
      </c>
      <c r="NGJ38" s="365">
        <v>0.5</v>
      </c>
      <c r="NGK38" s="366" t="e">
        <f>10/NGG36</f>
        <v>#DIV/0!</v>
      </c>
      <c r="NGL38" s="367">
        <v>15.38</v>
      </c>
      <c r="NGM38" s="367" t="e">
        <f>NGJ38*NGK38*NGL38</f>
        <v>#DIV/0!</v>
      </c>
      <c r="NGN38" s="363" t="s">
        <v>153</v>
      </c>
      <c r="NGO38" s="363"/>
      <c r="NGP38" s="363"/>
      <c r="NGQ38" s="364" t="s">
        <v>140</v>
      </c>
      <c r="NGR38" s="365">
        <v>0.5</v>
      </c>
      <c r="NGS38" s="366" t="e">
        <f>10/NGO36</f>
        <v>#DIV/0!</v>
      </c>
      <c r="NGT38" s="367">
        <v>15.38</v>
      </c>
      <c r="NGU38" s="367" t="e">
        <f>NGR38*NGS38*NGT38</f>
        <v>#DIV/0!</v>
      </c>
      <c r="NGV38" s="363" t="s">
        <v>153</v>
      </c>
      <c r="NGW38" s="363"/>
      <c r="NGX38" s="363"/>
      <c r="NGY38" s="364" t="s">
        <v>140</v>
      </c>
      <c r="NGZ38" s="365">
        <v>0.5</v>
      </c>
      <c r="NHA38" s="366" t="e">
        <f>10/NGW36</f>
        <v>#DIV/0!</v>
      </c>
      <c r="NHB38" s="367">
        <v>15.38</v>
      </c>
      <c r="NHC38" s="367" t="e">
        <f>NGZ38*NHA38*NHB38</f>
        <v>#DIV/0!</v>
      </c>
      <c r="NHD38" s="363" t="s">
        <v>153</v>
      </c>
      <c r="NHE38" s="363"/>
      <c r="NHF38" s="363"/>
      <c r="NHG38" s="364" t="s">
        <v>140</v>
      </c>
      <c r="NHH38" s="365">
        <v>0.5</v>
      </c>
      <c r="NHI38" s="366" t="e">
        <f>10/NHE36</f>
        <v>#DIV/0!</v>
      </c>
      <c r="NHJ38" s="367">
        <v>15.38</v>
      </c>
      <c r="NHK38" s="367" t="e">
        <f>NHH38*NHI38*NHJ38</f>
        <v>#DIV/0!</v>
      </c>
      <c r="NHL38" s="363" t="s">
        <v>153</v>
      </c>
      <c r="NHM38" s="363"/>
      <c r="NHN38" s="363"/>
      <c r="NHO38" s="364" t="s">
        <v>140</v>
      </c>
      <c r="NHP38" s="365">
        <v>0.5</v>
      </c>
      <c r="NHQ38" s="366" t="e">
        <f>10/NHM36</f>
        <v>#DIV/0!</v>
      </c>
      <c r="NHR38" s="367">
        <v>15.38</v>
      </c>
      <c r="NHS38" s="367" t="e">
        <f>NHP38*NHQ38*NHR38</f>
        <v>#DIV/0!</v>
      </c>
      <c r="NHT38" s="363" t="s">
        <v>153</v>
      </c>
      <c r="NHU38" s="363"/>
      <c r="NHV38" s="363"/>
      <c r="NHW38" s="364" t="s">
        <v>140</v>
      </c>
      <c r="NHX38" s="365">
        <v>0.5</v>
      </c>
      <c r="NHY38" s="366" t="e">
        <f>10/NHU36</f>
        <v>#DIV/0!</v>
      </c>
      <c r="NHZ38" s="367">
        <v>15.38</v>
      </c>
      <c r="NIA38" s="367" t="e">
        <f>NHX38*NHY38*NHZ38</f>
        <v>#DIV/0!</v>
      </c>
      <c r="NIB38" s="363" t="s">
        <v>153</v>
      </c>
      <c r="NIC38" s="363"/>
      <c r="NID38" s="363"/>
      <c r="NIE38" s="364" t="s">
        <v>140</v>
      </c>
      <c r="NIF38" s="365">
        <v>0.5</v>
      </c>
      <c r="NIG38" s="366" t="e">
        <f>10/NIC36</f>
        <v>#DIV/0!</v>
      </c>
      <c r="NIH38" s="367">
        <v>15.38</v>
      </c>
      <c r="NII38" s="367" t="e">
        <f>NIF38*NIG38*NIH38</f>
        <v>#DIV/0!</v>
      </c>
      <c r="NIJ38" s="363" t="s">
        <v>153</v>
      </c>
      <c r="NIK38" s="363"/>
      <c r="NIL38" s="363"/>
      <c r="NIM38" s="364" t="s">
        <v>140</v>
      </c>
      <c r="NIN38" s="365">
        <v>0.5</v>
      </c>
      <c r="NIO38" s="366" t="e">
        <f>10/NIK36</f>
        <v>#DIV/0!</v>
      </c>
      <c r="NIP38" s="367">
        <v>15.38</v>
      </c>
      <c r="NIQ38" s="367" t="e">
        <f>NIN38*NIO38*NIP38</f>
        <v>#DIV/0!</v>
      </c>
      <c r="NIR38" s="363" t="s">
        <v>153</v>
      </c>
      <c r="NIS38" s="363"/>
      <c r="NIT38" s="363"/>
      <c r="NIU38" s="364" t="s">
        <v>140</v>
      </c>
      <c r="NIV38" s="365">
        <v>0.5</v>
      </c>
      <c r="NIW38" s="366" t="e">
        <f>10/NIS36</f>
        <v>#DIV/0!</v>
      </c>
      <c r="NIX38" s="367">
        <v>15.38</v>
      </c>
      <c r="NIY38" s="367" t="e">
        <f>NIV38*NIW38*NIX38</f>
        <v>#DIV/0!</v>
      </c>
      <c r="NIZ38" s="363" t="s">
        <v>153</v>
      </c>
      <c r="NJA38" s="363"/>
      <c r="NJB38" s="363"/>
      <c r="NJC38" s="364" t="s">
        <v>140</v>
      </c>
      <c r="NJD38" s="365">
        <v>0.5</v>
      </c>
      <c r="NJE38" s="366" t="e">
        <f>10/NJA36</f>
        <v>#DIV/0!</v>
      </c>
      <c r="NJF38" s="367">
        <v>15.38</v>
      </c>
      <c r="NJG38" s="367" t="e">
        <f>NJD38*NJE38*NJF38</f>
        <v>#DIV/0!</v>
      </c>
      <c r="NJH38" s="363" t="s">
        <v>153</v>
      </c>
      <c r="NJI38" s="363"/>
      <c r="NJJ38" s="363"/>
      <c r="NJK38" s="364" t="s">
        <v>140</v>
      </c>
      <c r="NJL38" s="365">
        <v>0.5</v>
      </c>
      <c r="NJM38" s="366" t="e">
        <f>10/NJI36</f>
        <v>#DIV/0!</v>
      </c>
      <c r="NJN38" s="367">
        <v>15.38</v>
      </c>
      <c r="NJO38" s="367" t="e">
        <f>NJL38*NJM38*NJN38</f>
        <v>#DIV/0!</v>
      </c>
      <c r="NJP38" s="363" t="s">
        <v>153</v>
      </c>
      <c r="NJQ38" s="363"/>
      <c r="NJR38" s="363"/>
      <c r="NJS38" s="364" t="s">
        <v>140</v>
      </c>
      <c r="NJT38" s="365">
        <v>0.5</v>
      </c>
      <c r="NJU38" s="366" t="e">
        <f>10/NJQ36</f>
        <v>#DIV/0!</v>
      </c>
      <c r="NJV38" s="367">
        <v>15.38</v>
      </c>
      <c r="NJW38" s="367" t="e">
        <f>NJT38*NJU38*NJV38</f>
        <v>#DIV/0!</v>
      </c>
      <c r="NJX38" s="363" t="s">
        <v>153</v>
      </c>
      <c r="NJY38" s="363"/>
      <c r="NJZ38" s="363"/>
      <c r="NKA38" s="364" t="s">
        <v>140</v>
      </c>
      <c r="NKB38" s="365">
        <v>0.5</v>
      </c>
      <c r="NKC38" s="366" t="e">
        <f>10/NJY36</f>
        <v>#DIV/0!</v>
      </c>
      <c r="NKD38" s="367">
        <v>15.38</v>
      </c>
      <c r="NKE38" s="367" t="e">
        <f>NKB38*NKC38*NKD38</f>
        <v>#DIV/0!</v>
      </c>
      <c r="NKF38" s="363" t="s">
        <v>153</v>
      </c>
      <c r="NKG38" s="363"/>
      <c r="NKH38" s="363"/>
      <c r="NKI38" s="364" t="s">
        <v>140</v>
      </c>
      <c r="NKJ38" s="365">
        <v>0.5</v>
      </c>
      <c r="NKK38" s="366" t="e">
        <f>10/NKG36</f>
        <v>#DIV/0!</v>
      </c>
      <c r="NKL38" s="367">
        <v>15.38</v>
      </c>
      <c r="NKM38" s="367" t="e">
        <f>NKJ38*NKK38*NKL38</f>
        <v>#DIV/0!</v>
      </c>
      <c r="NKN38" s="363" t="s">
        <v>153</v>
      </c>
      <c r="NKO38" s="363"/>
      <c r="NKP38" s="363"/>
      <c r="NKQ38" s="364" t="s">
        <v>140</v>
      </c>
      <c r="NKR38" s="365">
        <v>0.5</v>
      </c>
      <c r="NKS38" s="366" t="e">
        <f>10/NKO36</f>
        <v>#DIV/0!</v>
      </c>
      <c r="NKT38" s="367">
        <v>15.38</v>
      </c>
      <c r="NKU38" s="367" t="e">
        <f>NKR38*NKS38*NKT38</f>
        <v>#DIV/0!</v>
      </c>
      <c r="NKV38" s="363" t="s">
        <v>153</v>
      </c>
      <c r="NKW38" s="363"/>
      <c r="NKX38" s="363"/>
      <c r="NKY38" s="364" t="s">
        <v>140</v>
      </c>
      <c r="NKZ38" s="365">
        <v>0.5</v>
      </c>
      <c r="NLA38" s="366" t="e">
        <f>10/NKW36</f>
        <v>#DIV/0!</v>
      </c>
      <c r="NLB38" s="367">
        <v>15.38</v>
      </c>
      <c r="NLC38" s="367" t="e">
        <f>NKZ38*NLA38*NLB38</f>
        <v>#DIV/0!</v>
      </c>
      <c r="NLD38" s="363" t="s">
        <v>153</v>
      </c>
      <c r="NLE38" s="363"/>
      <c r="NLF38" s="363"/>
      <c r="NLG38" s="364" t="s">
        <v>140</v>
      </c>
      <c r="NLH38" s="365">
        <v>0.5</v>
      </c>
      <c r="NLI38" s="366" t="e">
        <f>10/NLE36</f>
        <v>#DIV/0!</v>
      </c>
      <c r="NLJ38" s="367">
        <v>15.38</v>
      </c>
      <c r="NLK38" s="367" t="e">
        <f>NLH38*NLI38*NLJ38</f>
        <v>#DIV/0!</v>
      </c>
      <c r="NLL38" s="363" t="s">
        <v>153</v>
      </c>
      <c r="NLM38" s="363"/>
      <c r="NLN38" s="363"/>
      <c r="NLO38" s="364" t="s">
        <v>140</v>
      </c>
      <c r="NLP38" s="365">
        <v>0.5</v>
      </c>
      <c r="NLQ38" s="366" t="e">
        <f>10/NLM36</f>
        <v>#DIV/0!</v>
      </c>
      <c r="NLR38" s="367">
        <v>15.38</v>
      </c>
      <c r="NLS38" s="367" t="e">
        <f>NLP38*NLQ38*NLR38</f>
        <v>#DIV/0!</v>
      </c>
      <c r="NLT38" s="363" t="s">
        <v>153</v>
      </c>
      <c r="NLU38" s="363"/>
      <c r="NLV38" s="363"/>
      <c r="NLW38" s="364" t="s">
        <v>140</v>
      </c>
      <c r="NLX38" s="365">
        <v>0.5</v>
      </c>
      <c r="NLY38" s="366" t="e">
        <f>10/NLU36</f>
        <v>#DIV/0!</v>
      </c>
      <c r="NLZ38" s="367">
        <v>15.38</v>
      </c>
      <c r="NMA38" s="367" t="e">
        <f>NLX38*NLY38*NLZ38</f>
        <v>#DIV/0!</v>
      </c>
      <c r="NMB38" s="363" t="s">
        <v>153</v>
      </c>
      <c r="NMC38" s="363"/>
      <c r="NMD38" s="363"/>
      <c r="NME38" s="364" t="s">
        <v>140</v>
      </c>
      <c r="NMF38" s="365">
        <v>0.5</v>
      </c>
      <c r="NMG38" s="366" t="e">
        <f>10/NMC36</f>
        <v>#DIV/0!</v>
      </c>
      <c r="NMH38" s="367">
        <v>15.38</v>
      </c>
      <c r="NMI38" s="367" t="e">
        <f>NMF38*NMG38*NMH38</f>
        <v>#DIV/0!</v>
      </c>
      <c r="NMJ38" s="363" t="s">
        <v>153</v>
      </c>
      <c r="NMK38" s="363"/>
      <c r="NML38" s="363"/>
      <c r="NMM38" s="364" t="s">
        <v>140</v>
      </c>
      <c r="NMN38" s="365">
        <v>0.5</v>
      </c>
      <c r="NMO38" s="366" t="e">
        <f>10/NMK36</f>
        <v>#DIV/0!</v>
      </c>
      <c r="NMP38" s="367">
        <v>15.38</v>
      </c>
      <c r="NMQ38" s="367" t="e">
        <f>NMN38*NMO38*NMP38</f>
        <v>#DIV/0!</v>
      </c>
      <c r="NMR38" s="363" t="s">
        <v>153</v>
      </c>
      <c r="NMS38" s="363"/>
      <c r="NMT38" s="363"/>
      <c r="NMU38" s="364" t="s">
        <v>140</v>
      </c>
      <c r="NMV38" s="365">
        <v>0.5</v>
      </c>
      <c r="NMW38" s="366" t="e">
        <f>10/NMS36</f>
        <v>#DIV/0!</v>
      </c>
      <c r="NMX38" s="367">
        <v>15.38</v>
      </c>
      <c r="NMY38" s="367" t="e">
        <f>NMV38*NMW38*NMX38</f>
        <v>#DIV/0!</v>
      </c>
      <c r="NMZ38" s="363" t="s">
        <v>153</v>
      </c>
      <c r="NNA38" s="363"/>
      <c r="NNB38" s="363"/>
      <c r="NNC38" s="364" t="s">
        <v>140</v>
      </c>
      <c r="NND38" s="365">
        <v>0.5</v>
      </c>
      <c r="NNE38" s="366" t="e">
        <f>10/NNA36</f>
        <v>#DIV/0!</v>
      </c>
      <c r="NNF38" s="367">
        <v>15.38</v>
      </c>
      <c r="NNG38" s="367" t="e">
        <f>NND38*NNE38*NNF38</f>
        <v>#DIV/0!</v>
      </c>
      <c r="NNH38" s="363" t="s">
        <v>153</v>
      </c>
      <c r="NNI38" s="363"/>
      <c r="NNJ38" s="363"/>
      <c r="NNK38" s="364" t="s">
        <v>140</v>
      </c>
      <c r="NNL38" s="365">
        <v>0.5</v>
      </c>
      <c r="NNM38" s="366" t="e">
        <f>10/NNI36</f>
        <v>#DIV/0!</v>
      </c>
      <c r="NNN38" s="367">
        <v>15.38</v>
      </c>
      <c r="NNO38" s="367" t="e">
        <f>NNL38*NNM38*NNN38</f>
        <v>#DIV/0!</v>
      </c>
      <c r="NNP38" s="363" t="s">
        <v>153</v>
      </c>
      <c r="NNQ38" s="363"/>
      <c r="NNR38" s="363"/>
      <c r="NNS38" s="364" t="s">
        <v>140</v>
      </c>
      <c r="NNT38" s="365">
        <v>0.5</v>
      </c>
      <c r="NNU38" s="366" t="e">
        <f>10/NNQ36</f>
        <v>#DIV/0!</v>
      </c>
      <c r="NNV38" s="367">
        <v>15.38</v>
      </c>
      <c r="NNW38" s="367" t="e">
        <f>NNT38*NNU38*NNV38</f>
        <v>#DIV/0!</v>
      </c>
      <c r="NNX38" s="363" t="s">
        <v>153</v>
      </c>
      <c r="NNY38" s="363"/>
      <c r="NNZ38" s="363"/>
      <c r="NOA38" s="364" t="s">
        <v>140</v>
      </c>
      <c r="NOB38" s="365">
        <v>0.5</v>
      </c>
      <c r="NOC38" s="366" t="e">
        <f>10/NNY36</f>
        <v>#DIV/0!</v>
      </c>
      <c r="NOD38" s="367">
        <v>15.38</v>
      </c>
      <c r="NOE38" s="367" t="e">
        <f>NOB38*NOC38*NOD38</f>
        <v>#DIV/0!</v>
      </c>
      <c r="NOF38" s="363" t="s">
        <v>153</v>
      </c>
      <c r="NOG38" s="363"/>
      <c r="NOH38" s="363"/>
      <c r="NOI38" s="364" t="s">
        <v>140</v>
      </c>
      <c r="NOJ38" s="365">
        <v>0.5</v>
      </c>
      <c r="NOK38" s="366" t="e">
        <f>10/NOG36</f>
        <v>#DIV/0!</v>
      </c>
      <c r="NOL38" s="367">
        <v>15.38</v>
      </c>
      <c r="NOM38" s="367" t="e">
        <f>NOJ38*NOK38*NOL38</f>
        <v>#DIV/0!</v>
      </c>
      <c r="NON38" s="363" t="s">
        <v>153</v>
      </c>
      <c r="NOO38" s="363"/>
      <c r="NOP38" s="363"/>
      <c r="NOQ38" s="364" t="s">
        <v>140</v>
      </c>
      <c r="NOR38" s="365">
        <v>0.5</v>
      </c>
      <c r="NOS38" s="366" t="e">
        <f>10/NOO36</f>
        <v>#DIV/0!</v>
      </c>
      <c r="NOT38" s="367">
        <v>15.38</v>
      </c>
      <c r="NOU38" s="367" t="e">
        <f>NOR38*NOS38*NOT38</f>
        <v>#DIV/0!</v>
      </c>
      <c r="NOV38" s="363" t="s">
        <v>153</v>
      </c>
      <c r="NOW38" s="363"/>
      <c r="NOX38" s="363"/>
      <c r="NOY38" s="364" t="s">
        <v>140</v>
      </c>
      <c r="NOZ38" s="365">
        <v>0.5</v>
      </c>
      <c r="NPA38" s="366" t="e">
        <f>10/NOW36</f>
        <v>#DIV/0!</v>
      </c>
      <c r="NPB38" s="367">
        <v>15.38</v>
      </c>
      <c r="NPC38" s="367" t="e">
        <f>NOZ38*NPA38*NPB38</f>
        <v>#DIV/0!</v>
      </c>
      <c r="NPD38" s="363" t="s">
        <v>153</v>
      </c>
      <c r="NPE38" s="363"/>
      <c r="NPF38" s="363"/>
      <c r="NPG38" s="364" t="s">
        <v>140</v>
      </c>
      <c r="NPH38" s="365">
        <v>0.5</v>
      </c>
      <c r="NPI38" s="366" t="e">
        <f>10/NPE36</f>
        <v>#DIV/0!</v>
      </c>
      <c r="NPJ38" s="367">
        <v>15.38</v>
      </c>
      <c r="NPK38" s="367" t="e">
        <f>NPH38*NPI38*NPJ38</f>
        <v>#DIV/0!</v>
      </c>
      <c r="NPL38" s="363" t="s">
        <v>153</v>
      </c>
      <c r="NPM38" s="363"/>
      <c r="NPN38" s="363"/>
      <c r="NPO38" s="364" t="s">
        <v>140</v>
      </c>
      <c r="NPP38" s="365">
        <v>0.5</v>
      </c>
      <c r="NPQ38" s="366" t="e">
        <f>10/NPM36</f>
        <v>#DIV/0!</v>
      </c>
      <c r="NPR38" s="367">
        <v>15.38</v>
      </c>
      <c r="NPS38" s="367" t="e">
        <f>NPP38*NPQ38*NPR38</f>
        <v>#DIV/0!</v>
      </c>
      <c r="NPT38" s="363" t="s">
        <v>153</v>
      </c>
      <c r="NPU38" s="363"/>
      <c r="NPV38" s="363"/>
      <c r="NPW38" s="364" t="s">
        <v>140</v>
      </c>
      <c r="NPX38" s="365">
        <v>0.5</v>
      </c>
      <c r="NPY38" s="366" t="e">
        <f>10/NPU36</f>
        <v>#DIV/0!</v>
      </c>
      <c r="NPZ38" s="367">
        <v>15.38</v>
      </c>
      <c r="NQA38" s="367" t="e">
        <f>NPX38*NPY38*NPZ38</f>
        <v>#DIV/0!</v>
      </c>
      <c r="NQB38" s="363" t="s">
        <v>153</v>
      </c>
      <c r="NQC38" s="363"/>
      <c r="NQD38" s="363"/>
      <c r="NQE38" s="364" t="s">
        <v>140</v>
      </c>
      <c r="NQF38" s="365">
        <v>0.5</v>
      </c>
      <c r="NQG38" s="366" t="e">
        <f>10/NQC36</f>
        <v>#DIV/0!</v>
      </c>
      <c r="NQH38" s="367">
        <v>15.38</v>
      </c>
      <c r="NQI38" s="367" t="e">
        <f>NQF38*NQG38*NQH38</f>
        <v>#DIV/0!</v>
      </c>
      <c r="NQJ38" s="363" t="s">
        <v>153</v>
      </c>
      <c r="NQK38" s="363"/>
      <c r="NQL38" s="363"/>
      <c r="NQM38" s="364" t="s">
        <v>140</v>
      </c>
      <c r="NQN38" s="365">
        <v>0.5</v>
      </c>
      <c r="NQO38" s="366" t="e">
        <f>10/NQK36</f>
        <v>#DIV/0!</v>
      </c>
      <c r="NQP38" s="367">
        <v>15.38</v>
      </c>
      <c r="NQQ38" s="367" t="e">
        <f>NQN38*NQO38*NQP38</f>
        <v>#DIV/0!</v>
      </c>
      <c r="NQR38" s="363" t="s">
        <v>153</v>
      </c>
      <c r="NQS38" s="363"/>
      <c r="NQT38" s="363"/>
      <c r="NQU38" s="364" t="s">
        <v>140</v>
      </c>
      <c r="NQV38" s="365">
        <v>0.5</v>
      </c>
      <c r="NQW38" s="366" t="e">
        <f>10/NQS36</f>
        <v>#DIV/0!</v>
      </c>
      <c r="NQX38" s="367">
        <v>15.38</v>
      </c>
      <c r="NQY38" s="367" t="e">
        <f>NQV38*NQW38*NQX38</f>
        <v>#DIV/0!</v>
      </c>
      <c r="NQZ38" s="363" t="s">
        <v>153</v>
      </c>
      <c r="NRA38" s="363"/>
      <c r="NRB38" s="363"/>
      <c r="NRC38" s="364" t="s">
        <v>140</v>
      </c>
      <c r="NRD38" s="365">
        <v>0.5</v>
      </c>
      <c r="NRE38" s="366" t="e">
        <f>10/NRA36</f>
        <v>#DIV/0!</v>
      </c>
      <c r="NRF38" s="367">
        <v>15.38</v>
      </c>
      <c r="NRG38" s="367" t="e">
        <f>NRD38*NRE38*NRF38</f>
        <v>#DIV/0!</v>
      </c>
      <c r="NRH38" s="363" t="s">
        <v>153</v>
      </c>
      <c r="NRI38" s="363"/>
      <c r="NRJ38" s="363"/>
      <c r="NRK38" s="364" t="s">
        <v>140</v>
      </c>
      <c r="NRL38" s="365">
        <v>0.5</v>
      </c>
      <c r="NRM38" s="366" t="e">
        <f>10/NRI36</f>
        <v>#DIV/0!</v>
      </c>
      <c r="NRN38" s="367">
        <v>15.38</v>
      </c>
      <c r="NRO38" s="367" t="e">
        <f>NRL38*NRM38*NRN38</f>
        <v>#DIV/0!</v>
      </c>
      <c r="NRP38" s="363" t="s">
        <v>153</v>
      </c>
      <c r="NRQ38" s="363"/>
      <c r="NRR38" s="363"/>
      <c r="NRS38" s="364" t="s">
        <v>140</v>
      </c>
      <c r="NRT38" s="365">
        <v>0.5</v>
      </c>
      <c r="NRU38" s="366" t="e">
        <f>10/NRQ36</f>
        <v>#DIV/0!</v>
      </c>
      <c r="NRV38" s="367">
        <v>15.38</v>
      </c>
      <c r="NRW38" s="367" t="e">
        <f>NRT38*NRU38*NRV38</f>
        <v>#DIV/0!</v>
      </c>
      <c r="NRX38" s="363" t="s">
        <v>153</v>
      </c>
      <c r="NRY38" s="363"/>
      <c r="NRZ38" s="363"/>
      <c r="NSA38" s="364" t="s">
        <v>140</v>
      </c>
      <c r="NSB38" s="365">
        <v>0.5</v>
      </c>
      <c r="NSC38" s="366" t="e">
        <f>10/NRY36</f>
        <v>#DIV/0!</v>
      </c>
      <c r="NSD38" s="367">
        <v>15.38</v>
      </c>
      <c r="NSE38" s="367" t="e">
        <f>NSB38*NSC38*NSD38</f>
        <v>#DIV/0!</v>
      </c>
      <c r="NSF38" s="363" t="s">
        <v>153</v>
      </c>
      <c r="NSG38" s="363"/>
      <c r="NSH38" s="363"/>
      <c r="NSI38" s="364" t="s">
        <v>140</v>
      </c>
      <c r="NSJ38" s="365">
        <v>0.5</v>
      </c>
      <c r="NSK38" s="366" t="e">
        <f>10/NSG36</f>
        <v>#DIV/0!</v>
      </c>
      <c r="NSL38" s="367">
        <v>15.38</v>
      </c>
      <c r="NSM38" s="367" t="e">
        <f>NSJ38*NSK38*NSL38</f>
        <v>#DIV/0!</v>
      </c>
      <c r="NSN38" s="363" t="s">
        <v>153</v>
      </c>
      <c r="NSO38" s="363"/>
      <c r="NSP38" s="363"/>
      <c r="NSQ38" s="364" t="s">
        <v>140</v>
      </c>
      <c r="NSR38" s="365">
        <v>0.5</v>
      </c>
      <c r="NSS38" s="366" t="e">
        <f>10/NSO36</f>
        <v>#DIV/0!</v>
      </c>
      <c r="NST38" s="367">
        <v>15.38</v>
      </c>
      <c r="NSU38" s="367" t="e">
        <f>NSR38*NSS38*NST38</f>
        <v>#DIV/0!</v>
      </c>
      <c r="NSV38" s="363" t="s">
        <v>153</v>
      </c>
      <c r="NSW38" s="363"/>
      <c r="NSX38" s="363"/>
      <c r="NSY38" s="364" t="s">
        <v>140</v>
      </c>
      <c r="NSZ38" s="365">
        <v>0.5</v>
      </c>
      <c r="NTA38" s="366" t="e">
        <f>10/NSW36</f>
        <v>#DIV/0!</v>
      </c>
      <c r="NTB38" s="367">
        <v>15.38</v>
      </c>
      <c r="NTC38" s="367" t="e">
        <f>NSZ38*NTA38*NTB38</f>
        <v>#DIV/0!</v>
      </c>
      <c r="NTD38" s="363" t="s">
        <v>153</v>
      </c>
      <c r="NTE38" s="363"/>
      <c r="NTF38" s="363"/>
      <c r="NTG38" s="364" t="s">
        <v>140</v>
      </c>
      <c r="NTH38" s="365">
        <v>0.5</v>
      </c>
      <c r="NTI38" s="366" t="e">
        <f>10/NTE36</f>
        <v>#DIV/0!</v>
      </c>
      <c r="NTJ38" s="367">
        <v>15.38</v>
      </c>
      <c r="NTK38" s="367" t="e">
        <f>NTH38*NTI38*NTJ38</f>
        <v>#DIV/0!</v>
      </c>
      <c r="NTL38" s="363" t="s">
        <v>153</v>
      </c>
      <c r="NTM38" s="363"/>
      <c r="NTN38" s="363"/>
      <c r="NTO38" s="364" t="s">
        <v>140</v>
      </c>
      <c r="NTP38" s="365">
        <v>0.5</v>
      </c>
      <c r="NTQ38" s="366" t="e">
        <f>10/NTM36</f>
        <v>#DIV/0!</v>
      </c>
      <c r="NTR38" s="367">
        <v>15.38</v>
      </c>
      <c r="NTS38" s="367" t="e">
        <f>NTP38*NTQ38*NTR38</f>
        <v>#DIV/0!</v>
      </c>
      <c r="NTT38" s="363" t="s">
        <v>153</v>
      </c>
      <c r="NTU38" s="363"/>
      <c r="NTV38" s="363"/>
      <c r="NTW38" s="364" t="s">
        <v>140</v>
      </c>
      <c r="NTX38" s="365">
        <v>0.5</v>
      </c>
      <c r="NTY38" s="366" t="e">
        <f>10/NTU36</f>
        <v>#DIV/0!</v>
      </c>
      <c r="NTZ38" s="367">
        <v>15.38</v>
      </c>
      <c r="NUA38" s="367" t="e">
        <f>NTX38*NTY38*NTZ38</f>
        <v>#DIV/0!</v>
      </c>
      <c r="NUB38" s="363" t="s">
        <v>153</v>
      </c>
      <c r="NUC38" s="363"/>
      <c r="NUD38" s="363"/>
      <c r="NUE38" s="364" t="s">
        <v>140</v>
      </c>
      <c r="NUF38" s="365">
        <v>0.5</v>
      </c>
      <c r="NUG38" s="366" t="e">
        <f>10/NUC36</f>
        <v>#DIV/0!</v>
      </c>
      <c r="NUH38" s="367">
        <v>15.38</v>
      </c>
      <c r="NUI38" s="367" t="e">
        <f>NUF38*NUG38*NUH38</f>
        <v>#DIV/0!</v>
      </c>
      <c r="NUJ38" s="363" t="s">
        <v>153</v>
      </c>
      <c r="NUK38" s="363"/>
      <c r="NUL38" s="363"/>
      <c r="NUM38" s="364" t="s">
        <v>140</v>
      </c>
      <c r="NUN38" s="365">
        <v>0.5</v>
      </c>
      <c r="NUO38" s="366" t="e">
        <f>10/NUK36</f>
        <v>#DIV/0!</v>
      </c>
      <c r="NUP38" s="367">
        <v>15.38</v>
      </c>
      <c r="NUQ38" s="367" t="e">
        <f>NUN38*NUO38*NUP38</f>
        <v>#DIV/0!</v>
      </c>
      <c r="NUR38" s="363" t="s">
        <v>153</v>
      </c>
      <c r="NUS38" s="363"/>
      <c r="NUT38" s="363"/>
      <c r="NUU38" s="364" t="s">
        <v>140</v>
      </c>
      <c r="NUV38" s="365">
        <v>0.5</v>
      </c>
      <c r="NUW38" s="366" t="e">
        <f>10/NUS36</f>
        <v>#DIV/0!</v>
      </c>
      <c r="NUX38" s="367">
        <v>15.38</v>
      </c>
      <c r="NUY38" s="367" t="e">
        <f>NUV38*NUW38*NUX38</f>
        <v>#DIV/0!</v>
      </c>
      <c r="NUZ38" s="363" t="s">
        <v>153</v>
      </c>
      <c r="NVA38" s="363"/>
      <c r="NVB38" s="363"/>
      <c r="NVC38" s="364" t="s">
        <v>140</v>
      </c>
      <c r="NVD38" s="365">
        <v>0.5</v>
      </c>
      <c r="NVE38" s="366" t="e">
        <f>10/NVA36</f>
        <v>#DIV/0!</v>
      </c>
      <c r="NVF38" s="367">
        <v>15.38</v>
      </c>
      <c r="NVG38" s="367" t="e">
        <f>NVD38*NVE38*NVF38</f>
        <v>#DIV/0!</v>
      </c>
      <c r="NVH38" s="363" t="s">
        <v>153</v>
      </c>
      <c r="NVI38" s="363"/>
      <c r="NVJ38" s="363"/>
      <c r="NVK38" s="364" t="s">
        <v>140</v>
      </c>
      <c r="NVL38" s="365">
        <v>0.5</v>
      </c>
      <c r="NVM38" s="366" t="e">
        <f>10/NVI36</f>
        <v>#DIV/0!</v>
      </c>
      <c r="NVN38" s="367">
        <v>15.38</v>
      </c>
      <c r="NVO38" s="367" t="e">
        <f>NVL38*NVM38*NVN38</f>
        <v>#DIV/0!</v>
      </c>
      <c r="NVP38" s="363" t="s">
        <v>153</v>
      </c>
      <c r="NVQ38" s="363"/>
      <c r="NVR38" s="363"/>
      <c r="NVS38" s="364" t="s">
        <v>140</v>
      </c>
      <c r="NVT38" s="365">
        <v>0.5</v>
      </c>
      <c r="NVU38" s="366" t="e">
        <f>10/NVQ36</f>
        <v>#DIV/0!</v>
      </c>
      <c r="NVV38" s="367">
        <v>15.38</v>
      </c>
      <c r="NVW38" s="367" t="e">
        <f>NVT38*NVU38*NVV38</f>
        <v>#DIV/0!</v>
      </c>
      <c r="NVX38" s="363" t="s">
        <v>153</v>
      </c>
      <c r="NVY38" s="363"/>
      <c r="NVZ38" s="363"/>
      <c r="NWA38" s="364" t="s">
        <v>140</v>
      </c>
      <c r="NWB38" s="365">
        <v>0.5</v>
      </c>
      <c r="NWC38" s="366" t="e">
        <f>10/NVY36</f>
        <v>#DIV/0!</v>
      </c>
      <c r="NWD38" s="367">
        <v>15.38</v>
      </c>
      <c r="NWE38" s="367" t="e">
        <f>NWB38*NWC38*NWD38</f>
        <v>#DIV/0!</v>
      </c>
      <c r="NWF38" s="363" t="s">
        <v>153</v>
      </c>
      <c r="NWG38" s="363"/>
      <c r="NWH38" s="363"/>
      <c r="NWI38" s="364" t="s">
        <v>140</v>
      </c>
      <c r="NWJ38" s="365">
        <v>0.5</v>
      </c>
      <c r="NWK38" s="366" t="e">
        <f>10/NWG36</f>
        <v>#DIV/0!</v>
      </c>
      <c r="NWL38" s="367">
        <v>15.38</v>
      </c>
      <c r="NWM38" s="367" t="e">
        <f>NWJ38*NWK38*NWL38</f>
        <v>#DIV/0!</v>
      </c>
      <c r="NWN38" s="363" t="s">
        <v>153</v>
      </c>
      <c r="NWO38" s="363"/>
      <c r="NWP38" s="363"/>
      <c r="NWQ38" s="364" t="s">
        <v>140</v>
      </c>
      <c r="NWR38" s="365">
        <v>0.5</v>
      </c>
      <c r="NWS38" s="366" t="e">
        <f>10/NWO36</f>
        <v>#DIV/0!</v>
      </c>
      <c r="NWT38" s="367">
        <v>15.38</v>
      </c>
      <c r="NWU38" s="367" t="e">
        <f>NWR38*NWS38*NWT38</f>
        <v>#DIV/0!</v>
      </c>
      <c r="NWV38" s="363" t="s">
        <v>153</v>
      </c>
      <c r="NWW38" s="363"/>
      <c r="NWX38" s="363"/>
      <c r="NWY38" s="364" t="s">
        <v>140</v>
      </c>
      <c r="NWZ38" s="365">
        <v>0.5</v>
      </c>
      <c r="NXA38" s="366" t="e">
        <f>10/NWW36</f>
        <v>#DIV/0!</v>
      </c>
      <c r="NXB38" s="367">
        <v>15.38</v>
      </c>
      <c r="NXC38" s="367" t="e">
        <f>NWZ38*NXA38*NXB38</f>
        <v>#DIV/0!</v>
      </c>
      <c r="NXD38" s="363" t="s">
        <v>153</v>
      </c>
      <c r="NXE38" s="363"/>
      <c r="NXF38" s="363"/>
      <c r="NXG38" s="364" t="s">
        <v>140</v>
      </c>
      <c r="NXH38" s="365">
        <v>0.5</v>
      </c>
      <c r="NXI38" s="366" t="e">
        <f>10/NXE36</f>
        <v>#DIV/0!</v>
      </c>
      <c r="NXJ38" s="367">
        <v>15.38</v>
      </c>
      <c r="NXK38" s="367" t="e">
        <f>NXH38*NXI38*NXJ38</f>
        <v>#DIV/0!</v>
      </c>
      <c r="NXL38" s="363" t="s">
        <v>153</v>
      </c>
      <c r="NXM38" s="363"/>
      <c r="NXN38" s="363"/>
      <c r="NXO38" s="364" t="s">
        <v>140</v>
      </c>
      <c r="NXP38" s="365">
        <v>0.5</v>
      </c>
      <c r="NXQ38" s="366" t="e">
        <f>10/NXM36</f>
        <v>#DIV/0!</v>
      </c>
      <c r="NXR38" s="367">
        <v>15.38</v>
      </c>
      <c r="NXS38" s="367" t="e">
        <f>NXP38*NXQ38*NXR38</f>
        <v>#DIV/0!</v>
      </c>
      <c r="NXT38" s="363" t="s">
        <v>153</v>
      </c>
      <c r="NXU38" s="363"/>
      <c r="NXV38" s="363"/>
      <c r="NXW38" s="364" t="s">
        <v>140</v>
      </c>
      <c r="NXX38" s="365">
        <v>0.5</v>
      </c>
      <c r="NXY38" s="366" t="e">
        <f>10/NXU36</f>
        <v>#DIV/0!</v>
      </c>
      <c r="NXZ38" s="367">
        <v>15.38</v>
      </c>
      <c r="NYA38" s="367" t="e">
        <f>NXX38*NXY38*NXZ38</f>
        <v>#DIV/0!</v>
      </c>
      <c r="NYB38" s="363" t="s">
        <v>153</v>
      </c>
      <c r="NYC38" s="363"/>
      <c r="NYD38" s="363"/>
      <c r="NYE38" s="364" t="s">
        <v>140</v>
      </c>
      <c r="NYF38" s="365">
        <v>0.5</v>
      </c>
      <c r="NYG38" s="366" t="e">
        <f>10/NYC36</f>
        <v>#DIV/0!</v>
      </c>
      <c r="NYH38" s="367">
        <v>15.38</v>
      </c>
      <c r="NYI38" s="367" t="e">
        <f>NYF38*NYG38*NYH38</f>
        <v>#DIV/0!</v>
      </c>
      <c r="NYJ38" s="363" t="s">
        <v>153</v>
      </c>
      <c r="NYK38" s="363"/>
      <c r="NYL38" s="363"/>
      <c r="NYM38" s="364" t="s">
        <v>140</v>
      </c>
      <c r="NYN38" s="365">
        <v>0.5</v>
      </c>
      <c r="NYO38" s="366" t="e">
        <f>10/NYK36</f>
        <v>#DIV/0!</v>
      </c>
      <c r="NYP38" s="367">
        <v>15.38</v>
      </c>
      <c r="NYQ38" s="367" t="e">
        <f>NYN38*NYO38*NYP38</f>
        <v>#DIV/0!</v>
      </c>
      <c r="NYR38" s="363" t="s">
        <v>153</v>
      </c>
      <c r="NYS38" s="363"/>
      <c r="NYT38" s="363"/>
      <c r="NYU38" s="364" t="s">
        <v>140</v>
      </c>
      <c r="NYV38" s="365">
        <v>0.5</v>
      </c>
      <c r="NYW38" s="366" t="e">
        <f>10/NYS36</f>
        <v>#DIV/0!</v>
      </c>
      <c r="NYX38" s="367">
        <v>15.38</v>
      </c>
      <c r="NYY38" s="367" t="e">
        <f>NYV38*NYW38*NYX38</f>
        <v>#DIV/0!</v>
      </c>
      <c r="NYZ38" s="363" t="s">
        <v>153</v>
      </c>
      <c r="NZA38" s="363"/>
      <c r="NZB38" s="363"/>
      <c r="NZC38" s="364" t="s">
        <v>140</v>
      </c>
      <c r="NZD38" s="365">
        <v>0.5</v>
      </c>
      <c r="NZE38" s="366" t="e">
        <f>10/NZA36</f>
        <v>#DIV/0!</v>
      </c>
      <c r="NZF38" s="367">
        <v>15.38</v>
      </c>
      <c r="NZG38" s="367" t="e">
        <f>NZD38*NZE38*NZF38</f>
        <v>#DIV/0!</v>
      </c>
      <c r="NZH38" s="363" t="s">
        <v>153</v>
      </c>
      <c r="NZI38" s="363"/>
      <c r="NZJ38" s="363"/>
      <c r="NZK38" s="364" t="s">
        <v>140</v>
      </c>
      <c r="NZL38" s="365">
        <v>0.5</v>
      </c>
      <c r="NZM38" s="366" t="e">
        <f>10/NZI36</f>
        <v>#DIV/0!</v>
      </c>
      <c r="NZN38" s="367">
        <v>15.38</v>
      </c>
      <c r="NZO38" s="367" t="e">
        <f>NZL38*NZM38*NZN38</f>
        <v>#DIV/0!</v>
      </c>
      <c r="NZP38" s="363" t="s">
        <v>153</v>
      </c>
      <c r="NZQ38" s="363"/>
      <c r="NZR38" s="363"/>
      <c r="NZS38" s="364" t="s">
        <v>140</v>
      </c>
      <c r="NZT38" s="365">
        <v>0.5</v>
      </c>
      <c r="NZU38" s="366" t="e">
        <f>10/NZQ36</f>
        <v>#DIV/0!</v>
      </c>
      <c r="NZV38" s="367">
        <v>15.38</v>
      </c>
      <c r="NZW38" s="367" t="e">
        <f>NZT38*NZU38*NZV38</f>
        <v>#DIV/0!</v>
      </c>
      <c r="NZX38" s="363" t="s">
        <v>153</v>
      </c>
      <c r="NZY38" s="363"/>
      <c r="NZZ38" s="363"/>
      <c r="OAA38" s="364" t="s">
        <v>140</v>
      </c>
      <c r="OAB38" s="365">
        <v>0.5</v>
      </c>
      <c r="OAC38" s="366" t="e">
        <f>10/NZY36</f>
        <v>#DIV/0!</v>
      </c>
      <c r="OAD38" s="367">
        <v>15.38</v>
      </c>
      <c r="OAE38" s="367" t="e">
        <f>OAB38*OAC38*OAD38</f>
        <v>#DIV/0!</v>
      </c>
      <c r="OAF38" s="363" t="s">
        <v>153</v>
      </c>
      <c r="OAG38" s="363"/>
      <c r="OAH38" s="363"/>
      <c r="OAI38" s="364" t="s">
        <v>140</v>
      </c>
      <c r="OAJ38" s="365">
        <v>0.5</v>
      </c>
      <c r="OAK38" s="366" t="e">
        <f>10/OAG36</f>
        <v>#DIV/0!</v>
      </c>
      <c r="OAL38" s="367">
        <v>15.38</v>
      </c>
      <c r="OAM38" s="367" t="e">
        <f>OAJ38*OAK38*OAL38</f>
        <v>#DIV/0!</v>
      </c>
      <c r="OAN38" s="363" t="s">
        <v>153</v>
      </c>
      <c r="OAO38" s="363"/>
      <c r="OAP38" s="363"/>
      <c r="OAQ38" s="364" t="s">
        <v>140</v>
      </c>
      <c r="OAR38" s="365">
        <v>0.5</v>
      </c>
      <c r="OAS38" s="366" t="e">
        <f>10/OAO36</f>
        <v>#DIV/0!</v>
      </c>
      <c r="OAT38" s="367">
        <v>15.38</v>
      </c>
      <c r="OAU38" s="367" t="e">
        <f>OAR38*OAS38*OAT38</f>
        <v>#DIV/0!</v>
      </c>
      <c r="OAV38" s="363" t="s">
        <v>153</v>
      </c>
      <c r="OAW38" s="363"/>
      <c r="OAX38" s="363"/>
      <c r="OAY38" s="364" t="s">
        <v>140</v>
      </c>
      <c r="OAZ38" s="365">
        <v>0.5</v>
      </c>
      <c r="OBA38" s="366" t="e">
        <f>10/OAW36</f>
        <v>#DIV/0!</v>
      </c>
      <c r="OBB38" s="367">
        <v>15.38</v>
      </c>
      <c r="OBC38" s="367" t="e">
        <f>OAZ38*OBA38*OBB38</f>
        <v>#DIV/0!</v>
      </c>
      <c r="OBD38" s="363" t="s">
        <v>153</v>
      </c>
      <c r="OBE38" s="363"/>
      <c r="OBF38" s="363"/>
      <c r="OBG38" s="364" t="s">
        <v>140</v>
      </c>
      <c r="OBH38" s="365">
        <v>0.5</v>
      </c>
      <c r="OBI38" s="366" t="e">
        <f>10/OBE36</f>
        <v>#DIV/0!</v>
      </c>
      <c r="OBJ38" s="367">
        <v>15.38</v>
      </c>
      <c r="OBK38" s="367" t="e">
        <f>OBH38*OBI38*OBJ38</f>
        <v>#DIV/0!</v>
      </c>
      <c r="OBL38" s="363" t="s">
        <v>153</v>
      </c>
      <c r="OBM38" s="363"/>
      <c r="OBN38" s="363"/>
      <c r="OBO38" s="364" t="s">
        <v>140</v>
      </c>
      <c r="OBP38" s="365">
        <v>0.5</v>
      </c>
      <c r="OBQ38" s="366" t="e">
        <f>10/OBM36</f>
        <v>#DIV/0!</v>
      </c>
      <c r="OBR38" s="367">
        <v>15.38</v>
      </c>
      <c r="OBS38" s="367" t="e">
        <f>OBP38*OBQ38*OBR38</f>
        <v>#DIV/0!</v>
      </c>
      <c r="OBT38" s="363" t="s">
        <v>153</v>
      </c>
      <c r="OBU38" s="363"/>
      <c r="OBV38" s="363"/>
      <c r="OBW38" s="364" t="s">
        <v>140</v>
      </c>
      <c r="OBX38" s="365">
        <v>0.5</v>
      </c>
      <c r="OBY38" s="366" t="e">
        <f>10/OBU36</f>
        <v>#DIV/0!</v>
      </c>
      <c r="OBZ38" s="367">
        <v>15.38</v>
      </c>
      <c r="OCA38" s="367" t="e">
        <f>OBX38*OBY38*OBZ38</f>
        <v>#DIV/0!</v>
      </c>
      <c r="OCB38" s="363" t="s">
        <v>153</v>
      </c>
      <c r="OCC38" s="363"/>
      <c r="OCD38" s="363"/>
      <c r="OCE38" s="364" t="s">
        <v>140</v>
      </c>
      <c r="OCF38" s="365">
        <v>0.5</v>
      </c>
      <c r="OCG38" s="366" t="e">
        <f>10/OCC36</f>
        <v>#DIV/0!</v>
      </c>
      <c r="OCH38" s="367">
        <v>15.38</v>
      </c>
      <c r="OCI38" s="367" t="e">
        <f>OCF38*OCG38*OCH38</f>
        <v>#DIV/0!</v>
      </c>
      <c r="OCJ38" s="363" t="s">
        <v>153</v>
      </c>
      <c r="OCK38" s="363"/>
      <c r="OCL38" s="363"/>
      <c r="OCM38" s="364" t="s">
        <v>140</v>
      </c>
      <c r="OCN38" s="365">
        <v>0.5</v>
      </c>
      <c r="OCO38" s="366" t="e">
        <f>10/OCK36</f>
        <v>#DIV/0!</v>
      </c>
      <c r="OCP38" s="367">
        <v>15.38</v>
      </c>
      <c r="OCQ38" s="367" t="e">
        <f>OCN38*OCO38*OCP38</f>
        <v>#DIV/0!</v>
      </c>
      <c r="OCR38" s="363" t="s">
        <v>153</v>
      </c>
      <c r="OCS38" s="363"/>
      <c r="OCT38" s="363"/>
      <c r="OCU38" s="364" t="s">
        <v>140</v>
      </c>
      <c r="OCV38" s="365">
        <v>0.5</v>
      </c>
      <c r="OCW38" s="366" t="e">
        <f>10/OCS36</f>
        <v>#DIV/0!</v>
      </c>
      <c r="OCX38" s="367">
        <v>15.38</v>
      </c>
      <c r="OCY38" s="367" t="e">
        <f>OCV38*OCW38*OCX38</f>
        <v>#DIV/0!</v>
      </c>
      <c r="OCZ38" s="363" t="s">
        <v>153</v>
      </c>
      <c r="ODA38" s="363"/>
      <c r="ODB38" s="363"/>
      <c r="ODC38" s="364" t="s">
        <v>140</v>
      </c>
      <c r="ODD38" s="365">
        <v>0.5</v>
      </c>
      <c r="ODE38" s="366" t="e">
        <f>10/ODA36</f>
        <v>#DIV/0!</v>
      </c>
      <c r="ODF38" s="367">
        <v>15.38</v>
      </c>
      <c r="ODG38" s="367" t="e">
        <f>ODD38*ODE38*ODF38</f>
        <v>#DIV/0!</v>
      </c>
      <c r="ODH38" s="363" t="s">
        <v>153</v>
      </c>
      <c r="ODI38" s="363"/>
      <c r="ODJ38" s="363"/>
      <c r="ODK38" s="364" t="s">
        <v>140</v>
      </c>
      <c r="ODL38" s="365">
        <v>0.5</v>
      </c>
      <c r="ODM38" s="366" t="e">
        <f>10/ODI36</f>
        <v>#DIV/0!</v>
      </c>
      <c r="ODN38" s="367">
        <v>15.38</v>
      </c>
      <c r="ODO38" s="367" t="e">
        <f>ODL38*ODM38*ODN38</f>
        <v>#DIV/0!</v>
      </c>
      <c r="ODP38" s="363" t="s">
        <v>153</v>
      </c>
      <c r="ODQ38" s="363"/>
      <c r="ODR38" s="363"/>
      <c r="ODS38" s="364" t="s">
        <v>140</v>
      </c>
      <c r="ODT38" s="365">
        <v>0.5</v>
      </c>
      <c r="ODU38" s="366" t="e">
        <f>10/ODQ36</f>
        <v>#DIV/0!</v>
      </c>
      <c r="ODV38" s="367">
        <v>15.38</v>
      </c>
      <c r="ODW38" s="367" t="e">
        <f>ODT38*ODU38*ODV38</f>
        <v>#DIV/0!</v>
      </c>
      <c r="ODX38" s="363" t="s">
        <v>153</v>
      </c>
      <c r="ODY38" s="363"/>
      <c r="ODZ38" s="363"/>
      <c r="OEA38" s="364" t="s">
        <v>140</v>
      </c>
      <c r="OEB38" s="365">
        <v>0.5</v>
      </c>
      <c r="OEC38" s="366" t="e">
        <f>10/ODY36</f>
        <v>#DIV/0!</v>
      </c>
      <c r="OED38" s="367">
        <v>15.38</v>
      </c>
      <c r="OEE38" s="367" t="e">
        <f>OEB38*OEC38*OED38</f>
        <v>#DIV/0!</v>
      </c>
      <c r="OEF38" s="363" t="s">
        <v>153</v>
      </c>
      <c r="OEG38" s="363"/>
      <c r="OEH38" s="363"/>
      <c r="OEI38" s="364" t="s">
        <v>140</v>
      </c>
      <c r="OEJ38" s="365">
        <v>0.5</v>
      </c>
      <c r="OEK38" s="366" t="e">
        <f>10/OEG36</f>
        <v>#DIV/0!</v>
      </c>
      <c r="OEL38" s="367">
        <v>15.38</v>
      </c>
      <c r="OEM38" s="367" t="e">
        <f>OEJ38*OEK38*OEL38</f>
        <v>#DIV/0!</v>
      </c>
      <c r="OEN38" s="363" t="s">
        <v>153</v>
      </c>
      <c r="OEO38" s="363"/>
      <c r="OEP38" s="363"/>
      <c r="OEQ38" s="364" t="s">
        <v>140</v>
      </c>
      <c r="OER38" s="365">
        <v>0.5</v>
      </c>
      <c r="OES38" s="366" t="e">
        <f>10/OEO36</f>
        <v>#DIV/0!</v>
      </c>
      <c r="OET38" s="367">
        <v>15.38</v>
      </c>
      <c r="OEU38" s="367" t="e">
        <f>OER38*OES38*OET38</f>
        <v>#DIV/0!</v>
      </c>
      <c r="OEV38" s="363" t="s">
        <v>153</v>
      </c>
      <c r="OEW38" s="363"/>
      <c r="OEX38" s="363"/>
      <c r="OEY38" s="364" t="s">
        <v>140</v>
      </c>
      <c r="OEZ38" s="365">
        <v>0.5</v>
      </c>
      <c r="OFA38" s="366" t="e">
        <f>10/OEW36</f>
        <v>#DIV/0!</v>
      </c>
      <c r="OFB38" s="367">
        <v>15.38</v>
      </c>
      <c r="OFC38" s="367" t="e">
        <f>OEZ38*OFA38*OFB38</f>
        <v>#DIV/0!</v>
      </c>
      <c r="OFD38" s="363" t="s">
        <v>153</v>
      </c>
      <c r="OFE38" s="363"/>
      <c r="OFF38" s="363"/>
      <c r="OFG38" s="364" t="s">
        <v>140</v>
      </c>
      <c r="OFH38" s="365">
        <v>0.5</v>
      </c>
      <c r="OFI38" s="366" t="e">
        <f>10/OFE36</f>
        <v>#DIV/0!</v>
      </c>
      <c r="OFJ38" s="367">
        <v>15.38</v>
      </c>
      <c r="OFK38" s="367" t="e">
        <f>OFH38*OFI38*OFJ38</f>
        <v>#DIV/0!</v>
      </c>
      <c r="OFL38" s="363" t="s">
        <v>153</v>
      </c>
      <c r="OFM38" s="363"/>
      <c r="OFN38" s="363"/>
      <c r="OFO38" s="364" t="s">
        <v>140</v>
      </c>
      <c r="OFP38" s="365">
        <v>0.5</v>
      </c>
      <c r="OFQ38" s="366" t="e">
        <f>10/OFM36</f>
        <v>#DIV/0!</v>
      </c>
      <c r="OFR38" s="367">
        <v>15.38</v>
      </c>
      <c r="OFS38" s="367" t="e">
        <f>OFP38*OFQ38*OFR38</f>
        <v>#DIV/0!</v>
      </c>
      <c r="OFT38" s="363" t="s">
        <v>153</v>
      </c>
      <c r="OFU38" s="363"/>
      <c r="OFV38" s="363"/>
      <c r="OFW38" s="364" t="s">
        <v>140</v>
      </c>
      <c r="OFX38" s="365">
        <v>0.5</v>
      </c>
      <c r="OFY38" s="366" t="e">
        <f>10/OFU36</f>
        <v>#DIV/0!</v>
      </c>
      <c r="OFZ38" s="367">
        <v>15.38</v>
      </c>
      <c r="OGA38" s="367" t="e">
        <f>OFX38*OFY38*OFZ38</f>
        <v>#DIV/0!</v>
      </c>
      <c r="OGB38" s="363" t="s">
        <v>153</v>
      </c>
      <c r="OGC38" s="363"/>
      <c r="OGD38" s="363"/>
      <c r="OGE38" s="364" t="s">
        <v>140</v>
      </c>
      <c r="OGF38" s="365">
        <v>0.5</v>
      </c>
      <c r="OGG38" s="366" t="e">
        <f>10/OGC36</f>
        <v>#DIV/0!</v>
      </c>
      <c r="OGH38" s="367">
        <v>15.38</v>
      </c>
      <c r="OGI38" s="367" t="e">
        <f>OGF38*OGG38*OGH38</f>
        <v>#DIV/0!</v>
      </c>
      <c r="OGJ38" s="363" t="s">
        <v>153</v>
      </c>
      <c r="OGK38" s="363"/>
      <c r="OGL38" s="363"/>
      <c r="OGM38" s="364" t="s">
        <v>140</v>
      </c>
      <c r="OGN38" s="365">
        <v>0.5</v>
      </c>
      <c r="OGO38" s="366" t="e">
        <f>10/OGK36</f>
        <v>#DIV/0!</v>
      </c>
      <c r="OGP38" s="367">
        <v>15.38</v>
      </c>
      <c r="OGQ38" s="367" t="e">
        <f>OGN38*OGO38*OGP38</f>
        <v>#DIV/0!</v>
      </c>
      <c r="OGR38" s="363" t="s">
        <v>153</v>
      </c>
      <c r="OGS38" s="363"/>
      <c r="OGT38" s="363"/>
      <c r="OGU38" s="364" t="s">
        <v>140</v>
      </c>
      <c r="OGV38" s="365">
        <v>0.5</v>
      </c>
      <c r="OGW38" s="366" t="e">
        <f>10/OGS36</f>
        <v>#DIV/0!</v>
      </c>
      <c r="OGX38" s="367">
        <v>15.38</v>
      </c>
      <c r="OGY38" s="367" t="e">
        <f>OGV38*OGW38*OGX38</f>
        <v>#DIV/0!</v>
      </c>
      <c r="OGZ38" s="363" t="s">
        <v>153</v>
      </c>
      <c r="OHA38" s="363"/>
      <c r="OHB38" s="363"/>
      <c r="OHC38" s="364" t="s">
        <v>140</v>
      </c>
      <c r="OHD38" s="365">
        <v>0.5</v>
      </c>
      <c r="OHE38" s="366" t="e">
        <f>10/OHA36</f>
        <v>#DIV/0!</v>
      </c>
      <c r="OHF38" s="367">
        <v>15.38</v>
      </c>
      <c r="OHG38" s="367" t="e">
        <f>OHD38*OHE38*OHF38</f>
        <v>#DIV/0!</v>
      </c>
      <c r="OHH38" s="363" t="s">
        <v>153</v>
      </c>
      <c r="OHI38" s="363"/>
      <c r="OHJ38" s="363"/>
      <c r="OHK38" s="364" t="s">
        <v>140</v>
      </c>
      <c r="OHL38" s="365">
        <v>0.5</v>
      </c>
      <c r="OHM38" s="366" t="e">
        <f>10/OHI36</f>
        <v>#DIV/0!</v>
      </c>
      <c r="OHN38" s="367">
        <v>15.38</v>
      </c>
      <c r="OHO38" s="367" t="e">
        <f>OHL38*OHM38*OHN38</f>
        <v>#DIV/0!</v>
      </c>
      <c r="OHP38" s="363" t="s">
        <v>153</v>
      </c>
      <c r="OHQ38" s="363"/>
      <c r="OHR38" s="363"/>
      <c r="OHS38" s="364" t="s">
        <v>140</v>
      </c>
      <c r="OHT38" s="365">
        <v>0.5</v>
      </c>
      <c r="OHU38" s="366" t="e">
        <f>10/OHQ36</f>
        <v>#DIV/0!</v>
      </c>
      <c r="OHV38" s="367">
        <v>15.38</v>
      </c>
      <c r="OHW38" s="367" t="e">
        <f>OHT38*OHU38*OHV38</f>
        <v>#DIV/0!</v>
      </c>
      <c r="OHX38" s="363" t="s">
        <v>153</v>
      </c>
      <c r="OHY38" s="363"/>
      <c r="OHZ38" s="363"/>
      <c r="OIA38" s="364" t="s">
        <v>140</v>
      </c>
      <c r="OIB38" s="365">
        <v>0.5</v>
      </c>
      <c r="OIC38" s="366" t="e">
        <f>10/OHY36</f>
        <v>#DIV/0!</v>
      </c>
      <c r="OID38" s="367">
        <v>15.38</v>
      </c>
      <c r="OIE38" s="367" t="e">
        <f>OIB38*OIC38*OID38</f>
        <v>#DIV/0!</v>
      </c>
      <c r="OIF38" s="363" t="s">
        <v>153</v>
      </c>
      <c r="OIG38" s="363"/>
      <c r="OIH38" s="363"/>
      <c r="OII38" s="364" t="s">
        <v>140</v>
      </c>
      <c r="OIJ38" s="365">
        <v>0.5</v>
      </c>
      <c r="OIK38" s="366" t="e">
        <f>10/OIG36</f>
        <v>#DIV/0!</v>
      </c>
      <c r="OIL38" s="367">
        <v>15.38</v>
      </c>
      <c r="OIM38" s="367" t="e">
        <f>OIJ38*OIK38*OIL38</f>
        <v>#DIV/0!</v>
      </c>
      <c r="OIN38" s="363" t="s">
        <v>153</v>
      </c>
      <c r="OIO38" s="363"/>
      <c r="OIP38" s="363"/>
      <c r="OIQ38" s="364" t="s">
        <v>140</v>
      </c>
      <c r="OIR38" s="365">
        <v>0.5</v>
      </c>
      <c r="OIS38" s="366" t="e">
        <f>10/OIO36</f>
        <v>#DIV/0!</v>
      </c>
      <c r="OIT38" s="367">
        <v>15.38</v>
      </c>
      <c r="OIU38" s="367" t="e">
        <f>OIR38*OIS38*OIT38</f>
        <v>#DIV/0!</v>
      </c>
      <c r="OIV38" s="363" t="s">
        <v>153</v>
      </c>
      <c r="OIW38" s="363"/>
      <c r="OIX38" s="363"/>
      <c r="OIY38" s="364" t="s">
        <v>140</v>
      </c>
      <c r="OIZ38" s="365">
        <v>0.5</v>
      </c>
      <c r="OJA38" s="366" t="e">
        <f>10/OIW36</f>
        <v>#DIV/0!</v>
      </c>
      <c r="OJB38" s="367">
        <v>15.38</v>
      </c>
      <c r="OJC38" s="367" t="e">
        <f>OIZ38*OJA38*OJB38</f>
        <v>#DIV/0!</v>
      </c>
      <c r="OJD38" s="363" t="s">
        <v>153</v>
      </c>
      <c r="OJE38" s="363"/>
      <c r="OJF38" s="363"/>
      <c r="OJG38" s="364" t="s">
        <v>140</v>
      </c>
      <c r="OJH38" s="365">
        <v>0.5</v>
      </c>
      <c r="OJI38" s="366" t="e">
        <f>10/OJE36</f>
        <v>#DIV/0!</v>
      </c>
      <c r="OJJ38" s="367">
        <v>15.38</v>
      </c>
      <c r="OJK38" s="367" t="e">
        <f>OJH38*OJI38*OJJ38</f>
        <v>#DIV/0!</v>
      </c>
      <c r="OJL38" s="363" t="s">
        <v>153</v>
      </c>
      <c r="OJM38" s="363"/>
      <c r="OJN38" s="363"/>
      <c r="OJO38" s="364" t="s">
        <v>140</v>
      </c>
      <c r="OJP38" s="365">
        <v>0.5</v>
      </c>
      <c r="OJQ38" s="366" t="e">
        <f>10/OJM36</f>
        <v>#DIV/0!</v>
      </c>
      <c r="OJR38" s="367">
        <v>15.38</v>
      </c>
      <c r="OJS38" s="367" t="e">
        <f>OJP38*OJQ38*OJR38</f>
        <v>#DIV/0!</v>
      </c>
      <c r="OJT38" s="363" t="s">
        <v>153</v>
      </c>
      <c r="OJU38" s="363"/>
      <c r="OJV38" s="363"/>
      <c r="OJW38" s="364" t="s">
        <v>140</v>
      </c>
      <c r="OJX38" s="365">
        <v>0.5</v>
      </c>
      <c r="OJY38" s="366" t="e">
        <f>10/OJU36</f>
        <v>#DIV/0!</v>
      </c>
      <c r="OJZ38" s="367">
        <v>15.38</v>
      </c>
      <c r="OKA38" s="367" t="e">
        <f>OJX38*OJY38*OJZ38</f>
        <v>#DIV/0!</v>
      </c>
      <c r="OKB38" s="363" t="s">
        <v>153</v>
      </c>
      <c r="OKC38" s="363"/>
      <c r="OKD38" s="363"/>
      <c r="OKE38" s="364" t="s">
        <v>140</v>
      </c>
      <c r="OKF38" s="365">
        <v>0.5</v>
      </c>
      <c r="OKG38" s="366" t="e">
        <f>10/OKC36</f>
        <v>#DIV/0!</v>
      </c>
      <c r="OKH38" s="367">
        <v>15.38</v>
      </c>
      <c r="OKI38" s="367" t="e">
        <f>OKF38*OKG38*OKH38</f>
        <v>#DIV/0!</v>
      </c>
      <c r="OKJ38" s="363" t="s">
        <v>153</v>
      </c>
      <c r="OKK38" s="363"/>
      <c r="OKL38" s="363"/>
      <c r="OKM38" s="364" t="s">
        <v>140</v>
      </c>
      <c r="OKN38" s="365">
        <v>0.5</v>
      </c>
      <c r="OKO38" s="366" t="e">
        <f>10/OKK36</f>
        <v>#DIV/0!</v>
      </c>
      <c r="OKP38" s="367">
        <v>15.38</v>
      </c>
      <c r="OKQ38" s="367" t="e">
        <f>OKN38*OKO38*OKP38</f>
        <v>#DIV/0!</v>
      </c>
      <c r="OKR38" s="363" t="s">
        <v>153</v>
      </c>
      <c r="OKS38" s="363"/>
      <c r="OKT38" s="363"/>
      <c r="OKU38" s="364" t="s">
        <v>140</v>
      </c>
      <c r="OKV38" s="365">
        <v>0.5</v>
      </c>
      <c r="OKW38" s="366" t="e">
        <f>10/OKS36</f>
        <v>#DIV/0!</v>
      </c>
      <c r="OKX38" s="367">
        <v>15.38</v>
      </c>
      <c r="OKY38" s="367" t="e">
        <f>OKV38*OKW38*OKX38</f>
        <v>#DIV/0!</v>
      </c>
      <c r="OKZ38" s="363" t="s">
        <v>153</v>
      </c>
      <c r="OLA38" s="363"/>
      <c r="OLB38" s="363"/>
      <c r="OLC38" s="364" t="s">
        <v>140</v>
      </c>
      <c r="OLD38" s="365">
        <v>0.5</v>
      </c>
      <c r="OLE38" s="366" t="e">
        <f>10/OLA36</f>
        <v>#DIV/0!</v>
      </c>
      <c r="OLF38" s="367">
        <v>15.38</v>
      </c>
      <c r="OLG38" s="367" t="e">
        <f>OLD38*OLE38*OLF38</f>
        <v>#DIV/0!</v>
      </c>
      <c r="OLH38" s="363" t="s">
        <v>153</v>
      </c>
      <c r="OLI38" s="363"/>
      <c r="OLJ38" s="363"/>
      <c r="OLK38" s="364" t="s">
        <v>140</v>
      </c>
      <c r="OLL38" s="365">
        <v>0.5</v>
      </c>
      <c r="OLM38" s="366" t="e">
        <f>10/OLI36</f>
        <v>#DIV/0!</v>
      </c>
      <c r="OLN38" s="367">
        <v>15.38</v>
      </c>
      <c r="OLO38" s="367" t="e">
        <f>OLL38*OLM38*OLN38</f>
        <v>#DIV/0!</v>
      </c>
      <c r="OLP38" s="363" t="s">
        <v>153</v>
      </c>
      <c r="OLQ38" s="363"/>
      <c r="OLR38" s="363"/>
      <c r="OLS38" s="364" t="s">
        <v>140</v>
      </c>
      <c r="OLT38" s="365">
        <v>0.5</v>
      </c>
      <c r="OLU38" s="366" t="e">
        <f>10/OLQ36</f>
        <v>#DIV/0!</v>
      </c>
      <c r="OLV38" s="367">
        <v>15.38</v>
      </c>
      <c r="OLW38" s="367" t="e">
        <f>OLT38*OLU38*OLV38</f>
        <v>#DIV/0!</v>
      </c>
      <c r="OLX38" s="363" t="s">
        <v>153</v>
      </c>
      <c r="OLY38" s="363"/>
      <c r="OLZ38" s="363"/>
      <c r="OMA38" s="364" t="s">
        <v>140</v>
      </c>
      <c r="OMB38" s="365">
        <v>0.5</v>
      </c>
      <c r="OMC38" s="366" t="e">
        <f>10/OLY36</f>
        <v>#DIV/0!</v>
      </c>
      <c r="OMD38" s="367">
        <v>15.38</v>
      </c>
      <c r="OME38" s="367" t="e">
        <f>OMB38*OMC38*OMD38</f>
        <v>#DIV/0!</v>
      </c>
      <c r="OMF38" s="363" t="s">
        <v>153</v>
      </c>
      <c r="OMG38" s="363"/>
      <c r="OMH38" s="363"/>
      <c r="OMI38" s="364" t="s">
        <v>140</v>
      </c>
      <c r="OMJ38" s="365">
        <v>0.5</v>
      </c>
      <c r="OMK38" s="366" t="e">
        <f>10/OMG36</f>
        <v>#DIV/0!</v>
      </c>
      <c r="OML38" s="367">
        <v>15.38</v>
      </c>
      <c r="OMM38" s="367" t="e">
        <f>OMJ38*OMK38*OML38</f>
        <v>#DIV/0!</v>
      </c>
      <c r="OMN38" s="363" t="s">
        <v>153</v>
      </c>
      <c r="OMO38" s="363"/>
      <c r="OMP38" s="363"/>
      <c r="OMQ38" s="364" t="s">
        <v>140</v>
      </c>
      <c r="OMR38" s="365">
        <v>0.5</v>
      </c>
      <c r="OMS38" s="366" t="e">
        <f>10/OMO36</f>
        <v>#DIV/0!</v>
      </c>
      <c r="OMT38" s="367">
        <v>15.38</v>
      </c>
      <c r="OMU38" s="367" t="e">
        <f>OMR38*OMS38*OMT38</f>
        <v>#DIV/0!</v>
      </c>
      <c r="OMV38" s="363" t="s">
        <v>153</v>
      </c>
      <c r="OMW38" s="363"/>
      <c r="OMX38" s="363"/>
      <c r="OMY38" s="364" t="s">
        <v>140</v>
      </c>
      <c r="OMZ38" s="365">
        <v>0.5</v>
      </c>
      <c r="ONA38" s="366" t="e">
        <f>10/OMW36</f>
        <v>#DIV/0!</v>
      </c>
      <c r="ONB38" s="367">
        <v>15.38</v>
      </c>
      <c r="ONC38" s="367" t="e">
        <f>OMZ38*ONA38*ONB38</f>
        <v>#DIV/0!</v>
      </c>
      <c r="OND38" s="363" t="s">
        <v>153</v>
      </c>
      <c r="ONE38" s="363"/>
      <c r="ONF38" s="363"/>
      <c r="ONG38" s="364" t="s">
        <v>140</v>
      </c>
      <c r="ONH38" s="365">
        <v>0.5</v>
      </c>
      <c r="ONI38" s="366" t="e">
        <f>10/ONE36</f>
        <v>#DIV/0!</v>
      </c>
      <c r="ONJ38" s="367">
        <v>15.38</v>
      </c>
      <c r="ONK38" s="367" t="e">
        <f>ONH38*ONI38*ONJ38</f>
        <v>#DIV/0!</v>
      </c>
      <c r="ONL38" s="363" t="s">
        <v>153</v>
      </c>
      <c r="ONM38" s="363"/>
      <c r="ONN38" s="363"/>
      <c r="ONO38" s="364" t="s">
        <v>140</v>
      </c>
      <c r="ONP38" s="365">
        <v>0.5</v>
      </c>
      <c r="ONQ38" s="366" t="e">
        <f>10/ONM36</f>
        <v>#DIV/0!</v>
      </c>
      <c r="ONR38" s="367">
        <v>15.38</v>
      </c>
      <c r="ONS38" s="367" t="e">
        <f>ONP38*ONQ38*ONR38</f>
        <v>#DIV/0!</v>
      </c>
      <c r="ONT38" s="363" t="s">
        <v>153</v>
      </c>
      <c r="ONU38" s="363"/>
      <c r="ONV38" s="363"/>
      <c r="ONW38" s="364" t="s">
        <v>140</v>
      </c>
      <c r="ONX38" s="365">
        <v>0.5</v>
      </c>
      <c r="ONY38" s="366" t="e">
        <f>10/ONU36</f>
        <v>#DIV/0!</v>
      </c>
      <c r="ONZ38" s="367">
        <v>15.38</v>
      </c>
      <c r="OOA38" s="367" t="e">
        <f>ONX38*ONY38*ONZ38</f>
        <v>#DIV/0!</v>
      </c>
      <c r="OOB38" s="363" t="s">
        <v>153</v>
      </c>
      <c r="OOC38" s="363"/>
      <c r="OOD38" s="363"/>
      <c r="OOE38" s="364" t="s">
        <v>140</v>
      </c>
      <c r="OOF38" s="365">
        <v>0.5</v>
      </c>
      <c r="OOG38" s="366" t="e">
        <f>10/OOC36</f>
        <v>#DIV/0!</v>
      </c>
      <c r="OOH38" s="367">
        <v>15.38</v>
      </c>
      <c r="OOI38" s="367" t="e">
        <f>OOF38*OOG38*OOH38</f>
        <v>#DIV/0!</v>
      </c>
      <c r="OOJ38" s="363" t="s">
        <v>153</v>
      </c>
      <c r="OOK38" s="363"/>
      <c r="OOL38" s="363"/>
      <c r="OOM38" s="364" t="s">
        <v>140</v>
      </c>
      <c r="OON38" s="365">
        <v>0.5</v>
      </c>
      <c r="OOO38" s="366" t="e">
        <f>10/OOK36</f>
        <v>#DIV/0!</v>
      </c>
      <c r="OOP38" s="367">
        <v>15.38</v>
      </c>
      <c r="OOQ38" s="367" t="e">
        <f>OON38*OOO38*OOP38</f>
        <v>#DIV/0!</v>
      </c>
      <c r="OOR38" s="363" t="s">
        <v>153</v>
      </c>
      <c r="OOS38" s="363"/>
      <c r="OOT38" s="363"/>
      <c r="OOU38" s="364" t="s">
        <v>140</v>
      </c>
      <c r="OOV38" s="365">
        <v>0.5</v>
      </c>
      <c r="OOW38" s="366" t="e">
        <f>10/OOS36</f>
        <v>#DIV/0!</v>
      </c>
      <c r="OOX38" s="367">
        <v>15.38</v>
      </c>
      <c r="OOY38" s="367" t="e">
        <f>OOV38*OOW38*OOX38</f>
        <v>#DIV/0!</v>
      </c>
      <c r="OOZ38" s="363" t="s">
        <v>153</v>
      </c>
      <c r="OPA38" s="363"/>
      <c r="OPB38" s="363"/>
      <c r="OPC38" s="364" t="s">
        <v>140</v>
      </c>
      <c r="OPD38" s="365">
        <v>0.5</v>
      </c>
      <c r="OPE38" s="366" t="e">
        <f>10/OPA36</f>
        <v>#DIV/0!</v>
      </c>
      <c r="OPF38" s="367">
        <v>15.38</v>
      </c>
      <c r="OPG38" s="367" t="e">
        <f>OPD38*OPE38*OPF38</f>
        <v>#DIV/0!</v>
      </c>
      <c r="OPH38" s="363" t="s">
        <v>153</v>
      </c>
      <c r="OPI38" s="363"/>
      <c r="OPJ38" s="363"/>
      <c r="OPK38" s="364" t="s">
        <v>140</v>
      </c>
      <c r="OPL38" s="365">
        <v>0.5</v>
      </c>
      <c r="OPM38" s="366" t="e">
        <f>10/OPI36</f>
        <v>#DIV/0!</v>
      </c>
      <c r="OPN38" s="367">
        <v>15.38</v>
      </c>
      <c r="OPO38" s="367" t="e">
        <f>OPL38*OPM38*OPN38</f>
        <v>#DIV/0!</v>
      </c>
      <c r="OPP38" s="363" t="s">
        <v>153</v>
      </c>
      <c r="OPQ38" s="363"/>
      <c r="OPR38" s="363"/>
      <c r="OPS38" s="364" t="s">
        <v>140</v>
      </c>
      <c r="OPT38" s="365">
        <v>0.5</v>
      </c>
      <c r="OPU38" s="366" t="e">
        <f>10/OPQ36</f>
        <v>#DIV/0!</v>
      </c>
      <c r="OPV38" s="367">
        <v>15.38</v>
      </c>
      <c r="OPW38" s="367" t="e">
        <f>OPT38*OPU38*OPV38</f>
        <v>#DIV/0!</v>
      </c>
      <c r="OPX38" s="363" t="s">
        <v>153</v>
      </c>
      <c r="OPY38" s="363"/>
      <c r="OPZ38" s="363"/>
      <c r="OQA38" s="364" t="s">
        <v>140</v>
      </c>
      <c r="OQB38" s="365">
        <v>0.5</v>
      </c>
      <c r="OQC38" s="366" t="e">
        <f>10/OPY36</f>
        <v>#DIV/0!</v>
      </c>
      <c r="OQD38" s="367">
        <v>15.38</v>
      </c>
      <c r="OQE38" s="367" t="e">
        <f>OQB38*OQC38*OQD38</f>
        <v>#DIV/0!</v>
      </c>
      <c r="OQF38" s="363" t="s">
        <v>153</v>
      </c>
      <c r="OQG38" s="363"/>
      <c r="OQH38" s="363"/>
      <c r="OQI38" s="364" t="s">
        <v>140</v>
      </c>
      <c r="OQJ38" s="365">
        <v>0.5</v>
      </c>
      <c r="OQK38" s="366" t="e">
        <f>10/OQG36</f>
        <v>#DIV/0!</v>
      </c>
      <c r="OQL38" s="367">
        <v>15.38</v>
      </c>
      <c r="OQM38" s="367" t="e">
        <f>OQJ38*OQK38*OQL38</f>
        <v>#DIV/0!</v>
      </c>
      <c r="OQN38" s="363" t="s">
        <v>153</v>
      </c>
      <c r="OQO38" s="363"/>
      <c r="OQP38" s="363"/>
      <c r="OQQ38" s="364" t="s">
        <v>140</v>
      </c>
      <c r="OQR38" s="365">
        <v>0.5</v>
      </c>
      <c r="OQS38" s="366" t="e">
        <f>10/OQO36</f>
        <v>#DIV/0!</v>
      </c>
      <c r="OQT38" s="367">
        <v>15.38</v>
      </c>
      <c r="OQU38" s="367" t="e">
        <f>OQR38*OQS38*OQT38</f>
        <v>#DIV/0!</v>
      </c>
      <c r="OQV38" s="363" t="s">
        <v>153</v>
      </c>
      <c r="OQW38" s="363"/>
      <c r="OQX38" s="363"/>
      <c r="OQY38" s="364" t="s">
        <v>140</v>
      </c>
      <c r="OQZ38" s="365">
        <v>0.5</v>
      </c>
      <c r="ORA38" s="366" t="e">
        <f>10/OQW36</f>
        <v>#DIV/0!</v>
      </c>
      <c r="ORB38" s="367">
        <v>15.38</v>
      </c>
      <c r="ORC38" s="367" t="e">
        <f>OQZ38*ORA38*ORB38</f>
        <v>#DIV/0!</v>
      </c>
      <c r="ORD38" s="363" t="s">
        <v>153</v>
      </c>
      <c r="ORE38" s="363"/>
      <c r="ORF38" s="363"/>
      <c r="ORG38" s="364" t="s">
        <v>140</v>
      </c>
      <c r="ORH38" s="365">
        <v>0.5</v>
      </c>
      <c r="ORI38" s="366" t="e">
        <f>10/ORE36</f>
        <v>#DIV/0!</v>
      </c>
      <c r="ORJ38" s="367">
        <v>15.38</v>
      </c>
      <c r="ORK38" s="367" t="e">
        <f>ORH38*ORI38*ORJ38</f>
        <v>#DIV/0!</v>
      </c>
      <c r="ORL38" s="363" t="s">
        <v>153</v>
      </c>
      <c r="ORM38" s="363"/>
      <c r="ORN38" s="363"/>
      <c r="ORO38" s="364" t="s">
        <v>140</v>
      </c>
      <c r="ORP38" s="365">
        <v>0.5</v>
      </c>
      <c r="ORQ38" s="366" t="e">
        <f>10/ORM36</f>
        <v>#DIV/0!</v>
      </c>
      <c r="ORR38" s="367">
        <v>15.38</v>
      </c>
      <c r="ORS38" s="367" t="e">
        <f>ORP38*ORQ38*ORR38</f>
        <v>#DIV/0!</v>
      </c>
      <c r="ORT38" s="363" t="s">
        <v>153</v>
      </c>
      <c r="ORU38" s="363"/>
      <c r="ORV38" s="363"/>
      <c r="ORW38" s="364" t="s">
        <v>140</v>
      </c>
      <c r="ORX38" s="365">
        <v>0.5</v>
      </c>
      <c r="ORY38" s="366" t="e">
        <f>10/ORU36</f>
        <v>#DIV/0!</v>
      </c>
      <c r="ORZ38" s="367">
        <v>15.38</v>
      </c>
      <c r="OSA38" s="367" t="e">
        <f>ORX38*ORY38*ORZ38</f>
        <v>#DIV/0!</v>
      </c>
      <c r="OSB38" s="363" t="s">
        <v>153</v>
      </c>
      <c r="OSC38" s="363"/>
      <c r="OSD38" s="363"/>
      <c r="OSE38" s="364" t="s">
        <v>140</v>
      </c>
      <c r="OSF38" s="365">
        <v>0.5</v>
      </c>
      <c r="OSG38" s="366" t="e">
        <f>10/OSC36</f>
        <v>#DIV/0!</v>
      </c>
      <c r="OSH38" s="367">
        <v>15.38</v>
      </c>
      <c r="OSI38" s="367" t="e">
        <f>OSF38*OSG38*OSH38</f>
        <v>#DIV/0!</v>
      </c>
      <c r="OSJ38" s="363" t="s">
        <v>153</v>
      </c>
      <c r="OSK38" s="363"/>
      <c r="OSL38" s="363"/>
      <c r="OSM38" s="364" t="s">
        <v>140</v>
      </c>
      <c r="OSN38" s="365">
        <v>0.5</v>
      </c>
      <c r="OSO38" s="366" t="e">
        <f>10/OSK36</f>
        <v>#DIV/0!</v>
      </c>
      <c r="OSP38" s="367">
        <v>15.38</v>
      </c>
      <c r="OSQ38" s="367" t="e">
        <f>OSN38*OSO38*OSP38</f>
        <v>#DIV/0!</v>
      </c>
      <c r="OSR38" s="363" t="s">
        <v>153</v>
      </c>
      <c r="OSS38" s="363"/>
      <c r="OST38" s="363"/>
      <c r="OSU38" s="364" t="s">
        <v>140</v>
      </c>
      <c r="OSV38" s="365">
        <v>0.5</v>
      </c>
      <c r="OSW38" s="366" t="e">
        <f>10/OSS36</f>
        <v>#DIV/0!</v>
      </c>
      <c r="OSX38" s="367">
        <v>15.38</v>
      </c>
      <c r="OSY38" s="367" t="e">
        <f>OSV38*OSW38*OSX38</f>
        <v>#DIV/0!</v>
      </c>
      <c r="OSZ38" s="363" t="s">
        <v>153</v>
      </c>
      <c r="OTA38" s="363"/>
      <c r="OTB38" s="363"/>
      <c r="OTC38" s="364" t="s">
        <v>140</v>
      </c>
      <c r="OTD38" s="365">
        <v>0.5</v>
      </c>
      <c r="OTE38" s="366" t="e">
        <f>10/OTA36</f>
        <v>#DIV/0!</v>
      </c>
      <c r="OTF38" s="367">
        <v>15.38</v>
      </c>
      <c r="OTG38" s="367" t="e">
        <f>OTD38*OTE38*OTF38</f>
        <v>#DIV/0!</v>
      </c>
      <c r="OTH38" s="363" t="s">
        <v>153</v>
      </c>
      <c r="OTI38" s="363"/>
      <c r="OTJ38" s="363"/>
      <c r="OTK38" s="364" t="s">
        <v>140</v>
      </c>
      <c r="OTL38" s="365">
        <v>0.5</v>
      </c>
      <c r="OTM38" s="366" t="e">
        <f>10/OTI36</f>
        <v>#DIV/0!</v>
      </c>
      <c r="OTN38" s="367">
        <v>15.38</v>
      </c>
      <c r="OTO38" s="367" t="e">
        <f>OTL38*OTM38*OTN38</f>
        <v>#DIV/0!</v>
      </c>
      <c r="OTP38" s="363" t="s">
        <v>153</v>
      </c>
      <c r="OTQ38" s="363"/>
      <c r="OTR38" s="363"/>
      <c r="OTS38" s="364" t="s">
        <v>140</v>
      </c>
      <c r="OTT38" s="365">
        <v>0.5</v>
      </c>
      <c r="OTU38" s="366" t="e">
        <f>10/OTQ36</f>
        <v>#DIV/0!</v>
      </c>
      <c r="OTV38" s="367">
        <v>15.38</v>
      </c>
      <c r="OTW38" s="367" t="e">
        <f>OTT38*OTU38*OTV38</f>
        <v>#DIV/0!</v>
      </c>
      <c r="OTX38" s="363" t="s">
        <v>153</v>
      </c>
      <c r="OTY38" s="363"/>
      <c r="OTZ38" s="363"/>
      <c r="OUA38" s="364" t="s">
        <v>140</v>
      </c>
      <c r="OUB38" s="365">
        <v>0.5</v>
      </c>
      <c r="OUC38" s="366" t="e">
        <f>10/OTY36</f>
        <v>#DIV/0!</v>
      </c>
      <c r="OUD38" s="367">
        <v>15.38</v>
      </c>
      <c r="OUE38" s="367" t="e">
        <f>OUB38*OUC38*OUD38</f>
        <v>#DIV/0!</v>
      </c>
      <c r="OUF38" s="363" t="s">
        <v>153</v>
      </c>
      <c r="OUG38" s="363"/>
      <c r="OUH38" s="363"/>
      <c r="OUI38" s="364" t="s">
        <v>140</v>
      </c>
      <c r="OUJ38" s="365">
        <v>0.5</v>
      </c>
      <c r="OUK38" s="366" t="e">
        <f>10/OUG36</f>
        <v>#DIV/0!</v>
      </c>
      <c r="OUL38" s="367">
        <v>15.38</v>
      </c>
      <c r="OUM38" s="367" t="e">
        <f>OUJ38*OUK38*OUL38</f>
        <v>#DIV/0!</v>
      </c>
      <c r="OUN38" s="363" t="s">
        <v>153</v>
      </c>
      <c r="OUO38" s="363"/>
      <c r="OUP38" s="363"/>
      <c r="OUQ38" s="364" t="s">
        <v>140</v>
      </c>
      <c r="OUR38" s="365">
        <v>0.5</v>
      </c>
      <c r="OUS38" s="366" t="e">
        <f>10/OUO36</f>
        <v>#DIV/0!</v>
      </c>
      <c r="OUT38" s="367">
        <v>15.38</v>
      </c>
      <c r="OUU38" s="367" t="e">
        <f>OUR38*OUS38*OUT38</f>
        <v>#DIV/0!</v>
      </c>
      <c r="OUV38" s="363" t="s">
        <v>153</v>
      </c>
      <c r="OUW38" s="363"/>
      <c r="OUX38" s="363"/>
      <c r="OUY38" s="364" t="s">
        <v>140</v>
      </c>
      <c r="OUZ38" s="365">
        <v>0.5</v>
      </c>
      <c r="OVA38" s="366" t="e">
        <f>10/OUW36</f>
        <v>#DIV/0!</v>
      </c>
      <c r="OVB38" s="367">
        <v>15.38</v>
      </c>
      <c r="OVC38" s="367" t="e">
        <f>OUZ38*OVA38*OVB38</f>
        <v>#DIV/0!</v>
      </c>
      <c r="OVD38" s="363" t="s">
        <v>153</v>
      </c>
      <c r="OVE38" s="363"/>
      <c r="OVF38" s="363"/>
      <c r="OVG38" s="364" t="s">
        <v>140</v>
      </c>
      <c r="OVH38" s="365">
        <v>0.5</v>
      </c>
      <c r="OVI38" s="366" t="e">
        <f>10/OVE36</f>
        <v>#DIV/0!</v>
      </c>
      <c r="OVJ38" s="367">
        <v>15.38</v>
      </c>
      <c r="OVK38" s="367" t="e">
        <f>OVH38*OVI38*OVJ38</f>
        <v>#DIV/0!</v>
      </c>
      <c r="OVL38" s="363" t="s">
        <v>153</v>
      </c>
      <c r="OVM38" s="363"/>
      <c r="OVN38" s="363"/>
      <c r="OVO38" s="364" t="s">
        <v>140</v>
      </c>
      <c r="OVP38" s="365">
        <v>0.5</v>
      </c>
      <c r="OVQ38" s="366" t="e">
        <f>10/OVM36</f>
        <v>#DIV/0!</v>
      </c>
      <c r="OVR38" s="367">
        <v>15.38</v>
      </c>
      <c r="OVS38" s="367" t="e">
        <f>OVP38*OVQ38*OVR38</f>
        <v>#DIV/0!</v>
      </c>
      <c r="OVT38" s="363" t="s">
        <v>153</v>
      </c>
      <c r="OVU38" s="363"/>
      <c r="OVV38" s="363"/>
      <c r="OVW38" s="364" t="s">
        <v>140</v>
      </c>
      <c r="OVX38" s="365">
        <v>0.5</v>
      </c>
      <c r="OVY38" s="366" t="e">
        <f>10/OVU36</f>
        <v>#DIV/0!</v>
      </c>
      <c r="OVZ38" s="367">
        <v>15.38</v>
      </c>
      <c r="OWA38" s="367" t="e">
        <f>OVX38*OVY38*OVZ38</f>
        <v>#DIV/0!</v>
      </c>
      <c r="OWB38" s="363" t="s">
        <v>153</v>
      </c>
      <c r="OWC38" s="363"/>
      <c r="OWD38" s="363"/>
      <c r="OWE38" s="364" t="s">
        <v>140</v>
      </c>
      <c r="OWF38" s="365">
        <v>0.5</v>
      </c>
      <c r="OWG38" s="366" t="e">
        <f>10/OWC36</f>
        <v>#DIV/0!</v>
      </c>
      <c r="OWH38" s="367">
        <v>15.38</v>
      </c>
      <c r="OWI38" s="367" t="e">
        <f>OWF38*OWG38*OWH38</f>
        <v>#DIV/0!</v>
      </c>
      <c r="OWJ38" s="363" t="s">
        <v>153</v>
      </c>
      <c r="OWK38" s="363"/>
      <c r="OWL38" s="363"/>
      <c r="OWM38" s="364" t="s">
        <v>140</v>
      </c>
      <c r="OWN38" s="365">
        <v>0.5</v>
      </c>
      <c r="OWO38" s="366" t="e">
        <f>10/OWK36</f>
        <v>#DIV/0!</v>
      </c>
      <c r="OWP38" s="367">
        <v>15.38</v>
      </c>
      <c r="OWQ38" s="367" t="e">
        <f>OWN38*OWO38*OWP38</f>
        <v>#DIV/0!</v>
      </c>
      <c r="OWR38" s="363" t="s">
        <v>153</v>
      </c>
      <c r="OWS38" s="363"/>
      <c r="OWT38" s="363"/>
      <c r="OWU38" s="364" t="s">
        <v>140</v>
      </c>
      <c r="OWV38" s="365">
        <v>0.5</v>
      </c>
      <c r="OWW38" s="366" t="e">
        <f>10/OWS36</f>
        <v>#DIV/0!</v>
      </c>
      <c r="OWX38" s="367">
        <v>15.38</v>
      </c>
      <c r="OWY38" s="367" t="e">
        <f>OWV38*OWW38*OWX38</f>
        <v>#DIV/0!</v>
      </c>
      <c r="OWZ38" s="363" t="s">
        <v>153</v>
      </c>
      <c r="OXA38" s="363"/>
      <c r="OXB38" s="363"/>
      <c r="OXC38" s="364" t="s">
        <v>140</v>
      </c>
      <c r="OXD38" s="365">
        <v>0.5</v>
      </c>
      <c r="OXE38" s="366" t="e">
        <f>10/OXA36</f>
        <v>#DIV/0!</v>
      </c>
      <c r="OXF38" s="367">
        <v>15.38</v>
      </c>
      <c r="OXG38" s="367" t="e">
        <f>OXD38*OXE38*OXF38</f>
        <v>#DIV/0!</v>
      </c>
      <c r="OXH38" s="363" t="s">
        <v>153</v>
      </c>
      <c r="OXI38" s="363"/>
      <c r="OXJ38" s="363"/>
      <c r="OXK38" s="364" t="s">
        <v>140</v>
      </c>
      <c r="OXL38" s="365">
        <v>0.5</v>
      </c>
      <c r="OXM38" s="366" t="e">
        <f>10/OXI36</f>
        <v>#DIV/0!</v>
      </c>
      <c r="OXN38" s="367">
        <v>15.38</v>
      </c>
      <c r="OXO38" s="367" t="e">
        <f>OXL38*OXM38*OXN38</f>
        <v>#DIV/0!</v>
      </c>
      <c r="OXP38" s="363" t="s">
        <v>153</v>
      </c>
      <c r="OXQ38" s="363"/>
      <c r="OXR38" s="363"/>
      <c r="OXS38" s="364" t="s">
        <v>140</v>
      </c>
      <c r="OXT38" s="365">
        <v>0.5</v>
      </c>
      <c r="OXU38" s="366" t="e">
        <f>10/OXQ36</f>
        <v>#DIV/0!</v>
      </c>
      <c r="OXV38" s="367">
        <v>15.38</v>
      </c>
      <c r="OXW38" s="367" t="e">
        <f>OXT38*OXU38*OXV38</f>
        <v>#DIV/0!</v>
      </c>
      <c r="OXX38" s="363" t="s">
        <v>153</v>
      </c>
      <c r="OXY38" s="363"/>
      <c r="OXZ38" s="363"/>
      <c r="OYA38" s="364" t="s">
        <v>140</v>
      </c>
      <c r="OYB38" s="365">
        <v>0.5</v>
      </c>
      <c r="OYC38" s="366" t="e">
        <f>10/OXY36</f>
        <v>#DIV/0!</v>
      </c>
      <c r="OYD38" s="367">
        <v>15.38</v>
      </c>
      <c r="OYE38" s="367" t="e">
        <f>OYB38*OYC38*OYD38</f>
        <v>#DIV/0!</v>
      </c>
      <c r="OYF38" s="363" t="s">
        <v>153</v>
      </c>
      <c r="OYG38" s="363"/>
      <c r="OYH38" s="363"/>
      <c r="OYI38" s="364" t="s">
        <v>140</v>
      </c>
      <c r="OYJ38" s="365">
        <v>0.5</v>
      </c>
      <c r="OYK38" s="366" t="e">
        <f>10/OYG36</f>
        <v>#DIV/0!</v>
      </c>
      <c r="OYL38" s="367">
        <v>15.38</v>
      </c>
      <c r="OYM38" s="367" t="e">
        <f>OYJ38*OYK38*OYL38</f>
        <v>#DIV/0!</v>
      </c>
      <c r="OYN38" s="363" t="s">
        <v>153</v>
      </c>
      <c r="OYO38" s="363"/>
      <c r="OYP38" s="363"/>
      <c r="OYQ38" s="364" t="s">
        <v>140</v>
      </c>
      <c r="OYR38" s="365">
        <v>0.5</v>
      </c>
      <c r="OYS38" s="366" t="e">
        <f>10/OYO36</f>
        <v>#DIV/0!</v>
      </c>
      <c r="OYT38" s="367">
        <v>15.38</v>
      </c>
      <c r="OYU38" s="367" t="e">
        <f>OYR38*OYS38*OYT38</f>
        <v>#DIV/0!</v>
      </c>
      <c r="OYV38" s="363" t="s">
        <v>153</v>
      </c>
      <c r="OYW38" s="363"/>
      <c r="OYX38" s="363"/>
      <c r="OYY38" s="364" t="s">
        <v>140</v>
      </c>
      <c r="OYZ38" s="365">
        <v>0.5</v>
      </c>
      <c r="OZA38" s="366" t="e">
        <f>10/OYW36</f>
        <v>#DIV/0!</v>
      </c>
      <c r="OZB38" s="367">
        <v>15.38</v>
      </c>
      <c r="OZC38" s="367" t="e">
        <f>OYZ38*OZA38*OZB38</f>
        <v>#DIV/0!</v>
      </c>
      <c r="OZD38" s="363" t="s">
        <v>153</v>
      </c>
      <c r="OZE38" s="363"/>
      <c r="OZF38" s="363"/>
      <c r="OZG38" s="364" t="s">
        <v>140</v>
      </c>
      <c r="OZH38" s="365">
        <v>0.5</v>
      </c>
      <c r="OZI38" s="366" t="e">
        <f>10/OZE36</f>
        <v>#DIV/0!</v>
      </c>
      <c r="OZJ38" s="367">
        <v>15.38</v>
      </c>
      <c r="OZK38" s="367" t="e">
        <f>OZH38*OZI38*OZJ38</f>
        <v>#DIV/0!</v>
      </c>
      <c r="OZL38" s="363" t="s">
        <v>153</v>
      </c>
      <c r="OZM38" s="363"/>
      <c r="OZN38" s="363"/>
      <c r="OZO38" s="364" t="s">
        <v>140</v>
      </c>
      <c r="OZP38" s="365">
        <v>0.5</v>
      </c>
      <c r="OZQ38" s="366" t="e">
        <f>10/OZM36</f>
        <v>#DIV/0!</v>
      </c>
      <c r="OZR38" s="367">
        <v>15.38</v>
      </c>
      <c r="OZS38" s="367" t="e">
        <f>OZP38*OZQ38*OZR38</f>
        <v>#DIV/0!</v>
      </c>
      <c r="OZT38" s="363" t="s">
        <v>153</v>
      </c>
      <c r="OZU38" s="363"/>
      <c r="OZV38" s="363"/>
      <c r="OZW38" s="364" t="s">
        <v>140</v>
      </c>
      <c r="OZX38" s="365">
        <v>0.5</v>
      </c>
      <c r="OZY38" s="366" t="e">
        <f>10/OZU36</f>
        <v>#DIV/0!</v>
      </c>
      <c r="OZZ38" s="367">
        <v>15.38</v>
      </c>
      <c r="PAA38" s="367" t="e">
        <f>OZX38*OZY38*OZZ38</f>
        <v>#DIV/0!</v>
      </c>
      <c r="PAB38" s="363" t="s">
        <v>153</v>
      </c>
      <c r="PAC38" s="363"/>
      <c r="PAD38" s="363"/>
      <c r="PAE38" s="364" t="s">
        <v>140</v>
      </c>
      <c r="PAF38" s="365">
        <v>0.5</v>
      </c>
      <c r="PAG38" s="366" t="e">
        <f>10/PAC36</f>
        <v>#DIV/0!</v>
      </c>
      <c r="PAH38" s="367">
        <v>15.38</v>
      </c>
      <c r="PAI38" s="367" t="e">
        <f>PAF38*PAG38*PAH38</f>
        <v>#DIV/0!</v>
      </c>
      <c r="PAJ38" s="363" t="s">
        <v>153</v>
      </c>
      <c r="PAK38" s="363"/>
      <c r="PAL38" s="363"/>
      <c r="PAM38" s="364" t="s">
        <v>140</v>
      </c>
      <c r="PAN38" s="365">
        <v>0.5</v>
      </c>
      <c r="PAO38" s="366" t="e">
        <f>10/PAK36</f>
        <v>#DIV/0!</v>
      </c>
      <c r="PAP38" s="367">
        <v>15.38</v>
      </c>
      <c r="PAQ38" s="367" t="e">
        <f>PAN38*PAO38*PAP38</f>
        <v>#DIV/0!</v>
      </c>
      <c r="PAR38" s="363" t="s">
        <v>153</v>
      </c>
      <c r="PAS38" s="363"/>
      <c r="PAT38" s="363"/>
      <c r="PAU38" s="364" t="s">
        <v>140</v>
      </c>
      <c r="PAV38" s="365">
        <v>0.5</v>
      </c>
      <c r="PAW38" s="366" t="e">
        <f>10/PAS36</f>
        <v>#DIV/0!</v>
      </c>
      <c r="PAX38" s="367">
        <v>15.38</v>
      </c>
      <c r="PAY38" s="367" t="e">
        <f>PAV38*PAW38*PAX38</f>
        <v>#DIV/0!</v>
      </c>
      <c r="PAZ38" s="363" t="s">
        <v>153</v>
      </c>
      <c r="PBA38" s="363"/>
      <c r="PBB38" s="363"/>
      <c r="PBC38" s="364" t="s">
        <v>140</v>
      </c>
      <c r="PBD38" s="365">
        <v>0.5</v>
      </c>
      <c r="PBE38" s="366" t="e">
        <f>10/PBA36</f>
        <v>#DIV/0!</v>
      </c>
      <c r="PBF38" s="367">
        <v>15.38</v>
      </c>
      <c r="PBG38" s="367" t="e">
        <f>PBD38*PBE38*PBF38</f>
        <v>#DIV/0!</v>
      </c>
      <c r="PBH38" s="363" t="s">
        <v>153</v>
      </c>
      <c r="PBI38" s="363"/>
      <c r="PBJ38" s="363"/>
      <c r="PBK38" s="364" t="s">
        <v>140</v>
      </c>
      <c r="PBL38" s="365">
        <v>0.5</v>
      </c>
      <c r="PBM38" s="366" t="e">
        <f>10/PBI36</f>
        <v>#DIV/0!</v>
      </c>
      <c r="PBN38" s="367">
        <v>15.38</v>
      </c>
      <c r="PBO38" s="367" t="e">
        <f>PBL38*PBM38*PBN38</f>
        <v>#DIV/0!</v>
      </c>
      <c r="PBP38" s="363" t="s">
        <v>153</v>
      </c>
      <c r="PBQ38" s="363"/>
      <c r="PBR38" s="363"/>
      <c r="PBS38" s="364" t="s">
        <v>140</v>
      </c>
      <c r="PBT38" s="365">
        <v>0.5</v>
      </c>
      <c r="PBU38" s="366" t="e">
        <f>10/PBQ36</f>
        <v>#DIV/0!</v>
      </c>
      <c r="PBV38" s="367">
        <v>15.38</v>
      </c>
      <c r="PBW38" s="367" t="e">
        <f>PBT38*PBU38*PBV38</f>
        <v>#DIV/0!</v>
      </c>
      <c r="PBX38" s="363" t="s">
        <v>153</v>
      </c>
      <c r="PBY38" s="363"/>
      <c r="PBZ38" s="363"/>
      <c r="PCA38" s="364" t="s">
        <v>140</v>
      </c>
      <c r="PCB38" s="365">
        <v>0.5</v>
      </c>
      <c r="PCC38" s="366" t="e">
        <f>10/PBY36</f>
        <v>#DIV/0!</v>
      </c>
      <c r="PCD38" s="367">
        <v>15.38</v>
      </c>
      <c r="PCE38" s="367" t="e">
        <f>PCB38*PCC38*PCD38</f>
        <v>#DIV/0!</v>
      </c>
      <c r="PCF38" s="363" t="s">
        <v>153</v>
      </c>
      <c r="PCG38" s="363"/>
      <c r="PCH38" s="363"/>
      <c r="PCI38" s="364" t="s">
        <v>140</v>
      </c>
      <c r="PCJ38" s="365">
        <v>0.5</v>
      </c>
      <c r="PCK38" s="366" t="e">
        <f>10/PCG36</f>
        <v>#DIV/0!</v>
      </c>
      <c r="PCL38" s="367">
        <v>15.38</v>
      </c>
      <c r="PCM38" s="367" t="e">
        <f>PCJ38*PCK38*PCL38</f>
        <v>#DIV/0!</v>
      </c>
      <c r="PCN38" s="363" t="s">
        <v>153</v>
      </c>
      <c r="PCO38" s="363"/>
      <c r="PCP38" s="363"/>
      <c r="PCQ38" s="364" t="s">
        <v>140</v>
      </c>
      <c r="PCR38" s="365">
        <v>0.5</v>
      </c>
      <c r="PCS38" s="366" t="e">
        <f>10/PCO36</f>
        <v>#DIV/0!</v>
      </c>
      <c r="PCT38" s="367">
        <v>15.38</v>
      </c>
      <c r="PCU38" s="367" t="e">
        <f>PCR38*PCS38*PCT38</f>
        <v>#DIV/0!</v>
      </c>
      <c r="PCV38" s="363" t="s">
        <v>153</v>
      </c>
      <c r="PCW38" s="363"/>
      <c r="PCX38" s="363"/>
      <c r="PCY38" s="364" t="s">
        <v>140</v>
      </c>
      <c r="PCZ38" s="365">
        <v>0.5</v>
      </c>
      <c r="PDA38" s="366" t="e">
        <f>10/PCW36</f>
        <v>#DIV/0!</v>
      </c>
      <c r="PDB38" s="367">
        <v>15.38</v>
      </c>
      <c r="PDC38" s="367" t="e">
        <f>PCZ38*PDA38*PDB38</f>
        <v>#DIV/0!</v>
      </c>
      <c r="PDD38" s="363" t="s">
        <v>153</v>
      </c>
      <c r="PDE38" s="363"/>
      <c r="PDF38" s="363"/>
      <c r="PDG38" s="364" t="s">
        <v>140</v>
      </c>
      <c r="PDH38" s="365">
        <v>0.5</v>
      </c>
      <c r="PDI38" s="366" t="e">
        <f>10/PDE36</f>
        <v>#DIV/0!</v>
      </c>
      <c r="PDJ38" s="367">
        <v>15.38</v>
      </c>
      <c r="PDK38" s="367" t="e">
        <f>PDH38*PDI38*PDJ38</f>
        <v>#DIV/0!</v>
      </c>
      <c r="PDL38" s="363" t="s">
        <v>153</v>
      </c>
      <c r="PDM38" s="363"/>
      <c r="PDN38" s="363"/>
      <c r="PDO38" s="364" t="s">
        <v>140</v>
      </c>
      <c r="PDP38" s="365">
        <v>0.5</v>
      </c>
      <c r="PDQ38" s="366" t="e">
        <f>10/PDM36</f>
        <v>#DIV/0!</v>
      </c>
      <c r="PDR38" s="367">
        <v>15.38</v>
      </c>
      <c r="PDS38" s="367" t="e">
        <f>PDP38*PDQ38*PDR38</f>
        <v>#DIV/0!</v>
      </c>
      <c r="PDT38" s="363" t="s">
        <v>153</v>
      </c>
      <c r="PDU38" s="363"/>
      <c r="PDV38" s="363"/>
      <c r="PDW38" s="364" t="s">
        <v>140</v>
      </c>
      <c r="PDX38" s="365">
        <v>0.5</v>
      </c>
      <c r="PDY38" s="366" t="e">
        <f>10/PDU36</f>
        <v>#DIV/0!</v>
      </c>
      <c r="PDZ38" s="367">
        <v>15.38</v>
      </c>
      <c r="PEA38" s="367" t="e">
        <f>PDX38*PDY38*PDZ38</f>
        <v>#DIV/0!</v>
      </c>
      <c r="PEB38" s="363" t="s">
        <v>153</v>
      </c>
      <c r="PEC38" s="363"/>
      <c r="PED38" s="363"/>
      <c r="PEE38" s="364" t="s">
        <v>140</v>
      </c>
      <c r="PEF38" s="365">
        <v>0.5</v>
      </c>
      <c r="PEG38" s="366" t="e">
        <f>10/PEC36</f>
        <v>#DIV/0!</v>
      </c>
      <c r="PEH38" s="367">
        <v>15.38</v>
      </c>
      <c r="PEI38" s="367" t="e">
        <f>PEF38*PEG38*PEH38</f>
        <v>#DIV/0!</v>
      </c>
      <c r="PEJ38" s="363" t="s">
        <v>153</v>
      </c>
      <c r="PEK38" s="363"/>
      <c r="PEL38" s="363"/>
      <c r="PEM38" s="364" t="s">
        <v>140</v>
      </c>
      <c r="PEN38" s="365">
        <v>0.5</v>
      </c>
      <c r="PEO38" s="366" t="e">
        <f>10/PEK36</f>
        <v>#DIV/0!</v>
      </c>
      <c r="PEP38" s="367">
        <v>15.38</v>
      </c>
      <c r="PEQ38" s="367" t="e">
        <f>PEN38*PEO38*PEP38</f>
        <v>#DIV/0!</v>
      </c>
      <c r="PER38" s="363" t="s">
        <v>153</v>
      </c>
      <c r="PES38" s="363"/>
      <c r="PET38" s="363"/>
      <c r="PEU38" s="364" t="s">
        <v>140</v>
      </c>
      <c r="PEV38" s="365">
        <v>0.5</v>
      </c>
      <c r="PEW38" s="366" t="e">
        <f>10/PES36</f>
        <v>#DIV/0!</v>
      </c>
      <c r="PEX38" s="367">
        <v>15.38</v>
      </c>
      <c r="PEY38" s="367" t="e">
        <f>PEV38*PEW38*PEX38</f>
        <v>#DIV/0!</v>
      </c>
      <c r="PEZ38" s="363" t="s">
        <v>153</v>
      </c>
      <c r="PFA38" s="363"/>
      <c r="PFB38" s="363"/>
      <c r="PFC38" s="364" t="s">
        <v>140</v>
      </c>
      <c r="PFD38" s="365">
        <v>0.5</v>
      </c>
      <c r="PFE38" s="366" t="e">
        <f>10/PFA36</f>
        <v>#DIV/0!</v>
      </c>
      <c r="PFF38" s="367">
        <v>15.38</v>
      </c>
      <c r="PFG38" s="367" t="e">
        <f>PFD38*PFE38*PFF38</f>
        <v>#DIV/0!</v>
      </c>
      <c r="PFH38" s="363" t="s">
        <v>153</v>
      </c>
      <c r="PFI38" s="363"/>
      <c r="PFJ38" s="363"/>
      <c r="PFK38" s="364" t="s">
        <v>140</v>
      </c>
      <c r="PFL38" s="365">
        <v>0.5</v>
      </c>
      <c r="PFM38" s="366" t="e">
        <f>10/PFI36</f>
        <v>#DIV/0!</v>
      </c>
      <c r="PFN38" s="367">
        <v>15.38</v>
      </c>
      <c r="PFO38" s="367" t="e">
        <f>PFL38*PFM38*PFN38</f>
        <v>#DIV/0!</v>
      </c>
      <c r="PFP38" s="363" t="s">
        <v>153</v>
      </c>
      <c r="PFQ38" s="363"/>
      <c r="PFR38" s="363"/>
      <c r="PFS38" s="364" t="s">
        <v>140</v>
      </c>
      <c r="PFT38" s="365">
        <v>0.5</v>
      </c>
      <c r="PFU38" s="366" t="e">
        <f>10/PFQ36</f>
        <v>#DIV/0!</v>
      </c>
      <c r="PFV38" s="367">
        <v>15.38</v>
      </c>
      <c r="PFW38" s="367" t="e">
        <f>PFT38*PFU38*PFV38</f>
        <v>#DIV/0!</v>
      </c>
      <c r="PFX38" s="363" t="s">
        <v>153</v>
      </c>
      <c r="PFY38" s="363"/>
      <c r="PFZ38" s="363"/>
      <c r="PGA38" s="364" t="s">
        <v>140</v>
      </c>
      <c r="PGB38" s="365">
        <v>0.5</v>
      </c>
      <c r="PGC38" s="366" t="e">
        <f>10/PFY36</f>
        <v>#DIV/0!</v>
      </c>
      <c r="PGD38" s="367">
        <v>15.38</v>
      </c>
      <c r="PGE38" s="367" t="e">
        <f>PGB38*PGC38*PGD38</f>
        <v>#DIV/0!</v>
      </c>
      <c r="PGF38" s="363" t="s">
        <v>153</v>
      </c>
      <c r="PGG38" s="363"/>
      <c r="PGH38" s="363"/>
      <c r="PGI38" s="364" t="s">
        <v>140</v>
      </c>
      <c r="PGJ38" s="365">
        <v>0.5</v>
      </c>
      <c r="PGK38" s="366" t="e">
        <f>10/PGG36</f>
        <v>#DIV/0!</v>
      </c>
      <c r="PGL38" s="367">
        <v>15.38</v>
      </c>
      <c r="PGM38" s="367" t="e">
        <f>PGJ38*PGK38*PGL38</f>
        <v>#DIV/0!</v>
      </c>
      <c r="PGN38" s="363" t="s">
        <v>153</v>
      </c>
      <c r="PGO38" s="363"/>
      <c r="PGP38" s="363"/>
      <c r="PGQ38" s="364" t="s">
        <v>140</v>
      </c>
      <c r="PGR38" s="365">
        <v>0.5</v>
      </c>
      <c r="PGS38" s="366" t="e">
        <f>10/PGO36</f>
        <v>#DIV/0!</v>
      </c>
      <c r="PGT38" s="367">
        <v>15.38</v>
      </c>
      <c r="PGU38" s="367" t="e">
        <f>PGR38*PGS38*PGT38</f>
        <v>#DIV/0!</v>
      </c>
      <c r="PGV38" s="363" t="s">
        <v>153</v>
      </c>
      <c r="PGW38" s="363"/>
      <c r="PGX38" s="363"/>
      <c r="PGY38" s="364" t="s">
        <v>140</v>
      </c>
      <c r="PGZ38" s="365">
        <v>0.5</v>
      </c>
      <c r="PHA38" s="366" t="e">
        <f>10/PGW36</f>
        <v>#DIV/0!</v>
      </c>
      <c r="PHB38" s="367">
        <v>15.38</v>
      </c>
      <c r="PHC38" s="367" t="e">
        <f>PGZ38*PHA38*PHB38</f>
        <v>#DIV/0!</v>
      </c>
      <c r="PHD38" s="363" t="s">
        <v>153</v>
      </c>
      <c r="PHE38" s="363"/>
      <c r="PHF38" s="363"/>
      <c r="PHG38" s="364" t="s">
        <v>140</v>
      </c>
      <c r="PHH38" s="365">
        <v>0.5</v>
      </c>
      <c r="PHI38" s="366" t="e">
        <f>10/PHE36</f>
        <v>#DIV/0!</v>
      </c>
      <c r="PHJ38" s="367">
        <v>15.38</v>
      </c>
      <c r="PHK38" s="367" t="e">
        <f>PHH38*PHI38*PHJ38</f>
        <v>#DIV/0!</v>
      </c>
      <c r="PHL38" s="363" t="s">
        <v>153</v>
      </c>
      <c r="PHM38" s="363"/>
      <c r="PHN38" s="363"/>
      <c r="PHO38" s="364" t="s">
        <v>140</v>
      </c>
      <c r="PHP38" s="365">
        <v>0.5</v>
      </c>
      <c r="PHQ38" s="366" t="e">
        <f>10/PHM36</f>
        <v>#DIV/0!</v>
      </c>
      <c r="PHR38" s="367">
        <v>15.38</v>
      </c>
      <c r="PHS38" s="367" t="e">
        <f>PHP38*PHQ38*PHR38</f>
        <v>#DIV/0!</v>
      </c>
      <c r="PHT38" s="363" t="s">
        <v>153</v>
      </c>
      <c r="PHU38" s="363"/>
      <c r="PHV38" s="363"/>
      <c r="PHW38" s="364" t="s">
        <v>140</v>
      </c>
      <c r="PHX38" s="365">
        <v>0.5</v>
      </c>
      <c r="PHY38" s="366" t="e">
        <f>10/PHU36</f>
        <v>#DIV/0!</v>
      </c>
      <c r="PHZ38" s="367">
        <v>15.38</v>
      </c>
      <c r="PIA38" s="367" t="e">
        <f>PHX38*PHY38*PHZ38</f>
        <v>#DIV/0!</v>
      </c>
      <c r="PIB38" s="363" t="s">
        <v>153</v>
      </c>
      <c r="PIC38" s="363"/>
      <c r="PID38" s="363"/>
      <c r="PIE38" s="364" t="s">
        <v>140</v>
      </c>
      <c r="PIF38" s="365">
        <v>0.5</v>
      </c>
      <c r="PIG38" s="366" t="e">
        <f>10/PIC36</f>
        <v>#DIV/0!</v>
      </c>
      <c r="PIH38" s="367">
        <v>15.38</v>
      </c>
      <c r="PII38" s="367" t="e">
        <f>PIF38*PIG38*PIH38</f>
        <v>#DIV/0!</v>
      </c>
      <c r="PIJ38" s="363" t="s">
        <v>153</v>
      </c>
      <c r="PIK38" s="363"/>
      <c r="PIL38" s="363"/>
      <c r="PIM38" s="364" t="s">
        <v>140</v>
      </c>
      <c r="PIN38" s="365">
        <v>0.5</v>
      </c>
      <c r="PIO38" s="366" t="e">
        <f>10/PIK36</f>
        <v>#DIV/0!</v>
      </c>
      <c r="PIP38" s="367">
        <v>15.38</v>
      </c>
      <c r="PIQ38" s="367" t="e">
        <f>PIN38*PIO38*PIP38</f>
        <v>#DIV/0!</v>
      </c>
      <c r="PIR38" s="363" t="s">
        <v>153</v>
      </c>
      <c r="PIS38" s="363"/>
      <c r="PIT38" s="363"/>
      <c r="PIU38" s="364" t="s">
        <v>140</v>
      </c>
      <c r="PIV38" s="365">
        <v>0.5</v>
      </c>
      <c r="PIW38" s="366" t="e">
        <f>10/PIS36</f>
        <v>#DIV/0!</v>
      </c>
      <c r="PIX38" s="367">
        <v>15.38</v>
      </c>
      <c r="PIY38" s="367" t="e">
        <f>PIV38*PIW38*PIX38</f>
        <v>#DIV/0!</v>
      </c>
      <c r="PIZ38" s="363" t="s">
        <v>153</v>
      </c>
      <c r="PJA38" s="363"/>
      <c r="PJB38" s="363"/>
      <c r="PJC38" s="364" t="s">
        <v>140</v>
      </c>
      <c r="PJD38" s="365">
        <v>0.5</v>
      </c>
      <c r="PJE38" s="366" t="e">
        <f>10/PJA36</f>
        <v>#DIV/0!</v>
      </c>
      <c r="PJF38" s="367">
        <v>15.38</v>
      </c>
      <c r="PJG38" s="367" t="e">
        <f>PJD38*PJE38*PJF38</f>
        <v>#DIV/0!</v>
      </c>
      <c r="PJH38" s="363" t="s">
        <v>153</v>
      </c>
      <c r="PJI38" s="363"/>
      <c r="PJJ38" s="363"/>
      <c r="PJK38" s="364" t="s">
        <v>140</v>
      </c>
      <c r="PJL38" s="365">
        <v>0.5</v>
      </c>
      <c r="PJM38" s="366" t="e">
        <f>10/PJI36</f>
        <v>#DIV/0!</v>
      </c>
      <c r="PJN38" s="367">
        <v>15.38</v>
      </c>
      <c r="PJO38" s="367" t="e">
        <f>PJL38*PJM38*PJN38</f>
        <v>#DIV/0!</v>
      </c>
      <c r="PJP38" s="363" t="s">
        <v>153</v>
      </c>
      <c r="PJQ38" s="363"/>
      <c r="PJR38" s="363"/>
      <c r="PJS38" s="364" t="s">
        <v>140</v>
      </c>
      <c r="PJT38" s="365">
        <v>0.5</v>
      </c>
      <c r="PJU38" s="366" t="e">
        <f>10/PJQ36</f>
        <v>#DIV/0!</v>
      </c>
      <c r="PJV38" s="367">
        <v>15.38</v>
      </c>
      <c r="PJW38" s="367" t="e">
        <f>PJT38*PJU38*PJV38</f>
        <v>#DIV/0!</v>
      </c>
      <c r="PJX38" s="363" t="s">
        <v>153</v>
      </c>
      <c r="PJY38" s="363"/>
      <c r="PJZ38" s="363"/>
      <c r="PKA38" s="364" t="s">
        <v>140</v>
      </c>
      <c r="PKB38" s="365">
        <v>0.5</v>
      </c>
      <c r="PKC38" s="366" t="e">
        <f>10/PJY36</f>
        <v>#DIV/0!</v>
      </c>
      <c r="PKD38" s="367">
        <v>15.38</v>
      </c>
      <c r="PKE38" s="367" t="e">
        <f>PKB38*PKC38*PKD38</f>
        <v>#DIV/0!</v>
      </c>
      <c r="PKF38" s="363" t="s">
        <v>153</v>
      </c>
      <c r="PKG38" s="363"/>
      <c r="PKH38" s="363"/>
      <c r="PKI38" s="364" t="s">
        <v>140</v>
      </c>
      <c r="PKJ38" s="365">
        <v>0.5</v>
      </c>
      <c r="PKK38" s="366" t="e">
        <f>10/PKG36</f>
        <v>#DIV/0!</v>
      </c>
      <c r="PKL38" s="367">
        <v>15.38</v>
      </c>
      <c r="PKM38" s="367" t="e">
        <f>PKJ38*PKK38*PKL38</f>
        <v>#DIV/0!</v>
      </c>
      <c r="PKN38" s="363" t="s">
        <v>153</v>
      </c>
      <c r="PKO38" s="363"/>
      <c r="PKP38" s="363"/>
      <c r="PKQ38" s="364" t="s">
        <v>140</v>
      </c>
      <c r="PKR38" s="365">
        <v>0.5</v>
      </c>
      <c r="PKS38" s="366" t="e">
        <f>10/PKO36</f>
        <v>#DIV/0!</v>
      </c>
      <c r="PKT38" s="367">
        <v>15.38</v>
      </c>
      <c r="PKU38" s="367" t="e">
        <f>PKR38*PKS38*PKT38</f>
        <v>#DIV/0!</v>
      </c>
      <c r="PKV38" s="363" t="s">
        <v>153</v>
      </c>
      <c r="PKW38" s="363"/>
      <c r="PKX38" s="363"/>
      <c r="PKY38" s="364" t="s">
        <v>140</v>
      </c>
      <c r="PKZ38" s="365">
        <v>0.5</v>
      </c>
      <c r="PLA38" s="366" t="e">
        <f>10/PKW36</f>
        <v>#DIV/0!</v>
      </c>
      <c r="PLB38" s="367">
        <v>15.38</v>
      </c>
      <c r="PLC38" s="367" t="e">
        <f>PKZ38*PLA38*PLB38</f>
        <v>#DIV/0!</v>
      </c>
      <c r="PLD38" s="363" t="s">
        <v>153</v>
      </c>
      <c r="PLE38" s="363"/>
      <c r="PLF38" s="363"/>
      <c r="PLG38" s="364" t="s">
        <v>140</v>
      </c>
      <c r="PLH38" s="365">
        <v>0.5</v>
      </c>
      <c r="PLI38" s="366" t="e">
        <f>10/PLE36</f>
        <v>#DIV/0!</v>
      </c>
      <c r="PLJ38" s="367">
        <v>15.38</v>
      </c>
      <c r="PLK38" s="367" t="e">
        <f>PLH38*PLI38*PLJ38</f>
        <v>#DIV/0!</v>
      </c>
      <c r="PLL38" s="363" t="s">
        <v>153</v>
      </c>
      <c r="PLM38" s="363"/>
      <c r="PLN38" s="363"/>
      <c r="PLO38" s="364" t="s">
        <v>140</v>
      </c>
      <c r="PLP38" s="365">
        <v>0.5</v>
      </c>
      <c r="PLQ38" s="366" t="e">
        <f>10/PLM36</f>
        <v>#DIV/0!</v>
      </c>
      <c r="PLR38" s="367">
        <v>15.38</v>
      </c>
      <c r="PLS38" s="367" t="e">
        <f>PLP38*PLQ38*PLR38</f>
        <v>#DIV/0!</v>
      </c>
      <c r="PLT38" s="363" t="s">
        <v>153</v>
      </c>
      <c r="PLU38" s="363"/>
      <c r="PLV38" s="363"/>
      <c r="PLW38" s="364" t="s">
        <v>140</v>
      </c>
      <c r="PLX38" s="365">
        <v>0.5</v>
      </c>
      <c r="PLY38" s="366" t="e">
        <f>10/PLU36</f>
        <v>#DIV/0!</v>
      </c>
      <c r="PLZ38" s="367">
        <v>15.38</v>
      </c>
      <c r="PMA38" s="367" t="e">
        <f>PLX38*PLY38*PLZ38</f>
        <v>#DIV/0!</v>
      </c>
      <c r="PMB38" s="363" t="s">
        <v>153</v>
      </c>
      <c r="PMC38" s="363"/>
      <c r="PMD38" s="363"/>
      <c r="PME38" s="364" t="s">
        <v>140</v>
      </c>
      <c r="PMF38" s="365">
        <v>0.5</v>
      </c>
      <c r="PMG38" s="366" t="e">
        <f>10/PMC36</f>
        <v>#DIV/0!</v>
      </c>
      <c r="PMH38" s="367">
        <v>15.38</v>
      </c>
      <c r="PMI38" s="367" t="e">
        <f>PMF38*PMG38*PMH38</f>
        <v>#DIV/0!</v>
      </c>
      <c r="PMJ38" s="363" t="s">
        <v>153</v>
      </c>
      <c r="PMK38" s="363"/>
      <c r="PML38" s="363"/>
      <c r="PMM38" s="364" t="s">
        <v>140</v>
      </c>
      <c r="PMN38" s="365">
        <v>0.5</v>
      </c>
      <c r="PMO38" s="366" t="e">
        <f>10/PMK36</f>
        <v>#DIV/0!</v>
      </c>
      <c r="PMP38" s="367">
        <v>15.38</v>
      </c>
      <c r="PMQ38" s="367" t="e">
        <f>PMN38*PMO38*PMP38</f>
        <v>#DIV/0!</v>
      </c>
      <c r="PMR38" s="363" t="s">
        <v>153</v>
      </c>
      <c r="PMS38" s="363"/>
      <c r="PMT38" s="363"/>
      <c r="PMU38" s="364" t="s">
        <v>140</v>
      </c>
      <c r="PMV38" s="365">
        <v>0.5</v>
      </c>
      <c r="PMW38" s="366" t="e">
        <f>10/PMS36</f>
        <v>#DIV/0!</v>
      </c>
      <c r="PMX38" s="367">
        <v>15.38</v>
      </c>
      <c r="PMY38" s="367" t="e">
        <f>PMV38*PMW38*PMX38</f>
        <v>#DIV/0!</v>
      </c>
      <c r="PMZ38" s="363" t="s">
        <v>153</v>
      </c>
      <c r="PNA38" s="363"/>
      <c r="PNB38" s="363"/>
      <c r="PNC38" s="364" t="s">
        <v>140</v>
      </c>
      <c r="PND38" s="365">
        <v>0.5</v>
      </c>
      <c r="PNE38" s="366" t="e">
        <f>10/PNA36</f>
        <v>#DIV/0!</v>
      </c>
      <c r="PNF38" s="367">
        <v>15.38</v>
      </c>
      <c r="PNG38" s="367" t="e">
        <f>PND38*PNE38*PNF38</f>
        <v>#DIV/0!</v>
      </c>
      <c r="PNH38" s="363" t="s">
        <v>153</v>
      </c>
      <c r="PNI38" s="363"/>
      <c r="PNJ38" s="363"/>
      <c r="PNK38" s="364" t="s">
        <v>140</v>
      </c>
      <c r="PNL38" s="365">
        <v>0.5</v>
      </c>
      <c r="PNM38" s="366" t="e">
        <f>10/PNI36</f>
        <v>#DIV/0!</v>
      </c>
      <c r="PNN38" s="367">
        <v>15.38</v>
      </c>
      <c r="PNO38" s="367" t="e">
        <f>PNL38*PNM38*PNN38</f>
        <v>#DIV/0!</v>
      </c>
      <c r="PNP38" s="363" t="s">
        <v>153</v>
      </c>
      <c r="PNQ38" s="363"/>
      <c r="PNR38" s="363"/>
      <c r="PNS38" s="364" t="s">
        <v>140</v>
      </c>
      <c r="PNT38" s="365">
        <v>0.5</v>
      </c>
      <c r="PNU38" s="366" t="e">
        <f>10/PNQ36</f>
        <v>#DIV/0!</v>
      </c>
      <c r="PNV38" s="367">
        <v>15.38</v>
      </c>
      <c r="PNW38" s="367" t="e">
        <f>PNT38*PNU38*PNV38</f>
        <v>#DIV/0!</v>
      </c>
      <c r="PNX38" s="363" t="s">
        <v>153</v>
      </c>
      <c r="PNY38" s="363"/>
      <c r="PNZ38" s="363"/>
      <c r="POA38" s="364" t="s">
        <v>140</v>
      </c>
      <c r="POB38" s="365">
        <v>0.5</v>
      </c>
      <c r="POC38" s="366" t="e">
        <f>10/PNY36</f>
        <v>#DIV/0!</v>
      </c>
      <c r="POD38" s="367">
        <v>15.38</v>
      </c>
      <c r="POE38" s="367" t="e">
        <f>POB38*POC38*POD38</f>
        <v>#DIV/0!</v>
      </c>
      <c r="POF38" s="363" t="s">
        <v>153</v>
      </c>
      <c r="POG38" s="363"/>
      <c r="POH38" s="363"/>
      <c r="POI38" s="364" t="s">
        <v>140</v>
      </c>
      <c r="POJ38" s="365">
        <v>0.5</v>
      </c>
      <c r="POK38" s="366" t="e">
        <f>10/POG36</f>
        <v>#DIV/0!</v>
      </c>
      <c r="POL38" s="367">
        <v>15.38</v>
      </c>
      <c r="POM38" s="367" t="e">
        <f>POJ38*POK38*POL38</f>
        <v>#DIV/0!</v>
      </c>
      <c r="PON38" s="363" t="s">
        <v>153</v>
      </c>
      <c r="POO38" s="363"/>
      <c r="POP38" s="363"/>
      <c r="POQ38" s="364" t="s">
        <v>140</v>
      </c>
      <c r="POR38" s="365">
        <v>0.5</v>
      </c>
      <c r="POS38" s="366" t="e">
        <f>10/POO36</f>
        <v>#DIV/0!</v>
      </c>
      <c r="POT38" s="367">
        <v>15.38</v>
      </c>
      <c r="POU38" s="367" t="e">
        <f>POR38*POS38*POT38</f>
        <v>#DIV/0!</v>
      </c>
      <c r="POV38" s="363" t="s">
        <v>153</v>
      </c>
      <c r="POW38" s="363"/>
      <c r="POX38" s="363"/>
      <c r="POY38" s="364" t="s">
        <v>140</v>
      </c>
      <c r="POZ38" s="365">
        <v>0.5</v>
      </c>
      <c r="PPA38" s="366" t="e">
        <f>10/POW36</f>
        <v>#DIV/0!</v>
      </c>
      <c r="PPB38" s="367">
        <v>15.38</v>
      </c>
      <c r="PPC38" s="367" t="e">
        <f>POZ38*PPA38*PPB38</f>
        <v>#DIV/0!</v>
      </c>
      <c r="PPD38" s="363" t="s">
        <v>153</v>
      </c>
      <c r="PPE38" s="363"/>
      <c r="PPF38" s="363"/>
      <c r="PPG38" s="364" t="s">
        <v>140</v>
      </c>
      <c r="PPH38" s="365">
        <v>0.5</v>
      </c>
      <c r="PPI38" s="366" t="e">
        <f>10/PPE36</f>
        <v>#DIV/0!</v>
      </c>
      <c r="PPJ38" s="367">
        <v>15.38</v>
      </c>
      <c r="PPK38" s="367" t="e">
        <f>PPH38*PPI38*PPJ38</f>
        <v>#DIV/0!</v>
      </c>
      <c r="PPL38" s="363" t="s">
        <v>153</v>
      </c>
      <c r="PPM38" s="363"/>
      <c r="PPN38" s="363"/>
      <c r="PPO38" s="364" t="s">
        <v>140</v>
      </c>
      <c r="PPP38" s="365">
        <v>0.5</v>
      </c>
      <c r="PPQ38" s="366" t="e">
        <f>10/PPM36</f>
        <v>#DIV/0!</v>
      </c>
      <c r="PPR38" s="367">
        <v>15.38</v>
      </c>
      <c r="PPS38" s="367" t="e">
        <f>PPP38*PPQ38*PPR38</f>
        <v>#DIV/0!</v>
      </c>
      <c r="PPT38" s="363" t="s">
        <v>153</v>
      </c>
      <c r="PPU38" s="363"/>
      <c r="PPV38" s="363"/>
      <c r="PPW38" s="364" t="s">
        <v>140</v>
      </c>
      <c r="PPX38" s="365">
        <v>0.5</v>
      </c>
      <c r="PPY38" s="366" t="e">
        <f>10/PPU36</f>
        <v>#DIV/0!</v>
      </c>
      <c r="PPZ38" s="367">
        <v>15.38</v>
      </c>
      <c r="PQA38" s="367" t="e">
        <f>PPX38*PPY38*PPZ38</f>
        <v>#DIV/0!</v>
      </c>
      <c r="PQB38" s="363" t="s">
        <v>153</v>
      </c>
      <c r="PQC38" s="363"/>
      <c r="PQD38" s="363"/>
      <c r="PQE38" s="364" t="s">
        <v>140</v>
      </c>
      <c r="PQF38" s="365">
        <v>0.5</v>
      </c>
      <c r="PQG38" s="366" t="e">
        <f>10/PQC36</f>
        <v>#DIV/0!</v>
      </c>
      <c r="PQH38" s="367">
        <v>15.38</v>
      </c>
      <c r="PQI38" s="367" t="e">
        <f>PQF38*PQG38*PQH38</f>
        <v>#DIV/0!</v>
      </c>
      <c r="PQJ38" s="363" t="s">
        <v>153</v>
      </c>
      <c r="PQK38" s="363"/>
      <c r="PQL38" s="363"/>
      <c r="PQM38" s="364" t="s">
        <v>140</v>
      </c>
      <c r="PQN38" s="365">
        <v>0.5</v>
      </c>
      <c r="PQO38" s="366" t="e">
        <f>10/PQK36</f>
        <v>#DIV/0!</v>
      </c>
      <c r="PQP38" s="367">
        <v>15.38</v>
      </c>
      <c r="PQQ38" s="367" t="e">
        <f>PQN38*PQO38*PQP38</f>
        <v>#DIV/0!</v>
      </c>
      <c r="PQR38" s="363" t="s">
        <v>153</v>
      </c>
      <c r="PQS38" s="363"/>
      <c r="PQT38" s="363"/>
      <c r="PQU38" s="364" t="s">
        <v>140</v>
      </c>
      <c r="PQV38" s="365">
        <v>0.5</v>
      </c>
      <c r="PQW38" s="366" t="e">
        <f>10/PQS36</f>
        <v>#DIV/0!</v>
      </c>
      <c r="PQX38" s="367">
        <v>15.38</v>
      </c>
      <c r="PQY38" s="367" t="e">
        <f>PQV38*PQW38*PQX38</f>
        <v>#DIV/0!</v>
      </c>
      <c r="PQZ38" s="363" t="s">
        <v>153</v>
      </c>
      <c r="PRA38" s="363"/>
      <c r="PRB38" s="363"/>
      <c r="PRC38" s="364" t="s">
        <v>140</v>
      </c>
      <c r="PRD38" s="365">
        <v>0.5</v>
      </c>
      <c r="PRE38" s="366" t="e">
        <f>10/PRA36</f>
        <v>#DIV/0!</v>
      </c>
      <c r="PRF38" s="367">
        <v>15.38</v>
      </c>
      <c r="PRG38" s="367" t="e">
        <f>PRD38*PRE38*PRF38</f>
        <v>#DIV/0!</v>
      </c>
      <c r="PRH38" s="363" t="s">
        <v>153</v>
      </c>
      <c r="PRI38" s="363"/>
      <c r="PRJ38" s="363"/>
      <c r="PRK38" s="364" t="s">
        <v>140</v>
      </c>
      <c r="PRL38" s="365">
        <v>0.5</v>
      </c>
      <c r="PRM38" s="366" t="e">
        <f>10/PRI36</f>
        <v>#DIV/0!</v>
      </c>
      <c r="PRN38" s="367">
        <v>15.38</v>
      </c>
      <c r="PRO38" s="367" t="e">
        <f>PRL38*PRM38*PRN38</f>
        <v>#DIV/0!</v>
      </c>
      <c r="PRP38" s="363" t="s">
        <v>153</v>
      </c>
      <c r="PRQ38" s="363"/>
      <c r="PRR38" s="363"/>
      <c r="PRS38" s="364" t="s">
        <v>140</v>
      </c>
      <c r="PRT38" s="365">
        <v>0.5</v>
      </c>
      <c r="PRU38" s="366" t="e">
        <f>10/PRQ36</f>
        <v>#DIV/0!</v>
      </c>
      <c r="PRV38" s="367">
        <v>15.38</v>
      </c>
      <c r="PRW38" s="367" t="e">
        <f>PRT38*PRU38*PRV38</f>
        <v>#DIV/0!</v>
      </c>
      <c r="PRX38" s="363" t="s">
        <v>153</v>
      </c>
      <c r="PRY38" s="363"/>
      <c r="PRZ38" s="363"/>
      <c r="PSA38" s="364" t="s">
        <v>140</v>
      </c>
      <c r="PSB38" s="365">
        <v>0.5</v>
      </c>
      <c r="PSC38" s="366" t="e">
        <f>10/PRY36</f>
        <v>#DIV/0!</v>
      </c>
      <c r="PSD38" s="367">
        <v>15.38</v>
      </c>
      <c r="PSE38" s="367" t="e">
        <f>PSB38*PSC38*PSD38</f>
        <v>#DIV/0!</v>
      </c>
      <c r="PSF38" s="363" t="s">
        <v>153</v>
      </c>
      <c r="PSG38" s="363"/>
      <c r="PSH38" s="363"/>
      <c r="PSI38" s="364" t="s">
        <v>140</v>
      </c>
      <c r="PSJ38" s="365">
        <v>0.5</v>
      </c>
      <c r="PSK38" s="366" t="e">
        <f>10/PSG36</f>
        <v>#DIV/0!</v>
      </c>
      <c r="PSL38" s="367">
        <v>15.38</v>
      </c>
      <c r="PSM38" s="367" t="e">
        <f>PSJ38*PSK38*PSL38</f>
        <v>#DIV/0!</v>
      </c>
      <c r="PSN38" s="363" t="s">
        <v>153</v>
      </c>
      <c r="PSO38" s="363"/>
      <c r="PSP38" s="363"/>
      <c r="PSQ38" s="364" t="s">
        <v>140</v>
      </c>
      <c r="PSR38" s="365">
        <v>0.5</v>
      </c>
      <c r="PSS38" s="366" t="e">
        <f>10/PSO36</f>
        <v>#DIV/0!</v>
      </c>
      <c r="PST38" s="367">
        <v>15.38</v>
      </c>
      <c r="PSU38" s="367" t="e">
        <f>PSR38*PSS38*PST38</f>
        <v>#DIV/0!</v>
      </c>
      <c r="PSV38" s="363" t="s">
        <v>153</v>
      </c>
      <c r="PSW38" s="363"/>
      <c r="PSX38" s="363"/>
      <c r="PSY38" s="364" t="s">
        <v>140</v>
      </c>
      <c r="PSZ38" s="365">
        <v>0.5</v>
      </c>
      <c r="PTA38" s="366" t="e">
        <f>10/PSW36</f>
        <v>#DIV/0!</v>
      </c>
      <c r="PTB38" s="367">
        <v>15.38</v>
      </c>
      <c r="PTC38" s="367" t="e">
        <f>PSZ38*PTA38*PTB38</f>
        <v>#DIV/0!</v>
      </c>
      <c r="PTD38" s="363" t="s">
        <v>153</v>
      </c>
      <c r="PTE38" s="363"/>
      <c r="PTF38" s="363"/>
      <c r="PTG38" s="364" t="s">
        <v>140</v>
      </c>
      <c r="PTH38" s="365">
        <v>0.5</v>
      </c>
      <c r="PTI38" s="366" t="e">
        <f>10/PTE36</f>
        <v>#DIV/0!</v>
      </c>
      <c r="PTJ38" s="367">
        <v>15.38</v>
      </c>
      <c r="PTK38" s="367" t="e">
        <f>PTH38*PTI38*PTJ38</f>
        <v>#DIV/0!</v>
      </c>
      <c r="PTL38" s="363" t="s">
        <v>153</v>
      </c>
      <c r="PTM38" s="363"/>
      <c r="PTN38" s="363"/>
      <c r="PTO38" s="364" t="s">
        <v>140</v>
      </c>
      <c r="PTP38" s="365">
        <v>0.5</v>
      </c>
      <c r="PTQ38" s="366" t="e">
        <f>10/PTM36</f>
        <v>#DIV/0!</v>
      </c>
      <c r="PTR38" s="367">
        <v>15.38</v>
      </c>
      <c r="PTS38" s="367" t="e">
        <f>PTP38*PTQ38*PTR38</f>
        <v>#DIV/0!</v>
      </c>
      <c r="PTT38" s="363" t="s">
        <v>153</v>
      </c>
      <c r="PTU38" s="363"/>
      <c r="PTV38" s="363"/>
      <c r="PTW38" s="364" t="s">
        <v>140</v>
      </c>
      <c r="PTX38" s="365">
        <v>0.5</v>
      </c>
      <c r="PTY38" s="366" t="e">
        <f>10/PTU36</f>
        <v>#DIV/0!</v>
      </c>
      <c r="PTZ38" s="367">
        <v>15.38</v>
      </c>
      <c r="PUA38" s="367" t="e">
        <f>PTX38*PTY38*PTZ38</f>
        <v>#DIV/0!</v>
      </c>
      <c r="PUB38" s="363" t="s">
        <v>153</v>
      </c>
      <c r="PUC38" s="363"/>
      <c r="PUD38" s="363"/>
      <c r="PUE38" s="364" t="s">
        <v>140</v>
      </c>
      <c r="PUF38" s="365">
        <v>0.5</v>
      </c>
      <c r="PUG38" s="366" t="e">
        <f>10/PUC36</f>
        <v>#DIV/0!</v>
      </c>
      <c r="PUH38" s="367">
        <v>15.38</v>
      </c>
      <c r="PUI38" s="367" t="e">
        <f>PUF38*PUG38*PUH38</f>
        <v>#DIV/0!</v>
      </c>
      <c r="PUJ38" s="363" t="s">
        <v>153</v>
      </c>
      <c r="PUK38" s="363"/>
      <c r="PUL38" s="363"/>
      <c r="PUM38" s="364" t="s">
        <v>140</v>
      </c>
      <c r="PUN38" s="365">
        <v>0.5</v>
      </c>
      <c r="PUO38" s="366" t="e">
        <f>10/PUK36</f>
        <v>#DIV/0!</v>
      </c>
      <c r="PUP38" s="367">
        <v>15.38</v>
      </c>
      <c r="PUQ38" s="367" t="e">
        <f>PUN38*PUO38*PUP38</f>
        <v>#DIV/0!</v>
      </c>
      <c r="PUR38" s="363" t="s">
        <v>153</v>
      </c>
      <c r="PUS38" s="363"/>
      <c r="PUT38" s="363"/>
      <c r="PUU38" s="364" t="s">
        <v>140</v>
      </c>
      <c r="PUV38" s="365">
        <v>0.5</v>
      </c>
      <c r="PUW38" s="366" t="e">
        <f>10/PUS36</f>
        <v>#DIV/0!</v>
      </c>
      <c r="PUX38" s="367">
        <v>15.38</v>
      </c>
      <c r="PUY38" s="367" t="e">
        <f>PUV38*PUW38*PUX38</f>
        <v>#DIV/0!</v>
      </c>
      <c r="PUZ38" s="363" t="s">
        <v>153</v>
      </c>
      <c r="PVA38" s="363"/>
      <c r="PVB38" s="363"/>
      <c r="PVC38" s="364" t="s">
        <v>140</v>
      </c>
      <c r="PVD38" s="365">
        <v>0.5</v>
      </c>
      <c r="PVE38" s="366" t="e">
        <f>10/PVA36</f>
        <v>#DIV/0!</v>
      </c>
      <c r="PVF38" s="367">
        <v>15.38</v>
      </c>
      <c r="PVG38" s="367" t="e">
        <f>PVD38*PVE38*PVF38</f>
        <v>#DIV/0!</v>
      </c>
      <c r="PVH38" s="363" t="s">
        <v>153</v>
      </c>
      <c r="PVI38" s="363"/>
      <c r="PVJ38" s="363"/>
      <c r="PVK38" s="364" t="s">
        <v>140</v>
      </c>
      <c r="PVL38" s="365">
        <v>0.5</v>
      </c>
      <c r="PVM38" s="366" t="e">
        <f>10/PVI36</f>
        <v>#DIV/0!</v>
      </c>
      <c r="PVN38" s="367">
        <v>15.38</v>
      </c>
      <c r="PVO38" s="367" t="e">
        <f>PVL38*PVM38*PVN38</f>
        <v>#DIV/0!</v>
      </c>
      <c r="PVP38" s="363" t="s">
        <v>153</v>
      </c>
      <c r="PVQ38" s="363"/>
      <c r="PVR38" s="363"/>
      <c r="PVS38" s="364" t="s">
        <v>140</v>
      </c>
      <c r="PVT38" s="365">
        <v>0.5</v>
      </c>
      <c r="PVU38" s="366" t="e">
        <f>10/PVQ36</f>
        <v>#DIV/0!</v>
      </c>
      <c r="PVV38" s="367">
        <v>15.38</v>
      </c>
      <c r="PVW38" s="367" t="e">
        <f>PVT38*PVU38*PVV38</f>
        <v>#DIV/0!</v>
      </c>
      <c r="PVX38" s="363" t="s">
        <v>153</v>
      </c>
      <c r="PVY38" s="363"/>
      <c r="PVZ38" s="363"/>
      <c r="PWA38" s="364" t="s">
        <v>140</v>
      </c>
      <c r="PWB38" s="365">
        <v>0.5</v>
      </c>
      <c r="PWC38" s="366" t="e">
        <f>10/PVY36</f>
        <v>#DIV/0!</v>
      </c>
      <c r="PWD38" s="367">
        <v>15.38</v>
      </c>
      <c r="PWE38" s="367" t="e">
        <f>PWB38*PWC38*PWD38</f>
        <v>#DIV/0!</v>
      </c>
      <c r="PWF38" s="363" t="s">
        <v>153</v>
      </c>
      <c r="PWG38" s="363"/>
      <c r="PWH38" s="363"/>
      <c r="PWI38" s="364" t="s">
        <v>140</v>
      </c>
      <c r="PWJ38" s="365">
        <v>0.5</v>
      </c>
      <c r="PWK38" s="366" t="e">
        <f>10/PWG36</f>
        <v>#DIV/0!</v>
      </c>
      <c r="PWL38" s="367">
        <v>15.38</v>
      </c>
      <c r="PWM38" s="367" t="e">
        <f>PWJ38*PWK38*PWL38</f>
        <v>#DIV/0!</v>
      </c>
      <c r="PWN38" s="363" t="s">
        <v>153</v>
      </c>
      <c r="PWO38" s="363"/>
      <c r="PWP38" s="363"/>
      <c r="PWQ38" s="364" t="s">
        <v>140</v>
      </c>
      <c r="PWR38" s="365">
        <v>0.5</v>
      </c>
      <c r="PWS38" s="366" t="e">
        <f>10/PWO36</f>
        <v>#DIV/0!</v>
      </c>
      <c r="PWT38" s="367">
        <v>15.38</v>
      </c>
      <c r="PWU38" s="367" t="e">
        <f>PWR38*PWS38*PWT38</f>
        <v>#DIV/0!</v>
      </c>
      <c r="PWV38" s="363" t="s">
        <v>153</v>
      </c>
      <c r="PWW38" s="363"/>
      <c r="PWX38" s="363"/>
      <c r="PWY38" s="364" t="s">
        <v>140</v>
      </c>
      <c r="PWZ38" s="365">
        <v>0.5</v>
      </c>
      <c r="PXA38" s="366" t="e">
        <f>10/PWW36</f>
        <v>#DIV/0!</v>
      </c>
      <c r="PXB38" s="367">
        <v>15.38</v>
      </c>
      <c r="PXC38" s="367" t="e">
        <f>PWZ38*PXA38*PXB38</f>
        <v>#DIV/0!</v>
      </c>
      <c r="PXD38" s="363" t="s">
        <v>153</v>
      </c>
      <c r="PXE38" s="363"/>
      <c r="PXF38" s="363"/>
      <c r="PXG38" s="364" t="s">
        <v>140</v>
      </c>
      <c r="PXH38" s="365">
        <v>0.5</v>
      </c>
      <c r="PXI38" s="366" t="e">
        <f>10/PXE36</f>
        <v>#DIV/0!</v>
      </c>
      <c r="PXJ38" s="367">
        <v>15.38</v>
      </c>
      <c r="PXK38" s="367" t="e">
        <f>PXH38*PXI38*PXJ38</f>
        <v>#DIV/0!</v>
      </c>
      <c r="PXL38" s="363" t="s">
        <v>153</v>
      </c>
      <c r="PXM38" s="363"/>
      <c r="PXN38" s="363"/>
      <c r="PXO38" s="364" t="s">
        <v>140</v>
      </c>
      <c r="PXP38" s="365">
        <v>0.5</v>
      </c>
      <c r="PXQ38" s="366" t="e">
        <f>10/PXM36</f>
        <v>#DIV/0!</v>
      </c>
      <c r="PXR38" s="367">
        <v>15.38</v>
      </c>
      <c r="PXS38" s="367" t="e">
        <f>PXP38*PXQ38*PXR38</f>
        <v>#DIV/0!</v>
      </c>
      <c r="PXT38" s="363" t="s">
        <v>153</v>
      </c>
      <c r="PXU38" s="363"/>
      <c r="PXV38" s="363"/>
      <c r="PXW38" s="364" t="s">
        <v>140</v>
      </c>
      <c r="PXX38" s="365">
        <v>0.5</v>
      </c>
      <c r="PXY38" s="366" t="e">
        <f>10/PXU36</f>
        <v>#DIV/0!</v>
      </c>
      <c r="PXZ38" s="367">
        <v>15.38</v>
      </c>
      <c r="PYA38" s="367" t="e">
        <f>PXX38*PXY38*PXZ38</f>
        <v>#DIV/0!</v>
      </c>
      <c r="PYB38" s="363" t="s">
        <v>153</v>
      </c>
      <c r="PYC38" s="363"/>
      <c r="PYD38" s="363"/>
      <c r="PYE38" s="364" t="s">
        <v>140</v>
      </c>
      <c r="PYF38" s="365">
        <v>0.5</v>
      </c>
      <c r="PYG38" s="366" t="e">
        <f>10/PYC36</f>
        <v>#DIV/0!</v>
      </c>
      <c r="PYH38" s="367">
        <v>15.38</v>
      </c>
      <c r="PYI38" s="367" t="e">
        <f>PYF38*PYG38*PYH38</f>
        <v>#DIV/0!</v>
      </c>
      <c r="PYJ38" s="363" t="s">
        <v>153</v>
      </c>
      <c r="PYK38" s="363"/>
      <c r="PYL38" s="363"/>
      <c r="PYM38" s="364" t="s">
        <v>140</v>
      </c>
      <c r="PYN38" s="365">
        <v>0.5</v>
      </c>
      <c r="PYO38" s="366" t="e">
        <f>10/PYK36</f>
        <v>#DIV/0!</v>
      </c>
      <c r="PYP38" s="367">
        <v>15.38</v>
      </c>
      <c r="PYQ38" s="367" t="e">
        <f>PYN38*PYO38*PYP38</f>
        <v>#DIV/0!</v>
      </c>
      <c r="PYR38" s="363" t="s">
        <v>153</v>
      </c>
      <c r="PYS38" s="363"/>
      <c r="PYT38" s="363"/>
      <c r="PYU38" s="364" t="s">
        <v>140</v>
      </c>
      <c r="PYV38" s="365">
        <v>0.5</v>
      </c>
      <c r="PYW38" s="366" t="e">
        <f>10/PYS36</f>
        <v>#DIV/0!</v>
      </c>
      <c r="PYX38" s="367">
        <v>15.38</v>
      </c>
      <c r="PYY38" s="367" t="e">
        <f>PYV38*PYW38*PYX38</f>
        <v>#DIV/0!</v>
      </c>
      <c r="PYZ38" s="363" t="s">
        <v>153</v>
      </c>
      <c r="PZA38" s="363"/>
      <c r="PZB38" s="363"/>
      <c r="PZC38" s="364" t="s">
        <v>140</v>
      </c>
      <c r="PZD38" s="365">
        <v>0.5</v>
      </c>
      <c r="PZE38" s="366" t="e">
        <f>10/PZA36</f>
        <v>#DIV/0!</v>
      </c>
      <c r="PZF38" s="367">
        <v>15.38</v>
      </c>
      <c r="PZG38" s="367" t="e">
        <f>PZD38*PZE38*PZF38</f>
        <v>#DIV/0!</v>
      </c>
      <c r="PZH38" s="363" t="s">
        <v>153</v>
      </c>
      <c r="PZI38" s="363"/>
      <c r="PZJ38" s="363"/>
      <c r="PZK38" s="364" t="s">
        <v>140</v>
      </c>
      <c r="PZL38" s="365">
        <v>0.5</v>
      </c>
      <c r="PZM38" s="366" t="e">
        <f>10/PZI36</f>
        <v>#DIV/0!</v>
      </c>
      <c r="PZN38" s="367">
        <v>15.38</v>
      </c>
      <c r="PZO38" s="367" t="e">
        <f>PZL38*PZM38*PZN38</f>
        <v>#DIV/0!</v>
      </c>
      <c r="PZP38" s="363" t="s">
        <v>153</v>
      </c>
      <c r="PZQ38" s="363"/>
      <c r="PZR38" s="363"/>
      <c r="PZS38" s="364" t="s">
        <v>140</v>
      </c>
      <c r="PZT38" s="365">
        <v>0.5</v>
      </c>
      <c r="PZU38" s="366" t="e">
        <f>10/PZQ36</f>
        <v>#DIV/0!</v>
      </c>
      <c r="PZV38" s="367">
        <v>15.38</v>
      </c>
      <c r="PZW38" s="367" t="e">
        <f>PZT38*PZU38*PZV38</f>
        <v>#DIV/0!</v>
      </c>
      <c r="PZX38" s="363" t="s">
        <v>153</v>
      </c>
      <c r="PZY38" s="363"/>
      <c r="PZZ38" s="363"/>
      <c r="QAA38" s="364" t="s">
        <v>140</v>
      </c>
      <c r="QAB38" s="365">
        <v>0.5</v>
      </c>
      <c r="QAC38" s="366" t="e">
        <f>10/PZY36</f>
        <v>#DIV/0!</v>
      </c>
      <c r="QAD38" s="367">
        <v>15.38</v>
      </c>
      <c r="QAE38" s="367" t="e">
        <f>QAB38*QAC38*QAD38</f>
        <v>#DIV/0!</v>
      </c>
      <c r="QAF38" s="363" t="s">
        <v>153</v>
      </c>
      <c r="QAG38" s="363"/>
      <c r="QAH38" s="363"/>
      <c r="QAI38" s="364" t="s">
        <v>140</v>
      </c>
      <c r="QAJ38" s="365">
        <v>0.5</v>
      </c>
      <c r="QAK38" s="366" t="e">
        <f>10/QAG36</f>
        <v>#DIV/0!</v>
      </c>
      <c r="QAL38" s="367">
        <v>15.38</v>
      </c>
      <c r="QAM38" s="367" t="e">
        <f>QAJ38*QAK38*QAL38</f>
        <v>#DIV/0!</v>
      </c>
      <c r="QAN38" s="363" t="s">
        <v>153</v>
      </c>
      <c r="QAO38" s="363"/>
      <c r="QAP38" s="363"/>
      <c r="QAQ38" s="364" t="s">
        <v>140</v>
      </c>
      <c r="QAR38" s="365">
        <v>0.5</v>
      </c>
      <c r="QAS38" s="366" t="e">
        <f>10/QAO36</f>
        <v>#DIV/0!</v>
      </c>
      <c r="QAT38" s="367">
        <v>15.38</v>
      </c>
      <c r="QAU38" s="367" t="e">
        <f>QAR38*QAS38*QAT38</f>
        <v>#DIV/0!</v>
      </c>
      <c r="QAV38" s="363" t="s">
        <v>153</v>
      </c>
      <c r="QAW38" s="363"/>
      <c r="QAX38" s="363"/>
      <c r="QAY38" s="364" t="s">
        <v>140</v>
      </c>
      <c r="QAZ38" s="365">
        <v>0.5</v>
      </c>
      <c r="QBA38" s="366" t="e">
        <f>10/QAW36</f>
        <v>#DIV/0!</v>
      </c>
      <c r="QBB38" s="367">
        <v>15.38</v>
      </c>
      <c r="QBC38" s="367" t="e">
        <f>QAZ38*QBA38*QBB38</f>
        <v>#DIV/0!</v>
      </c>
      <c r="QBD38" s="363" t="s">
        <v>153</v>
      </c>
      <c r="QBE38" s="363"/>
      <c r="QBF38" s="363"/>
      <c r="QBG38" s="364" t="s">
        <v>140</v>
      </c>
      <c r="QBH38" s="365">
        <v>0.5</v>
      </c>
      <c r="QBI38" s="366" t="e">
        <f>10/QBE36</f>
        <v>#DIV/0!</v>
      </c>
      <c r="QBJ38" s="367">
        <v>15.38</v>
      </c>
      <c r="QBK38" s="367" t="e">
        <f>QBH38*QBI38*QBJ38</f>
        <v>#DIV/0!</v>
      </c>
      <c r="QBL38" s="363" t="s">
        <v>153</v>
      </c>
      <c r="QBM38" s="363"/>
      <c r="QBN38" s="363"/>
      <c r="QBO38" s="364" t="s">
        <v>140</v>
      </c>
      <c r="QBP38" s="365">
        <v>0.5</v>
      </c>
      <c r="QBQ38" s="366" t="e">
        <f>10/QBM36</f>
        <v>#DIV/0!</v>
      </c>
      <c r="QBR38" s="367">
        <v>15.38</v>
      </c>
      <c r="QBS38" s="367" t="e">
        <f>QBP38*QBQ38*QBR38</f>
        <v>#DIV/0!</v>
      </c>
      <c r="QBT38" s="363" t="s">
        <v>153</v>
      </c>
      <c r="QBU38" s="363"/>
      <c r="QBV38" s="363"/>
      <c r="QBW38" s="364" t="s">
        <v>140</v>
      </c>
      <c r="QBX38" s="365">
        <v>0.5</v>
      </c>
      <c r="QBY38" s="366" t="e">
        <f>10/QBU36</f>
        <v>#DIV/0!</v>
      </c>
      <c r="QBZ38" s="367">
        <v>15.38</v>
      </c>
      <c r="QCA38" s="367" t="e">
        <f>QBX38*QBY38*QBZ38</f>
        <v>#DIV/0!</v>
      </c>
      <c r="QCB38" s="363" t="s">
        <v>153</v>
      </c>
      <c r="QCC38" s="363"/>
      <c r="QCD38" s="363"/>
      <c r="QCE38" s="364" t="s">
        <v>140</v>
      </c>
      <c r="QCF38" s="365">
        <v>0.5</v>
      </c>
      <c r="QCG38" s="366" t="e">
        <f>10/QCC36</f>
        <v>#DIV/0!</v>
      </c>
      <c r="QCH38" s="367">
        <v>15.38</v>
      </c>
      <c r="QCI38" s="367" t="e">
        <f>QCF38*QCG38*QCH38</f>
        <v>#DIV/0!</v>
      </c>
      <c r="QCJ38" s="363" t="s">
        <v>153</v>
      </c>
      <c r="QCK38" s="363"/>
      <c r="QCL38" s="363"/>
      <c r="QCM38" s="364" t="s">
        <v>140</v>
      </c>
      <c r="QCN38" s="365">
        <v>0.5</v>
      </c>
      <c r="QCO38" s="366" t="e">
        <f>10/QCK36</f>
        <v>#DIV/0!</v>
      </c>
      <c r="QCP38" s="367">
        <v>15.38</v>
      </c>
      <c r="QCQ38" s="367" t="e">
        <f>QCN38*QCO38*QCP38</f>
        <v>#DIV/0!</v>
      </c>
      <c r="QCR38" s="363" t="s">
        <v>153</v>
      </c>
      <c r="QCS38" s="363"/>
      <c r="QCT38" s="363"/>
      <c r="QCU38" s="364" t="s">
        <v>140</v>
      </c>
      <c r="QCV38" s="365">
        <v>0.5</v>
      </c>
      <c r="QCW38" s="366" t="e">
        <f>10/QCS36</f>
        <v>#DIV/0!</v>
      </c>
      <c r="QCX38" s="367">
        <v>15.38</v>
      </c>
      <c r="QCY38" s="367" t="e">
        <f>QCV38*QCW38*QCX38</f>
        <v>#DIV/0!</v>
      </c>
      <c r="QCZ38" s="363" t="s">
        <v>153</v>
      </c>
      <c r="QDA38" s="363"/>
      <c r="QDB38" s="363"/>
      <c r="QDC38" s="364" t="s">
        <v>140</v>
      </c>
      <c r="QDD38" s="365">
        <v>0.5</v>
      </c>
      <c r="QDE38" s="366" t="e">
        <f>10/QDA36</f>
        <v>#DIV/0!</v>
      </c>
      <c r="QDF38" s="367">
        <v>15.38</v>
      </c>
      <c r="QDG38" s="367" t="e">
        <f>QDD38*QDE38*QDF38</f>
        <v>#DIV/0!</v>
      </c>
      <c r="QDH38" s="363" t="s">
        <v>153</v>
      </c>
      <c r="QDI38" s="363"/>
      <c r="QDJ38" s="363"/>
      <c r="QDK38" s="364" t="s">
        <v>140</v>
      </c>
      <c r="QDL38" s="365">
        <v>0.5</v>
      </c>
      <c r="QDM38" s="366" t="e">
        <f>10/QDI36</f>
        <v>#DIV/0!</v>
      </c>
      <c r="QDN38" s="367">
        <v>15.38</v>
      </c>
      <c r="QDO38" s="367" t="e">
        <f>QDL38*QDM38*QDN38</f>
        <v>#DIV/0!</v>
      </c>
      <c r="QDP38" s="363" t="s">
        <v>153</v>
      </c>
      <c r="QDQ38" s="363"/>
      <c r="QDR38" s="363"/>
      <c r="QDS38" s="364" t="s">
        <v>140</v>
      </c>
      <c r="QDT38" s="365">
        <v>0.5</v>
      </c>
      <c r="QDU38" s="366" t="e">
        <f>10/QDQ36</f>
        <v>#DIV/0!</v>
      </c>
      <c r="QDV38" s="367">
        <v>15.38</v>
      </c>
      <c r="QDW38" s="367" t="e">
        <f>QDT38*QDU38*QDV38</f>
        <v>#DIV/0!</v>
      </c>
      <c r="QDX38" s="363" t="s">
        <v>153</v>
      </c>
      <c r="QDY38" s="363"/>
      <c r="QDZ38" s="363"/>
      <c r="QEA38" s="364" t="s">
        <v>140</v>
      </c>
      <c r="QEB38" s="365">
        <v>0.5</v>
      </c>
      <c r="QEC38" s="366" t="e">
        <f>10/QDY36</f>
        <v>#DIV/0!</v>
      </c>
      <c r="QED38" s="367">
        <v>15.38</v>
      </c>
      <c r="QEE38" s="367" t="e">
        <f>QEB38*QEC38*QED38</f>
        <v>#DIV/0!</v>
      </c>
      <c r="QEF38" s="363" t="s">
        <v>153</v>
      </c>
      <c r="QEG38" s="363"/>
      <c r="QEH38" s="363"/>
      <c r="QEI38" s="364" t="s">
        <v>140</v>
      </c>
      <c r="QEJ38" s="365">
        <v>0.5</v>
      </c>
      <c r="QEK38" s="366" t="e">
        <f>10/QEG36</f>
        <v>#DIV/0!</v>
      </c>
      <c r="QEL38" s="367">
        <v>15.38</v>
      </c>
      <c r="QEM38" s="367" t="e">
        <f>QEJ38*QEK38*QEL38</f>
        <v>#DIV/0!</v>
      </c>
      <c r="QEN38" s="363" t="s">
        <v>153</v>
      </c>
      <c r="QEO38" s="363"/>
      <c r="QEP38" s="363"/>
      <c r="QEQ38" s="364" t="s">
        <v>140</v>
      </c>
      <c r="QER38" s="365">
        <v>0.5</v>
      </c>
      <c r="QES38" s="366" t="e">
        <f>10/QEO36</f>
        <v>#DIV/0!</v>
      </c>
      <c r="QET38" s="367">
        <v>15.38</v>
      </c>
      <c r="QEU38" s="367" t="e">
        <f>QER38*QES38*QET38</f>
        <v>#DIV/0!</v>
      </c>
      <c r="QEV38" s="363" t="s">
        <v>153</v>
      </c>
      <c r="QEW38" s="363"/>
      <c r="QEX38" s="363"/>
      <c r="QEY38" s="364" t="s">
        <v>140</v>
      </c>
      <c r="QEZ38" s="365">
        <v>0.5</v>
      </c>
      <c r="QFA38" s="366" t="e">
        <f>10/QEW36</f>
        <v>#DIV/0!</v>
      </c>
      <c r="QFB38" s="367">
        <v>15.38</v>
      </c>
      <c r="QFC38" s="367" t="e">
        <f>QEZ38*QFA38*QFB38</f>
        <v>#DIV/0!</v>
      </c>
      <c r="QFD38" s="363" t="s">
        <v>153</v>
      </c>
      <c r="QFE38" s="363"/>
      <c r="QFF38" s="363"/>
      <c r="QFG38" s="364" t="s">
        <v>140</v>
      </c>
      <c r="QFH38" s="365">
        <v>0.5</v>
      </c>
      <c r="QFI38" s="366" t="e">
        <f>10/QFE36</f>
        <v>#DIV/0!</v>
      </c>
      <c r="QFJ38" s="367">
        <v>15.38</v>
      </c>
      <c r="QFK38" s="367" t="e">
        <f>QFH38*QFI38*QFJ38</f>
        <v>#DIV/0!</v>
      </c>
      <c r="QFL38" s="363" t="s">
        <v>153</v>
      </c>
      <c r="QFM38" s="363"/>
      <c r="QFN38" s="363"/>
      <c r="QFO38" s="364" t="s">
        <v>140</v>
      </c>
      <c r="QFP38" s="365">
        <v>0.5</v>
      </c>
      <c r="QFQ38" s="366" t="e">
        <f>10/QFM36</f>
        <v>#DIV/0!</v>
      </c>
      <c r="QFR38" s="367">
        <v>15.38</v>
      </c>
      <c r="QFS38" s="367" t="e">
        <f>QFP38*QFQ38*QFR38</f>
        <v>#DIV/0!</v>
      </c>
      <c r="QFT38" s="363" t="s">
        <v>153</v>
      </c>
      <c r="QFU38" s="363"/>
      <c r="QFV38" s="363"/>
      <c r="QFW38" s="364" t="s">
        <v>140</v>
      </c>
      <c r="QFX38" s="365">
        <v>0.5</v>
      </c>
      <c r="QFY38" s="366" t="e">
        <f>10/QFU36</f>
        <v>#DIV/0!</v>
      </c>
      <c r="QFZ38" s="367">
        <v>15.38</v>
      </c>
      <c r="QGA38" s="367" t="e">
        <f>QFX38*QFY38*QFZ38</f>
        <v>#DIV/0!</v>
      </c>
      <c r="QGB38" s="363" t="s">
        <v>153</v>
      </c>
      <c r="QGC38" s="363"/>
      <c r="QGD38" s="363"/>
      <c r="QGE38" s="364" t="s">
        <v>140</v>
      </c>
      <c r="QGF38" s="365">
        <v>0.5</v>
      </c>
      <c r="QGG38" s="366" t="e">
        <f>10/QGC36</f>
        <v>#DIV/0!</v>
      </c>
      <c r="QGH38" s="367">
        <v>15.38</v>
      </c>
      <c r="QGI38" s="367" t="e">
        <f>QGF38*QGG38*QGH38</f>
        <v>#DIV/0!</v>
      </c>
      <c r="QGJ38" s="363" t="s">
        <v>153</v>
      </c>
      <c r="QGK38" s="363"/>
      <c r="QGL38" s="363"/>
      <c r="QGM38" s="364" t="s">
        <v>140</v>
      </c>
      <c r="QGN38" s="365">
        <v>0.5</v>
      </c>
      <c r="QGO38" s="366" t="e">
        <f>10/QGK36</f>
        <v>#DIV/0!</v>
      </c>
      <c r="QGP38" s="367">
        <v>15.38</v>
      </c>
      <c r="QGQ38" s="367" t="e">
        <f>QGN38*QGO38*QGP38</f>
        <v>#DIV/0!</v>
      </c>
      <c r="QGR38" s="363" t="s">
        <v>153</v>
      </c>
      <c r="QGS38" s="363"/>
      <c r="QGT38" s="363"/>
      <c r="QGU38" s="364" t="s">
        <v>140</v>
      </c>
      <c r="QGV38" s="365">
        <v>0.5</v>
      </c>
      <c r="QGW38" s="366" t="e">
        <f>10/QGS36</f>
        <v>#DIV/0!</v>
      </c>
      <c r="QGX38" s="367">
        <v>15.38</v>
      </c>
      <c r="QGY38" s="367" t="e">
        <f>QGV38*QGW38*QGX38</f>
        <v>#DIV/0!</v>
      </c>
      <c r="QGZ38" s="363" t="s">
        <v>153</v>
      </c>
      <c r="QHA38" s="363"/>
      <c r="QHB38" s="363"/>
      <c r="QHC38" s="364" t="s">
        <v>140</v>
      </c>
      <c r="QHD38" s="365">
        <v>0.5</v>
      </c>
      <c r="QHE38" s="366" t="e">
        <f>10/QHA36</f>
        <v>#DIV/0!</v>
      </c>
      <c r="QHF38" s="367">
        <v>15.38</v>
      </c>
      <c r="QHG38" s="367" t="e">
        <f>QHD38*QHE38*QHF38</f>
        <v>#DIV/0!</v>
      </c>
      <c r="QHH38" s="363" t="s">
        <v>153</v>
      </c>
      <c r="QHI38" s="363"/>
      <c r="QHJ38" s="363"/>
      <c r="QHK38" s="364" t="s">
        <v>140</v>
      </c>
      <c r="QHL38" s="365">
        <v>0.5</v>
      </c>
      <c r="QHM38" s="366" t="e">
        <f>10/QHI36</f>
        <v>#DIV/0!</v>
      </c>
      <c r="QHN38" s="367">
        <v>15.38</v>
      </c>
      <c r="QHO38" s="367" t="e">
        <f>QHL38*QHM38*QHN38</f>
        <v>#DIV/0!</v>
      </c>
      <c r="QHP38" s="363" t="s">
        <v>153</v>
      </c>
      <c r="QHQ38" s="363"/>
      <c r="QHR38" s="363"/>
      <c r="QHS38" s="364" t="s">
        <v>140</v>
      </c>
      <c r="QHT38" s="365">
        <v>0.5</v>
      </c>
      <c r="QHU38" s="366" t="e">
        <f>10/QHQ36</f>
        <v>#DIV/0!</v>
      </c>
      <c r="QHV38" s="367">
        <v>15.38</v>
      </c>
      <c r="QHW38" s="367" t="e">
        <f>QHT38*QHU38*QHV38</f>
        <v>#DIV/0!</v>
      </c>
      <c r="QHX38" s="363" t="s">
        <v>153</v>
      </c>
      <c r="QHY38" s="363"/>
      <c r="QHZ38" s="363"/>
      <c r="QIA38" s="364" t="s">
        <v>140</v>
      </c>
      <c r="QIB38" s="365">
        <v>0.5</v>
      </c>
      <c r="QIC38" s="366" t="e">
        <f>10/QHY36</f>
        <v>#DIV/0!</v>
      </c>
      <c r="QID38" s="367">
        <v>15.38</v>
      </c>
      <c r="QIE38" s="367" t="e">
        <f>QIB38*QIC38*QID38</f>
        <v>#DIV/0!</v>
      </c>
      <c r="QIF38" s="363" t="s">
        <v>153</v>
      </c>
      <c r="QIG38" s="363"/>
      <c r="QIH38" s="363"/>
      <c r="QII38" s="364" t="s">
        <v>140</v>
      </c>
      <c r="QIJ38" s="365">
        <v>0.5</v>
      </c>
      <c r="QIK38" s="366" t="e">
        <f>10/QIG36</f>
        <v>#DIV/0!</v>
      </c>
      <c r="QIL38" s="367">
        <v>15.38</v>
      </c>
      <c r="QIM38" s="367" t="e">
        <f>QIJ38*QIK38*QIL38</f>
        <v>#DIV/0!</v>
      </c>
      <c r="QIN38" s="363" t="s">
        <v>153</v>
      </c>
      <c r="QIO38" s="363"/>
      <c r="QIP38" s="363"/>
      <c r="QIQ38" s="364" t="s">
        <v>140</v>
      </c>
      <c r="QIR38" s="365">
        <v>0.5</v>
      </c>
      <c r="QIS38" s="366" t="e">
        <f>10/QIO36</f>
        <v>#DIV/0!</v>
      </c>
      <c r="QIT38" s="367">
        <v>15.38</v>
      </c>
      <c r="QIU38" s="367" t="e">
        <f>QIR38*QIS38*QIT38</f>
        <v>#DIV/0!</v>
      </c>
      <c r="QIV38" s="363" t="s">
        <v>153</v>
      </c>
      <c r="QIW38" s="363"/>
      <c r="QIX38" s="363"/>
      <c r="QIY38" s="364" t="s">
        <v>140</v>
      </c>
      <c r="QIZ38" s="365">
        <v>0.5</v>
      </c>
      <c r="QJA38" s="366" t="e">
        <f>10/QIW36</f>
        <v>#DIV/0!</v>
      </c>
      <c r="QJB38" s="367">
        <v>15.38</v>
      </c>
      <c r="QJC38" s="367" t="e">
        <f>QIZ38*QJA38*QJB38</f>
        <v>#DIV/0!</v>
      </c>
      <c r="QJD38" s="363" t="s">
        <v>153</v>
      </c>
      <c r="QJE38" s="363"/>
      <c r="QJF38" s="363"/>
      <c r="QJG38" s="364" t="s">
        <v>140</v>
      </c>
      <c r="QJH38" s="365">
        <v>0.5</v>
      </c>
      <c r="QJI38" s="366" t="e">
        <f>10/QJE36</f>
        <v>#DIV/0!</v>
      </c>
      <c r="QJJ38" s="367">
        <v>15.38</v>
      </c>
      <c r="QJK38" s="367" t="e">
        <f>QJH38*QJI38*QJJ38</f>
        <v>#DIV/0!</v>
      </c>
      <c r="QJL38" s="363" t="s">
        <v>153</v>
      </c>
      <c r="QJM38" s="363"/>
      <c r="QJN38" s="363"/>
      <c r="QJO38" s="364" t="s">
        <v>140</v>
      </c>
      <c r="QJP38" s="365">
        <v>0.5</v>
      </c>
      <c r="QJQ38" s="366" t="e">
        <f>10/QJM36</f>
        <v>#DIV/0!</v>
      </c>
      <c r="QJR38" s="367">
        <v>15.38</v>
      </c>
      <c r="QJS38" s="367" t="e">
        <f>QJP38*QJQ38*QJR38</f>
        <v>#DIV/0!</v>
      </c>
      <c r="QJT38" s="363" t="s">
        <v>153</v>
      </c>
      <c r="QJU38" s="363"/>
      <c r="QJV38" s="363"/>
      <c r="QJW38" s="364" t="s">
        <v>140</v>
      </c>
      <c r="QJX38" s="365">
        <v>0.5</v>
      </c>
      <c r="QJY38" s="366" t="e">
        <f>10/QJU36</f>
        <v>#DIV/0!</v>
      </c>
      <c r="QJZ38" s="367">
        <v>15.38</v>
      </c>
      <c r="QKA38" s="367" t="e">
        <f>QJX38*QJY38*QJZ38</f>
        <v>#DIV/0!</v>
      </c>
      <c r="QKB38" s="363" t="s">
        <v>153</v>
      </c>
      <c r="QKC38" s="363"/>
      <c r="QKD38" s="363"/>
      <c r="QKE38" s="364" t="s">
        <v>140</v>
      </c>
      <c r="QKF38" s="365">
        <v>0.5</v>
      </c>
      <c r="QKG38" s="366" t="e">
        <f>10/QKC36</f>
        <v>#DIV/0!</v>
      </c>
      <c r="QKH38" s="367">
        <v>15.38</v>
      </c>
      <c r="QKI38" s="367" t="e">
        <f>QKF38*QKG38*QKH38</f>
        <v>#DIV/0!</v>
      </c>
      <c r="QKJ38" s="363" t="s">
        <v>153</v>
      </c>
      <c r="QKK38" s="363"/>
      <c r="QKL38" s="363"/>
      <c r="QKM38" s="364" t="s">
        <v>140</v>
      </c>
      <c r="QKN38" s="365">
        <v>0.5</v>
      </c>
      <c r="QKO38" s="366" t="e">
        <f>10/QKK36</f>
        <v>#DIV/0!</v>
      </c>
      <c r="QKP38" s="367">
        <v>15.38</v>
      </c>
      <c r="QKQ38" s="367" t="e">
        <f>QKN38*QKO38*QKP38</f>
        <v>#DIV/0!</v>
      </c>
      <c r="QKR38" s="363" t="s">
        <v>153</v>
      </c>
      <c r="QKS38" s="363"/>
      <c r="QKT38" s="363"/>
      <c r="QKU38" s="364" t="s">
        <v>140</v>
      </c>
      <c r="QKV38" s="365">
        <v>0.5</v>
      </c>
      <c r="QKW38" s="366" t="e">
        <f>10/QKS36</f>
        <v>#DIV/0!</v>
      </c>
      <c r="QKX38" s="367">
        <v>15.38</v>
      </c>
      <c r="QKY38" s="367" t="e">
        <f>QKV38*QKW38*QKX38</f>
        <v>#DIV/0!</v>
      </c>
      <c r="QKZ38" s="363" t="s">
        <v>153</v>
      </c>
      <c r="QLA38" s="363"/>
      <c r="QLB38" s="363"/>
      <c r="QLC38" s="364" t="s">
        <v>140</v>
      </c>
      <c r="QLD38" s="365">
        <v>0.5</v>
      </c>
      <c r="QLE38" s="366" t="e">
        <f>10/QLA36</f>
        <v>#DIV/0!</v>
      </c>
      <c r="QLF38" s="367">
        <v>15.38</v>
      </c>
      <c r="QLG38" s="367" t="e">
        <f>QLD38*QLE38*QLF38</f>
        <v>#DIV/0!</v>
      </c>
      <c r="QLH38" s="363" t="s">
        <v>153</v>
      </c>
      <c r="QLI38" s="363"/>
      <c r="QLJ38" s="363"/>
      <c r="QLK38" s="364" t="s">
        <v>140</v>
      </c>
      <c r="QLL38" s="365">
        <v>0.5</v>
      </c>
      <c r="QLM38" s="366" t="e">
        <f>10/QLI36</f>
        <v>#DIV/0!</v>
      </c>
      <c r="QLN38" s="367">
        <v>15.38</v>
      </c>
      <c r="QLO38" s="367" t="e">
        <f>QLL38*QLM38*QLN38</f>
        <v>#DIV/0!</v>
      </c>
      <c r="QLP38" s="363" t="s">
        <v>153</v>
      </c>
      <c r="QLQ38" s="363"/>
      <c r="QLR38" s="363"/>
      <c r="QLS38" s="364" t="s">
        <v>140</v>
      </c>
      <c r="QLT38" s="365">
        <v>0.5</v>
      </c>
      <c r="QLU38" s="366" t="e">
        <f>10/QLQ36</f>
        <v>#DIV/0!</v>
      </c>
      <c r="QLV38" s="367">
        <v>15.38</v>
      </c>
      <c r="QLW38" s="367" t="e">
        <f>QLT38*QLU38*QLV38</f>
        <v>#DIV/0!</v>
      </c>
      <c r="QLX38" s="363" t="s">
        <v>153</v>
      </c>
      <c r="QLY38" s="363"/>
      <c r="QLZ38" s="363"/>
      <c r="QMA38" s="364" t="s">
        <v>140</v>
      </c>
      <c r="QMB38" s="365">
        <v>0.5</v>
      </c>
      <c r="QMC38" s="366" t="e">
        <f>10/QLY36</f>
        <v>#DIV/0!</v>
      </c>
      <c r="QMD38" s="367">
        <v>15.38</v>
      </c>
      <c r="QME38" s="367" t="e">
        <f>QMB38*QMC38*QMD38</f>
        <v>#DIV/0!</v>
      </c>
      <c r="QMF38" s="363" t="s">
        <v>153</v>
      </c>
      <c r="QMG38" s="363"/>
      <c r="QMH38" s="363"/>
      <c r="QMI38" s="364" t="s">
        <v>140</v>
      </c>
      <c r="QMJ38" s="365">
        <v>0.5</v>
      </c>
      <c r="QMK38" s="366" t="e">
        <f>10/QMG36</f>
        <v>#DIV/0!</v>
      </c>
      <c r="QML38" s="367">
        <v>15.38</v>
      </c>
      <c r="QMM38" s="367" t="e">
        <f>QMJ38*QMK38*QML38</f>
        <v>#DIV/0!</v>
      </c>
      <c r="QMN38" s="363" t="s">
        <v>153</v>
      </c>
      <c r="QMO38" s="363"/>
      <c r="QMP38" s="363"/>
      <c r="QMQ38" s="364" t="s">
        <v>140</v>
      </c>
      <c r="QMR38" s="365">
        <v>0.5</v>
      </c>
      <c r="QMS38" s="366" t="e">
        <f>10/QMO36</f>
        <v>#DIV/0!</v>
      </c>
      <c r="QMT38" s="367">
        <v>15.38</v>
      </c>
      <c r="QMU38" s="367" t="e">
        <f>QMR38*QMS38*QMT38</f>
        <v>#DIV/0!</v>
      </c>
      <c r="QMV38" s="363" t="s">
        <v>153</v>
      </c>
      <c r="QMW38" s="363"/>
      <c r="QMX38" s="363"/>
      <c r="QMY38" s="364" t="s">
        <v>140</v>
      </c>
      <c r="QMZ38" s="365">
        <v>0.5</v>
      </c>
      <c r="QNA38" s="366" t="e">
        <f>10/QMW36</f>
        <v>#DIV/0!</v>
      </c>
      <c r="QNB38" s="367">
        <v>15.38</v>
      </c>
      <c r="QNC38" s="367" t="e">
        <f>QMZ38*QNA38*QNB38</f>
        <v>#DIV/0!</v>
      </c>
      <c r="QND38" s="363" t="s">
        <v>153</v>
      </c>
      <c r="QNE38" s="363"/>
      <c r="QNF38" s="363"/>
      <c r="QNG38" s="364" t="s">
        <v>140</v>
      </c>
      <c r="QNH38" s="365">
        <v>0.5</v>
      </c>
      <c r="QNI38" s="366" t="e">
        <f>10/QNE36</f>
        <v>#DIV/0!</v>
      </c>
      <c r="QNJ38" s="367">
        <v>15.38</v>
      </c>
      <c r="QNK38" s="367" t="e">
        <f>QNH38*QNI38*QNJ38</f>
        <v>#DIV/0!</v>
      </c>
      <c r="QNL38" s="363" t="s">
        <v>153</v>
      </c>
      <c r="QNM38" s="363"/>
      <c r="QNN38" s="363"/>
      <c r="QNO38" s="364" t="s">
        <v>140</v>
      </c>
      <c r="QNP38" s="365">
        <v>0.5</v>
      </c>
      <c r="QNQ38" s="366" t="e">
        <f>10/QNM36</f>
        <v>#DIV/0!</v>
      </c>
      <c r="QNR38" s="367">
        <v>15.38</v>
      </c>
      <c r="QNS38" s="367" t="e">
        <f>QNP38*QNQ38*QNR38</f>
        <v>#DIV/0!</v>
      </c>
      <c r="QNT38" s="363" t="s">
        <v>153</v>
      </c>
      <c r="QNU38" s="363"/>
      <c r="QNV38" s="363"/>
      <c r="QNW38" s="364" t="s">
        <v>140</v>
      </c>
      <c r="QNX38" s="365">
        <v>0.5</v>
      </c>
      <c r="QNY38" s="366" t="e">
        <f>10/QNU36</f>
        <v>#DIV/0!</v>
      </c>
      <c r="QNZ38" s="367">
        <v>15.38</v>
      </c>
      <c r="QOA38" s="367" t="e">
        <f>QNX38*QNY38*QNZ38</f>
        <v>#DIV/0!</v>
      </c>
      <c r="QOB38" s="363" t="s">
        <v>153</v>
      </c>
      <c r="QOC38" s="363"/>
      <c r="QOD38" s="363"/>
      <c r="QOE38" s="364" t="s">
        <v>140</v>
      </c>
      <c r="QOF38" s="365">
        <v>0.5</v>
      </c>
      <c r="QOG38" s="366" t="e">
        <f>10/QOC36</f>
        <v>#DIV/0!</v>
      </c>
      <c r="QOH38" s="367">
        <v>15.38</v>
      </c>
      <c r="QOI38" s="367" t="e">
        <f>QOF38*QOG38*QOH38</f>
        <v>#DIV/0!</v>
      </c>
      <c r="QOJ38" s="363" t="s">
        <v>153</v>
      </c>
      <c r="QOK38" s="363"/>
      <c r="QOL38" s="363"/>
      <c r="QOM38" s="364" t="s">
        <v>140</v>
      </c>
      <c r="QON38" s="365">
        <v>0.5</v>
      </c>
      <c r="QOO38" s="366" t="e">
        <f>10/QOK36</f>
        <v>#DIV/0!</v>
      </c>
      <c r="QOP38" s="367">
        <v>15.38</v>
      </c>
      <c r="QOQ38" s="367" t="e">
        <f>QON38*QOO38*QOP38</f>
        <v>#DIV/0!</v>
      </c>
      <c r="QOR38" s="363" t="s">
        <v>153</v>
      </c>
      <c r="QOS38" s="363"/>
      <c r="QOT38" s="363"/>
      <c r="QOU38" s="364" t="s">
        <v>140</v>
      </c>
      <c r="QOV38" s="365">
        <v>0.5</v>
      </c>
      <c r="QOW38" s="366" t="e">
        <f>10/QOS36</f>
        <v>#DIV/0!</v>
      </c>
      <c r="QOX38" s="367">
        <v>15.38</v>
      </c>
      <c r="QOY38" s="367" t="e">
        <f>QOV38*QOW38*QOX38</f>
        <v>#DIV/0!</v>
      </c>
      <c r="QOZ38" s="363" t="s">
        <v>153</v>
      </c>
      <c r="QPA38" s="363"/>
      <c r="QPB38" s="363"/>
      <c r="QPC38" s="364" t="s">
        <v>140</v>
      </c>
      <c r="QPD38" s="365">
        <v>0.5</v>
      </c>
      <c r="QPE38" s="366" t="e">
        <f>10/QPA36</f>
        <v>#DIV/0!</v>
      </c>
      <c r="QPF38" s="367">
        <v>15.38</v>
      </c>
      <c r="QPG38" s="367" t="e">
        <f>QPD38*QPE38*QPF38</f>
        <v>#DIV/0!</v>
      </c>
      <c r="QPH38" s="363" t="s">
        <v>153</v>
      </c>
      <c r="QPI38" s="363"/>
      <c r="QPJ38" s="363"/>
      <c r="QPK38" s="364" t="s">
        <v>140</v>
      </c>
      <c r="QPL38" s="365">
        <v>0.5</v>
      </c>
      <c r="QPM38" s="366" t="e">
        <f>10/QPI36</f>
        <v>#DIV/0!</v>
      </c>
      <c r="QPN38" s="367">
        <v>15.38</v>
      </c>
      <c r="QPO38" s="367" t="e">
        <f>QPL38*QPM38*QPN38</f>
        <v>#DIV/0!</v>
      </c>
      <c r="QPP38" s="363" t="s">
        <v>153</v>
      </c>
      <c r="QPQ38" s="363"/>
      <c r="QPR38" s="363"/>
      <c r="QPS38" s="364" t="s">
        <v>140</v>
      </c>
      <c r="QPT38" s="365">
        <v>0.5</v>
      </c>
      <c r="QPU38" s="366" t="e">
        <f>10/QPQ36</f>
        <v>#DIV/0!</v>
      </c>
      <c r="QPV38" s="367">
        <v>15.38</v>
      </c>
      <c r="QPW38" s="367" t="e">
        <f>QPT38*QPU38*QPV38</f>
        <v>#DIV/0!</v>
      </c>
      <c r="QPX38" s="363" t="s">
        <v>153</v>
      </c>
      <c r="QPY38" s="363"/>
      <c r="QPZ38" s="363"/>
      <c r="QQA38" s="364" t="s">
        <v>140</v>
      </c>
      <c r="QQB38" s="365">
        <v>0.5</v>
      </c>
      <c r="QQC38" s="366" t="e">
        <f>10/QPY36</f>
        <v>#DIV/0!</v>
      </c>
      <c r="QQD38" s="367">
        <v>15.38</v>
      </c>
      <c r="QQE38" s="367" t="e">
        <f>QQB38*QQC38*QQD38</f>
        <v>#DIV/0!</v>
      </c>
      <c r="QQF38" s="363" t="s">
        <v>153</v>
      </c>
      <c r="QQG38" s="363"/>
      <c r="QQH38" s="363"/>
      <c r="QQI38" s="364" t="s">
        <v>140</v>
      </c>
      <c r="QQJ38" s="365">
        <v>0.5</v>
      </c>
      <c r="QQK38" s="366" t="e">
        <f>10/QQG36</f>
        <v>#DIV/0!</v>
      </c>
      <c r="QQL38" s="367">
        <v>15.38</v>
      </c>
      <c r="QQM38" s="367" t="e">
        <f>QQJ38*QQK38*QQL38</f>
        <v>#DIV/0!</v>
      </c>
      <c r="QQN38" s="363" t="s">
        <v>153</v>
      </c>
      <c r="QQO38" s="363"/>
      <c r="QQP38" s="363"/>
      <c r="QQQ38" s="364" t="s">
        <v>140</v>
      </c>
      <c r="QQR38" s="365">
        <v>0.5</v>
      </c>
      <c r="QQS38" s="366" t="e">
        <f>10/QQO36</f>
        <v>#DIV/0!</v>
      </c>
      <c r="QQT38" s="367">
        <v>15.38</v>
      </c>
      <c r="QQU38" s="367" t="e">
        <f>QQR38*QQS38*QQT38</f>
        <v>#DIV/0!</v>
      </c>
      <c r="QQV38" s="363" t="s">
        <v>153</v>
      </c>
      <c r="QQW38" s="363"/>
      <c r="QQX38" s="363"/>
      <c r="QQY38" s="364" t="s">
        <v>140</v>
      </c>
      <c r="QQZ38" s="365">
        <v>0.5</v>
      </c>
      <c r="QRA38" s="366" t="e">
        <f>10/QQW36</f>
        <v>#DIV/0!</v>
      </c>
      <c r="QRB38" s="367">
        <v>15.38</v>
      </c>
      <c r="QRC38" s="367" t="e">
        <f>QQZ38*QRA38*QRB38</f>
        <v>#DIV/0!</v>
      </c>
      <c r="QRD38" s="363" t="s">
        <v>153</v>
      </c>
      <c r="QRE38" s="363"/>
      <c r="QRF38" s="363"/>
      <c r="QRG38" s="364" t="s">
        <v>140</v>
      </c>
      <c r="QRH38" s="365">
        <v>0.5</v>
      </c>
      <c r="QRI38" s="366" t="e">
        <f>10/QRE36</f>
        <v>#DIV/0!</v>
      </c>
      <c r="QRJ38" s="367">
        <v>15.38</v>
      </c>
      <c r="QRK38" s="367" t="e">
        <f>QRH38*QRI38*QRJ38</f>
        <v>#DIV/0!</v>
      </c>
      <c r="QRL38" s="363" t="s">
        <v>153</v>
      </c>
      <c r="QRM38" s="363"/>
      <c r="QRN38" s="363"/>
      <c r="QRO38" s="364" t="s">
        <v>140</v>
      </c>
      <c r="QRP38" s="365">
        <v>0.5</v>
      </c>
      <c r="QRQ38" s="366" t="e">
        <f>10/QRM36</f>
        <v>#DIV/0!</v>
      </c>
      <c r="QRR38" s="367">
        <v>15.38</v>
      </c>
      <c r="QRS38" s="367" t="e">
        <f>QRP38*QRQ38*QRR38</f>
        <v>#DIV/0!</v>
      </c>
      <c r="QRT38" s="363" t="s">
        <v>153</v>
      </c>
      <c r="QRU38" s="363"/>
      <c r="QRV38" s="363"/>
      <c r="QRW38" s="364" t="s">
        <v>140</v>
      </c>
      <c r="QRX38" s="365">
        <v>0.5</v>
      </c>
      <c r="QRY38" s="366" t="e">
        <f>10/QRU36</f>
        <v>#DIV/0!</v>
      </c>
      <c r="QRZ38" s="367">
        <v>15.38</v>
      </c>
      <c r="QSA38" s="367" t="e">
        <f>QRX38*QRY38*QRZ38</f>
        <v>#DIV/0!</v>
      </c>
      <c r="QSB38" s="363" t="s">
        <v>153</v>
      </c>
      <c r="QSC38" s="363"/>
      <c r="QSD38" s="363"/>
      <c r="QSE38" s="364" t="s">
        <v>140</v>
      </c>
      <c r="QSF38" s="365">
        <v>0.5</v>
      </c>
      <c r="QSG38" s="366" t="e">
        <f>10/QSC36</f>
        <v>#DIV/0!</v>
      </c>
      <c r="QSH38" s="367">
        <v>15.38</v>
      </c>
      <c r="QSI38" s="367" t="e">
        <f>QSF38*QSG38*QSH38</f>
        <v>#DIV/0!</v>
      </c>
      <c r="QSJ38" s="363" t="s">
        <v>153</v>
      </c>
      <c r="QSK38" s="363"/>
      <c r="QSL38" s="363"/>
      <c r="QSM38" s="364" t="s">
        <v>140</v>
      </c>
      <c r="QSN38" s="365">
        <v>0.5</v>
      </c>
      <c r="QSO38" s="366" t="e">
        <f>10/QSK36</f>
        <v>#DIV/0!</v>
      </c>
      <c r="QSP38" s="367">
        <v>15.38</v>
      </c>
      <c r="QSQ38" s="367" t="e">
        <f>QSN38*QSO38*QSP38</f>
        <v>#DIV/0!</v>
      </c>
      <c r="QSR38" s="363" t="s">
        <v>153</v>
      </c>
      <c r="QSS38" s="363"/>
      <c r="QST38" s="363"/>
      <c r="QSU38" s="364" t="s">
        <v>140</v>
      </c>
      <c r="QSV38" s="365">
        <v>0.5</v>
      </c>
      <c r="QSW38" s="366" t="e">
        <f>10/QSS36</f>
        <v>#DIV/0!</v>
      </c>
      <c r="QSX38" s="367">
        <v>15.38</v>
      </c>
      <c r="QSY38" s="367" t="e">
        <f>QSV38*QSW38*QSX38</f>
        <v>#DIV/0!</v>
      </c>
      <c r="QSZ38" s="363" t="s">
        <v>153</v>
      </c>
      <c r="QTA38" s="363"/>
      <c r="QTB38" s="363"/>
      <c r="QTC38" s="364" t="s">
        <v>140</v>
      </c>
      <c r="QTD38" s="365">
        <v>0.5</v>
      </c>
      <c r="QTE38" s="366" t="e">
        <f>10/QTA36</f>
        <v>#DIV/0!</v>
      </c>
      <c r="QTF38" s="367">
        <v>15.38</v>
      </c>
      <c r="QTG38" s="367" t="e">
        <f>QTD38*QTE38*QTF38</f>
        <v>#DIV/0!</v>
      </c>
      <c r="QTH38" s="363" t="s">
        <v>153</v>
      </c>
      <c r="QTI38" s="363"/>
      <c r="QTJ38" s="363"/>
      <c r="QTK38" s="364" t="s">
        <v>140</v>
      </c>
      <c r="QTL38" s="365">
        <v>0.5</v>
      </c>
      <c r="QTM38" s="366" t="e">
        <f>10/QTI36</f>
        <v>#DIV/0!</v>
      </c>
      <c r="QTN38" s="367">
        <v>15.38</v>
      </c>
      <c r="QTO38" s="367" t="e">
        <f>QTL38*QTM38*QTN38</f>
        <v>#DIV/0!</v>
      </c>
      <c r="QTP38" s="363" t="s">
        <v>153</v>
      </c>
      <c r="QTQ38" s="363"/>
      <c r="QTR38" s="363"/>
      <c r="QTS38" s="364" t="s">
        <v>140</v>
      </c>
      <c r="QTT38" s="365">
        <v>0.5</v>
      </c>
      <c r="QTU38" s="366" t="e">
        <f>10/QTQ36</f>
        <v>#DIV/0!</v>
      </c>
      <c r="QTV38" s="367">
        <v>15.38</v>
      </c>
      <c r="QTW38" s="367" t="e">
        <f>QTT38*QTU38*QTV38</f>
        <v>#DIV/0!</v>
      </c>
      <c r="QTX38" s="363" t="s">
        <v>153</v>
      </c>
      <c r="QTY38" s="363"/>
      <c r="QTZ38" s="363"/>
      <c r="QUA38" s="364" t="s">
        <v>140</v>
      </c>
      <c r="QUB38" s="365">
        <v>0.5</v>
      </c>
      <c r="QUC38" s="366" t="e">
        <f>10/QTY36</f>
        <v>#DIV/0!</v>
      </c>
      <c r="QUD38" s="367">
        <v>15.38</v>
      </c>
      <c r="QUE38" s="367" t="e">
        <f>QUB38*QUC38*QUD38</f>
        <v>#DIV/0!</v>
      </c>
      <c r="QUF38" s="363" t="s">
        <v>153</v>
      </c>
      <c r="QUG38" s="363"/>
      <c r="QUH38" s="363"/>
      <c r="QUI38" s="364" t="s">
        <v>140</v>
      </c>
      <c r="QUJ38" s="365">
        <v>0.5</v>
      </c>
      <c r="QUK38" s="366" t="e">
        <f>10/QUG36</f>
        <v>#DIV/0!</v>
      </c>
      <c r="QUL38" s="367">
        <v>15.38</v>
      </c>
      <c r="QUM38" s="367" t="e">
        <f>QUJ38*QUK38*QUL38</f>
        <v>#DIV/0!</v>
      </c>
      <c r="QUN38" s="363" t="s">
        <v>153</v>
      </c>
      <c r="QUO38" s="363"/>
      <c r="QUP38" s="363"/>
      <c r="QUQ38" s="364" t="s">
        <v>140</v>
      </c>
      <c r="QUR38" s="365">
        <v>0.5</v>
      </c>
      <c r="QUS38" s="366" t="e">
        <f>10/QUO36</f>
        <v>#DIV/0!</v>
      </c>
      <c r="QUT38" s="367">
        <v>15.38</v>
      </c>
      <c r="QUU38" s="367" t="e">
        <f>QUR38*QUS38*QUT38</f>
        <v>#DIV/0!</v>
      </c>
      <c r="QUV38" s="363" t="s">
        <v>153</v>
      </c>
      <c r="QUW38" s="363"/>
      <c r="QUX38" s="363"/>
      <c r="QUY38" s="364" t="s">
        <v>140</v>
      </c>
      <c r="QUZ38" s="365">
        <v>0.5</v>
      </c>
      <c r="QVA38" s="366" t="e">
        <f>10/QUW36</f>
        <v>#DIV/0!</v>
      </c>
      <c r="QVB38" s="367">
        <v>15.38</v>
      </c>
      <c r="QVC38" s="367" t="e">
        <f>QUZ38*QVA38*QVB38</f>
        <v>#DIV/0!</v>
      </c>
      <c r="QVD38" s="363" t="s">
        <v>153</v>
      </c>
      <c r="QVE38" s="363"/>
      <c r="QVF38" s="363"/>
      <c r="QVG38" s="364" t="s">
        <v>140</v>
      </c>
      <c r="QVH38" s="365">
        <v>0.5</v>
      </c>
      <c r="QVI38" s="366" t="e">
        <f>10/QVE36</f>
        <v>#DIV/0!</v>
      </c>
      <c r="QVJ38" s="367">
        <v>15.38</v>
      </c>
      <c r="QVK38" s="367" t="e">
        <f>QVH38*QVI38*QVJ38</f>
        <v>#DIV/0!</v>
      </c>
      <c r="QVL38" s="363" t="s">
        <v>153</v>
      </c>
      <c r="QVM38" s="363"/>
      <c r="QVN38" s="363"/>
      <c r="QVO38" s="364" t="s">
        <v>140</v>
      </c>
      <c r="QVP38" s="365">
        <v>0.5</v>
      </c>
      <c r="QVQ38" s="366" t="e">
        <f>10/QVM36</f>
        <v>#DIV/0!</v>
      </c>
      <c r="QVR38" s="367">
        <v>15.38</v>
      </c>
      <c r="QVS38" s="367" t="e">
        <f>QVP38*QVQ38*QVR38</f>
        <v>#DIV/0!</v>
      </c>
      <c r="QVT38" s="363" t="s">
        <v>153</v>
      </c>
      <c r="QVU38" s="363"/>
      <c r="QVV38" s="363"/>
      <c r="QVW38" s="364" t="s">
        <v>140</v>
      </c>
      <c r="QVX38" s="365">
        <v>0.5</v>
      </c>
      <c r="QVY38" s="366" t="e">
        <f>10/QVU36</f>
        <v>#DIV/0!</v>
      </c>
      <c r="QVZ38" s="367">
        <v>15.38</v>
      </c>
      <c r="QWA38" s="367" t="e">
        <f>QVX38*QVY38*QVZ38</f>
        <v>#DIV/0!</v>
      </c>
      <c r="QWB38" s="363" t="s">
        <v>153</v>
      </c>
      <c r="QWC38" s="363"/>
      <c r="QWD38" s="363"/>
      <c r="QWE38" s="364" t="s">
        <v>140</v>
      </c>
      <c r="QWF38" s="365">
        <v>0.5</v>
      </c>
      <c r="QWG38" s="366" t="e">
        <f>10/QWC36</f>
        <v>#DIV/0!</v>
      </c>
      <c r="QWH38" s="367">
        <v>15.38</v>
      </c>
      <c r="QWI38" s="367" t="e">
        <f>QWF38*QWG38*QWH38</f>
        <v>#DIV/0!</v>
      </c>
      <c r="QWJ38" s="363" t="s">
        <v>153</v>
      </c>
      <c r="QWK38" s="363"/>
      <c r="QWL38" s="363"/>
      <c r="QWM38" s="364" t="s">
        <v>140</v>
      </c>
      <c r="QWN38" s="365">
        <v>0.5</v>
      </c>
      <c r="QWO38" s="366" t="e">
        <f>10/QWK36</f>
        <v>#DIV/0!</v>
      </c>
      <c r="QWP38" s="367">
        <v>15.38</v>
      </c>
      <c r="QWQ38" s="367" t="e">
        <f>QWN38*QWO38*QWP38</f>
        <v>#DIV/0!</v>
      </c>
      <c r="QWR38" s="363" t="s">
        <v>153</v>
      </c>
      <c r="QWS38" s="363"/>
      <c r="QWT38" s="363"/>
      <c r="QWU38" s="364" t="s">
        <v>140</v>
      </c>
      <c r="QWV38" s="365">
        <v>0.5</v>
      </c>
      <c r="QWW38" s="366" t="e">
        <f>10/QWS36</f>
        <v>#DIV/0!</v>
      </c>
      <c r="QWX38" s="367">
        <v>15.38</v>
      </c>
      <c r="QWY38" s="367" t="e">
        <f>QWV38*QWW38*QWX38</f>
        <v>#DIV/0!</v>
      </c>
      <c r="QWZ38" s="363" t="s">
        <v>153</v>
      </c>
      <c r="QXA38" s="363"/>
      <c r="QXB38" s="363"/>
      <c r="QXC38" s="364" t="s">
        <v>140</v>
      </c>
      <c r="QXD38" s="365">
        <v>0.5</v>
      </c>
      <c r="QXE38" s="366" t="e">
        <f>10/QXA36</f>
        <v>#DIV/0!</v>
      </c>
      <c r="QXF38" s="367">
        <v>15.38</v>
      </c>
      <c r="QXG38" s="367" t="e">
        <f>QXD38*QXE38*QXF38</f>
        <v>#DIV/0!</v>
      </c>
      <c r="QXH38" s="363" t="s">
        <v>153</v>
      </c>
      <c r="QXI38" s="363"/>
      <c r="QXJ38" s="363"/>
      <c r="QXK38" s="364" t="s">
        <v>140</v>
      </c>
      <c r="QXL38" s="365">
        <v>0.5</v>
      </c>
      <c r="QXM38" s="366" t="e">
        <f>10/QXI36</f>
        <v>#DIV/0!</v>
      </c>
      <c r="QXN38" s="367">
        <v>15.38</v>
      </c>
      <c r="QXO38" s="367" t="e">
        <f>QXL38*QXM38*QXN38</f>
        <v>#DIV/0!</v>
      </c>
      <c r="QXP38" s="363" t="s">
        <v>153</v>
      </c>
      <c r="QXQ38" s="363"/>
      <c r="QXR38" s="363"/>
      <c r="QXS38" s="364" t="s">
        <v>140</v>
      </c>
      <c r="QXT38" s="365">
        <v>0.5</v>
      </c>
      <c r="QXU38" s="366" t="e">
        <f>10/QXQ36</f>
        <v>#DIV/0!</v>
      </c>
      <c r="QXV38" s="367">
        <v>15.38</v>
      </c>
      <c r="QXW38" s="367" t="e">
        <f>QXT38*QXU38*QXV38</f>
        <v>#DIV/0!</v>
      </c>
      <c r="QXX38" s="363" t="s">
        <v>153</v>
      </c>
      <c r="QXY38" s="363"/>
      <c r="QXZ38" s="363"/>
      <c r="QYA38" s="364" t="s">
        <v>140</v>
      </c>
      <c r="QYB38" s="365">
        <v>0.5</v>
      </c>
      <c r="QYC38" s="366" t="e">
        <f>10/QXY36</f>
        <v>#DIV/0!</v>
      </c>
      <c r="QYD38" s="367">
        <v>15.38</v>
      </c>
      <c r="QYE38" s="367" t="e">
        <f>QYB38*QYC38*QYD38</f>
        <v>#DIV/0!</v>
      </c>
      <c r="QYF38" s="363" t="s">
        <v>153</v>
      </c>
      <c r="QYG38" s="363"/>
      <c r="QYH38" s="363"/>
      <c r="QYI38" s="364" t="s">
        <v>140</v>
      </c>
      <c r="QYJ38" s="365">
        <v>0.5</v>
      </c>
      <c r="QYK38" s="366" t="e">
        <f>10/QYG36</f>
        <v>#DIV/0!</v>
      </c>
      <c r="QYL38" s="367">
        <v>15.38</v>
      </c>
      <c r="QYM38" s="367" t="e">
        <f>QYJ38*QYK38*QYL38</f>
        <v>#DIV/0!</v>
      </c>
      <c r="QYN38" s="363" t="s">
        <v>153</v>
      </c>
      <c r="QYO38" s="363"/>
      <c r="QYP38" s="363"/>
      <c r="QYQ38" s="364" t="s">
        <v>140</v>
      </c>
      <c r="QYR38" s="365">
        <v>0.5</v>
      </c>
      <c r="QYS38" s="366" t="e">
        <f>10/QYO36</f>
        <v>#DIV/0!</v>
      </c>
      <c r="QYT38" s="367">
        <v>15.38</v>
      </c>
      <c r="QYU38" s="367" t="e">
        <f>QYR38*QYS38*QYT38</f>
        <v>#DIV/0!</v>
      </c>
      <c r="QYV38" s="363" t="s">
        <v>153</v>
      </c>
      <c r="QYW38" s="363"/>
      <c r="QYX38" s="363"/>
      <c r="QYY38" s="364" t="s">
        <v>140</v>
      </c>
      <c r="QYZ38" s="365">
        <v>0.5</v>
      </c>
      <c r="QZA38" s="366" t="e">
        <f>10/QYW36</f>
        <v>#DIV/0!</v>
      </c>
      <c r="QZB38" s="367">
        <v>15.38</v>
      </c>
      <c r="QZC38" s="367" t="e">
        <f>QYZ38*QZA38*QZB38</f>
        <v>#DIV/0!</v>
      </c>
      <c r="QZD38" s="363" t="s">
        <v>153</v>
      </c>
      <c r="QZE38" s="363"/>
      <c r="QZF38" s="363"/>
      <c r="QZG38" s="364" t="s">
        <v>140</v>
      </c>
      <c r="QZH38" s="365">
        <v>0.5</v>
      </c>
      <c r="QZI38" s="366" t="e">
        <f>10/QZE36</f>
        <v>#DIV/0!</v>
      </c>
      <c r="QZJ38" s="367">
        <v>15.38</v>
      </c>
      <c r="QZK38" s="367" t="e">
        <f>QZH38*QZI38*QZJ38</f>
        <v>#DIV/0!</v>
      </c>
      <c r="QZL38" s="363" t="s">
        <v>153</v>
      </c>
      <c r="QZM38" s="363"/>
      <c r="QZN38" s="363"/>
      <c r="QZO38" s="364" t="s">
        <v>140</v>
      </c>
      <c r="QZP38" s="365">
        <v>0.5</v>
      </c>
      <c r="QZQ38" s="366" t="e">
        <f>10/QZM36</f>
        <v>#DIV/0!</v>
      </c>
      <c r="QZR38" s="367">
        <v>15.38</v>
      </c>
      <c r="QZS38" s="367" t="e">
        <f>QZP38*QZQ38*QZR38</f>
        <v>#DIV/0!</v>
      </c>
      <c r="QZT38" s="363" t="s">
        <v>153</v>
      </c>
      <c r="QZU38" s="363"/>
      <c r="QZV38" s="363"/>
      <c r="QZW38" s="364" t="s">
        <v>140</v>
      </c>
      <c r="QZX38" s="365">
        <v>0.5</v>
      </c>
      <c r="QZY38" s="366" t="e">
        <f>10/QZU36</f>
        <v>#DIV/0!</v>
      </c>
      <c r="QZZ38" s="367">
        <v>15.38</v>
      </c>
      <c r="RAA38" s="367" t="e">
        <f>QZX38*QZY38*QZZ38</f>
        <v>#DIV/0!</v>
      </c>
      <c r="RAB38" s="363" t="s">
        <v>153</v>
      </c>
      <c r="RAC38" s="363"/>
      <c r="RAD38" s="363"/>
      <c r="RAE38" s="364" t="s">
        <v>140</v>
      </c>
      <c r="RAF38" s="365">
        <v>0.5</v>
      </c>
      <c r="RAG38" s="366" t="e">
        <f>10/RAC36</f>
        <v>#DIV/0!</v>
      </c>
      <c r="RAH38" s="367">
        <v>15.38</v>
      </c>
      <c r="RAI38" s="367" t="e">
        <f>RAF38*RAG38*RAH38</f>
        <v>#DIV/0!</v>
      </c>
      <c r="RAJ38" s="363" t="s">
        <v>153</v>
      </c>
      <c r="RAK38" s="363"/>
      <c r="RAL38" s="363"/>
      <c r="RAM38" s="364" t="s">
        <v>140</v>
      </c>
      <c r="RAN38" s="365">
        <v>0.5</v>
      </c>
      <c r="RAO38" s="366" t="e">
        <f>10/RAK36</f>
        <v>#DIV/0!</v>
      </c>
      <c r="RAP38" s="367">
        <v>15.38</v>
      </c>
      <c r="RAQ38" s="367" t="e">
        <f>RAN38*RAO38*RAP38</f>
        <v>#DIV/0!</v>
      </c>
      <c r="RAR38" s="363" t="s">
        <v>153</v>
      </c>
      <c r="RAS38" s="363"/>
      <c r="RAT38" s="363"/>
      <c r="RAU38" s="364" t="s">
        <v>140</v>
      </c>
      <c r="RAV38" s="365">
        <v>0.5</v>
      </c>
      <c r="RAW38" s="366" t="e">
        <f>10/RAS36</f>
        <v>#DIV/0!</v>
      </c>
      <c r="RAX38" s="367">
        <v>15.38</v>
      </c>
      <c r="RAY38" s="367" t="e">
        <f>RAV38*RAW38*RAX38</f>
        <v>#DIV/0!</v>
      </c>
      <c r="RAZ38" s="363" t="s">
        <v>153</v>
      </c>
      <c r="RBA38" s="363"/>
      <c r="RBB38" s="363"/>
      <c r="RBC38" s="364" t="s">
        <v>140</v>
      </c>
      <c r="RBD38" s="365">
        <v>0.5</v>
      </c>
      <c r="RBE38" s="366" t="e">
        <f>10/RBA36</f>
        <v>#DIV/0!</v>
      </c>
      <c r="RBF38" s="367">
        <v>15.38</v>
      </c>
      <c r="RBG38" s="367" t="e">
        <f>RBD38*RBE38*RBF38</f>
        <v>#DIV/0!</v>
      </c>
      <c r="RBH38" s="363" t="s">
        <v>153</v>
      </c>
      <c r="RBI38" s="363"/>
      <c r="RBJ38" s="363"/>
      <c r="RBK38" s="364" t="s">
        <v>140</v>
      </c>
      <c r="RBL38" s="365">
        <v>0.5</v>
      </c>
      <c r="RBM38" s="366" t="e">
        <f>10/RBI36</f>
        <v>#DIV/0!</v>
      </c>
      <c r="RBN38" s="367">
        <v>15.38</v>
      </c>
      <c r="RBO38" s="367" t="e">
        <f>RBL38*RBM38*RBN38</f>
        <v>#DIV/0!</v>
      </c>
      <c r="RBP38" s="363" t="s">
        <v>153</v>
      </c>
      <c r="RBQ38" s="363"/>
      <c r="RBR38" s="363"/>
      <c r="RBS38" s="364" t="s">
        <v>140</v>
      </c>
      <c r="RBT38" s="365">
        <v>0.5</v>
      </c>
      <c r="RBU38" s="366" t="e">
        <f>10/RBQ36</f>
        <v>#DIV/0!</v>
      </c>
      <c r="RBV38" s="367">
        <v>15.38</v>
      </c>
      <c r="RBW38" s="367" t="e">
        <f>RBT38*RBU38*RBV38</f>
        <v>#DIV/0!</v>
      </c>
      <c r="RBX38" s="363" t="s">
        <v>153</v>
      </c>
      <c r="RBY38" s="363"/>
      <c r="RBZ38" s="363"/>
      <c r="RCA38" s="364" t="s">
        <v>140</v>
      </c>
      <c r="RCB38" s="365">
        <v>0.5</v>
      </c>
      <c r="RCC38" s="366" t="e">
        <f>10/RBY36</f>
        <v>#DIV/0!</v>
      </c>
      <c r="RCD38" s="367">
        <v>15.38</v>
      </c>
      <c r="RCE38" s="367" t="e">
        <f>RCB38*RCC38*RCD38</f>
        <v>#DIV/0!</v>
      </c>
      <c r="RCF38" s="363" t="s">
        <v>153</v>
      </c>
      <c r="RCG38" s="363"/>
      <c r="RCH38" s="363"/>
      <c r="RCI38" s="364" t="s">
        <v>140</v>
      </c>
      <c r="RCJ38" s="365">
        <v>0.5</v>
      </c>
      <c r="RCK38" s="366" t="e">
        <f>10/RCG36</f>
        <v>#DIV/0!</v>
      </c>
      <c r="RCL38" s="367">
        <v>15.38</v>
      </c>
      <c r="RCM38" s="367" t="e">
        <f>RCJ38*RCK38*RCL38</f>
        <v>#DIV/0!</v>
      </c>
      <c r="RCN38" s="363" t="s">
        <v>153</v>
      </c>
      <c r="RCO38" s="363"/>
      <c r="RCP38" s="363"/>
      <c r="RCQ38" s="364" t="s">
        <v>140</v>
      </c>
      <c r="RCR38" s="365">
        <v>0.5</v>
      </c>
      <c r="RCS38" s="366" t="e">
        <f>10/RCO36</f>
        <v>#DIV/0!</v>
      </c>
      <c r="RCT38" s="367">
        <v>15.38</v>
      </c>
      <c r="RCU38" s="367" t="e">
        <f>RCR38*RCS38*RCT38</f>
        <v>#DIV/0!</v>
      </c>
      <c r="RCV38" s="363" t="s">
        <v>153</v>
      </c>
      <c r="RCW38" s="363"/>
      <c r="RCX38" s="363"/>
      <c r="RCY38" s="364" t="s">
        <v>140</v>
      </c>
      <c r="RCZ38" s="365">
        <v>0.5</v>
      </c>
      <c r="RDA38" s="366" t="e">
        <f>10/RCW36</f>
        <v>#DIV/0!</v>
      </c>
      <c r="RDB38" s="367">
        <v>15.38</v>
      </c>
      <c r="RDC38" s="367" t="e">
        <f>RCZ38*RDA38*RDB38</f>
        <v>#DIV/0!</v>
      </c>
      <c r="RDD38" s="363" t="s">
        <v>153</v>
      </c>
      <c r="RDE38" s="363"/>
      <c r="RDF38" s="363"/>
      <c r="RDG38" s="364" t="s">
        <v>140</v>
      </c>
      <c r="RDH38" s="365">
        <v>0.5</v>
      </c>
      <c r="RDI38" s="366" t="e">
        <f>10/RDE36</f>
        <v>#DIV/0!</v>
      </c>
      <c r="RDJ38" s="367">
        <v>15.38</v>
      </c>
      <c r="RDK38" s="367" t="e">
        <f>RDH38*RDI38*RDJ38</f>
        <v>#DIV/0!</v>
      </c>
      <c r="RDL38" s="363" t="s">
        <v>153</v>
      </c>
      <c r="RDM38" s="363"/>
      <c r="RDN38" s="363"/>
      <c r="RDO38" s="364" t="s">
        <v>140</v>
      </c>
      <c r="RDP38" s="365">
        <v>0.5</v>
      </c>
      <c r="RDQ38" s="366" t="e">
        <f>10/RDM36</f>
        <v>#DIV/0!</v>
      </c>
      <c r="RDR38" s="367">
        <v>15.38</v>
      </c>
      <c r="RDS38" s="367" t="e">
        <f>RDP38*RDQ38*RDR38</f>
        <v>#DIV/0!</v>
      </c>
      <c r="RDT38" s="363" t="s">
        <v>153</v>
      </c>
      <c r="RDU38" s="363"/>
      <c r="RDV38" s="363"/>
      <c r="RDW38" s="364" t="s">
        <v>140</v>
      </c>
      <c r="RDX38" s="365">
        <v>0.5</v>
      </c>
      <c r="RDY38" s="366" t="e">
        <f>10/RDU36</f>
        <v>#DIV/0!</v>
      </c>
      <c r="RDZ38" s="367">
        <v>15.38</v>
      </c>
      <c r="REA38" s="367" t="e">
        <f>RDX38*RDY38*RDZ38</f>
        <v>#DIV/0!</v>
      </c>
      <c r="REB38" s="363" t="s">
        <v>153</v>
      </c>
      <c r="REC38" s="363"/>
      <c r="RED38" s="363"/>
      <c r="REE38" s="364" t="s">
        <v>140</v>
      </c>
      <c r="REF38" s="365">
        <v>0.5</v>
      </c>
      <c r="REG38" s="366" t="e">
        <f>10/REC36</f>
        <v>#DIV/0!</v>
      </c>
      <c r="REH38" s="367">
        <v>15.38</v>
      </c>
      <c r="REI38" s="367" t="e">
        <f>REF38*REG38*REH38</f>
        <v>#DIV/0!</v>
      </c>
      <c r="REJ38" s="363" t="s">
        <v>153</v>
      </c>
      <c r="REK38" s="363"/>
      <c r="REL38" s="363"/>
      <c r="REM38" s="364" t="s">
        <v>140</v>
      </c>
      <c r="REN38" s="365">
        <v>0.5</v>
      </c>
      <c r="REO38" s="366" t="e">
        <f>10/REK36</f>
        <v>#DIV/0!</v>
      </c>
      <c r="REP38" s="367">
        <v>15.38</v>
      </c>
      <c r="REQ38" s="367" t="e">
        <f>REN38*REO38*REP38</f>
        <v>#DIV/0!</v>
      </c>
      <c r="RER38" s="363" t="s">
        <v>153</v>
      </c>
      <c r="RES38" s="363"/>
      <c r="RET38" s="363"/>
      <c r="REU38" s="364" t="s">
        <v>140</v>
      </c>
      <c r="REV38" s="365">
        <v>0.5</v>
      </c>
      <c r="REW38" s="366" t="e">
        <f>10/RES36</f>
        <v>#DIV/0!</v>
      </c>
      <c r="REX38" s="367">
        <v>15.38</v>
      </c>
      <c r="REY38" s="367" t="e">
        <f>REV38*REW38*REX38</f>
        <v>#DIV/0!</v>
      </c>
      <c r="REZ38" s="363" t="s">
        <v>153</v>
      </c>
      <c r="RFA38" s="363"/>
      <c r="RFB38" s="363"/>
      <c r="RFC38" s="364" t="s">
        <v>140</v>
      </c>
      <c r="RFD38" s="365">
        <v>0.5</v>
      </c>
      <c r="RFE38" s="366" t="e">
        <f>10/RFA36</f>
        <v>#DIV/0!</v>
      </c>
      <c r="RFF38" s="367">
        <v>15.38</v>
      </c>
      <c r="RFG38" s="367" t="e">
        <f>RFD38*RFE38*RFF38</f>
        <v>#DIV/0!</v>
      </c>
      <c r="RFH38" s="363" t="s">
        <v>153</v>
      </c>
      <c r="RFI38" s="363"/>
      <c r="RFJ38" s="363"/>
      <c r="RFK38" s="364" t="s">
        <v>140</v>
      </c>
      <c r="RFL38" s="365">
        <v>0.5</v>
      </c>
      <c r="RFM38" s="366" t="e">
        <f>10/RFI36</f>
        <v>#DIV/0!</v>
      </c>
      <c r="RFN38" s="367">
        <v>15.38</v>
      </c>
      <c r="RFO38" s="367" t="e">
        <f>RFL38*RFM38*RFN38</f>
        <v>#DIV/0!</v>
      </c>
      <c r="RFP38" s="363" t="s">
        <v>153</v>
      </c>
      <c r="RFQ38" s="363"/>
      <c r="RFR38" s="363"/>
      <c r="RFS38" s="364" t="s">
        <v>140</v>
      </c>
      <c r="RFT38" s="365">
        <v>0.5</v>
      </c>
      <c r="RFU38" s="366" t="e">
        <f>10/RFQ36</f>
        <v>#DIV/0!</v>
      </c>
      <c r="RFV38" s="367">
        <v>15.38</v>
      </c>
      <c r="RFW38" s="367" t="e">
        <f>RFT38*RFU38*RFV38</f>
        <v>#DIV/0!</v>
      </c>
      <c r="RFX38" s="363" t="s">
        <v>153</v>
      </c>
      <c r="RFY38" s="363"/>
      <c r="RFZ38" s="363"/>
      <c r="RGA38" s="364" t="s">
        <v>140</v>
      </c>
      <c r="RGB38" s="365">
        <v>0.5</v>
      </c>
      <c r="RGC38" s="366" t="e">
        <f>10/RFY36</f>
        <v>#DIV/0!</v>
      </c>
      <c r="RGD38" s="367">
        <v>15.38</v>
      </c>
      <c r="RGE38" s="367" t="e">
        <f>RGB38*RGC38*RGD38</f>
        <v>#DIV/0!</v>
      </c>
      <c r="RGF38" s="363" t="s">
        <v>153</v>
      </c>
      <c r="RGG38" s="363"/>
      <c r="RGH38" s="363"/>
      <c r="RGI38" s="364" t="s">
        <v>140</v>
      </c>
      <c r="RGJ38" s="365">
        <v>0.5</v>
      </c>
      <c r="RGK38" s="366" t="e">
        <f>10/RGG36</f>
        <v>#DIV/0!</v>
      </c>
      <c r="RGL38" s="367">
        <v>15.38</v>
      </c>
      <c r="RGM38" s="367" t="e">
        <f>RGJ38*RGK38*RGL38</f>
        <v>#DIV/0!</v>
      </c>
      <c r="RGN38" s="363" t="s">
        <v>153</v>
      </c>
      <c r="RGO38" s="363"/>
      <c r="RGP38" s="363"/>
      <c r="RGQ38" s="364" t="s">
        <v>140</v>
      </c>
      <c r="RGR38" s="365">
        <v>0.5</v>
      </c>
      <c r="RGS38" s="366" t="e">
        <f>10/RGO36</f>
        <v>#DIV/0!</v>
      </c>
      <c r="RGT38" s="367">
        <v>15.38</v>
      </c>
      <c r="RGU38" s="367" t="e">
        <f>RGR38*RGS38*RGT38</f>
        <v>#DIV/0!</v>
      </c>
      <c r="RGV38" s="363" t="s">
        <v>153</v>
      </c>
      <c r="RGW38" s="363"/>
      <c r="RGX38" s="363"/>
      <c r="RGY38" s="364" t="s">
        <v>140</v>
      </c>
      <c r="RGZ38" s="365">
        <v>0.5</v>
      </c>
      <c r="RHA38" s="366" t="e">
        <f>10/RGW36</f>
        <v>#DIV/0!</v>
      </c>
      <c r="RHB38" s="367">
        <v>15.38</v>
      </c>
      <c r="RHC38" s="367" t="e">
        <f>RGZ38*RHA38*RHB38</f>
        <v>#DIV/0!</v>
      </c>
      <c r="RHD38" s="363" t="s">
        <v>153</v>
      </c>
      <c r="RHE38" s="363"/>
      <c r="RHF38" s="363"/>
      <c r="RHG38" s="364" t="s">
        <v>140</v>
      </c>
      <c r="RHH38" s="365">
        <v>0.5</v>
      </c>
      <c r="RHI38" s="366" t="e">
        <f>10/RHE36</f>
        <v>#DIV/0!</v>
      </c>
      <c r="RHJ38" s="367">
        <v>15.38</v>
      </c>
      <c r="RHK38" s="367" t="e">
        <f>RHH38*RHI38*RHJ38</f>
        <v>#DIV/0!</v>
      </c>
      <c r="RHL38" s="363" t="s">
        <v>153</v>
      </c>
      <c r="RHM38" s="363"/>
      <c r="RHN38" s="363"/>
      <c r="RHO38" s="364" t="s">
        <v>140</v>
      </c>
      <c r="RHP38" s="365">
        <v>0.5</v>
      </c>
      <c r="RHQ38" s="366" t="e">
        <f>10/RHM36</f>
        <v>#DIV/0!</v>
      </c>
      <c r="RHR38" s="367">
        <v>15.38</v>
      </c>
      <c r="RHS38" s="367" t="e">
        <f>RHP38*RHQ38*RHR38</f>
        <v>#DIV/0!</v>
      </c>
      <c r="RHT38" s="363" t="s">
        <v>153</v>
      </c>
      <c r="RHU38" s="363"/>
      <c r="RHV38" s="363"/>
      <c r="RHW38" s="364" t="s">
        <v>140</v>
      </c>
      <c r="RHX38" s="365">
        <v>0.5</v>
      </c>
      <c r="RHY38" s="366" t="e">
        <f>10/RHU36</f>
        <v>#DIV/0!</v>
      </c>
      <c r="RHZ38" s="367">
        <v>15.38</v>
      </c>
      <c r="RIA38" s="367" t="e">
        <f>RHX38*RHY38*RHZ38</f>
        <v>#DIV/0!</v>
      </c>
      <c r="RIB38" s="363" t="s">
        <v>153</v>
      </c>
      <c r="RIC38" s="363"/>
      <c r="RID38" s="363"/>
      <c r="RIE38" s="364" t="s">
        <v>140</v>
      </c>
      <c r="RIF38" s="365">
        <v>0.5</v>
      </c>
      <c r="RIG38" s="366" t="e">
        <f>10/RIC36</f>
        <v>#DIV/0!</v>
      </c>
      <c r="RIH38" s="367">
        <v>15.38</v>
      </c>
      <c r="RII38" s="367" t="e">
        <f>RIF38*RIG38*RIH38</f>
        <v>#DIV/0!</v>
      </c>
      <c r="RIJ38" s="363" t="s">
        <v>153</v>
      </c>
      <c r="RIK38" s="363"/>
      <c r="RIL38" s="363"/>
      <c r="RIM38" s="364" t="s">
        <v>140</v>
      </c>
      <c r="RIN38" s="365">
        <v>0.5</v>
      </c>
      <c r="RIO38" s="366" t="e">
        <f>10/RIK36</f>
        <v>#DIV/0!</v>
      </c>
      <c r="RIP38" s="367">
        <v>15.38</v>
      </c>
      <c r="RIQ38" s="367" t="e">
        <f>RIN38*RIO38*RIP38</f>
        <v>#DIV/0!</v>
      </c>
      <c r="RIR38" s="363" t="s">
        <v>153</v>
      </c>
      <c r="RIS38" s="363"/>
      <c r="RIT38" s="363"/>
      <c r="RIU38" s="364" t="s">
        <v>140</v>
      </c>
      <c r="RIV38" s="365">
        <v>0.5</v>
      </c>
      <c r="RIW38" s="366" t="e">
        <f>10/RIS36</f>
        <v>#DIV/0!</v>
      </c>
      <c r="RIX38" s="367">
        <v>15.38</v>
      </c>
      <c r="RIY38" s="367" t="e">
        <f>RIV38*RIW38*RIX38</f>
        <v>#DIV/0!</v>
      </c>
      <c r="RIZ38" s="363" t="s">
        <v>153</v>
      </c>
      <c r="RJA38" s="363"/>
      <c r="RJB38" s="363"/>
      <c r="RJC38" s="364" t="s">
        <v>140</v>
      </c>
      <c r="RJD38" s="365">
        <v>0.5</v>
      </c>
      <c r="RJE38" s="366" t="e">
        <f>10/RJA36</f>
        <v>#DIV/0!</v>
      </c>
      <c r="RJF38" s="367">
        <v>15.38</v>
      </c>
      <c r="RJG38" s="367" t="e">
        <f>RJD38*RJE38*RJF38</f>
        <v>#DIV/0!</v>
      </c>
      <c r="RJH38" s="363" t="s">
        <v>153</v>
      </c>
      <c r="RJI38" s="363"/>
      <c r="RJJ38" s="363"/>
      <c r="RJK38" s="364" t="s">
        <v>140</v>
      </c>
      <c r="RJL38" s="365">
        <v>0.5</v>
      </c>
      <c r="RJM38" s="366" t="e">
        <f>10/RJI36</f>
        <v>#DIV/0!</v>
      </c>
      <c r="RJN38" s="367">
        <v>15.38</v>
      </c>
      <c r="RJO38" s="367" t="e">
        <f>RJL38*RJM38*RJN38</f>
        <v>#DIV/0!</v>
      </c>
      <c r="RJP38" s="363" t="s">
        <v>153</v>
      </c>
      <c r="RJQ38" s="363"/>
      <c r="RJR38" s="363"/>
      <c r="RJS38" s="364" t="s">
        <v>140</v>
      </c>
      <c r="RJT38" s="365">
        <v>0.5</v>
      </c>
      <c r="RJU38" s="366" t="e">
        <f>10/RJQ36</f>
        <v>#DIV/0!</v>
      </c>
      <c r="RJV38" s="367">
        <v>15.38</v>
      </c>
      <c r="RJW38" s="367" t="e">
        <f>RJT38*RJU38*RJV38</f>
        <v>#DIV/0!</v>
      </c>
      <c r="RJX38" s="363" t="s">
        <v>153</v>
      </c>
      <c r="RJY38" s="363"/>
      <c r="RJZ38" s="363"/>
      <c r="RKA38" s="364" t="s">
        <v>140</v>
      </c>
      <c r="RKB38" s="365">
        <v>0.5</v>
      </c>
      <c r="RKC38" s="366" t="e">
        <f>10/RJY36</f>
        <v>#DIV/0!</v>
      </c>
      <c r="RKD38" s="367">
        <v>15.38</v>
      </c>
      <c r="RKE38" s="367" t="e">
        <f>RKB38*RKC38*RKD38</f>
        <v>#DIV/0!</v>
      </c>
      <c r="RKF38" s="363" t="s">
        <v>153</v>
      </c>
      <c r="RKG38" s="363"/>
      <c r="RKH38" s="363"/>
      <c r="RKI38" s="364" t="s">
        <v>140</v>
      </c>
      <c r="RKJ38" s="365">
        <v>0.5</v>
      </c>
      <c r="RKK38" s="366" t="e">
        <f>10/RKG36</f>
        <v>#DIV/0!</v>
      </c>
      <c r="RKL38" s="367">
        <v>15.38</v>
      </c>
      <c r="RKM38" s="367" t="e">
        <f>RKJ38*RKK38*RKL38</f>
        <v>#DIV/0!</v>
      </c>
      <c r="RKN38" s="363" t="s">
        <v>153</v>
      </c>
      <c r="RKO38" s="363"/>
      <c r="RKP38" s="363"/>
      <c r="RKQ38" s="364" t="s">
        <v>140</v>
      </c>
      <c r="RKR38" s="365">
        <v>0.5</v>
      </c>
      <c r="RKS38" s="366" t="e">
        <f>10/RKO36</f>
        <v>#DIV/0!</v>
      </c>
      <c r="RKT38" s="367">
        <v>15.38</v>
      </c>
      <c r="RKU38" s="367" t="e">
        <f>RKR38*RKS38*RKT38</f>
        <v>#DIV/0!</v>
      </c>
      <c r="RKV38" s="363" t="s">
        <v>153</v>
      </c>
      <c r="RKW38" s="363"/>
      <c r="RKX38" s="363"/>
      <c r="RKY38" s="364" t="s">
        <v>140</v>
      </c>
      <c r="RKZ38" s="365">
        <v>0.5</v>
      </c>
      <c r="RLA38" s="366" t="e">
        <f>10/RKW36</f>
        <v>#DIV/0!</v>
      </c>
      <c r="RLB38" s="367">
        <v>15.38</v>
      </c>
      <c r="RLC38" s="367" t="e">
        <f>RKZ38*RLA38*RLB38</f>
        <v>#DIV/0!</v>
      </c>
      <c r="RLD38" s="363" t="s">
        <v>153</v>
      </c>
      <c r="RLE38" s="363"/>
      <c r="RLF38" s="363"/>
      <c r="RLG38" s="364" t="s">
        <v>140</v>
      </c>
      <c r="RLH38" s="365">
        <v>0.5</v>
      </c>
      <c r="RLI38" s="366" t="e">
        <f>10/RLE36</f>
        <v>#DIV/0!</v>
      </c>
      <c r="RLJ38" s="367">
        <v>15.38</v>
      </c>
      <c r="RLK38" s="367" t="e">
        <f>RLH38*RLI38*RLJ38</f>
        <v>#DIV/0!</v>
      </c>
      <c r="RLL38" s="363" t="s">
        <v>153</v>
      </c>
      <c r="RLM38" s="363"/>
      <c r="RLN38" s="363"/>
      <c r="RLO38" s="364" t="s">
        <v>140</v>
      </c>
      <c r="RLP38" s="365">
        <v>0.5</v>
      </c>
      <c r="RLQ38" s="366" t="e">
        <f>10/RLM36</f>
        <v>#DIV/0!</v>
      </c>
      <c r="RLR38" s="367">
        <v>15.38</v>
      </c>
      <c r="RLS38" s="367" t="e">
        <f>RLP38*RLQ38*RLR38</f>
        <v>#DIV/0!</v>
      </c>
      <c r="RLT38" s="363" t="s">
        <v>153</v>
      </c>
      <c r="RLU38" s="363"/>
      <c r="RLV38" s="363"/>
      <c r="RLW38" s="364" t="s">
        <v>140</v>
      </c>
      <c r="RLX38" s="365">
        <v>0.5</v>
      </c>
      <c r="RLY38" s="366" t="e">
        <f>10/RLU36</f>
        <v>#DIV/0!</v>
      </c>
      <c r="RLZ38" s="367">
        <v>15.38</v>
      </c>
      <c r="RMA38" s="367" t="e">
        <f>RLX38*RLY38*RLZ38</f>
        <v>#DIV/0!</v>
      </c>
      <c r="RMB38" s="363" t="s">
        <v>153</v>
      </c>
      <c r="RMC38" s="363"/>
      <c r="RMD38" s="363"/>
      <c r="RME38" s="364" t="s">
        <v>140</v>
      </c>
      <c r="RMF38" s="365">
        <v>0.5</v>
      </c>
      <c r="RMG38" s="366" t="e">
        <f>10/RMC36</f>
        <v>#DIV/0!</v>
      </c>
      <c r="RMH38" s="367">
        <v>15.38</v>
      </c>
      <c r="RMI38" s="367" t="e">
        <f>RMF38*RMG38*RMH38</f>
        <v>#DIV/0!</v>
      </c>
      <c r="RMJ38" s="363" t="s">
        <v>153</v>
      </c>
      <c r="RMK38" s="363"/>
      <c r="RML38" s="363"/>
      <c r="RMM38" s="364" t="s">
        <v>140</v>
      </c>
      <c r="RMN38" s="365">
        <v>0.5</v>
      </c>
      <c r="RMO38" s="366" t="e">
        <f>10/RMK36</f>
        <v>#DIV/0!</v>
      </c>
      <c r="RMP38" s="367">
        <v>15.38</v>
      </c>
      <c r="RMQ38" s="367" t="e">
        <f>RMN38*RMO38*RMP38</f>
        <v>#DIV/0!</v>
      </c>
      <c r="RMR38" s="363" t="s">
        <v>153</v>
      </c>
      <c r="RMS38" s="363"/>
      <c r="RMT38" s="363"/>
      <c r="RMU38" s="364" t="s">
        <v>140</v>
      </c>
      <c r="RMV38" s="365">
        <v>0.5</v>
      </c>
      <c r="RMW38" s="366" t="e">
        <f>10/RMS36</f>
        <v>#DIV/0!</v>
      </c>
      <c r="RMX38" s="367">
        <v>15.38</v>
      </c>
      <c r="RMY38" s="367" t="e">
        <f>RMV38*RMW38*RMX38</f>
        <v>#DIV/0!</v>
      </c>
      <c r="RMZ38" s="363" t="s">
        <v>153</v>
      </c>
      <c r="RNA38" s="363"/>
      <c r="RNB38" s="363"/>
      <c r="RNC38" s="364" t="s">
        <v>140</v>
      </c>
      <c r="RND38" s="365">
        <v>0.5</v>
      </c>
      <c r="RNE38" s="366" t="e">
        <f>10/RNA36</f>
        <v>#DIV/0!</v>
      </c>
      <c r="RNF38" s="367">
        <v>15.38</v>
      </c>
      <c r="RNG38" s="367" t="e">
        <f>RND38*RNE38*RNF38</f>
        <v>#DIV/0!</v>
      </c>
      <c r="RNH38" s="363" t="s">
        <v>153</v>
      </c>
      <c r="RNI38" s="363"/>
      <c r="RNJ38" s="363"/>
      <c r="RNK38" s="364" t="s">
        <v>140</v>
      </c>
      <c r="RNL38" s="365">
        <v>0.5</v>
      </c>
      <c r="RNM38" s="366" t="e">
        <f>10/RNI36</f>
        <v>#DIV/0!</v>
      </c>
      <c r="RNN38" s="367">
        <v>15.38</v>
      </c>
      <c r="RNO38" s="367" t="e">
        <f>RNL38*RNM38*RNN38</f>
        <v>#DIV/0!</v>
      </c>
      <c r="RNP38" s="363" t="s">
        <v>153</v>
      </c>
      <c r="RNQ38" s="363"/>
      <c r="RNR38" s="363"/>
      <c r="RNS38" s="364" t="s">
        <v>140</v>
      </c>
      <c r="RNT38" s="365">
        <v>0.5</v>
      </c>
      <c r="RNU38" s="366" t="e">
        <f>10/RNQ36</f>
        <v>#DIV/0!</v>
      </c>
      <c r="RNV38" s="367">
        <v>15.38</v>
      </c>
      <c r="RNW38" s="367" t="e">
        <f>RNT38*RNU38*RNV38</f>
        <v>#DIV/0!</v>
      </c>
      <c r="RNX38" s="363" t="s">
        <v>153</v>
      </c>
      <c r="RNY38" s="363"/>
      <c r="RNZ38" s="363"/>
      <c r="ROA38" s="364" t="s">
        <v>140</v>
      </c>
      <c r="ROB38" s="365">
        <v>0.5</v>
      </c>
      <c r="ROC38" s="366" t="e">
        <f>10/RNY36</f>
        <v>#DIV/0!</v>
      </c>
      <c r="ROD38" s="367">
        <v>15.38</v>
      </c>
      <c r="ROE38" s="367" t="e">
        <f>ROB38*ROC38*ROD38</f>
        <v>#DIV/0!</v>
      </c>
      <c r="ROF38" s="363" t="s">
        <v>153</v>
      </c>
      <c r="ROG38" s="363"/>
      <c r="ROH38" s="363"/>
      <c r="ROI38" s="364" t="s">
        <v>140</v>
      </c>
      <c r="ROJ38" s="365">
        <v>0.5</v>
      </c>
      <c r="ROK38" s="366" t="e">
        <f>10/ROG36</f>
        <v>#DIV/0!</v>
      </c>
      <c r="ROL38" s="367">
        <v>15.38</v>
      </c>
      <c r="ROM38" s="367" t="e">
        <f>ROJ38*ROK38*ROL38</f>
        <v>#DIV/0!</v>
      </c>
      <c r="RON38" s="363" t="s">
        <v>153</v>
      </c>
      <c r="ROO38" s="363"/>
      <c r="ROP38" s="363"/>
      <c r="ROQ38" s="364" t="s">
        <v>140</v>
      </c>
      <c r="ROR38" s="365">
        <v>0.5</v>
      </c>
      <c r="ROS38" s="366" t="e">
        <f>10/ROO36</f>
        <v>#DIV/0!</v>
      </c>
      <c r="ROT38" s="367">
        <v>15.38</v>
      </c>
      <c r="ROU38" s="367" t="e">
        <f>ROR38*ROS38*ROT38</f>
        <v>#DIV/0!</v>
      </c>
      <c r="ROV38" s="363" t="s">
        <v>153</v>
      </c>
      <c r="ROW38" s="363"/>
      <c r="ROX38" s="363"/>
      <c r="ROY38" s="364" t="s">
        <v>140</v>
      </c>
      <c r="ROZ38" s="365">
        <v>0.5</v>
      </c>
      <c r="RPA38" s="366" t="e">
        <f>10/ROW36</f>
        <v>#DIV/0!</v>
      </c>
      <c r="RPB38" s="367">
        <v>15.38</v>
      </c>
      <c r="RPC38" s="367" t="e">
        <f>ROZ38*RPA38*RPB38</f>
        <v>#DIV/0!</v>
      </c>
      <c r="RPD38" s="363" t="s">
        <v>153</v>
      </c>
      <c r="RPE38" s="363"/>
      <c r="RPF38" s="363"/>
      <c r="RPG38" s="364" t="s">
        <v>140</v>
      </c>
      <c r="RPH38" s="365">
        <v>0.5</v>
      </c>
      <c r="RPI38" s="366" t="e">
        <f>10/RPE36</f>
        <v>#DIV/0!</v>
      </c>
      <c r="RPJ38" s="367">
        <v>15.38</v>
      </c>
      <c r="RPK38" s="367" t="e">
        <f>RPH38*RPI38*RPJ38</f>
        <v>#DIV/0!</v>
      </c>
      <c r="RPL38" s="363" t="s">
        <v>153</v>
      </c>
      <c r="RPM38" s="363"/>
      <c r="RPN38" s="363"/>
      <c r="RPO38" s="364" t="s">
        <v>140</v>
      </c>
      <c r="RPP38" s="365">
        <v>0.5</v>
      </c>
      <c r="RPQ38" s="366" t="e">
        <f>10/RPM36</f>
        <v>#DIV/0!</v>
      </c>
      <c r="RPR38" s="367">
        <v>15.38</v>
      </c>
      <c r="RPS38" s="367" t="e">
        <f>RPP38*RPQ38*RPR38</f>
        <v>#DIV/0!</v>
      </c>
      <c r="RPT38" s="363" t="s">
        <v>153</v>
      </c>
      <c r="RPU38" s="363"/>
      <c r="RPV38" s="363"/>
      <c r="RPW38" s="364" t="s">
        <v>140</v>
      </c>
      <c r="RPX38" s="365">
        <v>0.5</v>
      </c>
      <c r="RPY38" s="366" t="e">
        <f>10/RPU36</f>
        <v>#DIV/0!</v>
      </c>
      <c r="RPZ38" s="367">
        <v>15.38</v>
      </c>
      <c r="RQA38" s="367" t="e">
        <f>RPX38*RPY38*RPZ38</f>
        <v>#DIV/0!</v>
      </c>
      <c r="RQB38" s="363" t="s">
        <v>153</v>
      </c>
      <c r="RQC38" s="363"/>
      <c r="RQD38" s="363"/>
      <c r="RQE38" s="364" t="s">
        <v>140</v>
      </c>
      <c r="RQF38" s="365">
        <v>0.5</v>
      </c>
      <c r="RQG38" s="366" t="e">
        <f>10/RQC36</f>
        <v>#DIV/0!</v>
      </c>
      <c r="RQH38" s="367">
        <v>15.38</v>
      </c>
      <c r="RQI38" s="367" t="e">
        <f>RQF38*RQG38*RQH38</f>
        <v>#DIV/0!</v>
      </c>
      <c r="RQJ38" s="363" t="s">
        <v>153</v>
      </c>
      <c r="RQK38" s="363"/>
      <c r="RQL38" s="363"/>
      <c r="RQM38" s="364" t="s">
        <v>140</v>
      </c>
      <c r="RQN38" s="365">
        <v>0.5</v>
      </c>
      <c r="RQO38" s="366" t="e">
        <f>10/RQK36</f>
        <v>#DIV/0!</v>
      </c>
      <c r="RQP38" s="367">
        <v>15.38</v>
      </c>
      <c r="RQQ38" s="367" t="e">
        <f>RQN38*RQO38*RQP38</f>
        <v>#DIV/0!</v>
      </c>
      <c r="RQR38" s="363" t="s">
        <v>153</v>
      </c>
      <c r="RQS38" s="363"/>
      <c r="RQT38" s="363"/>
      <c r="RQU38" s="364" t="s">
        <v>140</v>
      </c>
      <c r="RQV38" s="365">
        <v>0.5</v>
      </c>
      <c r="RQW38" s="366" t="e">
        <f>10/RQS36</f>
        <v>#DIV/0!</v>
      </c>
      <c r="RQX38" s="367">
        <v>15.38</v>
      </c>
      <c r="RQY38" s="367" t="e">
        <f>RQV38*RQW38*RQX38</f>
        <v>#DIV/0!</v>
      </c>
      <c r="RQZ38" s="363" t="s">
        <v>153</v>
      </c>
      <c r="RRA38" s="363"/>
      <c r="RRB38" s="363"/>
      <c r="RRC38" s="364" t="s">
        <v>140</v>
      </c>
      <c r="RRD38" s="365">
        <v>0.5</v>
      </c>
      <c r="RRE38" s="366" t="e">
        <f>10/RRA36</f>
        <v>#DIV/0!</v>
      </c>
      <c r="RRF38" s="367">
        <v>15.38</v>
      </c>
      <c r="RRG38" s="367" t="e">
        <f>RRD38*RRE38*RRF38</f>
        <v>#DIV/0!</v>
      </c>
      <c r="RRH38" s="363" t="s">
        <v>153</v>
      </c>
      <c r="RRI38" s="363"/>
      <c r="RRJ38" s="363"/>
      <c r="RRK38" s="364" t="s">
        <v>140</v>
      </c>
      <c r="RRL38" s="365">
        <v>0.5</v>
      </c>
      <c r="RRM38" s="366" t="e">
        <f>10/RRI36</f>
        <v>#DIV/0!</v>
      </c>
      <c r="RRN38" s="367">
        <v>15.38</v>
      </c>
      <c r="RRO38" s="367" t="e">
        <f>RRL38*RRM38*RRN38</f>
        <v>#DIV/0!</v>
      </c>
      <c r="RRP38" s="363" t="s">
        <v>153</v>
      </c>
      <c r="RRQ38" s="363"/>
      <c r="RRR38" s="363"/>
      <c r="RRS38" s="364" t="s">
        <v>140</v>
      </c>
      <c r="RRT38" s="365">
        <v>0.5</v>
      </c>
      <c r="RRU38" s="366" t="e">
        <f>10/RRQ36</f>
        <v>#DIV/0!</v>
      </c>
      <c r="RRV38" s="367">
        <v>15.38</v>
      </c>
      <c r="RRW38" s="367" t="e">
        <f>RRT38*RRU38*RRV38</f>
        <v>#DIV/0!</v>
      </c>
      <c r="RRX38" s="363" t="s">
        <v>153</v>
      </c>
      <c r="RRY38" s="363"/>
      <c r="RRZ38" s="363"/>
      <c r="RSA38" s="364" t="s">
        <v>140</v>
      </c>
      <c r="RSB38" s="365">
        <v>0.5</v>
      </c>
      <c r="RSC38" s="366" t="e">
        <f>10/RRY36</f>
        <v>#DIV/0!</v>
      </c>
      <c r="RSD38" s="367">
        <v>15.38</v>
      </c>
      <c r="RSE38" s="367" t="e">
        <f>RSB38*RSC38*RSD38</f>
        <v>#DIV/0!</v>
      </c>
      <c r="RSF38" s="363" t="s">
        <v>153</v>
      </c>
      <c r="RSG38" s="363"/>
      <c r="RSH38" s="363"/>
      <c r="RSI38" s="364" t="s">
        <v>140</v>
      </c>
      <c r="RSJ38" s="365">
        <v>0.5</v>
      </c>
      <c r="RSK38" s="366" t="e">
        <f>10/RSG36</f>
        <v>#DIV/0!</v>
      </c>
      <c r="RSL38" s="367">
        <v>15.38</v>
      </c>
      <c r="RSM38" s="367" t="e">
        <f>RSJ38*RSK38*RSL38</f>
        <v>#DIV/0!</v>
      </c>
      <c r="RSN38" s="363" t="s">
        <v>153</v>
      </c>
      <c r="RSO38" s="363"/>
      <c r="RSP38" s="363"/>
      <c r="RSQ38" s="364" t="s">
        <v>140</v>
      </c>
      <c r="RSR38" s="365">
        <v>0.5</v>
      </c>
      <c r="RSS38" s="366" t="e">
        <f>10/RSO36</f>
        <v>#DIV/0!</v>
      </c>
      <c r="RST38" s="367">
        <v>15.38</v>
      </c>
      <c r="RSU38" s="367" t="e">
        <f>RSR38*RSS38*RST38</f>
        <v>#DIV/0!</v>
      </c>
      <c r="RSV38" s="363" t="s">
        <v>153</v>
      </c>
      <c r="RSW38" s="363"/>
      <c r="RSX38" s="363"/>
      <c r="RSY38" s="364" t="s">
        <v>140</v>
      </c>
      <c r="RSZ38" s="365">
        <v>0.5</v>
      </c>
      <c r="RTA38" s="366" t="e">
        <f>10/RSW36</f>
        <v>#DIV/0!</v>
      </c>
      <c r="RTB38" s="367">
        <v>15.38</v>
      </c>
      <c r="RTC38" s="367" t="e">
        <f>RSZ38*RTA38*RTB38</f>
        <v>#DIV/0!</v>
      </c>
      <c r="RTD38" s="363" t="s">
        <v>153</v>
      </c>
      <c r="RTE38" s="363"/>
      <c r="RTF38" s="363"/>
      <c r="RTG38" s="364" t="s">
        <v>140</v>
      </c>
      <c r="RTH38" s="365">
        <v>0.5</v>
      </c>
      <c r="RTI38" s="366" t="e">
        <f>10/RTE36</f>
        <v>#DIV/0!</v>
      </c>
      <c r="RTJ38" s="367">
        <v>15.38</v>
      </c>
      <c r="RTK38" s="367" t="e">
        <f>RTH38*RTI38*RTJ38</f>
        <v>#DIV/0!</v>
      </c>
      <c r="RTL38" s="363" t="s">
        <v>153</v>
      </c>
      <c r="RTM38" s="363"/>
      <c r="RTN38" s="363"/>
      <c r="RTO38" s="364" t="s">
        <v>140</v>
      </c>
      <c r="RTP38" s="365">
        <v>0.5</v>
      </c>
      <c r="RTQ38" s="366" t="e">
        <f>10/RTM36</f>
        <v>#DIV/0!</v>
      </c>
      <c r="RTR38" s="367">
        <v>15.38</v>
      </c>
      <c r="RTS38" s="367" t="e">
        <f>RTP38*RTQ38*RTR38</f>
        <v>#DIV/0!</v>
      </c>
      <c r="RTT38" s="363" t="s">
        <v>153</v>
      </c>
      <c r="RTU38" s="363"/>
      <c r="RTV38" s="363"/>
      <c r="RTW38" s="364" t="s">
        <v>140</v>
      </c>
      <c r="RTX38" s="365">
        <v>0.5</v>
      </c>
      <c r="RTY38" s="366" t="e">
        <f>10/RTU36</f>
        <v>#DIV/0!</v>
      </c>
      <c r="RTZ38" s="367">
        <v>15.38</v>
      </c>
      <c r="RUA38" s="367" t="e">
        <f>RTX38*RTY38*RTZ38</f>
        <v>#DIV/0!</v>
      </c>
      <c r="RUB38" s="363" t="s">
        <v>153</v>
      </c>
      <c r="RUC38" s="363"/>
      <c r="RUD38" s="363"/>
      <c r="RUE38" s="364" t="s">
        <v>140</v>
      </c>
      <c r="RUF38" s="365">
        <v>0.5</v>
      </c>
      <c r="RUG38" s="366" t="e">
        <f>10/RUC36</f>
        <v>#DIV/0!</v>
      </c>
      <c r="RUH38" s="367">
        <v>15.38</v>
      </c>
      <c r="RUI38" s="367" t="e">
        <f>RUF38*RUG38*RUH38</f>
        <v>#DIV/0!</v>
      </c>
      <c r="RUJ38" s="363" t="s">
        <v>153</v>
      </c>
      <c r="RUK38" s="363"/>
      <c r="RUL38" s="363"/>
      <c r="RUM38" s="364" t="s">
        <v>140</v>
      </c>
      <c r="RUN38" s="365">
        <v>0.5</v>
      </c>
      <c r="RUO38" s="366" t="e">
        <f>10/RUK36</f>
        <v>#DIV/0!</v>
      </c>
      <c r="RUP38" s="367">
        <v>15.38</v>
      </c>
      <c r="RUQ38" s="367" t="e">
        <f>RUN38*RUO38*RUP38</f>
        <v>#DIV/0!</v>
      </c>
      <c r="RUR38" s="363" t="s">
        <v>153</v>
      </c>
      <c r="RUS38" s="363"/>
      <c r="RUT38" s="363"/>
      <c r="RUU38" s="364" t="s">
        <v>140</v>
      </c>
      <c r="RUV38" s="365">
        <v>0.5</v>
      </c>
      <c r="RUW38" s="366" t="e">
        <f>10/RUS36</f>
        <v>#DIV/0!</v>
      </c>
      <c r="RUX38" s="367">
        <v>15.38</v>
      </c>
      <c r="RUY38" s="367" t="e">
        <f>RUV38*RUW38*RUX38</f>
        <v>#DIV/0!</v>
      </c>
      <c r="RUZ38" s="363" t="s">
        <v>153</v>
      </c>
      <c r="RVA38" s="363"/>
      <c r="RVB38" s="363"/>
      <c r="RVC38" s="364" t="s">
        <v>140</v>
      </c>
      <c r="RVD38" s="365">
        <v>0.5</v>
      </c>
      <c r="RVE38" s="366" t="e">
        <f>10/RVA36</f>
        <v>#DIV/0!</v>
      </c>
      <c r="RVF38" s="367">
        <v>15.38</v>
      </c>
      <c r="RVG38" s="367" t="e">
        <f>RVD38*RVE38*RVF38</f>
        <v>#DIV/0!</v>
      </c>
      <c r="RVH38" s="363" t="s">
        <v>153</v>
      </c>
      <c r="RVI38" s="363"/>
      <c r="RVJ38" s="363"/>
      <c r="RVK38" s="364" t="s">
        <v>140</v>
      </c>
      <c r="RVL38" s="365">
        <v>0.5</v>
      </c>
      <c r="RVM38" s="366" t="e">
        <f>10/RVI36</f>
        <v>#DIV/0!</v>
      </c>
      <c r="RVN38" s="367">
        <v>15.38</v>
      </c>
      <c r="RVO38" s="367" t="e">
        <f>RVL38*RVM38*RVN38</f>
        <v>#DIV/0!</v>
      </c>
      <c r="RVP38" s="363" t="s">
        <v>153</v>
      </c>
      <c r="RVQ38" s="363"/>
      <c r="RVR38" s="363"/>
      <c r="RVS38" s="364" t="s">
        <v>140</v>
      </c>
      <c r="RVT38" s="365">
        <v>0.5</v>
      </c>
      <c r="RVU38" s="366" t="e">
        <f>10/RVQ36</f>
        <v>#DIV/0!</v>
      </c>
      <c r="RVV38" s="367">
        <v>15.38</v>
      </c>
      <c r="RVW38" s="367" t="e">
        <f>RVT38*RVU38*RVV38</f>
        <v>#DIV/0!</v>
      </c>
      <c r="RVX38" s="363" t="s">
        <v>153</v>
      </c>
      <c r="RVY38" s="363"/>
      <c r="RVZ38" s="363"/>
      <c r="RWA38" s="364" t="s">
        <v>140</v>
      </c>
      <c r="RWB38" s="365">
        <v>0.5</v>
      </c>
      <c r="RWC38" s="366" t="e">
        <f>10/RVY36</f>
        <v>#DIV/0!</v>
      </c>
      <c r="RWD38" s="367">
        <v>15.38</v>
      </c>
      <c r="RWE38" s="367" t="e">
        <f>RWB38*RWC38*RWD38</f>
        <v>#DIV/0!</v>
      </c>
      <c r="RWF38" s="363" t="s">
        <v>153</v>
      </c>
      <c r="RWG38" s="363"/>
      <c r="RWH38" s="363"/>
      <c r="RWI38" s="364" t="s">
        <v>140</v>
      </c>
      <c r="RWJ38" s="365">
        <v>0.5</v>
      </c>
      <c r="RWK38" s="366" t="e">
        <f>10/RWG36</f>
        <v>#DIV/0!</v>
      </c>
      <c r="RWL38" s="367">
        <v>15.38</v>
      </c>
      <c r="RWM38" s="367" t="e">
        <f>RWJ38*RWK38*RWL38</f>
        <v>#DIV/0!</v>
      </c>
      <c r="RWN38" s="363" t="s">
        <v>153</v>
      </c>
      <c r="RWO38" s="363"/>
      <c r="RWP38" s="363"/>
      <c r="RWQ38" s="364" t="s">
        <v>140</v>
      </c>
      <c r="RWR38" s="365">
        <v>0.5</v>
      </c>
      <c r="RWS38" s="366" t="e">
        <f>10/RWO36</f>
        <v>#DIV/0!</v>
      </c>
      <c r="RWT38" s="367">
        <v>15.38</v>
      </c>
      <c r="RWU38" s="367" t="e">
        <f>RWR38*RWS38*RWT38</f>
        <v>#DIV/0!</v>
      </c>
      <c r="RWV38" s="363" t="s">
        <v>153</v>
      </c>
      <c r="RWW38" s="363"/>
      <c r="RWX38" s="363"/>
      <c r="RWY38" s="364" t="s">
        <v>140</v>
      </c>
      <c r="RWZ38" s="365">
        <v>0.5</v>
      </c>
      <c r="RXA38" s="366" t="e">
        <f>10/RWW36</f>
        <v>#DIV/0!</v>
      </c>
      <c r="RXB38" s="367">
        <v>15.38</v>
      </c>
      <c r="RXC38" s="367" t="e">
        <f>RWZ38*RXA38*RXB38</f>
        <v>#DIV/0!</v>
      </c>
      <c r="RXD38" s="363" t="s">
        <v>153</v>
      </c>
      <c r="RXE38" s="363"/>
      <c r="RXF38" s="363"/>
      <c r="RXG38" s="364" t="s">
        <v>140</v>
      </c>
      <c r="RXH38" s="365">
        <v>0.5</v>
      </c>
      <c r="RXI38" s="366" t="e">
        <f>10/RXE36</f>
        <v>#DIV/0!</v>
      </c>
      <c r="RXJ38" s="367">
        <v>15.38</v>
      </c>
      <c r="RXK38" s="367" t="e">
        <f>RXH38*RXI38*RXJ38</f>
        <v>#DIV/0!</v>
      </c>
      <c r="RXL38" s="363" t="s">
        <v>153</v>
      </c>
      <c r="RXM38" s="363"/>
      <c r="RXN38" s="363"/>
      <c r="RXO38" s="364" t="s">
        <v>140</v>
      </c>
      <c r="RXP38" s="365">
        <v>0.5</v>
      </c>
      <c r="RXQ38" s="366" t="e">
        <f>10/RXM36</f>
        <v>#DIV/0!</v>
      </c>
      <c r="RXR38" s="367">
        <v>15.38</v>
      </c>
      <c r="RXS38" s="367" t="e">
        <f>RXP38*RXQ38*RXR38</f>
        <v>#DIV/0!</v>
      </c>
      <c r="RXT38" s="363" t="s">
        <v>153</v>
      </c>
      <c r="RXU38" s="363"/>
      <c r="RXV38" s="363"/>
      <c r="RXW38" s="364" t="s">
        <v>140</v>
      </c>
      <c r="RXX38" s="365">
        <v>0.5</v>
      </c>
      <c r="RXY38" s="366" t="e">
        <f>10/RXU36</f>
        <v>#DIV/0!</v>
      </c>
      <c r="RXZ38" s="367">
        <v>15.38</v>
      </c>
      <c r="RYA38" s="367" t="e">
        <f>RXX38*RXY38*RXZ38</f>
        <v>#DIV/0!</v>
      </c>
      <c r="RYB38" s="363" t="s">
        <v>153</v>
      </c>
      <c r="RYC38" s="363"/>
      <c r="RYD38" s="363"/>
      <c r="RYE38" s="364" t="s">
        <v>140</v>
      </c>
      <c r="RYF38" s="365">
        <v>0.5</v>
      </c>
      <c r="RYG38" s="366" t="e">
        <f>10/RYC36</f>
        <v>#DIV/0!</v>
      </c>
      <c r="RYH38" s="367">
        <v>15.38</v>
      </c>
      <c r="RYI38" s="367" t="e">
        <f>RYF38*RYG38*RYH38</f>
        <v>#DIV/0!</v>
      </c>
      <c r="RYJ38" s="363" t="s">
        <v>153</v>
      </c>
      <c r="RYK38" s="363"/>
      <c r="RYL38" s="363"/>
      <c r="RYM38" s="364" t="s">
        <v>140</v>
      </c>
      <c r="RYN38" s="365">
        <v>0.5</v>
      </c>
      <c r="RYO38" s="366" t="e">
        <f>10/RYK36</f>
        <v>#DIV/0!</v>
      </c>
      <c r="RYP38" s="367">
        <v>15.38</v>
      </c>
      <c r="RYQ38" s="367" t="e">
        <f>RYN38*RYO38*RYP38</f>
        <v>#DIV/0!</v>
      </c>
      <c r="RYR38" s="363" t="s">
        <v>153</v>
      </c>
      <c r="RYS38" s="363"/>
      <c r="RYT38" s="363"/>
      <c r="RYU38" s="364" t="s">
        <v>140</v>
      </c>
      <c r="RYV38" s="365">
        <v>0.5</v>
      </c>
      <c r="RYW38" s="366" t="e">
        <f>10/RYS36</f>
        <v>#DIV/0!</v>
      </c>
      <c r="RYX38" s="367">
        <v>15.38</v>
      </c>
      <c r="RYY38" s="367" t="e">
        <f>RYV38*RYW38*RYX38</f>
        <v>#DIV/0!</v>
      </c>
      <c r="RYZ38" s="363" t="s">
        <v>153</v>
      </c>
      <c r="RZA38" s="363"/>
      <c r="RZB38" s="363"/>
      <c r="RZC38" s="364" t="s">
        <v>140</v>
      </c>
      <c r="RZD38" s="365">
        <v>0.5</v>
      </c>
      <c r="RZE38" s="366" t="e">
        <f>10/RZA36</f>
        <v>#DIV/0!</v>
      </c>
      <c r="RZF38" s="367">
        <v>15.38</v>
      </c>
      <c r="RZG38" s="367" t="e">
        <f>RZD38*RZE38*RZF38</f>
        <v>#DIV/0!</v>
      </c>
      <c r="RZH38" s="363" t="s">
        <v>153</v>
      </c>
      <c r="RZI38" s="363"/>
      <c r="RZJ38" s="363"/>
      <c r="RZK38" s="364" t="s">
        <v>140</v>
      </c>
      <c r="RZL38" s="365">
        <v>0.5</v>
      </c>
      <c r="RZM38" s="366" t="e">
        <f>10/RZI36</f>
        <v>#DIV/0!</v>
      </c>
      <c r="RZN38" s="367">
        <v>15.38</v>
      </c>
      <c r="RZO38" s="367" t="e">
        <f>RZL38*RZM38*RZN38</f>
        <v>#DIV/0!</v>
      </c>
      <c r="RZP38" s="363" t="s">
        <v>153</v>
      </c>
      <c r="RZQ38" s="363"/>
      <c r="RZR38" s="363"/>
      <c r="RZS38" s="364" t="s">
        <v>140</v>
      </c>
      <c r="RZT38" s="365">
        <v>0.5</v>
      </c>
      <c r="RZU38" s="366" t="e">
        <f>10/RZQ36</f>
        <v>#DIV/0!</v>
      </c>
      <c r="RZV38" s="367">
        <v>15.38</v>
      </c>
      <c r="RZW38" s="367" t="e">
        <f>RZT38*RZU38*RZV38</f>
        <v>#DIV/0!</v>
      </c>
      <c r="RZX38" s="363" t="s">
        <v>153</v>
      </c>
      <c r="RZY38" s="363"/>
      <c r="RZZ38" s="363"/>
      <c r="SAA38" s="364" t="s">
        <v>140</v>
      </c>
      <c r="SAB38" s="365">
        <v>0.5</v>
      </c>
      <c r="SAC38" s="366" t="e">
        <f>10/RZY36</f>
        <v>#DIV/0!</v>
      </c>
      <c r="SAD38" s="367">
        <v>15.38</v>
      </c>
      <c r="SAE38" s="367" t="e">
        <f>SAB38*SAC38*SAD38</f>
        <v>#DIV/0!</v>
      </c>
      <c r="SAF38" s="363" t="s">
        <v>153</v>
      </c>
      <c r="SAG38" s="363"/>
      <c r="SAH38" s="363"/>
      <c r="SAI38" s="364" t="s">
        <v>140</v>
      </c>
      <c r="SAJ38" s="365">
        <v>0.5</v>
      </c>
      <c r="SAK38" s="366" t="e">
        <f>10/SAG36</f>
        <v>#DIV/0!</v>
      </c>
      <c r="SAL38" s="367">
        <v>15.38</v>
      </c>
      <c r="SAM38" s="367" t="e">
        <f>SAJ38*SAK38*SAL38</f>
        <v>#DIV/0!</v>
      </c>
      <c r="SAN38" s="363" t="s">
        <v>153</v>
      </c>
      <c r="SAO38" s="363"/>
      <c r="SAP38" s="363"/>
      <c r="SAQ38" s="364" t="s">
        <v>140</v>
      </c>
      <c r="SAR38" s="365">
        <v>0.5</v>
      </c>
      <c r="SAS38" s="366" t="e">
        <f>10/SAO36</f>
        <v>#DIV/0!</v>
      </c>
      <c r="SAT38" s="367">
        <v>15.38</v>
      </c>
      <c r="SAU38" s="367" t="e">
        <f>SAR38*SAS38*SAT38</f>
        <v>#DIV/0!</v>
      </c>
      <c r="SAV38" s="363" t="s">
        <v>153</v>
      </c>
      <c r="SAW38" s="363"/>
      <c r="SAX38" s="363"/>
      <c r="SAY38" s="364" t="s">
        <v>140</v>
      </c>
      <c r="SAZ38" s="365">
        <v>0.5</v>
      </c>
      <c r="SBA38" s="366" t="e">
        <f>10/SAW36</f>
        <v>#DIV/0!</v>
      </c>
      <c r="SBB38" s="367">
        <v>15.38</v>
      </c>
      <c r="SBC38" s="367" t="e">
        <f>SAZ38*SBA38*SBB38</f>
        <v>#DIV/0!</v>
      </c>
      <c r="SBD38" s="363" t="s">
        <v>153</v>
      </c>
      <c r="SBE38" s="363"/>
      <c r="SBF38" s="363"/>
      <c r="SBG38" s="364" t="s">
        <v>140</v>
      </c>
      <c r="SBH38" s="365">
        <v>0.5</v>
      </c>
      <c r="SBI38" s="366" t="e">
        <f>10/SBE36</f>
        <v>#DIV/0!</v>
      </c>
      <c r="SBJ38" s="367">
        <v>15.38</v>
      </c>
      <c r="SBK38" s="367" t="e">
        <f>SBH38*SBI38*SBJ38</f>
        <v>#DIV/0!</v>
      </c>
      <c r="SBL38" s="363" t="s">
        <v>153</v>
      </c>
      <c r="SBM38" s="363"/>
      <c r="SBN38" s="363"/>
      <c r="SBO38" s="364" t="s">
        <v>140</v>
      </c>
      <c r="SBP38" s="365">
        <v>0.5</v>
      </c>
      <c r="SBQ38" s="366" t="e">
        <f>10/SBM36</f>
        <v>#DIV/0!</v>
      </c>
      <c r="SBR38" s="367">
        <v>15.38</v>
      </c>
      <c r="SBS38" s="367" t="e">
        <f>SBP38*SBQ38*SBR38</f>
        <v>#DIV/0!</v>
      </c>
      <c r="SBT38" s="363" t="s">
        <v>153</v>
      </c>
      <c r="SBU38" s="363"/>
      <c r="SBV38" s="363"/>
      <c r="SBW38" s="364" t="s">
        <v>140</v>
      </c>
      <c r="SBX38" s="365">
        <v>0.5</v>
      </c>
      <c r="SBY38" s="366" t="e">
        <f>10/SBU36</f>
        <v>#DIV/0!</v>
      </c>
      <c r="SBZ38" s="367">
        <v>15.38</v>
      </c>
      <c r="SCA38" s="367" t="e">
        <f>SBX38*SBY38*SBZ38</f>
        <v>#DIV/0!</v>
      </c>
      <c r="SCB38" s="363" t="s">
        <v>153</v>
      </c>
      <c r="SCC38" s="363"/>
      <c r="SCD38" s="363"/>
      <c r="SCE38" s="364" t="s">
        <v>140</v>
      </c>
      <c r="SCF38" s="365">
        <v>0.5</v>
      </c>
      <c r="SCG38" s="366" t="e">
        <f>10/SCC36</f>
        <v>#DIV/0!</v>
      </c>
      <c r="SCH38" s="367">
        <v>15.38</v>
      </c>
      <c r="SCI38" s="367" t="e">
        <f>SCF38*SCG38*SCH38</f>
        <v>#DIV/0!</v>
      </c>
      <c r="SCJ38" s="363" t="s">
        <v>153</v>
      </c>
      <c r="SCK38" s="363"/>
      <c r="SCL38" s="363"/>
      <c r="SCM38" s="364" t="s">
        <v>140</v>
      </c>
      <c r="SCN38" s="365">
        <v>0.5</v>
      </c>
      <c r="SCO38" s="366" t="e">
        <f>10/SCK36</f>
        <v>#DIV/0!</v>
      </c>
      <c r="SCP38" s="367">
        <v>15.38</v>
      </c>
      <c r="SCQ38" s="367" t="e">
        <f>SCN38*SCO38*SCP38</f>
        <v>#DIV/0!</v>
      </c>
      <c r="SCR38" s="363" t="s">
        <v>153</v>
      </c>
      <c r="SCS38" s="363"/>
      <c r="SCT38" s="363"/>
      <c r="SCU38" s="364" t="s">
        <v>140</v>
      </c>
      <c r="SCV38" s="365">
        <v>0.5</v>
      </c>
      <c r="SCW38" s="366" t="e">
        <f>10/SCS36</f>
        <v>#DIV/0!</v>
      </c>
      <c r="SCX38" s="367">
        <v>15.38</v>
      </c>
      <c r="SCY38" s="367" t="e">
        <f>SCV38*SCW38*SCX38</f>
        <v>#DIV/0!</v>
      </c>
      <c r="SCZ38" s="363" t="s">
        <v>153</v>
      </c>
      <c r="SDA38" s="363"/>
      <c r="SDB38" s="363"/>
      <c r="SDC38" s="364" t="s">
        <v>140</v>
      </c>
      <c r="SDD38" s="365">
        <v>0.5</v>
      </c>
      <c r="SDE38" s="366" t="e">
        <f>10/SDA36</f>
        <v>#DIV/0!</v>
      </c>
      <c r="SDF38" s="367">
        <v>15.38</v>
      </c>
      <c r="SDG38" s="367" t="e">
        <f>SDD38*SDE38*SDF38</f>
        <v>#DIV/0!</v>
      </c>
      <c r="SDH38" s="363" t="s">
        <v>153</v>
      </c>
      <c r="SDI38" s="363"/>
      <c r="SDJ38" s="363"/>
      <c r="SDK38" s="364" t="s">
        <v>140</v>
      </c>
      <c r="SDL38" s="365">
        <v>0.5</v>
      </c>
      <c r="SDM38" s="366" t="e">
        <f>10/SDI36</f>
        <v>#DIV/0!</v>
      </c>
      <c r="SDN38" s="367">
        <v>15.38</v>
      </c>
      <c r="SDO38" s="367" t="e">
        <f>SDL38*SDM38*SDN38</f>
        <v>#DIV/0!</v>
      </c>
      <c r="SDP38" s="363" t="s">
        <v>153</v>
      </c>
      <c r="SDQ38" s="363"/>
      <c r="SDR38" s="363"/>
      <c r="SDS38" s="364" t="s">
        <v>140</v>
      </c>
      <c r="SDT38" s="365">
        <v>0.5</v>
      </c>
      <c r="SDU38" s="366" t="e">
        <f>10/SDQ36</f>
        <v>#DIV/0!</v>
      </c>
      <c r="SDV38" s="367">
        <v>15.38</v>
      </c>
      <c r="SDW38" s="367" t="e">
        <f>SDT38*SDU38*SDV38</f>
        <v>#DIV/0!</v>
      </c>
      <c r="SDX38" s="363" t="s">
        <v>153</v>
      </c>
      <c r="SDY38" s="363"/>
      <c r="SDZ38" s="363"/>
      <c r="SEA38" s="364" t="s">
        <v>140</v>
      </c>
      <c r="SEB38" s="365">
        <v>0.5</v>
      </c>
      <c r="SEC38" s="366" t="e">
        <f>10/SDY36</f>
        <v>#DIV/0!</v>
      </c>
      <c r="SED38" s="367">
        <v>15.38</v>
      </c>
      <c r="SEE38" s="367" t="e">
        <f>SEB38*SEC38*SED38</f>
        <v>#DIV/0!</v>
      </c>
      <c r="SEF38" s="363" t="s">
        <v>153</v>
      </c>
      <c r="SEG38" s="363"/>
      <c r="SEH38" s="363"/>
      <c r="SEI38" s="364" t="s">
        <v>140</v>
      </c>
      <c r="SEJ38" s="365">
        <v>0.5</v>
      </c>
      <c r="SEK38" s="366" t="e">
        <f>10/SEG36</f>
        <v>#DIV/0!</v>
      </c>
      <c r="SEL38" s="367">
        <v>15.38</v>
      </c>
      <c r="SEM38" s="367" t="e">
        <f>SEJ38*SEK38*SEL38</f>
        <v>#DIV/0!</v>
      </c>
      <c r="SEN38" s="363" t="s">
        <v>153</v>
      </c>
      <c r="SEO38" s="363"/>
      <c r="SEP38" s="363"/>
      <c r="SEQ38" s="364" t="s">
        <v>140</v>
      </c>
      <c r="SER38" s="365">
        <v>0.5</v>
      </c>
      <c r="SES38" s="366" t="e">
        <f>10/SEO36</f>
        <v>#DIV/0!</v>
      </c>
      <c r="SET38" s="367">
        <v>15.38</v>
      </c>
      <c r="SEU38" s="367" t="e">
        <f>SER38*SES38*SET38</f>
        <v>#DIV/0!</v>
      </c>
      <c r="SEV38" s="363" t="s">
        <v>153</v>
      </c>
      <c r="SEW38" s="363"/>
      <c r="SEX38" s="363"/>
      <c r="SEY38" s="364" t="s">
        <v>140</v>
      </c>
      <c r="SEZ38" s="365">
        <v>0.5</v>
      </c>
      <c r="SFA38" s="366" t="e">
        <f>10/SEW36</f>
        <v>#DIV/0!</v>
      </c>
      <c r="SFB38" s="367">
        <v>15.38</v>
      </c>
      <c r="SFC38" s="367" t="e">
        <f>SEZ38*SFA38*SFB38</f>
        <v>#DIV/0!</v>
      </c>
      <c r="SFD38" s="363" t="s">
        <v>153</v>
      </c>
      <c r="SFE38" s="363"/>
      <c r="SFF38" s="363"/>
      <c r="SFG38" s="364" t="s">
        <v>140</v>
      </c>
      <c r="SFH38" s="365">
        <v>0.5</v>
      </c>
      <c r="SFI38" s="366" t="e">
        <f>10/SFE36</f>
        <v>#DIV/0!</v>
      </c>
      <c r="SFJ38" s="367">
        <v>15.38</v>
      </c>
      <c r="SFK38" s="367" t="e">
        <f>SFH38*SFI38*SFJ38</f>
        <v>#DIV/0!</v>
      </c>
      <c r="SFL38" s="363" t="s">
        <v>153</v>
      </c>
      <c r="SFM38" s="363"/>
      <c r="SFN38" s="363"/>
      <c r="SFO38" s="364" t="s">
        <v>140</v>
      </c>
      <c r="SFP38" s="365">
        <v>0.5</v>
      </c>
      <c r="SFQ38" s="366" t="e">
        <f>10/SFM36</f>
        <v>#DIV/0!</v>
      </c>
      <c r="SFR38" s="367">
        <v>15.38</v>
      </c>
      <c r="SFS38" s="367" t="e">
        <f>SFP38*SFQ38*SFR38</f>
        <v>#DIV/0!</v>
      </c>
      <c r="SFT38" s="363" t="s">
        <v>153</v>
      </c>
      <c r="SFU38" s="363"/>
      <c r="SFV38" s="363"/>
      <c r="SFW38" s="364" t="s">
        <v>140</v>
      </c>
      <c r="SFX38" s="365">
        <v>0.5</v>
      </c>
      <c r="SFY38" s="366" t="e">
        <f>10/SFU36</f>
        <v>#DIV/0!</v>
      </c>
      <c r="SFZ38" s="367">
        <v>15.38</v>
      </c>
      <c r="SGA38" s="367" t="e">
        <f>SFX38*SFY38*SFZ38</f>
        <v>#DIV/0!</v>
      </c>
      <c r="SGB38" s="363" t="s">
        <v>153</v>
      </c>
      <c r="SGC38" s="363"/>
      <c r="SGD38" s="363"/>
      <c r="SGE38" s="364" t="s">
        <v>140</v>
      </c>
      <c r="SGF38" s="365">
        <v>0.5</v>
      </c>
      <c r="SGG38" s="366" t="e">
        <f>10/SGC36</f>
        <v>#DIV/0!</v>
      </c>
      <c r="SGH38" s="367">
        <v>15.38</v>
      </c>
      <c r="SGI38" s="367" t="e">
        <f>SGF38*SGG38*SGH38</f>
        <v>#DIV/0!</v>
      </c>
      <c r="SGJ38" s="363" t="s">
        <v>153</v>
      </c>
      <c r="SGK38" s="363"/>
      <c r="SGL38" s="363"/>
      <c r="SGM38" s="364" t="s">
        <v>140</v>
      </c>
      <c r="SGN38" s="365">
        <v>0.5</v>
      </c>
      <c r="SGO38" s="366" t="e">
        <f>10/SGK36</f>
        <v>#DIV/0!</v>
      </c>
      <c r="SGP38" s="367">
        <v>15.38</v>
      </c>
      <c r="SGQ38" s="367" t="e">
        <f>SGN38*SGO38*SGP38</f>
        <v>#DIV/0!</v>
      </c>
      <c r="SGR38" s="363" t="s">
        <v>153</v>
      </c>
      <c r="SGS38" s="363"/>
      <c r="SGT38" s="363"/>
      <c r="SGU38" s="364" t="s">
        <v>140</v>
      </c>
      <c r="SGV38" s="365">
        <v>0.5</v>
      </c>
      <c r="SGW38" s="366" t="e">
        <f>10/SGS36</f>
        <v>#DIV/0!</v>
      </c>
      <c r="SGX38" s="367">
        <v>15.38</v>
      </c>
      <c r="SGY38" s="367" t="e">
        <f>SGV38*SGW38*SGX38</f>
        <v>#DIV/0!</v>
      </c>
      <c r="SGZ38" s="363" t="s">
        <v>153</v>
      </c>
      <c r="SHA38" s="363"/>
      <c r="SHB38" s="363"/>
      <c r="SHC38" s="364" t="s">
        <v>140</v>
      </c>
      <c r="SHD38" s="365">
        <v>0.5</v>
      </c>
      <c r="SHE38" s="366" t="e">
        <f>10/SHA36</f>
        <v>#DIV/0!</v>
      </c>
      <c r="SHF38" s="367">
        <v>15.38</v>
      </c>
      <c r="SHG38" s="367" t="e">
        <f>SHD38*SHE38*SHF38</f>
        <v>#DIV/0!</v>
      </c>
      <c r="SHH38" s="363" t="s">
        <v>153</v>
      </c>
      <c r="SHI38" s="363"/>
      <c r="SHJ38" s="363"/>
      <c r="SHK38" s="364" t="s">
        <v>140</v>
      </c>
      <c r="SHL38" s="365">
        <v>0.5</v>
      </c>
      <c r="SHM38" s="366" t="e">
        <f>10/SHI36</f>
        <v>#DIV/0!</v>
      </c>
      <c r="SHN38" s="367">
        <v>15.38</v>
      </c>
      <c r="SHO38" s="367" t="e">
        <f>SHL38*SHM38*SHN38</f>
        <v>#DIV/0!</v>
      </c>
      <c r="SHP38" s="363" t="s">
        <v>153</v>
      </c>
      <c r="SHQ38" s="363"/>
      <c r="SHR38" s="363"/>
      <c r="SHS38" s="364" t="s">
        <v>140</v>
      </c>
      <c r="SHT38" s="365">
        <v>0.5</v>
      </c>
      <c r="SHU38" s="366" t="e">
        <f>10/SHQ36</f>
        <v>#DIV/0!</v>
      </c>
      <c r="SHV38" s="367">
        <v>15.38</v>
      </c>
      <c r="SHW38" s="367" t="e">
        <f>SHT38*SHU38*SHV38</f>
        <v>#DIV/0!</v>
      </c>
      <c r="SHX38" s="363" t="s">
        <v>153</v>
      </c>
      <c r="SHY38" s="363"/>
      <c r="SHZ38" s="363"/>
      <c r="SIA38" s="364" t="s">
        <v>140</v>
      </c>
      <c r="SIB38" s="365">
        <v>0.5</v>
      </c>
      <c r="SIC38" s="366" t="e">
        <f>10/SHY36</f>
        <v>#DIV/0!</v>
      </c>
      <c r="SID38" s="367">
        <v>15.38</v>
      </c>
      <c r="SIE38" s="367" t="e">
        <f>SIB38*SIC38*SID38</f>
        <v>#DIV/0!</v>
      </c>
      <c r="SIF38" s="363" t="s">
        <v>153</v>
      </c>
      <c r="SIG38" s="363"/>
      <c r="SIH38" s="363"/>
      <c r="SII38" s="364" t="s">
        <v>140</v>
      </c>
      <c r="SIJ38" s="365">
        <v>0.5</v>
      </c>
      <c r="SIK38" s="366" t="e">
        <f>10/SIG36</f>
        <v>#DIV/0!</v>
      </c>
      <c r="SIL38" s="367">
        <v>15.38</v>
      </c>
      <c r="SIM38" s="367" t="e">
        <f>SIJ38*SIK38*SIL38</f>
        <v>#DIV/0!</v>
      </c>
      <c r="SIN38" s="363" t="s">
        <v>153</v>
      </c>
      <c r="SIO38" s="363"/>
      <c r="SIP38" s="363"/>
      <c r="SIQ38" s="364" t="s">
        <v>140</v>
      </c>
      <c r="SIR38" s="365">
        <v>0.5</v>
      </c>
      <c r="SIS38" s="366" t="e">
        <f>10/SIO36</f>
        <v>#DIV/0!</v>
      </c>
      <c r="SIT38" s="367">
        <v>15.38</v>
      </c>
      <c r="SIU38" s="367" t="e">
        <f>SIR38*SIS38*SIT38</f>
        <v>#DIV/0!</v>
      </c>
      <c r="SIV38" s="363" t="s">
        <v>153</v>
      </c>
      <c r="SIW38" s="363"/>
      <c r="SIX38" s="363"/>
      <c r="SIY38" s="364" t="s">
        <v>140</v>
      </c>
      <c r="SIZ38" s="365">
        <v>0.5</v>
      </c>
      <c r="SJA38" s="366" t="e">
        <f>10/SIW36</f>
        <v>#DIV/0!</v>
      </c>
      <c r="SJB38" s="367">
        <v>15.38</v>
      </c>
      <c r="SJC38" s="367" t="e">
        <f>SIZ38*SJA38*SJB38</f>
        <v>#DIV/0!</v>
      </c>
      <c r="SJD38" s="363" t="s">
        <v>153</v>
      </c>
      <c r="SJE38" s="363"/>
      <c r="SJF38" s="363"/>
      <c r="SJG38" s="364" t="s">
        <v>140</v>
      </c>
      <c r="SJH38" s="365">
        <v>0.5</v>
      </c>
      <c r="SJI38" s="366" t="e">
        <f>10/SJE36</f>
        <v>#DIV/0!</v>
      </c>
      <c r="SJJ38" s="367">
        <v>15.38</v>
      </c>
      <c r="SJK38" s="367" t="e">
        <f>SJH38*SJI38*SJJ38</f>
        <v>#DIV/0!</v>
      </c>
      <c r="SJL38" s="363" t="s">
        <v>153</v>
      </c>
      <c r="SJM38" s="363"/>
      <c r="SJN38" s="363"/>
      <c r="SJO38" s="364" t="s">
        <v>140</v>
      </c>
      <c r="SJP38" s="365">
        <v>0.5</v>
      </c>
      <c r="SJQ38" s="366" t="e">
        <f>10/SJM36</f>
        <v>#DIV/0!</v>
      </c>
      <c r="SJR38" s="367">
        <v>15.38</v>
      </c>
      <c r="SJS38" s="367" t="e">
        <f>SJP38*SJQ38*SJR38</f>
        <v>#DIV/0!</v>
      </c>
      <c r="SJT38" s="363" t="s">
        <v>153</v>
      </c>
      <c r="SJU38" s="363"/>
      <c r="SJV38" s="363"/>
      <c r="SJW38" s="364" t="s">
        <v>140</v>
      </c>
      <c r="SJX38" s="365">
        <v>0.5</v>
      </c>
      <c r="SJY38" s="366" t="e">
        <f>10/SJU36</f>
        <v>#DIV/0!</v>
      </c>
      <c r="SJZ38" s="367">
        <v>15.38</v>
      </c>
      <c r="SKA38" s="367" t="e">
        <f>SJX38*SJY38*SJZ38</f>
        <v>#DIV/0!</v>
      </c>
      <c r="SKB38" s="363" t="s">
        <v>153</v>
      </c>
      <c r="SKC38" s="363"/>
      <c r="SKD38" s="363"/>
      <c r="SKE38" s="364" t="s">
        <v>140</v>
      </c>
      <c r="SKF38" s="365">
        <v>0.5</v>
      </c>
      <c r="SKG38" s="366" t="e">
        <f>10/SKC36</f>
        <v>#DIV/0!</v>
      </c>
      <c r="SKH38" s="367">
        <v>15.38</v>
      </c>
      <c r="SKI38" s="367" t="e">
        <f>SKF38*SKG38*SKH38</f>
        <v>#DIV/0!</v>
      </c>
      <c r="SKJ38" s="363" t="s">
        <v>153</v>
      </c>
      <c r="SKK38" s="363"/>
      <c r="SKL38" s="363"/>
      <c r="SKM38" s="364" t="s">
        <v>140</v>
      </c>
      <c r="SKN38" s="365">
        <v>0.5</v>
      </c>
      <c r="SKO38" s="366" t="e">
        <f>10/SKK36</f>
        <v>#DIV/0!</v>
      </c>
      <c r="SKP38" s="367">
        <v>15.38</v>
      </c>
      <c r="SKQ38" s="367" t="e">
        <f>SKN38*SKO38*SKP38</f>
        <v>#DIV/0!</v>
      </c>
      <c r="SKR38" s="363" t="s">
        <v>153</v>
      </c>
      <c r="SKS38" s="363"/>
      <c r="SKT38" s="363"/>
      <c r="SKU38" s="364" t="s">
        <v>140</v>
      </c>
      <c r="SKV38" s="365">
        <v>0.5</v>
      </c>
      <c r="SKW38" s="366" t="e">
        <f>10/SKS36</f>
        <v>#DIV/0!</v>
      </c>
      <c r="SKX38" s="367">
        <v>15.38</v>
      </c>
      <c r="SKY38" s="367" t="e">
        <f>SKV38*SKW38*SKX38</f>
        <v>#DIV/0!</v>
      </c>
      <c r="SKZ38" s="363" t="s">
        <v>153</v>
      </c>
      <c r="SLA38" s="363"/>
      <c r="SLB38" s="363"/>
      <c r="SLC38" s="364" t="s">
        <v>140</v>
      </c>
      <c r="SLD38" s="365">
        <v>0.5</v>
      </c>
      <c r="SLE38" s="366" t="e">
        <f>10/SLA36</f>
        <v>#DIV/0!</v>
      </c>
      <c r="SLF38" s="367">
        <v>15.38</v>
      </c>
      <c r="SLG38" s="367" t="e">
        <f>SLD38*SLE38*SLF38</f>
        <v>#DIV/0!</v>
      </c>
      <c r="SLH38" s="363" t="s">
        <v>153</v>
      </c>
      <c r="SLI38" s="363"/>
      <c r="SLJ38" s="363"/>
      <c r="SLK38" s="364" t="s">
        <v>140</v>
      </c>
      <c r="SLL38" s="365">
        <v>0.5</v>
      </c>
      <c r="SLM38" s="366" t="e">
        <f>10/SLI36</f>
        <v>#DIV/0!</v>
      </c>
      <c r="SLN38" s="367">
        <v>15.38</v>
      </c>
      <c r="SLO38" s="367" t="e">
        <f>SLL38*SLM38*SLN38</f>
        <v>#DIV/0!</v>
      </c>
      <c r="SLP38" s="363" t="s">
        <v>153</v>
      </c>
      <c r="SLQ38" s="363"/>
      <c r="SLR38" s="363"/>
      <c r="SLS38" s="364" t="s">
        <v>140</v>
      </c>
      <c r="SLT38" s="365">
        <v>0.5</v>
      </c>
      <c r="SLU38" s="366" t="e">
        <f>10/SLQ36</f>
        <v>#DIV/0!</v>
      </c>
      <c r="SLV38" s="367">
        <v>15.38</v>
      </c>
      <c r="SLW38" s="367" t="e">
        <f>SLT38*SLU38*SLV38</f>
        <v>#DIV/0!</v>
      </c>
      <c r="SLX38" s="363" t="s">
        <v>153</v>
      </c>
      <c r="SLY38" s="363"/>
      <c r="SLZ38" s="363"/>
      <c r="SMA38" s="364" t="s">
        <v>140</v>
      </c>
      <c r="SMB38" s="365">
        <v>0.5</v>
      </c>
      <c r="SMC38" s="366" t="e">
        <f>10/SLY36</f>
        <v>#DIV/0!</v>
      </c>
      <c r="SMD38" s="367">
        <v>15.38</v>
      </c>
      <c r="SME38" s="367" t="e">
        <f>SMB38*SMC38*SMD38</f>
        <v>#DIV/0!</v>
      </c>
      <c r="SMF38" s="363" t="s">
        <v>153</v>
      </c>
      <c r="SMG38" s="363"/>
      <c r="SMH38" s="363"/>
      <c r="SMI38" s="364" t="s">
        <v>140</v>
      </c>
      <c r="SMJ38" s="365">
        <v>0.5</v>
      </c>
      <c r="SMK38" s="366" t="e">
        <f>10/SMG36</f>
        <v>#DIV/0!</v>
      </c>
      <c r="SML38" s="367">
        <v>15.38</v>
      </c>
      <c r="SMM38" s="367" t="e">
        <f>SMJ38*SMK38*SML38</f>
        <v>#DIV/0!</v>
      </c>
      <c r="SMN38" s="363" t="s">
        <v>153</v>
      </c>
      <c r="SMO38" s="363"/>
      <c r="SMP38" s="363"/>
      <c r="SMQ38" s="364" t="s">
        <v>140</v>
      </c>
      <c r="SMR38" s="365">
        <v>0.5</v>
      </c>
      <c r="SMS38" s="366" t="e">
        <f>10/SMO36</f>
        <v>#DIV/0!</v>
      </c>
      <c r="SMT38" s="367">
        <v>15.38</v>
      </c>
      <c r="SMU38" s="367" t="e">
        <f>SMR38*SMS38*SMT38</f>
        <v>#DIV/0!</v>
      </c>
      <c r="SMV38" s="363" t="s">
        <v>153</v>
      </c>
      <c r="SMW38" s="363"/>
      <c r="SMX38" s="363"/>
      <c r="SMY38" s="364" t="s">
        <v>140</v>
      </c>
      <c r="SMZ38" s="365">
        <v>0.5</v>
      </c>
      <c r="SNA38" s="366" t="e">
        <f>10/SMW36</f>
        <v>#DIV/0!</v>
      </c>
      <c r="SNB38" s="367">
        <v>15.38</v>
      </c>
      <c r="SNC38" s="367" t="e">
        <f>SMZ38*SNA38*SNB38</f>
        <v>#DIV/0!</v>
      </c>
      <c r="SND38" s="363" t="s">
        <v>153</v>
      </c>
      <c r="SNE38" s="363"/>
      <c r="SNF38" s="363"/>
      <c r="SNG38" s="364" t="s">
        <v>140</v>
      </c>
      <c r="SNH38" s="365">
        <v>0.5</v>
      </c>
      <c r="SNI38" s="366" t="e">
        <f>10/SNE36</f>
        <v>#DIV/0!</v>
      </c>
      <c r="SNJ38" s="367">
        <v>15.38</v>
      </c>
      <c r="SNK38" s="367" t="e">
        <f>SNH38*SNI38*SNJ38</f>
        <v>#DIV/0!</v>
      </c>
      <c r="SNL38" s="363" t="s">
        <v>153</v>
      </c>
      <c r="SNM38" s="363"/>
      <c r="SNN38" s="363"/>
      <c r="SNO38" s="364" t="s">
        <v>140</v>
      </c>
      <c r="SNP38" s="365">
        <v>0.5</v>
      </c>
      <c r="SNQ38" s="366" t="e">
        <f>10/SNM36</f>
        <v>#DIV/0!</v>
      </c>
      <c r="SNR38" s="367">
        <v>15.38</v>
      </c>
      <c r="SNS38" s="367" t="e">
        <f>SNP38*SNQ38*SNR38</f>
        <v>#DIV/0!</v>
      </c>
      <c r="SNT38" s="363" t="s">
        <v>153</v>
      </c>
      <c r="SNU38" s="363"/>
      <c r="SNV38" s="363"/>
      <c r="SNW38" s="364" t="s">
        <v>140</v>
      </c>
      <c r="SNX38" s="365">
        <v>0.5</v>
      </c>
      <c r="SNY38" s="366" t="e">
        <f>10/SNU36</f>
        <v>#DIV/0!</v>
      </c>
      <c r="SNZ38" s="367">
        <v>15.38</v>
      </c>
      <c r="SOA38" s="367" t="e">
        <f>SNX38*SNY38*SNZ38</f>
        <v>#DIV/0!</v>
      </c>
      <c r="SOB38" s="363" t="s">
        <v>153</v>
      </c>
      <c r="SOC38" s="363"/>
      <c r="SOD38" s="363"/>
      <c r="SOE38" s="364" t="s">
        <v>140</v>
      </c>
      <c r="SOF38" s="365">
        <v>0.5</v>
      </c>
      <c r="SOG38" s="366" t="e">
        <f>10/SOC36</f>
        <v>#DIV/0!</v>
      </c>
      <c r="SOH38" s="367">
        <v>15.38</v>
      </c>
      <c r="SOI38" s="367" t="e">
        <f>SOF38*SOG38*SOH38</f>
        <v>#DIV/0!</v>
      </c>
      <c r="SOJ38" s="363" t="s">
        <v>153</v>
      </c>
      <c r="SOK38" s="363"/>
      <c r="SOL38" s="363"/>
      <c r="SOM38" s="364" t="s">
        <v>140</v>
      </c>
      <c r="SON38" s="365">
        <v>0.5</v>
      </c>
      <c r="SOO38" s="366" t="e">
        <f>10/SOK36</f>
        <v>#DIV/0!</v>
      </c>
      <c r="SOP38" s="367">
        <v>15.38</v>
      </c>
      <c r="SOQ38" s="367" t="e">
        <f>SON38*SOO38*SOP38</f>
        <v>#DIV/0!</v>
      </c>
      <c r="SOR38" s="363" t="s">
        <v>153</v>
      </c>
      <c r="SOS38" s="363"/>
      <c r="SOT38" s="363"/>
      <c r="SOU38" s="364" t="s">
        <v>140</v>
      </c>
      <c r="SOV38" s="365">
        <v>0.5</v>
      </c>
      <c r="SOW38" s="366" t="e">
        <f>10/SOS36</f>
        <v>#DIV/0!</v>
      </c>
      <c r="SOX38" s="367">
        <v>15.38</v>
      </c>
      <c r="SOY38" s="367" t="e">
        <f>SOV38*SOW38*SOX38</f>
        <v>#DIV/0!</v>
      </c>
      <c r="SOZ38" s="363" t="s">
        <v>153</v>
      </c>
      <c r="SPA38" s="363"/>
      <c r="SPB38" s="363"/>
      <c r="SPC38" s="364" t="s">
        <v>140</v>
      </c>
      <c r="SPD38" s="365">
        <v>0.5</v>
      </c>
      <c r="SPE38" s="366" t="e">
        <f>10/SPA36</f>
        <v>#DIV/0!</v>
      </c>
      <c r="SPF38" s="367">
        <v>15.38</v>
      </c>
      <c r="SPG38" s="367" t="e">
        <f>SPD38*SPE38*SPF38</f>
        <v>#DIV/0!</v>
      </c>
      <c r="SPH38" s="363" t="s">
        <v>153</v>
      </c>
      <c r="SPI38" s="363"/>
      <c r="SPJ38" s="363"/>
      <c r="SPK38" s="364" t="s">
        <v>140</v>
      </c>
      <c r="SPL38" s="365">
        <v>0.5</v>
      </c>
      <c r="SPM38" s="366" t="e">
        <f>10/SPI36</f>
        <v>#DIV/0!</v>
      </c>
      <c r="SPN38" s="367">
        <v>15.38</v>
      </c>
      <c r="SPO38" s="367" t="e">
        <f>SPL38*SPM38*SPN38</f>
        <v>#DIV/0!</v>
      </c>
      <c r="SPP38" s="363" t="s">
        <v>153</v>
      </c>
      <c r="SPQ38" s="363"/>
      <c r="SPR38" s="363"/>
      <c r="SPS38" s="364" t="s">
        <v>140</v>
      </c>
      <c r="SPT38" s="365">
        <v>0.5</v>
      </c>
      <c r="SPU38" s="366" t="e">
        <f>10/SPQ36</f>
        <v>#DIV/0!</v>
      </c>
      <c r="SPV38" s="367">
        <v>15.38</v>
      </c>
      <c r="SPW38" s="367" t="e">
        <f>SPT38*SPU38*SPV38</f>
        <v>#DIV/0!</v>
      </c>
      <c r="SPX38" s="363" t="s">
        <v>153</v>
      </c>
      <c r="SPY38" s="363"/>
      <c r="SPZ38" s="363"/>
      <c r="SQA38" s="364" t="s">
        <v>140</v>
      </c>
      <c r="SQB38" s="365">
        <v>0.5</v>
      </c>
      <c r="SQC38" s="366" t="e">
        <f>10/SPY36</f>
        <v>#DIV/0!</v>
      </c>
      <c r="SQD38" s="367">
        <v>15.38</v>
      </c>
      <c r="SQE38" s="367" t="e">
        <f>SQB38*SQC38*SQD38</f>
        <v>#DIV/0!</v>
      </c>
      <c r="SQF38" s="363" t="s">
        <v>153</v>
      </c>
      <c r="SQG38" s="363"/>
      <c r="SQH38" s="363"/>
      <c r="SQI38" s="364" t="s">
        <v>140</v>
      </c>
      <c r="SQJ38" s="365">
        <v>0.5</v>
      </c>
      <c r="SQK38" s="366" t="e">
        <f>10/SQG36</f>
        <v>#DIV/0!</v>
      </c>
      <c r="SQL38" s="367">
        <v>15.38</v>
      </c>
      <c r="SQM38" s="367" t="e">
        <f>SQJ38*SQK38*SQL38</f>
        <v>#DIV/0!</v>
      </c>
      <c r="SQN38" s="363" t="s">
        <v>153</v>
      </c>
      <c r="SQO38" s="363"/>
      <c r="SQP38" s="363"/>
      <c r="SQQ38" s="364" t="s">
        <v>140</v>
      </c>
      <c r="SQR38" s="365">
        <v>0.5</v>
      </c>
      <c r="SQS38" s="366" t="e">
        <f>10/SQO36</f>
        <v>#DIV/0!</v>
      </c>
      <c r="SQT38" s="367">
        <v>15.38</v>
      </c>
      <c r="SQU38" s="367" t="e">
        <f>SQR38*SQS38*SQT38</f>
        <v>#DIV/0!</v>
      </c>
      <c r="SQV38" s="363" t="s">
        <v>153</v>
      </c>
      <c r="SQW38" s="363"/>
      <c r="SQX38" s="363"/>
      <c r="SQY38" s="364" t="s">
        <v>140</v>
      </c>
      <c r="SQZ38" s="365">
        <v>0.5</v>
      </c>
      <c r="SRA38" s="366" t="e">
        <f>10/SQW36</f>
        <v>#DIV/0!</v>
      </c>
      <c r="SRB38" s="367">
        <v>15.38</v>
      </c>
      <c r="SRC38" s="367" t="e">
        <f>SQZ38*SRA38*SRB38</f>
        <v>#DIV/0!</v>
      </c>
      <c r="SRD38" s="363" t="s">
        <v>153</v>
      </c>
      <c r="SRE38" s="363"/>
      <c r="SRF38" s="363"/>
      <c r="SRG38" s="364" t="s">
        <v>140</v>
      </c>
      <c r="SRH38" s="365">
        <v>0.5</v>
      </c>
      <c r="SRI38" s="366" t="e">
        <f>10/SRE36</f>
        <v>#DIV/0!</v>
      </c>
      <c r="SRJ38" s="367">
        <v>15.38</v>
      </c>
      <c r="SRK38" s="367" t="e">
        <f>SRH38*SRI38*SRJ38</f>
        <v>#DIV/0!</v>
      </c>
      <c r="SRL38" s="363" t="s">
        <v>153</v>
      </c>
      <c r="SRM38" s="363"/>
      <c r="SRN38" s="363"/>
      <c r="SRO38" s="364" t="s">
        <v>140</v>
      </c>
      <c r="SRP38" s="365">
        <v>0.5</v>
      </c>
      <c r="SRQ38" s="366" t="e">
        <f>10/SRM36</f>
        <v>#DIV/0!</v>
      </c>
      <c r="SRR38" s="367">
        <v>15.38</v>
      </c>
      <c r="SRS38" s="367" t="e">
        <f>SRP38*SRQ38*SRR38</f>
        <v>#DIV/0!</v>
      </c>
      <c r="SRT38" s="363" t="s">
        <v>153</v>
      </c>
      <c r="SRU38" s="363"/>
      <c r="SRV38" s="363"/>
      <c r="SRW38" s="364" t="s">
        <v>140</v>
      </c>
      <c r="SRX38" s="365">
        <v>0.5</v>
      </c>
      <c r="SRY38" s="366" t="e">
        <f>10/SRU36</f>
        <v>#DIV/0!</v>
      </c>
      <c r="SRZ38" s="367">
        <v>15.38</v>
      </c>
      <c r="SSA38" s="367" t="e">
        <f>SRX38*SRY38*SRZ38</f>
        <v>#DIV/0!</v>
      </c>
      <c r="SSB38" s="363" t="s">
        <v>153</v>
      </c>
      <c r="SSC38" s="363"/>
      <c r="SSD38" s="363"/>
      <c r="SSE38" s="364" t="s">
        <v>140</v>
      </c>
      <c r="SSF38" s="365">
        <v>0.5</v>
      </c>
      <c r="SSG38" s="366" t="e">
        <f>10/SSC36</f>
        <v>#DIV/0!</v>
      </c>
      <c r="SSH38" s="367">
        <v>15.38</v>
      </c>
      <c r="SSI38" s="367" t="e">
        <f>SSF38*SSG38*SSH38</f>
        <v>#DIV/0!</v>
      </c>
      <c r="SSJ38" s="363" t="s">
        <v>153</v>
      </c>
      <c r="SSK38" s="363"/>
      <c r="SSL38" s="363"/>
      <c r="SSM38" s="364" t="s">
        <v>140</v>
      </c>
      <c r="SSN38" s="365">
        <v>0.5</v>
      </c>
      <c r="SSO38" s="366" t="e">
        <f>10/SSK36</f>
        <v>#DIV/0!</v>
      </c>
      <c r="SSP38" s="367">
        <v>15.38</v>
      </c>
      <c r="SSQ38" s="367" t="e">
        <f>SSN38*SSO38*SSP38</f>
        <v>#DIV/0!</v>
      </c>
      <c r="SSR38" s="363" t="s">
        <v>153</v>
      </c>
      <c r="SSS38" s="363"/>
      <c r="SST38" s="363"/>
      <c r="SSU38" s="364" t="s">
        <v>140</v>
      </c>
      <c r="SSV38" s="365">
        <v>0.5</v>
      </c>
      <c r="SSW38" s="366" t="e">
        <f>10/SSS36</f>
        <v>#DIV/0!</v>
      </c>
      <c r="SSX38" s="367">
        <v>15.38</v>
      </c>
      <c r="SSY38" s="367" t="e">
        <f>SSV38*SSW38*SSX38</f>
        <v>#DIV/0!</v>
      </c>
      <c r="SSZ38" s="363" t="s">
        <v>153</v>
      </c>
      <c r="STA38" s="363"/>
      <c r="STB38" s="363"/>
      <c r="STC38" s="364" t="s">
        <v>140</v>
      </c>
      <c r="STD38" s="365">
        <v>0.5</v>
      </c>
      <c r="STE38" s="366" t="e">
        <f>10/STA36</f>
        <v>#DIV/0!</v>
      </c>
      <c r="STF38" s="367">
        <v>15.38</v>
      </c>
      <c r="STG38" s="367" t="e">
        <f>STD38*STE38*STF38</f>
        <v>#DIV/0!</v>
      </c>
      <c r="STH38" s="363" t="s">
        <v>153</v>
      </c>
      <c r="STI38" s="363"/>
      <c r="STJ38" s="363"/>
      <c r="STK38" s="364" t="s">
        <v>140</v>
      </c>
      <c r="STL38" s="365">
        <v>0.5</v>
      </c>
      <c r="STM38" s="366" t="e">
        <f>10/STI36</f>
        <v>#DIV/0!</v>
      </c>
      <c r="STN38" s="367">
        <v>15.38</v>
      </c>
      <c r="STO38" s="367" t="e">
        <f>STL38*STM38*STN38</f>
        <v>#DIV/0!</v>
      </c>
      <c r="STP38" s="363" t="s">
        <v>153</v>
      </c>
      <c r="STQ38" s="363"/>
      <c r="STR38" s="363"/>
      <c r="STS38" s="364" t="s">
        <v>140</v>
      </c>
      <c r="STT38" s="365">
        <v>0.5</v>
      </c>
      <c r="STU38" s="366" t="e">
        <f>10/STQ36</f>
        <v>#DIV/0!</v>
      </c>
      <c r="STV38" s="367">
        <v>15.38</v>
      </c>
      <c r="STW38" s="367" t="e">
        <f>STT38*STU38*STV38</f>
        <v>#DIV/0!</v>
      </c>
      <c r="STX38" s="363" t="s">
        <v>153</v>
      </c>
      <c r="STY38" s="363"/>
      <c r="STZ38" s="363"/>
      <c r="SUA38" s="364" t="s">
        <v>140</v>
      </c>
      <c r="SUB38" s="365">
        <v>0.5</v>
      </c>
      <c r="SUC38" s="366" t="e">
        <f>10/STY36</f>
        <v>#DIV/0!</v>
      </c>
      <c r="SUD38" s="367">
        <v>15.38</v>
      </c>
      <c r="SUE38" s="367" t="e">
        <f>SUB38*SUC38*SUD38</f>
        <v>#DIV/0!</v>
      </c>
      <c r="SUF38" s="363" t="s">
        <v>153</v>
      </c>
      <c r="SUG38" s="363"/>
      <c r="SUH38" s="363"/>
      <c r="SUI38" s="364" t="s">
        <v>140</v>
      </c>
      <c r="SUJ38" s="365">
        <v>0.5</v>
      </c>
      <c r="SUK38" s="366" t="e">
        <f>10/SUG36</f>
        <v>#DIV/0!</v>
      </c>
      <c r="SUL38" s="367">
        <v>15.38</v>
      </c>
      <c r="SUM38" s="367" t="e">
        <f>SUJ38*SUK38*SUL38</f>
        <v>#DIV/0!</v>
      </c>
      <c r="SUN38" s="363" t="s">
        <v>153</v>
      </c>
      <c r="SUO38" s="363"/>
      <c r="SUP38" s="363"/>
      <c r="SUQ38" s="364" t="s">
        <v>140</v>
      </c>
      <c r="SUR38" s="365">
        <v>0.5</v>
      </c>
      <c r="SUS38" s="366" t="e">
        <f>10/SUO36</f>
        <v>#DIV/0!</v>
      </c>
      <c r="SUT38" s="367">
        <v>15.38</v>
      </c>
      <c r="SUU38" s="367" t="e">
        <f>SUR38*SUS38*SUT38</f>
        <v>#DIV/0!</v>
      </c>
      <c r="SUV38" s="363" t="s">
        <v>153</v>
      </c>
      <c r="SUW38" s="363"/>
      <c r="SUX38" s="363"/>
      <c r="SUY38" s="364" t="s">
        <v>140</v>
      </c>
      <c r="SUZ38" s="365">
        <v>0.5</v>
      </c>
      <c r="SVA38" s="366" t="e">
        <f>10/SUW36</f>
        <v>#DIV/0!</v>
      </c>
      <c r="SVB38" s="367">
        <v>15.38</v>
      </c>
      <c r="SVC38" s="367" t="e">
        <f>SUZ38*SVA38*SVB38</f>
        <v>#DIV/0!</v>
      </c>
      <c r="SVD38" s="363" t="s">
        <v>153</v>
      </c>
      <c r="SVE38" s="363"/>
      <c r="SVF38" s="363"/>
      <c r="SVG38" s="364" t="s">
        <v>140</v>
      </c>
      <c r="SVH38" s="365">
        <v>0.5</v>
      </c>
      <c r="SVI38" s="366" t="e">
        <f>10/SVE36</f>
        <v>#DIV/0!</v>
      </c>
      <c r="SVJ38" s="367">
        <v>15.38</v>
      </c>
      <c r="SVK38" s="367" t="e">
        <f>SVH38*SVI38*SVJ38</f>
        <v>#DIV/0!</v>
      </c>
      <c r="SVL38" s="363" t="s">
        <v>153</v>
      </c>
      <c r="SVM38" s="363"/>
      <c r="SVN38" s="363"/>
      <c r="SVO38" s="364" t="s">
        <v>140</v>
      </c>
      <c r="SVP38" s="365">
        <v>0.5</v>
      </c>
      <c r="SVQ38" s="366" t="e">
        <f>10/SVM36</f>
        <v>#DIV/0!</v>
      </c>
      <c r="SVR38" s="367">
        <v>15.38</v>
      </c>
      <c r="SVS38" s="367" t="e">
        <f>SVP38*SVQ38*SVR38</f>
        <v>#DIV/0!</v>
      </c>
      <c r="SVT38" s="363" t="s">
        <v>153</v>
      </c>
      <c r="SVU38" s="363"/>
      <c r="SVV38" s="363"/>
      <c r="SVW38" s="364" t="s">
        <v>140</v>
      </c>
      <c r="SVX38" s="365">
        <v>0.5</v>
      </c>
      <c r="SVY38" s="366" t="e">
        <f>10/SVU36</f>
        <v>#DIV/0!</v>
      </c>
      <c r="SVZ38" s="367">
        <v>15.38</v>
      </c>
      <c r="SWA38" s="367" t="e">
        <f>SVX38*SVY38*SVZ38</f>
        <v>#DIV/0!</v>
      </c>
      <c r="SWB38" s="363" t="s">
        <v>153</v>
      </c>
      <c r="SWC38" s="363"/>
      <c r="SWD38" s="363"/>
      <c r="SWE38" s="364" t="s">
        <v>140</v>
      </c>
      <c r="SWF38" s="365">
        <v>0.5</v>
      </c>
      <c r="SWG38" s="366" t="e">
        <f>10/SWC36</f>
        <v>#DIV/0!</v>
      </c>
      <c r="SWH38" s="367">
        <v>15.38</v>
      </c>
      <c r="SWI38" s="367" t="e">
        <f>SWF38*SWG38*SWH38</f>
        <v>#DIV/0!</v>
      </c>
      <c r="SWJ38" s="363" t="s">
        <v>153</v>
      </c>
      <c r="SWK38" s="363"/>
      <c r="SWL38" s="363"/>
      <c r="SWM38" s="364" t="s">
        <v>140</v>
      </c>
      <c r="SWN38" s="365">
        <v>0.5</v>
      </c>
      <c r="SWO38" s="366" t="e">
        <f>10/SWK36</f>
        <v>#DIV/0!</v>
      </c>
      <c r="SWP38" s="367">
        <v>15.38</v>
      </c>
      <c r="SWQ38" s="367" t="e">
        <f>SWN38*SWO38*SWP38</f>
        <v>#DIV/0!</v>
      </c>
      <c r="SWR38" s="363" t="s">
        <v>153</v>
      </c>
      <c r="SWS38" s="363"/>
      <c r="SWT38" s="363"/>
      <c r="SWU38" s="364" t="s">
        <v>140</v>
      </c>
      <c r="SWV38" s="365">
        <v>0.5</v>
      </c>
      <c r="SWW38" s="366" t="e">
        <f>10/SWS36</f>
        <v>#DIV/0!</v>
      </c>
      <c r="SWX38" s="367">
        <v>15.38</v>
      </c>
      <c r="SWY38" s="367" t="e">
        <f>SWV38*SWW38*SWX38</f>
        <v>#DIV/0!</v>
      </c>
      <c r="SWZ38" s="363" t="s">
        <v>153</v>
      </c>
      <c r="SXA38" s="363"/>
      <c r="SXB38" s="363"/>
      <c r="SXC38" s="364" t="s">
        <v>140</v>
      </c>
      <c r="SXD38" s="365">
        <v>0.5</v>
      </c>
      <c r="SXE38" s="366" t="e">
        <f>10/SXA36</f>
        <v>#DIV/0!</v>
      </c>
      <c r="SXF38" s="367">
        <v>15.38</v>
      </c>
      <c r="SXG38" s="367" t="e">
        <f>SXD38*SXE38*SXF38</f>
        <v>#DIV/0!</v>
      </c>
      <c r="SXH38" s="363" t="s">
        <v>153</v>
      </c>
      <c r="SXI38" s="363"/>
      <c r="SXJ38" s="363"/>
      <c r="SXK38" s="364" t="s">
        <v>140</v>
      </c>
      <c r="SXL38" s="365">
        <v>0.5</v>
      </c>
      <c r="SXM38" s="366" t="e">
        <f>10/SXI36</f>
        <v>#DIV/0!</v>
      </c>
      <c r="SXN38" s="367">
        <v>15.38</v>
      </c>
      <c r="SXO38" s="367" t="e">
        <f>SXL38*SXM38*SXN38</f>
        <v>#DIV/0!</v>
      </c>
      <c r="SXP38" s="363" t="s">
        <v>153</v>
      </c>
      <c r="SXQ38" s="363"/>
      <c r="SXR38" s="363"/>
      <c r="SXS38" s="364" t="s">
        <v>140</v>
      </c>
      <c r="SXT38" s="365">
        <v>0.5</v>
      </c>
      <c r="SXU38" s="366" t="e">
        <f>10/SXQ36</f>
        <v>#DIV/0!</v>
      </c>
      <c r="SXV38" s="367">
        <v>15.38</v>
      </c>
      <c r="SXW38" s="367" t="e">
        <f>SXT38*SXU38*SXV38</f>
        <v>#DIV/0!</v>
      </c>
      <c r="SXX38" s="363" t="s">
        <v>153</v>
      </c>
      <c r="SXY38" s="363"/>
      <c r="SXZ38" s="363"/>
      <c r="SYA38" s="364" t="s">
        <v>140</v>
      </c>
      <c r="SYB38" s="365">
        <v>0.5</v>
      </c>
      <c r="SYC38" s="366" t="e">
        <f>10/SXY36</f>
        <v>#DIV/0!</v>
      </c>
      <c r="SYD38" s="367">
        <v>15.38</v>
      </c>
      <c r="SYE38" s="367" t="e">
        <f>SYB38*SYC38*SYD38</f>
        <v>#DIV/0!</v>
      </c>
      <c r="SYF38" s="363" t="s">
        <v>153</v>
      </c>
      <c r="SYG38" s="363"/>
      <c r="SYH38" s="363"/>
      <c r="SYI38" s="364" t="s">
        <v>140</v>
      </c>
      <c r="SYJ38" s="365">
        <v>0.5</v>
      </c>
      <c r="SYK38" s="366" t="e">
        <f>10/SYG36</f>
        <v>#DIV/0!</v>
      </c>
      <c r="SYL38" s="367">
        <v>15.38</v>
      </c>
      <c r="SYM38" s="367" t="e">
        <f>SYJ38*SYK38*SYL38</f>
        <v>#DIV/0!</v>
      </c>
      <c r="SYN38" s="363" t="s">
        <v>153</v>
      </c>
      <c r="SYO38" s="363"/>
      <c r="SYP38" s="363"/>
      <c r="SYQ38" s="364" t="s">
        <v>140</v>
      </c>
      <c r="SYR38" s="365">
        <v>0.5</v>
      </c>
      <c r="SYS38" s="366" t="e">
        <f>10/SYO36</f>
        <v>#DIV/0!</v>
      </c>
      <c r="SYT38" s="367">
        <v>15.38</v>
      </c>
      <c r="SYU38" s="367" t="e">
        <f>SYR38*SYS38*SYT38</f>
        <v>#DIV/0!</v>
      </c>
      <c r="SYV38" s="363" t="s">
        <v>153</v>
      </c>
      <c r="SYW38" s="363"/>
      <c r="SYX38" s="363"/>
      <c r="SYY38" s="364" t="s">
        <v>140</v>
      </c>
      <c r="SYZ38" s="365">
        <v>0.5</v>
      </c>
      <c r="SZA38" s="366" t="e">
        <f>10/SYW36</f>
        <v>#DIV/0!</v>
      </c>
      <c r="SZB38" s="367">
        <v>15.38</v>
      </c>
      <c r="SZC38" s="367" t="e">
        <f>SYZ38*SZA38*SZB38</f>
        <v>#DIV/0!</v>
      </c>
      <c r="SZD38" s="363" t="s">
        <v>153</v>
      </c>
      <c r="SZE38" s="363"/>
      <c r="SZF38" s="363"/>
      <c r="SZG38" s="364" t="s">
        <v>140</v>
      </c>
      <c r="SZH38" s="365">
        <v>0.5</v>
      </c>
      <c r="SZI38" s="366" t="e">
        <f>10/SZE36</f>
        <v>#DIV/0!</v>
      </c>
      <c r="SZJ38" s="367">
        <v>15.38</v>
      </c>
      <c r="SZK38" s="367" t="e">
        <f>SZH38*SZI38*SZJ38</f>
        <v>#DIV/0!</v>
      </c>
      <c r="SZL38" s="363" t="s">
        <v>153</v>
      </c>
      <c r="SZM38" s="363"/>
      <c r="SZN38" s="363"/>
      <c r="SZO38" s="364" t="s">
        <v>140</v>
      </c>
      <c r="SZP38" s="365">
        <v>0.5</v>
      </c>
      <c r="SZQ38" s="366" t="e">
        <f>10/SZM36</f>
        <v>#DIV/0!</v>
      </c>
      <c r="SZR38" s="367">
        <v>15.38</v>
      </c>
      <c r="SZS38" s="367" t="e">
        <f>SZP38*SZQ38*SZR38</f>
        <v>#DIV/0!</v>
      </c>
      <c r="SZT38" s="363" t="s">
        <v>153</v>
      </c>
      <c r="SZU38" s="363"/>
      <c r="SZV38" s="363"/>
      <c r="SZW38" s="364" t="s">
        <v>140</v>
      </c>
      <c r="SZX38" s="365">
        <v>0.5</v>
      </c>
      <c r="SZY38" s="366" t="e">
        <f>10/SZU36</f>
        <v>#DIV/0!</v>
      </c>
      <c r="SZZ38" s="367">
        <v>15.38</v>
      </c>
      <c r="TAA38" s="367" t="e">
        <f>SZX38*SZY38*SZZ38</f>
        <v>#DIV/0!</v>
      </c>
      <c r="TAB38" s="363" t="s">
        <v>153</v>
      </c>
      <c r="TAC38" s="363"/>
      <c r="TAD38" s="363"/>
      <c r="TAE38" s="364" t="s">
        <v>140</v>
      </c>
      <c r="TAF38" s="365">
        <v>0.5</v>
      </c>
      <c r="TAG38" s="366" t="e">
        <f>10/TAC36</f>
        <v>#DIV/0!</v>
      </c>
      <c r="TAH38" s="367">
        <v>15.38</v>
      </c>
      <c r="TAI38" s="367" t="e">
        <f>TAF38*TAG38*TAH38</f>
        <v>#DIV/0!</v>
      </c>
      <c r="TAJ38" s="363" t="s">
        <v>153</v>
      </c>
      <c r="TAK38" s="363"/>
      <c r="TAL38" s="363"/>
      <c r="TAM38" s="364" t="s">
        <v>140</v>
      </c>
      <c r="TAN38" s="365">
        <v>0.5</v>
      </c>
      <c r="TAO38" s="366" t="e">
        <f>10/TAK36</f>
        <v>#DIV/0!</v>
      </c>
      <c r="TAP38" s="367">
        <v>15.38</v>
      </c>
      <c r="TAQ38" s="367" t="e">
        <f>TAN38*TAO38*TAP38</f>
        <v>#DIV/0!</v>
      </c>
      <c r="TAR38" s="363" t="s">
        <v>153</v>
      </c>
      <c r="TAS38" s="363"/>
      <c r="TAT38" s="363"/>
      <c r="TAU38" s="364" t="s">
        <v>140</v>
      </c>
      <c r="TAV38" s="365">
        <v>0.5</v>
      </c>
      <c r="TAW38" s="366" t="e">
        <f>10/TAS36</f>
        <v>#DIV/0!</v>
      </c>
      <c r="TAX38" s="367">
        <v>15.38</v>
      </c>
      <c r="TAY38" s="367" t="e">
        <f>TAV38*TAW38*TAX38</f>
        <v>#DIV/0!</v>
      </c>
      <c r="TAZ38" s="363" t="s">
        <v>153</v>
      </c>
      <c r="TBA38" s="363"/>
      <c r="TBB38" s="363"/>
      <c r="TBC38" s="364" t="s">
        <v>140</v>
      </c>
      <c r="TBD38" s="365">
        <v>0.5</v>
      </c>
      <c r="TBE38" s="366" t="e">
        <f>10/TBA36</f>
        <v>#DIV/0!</v>
      </c>
      <c r="TBF38" s="367">
        <v>15.38</v>
      </c>
      <c r="TBG38" s="367" t="e">
        <f>TBD38*TBE38*TBF38</f>
        <v>#DIV/0!</v>
      </c>
      <c r="TBH38" s="363" t="s">
        <v>153</v>
      </c>
      <c r="TBI38" s="363"/>
      <c r="TBJ38" s="363"/>
      <c r="TBK38" s="364" t="s">
        <v>140</v>
      </c>
      <c r="TBL38" s="365">
        <v>0.5</v>
      </c>
      <c r="TBM38" s="366" t="e">
        <f>10/TBI36</f>
        <v>#DIV/0!</v>
      </c>
      <c r="TBN38" s="367">
        <v>15.38</v>
      </c>
      <c r="TBO38" s="367" t="e">
        <f>TBL38*TBM38*TBN38</f>
        <v>#DIV/0!</v>
      </c>
      <c r="TBP38" s="363" t="s">
        <v>153</v>
      </c>
      <c r="TBQ38" s="363"/>
      <c r="TBR38" s="363"/>
      <c r="TBS38" s="364" t="s">
        <v>140</v>
      </c>
      <c r="TBT38" s="365">
        <v>0.5</v>
      </c>
      <c r="TBU38" s="366" t="e">
        <f>10/TBQ36</f>
        <v>#DIV/0!</v>
      </c>
      <c r="TBV38" s="367">
        <v>15.38</v>
      </c>
      <c r="TBW38" s="367" t="e">
        <f>TBT38*TBU38*TBV38</f>
        <v>#DIV/0!</v>
      </c>
      <c r="TBX38" s="363" t="s">
        <v>153</v>
      </c>
      <c r="TBY38" s="363"/>
      <c r="TBZ38" s="363"/>
      <c r="TCA38" s="364" t="s">
        <v>140</v>
      </c>
      <c r="TCB38" s="365">
        <v>0.5</v>
      </c>
      <c r="TCC38" s="366" t="e">
        <f>10/TBY36</f>
        <v>#DIV/0!</v>
      </c>
      <c r="TCD38" s="367">
        <v>15.38</v>
      </c>
      <c r="TCE38" s="367" t="e">
        <f>TCB38*TCC38*TCD38</f>
        <v>#DIV/0!</v>
      </c>
      <c r="TCF38" s="363" t="s">
        <v>153</v>
      </c>
      <c r="TCG38" s="363"/>
      <c r="TCH38" s="363"/>
      <c r="TCI38" s="364" t="s">
        <v>140</v>
      </c>
      <c r="TCJ38" s="365">
        <v>0.5</v>
      </c>
      <c r="TCK38" s="366" t="e">
        <f>10/TCG36</f>
        <v>#DIV/0!</v>
      </c>
      <c r="TCL38" s="367">
        <v>15.38</v>
      </c>
      <c r="TCM38" s="367" t="e">
        <f>TCJ38*TCK38*TCL38</f>
        <v>#DIV/0!</v>
      </c>
      <c r="TCN38" s="363" t="s">
        <v>153</v>
      </c>
      <c r="TCO38" s="363"/>
      <c r="TCP38" s="363"/>
      <c r="TCQ38" s="364" t="s">
        <v>140</v>
      </c>
      <c r="TCR38" s="365">
        <v>0.5</v>
      </c>
      <c r="TCS38" s="366" t="e">
        <f>10/TCO36</f>
        <v>#DIV/0!</v>
      </c>
      <c r="TCT38" s="367">
        <v>15.38</v>
      </c>
      <c r="TCU38" s="367" t="e">
        <f>TCR38*TCS38*TCT38</f>
        <v>#DIV/0!</v>
      </c>
      <c r="TCV38" s="363" t="s">
        <v>153</v>
      </c>
      <c r="TCW38" s="363"/>
      <c r="TCX38" s="363"/>
      <c r="TCY38" s="364" t="s">
        <v>140</v>
      </c>
      <c r="TCZ38" s="365">
        <v>0.5</v>
      </c>
      <c r="TDA38" s="366" t="e">
        <f>10/TCW36</f>
        <v>#DIV/0!</v>
      </c>
      <c r="TDB38" s="367">
        <v>15.38</v>
      </c>
      <c r="TDC38" s="367" t="e">
        <f>TCZ38*TDA38*TDB38</f>
        <v>#DIV/0!</v>
      </c>
      <c r="TDD38" s="363" t="s">
        <v>153</v>
      </c>
      <c r="TDE38" s="363"/>
      <c r="TDF38" s="363"/>
      <c r="TDG38" s="364" t="s">
        <v>140</v>
      </c>
      <c r="TDH38" s="365">
        <v>0.5</v>
      </c>
      <c r="TDI38" s="366" t="e">
        <f>10/TDE36</f>
        <v>#DIV/0!</v>
      </c>
      <c r="TDJ38" s="367">
        <v>15.38</v>
      </c>
      <c r="TDK38" s="367" t="e">
        <f>TDH38*TDI38*TDJ38</f>
        <v>#DIV/0!</v>
      </c>
      <c r="TDL38" s="363" t="s">
        <v>153</v>
      </c>
      <c r="TDM38" s="363"/>
      <c r="TDN38" s="363"/>
      <c r="TDO38" s="364" t="s">
        <v>140</v>
      </c>
      <c r="TDP38" s="365">
        <v>0.5</v>
      </c>
      <c r="TDQ38" s="366" t="e">
        <f>10/TDM36</f>
        <v>#DIV/0!</v>
      </c>
      <c r="TDR38" s="367">
        <v>15.38</v>
      </c>
      <c r="TDS38" s="367" t="e">
        <f>TDP38*TDQ38*TDR38</f>
        <v>#DIV/0!</v>
      </c>
      <c r="TDT38" s="363" t="s">
        <v>153</v>
      </c>
      <c r="TDU38" s="363"/>
      <c r="TDV38" s="363"/>
      <c r="TDW38" s="364" t="s">
        <v>140</v>
      </c>
      <c r="TDX38" s="365">
        <v>0.5</v>
      </c>
      <c r="TDY38" s="366" t="e">
        <f>10/TDU36</f>
        <v>#DIV/0!</v>
      </c>
      <c r="TDZ38" s="367">
        <v>15.38</v>
      </c>
      <c r="TEA38" s="367" t="e">
        <f>TDX38*TDY38*TDZ38</f>
        <v>#DIV/0!</v>
      </c>
      <c r="TEB38" s="363" t="s">
        <v>153</v>
      </c>
      <c r="TEC38" s="363"/>
      <c r="TED38" s="363"/>
      <c r="TEE38" s="364" t="s">
        <v>140</v>
      </c>
      <c r="TEF38" s="365">
        <v>0.5</v>
      </c>
      <c r="TEG38" s="366" t="e">
        <f>10/TEC36</f>
        <v>#DIV/0!</v>
      </c>
      <c r="TEH38" s="367">
        <v>15.38</v>
      </c>
      <c r="TEI38" s="367" t="e">
        <f>TEF38*TEG38*TEH38</f>
        <v>#DIV/0!</v>
      </c>
      <c r="TEJ38" s="363" t="s">
        <v>153</v>
      </c>
      <c r="TEK38" s="363"/>
      <c r="TEL38" s="363"/>
      <c r="TEM38" s="364" t="s">
        <v>140</v>
      </c>
      <c r="TEN38" s="365">
        <v>0.5</v>
      </c>
      <c r="TEO38" s="366" t="e">
        <f>10/TEK36</f>
        <v>#DIV/0!</v>
      </c>
      <c r="TEP38" s="367">
        <v>15.38</v>
      </c>
      <c r="TEQ38" s="367" t="e">
        <f>TEN38*TEO38*TEP38</f>
        <v>#DIV/0!</v>
      </c>
      <c r="TER38" s="363" t="s">
        <v>153</v>
      </c>
      <c r="TES38" s="363"/>
      <c r="TET38" s="363"/>
      <c r="TEU38" s="364" t="s">
        <v>140</v>
      </c>
      <c r="TEV38" s="365">
        <v>0.5</v>
      </c>
      <c r="TEW38" s="366" t="e">
        <f>10/TES36</f>
        <v>#DIV/0!</v>
      </c>
      <c r="TEX38" s="367">
        <v>15.38</v>
      </c>
      <c r="TEY38" s="367" t="e">
        <f>TEV38*TEW38*TEX38</f>
        <v>#DIV/0!</v>
      </c>
      <c r="TEZ38" s="363" t="s">
        <v>153</v>
      </c>
      <c r="TFA38" s="363"/>
      <c r="TFB38" s="363"/>
      <c r="TFC38" s="364" t="s">
        <v>140</v>
      </c>
      <c r="TFD38" s="365">
        <v>0.5</v>
      </c>
      <c r="TFE38" s="366" t="e">
        <f>10/TFA36</f>
        <v>#DIV/0!</v>
      </c>
      <c r="TFF38" s="367">
        <v>15.38</v>
      </c>
      <c r="TFG38" s="367" t="e">
        <f>TFD38*TFE38*TFF38</f>
        <v>#DIV/0!</v>
      </c>
      <c r="TFH38" s="363" t="s">
        <v>153</v>
      </c>
      <c r="TFI38" s="363"/>
      <c r="TFJ38" s="363"/>
      <c r="TFK38" s="364" t="s">
        <v>140</v>
      </c>
      <c r="TFL38" s="365">
        <v>0.5</v>
      </c>
      <c r="TFM38" s="366" t="e">
        <f>10/TFI36</f>
        <v>#DIV/0!</v>
      </c>
      <c r="TFN38" s="367">
        <v>15.38</v>
      </c>
      <c r="TFO38" s="367" t="e">
        <f>TFL38*TFM38*TFN38</f>
        <v>#DIV/0!</v>
      </c>
      <c r="TFP38" s="363" t="s">
        <v>153</v>
      </c>
      <c r="TFQ38" s="363"/>
      <c r="TFR38" s="363"/>
      <c r="TFS38" s="364" t="s">
        <v>140</v>
      </c>
      <c r="TFT38" s="365">
        <v>0.5</v>
      </c>
      <c r="TFU38" s="366" t="e">
        <f>10/TFQ36</f>
        <v>#DIV/0!</v>
      </c>
      <c r="TFV38" s="367">
        <v>15.38</v>
      </c>
      <c r="TFW38" s="367" t="e">
        <f>TFT38*TFU38*TFV38</f>
        <v>#DIV/0!</v>
      </c>
      <c r="TFX38" s="363" t="s">
        <v>153</v>
      </c>
      <c r="TFY38" s="363"/>
      <c r="TFZ38" s="363"/>
      <c r="TGA38" s="364" t="s">
        <v>140</v>
      </c>
      <c r="TGB38" s="365">
        <v>0.5</v>
      </c>
      <c r="TGC38" s="366" t="e">
        <f>10/TFY36</f>
        <v>#DIV/0!</v>
      </c>
      <c r="TGD38" s="367">
        <v>15.38</v>
      </c>
      <c r="TGE38" s="367" t="e">
        <f>TGB38*TGC38*TGD38</f>
        <v>#DIV/0!</v>
      </c>
      <c r="TGF38" s="363" t="s">
        <v>153</v>
      </c>
      <c r="TGG38" s="363"/>
      <c r="TGH38" s="363"/>
      <c r="TGI38" s="364" t="s">
        <v>140</v>
      </c>
      <c r="TGJ38" s="365">
        <v>0.5</v>
      </c>
      <c r="TGK38" s="366" t="e">
        <f>10/TGG36</f>
        <v>#DIV/0!</v>
      </c>
      <c r="TGL38" s="367">
        <v>15.38</v>
      </c>
      <c r="TGM38" s="367" t="e">
        <f>TGJ38*TGK38*TGL38</f>
        <v>#DIV/0!</v>
      </c>
      <c r="TGN38" s="363" t="s">
        <v>153</v>
      </c>
      <c r="TGO38" s="363"/>
      <c r="TGP38" s="363"/>
      <c r="TGQ38" s="364" t="s">
        <v>140</v>
      </c>
      <c r="TGR38" s="365">
        <v>0.5</v>
      </c>
      <c r="TGS38" s="366" t="e">
        <f>10/TGO36</f>
        <v>#DIV/0!</v>
      </c>
      <c r="TGT38" s="367">
        <v>15.38</v>
      </c>
      <c r="TGU38" s="367" t="e">
        <f>TGR38*TGS38*TGT38</f>
        <v>#DIV/0!</v>
      </c>
      <c r="TGV38" s="363" t="s">
        <v>153</v>
      </c>
      <c r="TGW38" s="363"/>
      <c r="TGX38" s="363"/>
      <c r="TGY38" s="364" t="s">
        <v>140</v>
      </c>
      <c r="TGZ38" s="365">
        <v>0.5</v>
      </c>
      <c r="THA38" s="366" t="e">
        <f>10/TGW36</f>
        <v>#DIV/0!</v>
      </c>
      <c r="THB38" s="367">
        <v>15.38</v>
      </c>
      <c r="THC38" s="367" t="e">
        <f>TGZ38*THA38*THB38</f>
        <v>#DIV/0!</v>
      </c>
      <c r="THD38" s="363" t="s">
        <v>153</v>
      </c>
      <c r="THE38" s="363"/>
      <c r="THF38" s="363"/>
      <c r="THG38" s="364" t="s">
        <v>140</v>
      </c>
      <c r="THH38" s="365">
        <v>0.5</v>
      </c>
      <c r="THI38" s="366" t="e">
        <f>10/THE36</f>
        <v>#DIV/0!</v>
      </c>
      <c r="THJ38" s="367">
        <v>15.38</v>
      </c>
      <c r="THK38" s="367" t="e">
        <f>THH38*THI38*THJ38</f>
        <v>#DIV/0!</v>
      </c>
      <c r="THL38" s="363" t="s">
        <v>153</v>
      </c>
      <c r="THM38" s="363"/>
      <c r="THN38" s="363"/>
      <c r="THO38" s="364" t="s">
        <v>140</v>
      </c>
      <c r="THP38" s="365">
        <v>0.5</v>
      </c>
      <c r="THQ38" s="366" t="e">
        <f>10/THM36</f>
        <v>#DIV/0!</v>
      </c>
      <c r="THR38" s="367">
        <v>15.38</v>
      </c>
      <c r="THS38" s="367" t="e">
        <f>THP38*THQ38*THR38</f>
        <v>#DIV/0!</v>
      </c>
      <c r="THT38" s="363" t="s">
        <v>153</v>
      </c>
      <c r="THU38" s="363"/>
      <c r="THV38" s="363"/>
      <c r="THW38" s="364" t="s">
        <v>140</v>
      </c>
      <c r="THX38" s="365">
        <v>0.5</v>
      </c>
      <c r="THY38" s="366" t="e">
        <f>10/THU36</f>
        <v>#DIV/0!</v>
      </c>
      <c r="THZ38" s="367">
        <v>15.38</v>
      </c>
      <c r="TIA38" s="367" t="e">
        <f>THX38*THY38*THZ38</f>
        <v>#DIV/0!</v>
      </c>
      <c r="TIB38" s="363" t="s">
        <v>153</v>
      </c>
      <c r="TIC38" s="363"/>
      <c r="TID38" s="363"/>
      <c r="TIE38" s="364" t="s">
        <v>140</v>
      </c>
      <c r="TIF38" s="365">
        <v>0.5</v>
      </c>
      <c r="TIG38" s="366" t="e">
        <f>10/TIC36</f>
        <v>#DIV/0!</v>
      </c>
      <c r="TIH38" s="367">
        <v>15.38</v>
      </c>
      <c r="TII38" s="367" t="e">
        <f>TIF38*TIG38*TIH38</f>
        <v>#DIV/0!</v>
      </c>
      <c r="TIJ38" s="363" t="s">
        <v>153</v>
      </c>
      <c r="TIK38" s="363"/>
      <c r="TIL38" s="363"/>
      <c r="TIM38" s="364" t="s">
        <v>140</v>
      </c>
      <c r="TIN38" s="365">
        <v>0.5</v>
      </c>
      <c r="TIO38" s="366" t="e">
        <f>10/TIK36</f>
        <v>#DIV/0!</v>
      </c>
      <c r="TIP38" s="367">
        <v>15.38</v>
      </c>
      <c r="TIQ38" s="367" t="e">
        <f>TIN38*TIO38*TIP38</f>
        <v>#DIV/0!</v>
      </c>
      <c r="TIR38" s="363" t="s">
        <v>153</v>
      </c>
      <c r="TIS38" s="363"/>
      <c r="TIT38" s="363"/>
      <c r="TIU38" s="364" t="s">
        <v>140</v>
      </c>
      <c r="TIV38" s="365">
        <v>0.5</v>
      </c>
      <c r="TIW38" s="366" t="e">
        <f>10/TIS36</f>
        <v>#DIV/0!</v>
      </c>
      <c r="TIX38" s="367">
        <v>15.38</v>
      </c>
      <c r="TIY38" s="367" t="e">
        <f>TIV38*TIW38*TIX38</f>
        <v>#DIV/0!</v>
      </c>
      <c r="TIZ38" s="363" t="s">
        <v>153</v>
      </c>
      <c r="TJA38" s="363"/>
      <c r="TJB38" s="363"/>
      <c r="TJC38" s="364" t="s">
        <v>140</v>
      </c>
      <c r="TJD38" s="365">
        <v>0.5</v>
      </c>
      <c r="TJE38" s="366" t="e">
        <f>10/TJA36</f>
        <v>#DIV/0!</v>
      </c>
      <c r="TJF38" s="367">
        <v>15.38</v>
      </c>
      <c r="TJG38" s="367" t="e">
        <f>TJD38*TJE38*TJF38</f>
        <v>#DIV/0!</v>
      </c>
      <c r="TJH38" s="363" t="s">
        <v>153</v>
      </c>
      <c r="TJI38" s="363"/>
      <c r="TJJ38" s="363"/>
      <c r="TJK38" s="364" t="s">
        <v>140</v>
      </c>
      <c r="TJL38" s="365">
        <v>0.5</v>
      </c>
      <c r="TJM38" s="366" t="e">
        <f>10/TJI36</f>
        <v>#DIV/0!</v>
      </c>
      <c r="TJN38" s="367">
        <v>15.38</v>
      </c>
      <c r="TJO38" s="367" t="e">
        <f>TJL38*TJM38*TJN38</f>
        <v>#DIV/0!</v>
      </c>
      <c r="TJP38" s="363" t="s">
        <v>153</v>
      </c>
      <c r="TJQ38" s="363"/>
      <c r="TJR38" s="363"/>
      <c r="TJS38" s="364" t="s">
        <v>140</v>
      </c>
      <c r="TJT38" s="365">
        <v>0.5</v>
      </c>
      <c r="TJU38" s="366" t="e">
        <f>10/TJQ36</f>
        <v>#DIV/0!</v>
      </c>
      <c r="TJV38" s="367">
        <v>15.38</v>
      </c>
      <c r="TJW38" s="367" t="e">
        <f>TJT38*TJU38*TJV38</f>
        <v>#DIV/0!</v>
      </c>
      <c r="TJX38" s="363" t="s">
        <v>153</v>
      </c>
      <c r="TJY38" s="363"/>
      <c r="TJZ38" s="363"/>
      <c r="TKA38" s="364" t="s">
        <v>140</v>
      </c>
      <c r="TKB38" s="365">
        <v>0.5</v>
      </c>
      <c r="TKC38" s="366" t="e">
        <f>10/TJY36</f>
        <v>#DIV/0!</v>
      </c>
      <c r="TKD38" s="367">
        <v>15.38</v>
      </c>
      <c r="TKE38" s="367" t="e">
        <f>TKB38*TKC38*TKD38</f>
        <v>#DIV/0!</v>
      </c>
      <c r="TKF38" s="363" t="s">
        <v>153</v>
      </c>
      <c r="TKG38" s="363"/>
      <c r="TKH38" s="363"/>
      <c r="TKI38" s="364" t="s">
        <v>140</v>
      </c>
      <c r="TKJ38" s="365">
        <v>0.5</v>
      </c>
      <c r="TKK38" s="366" t="e">
        <f>10/TKG36</f>
        <v>#DIV/0!</v>
      </c>
      <c r="TKL38" s="367">
        <v>15.38</v>
      </c>
      <c r="TKM38" s="367" t="e">
        <f>TKJ38*TKK38*TKL38</f>
        <v>#DIV/0!</v>
      </c>
      <c r="TKN38" s="363" t="s">
        <v>153</v>
      </c>
      <c r="TKO38" s="363"/>
      <c r="TKP38" s="363"/>
      <c r="TKQ38" s="364" t="s">
        <v>140</v>
      </c>
      <c r="TKR38" s="365">
        <v>0.5</v>
      </c>
      <c r="TKS38" s="366" t="e">
        <f>10/TKO36</f>
        <v>#DIV/0!</v>
      </c>
      <c r="TKT38" s="367">
        <v>15.38</v>
      </c>
      <c r="TKU38" s="367" t="e">
        <f>TKR38*TKS38*TKT38</f>
        <v>#DIV/0!</v>
      </c>
      <c r="TKV38" s="363" t="s">
        <v>153</v>
      </c>
      <c r="TKW38" s="363"/>
      <c r="TKX38" s="363"/>
      <c r="TKY38" s="364" t="s">
        <v>140</v>
      </c>
      <c r="TKZ38" s="365">
        <v>0.5</v>
      </c>
      <c r="TLA38" s="366" t="e">
        <f>10/TKW36</f>
        <v>#DIV/0!</v>
      </c>
      <c r="TLB38" s="367">
        <v>15.38</v>
      </c>
      <c r="TLC38" s="367" t="e">
        <f>TKZ38*TLA38*TLB38</f>
        <v>#DIV/0!</v>
      </c>
      <c r="TLD38" s="363" t="s">
        <v>153</v>
      </c>
      <c r="TLE38" s="363"/>
      <c r="TLF38" s="363"/>
      <c r="TLG38" s="364" t="s">
        <v>140</v>
      </c>
      <c r="TLH38" s="365">
        <v>0.5</v>
      </c>
      <c r="TLI38" s="366" t="e">
        <f>10/TLE36</f>
        <v>#DIV/0!</v>
      </c>
      <c r="TLJ38" s="367">
        <v>15.38</v>
      </c>
      <c r="TLK38" s="367" t="e">
        <f>TLH38*TLI38*TLJ38</f>
        <v>#DIV/0!</v>
      </c>
      <c r="TLL38" s="363" t="s">
        <v>153</v>
      </c>
      <c r="TLM38" s="363"/>
      <c r="TLN38" s="363"/>
      <c r="TLO38" s="364" t="s">
        <v>140</v>
      </c>
      <c r="TLP38" s="365">
        <v>0.5</v>
      </c>
      <c r="TLQ38" s="366" t="e">
        <f>10/TLM36</f>
        <v>#DIV/0!</v>
      </c>
      <c r="TLR38" s="367">
        <v>15.38</v>
      </c>
      <c r="TLS38" s="367" t="e">
        <f>TLP38*TLQ38*TLR38</f>
        <v>#DIV/0!</v>
      </c>
      <c r="TLT38" s="363" t="s">
        <v>153</v>
      </c>
      <c r="TLU38" s="363"/>
      <c r="TLV38" s="363"/>
      <c r="TLW38" s="364" t="s">
        <v>140</v>
      </c>
      <c r="TLX38" s="365">
        <v>0.5</v>
      </c>
      <c r="TLY38" s="366" t="e">
        <f>10/TLU36</f>
        <v>#DIV/0!</v>
      </c>
      <c r="TLZ38" s="367">
        <v>15.38</v>
      </c>
      <c r="TMA38" s="367" t="e">
        <f>TLX38*TLY38*TLZ38</f>
        <v>#DIV/0!</v>
      </c>
      <c r="TMB38" s="363" t="s">
        <v>153</v>
      </c>
      <c r="TMC38" s="363"/>
      <c r="TMD38" s="363"/>
      <c r="TME38" s="364" t="s">
        <v>140</v>
      </c>
      <c r="TMF38" s="365">
        <v>0.5</v>
      </c>
      <c r="TMG38" s="366" t="e">
        <f>10/TMC36</f>
        <v>#DIV/0!</v>
      </c>
      <c r="TMH38" s="367">
        <v>15.38</v>
      </c>
      <c r="TMI38" s="367" t="e">
        <f>TMF38*TMG38*TMH38</f>
        <v>#DIV/0!</v>
      </c>
      <c r="TMJ38" s="363" t="s">
        <v>153</v>
      </c>
      <c r="TMK38" s="363"/>
      <c r="TML38" s="363"/>
      <c r="TMM38" s="364" t="s">
        <v>140</v>
      </c>
      <c r="TMN38" s="365">
        <v>0.5</v>
      </c>
      <c r="TMO38" s="366" t="e">
        <f>10/TMK36</f>
        <v>#DIV/0!</v>
      </c>
      <c r="TMP38" s="367">
        <v>15.38</v>
      </c>
      <c r="TMQ38" s="367" t="e">
        <f>TMN38*TMO38*TMP38</f>
        <v>#DIV/0!</v>
      </c>
      <c r="TMR38" s="363" t="s">
        <v>153</v>
      </c>
      <c r="TMS38" s="363"/>
      <c r="TMT38" s="363"/>
      <c r="TMU38" s="364" t="s">
        <v>140</v>
      </c>
      <c r="TMV38" s="365">
        <v>0.5</v>
      </c>
      <c r="TMW38" s="366" t="e">
        <f>10/TMS36</f>
        <v>#DIV/0!</v>
      </c>
      <c r="TMX38" s="367">
        <v>15.38</v>
      </c>
      <c r="TMY38" s="367" t="e">
        <f>TMV38*TMW38*TMX38</f>
        <v>#DIV/0!</v>
      </c>
      <c r="TMZ38" s="363" t="s">
        <v>153</v>
      </c>
      <c r="TNA38" s="363"/>
      <c r="TNB38" s="363"/>
      <c r="TNC38" s="364" t="s">
        <v>140</v>
      </c>
      <c r="TND38" s="365">
        <v>0.5</v>
      </c>
      <c r="TNE38" s="366" t="e">
        <f>10/TNA36</f>
        <v>#DIV/0!</v>
      </c>
      <c r="TNF38" s="367">
        <v>15.38</v>
      </c>
      <c r="TNG38" s="367" t="e">
        <f>TND38*TNE38*TNF38</f>
        <v>#DIV/0!</v>
      </c>
      <c r="TNH38" s="363" t="s">
        <v>153</v>
      </c>
      <c r="TNI38" s="363"/>
      <c r="TNJ38" s="363"/>
      <c r="TNK38" s="364" t="s">
        <v>140</v>
      </c>
      <c r="TNL38" s="365">
        <v>0.5</v>
      </c>
      <c r="TNM38" s="366" t="e">
        <f>10/TNI36</f>
        <v>#DIV/0!</v>
      </c>
      <c r="TNN38" s="367">
        <v>15.38</v>
      </c>
      <c r="TNO38" s="367" t="e">
        <f>TNL38*TNM38*TNN38</f>
        <v>#DIV/0!</v>
      </c>
      <c r="TNP38" s="363" t="s">
        <v>153</v>
      </c>
      <c r="TNQ38" s="363"/>
      <c r="TNR38" s="363"/>
      <c r="TNS38" s="364" t="s">
        <v>140</v>
      </c>
      <c r="TNT38" s="365">
        <v>0.5</v>
      </c>
      <c r="TNU38" s="366" t="e">
        <f>10/TNQ36</f>
        <v>#DIV/0!</v>
      </c>
      <c r="TNV38" s="367">
        <v>15.38</v>
      </c>
      <c r="TNW38" s="367" t="e">
        <f>TNT38*TNU38*TNV38</f>
        <v>#DIV/0!</v>
      </c>
      <c r="TNX38" s="363" t="s">
        <v>153</v>
      </c>
      <c r="TNY38" s="363"/>
      <c r="TNZ38" s="363"/>
      <c r="TOA38" s="364" t="s">
        <v>140</v>
      </c>
      <c r="TOB38" s="365">
        <v>0.5</v>
      </c>
      <c r="TOC38" s="366" t="e">
        <f>10/TNY36</f>
        <v>#DIV/0!</v>
      </c>
      <c r="TOD38" s="367">
        <v>15.38</v>
      </c>
      <c r="TOE38" s="367" t="e">
        <f>TOB38*TOC38*TOD38</f>
        <v>#DIV/0!</v>
      </c>
      <c r="TOF38" s="363" t="s">
        <v>153</v>
      </c>
      <c r="TOG38" s="363"/>
      <c r="TOH38" s="363"/>
      <c r="TOI38" s="364" t="s">
        <v>140</v>
      </c>
      <c r="TOJ38" s="365">
        <v>0.5</v>
      </c>
      <c r="TOK38" s="366" t="e">
        <f>10/TOG36</f>
        <v>#DIV/0!</v>
      </c>
      <c r="TOL38" s="367">
        <v>15.38</v>
      </c>
      <c r="TOM38" s="367" t="e">
        <f>TOJ38*TOK38*TOL38</f>
        <v>#DIV/0!</v>
      </c>
      <c r="TON38" s="363" t="s">
        <v>153</v>
      </c>
      <c r="TOO38" s="363"/>
      <c r="TOP38" s="363"/>
      <c r="TOQ38" s="364" t="s">
        <v>140</v>
      </c>
      <c r="TOR38" s="365">
        <v>0.5</v>
      </c>
      <c r="TOS38" s="366" t="e">
        <f>10/TOO36</f>
        <v>#DIV/0!</v>
      </c>
      <c r="TOT38" s="367">
        <v>15.38</v>
      </c>
      <c r="TOU38" s="367" t="e">
        <f>TOR38*TOS38*TOT38</f>
        <v>#DIV/0!</v>
      </c>
      <c r="TOV38" s="363" t="s">
        <v>153</v>
      </c>
      <c r="TOW38" s="363"/>
      <c r="TOX38" s="363"/>
      <c r="TOY38" s="364" t="s">
        <v>140</v>
      </c>
      <c r="TOZ38" s="365">
        <v>0.5</v>
      </c>
      <c r="TPA38" s="366" t="e">
        <f>10/TOW36</f>
        <v>#DIV/0!</v>
      </c>
      <c r="TPB38" s="367">
        <v>15.38</v>
      </c>
      <c r="TPC38" s="367" t="e">
        <f>TOZ38*TPA38*TPB38</f>
        <v>#DIV/0!</v>
      </c>
      <c r="TPD38" s="363" t="s">
        <v>153</v>
      </c>
      <c r="TPE38" s="363"/>
      <c r="TPF38" s="363"/>
      <c r="TPG38" s="364" t="s">
        <v>140</v>
      </c>
      <c r="TPH38" s="365">
        <v>0.5</v>
      </c>
      <c r="TPI38" s="366" t="e">
        <f>10/TPE36</f>
        <v>#DIV/0!</v>
      </c>
      <c r="TPJ38" s="367">
        <v>15.38</v>
      </c>
      <c r="TPK38" s="367" t="e">
        <f>TPH38*TPI38*TPJ38</f>
        <v>#DIV/0!</v>
      </c>
      <c r="TPL38" s="363" t="s">
        <v>153</v>
      </c>
      <c r="TPM38" s="363"/>
      <c r="TPN38" s="363"/>
      <c r="TPO38" s="364" t="s">
        <v>140</v>
      </c>
      <c r="TPP38" s="365">
        <v>0.5</v>
      </c>
      <c r="TPQ38" s="366" t="e">
        <f>10/TPM36</f>
        <v>#DIV/0!</v>
      </c>
      <c r="TPR38" s="367">
        <v>15.38</v>
      </c>
      <c r="TPS38" s="367" t="e">
        <f>TPP38*TPQ38*TPR38</f>
        <v>#DIV/0!</v>
      </c>
      <c r="TPT38" s="363" t="s">
        <v>153</v>
      </c>
      <c r="TPU38" s="363"/>
      <c r="TPV38" s="363"/>
      <c r="TPW38" s="364" t="s">
        <v>140</v>
      </c>
      <c r="TPX38" s="365">
        <v>0.5</v>
      </c>
      <c r="TPY38" s="366" t="e">
        <f>10/TPU36</f>
        <v>#DIV/0!</v>
      </c>
      <c r="TPZ38" s="367">
        <v>15.38</v>
      </c>
      <c r="TQA38" s="367" t="e">
        <f>TPX38*TPY38*TPZ38</f>
        <v>#DIV/0!</v>
      </c>
      <c r="TQB38" s="363" t="s">
        <v>153</v>
      </c>
      <c r="TQC38" s="363"/>
      <c r="TQD38" s="363"/>
      <c r="TQE38" s="364" t="s">
        <v>140</v>
      </c>
      <c r="TQF38" s="365">
        <v>0.5</v>
      </c>
      <c r="TQG38" s="366" t="e">
        <f>10/TQC36</f>
        <v>#DIV/0!</v>
      </c>
      <c r="TQH38" s="367">
        <v>15.38</v>
      </c>
      <c r="TQI38" s="367" t="e">
        <f>TQF38*TQG38*TQH38</f>
        <v>#DIV/0!</v>
      </c>
      <c r="TQJ38" s="363" t="s">
        <v>153</v>
      </c>
      <c r="TQK38" s="363"/>
      <c r="TQL38" s="363"/>
      <c r="TQM38" s="364" t="s">
        <v>140</v>
      </c>
      <c r="TQN38" s="365">
        <v>0.5</v>
      </c>
      <c r="TQO38" s="366" t="e">
        <f>10/TQK36</f>
        <v>#DIV/0!</v>
      </c>
      <c r="TQP38" s="367">
        <v>15.38</v>
      </c>
      <c r="TQQ38" s="367" t="e">
        <f>TQN38*TQO38*TQP38</f>
        <v>#DIV/0!</v>
      </c>
      <c r="TQR38" s="363" t="s">
        <v>153</v>
      </c>
      <c r="TQS38" s="363"/>
      <c r="TQT38" s="363"/>
      <c r="TQU38" s="364" t="s">
        <v>140</v>
      </c>
      <c r="TQV38" s="365">
        <v>0.5</v>
      </c>
      <c r="TQW38" s="366" t="e">
        <f>10/TQS36</f>
        <v>#DIV/0!</v>
      </c>
      <c r="TQX38" s="367">
        <v>15.38</v>
      </c>
      <c r="TQY38" s="367" t="e">
        <f>TQV38*TQW38*TQX38</f>
        <v>#DIV/0!</v>
      </c>
      <c r="TQZ38" s="363" t="s">
        <v>153</v>
      </c>
      <c r="TRA38" s="363"/>
      <c r="TRB38" s="363"/>
      <c r="TRC38" s="364" t="s">
        <v>140</v>
      </c>
      <c r="TRD38" s="365">
        <v>0.5</v>
      </c>
      <c r="TRE38" s="366" t="e">
        <f>10/TRA36</f>
        <v>#DIV/0!</v>
      </c>
      <c r="TRF38" s="367">
        <v>15.38</v>
      </c>
      <c r="TRG38" s="367" t="e">
        <f>TRD38*TRE38*TRF38</f>
        <v>#DIV/0!</v>
      </c>
      <c r="TRH38" s="363" t="s">
        <v>153</v>
      </c>
      <c r="TRI38" s="363"/>
      <c r="TRJ38" s="363"/>
      <c r="TRK38" s="364" t="s">
        <v>140</v>
      </c>
      <c r="TRL38" s="365">
        <v>0.5</v>
      </c>
      <c r="TRM38" s="366" t="e">
        <f>10/TRI36</f>
        <v>#DIV/0!</v>
      </c>
      <c r="TRN38" s="367">
        <v>15.38</v>
      </c>
      <c r="TRO38" s="367" t="e">
        <f>TRL38*TRM38*TRN38</f>
        <v>#DIV/0!</v>
      </c>
      <c r="TRP38" s="363" t="s">
        <v>153</v>
      </c>
      <c r="TRQ38" s="363"/>
      <c r="TRR38" s="363"/>
      <c r="TRS38" s="364" t="s">
        <v>140</v>
      </c>
      <c r="TRT38" s="365">
        <v>0.5</v>
      </c>
      <c r="TRU38" s="366" t="e">
        <f>10/TRQ36</f>
        <v>#DIV/0!</v>
      </c>
      <c r="TRV38" s="367">
        <v>15.38</v>
      </c>
      <c r="TRW38" s="367" t="e">
        <f>TRT38*TRU38*TRV38</f>
        <v>#DIV/0!</v>
      </c>
      <c r="TRX38" s="363" t="s">
        <v>153</v>
      </c>
      <c r="TRY38" s="363"/>
      <c r="TRZ38" s="363"/>
      <c r="TSA38" s="364" t="s">
        <v>140</v>
      </c>
      <c r="TSB38" s="365">
        <v>0.5</v>
      </c>
      <c r="TSC38" s="366" t="e">
        <f>10/TRY36</f>
        <v>#DIV/0!</v>
      </c>
      <c r="TSD38" s="367">
        <v>15.38</v>
      </c>
      <c r="TSE38" s="367" t="e">
        <f>TSB38*TSC38*TSD38</f>
        <v>#DIV/0!</v>
      </c>
      <c r="TSF38" s="363" t="s">
        <v>153</v>
      </c>
      <c r="TSG38" s="363"/>
      <c r="TSH38" s="363"/>
      <c r="TSI38" s="364" t="s">
        <v>140</v>
      </c>
      <c r="TSJ38" s="365">
        <v>0.5</v>
      </c>
      <c r="TSK38" s="366" t="e">
        <f>10/TSG36</f>
        <v>#DIV/0!</v>
      </c>
      <c r="TSL38" s="367">
        <v>15.38</v>
      </c>
      <c r="TSM38" s="367" t="e">
        <f>TSJ38*TSK38*TSL38</f>
        <v>#DIV/0!</v>
      </c>
      <c r="TSN38" s="363" t="s">
        <v>153</v>
      </c>
      <c r="TSO38" s="363"/>
      <c r="TSP38" s="363"/>
      <c r="TSQ38" s="364" t="s">
        <v>140</v>
      </c>
      <c r="TSR38" s="365">
        <v>0.5</v>
      </c>
      <c r="TSS38" s="366" t="e">
        <f>10/TSO36</f>
        <v>#DIV/0!</v>
      </c>
      <c r="TST38" s="367">
        <v>15.38</v>
      </c>
      <c r="TSU38" s="367" t="e">
        <f>TSR38*TSS38*TST38</f>
        <v>#DIV/0!</v>
      </c>
      <c r="TSV38" s="363" t="s">
        <v>153</v>
      </c>
      <c r="TSW38" s="363"/>
      <c r="TSX38" s="363"/>
      <c r="TSY38" s="364" t="s">
        <v>140</v>
      </c>
      <c r="TSZ38" s="365">
        <v>0.5</v>
      </c>
      <c r="TTA38" s="366" t="e">
        <f>10/TSW36</f>
        <v>#DIV/0!</v>
      </c>
      <c r="TTB38" s="367">
        <v>15.38</v>
      </c>
      <c r="TTC38" s="367" t="e">
        <f>TSZ38*TTA38*TTB38</f>
        <v>#DIV/0!</v>
      </c>
      <c r="TTD38" s="363" t="s">
        <v>153</v>
      </c>
      <c r="TTE38" s="363"/>
      <c r="TTF38" s="363"/>
      <c r="TTG38" s="364" t="s">
        <v>140</v>
      </c>
      <c r="TTH38" s="365">
        <v>0.5</v>
      </c>
      <c r="TTI38" s="366" t="e">
        <f>10/TTE36</f>
        <v>#DIV/0!</v>
      </c>
      <c r="TTJ38" s="367">
        <v>15.38</v>
      </c>
      <c r="TTK38" s="367" t="e">
        <f>TTH38*TTI38*TTJ38</f>
        <v>#DIV/0!</v>
      </c>
      <c r="TTL38" s="363" t="s">
        <v>153</v>
      </c>
      <c r="TTM38" s="363"/>
      <c r="TTN38" s="363"/>
      <c r="TTO38" s="364" t="s">
        <v>140</v>
      </c>
      <c r="TTP38" s="365">
        <v>0.5</v>
      </c>
      <c r="TTQ38" s="366" t="e">
        <f>10/TTM36</f>
        <v>#DIV/0!</v>
      </c>
      <c r="TTR38" s="367">
        <v>15.38</v>
      </c>
      <c r="TTS38" s="367" t="e">
        <f>TTP38*TTQ38*TTR38</f>
        <v>#DIV/0!</v>
      </c>
      <c r="TTT38" s="363" t="s">
        <v>153</v>
      </c>
      <c r="TTU38" s="363"/>
      <c r="TTV38" s="363"/>
      <c r="TTW38" s="364" t="s">
        <v>140</v>
      </c>
      <c r="TTX38" s="365">
        <v>0.5</v>
      </c>
      <c r="TTY38" s="366" t="e">
        <f>10/TTU36</f>
        <v>#DIV/0!</v>
      </c>
      <c r="TTZ38" s="367">
        <v>15.38</v>
      </c>
      <c r="TUA38" s="367" t="e">
        <f>TTX38*TTY38*TTZ38</f>
        <v>#DIV/0!</v>
      </c>
      <c r="TUB38" s="363" t="s">
        <v>153</v>
      </c>
      <c r="TUC38" s="363"/>
      <c r="TUD38" s="363"/>
      <c r="TUE38" s="364" t="s">
        <v>140</v>
      </c>
      <c r="TUF38" s="365">
        <v>0.5</v>
      </c>
      <c r="TUG38" s="366" t="e">
        <f>10/TUC36</f>
        <v>#DIV/0!</v>
      </c>
      <c r="TUH38" s="367">
        <v>15.38</v>
      </c>
      <c r="TUI38" s="367" t="e">
        <f>TUF38*TUG38*TUH38</f>
        <v>#DIV/0!</v>
      </c>
      <c r="TUJ38" s="363" t="s">
        <v>153</v>
      </c>
      <c r="TUK38" s="363"/>
      <c r="TUL38" s="363"/>
      <c r="TUM38" s="364" t="s">
        <v>140</v>
      </c>
      <c r="TUN38" s="365">
        <v>0.5</v>
      </c>
      <c r="TUO38" s="366" t="e">
        <f>10/TUK36</f>
        <v>#DIV/0!</v>
      </c>
      <c r="TUP38" s="367">
        <v>15.38</v>
      </c>
      <c r="TUQ38" s="367" t="e">
        <f>TUN38*TUO38*TUP38</f>
        <v>#DIV/0!</v>
      </c>
      <c r="TUR38" s="363" t="s">
        <v>153</v>
      </c>
      <c r="TUS38" s="363"/>
      <c r="TUT38" s="363"/>
      <c r="TUU38" s="364" t="s">
        <v>140</v>
      </c>
      <c r="TUV38" s="365">
        <v>0.5</v>
      </c>
      <c r="TUW38" s="366" t="e">
        <f>10/TUS36</f>
        <v>#DIV/0!</v>
      </c>
      <c r="TUX38" s="367">
        <v>15.38</v>
      </c>
      <c r="TUY38" s="367" t="e">
        <f>TUV38*TUW38*TUX38</f>
        <v>#DIV/0!</v>
      </c>
      <c r="TUZ38" s="363" t="s">
        <v>153</v>
      </c>
      <c r="TVA38" s="363"/>
      <c r="TVB38" s="363"/>
      <c r="TVC38" s="364" t="s">
        <v>140</v>
      </c>
      <c r="TVD38" s="365">
        <v>0.5</v>
      </c>
      <c r="TVE38" s="366" t="e">
        <f>10/TVA36</f>
        <v>#DIV/0!</v>
      </c>
      <c r="TVF38" s="367">
        <v>15.38</v>
      </c>
      <c r="TVG38" s="367" t="e">
        <f>TVD38*TVE38*TVF38</f>
        <v>#DIV/0!</v>
      </c>
      <c r="TVH38" s="363" t="s">
        <v>153</v>
      </c>
      <c r="TVI38" s="363"/>
      <c r="TVJ38" s="363"/>
      <c r="TVK38" s="364" t="s">
        <v>140</v>
      </c>
      <c r="TVL38" s="365">
        <v>0.5</v>
      </c>
      <c r="TVM38" s="366" t="e">
        <f>10/TVI36</f>
        <v>#DIV/0!</v>
      </c>
      <c r="TVN38" s="367">
        <v>15.38</v>
      </c>
      <c r="TVO38" s="367" t="e">
        <f>TVL38*TVM38*TVN38</f>
        <v>#DIV/0!</v>
      </c>
      <c r="TVP38" s="363" t="s">
        <v>153</v>
      </c>
      <c r="TVQ38" s="363"/>
      <c r="TVR38" s="363"/>
      <c r="TVS38" s="364" t="s">
        <v>140</v>
      </c>
      <c r="TVT38" s="365">
        <v>0.5</v>
      </c>
      <c r="TVU38" s="366" t="e">
        <f>10/TVQ36</f>
        <v>#DIV/0!</v>
      </c>
      <c r="TVV38" s="367">
        <v>15.38</v>
      </c>
      <c r="TVW38" s="367" t="e">
        <f>TVT38*TVU38*TVV38</f>
        <v>#DIV/0!</v>
      </c>
      <c r="TVX38" s="363" t="s">
        <v>153</v>
      </c>
      <c r="TVY38" s="363"/>
      <c r="TVZ38" s="363"/>
      <c r="TWA38" s="364" t="s">
        <v>140</v>
      </c>
      <c r="TWB38" s="365">
        <v>0.5</v>
      </c>
      <c r="TWC38" s="366" t="e">
        <f>10/TVY36</f>
        <v>#DIV/0!</v>
      </c>
      <c r="TWD38" s="367">
        <v>15.38</v>
      </c>
      <c r="TWE38" s="367" t="e">
        <f>TWB38*TWC38*TWD38</f>
        <v>#DIV/0!</v>
      </c>
      <c r="TWF38" s="363" t="s">
        <v>153</v>
      </c>
      <c r="TWG38" s="363"/>
      <c r="TWH38" s="363"/>
      <c r="TWI38" s="364" t="s">
        <v>140</v>
      </c>
      <c r="TWJ38" s="365">
        <v>0.5</v>
      </c>
      <c r="TWK38" s="366" t="e">
        <f>10/TWG36</f>
        <v>#DIV/0!</v>
      </c>
      <c r="TWL38" s="367">
        <v>15.38</v>
      </c>
      <c r="TWM38" s="367" t="e">
        <f>TWJ38*TWK38*TWL38</f>
        <v>#DIV/0!</v>
      </c>
      <c r="TWN38" s="363" t="s">
        <v>153</v>
      </c>
      <c r="TWO38" s="363"/>
      <c r="TWP38" s="363"/>
      <c r="TWQ38" s="364" t="s">
        <v>140</v>
      </c>
      <c r="TWR38" s="365">
        <v>0.5</v>
      </c>
      <c r="TWS38" s="366" t="e">
        <f>10/TWO36</f>
        <v>#DIV/0!</v>
      </c>
      <c r="TWT38" s="367">
        <v>15.38</v>
      </c>
      <c r="TWU38" s="367" t="e">
        <f>TWR38*TWS38*TWT38</f>
        <v>#DIV/0!</v>
      </c>
      <c r="TWV38" s="363" t="s">
        <v>153</v>
      </c>
      <c r="TWW38" s="363"/>
      <c r="TWX38" s="363"/>
      <c r="TWY38" s="364" t="s">
        <v>140</v>
      </c>
      <c r="TWZ38" s="365">
        <v>0.5</v>
      </c>
      <c r="TXA38" s="366" t="e">
        <f>10/TWW36</f>
        <v>#DIV/0!</v>
      </c>
      <c r="TXB38" s="367">
        <v>15.38</v>
      </c>
      <c r="TXC38" s="367" t="e">
        <f>TWZ38*TXA38*TXB38</f>
        <v>#DIV/0!</v>
      </c>
      <c r="TXD38" s="363" t="s">
        <v>153</v>
      </c>
      <c r="TXE38" s="363"/>
      <c r="TXF38" s="363"/>
      <c r="TXG38" s="364" t="s">
        <v>140</v>
      </c>
      <c r="TXH38" s="365">
        <v>0.5</v>
      </c>
      <c r="TXI38" s="366" t="e">
        <f>10/TXE36</f>
        <v>#DIV/0!</v>
      </c>
      <c r="TXJ38" s="367">
        <v>15.38</v>
      </c>
      <c r="TXK38" s="367" t="e">
        <f>TXH38*TXI38*TXJ38</f>
        <v>#DIV/0!</v>
      </c>
      <c r="TXL38" s="363" t="s">
        <v>153</v>
      </c>
      <c r="TXM38" s="363"/>
      <c r="TXN38" s="363"/>
      <c r="TXO38" s="364" t="s">
        <v>140</v>
      </c>
      <c r="TXP38" s="365">
        <v>0.5</v>
      </c>
      <c r="TXQ38" s="366" t="e">
        <f>10/TXM36</f>
        <v>#DIV/0!</v>
      </c>
      <c r="TXR38" s="367">
        <v>15.38</v>
      </c>
      <c r="TXS38" s="367" t="e">
        <f>TXP38*TXQ38*TXR38</f>
        <v>#DIV/0!</v>
      </c>
      <c r="TXT38" s="363" t="s">
        <v>153</v>
      </c>
      <c r="TXU38" s="363"/>
      <c r="TXV38" s="363"/>
      <c r="TXW38" s="364" t="s">
        <v>140</v>
      </c>
      <c r="TXX38" s="365">
        <v>0.5</v>
      </c>
      <c r="TXY38" s="366" t="e">
        <f>10/TXU36</f>
        <v>#DIV/0!</v>
      </c>
      <c r="TXZ38" s="367">
        <v>15.38</v>
      </c>
      <c r="TYA38" s="367" t="e">
        <f>TXX38*TXY38*TXZ38</f>
        <v>#DIV/0!</v>
      </c>
      <c r="TYB38" s="363" t="s">
        <v>153</v>
      </c>
      <c r="TYC38" s="363"/>
      <c r="TYD38" s="363"/>
      <c r="TYE38" s="364" t="s">
        <v>140</v>
      </c>
      <c r="TYF38" s="365">
        <v>0.5</v>
      </c>
      <c r="TYG38" s="366" t="e">
        <f>10/TYC36</f>
        <v>#DIV/0!</v>
      </c>
      <c r="TYH38" s="367">
        <v>15.38</v>
      </c>
      <c r="TYI38" s="367" t="e">
        <f>TYF38*TYG38*TYH38</f>
        <v>#DIV/0!</v>
      </c>
      <c r="TYJ38" s="363" t="s">
        <v>153</v>
      </c>
      <c r="TYK38" s="363"/>
      <c r="TYL38" s="363"/>
      <c r="TYM38" s="364" t="s">
        <v>140</v>
      </c>
      <c r="TYN38" s="365">
        <v>0.5</v>
      </c>
      <c r="TYO38" s="366" t="e">
        <f>10/TYK36</f>
        <v>#DIV/0!</v>
      </c>
      <c r="TYP38" s="367">
        <v>15.38</v>
      </c>
      <c r="TYQ38" s="367" t="e">
        <f>TYN38*TYO38*TYP38</f>
        <v>#DIV/0!</v>
      </c>
      <c r="TYR38" s="363" t="s">
        <v>153</v>
      </c>
      <c r="TYS38" s="363"/>
      <c r="TYT38" s="363"/>
      <c r="TYU38" s="364" t="s">
        <v>140</v>
      </c>
      <c r="TYV38" s="365">
        <v>0.5</v>
      </c>
      <c r="TYW38" s="366" t="e">
        <f>10/TYS36</f>
        <v>#DIV/0!</v>
      </c>
      <c r="TYX38" s="367">
        <v>15.38</v>
      </c>
      <c r="TYY38" s="367" t="e">
        <f>TYV38*TYW38*TYX38</f>
        <v>#DIV/0!</v>
      </c>
      <c r="TYZ38" s="363" t="s">
        <v>153</v>
      </c>
      <c r="TZA38" s="363"/>
      <c r="TZB38" s="363"/>
      <c r="TZC38" s="364" t="s">
        <v>140</v>
      </c>
      <c r="TZD38" s="365">
        <v>0.5</v>
      </c>
      <c r="TZE38" s="366" t="e">
        <f>10/TZA36</f>
        <v>#DIV/0!</v>
      </c>
      <c r="TZF38" s="367">
        <v>15.38</v>
      </c>
      <c r="TZG38" s="367" t="e">
        <f>TZD38*TZE38*TZF38</f>
        <v>#DIV/0!</v>
      </c>
      <c r="TZH38" s="363" t="s">
        <v>153</v>
      </c>
      <c r="TZI38" s="363"/>
      <c r="TZJ38" s="363"/>
      <c r="TZK38" s="364" t="s">
        <v>140</v>
      </c>
      <c r="TZL38" s="365">
        <v>0.5</v>
      </c>
      <c r="TZM38" s="366" t="e">
        <f>10/TZI36</f>
        <v>#DIV/0!</v>
      </c>
      <c r="TZN38" s="367">
        <v>15.38</v>
      </c>
      <c r="TZO38" s="367" t="e">
        <f>TZL38*TZM38*TZN38</f>
        <v>#DIV/0!</v>
      </c>
      <c r="TZP38" s="363" t="s">
        <v>153</v>
      </c>
      <c r="TZQ38" s="363"/>
      <c r="TZR38" s="363"/>
      <c r="TZS38" s="364" t="s">
        <v>140</v>
      </c>
      <c r="TZT38" s="365">
        <v>0.5</v>
      </c>
      <c r="TZU38" s="366" t="e">
        <f>10/TZQ36</f>
        <v>#DIV/0!</v>
      </c>
      <c r="TZV38" s="367">
        <v>15.38</v>
      </c>
      <c r="TZW38" s="367" t="e">
        <f>TZT38*TZU38*TZV38</f>
        <v>#DIV/0!</v>
      </c>
      <c r="TZX38" s="363" t="s">
        <v>153</v>
      </c>
      <c r="TZY38" s="363"/>
      <c r="TZZ38" s="363"/>
      <c r="UAA38" s="364" t="s">
        <v>140</v>
      </c>
      <c r="UAB38" s="365">
        <v>0.5</v>
      </c>
      <c r="UAC38" s="366" t="e">
        <f>10/TZY36</f>
        <v>#DIV/0!</v>
      </c>
      <c r="UAD38" s="367">
        <v>15.38</v>
      </c>
      <c r="UAE38" s="367" t="e">
        <f>UAB38*UAC38*UAD38</f>
        <v>#DIV/0!</v>
      </c>
      <c r="UAF38" s="363" t="s">
        <v>153</v>
      </c>
      <c r="UAG38" s="363"/>
      <c r="UAH38" s="363"/>
      <c r="UAI38" s="364" t="s">
        <v>140</v>
      </c>
      <c r="UAJ38" s="365">
        <v>0.5</v>
      </c>
      <c r="UAK38" s="366" t="e">
        <f>10/UAG36</f>
        <v>#DIV/0!</v>
      </c>
      <c r="UAL38" s="367">
        <v>15.38</v>
      </c>
      <c r="UAM38" s="367" t="e">
        <f>UAJ38*UAK38*UAL38</f>
        <v>#DIV/0!</v>
      </c>
      <c r="UAN38" s="363" t="s">
        <v>153</v>
      </c>
      <c r="UAO38" s="363"/>
      <c r="UAP38" s="363"/>
      <c r="UAQ38" s="364" t="s">
        <v>140</v>
      </c>
      <c r="UAR38" s="365">
        <v>0.5</v>
      </c>
      <c r="UAS38" s="366" t="e">
        <f>10/UAO36</f>
        <v>#DIV/0!</v>
      </c>
      <c r="UAT38" s="367">
        <v>15.38</v>
      </c>
      <c r="UAU38" s="367" t="e">
        <f>UAR38*UAS38*UAT38</f>
        <v>#DIV/0!</v>
      </c>
      <c r="UAV38" s="363" t="s">
        <v>153</v>
      </c>
      <c r="UAW38" s="363"/>
      <c r="UAX38" s="363"/>
      <c r="UAY38" s="364" t="s">
        <v>140</v>
      </c>
      <c r="UAZ38" s="365">
        <v>0.5</v>
      </c>
      <c r="UBA38" s="366" t="e">
        <f>10/UAW36</f>
        <v>#DIV/0!</v>
      </c>
      <c r="UBB38" s="367">
        <v>15.38</v>
      </c>
      <c r="UBC38" s="367" t="e">
        <f>UAZ38*UBA38*UBB38</f>
        <v>#DIV/0!</v>
      </c>
      <c r="UBD38" s="363" t="s">
        <v>153</v>
      </c>
      <c r="UBE38" s="363"/>
      <c r="UBF38" s="363"/>
      <c r="UBG38" s="364" t="s">
        <v>140</v>
      </c>
      <c r="UBH38" s="365">
        <v>0.5</v>
      </c>
      <c r="UBI38" s="366" t="e">
        <f>10/UBE36</f>
        <v>#DIV/0!</v>
      </c>
      <c r="UBJ38" s="367">
        <v>15.38</v>
      </c>
      <c r="UBK38" s="367" t="e">
        <f>UBH38*UBI38*UBJ38</f>
        <v>#DIV/0!</v>
      </c>
      <c r="UBL38" s="363" t="s">
        <v>153</v>
      </c>
      <c r="UBM38" s="363"/>
      <c r="UBN38" s="363"/>
      <c r="UBO38" s="364" t="s">
        <v>140</v>
      </c>
      <c r="UBP38" s="365">
        <v>0.5</v>
      </c>
      <c r="UBQ38" s="366" t="e">
        <f>10/UBM36</f>
        <v>#DIV/0!</v>
      </c>
      <c r="UBR38" s="367">
        <v>15.38</v>
      </c>
      <c r="UBS38" s="367" t="e">
        <f>UBP38*UBQ38*UBR38</f>
        <v>#DIV/0!</v>
      </c>
      <c r="UBT38" s="363" t="s">
        <v>153</v>
      </c>
      <c r="UBU38" s="363"/>
      <c r="UBV38" s="363"/>
      <c r="UBW38" s="364" t="s">
        <v>140</v>
      </c>
      <c r="UBX38" s="365">
        <v>0.5</v>
      </c>
      <c r="UBY38" s="366" t="e">
        <f>10/UBU36</f>
        <v>#DIV/0!</v>
      </c>
      <c r="UBZ38" s="367">
        <v>15.38</v>
      </c>
      <c r="UCA38" s="367" t="e">
        <f>UBX38*UBY38*UBZ38</f>
        <v>#DIV/0!</v>
      </c>
      <c r="UCB38" s="363" t="s">
        <v>153</v>
      </c>
      <c r="UCC38" s="363"/>
      <c r="UCD38" s="363"/>
      <c r="UCE38" s="364" t="s">
        <v>140</v>
      </c>
      <c r="UCF38" s="365">
        <v>0.5</v>
      </c>
      <c r="UCG38" s="366" t="e">
        <f>10/UCC36</f>
        <v>#DIV/0!</v>
      </c>
      <c r="UCH38" s="367">
        <v>15.38</v>
      </c>
      <c r="UCI38" s="367" t="e">
        <f>UCF38*UCG38*UCH38</f>
        <v>#DIV/0!</v>
      </c>
      <c r="UCJ38" s="363" t="s">
        <v>153</v>
      </c>
      <c r="UCK38" s="363"/>
      <c r="UCL38" s="363"/>
      <c r="UCM38" s="364" t="s">
        <v>140</v>
      </c>
      <c r="UCN38" s="365">
        <v>0.5</v>
      </c>
      <c r="UCO38" s="366" t="e">
        <f>10/UCK36</f>
        <v>#DIV/0!</v>
      </c>
      <c r="UCP38" s="367">
        <v>15.38</v>
      </c>
      <c r="UCQ38" s="367" t="e">
        <f>UCN38*UCO38*UCP38</f>
        <v>#DIV/0!</v>
      </c>
      <c r="UCR38" s="363" t="s">
        <v>153</v>
      </c>
      <c r="UCS38" s="363"/>
      <c r="UCT38" s="363"/>
      <c r="UCU38" s="364" t="s">
        <v>140</v>
      </c>
      <c r="UCV38" s="365">
        <v>0.5</v>
      </c>
      <c r="UCW38" s="366" t="e">
        <f>10/UCS36</f>
        <v>#DIV/0!</v>
      </c>
      <c r="UCX38" s="367">
        <v>15.38</v>
      </c>
      <c r="UCY38" s="367" t="e">
        <f>UCV38*UCW38*UCX38</f>
        <v>#DIV/0!</v>
      </c>
      <c r="UCZ38" s="363" t="s">
        <v>153</v>
      </c>
      <c r="UDA38" s="363"/>
      <c r="UDB38" s="363"/>
      <c r="UDC38" s="364" t="s">
        <v>140</v>
      </c>
      <c r="UDD38" s="365">
        <v>0.5</v>
      </c>
      <c r="UDE38" s="366" t="e">
        <f>10/UDA36</f>
        <v>#DIV/0!</v>
      </c>
      <c r="UDF38" s="367">
        <v>15.38</v>
      </c>
      <c r="UDG38" s="367" t="e">
        <f>UDD38*UDE38*UDF38</f>
        <v>#DIV/0!</v>
      </c>
      <c r="UDH38" s="363" t="s">
        <v>153</v>
      </c>
      <c r="UDI38" s="363"/>
      <c r="UDJ38" s="363"/>
      <c r="UDK38" s="364" t="s">
        <v>140</v>
      </c>
      <c r="UDL38" s="365">
        <v>0.5</v>
      </c>
      <c r="UDM38" s="366" t="e">
        <f>10/UDI36</f>
        <v>#DIV/0!</v>
      </c>
      <c r="UDN38" s="367">
        <v>15.38</v>
      </c>
      <c r="UDO38" s="367" t="e">
        <f>UDL38*UDM38*UDN38</f>
        <v>#DIV/0!</v>
      </c>
      <c r="UDP38" s="363" t="s">
        <v>153</v>
      </c>
      <c r="UDQ38" s="363"/>
      <c r="UDR38" s="363"/>
      <c r="UDS38" s="364" t="s">
        <v>140</v>
      </c>
      <c r="UDT38" s="365">
        <v>0.5</v>
      </c>
      <c r="UDU38" s="366" t="e">
        <f>10/UDQ36</f>
        <v>#DIV/0!</v>
      </c>
      <c r="UDV38" s="367">
        <v>15.38</v>
      </c>
      <c r="UDW38" s="367" t="e">
        <f>UDT38*UDU38*UDV38</f>
        <v>#DIV/0!</v>
      </c>
      <c r="UDX38" s="363" t="s">
        <v>153</v>
      </c>
      <c r="UDY38" s="363"/>
      <c r="UDZ38" s="363"/>
      <c r="UEA38" s="364" t="s">
        <v>140</v>
      </c>
      <c r="UEB38" s="365">
        <v>0.5</v>
      </c>
      <c r="UEC38" s="366" t="e">
        <f>10/UDY36</f>
        <v>#DIV/0!</v>
      </c>
      <c r="UED38" s="367">
        <v>15.38</v>
      </c>
      <c r="UEE38" s="367" t="e">
        <f>UEB38*UEC38*UED38</f>
        <v>#DIV/0!</v>
      </c>
      <c r="UEF38" s="363" t="s">
        <v>153</v>
      </c>
      <c r="UEG38" s="363"/>
      <c r="UEH38" s="363"/>
      <c r="UEI38" s="364" t="s">
        <v>140</v>
      </c>
      <c r="UEJ38" s="365">
        <v>0.5</v>
      </c>
      <c r="UEK38" s="366" t="e">
        <f>10/UEG36</f>
        <v>#DIV/0!</v>
      </c>
      <c r="UEL38" s="367">
        <v>15.38</v>
      </c>
      <c r="UEM38" s="367" t="e">
        <f>UEJ38*UEK38*UEL38</f>
        <v>#DIV/0!</v>
      </c>
      <c r="UEN38" s="363" t="s">
        <v>153</v>
      </c>
      <c r="UEO38" s="363"/>
      <c r="UEP38" s="363"/>
      <c r="UEQ38" s="364" t="s">
        <v>140</v>
      </c>
      <c r="UER38" s="365">
        <v>0.5</v>
      </c>
      <c r="UES38" s="366" t="e">
        <f>10/UEO36</f>
        <v>#DIV/0!</v>
      </c>
      <c r="UET38" s="367">
        <v>15.38</v>
      </c>
      <c r="UEU38" s="367" t="e">
        <f>UER38*UES38*UET38</f>
        <v>#DIV/0!</v>
      </c>
      <c r="UEV38" s="363" t="s">
        <v>153</v>
      </c>
      <c r="UEW38" s="363"/>
      <c r="UEX38" s="363"/>
      <c r="UEY38" s="364" t="s">
        <v>140</v>
      </c>
      <c r="UEZ38" s="365">
        <v>0.5</v>
      </c>
      <c r="UFA38" s="366" t="e">
        <f>10/UEW36</f>
        <v>#DIV/0!</v>
      </c>
      <c r="UFB38" s="367">
        <v>15.38</v>
      </c>
      <c r="UFC38" s="367" t="e">
        <f>UEZ38*UFA38*UFB38</f>
        <v>#DIV/0!</v>
      </c>
      <c r="UFD38" s="363" t="s">
        <v>153</v>
      </c>
      <c r="UFE38" s="363"/>
      <c r="UFF38" s="363"/>
      <c r="UFG38" s="364" t="s">
        <v>140</v>
      </c>
      <c r="UFH38" s="365">
        <v>0.5</v>
      </c>
      <c r="UFI38" s="366" t="e">
        <f>10/UFE36</f>
        <v>#DIV/0!</v>
      </c>
      <c r="UFJ38" s="367">
        <v>15.38</v>
      </c>
      <c r="UFK38" s="367" t="e">
        <f>UFH38*UFI38*UFJ38</f>
        <v>#DIV/0!</v>
      </c>
      <c r="UFL38" s="363" t="s">
        <v>153</v>
      </c>
      <c r="UFM38" s="363"/>
      <c r="UFN38" s="363"/>
      <c r="UFO38" s="364" t="s">
        <v>140</v>
      </c>
      <c r="UFP38" s="365">
        <v>0.5</v>
      </c>
      <c r="UFQ38" s="366" t="e">
        <f>10/UFM36</f>
        <v>#DIV/0!</v>
      </c>
      <c r="UFR38" s="367">
        <v>15.38</v>
      </c>
      <c r="UFS38" s="367" t="e">
        <f>UFP38*UFQ38*UFR38</f>
        <v>#DIV/0!</v>
      </c>
      <c r="UFT38" s="363" t="s">
        <v>153</v>
      </c>
      <c r="UFU38" s="363"/>
      <c r="UFV38" s="363"/>
      <c r="UFW38" s="364" t="s">
        <v>140</v>
      </c>
      <c r="UFX38" s="365">
        <v>0.5</v>
      </c>
      <c r="UFY38" s="366" t="e">
        <f>10/UFU36</f>
        <v>#DIV/0!</v>
      </c>
      <c r="UFZ38" s="367">
        <v>15.38</v>
      </c>
      <c r="UGA38" s="367" t="e">
        <f>UFX38*UFY38*UFZ38</f>
        <v>#DIV/0!</v>
      </c>
      <c r="UGB38" s="363" t="s">
        <v>153</v>
      </c>
      <c r="UGC38" s="363"/>
      <c r="UGD38" s="363"/>
      <c r="UGE38" s="364" t="s">
        <v>140</v>
      </c>
      <c r="UGF38" s="365">
        <v>0.5</v>
      </c>
      <c r="UGG38" s="366" t="e">
        <f>10/UGC36</f>
        <v>#DIV/0!</v>
      </c>
      <c r="UGH38" s="367">
        <v>15.38</v>
      </c>
      <c r="UGI38" s="367" t="e">
        <f>UGF38*UGG38*UGH38</f>
        <v>#DIV/0!</v>
      </c>
      <c r="UGJ38" s="363" t="s">
        <v>153</v>
      </c>
      <c r="UGK38" s="363"/>
      <c r="UGL38" s="363"/>
      <c r="UGM38" s="364" t="s">
        <v>140</v>
      </c>
      <c r="UGN38" s="365">
        <v>0.5</v>
      </c>
      <c r="UGO38" s="366" t="e">
        <f>10/UGK36</f>
        <v>#DIV/0!</v>
      </c>
      <c r="UGP38" s="367">
        <v>15.38</v>
      </c>
      <c r="UGQ38" s="367" t="e">
        <f>UGN38*UGO38*UGP38</f>
        <v>#DIV/0!</v>
      </c>
      <c r="UGR38" s="363" t="s">
        <v>153</v>
      </c>
      <c r="UGS38" s="363"/>
      <c r="UGT38" s="363"/>
      <c r="UGU38" s="364" t="s">
        <v>140</v>
      </c>
      <c r="UGV38" s="365">
        <v>0.5</v>
      </c>
      <c r="UGW38" s="366" t="e">
        <f>10/UGS36</f>
        <v>#DIV/0!</v>
      </c>
      <c r="UGX38" s="367">
        <v>15.38</v>
      </c>
      <c r="UGY38" s="367" t="e">
        <f>UGV38*UGW38*UGX38</f>
        <v>#DIV/0!</v>
      </c>
      <c r="UGZ38" s="363" t="s">
        <v>153</v>
      </c>
      <c r="UHA38" s="363"/>
      <c r="UHB38" s="363"/>
      <c r="UHC38" s="364" t="s">
        <v>140</v>
      </c>
      <c r="UHD38" s="365">
        <v>0.5</v>
      </c>
      <c r="UHE38" s="366" t="e">
        <f>10/UHA36</f>
        <v>#DIV/0!</v>
      </c>
      <c r="UHF38" s="367">
        <v>15.38</v>
      </c>
      <c r="UHG38" s="367" t="e">
        <f>UHD38*UHE38*UHF38</f>
        <v>#DIV/0!</v>
      </c>
      <c r="UHH38" s="363" t="s">
        <v>153</v>
      </c>
      <c r="UHI38" s="363"/>
      <c r="UHJ38" s="363"/>
      <c r="UHK38" s="364" t="s">
        <v>140</v>
      </c>
      <c r="UHL38" s="365">
        <v>0.5</v>
      </c>
      <c r="UHM38" s="366" t="e">
        <f>10/UHI36</f>
        <v>#DIV/0!</v>
      </c>
      <c r="UHN38" s="367">
        <v>15.38</v>
      </c>
      <c r="UHO38" s="367" t="e">
        <f>UHL38*UHM38*UHN38</f>
        <v>#DIV/0!</v>
      </c>
      <c r="UHP38" s="363" t="s">
        <v>153</v>
      </c>
      <c r="UHQ38" s="363"/>
      <c r="UHR38" s="363"/>
      <c r="UHS38" s="364" t="s">
        <v>140</v>
      </c>
      <c r="UHT38" s="365">
        <v>0.5</v>
      </c>
      <c r="UHU38" s="366" t="e">
        <f>10/UHQ36</f>
        <v>#DIV/0!</v>
      </c>
      <c r="UHV38" s="367">
        <v>15.38</v>
      </c>
      <c r="UHW38" s="367" t="e">
        <f>UHT38*UHU38*UHV38</f>
        <v>#DIV/0!</v>
      </c>
      <c r="UHX38" s="363" t="s">
        <v>153</v>
      </c>
      <c r="UHY38" s="363"/>
      <c r="UHZ38" s="363"/>
      <c r="UIA38" s="364" t="s">
        <v>140</v>
      </c>
      <c r="UIB38" s="365">
        <v>0.5</v>
      </c>
      <c r="UIC38" s="366" t="e">
        <f>10/UHY36</f>
        <v>#DIV/0!</v>
      </c>
      <c r="UID38" s="367">
        <v>15.38</v>
      </c>
      <c r="UIE38" s="367" t="e">
        <f>UIB38*UIC38*UID38</f>
        <v>#DIV/0!</v>
      </c>
      <c r="UIF38" s="363" t="s">
        <v>153</v>
      </c>
      <c r="UIG38" s="363"/>
      <c r="UIH38" s="363"/>
      <c r="UII38" s="364" t="s">
        <v>140</v>
      </c>
      <c r="UIJ38" s="365">
        <v>0.5</v>
      </c>
      <c r="UIK38" s="366" t="e">
        <f>10/UIG36</f>
        <v>#DIV/0!</v>
      </c>
      <c r="UIL38" s="367">
        <v>15.38</v>
      </c>
      <c r="UIM38" s="367" t="e">
        <f>UIJ38*UIK38*UIL38</f>
        <v>#DIV/0!</v>
      </c>
      <c r="UIN38" s="363" t="s">
        <v>153</v>
      </c>
      <c r="UIO38" s="363"/>
      <c r="UIP38" s="363"/>
      <c r="UIQ38" s="364" t="s">
        <v>140</v>
      </c>
      <c r="UIR38" s="365">
        <v>0.5</v>
      </c>
      <c r="UIS38" s="366" t="e">
        <f>10/UIO36</f>
        <v>#DIV/0!</v>
      </c>
      <c r="UIT38" s="367">
        <v>15.38</v>
      </c>
      <c r="UIU38" s="367" t="e">
        <f>UIR38*UIS38*UIT38</f>
        <v>#DIV/0!</v>
      </c>
      <c r="UIV38" s="363" t="s">
        <v>153</v>
      </c>
      <c r="UIW38" s="363"/>
      <c r="UIX38" s="363"/>
      <c r="UIY38" s="364" t="s">
        <v>140</v>
      </c>
      <c r="UIZ38" s="365">
        <v>0.5</v>
      </c>
      <c r="UJA38" s="366" t="e">
        <f>10/UIW36</f>
        <v>#DIV/0!</v>
      </c>
      <c r="UJB38" s="367">
        <v>15.38</v>
      </c>
      <c r="UJC38" s="367" t="e">
        <f>UIZ38*UJA38*UJB38</f>
        <v>#DIV/0!</v>
      </c>
      <c r="UJD38" s="363" t="s">
        <v>153</v>
      </c>
      <c r="UJE38" s="363"/>
      <c r="UJF38" s="363"/>
      <c r="UJG38" s="364" t="s">
        <v>140</v>
      </c>
      <c r="UJH38" s="365">
        <v>0.5</v>
      </c>
      <c r="UJI38" s="366" t="e">
        <f>10/UJE36</f>
        <v>#DIV/0!</v>
      </c>
      <c r="UJJ38" s="367">
        <v>15.38</v>
      </c>
      <c r="UJK38" s="367" t="e">
        <f>UJH38*UJI38*UJJ38</f>
        <v>#DIV/0!</v>
      </c>
      <c r="UJL38" s="363" t="s">
        <v>153</v>
      </c>
      <c r="UJM38" s="363"/>
      <c r="UJN38" s="363"/>
      <c r="UJO38" s="364" t="s">
        <v>140</v>
      </c>
      <c r="UJP38" s="365">
        <v>0.5</v>
      </c>
      <c r="UJQ38" s="366" t="e">
        <f>10/UJM36</f>
        <v>#DIV/0!</v>
      </c>
      <c r="UJR38" s="367">
        <v>15.38</v>
      </c>
      <c r="UJS38" s="367" t="e">
        <f>UJP38*UJQ38*UJR38</f>
        <v>#DIV/0!</v>
      </c>
      <c r="UJT38" s="363" t="s">
        <v>153</v>
      </c>
      <c r="UJU38" s="363"/>
      <c r="UJV38" s="363"/>
      <c r="UJW38" s="364" t="s">
        <v>140</v>
      </c>
      <c r="UJX38" s="365">
        <v>0.5</v>
      </c>
      <c r="UJY38" s="366" t="e">
        <f>10/UJU36</f>
        <v>#DIV/0!</v>
      </c>
      <c r="UJZ38" s="367">
        <v>15.38</v>
      </c>
      <c r="UKA38" s="367" t="e">
        <f>UJX38*UJY38*UJZ38</f>
        <v>#DIV/0!</v>
      </c>
      <c r="UKB38" s="363" t="s">
        <v>153</v>
      </c>
      <c r="UKC38" s="363"/>
      <c r="UKD38" s="363"/>
      <c r="UKE38" s="364" t="s">
        <v>140</v>
      </c>
      <c r="UKF38" s="365">
        <v>0.5</v>
      </c>
      <c r="UKG38" s="366" t="e">
        <f>10/UKC36</f>
        <v>#DIV/0!</v>
      </c>
      <c r="UKH38" s="367">
        <v>15.38</v>
      </c>
      <c r="UKI38" s="367" t="e">
        <f>UKF38*UKG38*UKH38</f>
        <v>#DIV/0!</v>
      </c>
      <c r="UKJ38" s="363" t="s">
        <v>153</v>
      </c>
      <c r="UKK38" s="363"/>
      <c r="UKL38" s="363"/>
      <c r="UKM38" s="364" t="s">
        <v>140</v>
      </c>
      <c r="UKN38" s="365">
        <v>0.5</v>
      </c>
      <c r="UKO38" s="366" t="e">
        <f>10/UKK36</f>
        <v>#DIV/0!</v>
      </c>
      <c r="UKP38" s="367">
        <v>15.38</v>
      </c>
      <c r="UKQ38" s="367" t="e">
        <f>UKN38*UKO38*UKP38</f>
        <v>#DIV/0!</v>
      </c>
      <c r="UKR38" s="363" t="s">
        <v>153</v>
      </c>
      <c r="UKS38" s="363"/>
      <c r="UKT38" s="363"/>
      <c r="UKU38" s="364" t="s">
        <v>140</v>
      </c>
      <c r="UKV38" s="365">
        <v>0.5</v>
      </c>
      <c r="UKW38" s="366" t="e">
        <f>10/UKS36</f>
        <v>#DIV/0!</v>
      </c>
      <c r="UKX38" s="367">
        <v>15.38</v>
      </c>
      <c r="UKY38" s="367" t="e">
        <f>UKV38*UKW38*UKX38</f>
        <v>#DIV/0!</v>
      </c>
      <c r="UKZ38" s="363" t="s">
        <v>153</v>
      </c>
      <c r="ULA38" s="363"/>
      <c r="ULB38" s="363"/>
      <c r="ULC38" s="364" t="s">
        <v>140</v>
      </c>
      <c r="ULD38" s="365">
        <v>0.5</v>
      </c>
      <c r="ULE38" s="366" t="e">
        <f>10/ULA36</f>
        <v>#DIV/0!</v>
      </c>
      <c r="ULF38" s="367">
        <v>15.38</v>
      </c>
      <c r="ULG38" s="367" t="e">
        <f>ULD38*ULE38*ULF38</f>
        <v>#DIV/0!</v>
      </c>
      <c r="ULH38" s="363" t="s">
        <v>153</v>
      </c>
      <c r="ULI38" s="363"/>
      <c r="ULJ38" s="363"/>
      <c r="ULK38" s="364" t="s">
        <v>140</v>
      </c>
      <c r="ULL38" s="365">
        <v>0.5</v>
      </c>
      <c r="ULM38" s="366" t="e">
        <f>10/ULI36</f>
        <v>#DIV/0!</v>
      </c>
      <c r="ULN38" s="367">
        <v>15.38</v>
      </c>
      <c r="ULO38" s="367" t="e">
        <f>ULL38*ULM38*ULN38</f>
        <v>#DIV/0!</v>
      </c>
      <c r="ULP38" s="363" t="s">
        <v>153</v>
      </c>
      <c r="ULQ38" s="363"/>
      <c r="ULR38" s="363"/>
      <c r="ULS38" s="364" t="s">
        <v>140</v>
      </c>
      <c r="ULT38" s="365">
        <v>0.5</v>
      </c>
      <c r="ULU38" s="366" t="e">
        <f>10/ULQ36</f>
        <v>#DIV/0!</v>
      </c>
      <c r="ULV38" s="367">
        <v>15.38</v>
      </c>
      <c r="ULW38" s="367" t="e">
        <f>ULT38*ULU38*ULV38</f>
        <v>#DIV/0!</v>
      </c>
      <c r="ULX38" s="363" t="s">
        <v>153</v>
      </c>
      <c r="ULY38" s="363"/>
      <c r="ULZ38" s="363"/>
      <c r="UMA38" s="364" t="s">
        <v>140</v>
      </c>
      <c r="UMB38" s="365">
        <v>0.5</v>
      </c>
      <c r="UMC38" s="366" t="e">
        <f>10/ULY36</f>
        <v>#DIV/0!</v>
      </c>
      <c r="UMD38" s="367">
        <v>15.38</v>
      </c>
      <c r="UME38" s="367" t="e">
        <f>UMB38*UMC38*UMD38</f>
        <v>#DIV/0!</v>
      </c>
      <c r="UMF38" s="363" t="s">
        <v>153</v>
      </c>
      <c r="UMG38" s="363"/>
      <c r="UMH38" s="363"/>
      <c r="UMI38" s="364" t="s">
        <v>140</v>
      </c>
      <c r="UMJ38" s="365">
        <v>0.5</v>
      </c>
      <c r="UMK38" s="366" t="e">
        <f>10/UMG36</f>
        <v>#DIV/0!</v>
      </c>
      <c r="UML38" s="367">
        <v>15.38</v>
      </c>
      <c r="UMM38" s="367" t="e">
        <f>UMJ38*UMK38*UML38</f>
        <v>#DIV/0!</v>
      </c>
      <c r="UMN38" s="363" t="s">
        <v>153</v>
      </c>
      <c r="UMO38" s="363"/>
      <c r="UMP38" s="363"/>
      <c r="UMQ38" s="364" t="s">
        <v>140</v>
      </c>
      <c r="UMR38" s="365">
        <v>0.5</v>
      </c>
      <c r="UMS38" s="366" t="e">
        <f>10/UMO36</f>
        <v>#DIV/0!</v>
      </c>
      <c r="UMT38" s="367">
        <v>15.38</v>
      </c>
      <c r="UMU38" s="367" t="e">
        <f>UMR38*UMS38*UMT38</f>
        <v>#DIV/0!</v>
      </c>
      <c r="UMV38" s="363" t="s">
        <v>153</v>
      </c>
      <c r="UMW38" s="363"/>
      <c r="UMX38" s="363"/>
      <c r="UMY38" s="364" t="s">
        <v>140</v>
      </c>
      <c r="UMZ38" s="365">
        <v>0.5</v>
      </c>
      <c r="UNA38" s="366" t="e">
        <f>10/UMW36</f>
        <v>#DIV/0!</v>
      </c>
      <c r="UNB38" s="367">
        <v>15.38</v>
      </c>
      <c r="UNC38" s="367" t="e">
        <f>UMZ38*UNA38*UNB38</f>
        <v>#DIV/0!</v>
      </c>
      <c r="UND38" s="363" t="s">
        <v>153</v>
      </c>
      <c r="UNE38" s="363"/>
      <c r="UNF38" s="363"/>
      <c r="UNG38" s="364" t="s">
        <v>140</v>
      </c>
      <c r="UNH38" s="365">
        <v>0.5</v>
      </c>
      <c r="UNI38" s="366" t="e">
        <f>10/UNE36</f>
        <v>#DIV/0!</v>
      </c>
      <c r="UNJ38" s="367">
        <v>15.38</v>
      </c>
      <c r="UNK38" s="367" t="e">
        <f>UNH38*UNI38*UNJ38</f>
        <v>#DIV/0!</v>
      </c>
      <c r="UNL38" s="363" t="s">
        <v>153</v>
      </c>
      <c r="UNM38" s="363"/>
      <c r="UNN38" s="363"/>
      <c r="UNO38" s="364" t="s">
        <v>140</v>
      </c>
      <c r="UNP38" s="365">
        <v>0.5</v>
      </c>
      <c r="UNQ38" s="366" t="e">
        <f>10/UNM36</f>
        <v>#DIV/0!</v>
      </c>
      <c r="UNR38" s="367">
        <v>15.38</v>
      </c>
      <c r="UNS38" s="367" t="e">
        <f>UNP38*UNQ38*UNR38</f>
        <v>#DIV/0!</v>
      </c>
      <c r="UNT38" s="363" t="s">
        <v>153</v>
      </c>
      <c r="UNU38" s="363"/>
      <c r="UNV38" s="363"/>
      <c r="UNW38" s="364" t="s">
        <v>140</v>
      </c>
      <c r="UNX38" s="365">
        <v>0.5</v>
      </c>
      <c r="UNY38" s="366" t="e">
        <f>10/UNU36</f>
        <v>#DIV/0!</v>
      </c>
      <c r="UNZ38" s="367">
        <v>15.38</v>
      </c>
      <c r="UOA38" s="367" t="e">
        <f>UNX38*UNY38*UNZ38</f>
        <v>#DIV/0!</v>
      </c>
      <c r="UOB38" s="363" t="s">
        <v>153</v>
      </c>
      <c r="UOC38" s="363"/>
      <c r="UOD38" s="363"/>
      <c r="UOE38" s="364" t="s">
        <v>140</v>
      </c>
      <c r="UOF38" s="365">
        <v>0.5</v>
      </c>
      <c r="UOG38" s="366" t="e">
        <f>10/UOC36</f>
        <v>#DIV/0!</v>
      </c>
      <c r="UOH38" s="367">
        <v>15.38</v>
      </c>
      <c r="UOI38" s="367" t="e">
        <f>UOF38*UOG38*UOH38</f>
        <v>#DIV/0!</v>
      </c>
      <c r="UOJ38" s="363" t="s">
        <v>153</v>
      </c>
      <c r="UOK38" s="363"/>
      <c r="UOL38" s="363"/>
      <c r="UOM38" s="364" t="s">
        <v>140</v>
      </c>
      <c r="UON38" s="365">
        <v>0.5</v>
      </c>
      <c r="UOO38" s="366" t="e">
        <f>10/UOK36</f>
        <v>#DIV/0!</v>
      </c>
      <c r="UOP38" s="367">
        <v>15.38</v>
      </c>
      <c r="UOQ38" s="367" t="e">
        <f>UON38*UOO38*UOP38</f>
        <v>#DIV/0!</v>
      </c>
      <c r="UOR38" s="363" t="s">
        <v>153</v>
      </c>
      <c r="UOS38" s="363"/>
      <c r="UOT38" s="363"/>
      <c r="UOU38" s="364" t="s">
        <v>140</v>
      </c>
      <c r="UOV38" s="365">
        <v>0.5</v>
      </c>
      <c r="UOW38" s="366" t="e">
        <f>10/UOS36</f>
        <v>#DIV/0!</v>
      </c>
      <c r="UOX38" s="367">
        <v>15.38</v>
      </c>
      <c r="UOY38" s="367" t="e">
        <f>UOV38*UOW38*UOX38</f>
        <v>#DIV/0!</v>
      </c>
      <c r="UOZ38" s="363" t="s">
        <v>153</v>
      </c>
      <c r="UPA38" s="363"/>
      <c r="UPB38" s="363"/>
      <c r="UPC38" s="364" t="s">
        <v>140</v>
      </c>
      <c r="UPD38" s="365">
        <v>0.5</v>
      </c>
      <c r="UPE38" s="366" t="e">
        <f>10/UPA36</f>
        <v>#DIV/0!</v>
      </c>
      <c r="UPF38" s="367">
        <v>15.38</v>
      </c>
      <c r="UPG38" s="367" t="e">
        <f>UPD38*UPE38*UPF38</f>
        <v>#DIV/0!</v>
      </c>
      <c r="UPH38" s="363" t="s">
        <v>153</v>
      </c>
      <c r="UPI38" s="363"/>
      <c r="UPJ38" s="363"/>
      <c r="UPK38" s="364" t="s">
        <v>140</v>
      </c>
      <c r="UPL38" s="365">
        <v>0.5</v>
      </c>
      <c r="UPM38" s="366" t="e">
        <f>10/UPI36</f>
        <v>#DIV/0!</v>
      </c>
      <c r="UPN38" s="367">
        <v>15.38</v>
      </c>
      <c r="UPO38" s="367" t="e">
        <f>UPL38*UPM38*UPN38</f>
        <v>#DIV/0!</v>
      </c>
      <c r="UPP38" s="363" t="s">
        <v>153</v>
      </c>
      <c r="UPQ38" s="363"/>
      <c r="UPR38" s="363"/>
      <c r="UPS38" s="364" t="s">
        <v>140</v>
      </c>
      <c r="UPT38" s="365">
        <v>0.5</v>
      </c>
      <c r="UPU38" s="366" t="e">
        <f>10/UPQ36</f>
        <v>#DIV/0!</v>
      </c>
      <c r="UPV38" s="367">
        <v>15.38</v>
      </c>
      <c r="UPW38" s="367" t="e">
        <f>UPT38*UPU38*UPV38</f>
        <v>#DIV/0!</v>
      </c>
      <c r="UPX38" s="363" t="s">
        <v>153</v>
      </c>
      <c r="UPY38" s="363"/>
      <c r="UPZ38" s="363"/>
      <c r="UQA38" s="364" t="s">
        <v>140</v>
      </c>
      <c r="UQB38" s="365">
        <v>0.5</v>
      </c>
      <c r="UQC38" s="366" t="e">
        <f>10/UPY36</f>
        <v>#DIV/0!</v>
      </c>
      <c r="UQD38" s="367">
        <v>15.38</v>
      </c>
      <c r="UQE38" s="367" t="e">
        <f>UQB38*UQC38*UQD38</f>
        <v>#DIV/0!</v>
      </c>
      <c r="UQF38" s="363" t="s">
        <v>153</v>
      </c>
      <c r="UQG38" s="363"/>
      <c r="UQH38" s="363"/>
      <c r="UQI38" s="364" t="s">
        <v>140</v>
      </c>
      <c r="UQJ38" s="365">
        <v>0.5</v>
      </c>
      <c r="UQK38" s="366" t="e">
        <f>10/UQG36</f>
        <v>#DIV/0!</v>
      </c>
      <c r="UQL38" s="367">
        <v>15.38</v>
      </c>
      <c r="UQM38" s="367" t="e">
        <f>UQJ38*UQK38*UQL38</f>
        <v>#DIV/0!</v>
      </c>
      <c r="UQN38" s="363" t="s">
        <v>153</v>
      </c>
      <c r="UQO38" s="363"/>
      <c r="UQP38" s="363"/>
      <c r="UQQ38" s="364" t="s">
        <v>140</v>
      </c>
      <c r="UQR38" s="365">
        <v>0.5</v>
      </c>
      <c r="UQS38" s="366" t="e">
        <f>10/UQO36</f>
        <v>#DIV/0!</v>
      </c>
      <c r="UQT38" s="367">
        <v>15.38</v>
      </c>
      <c r="UQU38" s="367" t="e">
        <f>UQR38*UQS38*UQT38</f>
        <v>#DIV/0!</v>
      </c>
      <c r="UQV38" s="363" t="s">
        <v>153</v>
      </c>
      <c r="UQW38" s="363"/>
      <c r="UQX38" s="363"/>
      <c r="UQY38" s="364" t="s">
        <v>140</v>
      </c>
      <c r="UQZ38" s="365">
        <v>0.5</v>
      </c>
      <c r="URA38" s="366" t="e">
        <f>10/UQW36</f>
        <v>#DIV/0!</v>
      </c>
      <c r="URB38" s="367">
        <v>15.38</v>
      </c>
      <c r="URC38" s="367" t="e">
        <f>UQZ38*URA38*URB38</f>
        <v>#DIV/0!</v>
      </c>
      <c r="URD38" s="363" t="s">
        <v>153</v>
      </c>
      <c r="URE38" s="363"/>
      <c r="URF38" s="363"/>
      <c r="URG38" s="364" t="s">
        <v>140</v>
      </c>
      <c r="URH38" s="365">
        <v>0.5</v>
      </c>
      <c r="URI38" s="366" t="e">
        <f>10/URE36</f>
        <v>#DIV/0!</v>
      </c>
      <c r="URJ38" s="367">
        <v>15.38</v>
      </c>
      <c r="URK38" s="367" t="e">
        <f>URH38*URI38*URJ38</f>
        <v>#DIV/0!</v>
      </c>
      <c r="URL38" s="363" t="s">
        <v>153</v>
      </c>
      <c r="URM38" s="363"/>
      <c r="URN38" s="363"/>
      <c r="URO38" s="364" t="s">
        <v>140</v>
      </c>
      <c r="URP38" s="365">
        <v>0.5</v>
      </c>
      <c r="URQ38" s="366" t="e">
        <f>10/URM36</f>
        <v>#DIV/0!</v>
      </c>
      <c r="URR38" s="367">
        <v>15.38</v>
      </c>
      <c r="URS38" s="367" t="e">
        <f>URP38*URQ38*URR38</f>
        <v>#DIV/0!</v>
      </c>
      <c r="URT38" s="363" t="s">
        <v>153</v>
      </c>
      <c r="URU38" s="363"/>
      <c r="URV38" s="363"/>
      <c r="URW38" s="364" t="s">
        <v>140</v>
      </c>
      <c r="URX38" s="365">
        <v>0.5</v>
      </c>
      <c r="URY38" s="366" t="e">
        <f>10/URU36</f>
        <v>#DIV/0!</v>
      </c>
      <c r="URZ38" s="367">
        <v>15.38</v>
      </c>
      <c r="USA38" s="367" t="e">
        <f>URX38*URY38*URZ38</f>
        <v>#DIV/0!</v>
      </c>
      <c r="USB38" s="363" t="s">
        <v>153</v>
      </c>
      <c r="USC38" s="363"/>
      <c r="USD38" s="363"/>
      <c r="USE38" s="364" t="s">
        <v>140</v>
      </c>
      <c r="USF38" s="365">
        <v>0.5</v>
      </c>
      <c r="USG38" s="366" t="e">
        <f>10/USC36</f>
        <v>#DIV/0!</v>
      </c>
      <c r="USH38" s="367">
        <v>15.38</v>
      </c>
      <c r="USI38" s="367" t="e">
        <f>USF38*USG38*USH38</f>
        <v>#DIV/0!</v>
      </c>
      <c r="USJ38" s="363" t="s">
        <v>153</v>
      </c>
      <c r="USK38" s="363"/>
      <c r="USL38" s="363"/>
      <c r="USM38" s="364" t="s">
        <v>140</v>
      </c>
      <c r="USN38" s="365">
        <v>0.5</v>
      </c>
      <c r="USO38" s="366" t="e">
        <f>10/USK36</f>
        <v>#DIV/0!</v>
      </c>
      <c r="USP38" s="367">
        <v>15.38</v>
      </c>
      <c r="USQ38" s="367" t="e">
        <f>USN38*USO38*USP38</f>
        <v>#DIV/0!</v>
      </c>
      <c r="USR38" s="363" t="s">
        <v>153</v>
      </c>
      <c r="USS38" s="363"/>
      <c r="UST38" s="363"/>
      <c r="USU38" s="364" t="s">
        <v>140</v>
      </c>
      <c r="USV38" s="365">
        <v>0.5</v>
      </c>
      <c r="USW38" s="366" t="e">
        <f>10/USS36</f>
        <v>#DIV/0!</v>
      </c>
      <c r="USX38" s="367">
        <v>15.38</v>
      </c>
      <c r="USY38" s="367" t="e">
        <f>USV38*USW38*USX38</f>
        <v>#DIV/0!</v>
      </c>
      <c r="USZ38" s="363" t="s">
        <v>153</v>
      </c>
      <c r="UTA38" s="363"/>
      <c r="UTB38" s="363"/>
      <c r="UTC38" s="364" t="s">
        <v>140</v>
      </c>
      <c r="UTD38" s="365">
        <v>0.5</v>
      </c>
      <c r="UTE38" s="366" t="e">
        <f>10/UTA36</f>
        <v>#DIV/0!</v>
      </c>
      <c r="UTF38" s="367">
        <v>15.38</v>
      </c>
      <c r="UTG38" s="367" t="e">
        <f>UTD38*UTE38*UTF38</f>
        <v>#DIV/0!</v>
      </c>
      <c r="UTH38" s="363" t="s">
        <v>153</v>
      </c>
      <c r="UTI38" s="363"/>
      <c r="UTJ38" s="363"/>
      <c r="UTK38" s="364" t="s">
        <v>140</v>
      </c>
      <c r="UTL38" s="365">
        <v>0.5</v>
      </c>
      <c r="UTM38" s="366" t="e">
        <f>10/UTI36</f>
        <v>#DIV/0!</v>
      </c>
      <c r="UTN38" s="367">
        <v>15.38</v>
      </c>
      <c r="UTO38" s="367" t="e">
        <f>UTL38*UTM38*UTN38</f>
        <v>#DIV/0!</v>
      </c>
      <c r="UTP38" s="363" t="s">
        <v>153</v>
      </c>
      <c r="UTQ38" s="363"/>
      <c r="UTR38" s="363"/>
      <c r="UTS38" s="364" t="s">
        <v>140</v>
      </c>
      <c r="UTT38" s="365">
        <v>0.5</v>
      </c>
      <c r="UTU38" s="366" t="e">
        <f>10/UTQ36</f>
        <v>#DIV/0!</v>
      </c>
      <c r="UTV38" s="367">
        <v>15.38</v>
      </c>
      <c r="UTW38" s="367" t="e">
        <f>UTT38*UTU38*UTV38</f>
        <v>#DIV/0!</v>
      </c>
      <c r="UTX38" s="363" t="s">
        <v>153</v>
      </c>
      <c r="UTY38" s="363"/>
      <c r="UTZ38" s="363"/>
      <c r="UUA38" s="364" t="s">
        <v>140</v>
      </c>
      <c r="UUB38" s="365">
        <v>0.5</v>
      </c>
      <c r="UUC38" s="366" t="e">
        <f>10/UTY36</f>
        <v>#DIV/0!</v>
      </c>
      <c r="UUD38" s="367">
        <v>15.38</v>
      </c>
      <c r="UUE38" s="367" t="e">
        <f>UUB38*UUC38*UUD38</f>
        <v>#DIV/0!</v>
      </c>
      <c r="UUF38" s="363" t="s">
        <v>153</v>
      </c>
      <c r="UUG38" s="363"/>
      <c r="UUH38" s="363"/>
      <c r="UUI38" s="364" t="s">
        <v>140</v>
      </c>
      <c r="UUJ38" s="365">
        <v>0.5</v>
      </c>
      <c r="UUK38" s="366" t="e">
        <f>10/UUG36</f>
        <v>#DIV/0!</v>
      </c>
      <c r="UUL38" s="367">
        <v>15.38</v>
      </c>
      <c r="UUM38" s="367" t="e">
        <f>UUJ38*UUK38*UUL38</f>
        <v>#DIV/0!</v>
      </c>
      <c r="UUN38" s="363" t="s">
        <v>153</v>
      </c>
      <c r="UUO38" s="363"/>
      <c r="UUP38" s="363"/>
      <c r="UUQ38" s="364" t="s">
        <v>140</v>
      </c>
      <c r="UUR38" s="365">
        <v>0.5</v>
      </c>
      <c r="UUS38" s="366" t="e">
        <f>10/UUO36</f>
        <v>#DIV/0!</v>
      </c>
      <c r="UUT38" s="367">
        <v>15.38</v>
      </c>
      <c r="UUU38" s="367" t="e">
        <f>UUR38*UUS38*UUT38</f>
        <v>#DIV/0!</v>
      </c>
      <c r="UUV38" s="363" t="s">
        <v>153</v>
      </c>
      <c r="UUW38" s="363"/>
      <c r="UUX38" s="363"/>
      <c r="UUY38" s="364" t="s">
        <v>140</v>
      </c>
      <c r="UUZ38" s="365">
        <v>0.5</v>
      </c>
      <c r="UVA38" s="366" t="e">
        <f>10/UUW36</f>
        <v>#DIV/0!</v>
      </c>
      <c r="UVB38" s="367">
        <v>15.38</v>
      </c>
      <c r="UVC38" s="367" t="e">
        <f>UUZ38*UVA38*UVB38</f>
        <v>#DIV/0!</v>
      </c>
      <c r="UVD38" s="363" t="s">
        <v>153</v>
      </c>
      <c r="UVE38" s="363"/>
      <c r="UVF38" s="363"/>
      <c r="UVG38" s="364" t="s">
        <v>140</v>
      </c>
      <c r="UVH38" s="365">
        <v>0.5</v>
      </c>
      <c r="UVI38" s="366" t="e">
        <f>10/UVE36</f>
        <v>#DIV/0!</v>
      </c>
      <c r="UVJ38" s="367">
        <v>15.38</v>
      </c>
      <c r="UVK38" s="367" t="e">
        <f>UVH38*UVI38*UVJ38</f>
        <v>#DIV/0!</v>
      </c>
      <c r="UVL38" s="363" t="s">
        <v>153</v>
      </c>
      <c r="UVM38" s="363"/>
      <c r="UVN38" s="363"/>
      <c r="UVO38" s="364" t="s">
        <v>140</v>
      </c>
      <c r="UVP38" s="365">
        <v>0.5</v>
      </c>
      <c r="UVQ38" s="366" t="e">
        <f>10/UVM36</f>
        <v>#DIV/0!</v>
      </c>
      <c r="UVR38" s="367">
        <v>15.38</v>
      </c>
      <c r="UVS38" s="367" t="e">
        <f>UVP38*UVQ38*UVR38</f>
        <v>#DIV/0!</v>
      </c>
      <c r="UVT38" s="363" t="s">
        <v>153</v>
      </c>
      <c r="UVU38" s="363"/>
      <c r="UVV38" s="363"/>
      <c r="UVW38" s="364" t="s">
        <v>140</v>
      </c>
      <c r="UVX38" s="365">
        <v>0.5</v>
      </c>
      <c r="UVY38" s="366" t="e">
        <f>10/UVU36</f>
        <v>#DIV/0!</v>
      </c>
      <c r="UVZ38" s="367">
        <v>15.38</v>
      </c>
      <c r="UWA38" s="367" t="e">
        <f>UVX38*UVY38*UVZ38</f>
        <v>#DIV/0!</v>
      </c>
      <c r="UWB38" s="363" t="s">
        <v>153</v>
      </c>
      <c r="UWC38" s="363"/>
      <c r="UWD38" s="363"/>
      <c r="UWE38" s="364" t="s">
        <v>140</v>
      </c>
      <c r="UWF38" s="365">
        <v>0.5</v>
      </c>
      <c r="UWG38" s="366" t="e">
        <f>10/UWC36</f>
        <v>#DIV/0!</v>
      </c>
      <c r="UWH38" s="367">
        <v>15.38</v>
      </c>
      <c r="UWI38" s="367" t="e">
        <f>UWF38*UWG38*UWH38</f>
        <v>#DIV/0!</v>
      </c>
      <c r="UWJ38" s="363" t="s">
        <v>153</v>
      </c>
      <c r="UWK38" s="363"/>
      <c r="UWL38" s="363"/>
      <c r="UWM38" s="364" t="s">
        <v>140</v>
      </c>
      <c r="UWN38" s="365">
        <v>0.5</v>
      </c>
      <c r="UWO38" s="366" t="e">
        <f>10/UWK36</f>
        <v>#DIV/0!</v>
      </c>
      <c r="UWP38" s="367">
        <v>15.38</v>
      </c>
      <c r="UWQ38" s="367" t="e">
        <f>UWN38*UWO38*UWP38</f>
        <v>#DIV/0!</v>
      </c>
      <c r="UWR38" s="363" t="s">
        <v>153</v>
      </c>
      <c r="UWS38" s="363"/>
      <c r="UWT38" s="363"/>
      <c r="UWU38" s="364" t="s">
        <v>140</v>
      </c>
      <c r="UWV38" s="365">
        <v>0.5</v>
      </c>
      <c r="UWW38" s="366" t="e">
        <f>10/UWS36</f>
        <v>#DIV/0!</v>
      </c>
      <c r="UWX38" s="367">
        <v>15.38</v>
      </c>
      <c r="UWY38" s="367" t="e">
        <f>UWV38*UWW38*UWX38</f>
        <v>#DIV/0!</v>
      </c>
      <c r="UWZ38" s="363" t="s">
        <v>153</v>
      </c>
      <c r="UXA38" s="363"/>
      <c r="UXB38" s="363"/>
      <c r="UXC38" s="364" t="s">
        <v>140</v>
      </c>
      <c r="UXD38" s="365">
        <v>0.5</v>
      </c>
      <c r="UXE38" s="366" t="e">
        <f>10/UXA36</f>
        <v>#DIV/0!</v>
      </c>
      <c r="UXF38" s="367">
        <v>15.38</v>
      </c>
      <c r="UXG38" s="367" t="e">
        <f>UXD38*UXE38*UXF38</f>
        <v>#DIV/0!</v>
      </c>
      <c r="UXH38" s="363" t="s">
        <v>153</v>
      </c>
      <c r="UXI38" s="363"/>
      <c r="UXJ38" s="363"/>
      <c r="UXK38" s="364" t="s">
        <v>140</v>
      </c>
      <c r="UXL38" s="365">
        <v>0.5</v>
      </c>
      <c r="UXM38" s="366" t="e">
        <f>10/UXI36</f>
        <v>#DIV/0!</v>
      </c>
      <c r="UXN38" s="367">
        <v>15.38</v>
      </c>
      <c r="UXO38" s="367" t="e">
        <f>UXL38*UXM38*UXN38</f>
        <v>#DIV/0!</v>
      </c>
      <c r="UXP38" s="363" t="s">
        <v>153</v>
      </c>
      <c r="UXQ38" s="363"/>
      <c r="UXR38" s="363"/>
      <c r="UXS38" s="364" t="s">
        <v>140</v>
      </c>
      <c r="UXT38" s="365">
        <v>0.5</v>
      </c>
      <c r="UXU38" s="366" t="e">
        <f>10/UXQ36</f>
        <v>#DIV/0!</v>
      </c>
      <c r="UXV38" s="367">
        <v>15.38</v>
      </c>
      <c r="UXW38" s="367" t="e">
        <f>UXT38*UXU38*UXV38</f>
        <v>#DIV/0!</v>
      </c>
      <c r="UXX38" s="363" t="s">
        <v>153</v>
      </c>
      <c r="UXY38" s="363"/>
      <c r="UXZ38" s="363"/>
      <c r="UYA38" s="364" t="s">
        <v>140</v>
      </c>
      <c r="UYB38" s="365">
        <v>0.5</v>
      </c>
      <c r="UYC38" s="366" t="e">
        <f>10/UXY36</f>
        <v>#DIV/0!</v>
      </c>
      <c r="UYD38" s="367">
        <v>15.38</v>
      </c>
      <c r="UYE38" s="367" t="e">
        <f>UYB38*UYC38*UYD38</f>
        <v>#DIV/0!</v>
      </c>
      <c r="UYF38" s="363" t="s">
        <v>153</v>
      </c>
      <c r="UYG38" s="363"/>
      <c r="UYH38" s="363"/>
      <c r="UYI38" s="364" t="s">
        <v>140</v>
      </c>
      <c r="UYJ38" s="365">
        <v>0.5</v>
      </c>
      <c r="UYK38" s="366" t="e">
        <f>10/UYG36</f>
        <v>#DIV/0!</v>
      </c>
      <c r="UYL38" s="367">
        <v>15.38</v>
      </c>
      <c r="UYM38" s="367" t="e">
        <f>UYJ38*UYK38*UYL38</f>
        <v>#DIV/0!</v>
      </c>
      <c r="UYN38" s="363" t="s">
        <v>153</v>
      </c>
      <c r="UYO38" s="363"/>
      <c r="UYP38" s="363"/>
      <c r="UYQ38" s="364" t="s">
        <v>140</v>
      </c>
      <c r="UYR38" s="365">
        <v>0.5</v>
      </c>
      <c r="UYS38" s="366" t="e">
        <f>10/UYO36</f>
        <v>#DIV/0!</v>
      </c>
      <c r="UYT38" s="367">
        <v>15.38</v>
      </c>
      <c r="UYU38" s="367" t="e">
        <f>UYR38*UYS38*UYT38</f>
        <v>#DIV/0!</v>
      </c>
      <c r="UYV38" s="363" t="s">
        <v>153</v>
      </c>
      <c r="UYW38" s="363"/>
      <c r="UYX38" s="363"/>
      <c r="UYY38" s="364" t="s">
        <v>140</v>
      </c>
      <c r="UYZ38" s="365">
        <v>0.5</v>
      </c>
      <c r="UZA38" s="366" t="e">
        <f>10/UYW36</f>
        <v>#DIV/0!</v>
      </c>
      <c r="UZB38" s="367">
        <v>15.38</v>
      </c>
      <c r="UZC38" s="367" t="e">
        <f>UYZ38*UZA38*UZB38</f>
        <v>#DIV/0!</v>
      </c>
      <c r="UZD38" s="363" t="s">
        <v>153</v>
      </c>
      <c r="UZE38" s="363"/>
      <c r="UZF38" s="363"/>
      <c r="UZG38" s="364" t="s">
        <v>140</v>
      </c>
      <c r="UZH38" s="365">
        <v>0.5</v>
      </c>
      <c r="UZI38" s="366" t="e">
        <f>10/UZE36</f>
        <v>#DIV/0!</v>
      </c>
      <c r="UZJ38" s="367">
        <v>15.38</v>
      </c>
      <c r="UZK38" s="367" t="e">
        <f>UZH38*UZI38*UZJ38</f>
        <v>#DIV/0!</v>
      </c>
      <c r="UZL38" s="363" t="s">
        <v>153</v>
      </c>
      <c r="UZM38" s="363"/>
      <c r="UZN38" s="363"/>
      <c r="UZO38" s="364" t="s">
        <v>140</v>
      </c>
      <c r="UZP38" s="365">
        <v>0.5</v>
      </c>
      <c r="UZQ38" s="366" t="e">
        <f>10/UZM36</f>
        <v>#DIV/0!</v>
      </c>
      <c r="UZR38" s="367">
        <v>15.38</v>
      </c>
      <c r="UZS38" s="367" t="e">
        <f>UZP38*UZQ38*UZR38</f>
        <v>#DIV/0!</v>
      </c>
      <c r="UZT38" s="363" t="s">
        <v>153</v>
      </c>
      <c r="UZU38" s="363"/>
      <c r="UZV38" s="363"/>
      <c r="UZW38" s="364" t="s">
        <v>140</v>
      </c>
      <c r="UZX38" s="365">
        <v>0.5</v>
      </c>
      <c r="UZY38" s="366" t="e">
        <f>10/UZU36</f>
        <v>#DIV/0!</v>
      </c>
      <c r="UZZ38" s="367">
        <v>15.38</v>
      </c>
      <c r="VAA38" s="367" t="e">
        <f>UZX38*UZY38*UZZ38</f>
        <v>#DIV/0!</v>
      </c>
      <c r="VAB38" s="363" t="s">
        <v>153</v>
      </c>
      <c r="VAC38" s="363"/>
      <c r="VAD38" s="363"/>
      <c r="VAE38" s="364" t="s">
        <v>140</v>
      </c>
      <c r="VAF38" s="365">
        <v>0.5</v>
      </c>
      <c r="VAG38" s="366" t="e">
        <f>10/VAC36</f>
        <v>#DIV/0!</v>
      </c>
      <c r="VAH38" s="367">
        <v>15.38</v>
      </c>
      <c r="VAI38" s="367" t="e">
        <f>VAF38*VAG38*VAH38</f>
        <v>#DIV/0!</v>
      </c>
      <c r="VAJ38" s="363" t="s">
        <v>153</v>
      </c>
      <c r="VAK38" s="363"/>
      <c r="VAL38" s="363"/>
      <c r="VAM38" s="364" t="s">
        <v>140</v>
      </c>
      <c r="VAN38" s="365">
        <v>0.5</v>
      </c>
      <c r="VAO38" s="366" t="e">
        <f>10/VAK36</f>
        <v>#DIV/0!</v>
      </c>
      <c r="VAP38" s="367">
        <v>15.38</v>
      </c>
      <c r="VAQ38" s="367" t="e">
        <f>VAN38*VAO38*VAP38</f>
        <v>#DIV/0!</v>
      </c>
      <c r="VAR38" s="363" t="s">
        <v>153</v>
      </c>
      <c r="VAS38" s="363"/>
      <c r="VAT38" s="363"/>
      <c r="VAU38" s="364" t="s">
        <v>140</v>
      </c>
      <c r="VAV38" s="365">
        <v>0.5</v>
      </c>
      <c r="VAW38" s="366" t="e">
        <f>10/VAS36</f>
        <v>#DIV/0!</v>
      </c>
      <c r="VAX38" s="367">
        <v>15.38</v>
      </c>
      <c r="VAY38" s="367" t="e">
        <f>VAV38*VAW38*VAX38</f>
        <v>#DIV/0!</v>
      </c>
      <c r="VAZ38" s="363" t="s">
        <v>153</v>
      </c>
      <c r="VBA38" s="363"/>
      <c r="VBB38" s="363"/>
      <c r="VBC38" s="364" t="s">
        <v>140</v>
      </c>
      <c r="VBD38" s="365">
        <v>0.5</v>
      </c>
      <c r="VBE38" s="366" t="e">
        <f>10/VBA36</f>
        <v>#DIV/0!</v>
      </c>
      <c r="VBF38" s="367">
        <v>15.38</v>
      </c>
      <c r="VBG38" s="367" t="e">
        <f>VBD38*VBE38*VBF38</f>
        <v>#DIV/0!</v>
      </c>
      <c r="VBH38" s="363" t="s">
        <v>153</v>
      </c>
      <c r="VBI38" s="363"/>
      <c r="VBJ38" s="363"/>
      <c r="VBK38" s="364" t="s">
        <v>140</v>
      </c>
      <c r="VBL38" s="365">
        <v>0.5</v>
      </c>
      <c r="VBM38" s="366" t="e">
        <f>10/VBI36</f>
        <v>#DIV/0!</v>
      </c>
      <c r="VBN38" s="367">
        <v>15.38</v>
      </c>
      <c r="VBO38" s="367" t="e">
        <f>VBL38*VBM38*VBN38</f>
        <v>#DIV/0!</v>
      </c>
      <c r="VBP38" s="363" t="s">
        <v>153</v>
      </c>
      <c r="VBQ38" s="363"/>
      <c r="VBR38" s="363"/>
      <c r="VBS38" s="364" t="s">
        <v>140</v>
      </c>
      <c r="VBT38" s="365">
        <v>0.5</v>
      </c>
      <c r="VBU38" s="366" t="e">
        <f>10/VBQ36</f>
        <v>#DIV/0!</v>
      </c>
      <c r="VBV38" s="367">
        <v>15.38</v>
      </c>
      <c r="VBW38" s="367" t="e">
        <f>VBT38*VBU38*VBV38</f>
        <v>#DIV/0!</v>
      </c>
      <c r="VBX38" s="363" t="s">
        <v>153</v>
      </c>
      <c r="VBY38" s="363"/>
      <c r="VBZ38" s="363"/>
      <c r="VCA38" s="364" t="s">
        <v>140</v>
      </c>
      <c r="VCB38" s="365">
        <v>0.5</v>
      </c>
      <c r="VCC38" s="366" t="e">
        <f>10/VBY36</f>
        <v>#DIV/0!</v>
      </c>
      <c r="VCD38" s="367">
        <v>15.38</v>
      </c>
      <c r="VCE38" s="367" t="e">
        <f>VCB38*VCC38*VCD38</f>
        <v>#DIV/0!</v>
      </c>
      <c r="VCF38" s="363" t="s">
        <v>153</v>
      </c>
      <c r="VCG38" s="363"/>
      <c r="VCH38" s="363"/>
      <c r="VCI38" s="364" t="s">
        <v>140</v>
      </c>
      <c r="VCJ38" s="365">
        <v>0.5</v>
      </c>
      <c r="VCK38" s="366" t="e">
        <f>10/VCG36</f>
        <v>#DIV/0!</v>
      </c>
      <c r="VCL38" s="367">
        <v>15.38</v>
      </c>
      <c r="VCM38" s="367" t="e">
        <f>VCJ38*VCK38*VCL38</f>
        <v>#DIV/0!</v>
      </c>
      <c r="VCN38" s="363" t="s">
        <v>153</v>
      </c>
      <c r="VCO38" s="363"/>
      <c r="VCP38" s="363"/>
      <c r="VCQ38" s="364" t="s">
        <v>140</v>
      </c>
      <c r="VCR38" s="365">
        <v>0.5</v>
      </c>
      <c r="VCS38" s="366" t="e">
        <f>10/VCO36</f>
        <v>#DIV/0!</v>
      </c>
      <c r="VCT38" s="367">
        <v>15.38</v>
      </c>
      <c r="VCU38" s="367" t="e">
        <f>VCR38*VCS38*VCT38</f>
        <v>#DIV/0!</v>
      </c>
      <c r="VCV38" s="363" t="s">
        <v>153</v>
      </c>
      <c r="VCW38" s="363"/>
      <c r="VCX38" s="363"/>
      <c r="VCY38" s="364" t="s">
        <v>140</v>
      </c>
      <c r="VCZ38" s="365">
        <v>0.5</v>
      </c>
      <c r="VDA38" s="366" t="e">
        <f>10/VCW36</f>
        <v>#DIV/0!</v>
      </c>
      <c r="VDB38" s="367">
        <v>15.38</v>
      </c>
      <c r="VDC38" s="367" t="e">
        <f>VCZ38*VDA38*VDB38</f>
        <v>#DIV/0!</v>
      </c>
      <c r="VDD38" s="363" t="s">
        <v>153</v>
      </c>
      <c r="VDE38" s="363"/>
      <c r="VDF38" s="363"/>
      <c r="VDG38" s="364" t="s">
        <v>140</v>
      </c>
      <c r="VDH38" s="365">
        <v>0.5</v>
      </c>
      <c r="VDI38" s="366" t="e">
        <f>10/VDE36</f>
        <v>#DIV/0!</v>
      </c>
      <c r="VDJ38" s="367">
        <v>15.38</v>
      </c>
      <c r="VDK38" s="367" t="e">
        <f>VDH38*VDI38*VDJ38</f>
        <v>#DIV/0!</v>
      </c>
      <c r="VDL38" s="363" t="s">
        <v>153</v>
      </c>
      <c r="VDM38" s="363"/>
      <c r="VDN38" s="363"/>
      <c r="VDO38" s="364" t="s">
        <v>140</v>
      </c>
      <c r="VDP38" s="365">
        <v>0.5</v>
      </c>
      <c r="VDQ38" s="366" t="e">
        <f>10/VDM36</f>
        <v>#DIV/0!</v>
      </c>
      <c r="VDR38" s="367">
        <v>15.38</v>
      </c>
      <c r="VDS38" s="367" t="e">
        <f>VDP38*VDQ38*VDR38</f>
        <v>#DIV/0!</v>
      </c>
      <c r="VDT38" s="363" t="s">
        <v>153</v>
      </c>
      <c r="VDU38" s="363"/>
      <c r="VDV38" s="363"/>
      <c r="VDW38" s="364" t="s">
        <v>140</v>
      </c>
      <c r="VDX38" s="365">
        <v>0.5</v>
      </c>
      <c r="VDY38" s="366" t="e">
        <f>10/VDU36</f>
        <v>#DIV/0!</v>
      </c>
      <c r="VDZ38" s="367">
        <v>15.38</v>
      </c>
      <c r="VEA38" s="367" t="e">
        <f>VDX38*VDY38*VDZ38</f>
        <v>#DIV/0!</v>
      </c>
      <c r="VEB38" s="363" t="s">
        <v>153</v>
      </c>
      <c r="VEC38" s="363"/>
      <c r="VED38" s="363"/>
      <c r="VEE38" s="364" t="s">
        <v>140</v>
      </c>
      <c r="VEF38" s="365">
        <v>0.5</v>
      </c>
      <c r="VEG38" s="366" t="e">
        <f>10/VEC36</f>
        <v>#DIV/0!</v>
      </c>
      <c r="VEH38" s="367">
        <v>15.38</v>
      </c>
      <c r="VEI38" s="367" t="e">
        <f>VEF38*VEG38*VEH38</f>
        <v>#DIV/0!</v>
      </c>
      <c r="VEJ38" s="363" t="s">
        <v>153</v>
      </c>
      <c r="VEK38" s="363"/>
      <c r="VEL38" s="363"/>
      <c r="VEM38" s="364" t="s">
        <v>140</v>
      </c>
      <c r="VEN38" s="365">
        <v>0.5</v>
      </c>
      <c r="VEO38" s="366" t="e">
        <f>10/VEK36</f>
        <v>#DIV/0!</v>
      </c>
      <c r="VEP38" s="367">
        <v>15.38</v>
      </c>
      <c r="VEQ38" s="367" t="e">
        <f>VEN38*VEO38*VEP38</f>
        <v>#DIV/0!</v>
      </c>
      <c r="VER38" s="363" t="s">
        <v>153</v>
      </c>
      <c r="VES38" s="363"/>
      <c r="VET38" s="363"/>
      <c r="VEU38" s="364" t="s">
        <v>140</v>
      </c>
      <c r="VEV38" s="365">
        <v>0.5</v>
      </c>
      <c r="VEW38" s="366" t="e">
        <f>10/VES36</f>
        <v>#DIV/0!</v>
      </c>
      <c r="VEX38" s="367">
        <v>15.38</v>
      </c>
      <c r="VEY38" s="367" t="e">
        <f>VEV38*VEW38*VEX38</f>
        <v>#DIV/0!</v>
      </c>
      <c r="VEZ38" s="363" t="s">
        <v>153</v>
      </c>
      <c r="VFA38" s="363"/>
      <c r="VFB38" s="363"/>
      <c r="VFC38" s="364" t="s">
        <v>140</v>
      </c>
      <c r="VFD38" s="365">
        <v>0.5</v>
      </c>
      <c r="VFE38" s="366" t="e">
        <f>10/VFA36</f>
        <v>#DIV/0!</v>
      </c>
      <c r="VFF38" s="367">
        <v>15.38</v>
      </c>
      <c r="VFG38" s="367" t="e">
        <f>VFD38*VFE38*VFF38</f>
        <v>#DIV/0!</v>
      </c>
      <c r="VFH38" s="363" t="s">
        <v>153</v>
      </c>
      <c r="VFI38" s="363"/>
      <c r="VFJ38" s="363"/>
      <c r="VFK38" s="364" t="s">
        <v>140</v>
      </c>
      <c r="VFL38" s="365">
        <v>0.5</v>
      </c>
      <c r="VFM38" s="366" t="e">
        <f>10/VFI36</f>
        <v>#DIV/0!</v>
      </c>
      <c r="VFN38" s="367">
        <v>15.38</v>
      </c>
      <c r="VFO38" s="367" t="e">
        <f>VFL38*VFM38*VFN38</f>
        <v>#DIV/0!</v>
      </c>
      <c r="VFP38" s="363" t="s">
        <v>153</v>
      </c>
      <c r="VFQ38" s="363"/>
      <c r="VFR38" s="363"/>
      <c r="VFS38" s="364" t="s">
        <v>140</v>
      </c>
      <c r="VFT38" s="365">
        <v>0.5</v>
      </c>
      <c r="VFU38" s="366" t="e">
        <f>10/VFQ36</f>
        <v>#DIV/0!</v>
      </c>
      <c r="VFV38" s="367">
        <v>15.38</v>
      </c>
      <c r="VFW38" s="367" t="e">
        <f>VFT38*VFU38*VFV38</f>
        <v>#DIV/0!</v>
      </c>
      <c r="VFX38" s="363" t="s">
        <v>153</v>
      </c>
      <c r="VFY38" s="363"/>
      <c r="VFZ38" s="363"/>
      <c r="VGA38" s="364" t="s">
        <v>140</v>
      </c>
      <c r="VGB38" s="365">
        <v>0.5</v>
      </c>
      <c r="VGC38" s="366" t="e">
        <f>10/VFY36</f>
        <v>#DIV/0!</v>
      </c>
      <c r="VGD38" s="367">
        <v>15.38</v>
      </c>
      <c r="VGE38" s="367" t="e">
        <f>VGB38*VGC38*VGD38</f>
        <v>#DIV/0!</v>
      </c>
      <c r="VGF38" s="363" t="s">
        <v>153</v>
      </c>
      <c r="VGG38" s="363"/>
      <c r="VGH38" s="363"/>
      <c r="VGI38" s="364" t="s">
        <v>140</v>
      </c>
      <c r="VGJ38" s="365">
        <v>0.5</v>
      </c>
      <c r="VGK38" s="366" t="e">
        <f>10/VGG36</f>
        <v>#DIV/0!</v>
      </c>
      <c r="VGL38" s="367">
        <v>15.38</v>
      </c>
      <c r="VGM38" s="367" t="e">
        <f>VGJ38*VGK38*VGL38</f>
        <v>#DIV/0!</v>
      </c>
      <c r="VGN38" s="363" t="s">
        <v>153</v>
      </c>
      <c r="VGO38" s="363"/>
      <c r="VGP38" s="363"/>
      <c r="VGQ38" s="364" t="s">
        <v>140</v>
      </c>
      <c r="VGR38" s="365">
        <v>0.5</v>
      </c>
      <c r="VGS38" s="366" t="e">
        <f>10/VGO36</f>
        <v>#DIV/0!</v>
      </c>
      <c r="VGT38" s="367">
        <v>15.38</v>
      </c>
      <c r="VGU38" s="367" t="e">
        <f>VGR38*VGS38*VGT38</f>
        <v>#DIV/0!</v>
      </c>
      <c r="VGV38" s="363" t="s">
        <v>153</v>
      </c>
      <c r="VGW38" s="363"/>
      <c r="VGX38" s="363"/>
      <c r="VGY38" s="364" t="s">
        <v>140</v>
      </c>
      <c r="VGZ38" s="365">
        <v>0.5</v>
      </c>
      <c r="VHA38" s="366" t="e">
        <f>10/VGW36</f>
        <v>#DIV/0!</v>
      </c>
      <c r="VHB38" s="367">
        <v>15.38</v>
      </c>
      <c r="VHC38" s="367" t="e">
        <f>VGZ38*VHA38*VHB38</f>
        <v>#DIV/0!</v>
      </c>
      <c r="VHD38" s="363" t="s">
        <v>153</v>
      </c>
      <c r="VHE38" s="363"/>
      <c r="VHF38" s="363"/>
      <c r="VHG38" s="364" t="s">
        <v>140</v>
      </c>
      <c r="VHH38" s="365">
        <v>0.5</v>
      </c>
      <c r="VHI38" s="366" t="e">
        <f>10/VHE36</f>
        <v>#DIV/0!</v>
      </c>
      <c r="VHJ38" s="367">
        <v>15.38</v>
      </c>
      <c r="VHK38" s="367" t="e">
        <f>VHH38*VHI38*VHJ38</f>
        <v>#DIV/0!</v>
      </c>
      <c r="VHL38" s="363" t="s">
        <v>153</v>
      </c>
      <c r="VHM38" s="363"/>
      <c r="VHN38" s="363"/>
      <c r="VHO38" s="364" t="s">
        <v>140</v>
      </c>
      <c r="VHP38" s="365">
        <v>0.5</v>
      </c>
      <c r="VHQ38" s="366" t="e">
        <f>10/VHM36</f>
        <v>#DIV/0!</v>
      </c>
      <c r="VHR38" s="367">
        <v>15.38</v>
      </c>
      <c r="VHS38" s="367" t="e">
        <f>VHP38*VHQ38*VHR38</f>
        <v>#DIV/0!</v>
      </c>
      <c r="VHT38" s="363" t="s">
        <v>153</v>
      </c>
      <c r="VHU38" s="363"/>
      <c r="VHV38" s="363"/>
      <c r="VHW38" s="364" t="s">
        <v>140</v>
      </c>
      <c r="VHX38" s="365">
        <v>0.5</v>
      </c>
      <c r="VHY38" s="366" t="e">
        <f>10/VHU36</f>
        <v>#DIV/0!</v>
      </c>
      <c r="VHZ38" s="367">
        <v>15.38</v>
      </c>
      <c r="VIA38" s="367" t="e">
        <f>VHX38*VHY38*VHZ38</f>
        <v>#DIV/0!</v>
      </c>
      <c r="VIB38" s="363" t="s">
        <v>153</v>
      </c>
      <c r="VIC38" s="363"/>
      <c r="VID38" s="363"/>
      <c r="VIE38" s="364" t="s">
        <v>140</v>
      </c>
      <c r="VIF38" s="365">
        <v>0.5</v>
      </c>
      <c r="VIG38" s="366" t="e">
        <f>10/VIC36</f>
        <v>#DIV/0!</v>
      </c>
      <c r="VIH38" s="367">
        <v>15.38</v>
      </c>
      <c r="VII38" s="367" t="e">
        <f>VIF38*VIG38*VIH38</f>
        <v>#DIV/0!</v>
      </c>
      <c r="VIJ38" s="363" t="s">
        <v>153</v>
      </c>
      <c r="VIK38" s="363"/>
      <c r="VIL38" s="363"/>
      <c r="VIM38" s="364" t="s">
        <v>140</v>
      </c>
      <c r="VIN38" s="365">
        <v>0.5</v>
      </c>
      <c r="VIO38" s="366" t="e">
        <f>10/VIK36</f>
        <v>#DIV/0!</v>
      </c>
      <c r="VIP38" s="367">
        <v>15.38</v>
      </c>
      <c r="VIQ38" s="367" t="e">
        <f>VIN38*VIO38*VIP38</f>
        <v>#DIV/0!</v>
      </c>
      <c r="VIR38" s="363" t="s">
        <v>153</v>
      </c>
      <c r="VIS38" s="363"/>
      <c r="VIT38" s="363"/>
      <c r="VIU38" s="364" t="s">
        <v>140</v>
      </c>
      <c r="VIV38" s="365">
        <v>0.5</v>
      </c>
      <c r="VIW38" s="366" t="e">
        <f>10/VIS36</f>
        <v>#DIV/0!</v>
      </c>
      <c r="VIX38" s="367">
        <v>15.38</v>
      </c>
      <c r="VIY38" s="367" t="e">
        <f>VIV38*VIW38*VIX38</f>
        <v>#DIV/0!</v>
      </c>
      <c r="VIZ38" s="363" t="s">
        <v>153</v>
      </c>
      <c r="VJA38" s="363"/>
      <c r="VJB38" s="363"/>
      <c r="VJC38" s="364" t="s">
        <v>140</v>
      </c>
      <c r="VJD38" s="365">
        <v>0.5</v>
      </c>
      <c r="VJE38" s="366" t="e">
        <f>10/VJA36</f>
        <v>#DIV/0!</v>
      </c>
      <c r="VJF38" s="367">
        <v>15.38</v>
      </c>
      <c r="VJG38" s="367" t="e">
        <f>VJD38*VJE38*VJF38</f>
        <v>#DIV/0!</v>
      </c>
      <c r="VJH38" s="363" t="s">
        <v>153</v>
      </c>
      <c r="VJI38" s="363"/>
      <c r="VJJ38" s="363"/>
      <c r="VJK38" s="364" t="s">
        <v>140</v>
      </c>
      <c r="VJL38" s="365">
        <v>0.5</v>
      </c>
      <c r="VJM38" s="366" t="e">
        <f>10/VJI36</f>
        <v>#DIV/0!</v>
      </c>
      <c r="VJN38" s="367">
        <v>15.38</v>
      </c>
      <c r="VJO38" s="367" t="e">
        <f>VJL38*VJM38*VJN38</f>
        <v>#DIV/0!</v>
      </c>
      <c r="VJP38" s="363" t="s">
        <v>153</v>
      </c>
      <c r="VJQ38" s="363"/>
      <c r="VJR38" s="363"/>
      <c r="VJS38" s="364" t="s">
        <v>140</v>
      </c>
      <c r="VJT38" s="365">
        <v>0.5</v>
      </c>
      <c r="VJU38" s="366" t="e">
        <f>10/VJQ36</f>
        <v>#DIV/0!</v>
      </c>
      <c r="VJV38" s="367">
        <v>15.38</v>
      </c>
      <c r="VJW38" s="367" t="e">
        <f>VJT38*VJU38*VJV38</f>
        <v>#DIV/0!</v>
      </c>
      <c r="VJX38" s="363" t="s">
        <v>153</v>
      </c>
      <c r="VJY38" s="363"/>
      <c r="VJZ38" s="363"/>
      <c r="VKA38" s="364" t="s">
        <v>140</v>
      </c>
      <c r="VKB38" s="365">
        <v>0.5</v>
      </c>
      <c r="VKC38" s="366" t="e">
        <f>10/VJY36</f>
        <v>#DIV/0!</v>
      </c>
      <c r="VKD38" s="367">
        <v>15.38</v>
      </c>
      <c r="VKE38" s="367" t="e">
        <f>VKB38*VKC38*VKD38</f>
        <v>#DIV/0!</v>
      </c>
      <c r="VKF38" s="363" t="s">
        <v>153</v>
      </c>
      <c r="VKG38" s="363"/>
      <c r="VKH38" s="363"/>
      <c r="VKI38" s="364" t="s">
        <v>140</v>
      </c>
      <c r="VKJ38" s="365">
        <v>0.5</v>
      </c>
      <c r="VKK38" s="366" t="e">
        <f>10/VKG36</f>
        <v>#DIV/0!</v>
      </c>
      <c r="VKL38" s="367">
        <v>15.38</v>
      </c>
      <c r="VKM38" s="367" t="e">
        <f>VKJ38*VKK38*VKL38</f>
        <v>#DIV/0!</v>
      </c>
      <c r="VKN38" s="363" t="s">
        <v>153</v>
      </c>
      <c r="VKO38" s="363"/>
      <c r="VKP38" s="363"/>
      <c r="VKQ38" s="364" t="s">
        <v>140</v>
      </c>
      <c r="VKR38" s="365">
        <v>0.5</v>
      </c>
      <c r="VKS38" s="366" t="e">
        <f>10/VKO36</f>
        <v>#DIV/0!</v>
      </c>
      <c r="VKT38" s="367">
        <v>15.38</v>
      </c>
      <c r="VKU38" s="367" t="e">
        <f>VKR38*VKS38*VKT38</f>
        <v>#DIV/0!</v>
      </c>
      <c r="VKV38" s="363" t="s">
        <v>153</v>
      </c>
      <c r="VKW38" s="363"/>
      <c r="VKX38" s="363"/>
      <c r="VKY38" s="364" t="s">
        <v>140</v>
      </c>
      <c r="VKZ38" s="365">
        <v>0.5</v>
      </c>
      <c r="VLA38" s="366" t="e">
        <f>10/VKW36</f>
        <v>#DIV/0!</v>
      </c>
      <c r="VLB38" s="367">
        <v>15.38</v>
      </c>
      <c r="VLC38" s="367" t="e">
        <f>VKZ38*VLA38*VLB38</f>
        <v>#DIV/0!</v>
      </c>
      <c r="VLD38" s="363" t="s">
        <v>153</v>
      </c>
      <c r="VLE38" s="363"/>
      <c r="VLF38" s="363"/>
      <c r="VLG38" s="364" t="s">
        <v>140</v>
      </c>
      <c r="VLH38" s="365">
        <v>0.5</v>
      </c>
      <c r="VLI38" s="366" t="e">
        <f>10/VLE36</f>
        <v>#DIV/0!</v>
      </c>
      <c r="VLJ38" s="367">
        <v>15.38</v>
      </c>
      <c r="VLK38" s="367" t="e">
        <f>VLH38*VLI38*VLJ38</f>
        <v>#DIV/0!</v>
      </c>
      <c r="VLL38" s="363" t="s">
        <v>153</v>
      </c>
      <c r="VLM38" s="363"/>
      <c r="VLN38" s="363"/>
      <c r="VLO38" s="364" t="s">
        <v>140</v>
      </c>
      <c r="VLP38" s="365">
        <v>0.5</v>
      </c>
      <c r="VLQ38" s="366" t="e">
        <f>10/VLM36</f>
        <v>#DIV/0!</v>
      </c>
      <c r="VLR38" s="367">
        <v>15.38</v>
      </c>
      <c r="VLS38" s="367" t="e">
        <f>VLP38*VLQ38*VLR38</f>
        <v>#DIV/0!</v>
      </c>
      <c r="VLT38" s="363" t="s">
        <v>153</v>
      </c>
      <c r="VLU38" s="363"/>
      <c r="VLV38" s="363"/>
      <c r="VLW38" s="364" t="s">
        <v>140</v>
      </c>
      <c r="VLX38" s="365">
        <v>0.5</v>
      </c>
      <c r="VLY38" s="366" t="e">
        <f>10/VLU36</f>
        <v>#DIV/0!</v>
      </c>
      <c r="VLZ38" s="367">
        <v>15.38</v>
      </c>
      <c r="VMA38" s="367" t="e">
        <f>VLX38*VLY38*VLZ38</f>
        <v>#DIV/0!</v>
      </c>
      <c r="VMB38" s="363" t="s">
        <v>153</v>
      </c>
      <c r="VMC38" s="363"/>
      <c r="VMD38" s="363"/>
      <c r="VME38" s="364" t="s">
        <v>140</v>
      </c>
      <c r="VMF38" s="365">
        <v>0.5</v>
      </c>
      <c r="VMG38" s="366" t="e">
        <f>10/VMC36</f>
        <v>#DIV/0!</v>
      </c>
      <c r="VMH38" s="367">
        <v>15.38</v>
      </c>
      <c r="VMI38" s="367" t="e">
        <f>VMF38*VMG38*VMH38</f>
        <v>#DIV/0!</v>
      </c>
      <c r="VMJ38" s="363" t="s">
        <v>153</v>
      </c>
      <c r="VMK38" s="363"/>
      <c r="VML38" s="363"/>
      <c r="VMM38" s="364" t="s">
        <v>140</v>
      </c>
      <c r="VMN38" s="365">
        <v>0.5</v>
      </c>
      <c r="VMO38" s="366" t="e">
        <f>10/VMK36</f>
        <v>#DIV/0!</v>
      </c>
      <c r="VMP38" s="367">
        <v>15.38</v>
      </c>
      <c r="VMQ38" s="367" t="e">
        <f>VMN38*VMO38*VMP38</f>
        <v>#DIV/0!</v>
      </c>
      <c r="VMR38" s="363" t="s">
        <v>153</v>
      </c>
      <c r="VMS38" s="363"/>
      <c r="VMT38" s="363"/>
      <c r="VMU38" s="364" t="s">
        <v>140</v>
      </c>
      <c r="VMV38" s="365">
        <v>0.5</v>
      </c>
      <c r="VMW38" s="366" t="e">
        <f>10/VMS36</f>
        <v>#DIV/0!</v>
      </c>
      <c r="VMX38" s="367">
        <v>15.38</v>
      </c>
      <c r="VMY38" s="367" t="e">
        <f>VMV38*VMW38*VMX38</f>
        <v>#DIV/0!</v>
      </c>
      <c r="VMZ38" s="363" t="s">
        <v>153</v>
      </c>
      <c r="VNA38" s="363"/>
      <c r="VNB38" s="363"/>
      <c r="VNC38" s="364" t="s">
        <v>140</v>
      </c>
      <c r="VND38" s="365">
        <v>0.5</v>
      </c>
      <c r="VNE38" s="366" t="e">
        <f>10/VNA36</f>
        <v>#DIV/0!</v>
      </c>
      <c r="VNF38" s="367">
        <v>15.38</v>
      </c>
      <c r="VNG38" s="367" t="e">
        <f>VND38*VNE38*VNF38</f>
        <v>#DIV/0!</v>
      </c>
      <c r="VNH38" s="363" t="s">
        <v>153</v>
      </c>
      <c r="VNI38" s="363"/>
      <c r="VNJ38" s="363"/>
      <c r="VNK38" s="364" t="s">
        <v>140</v>
      </c>
      <c r="VNL38" s="365">
        <v>0.5</v>
      </c>
      <c r="VNM38" s="366" t="e">
        <f>10/VNI36</f>
        <v>#DIV/0!</v>
      </c>
      <c r="VNN38" s="367">
        <v>15.38</v>
      </c>
      <c r="VNO38" s="367" t="e">
        <f>VNL38*VNM38*VNN38</f>
        <v>#DIV/0!</v>
      </c>
      <c r="VNP38" s="363" t="s">
        <v>153</v>
      </c>
      <c r="VNQ38" s="363"/>
      <c r="VNR38" s="363"/>
      <c r="VNS38" s="364" t="s">
        <v>140</v>
      </c>
      <c r="VNT38" s="365">
        <v>0.5</v>
      </c>
      <c r="VNU38" s="366" t="e">
        <f>10/VNQ36</f>
        <v>#DIV/0!</v>
      </c>
      <c r="VNV38" s="367">
        <v>15.38</v>
      </c>
      <c r="VNW38" s="367" t="e">
        <f>VNT38*VNU38*VNV38</f>
        <v>#DIV/0!</v>
      </c>
      <c r="VNX38" s="363" t="s">
        <v>153</v>
      </c>
      <c r="VNY38" s="363"/>
      <c r="VNZ38" s="363"/>
      <c r="VOA38" s="364" t="s">
        <v>140</v>
      </c>
      <c r="VOB38" s="365">
        <v>0.5</v>
      </c>
      <c r="VOC38" s="366" t="e">
        <f>10/VNY36</f>
        <v>#DIV/0!</v>
      </c>
      <c r="VOD38" s="367">
        <v>15.38</v>
      </c>
      <c r="VOE38" s="367" t="e">
        <f>VOB38*VOC38*VOD38</f>
        <v>#DIV/0!</v>
      </c>
      <c r="VOF38" s="363" t="s">
        <v>153</v>
      </c>
      <c r="VOG38" s="363"/>
      <c r="VOH38" s="363"/>
      <c r="VOI38" s="364" t="s">
        <v>140</v>
      </c>
      <c r="VOJ38" s="365">
        <v>0.5</v>
      </c>
      <c r="VOK38" s="366" t="e">
        <f>10/VOG36</f>
        <v>#DIV/0!</v>
      </c>
      <c r="VOL38" s="367">
        <v>15.38</v>
      </c>
      <c r="VOM38" s="367" t="e">
        <f>VOJ38*VOK38*VOL38</f>
        <v>#DIV/0!</v>
      </c>
      <c r="VON38" s="363" t="s">
        <v>153</v>
      </c>
      <c r="VOO38" s="363"/>
      <c r="VOP38" s="363"/>
      <c r="VOQ38" s="364" t="s">
        <v>140</v>
      </c>
      <c r="VOR38" s="365">
        <v>0.5</v>
      </c>
      <c r="VOS38" s="366" t="e">
        <f>10/VOO36</f>
        <v>#DIV/0!</v>
      </c>
      <c r="VOT38" s="367">
        <v>15.38</v>
      </c>
      <c r="VOU38" s="367" t="e">
        <f>VOR38*VOS38*VOT38</f>
        <v>#DIV/0!</v>
      </c>
      <c r="VOV38" s="363" t="s">
        <v>153</v>
      </c>
      <c r="VOW38" s="363"/>
      <c r="VOX38" s="363"/>
      <c r="VOY38" s="364" t="s">
        <v>140</v>
      </c>
      <c r="VOZ38" s="365">
        <v>0.5</v>
      </c>
      <c r="VPA38" s="366" t="e">
        <f>10/VOW36</f>
        <v>#DIV/0!</v>
      </c>
      <c r="VPB38" s="367">
        <v>15.38</v>
      </c>
      <c r="VPC38" s="367" t="e">
        <f>VOZ38*VPA38*VPB38</f>
        <v>#DIV/0!</v>
      </c>
      <c r="VPD38" s="363" t="s">
        <v>153</v>
      </c>
      <c r="VPE38" s="363"/>
      <c r="VPF38" s="363"/>
      <c r="VPG38" s="364" t="s">
        <v>140</v>
      </c>
      <c r="VPH38" s="365">
        <v>0.5</v>
      </c>
      <c r="VPI38" s="366" t="e">
        <f>10/VPE36</f>
        <v>#DIV/0!</v>
      </c>
      <c r="VPJ38" s="367">
        <v>15.38</v>
      </c>
      <c r="VPK38" s="367" t="e">
        <f>VPH38*VPI38*VPJ38</f>
        <v>#DIV/0!</v>
      </c>
      <c r="VPL38" s="363" t="s">
        <v>153</v>
      </c>
      <c r="VPM38" s="363"/>
      <c r="VPN38" s="363"/>
      <c r="VPO38" s="364" t="s">
        <v>140</v>
      </c>
      <c r="VPP38" s="365">
        <v>0.5</v>
      </c>
      <c r="VPQ38" s="366" t="e">
        <f>10/VPM36</f>
        <v>#DIV/0!</v>
      </c>
      <c r="VPR38" s="367">
        <v>15.38</v>
      </c>
      <c r="VPS38" s="367" t="e">
        <f>VPP38*VPQ38*VPR38</f>
        <v>#DIV/0!</v>
      </c>
      <c r="VPT38" s="363" t="s">
        <v>153</v>
      </c>
      <c r="VPU38" s="363"/>
      <c r="VPV38" s="363"/>
      <c r="VPW38" s="364" t="s">
        <v>140</v>
      </c>
      <c r="VPX38" s="365">
        <v>0.5</v>
      </c>
      <c r="VPY38" s="366" t="e">
        <f>10/VPU36</f>
        <v>#DIV/0!</v>
      </c>
      <c r="VPZ38" s="367">
        <v>15.38</v>
      </c>
      <c r="VQA38" s="367" t="e">
        <f>VPX38*VPY38*VPZ38</f>
        <v>#DIV/0!</v>
      </c>
      <c r="VQB38" s="363" t="s">
        <v>153</v>
      </c>
      <c r="VQC38" s="363"/>
      <c r="VQD38" s="363"/>
      <c r="VQE38" s="364" t="s">
        <v>140</v>
      </c>
      <c r="VQF38" s="365">
        <v>0.5</v>
      </c>
      <c r="VQG38" s="366" t="e">
        <f>10/VQC36</f>
        <v>#DIV/0!</v>
      </c>
      <c r="VQH38" s="367">
        <v>15.38</v>
      </c>
      <c r="VQI38" s="367" t="e">
        <f>VQF38*VQG38*VQH38</f>
        <v>#DIV/0!</v>
      </c>
      <c r="VQJ38" s="363" t="s">
        <v>153</v>
      </c>
      <c r="VQK38" s="363"/>
      <c r="VQL38" s="363"/>
      <c r="VQM38" s="364" t="s">
        <v>140</v>
      </c>
      <c r="VQN38" s="365">
        <v>0.5</v>
      </c>
      <c r="VQO38" s="366" t="e">
        <f>10/VQK36</f>
        <v>#DIV/0!</v>
      </c>
      <c r="VQP38" s="367">
        <v>15.38</v>
      </c>
      <c r="VQQ38" s="367" t="e">
        <f>VQN38*VQO38*VQP38</f>
        <v>#DIV/0!</v>
      </c>
      <c r="VQR38" s="363" t="s">
        <v>153</v>
      </c>
      <c r="VQS38" s="363"/>
      <c r="VQT38" s="363"/>
      <c r="VQU38" s="364" t="s">
        <v>140</v>
      </c>
      <c r="VQV38" s="365">
        <v>0.5</v>
      </c>
      <c r="VQW38" s="366" t="e">
        <f>10/VQS36</f>
        <v>#DIV/0!</v>
      </c>
      <c r="VQX38" s="367">
        <v>15.38</v>
      </c>
      <c r="VQY38" s="367" t="e">
        <f>VQV38*VQW38*VQX38</f>
        <v>#DIV/0!</v>
      </c>
      <c r="VQZ38" s="363" t="s">
        <v>153</v>
      </c>
      <c r="VRA38" s="363"/>
      <c r="VRB38" s="363"/>
      <c r="VRC38" s="364" t="s">
        <v>140</v>
      </c>
      <c r="VRD38" s="365">
        <v>0.5</v>
      </c>
      <c r="VRE38" s="366" t="e">
        <f>10/VRA36</f>
        <v>#DIV/0!</v>
      </c>
      <c r="VRF38" s="367">
        <v>15.38</v>
      </c>
      <c r="VRG38" s="367" t="e">
        <f>VRD38*VRE38*VRF38</f>
        <v>#DIV/0!</v>
      </c>
      <c r="VRH38" s="363" t="s">
        <v>153</v>
      </c>
      <c r="VRI38" s="363"/>
      <c r="VRJ38" s="363"/>
      <c r="VRK38" s="364" t="s">
        <v>140</v>
      </c>
      <c r="VRL38" s="365">
        <v>0.5</v>
      </c>
      <c r="VRM38" s="366" t="e">
        <f>10/VRI36</f>
        <v>#DIV/0!</v>
      </c>
      <c r="VRN38" s="367">
        <v>15.38</v>
      </c>
      <c r="VRO38" s="367" t="e">
        <f>VRL38*VRM38*VRN38</f>
        <v>#DIV/0!</v>
      </c>
      <c r="VRP38" s="363" t="s">
        <v>153</v>
      </c>
      <c r="VRQ38" s="363"/>
      <c r="VRR38" s="363"/>
      <c r="VRS38" s="364" t="s">
        <v>140</v>
      </c>
      <c r="VRT38" s="365">
        <v>0.5</v>
      </c>
      <c r="VRU38" s="366" t="e">
        <f>10/VRQ36</f>
        <v>#DIV/0!</v>
      </c>
      <c r="VRV38" s="367">
        <v>15.38</v>
      </c>
      <c r="VRW38" s="367" t="e">
        <f>VRT38*VRU38*VRV38</f>
        <v>#DIV/0!</v>
      </c>
      <c r="VRX38" s="363" t="s">
        <v>153</v>
      </c>
      <c r="VRY38" s="363"/>
      <c r="VRZ38" s="363"/>
      <c r="VSA38" s="364" t="s">
        <v>140</v>
      </c>
      <c r="VSB38" s="365">
        <v>0.5</v>
      </c>
      <c r="VSC38" s="366" t="e">
        <f>10/VRY36</f>
        <v>#DIV/0!</v>
      </c>
      <c r="VSD38" s="367">
        <v>15.38</v>
      </c>
      <c r="VSE38" s="367" t="e">
        <f>VSB38*VSC38*VSD38</f>
        <v>#DIV/0!</v>
      </c>
      <c r="VSF38" s="363" t="s">
        <v>153</v>
      </c>
      <c r="VSG38" s="363"/>
      <c r="VSH38" s="363"/>
      <c r="VSI38" s="364" t="s">
        <v>140</v>
      </c>
      <c r="VSJ38" s="365">
        <v>0.5</v>
      </c>
      <c r="VSK38" s="366" t="e">
        <f>10/VSG36</f>
        <v>#DIV/0!</v>
      </c>
      <c r="VSL38" s="367">
        <v>15.38</v>
      </c>
      <c r="VSM38" s="367" t="e">
        <f>VSJ38*VSK38*VSL38</f>
        <v>#DIV/0!</v>
      </c>
      <c r="VSN38" s="363" t="s">
        <v>153</v>
      </c>
      <c r="VSO38" s="363"/>
      <c r="VSP38" s="363"/>
      <c r="VSQ38" s="364" t="s">
        <v>140</v>
      </c>
      <c r="VSR38" s="365">
        <v>0.5</v>
      </c>
      <c r="VSS38" s="366" t="e">
        <f>10/VSO36</f>
        <v>#DIV/0!</v>
      </c>
      <c r="VST38" s="367">
        <v>15.38</v>
      </c>
      <c r="VSU38" s="367" t="e">
        <f>VSR38*VSS38*VST38</f>
        <v>#DIV/0!</v>
      </c>
      <c r="VSV38" s="363" t="s">
        <v>153</v>
      </c>
      <c r="VSW38" s="363"/>
      <c r="VSX38" s="363"/>
      <c r="VSY38" s="364" t="s">
        <v>140</v>
      </c>
      <c r="VSZ38" s="365">
        <v>0.5</v>
      </c>
      <c r="VTA38" s="366" t="e">
        <f>10/VSW36</f>
        <v>#DIV/0!</v>
      </c>
      <c r="VTB38" s="367">
        <v>15.38</v>
      </c>
      <c r="VTC38" s="367" t="e">
        <f>VSZ38*VTA38*VTB38</f>
        <v>#DIV/0!</v>
      </c>
      <c r="VTD38" s="363" t="s">
        <v>153</v>
      </c>
      <c r="VTE38" s="363"/>
      <c r="VTF38" s="363"/>
      <c r="VTG38" s="364" t="s">
        <v>140</v>
      </c>
      <c r="VTH38" s="365">
        <v>0.5</v>
      </c>
      <c r="VTI38" s="366" t="e">
        <f>10/VTE36</f>
        <v>#DIV/0!</v>
      </c>
      <c r="VTJ38" s="367">
        <v>15.38</v>
      </c>
      <c r="VTK38" s="367" t="e">
        <f>VTH38*VTI38*VTJ38</f>
        <v>#DIV/0!</v>
      </c>
      <c r="VTL38" s="363" t="s">
        <v>153</v>
      </c>
      <c r="VTM38" s="363"/>
      <c r="VTN38" s="363"/>
      <c r="VTO38" s="364" t="s">
        <v>140</v>
      </c>
      <c r="VTP38" s="365">
        <v>0.5</v>
      </c>
      <c r="VTQ38" s="366" t="e">
        <f>10/VTM36</f>
        <v>#DIV/0!</v>
      </c>
      <c r="VTR38" s="367">
        <v>15.38</v>
      </c>
      <c r="VTS38" s="367" t="e">
        <f>VTP38*VTQ38*VTR38</f>
        <v>#DIV/0!</v>
      </c>
      <c r="VTT38" s="363" t="s">
        <v>153</v>
      </c>
      <c r="VTU38" s="363"/>
      <c r="VTV38" s="363"/>
      <c r="VTW38" s="364" t="s">
        <v>140</v>
      </c>
      <c r="VTX38" s="365">
        <v>0.5</v>
      </c>
      <c r="VTY38" s="366" t="e">
        <f>10/VTU36</f>
        <v>#DIV/0!</v>
      </c>
      <c r="VTZ38" s="367">
        <v>15.38</v>
      </c>
      <c r="VUA38" s="367" t="e">
        <f>VTX38*VTY38*VTZ38</f>
        <v>#DIV/0!</v>
      </c>
      <c r="VUB38" s="363" t="s">
        <v>153</v>
      </c>
      <c r="VUC38" s="363"/>
      <c r="VUD38" s="363"/>
      <c r="VUE38" s="364" t="s">
        <v>140</v>
      </c>
      <c r="VUF38" s="365">
        <v>0.5</v>
      </c>
      <c r="VUG38" s="366" t="e">
        <f>10/VUC36</f>
        <v>#DIV/0!</v>
      </c>
      <c r="VUH38" s="367">
        <v>15.38</v>
      </c>
      <c r="VUI38" s="367" t="e">
        <f>VUF38*VUG38*VUH38</f>
        <v>#DIV/0!</v>
      </c>
      <c r="VUJ38" s="363" t="s">
        <v>153</v>
      </c>
      <c r="VUK38" s="363"/>
      <c r="VUL38" s="363"/>
      <c r="VUM38" s="364" t="s">
        <v>140</v>
      </c>
      <c r="VUN38" s="365">
        <v>0.5</v>
      </c>
      <c r="VUO38" s="366" t="e">
        <f>10/VUK36</f>
        <v>#DIV/0!</v>
      </c>
      <c r="VUP38" s="367">
        <v>15.38</v>
      </c>
      <c r="VUQ38" s="367" t="e">
        <f>VUN38*VUO38*VUP38</f>
        <v>#DIV/0!</v>
      </c>
      <c r="VUR38" s="363" t="s">
        <v>153</v>
      </c>
      <c r="VUS38" s="363"/>
      <c r="VUT38" s="363"/>
      <c r="VUU38" s="364" t="s">
        <v>140</v>
      </c>
      <c r="VUV38" s="365">
        <v>0.5</v>
      </c>
      <c r="VUW38" s="366" t="e">
        <f>10/VUS36</f>
        <v>#DIV/0!</v>
      </c>
      <c r="VUX38" s="367">
        <v>15.38</v>
      </c>
      <c r="VUY38" s="367" t="e">
        <f>VUV38*VUW38*VUX38</f>
        <v>#DIV/0!</v>
      </c>
      <c r="VUZ38" s="363" t="s">
        <v>153</v>
      </c>
      <c r="VVA38" s="363"/>
      <c r="VVB38" s="363"/>
      <c r="VVC38" s="364" t="s">
        <v>140</v>
      </c>
      <c r="VVD38" s="365">
        <v>0.5</v>
      </c>
      <c r="VVE38" s="366" t="e">
        <f>10/VVA36</f>
        <v>#DIV/0!</v>
      </c>
      <c r="VVF38" s="367">
        <v>15.38</v>
      </c>
      <c r="VVG38" s="367" t="e">
        <f>VVD38*VVE38*VVF38</f>
        <v>#DIV/0!</v>
      </c>
      <c r="VVH38" s="363" t="s">
        <v>153</v>
      </c>
      <c r="VVI38" s="363"/>
      <c r="VVJ38" s="363"/>
      <c r="VVK38" s="364" t="s">
        <v>140</v>
      </c>
      <c r="VVL38" s="365">
        <v>0.5</v>
      </c>
      <c r="VVM38" s="366" t="e">
        <f>10/VVI36</f>
        <v>#DIV/0!</v>
      </c>
      <c r="VVN38" s="367">
        <v>15.38</v>
      </c>
      <c r="VVO38" s="367" t="e">
        <f>VVL38*VVM38*VVN38</f>
        <v>#DIV/0!</v>
      </c>
      <c r="VVP38" s="363" t="s">
        <v>153</v>
      </c>
      <c r="VVQ38" s="363"/>
      <c r="VVR38" s="363"/>
      <c r="VVS38" s="364" t="s">
        <v>140</v>
      </c>
      <c r="VVT38" s="365">
        <v>0.5</v>
      </c>
      <c r="VVU38" s="366" t="e">
        <f>10/VVQ36</f>
        <v>#DIV/0!</v>
      </c>
      <c r="VVV38" s="367">
        <v>15.38</v>
      </c>
      <c r="VVW38" s="367" t="e">
        <f>VVT38*VVU38*VVV38</f>
        <v>#DIV/0!</v>
      </c>
      <c r="VVX38" s="363" t="s">
        <v>153</v>
      </c>
      <c r="VVY38" s="363"/>
      <c r="VVZ38" s="363"/>
      <c r="VWA38" s="364" t="s">
        <v>140</v>
      </c>
      <c r="VWB38" s="365">
        <v>0.5</v>
      </c>
      <c r="VWC38" s="366" t="e">
        <f>10/VVY36</f>
        <v>#DIV/0!</v>
      </c>
      <c r="VWD38" s="367">
        <v>15.38</v>
      </c>
      <c r="VWE38" s="367" t="e">
        <f>VWB38*VWC38*VWD38</f>
        <v>#DIV/0!</v>
      </c>
      <c r="VWF38" s="363" t="s">
        <v>153</v>
      </c>
      <c r="VWG38" s="363"/>
      <c r="VWH38" s="363"/>
      <c r="VWI38" s="364" t="s">
        <v>140</v>
      </c>
      <c r="VWJ38" s="365">
        <v>0.5</v>
      </c>
      <c r="VWK38" s="366" t="e">
        <f>10/VWG36</f>
        <v>#DIV/0!</v>
      </c>
      <c r="VWL38" s="367">
        <v>15.38</v>
      </c>
      <c r="VWM38" s="367" t="e">
        <f>VWJ38*VWK38*VWL38</f>
        <v>#DIV/0!</v>
      </c>
      <c r="VWN38" s="363" t="s">
        <v>153</v>
      </c>
      <c r="VWO38" s="363"/>
      <c r="VWP38" s="363"/>
      <c r="VWQ38" s="364" t="s">
        <v>140</v>
      </c>
      <c r="VWR38" s="365">
        <v>0.5</v>
      </c>
      <c r="VWS38" s="366" t="e">
        <f>10/VWO36</f>
        <v>#DIV/0!</v>
      </c>
      <c r="VWT38" s="367">
        <v>15.38</v>
      </c>
      <c r="VWU38" s="367" t="e">
        <f>VWR38*VWS38*VWT38</f>
        <v>#DIV/0!</v>
      </c>
      <c r="VWV38" s="363" t="s">
        <v>153</v>
      </c>
      <c r="VWW38" s="363"/>
      <c r="VWX38" s="363"/>
      <c r="VWY38" s="364" t="s">
        <v>140</v>
      </c>
      <c r="VWZ38" s="365">
        <v>0.5</v>
      </c>
      <c r="VXA38" s="366" t="e">
        <f>10/VWW36</f>
        <v>#DIV/0!</v>
      </c>
      <c r="VXB38" s="367">
        <v>15.38</v>
      </c>
      <c r="VXC38" s="367" t="e">
        <f>VWZ38*VXA38*VXB38</f>
        <v>#DIV/0!</v>
      </c>
      <c r="VXD38" s="363" t="s">
        <v>153</v>
      </c>
      <c r="VXE38" s="363"/>
      <c r="VXF38" s="363"/>
      <c r="VXG38" s="364" t="s">
        <v>140</v>
      </c>
      <c r="VXH38" s="365">
        <v>0.5</v>
      </c>
      <c r="VXI38" s="366" t="e">
        <f>10/VXE36</f>
        <v>#DIV/0!</v>
      </c>
      <c r="VXJ38" s="367">
        <v>15.38</v>
      </c>
      <c r="VXK38" s="367" t="e">
        <f>VXH38*VXI38*VXJ38</f>
        <v>#DIV/0!</v>
      </c>
      <c r="VXL38" s="363" t="s">
        <v>153</v>
      </c>
      <c r="VXM38" s="363"/>
      <c r="VXN38" s="363"/>
      <c r="VXO38" s="364" t="s">
        <v>140</v>
      </c>
      <c r="VXP38" s="365">
        <v>0.5</v>
      </c>
      <c r="VXQ38" s="366" t="e">
        <f>10/VXM36</f>
        <v>#DIV/0!</v>
      </c>
      <c r="VXR38" s="367">
        <v>15.38</v>
      </c>
      <c r="VXS38" s="367" t="e">
        <f>VXP38*VXQ38*VXR38</f>
        <v>#DIV/0!</v>
      </c>
      <c r="VXT38" s="363" t="s">
        <v>153</v>
      </c>
      <c r="VXU38" s="363"/>
      <c r="VXV38" s="363"/>
      <c r="VXW38" s="364" t="s">
        <v>140</v>
      </c>
      <c r="VXX38" s="365">
        <v>0.5</v>
      </c>
      <c r="VXY38" s="366" t="e">
        <f>10/VXU36</f>
        <v>#DIV/0!</v>
      </c>
      <c r="VXZ38" s="367">
        <v>15.38</v>
      </c>
      <c r="VYA38" s="367" t="e">
        <f>VXX38*VXY38*VXZ38</f>
        <v>#DIV/0!</v>
      </c>
      <c r="VYB38" s="363" t="s">
        <v>153</v>
      </c>
      <c r="VYC38" s="363"/>
      <c r="VYD38" s="363"/>
      <c r="VYE38" s="364" t="s">
        <v>140</v>
      </c>
      <c r="VYF38" s="365">
        <v>0.5</v>
      </c>
      <c r="VYG38" s="366" t="e">
        <f>10/VYC36</f>
        <v>#DIV/0!</v>
      </c>
      <c r="VYH38" s="367">
        <v>15.38</v>
      </c>
      <c r="VYI38" s="367" t="e">
        <f>VYF38*VYG38*VYH38</f>
        <v>#DIV/0!</v>
      </c>
      <c r="VYJ38" s="363" t="s">
        <v>153</v>
      </c>
      <c r="VYK38" s="363"/>
      <c r="VYL38" s="363"/>
      <c r="VYM38" s="364" t="s">
        <v>140</v>
      </c>
      <c r="VYN38" s="365">
        <v>0.5</v>
      </c>
      <c r="VYO38" s="366" t="e">
        <f>10/VYK36</f>
        <v>#DIV/0!</v>
      </c>
      <c r="VYP38" s="367">
        <v>15.38</v>
      </c>
      <c r="VYQ38" s="367" t="e">
        <f>VYN38*VYO38*VYP38</f>
        <v>#DIV/0!</v>
      </c>
      <c r="VYR38" s="363" t="s">
        <v>153</v>
      </c>
      <c r="VYS38" s="363"/>
      <c r="VYT38" s="363"/>
      <c r="VYU38" s="364" t="s">
        <v>140</v>
      </c>
      <c r="VYV38" s="365">
        <v>0.5</v>
      </c>
      <c r="VYW38" s="366" t="e">
        <f>10/VYS36</f>
        <v>#DIV/0!</v>
      </c>
      <c r="VYX38" s="367">
        <v>15.38</v>
      </c>
      <c r="VYY38" s="367" t="e">
        <f>VYV38*VYW38*VYX38</f>
        <v>#DIV/0!</v>
      </c>
      <c r="VYZ38" s="363" t="s">
        <v>153</v>
      </c>
      <c r="VZA38" s="363"/>
      <c r="VZB38" s="363"/>
      <c r="VZC38" s="364" t="s">
        <v>140</v>
      </c>
      <c r="VZD38" s="365">
        <v>0.5</v>
      </c>
      <c r="VZE38" s="366" t="e">
        <f>10/VZA36</f>
        <v>#DIV/0!</v>
      </c>
      <c r="VZF38" s="367">
        <v>15.38</v>
      </c>
      <c r="VZG38" s="367" t="e">
        <f>VZD38*VZE38*VZF38</f>
        <v>#DIV/0!</v>
      </c>
      <c r="VZH38" s="363" t="s">
        <v>153</v>
      </c>
      <c r="VZI38" s="363"/>
      <c r="VZJ38" s="363"/>
      <c r="VZK38" s="364" t="s">
        <v>140</v>
      </c>
      <c r="VZL38" s="365">
        <v>0.5</v>
      </c>
      <c r="VZM38" s="366" t="e">
        <f>10/VZI36</f>
        <v>#DIV/0!</v>
      </c>
      <c r="VZN38" s="367">
        <v>15.38</v>
      </c>
      <c r="VZO38" s="367" t="e">
        <f>VZL38*VZM38*VZN38</f>
        <v>#DIV/0!</v>
      </c>
      <c r="VZP38" s="363" t="s">
        <v>153</v>
      </c>
      <c r="VZQ38" s="363"/>
      <c r="VZR38" s="363"/>
      <c r="VZS38" s="364" t="s">
        <v>140</v>
      </c>
      <c r="VZT38" s="365">
        <v>0.5</v>
      </c>
      <c r="VZU38" s="366" t="e">
        <f>10/VZQ36</f>
        <v>#DIV/0!</v>
      </c>
      <c r="VZV38" s="367">
        <v>15.38</v>
      </c>
      <c r="VZW38" s="367" t="e">
        <f>VZT38*VZU38*VZV38</f>
        <v>#DIV/0!</v>
      </c>
      <c r="VZX38" s="363" t="s">
        <v>153</v>
      </c>
      <c r="VZY38" s="363"/>
      <c r="VZZ38" s="363"/>
      <c r="WAA38" s="364" t="s">
        <v>140</v>
      </c>
      <c r="WAB38" s="365">
        <v>0.5</v>
      </c>
      <c r="WAC38" s="366" t="e">
        <f>10/VZY36</f>
        <v>#DIV/0!</v>
      </c>
      <c r="WAD38" s="367">
        <v>15.38</v>
      </c>
      <c r="WAE38" s="367" t="e">
        <f>WAB38*WAC38*WAD38</f>
        <v>#DIV/0!</v>
      </c>
      <c r="WAF38" s="363" t="s">
        <v>153</v>
      </c>
      <c r="WAG38" s="363"/>
      <c r="WAH38" s="363"/>
      <c r="WAI38" s="364" t="s">
        <v>140</v>
      </c>
      <c r="WAJ38" s="365">
        <v>0.5</v>
      </c>
      <c r="WAK38" s="366" t="e">
        <f>10/WAG36</f>
        <v>#DIV/0!</v>
      </c>
      <c r="WAL38" s="367">
        <v>15.38</v>
      </c>
      <c r="WAM38" s="367" t="e">
        <f>WAJ38*WAK38*WAL38</f>
        <v>#DIV/0!</v>
      </c>
      <c r="WAN38" s="363" t="s">
        <v>153</v>
      </c>
      <c r="WAO38" s="363"/>
      <c r="WAP38" s="363"/>
      <c r="WAQ38" s="364" t="s">
        <v>140</v>
      </c>
      <c r="WAR38" s="365">
        <v>0.5</v>
      </c>
      <c r="WAS38" s="366" t="e">
        <f>10/WAO36</f>
        <v>#DIV/0!</v>
      </c>
      <c r="WAT38" s="367">
        <v>15.38</v>
      </c>
      <c r="WAU38" s="367" t="e">
        <f>WAR38*WAS38*WAT38</f>
        <v>#DIV/0!</v>
      </c>
      <c r="WAV38" s="363" t="s">
        <v>153</v>
      </c>
      <c r="WAW38" s="363"/>
      <c r="WAX38" s="363"/>
      <c r="WAY38" s="364" t="s">
        <v>140</v>
      </c>
      <c r="WAZ38" s="365">
        <v>0.5</v>
      </c>
      <c r="WBA38" s="366" t="e">
        <f>10/WAW36</f>
        <v>#DIV/0!</v>
      </c>
      <c r="WBB38" s="367">
        <v>15.38</v>
      </c>
      <c r="WBC38" s="367" t="e">
        <f>WAZ38*WBA38*WBB38</f>
        <v>#DIV/0!</v>
      </c>
      <c r="WBD38" s="363" t="s">
        <v>153</v>
      </c>
      <c r="WBE38" s="363"/>
      <c r="WBF38" s="363"/>
      <c r="WBG38" s="364" t="s">
        <v>140</v>
      </c>
      <c r="WBH38" s="365">
        <v>0.5</v>
      </c>
      <c r="WBI38" s="366" t="e">
        <f>10/WBE36</f>
        <v>#DIV/0!</v>
      </c>
      <c r="WBJ38" s="367">
        <v>15.38</v>
      </c>
      <c r="WBK38" s="367" t="e">
        <f>WBH38*WBI38*WBJ38</f>
        <v>#DIV/0!</v>
      </c>
      <c r="WBL38" s="363" t="s">
        <v>153</v>
      </c>
      <c r="WBM38" s="363"/>
      <c r="WBN38" s="363"/>
      <c r="WBO38" s="364" t="s">
        <v>140</v>
      </c>
      <c r="WBP38" s="365">
        <v>0.5</v>
      </c>
      <c r="WBQ38" s="366" t="e">
        <f>10/WBM36</f>
        <v>#DIV/0!</v>
      </c>
      <c r="WBR38" s="367">
        <v>15.38</v>
      </c>
      <c r="WBS38" s="367" t="e">
        <f>WBP38*WBQ38*WBR38</f>
        <v>#DIV/0!</v>
      </c>
      <c r="WBT38" s="363" t="s">
        <v>153</v>
      </c>
      <c r="WBU38" s="363"/>
      <c r="WBV38" s="363"/>
      <c r="WBW38" s="364" t="s">
        <v>140</v>
      </c>
      <c r="WBX38" s="365">
        <v>0.5</v>
      </c>
      <c r="WBY38" s="366" t="e">
        <f>10/WBU36</f>
        <v>#DIV/0!</v>
      </c>
      <c r="WBZ38" s="367">
        <v>15.38</v>
      </c>
      <c r="WCA38" s="367" t="e">
        <f>WBX38*WBY38*WBZ38</f>
        <v>#DIV/0!</v>
      </c>
      <c r="WCB38" s="363" t="s">
        <v>153</v>
      </c>
      <c r="WCC38" s="363"/>
      <c r="WCD38" s="363"/>
      <c r="WCE38" s="364" t="s">
        <v>140</v>
      </c>
      <c r="WCF38" s="365">
        <v>0.5</v>
      </c>
      <c r="WCG38" s="366" t="e">
        <f>10/WCC36</f>
        <v>#DIV/0!</v>
      </c>
      <c r="WCH38" s="367">
        <v>15.38</v>
      </c>
      <c r="WCI38" s="367" t="e">
        <f>WCF38*WCG38*WCH38</f>
        <v>#DIV/0!</v>
      </c>
      <c r="WCJ38" s="363" t="s">
        <v>153</v>
      </c>
      <c r="WCK38" s="363"/>
      <c r="WCL38" s="363"/>
      <c r="WCM38" s="364" t="s">
        <v>140</v>
      </c>
      <c r="WCN38" s="365">
        <v>0.5</v>
      </c>
      <c r="WCO38" s="366" t="e">
        <f>10/WCK36</f>
        <v>#DIV/0!</v>
      </c>
      <c r="WCP38" s="367">
        <v>15.38</v>
      </c>
      <c r="WCQ38" s="367" t="e">
        <f>WCN38*WCO38*WCP38</f>
        <v>#DIV/0!</v>
      </c>
      <c r="WCR38" s="363" t="s">
        <v>153</v>
      </c>
      <c r="WCS38" s="363"/>
      <c r="WCT38" s="363"/>
      <c r="WCU38" s="364" t="s">
        <v>140</v>
      </c>
      <c r="WCV38" s="365">
        <v>0.5</v>
      </c>
      <c r="WCW38" s="366" t="e">
        <f>10/WCS36</f>
        <v>#DIV/0!</v>
      </c>
      <c r="WCX38" s="367">
        <v>15.38</v>
      </c>
      <c r="WCY38" s="367" t="e">
        <f>WCV38*WCW38*WCX38</f>
        <v>#DIV/0!</v>
      </c>
      <c r="WCZ38" s="363" t="s">
        <v>153</v>
      </c>
      <c r="WDA38" s="363"/>
      <c r="WDB38" s="363"/>
      <c r="WDC38" s="364" t="s">
        <v>140</v>
      </c>
      <c r="WDD38" s="365">
        <v>0.5</v>
      </c>
      <c r="WDE38" s="366" t="e">
        <f>10/WDA36</f>
        <v>#DIV/0!</v>
      </c>
      <c r="WDF38" s="367">
        <v>15.38</v>
      </c>
      <c r="WDG38" s="367" t="e">
        <f>WDD38*WDE38*WDF38</f>
        <v>#DIV/0!</v>
      </c>
      <c r="WDH38" s="363" t="s">
        <v>153</v>
      </c>
      <c r="WDI38" s="363"/>
      <c r="WDJ38" s="363"/>
      <c r="WDK38" s="364" t="s">
        <v>140</v>
      </c>
      <c r="WDL38" s="365">
        <v>0.5</v>
      </c>
      <c r="WDM38" s="366" t="e">
        <f>10/WDI36</f>
        <v>#DIV/0!</v>
      </c>
      <c r="WDN38" s="367">
        <v>15.38</v>
      </c>
      <c r="WDO38" s="367" t="e">
        <f>WDL38*WDM38*WDN38</f>
        <v>#DIV/0!</v>
      </c>
      <c r="WDP38" s="363" t="s">
        <v>153</v>
      </c>
      <c r="WDQ38" s="363"/>
      <c r="WDR38" s="363"/>
      <c r="WDS38" s="364" t="s">
        <v>140</v>
      </c>
      <c r="WDT38" s="365">
        <v>0.5</v>
      </c>
      <c r="WDU38" s="366" t="e">
        <f>10/WDQ36</f>
        <v>#DIV/0!</v>
      </c>
      <c r="WDV38" s="367">
        <v>15.38</v>
      </c>
      <c r="WDW38" s="367" t="e">
        <f>WDT38*WDU38*WDV38</f>
        <v>#DIV/0!</v>
      </c>
      <c r="WDX38" s="363" t="s">
        <v>153</v>
      </c>
      <c r="WDY38" s="363"/>
      <c r="WDZ38" s="363"/>
      <c r="WEA38" s="364" t="s">
        <v>140</v>
      </c>
      <c r="WEB38" s="365">
        <v>0.5</v>
      </c>
      <c r="WEC38" s="366" t="e">
        <f>10/WDY36</f>
        <v>#DIV/0!</v>
      </c>
      <c r="WED38" s="367">
        <v>15.38</v>
      </c>
      <c r="WEE38" s="367" t="e">
        <f>WEB38*WEC38*WED38</f>
        <v>#DIV/0!</v>
      </c>
      <c r="WEF38" s="363" t="s">
        <v>153</v>
      </c>
      <c r="WEG38" s="363"/>
      <c r="WEH38" s="363"/>
      <c r="WEI38" s="364" t="s">
        <v>140</v>
      </c>
      <c r="WEJ38" s="365">
        <v>0.5</v>
      </c>
      <c r="WEK38" s="366" t="e">
        <f>10/WEG36</f>
        <v>#DIV/0!</v>
      </c>
      <c r="WEL38" s="367">
        <v>15.38</v>
      </c>
      <c r="WEM38" s="367" t="e">
        <f>WEJ38*WEK38*WEL38</f>
        <v>#DIV/0!</v>
      </c>
      <c r="WEN38" s="363" t="s">
        <v>153</v>
      </c>
      <c r="WEO38" s="363"/>
      <c r="WEP38" s="363"/>
      <c r="WEQ38" s="364" t="s">
        <v>140</v>
      </c>
      <c r="WER38" s="365">
        <v>0.5</v>
      </c>
      <c r="WES38" s="366" t="e">
        <f>10/WEO36</f>
        <v>#DIV/0!</v>
      </c>
      <c r="WET38" s="367">
        <v>15.38</v>
      </c>
      <c r="WEU38" s="367" t="e">
        <f>WER38*WES38*WET38</f>
        <v>#DIV/0!</v>
      </c>
      <c r="WEV38" s="363" t="s">
        <v>153</v>
      </c>
      <c r="WEW38" s="363"/>
      <c r="WEX38" s="363"/>
      <c r="WEY38" s="364" t="s">
        <v>140</v>
      </c>
      <c r="WEZ38" s="365">
        <v>0.5</v>
      </c>
      <c r="WFA38" s="366" t="e">
        <f>10/WEW36</f>
        <v>#DIV/0!</v>
      </c>
      <c r="WFB38" s="367">
        <v>15.38</v>
      </c>
      <c r="WFC38" s="367" t="e">
        <f>WEZ38*WFA38*WFB38</f>
        <v>#DIV/0!</v>
      </c>
      <c r="WFD38" s="363" t="s">
        <v>153</v>
      </c>
      <c r="WFE38" s="363"/>
      <c r="WFF38" s="363"/>
      <c r="WFG38" s="364" t="s">
        <v>140</v>
      </c>
      <c r="WFH38" s="365">
        <v>0.5</v>
      </c>
      <c r="WFI38" s="366" t="e">
        <f>10/WFE36</f>
        <v>#DIV/0!</v>
      </c>
      <c r="WFJ38" s="367">
        <v>15.38</v>
      </c>
      <c r="WFK38" s="367" t="e">
        <f>WFH38*WFI38*WFJ38</f>
        <v>#DIV/0!</v>
      </c>
      <c r="WFL38" s="363" t="s">
        <v>153</v>
      </c>
      <c r="WFM38" s="363"/>
      <c r="WFN38" s="363"/>
      <c r="WFO38" s="364" t="s">
        <v>140</v>
      </c>
      <c r="WFP38" s="365">
        <v>0.5</v>
      </c>
      <c r="WFQ38" s="366" t="e">
        <f>10/WFM36</f>
        <v>#DIV/0!</v>
      </c>
      <c r="WFR38" s="367">
        <v>15.38</v>
      </c>
      <c r="WFS38" s="367" t="e">
        <f>WFP38*WFQ38*WFR38</f>
        <v>#DIV/0!</v>
      </c>
      <c r="WFT38" s="363" t="s">
        <v>153</v>
      </c>
      <c r="WFU38" s="363"/>
      <c r="WFV38" s="363"/>
      <c r="WFW38" s="364" t="s">
        <v>140</v>
      </c>
      <c r="WFX38" s="365">
        <v>0.5</v>
      </c>
      <c r="WFY38" s="366" t="e">
        <f>10/WFU36</f>
        <v>#DIV/0!</v>
      </c>
      <c r="WFZ38" s="367">
        <v>15.38</v>
      </c>
      <c r="WGA38" s="367" t="e">
        <f>WFX38*WFY38*WFZ38</f>
        <v>#DIV/0!</v>
      </c>
      <c r="WGB38" s="363" t="s">
        <v>153</v>
      </c>
      <c r="WGC38" s="363"/>
      <c r="WGD38" s="363"/>
      <c r="WGE38" s="364" t="s">
        <v>140</v>
      </c>
      <c r="WGF38" s="365">
        <v>0.5</v>
      </c>
      <c r="WGG38" s="366" t="e">
        <f>10/WGC36</f>
        <v>#DIV/0!</v>
      </c>
      <c r="WGH38" s="367">
        <v>15.38</v>
      </c>
      <c r="WGI38" s="367" t="e">
        <f>WGF38*WGG38*WGH38</f>
        <v>#DIV/0!</v>
      </c>
      <c r="WGJ38" s="363" t="s">
        <v>153</v>
      </c>
      <c r="WGK38" s="363"/>
      <c r="WGL38" s="363"/>
      <c r="WGM38" s="364" t="s">
        <v>140</v>
      </c>
      <c r="WGN38" s="365">
        <v>0.5</v>
      </c>
      <c r="WGO38" s="366" t="e">
        <f>10/WGK36</f>
        <v>#DIV/0!</v>
      </c>
      <c r="WGP38" s="367">
        <v>15.38</v>
      </c>
      <c r="WGQ38" s="367" t="e">
        <f>WGN38*WGO38*WGP38</f>
        <v>#DIV/0!</v>
      </c>
      <c r="WGR38" s="363" t="s">
        <v>153</v>
      </c>
      <c r="WGS38" s="363"/>
      <c r="WGT38" s="363"/>
      <c r="WGU38" s="364" t="s">
        <v>140</v>
      </c>
      <c r="WGV38" s="365">
        <v>0.5</v>
      </c>
      <c r="WGW38" s="366" t="e">
        <f>10/WGS36</f>
        <v>#DIV/0!</v>
      </c>
      <c r="WGX38" s="367">
        <v>15.38</v>
      </c>
      <c r="WGY38" s="367" t="e">
        <f>WGV38*WGW38*WGX38</f>
        <v>#DIV/0!</v>
      </c>
      <c r="WGZ38" s="363" t="s">
        <v>153</v>
      </c>
      <c r="WHA38" s="363"/>
      <c r="WHB38" s="363"/>
      <c r="WHC38" s="364" t="s">
        <v>140</v>
      </c>
      <c r="WHD38" s="365">
        <v>0.5</v>
      </c>
      <c r="WHE38" s="366" t="e">
        <f>10/WHA36</f>
        <v>#DIV/0!</v>
      </c>
      <c r="WHF38" s="367">
        <v>15.38</v>
      </c>
      <c r="WHG38" s="367" t="e">
        <f>WHD38*WHE38*WHF38</f>
        <v>#DIV/0!</v>
      </c>
      <c r="WHH38" s="363" t="s">
        <v>153</v>
      </c>
      <c r="WHI38" s="363"/>
      <c r="WHJ38" s="363"/>
      <c r="WHK38" s="364" t="s">
        <v>140</v>
      </c>
      <c r="WHL38" s="365">
        <v>0.5</v>
      </c>
      <c r="WHM38" s="366" t="e">
        <f>10/WHI36</f>
        <v>#DIV/0!</v>
      </c>
      <c r="WHN38" s="367">
        <v>15.38</v>
      </c>
      <c r="WHO38" s="367" t="e">
        <f>WHL38*WHM38*WHN38</f>
        <v>#DIV/0!</v>
      </c>
      <c r="WHP38" s="363" t="s">
        <v>153</v>
      </c>
      <c r="WHQ38" s="363"/>
      <c r="WHR38" s="363"/>
      <c r="WHS38" s="364" t="s">
        <v>140</v>
      </c>
      <c r="WHT38" s="365">
        <v>0.5</v>
      </c>
      <c r="WHU38" s="366" t="e">
        <f>10/WHQ36</f>
        <v>#DIV/0!</v>
      </c>
      <c r="WHV38" s="367">
        <v>15.38</v>
      </c>
      <c r="WHW38" s="367" t="e">
        <f>WHT38*WHU38*WHV38</f>
        <v>#DIV/0!</v>
      </c>
      <c r="WHX38" s="363" t="s">
        <v>153</v>
      </c>
      <c r="WHY38" s="363"/>
      <c r="WHZ38" s="363"/>
      <c r="WIA38" s="364" t="s">
        <v>140</v>
      </c>
      <c r="WIB38" s="365">
        <v>0.5</v>
      </c>
      <c r="WIC38" s="366" t="e">
        <f>10/WHY36</f>
        <v>#DIV/0!</v>
      </c>
      <c r="WID38" s="367">
        <v>15.38</v>
      </c>
      <c r="WIE38" s="367" t="e">
        <f>WIB38*WIC38*WID38</f>
        <v>#DIV/0!</v>
      </c>
      <c r="WIF38" s="363" t="s">
        <v>153</v>
      </c>
      <c r="WIG38" s="363"/>
      <c r="WIH38" s="363"/>
      <c r="WII38" s="364" t="s">
        <v>140</v>
      </c>
      <c r="WIJ38" s="365">
        <v>0.5</v>
      </c>
      <c r="WIK38" s="366" t="e">
        <f>10/WIG36</f>
        <v>#DIV/0!</v>
      </c>
      <c r="WIL38" s="367">
        <v>15.38</v>
      </c>
      <c r="WIM38" s="367" t="e">
        <f>WIJ38*WIK38*WIL38</f>
        <v>#DIV/0!</v>
      </c>
      <c r="WIN38" s="363" t="s">
        <v>153</v>
      </c>
      <c r="WIO38" s="363"/>
      <c r="WIP38" s="363"/>
      <c r="WIQ38" s="364" t="s">
        <v>140</v>
      </c>
      <c r="WIR38" s="365">
        <v>0.5</v>
      </c>
      <c r="WIS38" s="366" t="e">
        <f>10/WIO36</f>
        <v>#DIV/0!</v>
      </c>
      <c r="WIT38" s="367">
        <v>15.38</v>
      </c>
      <c r="WIU38" s="367" t="e">
        <f>WIR38*WIS38*WIT38</f>
        <v>#DIV/0!</v>
      </c>
      <c r="WIV38" s="363" t="s">
        <v>153</v>
      </c>
      <c r="WIW38" s="363"/>
      <c r="WIX38" s="363"/>
      <c r="WIY38" s="364" t="s">
        <v>140</v>
      </c>
      <c r="WIZ38" s="365">
        <v>0.5</v>
      </c>
      <c r="WJA38" s="366" t="e">
        <f>10/WIW36</f>
        <v>#DIV/0!</v>
      </c>
      <c r="WJB38" s="367">
        <v>15.38</v>
      </c>
      <c r="WJC38" s="367" t="e">
        <f>WIZ38*WJA38*WJB38</f>
        <v>#DIV/0!</v>
      </c>
      <c r="WJD38" s="363" t="s">
        <v>153</v>
      </c>
      <c r="WJE38" s="363"/>
      <c r="WJF38" s="363"/>
      <c r="WJG38" s="364" t="s">
        <v>140</v>
      </c>
      <c r="WJH38" s="365">
        <v>0.5</v>
      </c>
      <c r="WJI38" s="366" t="e">
        <f>10/WJE36</f>
        <v>#DIV/0!</v>
      </c>
      <c r="WJJ38" s="367">
        <v>15.38</v>
      </c>
      <c r="WJK38" s="367" t="e">
        <f>WJH38*WJI38*WJJ38</f>
        <v>#DIV/0!</v>
      </c>
      <c r="WJL38" s="363" t="s">
        <v>153</v>
      </c>
      <c r="WJM38" s="363"/>
      <c r="WJN38" s="363"/>
      <c r="WJO38" s="364" t="s">
        <v>140</v>
      </c>
      <c r="WJP38" s="365">
        <v>0.5</v>
      </c>
      <c r="WJQ38" s="366" t="e">
        <f>10/WJM36</f>
        <v>#DIV/0!</v>
      </c>
      <c r="WJR38" s="367">
        <v>15.38</v>
      </c>
      <c r="WJS38" s="367" t="e">
        <f>WJP38*WJQ38*WJR38</f>
        <v>#DIV/0!</v>
      </c>
      <c r="WJT38" s="363" t="s">
        <v>153</v>
      </c>
      <c r="WJU38" s="363"/>
      <c r="WJV38" s="363"/>
      <c r="WJW38" s="364" t="s">
        <v>140</v>
      </c>
      <c r="WJX38" s="365">
        <v>0.5</v>
      </c>
      <c r="WJY38" s="366" t="e">
        <f>10/WJU36</f>
        <v>#DIV/0!</v>
      </c>
      <c r="WJZ38" s="367">
        <v>15.38</v>
      </c>
      <c r="WKA38" s="367" t="e">
        <f>WJX38*WJY38*WJZ38</f>
        <v>#DIV/0!</v>
      </c>
      <c r="WKB38" s="363" t="s">
        <v>153</v>
      </c>
      <c r="WKC38" s="363"/>
      <c r="WKD38" s="363"/>
      <c r="WKE38" s="364" t="s">
        <v>140</v>
      </c>
      <c r="WKF38" s="365">
        <v>0.5</v>
      </c>
      <c r="WKG38" s="366" t="e">
        <f>10/WKC36</f>
        <v>#DIV/0!</v>
      </c>
      <c r="WKH38" s="367">
        <v>15.38</v>
      </c>
      <c r="WKI38" s="367" t="e">
        <f>WKF38*WKG38*WKH38</f>
        <v>#DIV/0!</v>
      </c>
      <c r="WKJ38" s="363" t="s">
        <v>153</v>
      </c>
      <c r="WKK38" s="363"/>
      <c r="WKL38" s="363"/>
      <c r="WKM38" s="364" t="s">
        <v>140</v>
      </c>
      <c r="WKN38" s="365">
        <v>0.5</v>
      </c>
      <c r="WKO38" s="366" t="e">
        <f>10/WKK36</f>
        <v>#DIV/0!</v>
      </c>
      <c r="WKP38" s="367">
        <v>15.38</v>
      </c>
      <c r="WKQ38" s="367" t="e">
        <f>WKN38*WKO38*WKP38</f>
        <v>#DIV/0!</v>
      </c>
      <c r="WKR38" s="363" t="s">
        <v>153</v>
      </c>
      <c r="WKS38" s="363"/>
      <c r="WKT38" s="363"/>
      <c r="WKU38" s="364" t="s">
        <v>140</v>
      </c>
      <c r="WKV38" s="365">
        <v>0.5</v>
      </c>
      <c r="WKW38" s="366" t="e">
        <f>10/WKS36</f>
        <v>#DIV/0!</v>
      </c>
      <c r="WKX38" s="367">
        <v>15.38</v>
      </c>
      <c r="WKY38" s="367" t="e">
        <f>WKV38*WKW38*WKX38</f>
        <v>#DIV/0!</v>
      </c>
      <c r="WKZ38" s="363" t="s">
        <v>153</v>
      </c>
      <c r="WLA38" s="363"/>
      <c r="WLB38" s="363"/>
      <c r="WLC38" s="364" t="s">
        <v>140</v>
      </c>
      <c r="WLD38" s="365">
        <v>0.5</v>
      </c>
      <c r="WLE38" s="366" t="e">
        <f>10/WLA36</f>
        <v>#DIV/0!</v>
      </c>
      <c r="WLF38" s="367">
        <v>15.38</v>
      </c>
      <c r="WLG38" s="367" t="e">
        <f>WLD38*WLE38*WLF38</f>
        <v>#DIV/0!</v>
      </c>
      <c r="WLH38" s="363" t="s">
        <v>153</v>
      </c>
      <c r="WLI38" s="363"/>
      <c r="WLJ38" s="363"/>
      <c r="WLK38" s="364" t="s">
        <v>140</v>
      </c>
      <c r="WLL38" s="365">
        <v>0.5</v>
      </c>
      <c r="WLM38" s="366" t="e">
        <f>10/WLI36</f>
        <v>#DIV/0!</v>
      </c>
      <c r="WLN38" s="367">
        <v>15.38</v>
      </c>
      <c r="WLO38" s="367" t="e">
        <f>WLL38*WLM38*WLN38</f>
        <v>#DIV/0!</v>
      </c>
      <c r="WLP38" s="363" t="s">
        <v>153</v>
      </c>
      <c r="WLQ38" s="363"/>
      <c r="WLR38" s="363"/>
      <c r="WLS38" s="364" t="s">
        <v>140</v>
      </c>
      <c r="WLT38" s="365">
        <v>0.5</v>
      </c>
      <c r="WLU38" s="366" t="e">
        <f>10/WLQ36</f>
        <v>#DIV/0!</v>
      </c>
      <c r="WLV38" s="367">
        <v>15.38</v>
      </c>
      <c r="WLW38" s="367" t="e">
        <f>WLT38*WLU38*WLV38</f>
        <v>#DIV/0!</v>
      </c>
      <c r="WLX38" s="363" t="s">
        <v>153</v>
      </c>
      <c r="WLY38" s="363"/>
      <c r="WLZ38" s="363"/>
      <c r="WMA38" s="364" t="s">
        <v>140</v>
      </c>
      <c r="WMB38" s="365">
        <v>0.5</v>
      </c>
      <c r="WMC38" s="366" t="e">
        <f>10/WLY36</f>
        <v>#DIV/0!</v>
      </c>
      <c r="WMD38" s="367">
        <v>15.38</v>
      </c>
      <c r="WME38" s="367" t="e">
        <f>WMB38*WMC38*WMD38</f>
        <v>#DIV/0!</v>
      </c>
      <c r="WMF38" s="363" t="s">
        <v>153</v>
      </c>
      <c r="WMG38" s="363"/>
      <c r="WMH38" s="363"/>
      <c r="WMI38" s="364" t="s">
        <v>140</v>
      </c>
      <c r="WMJ38" s="365">
        <v>0.5</v>
      </c>
      <c r="WMK38" s="366" t="e">
        <f>10/WMG36</f>
        <v>#DIV/0!</v>
      </c>
      <c r="WML38" s="367">
        <v>15.38</v>
      </c>
      <c r="WMM38" s="367" t="e">
        <f>WMJ38*WMK38*WML38</f>
        <v>#DIV/0!</v>
      </c>
      <c r="WMN38" s="363" t="s">
        <v>153</v>
      </c>
      <c r="WMO38" s="363"/>
      <c r="WMP38" s="363"/>
      <c r="WMQ38" s="364" t="s">
        <v>140</v>
      </c>
      <c r="WMR38" s="365">
        <v>0.5</v>
      </c>
      <c r="WMS38" s="366" t="e">
        <f>10/WMO36</f>
        <v>#DIV/0!</v>
      </c>
      <c r="WMT38" s="367">
        <v>15.38</v>
      </c>
      <c r="WMU38" s="367" t="e">
        <f>WMR38*WMS38*WMT38</f>
        <v>#DIV/0!</v>
      </c>
      <c r="WMV38" s="363" t="s">
        <v>153</v>
      </c>
      <c r="WMW38" s="363"/>
      <c r="WMX38" s="363"/>
      <c r="WMY38" s="364" t="s">
        <v>140</v>
      </c>
      <c r="WMZ38" s="365">
        <v>0.5</v>
      </c>
      <c r="WNA38" s="366" t="e">
        <f>10/WMW36</f>
        <v>#DIV/0!</v>
      </c>
      <c r="WNB38" s="367">
        <v>15.38</v>
      </c>
      <c r="WNC38" s="367" t="e">
        <f>WMZ38*WNA38*WNB38</f>
        <v>#DIV/0!</v>
      </c>
      <c r="WND38" s="363" t="s">
        <v>153</v>
      </c>
      <c r="WNE38" s="363"/>
      <c r="WNF38" s="363"/>
      <c r="WNG38" s="364" t="s">
        <v>140</v>
      </c>
      <c r="WNH38" s="365">
        <v>0.5</v>
      </c>
      <c r="WNI38" s="366" t="e">
        <f>10/WNE36</f>
        <v>#DIV/0!</v>
      </c>
      <c r="WNJ38" s="367">
        <v>15.38</v>
      </c>
      <c r="WNK38" s="367" t="e">
        <f>WNH38*WNI38*WNJ38</f>
        <v>#DIV/0!</v>
      </c>
      <c r="WNL38" s="363" t="s">
        <v>153</v>
      </c>
      <c r="WNM38" s="363"/>
      <c r="WNN38" s="363"/>
      <c r="WNO38" s="364" t="s">
        <v>140</v>
      </c>
      <c r="WNP38" s="365">
        <v>0.5</v>
      </c>
      <c r="WNQ38" s="366" t="e">
        <f>10/WNM36</f>
        <v>#DIV/0!</v>
      </c>
      <c r="WNR38" s="367">
        <v>15.38</v>
      </c>
      <c r="WNS38" s="367" t="e">
        <f>WNP38*WNQ38*WNR38</f>
        <v>#DIV/0!</v>
      </c>
      <c r="WNT38" s="363" t="s">
        <v>153</v>
      </c>
      <c r="WNU38" s="363"/>
      <c r="WNV38" s="363"/>
      <c r="WNW38" s="364" t="s">
        <v>140</v>
      </c>
      <c r="WNX38" s="365">
        <v>0.5</v>
      </c>
      <c r="WNY38" s="366" t="e">
        <f>10/WNU36</f>
        <v>#DIV/0!</v>
      </c>
      <c r="WNZ38" s="367">
        <v>15.38</v>
      </c>
      <c r="WOA38" s="367" t="e">
        <f>WNX38*WNY38*WNZ38</f>
        <v>#DIV/0!</v>
      </c>
      <c r="WOB38" s="363" t="s">
        <v>153</v>
      </c>
      <c r="WOC38" s="363"/>
      <c r="WOD38" s="363"/>
      <c r="WOE38" s="364" t="s">
        <v>140</v>
      </c>
      <c r="WOF38" s="365">
        <v>0.5</v>
      </c>
      <c r="WOG38" s="366" t="e">
        <f>10/WOC36</f>
        <v>#DIV/0!</v>
      </c>
      <c r="WOH38" s="367">
        <v>15.38</v>
      </c>
      <c r="WOI38" s="367" t="e">
        <f>WOF38*WOG38*WOH38</f>
        <v>#DIV/0!</v>
      </c>
      <c r="WOJ38" s="363" t="s">
        <v>153</v>
      </c>
      <c r="WOK38" s="363"/>
      <c r="WOL38" s="363"/>
      <c r="WOM38" s="364" t="s">
        <v>140</v>
      </c>
      <c r="WON38" s="365">
        <v>0.5</v>
      </c>
      <c r="WOO38" s="366" t="e">
        <f>10/WOK36</f>
        <v>#DIV/0!</v>
      </c>
      <c r="WOP38" s="367">
        <v>15.38</v>
      </c>
      <c r="WOQ38" s="367" t="e">
        <f>WON38*WOO38*WOP38</f>
        <v>#DIV/0!</v>
      </c>
      <c r="WOR38" s="363" t="s">
        <v>153</v>
      </c>
      <c r="WOS38" s="363"/>
      <c r="WOT38" s="363"/>
      <c r="WOU38" s="364" t="s">
        <v>140</v>
      </c>
      <c r="WOV38" s="365">
        <v>0.5</v>
      </c>
      <c r="WOW38" s="366" t="e">
        <f>10/WOS36</f>
        <v>#DIV/0!</v>
      </c>
      <c r="WOX38" s="367">
        <v>15.38</v>
      </c>
      <c r="WOY38" s="367" t="e">
        <f>WOV38*WOW38*WOX38</f>
        <v>#DIV/0!</v>
      </c>
      <c r="WOZ38" s="363" t="s">
        <v>153</v>
      </c>
      <c r="WPA38" s="363"/>
      <c r="WPB38" s="363"/>
      <c r="WPC38" s="364" t="s">
        <v>140</v>
      </c>
      <c r="WPD38" s="365">
        <v>0.5</v>
      </c>
      <c r="WPE38" s="366" t="e">
        <f>10/WPA36</f>
        <v>#DIV/0!</v>
      </c>
      <c r="WPF38" s="367">
        <v>15.38</v>
      </c>
      <c r="WPG38" s="367" t="e">
        <f>WPD38*WPE38*WPF38</f>
        <v>#DIV/0!</v>
      </c>
      <c r="WPH38" s="363" t="s">
        <v>153</v>
      </c>
      <c r="WPI38" s="363"/>
      <c r="WPJ38" s="363"/>
      <c r="WPK38" s="364" t="s">
        <v>140</v>
      </c>
      <c r="WPL38" s="365">
        <v>0.5</v>
      </c>
      <c r="WPM38" s="366" t="e">
        <f>10/WPI36</f>
        <v>#DIV/0!</v>
      </c>
      <c r="WPN38" s="367">
        <v>15.38</v>
      </c>
      <c r="WPO38" s="367" t="e">
        <f>WPL38*WPM38*WPN38</f>
        <v>#DIV/0!</v>
      </c>
      <c r="WPP38" s="363" t="s">
        <v>153</v>
      </c>
      <c r="WPQ38" s="363"/>
      <c r="WPR38" s="363"/>
      <c r="WPS38" s="364" t="s">
        <v>140</v>
      </c>
      <c r="WPT38" s="365">
        <v>0.5</v>
      </c>
      <c r="WPU38" s="366" t="e">
        <f>10/WPQ36</f>
        <v>#DIV/0!</v>
      </c>
      <c r="WPV38" s="367">
        <v>15.38</v>
      </c>
      <c r="WPW38" s="367" t="e">
        <f>WPT38*WPU38*WPV38</f>
        <v>#DIV/0!</v>
      </c>
      <c r="WPX38" s="363" t="s">
        <v>153</v>
      </c>
      <c r="WPY38" s="363"/>
      <c r="WPZ38" s="363"/>
      <c r="WQA38" s="364" t="s">
        <v>140</v>
      </c>
      <c r="WQB38" s="365">
        <v>0.5</v>
      </c>
      <c r="WQC38" s="366" t="e">
        <f>10/WPY36</f>
        <v>#DIV/0!</v>
      </c>
      <c r="WQD38" s="367">
        <v>15.38</v>
      </c>
      <c r="WQE38" s="367" t="e">
        <f>WQB38*WQC38*WQD38</f>
        <v>#DIV/0!</v>
      </c>
      <c r="WQF38" s="363" t="s">
        <v>153</v>
      </c>
      <c r="WQG38" s="363"/>
      <c r="WQH38" s="363"/>
      <c r="WQI38" s="364" t="s">
        <v>140</v>
      </c>
      <c r="WQJ38" s="365">
        <v>0.5</v>
      </c>
      <c r="WQK38" s="366" t="e">
        <f>10/WQG36</f>
        <v>#DIV/0!</v>
      </c>
      <c r="WQL38" s="367">
        <v>15.38</v>
      </c>
      <c r="WQM38" s="367" t="e">
        <f>WQJ38*WQK38*WQL38</f>
        <v>#DIV/0!</v>
      </c>
      <c r="WQN38" s="363" t="s">
        <v>153</v>
      </c>
      <c r="WQO38" s="363"/>
      <c r="WQP38" s="363"/>
      <c r="WQQ38" s="364" t="s">
        <v>140</v>
      </c>
      <c r="WQR38" s="365">
        <v>0.5</v>
      </c>
      <c r="WQS38" s="366" t="e">
        <f>10/WQO36</f>
        <v>#DIV/0!</v>
      </c>
      <c r="WQT38" s="367">
        <v>15.38</v>
      </c>
      <c r="WQU38" s="367" t="e">
        <f>WQR38*WQS38*WQT38</f>
        <v>#DIV/0!</v>
      </c>
      <c r="WQV38" s="363" t="s">
        <v>153</v>
      </c>
      <c r="WQW38" s="363"/>
      <c r="WQX38" s="363"/>
      <c r="WQY38" s="364" t="s">
        <v>140</v>
      </c>
      <c r="WQZ38" s="365">
        <v>0.5</v>
      </c>
      <c r="WRA38" s="366" t="e">
        <f>10/WQW36</f>
        <v>#DIV/0!</v>
      </c>
      <c r="WRB38" s="367">
        <v>15.38</v>
      </c>
      <c r="WRC38" s="367" t="e">
        <f>WQZ38*WRA38*WRB38</f>
        <v>#DIV/0!</v>
      </c>
      <c r="WRD38" s="363" t="s">
        <v>153</v>
      </c>
      <c r="WRE38" s="363"/>
      <c r="WRF38" s="363"/>
      <c r="WRG38" s="364" t="s">
        <v>140</v>
      </c>
      <c r="WRH38" s="365">
        <v>0.5</v>
      </c>
      <c r="WRI38" s="366" t="e">
        <f>10/WRE36</f>
        <v>#DIV/0!</v>
      </c>
      <c r="WRJ38" s="367">
        <v>15.38</v>
      </c>
      <c r="WRK38" s="367" t="e">
        <f>WRH38*WRI38*WRJ38</f>
        <v>#DIV/0!</v>
      </c>
      <c r="WRL38" s="363" t="s">
        <v>153</v>
      </c>
      <c r="WRM38" s="363"/>
      <c r="WRN38" s="363"/>
      <c r="WRO38" s="364" t="s">
        <v>140</v>
      </c>
      <c r="WRP38" s="365">
        <v>0.5</v>
      </c>
      <c r="WRQ38" s="366" t="e">
        <f>10/WRM36</f>
        <v>#DIV/0!</v>
      </c>
      <c r="WRR38" s="367">
        <v>15.38</v>
      </c>
      <c r="WRS38" s="367" t="e">
        <f>WRP38*WRQ38*WRR38</f>
        <v>#DIV/0!</v>
      </c>
      <c r="WRT38" s="363" t="s">
        <v>153</v>
      </c>
      <c r="WRU38" s="363"/>
      <c r="WRV38" s="363"/>
      <c r="WRW38" s="364" t="s">
        <v>140</v>
      </c>
      <c r="WRX38" s="365">
        <v>0.5</v>
      </c>
      <c r="WRY38" s="366" t="e">
        <f>10/WRU36</f>
        <v>#DIV/0!</v>
      </c>
      <c r="WRZ38" s="367">
        <v>15.38</v>
      </c>
      <c r="WSA38" s="367" t="e">
        <f>WRX38*WRY38*WRZ38</f>
        <v>#DIV/0!</v>
      </c>
      <c r="WSB38" s="363" t="s">
        <v>153</v>
      </c>
      <c r="WSC38" s="363"/>
      <c r="WSD38" s="363"/>
      <c r="WSE38" s="364" t="s">
        <v>140</v>
      </c>
      <c r="WSF38" s="365">
        <v>0.5</v>
      </c>
      <c r="WSG38" s="366" t="e">
        <f>10/WSC36</f>
        <v>#DIV/0!</v>
      </c>
      <c r="WSH38" s="367">
        <v>15.38</v>
      </c>
      <c r="WSI38" s="367" t="e">
        <f>WSF38*WSG38*WSH38</f>
        <v>#DIV/0!</v>
      </c>
      <c r="WSJ38" s="363" t="s">
        <v>153</v>
      </c>
      <c r="WSK38" s="363"/>
      <c r="WSL38" s="363"/>
      <c r="WSM38" s="364" t="s">
        <v>140</v>
      </c>
      <c r="WSN38" s="365">
        <v>0.5</v>
      </c>
      <c r="WSO38" s="366" t="e">
        <f>10/WSK36</f>
        <v>#DIV/0!</v>
      </c>
      <c r="WSP38" s="367">
        <v>15.38</v>
      </c>
      <c r="WSQ38" s="367" t="e">
        <f>WSN38*WSO38*WSP38</f>
        <v>#DIV/0!</v>
      </c>
      <c r="WSR38" s="363" t="s">
        <v>153</v>
      </c>
      <c r="WSS38" s="363"/>
      <c r="WST38" s="363"/>
      <c r="WSU38" s="364" t="s">
        <v>140</v>
      </c>
      <c r="WSV38" s="365">
        <v>0.5</v>
      </c>
      <c r="WSW38" s="366" t="e">
        <f>10/WSS36</f>
        <v>#DIV/0!</v>
      </c>
      <c r="WSX38" s="367">
        <v>15.38</v>
      </c>
      <c r="WSY38" s="367" t="e">
        <f>WSV38*WSW38*WSX38</f>
        <v>#DIV/0!</v>
      </c>
      <c r="WSZ38" s="363" t="s">
        <v>153</v>
      </c>
      <c r="WTA38" s="363"/>
      <c r="WTB38" s="363"/>
      <c r="WTC38" s="364" t="s">
        <v>140</v>
      </c>
      <c r="WTD38" s="365">
        <v>0.5</v>
      </c>
      <c r="WTE38" s="366" t="e">
        <f>10/WTA36</f>
        <v>#DIV/0!</v>
      </c>
      <c r="WTF38" s="367">
        <v>15.38</v>
      </c>
      <c r="WTG38" s="367" t="e">
        <f>WTD38*WTE38*WTF38</f>
        <v>#DIV/0!</v>
      </c>
      <c r="WTH38" s="363" t="s">
        <v>153</v>
      </c>
      <c r="WTI38" s="363"/>
      <c r="WTJ38" s="363"/>
      <c r="WTK38" s="364" t="s">
        <v>140</v>
      </c>
      <c r="WTL38" s="365">
        <v>0.5</v>
      </c>
      <c r="WTM38" s="366" t="e">
        <f>10/WTI36</f>
        <v>#DIV/0!</v>
      </c>
      <c r="WTN38" s="367">
        <v>15.38</v>
      </c>
      <c r="WTO38" s="367" t="e">
        <f>WTL38*WTM38*WTN38</f>
        <v>#DIV/0!</v>
      </c>
      <c r="WTP38" s="363" t="s">
        <v>153</v>
      </c>
      <c r="WTQ38" s="363"/>
      <c r="WTR38" s="363"/>
      <c r="WTS38" s="364" t="s">
        <v>140</v>
      </c>
      <c r="WTT38" s="365">
        <v>0.5</v>
      </c>
      <c r="WTU38" s="366" t="e">
        <f>10/WTQ36</f>
        <v>#DIV/0!</v>
      </c>
      <c r="WTV38" s="367">
        <v>15.38</v>
      </c>
      <c r="WTW38" s="367" t="e">
        <f>WTT38*WTU38*WTV38</f>
        <v>#DIV/0!</v>
      </c>
      <c r="WTX38" s="363" t="s">
        <v>153</v>
      </c>
      <c r="WTY38" s="363"/>
      <c r="WTZ38" s="363"/>
      <c r="WUA38" s="364" t="s">
        <v>140</v>
      </c>
      <c r="WUB38" s="365">
        <v>0.5</v>
      </c>
      <c r="WUC38" s="366" t="e">
        <f>10/WTY36</f>
        <v>#DIV/0!</v>
      </c>
      <c r="WUD38" s="367">
        <v>15.38</v>
      </c>
      <c r="WUE38" s="367" t="e">
        <f>WUB38*WUC38*WUD38</f>
        <v>#DIV/0!</v>
      </c>
      <c r="WUF38" s="363" t="s">
        <v>153</v>
      </c>
      <c r="WUG38" s="363"/>
      <c r="WUH38" s="363"/>
      <c r="WUI38" s="364" t="s">
        <v>140</v>
      </c>
      <c r="WUJ38" s="365">
        <v>0.5</v>
      </c>
      <c r="WUK38" s="366" t="e">
        <f>10/WUG36</f>
        <v>#DIV/0!</v>
      </c>
      <c r="WUL38" s="367">
        <v>15.38</v>
      </c>
      <c r="WUM38" s="367" t="e">
        <f>WUJ38*WUK38*WUL38</f>
        <v>#DIV/0!</v>
      </c>
      <c r="WUN38" s="363" t="s">
        <v>153</v>
      </c>
      <c r="WUO38" s="363"/>
      <c r="WUP38" s="363"/>
      <c r="WUQ38" s="364" t="s">
        <v>140</v>
      </c>
      <c r="WUR38" s="365">
        <v>0.5</v>
      </c>
      <c r="WUS38" s="366" t="e">
        <f>10/WUO36</f>
        <v>#DIV/0!</v>
      </c>
      <c r="WUT38" s="367">
        <v>15.38</v>
      </c>
      <c r="WUU38" s="367" t="e">
        <f>WUR38*WUS38*WUT38</f>
        <v>#DIV/0!</v>
      </c>
      <c r="WUV38" s="363" t="s">
        <v>153</v>
      </c>
      <c r="WUW38" s="363"/>
      <c r="WUX38" s="363"/>
      <c r="WUY38" s="364" t="s">
        <v>140</v>
      </c>
      <c r="WUZ38" s="365">
        <v>0.5</v>
      </c>
      <c r="WVA38" s="366" t="e">
        <f>10/WUW36</f>
        <v>#DIV/0!</v>
      </c>
      <c r="WVB38" s="367">
        <v>15.38</v>
      </c>
      <c r="WVC38" s="367" t="e">
        <f>WUZ38*WVA38*WVB38</f>
        <v>#DIV/0!</v>
      </c>
      <c r="WVD38" s="363" t="s">
        <v>153</v>
      </c>
      <c r="WVE38" s="363"/>
      <c r="WVF38" s="363"/>
      <c r="WVG38" s="364" t="s">
        <v>140</v>
      </c>
      <c r="WVH38" s="365">
        <v>0.5</v>
      </c>
      <c r="WVI38" s="366" t="e">
        <f>10/WVE36</f>
        <v>#DIV/0!</v>
      </c>
      <c r="WVJ38" s="367">
        <v>15.38</v>
      </c>
      <c r="WVK38" s="367" t="e">
        <f>WVH38*WVI38*WVJ38</f>
        <v>#DIV/0!</v>
      </c>
      <c r="WVL38" s="363" t="s">
        <v>153</v>
      </c>
      <c r="WVM38" s="363"/>
      <c r="WVN38" s="363"/>
      <c r="WVO38" s="364" t="s">
        <v>140</v>
      </c>
      <c r="WVP38" s="365">
        <v>0.5</v>
      </c>
      <c r="WVQ38" s="366" t="e">
        <f>10/WVM36</f>
        <v>#DIV/0!</v>
      </c>
      <c r="WVR38" s="367">
        <v>15.38</v>
      </c>
      <c r="WVS38" s="367" t="e">
        <f>WVP38*WVQ38*WVR38</f>
        <v>#DIV/0!</v>
      </c>
      <c r="WVT38" s="363" t="s">
        <v>153</v>
      </c>
      <c r="WVU38" s="363"/>
      <c r="WVV38" s="363"/>
      <c r="WVW38" s="364" t="s">
        <v>140</v>
      </c>
      <c r="WVX38" s="365">
        <v>0.5</v>
      </c>
      <c r="WVY38" s="366" t="e">
        <f>10/WVU36</f>
        <v>#DIV/0!</v>
      </c>
      <c r="WVZ38" s="367">
        <v>15.38</v>
      </c>
      <c r="WWA38" s="367" t="e">
        <f>WVX38*WVY38*WVZ38</f>
        <v>#DIV/0!</v>
      </c>
      <c r="WWB38" s="363" t="s">
        <v>153</v>
      </c>
      <c r="WWC38" s="363"/>
      <c r="WWD38" s="363"/>
      <c r="WWE38" s="364" t="s">
        <v>140</v>
      </c>
      <c r="WWF38" s="365">
        <v>0.5</v>
      </c>
      <c r="WWG38" s="366" t="e">
        <f>10/WWC36</f>
        <v>#DIV/0!</v>
      </c>
      <c r="WWH38" s="367">
        <v>15.38</v>
      </c>
      <c r="WWI38" s="367" t="e">
        <f>WWF38*WWG38*WWH38</f>
        <v>#DIV/0!</v>
      </c>
      <c r="WWJ38" s="363" t="s">
        <v>153</v>
      </c>
      <c r="WWK38" s="363"/>
      <c r="WWL38" s="363"/>
      <c r="WWM38" s="364" t="s">
        <v>140</v>
      </c>
      <c r="WWN38" s="365">
        <v>0.5</v>
      </c>
      <c r="WWO38" s="366" t="e">
        <f>10/WWK36</f>
        <v>#DIV/0!</v>
      </c>
      <c r="WWP38" s="367">
        <v>15.38</v>
      </c>
      <c r="WWQ38" s="367" t="e">
        <f>WWN38*WWO38*WWP38</f>
        <v>#DIV/0!</v>
      </c>
      <c r="WWR38" s="363" t="s">
        <v>153</v>
      </c>
      <c r="WWS38" s="363"/>
      <c r="WWT38" s="363"/>
      <c r="WWU38" s="364" t="s">
        <v>140</v>
      </c>
      <c r="WWV38" s="365">
        <v>0.5</v>
      </c>
      <c r="WWW38" s="366" t="e">
        <f>10/WWS36</f>
        <v>#DIV/0!</v>
      </c>
      <c r="WWX38" s="367">
        <v>15.38</v>
      </c>
      <c r="WWY38" s="367" t="e">
        <f>WWV38*WWW38*WWX38</f>
        <v>#DIV/0!</v>
      </c>
      <c r="WWZ38" s="363" t="s">
        <v>153</v>
      </c>
      <c r="WXA38" s="363"/>
      <c r="WXB38" s="363"/>
      <c r="WXC38" s="364" t="s">
        <v>140</v>
      </c>
      <c r="WXD38" s="365">
        <v>0.5</v>
      </c>
      <c r="WXE38" s="366" t="e">
        <f>10/WXA36</f>
        <v>#DIV/0!</v>
      </c>
      <c r="WXF38" s="367">
        <v>15.38</v>
      </c>
      <c r="WXG38" s="367" t="e">
        <f>WXD38*WXE38*WXF38</f>
        <v>#DIV/0!</v>
      </c>
      <c r="WXH38" s="363" t="s">
        <v>153</v>
      </c>
      <c r="WXI38" s="363"/>
      <c r="WXJ38" s="363"/>
      <c r="WXK38" s="364" t="s">
        <v>140</v>
      </c>
      <c r="WXL38" s="365">
        <v>0.5</v>
      </c>
      <c r="WXM38" s="366" t="e">
        <f>10/WXI36</f>
        <v>#DIV/0!</v>
      </c>
      <c r="WXN38" s="367">
        <v>15.38</v>
      </c>
      <c r="WXO38" s="367" t="e">
        <f>WXL38*WXM38*WXN38</f>
        <v>#DIV/0!</v>
      </c>
      <c r="WXP38" s="363" t="s">
        <v>153</v>
      </c>
      <c r="WXQ38" s="363"/>
      <c r="WXR38" s="363"/>
      <c r="WXS38" s="364" t="s">
        <v>140</v>
      </c>
      <c r="WXT38" s="365">
        <v>0.5</v>
      </c>
      <c r="WXU38" s="366" t="e">
        <f>10/WXQ36</f>
        <v>#DIV/0!</v>
      </c>
      <c r="WXV38" s="367">
        <v>15.38</v>
      </c>
      <c r="WXW38" s="367" t="e">
        <f>WXT38*WXU38*WXV38</f>
        <v>#DIV/0!</v>
      </c>
      <c r="WXX38" s="363" t="s">
        <v>153</v>
      </c>
      <c r="WXY38" s="363"/>
      <c r="WXZ38" s="363"/>
      <c r="WYA38" s="364" t="s">
        <v>140</v>
      </c>
      <c r="WYB38" s="365">
        <v>0.5</v>
      </c>
      <c r="WYC38" s="366" t="e">
        <f>10/WXY36</f>
        <v>#DIV/0!</v>
      </c>
      <c r="WYD38" s="367">
        <v>15.38</v>
      </c>
      <c r="WYE38" s="367" t="e">
        <f>WYB38*WYC38*WYD38</f>
        <v>#DIV/0!</v>
      </c>
      <c r="WYF38" s="363" t="s">
        <v>153</v>
      </c>
      <c r="WYG38" s="363"/>
      <c r="WYH38" s="363"/>
      <c r="WYI38" s="364" t="s">
        <v>140</v>
      </c>
      <c r="WYJ38" s="365">
        <v>0.5</v>
      </c>
      <c r="WYK38" s="366" t="e">
        <f>10/WYG36</f>
        <v>#DIV/0!</v>
      </c>
      <c r="WYL38" s="367">
        <v>15.38</v>
      </c>
      <c r="WYM38" s="367" t="e">
        <f>WYJ38*WYK38*WYL38</f>
        <v>#DIV/0!</v>
      </c>
      <c r="WYN38" s="363" t="s">
        <v>153</v>
      </c>
      <c r="WYO38" s="363"/>
      <c r="WYP38" s="363"/>
      <c r="WYQ38" s="364" t="s">
        <v>140</v>
      </c>
      <c r="WYR38" s="365">
        <v>0.5</v>
      </c>
      <c r="WYS38" s="366" t="e">
        <f>10/WYO36</f>
        <v>#DIV/0!</v>
      </c>
      <c r="WYT38" s="367">
        <v>15.38</v>
      </c>
      <c r="WYU38" s="367" t="e">
        <f>WYR38*WYS38*WYT38</f>
        <v>#DIV/0!</v>
      </c>
      <c r="WYV38" s="363" t="s">
        <v>153</v>
      </c>
      <c r="WYW38" s="363"/>
      <c r="WYX38" s="363"/>
      <c r="WYY38" s="364" t="s">
        <v>140</v>
      </c>
      <c r="WYZ38" s="365">
        <v>0.5</v>
      </c>
      <c r="WZA38" s="366" t="e">
        <f>10/WYW36</f>
        <v>#DIV/0!</v>
      </c>
      <c r="WZB38" s="367">
        <v>15.38</v>
      </c>
      <c r="WZC38" s="367" t="e">
        <f>WYZ38*WZA38*WZB38</f>
        <v>#DIV/0!</v>
      </c>
      <c r="WZD38" s="363" t="s">
        <v>153</v>
      </c>
      <c r="WZE38" s="363"/>
      <c r="WZF38" s="363"/>
      <c r="WZG38" s="364" t="s">
        <v>140</v>
      </c>
      <c r="WZH38" s="365">
        <v>0.5</v>
      </c>
      <c r="WZI38" s="366" t="e">
        <f>10/WZE36</f>
        <v>#DIV/0!</v>
      </c>
      <c r="WZJ38" s="367">
        <v>15.38</v>
      </c>
      <c r="WZK38" s="367" t="e">
        <f>WZH38*WZI38*WZJ38</f>
        <v>#DIV/0!</v>
      </c>
      <c r="WZL38" s="363" t="s">
        <v>153</v>
      </c>
      <c r="WZM38" s="363"/>
      <c r="WZN38" s="363"/>
      <c r="WZO38" s="364" t="s">
        <v>140</v>
      </c>
      <c r="WZP38" s="365">
        <v>0.5</v>
      </c>
      <c r="WZQ38" s="366" t="e">
        <f>10/WZM36</f>
        <v>#DIV/0!</v>
      </c>
      <c r="WZR38" s="367">
        <v>15.38</v>
      </c>
      <c r="WZS38" s="367" t="e">
        <f>WZP38*WZQ38*WZR38</f>
        <v>#DIV/0!</v>
      </c>
      <c r="WZT38" s="363" t="s">
        <v>153</v>
      </c>
      <c r="WZU38" s="363"/>
      <c r="WZV38" s="363"/>
      <c r="WZW38" s="364" t="s">
        <v>140</v>
      </c>
      <c r="WZX38" s="365">
        <v>0.5</v>
      </c>
      <c r="WZY38" s="366" t="e">
        <f>10/WZU36</f>
        <v>#DIV/0!</v>
      </c>
      <c r="WZZ38" s="367">
        <v>15.38</v>
      </c>
      <c r="XAA38" s="367" t="e">
        <f>WZX38*WZY38*WZZ38</f>
        <v>#DIV/0!</v>
      </c>
      <c r="XAB38" s="363" t="s">
        <v>153</v>
      </c>
      <c r="XAC38" s="363"/>
      <c r="XAD38" s="363"/>
      <c r="XAE38" s="364" t="s">
        <v>140</v>
      </c>
      <c r="XAF38" s="365">
        <v>0.5</v>
      </c>
      <c r="XAG38" s="366" t="e">
        <f>10/XAC36</f>
        <v>#DIV/0!</v>
      </c>
      <c r="XAH38" s="367">
        <v>15.38</v>
      </c>
      <c r="XAI38" s="367" t="e">
        <f>XAF38*XAG38*XAH38</f>
        <v>#DIV/0!</v>
      </c>
      <c r="XAJ38" s="363" t="s">
        <v>153</v>
      </c>
      <c r="XAK38" s="363"/>
      <c r="XAL38" s="363"/>
      <c r="XAM38" s="364" t="s">
        <v>140</v>
      </c>
      <c r="XAN38" s="365">
        <v>0.5</v>
      </c>
      <c r="XAO38" s="366" t="e">
        <f>10/XAK36</f>
        <v>#DIV/0!</v>
      </c>
      <c r="XAP38" s="367">
        <v>15.38</v>
      </c>
      <c r="XAQ38" s="367" t="e">
        <f>XAN38*XAO38*XAP38</f>
        <v>#DIV/0!</v>
      </c>
      <c r="XAR38" s="363" t="s">
        <v>153</v>
      </c>
      <c r="XAS38" s="363"/>
      <c r="XAT38" s="363"/>
      <c r="XAU38" s="364" t="s">
        <v>140</v>
      </c>
      <c r="XAV38" s="365">
        <v>0.5</v>
      </c>
      <c r="XAW38" s="366" t="e">
        <f>10/XAS36</f>
        <v>#DIV/0!</v>
      </c>
      <c r="XAX38" s="367">
        <v>15.38</v>
      </c>
      <c r="XAY38" s="367" t="e">
        <f>XAV38*XAW38*XAX38</f>
        <v>#DIV/0!</v>
      </c>
      <c r="XAZ38" s="363" t="s">
        <v>153</v>
      </c>
      <c r="XBA38" s="363"/>
      <c r="XBB38" s="363"/>
      <c r="XBC38" s="364" t="s">
        <v>140</v>
      </c>
      <c r="XBD38" s="365">
        <v>0.5</v>
      </c>
      <c r="XBE38" s="366" t="e">
        <f>10/XBA36</f>
        <v>#DIV/0!</v>
      </c>
      <c r="XBF38" s="367">
        <v>15.38</v>
      </c>
      <c r="XBG38" s="367" t="e">
        <f>XBD38*XBE38*XBF38</f>
        <v>#DIV/0!</v>
      </c>
      <c r="XBH38" s="363" t="s">
        <v>153</v>
      </c>
      <c r="XBI38" s="363"/>
      <c r="XBJ38" s="363"/>
      <c r="XBK38" s="364" t="s">
        <v>140</v>
      </c>
      <c r="XBL38" s="365">
        <v>0.5</v>
      </c>
      <c r="XBM38" s="366" t="e">
        <f>10/XBI36</f>
        <v>#DIV/0!</v>
      </c>
      <c r="XBN38" s="367">
        <v>15.38</v>
      </c>
      <c r="XBO38" s="367" t="e">
        <f>XBL38*XBM38*XBN38</f>
        <v>#DIV/0!</v>
      </c>
      <c r="XBP38" s="363" t="s">
        <v>153</v>
      </c>
      <c r="XBQ38" s="363"/>
      <c r="XBR38" s="363"/>
      <c r="XBS38" s="364" t="s">
        <v>140</v>
      </c>
      <c r="XBT38" s="365">
        <v>0.5</v>
      </c>
      <c r="XBU38" s="366" t="e">
        <f>10/XBQ36</f>
        <v>#DIV/0!</v>
      </c>
      <c r="XBV38" s="367">
        <v>15.38</v>
      </c>
      <c r="XBW38" s="367" t="e">
        <f>XBT38*XBU38*XBV38</f>
        <v>#DIV/0!</v>
      </c>
    </row>
    <row r="39" spans="1:16299" x14ac:dyDescent="0.25">
      <c r="A39" s="363" t="s">
        <v>160</v>
      </c>
      <c r="D39" s="364" t="s">
        <v>140</v>
      </c>
      <c r="E39" s="365">
        <v>1</v>
      </c>
      <c r="F39" s="366">
        <f>10/B36</f>
        <v>0.30303030303030304</v>
      </c>
      <c r="G39" s="316">
        <v>13.94</v>
      </c>
      <c r="H39" s="367">
        <f>E39*F39*G39</f>
        <v>4.2242424242424246</v>
      </c>
    </row>
    <row r="40" spans="1:16299" x14ac:dyDescent="0.25">
      <c r="A40" s="363" t="s">
        <v>141</v>
      </c>
      <c r="D40" s="364" t="s">
        <v>140</v>
      </c>
      <c r="E40" s="365">
        <v>2</v>
      </c>
      <c r="F40" s="366">
        <f>10/B36</f>
        <v>0.30303030303030304</v>
      </c>
      <c r="G40" s="316">
        <v>13</v>
      </c>
      <c r="H40" s="367">
        <f>E40*F40*G40</f>
        <v>7.8787878787878789</v>
      </c>
    </row>
    <row r="41" spans="1:16299" ht="15" customHeight="1" x14ac:dyDescent="0.25">
      <c r="A41" s="295"/>
      <c r="B41" s="295"/>
      <c r="C41" s="295"/>
      <c r="D41" s="296"/>
      <c r="E41" s="326"/>
      <c r="F41" s="327"/>
      <c r="G41" s="297" t="s">
        <v>142</v>
      </c>
      <c r="H41" s="297">
        <f>SUM(H38:H40)</f>
        <v>14.433333333333334</v>
      </c>
    </row>
    <row r="43" spans="1:16299" x14ac:dyDescent="0.25">
      <c r="A43" s="363" t="s">
        <v>156</v>
      </c>
      <c r="D43" s="364" t="s">
        <v>157</v>
      </c>
      <c r="F43" s="366">
        <v>3</v>
      </c>
      <c r="G43" s="367">
        <f>H41</f>
        <v>14.433333333333334</v>
      </c>
      <c r="H43" s="367">
        <f>G43*F43/100</f>
        <v>0.433</v>
      </c>
    </row>
    <row r="44" spans="1:16299" ht="15" customHeight="1" x14ac:dyDescent="0.25">
      <c r="A44" s="295"/>
      <c r="B44" s="295"/>
      <c r="C44" s="295"/>
      <c r="D44" s="296"/>
      <c r="E44" s="326"/>
      <c r="F44" s="327"/>
      <c r="G44" s="297" t="s">
        <v>145</v>
      </c>
      <c r="H44" s="297">
        <f>SUM(H43:H43)</f>
        <v>0.433</v>
      </c>
    </row>
    <row r="47" spans="1:16299" ht="15" customHeight="1" x14ac:dyDescent="0.3">
      <c r="A47" s="291" t="s">
        <v>161</v>
      </c>
      <c r="B47" s="291"/>
      <c r="C47" s="291"/>
      <c r="D47" s="291"/>
      <c r="E47" s="291"/>
      <c r="F47" s="291"/>
      <c r="G47" s="291"/>
      <c r="H47" s="291"/>
    </row>
    <row r="48" spans="1:16299" ht="15" customHeight="1" x14ac:dyDescent="0.25">
      <c r="A48" s="281" t="s">
        <v>151</v>
      </c>
      <c r="B48" s="371">
        <v>8</v>
      </c>
      <c r="C48" s="281" t="s">
        <v>162</v>
      </c>
      <c r="D48" s="292"/>
      <c r="E48" s="323" t="s">
        <v>146</v>
      </c>
      <c r="F48" s="324"/>
      <c r="G48" s="293" t="s">
        <v>133</v>
      </c>
      <c r="H48" s="293">
        <f>H53+H58</f>
        <v>100.32362499999999</v>
      </c>
    </row>
    <row r="49" spans="1:16299" ht="15" customHeight="1" x14ac:dyDescent="0.25">
      <c r="A49" s="292" t="s">
        <v>134</v>
      </c>
      <c r="B49" s="292"/>
      <c r="C49" s="292"/>
      <c r="D49" s="292" t="s">
        <v>135</v>
      </c>
      <c r="E49" s="325" t="s">
        <v>136</v>
      </c>
      <c r="F49" s="325" t="s">
        <v>24</v>
      </c>
      <c r="G49" s="294" t="s">
        <v>137</v>
      </c>
      <c r="H49" s="294" t="s">
        <v>138</v>
      </c>
    </row>
    <row r="50" spans="1:16299" ht="15" customHeight="1" x14ac:dyDescent="0.25">
      <c r="A50" s="363" t="s">
        <v>153</v>
      </c>
      <c r="D50" s="364" t="s">
        <v>140</v>
      </c>
      <c r="E50" s="365">
        <v>0.5</v>
      </c>
      <c r="F50" s="366">
        <f>10/B48</f>
        <v>1.25</v>
      </c>
      <c r="G50" s="367">
        <v>15.38</v>
      </c>
      <c r="H50" s="367">
        <f>E50*F50*G50</f>
        <v>9.6125000000000007</v>
      </c>
      <c r="I50" s="363"/>
      <c r="J50" s="367"/>
      <c r="K50" s="367"/>
      <c r="L50" s="363"/>
      <c r="M50" s="363"/>
      <c r="N50" s="363"/>
      <c r="O50" s="364"/>
      <c r="P50" s="365"/>
      <c r="Q50" s="366"/>
      <c r="R50" s="367"/>
      <c r="S50" s="367"/>
      <c r="T50" s="363"/>
      <c r="U50" s="363"/>
      <c r="V50" s="363"/>
      <c r="W50" s="364"/>
      <c r="X50" s="365"/>
      <c r="Y50" s="366"/>
      <c r="Z50" s="367"/>
      <c r="AA50" s="367">
        <f>X50*Y50*Z50</f>
        <v>0</v>
      </c>
      <c r="AB50" s="363" t="s">
        <v>153</v>
      </c>
      <c r="AC50" s="363"/>
      <c r="AD50" s="363"/>
      <c r="AE50" s="364" t="s">
        <v>140</v>
      </c>
      <c r="AF50" s="365">
        <v>0.5</v>
      </c>
      <c r="AG50" s="366" t="e">
        <f>10/AC48</f>
        <v>#DIV/0!</v>
      </c>
      <c r="AH50" s="367">
        <v>15.38</v>
      </c>
      <c r="AI50" s="367" t="e">
        <f>AF50*AG50*AH50</f>
        <v>#DIV/0!</v>
      </c>
      <c r="AJ50" s="363" t="s">
        <v>153</v>
      </c>
      <c r="AK50" s="363"/>
      <c r="AL50" s="363"/>
      <c r="AM50" s="364" t="s">
        <v>140</v>
      </c>
      <c r="AN50" s="365">
        <v>0.5</v>
      </c>
      <c r="AO50" s="366" t="e">
        <f>10/AK48</f>
        <v>#DIV/0!</v>
      </c>
      <c r="AP50" s="367">
        <v>15.38</v>
      </c>
      <c r="AQ50" s="367" t="e">
        <f>AN50*AO50*AP50</f>
        <v>#DIV/0!</v>
      </c>
      <c r="AR50" s="363" t="s">
        <v>153</v>
      </c>
      <c r="AS50" s="363"/>
      <c r="AT50" s="363"/>
      <c r="AU50" s="364" t="s">
        <v>140</v>
      </c>
      <c r="AV50" s="365">
        <v>0.5</v>
      </c>
      <c r="AW50" s="366" t="e">
        <f>10/AS48</f>
        <v>#DIV/0!</v>
      </c>
      <c r="AX50" s="367">
        <v>15.38</v>
      </c>
      <c r="AY50" s="367" t="e">
        <f>AV50*AW50*AX50</f>
        <v>#DIV/0!</v>
      </c>
      <c r="AZ50" s="363" t="s">
        <v>153</v>
      </c>
      <c r="BA50" s="363"/>
      <c r="BB50" s="363"/>
      <c r="BC50" s="364" t="s">
        <v>140</v>
      </c>
      <c r="BD50" s="365">
        <v>0.5</v>
      </c>
      <c r="BE50" s="366" t="e">
        <f>10/BA48</f>
        <v>#DIV/0!</v>
      </c>
      <c r="BF50" s="367">
        <v>15.38</v>
      </c>
      <c r="BG50" s="367" t="e">
        <f>BD50*BE50*BF50</f>
        <v>#DIV/0!</v>
      </c>
      <c r="BH50" s="363" t="s">
        <v>153</v>
      </c>
      <c r="BI50" s="363"/>
      <c r="BJ50" s="363"/>
      <c r="BK50" s="364" t="s">
        <v>140</v>
      </c>
      <c r="BL50" s="365">
        <v>0.5</v>
      </c>
      <c r="BM50" s="366" t="e">
        <f>10/BI48</f>
        <v>#DIV/0!</v>
      </c>
      <c r="BN50" s="367">
        <v>15.38</v>
      </c>
      <c r="BO50" s="367" t="e">
        <f>BL50*BM50*BN50</f>
        <v>#DIV/0!</v>
      </c>
      <c r="BP50" s="363" t="s">
        <v>153</v>
      </c>
      <c r="BQ50" s="363"/>
      <c r="BR50" s="363"/>
      <c r="BS50" s="364" t="s">
        <v>140</v>
      </c>
      <c r="BT50" s="365">
        <v>0.5</v>
      </c>
      <c r="BU50" s="366" t="e">
        <f>10/BQ48</f>
        <v>#DIV/0!</v>
      </c>
      <c r="BV50" s="367">
        <v>15.38</v>
      </c>
      <c r="BW50" s="367" t="e">
        <f>BT50*BU50*BV50</f>
        <v>#DIV/0!</v>
      </c>
      <c r="BX50" s="363" t="s">
        <v>153</v>
      </c>
      <c r="BY50" s="363"/>
      <c r="BZ50" s="363"/>
      <c r="CA50" s="364" t="s">
        <v>140</v>
      </c>
      <c r="CB50" s="365">
        <v>0.5</v>
      </c>
      <c r="CC50" s="366" t="e">
        <f>10/BY48</f>
        <v>#DIV/0!</v>
      </c>
      <c r="CD50" s="367">
        <v>15.38</v>
      </c>
      <c r="CE50" s="367" t="e">
        <f>CB50*CC50*CD50</f>
        <v>#DIV/0!</v>
      </c>
      <c r="CF50" s="363" t="s">
        <v>153</v>
      </c>
      <c r="CG50" s="363"/>
      <c r="CH50" s="363"/>
      <c r="CI50" s="364" t="s">
        <v>140</v>
      </c>
      <c r="CJ50" s="365">
        <v>0.5</v>
      </c>
      <c r="CK50" s="366" t="e">
        <f>10/CG48</f>
        <v>#DIV/0!</v>
      </c>
      <c r="CL50" s="367">
        <v>15.38</v>
      </c>
      <c r="CM50" s="367" t="e">
        <f>CJ50*CK50*CL50</f>
        <v>#DIV/0!</v>
      </c>
      <c r="CN50" s="363" t="s">
        <v>153</v>
      </c>
      <c r="CO50" s="363"/>
      <c r="CP50" s="363"/>
      <c r="CQ50" s="364" t="s">
        <v>140</v>
      </c>
      <c r="CR50" s="365">
        <v>0.5</v>
      </c>
      <c r="CS50" s="366" t="e">
        <f>10/CO48</f>
        <v>#DIV/0!</v>
      </c>
      <c r="CT50" s="367">
        <v>15.38</v>
      </c>
      <c r="CU50" s="367" t="e">
        <f>CR50*CS50*CT50</f>
        <v>#DIV/0!</v>
      </c>
      <c r="CV50" s="363" t="s">
        <v>153</v>
      </c>
      <c r="CW50" s="363"/>
      <c r="CX50" s="363"/>
      <c r="CY50" s="364" t="s">
        <v>140</v>
      </c>
      <c r="CZ50" s="365">
        <v>0.5</v>
      </c>
      <c r="DA50" s="366" t="e">
        <f>10/CW48</f>
        <v>#DIV/0!</v>
      </c>
      <c r="DB50" s="367">
        <v>15.38</v>
      </c>
      <c r="DC50" s="367" t="e">
        <f>CZ50*DA50*DB50</f>
        <v>#DIV/0!</v>
      </c>
      <c r="DD50" s="363" t="s">
        <v>153</v>
      </c>
      <c r="DE50" s="363"/>
      <c r="DF50" s="363"/>
      <c r="DG50" s="364" t="s">
        <v>140</v>
      </c>
      <c r="DH50" s="365">
        <v>0.5</v>
      </c>
      <c r="DI50" s="366" t="e">
        <f>10/DE48</f>
        <v>#DIV/0!</v>
      </c>
      <c r="DJ50" s="367">
        <v>15.38</v>
      </c>
      <c r="DK50" s="367" t="e">
        <f>DH50*DI50*DJ50</f>
        <v>#DIV/0!</v>
      </c>
      <c r="DL50" s="363" t="s">
        <v>153</v>
      </c>
      <c r="DM50" s="363"/>
      <c r="DN50" s="363"/>
      <c r="DO50" s="364" t="s">
        <v>140</v>
      </c>
      <c r="DP50" s="365">
        <v>0.5</v>
      </c>
      <c r="DQ50" s="366" t="e">
        <f>10/DM48</f>
        <v>#DIV/0!</v>
      </c>
      <c r="DR50" s="367">
        <v>15.38</v>
      </c>
      <c r="DS50" s="367" t="e">
        <f>DP50*DQ50*DR50</f>
        <v>#DIV/0!</v>
      </c>
      <c r="DT50" s="363" t="s">
        <v>153</v>
      </c>
      <c r="DU50" s="363"/>
      <c r="DV50" s="363"/>
      <c r="DW50" s="364" t="s">
        <v>140</v>
      </c>
      <c r="DX50" s="365">
        <v>0.5</v>
      </c>
      <c r="DY50" s="366" t="e">
        <f>10/DU48</f>
        <v>#DIV/0!</v>
      </c>
      <c r="DZ50" s="367">
        <v>15.38</v>
      </c>
      <c r="EA50" s="367" t="e">
        <f>DX50*DY50*DZ50</f>
        <v>#DIV/0!</v>
      </c>
      <c r="EB50" s="363" t="s">
        <v>153</v>
      </c>
      <c r="EC50" s="363"/>
      <c r="ED50" s="363"/>
      <c r="EE50" s="364" t="s">
        <v>140</v>
      </c>
      <c r="EF50" s="365">
        <v>0.5</v>
      </c>
      <c r="EG50" s="366" t="e">
        <f>10/EC48</f>
        <v>#DIV/0!</v>
      </c>
      <c r="EH50" s="367">
        <v>15.38</v>
      </c>
      <c r="EI50" s="367" t="e">
        <f>EF50*EG50*EH50</f>
        <v>#DIV/0!</v>
      </c>
      <c r="EJ50" s="363" t="s">
        <v>153</v>
      </c>
      <c r="EK50" s="363"/>
      <c r="EL50" s="363"/>
      <c r="EM50" s="364" t="s">
        <v>140</v>
      </c>
      <c r="EN50" s="365">
        <v>0.5</v>
      </c>
      <c r="EO50" s="366" t="e">
        <f>10/EK48</f>
        <v>#DIV/0!</v>
      </c>
      <c r="EP50" s="367">
        <v>15.38</v>
      </c>
      <c r="EQ50" s="367" t="e">
        <f>EN50*EO50*EP50</f>
        <v>#DIV/0!</v>
      </c>
      <c r="ER50" s="363" t="s">
        <v>153</v>
      </c>
      <c r="ES50" s="363"/>
      <c r="ET50" s="363"/>
      <c r="EU50" s="364" t="s">
        <v>140</v>
      </c>
      <c r="EV50" s="365">
        <v>0.5</v>
      </c>
      <c r="EW50" s="366" t="e">
        <f>10/ES48</f>
        <v>#DIV/0!</v>
      </c>
      <c r="EX50" s="367">
        <v>15.38</v>
      </c>
      <c r="EY50" s="367" t="e">
        <f>EV50*EW50*EX50</f>
        <v>#DIV/0!</v>
      </c>
      <c r="EZ50" s="363" t="s">
        <v>153</v>
      </c>
      <c r="FA50" s="363"/>
      <c r="FB50" s="363"/>
      <c r="FC50" s="364" t="s">
        <v>140</v>
      </c>
      <c r="FD50" s="365">
        <v>0.5</v>
      </c>
      <c r="FE50" s="366" t="e">
        <f>10/FA48</f>
        <v>#DIV/0!</v>
      </c>
      <c r="FF50" s="367">
        <v>15.38</v>
      </c>
      <c r="FG50" s="367" t="e">
        <f>FD50*FE50*FF50</f>
        <v>#DIV/0!</v>
      </c>
      <c r="FH50" s="363" t="s">
        <v>153</v>
      </c>
      <c r="FI50" s="363"/>
      <c r="FJ50" s="363"/>
      <c r="FK50" s="364" t="s">
        <v>140</v>
      </c>
      <c r="FL50" s="365">
        <v>0.5</v>
      </c>
      <c r="FM50" s="366" t="e">
        <f>10/FI48</f>
        <v>#DIV/0!</v>
      </c>
      <c r="FN50" s="367">
        <v>15.38</v>
      </c>
      <c r="FO50" s="367" t="e">
        <f>FL50*FM50*FN50</f>
        <v>#DIV/0!</v>
      </c>
      <c r="FP50" s="363" t="s">
        <v>153</v>
      </c>
      <c r="FQ50" s="363"/>
      <c r="FR50" s="363"/>
      <c r="FS50" s="364" t="s">
        <v>140</v>
      </c>
      <c r="FT50" s="365">
        <v>0.5</v>
      </c>
      <c r="FU50" s="366" t="e">
        <f>10/FQ48</f>
        <v>#DIV/0!</v>
      </c>
      <c r="FV50" s="367">
        <v>15.38</v>
      </c>
      <c r="FW50" s="367" t="e">
        <f>FT50*FU50*FV50</f>
        <v>#DIV/0!</v>
      </c>
      <c r="FX50" s="363" t="s">
        <v>153</v>
      </c>
      <c r="FY50" s="363"/>
      <c r="FZ50" s="363"/>
      <c r="GA50" s="364" t="s">
        <v>140</v>
      </c>
      <c r="GB50" s="365">
        <v>0.5</v>
      </c>
      <c r="GC50" s="366" t="e">
        <f>10/FY48</f>
        <v>#DIV/0!</v>
      </c>
      <c r="GD50" s="367">
        <v>15.38</v>
      </c>
      <c r="GE50" s="367" t="e">
        <f>GB50*GC50*GD50</f>
        <v>#DIV/0!</v>
      </c>
      <c r="GF50" s="363" t="s">
        <v>153</v>
      </c>
      <c r="GG50" s="363"/>
      <c r="GH50" s="363"/>
      <c r="GI50" s="364" t="s">
        <v>140</v>
      </c>
      <c r="GJ50" s="365">
        <v>0.5</v>
      </c>
      <c r="GK50" s="366" t="e">
        <f>10/GG48</f>
        <v>#DIV/0!</v>
      </c>
      <c r="GL50" s="367">
        <v>15.38</v>
      </c>
      <c r="GM50" s="367" t="e">
        <f>GJ50*GK50*GL50</f>
        <v>#DIV/0!</v>
      </c>
      <c r="GN50" s="363" t="s">
        <v>153</v>
      </c>
      <c r="GO50" s="363"/>
      <c r="GP50" s="363"/>
      <c r="GQ50" s="364" t="s">
        <v>140</v>
      </c>
      <c r="GR50" s="365">
        <v>0.5</v>
      </c>
      <c r="GS50" s="366" t="e">
        <f>10/GO48</f>
        <v>#DIV/0!</v>
      </c>
      <c r="GT50" s="367">
        <v>15.38</v>
      </c>
      <c r="GU50" s="367" t="e">
        <f>GR50*GS50*GT50</f>
        <v>#DIV/0!</v>
      </c>
      <c r="GV50" s="363" t="s">
        <v>153</v>
      </c>
      <c r="GW50" s="363"/>
      <c r="GX50" s="363"/>
      <c r="GY50" s="364" t="s">
        <v>140</v>
      </c>
      <c r="GZ50" s="365">
        <v>0.5</v>
      </c>
      <c r="HA50" s="366" t="e">
        <f>10/GW48</f>
        <v>#DIV/0!</v>
      </c>
      <c r="HB50" s="367">
        <v>15.38</v>
      </c>
      <c r="HC50" s="367" t="e">
        <f>GZ50*HA50*HB50</f>
        <v>#DIV/0!</v>
      </c>
      <c r="HD50" s="363" t="s">
        <v>153</v>
      </c>
      <c r="HE50" s="363"/>
      <c r="HF50" s="363"/>
      <c r="HG50" s="364" t="s">
        <v>140</v>
      </c>
      <c r="HH50" s="365">
        <v>0.5</v>
      </c>
      <c r="HI50" s="366" t="e">
        <f>10/HE48</f>
        <v>#DIV/0!</v>
      </c>
      <c r="HJ50" s="367">
        <v>15.38</v>
      </c>
      <c r="HK50" s="367" t="e">
        <f>HH50*HI50*HJ50</f>
        <v>#DIV/0!</v>
      </c>
      <c r="HL50" s="363" t="s">
        <v>153</v>
      </c>
      <c r="HM50" s="363"/>
      <c r="HN50" s="363"/>
      <c r="HO50" s="364" t="s">
        <v>140</v>
      </c>
      <c r="HP50" s="365">
        <v>0.5</v>
      </c>
      <c r="HQ50" s="366" t="e">
        <f>10/HM48</f>
        <v>#DIV/0!</v>
      </c>
      <c r="HR50" s="367">
        <v>15.38</v>
      </c>
      <c r="HS50" s="367" t="e">
        <f>HP50*HQ50*HR50</f>
        <v>#DIV/0!</v>
      </c>
      <c r="HT50" s="363" t="s">
        <v>153</v>
      </c>
      <c r="HU50" s="363"/>
      <c r="HV50" s="363"/>
      <c r="HW50" s="364" t="s">
        <v>140</v>
      </c>
      <c r="HX50" s="365">
        <v>0.5</v>
      </c>
      <c r="HY50" s="366" t="e">
        <f>10/HU48</f>
        <v>#DIV/0!</v>
      </c>
      <c r="HZ50" s="367">
        <v>15.38</v>
      </c>
      <c r="IA50" s="367" t="e">
        <f>HX50*HY50*HZ50</f>
        <v>#DIV/0!</v>
      </c>
      <c r="IB50" s="363" t="s">
        <v>153</v>
      </c>
      <c r="IC50" s="363"/>
      <c r="ID50" s="363"/>
      <c r="IE50" s="364" t="s">
        <v>140</v>
      </c>
      <c r="IF50" s="365">
        <v>0.5</v>
      </c>
      <c r="IG50" s="366" t="e">
        <f>10/IC48</f>
        <v>#DIV/0!</v>
      </c>
      <c r="IH50" s="367">
        <v>15.38</v>
      </c>
      <c r="II50" s="367" t="e">
        <f>IF50*IG50*IH50</f>
        <v>#DIV/0!</v>
      </c>
      <c r="IJ50" s="363" t="s">
        <v>153</v>
      </c>
      <c r="IK50" s="363"/>
      <c r="IL50" s="363"/>
      <c r="IM50" s="364" t="s">
        <v>140</v>
      </c>
      <c r="IN50" s="365">
        <v>0.5</v>
      </c>
      <c r="IO50" s="366" t="e">
        <f>10/IK48</f>
        <v>#DIV/0!</v>
      </c>
      <c r="IP50" s="367">
        <v>15.38</v>
      </c>
      <c r="IQ50" s="367" t="e">
        <f>IN50*IO50*IP50</f>
        <v>#DIV/0!</v>
      </c>
      <c r="IR50" s="363" t="s">
        <v>153</v>
      </c>
      <c r="IS50" s="363"/>
      <c r="IT50" s="363"/>
      <c r="IU50" s="364" t="s">
        <v>140</v>
      </c>
      <c r="IV50" s="365">
        <v>0.5</v>
      </c>
      <c r="IW50" s="366" t="e">
        <f>10/IS48</f>
        <v>#DIV/0!</v>
      </c>
      <c r="IX50" s="367">
        <v>15.38</v>
      </c>
      <c r="IY50" s="367" t="e">
        <f>IV50*IW50*IX50</f>
        <v>#DIV/0!</v>
      </c>
      <c r="IZ50" s="363" t="s">
        <v>153</v>
      </c>
      <c r="JA50" s="363"/>
      <c r="JB50" s="363"/>
      <c r="JC50" s="364" t="s">
        <v>140</v>
      </c>
      <c r="JD50" s="365">
        <v>0.5</v>
      </c>
      <c r="JE50" s="366" t="e">
        <f>10/JA48</f>
        <v>#DIV/0!</v>
      </c>
      <c r="JF50" s="367">
        <v>15.38</v>
      </c>
      <c r="JG50" s="367" t="e">
        <f>JD50*JE50*JF50</f>
        <v>#DIV/0!</v>
      </c>
      <c r="JH50" s="363" t="s">
        <v>153</v>
      </c>
      <c r="JI50" s="363"/>
      <c r="JJ50" s="363"/>
      <c r="JK50" s="364" t="s">
        <v>140</v>
      </c>
      <c r="JL50" s="365">
        <v>0.5</v>
      </c>
      <c r="JM50" s="366" t="e">
        <f>10/JI48</f>
        <v>#DIV/0!</v>
      </c>
      <c r="JN50" s="367">
        <v>15.38</v>
      </c>
      <c r="JO50" s="367" t="e">
        <f>JL50*JM50*JN50</f>
        <v>#DIV/0!</v>
      </c>
      <c r="JP50" s="363" t="s">
        <v>153</v>
      </c>
      <c r="JQ50" s="363"/>
      <c r="JR50" s="363"/>
      <c r="JS50" s="364" t="s">
        <v>140</v>
      </c>
      <c r="JT50" s="365">
        <v>0.5</v>
      </c>
      <c r="JU50" s="366" t="e">
        <f>10/JQ48</f>
        <v>#DIV/0!</v>
      </c>
      <c r="JV50" s="367">
        <v>15.38</v>
      </c>
      <c r="JW50" s="367" t="e">
        <f>JT50*JU50*JV50</f>
        <v>#DIV/0!</v>
      </c>
      <c r="JX50" s="363" t="s">
        <v>153</v>
      </c>
      <c r="JY50" s="363"/>
      <c r="JZ50" s="363"/>
      <c r="KA50" s="364" t="s">
        <v>140</v>
      </c>
      <c r="KB50" s="365">
        <v>0.5</v>
      </c>
      <c r="KC50" s="366" t="e">
        <f>10/JY48</f>
        <v>#DIV/0!</v>
      </c>
      <c r="KD50" s="367">
        <v>15.38</v>
      </c>
      <c r="KE50" s="367" t="e">
        <f>KB50*KC50*KD50</f>
        <v>#DIV/0!</v>
      </c>
      <c r="KF50" s="363" t="s">
        <v>153</v>
      </c>
      <c r="KG50" s="363"/>
      <c r="KH50" s="363"/>
      <c r="KI50" s="364" t="s">
        <v>140</v>
      </c>
      <c r="KJ50" s="365">
        <v>0.5</v>
      </c>
      <c r="KK50" s="366" t="e">
        <f>10/KG48</f>
        <v>#DIV/0!</v>
      </c>
      <c r="KL50" s="367">
        <v>15.38</v>
      </c>
      <c r="KM50" s="367" t="e">
        <f>KJ50*KK50*KL50</f>
        <v>#DIV/0!</v>
      </c>
      <c r="KN50" s="363" t="s">
        <v>153</v>
      </c>
      <c r="KO50" s="363"/>
      <c r="KP50" s="363"/>
      <c r="KQ50" s="364" t="s">
        <v>140</v>
      </c>
      <c r="KR50" s="365">
        <v>0.5</v>
      </c>
      <c r="KS50" s="366" t="e">
        <f>10/KO48</f>
        <v>#DIV/0!</v>
      </c>
      <c r="KT50" s="367">
        <v>15.38</v>
      </c>
      <c r="KU50" s="367" t="e">
        <f>KR50*KS50*KT50</f>
        <v>#DIV/0!</v>
      </c>
      <c r="KV50" s="363" t="s">
        <v>153</v>
      </c>
      <c r="KW50" s="363"/>
      <c r="KX50" s="363"/>
      <c r="KY50" s="364" t="s">
        <v>140</v>
      </c>
      <c r="KZ50" s="365">
        <v>0.5</v>
      </c>
      <c r="LA50" s="366" t="e">
        <f>10/KW48</f>
        <v>#DIV/0!</v>
      </c>
      <c r="LB50" s="367">
        <v>15.38</v>
      </c>
      <c r="LC50" s="367" t="e">
        <f>KZ50*LA50*LB50</f>
        <v>#DIV/0!</v>
      </c>
      <c r="LD50" s="363" t="s">
        <v>153</v>
      </c>
      <c r="LE50" s="363"/>
      <c r="LF50" s="363"/>
      <c r="LG50" s="364" t="s">
        <v>140</v>
      </c>
      <c r="LH50" s="365">
        <v>0.5</v>
      </c>
      <c r="LI50" s="366" t="e">
        <f>10/LE48</f>
        <v>#DIV/0!</v>
      </c>
      <c r="LJ50" s="367">
        <v>15.38</v>
      </c>
      <c r="LK50" s="367" t="e">
        <f>LH50*LI50*LJ50</f>
        <v>#DIV/0!</v>
      </c>
      <c r="LL50" s="363" t="s">
        <v>153</v>
      </c>
      <c r="LM50" s="363"/>
      <c r="LN50" s="363"/>
      <c r="LO50" s="364" t="s">
        <v>140</v>
      </c>
      <c r="LP50" s="365">
        <v>0.5</v>
      </c>
      <c r="LQ50" s="366" t="e">
        <f>10/LM48</f>
        <v>#DIV/0!</v>
      </c>
      <c r="LR50" s="367">
        <v>15.38</v>
      </c>
      <c r="LS50" s="367" t="e">
        <f>LP50*LQ50*LR50</f>
        <v>#DIV/0!</v>
      </c>
      <c r="LT50" s="363" t="s">
        <v>153</v>
      </c>
      <c r="LU50" s="363"/>
      <c r="LV50" s="363"/>
      <c r="LW50" s="364" t="s">
        <v>140</v>
      </c>
      <c r="LX50" s="365">
        <v>0.5</v>
      </c>
      <c r="LY50" s="366" t="e">
        <f>10/LU48</f>
        <v>#DIV/0!</v>
      </c>
      <c r="LZ50" s="367">
        <v>15.38</v>
      </c>
      <c r="MA50" s="367" t="e">
        <f>LX50*LY50*LZ50</f>
        <v>#DIV/0!</v>
      </c>
      <c r="MB50" s="363" t="s">
        <v>153</v>
      </c>
      <c r="MC50" s="363"/>
      <c r="MD50" s="363"/>
      <c r="ME50" s="364" t="s">
        <v>140</v>
      </c>
      <c r="MF50" s="365">
        <v>0.5</v>
      </c>
      <c r="MG50" s="366" t="e">
        <f>10/MC48</f>
        <v>#DIV/0!</v>
      </c>
      <c r="MH50" s="367">
        <v>15.38</v>
      </c>
      <c r="MI50" s="367" t="e">
        <f>MF50*MG50*MH50</f>
        <v>#DIV/0!</v>
      </c>
      <c r="MJ50" s="363" t="s">
        <v>153</v>
      </c>
      <c r="MK50" s="363"/>
      <c r="ML50" s="363"/>
      <c r="MM50" s="364" t="s">
        <v>140</v>
      </c>
      <c r="MN50" s="365">
        <v>0.5</v>
      </c>
      <c r="MO50" s="366" t="e">
        <f>10/MK48</f>
        <v>#DIV/0!</v>
      </c>
      <c r="MP50" s="367">
        <v>15.38</v>
      </c>
      <c r="MQ50" s="367" t="e">
        <f>MN50*MO50*MP50</f>
        <v>#DIV/0!</v>
      </c>
      <c r="MR50" s="363" t="s">
        <v>153</v>
      </c>
      <c r="MS50" s="363"/>
      <c r="MT50" s="363"/>
      <c r="MU50" s="364" t="s">
        <v>140</v>
      </c>
      <c r="MV50" s="365">
        <v>0.5</v>
      </c>
      <c r="MW50" s="366" t="e">
        <f>10/MS48</f>
        <v>#DIV/0!</v>
      </c>
      <c r="MX50" s="367">
        <v>15.38</v>
      </c>
      <c r="MY50" s="367" t="e">
        <f>MV50*MW50*MX50</f>
        <v>#DIV/0!</v>
      </c>
      <c r="MZ50" s="363" t="s">
        <v>153</v>
      </c>
      <c r="NA50" s="363"/>
      <c r="NB50" s="363"/>
      <c r="NC50" s="364" t="s">
        <v>140</v>
      </c>
      <c r="ND50" s="365">
        <v>0.5</v>
      </c>
      <c r="NE50" s="366" t="e">
        <f>10/NA48</f>
        <v>#DIV/0!</v>
      </c>
      <c r="NF50" s="367">
        <v>15.38</v>
      </c>
      <c r="NG50" s="367" t="e">
        <f>ND50*NE50*NF50</f>
        <v>#DIV/0!</v>
      </c>
      <c r="NH50" s="363" t="s">
        <v>153</v>
      </c>
      <c r="NI50" s="363"/>
      <c r="NJ50" s="363"/>
      <c r="NK50" s="364" t="s">
        <v>140</v>
      </c>
      <c r="NL50" s="365">
        <v>0.5</v>
      </c>
      <c r="NM50" s="366" t="e">
        <f>10/NI48</f>
        <v>#DIV/0!</v>
      </c>
      <c r="NN50" s="367">
        <v>15.38</v>
      </c>
      <c r="NO50" s="367" t="e">
        <f>NL50*NM50*NN50</f>
        <v>#DIV/0!</v>
      </c>
      <c r="NP50" s="363" t="s">
        <v>153</v>
      </c>
      <c r="NQ50" s="363"/>
      <c r="NR50" s="363"/>
      <c r="NS50" s="364" t="s">
        <v>140</v>
      </c>
      <c r="NT50" s="365">
        <v>0.5</v>
      </c>
      <c r="NU50" s="366" t="e">
        <f>10/NQ48</f>
        <v>#DIV/0!</v>
      </c>
      <c r="NV50" s="367">
        <v>15.38</v>
      </c>
      <c r="NW50" s="367" t="e">
        <f>NT50*NU50*NV50</f>
        <v>#DIV/0!</v>
      </c>
      <c r="NX50" s="363" t="s">
        <v>153</v>
      </c>
      <c r="NY50" s="363"/>
      <c r="NZ50" s="363"/>
      <c r="OA50" s="364" t="s">
        <v>140</v>
      </c>
      <c r="OB50" s="365">
        <v>0.5</v>
      </c>
      <c r="OC50" s="366" t="e">
        <f>10/NY48</f>
        <v>#DIV/0!</v>
      </c>
      <c r="OD50" s="367">
        <v>15.38</v>
      </c>
      <c r="OE50" s="367" t="e">
        <f>OB50*OC50*OD50</f>
        <v>#DIV/0!</v>
      </c>
      <c r="OF50" s="363" t="s">
        <v>153</v>
      </c>
      <c r="OG50" s="363"/>
      <c r="OH50" s="363"/>
      <c r="OI50" s="364" t="s">
        <v>140</v>
      </c>
      <c r="OJ50" s="365">
        <v>0.5</v>
      </c>
      <c r="OK50" s="366" t="e">
        <f>10/OG48</f>
        <v>#DIV/0!</v>
      </c>
      <c r="OL50" s="367">
        <v>15.38</v>
      </c>
      <c r="OM50" s="367" t="e">
        <f>OJ50*OK50*OL50</f>
        <v>#DIV/0!</v>
      </c>
      <c r="ON50" s="363" t="s">
        <v>153</v>
      </c>
      <c r="OO50" s="363"/>
      <c r="OP50" s="363"/>
      <c r="OQ50" s="364" t="s">
        <v>140</v>
      </c>
      <c r="OR50" s="365">
        <v>0.5</v>
      </c>
      <c r="OS50" s="366" t="e">
        <f>10/OO48</f>
        <v>#DIV/0!</v>
      </c>
      <c r="OT50" s="367">
        <v>15.38</v>
      </c>
      <c r="OU50" s="367" t="e">
        <f>OR50*OS50*OT50</f>
        <v>#DIV/0!</v>
      </c>
      <c r="OV50" s="363" t="s">
        <v>153</v>
      </c>
      <c r="OW50" s="363"/>
      <c r="OX50" s="363"/>
      <c r="OY50" s="364" t="s">
        <v>140</v>
      </c>
      <c r="OZ50" s="365">
        <v>0.5</v>
      </c>
      <c r="PA50" s="366" t="e">
        <f>10/OW48</f>
        <v>#DIV/0!</v>
      </c>
      <c r="PB50" s="367">
        <v>15.38</v>
      </c>
      <c r="PC50" s="367" t="e">
        <f>OZ50*PA50*PB50</f>
        <v>#DIV/0!</v>
      </c>
      <c r="PD50" s="363" t="s">
        <v>153</v>
      </c>
      <c r="PE50" s="363"/>
      <c r="PF50" s="363"/>
      <c r="PG50" s="364" t="s">
        <v>140</v>
      </c>
      <c r="PH50" s="365">
        <v>0.5</v>
      </c>
      <c r="PI50" s="366" t="e">
        <f>10/PE48</f>
        <v>#DIV/0!</v>
      </c>
      <c r="PJ50" s="367">
        <v>15.38</v>
      </c>
      <c r="PK50" s="367" t="e">
        <f>PH50*PI50*PJ50</f>
        <v>#DIV/0!</v>
      </c>
      <c r="PL50" s="363" t="s">
        <v>153</v>
      </c>
      <c r="PM50" s="363"/>
      <c r="PN50" s="363"/>
      <c r="PO50" s="364" t="s">
        <v>140</v>
      </c>
      <c r="PP50" s="365">
        <v>0.5</v>
      </c>
      <c r="PQ50" s="366" t="e">
        <f>10/PM48</f>
        <v>#DIV/0!</v>
      </c>
      <c r="PR50" s="367">
        <v>15.38</v>
      </c>
      <c r="PS50" s="367" t="e">
        <f>PP50*PQ50*PR50</f>
        <v>#DIV/0!</v>
      </c>
      <c r="PT50" s="363" t="s">
        <v>153</v>
      </c>
      <c r="PU50" s="363"/>
      <c r="PV50" s="363"/>
      <c r="PW50" s="364" t="s">
        <v>140</v>
      </c>
      <c r="PX50" s="365">
        <v>0.5</v>
      </c>
      <c r="PY50" s="366" t="e">
        <f>10/PU48</f>
        <v>#DIV/0!</v>
      </c>
      <c r="PZ50" s="367">
        <v>15.38</v>
      </c>
      <c r="QA50" s="367" t="e">
        <f>PX50*PY50*PZ50</f>
        <v>#DIV/0!</v>
      </c>
      <c r="QB50" s="363" t="s">
        <v>153</v>
      </c>
      <c r="QC50" s="363"/>
      <c r="QD50" s="363"/>
      <c r="QE50" s="364" t="s">
        <v>140</v>
      </c>
      <c r="QF50" s="365">
        <v>0.5</v>
      </c>
      <c r="QG50" s="366" t="e">
        <f>10/QC48</f>
        <v>#DIV/0!</v>
      </c>
      <c r="QH50" s="367">
        <v>15.38</v>
      </c>
      <c r="QI50" s="367" t="e">
        <f>QF50*QG50*QH50</f>
        <v>#DIV/0!</v>
      </c>
      <c r="QJ50" s="363" t="s">
        <v>153</v>
      </c>
      <c r="QK50" s="363"/>
      <c r="QL50" s="363"/>
      <c r="QM50" s="364" t="s">
        <v>140</v>
      </c>
      <c r="QN50" s="365">
        <v>0.5</v>
      </c>
      <c r="QO50" s="366" t="e">
        <f>10/QK48</f>
        <v>#DIV/0!</v>
      </c>
      <c r="QP50" s="367">
        <v>15.38</v>
      </c>
      <c r="QQ50" s="367" t="e">
        <f>QN50*QO50*QP50</f>
        <v>#DIV/0!</v>
      </c>
      <c r="QR50" s="363" t="s">
        <v>153</v>
      </c>
      <c r="QS50" s="363"/>
      <c r="QT50" s="363"/>
      <c r="QU50" s="364" t="s">
        <v>140</v>
      </c>
      <c r="QV50" s="365">
        <v>0.5</v>
      </c>
      <c r="QW50" s="366" t="e">
        <f>10/QS48</f>
        <v>#DIV/0!</v>
      </c>
      <c r="QX50" s="367">
        <v>15.38</v>
      </c>
      <c r="QY50" s="367" t="e">
        <f>QV50*QW50*QX50</f>
        <v>#DIV/0!</v>
      </c>
      <c r="QZ50" s="363" t="s">
        <v>153</v>
      </c>
      <c r="RA50" s="363"/>
      <c r="RB50" s="363"/>
      <c r="RC50" s="364" t="s">
        <v>140</v>
      </c>
      <c r="RD50" s="365">
        <v>0.5</v>
      </c>
      <c r="RE50" s="366" t="e">
        <f>10/RA48</f>
        <v>#DIV/0!</v>
      </c>
      <c r="RF50" s="367">
        <v>15.38</v>
      </c>
      <c r="RG50" s="367" t="e">
        <f>RD50*RE50*RF50</f>
        <v>#DIV/0!</v>
      </c>
      <c r="RH50" s="363" t="s">
        <v>153</v>
      </c>
      <c r="RI50" s="363"/>
      <c r="RJ50" s="363"/>
      <c r="RK50" s="364" t="s">
        <v>140</v>
      </c>
      <c r="RL50" s="365">
        <v>0.5</v>
      </c>
      <c r="RM50" s="366" t="e">
        <f>10/RI48</f>
        <v>#DIV/0!</v>
      </c>
      <c r="RN50" s="367">
        <v>15.38</v>
      </c>
      <c r="RO50" s="367" t="e">
        <f>RL50*RM50*RN50</f>
        <v>#DIV/0!</v>
      </c>
      <c r="RP50" s="363" t="s">
        <v>153</v>
      </c>
      <c r="RQ50" s="363"/>
      <c r="RR50" s="363"/>
      <c r="RS50" s="364" t="s">
        <v>140</v>
      </c>
      <c r="RT50" s="365">
        <v>0.5</v>
      </c>
      <c r="RU50" s="366" t="e">
        <f>10/RQ48</f>
        <v>#DIV/0!</v>
      </c>
      <c r="RV50" s="367">
        <v>15.38</v>
      </c>
      <c r="RW50" s="367" t="e">
        <f>RT50*RU50*RV50</f>
        <v>#DIV/0!</v>
      </c>
      <c r="RX50" s="363" t="s">
        <v>153</v>
      </c>
      <c r="RY50" s="363"/>
      <c r="RZ50" s="363"/>
      <c r="SA50" s="364" t="s">
        <v>140</v>
      </c>
      <c r="SB50" s="365">
        <v>0.5</v>
      </c>
      <c r="SC50" s="366" t="e">
        <f>10/RY48</f>
        <v>#DIV/0!</v>
      </c>
      <c r="SD50" s="367">
        <v>15.38</v>
      </c>
      <c r="SE50" s="367" t="e">
        <f>SB50*SC50*SD50</f>
        <v>#DIV/0!</v>
      </c>
      <c r="SF50" s="363" t="s">
        <v>153</v>
      </c>
      <c r="SG50" s="363"/>
      <c r="SH50" s="363"/>
      <c r="SI50" s="364" t="s">
        <v>140</v>
      </c>
      <c r="SJ50" s="365">
        <v>0.5</v>
      </c>
      <c r="SK50" s="366" t="e">
        <f>10/SG48</f>
        <v>#DIV/0!</v>
      </c>
      <c r="SL50" s="367">
        <v>15.38</v>
      </c>
      <c r="SM50" s="367" t="e">
        <f>SJ50*SK50*SL50</f>
        <v>#DIV/0!</v>
      </c>
      <c r="SN50" s="363" t="s">
        <v>153</v>
      </c>
      <c r="SO50" s="363"/>
      <c r="SP50" s="363"/>
      <c r="SQ50" s="364" t="s">
        <v>140</v>
      </c>
      <c r="SR50" s="365">
        <v>0.5</v>
      </c>
      <c r="SS50" s="366" t="e">
        <f>10/SO48</f>
        <v>#DIV/0!</v>
      </c>
      <c r="ST50" s="367">
        <v>15.38</v>
      </c>
      <c r="SU50" s="367" t="e">
        <f>SR50*SS50*ST50</f>
        <v>#DIV/0!</v>
      </c>
      <c r="SV50" s="363" t="s">
        <v>153</v>
      </c>
      <c r="SW50" s="363"/>
      <c r="SX50" s="363"/>
      <c r="SY50" s="364" t="s">
        <v>140</v>
      </c>
      <c r="SZ50" s="365">
        <v>0.5</v>
      </c>
      <c r="TA50" s="366" t="e">
        <f>10/SW48</f>
        <v>#DIV/0!</v>
      </c>
      <c r="TB50" s="367">
        <v>15.38</v>
      </c>
      <c r="TC50" s="367" t="e">
        <f>SZ50*TA50*TB50</f>
        <v>#DIV/0!</v>
      </c>
      <c r="TD50" s="363" t="s">
        <v>153</v>
      </c>
      <c r="TE50" s="363"/>
      <c r="TF50" s="363"/>
      <c r="TG50" s="364" t="s">
        <v>140</v>
      </c>
      <c r="TH50" s="365">
        <v>0.5</v>
      </c>
      <c r="TI50" s="366" t="e">
        <f>10/TE48</f>
        <v>#DIV/0!</v>
      </c>
      <c r="TJ50" s="367">
        <v>15.38</v>
      </c>
      <c r="TK50" s="367" t="e">
        <f>TH50*TI50*TJ50</f>
        <v>#DIV/0!</v>
      </c>
      <c r="TL50" s="363" t="s">
        <v>153</v>
      </c>
      <c r="TM50" s="363"/>
      <c r="TN50" s="363"/>
      <c r="TO50" s="364" t="s">
        <v>140</v>
      </c>
      <c r="TP50" s="365">
        <v>0.5</v>
      </c>
      <c r="TQ50" s="366" t="e">
        <f>10/TM48</f>
        <v>#DIV/0!</v>
      </c>
      <c r="TR50" s="367">
        <v>15.38</v>
      </c>
      <c r="TS50" s="367" t="e">
        <f>TP50*TQ50*TR50</f>
        <v>#DIV/0!</v>
      </c>
      <c r="TT50" s="363" t="s">
        <v>153</v>
      </c>
      <c r="TU50" s="363"/>
      <c r="TV50" s="363"/>
      <c r="TW50" s="364" t="s">
        <v>140</v>
      </c>
      <c r="TX50" s="365">
        <v>0.5</v>
      </c>
      <c r="TY50" s="366" t="e">
        <f>10/TU48</f>
        <v>#DIV/0!</v>
      </c>
      <c r="TZ50" s="367">
        <v>15.38</v>
      </c>
      <c r="UA50" s="367" t="e">
        <f>TX50*TY50*TZ50</f>
        <v>#DIV/0!</v>
      </c>
      <c r="UB50" s="363" t="s">
        <v>153</v>
      </c>
      <c r="UC50" s="363"/>
      <c r="UD50" s="363"/>
      <c r="UE50" s="364" t="s">
        <v>140</v>
      </c>
      <c r="UF50" s="365">
        <v>0.5</v>
      </c>
      <c r="UG50" s="366" t="e">
        <f>10/UC48</f>
        <v>#DIV/0!</v>
      </c>
      <c r="UH50" s="367">
        <v>15.38</v>
      </c>
      <c r="UI50" s="367" t="e">
        <f>UF50*UG50*UH50</f>
        <v>#DIV/0!</v>
      </c>
      <c r="UJ50" s="363" t="s">
        <v>153</v>
      </c>
      <c r="UK50" s="363"/>
      <c r="UL50" s="363"/>
      <c r="UM50" s="364" t="s">
        <v>140</v>
      </c>
      <c r="UN50" s="365">
        <v>0.5</v>
      </c>
      <c r="UO50" s="366" t="e">
        <f>10/UK48</f>
        <v>#DIV/0!</v>
      </c>
      <c r="UP50" s="367">
        <v>15.38</v>
      </c>
      <c r="UQ50" s="367" t="e">
        <f>UN50*UO50*UP50</f>
        <v>#DIV/0!</v>
      </c>
      <c r="UR50" s="363" t="s">
        <v>153</v>
      </c>
      <c r="US50" s="363"/>
      <c r="UT50" s="363"/>
      <c r="UU50" s="364" t="s">
        <v>140</v>
      </c>
      <c r="UV50" s="365">
        <v>0.5</v>
      </c>
      <c r="UW50" s="366" t="e">
        <f>10/US48</f>
        <v>#DIV/0!</v>
      </c>
      <c r="UX50" s="367">
        <v>15.38</v>
      </c>
      <c r="UY50" s="367" t="e">
        <f>UV50*UW50*UX50</f>
        <v>#DIV/0!</v>
      </c>
      <c r="UZ50" s="363" t="s">
        <v>153</v>
      </c>
      <c r="VA50" s="363"/>
      <c r="VB50" s="363"/>
      <c r="VC50" s="364" t="s">
        <v>140</v>
      </c>
      <c r="VD50" s="365">
        <v>0.5</v>
      </c>
      <c r="VE50" s="366" t="e">
        <f>10/VA48</f>
        <v>#DIV/0!</v>
      </c>
      <c r="VF50" s="367">
        <v>15.38</v>
      </c>
      <c r="VG50" s="367" t="e">
        <f>VD50*VE50*VF50</f>
        <v>#DIV/0!</v>
      </c>
      <c r="VH50" s="363" t="s">
        <v>153</v>
      </c>
      <c r="VI50" s="363"/>
      <c r="VJ50" s="363"/>
      <c r="VK50" s="364" t="s">
        <v>140</v>
      </c>
      <c r="VL50" s="365">
        <v>0.5</v>
      </c>
      <c r="VM50" s="366" t="e">
        <f>10/VI48</f>
        <v>#DIV/0!</v>
      </c>
      <c r="VN50" s="367">
        <v>15.38</v>
      </c>
      <c r="VO50" s="367" t="e">
        <f>VL50*VM50*VN50</f>
        <v>#DIV/0!</v>
      </c>
      <c r="VP50" s="363" t="s">
        <v>153</v>
      </c>
      <c r="VQ50" s="363"/>
      <c r="VR50" s="363"/>
      <c r="VS50" s="364" t="s">
        <v>140</v>
      </c>
      <c r="VT50" s="365">
        <v>0.5</v>
      </c>
      <c r="VU50" s="366" t="e">
        <f>10/VQ48</f>
        <v>#DIV/0!</v>
      </c>
      <c r="VV50" s="367">
        <v>15.38</v>
      </c>
      <c r="VW50" s="367" t="e">
        <f>VT50*VU50*VV50</f>
        <v>#DIV/0!</v>
      </c>
      <c r="VX50" s="363" t="s">
        <v>153</v>
      </c>
      <c r="VY50" s="363"/>
      <c r="VZ50" s="363"/>
      <c r="WA50" s="364" t="s">
        <v>140</v>
      </c>
      <c r="WB50" s="365">
        <v>0.5</v>
      </c>
      <c r="WC50" s="366" t="e">
        <f>10/VY48</f>
        <v>#DIV/0!</v>
      </c>
      <c r="WD50" s="367">
        <v>15.38</v>
      </c>
      <c r="WE50" s="367" t="e">
        <f>WB50*WC50*WD50</f>
        <v>#DIV/0!</v>
      </c>
      <c r="WF50" s="363" t="s">
        <v>153</v>
      </c>
      <c r="WG50" s="363"/>
      <c r="WH50" s="363"/>
      <c r="WI50" s="364" t="s">
        <v>140</v>
      </c>
      <c r="WJ50" s="365">
        <v>0.5</v>
      </c>
      <c r="WK50" s="366" t="e">
        <f>10/WG48</f>
        <v>#DIV/0!</v>
      </c>
      <c r="WL50" s="367">
        <v>15.38</v>
      </c>
      <c r="WM50" s="367" t="e">
        <f>WJ50*WK50*WL50</f>
        <v>#DIV/0!</v>
      </c>
      <c r="WN50" s="363" t="s">
        <v>153</v>
      </c>
      <c r="WO50" s="363"/>
      <c r="WP50" s="363"/>
      <c r="WQ50" s="364" t="s">
        <v>140</v>
      </c>
      <c r="WR50" s="365">
        <v>0.5</v>
      </c>
      <c r="WS50" s="366" t="e">
        <f>10/WO48</f>
        <v>#DIV/0!</v>
      </c>
      <c r="WT50" s="367">
        <v>15.38</v>
      </c>
      <c r="WU50" s="367" t="e">
        <f>WR50*WS50*WT50</f>
        <v>#DIV/0!</v>
      </c>
      <c r="WV50" s="363" t="s">
        <v>153</v>
      </c>
      <c r="WW50" s="363"/>
      <c r="WX50" s="363"/>
      <c r="WY50" s="364" t="s">
        <v>140</v>
      </c>
      <c r="WZ50" s="365">
        <v>0.5</v>
      </c>
      <c r="XA50" s="366" t="e">
        <f>10/WW48</f>
        <v>#DIV/0!</v>
      </c>
      <c r="XB50" s="367">
        <v>15.38</v>
      </c>
      <c r="XC50" s="367" t="e">
        <f>WZ50*XA50*XB50</f>
        <v>#DIV/0!</v>
      </c>
      <c r="XD50" s="363" t="s">
        <v>153</v>
      </c>
      <c r="XE50" s="363"/>
      <c r="XF50" s="363"/>
      <c r="XG50" s="364" t="s">
        <v>140</v>
      </c>
      <c r="XH50" s="365">
        <v>0.5</v>
      </c>
      <c r="XI50" s="366" t="e">
        <f>10/XE48</f>
        <v>#DIV/0!</v>
      </c>
      <c r="XJ50" s="367">
        <v>15.38</v>
      </c>
      <c r="XK50" s="367" t="e">
        <f>XH50*XI50*XJ50</f>
        <v>#DIV/0!</v>
      </c>
      <c r="XL50" s="363" t="s">
        <v>153</v>
      </c>
      <c r="XM50" s="363"/>
      <c r="XN50" s="363"/>
      <c r="XO50" s="364" t="s">
        <v>140</v>
      </c>
      <c r="XP50" s="365">
        <v>0.5</v>
      </c>
      <c r="XQ50" s="366" t="e">
        <f>10/XM48</f>
        <v>#DIV/0!</v>
      </c>
      <c r="XR50" s="367">
        <v>15.38</v>
      </c>
      <c r="XS50" s="367" t="e">
        <f>XP50*XQ50*XR50</f>
        <v>#DIV/0!</v>
      </c>
      <c r="XT50" s="363" t="s">
        <v>153</v>
      </c>
      <c r="XU50" s="363"/>
      <c r="XV50" s="363"/>
      <c r="XW50" s="364" t="s">
        <v>140</v>
      </c>
      <c r="XX50" s="365">
        <v>0.5</v>
      </c>
      <c r="XY50" s="366" t="e">
        <f>10/XU48</f>
        <v>#DIV/0!</v>
      </c>
      <c r="XZ50" s="367">
        <v>15.38</v>
      </c>
      <c r="YA50" s="367" t="e">
        <f>XX50*XY50*XZ50</f>
        <v>#DIV/0!</v>
      </c>
      <c r="YB50" s="363" t="s">
        <v>153</v>
      </c>
      <c r="YC50" s="363"/>
      <c r="YD50" s="363"/>
      <c r="YE50" s="364" t="s">
        <v>140</v>
      </c>
      <c r="YF50" s="365">
        <v>0.5</v>
      </c>
      <c r="YG50" s="366" t="e">
        <f>10/YC48</f>
        <v>#DIV/0!</v>
      </c>
      <c r="YH50" s="367">
        <v>15.38</v>
      </c>
      <c r="YI50" s="367" t="e">
        <f>YF50*YG50*YH50</f>
        <v>#DIV/0!</v>
      </c>
      <c r="YJ50" s="363" t="s">
        <v>153</v>
      </c>
      <c r="YK50" s="363"/>
      <c r="YL50" s="363"/>
      <c r="YM50" s="364" t="s">
        <v>140</v>
      </c>
      <c r="YN50" s="365">
        <v>0.5</v>
      </c>
      <c r="YO50" s="366" t="e">
        <f>10/YK48</f>
        <v>#DIV/0!</v>
      </c>
      <c r="YP50" s="367">
        <v>15.38</v>
      </c>
      <c r="YQ50" s="367" t="e">
        <f>YN50*YO50*YP50</f>
        <v>#DIV/0!</v>
      </c>
      <c r="YR50" s="363" t="s">
        <v>153</v>
      </c>
      <c r="YS50" s="363"/>
      <c r="YT50" s="363"/>
      <c r="YU50" s="364" t="s">
        <v>140</v>
      </c>
      <c r="YV50" s="365">
        <v>0.5</v>
      </c>
      <c r="YW50" s="366" t="e">
        <f>10/YS48</f>
        <v>#DIV/0!</v>
      </c>
      <c r="YX50" s="367">
        <v>15.38</v>
      </c>
      <c r="YY50" s="367" t="e">
        <f>YV50*YW50*YX50</f>
        <v>#DIV/0!</v>
      </c>
      <c r="YZ50" s="363" t="s">
        <v>153</v>
      </c>
      <c r="ZA50" s="363"/>
      <c r="ZB50" s="363"/>
      <c r="ZC50" s="364" t="s">
        <v>140</v>
      </c>
      <c r="ZD50" s="365">
        <v>0.5</v>
      </c>
      <c r="ZE50" s="366" t="e">
        <f>10/ZA48</f>
        <v>#DIV/0!</v>
      </c>
      <c r="ZF50" s="367">
        <v>15.38</v>
      </c>
      <c r="ZG50" s="367" t="e">
        <f>ZD50*ZE50*ZF50</f>
        <v>#DIV/0!</v>
      </c>
      <c r="ZH50" s="363" t="s">
        <v>153</v>
      </c>
      <c r="ZI50" s="363"/>
      <c r="ZJ50" s="363"/>
      <c r="ZK50" s="364" t="s">
        <v>140</v>
      </c>
      <c r="ZL50" s="365">
        <v>0.5</v>
      </c>
      <c r="ZM50" s="366" t="e">
        <f>10/ZI48</f>
        <v>#DIV/0!</v>
      </c>
      <c r="ZN50" s="367">
        <v>15.38</v>
      </c>
      <c r="ZO50" s="367" t="e">
        <f>ZL50*ZM50*ZN50</f>
        <v>#DIV/0!</v>
      </c>
      <c r="ZP50" s="363" t="s">
        <v>153</v>
      </c>
      <c r="ZQ50" s="363"/>
      <c r="ZR50" s="363"/>
      <c r="ZS50" s="364" t="s">
        <v>140</v>
      </c>
      <c r="ZT50" s="365">
        <v>0.5</v>
      </c>
      <c r="ZU50" s="366" t="e">
        <f>10/ZQ48</f>
        <v>#DIV/0!</v>
      </c>
      <c r="ZV50" s="367">
        <v>15.38</v>
      </c>
      <c r="ZW50" s="367" t="e">
        <f>ZT50*ZU50*ZV50</f>
        <v>#DIV/0!</v>
      </c>
      <c r="ZX50" s="363" t="s">
        <v>153</v>
      </c>
      <c r="ZY50" s="363"/>
      <c r="ZZ50" s="363"/>
      <c r="AAA50" s="364" t="s">
        <v>140</v>
      </c>
      <c r="AAB50" s="365">
        <v>0.5</v>
      </c>
      <c r="AAC50" s="366" t="e">
        <f>10/ZY48</f>
        <v>#DIV/0!</v>
      </c>
      <c r="AAD50" s="367">
        <v>15.38</v>
      </c>
      <c r="AAE50" s="367" t="e">
        <f>AAB50*AAC50*AAD50</f>
        <v>#DIV/0!</v>
      </c>
      <c r="AAF50" s="363" t="s">
        <v>153</v>
      </c>
      <c r="AAG50" s="363"/>
      <c r="AAH50" s="363"/>
      <c r="AAI50" s="364" t="s">
        <v>140</v>
      </c>
      <c r="AAJ50" s="365">
        <v>0.5</v>
      </c>
      <c r="AAK50" s="366" t="e">
        <f>10/AAG48</f>
        <v>#DIV/0!</v>
      </c>
      <c r="AAL50" s="367">
        <v>15.38</v>
      </c>
      <c r="AAM50" s="367" t="e">
        <f>AAJ50*AAK50*AAL50</f>
        <v>#DIV/0!</v>
      </c>
      <c r="AAN50" s="363" t="s">
        <v>153</v>
      </c>
      <c r="AAO50" s="363"/>
      <c r="AAP50" s="363"/>
      <c r="AAQ50" s="364" t="s">
        <v>140</v>
      </c>
      <c r="AAR50" s="365">
        <v>0.5</v>
      </c>
      <c r="AAS50" s="366" t="e">
        <f>10/AAO48</f>
        <v>#DIV/0!</v>
      </c>
      <c r="AAT50" s="367">
        <v>15.38</v>
      </c>
      <c r="AAU50" s="367" t="e">
        <f>AAR50*AAS50*AAT50</f>
        <v>#DIV/0!</v>
      </c>
      <c r="AAV50" s="363" t="s">
        <v>153</v>
      </c>
      <c r="AAW50" s="363"/>
      <c r="AAX50" s="363"/>
      <c r="AAY50" s="364" t="s">
        <v>140</v>
      </c>
      <c r="AAZ50" s="365">
        <v>0.5</v>
      </c>
      <c r="ABA50" s="366" t="e">
        <f>10/AAW48</f>
        <v>#DIV/0!</v>
      </c>
      <c r="ABB50" s="367">
        <v>15.38</v>
      </c>
      <c r="ABC50" s="367" t="e">
        <f>AAZ50*ABA50*ABB50</f>
        <v>#DIV/0!</v>
      </c>
      <c r="ABD50" s="363" t="s">
        <v>153</v>
      </c>
      <c r="ABE50" s="363"/>
      <c r="ABF50" s="363"/>
      <c r="ABG50" s="364" t="s">
        <v>140</v>
      </c>
      <c r="ABH50" s="365">
        <v>0.5</v>
      </c>
      <c r="ABI50" s="366" t="e">
        <f>10/ABE48</f>
        <v>#DIV/0!</v>
      </c>
      <c r="ABJ50" s="367">
        <v>15.38</v>
      </c>
      <c r="ABK50" s="367" t="e">
        <f>ABH50*ABI50*ABJ50</f>
        <v>#DIV/0!</v>
      </c>
      <c r="ABL50" s="363" t="s">
        <v>153</v>
      </c>
      <c r="ABM50" s="363"/>
      <c r="ABN50" s="363"/>
      <c r="ABO50" s="364" t="s">
        <v>140</v>
      </c>
      <c r="ABP50" s="365">
        <v>0.5</v>
      </c>
      <c r="ABQ50" s="366" t="e">
        <f>10/ABM48</f>
        <v>#DIV/0!</v>
      </c>
      <c r="ABR50" s="367">
        <v>15.38</v>
      </c>
      <c r="ABS50" s="367" t="e">
        <f>ABP50*ABQ50*ABR50</f>
        <v>#DIV/0!</v>
      </c>
      <c r="ABT50" s="363" t="s">
        <v>153</v>
      </c>
      <c r="ABU50" s="363"/>
      <c r="ABV50" s="363"/>
      <c r="ABW50" s="364" t="s">
        <v>140</v>
      </c>
      <c r="ABX50" s="365">
        <v>0.5</v>
      </c>
      <c r="ABY50" s="366" t="e">
        <f>10/ABU48</f>
        <v>#DIV/0!</v>
      </c>
      <c r="ABZ50" s="367">
        <v>15.38</v>
      </c>
      <c r="ACA50" s="367" t="e">
        <f>ABX50*ABY50*ABZ50</f>
        <v>#DIV/0!</v>
      </c>
      <c r="ACB50" s="363" t="s">
        <v>153</v>
      </c>
      <c r="ACC50" s="363"/>
      <c r="ACD50" s="363"/>
      <c r="ACE50" s="364" t="s">
        <v>140</v>
      </c>
      <c r="ACF50" s="365">
        <v>0.5</v>
      </c>
      <c r="ACG50" s="366" t="e">
        <f>10/ACC48</f>
        <v>#DIV/0!</v>
      </c>
      <c r="ACH50" s="367">
        <v>15.38</v>
      </c>
      <c r="ACI50" s="367" t="e">
        <f>ACF50*ACG50*ACH50</f>
        <v>#DIV/0!</v>
      </c>
      <c r="ACJ50" s="363" t="s">
        <v>153</v>
      </c>
      <c r="ACK50" s="363"/>
      <c r="ACL50" s="363"/>
      <c r="ACM50" s="364" t="s">
        <v>140</v>
      </c>
      <c r="ACN50" s="365">
        <v>0.5</v>
      </c>
      <c r="ACO50" s="366" t="e">
        <f>10/ACK48</f>
        <v>#DIV/0!</v>
      </c>
      <c r="ACP50" s="367">
        <v>15.38</v>
      </c>
      <c r="ACQ50" s="367" t="e">
        <f>ACN50*ACO50*ACP50</f>
        <v>#DIV/0!</v>
      </c>
      <c r="ACR50" s="363" t="s">
        <v>153</v>
      </c>
      <c r="ACS50" s="363"/>
      <c r="ACT50" s="363"/>
      <c r="ACU50" s="364" t="s">
        <v>140</v>
      </c>
      <c r="ACV50" s="365">
        <v>0.5</v>
      </c>
      <c r="ACW50" s="366" t="e">
        <f>10/ACS48</f>
        <v>#DIV/0!</v>
      </c>
      <c r="ACX50" s="367">
        <v>15.38</v>
      </c>
      <c r="ACY50" s="367" t="e">
        <f>ACV50*ACW50*ACX50</f>
        <v>#DIV/0!</v>
      </c>
      <c r="ACZ50" s="363" t="s">
        <v>153</v>
      </c>
      <c r="ADA50" s="363"/>
      <c r="ADB50" s="363"/>
      <c r="ADC50" s="364" t="s">
        <v>140</v>
      </c>
      <c r="ADD50" s="365">
        <v>0.5</v>
      </c>
      <c r="ADE50" s="366" t="e">
        <f>10/ADA48</f>
        <v>#DIV/0!</v>
      </c>
      <c r="ADF50" s="367">
        <v>15.38</v>
      </c>
      <c r="ADG50" s="367" t="e">
        <f>ADD50*ADE50*ADF50</f>
        <v>#DIV/0!</v>
      </c>
      <c r="ADH50" s="363" t="s">
        <v>153</v>
      </c>
      <c r="ADI50" s="363"/>
      <c r="ADJ50" s="363"/>
      <c r="ADK50" s="364" t="s">
        <v>140</v>
      </c>
      <c r="ADL50" s="365">
        <v>0.5</v>
      </c>
      <c r="ADM50" s="366" t="e">
        <f>10/ADI48</f>
        <v>#DIV/0!</v>
      </c>
      <c r="ADN50" s="367">
        <v>15.38</v>
      </c>
      <c r="ADO50" s="367" t="e">
        <f>ADL50*ADM50*ADN50</f>
        <v>#DIV/0!</v>
      </c>
      <c r="ADP50" s="363" t="s">
        <v>153</v>
      </c>
      <c r="ADQ50" s="363"/>
      <c r="ADR50" s="363"/>
      <c r="ADS50" s="364" t="s">
        <v>140</v>
      </c>
      <c r="ADT50" s="365">
        <v>0.5</v>
      </c>
      <c r="ADU50" s="366" t="e">
        <f>10/ADQ48</f>
        <v>#DIV/0!</v>
      </c>
      <c r="ADV50" s="367">
        <v>15.38</v>
      </c>
      <c r="ADW50" s="367" t="e">
        <f>ADT50*ADU50*ADV50</f>
        <v>#DIV/0!</v>
      </c>
      <c r="ADX50" s="363" t="s">
        <v>153</v>
      </c>
      <c r="ADY50" s="363"/>
      <c r="ADZ50" s="363"/>
      <c r="AEA50" s="364" t="s">
        <v>140</v>
      </c>
      <c r="AEB50" s="365">
        <v>0.5</v>
      </c>
      <c r="AEC50" s="366" t="e">
        <f>10/ADY48</f>
        <v>#DIV/0!</v>
      </c>
      <c r="AED50" s="367">
        <v>15.38</v>
      </c>
      <c r="AEE50" s="367" t="e">
        <f>AEB50*AEC50*AED50</f>
        <v>#DIV/0!</v>
      </c>
      <c r="AEF50" s="363" t="s">
        <v>153</v>
      </c>
      <c r="AEG50" s="363"/>
      <c r="AEH50" s="363"/>
      <c r="AEI50" s="364" t="s">
        <v>140</v>
      </c>
      <c r="AEJ50" s="365">
        <v>0.5</v>
      </c>
      <c r="AEK50" s="366" t="e">
        <f>10/AEG48</f>
        <v>#DIV/0!</v>
      </c>
      <c r="AEL50" s="367">
        <v>15.38</v>
      </c>
      <c r="AEM50" s="367" t="e">
        <f>AEJ50*AEK50*AEL50</f>
        <v>#DIV/0!</v>
      </c>
      <c r="AEN50" s="363" t="s">
        <v>153</v>
      </c>
      <c r="AEO50" s="363"/>
      <c r="AEP50" s="363"/>
      <c r="AEQ50" s="364" t="s">
        <v>140</v>
      </c>
      <c r="AER50" s="365">
        <v>0.5</v>
      </c>
      <c r="AES50" s="366" t="e">
        <f>10/AEO48</f>
        <v>#DIV/0!</v>
      </c>
      <c r="AET50" s="367">
        <v>15.38</v>
      </c>
      <c r="AEU50" s="367" t="e">
        <f>AER50*AES50*AET50</f>
        <v>#DIV/0!</v>
      </c>
      <c r="AEV50" s="363" t="s">
        <v>153</v>
      </c>
      <c r="AEW50" s="363"/>
      <c r="AEX50" s="363"/>
      <c r="AEY50" s="364" t="s">
        <v>140</v>
      </c>
      <c r="AEZ50" s="365">
        <v>0.5</v>
      </c>
      <c r="AFA50" s="366" t="e">
        <f>10/AEW48</f>
        <v>#DIV/0!</v>
      </c>
      <c r="AFB50" s="367">
        <v>15.38</v>
      </c>
      <c r="AFC50" s="367" t="e">
        <f>AEZ50*AFA50*AFB50</f>
        <v>#DIV/0!</v>
      </c>
      <c r="AFD50" s="363" t="s">
        <v>153</v>
      </c>
      <c r="AFE50" s="363"/>
      <c r="AFF50" s="363"/>
      <c r="AFG50" s="364" t="s">
        <v>140</v>
      </c>
      <c r="AFH50" s="365">
        <v>0.5</v>
      </c>
      <c r="AFI50" s="366" t="e">
        <f>10/AFE48</f>
        <v>#DIV/0!</v>
      </c>
      <c r="AFJ50" s="367">
        <v>15.38</v>
      </c>
      <c r="AFK50" s="367" t="e">
        <f>AFH50*AFI50*AFJ50</f>
        <v>#DIV/0!</v>
      </c>
      <c r="AFL50" s="363" t="s">
        <v>153</v>
      </c>
      <c r="AFM50" s="363"/>
      <c r="AFN50" s="363"/>
      <c r="AFO50" s="364" t="s">
        <v>140</v>
      </c>
      <c r="AFP50" s="365">
        <v>0.5</v>
      </c>
      <c r="AFQ50" s="366" t="e">
        <f>10/AFM48</f>
        <v>#DIV/0!</v>
      </c>
      <c r="AFR50" s="367">
        <v>15.38</v>
      </c>
      <c r="AFS50" s="367" t="e">
        <f>AFP50*AFQ50*AFR50</f>
        <v>#DIV/0!</v>
      </c>
      <c r="AFT50" s="363" t="s">
        <v>153</v>
      </c>
      <c r="AFU50" s="363"/>
      <c r="AFV50" s="363"/>
      <c r="AFW50" s="364" t="s">
        <v>140</v>
      </c>
      <c r="AFX50" s="365">
        <v>0.5</v>
      </c>
      <c r="AFY50" s="366" t="e">
        <f>10/AFU48</f>
        <v>#DIV/0!</v>
      </c>
      <c r="AFZ50" s="367">
        <v>15.38</v>
      </c>
      <c r="AGA50" s="367" t="e">
        <f>AFX50*AFY50*AFZ50</f>
        <v>#DIV/0!</v>
      </c>
      <c r="AGB50" s="363" t="s">
        <v>153</v>
      </c>
      <c r="AGC50" s="363"/>
      <c r="AGD50" s="363"/>
      <c r="AGE50" s="364" t="s">
        <v>140</v>
      </c>
      <c r="AGF50" s="365">
        <v>0.5</v>
      </c>
      <c r="AGG50" s="366" t="e">
        <f>10/AGC48</f>
        <v>#DIV/0!</v>
      </c>
      <c r="AGH50" s="367">
        <v>15.38</v>
      </c>
      <c r="AGI50" s="367" t="e">
        <f>AGF50*AGG50*AGH50</f>
        <v>#DIV/0!</v>
      </c>
      <c r="AGJ50" s="363" t="s">
        <v>153</v>
      </c>
      <c r="AGK50" s="363"/>
      <c r="AGL50" s="363"/>
      <c r="AGM50" s="364" t="s">
        <v>140</v>
      </c>
      <c r="AGN50" s="365">
        <v>0.5</v>
      </c>
      <c r="AGO50" s="366" t="e">
        <f>10/AGK48</f>
        <v>#DIV/0!</v>
      </c>
      <c r="AGP50" s="367">
        <v>15.38</v>
      </c>
      <c r="AGQ50" s="367" t="e">
        <f>AGN50*AGO50*AGP50</f>
        <v>#DIV/0!</v>
      </c>
      <c r="AGR50" s="363" t="s">
        <v>153</v>
      </c>
      <c r="AGS50" s="363"/>
      <c r="AGT50" s="363"/>
      <c r="AGU50" s="364" t="s">
        <v>140</v>
      </c>
      <c r="AGV50" s="365">
        <v>0.5</v>
      </c>
      <c r="AGW50" s="366" t="e">
        <f>10/AGS48</f>
        <v>#DIV/0!</v>
      </c>
      <c r="AGX50" s="367">
        <v>15.38</v>
      </c>
      <c r="AGY50" s="367" t="e">
        <f>AGV50*AGW50*AGX50</f>
        <v>#DIV/0!</v>
      </c>
      <c r="AGZ50" s="363" t="s">
        <v>153</v>
      </c>
      <c r="AHA50" s="363"/>
      <c r="AHB50" s="363"/>
      <c r="AHC50" s="364" t="s">
        <v>140</v>
      </c>
      <c r="AHD50" s="365">
        <v>0.5</v>
      </c>
      <c r="AHE50" s="366" t="e">
        <f>10/AHA48</f>
        <v>#DIV/0!</v>
      </c>
      <c r="AHF50" s="367">
        <v>15.38</v>
      </c>
      <c r="AHG50" s="367" t="e">
        <f>AHD50*AHE50*AHF50</f>
        <v>#DIV/0!</v>
      </c>
      <c r="AHH50" s="363" t="s">
        <v>153</v>
      </c>
      <c r="AHI50" s="363"/>
      <c r="AHJ50" s="363"/>
      <c r="AHK50" s="364" t="s">
        <v>140</v>
      </c>
      <c r="AHL50" s="365">
        <v>0.5</v>
      </c>
      <c r="AHM50" s="366" t="e">
        <f>10/AHI48</f>
        <v>#DIV/0!</v>
      </c>
      <c r="AHN50" s="367">
        <v>15.38</v>
      </c>
      <c r="AHO50" s="367" t="e">
        <f>AHL50*AHM50*AHN50</f>
        <v>#DIV/0!</v>
      </c>
      <c r="AHP50" s="363" t="s">
        <v>153</v>
      </c>
      <c r="AHQ50" s="363"/>
      <c r="AHR50" s="363"/>
      <c r="AHS50" s="364" t="s">
        <v>140</v>
      </c>
      <c r="AHT50" s="365">
        <v>0.5</v>
      </c>
      <c r="AHU50" s="366" t="e">
        <f>10/AHQ48</f>
        <v>#DIV/0!</v>
      </c>
      <c r="AHV50" s="367">
        <v>15.38</v>
      </c>
      <c r="AHW50" s="367" t="e">
        <f>AHT50*AHU50*AHV50</f>
        <v>#DIV/0!</v>
      </c>
      <c r="AHX50" s="363" t="s">
        <v>153</v>
      </c>
      <c r="AHY50" s="363"/>
      <c r="AHZ50" s="363"/>
      <c r="AIA50" s="364" t="s">
        <v>140</v>
      </c>
      <c r="AIB50" s="365">
        <v>0.5</v>
      </c>
      <c r="AIC50" s="366" t="e">
        <f>10/AHY48</f>
        <v>#DIV/0!</v>
      </c>
      <c r="AID50" s="367">
        <v>15.38</v>
      </c>
      <c r="AIE50" s="367" t="e">
        <f>AIB50*AIC50*AID50</f>
        <v>#DIV/0!</v>
      </c>
      <c r="AIF50" s="363" t="s">
        <v>153</v>
      </c>
      <c r="AIG50" s="363"/>
      <c r="AIH50" s="363"/>
      <c r="AII50" s="364" t="s">
        <v>140</v>
      </c>
      <c r="AIJ50" s="365">
        <v>0.5</v>
      </c>
      <c r="AIK50" s="366" t="e">
        <f>10/AIG48</f>
        <v>#DIV/0!</v>
      </c>
      <c r="AIL50" s="367">
        <v>15.38</v>
      </c>
      <c r="AIM50" s="367" t="e">
        <f>AIJ50*AIK50*AIL50</f>
        <v>#DIV/0!</v>
      </c>
      <c r="AIN50" s="363" t="s">
        <v>153</v>
      </c>
      <c r="AIO50" s="363"/>
      <c r="AIP50" s="363"/>
      <c r="AIQ50" s="364" t="s">
        <v>140</v>
      </c>
      <c r="AIR50" s="365">
        <v>0.5</v>
      </c>
      <c r="AIS50" s="366" t="e">
        <f>10/AIO48</f>
        <v>#DIV/0!</v>
      </c>
      <c r="AIT50" s="367">
        <v>15.38</v>
      </c>
      <c r="AIU50" s="367" t="e">
        <f>AIR50*AIS50*AIT50</f>
        <v>#DIV/0!</v>
      </c>
      <c r="AIV50" s="363" t="s">
        <v>153</v>
      </c>
      <c r="AIW50" s="363"/>
      <c r="AIX50" s="363"/>
      <c r="AIY50" s="364" t="s">
        <v>140</v>
      </c>
      <c r="AIZ50" s="365">
        <v>0.5</v>
      </c>
      <c r="AJA50" s="366" t="e">
        <f>10/AIW48</f>
        <v>#DIV/0!</v>
      </c>
      <c r="AJB50" s="367">
        <v>15.38</v>
      </c>
      <c r="AJC50" s="367" t="e">
        <f>AIZ50*AJA50*AJB50</f>
        <v>#DIV/0!</v>
      </c>
      <c r="AJD50" s="363" t="s">
        <v>153</v>
      </c>
      <c r="AJE50" s="363"/>
      <c r="AJF50" s="363"/>
      <c r="AJG50" s="364" t="s">
        <v>140</v>
      </c>
      <c r="AJH50" s="365">
        <v>0.5</v>
      </c>
      <c r="AJI50" s="366" t="e">
        <f>10/AJE48</f>
        <v>#DIV/0!</v>
      </c>
      <c r="AJJ50" s="367">
        <v>15.38</v>
      </c>
      <c r="AJK50" s="367" t="e">
        <f>AJH50*AJI50*AJJ50</f>
        <v>#DIV/0!</v>
      </c>
      <c r="AJL50" s="363" t="s">
        <v>153</v>
      </c>
      <c r="AJM50" s="363"/>
      <c r="AJN50" s="363"/>
      <c r="AJO50" s="364" t="s">
        <v>140</v>
      </c>
      <c r="AJP50" s="365">
        <v>0.5</v>
      </c>
      <c r="AJQ50" s="366" t="e">
        <f>10/AJM48</f>
        <v>#DIV/0!</v>
      </c>
      <c r="AJR50" s="367">
        <v>15.38</v>
      </c>
      <c r="AJS50" s="367" t="e">
        <f>AJP50*AJQ50*AJR50</f>
        <v>#DIV/0!</v>
      </c>
      <c r="AJT50" s="363" t="s">
        <v>153</v>
      </c>
      <c r="AJU50" s="363"/>
      <c r="AJV50" s="363"/>
      <c r="AJW50" s="364" t="s">
        <v>140</v>
      </c>
      <c r="AJX50" s="365">
        <v>0.5</v>
      </c>
      <c r="AJY50" s="366" t="e">
        <f>10/AJU48</f>
        <v>#DIV/0!</v>
      </c>
      <c r="AJZ50" s="367">
        <v>15.38</v>
      </c>
      <c r="AKA50" s="367" t="e">
        <f>AJX50*AJY50*AJZ50</f>
        <v>#DIV/0!</v>
      </c>
      <c r="AKB50" s="363" t="s">
        <v>153</v>
      </c>
      <c r="AKC50" s="363"/>
      <c r="AKD50" s="363"/>
      <c r="AKE50" s="364" t="s">
        <v>140</v>
      </c>
      <c r="AKF50" s="365">
        <v>0.5</v>
      </c>
      <c r="AKG50" s="366" t="e">
        <f>10/AKC48</f>
        <v>#DIV/0!</v>
      </c>
      <c r="AKH50" s="367">
        <v>15.38</v>
      </c>
      <c r="AKI50" s="367" t="e">
        <f>AKF50*AKG50*AKH50</f>
        <v>#DIV/0!</v>
      </c>
      <c r="AKJ50" s="363" t="s">
        <v>153</v>
      </c>
      <c r="AKK50" s="363"/>
      <c r="AKL50" s="363"/>
      <c r="AKM50" s="364" t="s">
        <v>140</v>
      </c>
      <c r="AKN50" s="365">
        <v>0.5</v>
      </c>
      <c r="AKO50" s="366" t="e">
        <f>10/AKK48</f>
        <v>#DIV/0!</v>
      </c>
      <c r="AKP50" s="367">
        <v>15.38</v>
      </c>
      <c r="AKQ50" s="367" t="e">
        <f>AKN50*AKO50*AKP50</f>
        <v>#DIV/0!</v>
      </c>
      <c r="AKR50" s="363" t="s">
        <v>153</v>
      </c>
      <c r="AKS50" s="363"/>
      <c r="AKT50" s="363"/>
      <c r="AKU50" s="364" t="s">
        <v>140</v>
      </c>
      <c r="AKV50" s="365">
        <v>0.5</v>
      </c>
      <c r="AKW50" s="366" t="e">
        <f>10/AKS48</f>
        <v>#DIV/0!</v>
      </c>
      <c r="AKX50" s="367">
        <v>15.38</v>
      </c>
      <c r="AKY50" s="367" t="e">
        <f>AKV50*AKW50*AKX50</f>
        <v>#DIV/0!</v>
      </c>
      <c r="AKZ50" s="363" t="s">
        <v>153</v>
      </c>
      <c r="ALA50" s="363"/>
      <c r="ALB50" s="363"/>
      <c r="ALC50" s="364" t="s">
        <v>140</v>
      </c>
      <c r="ALD50" s="365">
        <v>0.5</v>
      </c>
      <c r="ALE50" s="366" t="e">
        <f>10/ALA48</f>
        <v>#DIV/0!</v>
      </c>
      <c r="ALF50" s="367">
        <v>15.38</v>
      </c>
      <c r="ALG50" s="367" t="e">
        <f>ALD50*ALE50*ALF50</f>
        <v>#DIV/0!</v>
      </c>
      <c r="ALH50" s="363" t="s">
        <v>153</v>
      </c>
      <c r="ALI50" s="363"/>
      <c r="ALJ50" s="363"/>
      <c r="ALK50" s="364" t="s">
        <v>140</v>
      </c>
      <c r="ALL50" s="365">
        <v>0.5</v>
      </c>
      <c r="ALM50" s="366" t="e">
        <f>10/ALI48</f>
        <v>#DIV/0!</v>
      </c>
      <c r="ALN50" s="367">
        <v>15.38</v>
      </c>
      <c r="ALO50" s="367" t="e">
        <f>ALL50*ALM50*ALN50</f>
        <v>#DIV/0!</v>
      </c>
      <c r="ALP50" s="363" t="s">
        <v>153</v>
      </c>
      <c r="ALQ50" s="363"/>
      <c r="ALR50" s="363"/>
      <c r="ALS50" s="364" t="s">
        <v>140</v>
      </c>
      <c r="ALT50" s="365">
        <v>0.5</v>
      </c>
      <c r="ALU50" s="366" t="e">
        <f>10/ALQ48</f>
        <v>#DIV/0!</v>
      </c>
      <c r="ALV50" s="367">
        <v>15.38</v>
      </c>
      <c r="ALW50" s="367" t="e">
        <f>ALT50*ALU50*ALV50</f>
        <v>#DIV/0!</v>
      </c>
      <c r="ALX50" s="363" t="s">
        <v>153</v>
      </c>
      <c r="ALY50" s="363"/>
      <c r="ALZ50" s="363"/>
      <c r="AMA50" s="364" t="s">
        <v>140</v>
      </c>
      <c r="AMB50" s="365">
        <v>0.5</v>
      </c>
      <c r="AMC50" s="366" t="e">
        <f>10/ALY48</f>
        <v>#DIV/0!</v>
      </c>
      <c r="AMD50" s="367">
        <v>15.38</v>
      </c>
      <c r="AME50" s="367" t="e">
        <f>AMB50*AMC50*AMD50</f>
        <v>#DIV/0!</v>
      </c>
      <c r="AMF50" s="363" t="s">
        <v>153</v>
      </c>
      <c r="AMG50" s="363"/>
      <c r="AMH50" s="363"/>
      <c r="AMI50" s="364" t="s">
        <v>140</v>
      </c>
      <c r="AMJ50" s="365">
        <v>0.5</v>
      </c>
      <c r="AMK50" s="366" t="e">
        <f>10/AMG48</f>
        <v>#DIV/0!</v>
      </c>
      <c r="AML50" s="367">
        <v>15.38</v>
      </c>
      <c r="AMM50" s="367" t="e">
        <f>AMJ50*AMK50*AML50</f>
        <v>#DIV/0!</v>
      </c>
      <c r="AMN50" s="363" t="s">
        <v>153</v>
      </c>
      <c r="AMO50" s="363"/>
      <c r="AMP50" s="363"/>
      <c r="AMQ50" s="364" t="s">
        <v>140</v>
      </c>
      <c r="AMR50" s="365">
        <v>0.5</v>
      </c>
      <c r="AMS50" s="366" t="e">
        <f>10/AMO48</f>
        <v>#DIV/0!</v>
      </c>
      <c r="AMT50" s="367">
        <v>15.38</v>
      </c>
      <c r="AMU50" s="367" t="e">
        <f>AMR50*AMS50*AMT50</f>
        <v>#DIV/0!</v>
      </c>
      <c r="AMV50" s="363" t="s">
        <v>153</v>
      </c>
      <c r="AMW50" s="363"/>
      <c r="AMX50" s="363"/>
      <c r="AMY50" s="364" t="s">
        <v>140</v>
      </c>
      <c r="AMZ50" s="365">
        <v>0.5</v>
      </c>
      <c r="ANA50" s="366" t="e">
        <f>10/AMW48</f>
        <v>#DIV/0!</v>
      </c>
      <c r="ANB50" s="367">
        <v>15.38</v>
      </c>
      <c r="ANC50" s="367" t="e">
        <f>AMZ50*ANA50*ANB50</f>
        <v>#DIV/0!</v>
      </c>
      <c r="AND50" s="363" t="s">
        <v>153</v>
      </c>
      <c r="ANE50" s="363"/>
      <c r="ANF50" s="363"/>
      <c r="ANG50" s="364" t="s">
        <v>140</v>
      </c>
      <c r="ANH50" s="365">
        <v>0.5</v>
      </c>
      <c r="ANI50" s="366" t="e">
        <f>10/ANE48</f>
        <v>#DIV/0!</v>
      </c>
      <c r="ANJ50" s="367">
        <v>15.38</v>
      </c>
      <c r="ANK50" s="367" t="e">
        <f>ANH50*ANI50*ANJ50</f>
        <v>#DIV/0!</v>
      </c>
      <c r="ANL50" s="363" t="s">
        <v>153</v>
      </c>
      <c r="ANM50" s="363"/>
      <c r="ANN50" s="363"/>
      <c r="ANO50" s="364" t="s">
        <v>140</v>
      </c>
      <c r="ANP50" s="365">
        <v>0.5</v>
      </c>
      <c r="ANQ50" s="366" t="e">
        <f>10/ANM48</f>
        <v>#DIV/0!</v>
      </c>
      <c r="ANR50" s="367">
        <v>15.38</v>
      </c>
      <c r="ANS50" s="367" t="e">
        <f>ANP50*ANQ50*ANR50</f>
        <v>#DIV/0!</v>
      </c>
      <c r="ANT50" s="363" t="s">
        <v>153</v>
      </c>
      <c r="ANU50" s="363"/>
      <c r="ANV50" s="363"/>
      <c r="ANW50" s="364" t="s">
        <v>140</v>
      </c>
      <c r="ANX50" s="365">
        <v>0.5</v>
      </c>
      <c r="ANY50" s="366" t="e">
        <f>10/ANU48</f>
        <v>#DIV/0!</v>
      </c>
      <c r="ANZ50" s="367">
        <v>15.38</v>
      </c>
      <c r="AOA50" s="367" t="e">
        <f>ANX50*ANY50*ANZ50</f>
        <v>#DIV/0!</v>
      </c>
      <c r="AOB50" s="363" t="s">
        <v>153</v>
      </c>
      <c r="AOC50" s="363"/>
      <c r="AOD50" s="363"/>
      <c r="AOE50" s="364" t="s">
        <v>140</v>
      </c>
      <c r="AOF50" s="365">
        <v>0.5</v>
      </c>
      <c r="AOG50" s="366" t="e">
        <f>10/AOC48</f>
        <v>#DIV/0!</v>
      </c>
      <c r="AOH50" s="367">
        <v>15.38</v>
      </c>
      <c r="AOI50" s="367" t="e">
        <f>AOF50*AOG50*AOH50</f>
        <v>#DIV/0!</v>
      </c>
      <c r="AOJ50" s="363" t="s">
        <v>153</v>
      </c>
      <c r="AOK50" s="363"/>
      <c r="AOL50" s="363"/>
      <c r="AOM50" s="364" t="s">
        <v>140</v>
      </c>
      <c r="AON50" s="365">
        <v>0.5</v>
      </c>
      <c r="AOO50" s="366" t="e">
        <f>10/AOK48</f>
        <v>#DIV/0!</v>
      </c>
      <c r="AOP50" s="367">
        <v>15.38</v>
      </c>
      <c r="AOQ50" s="367" t="e">
        <f>AON50*AOO50*AOP50</f>
        <v>#DIV/0!</v>
      </c>
      <c r="AOR50" s="363" t="s">
        <v>153</v>
      </c>
      <c r="AOS50" s="363"/>
      <c r="AOT50" s="363"/>
      <c r="AOU50" s="364" t="s">
        <v>140</v>
      </c>
      <c r="AOV50" s="365">
        <v>0.5</v>
      </c>
      <c r="AOW50" s="366" t="e">
        <f>10/AOS48</f>
        <v>#DIV/0!</v>
      </c>
      <c r="AOX50" s="367">
        <v>15.38</v>
      </c>
      <c r="AOY50" s="367" t="e">
        <f>AOV50*AOW50*AOX50</f>
        <v>#DIV/0!</v>
      </c>
      <c r="AOZ50" s="363" t="s">
        <v>153</v>
      </c>
      <c r="APA50" s="363"/>
      <c r="APB50" s="363"/>
      <c r="APC50" s="364" t="s">
        <v>140</v>
      </c>
      <c r="APD50" s="365">
        <v>0.5</v>
      </c>
      <c r="APE50" s="366" t="e">
        <f>10/APA48</f>
        <v>#DIV/0!</v>
      </c>
      <c r="APF50" s="367">
        <v>15.38</v>
      </c>
      <c r="APG50" s="367" t="e">
        <f>APD50*APE50*APF50</f>
        <v>#DIV/0!</v>
      </c>
      <c r="APH50" s="363" t="s">
        <v>153</v>
      </c>
      <c r="API50" s="363"/>
      <c r="APJ50" s="363"/>
      <c r="APK50" s="364" t="s">
        <v>140</v>
      </c>
      <c r="APL50" s="365">
        <v>0.5</v>
      </c>
      <c r="APM50" s="366" t="e">
        <f>10/API48</f>
        <v>#DIV/0!</v>
      </c>
      <c r="APN50" s="367">
        <v>15.38</v>
      </c>
      <c r="APO50" s="367" t="e">
        <f>APL50*APM50*APN50</f>
        <v>#DIV/0!</v>
      </c>
      <c r="APP50" s="363" t="s">
        <v>153</v>
      </c>
      <c r="APQ50" s="363"/>
      <c r="APR50" s="363"/>
      <c r="APS50" s="364" t="s">
        <v>140</v>
      </c>
      <c r="APT50" s="365">
        <v>0.5</v>
      </c>
      <c r="APU50" s="366" t="e">
        <f>10/APQ48</f>
        <v>#DIV/0!</v>
      </c>
      <c r="APV50" s="367">
        <v>15.38</v>
      </c>
      <c r="APW50" s="367" t="e">
        <f>APT50*APU50*APV50</f>
        <v>#DIV/0!</v>
      </c>
      <c r="APX50" s="363" t="s">
        <v>153</v>
      </c>
      <c r="APY50" s="363"/>
      <c r="APZ50" s="363"/>
      <c r="AQA50" s="364" t="s">
        <v>140</v>
      </c>
      <c r="AQB50" s="365">
        <v>0.5</v>
      </c>
      <c r="AQC50" s="366" t="e">
        <f>10/APY48</f>
        <v>#DIV/0!</v>
      </c>
      <c r="AQD50" s="367">
        <v>15.38</v>
      </c>
      <c r="AQE50" s="367" t="e">
        <f>AQB50*AQC50*AQD50</f>
        <v>#DIV/0!</v>
      </c>
      <c r="AQF50" s="363" t="s">
        <v>153</v>
      </c>
      <c r="AQG50" s="363"/>
      <c r="AQH50" s="363"/>
      <c r="AQI50" s="364" t="s">
        <v>140</v>
      </c>
      <c r="AQJ50" s="365">
        <v>0.5</v>
      </c>
      <c r="AQK50" s="366" t="e">
        <f>10/AQG48</f>
        <v>#DIV/0!</v>
      </c>
      <c r="AQL50" s="367">
        <v>15.38</v>
      </c>
      <c r="AQM50" s="367" t="e">
        <f>AQJ50*AQK50*AQL50</f>
        <v>#DIV/0!</v>
      </c>
      <c r="AQN50" s="363" t="s">
        <v>153</v>
      </c>
      <c r="AQO50" s="363"/>
      <c r="AQP50" s="363"/>
      <c r="AQQ50" s="364" t="s">
        <v>140</v>
      </c>
      <c r="AQR50" s="365">
        <v>0.5</v>
      </c>
      <c r="AQS50" s="366" t="e">
        <f>10/AQO48</f>
        <v>#DIV/0!</v>
      </c>
      <c r="AQT50" s="367">
        <v>15.38</v>
      </c>
      <c r="AQU50" s="367" t="e">
        <f>AQR50*AQS50*AQT50</f>
        <v>#DIV/0!</v>
      </c>
      <c r="AQV50" s="363" t="s">
        <v>153</v>
      </c>
      <c r="AQW50" s="363"/>
      <c r="AQX50" s="363"/>
      <c r="AQY50" s="364" t="s">
        <v>140</v>
      </c>
      <c r="AQZ50" s="365">
        <v>0.5</v>
      </c>
      <c r="ARA50" s="366" t="e">
        <f>10/AQW48</f>
        <v>#DIV/0!</v>
      </c>
      <c r="ARB50" s="367">
        <v>15.38</v>
      </c>
      <c r="ARC50" s="367" t="e">
        <f>AQZ50*ARA50*ARB50</f>
        <v>#DIV/0!</v>
      </c>
      <c r="ARD50" s="363" t="s">
        <v>153</v>
      </c>
      <c r="ARE50" s="363"/>
      <c r="ARF50" s="363"/>
      <c r="ARG50" s="364" t="s">
        <v>140</v>
      </c>
      <c r="ARH50" s="365">
        <v>0.5</v>
      </c>
      <c r="ARI50" s="366" t="e">
        <f>10/ARE48</f>
        <v>#DIV/0!</v>
      </c>
      <c r="ARJ50" s="367">
        <v>15.38</v>
      </c>
      <c r="ARK50" s="367" t="e">
        <f>ARH50*ARI50*ARJ50</f>
        <v>#DIV/0!</v>
      </c>
      <c r="ARL50" s="363" t="s">
        <v>153</v>
      </c>
      <c r="ARM50" s="363"/>
      <c r="ARN50" s="363"/>
      <c r="ARO50" s="364" t="s">
        <v>140</v>
      </c>
      <c r="ARP50" s="365">
        <v>0.5</v>
      </c>
      <c r="ARQ50" s="366" t="e">
        <f>10/ARM48</f>
        <v>#DIV/0!</v>
      </c>
      <c r="ARR50" s="367">
        <v>15.38</v>
      </c>
      <c r="ARS50" s="367" t="e">
        <f>ARP50*ARQ50*ARR50</f>
        <v>#DIV/0!</v>
      </c>
      <c r="ART50" s="363" t="s">
        <v>153</v>
      </c>
      <c r="ARU50" s="363"/>
      <c r="ARV50" s="363"/>
      <c r="ARW50" s="364" t="s">
        <v>140</v>
      </c>
      <c r="ARX50" s="365">
        <v>0.5</v>
      </c>
      <c r="ARY50" s="366" t="e">
        <f>10/ARU48</f>
        <v>#DIV/0!</v>
      </c>
      <c r="ARZ50" s="367">
        <v>15.38</v>
      </c>
      <c r="ASA50" s="367" t="e">
        <f>ARX50*ARY50*ARZ50</f>
        <v>#DIV/0!</v>
      </c>
      <c r="ASB50" s="363" t="s">
        <v>153</v>
      </c>
      <c r="ASC50" s="363"/>
      <c r="ASD50" s="363"/>
      <c r="ASE50" s="364" t="s">
        <v>140</v>
      </c>
      <c r="ASF50" s="365">
        <v>0.5</v>
      </c>
      <c r="ASG50" s="366" t="e">
        <f>10/ASC48</f>
        <v>#DIV/0!</v>
      </c>
      <c r="ASH50" s="367">
        <v>15.38</v>
      </c>
      <c r="ASI50" s="367" t="e">
        <f>ASF50*ASG50*ASH50</f>
        <v>#DIV/0!</v>
      </c>
      <c r="ASJ50" s="363" t="s">
        <v>153</v>
      </c>
      <c r="ASK50" s="363"/>
      <c r="ASL50" s="363"/>
      <c r="ASM50" s="364" t="s">
        <v>140</v>
      </c>
      <c r="ASN50" s="365">
        <v>0.5</v>
      </c>
      <c r="ASO50" s="366" t="e">
        <f>10/ASK48</f>
        <v>#DIV/0!</v>
      </c>
      <c r="ASP50" s="367">
        <v>15.38</v>
      </c>
      <c r="ASQ50" s="367" t="e">
        <f>ASN50*ASO50*ASP50</f>
        <v>#DIV/0!</v>
      </c>
      <c r="ASR50" s="363" t="s">
        <v>153</v>
      </c>
      <c r="ASS50" s="363"/>
      <c r="AST50" s="363"/>
      <c r="ASU50" s="364" t="s">
        <v>140</v>
      </c>
      <c r="ASV50" s="365">
        <v>0.5</v>
      </c>
      <c r="ASW50" s="366" t="e">
        <f>10/ASS48</f>
        <v>#DIV/0!</v>
      </c>
      <c r="ASX50" s="367">
        <v>15.38</v>
      </c>
      <c r="ASY50" s="367" t="e">
        <f>ASV50*ASW50*ASX50</f>
        <v>#DIV/0!</v>
      </c>
      <c r="ASZ50" s="363" t="s">
        <v>153</v>
      </c>
      <c r="ATA50" s="363"/>
      <c r="ATB50" s="363"/>
      <c r="ATC50" s="364" t="s">
        <v>140</v>
      </c>
      <c r="ATD50" s="365">
        <v>0.5</v>
      </c>
      <c r="ATE50" s="366" t="e">
        <f>10/ATA48</f>
        <v>#DIV/0!</v>
      </c>
      <c r="ATF50" s="367">
        <v>15.38</v>
      </c>
      <c r="ATG50" s="367" t="e">
        <f>ATD50*ATE50*ATF50</f>
        <v>#DIV/0!</v>
      </c>
      <c r="ATH50" s="363" t="s">
        <v>153</v>
      </c>
      <c r="ATI50" s="363"/>
      <c r="ATJ50" s="363"/>
      <c r="ATK50" s="364" t="s">
        <v>140</v>
      </c>
      <c r="ATL50" s="365">
        <v>0.5</v>
      </c>
      <c r="ATM50" s="366" t="e">
        <f>10/ATI48</f>
        <v>#DIV/0!</v>
      </c>
      <c r="ATN50" s="367">
        <v>15.38</v>
      </c>
      <c r="ATO50" s="367" t="e">
        <f>ATL50*ATM50*ATN50</f>
        <v>#DIV/0!</v>
      </c>
      <c r="ATP50" s="363" t="s">
        <v>153</v>
      </c>
      <c r="ATQ50" s="363"/>
      <c r="ATR50" s="363"/>
      <c r="ATS50" s="364" t="s">
        <v>140</v>
      </c>
      <c r="ATT50" s="365">
        <v>0.5</v>
      </c>
      <c r="ATU50" s="366" t="e">
        <f>10/ATQ48</f>
        <v>#DIV/0!</v>
      </c>
      <c r="ATV50" s="367">
        <v>15.38</v>
      </c>
      <c r="ATW50" s="367" t="e">
        <f>ATT50*ATU50*ATV50</f>
        <v>#DIV/0!</v>
      </c>
      <c r="ATX50" s="363" t="s">
        <v>153</v>
      </c>
      <c r="ATY50" s="363"/>
      <c r="ATZ50" s="363"/>
      <c r="AUA50" s="364" t="s">
        <v>140</v>
      </c>
      <c r="AUB50" s="365">
        <v>0.5</v>
      </c>
      <c r="AUC50" s="366" t="e">
        <f>10/ATY48</f>
        <v>#DIV/0!</v>
      </c>
      <c r="AUD50" s="367">
        <v>15.38</v>
      </c>
      <c r="AUE50" s="367" t="e">
        <f>AUB50*AUC50*AUD50</f>
        <v>#DIV/0!</v>
      </c>
      <c r="AUF50" s="363" t="s">
        <v>153</v>
      </c>
      <c r="AUG50" s="363"/>
      <c r="AUH50" s="363"/>
      <c r="AUI50" s="364" t="s">
        <v>140</v>
      </c>
      <c r="AUJ50" s="365">
        <v>0.5</v>
      </c>
      <c r="AUK50" s="366" t="e">
        <f>10/AUG48</f>
        <v>#DIV/0!</v>
      </c>
      <c r="AUL50" s="367">
        <v>15.38</v>
      </c>
      <c r="AUM50" s="367" t="e">
        <f>AUJ50*AUK50*AUL50</f>
        <v>#DIV/0!</v>
      </c>
      <c r="AUN50" s="363" t="s">
        <v>153</v>
      </c>
      <c r="AUO50" s="363"/>
      <c r="AUP50" s="363"/>
      <c r="AUQ50" s="364" t="s">
        <v>140</v>
      </c>
      <c r="AUR50" s="365">
        <v>0.5</v>
      </c>
      <c r="AUS50" s="366" t="e">
        <f>10/AUO48</f>
        <v>#DIV/0!</v>
      </c>
      <c r="AUT50" s="367">
        <v>15.38</v>
      </c>
      <c r="AUU50" s="367" t="e">
        <f>AUR50*AUS50*AUT50</f>
        <v>#DIV/0!</v>
      </c>
      <c r="AUV50" s="363" t="s">
        <v>153</v>
      </c>
      <c r="AUW50" s="363"/>
      <c r="AUX50" s="363"/>
      <c r="AUY50" s="364" t="s">
        <v>140</v>
      </c>
      <c r="AUZ50" s="365">
        <v>0.5</v>
      </c>
      <c r="AVA50" s="366" t="e">
        <f>10/AUW48</f>
        <v>#DIV/0!</v>
      </c>
      <c r="AVB50" s="367">
        <v>15.38</v>
      </c>
      <c r="AVC50" s="367" t="e">
        <f>AUZ50*AVA50*AVB50</f>
        <v>#DIV/0!</v>
      </c>
      <c r="AVD50" s="363" t="s">
        <v>153</v>
      </c>
      <c r="AVE50" s="363"/>
      <c r="AVF50" s="363"/>
      <c r="AVG50" s="364" t="s">
        <v>140</v>
      </c>
      <c r="AVH50" s="365">
        <v>0.5</v>
      </c>
      <c r="AVI50" s="366" t="e">
        <f>10/AVE48</f>
        <v>#DIV/0!</v>
      </c>
      <c r="AVJ50" s="367">
        <v>15.38</v>
      </c>
      <c r="AVK50" s="367" t="e">
        <f>AVH50*AVI50*AVJ50</f>
        <v>#DIV/0!</v>
      </c>
      <c r="AVL50" s="363" t="s">
        <v>153</v>
      </c>
      <c r="AVM50" s="363"/>
      <c r="AVN50" s="363"/>
      <c r="AVO50" s="364" t="s">
        <v>140</v>
      </c>
      <c r="AVP50" s="365">
        <v>0.5</v>
      </c>
      <c r="AVQ50" s="366" t="e">
        <f>10/AVM48</f>
        <v>#DIV/0!</v>
      </c>
      <c r="AVR50" s="367">
        <v>15.38</v>
      </c>
      <c r="AVS50" s="367" t="e">
        <f>AVP50*AVQ50*AVR50</f>
        <v>#DIV/0!</v>
      </c>
      <c r="AVT50" s="363" t="s">
        <v>153</v>
      </c>
      <c r="AVU50" s="363"/>
      <c r="AVV50" s="363"/>
      <c r="AVW50" s="364" t="s">
        <v>140</v>
      </c>
      <c r="AVX50" s="365">
        <v>0.5</v>
      </c>
      <c r="AVY50" s="366" t="e">
        <f>10/AVU48</f>
        <v>#DIV/0!</v>
      </c>
      <c r="AVZ50" s="367">
        <v>15.38</v>
      </c>
      <c r="AWA50" s="367" t="e">
        <f>AVX50*AVY50*AVZ50</f>
        <v>#DIV/0!</v>
      </c>
      <c r="AWB50" s="363" t="s">
        <v>153</v>
      </c>
      <c r="AWC50" s="363"/>
      <c r="AWD50" s="363"/>
      <c r="AWE50" s="364" t="s">
        <v>140</v>
      </c>
      <c r="AWF50" s="365">
        <v>0.5</v>
      </c>
      <c r="AWG50" s="366" t="e">
        <f>10/AWC48</f>
        <v>#DIV/0!</v>
      </c>
      <c r="AWH50" s="367">
        <v>15.38</v>
      </c>
      <c r="AWI50" s="367" t="e">
        <f>AWF50*AWG50*AWH50</f>
        <v>#DIV/0!</v>
      </c>
      <c r="AWJ50" s="363" t="s">
        <v>153</v>
      </c>
      <c r="AWK50" s="363"/>
      <c r="AWL50" s="363"/>
      <c r="AWM50" s="364" t="s">
        <v>140</v>
      </c>
      <c r="AWN50" s="365">
        <v>0.5</v>
      </c>
      <c r="AWO50" s="366" t="e">
        <f>10/AWK48</f>
        <v>#DIV/0!</v>
      </c>
      <c r="AWP50" s="367">
        <v>15.38</v>
      </c>
      <c r="AWQ50" s="367" t="e">
        <f>AWN50*AWO50*AWP50</f>
        <v>#DIV/0!</v>
      </c>
      <c r="AWR50" s="363" t="s">
        <v>153</v>
      </c>
      <c r="AWS50" s="363"/>
      <c r="AWT50" s="363"/>
      <c r="AWU50" s="364" t="s">
        <v>140</v>
      </c>
      <c r="AWV50" s="365">
        <v>0.5</v>
      </c>
      <c r="AWW50" s="366" t="e">
        <f>10/AWS48</f>
        <v>#DIV/0!</v>
      </c>
      <c r="AWX50" s="367">
        <v>15.38</v>
      </c>
      <c r="AWY50" s="367" t="e">
        <f>AWV50*AWW50*AWX50</f>
        <v>#DIV/0!</v>
      </c>
      <c r="AWZ50" s="363" t="s">
        <v>153</v>
      </c>
      <c r="AXA50" s="363"/>
      <c r="AXB50" s="363"/>
      <c r="AXC50" s="364" t="s">
        <v>140</v>
      </c>
      <c r="AXD50" s="365">
        <v>0.5</v>
      </c>
      <c r="AXE50" s="366" t="e">
        <f>10/AXA48</f>
        <v>#DIV/0!</v>
      </c>
      <c r="AXF50" s="367">
        <v>15.38</v>
      </c>
      <c r="AXG50" s="367" t="e">
        <f>AXD50*AXE50*AXF50</f>
        <v>#DIV/0!</v>
      </c>
      <c r="AXH50" s="363" t="s">
        <v>153</v>
      </c>
      <c r="AXI50" s="363"/>
      <c r="AXJ50" s="363"/>
      <c r="AXK50" s="364" t="s">
        <v>140</v>
      </c>
      <c r="AXL50" s="365">
        <v>0.5</v>
      </c>
      <c r="AXM50" s="366" t="e">
        <f>10/AXI48</f>
        <v>#DIV/0!</v>
      </c>
      <c r="AXN50" s="367">
        <v>15.38</v>
      </c>
      <c r="AXO50" s="367" t="e">
        <f>AXL50*AXM50*AXN50</f>
        <v>#DIV/0!</v>
      </c>
      <c r="AXP50" s="363" t="s">
        <v>153</v>
      </c>
      <c r="AXQ50" s="363"/>
      <c r="AXR50" s="363"/>
      <c r="AXS50" s="364" t="s">
        <v>140</v>
      </c>
      <c r="AXT50" s="365">
        <v>0.5</v>
      </c>
      <c r="AXU50" s="366" t="e">
        <f>10/AXQ48</f>
        <v>#DIV/0!</v>
      </c>
      <c r="AXV50" s="367">
        <v>15.38</v>
      </c>
      <c r="AXW50" s="367" t="e">
        <f>AXT50*AXU50*AXV50</f>
        <v>#DIV/0!</v>
      </c>
      <c r="AXX50" s="363" t="s">
        <v>153</v>
      </c>
      <c r="AXY50" s="363"/>
      <c r="AXZ50" s="363"/>
      <c r="AYA50" s="364" t="s">
        <v>140</v>
      </c>
      <c r="AYB50" s="365">
        <v>0.5</v>
      </c>
      <c r="AYC50" s="366" t="e">
        <f>10/AXY48</f>
        <v>#DIV/0!</v>
      </c>
      <c r="AYD50" s="367">
        <v>15.38</v>
      </c>
      <c r="AYE50" s="367" t="e">
        <f>AYB50*AYC50*AYD50</f>
        <v>#DIV/0!</v>
      </c>
      <c r="AYF50" s="363" t="s">
        <v>153</v>
      </c>
      <c r="AYG50" s="363"/>
      <c r="AYH50" s="363"/>
      <c r="AYI50" s="364" t="s">
        <v>140</v>
      </c>
      <c r="AYJ50" s="365">
        <v>0.5</v>
      </c>
      <c r="AYK50" s="366" t="e">
        <f>10/AYG48</f>
        <v>#DIV/0!</v>
      </c>
      <c r="AYL50" s="367">
        <v>15.38</v>
      </c>
      <c r="AYM50" s="367" t="e">
        <f>AYJ50*AYK50*AYL50</f>
        <v>#DIV/0!</v>
      </c>
      <c r="AYN50" s="363" t="s">
        <v>153</v>
      </c>
      <c r="AYO50" s="363"/>
      <c r="AYP50" s="363"/>
      <c r="AYQ50" s="364" t="s">
        <v>140</v>
      </c>
      <c r="AYR50" s="365">
        <v>0.5</v>
      </c>
      <c r="AYS50" s="366" t="e">
        <f>10/AYO48</f>
        <v>#DIV/0!</v>
      </c>
      <c r="AYT50" s="367">
        <v>15.38</v>
      </c>
      <c r="AYU50" s="367" t="e">
        <f>AYR50*AYS50*AYT50</f>
        <v>#DIV/0!</v>
      </c>
      <c r="AYV50" s="363" t="s">
        <v>153</v>
      </c>
      <c r="AYW50" s="363"/>
      <c r="AYX50" s="363"/>
      <c r="AYY50" s="364" t="s">
        <v>140</v>
      </c>
      <c r="AYZ50" s="365">
        <v>0.5</v>
      </c>
      <c r="AZA50" s="366" t="e">
        <f>10/AYW48</f>
        <v>#DIV/0!</v>
      </c>
      <c r="AZB50" s="367">
        <v>15.38</v>
      </c>
      <c r="AZC50" s="367" t="e">
        <f>AYZ50*AZA50*AZB50</f>
        <v>#DIV/0!</v>
      </c>
      <c r="AZD50" s="363" t="s">
        <v>153</v>
      </c>
      <c r="AZE50" s="363"/>
      <c r="AZF50" s="363"/>
      <c r="AZG50" s="364" t="s">
        <v>140</v>
      </c>
      <c r="AZH50" s="365">
        <v>0.5</v>
      </c>
      <c r="AZI50" s="366" t="e">
        <f>10/AZE48</f>
        <v>#DIV/0!</v>
      </c>
      <c r="AZJ50" s="367">
        <v>15.38</v>
      </c>
      <c r="AZK50" s="367" t="e">
        <f>AZH50*AZI50*AZJ50</f>
        <v>#DIV/0!</v>
      </c>
      <c r="AZL50" s="363" t="s">
        <v>153</v>
      </c>
      <c r="AZM50" s="363"/>
      <c r="AZN50" s="363"/>
      <c r="AZO50" s="364" t="s">
        <v>140</v>
      </c>
      <c r="AZP50" s="365">
        <v>0.5</v>
      </c>
      <c r="AZQ50" s="366" t="e">
        <f>10/AZM48</f>
        <v>#DIV/0!</v>
      </c>
      <c r="AZR50" s="367">
        <v>15.38</v>
      </c>
      <c r="AZS50" s="367" t="e">
        <f>AZP50*AZQ50*AZR50</f>
        <v>#DIV/0!</v>
      </c>
      <c r="AZT50" s="363" t="s">
        <v>153</v>
      </c>
      <c r="AZU50" s="363"/>
      <c r="AZV50" s="363"/>
      <c r="AZW50" s="364" t="s">
        <v>140</v>
      </c>
      <c r="AZX50" s="365">
        <v>0.5</v>
      </c>
      <c r="AZY50" s="366" t="e">
        <f>10/AZU48</f>
        <v>#DIV/0!</v>
      </c>
      <c r="AZZ50" s="367">
        <v>15.38</v>
      </c>
      <c r="BAA50" s="367" t="e">
        <f>AZX50*AZY50*AZZ50</f>
        <v>#DIV/0!</v>
      </c>
      <c r="BAB50" s="363" t="s">
        <v>153</v>
      </c>
      <c r="BAC50" s="363"/>
      <c r="BAD50" s="363"/>
      <c r="BAE50" s="364" t="s">
        <v>140</v>
      </c>
      <c r="BAF50" s="365">
        <v>0.5</v>
      </c>
      <c r="BAG50" s="366" t="e">
        <f>10/BAC48</f>
        <v>#DIV/0!</v>
      </c>
      <c r="BAH50" s="367">
        <v>15.38</v>
      </c>
      <c r="BAI50" s="367" t="e">
        <f>BAF50*BAG50*BAH50</f>
        <v>#DIV/0!</v>
      </c>
      <c r="BAJ50" s="363" t="s">
        <v>153</v>
      </c>
      <c r="BAK50" s="363"/>
      <c r="BAL50" s="363"/>
      <c r="BAM50" s="364" t="s">
        <v>140</v>
      </c>
      <c r="BAN50" s="365">
        <v>0.5</v>
      </c>
      <c r="BAO50" s="366" t="e">
        <f>10/BAK48</f>
        <v>#DIV/0!</v>
      </c>
      <c r="BAP50" s="367">
        <v>15.38</v>
      </c>
      <c r="BAQ50" s="367" t="e">
        <f>BAN50*BAO50*BAP50</f>
        <v>#DIV/0!</v>
      </c>
      <c r="BAR50" s="363" t="s">
        <v>153</v>
      </c>
      <c r="BAS50" s="363"/>
      <c r="BAT50" s="363"/>
      <c r="BAU50" s="364" t="s">
        <v>140</v>
      </c>
      <c r="BAV50" s="365">
        <v>0.5</v>
      </c>
      <c r="BAW50" s="366" t="e">
        <f>10/BAS48</f>
        <v>#DIV/0!</v>
      </c>
      <c r="BAX50" s="367">
        <v>15.38</v>
      </c>
      <c r="BAY50" s="367" t="e">
        <f>BAV50*BAW50*BAX50</f>
        <v>#DIV/0!</v>
      </c>
      <c r="BAZ50" s="363" t="s">
        <v>153</v>
      </c>
      <c r="BBA50" s="363"/>
      <c r="BBB50" s="363"/>
      <c r="BBC50" s="364" t="s">
        <v>140</v>
      </c>
      <c r="BBD50" s="365">
        <v>0.5</v>
      </c>
      <c r="BBE50" s="366" t="e">
        <f>10/BBA48</f>
        <v>#DIV/0!</v>
      </c>
      <c r="BBF50" s="367">
        <v>15.38</v>
      </c>
      <c r="BBG50" s="367" t="e">
        <f>BBD50*BBE50*BBF50</f>
        <v>#DIV/0!</v>
      </c>
      <c r="BBH50" s="363" t="s">
        <v>153</v>
      </c>
      <c r="BBI50" s="363"/>
      <c r="BBJ50" s="363"/>
      <c r="BBK50" s="364" t="s">
        <v>140</v>
      </c>
      <c r="BBL50" s="365">
        <v>0.5</v>
      </c>
      <c r="BBM50" s="366" t="e">
        <f>10/BBI48</f>
        <v>#DIV/0!</v>
      </c>
      <c r="BBN50" s="367">
        <v>15.38</v>
      </c>
      <c r="BBO50" s="367" t="e">
        <f>BBL50*BBM50*BBN50</f>
        <v>#DIV/0!</v>
      </c>
      <c r="BBP50" s="363" t="s">
        <v>153</v>
      </c>
      <c r="BBQ50" s="363"/>
      <c r="BBR50" s="363"/>
      <c r="BBS50" s="364" t="s">
        <v>140</v>
      </c>
      <c r="BBT50" s="365">
        <v>0.5</v>
      </c>
      <c r="BBU50" s="366" t="e">
        <f>10/BBQ48</f>
        <v>#DIV/0!</v>
      </c>
      <c r="BBV50" s="367">
        <v>15.38</v>
      </c>
      <c r="BBW50" s="367" t="e">
        <f>BBT50*BBU50*BBV50</f>
        <v>#DIV/0!</v>
      </c>
      <c r="BBX50" s="363" t="s">
        <v>153</v>
      </c>
      <c r="BBY50" s="363"/>
      <c r="BBZ50" s="363"/>
      <c r="BCA50" s="364" t="s">
        <v>140</v>
      </c>
      <c r="BCB50" s="365">
        <v>0.5</v>
      </c>
      <c r="BCC50" s="366" t="e">
        <f>10/BBY48</f>
        <v>#DIV/0!</v>
      </c>
      <c r="BCD50" s="367">
        <v>15.38</v>
      </c>
      <c r="BCE50" s="367" t="e">
        <f>BCB50*BCC50*BCD50</f>
        <v>#DIV/0!</v>
      </c>
      <c r="BCF50" s="363" t="s">
        <v>153</v>
      </c>
      <c r="BCG50" s="363"/>
      <c r="BCH50" s="363"/>
      <c r="BCI50" s="364" t="s">
        <v>140</v>
      </c>
      <c r="BCJ50" s="365">
        <v>0.5</v>
      </c>
      <c r="BCK50" s="366" t="e">
        <f>10/BCG48</f>
        <v>#DIV/0!</v>
      </c>
      <c r="BCL50" s="367">
        <v>15.38</v>
      </c>
      <c r="BCM50" s="367" t="e">
        <f>BCJ50*BCK50*BCL50</f>
        <v>#DIV/0!</v>
      </c>
      <c r="BCN50" s="363" t="s">
        <v>153</v>
      </c>
      <c r="BCO50" s="363"/>
      <c r="BCP50" s="363"/>
      <c r="BCQ50" s="364" t="s">
        <v>140</v>
      </c>
      <c r="BCR50" s="365">
        <v>0.5</v>
      </c>
      <c r="BCS50" s="366" t="e">
        <f>10/BCO48</f>
        <v>#DIV/0!</v>
      </c>
      <c r="BCT50" s="367">
        <v>15.38</v>
      </c>
      <c r="BCU50" s="367" t="e">
        <f>BCR50*BCS50*BCT50</f>
        <v>#DIV/0!</v>
      </c>
      <c r="BCV50" s="363" t="s">
        <v>153</v>
      </c>
      <c r="BCW50" s="363"/>
      <c r="BCX50" s="363"/>
      <c r="BCY50" s="364" t="s">
        <v>140</v>
      </c>
      <c r="BCZ50" s="365">
        <v>0.5</v>
      </c>
      <c r="BDA50" s="366" t="e">
        <f>10/BCW48</f>
        <v>#DIV/0!</v>
      </c>
      <c r="BDB50" s="367">
        <v>15.38</v>
      </c>
      <c r="BDC50" s="367" t="e">
        <f>BCZ50*BDA50*BDB50</f>
        <v>#DIV/0!</v>
      </c>
      <c r="BDD50" s="363" t="s">
        <v>153</v>
      </c>
      <c r="BDE50" s="363"/>
      <c r="BDF50" s="363"/>
      <c r="BDG50" s="364" t="s">
        <v>140</v>
      </c>
      <c r="BDH50" s="365">
        <v>0.5</v>
      </c>
      <c r="BDI50" s="366" t="e">
        <f>10/BDE48</f>
        <v>#DIV/0!</v>
      </c>
      <c r="BDJ50" s="367">
        <v>15.38</v>
      </c>
      <c r="BDK50" s="367" t="e">
        <f>BDH50*BDI50*BDJ50</f>
        <v>#DIV/0!</v>
      </c>
      <c r="BDL50" s="363" t="s">
        <v>153</v>
      </c>
      <c r="BDM50" s="363"/>
      <c r="BDN50" s="363"/>
      <c r="BDO50" s="364" t="s">
        <v>140</v>
      </c>
      <c r="BDP50" s="365">
        <v>0.5</v>
      </c>
      <c r="BDQ50" s="366" t="e">
        <f>10/BDM48</f>
        <v>#DIV/0!</v>
      </c>
      <c r="BDR50" s="367">
        <v>15.38</v>
      </c>
      <c r="BDS50" s="367" t="e">
        <f>BDP50*BDQ50*BDR50</f>
        <v>#DIV/0!</v>
      </c>
      <c r="BDT50" s="363" t="s">
        <v>153</v>
      </c>
      <c r="BDU50" s="363"/>
      <c r="BDV50" s="363"/>
      <c r="BDW50" s="364" t="s">
        <v>140</v>
      </c>
      <c r="BDX50" s="365">
        <v>0.5</v>
      </c>
      <c r="BDY50" s="366" t="e">
        <f>10/BDU48</f>
        <v>#DIV/0!</v>
      </c>
      <c r="BDZ50" s="367">
        <v>15.38</v>
      </c>
      <c r="BEA50" s="367" t="e">
        <f>BDX50*BDY50*BDZ50</f>
        <v>#DIV/0!</v>
      </c>
      <c r="BEB50" s="363" t="s">
        <v>153</v>
      </c>
      <c r="BEC50" s="363"/>
      <c r="BED50" s="363"/>
      <c r="BEE50" s="364" t="s">
        <v>140</v>
      </c>
      <c r="BEF50" s="365">
        <v>0.5</v>
      </c>
      <c r="BEG50" s="366" t="e">
        <f>10/BEC48</f>
        <v>#DIV/0!</v>
      </c>
      <c r="BEH50" s="367">
        <v>15.38</v>
      </c>
      <c r="BEI50" s="367" t="e">
        <f>BEF50*BEG50*BEH50</f>
        <v>#DIV/0!</v>
      </c>
      <c r="BEJ50" s="363" t="s">
        <v>153</v>
      </c>
      <c r="BEK50" s="363"/>
      <c r="BEL50" s="363"/>
      <c r="BEM50" s="364" t="s">
        <v>140</v>
      </c>
      <c r="BEN50" s="365">
        <v>0.5</v>
      </c>
      <c r="BEO50" s="366" t="e">
        <f>10/BEK48</f>
        <v>#DIV/0!</v>
      </c>
      <c r="BEP50" s="367">
        <v>15.38</v>
      </c>
      <c r="BEQ50" s="367" t="e">
        <f>BEN50*BEO50*BEP50</f>
        <v>#DIV/0!</v>
      </c>
      <c r="BER50" s="363" t="s">
        <v>153</v>
      </c>
      <c r="BES50" s="363"/>
      <c r="BET50" s="363"/>
      <c r="BEU50" s="364" t="s">
        <v>140</v>
      </c>
      <c r="BEV50" s="365">
        <v>0.5</v>
      </c>
      <c r="BEW50" s="366" t="e">
        <f>10/BES48</f>
        <v>#DIV/0!</v>
      </c>
      <c r="BEX50" s="367">
        <v>15.38</v>
      </c>
      <c r="BEY50" s="367" t="e">
        <f>BEV50*BEW50*BEX50</f>
        <v>#DIV/0!</v>
      </c>
      <c r="BEZ50" s="363" t="s">
        <v>153</v>
      </c>
      <c r="BFA50" s="363"/>
      <c r="BFB50" s="363"/>
      <c r="BFC50" s="364" t="s">
        <v>140</v>
      </c>
      <c r="BFD50" s="365">
        <v>0.5</v>
      </c>
      <c r="BFE50" s="366" t="e">
        <f>10/BFA48</f>
        <v>#DIV/0!</v>
      </c>
      <c r="BFF50" s="367">
        <v>15.38</v>
      </c>
      <c r="BFG50" s="367" t="e">
        <f>BFD50*BFE50*BFF50</f>
        <v>#DIV/0!</v>
      </c>
      <c r="BFH50" s="363" t="s">
        <v>153</v>
      </c>
      <c r="BFI50" s="363"/>
      <c r="BFJ50" s="363"/>
      <c r="BFK50" s="364" t="s">
        <v>140</v>
      </c>
      <c r="BFL50" s="365">
        <v>0.5</v>
      </c>
      <c r="BFM50" s="366" t="e">
        <f>10/BFI48</f>
        <v>#DIV/0!</v>
      </c>
      <c r="BFN50" s="367">
        <v>15.38</v>
      </c>
      <c r="BFO50" s="367" t="e">
        <f>BFL50*BFM50*BFN50</f>
        <v>#DIV/0!</v>
      </c>
      <c r="BFP50" s="363" t="s">
        <v>153</v>
      </c>
      <c r="BFQ50" s="363"/>
      <c r="BFR50" s="363"/>
      <c r="BFS50" s="364" t="s">
        <v>140</v>
      </c>
      <c r="BFT50" s="365">
        <v>0.5</v>
      </c>
      <c r="BFU50" s="366" t="e">
        <f>10/BFQ48</f>
        <v>#DIV/0!</v>
      </c>
      <c r="BFV50" s="367">
        <v>15.38</v>
      </c>
      <c r="BFW50" s="367" t="e">
        <f>BFT50*BFU50*BFV50</f>
        <v>#DIV/0!</v>
      </c>
      <c r="BFX50" s="363" t="s">
        <v>153</v>
      </c>
      <c r="BFY50" s="363"/>
      <c r="BFZ50" s="363"/>
      <c r="BGA50" s="364" t="s">
        <v>140</v>
      </c>
      <c r="BGB50" s="365">
        <v>0.5</v>
      </c>
      <c r="BGC50" s="366" t="e">
        <f>10/BFY48</f>
        <v>#DIV/0!</v>
      </c>
      <c r="BGD50" s="367">
        <v>15.38</v>
      </c>
      <c r="BGE50" s="367" t="e">
        <f>BGB50*BGC50*BGD50</f>
        <v>#DIV/0!</v>
      </c>
      <c r="BGF50" s="363" t="s">
        <v>153</v>
      </c>
      <c r="BGG50" s="363"/>
      <c r="BGH50" s="363"/>
      <c r="BGI50" s="364" t="s">
        <v>140</v>
      </c>
      <c r="BGJ50" s="365">
        <v>0.5</v>
      </c>
      <c r="BGK50" s="366" t="e">
        <f>10/BGG48</f>
        <v>#DIV/0!</v>
      </c>
      <c r="BGL50" s="367">
        <v>15.38</v>
      </c>
      <c r="BGM50" s="367" t="e">
        <f>BGJ50*BGK50*BGL50</f>
        <v>#DIV/0!</v>
      </c>
      <c r="BGN50" s="363" t="s">
        <v>153</v>
      </c>
      <c r="BGO50" s="363"/>
      <c r="BGP50" s="363"/>
      <c r="BGQ50" s="364" t="s">
        <v>140</v>
      </c>
      <c r="BGR50" s="365">
        <v>0.5</v>
      </c>
      <c r="BGS50" s="366" t="e">
        <f>10/BGO48</f>
        <v>#DIV/0!</v>
      </c>
      <c r="BGT50" s="367">
        <v>15.38</v>
      </c>
      <c r="BGU50" s="367" t="e">
        <f>BGR50*BGS50*BGT50</f>
        <v>#DIV/0!</v>
      </c>
      <c r="BGV50" s="363" t="s">
        <v>153</v>
      </c>
      <c r="BGW50" s="363"/>
      <c r="BGX50" s="363"/>
      <c r="BGY50" s="364" t="s">
        <v>140</v>
      </c>
      <c r="BGZ50" s="365">
        <v>0.5</v>
      </c>
      <c r="BHA50" s="366" t="e">
        <f>10/BGW48</f>
        <v>#DIV/0!</v>
      </c>
      <c r="BHB50" s="367">
        <v>15.38</v>
      </c>
      <c r="BHC50" s="367" t="e">
        <f>BGZ50*BHA50*BHB50</f>
        <v>#DIV/0!</v>
      </c>
      <c r="BHD50" s="363" t="s">
        <v>153</v>
      </c>
      <c r="BHE50" s="363"/>
      <c r="BHF50" s="363"/>
      <c r="BHG50" s="364" t="s">
        <v>140</v>
      </c>
      <c r="BHH50" s="365">
        <v>0.5</v>
      </c>
      <c r="BHI50" s="366" t="e">
        <f>10/BHE48</f>
        <v>#DIV/0!</v>
      </c>
      <c r="BHJ50" s="367">
        <v>15.38</v>
      </c>
      <c r="BHK50" s="367" t="e">
        <f>BHH50*BHI50*BHJ50</f>
        <v>#DIV/0!</v>
      </c>
      <c r="BHL50" s="363" t="s">
        <v>153</v>
      </c>
      <c r="BHM50" s="363"/>
      <c r="BHN50" s="363"/>
      <c r="BHO50" s="364" t="s">
        <v>140</v>
      </c>
      <c r="BHP50" s="365">
        <v>0.5</v>
      </c>
      <c r="BHQ50" s="366" t="e">
        <f>10/BHM48</f>
        <v>#DIV/0!</v>
      </c>
      <c r="BHR50" s="367">
        <v>15.38</v>
      </c>
      <c r="BHS50" s="367" t="e">
        <f>BHP50*BHQ50*BHR50</f>
        <v>#DIV/0!</v>
      </c>
      <c r="BHT50" s="363" t="s">
        <v>153</v>
      </c>
      <c r="BHU50" s="363"/>
      <c r="BHV50" s="363"/>
      <c r="BHW50" s="364" t="s">
        <v>140</v>
      </c>
      <c r="BHX50" s="365">
        <v>0.5</v>
      </c>
      <c r="BHY50" s="366" t="e">
        <f>10/BHU48</f>
        <v>#DIV/0!</v>
      </c>
      <c r="BHZ50" s="367">
        <v>15.38</v>
      </c>
      <c r="BIA50" s="367" t="e">
        <f>BHX50*BHY50*BHZ50</f>
        <v>#DIV/0!</v>
      </c>
      <c r="BIB50" s="363" t="s">
        <v>153</v>
      </c>
      <c r="BIC50" s="363"/>
      <c r="BID50" s="363"/>
      <c r="BIE50" s="364" t="s">
        <v>140</v>
      </c>
      <c r="BIF50" s="365">
        <v>0.5</v>
      </c>
      <c r="BIG50" s="366" t="e">
        <f>10/BIC48</f>
        <v>#DIV/0!</v>
      </c>
      <c r="BIH50" s="367">
        <v>15.38</v>
      </c>
      <c r="BII50" s="367" t="e">
        <f>BIF50*BIG50*BIH50</f>
        <v>#DIV/0!</v>
      </c>
      <c r="BIJ50" s="363" t="s">
        <v>153</v>
      </c>
      <c r="BIK50" s="363"/>
      <c r="BIL50" s="363"/>
      <c r="BIM50" s="364" t="s">
        <v>140</v>
      </c>
      <c r="BIN50" s="365">
        <v>0.5</v>
      </c>
      <c r="BIO50" s="366" t="e">
        <f>10/BIK48</f>
        <v>#DIV/0!</v>
      </c>
      <c r="BIP50" s="367">
        <v>15.38</v>
      </c>
      <c r="BIQ50" s="367" t="e">
        <f>BIN50*BIO50*BIP50</f>
        <v>#DIV/0!</v>
      </c>
      <c r="BIR50" s="363" t="s">
        <v>153</v>
      </c>
      <c r="BIS50" s="363"/>
      <c r="BIT50" s="363"/>
      <c r="BIU50" s="364" t="s">
        <v>140</v>
      </c>
      <c r="BIV50" s="365">
        <v>0.5</v>
      </c>
      <c r="BIW50" s="366" t="e">
        <f>10/BIS48</f>
        <v>#DIV/0!</v>
      </c>
      <c r="BIX50" s="367">
        <v>15.38</v>
      </c>
      <c r="BIY50" s="367" t="e">
        <f>BIV50*BIW50*BIX50</f>
        <v>#DIV/0!</v>
      </c>
      <c r="BIZ50" s="363" t="s">
        <v>153</v>
      </c>
      <c r="BJA50" s="363"/>
      <c r="BJB50" s="363"/>
      <c r="BJC50" s="364" t="s">
        <v>140</v>
      </c>
      <c r="BJD50" s="365">
        <v>0.5</v>
      </c>
      <c r="BJE50" s="366" t="e">
        <f>10/BJA48</f>
        <v>#DIV/0!</v>
      </c>
      <c r="BJF50" s="367">
        <v>15.38</v>
      </c>
      <c r="BJG50" s="367" t="e">
        <f>BJD50*BJE50*BJF50</f>
        <v>#DIV/0!</v>
      </c>
      <c r="BJH50" s="363" t="s">
        <v>153</v>
      </c>
      <c r="BJI50" s="363"/>
      <c r="BJJ50" s="363"/>
      <c r="BJK50" s="364" t="s">
        <v>140</v>
      </c>
      <c r="BJL50" s="365">
        <v>0.5</v>
      </c>
      <c r="BJM50" s="366" t="e">
        <f>10/BJI48</f>
        <v>#DIV/0!</v>
      </c>
      <c r="BJN50" s="367">
        <v>15.38</v>
      </c>
      <c r="BJO50" s="367" t="e">
        <f>BJL50*BJM50*BJN50</f>
        <v>#DIV/0!</v>
      </c>
      <c r="BJP50" s="363" t="s">
        <v>153</v>
      </c>
      <c r="BJQ50" s="363"/>
      <c r="BJR50" s="363"/>
      <c r="BJS50" s="364" t="s">
        <v>140</v>
      </c>
      <c r="BJT50" s="365">
        <v>0.5</v>
      </c>
      <c r="BJU50" s="366" t="e">
        <f>10/BJQ48</f>
        <v>#DIV/0!</v>
      </c>
      <c r="BJV50" s="367">
        <v>15.38</v>
      </c>
      <c r="BJW50" s="367" t="e">
        <f>BJT50*BJU50*BJV50</f>
        <v>#DIV/0!</v>
      </c>
      <c r="BJX50" s="363" t="s">
        <v>153</v>
      </c>
      <c r="BJY50" s="363"/>
      <c r="BJZ50" s="363"/>
      <c r="BKA50" s="364" t="s">
        <v>140</v>
      </c>
      <c r="BKB50" s="365">
        <v>0.5</v>
      </c>
      <c r="BKC50" s="366" t="e">
        <f>10/BJY48</f>
        <v>#DIV/0!</v>
      </c>
      <c r="BKD50" s="367">
        <v>15.38</v>
      </c>
      <c r="BKE50" s="367" t="e">
        <f>BKB50*BKC50*BKD50</f>
        <v>#DIV/0!</v>
      </c>
      <c r="BKF50" s="363" t="s">
        <v>153</v>
      </c>
      <c r="BKG50" s="363"/>
      <c r="BKH50" s="363"/>
      <c r="BKI50" s="364" t="s">
        <v>140</v>
      </c>
      <c r="BKJ50" s="365">
        <v>0.5</v>
      </c>
      <c r="BKK50" s="366" t="e">
        <f>10/BKG48</f>
        <v>#DIV/0!</v>
      </c>
      <c r="BKL50" s="367">
        <v>15.38</v>
      </c>
      <c r="BKM50" s="367" t="e">
        <f>BKJ50*BKK50*BKL50</f>
        <v>#DIV/0!</v>
      </c>
      <c r="BKN50" s="363" t="s">
        <v>153</v>
      </c>
      <c r="BKO50" s="363"/>
      <c r="BKP50" s="363"/>
      <c r="BKQ50" s="364" t="s">
        <v>140</v>
      </c>
      <c r="BKR50" s="365">
        <v>0.5</v>
      </c>
      <c r="BKS50" s="366" t="e">
        <f>10/BKO48</f>
        <v>#DIV/0!</v>
      </c>
      <c r="BKT50" s="367">
        <v>15.38</v>
      </c>
      <c r="BKU50" s="367" t="e">
        <f>BKR50*BKS50*BKT50</f>
        <v>#DIV/0!</v>
      </c>
      <c r="BKV50" s="363" t="s">
        <v>153</v>
      </c>
      <c r="BKW50" s="363"/>
      <c r="BKX50" s="363"/>
      <c r="BKY50" s="364" t="s">
        <v>140</v>
      </c>
      <c r="BKZ50" s="365">
        <v>0.5</v>
      </c>
      <c r="BLA50" s="366" t="e">
        <f>10/BKW48</f>
        <v>#DIV/0!</v>
      </c>
      <c r="BLB50" s="367">
        <v>15.38</v>
      </c>
      <c r="BLC50" s="367" t="e">
        <f>BKZ50*BLA50*BLB50</f>
        <v>#DIV/0!</v>
      </c>
      <c r="BLD50" s="363" t="s">
        <v>153</v>
      </c>
      <c r="BLE50" s="363"/>
      <c r="BLF50" s="363"/>
      <c r="BLG50" s="364" t="s">
        <v>140</v>
      </c>
      <c r="BLH50" s="365">
        <v>0.5</v>
      </c>
      <c r="BLI50" s="366" t="e">
        <f>10/BLE48</f>
        <v>#DIV/0!</v>
      </c>
      <c r="BLJ50" s="367">
        <v>15.38</v>
      </c>
      <c r="BLK50" s="367" t="e">
        <f>BLH50*BLI50*BLJ50</f>
        <v>#DIV/0!</v>
      </c>
      <c r="BLL50" s="363" t="s">
        <v>153</v>
      </c>
      <c r="BLM50" s="363"/>
      <c r="BLN50" s="363"/>
      <c r="BLO50" s="364" t="s">
        <v>140</v>
      </c>
      <c r="BLP50" s="365">
        <v>0.5</v>
      </c>
      <c r="BLQ50" s="366" t="e">
        <f>10/BLM48</f>
        <v>#DIV/0!</v>
      </c>
      <c r="BLR50" s="367">
        <v>15.38</v>
      </c>
      <c r="BLS50" s="367" t="e">
        <f>BLP50*BLQ50*BLR50</f>
        <v>#DIV/0!</v>
      </c>
      <c r="BLT50" s="363" t="s">
        <v>153</v>
      </c>
      <c r="BLU50" s="363"/>
      <c r="BLV50" s="363"/>
      <c r="BLW50" s="364" t="s">
        <v>140</v>
      </c>
      <c r="BLX50" s="365">
        <v>0.5</v>
      </c>
      <c r="BLY50" s="366" t="e">
        <f>10/BLU48</f>
        <v>#DIV/0!</v>
      </c>
      <c r="BLZ50" s="367">
        <v>15.38</v>
      </c>
      <c r="BMA50" s="367" t="e">
        <f>BLX50*BLY50*BLZ50</f>
        <v>#DIV/0!</v>
      </c>
      <c r="BMB50" s="363" t="s">
        <v>153</v>
      </c>
      <c r="BMC50" s="363"/>
      <c r="BMD50" s="363"/>
      <c r="BME50" s="364" t="s">
        <v>140</v>
      </c>
      <c r="BMF50" s="365">
        <v>0.5</v>
      </c>
      <c r="BMG50" s="366" t="e">
        <f>10/BMC48</f>
        <v>#DIV/0!</v>
      </c>
      <c r="BMH50" s="367">
        <v>15.38</v>
      </c>
      <c r="BMI50" s="367" t="e">
        <f>BMF50*BMG50*BMH50</f>
        <v>#DIV/0!</v>
      </c>
      <c r="BMJ50" s="363" t="s">
        <v>153</v>
      </c>
      <c r="BMK50" s="363"/>
      <c r="BML50" s="363"/>
      <c r="BMM50" s="364" t="s">
        <v>140</v>
      </c>
      <c r="BMN50" s="365">
        <v>0.5</v>
      </c>
      <c r="BMO50" s="366" t="e">
        <f>10/BMK48</f>
        <v>#DIV/0!</v>
      </c>
      <c r="BMP50" s="367">
        <v>15.38</v>
      </c>
      <c r="BMQ50" s="367" t="e">
        <f>BMN50*BMO50*BMP50</f>
        <v>#DIV/0!</v>
      </c>
      <c r="BMR50" s="363" t="s">
        <v>153</v>
      </c>
      <c r="BMS50" s="363"/>
      <c r="BMT50" s="363"/>
      <c r="BMU50" s="364" t="s">
        <v>140</v>
      </c>
      <c r="BMV50" s="365">
        <v>0.5</v>
      </c>
      <c r="BMW50" s="366" t="e">
        <f>10/BMS48</f>
        <v>#DIV/0!</v>
      </c>
      <c r="BMX50" s="367">
        <v>15.38</v>
      </c>
      <c r="BMY50" s="367" t="e">
        <f>BMV50*BMW50*BMX50</f>
        <v>#DIV/0!</v>
      </c>
      <c r="BMZ50" s="363" t="s">
        <v>153</v>
      </c>
      <c r="BNA50" s="363"/>
      <c r="BNB50" s="363"/>
      <c r="BNC50" s="364" t="s">
        <v>140</v>
      </c>
      <c r="BND50" s="365">
        <v>0.5</v>
      </c>
      <c r="BNE50" s="366" t="e">
        <f>10/BNA48</f>
        <v>#DIV/0!</v>
      </c>
      <c r="BNF50" s="367">
        <v>15.38</v>
      </c>
      <c r="BNG50" s="367" t="e">
        <f>BND50*BNE50*BNF50</f>
        <v>#DIV/0!</v>
      </c>
      <c r="BNH50" s="363" t="s">
        <v>153</v>
      </c>
      <c r="BNI50" s="363"/>
      <c r="BNJ50" s="363"/>
      <c r="BNK50" s="364" t="s">
        <v>140</v>
      </c>
      <c r="BNL50" s="365">
        <v>0.5</v>
      </c>
      <c r="BNM50" s="366" t="e">
        <f>10/BNI48</f>
        <v>#DIV/0!</v>
      </c>
      <c r="BNN50" s="367">
        <v>15.38</v>
      </c>
      <c r="BNO50" s="367" t="e">
        <f>BNL50*BNM50*BNN50</f>
        <v>#DIV/0!</v>
      </c>
      <c r="BNP50" s="363" t="s">
        <v>153</v>
      </c>
      <c r="BNQ50" s="363"/>
      <c r="BNR50" s="363"/>
      <c r="BNS50" s="364" t="s">
        <v>140</v>
      </c>
      <c r="BNT50" s="365">
        <v>0.5</v>
      </c>
      <c r="BNU50" s="366" t="e">
        <f>10/BNQ48</f>
        <v>#DIV/0!</v>
      </c>
      <c r="BNV50" s="367">
        <v>15.38</v>
      </c>
      <c r="BNW50" s="367" t="e">
        <f>BNT50*BNU50*BNV50</f>
        <v>#DIV/0!</v>
      </c>
      <c r="BNX50" s="363" t="s">
        <v>153</v>
      </c>
      <c r="BNY50" s="363"/>
      <c r="BNZ50" s="363"/>
      <c r="BOA50" s="364" t="s">
        <v>140</v>
      </c>
      <c r="BOB50" s="365">
        <v>0.5</v>
      </c>
      <c r="BOC50" s="366" t="e">
        <f>10/BNY48</f>
        <v>#DIV/0!</v>
      </c>
      <c r="BOD50" s="367">
        <v>15.38</v>
      </c>
      <c r="BOE50" s="367" t="e">
        <f>BOB50*BOC50*BOD50</f>
        <v>#DIV/0!</v>
      </c>
      <c r="BOF50" s="363" t="s">
        <v>153</v>
      </c>
      <c r="BOG50" s="363"/>
      <c r="BOH50" s="363"/>
      <c r="BOI50" s="364" t="s">
        <v>140</v>
      </c>
      <c r="BOJ50" s="365">
        <v>0.5</v>
      </c>
      <c r="BOK50" s="366" t="e">
        <f>10/BOG48</f>
        <v>#DIV/0!</v>
      </c>
      <c r="BOL50" s="367">
        <v>15.38</v>
      </c>
      <c r="BOM50" s="367" t="e">
        <f>BOJ50*BOK50*BOL50</f>
        <v>#DIV/0!</v>
      </c>
      <c r="BON50" s="363" t="s">
        <v>153</v>
      </c>
      <c r="BOO50" s="363"/>
      <c r="BOP50" s="363"/>
      <c r="BOQ50" s="364" t="s">
        <v>140</v>
      </c>
      <c r="BOR50" s="365">
        <v>0.5</v>
      </c>
      <c r="BOS50" s="366" t="e">
        <f>10/BOO48</f>
        <v>#DIV/0!</v>
      </c>
      <c r="BOT50" s="367">
        <v>15.38</v>
      </c>
      <c r="BOU50" s="367" t="e">
        <f>BOR50*BOS50*BOT50</f>
        <v>#DIV/0!</v>
      </c>
      <c r="BOV50" s="363" t="s">
        <v>153</v>
      </c>
      <c r="BOW50" s="363"/>
      <c r="BOX50" s="363"/>
      <c r="BOY50" s="364" t="s">
        <v>140</v>
      </c>
      <c r="BOZ50" s="365">
        <v>0.5</v>
      </c>
      <c r="BPA50" s="366" t="e">
        <f>10/BOW48</f>
        <v>#DIV/0!</v>
      </c>
      <c r="BPB50" s="367">
        <v>15.38</v>
      </c>
      <c r="BPC50" s="367" t="e">
        <f>BOZ50*BPA50*BPB50</f>
        <v>#DIV/0!</v>
      </c>
      <c r="BPD50" s="363" t="s">
        <v>153</v>
      </c>
      <c r="BPE50" s="363"/>
      <c r="BPF50" s="363"/>
      <c r="BPG50" s="364" t="s">
        <v>140</v>
      </c>
      <c r="BPH50" s="365">
        <v>0.5</v>
      </c>
      <c r="BPI50" s="366" t="e">
        <f>10/BPE48</f>
        <v>#DIV/0!</v>
      </c>
      <c r="BPJ50" s="367">
        <v>15.38</v>
      </c>
      <c r="BPK50" s="367" t="e">
        <f>BPH50*BPI50*BPJ50</f>
        <v>#DIV/0!</v>
      </c>
      <c r="BPL50" s="363" t="s">
        <v>153</v>
      </c>
      <c r="BPM50" s="363"/>
      <c r="BPN50" s="363"/>
      <c r="BPO50" s="364" t="s">
        <v>140</v>
      </c>
      <c r="BPP50" s="365">
        <v>0.5</v>
      </c>
      <c r="BPQ50" s="366" t="e">
        <f>10/BPM48</f>
        <v>#DIV/0!</v>
      </c>
      <c r="BPR50" s="367">
        <v>15.38</v>
      </c>
      <c r="BPS50" s="367" t="e">
        <f>BPP50*BPQ50*BPR50</f>
        <v>#DIV/0!</v>
      </c>
      <c r="BPT50" s="363" t="s">
        <v>153</v>
      </c>
      <c r="BPU50" s="363"/>
      <c r="BPV50" s="363"/>
      <c r="BPW50" s="364" t="s">
        <v>140</v>
      </c>
      <c r="BPX50" s="365">
        <v>0.5</v>
      </c>
      <c r="BPY50" s="366" t="e">
        <f>10/BPU48</f>
        <v>#DIV/0!</v>
      </c>
      <c r="BPZ50" s="367">
        <v>15.38</v>
      </c>
      <c r="BQA50" s="367" t="e">
        <f>BPX50*BPY50*BPZ50</f>
        <v>#DIV/0!</v>
      </c>
      <c r="BQB50" s="363" t="s">
        <v>153</v>
      </c>
      <c r="BQC50" s="363"/>
      <c r="BQD50" s="363"/>
      <c r="BQE50" s="364" t="s">
        <v>140</v>
      </c>
      <c r="BQF50" s="365">
        <v>0.5</v>
      </c>
      <c r="BQG50" s="366" t="e">
        <f>10/BQC48</f>
        <v>#DIV/0!</v>
      </c>
      <c r="BQH50" s="367">
        <v>15.38</v>
      </c>
      <c r="BQI50" s="367" t="e">
        <f>BQF50*BQG50*BQH50</f>
        <v>#DIV/0!</v>
      </c>
      <c r="BQJ50" s="363" t="s">
        <v>153</v>
      </c>
      <c r="BQK50" s="363"/>
      <c r="BQL50" s="363"/>
      <c r="BQM50" s="364" t="s">
        <v>140</v>
      </c>
      <c r="BQN50" s="365">
        <v>0.5</v>
      </c>
      <c r="BQO50" s="366" t="e">
        <f>10/BQK48</f>
        <v>#DIV/0!</v>
      </c>
      <c r="BQP50" s="367">
        <v>15.38</v>
      </c>
      <c r="BQQ50" s="367" t="e">
        <f>BQN50*BQO50*BQP50</f>
        <v>#DIV/0!</v>
      </c>
      <c r="BQR50" s="363" t="s">
        <v>153</v>
      </c>
      <c r="BQS50" s="363"/>
      <c r="BQT50" s="363"/>
      <c r="BQU50" s="364" t="s">
        <v>140</v>
      </c>
      <c r="BQV50" s="365">
        <v>0.5</v>
      </c>
      <c r="BQW50" s="366" t="e">
        <f>10/BQS48</f>
        <v>#DIV/0!</v>
      </c>
      <c r="BQX50" s="367">
        <v>15.38</v>
      </c>
      <c r="BQY50" s="367" t="e">
        <f>BQV50*BQW50*BQX50</f>
        <v>#DIV/0!</v>
      </c>
      <c r="BQZ50" s="363" t="s">
        <v>153</v>
      </c>
      <c r="BRA50" s="363"/>
      <c r="BRB50" s="363"/>
      <c r="BRC50" s="364" t="s">
        <v>140</v>
      </c>
      <c r="BRD50" s="365">
        <v>0.5</v>
      </c>
      <c r="BRE50" s="366" t="e">
        <f>10/BRA48</f>
        <v>#DIV/0!</v>
      </c>
      <c r="BRF50" s="367">
        <v>15.38</v>
      </c>
      <c r="BRG50" s="367" t="e">
        <f>BRD50*BRE50*BRF50</f>
        <v>#DIV/0!</v>
      </c>
      <c r="BRH50" s="363" t="s">
        <v>153</v>
      </c>
      <c r="BRI50" s="363"/>
      <c r="BRJ50" s="363"/>
      <c r="BRK50" s="364" t="s">
        <v>140</v>
      </c>
      <c r="BRL50" s="365">
        <v>0.5</v>
      </c>
      <c r="BRM50" s="366" t="e">
        <f>10/BRI48</f>
        <v>#DIV/0!</v>
      </c>
      <c r="BRN50" s="367">
        <v>15.38</v>
      </c>
      <c r="BRO50" s="367" t="e">
        <f>BRL50*BRM50*BRN50</f>
        <v>#DIV/0!</v>
      </c>
      <c r="BRP50" s="363" t="s">
        <v>153</v>
      </c>
      <c r="BRQ50" s="363"/>
      <c r="BRR50" s="363"/>
      <c r="BRS50" s="364" t="s">
        <v>140</v>
      </c>
      <c r="BRT50" s="365">
        <v>0.5</v>
      </c>
      <c r="BRU50" s="366" t="e">
        <f>10/BRQ48</f>
        <v>#DIV/0!</v>
      </c>
      <c r="BRV50" s="367">
        <v>15.38</v>
      </c>
      <c r="BRW50" s="367" t="e">
        <f>BRT50*BRU50*BRV50</f>
        <v>#DIV/0!</v>
      </c>
      <c r="BRX50" s="363" t="s">
        <v>153</v>
      </c>
      <c r="BRY50" s="363"/>
      <c r="BRZ50" s="363"/>
      <c r="BSA50" s="364" t="s">
        <v>140</v>
      </c>
      <c r="BSB50" s="365">
        <v>0.5</v>
      </c>
      <c r="BSC50" s="366" t="e">
        <f>10/BRY48</f>
        <v>#DIV/0!</v>
      </c>
      <c r="BSD50" s="367">
        <v>15.38</v>
      </c>
      <c r="BSE50" s="367" t="e">
        <f>BSB50*BSC50*BSD50</f>
        <v>#DIV/0!</v>
      </c>
      <c r="BSF50" s="363" t="s">
        <v>153</v>
      </c>
      <c r="BSG50" s="363"/>
      <c r="BSH50" s="363"/>
      <c r="BSI50" s="364" t="s">
        <v>140</v>
      </c>
      <c r="BSJ50" s="365">
        <v>0.5</v>
      </c>
      <c r="BSK50" s="366" t="e">
        <f>10/BSG48</f>
        <v>#DIV/0!</v>
      </c>
      <c r="BSL50" s="367">
        <v>15.38</v>
      </c>
      <c r="BSM50" s="367" t="e">
        <f>BSJ50*BSK50*BSL50</f>
        <v>#DIV/0!</v>
      </c>
      <c r="BSN50" s="363" t="s">
        <v>153</v>
      </c>
      <c r="BSO50" s="363"/>
      <c r="BSP50" s="363"/>
      <c r="BSQ50" s="364" t="s">
        <v>140</v>
      </c>
      <c r="BSR50" s="365">
        <v>0.5</v>
      </c>
      <c r="BSS50" s="366" t="e">
        <f>10/BSO48</f>
        <v>#DIV/0!</v>
      </c>
      <c r="BST50" s="367">
        <v>15.38</v>
      </c>
      <c r="BSU50" s="367" t="e">
        <f>BSR50*BSS50*BST50</f>
        <v>#DIV/0!</v>
      </c>
      <c r="BSV50" s="363" t="s">
        <v>153</v>
      </c>
      <c r="BSW50" s="363"/>
      <c r="BSX50" s="363"/>
      <c r="BSY50" s="364" t="s">
        <v>140</v>
      </c>
      <c r="BSZ50" s="365">
        <v>0.5</v>
      </c>
      <c r="BTA50" s="366" t="e">
        <f>10/BSW48</f>
        <v>#DIV/0!</v>
      </c>
      <c r="BTB50" s="367">
        <v>15.38</v>
      </c>
      <c r="BTC50" s="367" t="e">
        <f>BSZ50*BTA50*BTB50</f>
        <v>#DIV/0!</v>
      </c>
      <c r="BTD50" s="363" t="s">
        <v>153</v>
      </c>
      <c r="BTE50" s="363"/>
      <c r="BTF50" s="363"/>
      <c r="BTG50" s="364" t="s">
        <v>140</v>
      </c>
      <c r="BTH50" s="365">
        <v>0.5</v>
      </c>
      <c r="BTI50" s="366" t="e">
        <f>10/BTE48</f>
        <v>#DIV/0!</v>
      </c>
      <c r="BTJ50" s="367">
        <v>15.38</v>
      </c>
      <c r="BTK50" s="367" t="e">
        <f>BTH50*BTI50*BTJ50</f>
        <v>#DIV/0!</v>
      </c>
      <c r="BTL50" s="363" t="s">
        <v>153</v>
      </c>
      <c r="BTM50" s="363"/>
      <c r="BTN50" s="363"/>
      <c r="BTO50" s="364" t="s">
        <v>140</v>
      </c>
      <c r="BTP50" s="365">
        <v>0.5</v>
      </c>
      <c r="BTQ50" s="366" t="e">
        <f>10/BTM48</f>
        <v>#DIV/0!</v>
      </c>
      <c r="BTR50" s="367">
        <v>15.38</v>
      </c>
      <c r="BTS50" s="367" t="e">
        <f>BTP50*BTQ50*BTR50</f>
        <v>#DIV/0!</v>
      </c>
      <c r="BTT50" s="363" t="s">
        <v>153</v>
      </c>
      <c r="BTU50" s="363"/>
      <c r="BTV50" s="363"/>
      <c r="BTW50" s="364" t="s">
        <v>140</v>
      </c>
      <c r="BTX50" s="365">
        <v>0.5</v>
      </c>
      <c r="BTY50" s="366" t="e">
        <f>10/BTU48</f>
        <v>#DIV/0!</v>
      </c>
      <c r="BTZ50" s="367">
        <v>15.38</v>
      </c>
      <c r="BUA50" s="367" t="e">
        <f>BTX50*BTY50*BTZ50</f>
        <v>#DIV/0!</v>
      </c>
      <c r="BUB50" s="363" t="s">
        <v>153</v>
      </c>
      <c r="BUC50" s="363"/>
      <c r="BUD50" s="363"/>
      <c r="BUE50" s="364" t="s">
        <v>140</v>
      </c>
      <c r="BUF50" s="365">
        <v>0.5</v>
      </c>
      <c r="BUG50" s="366" t="e">
        <f>10/BUC48</f>
        <v>#DIV/0!</v>
      </c>
      <c r="BUH50" s="367">
        <v>15.38</v>
      </c>
      <c r="BUI50" s="367" t="e">
        <f>BUF50*BUG50*BUH50</f>
        <v>#DIV/0!</v>
      </c>
      <c r="BUJ50" s="363" t="s">
        <v>153</v>
      </c>
      <c r="BUK50" s="363"/>
      <c r="BUL50" s="363"/>
      <c r="BUM50" s="364" t="s">
        <v>140</v>
      </c>
      <c r="BUN50" s="365">
        <v>0.5</v>
      </c>
      <c r="BUO50" s="366" t="e">
        <f>10/BUK48</f>
        <v>#DIV/0!</v>
      </c>
      <c r="BUP50" s="367">
        <v>15.38</v>
      </c>
      <c r="BUQ50" s="367" t="e">
        <f>BUN50*BUO50*BUP50</f>
        <v>#DIV/0!</v>
      </c>
      <c r="BUR50" s="363" t="s">
        <v>153</v>
      </c>
      <c r="BUS50" s="363"/>
      <c r="BUT50" s="363"/>
      <c r="BUU50" s="364" t="s">
        <v>140</v>
      </c>
      <c r="BUV50" s="365">
        <v>0.5</v>
      </c>
      <c r="BUW50" s="366" t="e">
        <f>10/BUS48</f>
        <v>#DIV/0!</v>
      </c>
      <c r="BUX50" s="367">
        <v>15.38</v>
      </c>
      <c r="BUY50" s="367" t="e">
        <f>BUV50*BUW50*BUX50</f>
        <v>#DIV/0!</v>
      </c>
      <c r="BUZ50" s="363" t="s">
        <v>153</v>
      </c>
      <c r="BVA50" s="363"/>
      <c r="BVB50" s="363"/>
      <c r="BVC50" s="364" t="s">
        <v>140</v>
      </c>
      <c r="BVD50" s="365">
        <v>0.5</v>
      </c>
      <c r="BVE50" s="366" t="e">
        <f>10/BVA48</f>
        <v>#DIV/0!</v>
      </c>
      <c r="BVF50" s="367">
        <v>15.38</v>
      </c>
      <c r="BVG50" s="367" t="e">
        <f>BVD50*BVE50*BVF50</f>
        <v>#DIV/0!</v>
      </c>
      <c r="BVH50" s="363" t="s">
        <v>153</v>
      </c>
      <c r="BVI50" s="363"/>
      <c r="BVJ50" s="363"/>
      <c r="BVK50" s="364" t="s">
        <v>140</v>
      </c>
      <c r="BVL50" s="365">
        <v>0.5</v>
      </c>
      <c r="BVM50" s="366" t="e">
        <f>10/BVI48</f>
        <v>#DIV/0!</v>
      </c>
      <c r="BVN50" s="367">
        <v>15.38</v>
      </c>
      <c r="BVO50" s="367" t="e">
        <f>BVL50*BVM50*BVN50</f>
        <v>#DIV/0!</v>
      </c>
      <c r="BVP50" s="363" t="s">
        <v>153</v>
      </c>
      <c r="BVQ50" s="363"/>
      <c r="BVR50" s="363"/>
      <c r="BVS50" s="364" t="s">
        <v>140</v>
      </c>
      <c r="BVT50" s="365">
        <v>0.5</v>
      </c>
      <c r="BVU50" s="366" t="e">
        <f>10/BVQ48</f>
        <v>#DIV/0!</v>
      </c>
      <c r="BVV50" s="367">
        <v>15.38</v>
      </c>
      <c r="BVW50" s="367" t="e">
        <f>BVT50*BVU50*BVV50</f>
        <v>#DIV/0!</v>
      </c>
      <c r="BVX50" s="363" t="s">
        <v>153</v>
      </c>
      <c r="BVY50" s="363"/>
      <c r="BVZ50" s="363"/>
      <c r="BWA50" s="364" t="s">
        <v>140</v>
      </c>
      <c r="BWB50" s="365">
        <v>0.5</v>
      </c>
      <c r="BWC50" s="366" t="e">
        <f>10/BVY48</f>
        <v>#DIV/0!</v>
      </c>
      <c r="BWD50" s="367">
        <v>15.38</v>
      </c>
      <c r="BWE50" s="367" t="e">
        <f>BWB50*BWC50*BWD50</f>
        <v>#DIV/0!</v>
      </c>
      <c r="BWF50" s="363" t="s">
        <v>153</v>
      </c>
      <c r="BWG50" s="363"/>
      <c r="BWH50" s="363"/>
      <c r="BWI50" s="364" t="s">
        <v>140</v>
      </c>
      <c r="BWJ50" s="365">
        <v>0.5</v>
      </c>
      <c r="BWK50" s="366" t="e">
        <f>10/BWG48</f>
        <v>#DIV/0!</v>
      </c>
      <c r="BWL50" s="367">
        <v>15.38</v>
      </c>
      <c r="BWM50" s="367" t="e">
        <f>BWJ50*BWK50*BWL50</f>
        <v>#DIV/0!</v>
      </c>
      <c r="BWN50" s="363" t="s">
        <v>153</v>
      </c>
      <c r="BWO50" s="363"/>
      <c r="BWP50" s="363"/>
      <c r="BWQ50" s="364" t="s">
        <v>140</v>
      </c>
      <c r="BWR50" s="365">
        <v>0.5</v>
      </c>
      <c r="BWS50" s="366" t="e">
        <f>10/BWO48</f>
        <v>#DIV/0!</v>
      </c>
      <c r="BWT50" s="367">
        <v>15.38</v>
      </c>
      <c r="BWU50" s="367" t="e">
        <f>BWR50*BWS50*BWT50</f>
        <v>#DIV/0!</v>
      </c>
      <c r="BWV50" s="363" t="s">
        <v>153</v>
      </c>
      <c r="BWW50" s="363"/>
      <c r="BWX50" s="363"/>
      <c r="BWY50" s="364" t="s">
        <v>140</v>
      </c>
      <c r="BWZ50" s="365">
        <v>0.5</v>
      </c>
      <c r="BXA50" s="366" t="e">
        <f>10/BWW48</f>
        <v>#DIV/0!</v>
      </c>
      <c r="BXB50" s="367">
        <v>15.38</v>
      </c>
      <c r="BXC50" s="367" t="e">
        <f>BWZ50*BXA50*BXB50</f>
        <v>#DIV/0!</v>
      </c>
      <c r="BXD50" s="363" t="s">
        <v>153</v>
      </c>
      <c r="BXE50" s="363"/>
      <c r="BXF50" s="363"/>
      <c r="BXG50" s="364" t="s">
        <v>140</v>
      </c>
      <c r="BXH50" s="365">
        <v>0.5</v>
      </c>
      <c r="BXI50" s="366" t="e">
        <f>10/BXE48</f>
        <v>#DIV/0!</v>
      </c>
      <c r="BXJ50" s="367">
        <v>15.38</v>
      </c>
      <c r="BXK50" s="367" t="e">
        <f>BXH50*BXI50*BXJ50</f>
        <v>#DIV/0!</v>
      </c>
      <c r="BXL50" s="363" t="s">
        <v>153</v>
      </c>
      <c r="BXM50" s="363"/>
      <c r="BXN50" s="363"/>
      <c r="BXO50" s="364" t="s">
        <v>140</v>
      </c>
      <c r="BXP50" s="365">
        <v>0.5</v>
      </c>
      <c r="BXQ50" s="366" t="e">
        <f>10/BXM48</f>
        <v>#DIV/0!</v>
      </c>
      <c r="BXR50" s="367">
        <v>15.38</v>
      </c>
      <c r="BXS50" s="367" t="e">
        <f>BXP50*BXQ50*BXR50</f>
        <v>#DIV/0!</v>
      </c>
      <c r="BXT50" s="363" t="s">
        <v>153</v>
      </c>
      <c r="BXU50" s="363"/>
      <c r="BXV50" s="363"/>
      <c r="BXW50" s="364" t="s">
        <v>140</v>
      </c>
      <c r="BXX50" s="365">
        <v>0.5</v>
      </c>
      <c r="BXY50" s="366" t="e">
        <f>10/BXU48</f>
        <v>#DIV/0!</v>
      </c>
      <c r="BXZ50" s="367">
        <v>15.38</v>
      </c>
      <c r="BYA50" s="367" t="e">
        <f>BXX50*BXY50*BXZ50</f>
        <v>#DIV/0!</v>
      </c>
      <c r="BYB50" s="363" t="s">
        <v>153</v>
      </c>
      <c r="BYC50" s="363"/>
      <c r="BYD50" s="363"/>
      <c r="BYE50" s="364" t="s">
        <v>140</v>
      </c>
      <c r="BYF50" s="365">
        <v>0.5</v>
      </c>
      <c r="BYG50" s="366" t="e">
        <f>10/BYC48</f>
        <v>#DIV/0!</v>
      </c>
      <c r="BYH50" s="367">
        <v>15.38</v>
      </c>
      <c r="BYI50" s="367" t="e">
        <f>BYF50*BYG50*BYH50</f>
        <v>#DIV/0!</v>
      </c>
      <c r="BYJ50" s="363" t="s">
        <v>153</v>
      </c>
      <c r="BYK50" s="363"/>
      <c r="BYL50" s="363"/>
      <c r="BYM50" s="364" t="s">
        <v>140</v>
      </c>
      <c r="BYN50" s="365">
        <v>0.5</v>
      </c>
      <c r="BYO50" s="366" t="e">
        <f>10/BYK48</f>
        <v>#DIV/0!</v>
      </c>
      <c r="BYP50" s="367">
        <v>15.38</v>
      </c>
      <c r="BYQ50" s="367" t="e">
        <f>BYN50*BYO50*BYP50</f>
        <v>#DIV/0!</v>
      </c>
      <c r="BYR50" s="363" t="s">
        <v>153</v>
      </c>
      <c r="BYS50" s="363"/>
      <c r="BYT50" s="363"/>
      <c r="BYU50" s="364" t="s">
        <v>140</v>
      </c>
      <c r="BYV50" s="365">
        <v>0.5</v>
      </c>
      <c r="BYW50" s="366" t="e">
        <f>10/BYS48</f>
        <v>#DIV/0!</v>
      </c>
      <c r="BYX50" s="367">
        <v>15.38</v>
      </c>
      <c r="BYY50" s="367" t="e">
        <f>BYV50*BYW50*BYX50</f>
        <v>#DIV/0!</v>
      </c>
      <c r="BYZ50" s="363" t="s">
        <v>153</v>
      </c>
      <c r="BZA50" s="363"/>
      <c r="BZB50" s="363"/>
      <c r="BZC50" s="364" t="s">
        <v>140</v>
      </c>
      <c r="BZD50" s="365">
        <v>0.5</v>
      </c>
      <c r="BZE50" s="366" t="e">
        <f>10/BZA48</f>
        <v>#DIV/0!</v>
      </c>
      <c r="BZF50" s="367">
        <v>15.38</v>
      </c>
      <c r="BZG50" s="367" t="e">
        <f>BZD50*BZE50*BZF50</f>
        <v>#DIV/0!</v>
      </c>
      <c r="BZH50" s="363" t="s">
        <v>153</v>
      </c>
      <c r="BZI50" s="363"/>
      <c r="BZJ50" s="363"/>
      <c r="BZK50" s="364" t="s">
        <v>140</v>
      </c>
      <c r="BZL50" s="365">
        <v>0.5</v>
      </c>
      <c r="BZM50" s="366" t="e">
        <f>10/BZI48</f>
        <v>#DIV/0!</v>
      </c>
      <c r="BZN50" s="367">
        <v>15.38</v>
      </c>
      <c r="BZO50" s="367" t="e">
        <f>BZL50*BZM50*BZN50</f>
        <v>#DIV/0!</v>
      </c>
      <c r="BZP50" s="363" t="s">
        <v>153</v>
      </c>
      <c r="BZQ50" s="363"/>
      <c r="BZR50" s="363"/>
      <c r="BZS50" s="364" t="s">
        <v>140</v>
      </c>
      <c r="BZT50" s="365">
        <v>0.5</v>
      </c>
      <c r="BZU50" s="366" t="e">
        <f>10/BZQ48</f>
        <v>#DIV/0!</v>
      </c>
      <c r="BZV50" s="367">
        <v>15.38</v>
      </c>
      <c r="BZW50" s="367" t="e">
        <f>BZT50*BZU50*BZV50</f>
        <v>#DIV/0!</v>
      </c>
      <c r="BZX50" s="363" t="s">
        <v>153</v>
      </c>
      <c r="BZY50" s="363"/>
      <c r="BZZ50" s="363"/>
      <c r="CAA50" s="364" t="s">
        <v>140</v>
      </c>
      <c r="CAB50" s="365">
        <v>0.5</v>
      </c>
      <c r="CAC50" s="366" t="e">
        <f>10/BZY48</f>
        <v>#DIV/0!</v>
      </c>
      <c r="CAD50" s="367">
        <v>15.38</v>
      </c>
      <c r="CAE50" s="367" t="e">
        <f>CAB50*CAC50*CAD50</f>
        <v>#DIV/0!</v>
      </c>
      <c r="CAF50" s="363" t="s">
        <v>153</v>
      </c>
      <c r="CAG50" s="363"/>
      <c r="CAH50" s="363"/>
      <c r="CAI50" s="364" t="s">
        <v>140</v>
      </c>
      <c r="CAJ50" s="365">
        <v>0.5</v>
      </c>
      <c r="CAK50" s="366" t="e">
        <f>10/CAG48</f>
        <v>#DIV/0!</v>
      </c>
      <c r="CAL50" s="367">
        <v>15.38</v>
      </c>
      <c r="CAM50" s="367" t="e">
        <f>CAJ50*CAK50*CAL50</f>
        <v>#DIV/0!</v>
      </c>
      <c r="CAN50" s="363" t="s">
        <v>153</v>
      </c>
      <c r="CAO50" s="363"/>
      <c r="CAP50" s="363"/>
      <c r="CAQ50" s="364" t="s">
        <v>140</v>
      </c>
      <c r="CAR50" s="365">
        <v>0.5</v>
      </c>
      <c r="CAS50" s="366" t="e">
        <f>10/CAO48</f>
        <v>#DIV/0!</v>
      </c>
      <c r="CAT50" s="367">
        <v>15.38</v>
      </c>
      <c r="CAU50" s="367" t="e">
        <f>CAR50*CAS50*CAT50</f>
        <v>#DIV/0!</v>
      </c>
      <c r="CAV50" s="363" t="s">
        <v>153</v>
      </c>
      <c r="CAW50" s="363"/>
      <c r="CAX50" s="363"/>
      <c r="CAY50" s="364" t="s">
        <v>140</v>
      </c>
      <c r="CAZ50" s="365">
        <v>0.5</v>
      </c>
      <c r="CBA50" s="366" t="e">
        <f>10/CAW48</f>
        <v>#DIV/0!</v>
      </c>
      <c r="CBB50" s="367">
        <v>15.38</v>
      </c>
      <c r="CBC50" s="367" t="e">
        <f>CAZ50*CBA50*CBB50</f>
        <v>#DIV/0!</v>
      </c>
      <c r="CBD50" s="363" t="s">
        <v>153</v>
      </c>
      <c r="CBE50" s="363"/>
      <c r="CBF50" s="363"/>
      <c r="CBG50" s="364" t="s">
        <v>140</v>
      </c>
      <c r="CBH50" s="365">
        <v>0.5</v>
      </c>
      <c r="CBI50" s="366" t="e">
        <f>10/CBE48</f>
        <v>#DIV/0!</v>
      </c>
      <c r="CBJ50" s="367">
        <v>15.38</v>
      </c>
      <c r="CBK50" s="367" t="e">
        <f>CBH50*CBI50*CBJ50</f>
        <v>#DIV/0!</v>
      </c>
      <c r="CBL50" s="363" t="s">
        <v>153</v>
      </c>
      <c r="CBM50" s="363"/>
      <c r="CBN50" s="363"/>
      <c r="CBO50" s="364" t="s">
        <v>140</v>
      </c>
      <c r="CBP50" s="365">
        <v>0.5</v>
      </c>
      <c r="CBQ50" s="366" t="e">
        <f>10/CBM48</f>
        <v>#DIV/0!</v>
      </c>
      <c r="CBR50" s="367">
        <v>15.38</v>
      </c>
      <c r="CBS50" s="367" t="e">
        <f>CBP50*CBQ50*CBR50</f>
        <v>#DIV/0!</v>
      </c>
      <c r="CBT50" s="363" t="s">
        <v>153</v>
      </c>
      <c r="CBU50" s="363"/>
      <c r="CBV50" s="363"/>
      <c r="CBW50" s="364" t="s">
        <v>140</v>
      </c>
      <c r="CBX50" s="365">
        <v>0.5</v>
      </c>
      <c r="CBY50" s="366" t="e">
        <f>10/CBU48</f>
        <v>#DIV/0!</v>
      </c>
      <c r="CBZ50" s="367">
        <v>15.38</v>
      </c>
      <c r="CCA50" s="367" t="e">
        <f>CBX50*CBY50*CBZ50</f>
        <v>#DIV/0!</v>
      </c>
      <c r="CCB50" s="363" t="s">
        <v>153</v>
      </c>
      <c r="CCC50" s="363"/>
      <c r="CCD50" s="363"/>
      <c r="CCE50" s="364" t="s">
        <v>140</v>
      </c>
      <c r="CCF50" s="365">
        <v>0.5</v>
      </c>
      <c r="CCG50" s="366" t="e">
        <f>10/CCC48</f>
        <v>#DIV/0!</v>
      </c>
      <c r="CCH50" s="367">
        <v>15.38</v>
      </c>
      <c r="CCI50" s="367" t="e">
        <f>CCF50*CCG50*CCH50</f>
        <v>#DIV/0!</v>
      </c>
      <c r="CCJ50" s="363" t="s">
        <v>153</v>
      </c>
      <c r="CCK50" s="363"/>
      <c r="CCL50" s="363"/>
      <c r="CCM50" s="364" t="s">
        <v>140</v>
      </c>
      <c r="CCN50" s="365">
        <v>0.5</v>
      </c>
      <c r="CCO50" s="366" t="e">
        <f>10/CCK48</f>
        <v>#DIV/0!</v>
      </c>
      <c r="CCP50" s="367">
        <v>15.38</v>
      </c>
      <c r="CCQ50" s="367" t="e">
        <f>CCN50*CCO50*CCP50</f>
        <v>#DIV/0!</v>
      </c>
      <c r="CCR50" s="363" t="s">
        <v>153</v>
      </c>
      <c r="CCS50" s="363"/>
      <c r="CCT50" s="363"/>
      <c r="CCU50" s="364" t="s">
        <v>140</v>
      </c>
      <c r="CCV50" s="365">
        <v>0.5</v>
      </c>
      <c r="CCW50" s="366" t="e">
        <f>10/CCS48</f>
        <v>#DIV/0!</v>
      </c>
      <c r="CCX50" s="367">
        <v>15.38</v>
      </c>
      <c r="CCY50" s="367" t="e">
        <f>CCV50*CCW50*CCX50</f>
        <v>#DIV/0!</v>
      </c>
      <c r="CCZ50" s="363" t="s">
        <v>153</v>
      </c>
      <c r="CDA50" s="363"/>
      <c r="CDB50" s="363"/>
      <c r="CDC50" s="364" t="s">
        <v>140</v>
      </c>
      <c r="CDD50" s="365">
        <v>0.5</v>
      </c>
      <c r="CDE50" s="366" t="e">
        <f>10/CDA48</f>
        <v>#DIV/0!</v>
      </c>
      <c r="CDF50" s="367">
        <v>15.38</v>
      </c>
      <c r="CDG50" s="367" t="e">
        <f>CDD50*CDE50*CDF50</f>
        <v>#DIV/0!</v>
      </c>
      <c r="CDH50" s="363" t="s">
        <v>153</v>
      </c>
      <c r="CDI50" s="363"/>
      <c r="CDJ50" s="363"/>
      <c r="CDK50" s="364" t="s">
        <v>140</v>
      </c>
      <c r="CDL50" s="365">
        <v>0.5</v>
      </c>
      <c r="CDM50" s="366" t="e">
        <f>10/CDI48</f>
        <v>#DIV/0!</v>
      </c>
      <c r="CDN50" s="367">
        <v>15.38</v>
      </c>
      <c r="CDO50" s="367" t="e">
        <f>CDL50*CDM50*CDN50</f>
        <v>#DIV/0!</v>
      </c>
      <c r="CDP50" s="363" t="s">
        <v>153</v>
      </c>
      <c r="CDQ50" s="363"/>
      <c r="CDR50" s="363"/>
      <c r="CDS50" s="364" t="s">
        <v>140</v>
      </c>
      <c r="CDT50" s="365">
        <v>0.5</v>
      </c>
      <c r="CDU50" s="366" t="e">
        <f>10/CDQ48</f>
        <v>#DIV/0!</v>
      </c>
      <c r="CDV50" s="367">
        <v>15.38</v>
      </c>
      <c r="CDW50" s="367" t="e">
        <f>CDT50*CDU50*CDV50</f>
        <v>#DIV/0!</v>
      </c>
      <c r="CDX50" s="363" t="s">
        <v>153</v>
      </c>
      <c r="CDY50" s="363"/>
      <c r="CDZ50" s="363"/>
      <c r="CEA50" s="364" t="s">
        <v>140</v>
      </c>
      <c r="CEB50" s="365">
        <v>0.5</v>
      </c>
      <c r="CEC50" s="366" t="e">
        <f>10/CDY48</f>
        <v>#DIV/0!</v>
      </c>
      <c r="CED50" s="367">
        <v>15.38</v>
      </c>
      <c r="CEE50" s="367" t="e">
        <f>CEB50*CEC50*CED50</f>
        <v>#DIV/0!</v>
      </c>
      <c r="CEF50" s="363" t="s">
        <v>153</v>
      </c>
      <c r="CEG50" s="363"/>
      <c r="CEH50" s="363"/>
      <c r="CEI50" s="364" t="s">
        <v>140</v>
      </c>
      <c r="CEJ50" s="365">
        <v>0.5</v>
      </c>
      <c r="CEK50" s="366" t="e">
        <f>10/CEG48</f>
        <v>#DIV/0!</v>
      </c>
      <c r="CEL50" s="367">
        <v>15.38</v>
      </c>
      <c r="CEM50" s="367" t="e">
        <f>CEJ50*CEK50*CEL50</f>
        <v>#DIV/0!</v>
      </c>
      <c r="CEN50" s="363" t="s">
        <v>153</v>
      </c>
      <c r="CEO50" s="363"/>
      <c r="CEP50" s="363"/>
      <c r="CEQ50" s="364" t="s">
        <v>140</v>
      </c>
      <c r="CER50" s="365">
        <v>0.5</v>
      </c>
      <c r="CES50" s="366" t="e">
        <f>10/CEO48</f>
        <v>#DIV/0!</v>
      </c>
      <c r="CET50" s="367">
        <v>15.38</v>
      </c>
      <c r="CEU50" s="367" t="e">
        <f>CER50*CES50*CET50</f>
        <v>#DIV/0!</v>
      </c>
      <c r="CEV50" s="363" t="s">
        <v>153</v>
      </c>
      <c r="CEW50" s="363"/>
      <c r="CEX50" s="363"/>
      <c r="CEY50" s="364" t="s">
        <v>140</v>
      </c>
      <c r="CEZ50" s="365">
        <v>0.5</v>
      </c>
      <c r="CFA50" s="366" t="e">
        <f>10/CEW48</f>
        <v>#DIV/0!</v>
      </c>
      <c r="CFB50" s="367">
        <v>15.38</v>
      </c>
      <c r="CFC50" s="367" t="e">
        <f>CEZ50*CFA50*CFB50</f>
        <v>#DIV/0!</v>
      </c>
      <c r="CFD50" s="363" t="s">
        <v>153</v>
      </c>
      <c r="CFE50" s="363"/>
      <c r="CFF50" s="363"/>
      <c r="CFG50" s="364" t="s">
        <v>140</v>
      </c>
      <c r="CFH50" s="365">
        <v>0.5</v>
      </c>
      <c r="CFI50" s="366" t="e">
        <f>10/CFE48</f>
        <v>#DIV/0!</v>
      </c>
      <c r="CFJ50" s="367">
        <v>15.38</v>
      </c>
      <c r="CFK50" s="367" t="e">
        <f>CFH50*CFI50*CFJ50</f>
        <v>#DIV/0!</v>
      </c>
      <c r="CFL50" s="363" t="s">
        <v>153</v>
      </c>
      <c r="CFM50" s="363"/>
      <c r="CFN50" s="363"/>
      <c r="CFO50" s="364" t="s">
        <v>140</v>
      </c>
      <c r="CFP50" s="365">
        <v>0.5</v>
      </c>
      <c r="CFQ50" s="366" t="e">
        <f>10/CFM48</f>
        <v>#DIV/0!</v>
      </c>
      <c r="CFR50" s="367">
        <v>15.38</v>
      </c>
      <c r="CFS50" s="367" t="e">
        <f>CFP50*CFQ50*CFR50</f>
        <v>#DIV/0!</v>
      </c>
      <c r="CFT50" s="363" t="s">
        <v>153</v>
      </c>
      <c r="CFU50" s="363"/>
      <c r="CFV50" s="363"/>
      <c r="CFW50" s="364" t="s">
        <v>140</v>
      </c>
      <c r="CFX50" s="365">
        <v>0.5</v>
      </c>
      <c r="CFY50" s="366" t="e">
        <f>10/CFU48</f>
        <v>#DIV/0!</v>
      </c>
      <c r="CFZ50" s="367">
        <v>15.38</v>
      </c>
      <c r="CGA50" s="367" t="e">
        <f>CFX50*CFY50*CFZ50</f>
        <v>#DIV/0!</v>
      </c>
      <c r="CGB50" s="363" t="s">
        <v>153</v>
      </c>
      <c r="CGC50" s="363"/>
      <c r="CGD50" s="363"/>
      <c r="CGE50" s="364" t="s">
        <v>140</v>
      </c>
      <c r="CGF50" s="365">
        <v>0.5</v>
      </c>
      <c r="CGG50" s="366" t="e">
        <f>10/CGC48</f>
        <v>#DIV/0!</v>
      </c>
      <c r="CGH50" s="367">
        <v>15.38</v>
      </c>
      <c r="CGI50" s="367" t="e">
        <f>CGF50*CGG50*CGH50</f>
        <v>#DIV/0!</v>
      </c>
      <c r="CGJ50" s="363" t="s">
        <v>153</v>
      </c>
      <c r="CGK50" s="363"/>
      <c r="CGL50" s="363"/>
      <c r="CGM50" s="364" t="s">
        <v>140</v>
      </c>
      <c r="CGN50" s="365">
        <v>0.5</v>
      </c>
      <c r="CGO50" s="366" t="e">
        <f>10/CGK48</f>
        <v>#DIV/0!</v>
      </c>
      <c r="CGP50" s="367">
        <v>15.38</v>
      </c>
      <c r="CGQ50" s="367" t="e">
        <f>CGN50*CGO50*CGP50</f>
        <v>#DIV/0!</v>
      </c>
      <c r="CGR50" s="363" t="s">
        <v>153</v>
      </c>
      <c r="CGS50" s="363"/>
      <c r="CGT50" s="363"/>
      <c r="CGU50" s="364" t="s">
        <v>140</v>
      </c>
      <c r="CGV50" s="365">
        <v>0.5</v>
      </c>
      <c r="CGW50" s="366" t="e">
        <f>10/CGS48</f>
        <v>#DIV/0!</v>
      </c>
      <c r="CGX50" s="367">
        <v>15.38</v>
      </c>
      <c r="CGY50" s="367" t="e">
        <f>CGV50*CGW50*CGX50</f>
        <v>#DIV/0!</v>
      </c>
      <c r="CGZ50" s="363" t="s">
        <v>153</v>
      </c>
      <c r="CHA50" s="363"/>
      <c r="CHB50" s="363"/>
      <c r="CHC50" s="364" t="s">
        <v>140</v>
      </c>
      <c r="CHD50" s="365">
        <v>0.5</v>
      </c>
      <c r="CHE50" s="366" t="e">
        <f>10/CHA48</f>
        <v>#DIV/0!</v>
      </c>
      <c r="CHF50" s="367">
        <v>15.38</v>
      </c>
      <c r="CHG50" s="367" t="e">
        <f>CHD50*CHE50*CHF50</f>
        <v>#DIV/0!</v>
      </c>
      <c r="CHH50" s="363" t="s">
        <v>153</v>
      </c>
      <c r="CHI50" s="363"/>
      <c r="CHJ50" s="363"/>
      <c r="CHK50" s="364" t="s">
        <v>140</v>
      </c>
      <c r="CHL50" s="365">
        <v>0.5</v>
      </c>
      <c r="CHM50" s="366" t="e">
        <f>10/CHI48</f>
        <v>#DIV/0!</v>
      </c>
      <c r="CHN50" s="367">
        <v>15.38</v>
      </c>
      <c r="CHO50" s="367" t="e">
        <f>CHL50*CHM50*CHN50</f>
        <v>#DIV/0!</v>
      </c>
      <c r="CHP50" s="363" t="s">
        <v>153</v>
      </c>
      <c r="CHQ50" s="363"/>
      <c r="CHR50" s="363"/>
      <c r="CHS50" s="364" t="s">
        <v>140</v>
      </c>
      <c r="CHT50" s="365">
        <v>0.5</v>
      </c>
      <c r="CHU50" s="366" t="e">
        <f>10/CHQ48</f>
        <v>#DIV/0!</v>
      </c>
      <c r="CHV50" s="367">
        <v>15.38</v>
      </c>
      <c r="CHW50" s="367" t="e">
        <f>CHT50*CHU50*CHV50</f>
        <v>#DIV/0!</v>
      </c>
      <c r="CHX50" s="363" t="s">
        <v>153</v>
      </c>
      <c r="CHY50" s="363"/>
      <c r="CHZ50" s="363"/>
      <c r="CIA50" s="364" t="s">
        <v>140</v>
      </c>
      <c r="CIB50" s="365">
        <v>0.5</v>
      </c>
      <c r="CIC50" s="366" t="e">
        <f>10/CHY48</f>
        <v>#DIV/0!</v>
      </c>
      <c r="CID50" s="367">
        <v>15.38</v>
      </c>
      <c r="CIE50" s="367" t="e">
        <f>CIB50*CIC50*CID50</f>
        <v>#DIV/0!</v>
      </c>
      <c r="CIF50" s="363" t="s">
        <v>153</v>
      </c>
      <c r="CIG50" s="363"/>
      <c r="CIH50" s="363"/>
      <c r="CII50" s="364" t="s">
        <v>140</v>
      </c>
      <c r="CIJ50" s="365">
        <v>0.5</v>
      </c>
      <c r="CIK50" s="366" t="e">
        <f>10/CIG48</f>
        <v>#DIV/0!</v>
      </c>
      <c r="CIL50" s="367">
        <v>15.38</v>
      </c>
      <c r="CIM50" s="367" t="e">
        <f>CIJ50*CIK50*CIL50</f>
        <v>#DIV/0!</v>
      </c>
      <c r="CIN50" s="363" t="s">
        <v>153</v>
      </c>
      <c r="CIO50" s="363"/>
      <c r="CIP50" s="363"/>
      <c r="CIQ50" s="364" t="s">
        <v>140</v>
      </c>
      <c r="CIR50" s="365">
        <v>0.5</v>
      </c>
      <c r="CIS50" s="366" t="e">
        <f>10/CIO48</f>
        <v>#DIV/0!</v>
      </c>
      <c r="CIT50" s="367">
        <v>15.38</v>
      </c>
      <c r="CIU50" s="367" t="e">
        <f>CIR50*CIS50*CIT50</f>
        <v>#DIV/0!</v>
      </c>
      <c r="CIV50" s="363" t="s">
        <v>153</v>
      </c>
      <c r="CIW50" s="363"/>
      <c r="CIX50" s="363"/>
      <c r="CIY50" s="364" t="s">
        <v>140</v>
      </c>
      <c r="CIZ50" s="365">
        <v>0.5</v>
      </c>
      <c r="CJA50" s="366" t="e">
        <f>10/CIW48</f>
        <v>#DIV/0!</v>
      </c>
      <c r="CJB50" s="367">
        <v>15.38</v>
      </c>
      <c r="CJC50" s="367" t="e">
        <f>CIZ50*CJA50*CJB50</f>
        <v>#DIV/0!</v>
      </c>
      <c r="CJD50" s="363" t="s">
        <v>153</v>
      </c>
      <c r="CJE50" s="363"/>
      <c r="CJF50" s="363"/>
      <c r="CJG50" s="364" t="s">
        <v>140</v>
      </c>
      <c r="CJH50" s="365">
        <v>0.5</v>
      </c>
      <c r="CJI50" s="366" t="e">
        <f>10/CJE48</f>
        <v>#DIV/0!</v>
      </c>
      <c r="CJJ50" s="367">
        <v>15.38</v>
      </c>
      <c r="CJK50" s="367" t="e">
        <f>CJH50*CJI50*CJJ50</f>
        <v>#DIV/0!</v>
      </c>
      <c r="CJL50" s="363" t="s">
        <v>153</v>
      </c>
      <c r="CJM50" s="363"/>
      <c r="CJN50" s="363"/>
      <c r="CJO50" s="364" t="s">
        <v>140</v>
      </c>
      <c r="CJP50" s="365">
        <v>0.5</v>
      </c>
      <c r="CJQ50" s="366" t="e">
        <f>10/CJM48</f>
        <v>#DIV/0!</v>
      </c>
      <c r="CJR50" s="367">
        <v>15.38</v>
      </c>
      <c r="CJS50" s="367" t="e">
        <f>CJP50*CJQ50*CJR50</f>
        <v>#DIV/0!</v>
      </c>
      <c r="CJT50" s="363" t="s">
        <v>153</v>
      </c>
      <c r="CJU50" s="363"/>
      <c r="CJV50" s="363"/>
      <c r="CJW50" s="364" t="s">
        <v>140</v>
      </c>
      <c r="CJX50" s="365">
        <v>0.5</v>
      </c>
      <c r="CJY50" s="366" t="e">
        <f>10/CJU48</f>
        <v>#DIV/0!</v>
      </c>
      <c r="CJZ50" s="367">
        <v>15.38</v>
      </c>
      <c r="CKA50" s="367" t="e">
        <f>CJX50*CJY50*CJZ50</f>
        <v>#DIV/0!</v>
      </c>
      <c r="CKB50" s="363" t="s">
        <v>153</v>
      </c>
      <c r="CKC50" s="363"/>
      <c r="CKD50" s="363"/>
      <c r="CKE50" s="364" t="s">
        <v>140</v>
      </c>
      <c r="CKF50" s="365">
        <v>0.5</v>
      </c>
      <c r="CKG50" s="366" t="e">
        <f>10/CKC48</f>
        <v>#DIV/0!</v>
      </c>
      <c r="CKH50" s="367">
        <v>15.38</v>
      </c>
      <c r="CKI50" s="367" t="e">
        <f>CKF50*CKG50*CKH50</f>
        <v>#DIV/0!</v>
      </c>
      <c r="CKJ50" s="363" t="s">
        <v>153</v>
      </c>
      <c r="CKK50" s="363"/>
      <c r="CKL50" s="363"/>
      <c r="CKM50" s="364" t="s">
        <v>140</v>
      </c>
      <c r="CKN50" s="365">
        <v>0.5</v>
      </c>
      <c r="CKO50" s="366" t="e">
        <f>10/CKK48</f>
        <v>#DIV/0!</v>
      </c>
      <c r="CKP50" s="367">
        <v>15.38</v>
      </c>
      <c r="CKQ50" s="367" t="e">
        <f>CKN50*CKO50*CKP50</f>
        <v>#DIV/0!</v>
      </c>
      <c r="CKR50" s="363" t="s">
        <v>153</v>
      </c>
      <c r="CKS50" s="363"/>
      <c r="CKT50" s="363"/>
      <c r="CKU50" s="364" t="s">
        <v>140</v>
      </c>
      <c r="CKV50" s="365">
        <v>0.5</v>
      </c>
      <c r="CKW50" s="366" t="e">
        <f>10/CKS48</f>
        <v>#DIV/0!</v>
      </c>
      <c r="CKX50" s="367">
        <v>15.38</v>
      </c>
      <c r="CKY50" s="367" t="e">
        <f>CKV50*CKW50*CKX50</f>
        <v>#DIV/0!</v>
      </c>
      <c r="CKZ50" s="363" t="s">
        <v>153</v>
      </c>
      <c r="CLA50" s="363"/>
      <c r="CLB50" s="363"/>
      <c r="CLC50" s="364" t="s">
        <v>140</v>
      </c>
      <c r="CLD50" s="365">
        <v>0.5</v>
      </c>
      <c r="CLE50" s="366" t="e">
        <f>10/CLA48</f>
        <v>#DIV/0!</v>
      </c>
      <c r="CLF50" s="367">
        <v>15.38</v>
      </c>
      <c r="CLG50" s="367" t="e">
        <f>CLD50*CLE50*CLF50</f>
        <v>#DIV/0!</v>
      </c>
      <c r="CLH50" s="363" t="s">
        <v>153</v>
      </c>
      <c r="CLI50" s="363"/>
      <c r="CLJ50" s="363"/>
      <c r="CLK50" s="364" t="s">
        <v>140</v>
      </c>
      <c r="CLL50" s="365">
        <v>0.5</v>
      </c>
      <c r="CLM50" s="366" t="e">
        <f>10/CLI48</f>
        <v>#DIV/0!</v>
      </c>
      <c r="CLN50" s="367">
        <v>15.38</v>
      </c>
      <c r="CLO50" s="367" t="e">
        <f>CLL50*CLM50*CLN50</f>
        <v>#DIV/0!</v>
      </c>
      <c r="CLP50" s="363" t="s">
        <v>153</v>
      </c>
      <c r="CLQ50" s="363"/>
      <c r="CLR50" s="363"/>
      <c r="CLS50" s="364" t="s">
        <v>140</v>
      </c>
      <c r="CLT50" s="365">
        <v>0.5</v>
      </c>
      <c r="CLU50" s="366" t="e">
        <f>10/CLQ48</f>
        <v>#DIV/0!</v>
      </c>
      <c r="CLV50" s="367">
        <v>15.38</v>
      </c>
      <c r="CLW50" s="367" t="e">
        <f>CLT50*CLU50*CLV50</f>
        <v>#DIV/0!</v>
      </c>
      <c r="CLX50" s="363" t="s">
        <v>153</v>
      </c>
      <c r="CLY50" s="363"/>
      <c r="CLZ50" s="363"/>
      <c r="CMA50" s="364" t="s">
        <v>140</v>
      </c>
      <c r="CMB50" s="365">
        <v>0.5</v>
      </c>
      <c r="CMC50" s="366" t="e">
        <f>10/CLY48</f>
        <v>#DIV/0!</v>
      </c>
      <c r="CMD50" s="367">
        <v>15.38</v>
      </c>
      <c r="CME50" s="367" t="e">
        <f>CMB50*CMC50*CMD50</f>
        <v>#DIV/0!</v>
      </c>
      <c r="CMF50" s="363" t="s">
        <v>153</v>
      </c>
      <c r="CMG50" s="363"/>
      <c r="CMH50" s="363"/>
      <c r="CMI50" s="364" t="s">
        <v>140</v>
      </c>
      <c r="CMJ50" s="365">
        <v>0.5</v>
      </c>
      <c r="CMK50" s="366" t="e">
        <f>10/CMG48</f>
        <v>#DIV/0!</v>
      </c>
      <c r="CML50" s="367">
        <v>15.38</v>
      </c>
      <c r="CMM50" s="367" t="e">
        <f>CMJ50*CMK50*CML50</f>
        <v>#DIV/0!</v>
      </c>
      <c r="CMN50" s="363" t="s">
        <v>153</v>
      </c>
      <c r="CMO50" s="363"/>
      <c r="CMP50" s="363"/>
      <c r="CMQ50" s="364" t="s">
        <v>140</v>
      </c>
      <c r="CMR50" s="365">
        <v>0.5</v>
      </c>
      <c r="CMS50" s="366" t="e">
        <f>10/CMO48</f>
        <v>#DIV/0!</v>
      </c>
      <c r="CMT50" s="367">
        <v>15.38</v>
      </c>
      <c r="CMU50" s="367" t="e">
        <f>CMR50*CMS50*CMT50</f>
        <v>#DIV/0!</v>
      </c>
      <c r="CMV50" s="363" t="s">
        <v>153</v>
      </c>
      <c r="CMW50" s="363"/>
      <c r="CMX50" s="363"/>
      <c r="CMY50" s="364" t="s">
        <v>140</v>
      </c>
      <c r="CMZ50" s="365">
        <v>0.5</v>
      </c>
      <c r="CNA50" s="366" t="e">
        <f>10/CMW48</f>
        <v>#DIV/0!</v>
      </c>
      <c r="CNB50" s="367">
        <v>15.38</v>
      </c>
      <c r="CNC50" s="367" t="e">
        <f>CMZ50*CNA50*CNB50</f>
        <v>#DIV/0!</v>
      </c>
      <c r="CND50" s="363" t="s">
        <v>153</v>
      </c>
      <c r="CNE50" s="363"/>
      <c r="CNF50" s="363"/>
      <c r="CNG50" s="364" t="s">
        <v>140</v>
      </c>
      <c r="CNH50" s="365">
        <v>0.5</v>
      </c>
      <c r="CNI50" s="366" t="e">
        <f>10/CNE48</f>
        <v>#DIV/0!</v>
      </c>
      <c r="CNJ50" s="367">
        <v>15.38</v>
      </c>
      <c r="CNK50" s="367" t="e">
        <f>CNH50*CNI50*CNJ50</f>
        <v>#DIV/0!</v>
      </c>
      <c r="CNL50" s="363" t="s">
        <v>153</v>
      </c>
      <c r="CNM50" s="363"/>
      <c r="CNN50" s="363"/>
      <c r="CNO50" s="364" t="s">
        <v>140</v>
      </c>
      <c r="CNP50" s="365">
        <v>0.5</v>
      </c>
      <c r="CNQ50" s="366" t="e">
        <f>10/CNM48</f>
        <v>#DIV/0!</v>
      </c>
      <c r="CNR50" s="367">
        <v>15.38</v>
      </c>
      <c r="CNS50" s="367" t="e">
        <f>CNP50*CNQ50*CNR50</f>
        <v>#DIV/0!</v>
      </c>
      <c r="CNT50" s="363" t="s">
        <v>153</v>
      </c>
      <c r="CNU50" s="363"/>
      <c r="CNV50" s="363"/>
      <c r="CNW50" s="364" t="s">
        <v>140</v>
      </c>
      <c r="CNX50" s="365">
        <v>0.5</v>
      </c>
      <c r="CNY50" s="366" t="e">
        <f>10/CNU48</f>
        <v>#DIV/0!</v>
      </c>
      <c r="CNZ50" s="367">
        <v>15.38</v>
      </c>
      <c r="COA50" s="367" t="e">
        <f>CNX50*CNY50*CNZ50</f>
        <v>#DIV/0!</v>
      </c>
      <c r="COB50" s="363" t="s">
        <v>153</v>
      </c>
      <c r="COC50" s="363"/>
      <c r="COD50" s="363"/>
      <c r="COE50" s="364" t="s">
        <v>140</v>
      </c>
      <c r="COF50" s="365">
        <v>0.5</v>
      </c>
      <c r="COG50" s="366" t="e">
        <f>10/COC48</f>
        <v>#DIV/0!</v>
      </c>
      <c r="COH50" s="367">
        <v>15.38</v>
      </c>
      <c r="COI50" s="367" t="e">
        <f>COF50*COG50*COH50</f>
        <v>#DIV/0!</v>
      </c>
      <c r="COJ50" s="363" t="s">
        <v>153</v>
      </c>
      <c r="COK50" s="363"/>
      <c r="COL50" s="363"/>
      <c r="COM50" s="364" t="s">
        <v>140</v>
      </c>
      <c r="CON50" s="365">
        <v>0.5</v>
      </c>
      <c r="COO50" s="366" t="e">
        <f>10/COK48</f>
        <v>#DIV/0!</v>
      </c>
      <c r="COP50" s="367">
        <v>15.38</v>
      </c>
      <c r="COQ50" s="367" t="e">
        <f>CON50*COO50*COP50</f>
        <v>#DIV/0!</v>
      </c>
      <c r="COR50" s="363" t="s">
        <v>153</v>
      </c>
      <c r="COS50" s="363"/>
      <c r="COT50" s="363"/>
      <c r="COU50" s="364" t="s">
        <v>140</v>
      </c>
      <c r="COV50" s="365">
        <v>0.5</v>
      </c>
      <c r="COW50" s="366" t="e">
        <f>10/COS48</f>
        <v>#DIV/0!</v>
      </c>
      <c r="COX50" s="367">
        <v>15.38</v>
      </c>
      <c r="COY50" s="367" t="e">
        <f>COV50*COW50*COX50</f>
        <v>#DIV/0!</v>
      </c>
      <c r="COZ50" s="363" t="s">
        <v>153</v>
      </c>
      <c r="CPA50" s="363"/>
      <c r="CPB50" s="363"/>
      <c r="CPC50" s="364" t="s">
        <v>140</v>
      </c>
      <c r="CPD50" s="365">
        <v>0.5</v>
      </c>
      <c r="CPE50" s="366" t="e">
        <f>10/CPA48</f>
        <v>#DIV/0!</v>
      </c>
      <c r="CPF50" s="367">
        <v>15.38</v>
      </c>
      <c r="CPG50" s="367" t="e">
        <f>CPD50*CPE50*CPF50</f>
        <v>#DIV/0!</v>
      </c>
      <c r="CPH50" s="363" t="s">
        <v>153</v>
      </c>
      <c r="CPI50" s="363"/>
      <c r="CPJ50" s="363"/>
      <c r="CPK50" s="364" t="s">
        <v>140</v>
      </c>
      <c r="CPL50" s="365">
        <v>0.5</v>
      </c>
      <c r="CPM50" s="366" t="e">
        <f>10/CPI48</f>
        <v>#DIV/0!</v>
      </c>
      <c r="CPN50" s="367">
        <v>15.38</v>
      </c>
      <c r="CPO50" s="367" t="e">
        <f>CPL50*CPM50*CPN50</f>
        <v>#DIV/0!</v>
      </c>
      <c r="CPP50" s="363" t="s">
        <v>153</v>
      </c>
      <c r="CPQ50" s="363"/>
      <c r="CPR50" s="363"/>
      <c r="CPS50" s="364" t="s">
        <v>140</v>
      </c>
      <c r="CPT50" s="365">
        <v>0.5</v>
      </c>
      <c r="CPU50" s="366" t="e">
        <f>10/CPQ48</f>
        <v>#DIV/0!</v>
      </c>
      <c r="CPV50" s="367">
        <v>15.38</v>
      </c>
      <c r="CPW50" s="367" t="e">
        <f>CPT50*CPU50*CPV50</f>
        <v>#DIV/0!</v>
      </c>
      <c r="CPX50" s="363" t="s">
        <v>153</v>
      </c>
      <c r="CPY50" s="363"/>
      <c r="CPZ50" s="363"/>
      <c r="CQA50" s="364" t="s">
        <v>140</v>
      </c>
      <c r="CQB50" s="365">
        <v>0.5</v>
      </c>
      <c r="CQC50" s="366" t="e">
        <f>10/CPY48</f>
        <v>#DIV/0!</v>
      </c>
      <c r="CQD50" s="367">
        <v>15.38</v>
      </c>
      <c r="CQE50" s="367" t="e">
        <f>CQB50*CQC50*CQD50</f>
        <v>#DIV/0!</v>
      </c>
      <c r="CQF50" s="363" t="s">
        <v>153</v>
      </c>
      <c r="CQG50" s="363"/>
      <c r="CQH50" s="363"/>
      <c r="CQI50" s="364" t="s">
        <v>140</v>
      </c>
      <c r="CQJ50" s="365">
        <v>0.5</v>
      </c>
      <c r="CQK50" s="366" t="e">
        <f>10/CQG48</f>
        <v>#DIV/0!</v>
      </c>
      <c r="CQL50" s="367">
        <v>15.38</v>
      </c>
      <c r="CQM50" s="367" t="e">
        <f>CQJ50*CQK50*CQL50</f>
        <v>#DIV/0!</v>
      </c>
      <c r="CQN50" s="363" t="s">
        <v>153</v>
      </c>
      <c r="CQO50" s="363"/>
      <c r="CQP50" s="363"/>
      <c r="CQQ50" s="364" t="s">
        <v>140</v>
      </c>
      <c r="CQR50" s="365">
        <v>0.5</v>
      </c>
      <c r="CQS50" s="366" t="e">
        <f>10/CQO48</f>
        <v>#DIV/0!</v>
      </c>
      <c r="CQT50" s="367">
        <v>15.38</v>
      </c>
      <c r="CQU50" s="367" t="e">
        <f>CQR50*CQS50*CQT50</f>
        <v>#DIV/0!</v>
      </c>
      <c r="CQV50" s="363" t="s">
        <v>153</v>
      </c>
      <c r="CQW50" s="363"/>
      <c r="CQX50" s="363"/>
      <c r="CQY50" s="364" t="s">
        <v>140</v>
      </c>
      <c r="CQZ50" s="365">
        <v>0.5</v>
      </c>
      <c r="CRA50" s="366" t="e">
        <f>10/CQW48</f>
        <v>#DIV/0!</v>
      </c>
      <c r="CRB50" s="367">
        <v>15.38</v>
      </c>
      <c r="CRC50" s="367" t="e">
        <f>CQZ50*CRA50*CRB50</f>
        <v>#DIV/0!</v>
      </c>
      <c r="CRD50" s="363" t="s">
        <v>153</v>
      </c>
      <c r="CRE50" s="363"/>
      <c r="CRF50" s="363"/>
      <c r="CRG50" s="364" t="s">
        <v>140</v>
      </c>
      <c r="CRH50" s="365">
        <v>0.5</v>
      </c>
      <c r="CRI50" s="366" t="e">
        <f>10/CRE48</f>
        <v>#DIV/0!</v>
      </c>
      <c r="CRJ50" s="367">
        <v>15.38</v>
      </c>
      <c r="CRK50" s="367" t="e">
        <f>CRH50*CRI50*CRJ50</f>
        <v>#DIV/0!</v>
      </c>
      <c r="CRL50" s="363" t="s">
        <v>153</v>
      </c>
      <c r="CRM50" s="363"/>
      <c r="CRN50" s="363"/>
      <c r="CRO50" s="364" t="s">
        <v>140</v>
      </c>
      <c r="CRP50" s="365">
        <v>0.5</v>
      </c>
      <c r="CRQ50" s="366" t="e">
        <f>10/CRM48</f>
        <v>#DIV/0!</v>
      </c>
      <c r="CRR50" s="367">
        <v>15.38</v>
      </c>
      <c r="CRS50" s="367" t="e">
        <f>CRP50*CRQ50*CRR50</f>
        <v>#DIV/0!</v>
      </c>
      <c r="CRT50" s="363" t="s">
        <v>153</v>
      </c>
      <c r="CRU50" s="363"/>
      <c r="CRV50" s="363"/>
      <c r="CRW50" s="364" t="s">
        <v>140</v>
      </c>
      <c r="CRX50" s="365">
        <v>0.5</v>
      </c>
      <c r="CRY50" s="366" t="e">
        <f>10/CRU48</f>
        <v>#DIV/0!</v>
      </c>
      <c r="CRZ50" s="367">
        <v>15.38</v>
      </c>
      <c r="CSA50" s="367" t="e">
        <f>CRX50*CRY50*CRZ50</f>
        <v>#DIV/0!</v>
      </c>
      <c r="CSB50" s="363" t="s">
        <v>153</v>
      </c>
      <c r="CSC50" s="363"/>
      <c r="CSD50" s="363"/>
      <c r="CSE50" s="364" t="s">
        <v>140</v>
      </c>
      <c r="CSF50" s="365">
        <v>0.5</v>
      </c>
      <c r="CSG50" s="366" t="e">
        <f>10/CSC48</f>
        <v>#DIV/0!</v>
      </c>
      <c r="CSH50" s="367">
        <v>15.38</v>
      </c>
      <c r="CSI50" s="367" t="e">
        <f>CSF50*CSG50*CSH50</f>
        <v>#DIV/0!</v>
      </c>
      <c r="CSJ50" s="363" t="s">
        <v>153</v>
      </c>
      <c r="CSK50" s="363"/>
      <c r="CSL50" s="363"/>
      <c r="CSM50" s="364" t="s">
        <v>140</v>
      </c>
      <c r="CSN50" s="365">
        <v>0.5</v>
      </c>
      <c r="CSO50" s="366" t="e">
        <f>10/CSK48</f>
        <v>#DIV/0!</v>
      </c>
      <c r="CSP50" s="367">
        <v>15.38</v>
      </c>
      <c r="CSQ50" s="367" t="e">
        <f>CSN50*CSO50*CSP50</f>
        <v>#DIV/0!</v>
      </c>
      <c r="CSR50" s="363" t="s">
        <v>153</v>
      </c>
      <c r="CSS50" s="363"/>
      <c r="CST50" s="363"/>
      <c r="CSU50" s="364" t="s">
        <v>140</v>
      </c>
      <c r="CSV50" s="365">
        <v>0.5</v>
      </c>
      <c r="CSW50" s="366" t="e">
        <f>10/CSS48</f>
        <v>#DIV/0!</v>
      </c>
      <c r="CSX50" s="367">
        <v>15.38</v>
      </c>
      <c r="CSY50" s="367" t="e">
        <f>CSV50*CSW50*CSX50</f>
        <v>#DIV/0!</v>
      </c>
      <c r="CSZ50" s="363" t="s">
        <v>153</v>
      </c>
      <c r="CTA50" s="363"/>
      <c r="CTB50" s="363"/>
      <c r="CTC50" s="364" t="s">
        <v>140</v>
      </c>
      <c r="CTD50" s="365">
        <v>0.5</v>
      </c>
      <c r="CTE50" s="366" t="e">
        <f>10/CTA48</f>
        <v>#DIV/0!</v>
      </c>
      <c r="CTF50" s="367">
        <v>15.38</v>
      </c>
      <c r="CTG50" s="367" t="e">
        <f>CTD50*CTE50*CTF50</f>
        <v>#DIV/0!</v>
      </c>
      <c r="CTH50" s="363" t="s">
        <v>153</v>
      </c>
      <c r="CTI50" s="363"/>
      <c r="CTJ50" s="363"/>
      <c r="CTK50" s="364" t="s">
        <v>140</v>
      </c>
      <c r="CTL50" s="365">
        <v>0.5</v>
      </c>
      <c r="CTM50" s="366" t="e">
        <f>10/CTI48</f>
        <v>#DIV/0!</v>
      </c>
      <c r="CTN50" s="367">
        <v>15.38</v>
      </c>
      <c r="CTO50" s="367" t="e">
        <f>CTL50*CTM50*CTN50</f>
        <v>#DIV/0!</v>
      </c>
      <c r="CTP50" s="363" t="s">
        <v>153</v>
      </c>
      <c r="CTQ50" s="363"/>
      <c r="CTR50" s="363"/>
      <c r="CTS50" s="364" t="s">
        <v>140</v>
      </c>
      <c r="CTT50" s="365">
        <v>0.5</v>
      </c>
      <c r="CTU50" s="366" t="e">
        <f>10/CTQ48</f>
        <v>#DIV/0!</v>
      </c>
      <c r="CTV50" s="367">
        <v>15.38</v>
      </c>
      <c r="CTW50" s="367" t="e">
        <f>CTT50*CTU50*CTV50</f>
        <v>#DIV/0!</v>
      </c>
      <c r="CTX50" s="363" t="s">
        <v>153</v>
      </c>
      <c r="CTY50" s="363"/>
      <c r="CTZ50" s="363"/>
      <c r="CUA50" s="364" t="s">
        <v>140</v>
      </c>
      <c r="CUB50" s="365">
        <v>0.5</v>
      </c>
      <c r="CUC50" s="366" t="e">
        <f>10/CTY48</f>
        <v>#DIV/0!</v>
      </c>
      <c r="CUD50" s="367">
        <v>15.38</v>
      </c>
      <c r="CUE50" s="367" t="e">
        <f>CUB50*CUC50*CUD50</f>
        <v>#DIV/0!</v>
      </c>
      <c r="CUF50" s="363" t="s">
        <v>153</v>
      </c>
      <c r="CUG50" s="363"/>
      <c r="CUH50" s="363"/>
      <c r="CUI50" s="364" t="s">
        <v>140</v>
      </c>
      <c r="CUJ50" s="365">
        <v>0.5</v>
      </c>
      <c r="CUK50" s="366" t="e">
        <f>10/CUG48</f>
        <v>#DIV/0!</v>
      </c>
      <c r="CUL50" s="367">
        <v>15.38</v>
      </c>
      <c r="CUM50" s="367" t="e">
        <f>CUJ50*CUK50*CUL50</f>
        <v>#DIV/0!</v>
      </c>
      <c r="CUN50" s="363" t="s">
        <v>153</v>
      </c>
      <c r="CUO50" s="363"/>
      <c r="CUP50" s="363"/>
      <c r="CUQ50" s="364" t="s">
        <v>140</v>
      </c>
      <c r="CUR50" s="365">
        <v>0.5</v>
      </c>
      <c r="CUS50" s="366" t="e">
        <f>10/CUO48</f>
        <v>#DIV/0!</v>
      </c>
      <c r="CUT50" s="367">
        <v>15.38</v>
      </c>
      <c r="CUU50" s="367" t="e">
        <f>CUR50*CUS50*CUT50</f>
        <v>#DIV/0!</v>
      </c>
      <c r="CUV50" s="363" t="s">
        <v>153</v>
      </c>
      <c r="CUW50" s="363"/>
      <c r="CUX50" s="363"/>
      <c r="CUY50" s="364" t="s">
        <v>140</v>
      </c>
      <c r="CUZ50" s="365">
        <v>0.5</v>
      </c>
      <c r="CVA50" s="366" t="e">
        <f>10/CUW48</f>
        <v>#DIV/0!</v>
      </c>
      <c r="CVB50" s="367">
        <v>15.38</v>
      </c>
      <c r="CVC50" s="367" t="e">
        <f>CUZ50*CVA50*CVB50</f>
        <v>#DIV/0!</v>
      </c>
      <c r="CVD50" s="363" t="s">
        <v>153</v>
      </c>
      <c r="CVE50" s="363"/>
      <c r="CVF50" s="363"/>
      <c r="CVG50" s="364" t="s">
        <v>140</v>
      </c>
      <c r="CVH50" s="365">
        <v>0.5</v>
      </c>
      <c r="CVI50" s="366" t="e">
        <f>10/CVE48</f>
        <v>#DIV/0!</v>
      </c>
      <c r="CVJ50" s="367">
        <v>15.38</v>
      </c>
      <c r="CVK50" s="367" t="e">
        <f>CVH50*CVI50*CVJ50</f>
        <v>#DIV/0!</v>
      </c>
      <c r="CVL50" s="363" t="s">
        <v>153</v>
      </c>
      <c r="CVM50" s="363"/>
      <c r="CVN50" s="363"/>
      <c r="CVO50" s="364" t="s">
        <v>140</v>
      </c>
      <c r="CVP50" s="365">
        <v>0.5</v>
      </c>
      <c r="CVQ50" s="366" t="e">
        <f>10/CVM48</f>
        <v>#DIV/0!</v>
      </c>
      <c r="CVR50" s="367">
        <v>15.38</v>
      </c>
      <c r="CVS50" s="367" t="e">
        <f>CVP50*CVQ50*CVR50</f>
        <v>#DIV/0!</v>
      </c>
      <c r="CVT50" s="363" t="s">
        <v>153</v>
      </c>
      <c r="CVU50" s="363"/>
      <c r="CVV50" s="363"/>
      <c r="CVW50" s="364" t="s">
        <v>140</v>
      </c>
      <c r="CVX50" s="365">
        <v>0.5</v>
      </c>
      <c r="CVY50" s="366" t="e">
        <f>10/CVU48</f>
        <v>#DIV/0!</v>
      </c>
      <c r="CVZ50" s="367">
        <v>15.38</v>
      </c>
      <c r="CWA50" s="367" t="e">
        <f>CVX50*CVY50*CVZ50</f>
        <v>#DIV/0!</v>
      </c>
      <c r="CWB50" s="363" t="s">
        <v>153</v>
      </c>
      <c r="CWC50" s="363"/>
      <c r="CWD50" s="363"/>
      <c r="CWE50" s="364" t="s">
        <v>140</v>
      </c>
      <c r="CWF50" s="365">
        <v>0.5</v>
      </c>
      <c r="CWG50" s="366" t="e">
        <f>10/CWC48</f>
        <v>#DIV/0!</v>
      </c>
      <c r="CWH50" s="367">
        <v>15.38</v>
      </c>
      <c r="CWI50" s="367" t="e">
        <f>CWF50*CWG50*CWH50</f>
        <v>#DIV/0!</v>
      </c>
      <c r="CWJ50" s="363" t="s">
        <v>153</v>
      </c>
      <c r="CWK50" s="363"/>
      <c r="CWL50" s="363"/>
      <c r="CWM50" s="364" t="s">
        <v>140</v>
      </c>
      <c r="CWN50" s="365">
        <v>0.5</v>
      </c>
      <c r="CWO50" s="366" t="e">
        <f>10/CWK48</f>
        <v>#DIV/0!</v>
      </c>
      <c r="CWP50" s="367">
        <v>15.38</v>
      </c>
      <c r="CWQ50" s="367" t="e">
        <f>CWN50*CWO50*CWP50</f>
        <v>#DIV/0!</v>
      </c>
      <c r="CWR50" s="363" t="s">
        <v>153</v>
      </c>
      <c r="CWS50" s="363"/>
      <c r="CWT50" s="363"/>
      <c r="CWU50" s="364" t="s">
        <v>140</v>
      </c>
      <c r="CWV50" s="365">
        <v>0.5</v>
      </c>
      <c r="CWW50" s="366" t="e">
        <f>10/CWS48</f>
        <v>#DIV/0!</v>
      </c>
      <c r="CWX50" s="367">
        <v>15.38</v>
      </c>
      <c r="CWY50" s="367" t="e">
        <f>CWV50*CWW50*CWX50</f>
        <v>#DIV/0!</v>
      </c>
      <c r="CWZ50" s="363" t="s">
        <v>153</v>
      </c>
      <c r="CXA50" s="363"/>
      <c r="CXB50" s="363"/>
      <c r="CXC50" s="364" t="s">
        <v>140</v>
      </c>
      <c r="CXD50" s="365">
        <v>0.5</v>
      </c>
      <c r="CXE50" s="366" t="e">
        <f>10/CXA48</f>
        <v>#DIV/0!</v>
      </c>
      <c r="CXF50" s="367">
        <v>15.38</v>
      </c>
      <c r="CXG50" s="367" t="e">
        <f>CXD50*CXE50*CXF50</f>
        <v>#DIV/0!</v>
      </c>
      <c r="CXH50" s="363" t="s">
        <v>153</v>
      </c>
      <c r="CXI50" s="363"/>
      <c r="CXJ50" s="363"/>
      <c r="CXK50" s="364" t="s">
        <v>140</v>
      </c>
      <c r="CXL50" s="365">
        <v>0.5</v>
      </c>
      <c r="CXM50" s="366" t="e">
        <f>10/CXI48</f>
        <v>#DIV/0!</v>
      </c>
      <c r="CXN50" s="367">
        <v>15.38</v>
      </c>
      <c r="CXO50" s="367" t="e">
        <f>CXL50*CXM50*CXN50</f>
        <v>#DIV/0!</v>
      </c>
      <c r="CXP50" s="363" t="s">
        <v>153</v>
      </c>
      <c r="CXQ50" s="363"/>
      <c r="CXR50" s="363"/>
      <c r="CXS50" s="364" t="s">
        <v>140</v>
      </c>
      <c r="CXT50" s="365">
        <v>0.5</v>
      </c>
      <c r="CXU50" s="366" t="e">
        <f>10/CXQ48</f>
        <v>#DIV/0!</v>
      </c>
      <c r="CXV50" s="367">
        <v>15.38</v>
      </c>
      <c r="CXW50" s="367" t="e">
        <f>CXT50*CXU50*CXV50</f>
        <v>#DIV/0!</v>
      </c>
      <c r="CXX50" s="363" t="s">
        <v>153</v>
      </c>
      <c r="CXY50" s="363"/>
      <c r="CXZ50" s="363"/>
      <c r="CYA50" s="364" t="s">
        <v>140</v>
      </c>
      <c r="CYB50" s="365">
        <v>0.5</v>
      </c>
      <c r="CYC50" s="366" t="e">
        <f>10/CXY48</f>
        <v>#DIV/0!</v>
      </c>
      <c r="CYD50" s="367">
        <v>15.38</v>
      </c>
      <c r="CYE50" s="367" t="e">
        <f>CYB50*CYC50*CYD50</f>
        <v>#DIV/0!</v>
      </c>
      <c r="CYF50" s="363" t="s">
        <v>153</v>
      </c>
      <c r="CYG50" s="363"/>
      <c r="CYH50" s="363"/>
      <c r="CYI50" s="364" t="s">
        <v>140</v>
      </c>
      <c r="CYJ50" s="365">
        <v>0.5</v>
      </c>
      <c r="CYK50" s="366" t="e">
        <f>10/CYG48</f>
        <v>#DIV/0!</v>
      </c>
      <c r="CYL50" s="367">
        <v>15.38</v>
      </c>
      <c r="CYM50" s="367" t="e">
        <f>CYJ50*CYK50*CYL50</f>
        <v>#DIV/0!</v>
      </c>
      <c r="CYN50" s="363" t="s">
        <v>153</v>
      </c>
      <c r="CYO50" s="363"/>
      <c r="CYP50" s="363"/>
      <c r="CYQ50" s="364" t="s">
        <v>140</v>
      </c>
      <c r="CYR50" s="365">
        <v>0.5</v>
      </c>
      <c r="CYS50" s="366" t="e">
        <f>10/CYO48</f>
        <v>#DIV/0!</v>
      </c>
      <c r="CYT50" s="367">
        <v>15.38</v>
      </c>
      <c r="CYU50" s="367" t="e">
        <f>CYR50*CYS50*CYT50</f>
        <v>#DIV/0!</v>
      </c>
      <c r="CYV50" s="363" t="s">
        <v>153</v>
      </c>
      <c r="CYW50" s="363"/>
      <c r="CYX50" s="363"/>
      <c r="CYY50" s="364" t="s">
        <v>140</v>
      </c>
      <c r="CYZ50" s="365">
        <v>0.5</v>
      </c>
      <c r="CZA50" s="366" t="e">
        <f>10/CYW48</f>
        <v>#DIV/0!</v>
      </c>
      <c r="CZB50" s="367">
        <v>15.38</v>
      </c>
      <c r="CZC50" s="367" t="e">
        <f>CYZ50*CZA50*CZB50</f>
        <v>#DIV/0!</v>
      </c>
      <c r="CZD50" s="363" t="s">
        <v>153</v>
      </c>
      <c r="CZE50" s="363"/>
      <c r="CZF50" s="363"/>
      <c r="CZG50" s="364" t="s">
        <v>140</v>
      </c>
      <c r="CZH50" s="365">
        <v>0.5</v>
      </c>
      <c r="CZI50" s="366" t="e">
        <f>10/CZE48</f>
        <v>#DIV/0!</v>
      </c>
      <c r="CZJ50" s="367">
        <v>15.38</v>
      </c>
      <c r="CZK50" s="367" t="e">
        <f>CZH50*CZI50*CZJ50</f>
        <v>#DIV/0!</v>
      </c>
      <c r="CZL50" s="363" t="s">
        <v>153</v>
      </c>
      <c r="CZM50" s="363"/>
      <c r="CZN50" s="363"/>
      <c r="CZO50" s="364" t="s">
        <v>140</v>
      </c>
      <c r="CZP50" s="365">
        <v>0.5</v>
      </c>
      <c r="CZQ50" s="366" t="e">
        <f>10/CZM48</f>
        <v>#DIV/0!</v>
      </c>
      <c r="CZR50" s="367">
        <v>15.38</v>
      </c>
      <c r="CZS50" s="367" t="e">
        <f>CZP50*CZQ50*CZR50</f>
        <v>#DIV/0!</v>
      </c>
      <c r="CZT50" s="363" t="s">
        <v>153</v>
      </c>
      <c r="CZU50" s="363"/>
      <c r="CZV50" s="363"/>
      <c r="CZW50" s="364" t="s">
        <v>140</v>
      </c>
      <c r="CZX50" s="365">
        <v>0.5</v>
      </c>
      <c r="CZY50" s="366" t="e">
        <f>10/CZU48</f>
        <v>#DIV/0!</v>
      </c>
      <c r="CZZ50" s="367">
        <v>15.38</v>
      </c>
      <c r="DAA50" s="367" t="e">
        <f>CZX50*CZY50*CZZ50</f>
        <v>#DIV/0!</v>
      </c>
      <c r="DAB50" s="363" t="s">
        <v>153</v>
      </c>
      <c r="DAC50" s="363"/>
      <c r="DAD50" s="363"/>
      <c r="DAE50" s="364" t="s">
        <v>140</v>
      </c>
      <c r="DAF50" s="365">
        <v>0.5</v>
      </c>
      <c r="DAG50" s="366" t="e">
        <f>10/DAC48</f>
        <v>#DIV/0!</v>
      </c>
      <c r="DAH50" s="367">
        <v>15.38</v>
      </c>
      <c r="DAI50" s="367" t="e">
        <f>DAF50*DAG50*DAH50</f>
        <v>#DIV/0!</v>
      </c>
      <c r="DAJ50" s="363" t="s">
        <v>153</v>
      </c>
      <c r="DAK50" s="363"/>
      <c r="DAL50" s="363"/>
      <c r="DAM50" s="364" t="s">
        <v>140</v>
      </c>
      <c r="DAN50" s="365">
        <v>0.5</v>
      </c>
      <c r="DAO50" s="366" t="e">
        <f>10/DAK48</f>
        <v>#DIV/0!</v>
      </c>
      <c r="DAP50" s="367">
        <v>15.38</v>
      </c>
      <c r="DAQ50" s="367" t="e">
        <f>DAN50*DAO50*DAP50</f>
        <v>#DIV/0!</v>
      </c>
      <c r="DAR50" s="363" t="s">
        <v>153</v>
      </c>
      <c r="DAS50" s="363"/>
      <c r="DAT50" s="363"/>
      <c r="DAU50" s="364" t="s">
        <v>140</v>
      </c>
      <c r="DAV50" s="365">
        <v>0.5</v>
      </c>
      <c r="DAW50" s="366" t="e">
        <f>10/DAS48</f>
        <v>#DIV/0!</v>
      </c>
      <c r="DAX50" s="367">
        <v>15.38</v>
      </c>
      <c r="DAY50" s="367" t="e">
        <f>DAV50*DAW50*DAX50</f>
        <v>#DIV/0!</v>
      </c>
      <c r="DAZ50" s="363" t="s">
        <v>153</v>
      </c>
      <c r="DBA50" s="363"/>
      <c r="DBB50" s="363"/>
      <c r="DBC50" s="364" t="s">
        <v>140</v>
      </c>
      <c r="DBD50" s="365">
        <v>0.5</v>
      </c>
      <c r="DBE50" s="366" t="e">
        <f>10/DBA48</f>
        <v>#DIV/0!</v>
      </c>
      <c r="DBF50" s="367">
        <v>15.38</v>
      </c>
      <c r="DBG50" s="367" t="e">
        <f>DBD50*DBE50*DBF50</f>
        <v>#DIV/0!</v>
      </c>
      <c r="DBH50" s="363" t="s">
        <v>153</v>
      </c>
      <c r="DBI50" s="363"/>
      <c r="DBJ50" s="363"/>
      <c r="DBK50" s="364" t="s">
        <v>140</v>
      </c>
      <c r="DBL50" s="365">
        <v>0.5</v>
      </c>
      <c r="DBM50" s="366" t="e">
        <f>10/DBI48</f>
        <v>#DIV/0!</v>
      </c>
      <c r="DBN50" s="367">
        <v>15.38</v>
      </c>
      <c r="DBO50" s="367" t="e">
        <f>DBL50*DBM50*DBN50</f>
        <v>#DIV/0!</v>
      </c>
      <c r="DBP50" s="363" t="s">
        <v>153</v>
      </c>
      <c r="DBQ50" s="363"/>
      <c r="DBR50" s="363"/>
      <c r="DBS50" s="364" t="s">
        <v>140</v>
      </c>
      <c r="DBT50" s="365">
        <v>0.5</v>
      </c>
      <c r="DBU50" s="366" t="e">
        <f>10/DBQ48</f>
        <v>#DIV/0!</v>
      </c>
      <c r="DBV50" s="367">
        <v>15.38</v>
      </c>
      <c r="DBW50" s="367" t="e">
        <f>DBT50*DBU50*DBV50</f>
        <v>#DIV/0!</v>
      </c>
      <c r="DBX50" s="363" t="s">
        <v>153</v>
      </c>
      <c r="DBY50" s="363"/>
      <c r="DBZ50" s="363"/>
      <c r="DCA50" s="364" t="s">
        <v>140</v>
      </c>
      <c r="DCB50" s="365">
        <v>0.5</v>
      </c>
      <c r="DCC50" s="366" t="e">
        <f>10/DBY48</f>
        <v>#DIV/0!</v>
      </c>
      <c r="DCD50" s="367">
        <v>15.38</v>
      </c>
      <c r="DCE50" s="367" t="e">
        <f>DCB50*DCC50*DCD50</f>
        <v>#DIV/0!</v>
      </c>
      <c r="DCF50" s="363" t="s">
        <v>153</v>
      </c>
      <c r="DCG50" s="363"/>
      <c r="DCH50" s="363"/>
      <c r="DCI50" s="364" t="s">
        <v>140</v>
      </c>
      <c r="DCJ50" s="365">
        <v>0.5</v>
      </c>
      <c r="DCK50" s="366" t="e">
        <f>10/DCG48</f>
        <v>#DIV/0!</v>
      </c>
      <c r="DCL50" s="367">
        <v>15.38</v>
      </c>
      <c r="DCM50" s="367" t="e">
        <f>DCJ50*DCK50*DCL50</f>
        <v>#DIV/0!</v>
      </c>
      <c r="DCN50" s="363" t="s">
        <v>153</v>
      </c>
      <c r="DCO50" s="363"/>
      <c r="DCP50" s="363"/>
      <c r="DCQ50" s="364" t="s">
        <v>140</v>
      </c>
      <c r="DCR50" s="365">
        <v>0.5</v>
      </c>
      <c r="DCS50" s="366" t="e">
        <f>10/DCO48</f>
        <v>#DIV/0!</v>
      </c>
      <c r="DCT50" s="367">
        <v>15.38</v>
      </c>
      <c r="DCU50" s="367" t="e">
        <f>DCR50*DCS50*DCT50</f>
        <v>#DIV/0!</v>
      </c>
      <c r="DCV50" s="363" t="s">
        <v>153</v>
      </c>
      <c r="DCW50" s="363"/>
      <c r="DCX50" s="363"/>
      <c r="DCY50" s="364" t="s">
        <v>140</v>
      </c>
      <c r="DCZ50" s="365">
        <v>0.5</v>
      </c>
      <c r="DDA50" s="366" t="e">
        <f>10/DCW48</f>
        <v>#DIV/0!</v>
      </c>
      <c r="DDB50" s="367">
        <v>15.38</v>
      </c>
      <c r="DDC50" s="367" t="e">
        <f>DCZ50*DDA50*DDB50</f>
        <v>#DIV/0!</v>
      </c>
      <c r="DDD50" s="363" t="s">
        <v>153</v>
      </c>
      <c r="DDE50" s="363"/>
      <c r="DDF50" s="363"/>
      <c r="DDG50" s="364" t="s">
        <v>140</v>
      </c>
      <c r="DDH50" s="365">
        <v>0.5</v>
      </c>
      <c r="DDI50" s="366" t="e">
        <f>10/DDE48</f>
        <v>#DIV/0!</v>
      </c>
      <c r="DDJ50" s="367">
        <v>15.38</v>
      </c>
      <c r="DDK50" s="367" t="e">
        <f>DDH50*DDI50*DDJ50</f>
        <v>#DIV/0!</v>
      </c>
      <c r="DDL50" s="363" t="s">
        <v>153</v>
      </c>
      <c r="DDM50" s="363"/>
      <c r="DDN50" s="363"/>
      <c r="DDO50" s="364" t="s">
        <v>140</v>
      </c>
      <c r="DDP50" s="365">
        <v>0.5</v>
      </c>
      <c r="DDQ50" s="366" t="e">
        <f>10/DDM48</f>
        <v>#DIV/0!</v>
      </c>
      <c r="DDR50" s="367">
        <v>15.38</v>
      </c>
      <c r="DDS50" s="367" t="e">
        <f>DDP50*DDQ50*DDR50</f>
        <v>#DIV/0!</v>
      </c>
      <c r="DDT50" s="363" t="s">
        <v>153</v>
      </c>
      <c r="DDU50" s="363"/>
      <c r="DDV50" s="363"/>
      <c r="DDW50" s="364" t="s">
        <v>140</v>
      </c>
      <c r="DDX50" s="365">
        <v>0.5</v>
      </c>
      <c r="DDY50" s="366" t="e">
        <f>10/DDU48</f>
        <v>#DIV/0!</v>
      </c>
      <c r="DDZ50" s="367">
        <v>15.38</v>
      </c>
      <c r="DEA50" s="367" t="e">
        <f>DDX50*DDY50*DDZ50</f>
        <v>#DIV/0!</v>
      </c>
      <c r="DEB50" s="363" t="s">
        <v>153</v>
      </c>
      <c r="DEC50" s="363"/>
      <c r="DED50" s="363"/>
      <c r="DEE50" s="364" t="s">
        <v>140</v>
      </c>
      <c r="DEF50" s="365">
        <v>0.5</v>
      </c>
      <c r="DEG50" s="366" t="e">
        <f>10/DEC48</f>
        <v>#DIV/0!</v>
      </c>
      <c r="DEH50" s="367">
        <v>15.38</v>
      </c>
      <c r="DEI50" s="367" t="e">
        <f>DEF50*DEG50*DEH50</f>
        <v>#DIV/0!</v>
      </c>
      <c r="DEJ50" s="363" t="s">
        <v>153</v>
      </c>
      <c r="DEK50" s="363"/>
      <c r="DEL50" s="363"/>
      <c r="DEM50" s="364" t="s">
        <v>140</v>
      </c>
      <c r="DEN50" s="365">
        <v>0.5</v>
      </c>
      <c r="DEO50" s="366" t="e">
        <f>10/DEK48</f>
        <v>#DIV/0!</v>
      </c>
      <c r="DEP50" s="367">
        <v>15.38</v>
      </c>
      <c r="DEQ50" s="367" t="e">
        <f>DEN50*DEO50*DEP50</f>
        <v>#DIV/0!</v>
      </c>
      <c r="DER50" s="363" t="s">
        <v>153</v>
      </c>
      <c r="DES50" s="363"/>
      <c r="DET50" s="363"/>
      <c r="DEU50" s="364" t="s">
        <v>140</v>
      </c>
      <c r="DEV50" s="365">
        <v>0.5</v>
      </c>
      <c r="DEW50" s="366" t="e">
        <f>10/DES48</f>
        <v>#DIV/0!</v>
      </c>
      <c r="DEX50" s="367">
        <v>15.38</v>
      </c>
      <c r="DEY50" s="367" t="e">
        <f>DEV50*DEW50*DEX50</f>
        <v>#DIV/0!</v>
      </c>
      <c r="DEZ50" s="363" t="s">
        <v>153</v>
      </c>
      <c r="DFA50" s="363"/>
      <c r="DFB50" s="363"/>
      <c r="DFC50" s="364" t="s">
        <v>140</v>
      </c>
      <c r="DFD50" s="365">
        <v>0.5</v>
      </c>
      <c r="DFE50" s="366" t="e">
        <f>10/DFA48</f>
        <v>#DIV/0!</v>
      </c>
      <c r="DFF50" s="367">
        <v>15.38</v>
      </c>
      <c r="DFG50" s="367" t="e">
        <f>DFD50*DFE50*DFF50</f>
        <v>#DIV/0!</v>
      </c>
      <c r="DFH50" s="363" t="s">
        <v>153</v>
      </c>
      <c r="DFI50" s="363"/>
      <c r="DFJ50" s="363"/>
      <c r="DFK50" s="364" t="s">
        <v>140</v>
      </c>
      <c r="DFL50" s="365">
        <v>0.5</v>
      </c>
      <c r="DFM50" s="366" t="e">
        <f>10/DFI48</f>
        <v>#DIV/0!</v>
      </c>
      <c r="DFN50" s="367">
        <v>15.38</v>
      </c>
      <c r="DFO50" s="367" t="e">
        <f>DFL50*DFM50*DFN50</f>
        <v>#DIV/0!</v>
      </c>
      <c r="DFP50" s="363" t="s">
        <v>153</v>
      </c>
      <c r="DFQ50" s="363"/>
      <c r="DFR50" s="363"/>
      <c r="DFS50" s="364" t="s">
        <v>140</v>
      </c>
      <c r="DFT50" s="365">
        <v>0.5</v>
      </c>
      <c r="DFU50" s="366" t="e">
        <f>10/DFQ48</f>
        <v>#DIV/0!</v>
      </c>
      <c r="DFV50" s="367">
        <v>15.38</v>
      </c>
      <c r="DFW50" s="367" t="e">
        <f>DFT50*DFU50*DFV50</f>
        <v>#DIV/0!</v>
      </c>
      <c r="DFX50" s="363" t="s">
        <v>153</v>
      </c>
      <c r="DFY50" s="363"/>
      <c r="DFZ50" s="363"/>
      <c r="DGA50" s="364" t="s">
        <v>140</v>
      </c>
      <c r="DGB50" s="365">
        <v>0.5</v>
      </c>
      <c r="DGC50" s="366" t="e">
        <f>10/DFY48</f>
        <v>#DIV/0!</v>
      </c>
      <c r="DGD50" s="367">
        <v>15.38</v>
      </c>
      <c r="DGE50" s="367" t="e">
        <f>DGB50*DGC50*DGD50</f>
        <v>#DIV/0!</v>
      </c>
      <c r="DGF50" s="363" t="s">
        <v>153</v>
      </c>
      <c r="DGG50" s="363"/>
      <c r="DGH50" s="363"/>
      <c r="DGI50" s="364" t="s">
        <v>140</v>
      </c>
      <c r="DGJ50" s="365">
        <v>0.5</v>
      </c>
      <c r="DGK50" s="366" t="e">
        <f>10/DGG48</f>
        <v>#DIV/0!</v>
      </c>
      <c r="DGL50" s="367">
        <v>15.38</v>
      </c>
      <c r="DGM50" s="367" t="e">
        <f>DGJ50*DGK50*DGL50</f>
        <v>#DIV/0!</v>
      </c>
      <c r="DGN50" s="363" t="s">
        <v>153</v>
      </c>
      <c r="DGO50" s="363"/>
      <c r="DGP50" s="363"/>
      <c r="DGQ50" s="364" t="s">
        <v>140</v>
      </c>
      <c r="DGR50" s="365">
        <v>0.5</v>
      </c>
      <c r="DGS50" s="366" t="e">
        <f>10/DGO48</f>
        <v>#DIV/0!</v>
      </c>
      <c r="DGT50" s="367">
        <v>15.38</v>
      </c>
      <c r="DGU50" s="367" t="e">
        <f>DGR50*DGS50*DGT50</f>
        <v>#DIV/0!</v>
      </c>
      <c r="DGV50" s="363" t="s">
        <v>153</v>
      </c>
      <c r="DGW50" s="363"/>
      <c r="DGX50" s="363"/>
      <c r="DGY50" s="364" t="s">
        <v>140</v>
      </c>
      <c r="DGZ50" s="365">
        <v>0.5</v>
      </c>
      <c r="DHA50" s="366" t="e">
        <f>10/DGW48</f>
        <v>#DIV/0!</v>
      </c>
      <c r="DHB50" s="367">
        <v>15.38</v>
      </c>
      <c r="DHC50" s="367" t="e">
        <f>DGZ50*DHA50*DHB50</f>
        <v>#DIV/0!</v>
      </c>
      <c r="DHD50" s="363" t="s">
        <v>153</v>
      </c>
      <c r="DHE50" s="363"/>
      <c r="DHF50" s="363"/>
      <c r="DHG50" s="364" t="s">
        <v>140</v>
      </c>
      <c r="DHH50" s="365">
        <v>0.5</v>
      </c>
      <c r="DHI50" s="366" t="e">
        <f>10/DHE48</f>
        <v>#DIV/0!</v>
      </c>
      <c r="DHJ50" s="367">
        <v>15.38</v>
      </c>
      <c r="DHK50" s="367" t="e">
        <f>DHH50*DHI50*DHJ50</f>
        <v>#DIV/0!</v>
      </c>
      <c r="DHL50" s="363" t="s">
        <v>153</v>
      </c>
      <c r="DHM50" s="363"/>
      <c r="DHN50" s="363"/>
      <c r="DHO50" s="364" t="s">
        <v>140</v>
      </c>
      <c r="DHP50" s="365">
        <v>0.5</v>
      </c>
      <c r="DHQ50" s="366" t="e">
        <f>10/DHM48</f>
        <v>#DIV/0!</v>
      </c>
      <c r="DHR50" s="367">
        <v>15.38</v>
      </c>
      <c r="DHS50" s="367" t="e">
        <f>DHP50*DHQ50*DHR50</f>
        <v>#DIV/0!</v>
      </c>
      <c r="DHT50" s="363" t="s">
        <v>153</v>
      </c>
      <c r="DHU50" s="363"/>
      <c r="DHV50" s="363"/>
      <c r="DHW50" s="364" t="s">
        <v>140</v>
      </c>
      <c r="DHX50" s="365">
        <v>0.5</v>
      </c>
      <c r="DHY50" s="366" t="e">
        <f>10/DHU48</f>
        <v>#DIV/0!</v>
      </c>
      <c r="DHZ50" s="367">
        <v>15.38</v>
      </c>
      <c r="DIA50" s="367" t="e">
        <f>DHX50*DHY50*DHZ50</f>
        <v>#DIV/0!</v>
      </c>
      <c r="DIB50" s="363" t="s">
        <v>153</v>
      </c>
      <c r="DIC50" s="363"/>
      <c r="DID50" s="363"/>
      <c r="DIE50" s="364" t="s">
        <v>140</v>
      </c>
      <c r="DIF50" s="365">
        <v>0.5</v>
      </c>
      <c r="DIG50" s="366" t="e">
        <f>10/DIC48</f>
        <v>#DIV/0!</v>
      </c>
      <c r="DIH50" s="367">
        <v>15.38</v>
      </c>
      <c r="DII50" s="367" t="e">
        <f>DIF50*DIG50*DIH50</f>
        <v>#DIV/0!</v>
      </c>
      <c r="DIJ50" s="363" t="s">
        <v>153</v>
      </c>
      <c r="DIK50" s="363"/>
      <c r="DIL50" s="363"/>
      <c r="DIM50" s="364" t="s">
        <v>140</v>
      </c>
      <c r="DIN50" s="365">
        <v>0.5</v>
      </c>
      <c r="DIO50" s="366" t="e">
        <f>10/DIK48</f>
        <v>#DIV/0!</v>
      </c>
      <c r="DIP50" s="367">
        <v>15.38</v>
      </c>
      <c r="DIQ50" s="367" t="e">
        <f>DIN50*DIO50*DIP50</f>
        <v>#DIV/0!</v>
      </c>
      <c r="DIR50" s="363" t="s">
        <v>153</v>
      </c>
      <c r="DIS50" s="363"/>
      <c r="DIT50" s="363"/>
      <c r="DIU50" s="364" t="s">
        <v>140</v>
      </c>
      <c r="DIV50" s="365">
        <v>0.5</v>
      </c>
      <c r="DIW50" s="366" t="e">
        <f>10/DIS48</f>
        <v>#DIV/0!</v>
      </c>
      <c r="DIX50" s="367">
        <v>15.38</v>
      </c>
      <c r="DIY50" s="367" t="e">
        <f>DIV50*DIW50*DIX50</f>
        <v>#DIV/0!</v>
      </c>
      <c r="DIZ50" s="363" t="s">
        <v>153</v>
      </c>
      <c r="DJA50" s="363"/>
      <c r="DJB50" s="363"/>
      <c r="DJC50" s="364" t="s">
        <v>140</v>
      </c>
      <c r="DJD50" s="365">
        <v>0.5</v>
      </c>
      <c r="DJE50" s="366" t="e">
        <f>10/DJA48</f>
        <v>#DIV/0!</v>
      </c>
      <c r="DJF50" s="367">
        <v>15.38</v>
      </c>
      <c r="DJG50" s="367" t="e">
        <f>DJD50*DJE50*DJF50</f>
        <v>#DIV/0!</v>
      </c>
      <c r="DJH50" s="363" t="s">
        <v>153</v>
      </c>
      <c r="DJI50" s="363"/>
      <c r="DJJ50" s="363"/>
      <c r="DJK50" s="364" t="s">
        <v>140</v>
      </c>
      <c r="DJL50" s="365">
        <v>0.5</v>
      </c>
      <c r="DJM50" s="366" t="e">
        <f>10/DJI48</f>
        <v>#DIV/0!</v>
      </c>
      <c r="DJN50" s="367">
        <v>15.38</v>
      </c>
      <c r="DJO50" s="367" t="e">
        <f>DJL50*DJM50*DJN50</f>
        <v>#DIV/0!</v>
      </c>
      <c r="DJP50" s="363" t="s">
        <v>153</v>
      </c>
      <c r="DJQ50" s="363"/>
      <c r="DJR50" s="363"/>
      <c r="DJS50" s="364" t="s">
        <v>140</v>
      </c>
      <c r="DJT50" s="365">
        <v>0.5</v>
      </c>
      <c r="DJU50" s="366" t="e">
        <f>10/DJQ48</f>
        <v>#DIV/0!</v>
      </c>
      <c r="DJV50" s="367">
        <v>15.38</v>
      </c>
      <c r="DJW50" s="367" t="e">
        <f>DJT50*DJU50*DJV50</f>
        <v>#DIV/0!</v>
      </c>
      <c r="DJX50" s="363" t="s">
        <v>153</v>
      </c>
      <c r="DJY50" s="363"/>
      <c r="DJZ50" s="363"/>
      <c r="DKA50" s="364" t="s">
        <v>140</v>
      </c>
      <c r="DKB50" s="365">
        <v>0.5</v>
      </c>
      <c r="DKC50" s="366" t="e">
        <f>10/DJY48</f>
        <v>#DIV/0!</v>
      </c>
      <c r="DKD50" s="367">
        <v>15.38</v>
      </c>
      <c r="DKE50" s="367" t="e">
        <f>DKB50*DKC50*DKD50</f>
        <v>#DIV/0!</v>
      </c>
      <c r="DKF50" s="363" t="s">
        <v>153</v>
      </c>
      <c r="DKG50" s="363"/>
      <c r="DKH50" s="363"/>
      <c r="DKI50" s="364" t="s">
        <v>140</v>
      </c>
      <c r="DKJ50" s="365">
        <v>0.5</v>
      </c>
      <c r="DKK50" s="366" t="e">
        <f>10/DKG48</f>
        <v>#DIV/0!</v>
      </c>
      <c r="DKL50" s="367">
        <v>15.38</v>
      </c>
      <c r="DKM50" s="367" t="e">
        <f>DKJ50*DKK50*DKL50</f>
        <v>#DIV/0!</v>
      </c>
      <c r="DKN50" s="363" t="s">
        <v>153</v>
      </c>
      <c r="DKO50" s="363"/>
      <c r="DKP50" s="363"/>
      <c r="DKQ50" s="364" t="s">
        <v>140</v>
      </c>
      <c r="DKR50" s="365">
        <v>0.5</v>
      </c>
      <c r="DKS50" s="366" t="e">
        <f>10/DKO48</f>
        <v>#DIV/0!</v>
      </c>
      <c r="DKT50" s="367">
        <v>15.38</v>
      </c>
      <c r="DKU50" s="367" t="e">
        <f>DKR50*DKS50*DKT50</f>
        <v>#DIV/0!</v>
      </c>
      <c r="DKV50" s="363" t="s">
        <v>153</v>
      </c>
      <c r="DKW50" s="363"/>
      <c r="DKX50" s="363"/>
      <c r="DKY50" s="364" t="s">
        <v>140</v>
      </c>
      <c r="DKZ50" s="365">
        <v>0.5</v>
      </c>
      <c r="DLA50" s="366" t="e">
        <f>10/DKW48</f>
        <v>#DIV/0!</v>
      </c>
      <c r="DLB50" s="367">
        <v>15.38</v>
      </c>
      <c r="DLC50" s="367" t="e">
        <f>DKZ50*DLA50*DLB50</f>
        <v>#DIV/0!</v>
      </c>
      <c r="DLD50" s="363" t="s">
        <v>153</v>
      </c>
      <c r="DLE50" s="363"/>
      <c r="DLF50" s="363"/>
      <c r="DLG50" s="364" t="s">
        <v>140</v>
      </c>
      <c r="DLH50" s="365">
        <v>0.5</v>
      </c>
      <c r="DLI50" s="366" t="e">
        <f>10/DLE48</f>
        <v>#DIV/0!</v>
      </c>
      <c r="DLJ50" s="367">
        <v>15.38</v>
      </c>
      <c r="DLK50" s="367" t="e">
        <f>DLH50*DLI50*DLJ50</f>
        <v>#DIV/0!</v>
      </c>
      <c r="DLL50" s="363" t="s">
        <v>153</v>
      </c>
      <c r="DLM50" s="363"/>
      <c r="DLN50" s="363"/>
      <c r="DLO50" s="364" t="s">
        <v>140</v>
      </c>
      <c r="DLP50" s="365">
        <v>0.5</v>
      </c>
      <c r="DLQ50" s="366" t="e">
        <f>10/DLM48</f>
        <v>#DIV/0!</v>
      </c>
      <c r="DLR50" s="367">
        <v>15.38</v>
      </c>
      <c r="DLS50" s="367" t="e">
        <f>DLP50*DLQ50*DLR50</f>
        <v>#DIV/0!</v>
      </c>
      <c r="DLT50" s="363" t="s">
        <v>153</v>
      </c>
      <c r="DLU50" s="363"/>
      <c r="DLV50" s="363"/>
      <c r="DLW50" s="364" t="s">
        <v>140</v>
      </c>
      <c r="DLX50" s="365">
        <v>0.5</v>
      </c>
      <c r="DLY50" s="366" t="e">
        <f>10/DLU48</f>
        <v>#DIV/0!</v>
      </c>
      <c r="DLZ50" s="367">
        <v>15.38</v>
      </c>
      <c r="DMA50" s="367" t="e">
        <f>DLX50*DLY50*DLZ50</f>
        <v>#DIV/0!</v>
      </c>
      <c r="DMB50" s="363" t="s">
        <v>153</v>
      </c>
      <c r="DMC50" s="363"/>
      <c r="DMD50" s="363"/>
      <c r="DME50" s="364" t="s">
        <v>140</v>
      </c>
      <c r="DMF50" s="365">
        <v>0.5</v>
      </c>
      <c r="DMG50" s="366" t="e">
        <f>10/DMC48</f>
        <v>#DIV/0!</v>
      </c>
      <c r="DMH50" s="367">
        <v>15.38</v>
      </c>
      <c r="DMI50" s="367" t="e">
        <f>DMF50*DMG50*DMH50</f>
        <v>#DIV/0!</v>
      </c>
      <c r="DMJ50" s="363" t="s">
        <v>153</v>
      </c>
      <c r="DMK50" s="363"/>
      <c r="DML50" s="363"/>
      <c r="DMM50" s="364" t="s">
        <v>140</v>
      </c>
      <c r="DMN50" s="365">
        <v>0.5</v>
      </c>
      <c r="DMO50" s="366" t="e">
        <f>10/DMK48</f>
        <v>#DIV/0!</v>
      </c>
      <c r="DMP50" s="367">
        <v>15.38</v>
      </c>
      <c r="DMQ50" s="367" t="e">
        <f>DMN50*DMO50*DMP50</f>
        <v>#DIV/0!</v>
      </c>
      <c r="DMR50" s="363" t="s">
        <v>153</v>
      </c>
      <c r="DMS50" s="363"/>
      <c r="DMT50" s="363"/>
      <c r="DMU50" s="364" t="s">
        <v>140</v>
      </c>
      <c r="DMV50" s="365">
        <v>0.5</v>
      </c>
      <c r="DMW50" s="366" t="e">
        <f>10/DMS48</f>
        <v>#DIV/0!</v>
      </c>
      <c r="DMX50" s="367">
        <v>15.38</v>
      </c>
      <c r="DMY50" s="367" t="e">
        <f>DMV50*DMW50*DMX50</f>
        <v>#DIV/0!</v>
      </c>
      <c r="DMZ50" s="363" t="s">
        <v>153</v>
      </c>
      <c r="DNA50" s="363"/>
      <c r="DNB50" s="363"/>
      <c r="DNC50" s="364" t="s">
        <v>140</v>
      </c>
      <c r="DND50" s="365">
        <v>0.5</v>
      </c>
      <c r="DNE50" s="366" t="e">
        <f>10/DNA48</f>
        <v>#DIV/0!</v>
      </c>
      <c r="DNF50" s="367">
        <v>15.38</v>
      </c>
      <c r="DNG50" s="367" t="e">
        <f>DND50*DNE50*DNF50</f>
        <v>#DIV/0!</v>
      </c>
      <c r="DNH50" s="363" t="s">
        <v>153</v>
      </c>
      <c r="DNI50" s="363"/>
      <c r="DNJ50" s="363"/>
      <c r="DNK50" s="364" t="s">
        <v>140</v>
      </c>
      <c r="DNL50" s="365">
        <v>0.5</v>
      </c>
      <c r="DNM50" s="366" t="e">
        <f>10/DNI48</f>
        <v>#DIV/0!</v>
      </c>
      <c r="DNN50" s="367">
        <v>15.38</v>
      </c>
      <c r="DNO50" s="367" t="e">
        <f>DNL50*DNM50*DNN50</f>
        <v>#DIV/0!</v>
      </c>
      <c r="DNP50" s="363" t="s">
        <v>153</v>
      </c>
      <c r="DNQ50" s="363"/>
      <c r="DNR50" s="363"/>
      <c r="DNS50" s="364" t="s">
        <v>140</v>
      </c>
      <c r="DNT50" s="365">
        <v>0.5</v>
      </c>
      <c r="DNU50" s="366" t="e">
        <f>10/DNQ48</f>
        <v>#DIV/0!</v>
      </c>
      <c r="DNV50" s="367">
        <v>15.38</v>
      </c>
      <c r="DNW50" s="367" t="e">
        <f>DNT50*DNU50*DNV50</f>
        <v>#DIV/0!</v>
      </c>
      <c r="DNX50" s="363" t="s">
        <v>153</v>
      </c>
      <c r="DNY50" s="363"/>
      <c r="DNZ50" s="363"/>
      <c r="DOA50" s="364" t="s">
        <v>140</v>
      </c>
      <c r="DOB50" s="365">
        <v>0.5</v>
      </c>
      <c r="DOC50" s="366" t="e">
        <f>10/DNY48</f>
        <v>#DIV/0!</v>
      </c>
      <c r="DOD50" s="367">
        <v>15.38</v>
      </c>
      <c r="DOE50" s="367" t="e">
        <f>DOB50*DOC50*DOD50</f>
        <v>#DIV/0!</v>
      </c>
      <c r="DOF50" s="363" t="s">
        <v>153</v>
      </c>
      <c r="DOG50" s="363"/>
      <c r="DOH50" s="363"/>
      <c r="DOI50" s="364" t="s">
        <v>140</v>
      </c>
      <c r="DOJ50" s="365">
        <v>0.5</v>
      </c>
      <c r="DOK50" s="366" t="e">
        <f>10/DOG48</f>
        <v>#DIV/0!</v>
      </c>
      <c r="DOL50" s="367">
        <v>15.38</v>
      </c>
      <c r="DOM50" s="367" t="e">
        <f>DOJ50*DOK50*DOL50</f>
        <v>#DIV/0!</v>
      </c>
      <c r="DON50" s="363" t="s">
        <v>153</v>
      </c>
      <c r="DOO50" s="363"/>
      <c r="DOP50" s="363"/>
      <c r="DOQ50" s="364" t="s">
        <v>140</v>
      </c>
      <c r="DOR50" s="365">
        <v>0.5</v>
      </c>
      <c r="DOS50" s="366" t="e">
        <f>10/DOO48</f>
        <v>#DIV/0!</v>
      </c>
      <c r="DOT50" s="367">
        <v>15.38</v>
      </c>
      <c r="DOU50" s="367" t="e">
        <f>DOR50*DOS50*DOT50</f>
        <v>#DIV/0!</v>
      </c>
      <c r="DOV50" s="363" t="s">
        <v>153</v>
      </c>
      <c r="DOW50" s="363"/>
      <c r="DOX50" s="363"/>
      <c r="DOY50" s="364" t="s">
        <v>140</v>
      </c>
      <c r="DOZ50" s="365">
        <v>0.5</v>
      </c>
      <c r="DPA50" s="366" t="e">
        <f>10/DOW48</f>
        <v>#DIV/0!</v>
      </c>
      <c r="DPB50" s="367">
        <v>15.38</v>
      </c>
      <c r="DPC50" s="367" t="e">
        <f>DOZ50*DPA50*DPB50</f>
        <v>#DIV/0!</v>
      </c>
      <c r="DPD50" s="363" t="s">
        <v>153</v>
      </c>
      <c r="DPE50" s="363"/>
      <c r="DPF50" s="363"/>
      <c r="DPG50" s="364" t="s">
        <v>140</v>
      </c>
      <c r="DPH50" s="365">
        <v>0.5</v>
      </c>
      <c r="DPI50" s="366" t="e">
        <f>10/DPE48</f>
        <v>#DIV/0!</v>
      </c>
      <c r="DPJ50" s="367">
        <v>15.38</v>
      </c>
      <c r="DPK50" s="367" t="e">
        <f>DPH50*DPI50*DPJ50</f>
        <v>#DIV/0!</v>
      </c>
      <c r="DPL50" s="363" t="s">
        <v>153</v>
      </c>
      <c r="DPM50" s="363"/>
      <c r="DPN50" s="363"/>
      <c r="DPO50" s="364" t="s">
        <v>140</v>
      </c>
      <c r="DPP50" s="365">
        <v>0.5</v>
      </c>
      <c r="DPQ50" s="366" t="e">
        <f>10/DPM48</f>
        <v>#DIV/0!</v>
      </c>
      <c r="DPR50" s="367">
        <v>15.38</v>
      </c>
      <c r="DPS50" s="367" t="e">
        <f>DPP50*DPQ50*DPR50</f>
        <v>#DIV/0!</v>
      </c>
      <c r="DPT50" s="363" t="s">
        <v>153</v>
      </c>
      <c r="DPU50" s="363"/>
      <c r="DPV50" s="363"/>
      <c r="DPW50" s="364" t="s">
        <v>140</v>
      </c>
      <c r="DPX50" s="365">
        <v>0.5</v>
      </c>
      <c r="DPY50" s="366" t="e">
        <f>10/DPU48</f>
        <v>#DIV/0!</v>
      </c>
      <c r="DPZ50" s="367">
        <v>15.38</v>
      </c>
      <c r="DQA50" s="367" t="e">
        <f>DPX50*DPY50*DPZ50</f>
        <v>#DIV/0!</v>
      </c>
      <c r="DQB50" s="363" t="s">
        <v>153</v>
      </c>
      <c r="DQC50" s="363"/>
      <c r="DQD50" s="363"/>
      <c r="DQE50" s="364" t="s">
        <v>140</v>
      </c>
      <c r="DQF50" s="365">
        <v>0.5</v>
      </c>
      <c r="DQG50" s="366" t="e">
        <f>10/DQC48</f>
        <v>#DIV/0!</v>
      </c>
      <c r="DQH50" s="367">
        <v>15.38</v>
      </c>
      <c r="DQI50" s="367" t="e">
        <f>DQF50*DQG50*DQH50</f>
        <v>#DIV/0!</v>
      </c>
      <c r="DQJ50" s="363" t="s">
        <v>153</v>
      </c>
      <c r="DQK50" s="363"/>
      <c r="DQL50" s="363"/>
      <c r="DQM50" s="364" t="s">
        <v>140</v>
      </c>
      <c r="DQN50" s="365">
        <v>0.5</v>
      </c>
      <c r="DQO50" s="366" t="e">
        <f>10/DQK48</f>
        <v>#DIV/0!</v>
      </c>
      <c r="DQP50" s="367">
        <v>15.38</v>
      </c>
      <c r="DQQ50" s="367" t="e">
        <f>DQN50*DQO50*DQP50</f>
        <v>#DIV/0!</v>
      </c>
      <c r="DQR50" s="363" t="s">
        <v>153</v>
      </c>
      <c r="DQS50" s="363"/>
      <c r="DQT50" s="363"/>
      <c r="DQU50" s="364" t="s">
        <v>140</v>
      </c>
      <c r="DQV50" s="365">
        <v>0.5</v>
      </c>
      <c r="DQW50" s="366" t="e">
        <f>10/DQS48</f>
        <v>#DIV/0!</v>
      </c>
      <c r="DQX50" s="367">
        <v>15.38</v>
      </c>
      <c r="DQY50" s="367" t="e">
        <f>DQV50*DQW50*DQX50</f>
        <v>#DIV/0!</v>
      </c>
      <c r="DQZ50" s="363" t="s">
        <v>153</v>
      </c>
      <c r="DRA50" s="363"/>
      <c r="DRB50" s="363"/>
      <c r="DRC50" s="364" t="s">
        <v>140</v>
      </c>
      <c r="DRD50" s="365">
        <v>0.5</v>
      </c>
      <c r="DRE50" s="366" t="e">
        <f>10/DRA48</f>
        <v>#DIV/0!</v>
      </c>
      <c r="DRF50" s="367">
        <v>15.38</v>
      </c>
      <c r="DRG50" s="367" t="e">
        <f>DRD50*DRE50*DRF50</f>
        <v>#DIV/0!</v>
      </c>
      <c r="DRH50" s="363" t="s">
        <v>153</v>
      </c>
      <c r="DRI50" s="363"/>
      <c r="DRJ50" s="363"/>
      <c r="DRK50" s="364" t="s">
        <v>140</v>
      </c>
      <c r="DRL50" s="365">
        <v>0.5</v>
      </c>
      <c r="DRM50" s="366" t="e">
        <f>10/DRI48</f>
        <v>#DIV/0!</v>
      </c>
      <c r="DRN50" s="367">
        <v>15.38</v>
      </c>
      <c r="DRO50" s="367" t="e">
        <f>DRL50*DRM50*DRN50</f>
        <v>#DIV/0!</v>
      </c>
      <c r="DRP50" s="363" t="s">
        <v>153</v>
      </c>
      <c r="DRQ50" s="363"/>
      <c r="DRR50" s="363"/>
      <c r="DRS50" s="364" t="s">
        <v>140</v>
      </c>
      <c r="DRT50" s="365">
        <v>0.5</v>
      </c>
      <c r="DRU50" s="366" t="e">
        <f>10/DRQ48</f>
        <v>#DIV/0!</v>
      </c>
      <c r="DRV50" s="367">
        <v>15.38</v>
      </c>
      <c r="DRW50" s="367" t="e">
        <f>DRT50*DRU50*DRV50</f>
        <v>#DIV/0!</v>
      </c>
      <c r="DRX50" s="363" t="s">
        <v>153</v>
      </c>
      <c r="DRY50" s="363"/>
      <c r="DRZ50" s="363"/>
      <c r="DSA50" s="364" t="s">
        <v>140</v>
      </c>
      <c r="DSB50" s="365">
        <v>0.5</v>
      </c>
      <c r="DSC50" s="366" t="e">
        <f>10/DRY48</f>
        <v>#DIV/0!</v>
      </c>
      <c r="DSD50" s="367">
        <v>15.38</v>
      </c>
      <c r="DSE50" s="367" t="e">
        <f>DSB50*DSC50*DSD50</f>
        <v>#DIV/0!</v>
      </c>
      <c r="DSF50" s="363" t="s">
        <v>153</v>
      </c>
      <c r="DSG50" s="363"/>
      <c r="DSH50" s="363"/>
      <c r="DSI50" s="364" t="s">
        <v>140</v>
      </c>
      <c r="DSJ50" s="365">
        <v>0.5</v>
      </c>
      <c r="DSK50" s="366" t="e">
        <f>10/DSG48</f>
        <v>#DIV/0!</v>
      </c>
      <c r="DSL50" s="367">
        <v>15.38</v>
      </c>
      <c r="DSM50" s="367" t="e">
        <f>DSJ50*DSK50*DSL50</f>
        <v>#DIV/0!</v>
      </c>
      <c r="DSN50" s="363" t="s">
        <v>153</v>
      </c>
      <c r="DSO50" s="363"/>
      <c r="DSP50" s="363"/>
      <c r="DSQ50" s="364" t="s">
        <v>140</v>
      </c>
      <c r="DSR50" s="365">
        <v>0.5</v>
      </c>
      <c r="DSS50" s="366" t="e">
        <f>10/DSO48</f>
        <v>#DIV/0!</v>
      </c>
      <c r="DST50" s="367">
        <v>15.38</v>
      </c>
      <c r="DSU50" s="367" t="e">
        <f>DSR50*DSS50*DST50</f>
        <v>#DIV/0!</v>
      </c>
      <c r="DSV50" s="363" t="s">
        <v>153</v>
      </c>
      <c r="DSW50" s="363"/>
      <c r="DSX50" s="363"/>
      <c r="DSY50" s="364" t="s">
        <v>140</v>
      </c>
      <c r="DSZ50" s="365">
        <v>0.5</v>
      </c>
      <c r="DTA50" s="366" t="e">
        <f>10/DSW48</f>
        <v>#DIV/0!</v>
      </c>
      <c r="DTB50" s="367">
        <v>15.38</v>
      </c>
      <c r="DTC50" s="367" t="e">
        <f>DSZ50*DTA50*DTB50</f>
        <v>#DIV/0!</v>
      </c>
      <c r="DTD50" s="363" t="s">
        <v>153</v>
      </c>
      <c r="DTE50" s="363"/>
      <c r="DTF50" s="363"/>
      <c r="DTG50" s="364" t="s">
        <v>140</v>
      </c>
      <c r="DTH50" s="365">
        <v>0.5</v>
      </c>
      <c r="DTI50" s="366" t="e">
        <f>10/DTE48</f>
        <v>#DIV/0!</v>
      </c>
      <c r="DTJ50" s="367">
        <v>15.38</v>
      </c>
      <c r="DTK50" s="367" t="e">
        <f>DTH50*DTI50*DTJ50</f>
        <v>#DIV/0!</v>
      </c>
      <c r="DTL50" s="363" t="s">
        <v>153</v>
      </c>
      <c r="DTM50" s="363"/>
      <c r="DTN50" s="363"/>
      <c r="DTO50" s="364" t="s">
        <v>140</v>
      </c>
      <c r="DTP50" s="365">
        <v>0.5</v>
      </c>
      <c r="DTQ50" s="366" t="e">
        <f>10/DTM48</f>
        <v>#DIV/0!</v>
      </c>
      <c r="DTR50" s="367">
        <v>15.38</v>
      </c>
      <c r="DTS50" s="367" t="e">
        <f>DTP50*DTQ50*DTR50</f>
        <v>#DIV/0!</v>
      </c>
      <c r="DTT50" s="363" t="s">
        <v>153</v>
      </c>
      <c r="DTU50" s="363"/>
      <c r="DTV50" s="363"/>
      <c r="DTW50" s="364" t="s">
        <v>140</v>
      </c>
      <c r="DTX50" s="365">
        <v>0.5</v>
      </c>
      <c r="DTY50" s="366" t="e">
        <f>10/DTU48</f>
        <v>#DIV/0!</v>
      </c>
      <c r="DTZ50" s="367">
        <v>15.38</v>
      </c>
      <c r="DUA50" s="367" t="e">
        <f>DTX50*DTY50*DTZ50</f>
        <v>#DIV/0!</v>
      </c>
      <c r="DUB50" s="363" t="s">
        <v>153</v>
      </c>
      <c r="DUC50" s="363"/>
      <c r="DUD50" s="363"/>
      <c r="DUE50" s="364" t="s">
        <v>140</v>
      </c>
      <c r="DUF50" s="365">
        <v>0.5</v>
      </c>
      <c r="DUG50" s="366" t="e">
        <f>10/DUC48</f>
        <v>#DIV/0!</v>
      </c>
      <c r="DUH50" s="367">
        <v>15.38</v>
      </c>
      <c r="DUI50" s="367" t="e">
        <f>DUF50*DUG50*DUH50</f>
        <v>#DIV/0!</v>
      </c>
      <c r="DUJ50" s="363" t="s">
        <v>153</v>
      </c>
      <c r="DUK50" s="363"/>
      <c r="DUL50" s="363"/>
      <c r="DUM50" s="364" t="s">
        <v>140</v>
      </c>
      <c r="DUN50" s="365">
        <v>0.5</v>
      </c>
      <c r="DUO50" s="366" t="e">
        <f>10/DUK48</f>
        <v>#DIV/0!</v>
      </c>
      <c r="DUP50" s="367">
        <v>15.38</v>
      </c>
      <c r="DUQ50" s="367" t="e">
        <f>DUN50*DUO50*DUP50</f>
        <v>#DIV/0!</v>
      </c>
      <c r="DUR50" s="363" t="s">
        <v>153</v>
      </c>
      <c r="DUS50" s="363"/>
      <c r="DUT50" s="363"/>
      <c r="DUU50" s="364" t="s">
        <v>140</v>
      </c>
      <c r="DUV50" s="365">
        <v>0.5</v>
      </c>
      <c r="DUW50" s="366" t="e">
        <f>10/DUS48</f>
        <v>#DIV/0!</v>
      </c>
      <c r="DUX50" s="367">
        <v>15.38</v>
      </c>
      <c r="DUY50" s="367" t="e">
        <f>DUV50*DUW50*DUX50</f>
        <v>#DIV/0!</v>
      </c>
      <c r="DUZ50" s="363" t="s">
        <v>153</v>
      </c>
      <c r="DVA50" s="363"/>
      <c r="DVB50" s="363"/>
      <c r="DVC50" s="364" t="s">
        <v>140</v>
      </c>
      <c r="DVD50" s="365">
        <v>0.5</v>
      </c>
      <c r="DVE50" s="366" t="e">
        <f>10/DVA48</f>
        <v>#DIV/0!</v>
      </c>
      <c r="DVF50" s="367">
        <v>15.38</v>
      </c>
      <c r="DVG50" s="367" t="e">
        <f>DVD50*DVE50*DVF50</f>
        <v>#DIV/0!</v>
      </c>
      <c r="DVH50" s="363" t="s">
        <v>153</v>
      </c>
      <c r="DVI50" s="363"/>
      <c r="DVJ50" s="363"/>
      <c r="DVK50" s="364" t="s">
        <v>140</v>
      </c>
      <c r="DVL50" s="365">
        <v>0.5</v>
      </c>
      <c r="DVM50" s="366" t="e">
        <f>10/DVI48</f>
        <v>#DIV/0!</v>
      </c>
      <c r="DVN50" s="367">
        <v>15.38</v>
      </c>
      <c r="DVO50" s="367" t="e">
        <f>DVL50*DVM50*DVN50</f>
        <v>#DIV/0!</v>
      </c>
      <c r="DVP50" s="363" t="s">
        <v>153</v>
      </c>
      <c r="DVQ50" s="363"/>
      <c r="DVR50" s="363"/>
      <c r="DVS50" s="364" t="s">
        <v>140</v>
      </c>
      <c r="DVT50" s="365">
        <v>0.5</v>
      </c>
      <c r="DVU50" s="366" t="e">
        <f>10/DVQ48</f>
        <v>#DIV/0!</v>
      </c>
      <c r="DVV50" s="367">
        <v>15.38</v>
      </c>
      <c r="DVW50" s="367" t="e">
        <f>DVT50*DVU50*DVV50</f>
        <v>#DIV/0!</v>
      </c>
      <c r="DVX50" s="363" t="s">
        <v>153</v>
      </c>
      <c r="DVY50" s="363"/>
      <c r="DVZ50" s="363"/>
      <c r="DWA50" s="364" t="s">
        <v>140</v>
      </c>
      <c r="DWB50" s="365">
        <v>0.5</v>
      </c>
      <c r="DWC50" s="366" t="e">
        <f>10/DVY48</f>
        <v>#DIV/0!</v>
      </c>
      <c r="DWD50" s="367">
        <v>15.38</v>
      </c>
      <c r="DWE50" s="367" t="e">
        <f>DWB50*DWC50*DWD50</f>
        <v>#DIV/0!</v>
      </c>
      <c r="DWF50" s="363" t="s">
        <v>153</v>
      </c>
      <c r="DWG50" s="363"/>
      <c r="DWH50" s="363"/>
      <c r="DWI50" s="364" t="s">
        <v>140</v>
      </c>
      <c r="DWJ50" s="365">
        <v>0.5</v>
      </c>
      <c r="DWK50" s="366" t="e">
        <f>10/DWG48</f>
        <v>#DIV/0!</v>
      </c>
      <c r="DWL50" s="367">
        <v>15.38</v>
      </c>
      <c r="DWM50" s="367" t="e">
        <f>DWJ50*DWK50*DWL50</f>
        <v>#DIV/0!</v>
      </c>
      <c r="DWN50" s="363" t="s">
        <v>153</v>
      </c>
      <c r="DWO50" s="363"/>
      <c r="DWP50" s="363"/>
      <c r="DWQ50" s="364" t="s">
        <v>140</v>
      </c>
      <c r="DWR50" s="365">
        <v>0.5</v>
      </c>
      <c r="DWS50" s="366" t="e">
        <f>10/DWO48</f>
        <v>#DIV/0!</v>
      </c>
      <c r="DWT50" s="367">
        <v>15.38</v>
      </c>
      <c r="DWU50" s="367" t="e">
        <f>DWR50*DWS50*DWT50</f>
        <v>#DIV/0!</v>
      </c>
      <c r="DWV50" s="363" t="s">
        <v>153</v>
      </c>
      <c r="DWW50" s="363"/>
      <c r="DWX50" s="363"/>
      <c r="DWY50" s="364" t="s">
        <v>140</v>
      </c>
      <c r="DWZ50" s="365">
        <v>0.5</v>
      </c>
      <c r="DXA50" s="366" t="e">
        <f>10/DWW48</f>
        <v>#DIV/0!</v>
      </c>
      <c r="DXB50" s="367">
        <v>15.38</v>
      </c>
      <c r="DXC50" s="367" t="e">
        <f>DWZ50*DXA50*DXB50</f>
        <v>#DIV/0!</v>
      </c>
      <c r="DXD50" s="363" t="s">
        <v>153</v>
      </c>
      <c r="DXE50" s="363"/>
      <c r="DXF50" s="363"/>
      <c r="DXG50" s="364" t="s">
        <v>140</v>
      </c>
      <c r="DXH50" s="365">
        <v>0.5</v>
      </c>
      <c r="DXI50" s="366" t="e">
        <f>10/DXE48</f>
        <v>#DIV/0!</v>
      </c>
      <c r="DXJ50" s="367">
        <v>15.38</v>
      </c>
      <c r="DXK50" s="367" t="e">
        <f>DXH50*DXI50*DXJ50</f>
        <v>#DIV/0!</v>
      </c>
      <c r="DXL50" s="363" t="s">
        <v>153</v>
      </c>
      <c r="DXM50" s="363"/>
      <c r="DXN50" s="363"/>
      <c r="DXO50" s="364" t="s">
        <v>140</v>
      </c>
      <c r="DXP50" s="365">
        <v>0.5</v>
      </c>
      <c r="DXQ50" s="366" t="e">
        <f>10/DXM48</f>
        <v>#DIV/0!</v>
      </c>
      <c r="DXR50" s="367">
        <v>15.38</v>
      </c>
      <c r="DXS50" s="367" t="e">
        <f>DXP50*DXQ50*DXR50</f>
        <v>#DIV/0!</v>
      </c>
      <c r="DXT50" s="363" t="s">
        <v>153</v>
      </c>
      <c r="DXU50" s="363"/>
      <c r="DXV50" s="363"/>
      <c r="DXW50" s="364" t="s">
        <v>140</v>
      </c>
      <c r="DXX50" s="365">
        <v>0.5</v>
      </c>
      <c r="DXY50" s="366" t="e">
        <f>10/DXU48</f>
        <v>#DIV/0!</v>
      </c>
      <c r="DXZ50" s="367">
        <v>15.38</v>
      </c>
      <c r="DYA50" s="367" t="e">
        <f>DXX50*DXY50*DXZ50</f>
        <v>#DIV/0!</v>
      </c>
      <c r="DYB50" s="363" t="s">
        <v>153</v>
      </c>
      <c r="DYC50" s="363"/>
      <c r="DYD50" s="363"/>
      <c r="DYE50" s="364" t="s">
        <v>140</v>
      </c>
      <c r="DYF50" s="365">
        <v>0.5</v>
      </c>
      <c r="DYG50" s="366" t="e">
        <f>10/DYC48</f>
        <v>#DIV/0!</v>
      </c>
      <c r="DYH50" s="367">
        <v>15.38</v>
      </c>
      <c r="DYI50" s="367" t="e">
        <f>DYF50*DYG50*DYH50</f>
        <v>#DIV/0!</v>
      </c>
      <c r="DYJ50" s="363" t="s">
        <v>153</v>
      </c>
      <c r="DYK50" s="363"/>
      <c r="DYL50" s="363"/>
      <c r="DYM50" s="364" t="s">
        <v>140</v>
      </c>
      <c r="DYN50" s="365">
        <v>0.5</v>
      </c>
      <c r="DYO50" s="366" t="e">
        <f>10/DYK48</f>
        <v>#DIV/0!</v>
      </c>
      <c r="DYP50" s="367">
        <v>15.38</v>
      </c>
      <c r="DYQ50" s="367" t="e">
        <f>DYN50*DYO50*DYP50</f>
        <v>#DIV/0!</v>
      </c>
      <c r="DYR50" s="363" t="s">
        <v>153</v>
      </c>
      <c r="DYS50" s="363"/>
      <c r="DYT50" s="363"/>
      <c r="DYU50" s="364" t="s">
        <v>140</v>
      </c>
      <c r="DYV50" s="365">
        <v>0.5</v>
      </c>
      <c r="DYW50" s="366" t="e">
        <f>10/DYS48</f>
        <v>#DIV/0!</v>
      </c>
      <c r="DYX50" s="367">
        <v>15.38</v>
      </c>
      <c r="DYY50" s="367" t="e">
        <f>DYV50*DYW50*DYX50</f>
        <v>#DIV/0!</v>
      </c>
      <c r="DYZ50" s="363" t="s">
        <v>153</v>
      </c>
      <c r="DZA50" s="363"/>
      <c r="DZB50" s="363"/>
      <c r="DZC50" s="364" t="s">
        <v>140</v>
      </c>
      <c r="DZD50" s="365">
        <v>0.5</v>
      </c>
      <c r="DZE50" s="366" t="e">
        <f>10/DZA48</f>
        <v>#DIV/0!</v>
      </c>
      <c r="DZF50" s="367">
        <v>15.38</v>
      </c>
      <c r="DZG50" s="367" t="e">
        <f>DZD50*DZE50*DZF50</f>
        <v>#DIV/0!</v>
      </c>
      <c r="DZH50" s="363" t="s">
        <v>153</v>
      </c>
      <c r="DZI50" s="363"/>
      <c r="DZJ50" s="363"/>
      <c r="DZK50" s="364" t="s">
        <v>140</v>
      </c>
      <c r="DZL50" s="365">
        <v>0.5</v>
      </c>
      <c r="DZM50" s="366" t="e">
        <f>10/DZI48</f>
        <v>#DIV/0!</v>
      </c>
      <c r="DZN50" s="367">
        <v>15.38</v>
      </c>
      <c r="DZO50" s="367" t="e">
        <f>DZL50*DZM50*DZN50</f>
        <v>#DIV/0!</v>
      </c>
      <c r="DZP50" s="363" t="s">
        <v>153</v>
      </c>
      <c r="DZQ50" s="363"/>
      <c r="DZR50" s="363"/>
      <c r="DZS50" s="364" t="s">
        <v>140</v>
      </c>
      <c r="DZT50" s="365">
        <v>0.5</v>
      </c>
      <c r="DZU50" s="366" t="e">
        <f>10/DZQ48</f>
        <v>#DIV/0!</v>
      </c>
      <c r="DZV50" s="367">
        <v>15.38</v>
      </c>
      <c r="DZW50" s="367" t="e">
        <f>DZT50*DZU50*DZV50</f>
        <v>#DIV/0!</v>
      </c>
      <c r="DZX50" s="363" t="s">
        <v>153</v>
      </c>
      <c r="DZY50" s="363"/>
      <c r="DZZ50" s="363"/>
      <c r="EAA50" s="364" t="s">
        <v>140</v>
      </c>
      <c r="EAB50" s="365">
        <v>0.5</v>
      </c>
      <c r="EAC50" s="366" t="e">
        <f>10/DZY48</f>
        <v>#DIV/0!</v>
      </c>
      <c r="EAD50" s="367">
        <v>15.38</v>
      </c>
      <c r="EAE50" s="367" t="e">
        <f>EAB50*EAC50*EAD50</f>
        <v>#DIV/0!</v>
      </c>
      <c r="EAF50" s="363" t="s">
        <v>153</v>
      </c>
      <c r="EAG50" s="363"/>
      <c r="EAH50" s="363"/>
      <c r="EAI50" s="364" t="s">
        <v>140</v>
      </c>
      <c r="EAJ50" s="365">
        <v>0.5</v>
      </c>
      <c r="EAK50" s="366" t="e">
        <f>10/EAG48</f>
        <v>#DIV/0!</v>
      </c>
      <c r="EAL50" s="367">
        <v>15.38</v>
      </c>
      <c r="EAM50" s="367" t="e">
        <f>EAJ50*EAK50*EAL50</f>
        <v>#DIV/0!</v>
      </c>
      <c r="EAN50" s="363" t="s">
        <v>153</v>
      </c>
      <c r="EAO50" s="363"/>
      <c r="EAP50" s="363"/>
      <c r="EAQ50" s="364" t="s">
        <v>140</v>
      </c>
      <c r="EAR50" s="365">
        <v>0.5</v>
      </c>
      <c r="EAS50" s="366" t="e">
        <f>10/EAO48</f>
        <v>#DIV/0!</v>
      </c>
      <c r="EAT50" s="367">
        <v>15.38</v>
      </c>
      <c r="EAU50" s="367" t="e">
        <f>EAR50*EAS50*EAT50</f>
        <v>#DIV/0!</v>
      </c>
      <c r="EAV50" s="363" t="s">
        <v>153</v>
      </c>
      <c r="EAW50" s="363"/>
      <c r="EAX50" s="363"/>
      <c r="EAY50" s="364" t="s">
        <v>140</v>
      </c>
      <c r="EAZ50" s="365">
        <v>0.5</v>
      </c>
      <c r="EBA50" s="366" t="e">
        <f>10/EAW48</f>
        <v>#DIV/0!</v>
      </c>
      <c r="EBB50" s="367">
        <v>15.38</v>
      </c>
      <c r="EBC50" s="367" t="e">
        <f>EAZ50*EBA50*EBB50</f>
        <v>#DIV/0!</v>
      </c>
      <c r="EBD50" s="363" t="s">
        <v>153</v>
      </c>
      <c r="EBE50" s="363"/>
      <c r="EBF50" s="363"/>
      <c r="EBG50" s="364" t="s">
        <v>140</v>
      </c>
      <c r="EBH50" s="365">
        <v>0.5</v>
      </c>
      <c r="EBI50" s="366" t="e">
        <f>10/EBE48</f>
        <v>#DIV/0!</v>
      </c>
      <c r="EBJ50" s="367">
        <v>15.38</v>
      </c>
      <c r="EBK50" s="367" t="e">
        <f>EBH50*EBI50*EBJ50</f>
        <v>#DIV/0!</v>
      </c>
      <c r="EBL50" s="363" t="s">
        <v>153</v>
      </c>
      <c r="EBM50" s="363"/>
      <c r="EBN50" s="363"/>
      <c r="EBO50" s="364" t="s">
        <v>140</v>
      </c>
      <c r="EBP50" s="365">
        <v>0.5</v>
      </c>
      <c r="EBQ50" s="366" t="e">
        <f>10/EBM48</f>
        <v>#DIV/0!</v>
      </c>
      <c r="EBR50" s="367">
        <v>15.38</v>
      </c>
      <c r="EBS50" s="367" t="e">
        <f>EBP50*EBQ50*EBR50</f>
        <v>#DIV/0!</v>
      </c>
      <c r="EBT50" s="363" t="s">
        <v>153</v>
      </c>
      <c r="EBU50" s="363"/>
      <c r="EBV50" s="363"/>
      <c r="EBW50" s="364" t="s">
        <v>140</v>
      </c>
      <c r="EBX50" s="365">
        <v>0.5</v>
      </c>
      <c r="EBY50" s="366" t="e">
        <f>10/EBU48</f>
        <v>#DIV/0!</v>
      </c>
      <c r="EBZ50" s="367">
        <v>15.38</v>
      </c>
      <c r="ECA50" s="367" t="e">
        <f>EBX50*EBY50*EBZ50</f>
        <v>#DIV/0!</v>
      </c>
      <c r="ECB50" s="363" t="s">
        <v>153</v>
      </c>
      <c r="ECC50" s="363"/>
      <c r="ECD50" s="363"/>
      <c r="ECE50" s="364" t="s">
        <v>140</v>
      </c>
      <c r="ECF50" s="365">
        <v>0.5</v>
      </c>
      <c r="ECG50" s="366" t="e">
        <f>10/ECC48</f>
        <v>#DIV/0!</v>
      </c>
      <c r="ECH50" s="367">
        <v>15.38</v>
      </c>
      <c r="ECI50" s="367" t="e">
        <f>ECF50*ECG50*ECH50</f>
        <v>#DIV/0!</v>
      </c>
      <c r="ECJ50" s="363" t="s">
        <v>153</v>
      </c>
      <c r="ECK50" s="363"/>
      <c r="ECL50" s="363"/>
      <c r="ECM50" s="364" t="s">
        <v>140</v>
      </c>
      <c r="ECN50" s="365">
        <v>0.5</v>
      </c>
      <c r="ECO50" s="366" t="e">
        <f>10/ECK48</f>
        <v>#DIV/0!</v>
      </c>
      <c r="ECP50" s="367">
        <v>15.38</v>
      </c>
      <c r="ECQ50" s="367" t="e">
        <f>ECN50*ECO50*ECP50</f>
        <v>#DIV/0!</v>
      </c>
      <c r="ECR50" s="363" t="s">
        <v>153</v>
      </c>
      <c r="ECS50" s="363"/>
      <c r="ECT50" s="363"/>
      <c r="ECU50" s="364" t="s">
        <v>140</v>
      </c>
      <c r="ECV50" s="365">
        <v>0.5</v>
      </c>
      <c r="ECW50" s="366" t="e">
        <f>10/ECS48</f>
        <v>#DIV/0!</v>
      </c>
      <c r="ECX50" s="367">
        <v>15.38</v>
      </c>
      <c r="ECY50" s="367" t="e">
        <f>ECV50*ECW50*ECX50</f>
        <v>#DIV/0!</v>
      </c>
      <c r="ECZ50" s="363" t="s">
        <v>153</v>
      </c>
      <c r="EDA50" s="363"/>
      <c r="EDB50" s="363"/>
      <c r="EDC50" s="364" t="s">
        <v>140</v>
      </c>
      <c r="EDD50" s="365">
        <v>0.5</v>
      </c>
      <c r="EDE50" s="366" t="e">
        <f>10/EDA48</f>
        <v>#DIV/0!</v>
      </c>
      <c r="EDF50" s="367">
        <v>15.38</v>
      </c>
      <c r="EDG50" s="367" t="e">
        <f>EDD50*EDE50*EDF50</f>
        <v>#DIV/0!</v>
      </c>
      <c r="EDH50" s="363" t="s">
        <v>153</v>
      </c>
      <c r="EDI50" s="363"/>
      <c r="EDJ50" s="363"/>
      <c r="EDK50" s="364" t="s">
        <v>140</v>
      </c>
      <c r="EDL50" s="365">
        <v>0.5</v>
      </c>
      <c r="EDM50" s="366" t="e">
        <f>10/EDI48</f>
        <v>#DIV/0!</v>
      </c>
      <c r="EDN50" s="367">
        <v>15.38</v>
      </c>
      <c r="EDO50" s="367" t="e">
        <f>EDL50*EDM50*EDN50</f>
        <v>#DIV/0!</v>
      </c>
      <c r="EDP50" s="363" t="s">
        <v>153</v>
      </c>
      <c r="EDQ50" s="363"/>
      <c r="EDR50" s="363"/>
      <c r="EDS50" s="364" t="s">
        <v>140</v>
      </c>
      <c r="EDT50" s="365">
        <v>0.5</v>
      </c>
      <c r="EDU50" s="366" t="e">
        <f>10/EDQ48</f>
        <v>#DIV/0!</v>
      </c>
      <c r="EDV50" s="367">
        <v>15.38</v>
      </c>
      <c r="EDW50" s="367" t="e">
        <f>EDT50*EDU50*EDV50</f>
        <v>#DIV/0!</v>
      </c>
      <c r="EDX50" s="363" t="s">
        <v>153</v>
      </c>
      <c r="EDY50" s="363"/>
      <c r="EDZ50" s="363"/>
      <c r="EEA50" s="364" t="s">
        <v>140</v>
      </c>
      <c r="EEB50" s="365">
        <v>0.5</v>
      </c>
      <c r="EEC50" s="366" t="e">
        <f>10/EDY48</f>
        <v>#DIV/0!</v>
      </c>
      <c r="EED50" s="367">
        <v>15.38</v>
      </c>
      <c r="EEE50" s="367" t="e">
        <f>EEB50*EEC50*EED50</f>
        <v>#DIV/0!</v>
      </c>
      <c r="EEF50" s="363" t="s">
        <v>153</v>
      </c>
      <c r="EEG50" s="363"/>
      <c r="EEH50" s="363"/>
      <c r="EEI50" s="364" t="s">
        <v>140</v>
      </c>
      <c r="EEJ50" s="365">
        <v>0.5</v>
      </c>
      <c r="EEK50" s="366" t="e">
        <f>10/EEG48</f>
        <v>#DIV/0!</v>
      </c>
      <c r="EEL50" s="367">
        <v>15.38</v>
      </c>
      <c r="EEM50" s="367" t="e">
        <f>EEJ50*EEK50*EEL50</f>
        <v>#DIV/0!</v>
      </c>
      <c r="EEN50" s="363" t="s">
        <v>153</v>
      </c>
      <c r="EEO50" s="363"/>
      <c r="EEP50" s="363"/>
      <c r="EEQ50" s="364" t="s">
        <v>140</v>
      </c>
      <c r="EER50" s="365">
        <v>0.5</v>
      </c>
      <c r="EES50" s="366" t="e">
        <f>10/EEO48</f>
        <v>#DIV/0!</v>
      </c>
      <c r="EET50" s="367">
        <v>15.38</v>
      </c>
      <c r="EEU50" s="367" t="e">
        <f>EER50*EES50*EET50</f>
        <v>#DIV/0!</v>
      </c>
      <c r="EEV50" s="363" t="s">
        <v>153</v>
      </c>
      <c r="EEW50" s="363"/>
      <c r="EEX50" s="363"/>
      <c r="EEY50" s="364" t="s">
        <v>140</v>
      </c>
      <c r="EEZ50" s="365">
        <v>0.5</v>
      </c>
      <c r="EFA50" s="366" t="e">
        <f>10/EEW48</f>
        <v>#DIV/0!</v>
      </c>
      <c r="EFB50" s="367">
        <v>15.38</v>
      </c>
      <c r="EFC50" s="367" t="e">
        <f>EEZ50*EFA50*EFB50</f>
        <v>#DIV/0!</v>
      </c>
      <c r="EFD50" s="363" t="s">
        <v>153</v>
      </c>
      <c r="EFE50" s="363"/>
      <c r="EFF50" s="363"/>
      <c r="EFG50" s="364" t="s">
        <v>140</v>
      </c>
      <c r="EFH50" s="365">
        <v>0.5</v>
      </c>
      <c r="EFI50" s="366" t="e">
        <f>10/EFE48</f>
        <v>#DIV/0!</v>
      </c>
      <c r="EFJ50" s="367">
        <v>15.38</v>
      </c>
      <c r="EFK50" s="367" t="e">
        <f>EFH50*EFI50*EFJ50</f>
        <v>#DIV/0!</v>
      </c>
      <c r="EFL50" s="363" t="s">
        <v>153</v>
      </c>
      <c r="EFM50" s="363"/>
      <c r="EFN50" s="363"/>
      <c r="EFO50" s="364" t="s">
        <v>140</v>
      </c>
      <c r="EFP50" s="365">
        <v>0.5</v>
      </c>
      <c r="EFQ50" s="366" t="e">
        <f>10/EFM48</f>
        <v>#DIV/0!</v>
      </c>
      <c r="EFR50" s="367">
        <v>15.38</v>
      </c>
      <c r="EFS50" s="367" t="e">
        <f>EFP50*EFQ50*EFR50</f>
        <v>#DIV/0!</v>
      </c>
      <c r="EFT50" s="363" t="s">
        <v>153</v>
      </c>
      <c r="EFU50" s="363"/>
      <c r="EFV50" s="363"/>
      <c r="EFW50" s="364" t="s">
        <v>140</v>
      </c>
      <c r="EFX50" s="365">
        <v>0.5</v>
      </c>
      <c r="EFY50" s="366" t="e">
        <f>10/EFU48</f>
        <v>#DIV/0!</v>
      </c>
      <c r="EFZ50" s="367">
        <v>15.38</v>
      </c>
      <c r="EGA50" s="367" t="e">
        <f>EFX50*EFY50*EFZ50</f>
        <v>#DIV/0!</v>
      </c>
      <c r="EGB50" s="363" t="s">
        <v>153</v>
      </c>
      <c r="EGC50" s="363"/>
      <c r="EGD50" s="363"/>
      <c r="EGE50" s="364" t="s">
        <v>140</v>
      </c>
      <c r="EGF50" s="365">
        <v>0.5</v>
      </c>
      <c r="EGG50" s="366" t="e">
        <f>10/EGC48</f>
        <v>#DIV/0!</v>
      </c>
      <c r="EGH50" s="367">
        <v>15.38</v>
      </c>
      <c r="EGI50" s="367" t="e">
        <f>EGF50*EGG50*EGH50</f>
        <v>#DIV/0!</v>
      </c>
      <c r="EGJ50" s="363" t="s">
        <v>153</v>
      </c>
      <c r="EGK50" s="363"/>
      <c r="EGL50" s="363"/>
      <c r="EGM50" s="364" t="s">
        <v>140</v>
      </c>
      <c r="EGN50" s="365">
        <v>0.5</v>
      </c>
      <c r="EGO50" s="366" t="e">
        <f>10/EGK48</f>
        <v>#DIV/0!</v>
      </c>
      <c r="EGP50" s="367">
        <v>15.38</v>
      </c>
      <c r="EGQ50" s="367" t="e">
        <f>EGN50*EGO50*EGP50</f>
        <v>#DIV/0!</v>
      </c>
      <c r="EGR50" s="363" t="s">
        <v>153</v>
      </c>
      <c r="EGS50" s="363"/>
      <c r="EGT50" s="363"/>
      <c r="EGU50" s="364" t="s">
        <v>140</v>
      </c>
      <c r="EGV50" s="365">
        <v>0.5</v>
      </c>
      <c r="EGW50" s="366" t="e">
        <f>10/EGS48</f>
        <v>#DIV/0!</v>
      </c>
      <c r="EGX50" s="367">
        <v>15.38</v>
      </c>
      <c r="EGY50" s="367" t="e">
        <f>EGV50*EGW50*EGX50</f>
        <v>#DIV/0!</v>
      </c>
      <c r="EGZ50" s="363" t="s">
        <v>153</v>
      </c>
      <c r="EHA50" s="363"/>
      <c r="EHB50" s="363"/>
      <c r="EHC50" s="364" t="s">
        <v>140</v>
      </c>
      <c r="EHD50" s="365">
        <v>0.5</v>
      </c>
      <c r="EHE50" s="366" t="e">
        <f>10/EHA48</f>
        <v>#DIV/0!</v>
      </c>
      <c r="EHF50" s="367">
        <v>15.38</v>
      </c>
      <c r="EHG50" s="367" t="e">
        <f>EHD50*EHE50*EHF50</f>
        <v>#DIV/0!</v>
      </c>
      <c r="EHH50" s="363" t="s">
        <v>153</v>
      </c>
      <c r="EHI50" s="363"/>
      <c r="EHJ50" s="363"/>
      <c r="EHK50" s="364" t="s">
        <v>140</v>
      </c>
      <c r="EHL50" s="365">
        <v>0.5</v>
      </c>
      <c r="EHM50" s="366" t="e">
        <f>10/EHI48</f>
        <v>#DIV/0!</v>
      </c>
      <c r="EHN50" s="367">
        <v>15.38</v>
      </c>
      <c r="EHO50" s="367" t="e">
        <f>EHL50*EHM50*EHN50</f>
        <v>#DIV/0!</v>
      </c>
      <c r="EHP50" s="363" t="s">
        <v>153</v>
      </c>
      <c r="EHQ50" s="363"/>
      <c r="EHR50" s="363"/>
      <c r="EHS50" s="364" t="s">
        <v>140</v>
      </c>
      <c r="EHT50" s="365">
        <v>0.5</v>
      </c>
      <c r="EHU50" s="366" t="e">
        <f>10/EHQ48</f>
        <v>#DIV/0!</v>
      </c>
      <c r="EHV50" s="367">
        <v>15.38</v>
      </c>
      <c r="EHW50" s="367" t="e">
        <f>EHT50*EHU50*EHV50</f>
        <v>#DIV/0!</v>
      </c>
      <c r="EHX50" s="363" t="s">
        <v>153</v>
      </c>
      <c r="EHY50" s="363"/>
      <c r="EHZ50" s="363"/>
      <c r="EIA50" s="364" t="s">
        <v>140</v>
      </c>
      <c r="EIB50" s="365">
        <v>0.5</v>
      </c>
      <c r="EIC50" s="366" t="e">
        <f>10/EHY48</f>
        <v>#DIV/0!</v>
      </c>
      <c r="EID50" s="367">
        <v>15.38</v>
      </c>
      <c r="EIE50" s="367" t="e">
        <f>EIB50*EIC50*EID50</f>
        <v>#DIV/0!</v>
      </c>
      <c r="EIF50" s="363" t="s">
        <v>153</v>
      </c>
      <c r="EIG50" s="363"/>
      <c r="EIH50" s="363"/>
      <c r="EII50" s="364" t="s">
        <v>140</v>
      </c>
      <c r="EIJ50" s="365">
        <v>0.5</v>
      </c>
      <c r="EIK50" s="366" t="e">
        <f>10/EIG48</f>
        <v>#DIV/0!</v>
      </c>
      <c r="EIL50" s="367">
        <v>15.38</v>
      </c>
      <c r="EIM50" s="367" t="e">
        <f>EIJ50*EIK50*EIL50</f>
        <v>#DIV/0!</v>
      </c>
      <c r="EIN50" s="363" t="s">
        <v>153</v>
      </c>
      <c r="EIO50" s="363"/>
      <c r="EIP50" s="363"/>
      <c r="EIQ50" s="364" t="s">
        <v>140</v>
      </c>
      <c r="EIR50" s="365">
        <v>0.5</v>
      </c>
      <c r="EIS50" s="366" t="e">
        <f>10/EIO48</f>
        <v>#DIV/0!</v>
      </c>
      <c r="EIT50" s="367">
        <v>15.38</v>
      </c>
      <c r="EIU50" s="367" t="e">
        <f>EIR50*EIS50*EIT50</f>
        <v>#DIV/0!</v>
      </c>
      <c r="EIV50" s="363" t="s">
        <v>153</v>
      </c>
      <c r="EIW50" s="363"/>
      <c r="EIX50" s="363"/>
      <c r="EIY50" s="364" t="s">
        <v>140</v>
      </c>
      <c r="EIZ50" s="365">
        <v>0.5</v>
      </c>
      <c r="EJA50" s="366" t="e">
        <f>10/EIW48</f>
        <v>#DIV/0!</v>
      </c>
      <c r="EJB50" s="367">
        <v>15.38</v>
      </c>
      <c r="EJC50" s="367" t="e">
        <f>EIZ50*EJA50*EJB50</f>
        <v>#DIV/0!</v>
      </c>
      <c r="EJD50" s="363" t="s">
        <v>153</v>
      </c>
      <c r="EJE50" s="363"/>
      <c r="EJF50" s="363"/>
      <c r="EJG50" s="364" t="s">
        <v>140</v>
      </c>
      <c r="EJH50" s="365">
        <v>0.5</v>
      </c>
      <c r="EJI50" s="366" t="e">
        <f>10/EJE48</f>
        <v>#DIV/0!</v>
      </c>
      <c r="EJJ50" s="367">
        <v>15.38</v>
      </c>
      <c r="EJK50" s="367" t="e">
        <f>EJH50*EJI50*EJJ50</f>
        <v>#DIV/0!</v>
      </c>
      <c r="EJL50" s="363" t="s">
        <v>153</v>
      </c>
      <c r="EJM50" s="363"/>
      <c r="EJN50" s="363"/>
      <c r="EJO50" s="364" t="s">
        <v>140</v>
      </c>
      <c r="EJP50" s="365">
        <v>0.5</v>
      </c>
      <c r="EJQ50" s="366" t="e">
        <f>10/EJM48</f>
        <v>#DIV/0!</v>
      </c>
      <c r="EJR50" s="367">
        <v>15.38</v>
      </c>
      <c r="EJS50" s="367" t="e">
        <f>EJP50*EJQ50*EJR50</f>
        <v>#DIV/0!</v>
      </c>
      <c r="EJT50" s="363" t="s">
        <v>153</v>
      </c>
      <c r="EJU50" s="363"/>
      <c r="EJV50" s="363"/>
      <c r="EJW50" s="364" t="s">
        <v>140</v>
      </c>
      <c r="EJX50" s="365">
        <v>0.5</v>
      </c>
      <c r="EJY50" s="366" t="e">
        <f>10/EJU48</f>
        <v>#DIV/0!</v>
      </c>
      <c r="EJZ50" s="367">
        <v>15.38</v>
      </c>
      <c r="EKA50" s="367" t="e">
        <f>EJX50*EJY50*EJZ50</f>
        <v>#DIV/0!</v>
      </c>
      <c r="EKB50" s="363" t="s">
        <v>153</v>
      </c>
      <c r="EKC50" s="363"/>
      <c r="EKD50" s="363"/>
      <c r="EKE50" s="364" t="s">
        <v>140</v>
      </c>
      <c r="EKF50" s="365">
        <v>0.5</v>
      </c>
      <c r="EKG50" s="366" t="e">
        <f>10/EKC48</f>
        <v>#DIV/0!</v>
      </c>
      <c r="EKH50" s="367">
        <v>15.38</v>
      </c>
      <c r="EKI50" s="367" t="e">
        <f>EKF50*EKG50*EKH50</f>
        <v>#DIV/0!</v>
      </c>
      <c r="EKJ50" s="363" t="s">
        <v>153</v>
      </c>
      <c r="EKK50" s="363"/>
      <c r="EKL50" s="363"/>
      <c r="EKM50" s="364" t="s">
        <v>140</v>
      </c>
      <c r="EKN50" s="365">
        <v>0.5</v>
      </c>
      <c r="EKO50" s="366" t="e">
        <f>10/EKK48</f>
        <v>#DIV/0!</v>
      </c>
      <c r="EKP50" s="367">
        <v>15.38</v>
      </c>
      <c r="EKQ50" s="367" t="e">
        <f>EKN50*EKO50*EKP50</f>
        <v>#DIV/0!</v>
      </c>
      <c r="EKR50" s="363" t="s">
        <v>153</v>
      </c>
      <c r="EKS50" s="363"/>
      <c r="EKT50" s="363"/>
      <c r="EKU50" s="364" t="s">
        <v>140</v>
      </c>
      <c r="EKV50" s="365">
        <v>0.5</v>
      </c>
      <c r="EKW50" s="366" t="e">
        <f>10/EKS48</f>
        <v>#DIV/0!</v>
      </c>
      <c r="EKX50" s="367">
        <v>15.38</v>
      </c>
      <c r="EKY50" s="367" t="e">
        <f>EKV50*EKW50*EKX50</f>
        <v>#DIV/0!</v>
      </c>
      <c r="EKZ50" s="363" t="s">
        <v>153</v>
      </c>
      <c r="ELA50" s="363"/>
      <c r="ELB50" s="363"/>
      <c r="ELC50" s="364" t="s">
        <v>140</v>
      </c>
      <c r="ELD50" s="365">
        <v>0.5</v>
      </c>
      <c r="ELE50" s="366" t="e">
        <f>10/ELA48</f>
        <v>#DIV/0!</v>
      </c>
      <c r="ELF50" s="367">
        <v>15.38</v>
      </c>
      <c r="ELG50" s="367" t="e">
        <f>ELD50*ELE50*ELF50</f>
        <v>#DIV/0!</v>
      </c>
      <c r="ELH50" s="363" t="s">
        <v>153</v>
      </c>
      <c r="ELI50" s="363"/>
      <c r="ELJ50" s="363"/>
      <c r="ELK50" s="364" t="s">
        <v>140</v>
      </c>
      <c r="ELL50" s="365">
        <v>0.5</v>
      </c>
      <c r="ELM50" s="366" t="e">
        <f>10/ELI48</f>
        <v>#DIV/0!</v>
      </c>
      <c r="ELN50" s="367">
        <v>15.38</v>
      </c>
      <c r="ELO50" s="367" t="e">
        <f>ELL50*ELM50*ELN50</f>
        <v>#DIV/0!</v>
      </c>
      <c r="ELP50" s="363" t="s">
        <v>153</v>
      </c>
      <c r="ELQ50" s="363"/>
      <c r="ELR50" s="363"/>
      <c r="ELS50" s="364" t="s">
        <v>140</v>
      </c>
      <c r="ELT50" s="365">
        <v>0.5</v>
      </c>
      <c r="ELU50" s="366" t="e">
        <f>10/ELQ48</f>
        <v>#DIV/0!</v>
      </c>
      <c r="ELV50" s="367">
        <v>15.38</v>
      </c>
      <c r="ELW50" s="367" t="e">
        <f>ELT50*ELU50*ELV50</f>
        <v>#DIV/0!</v>
      </c>
      <c r="ELX50" s="363" t="s">
        <v>153</v>
      </c>
      <c r="ELY50" s="363"/>
      <c r="ELZ50" s="363"/>
      <c r="EMA50" s="364" t="s">
        <v>140</v>
      </c>
      <c r="EMB50" s="365">
        <v>0.5</v>
      </c>
      <c r="EMC50" s="366" t="e">
        <f>10/ELY48</f>
        <v>#DIV/0!</v>
      </c>
      <c r="EMD50" s="367">
        <v>15.38</v>
      </c>
      <c r="EME50" s="367" t="e">
        <f>EMB50*EMC50*EMD50</f>
        <v>#DIV/0!</v>
      </c>
      <c r="EMF50" s="363" t="s">
        <v>153</v>
      </c>
      <c r="EMG50" s="363"/>
      <c r="EMH50" s="363"/>
      <c r="EMI50" s="364" t="s">
        <v>140</v>
      </c>
      <c r="EMJ50" s="365">
        <v>0.5</v>
      </c>
      <c r="EMK50" s="366" t="e">
        <f>10/EMG48</f>
        <v>#DIV/0!</v>
      </c>
      <c r="EML50" s="367">
        <v>15.38</v>
      </c>
      <c r="EMM50" s="367" t="e">
        <f>EMJ50*EMK50*EML50</f>
        <v>#DIV/0!</v>
      </c>
      <c r="EMN50" s="363" t="s">
        <v>153</v>
      </c>
      <c r="EMO50" s="363"/>
      <c r="EMP50" s="363"/>
      <c r="EMQ50" s="364" t="s">
        <v>140</v>
      </c>
      <c r="EMR50" s="365">
        <v>0.5</v>
      </c>
      <c r="EMS50" s="366" t="e">
        <f>10/EMO48</f>
        <v>#DIV/0!</v>
      </c>
      <c r="EMT50" s="367">
        <v>15.38</v>
      </c>
      <c r="EMU50" s="367" t="e">
        <f>EMR50*EMS50*EMT50</f>
        <v>#DIV/0!</v>
      </c>
      <c r="EMV50" s="363" t="s">
        <v>153</v>
      </c>
      <c r="EMW50" s="363"/>
      <c r="EMX50" s="363"/>
      <c r="EMY50" s="364" t="s">
        <v>140</v>
      </c>
      <c r="EMZ50" s="365">
        <v>0.5</v>
      </c>
      <c r="ENA50" s="366" t="e">
        <f>10/EMW48</f>
        <v>#DIV/0!</v>
      </c>
      <c r="ENB50" s="367">
        <v>15.38</v>
      </c>
      <c r="ENC50" s="367" t="e">
        <f>EMZ50*ENA50*ENB50</f>
        <v>#DIV/0!</v>
      </c>
      <c r="END50" s="363" t="s">
        <v>153</v>
      </c>
      <c r="ENE50" s="363"/>
      <c r="ENF50" s="363"/>
      <c r="ENG50" s="364" t="s">
        <v>140</v>
      </c>
      <c r="ENH50" s="365">
        <v>0.5</v>
      </c>
      <c r="ENI50" s="366" t="e">
        <f>10/ENE48</f>
        <v>#DIV/0!</v>
      </c>
      <c r="ENJ50" s="367">
        <v>15.38</v>
      </c>
      <c r="ENK50" s="367" t="e">
        <f>ENH50*ENI50*ENJ50</f>
        <v>#DIV/0!</v>
      </c>
      <c r="ENL50" s="363" t="s">
        <v>153</v>
      </c>
      <c r="ENM50" s="363"/>
      <c r="ENN50" s="363"/>
      <c r="ENO50" s="364" t="s">
        <v>140</v>
      </c>
      <c r="ENP50" s="365">
        <v>0.5</v>
      </c>
      <c r="ENQ50" s="366" t="e">
        <f>10/ENM48</f>
        <v>#DIV/0!</v>
      </c>
      <c r="ENR50" s="367">
        <v>15.38</v>
      </c>
      <c r="ENS50" s="367" t="e">
        <f>ENP50*ENQ50*ENR50</f>
        <v>#DIV/0!</v>
      </c>
      <c r="ENT50" s="363" t="s">
        <v>153</v>
      </c>
      <c r="ENU50" s="363"/>
      <c r="ENV50" s="363"/>
      <c r="ENW50" s="364" t="s">
        <v>140</v>
      </c>
      <c r="ENX50" s="365">
        <v>0.5</v>
      </c>
      <c r="ENY50" s="366" t="e">
        <f>10/ENU48</f>
        <v>#DIV/0!</v>
      </c>
      <c r="ENZ50" s="367">
        <v>15.38</v>
      </c>
      <c r="EOA50" s="367" t="e">
        <f>ENX50*ENY50*ENZ50</f>
        <v>#DIV/0!</v>
      </c>
      <c r="EOB50" s="363" t="s">
        <v>153</v>
      </c>
      <c r="EOC50" s="363"/>
      <c r="EOD50" s="363"/>
      <c r="EOE50" s="364" t="s">
        <v>140</v>
      </c>
      <c r="EOF50" s="365">
        <v>0.5</v>
      </c>
      <c r="EOG50" s="366" t="e">
        <f>10/EOC48</f>
        <v>#DIV/0!</v>
      </c>
      <c r="EOH50" s="367">
        <v>15.38</v>
      </c>
      <c r="EOI50" s="367" t="e">
        <f>EOF50*EOG50*EOH50</f>
        <v>#DIV/0!</v>
      </c>
      <c r="EOJ50" s="363" t="s">
        <v>153</v>
      </c>
      <c r="EOK50" s="363"/>
      <c r="EOL50" s="363"/>
      <c r="EOM50" s="364" t="s">
        <v>140</v>
      </c>
      <c r="EON50" s="365">
        <v>0.5</v>
      </c>
      <c r="EOO50" s="366" t="e">
        <f>10/EOK48</f>
        <v>#DIV/0!</v>
      </c>
      <c r="EOP50" s="367">
        <v>15.38</v>
      </c>
      <c r="EOQ50" s="367" t="e">
        <f>EON50*EOO50*EOP50</f>
        <v>#DIV/0!</v>
      </c>
      <c r="EOR50" s="363" t="s">
        <v>153</v>
      </c>
      <c r="EOS50" s="363"/>
      <c r="EOT50" s="363"/>
      <c r="EOU50" s="364" t="s">
        <v>140</v>
      </c>
      <c r="EOV50" s="365">
        <v>0.5</v>
      </c>
      <c r="EOW50" s="366" t="e">
        <f>10/EOS48</f>
        <v>#DIV/0!</v>
      </c>
      <c r="EOX50" s="367">
        <v>15.38</v>
      </c>
      <c r="EOY50" s="367" t="e">
        <f>EOV50*EOW50*EOX50</f>
        <v>#DIV/0!</v>
      </c>
      <c r="EOZ50" s="363" t="s">
        <v>153</v>
      </c>
      <c r="EPA50" s="363"/>
      <c r="EPB50" s="363"/>
      <c r="EPC50" s="364" t="s">
        <v>140</v>
      </c>
      <c r="EPD50" s="365">
        <v>0.5</v>
      </c>
      <c r="EPE50" s="366" t="e">
        <f>10/EPA48</f>
        <v>#DIV/0!</v>
      </c>
      <c r="EPF50" s="367">
        <v>15.38</v>
      </c>
      <c r="EPG50" s="367" t="e">
        <f>EPD50*EPE50*EPF50</f>
        <v>#DIV/0!</v>
      </c>
      <c r="EPH50" s="363" t="s">
        <v>153</v>
      </c>
      <c r="EPI50" s="363"/>
      <c r="EPJ50" s="363"/>
      <c r="EPK50" s="364" t="s">
        <v>140</v>
      </c>
      <c r="EPL50" s="365">
        <v>0.5</v>
      </c>
      <c r="EPM50" s="366" t="e">
        <f>10/EPI48</f>
        <v>#DIV/0!</v>
      </c>
      <c r="EPN50" s="367">
        <v>15.38</v>
      </c>
      <c r="EPO50" s="367" t="e">
        <f>EPL50*EPM50*EPN50</f>
        <v>#DIV/0!</v>
      </c>
      <c r="EPP50" s="363" t="s">
        <v>153</v>
      </c>
      <c r="EPQ50" s="363"/>
      <c r="EPR50" s="363"/>
      <c r="EPS50" s="364" t="s">
        <v>140</v>
      </c>
      <c r="EPT50" s="365">
        <v>0.5</v>
      </c>
      <c r="EPU50" s="366" t="e">
        <f>10/EPQ48</f>
        <v>#DIV/0!</v>
      </c>
      <c r="EPV50" s="367">
        <v>15.38</v>
      </c>
      <c r="EPW50" s="367" t="e">
        <f>EPT50*EPU50*EPV50</f>
        <v>#DIV/0!</v>
      </c>
      <c r="EPX50" s="363" t="s">
        <v>153</v>
      </c>
      <c r="EPY50" s="363"/>
      <c r="EPZ50" s="363"/>
      <c r="EQA50" s="364" t="s">
        <v>140</v>
      </c>
      <c r="EQB50" s="365">
        <v>0.5</v>
      </c>
      <c r="EQC50" s="366" t="e">
        <f>10/EPY48</f>
        <v>#DIV/0!</v>
      </c>
      <c r="EQD50" s="367">
        <v>15.38</v>
      </c>
      <c r="EQE50" s="367" t="e">
        <f>EQB50*EQC50*EQD50</f>
        <v>#DIV/0!</v>
      </c>
      <c r="EQF50" s="363" t="s">
        <v>153</v>
      </c>
      <c r="EQG50" s="363"/>
      <c r="EQH50" s="363"/>
      <c r="EQI50" s="364" t="s">
        <v>140</v>
      </c>
      <c r="EQJ50" s="365">
        <v>0.5</v>
      </c>
      <c r="EQK50" s="366" t="e">
        <f>10/EQG48</f>
        <v>#DIV/0!</v>
      </c>
      <c r="EQL50" s="367">
        <v>15.38</v>
      </c>
      <c r="EQM50" s="367" t="e">
        <f>EQJ50*EQK50*EQL50</f>
        <v>#DIV/0!</v>
      </c>
      <c r="EQN50" s="363" t="s">
        <v>153</v>
      </c>
      <c r="EQO50" s="363"/>
      <c r="EQP50" s="363"/>
      <c r="EQQ50" s="364" t="s">
        <v>140</v>
      </c>
      <c r="EQR50" s="365">
        <v>0.5</v>
      </c>
      <c r="EQS50" s="366" t="e">
        <f>10/EQO48</f>
        <v>#DIV/0!</v>
      </c>
      <c r="EQT50" s="367">
        <v>15.38</v>
      </c>
      <c r="EQU50" s="367" t="e">
        <f>EQR50*EQS50*EQT50</f>
        <v>#DIV/0!</v>
      </c>
      <c r="EQV50" s="363" t="s">
        <v>153</v>
      </c>
      <c r="EQW50" s="363"/>
      <c r="EQX50" s="363"/>
      <c r="EQY50" s="364" t="s">
        <v>140</v>
      </c>
      <c r="EQZ50" s="365">
        <v>0.5</v>
      </c>
      <c r="ERA50" s="366" t="e">
        <f>10/EQW48</f>
        <v>#DIV/0!</v>
      </c>
      <c r="ERB50" s="367">
        <v>15.38</v>
      </c>
      <c r="ERC50" s="367" t="e">
        <f>EQZ50*ERA50*ERB50</f>
        <v>#DIV/0!</v>
      </c>
      <c r="ERD50" s="363" t="s">
        <v>153</v>
      </c>
      <c r="ERE50" s="363"/>
      <c r="ERF50" s="363"/>
      <c r="ERG50" s="364" t="s">
        <v>140</v>
      </c>
      <c r="ERH50" s="365">
        <v>0.5</v>
      </c>
      <c r="ERI50" s="366" t="e">
        <f>10/ERE48</f>
        <v>#DIV/0!</v>
      </c>
      <c r="ERJ50" s="367">
        <v>15.38</v>
      </c>
      <c r="ERK50" s="367" t="e">
        <f>ERH50*ERI50*ERJ50</f>
        <v>#DIV/0!</v>
      </c>
      <c r="ERL50" s="363" t="s">
        <v>153</v>
      </c>
      <c r="ERM50" s="363"/>
      <c r="ERN50" s="363"/>
      <c r="ERO50" s="364" t="s">
        <v>140</v>
      </c>
      <c r="ERP50" s="365">
        <v>0.5</v>
      </c>
      <c r="ERQ50" s="366" t="e">
        <f>10/ERM48</f>
        <v>#DIV/0!</v>
      </c>
      <c r="ERR50" s="367">
        <v>15.38</v>
      </c>
      <c r="ERS50" s="367" t="e">
        <f>ERP50*ERQ50*ERR50</f>
        <v>#DIV/0!</v>
      </c>
      <c r="ERT50" s="363" t="s">
        <v>153</v>
      </c>
      <c r="ERU50" s="363"/>
      <c r="ERV50" s="363"/>
      <c r="ERW50" s="364" t="s">
        <v>140</v>
      </c>
      <c r="ERX50" s="365">
        <v>0.5</v>
      </c>
      <c r="ERY50" s="366" t="e">
        <f>10/ERU48</f>
        <v>#DIV/0!</v>
      </c>
      <c r="ERZ50" s="367">
        <v>15.38</v>
      </c>
      <c r="ESA50" s="367" t="e">
        <f>ERX50*ERY50*ERZ50</f>
        <v>#DIV/0!</v>
      </c>
      <c r="ESB50" s="363" t="s">
        <v>153</v>
      </c>
      <c r="ESC50" s="363"/>
      <c r="ESD50" s="363"/>
      <c r="ESE50" s="364" t="s">
        <v>140</v>
      </c>
      <c r="ESF50" s="365">
        <v>0.5</v>
      </c>
      <c r="ESG50" s="366" t="e">
        <f>10/ESC48</f>
        <v>#DIV/0!</v>
      </c>
      <c r="ESH50" s="367">
        <v>15.38</v>
      </c>
      <c r="ESI50" s="367" t="e">
        <f>ESF50*ESG50*ESH50</f>
        <v>#DIV/0!</v>
      </c>
      <c r="ESJ50" s="363" t="s">
        <v>153</v>
      </c>
      <c r="ESK50" s="363"/>
      <c r="ESL50" s="363"/>
      <c r="ESM50" s="364" t="s">
        <v>140</v>
      </c>
      <c r="ESN50" s="365">
        <v>0.5</v>
      </c>
      <c r="ESO50" s="366" t="e">
        <f>10/ESK48</f>
        <v>#DIV/0!</v>
      </c>
      <c r="ESP50" s="367">
        <v>15.38</v>
      </c>
      <c r="ESQ50" s="367" t="e">
        <f>ESN50*ESO50*ESP50</f>
        <v>#DIV/0!</v>
      </c>
      <c r="ESR50" s="363" t="s">
        <v>153</v>
      </c>
      <c r="ESS50" s="363"/>
      <c r="EST50" s="363"/>
      <c r="ESU50" s="364" t="s">
        <v>140</v>
      </c>
      <c r="ESV50" s="365">
        <v>0.5</v>
      </c>
      <c r="ESW50" s="366" t="e">
        <f>10/ESS48</f>
        <v>#DIV/0!</v>
      </c>
      <c r="ESX50" s="367">
        <v>15.38</v>
      </c>
      <c r="ESY50" s="367" t="e">
        <f>ESV50*ESW50*ESX50</f>
        <v>#DIV/0!</v>
      </c>
      <c r="ESZ50" s="363" t="s">
        <v>153</v>
      </c>
      <c r="ETA50" s="363"/>
      <c r="ETB50" s="363"/>
      <c r="ETC50" s="364" t="s">
        <v>140</v>
      </c>
      <c r="ETD50" s="365">
        <v>0.5</v>
      </c>
      <c r="ETE50" s="366" t="e">
        <f>10/ETA48</f>
        <v>#DIV/0!</v>
      </c>
      <c r="ETF50" s="367">
        <v>15.38</v>
      </c>
      <c r="ETG50" s="367" t="e">
        <f>ETD50*ETE50*ETF50</f>
        <v>#DIV/0!</v>
      </c>
      <c r="ETH50" s="363" t="s">
        <v>153</v>
      </c>
      <c r="ETI50" s="363"/>
      <c r="ETJ50" s="363"/>
      <c r="ETK50" s="364" t="s">
        <v>140</v>
      </c>
      <c r="ETL50" s="365">
        <v>0.5</v>
      </c>
      <c r="ETM50" s="366" t="e">
        <f>10/ETI48</f>
        <v>#DIV/0!</v>
      </c>
      <c r="ETN50" s="367">
        <v>15.38</v>
      </c>
      <c r="ETO50" s="367" t="e">
        <f>ETL50*ETM50*ETN50</f>
        <v>#DIV/0!</v>
      </c>
      <c r="ETP50" s="363" t="s">
        <v>153</v>
      </c>
      <c r="ETQ50" s="363"/>
      <c r="ETR50" s="363"/>
      <c r="ETS50" s="364" t="s">
        <v>140</v>
      </c>
      <c r="ETT50" s="365">
        <v>0.5</v>
      </c>
      <c r="ETU50" s="366" t="e">
        <f>10/ETQ48</f>
        <v>#DIV/0!</v>
      </c>
      <c r="ETV50" s="367">
        <v>15.38</v>
      </c>
      <c r="ETW50" s="367" t="e">
        <f>ETT50*ETU50*ETV50</f>
        <v>#DIV/0!</v>
      </c>
      <c r="ETX50" s="363" t="s">
        <v>153</v>
      </c>
      <c r="ETY50" s="363"/>
      <c r="ETZ50" s="363"/>
      <c r="EUA50" s="364" t="s">
        <v>140</v>
      </c>
      <c r="EUB50" s="365">
        <v>0.5</v>
      </c>
      <c r="EUC50" s="366" t="e">
        <f>10/ETY48</f>
        <v>#DIV/0!</v>
      </c>
      <c r="EUD50" s="367">
        <v>15.38</v>
      </c>
      <c r="EUE50" s="367" t="e">
        <f>EUB50*EUC50*EUD50</f>
        <v>#DIV/0!</v>
      </c>
      <c r="EUF50" s="363" t="s">
        <v>153</v>
      </c>
      <c r="EUG50" s="363"/>
      <c r="EUH50" s="363"/>
      <c r="EUI50" s="364" t="s">
        <v>140</v>
      </c>
      <c r="EUJ50" s="365">
        <v>0.5</v>
      </c>
      <c r="EUK50" s="366" t="e">
        <f>10/EUG48</f>
        <v>#DIV/0!</v>
      </c>
      <c r="EUL50" s="367">
        <v>15.38</v>
      </c>
      <c r="EUM50" s="367" t="e">
        <f>EUJ50*EUK50*EUL50</f>
        <v>#DIV/0!</v>
      </c>
      <c r="EUN50" s="363" t="s">
        <v>153</v>
      </c>
      <c r="EUO50" s="363"/>
      <c r="EUP50" s="363"/>
      <c r="EUQ50" s="364" t="s">
        <v>140</v>
      </c>
      <c r="EUR50" s="365">
        <v>0.5</v>
      </c>
      <c r="EUS50" s="366" t="e">
        <f>10/EUO48</f>
        <v>#DIV/0!</v>
      </c>
      <c r="EUT50" s="367">
        <v>15.38</v>
      </c>
      <c r="EUU50" s="367" t="e">
        <f>EUR50*EUS50*EUT50</f>
        <v>#DIV/0!</v>
      </c>
      <c r="EUV50" s="363" t="s">
        <v>153</v>
      </c>
      <c r="EUW50" s="363"/>
      <c r="EUX50" s="363"/>
      <c r="EUY50" s="364" t="s">
        <v>140</v>
      </c>
      <c r="EUZ50" s="365">
        <v>0.5</v>
      </c>
      <c r="EVA50" s="366" t="e">
        <f>10/EUW48</f>
        <v>#DIV/0!</v>
      </c>
      <c r="EVB50" s="367">
        <v>15.38</v>
      </c>
      <c r="EVC50" s="367" t="e">
        <f>EUZ50*EVA50*EVB50</f>
        <v>#DIV/0!</v>
      </c>
      <c r="EVD50" s="363" t="s">
        <v>153</v>
      </c>
      <c r="EVE50" s="363"/>
      <c r="EVF50" s="363"/>
      <c r="EVG50" s="364" t="s">
        <v>140</v>
      </c>
      <c r="EVH50" s="365">
        <v>0.5</v>
      </c>
      <c r="EVI50" s="366" t="e">
        <f>10/EVE48</f>
        <v>#DIV/0!</v>
      </c>
      <c r="EVJ50" s="367">
        <v>15.38</v>
      </c>
      <c r="EVK50" s="367" t="e">
        <f>EVH50*EVI50*EVJ50</f>
        <v>#DIV/0!</v>
      </c>
      <c r="EVL50" s="363" t="s">
        <v>153</v>
      </c>
      <c r="EVM50" s="363"/>
      <c r="EVN50" s="363"/>
      <c r="EVO50" s="364" t="s">
        <v>140</v>
      </c>
      <c r="EVP50" s="365">
        <v>0.5</v>
      </c>
      <c r="EVQ50" s="366" t="e">
        <f>10/EVM48</f>
        <v>#DIV/0!</v>
      </c>
      <c r="EVR50" s="367">
        <v>15.38</v>
      </c>
      <c r="EVS50" s="367" t="e">
        <f>EVP50*EVQ50*EVR50</f>
        <v>#DIV/0!</v>
      </c>
      <c r="EVT50" s="363" t="s">
        <v>153</v>
      </c>
      <c r="EVU50" s="363"/>
      <c r="EVV50" s="363"/>
      <c r="EVW50" s="364" t="s">
        <v>140</v>
      </c>
      <c r="EVX50" s="365">
        <v>0.5</v>
      </c>
      <c r="EVY50" s="366" t="e">
        <f>10/EVU48</f>
        <v>#DIV/0!</v>
      </c>
      <c r="EVZ50" s="367">
        <v>15.38</v>
      </c>
      <c r="EWA50" s="367" t="e">
        <f>EVX50*EVY50*EVZ50</f>
        <v>#DIV/0!</v>
      </c>
      <c r="EWB50" s="363" t="s">
        <v>153</v>
      </c>
      <c r="EWC50" s="363"/>
      <c r="EWD50" s="363"/>
      <c r="EWE50" s="364" t="s">
        <v>140</v>
      </c>
      <c r="EWF50" s="365">
        <v>0.5</v>
      </c>
      <c r="EWG50" s="366" t="e">
        <f>10/EWC48</f>
        <v>#DIV/0!</v>
      </c>
      <c r="EWH50" s="367">
        <v>15.38</v>
      </c>
      <c r="EWI50" s="367" t="e">
        <f>EWF50*EWG50*EWH50</f>
        <v>#DIV/0!</v>
      </c>
      <c r="EWJ50" s="363" t="s">
        <v>153</v>
      </c>
      <c r="EWK50" s="363"/>
      <c r="EWL50" s="363"/>
      <c r="EWM50" s="364" t="s">
        <v>140</v>
      </c>
      <c r="EWN50" s="365">
        <v>0.5</v>
      </c>
      <c r="EWO50" s="366" t="e">
        <f>10/EWK48</f>
        <v>#DIV/0!</v>
      </c>
      <c r="EWP50" s="367">
        <v>15.38</v>
      </c>
      <c r="EWQ50" s="367" t="e">
        <f>EWN50*EWO50*EWP50</f>
        <v>#DIV/0!</v>
      </c>
      <c r="EWR50" s="363" t="s">
        <v>153</v>
      </c>
      <c r="EWS50" s="363"/>
      <c r="EWT50" s="363"/>
      <c r="EWU50" s="364" t="s">
        <v>140</v>
      </c>
      <c r="EWV50" s="365">
        <v>0.5</v>
      </c>
      <c r="EWW50" s="366" t="e">
        <f>10/EWS48</f>
        <v>#DIV/0!</v>
      </c>
      <c r="EWX50" s="367">
        <v>15.38</v>
      </c>
      <c r="EWY50" s="367" t="e">
        <f>EWV50*EWW50*EWX50</f>
        <v>#DIV/0!</v>
      </c>
      <c r="EWZ50" s="363" t="s">
        <v>153</v>
      </c>
      <c r="EXA50" s="363"/>
      <c r="EXB50" s="363"/>
      <c r="EXC50" s="364" t="s">
        <v>140</v>
      </c>
      <c r="EXD50" s="365">
        <v>0.5</v>
      </c>
      <c r="EXE50" s="366" t="e">
        <f>10/EXA48</f>
        <v>#DIV/0!</v>
      </c>
      <c r="EXF50" s="367">
        <v>15.38</v>
      </c>
      <c r="EXG50" s="367" t="e">
        <f>EXD50*EXE50*EXF50</f>
        <v>#DIV/0!</v>
      </c>
      <c r="EXH50" s="363" t="s">
        <v>153</v>
      </c>
      <c r="EXI50" s="363"/>
      <c r="EXJ50" s="363"/>
      <c r="EXK50" s="364" t="s">
        <v>140</v>
      </c>
      <c r="EXL50" s="365">
        <v>0.5</v>
      </c>
      <c r="EXM50" s="366" t="e">
        <f>10/EXI48</f>
        <v>#DIV/0!</v>
      </c>
      <c r="EXN50" s="367">
        <v>15.38</v>
      </c>
      <c r="EXO50" s="367" t="e">
        <f>EXL50*EXM50*EXN50</f>
        <v>#DIV/0!</v>
      </c>
      <c r="EXP50" s="363" t="s">
        <v>153</v>
      </c>
      <c r="EXQ50" s="363"/>
      <c r="EXR50" s="363"/>
      <c r="EXS50" s="364" t="s">
        <v>140</v>
      </c>
      <c r="EXT50" s="365">
        <v>0.5</v>
      </c>
      <c r="EXU50" s="366" t="e">
        <f>10/EXQ48</f>
        <v>#DIV/0!</v>
      </c>
      <c r="EXV50" s="367">
        <v>15.38</v>
      </c>
      <c r="EXW50" s="367" t="e">
        <f>EXT50*EXU50*EXV50</f>
        <v>#DIV/0!</v>
      </c>
      <c r="EXX50" s="363" t="s">
        <v>153</v>
      </c>
      <c r="EXY50" s="363"/>
      <c r="EXZ50" s="363"/>
      <c r="EYA50" s="364" t="s">
        <v>140</v>
      </c>
      <c r="EYB50" s="365">
        <v>0.5</v>
      </c>
      <c r="EYC50" s="366" t="e">
        <f>10/EXY48</f>
        <v>#DIV/0!</v>
      </c>
      <c r="EYD50" s="367">
        <v>15.38</v>
      </c>
      <c r="EYE50" s="367" t="e">
        <f>EYB50*EYC50*EYD50</f>
        <v>#DIV/0!</v>
      </c>
      <c r="EYF50" s="363" t="s">
        <v>153</v>
      </c>
      <c r="EYG50" s="363"/>
      <c r="EYH50" s="363"/>
      <c r="EYI50" s="364" t="s">
        <v>140</v>
      </c>
      <c r="EYJ50" s="365">
        <v>0.5</v>
      </c>
      <c r="EYK50" s="366" t="e">
        <f>10/EYG48</f>
        <v>#DIV/0!</v>
      </c>
      <c r="EYL50" s="367">
        <v>15.38</v>
      </c>
      <c r="EYM50" s="367" t="e">
        <f>EYJ50*EYK50*EYL50</f>
        <v>#DIV/0!</v>
      </c>
      <c r="EYN50" s="363" t="s">
        <v>153</v>
      </c>
      <c r="EYO50" s="363"/>
      <c r="EYP50" s="363"/>
      <c r="EYQ50" s="364" t="s">
        <v>140</v>
      </c>
      <c r="EYR50" s="365">
        <v>0.5</v>
      </c>
      <c r="EYS50" s="366" t="e">
        <f>10/EYO48</f>
        <v>#DIV/0!</v>
      </c>
      <c r="EYT50" s="367">
        <v>15.38</v>
      </c>
      <c r="EYU50" s="367" t="e">
        <f>EYR50*EYS50*EYT50</f>
        <v>#DIV/0!</v>
      </c>
      <c r="EYV50" s="363" t="s">
        <v>153</v>
      </c>
      <c r="EYW50" s="363"/>
      <c r="EYX50" s="363"/>
      <c r="EYY50" s="364" t="s">
        <v>140</v>
      </c>
      <c r="EYZ50" s="365">
        <v>0.5</v>
      </c>
      <c r="EZA50" s="366" t="e">
        <f>10/EYW48</f>
        <v>#DIV/0!</v>
      </c>
      <c r="EZB50" s="367">
        <v>15.38</v>
      </c>
      <c r="EZC50" s="367" t="e">
        <f>EYZ50*EZA50*EZB50</f>
        <v>#DIV/0!</v>
      </c>
      <c r="EZD50" s="363" t="s">
        <v>153</v>
      </c>
      <c r="EZE50" s="363"/>
      <c r="EZF50" s="363"/>
      <c r="EZG50" s="364" t="s">
        <v>140</v>
      </c>
      <c r="EZH50" s="365">
        <v>0.5</v>
      </c>
      <c r="EZI50" s="366" t="e">
        <f>10/EZE48</f>
        <v>#DIV/0!</v>
      </c>
      <c r="EZJ50" s="367">
        <v>15.38</v>
      </c>
      <c r="EZK50" s="367" t="e">
        <f>EZH50*EZI50*EZJ50</f>
        <v>#DIV/0!</v>
      </c>
      <c r="EZL50" s="363" t="s">
        <v>153</v>
      </c>
      <c r="EZM50" s="363"/>
      <c r="EZN50" s="363"/>
      <c r="EZO50" s="364" t="s">
        <v>140</v>
      </c>
      <c r="EZP50" s="365">
        <v>0.5</v>
      </c>
      <c r="EZQ50" s="366" t="e">
        <f>10/EZM48</f>
        <v>#DIV/0!</v>
      </c>
      <c r="EZR50" s="367">
        <v>15.38</v>
      </c>
      <c r="EZS50" s="367" t="e">
        <f>EZP50*EZQ50*EZR50</f>
        <v>#DIV/0!</v>
      </c>
      <c r="EZT50" s="363" t="s">
        <v>153</v>
      </c>
      <c r="EZU50" s="363"/>
      <c r="EZV50" s="363"/>
      <c r="EZW50" s="364" t="s">
        <v>140</v>
      </c>
      <c r="EZX50" s="365">
        <v>0.5</v>
      </c>
      <c r="EZY50" s="366" t="e">
        <f>10/EZU48</f>
        <v>#DIV/0!</v>
      </c>
      <c r="EZZ50" s="367">
        <v>15.38</v>
      </c>
      <c r="FAA50" s="367" t="e">
        <f>EZX50*EZY50*EZZ50</f>
        <v>#DIV/0!</v>
      </c>
      <c r="FAB50" s="363" t="s">
        <v>153</v>
      </c>
      <c r="FAC50" s="363"/>
      <c r="FAD50" s="363"/>
      <c r="FAE50" s="364" t="s">
        <v>140</v>
      </c>
      <c r="FAF50" s="365">
        <v>0.5</v>
      </c>
      <c r="FAG50" s="366" t="e">
        <f>10/FAC48</f>
        <v>#DIV/0!</v>
      </c>
      <c r="FAH50" s="367">
        <v>15.38</v>
      </c>
      <c r="FAI50" s="367" t="e">
        <f>FAF50*FAG50*FAH50</f>
        <v>#DIV/0!</v>
      </c>
      <c r="FAJ50" s="363" t="s">
        <v>153</v>
      </c>
      <c r="FAK50" s="363"/>
      <c r="FAL50" s="363"/>
      <c r="FAM50" s="364" t="s">
        <v>140</v>
      </c>
      <c r="FAN50" s="365">
        <v>0.5</v>
      </c>
      <c r="FAO50" s="366" t="e">
        <f>10/FAK48</f>
        <v>#DIV/0!</v>
      </c>
      <c r="FAP50" s="367">
        <v>15.38</v>
      </c>
      <c r="FAQ50" s="367" t="e">
        <f>FAN50*FAO50*FAP50</f>
        <v>#DIV/0!</v>
      </c>
      <c r="FAR50" s="363" t="s">
        <v>153</v>
      </c>
      <c r="FAS50" s="363"/>
      <c r="FAT50" s="363"/>
      <c r="FAU50" s="364" t="s">
        <v>140</v>
      </c>
      <c r="FAV50" s="365">
        <v>0.5</v>
      </c>
      <c r="FAW50" s="366" t="e">
        <f>10/FAS48</f>
        <v>#DIV/0!</v>
      </c>
      <c r="FAX50" s="367">
        <v>15.38</v>
      </c>
      <c r="FAY50" s="367" t="e">
        <f>FAV50*FAW50*FAX50</f>
        <v>#DIV/0!</v>
      </c>
      <c r="FAZ50" s="363" t="s">
        <v>153</v>
      </c>
      <c r="FBA50" s="363"/>
      <c r="FBB50" s="363"/>
      <c r="FBC50" s="364" t="s">
        <v>140</v>
      </c>
      <c r="FBD50" s="365">
        <v>0.5</v>
      </c>
      <c r="FBE50" s="366" t="e">
        <f>10/FBA48</f>
        <v>#DIV/0!</v>
      </c>
      <c r="FBF50" s="367">
        <v>15.38</v>
      </c>
      <c r="FBG50" s="367" t="e">
        <f>FBD50*FBE50*FBF50</f>
        <v>#DIV/0!</v>
      </c>
      <c r="FBH50" s="363" t="s">
        <v>153</v>
      </c>
      <c r="FBI50" s="363"/>
      <c r="FBJ50" s="363"/>
      <c r="FBK50" s="364" t="s">
        <v>140</v>
      </c>
      <c r="FBL50" s="365">
        <v>0.5</v>
      </c>
      <c r="FBM50" s="366" t="e">
        <f>10/FBI48</f>
        <v>#DIV/0!</v>
      </c>
      <c r="FBN50" s="367">
        <v>15.38</v>
      </c>
      <c r="FBO50" s="367" t="e">
        <f>FBL50*FBM50*FBN50</f>
        <v>#DIV/0!</v>
      </c>
      <c r="FBP50" s="363" t="s">
        <v>153</v>
      </c>
      <c r="FBQ50" s="363"/>
      <c r="FBR50" s="363"/>
      <c r="FBS50" s="364" t="s">
        <v>140</v>
      </c>
      <c r="FBT50" s="365">
        <v>0.5</v>
      </c>
      <c r="FBU50" s="366" t="e">
        <f>10/FBQ48</f>
        <v>#DIV/0!</v>
      </c>
      <c r="FBV50" s="367">
        <v>15.38</v>
      </c>
      <c r="FBW50" s="367" t="e">
        <f>FBT50*FBU50*FBV50</f>
        <v>#DIV/0!</v>
      </c>
      <c r="FBX50" s="363" t="s">
        <v>153</v>
      </c>
      <c r="FBY50" s="363"/>
      <c r="FBZ50" s="363"/>
      <c r="FCA50" s="364" t="s">
        <v>140</v>
      </c>
      <c r="FCB50" s="365">
        <v>0.5</v>
      </c>
      <c r="FCC50" s="366" t="e">
        <f>10/FBY48</f>
        <v>#DIV/0!</v>
      </c>
      <c r="FCD50" s="367">
        <v>15.38</v>
      </c>
      <c r="FCE50" s="367" t="e">
        <f>FCB50*FCC50*FCD50</f>
        <v>#DIV/0!</v>
      </c>
      <c r="FCF50" s="363" t="s">
        <v>153</v>
      </c>
      <c r="FCG50" s="363"/>
      <c r="FCH50" s="363"/>
      <c r="FCI50" s="364" t="s">
        <v>140</v>
      </c>
      <c r="FCJ50" s="365">
        <v>0.5</v>
      </c>
      <c r="FCK50" s="366" t="e">
        <f>10/FCG48</f>
        <v>#DIV/0!</v>
      </c>
      <c r="FCL50" s="367">
        <v>15.38</v>
      </c>
      <c r="FCM50" s="367" t="e">
        <f>FCJ50*FCK50*FCL50</f>
        <v>#DIV/0!</v>
      </c>
      <c r="FCN50" s="363" t="s">
        <v>153</v>
      </c>
      <c r="FCO50" s="363"/>
      <c r="FCP50" s="363"/>
      <c r="FCQ50" s="364" t="s">
        <v>140</v>
      </c>
      <c r="FCR50" s="365">
        <v>0.5</v>
      </c>
      <c r="FCS50" s="366" t="e">
        <f>10/FCO48</f>
        <v>#DIV/0!</v>
      </c>
      <c r="FCT50" s="367">
        <v>15.38</v>
      </c>
      <c r="FCU50" s="367" t="e">
        <f>FCR50*FCS50*FCT50</f>
        <v>#DIV/0!</v>
      </c>
      <c r="FCV50" s="363" t="s">
        <v>153</v>
      </c>
      <c r="FCW50" s="363"/>
      <c r="FCX50" s="363"/>
      <c r="FCY50" s="364" t="s">
        <v>140</v>
      </c>
      <c r="FCZ50" s="365">
        <v>0.5</v>
      </c>
      <c r="FDA50" s="366" t="e">
        <f>10/FCW48</f>
        <v>#DIV/0!</v>
      </c>
      <c r="FDB50" s="367">
        <v>15.38</v>
      </c>
      <c r="FDC50" s="367" t="e">
        <f>FCZ50*FDA50*FDB50</f>
        <v>#DIV/0!</v>
      </c>
      <c r="FDD50" s="363" t="s">
        <v>153</v>
      </c>
      <c r="FDE50" s="363"/>
      <c r="FDF50" s="363"/>
      <c r="FDG50" s="364" t="s">
        <v>140</v>
      </c>
      <c r="FDH50" s="365">
        <v>0.5</v>
      </c>
      <c r="FDI50" s="366" t="e">
        <f>10/FDE48</f>
        <v>#DIV/0!</v>
      </c>
      <c r="FDJ50" s="367">
        <v>15.38</v>
      </c>
      <c r="FDK50" s="367" t="e">
        <f>FDH50*FDI50*FDJ50</f>
        <v>#DIV/0!</v>
      </c>
      <c r="FDL50" s="363" t="s">
        <v>153</v>
      </c>
      <c r="FDM50" s="363"/>
      <c r="FDN50" s="363"/>
      <c r="FDO50" s="364" t="s">
        <v>140</v>
      </c>
      <c r="FDP50" s="365">
        <v>0.5</v>
      </c>
      <c r="FDQ50" s="366" t="e">
        <f>10/FDM48</f>
        <v>#DIV/0!</v>
      </c>
      <c r="FDR50" s="367">
        <v>15.38</v>
      </c>
      <c r="FDS50" s="367" t="e">
        <f>FDP50*FDQ50*FDR50</f>
        <v>#DIV/0!</v>
      </c>
      <c r="FDT50" s="363" t="s">
        <v>153</v>
      </c>
      <c r="FDU50" s="363"/>
      <c r="FDV50" s="363"/>
      <c r="FDW50" s="364" t="s">
        <v>140</v>
      </c>
      <c r="FDX50" s="365">
        <v>0.5</v>
      </c>
      <c r="FDY50" s="366" t="e">
        <f>10/FDU48</f>
        <v>#DIV/0!</v>
      </c>
      <c r="FDZ50" s="367">
        <v>15.38</v>
      </c>
      <c r="FEA50" s="367" t="e">
        <f>FDX50*FDY50*FDZ50</f>
        <v>#DIV/0!</v>
      </c>
      <c r="FEB50" s="363" t="s">
        <v>153</v>
      </c>
      <c r="FEC50" s="363"/>
      <c r="FED50" s="363"/>
      <c r="FEE50" s="364" t="s">
        <v>140</v>
      </c>
      <c r="FEF50" s="365">
        <v>0.5</v>
      </c>
      <c r="FEG50" s="366" t="e">
        <f>10/FEC48</f>
        <v>#DIV/0!</v>
      </c>
      <c r="FEH50" s="367">
        <v>15.38</v>
      </c>
      <c r="FEI50" s="367" t="e">
        <f>FEF50*FEG50*FEH50</f>
        <v>#DIV/0!</v>
      </c>
      <c r="FEJ50" s="363" t="s">
        <v>153</v>
      </c>
      <c r="FEK50" s="363"/>
      <c r="FEL50" s="363"/>
      <c r="FEM50" s="364" t="s">
        <v>140</v>
      </c>
      <c r="FEN50" s="365">
        <v>0.5</v>
      </c>
      <c r="FEO50" s="366" t="e">
        <f>10/FEK48</f>
        <v>#DIV/0!</v>
      </c>
      <c r="FEP50" s="367">
        <v>15.38</v>
      </c>
      <c r="FEQ50" s="367" t="e">
        <f>FEN50*FEO50*FEP50</f>
        <v>#DIV/0!</v>
      </c>
      <c r="FER50" s="363" t="s">
        <v>153</v>
      </c>
      <c r="FES50" s="363"/>
      <c r="FET50" s="363"/>
      <c r="FEU50" s="364" t="s">
        <v>140</v>
      </c>
      <c r="FEV50" s="365">
        <v>0.5</v>
      </c>
      <c r="FEW50" s="366" t="e">
        <f>10/FES48</f>
        <v>#DIV/0!</v>
      </c>
      <c r="FEX50" s="367">
        <v>15.38</v>
      </c>
      <c r="FEY50" s="367" t="e">
        <f>FEV50*FEW50*FEX50</f>
        <v>#DIV/0!</v>
      </c>
      <c r="FEZ50" s="363" t="s">
        <v>153</v>
      </c>
      <c r="FFA50" s="363"/>
      <c r="FFB50" s="363"/>
      <c r="FFC50" s="364" t="s">
        <v>140</v>
      </c>
      <c r="FFD50" s="365">
        <v>0.5</v>
      </c>
      <c r="FFE50" s="366" t="e">
        <f>10/FFA48</f>
        <v>#DIV/0!</v>
      </c>
      <c r="FFF50" s="367">
        <v>15.38</v>
      </c>
      <c r="FFG50" s="367" t="e">
        <f>FFD50*FFE50*FFF50</f>
        <v>#DIV/0!</v>
      </c>
      <c r="FFH50" s="363" t="s">
        <v>153</v>
      </c>
      <c r="FFI50" s="363"/>
      <c r="FFJ50" s="363"/>
      <c r="FFK50" s="364" t="s">
        <v>140</v>
      </c>
      <c r="FFL50" s="365">
        <v>0.5</v>
      </c>
      <c r="FFM50" s="366" t="e">
        <f>10/FFI48</f>
        <v>#DIV/0!</v>
      </c>
      <c r="FFN50" s="367">
        <v>15.38</v>
      </c>
      <c r="FFO50" s="367" t="e">
        <f>FFL50*FFM50*FFN50</f>
        <v>#DIV/0!</v>
      </c>
      <c r="FFP50" s="363" t="s">
        <v>153</v>
      </c>
      <c r="FFQ50" s="363"/>
      <c r="FFR50" s="363"/>
      <c r="FFS50" s="364" t="s">
        <v>140</v>
      </c>
      <c r="FFT50" s="365">
        <v>0.5</v>
      </c>
      <c r="FFU50" s="366" t="e">
        <f>10/FFQ48</f>
        <v>#DIV/0!</v>
      </c>
      <c r="FFV50" s="367">
        <v>15.38</v>
      </c>
      <c r="FFW50" s="367" t="e">
        <f>FFT50*FFU50*FFV50</f>
        <v>#DIV/0!</v>
      </c>
      <c r="FFX50" s="363" t="s">
        <v>153</v>
      </c>
      <c r="FFY50" s="363"/>
      <c r="FFZ50" s="363"/>
      <c r="FGA50" s="364" t="s">
        <v>140</v>
      </c>
      <c r="FGB50" s="365">
        <v>0.5</v>
      </c>
      <c r="FGC50" s="366" t="e">
        <f>10/FFY48</f>
        <v>#DIV/0!</v>
      </c>
      <c r="FGD50" s="367">
        <v>15.38</v>
      </c>
      <c r="FGE50" s="367" t="e">
        <f>FGB50*FGC50*FGD50</f>
        <v>#DIV/0!</v>
      </c>
      <c r="FGF50" s="363" t="s">
        <v>153</v>
      </c>
      <c r="FGG50" s="363"/>
      <c r="FGH50" s="363"/>
      <c r="FGI50" s="364" t="s">
        <v>140</v>
      </c>
      <c r="FGJ50" s="365">
        <v>0.5</v>
      </c>
      <c r="FGK50" s="366" t="e">
        <f>10/FGG48</f>
        <v>#DIV/0!</v>
      </c>
      <c r="FGL50" s="367">
        <v>15.38</v>
      </c>
      <c r="FGM50" s="367" t="e">
        <f>FGJ50*FGK50*FGL50</f>
        <v>#DIV/0!</v>
      </c>
      <c r="FGN50" s="363" t="s">
        <v>153</v>
      </c>
      <c r="FGO50" s="363"/>
      <c r="FGP50" s="363"/>
      <c r="FGQ50" s="364" t="s">
        <v>140</v>
      </c>
      <c r="FGR50" s="365">
        <v>0.5</v>
      </c>
      <c r="FGS50" s="366" t="e">
        <f>10/FGO48</f>
        <v>#DIV/0!</v>
      </c>
      <c r="FGT50" s="367">
        <v>15.38</v>
      </c>
      <c r="FGU50" s="367" t="e">
        <f>FGR50*FGS50*FGT50</f>
        <v>#DIV/0!</v>
      </c>
      <c r="FGV50" s="363" t="s">
        <v>153</v>
      </c>
      <c r="FGW50" s="363"/>
      <c r="FGX50" s="363"/>
      <c r="FGY50" s="364" t="s">
        <v>140</v>
      </c>
      <c r="FGZ50" s="365">
        <v>0.5</v>
      </c>
      <c r="FHA50" s="366" t="e">
        <f>10/FGW48</f>
        <v>#DIV/0!</v>
      </c>
      <c r="FHB50" s="367">
        <v>15.38</v>
      </c>
      <c r="FHC50" s="367" t="e">
        <f>FGZ50*FHA50*FHB50</f>
        <v>#DIV/0!</v>
      </c>
      <c r="FHD50" s="363" t="s">
        <v>153</v>
      </c>
      <c r="FHE50" s="363"/>
      <c r="FHF50" s="363"/>
      <c r="FHG50" s="364" t="s">
        <v>140</v>
      </c>
      <c r="FHH50" s="365">
        <v>0.5</v>
      </c>
      <c r="FHI50" s="366" t="e">
        <f>10/FHE48</f>
        <v>#DIV/0!</v>
      </c>
      <c r="FHJ50" s="367">
        <v>15.38</v>
      </c>
      <c r="FHK50" s="367" t="e">
        <f>FHH50*FHI50*FHJ50</f>
        <v>#DIV/0!</v>
      </c>
      <c r="FHL50" s="363" t="s">
        <v>153</v>
      </c>
      <c r="FHM50" s="363"/>
      <c r="FHN50" s="363"/>
      <c r="FHO50" s="364" t="s">
        <v>140</v>
      </c>
      <c r="FHP50" s="365">
        <v>0.5</v>
      </c>
      <c r="FHQ50" s="366" t="e">
        <f>10/FHM48</f>
        <v>#DIV/0!</v>
      </c>
      <c r="FHR50" s="367">
        <v>15.38</v>
      </c>
      <c r="FHS50" s="367" t="e">
        <f>FHP50*FHQ50*FHR50</f>
        <v>#DIV/0!</v>
      </c>
      <c r="FHT50" s="363" t="s">
        <v>153</v>
      </c>
      <c r="FHU50" s="363"/>
      <c r="FHV50" s="363"/>
      <c r="FHW50" s="364" t="s">
        <v>140</v>
      </c>
      <c r="FHX50" s="365">
        <v>0.5</v>
      </c>
      <c r="FHY50" s="366" t="e">
        <f>10/FHU48</f>
        <v>#DIV/0!</v>
      </c>
      <c r="FHZ50" s="367">
        <v>15.38</v>
      </c>
      <c r="FIA50" s="367" t="e">
        <f>FHX50*FHY50*FHZ50</f>
        <v>#DIV/0!</v>
      </c>
      <c r="FIB50" s="363" t="s">
        <v>153</v>
      </c>
      <c r="FIC50" s="363"/>
      <c r="FID50" s="363"/>
      <c r="FIE50" s="364" t="s">
        <v>140</v>
      </c>
      <c r="FIF50" s="365">
        <v>0.5</v>
      </c>
      <c r="FIG50" s="366" t="e">
        <f>10/FIC48</f>
        <v>#DIV/0!</v>
      </c>
      <c r="FIH50" s="367">
        <v>15.38</v>
      </c>
      <c r="FII50" s="367" t="e">
        <f>FIF50*FIG50*FIH50</f>
        <v>#DIV/0!</v>
      </c>
      <c r="FIJ50" s="363" t="s">
        <v>153</v>
      </c>
      <c r="FIK50" s="363"/>
      <c r="FIL50" s="363"/>
      <c r="FIM50" s="364" t="s">
        <v>140</v>
      </c>
      <c r="FIN50" s="365">
        <v>0.5</v>
      </c>
      <c r="FIO50" s="366" t="e">
        <f>10/FIK48</f>
        <v>#DIV/0!</v>
      </c>
      <c r="FIP50" s="367">
        <v>15.38</v>
      </c>
      <c r="FIQ50" s="367" t="e">
        <f>FIN50*FIO50*FIP50</f>
        <v>#DIV/0!</v>
      </c>
      <c r="FIR50" s="363" t="s">
        <v>153</v>
      </c>
      <c r="FIS50" s="363"/>
      <c r="FIT50" s="363"/>
      <c r="FIU50" s="364" t="s">
        <v>140</v>
      </c>
      <c r="FIV50" s="365">
        <v>0.5</v>
      </c>
      <c r="FIW50" s="366" t="e">
        <f>10/FIS48</f>
        <v>#DIV/0!</v>
      </c>
      <c r="FIX50" s="367">
        <v>15.38</v>
      </c>
      <c r="FIY50" s="367" t="e">
        <f>FIV50*FIW50*FIX50</f>
        <v>#DIV/0!</v>
      </c>
      <c r="FIZ50" s="363" t="s">
        <v>153</v>
      </c>
      <c r="FJA50" s="363"/>
      <c r="FJB50" s="363"/>
      <c r="FJC50" s="364" t="s">
        <v>140</v>
      </c>
      <c r="FJD50" s="365">
        <v>0.5</v>
      </c>
      <c r="FJE50" s="366" t="e">
        <f>10/FJA48</f>
        <v>#DIV/0!</v>
      </c>
      <c r="FJF50" s="367">
        <v>15.38</v>
      </c>
      <c r="FJG50" s="367" t="e">
        <f>FJD50*FJE50*FJF50</f>
        <v>#DIV/0!</v>
      </c>
      <c r="FJH50" s="363" t="s">
        <v>153</v>
      </c>
      <c r="FJI50" s="363"/>
      <c r="FJJ50" s="363"/>
      <c r="FJK50" s="364" t="s">
        <v>140</v>
      </c>
      <c r="FJL50" s="365">
        <v>0.5</v>
      </c>
      <c r="FJM50" s="366" t="e">
        <f>10/FJI48</f>
        <v>#DIV/0!</v>
      </c>
      <c r="FJN50" s="367">
        <v>15.38</v>
      </c>
      <c r="FJO50" s="367" t="e">
        <f>FJL50*FJM50*FJN50</f>
        <v>#DIV/0!</v>
      </c>
      <c r="FJP50" s="363" t="s">
        <v>153</v>
      </c>
      <c r="FJQ50" s="363"/>
      <c r="FJR50" s="363"/>
      <c r="FJS50" s="364" t="s">
        <v>140</v>
      </c>
      <c r="FJT50" s="365">
        <v>0.5</v>
      </c>
      <c r="FJU50" s="366" t="e">
        <f>10/FJQ48</f>
        <v>#DIV/0!</v>
      </c>
      <c r="FJV50" s="367">
        <v>15.38</v>
      </c>
      <c r="FJW50" s="367" t="e">
        <f>FJT50*FJU50*FJV50</f>
        <v>#DIV/0!</v>
      </c>
      <c r="FJX50" s="363" t="s">
        <v>153</v>
      </c>
      <c r="FJY50" s="363"/>
      <c r="FJZ50" s="363"/>
      <c r="FKA50" s="364" t="s">
        <v>140</v>
      </c>
      <c r="FKB50" s="365">
        <v>0.5</v>
      </c>
      <c r="FKC50" s="366" t="e">
        <f>10/FJY48</f>
        <v>#DIV/0!</v>
      </c>
      <c r="FKD50" s="367">
        <v>15.38</v>
      </c>
      <c r="FKE50" s="367" t="e">
        <f>FKB50*FKC50*FKD50</f>
        <v>#DIV/0!</v>
      </c>
      <c r="FKF50" s="363" t="s">
        <v>153</v>
      </c>
      <c r="FKG50" s="363"/>
      <c r="FKH50" s="363"/>
      <c r="FKI50" s="364" t="s">
        <v>140</v>
      </c>
      <c r="FKJ50" s="365">
        <v>0.5</v>
      </c>
      <c r="FKK50" s="366" t="e">
        <f>10/FKG48</f>
        <v>#DIV/0!</v>
      </c>
      <c r="FKL50" s="367">
        <v>15.38</v>
      </c>
      <c r="FKM50" s="367" t="e">
        <f>FKJ50*FKK50*FKL50</f>
        <v>#DIV/0!</v>
      </c>
      <c r="FKN50" s="363" t="s">
        <v>153</v>
      </c>
      <c r="FKO50" s="363"/>
      <c r="FKP50" s="363"/>
      <c r="FKQ50" s="364" t="s">
        <v>140</v>
      </c>
      <c r="FKR50" s="365">
        <v>0.5</v>
      </c>
      <c r="FKS50" s="366" t="e">
        <f>10/FKO48</f>
        <v>#DIV/0!</v>
      </c>
      <c r="FKT50" s="367">
        <v>15.38</v>
      </c>
      <c r="FKU50" s="367" t="e">
        <f>FKR50*FKS50*FKT50</f>
        <v>#DIV/0!</v>
      </c>
      <c r="FKV50" s="363" t="s">
        <v>153</v>
      </c>
      <c r="FKW50" s="363"/>
      <c r="FKX50" s="363"/>
      <c r="FKY50" s="364" t="s">
        <v>140</v>
      </c>
      <c r="FKZ50" s="365">
        <v>0.5</v>
      </c>
      <c r="FLA50" s="366" t="e">
        <f>10/FKW48</f>
        <v>#DIV/0!</v>
      </c>
      <c r="FLB50" s="367">
        <v>15.38</v>
      </c>
      <c r="FLC50" s="367" t="e">
        <f>FKZ50*FLA50*FLB50</f>
        <v>#DIV/0!</v>
      </c>
      <c r="FLD50" s="363" t="s">
        <v>153</v>
      </c>
      <c r="FLE50" s="363"/>
      <c r="FLF50" s="363"/>
      <c r="FLG50" s="364" t="s">
        <v>140</v>
      </c>
      <c r="FLH50" s="365">
        <v>0.5</v>
      </c>
      <c r="FLI50" s="366" t="e">
        <f>10/FLE48</f>
        <v>#DIV/0!</v>
      </c>
      <c r="FLJ50" s="367">
        <v>15.38</v>
      </c>
      <c r="FLK50" s="367" t="e">
        <f>FLH50*FLI50*FLJ50</f>
        <v>#DIV/0!</v>
      </c>
      <c r="FLL50" s="363" t="s">
        <v>153</v>
      </c>
      <c r="FLM50" s="363"/>
      <c r="FLN50" s="363"/>
      <c r="FLO50" s="364" t="s">
        <v>140</v>
      </c>
      <c r="FLP50" s="365">
        <v>0.5</v>
      </c>
      <c r="FLQ50" s="366" t="e">
        <f>10/FLM48</f>
        <v>#DIV/0!</v>
      </c>
      <c r="FLR50" s="367">
        <v>15.38</v>
      </c>
      <c r="FLS50" s="367" t="e">
        <f>FLP50*FLQ50*FLR50</f>
        <v>#DIV/0!</v>
      </c>
      <c r="FLT50" s="363" t="s">
        <v>153</v>
      </c>
      <c r="FLU50" s="363"/>
      <c r="FLV50" s="363"/>
      <c r="FLW50" s="364" t="s">
        <v>140</v>
      </c>
      <c r="FLX50" s="365">
        <v>0.5</v>
      </c>
      <c r="FLY50" s="366" t="e">
        <f>10/FLU48</f>
        <v>#DIV/0!</v>
      </c>
      <c r="FLZ50" s="367">
        <v>15.38</v>
      </c>
      <c r="FMA50" s="367" t="e">
        <f>FLX50*FLY50*FLZ50</f>
        <v>#DIV/0!</v>
      </c>
      <c r="FMB50" s="363" t="s">
        <v>153</v>
      </c>
      <c r="FMC50" s="363"/>
      <c r="FMD50" s="363"/>
      <c r="FME50" s="364" t="s">
        <v>140</v>
      </c>
      <c r="FMF50" s="365">
        <v>0.5</v>
      </c>
      <c r="FMG50" s="366" t="e">
        <f>10/FMC48</f>
        <v>#DIV/0!</v>
      </c>
      <c r="FMH50" s="367">
        <v>15.38</v>
      </c>
      <c r="FMI50" s="367" t="e">
        <f>FMF50*FMG50*FMH50</f>
        <v>#DIV/0!</v>
      </c>
      <c r="FMJ50" s="363" t="s">
        <v>153</v>
      </c>
      <c r="FMK50" s="363"/>
      <c r="FML50" s="363"/>
      <c r="FMM50" s="364" t="s">
        <v>140</v>
      </c>
      <c r="FMN50" s="365">
        <v>0.5</v>
      </c>
      <c r="FMO50" s="366" t="e">
        <f>10/FMK48</f>
        <v>#DIV/0!</v>
      </c>
      <c r="FMP50" s="367">
        <v>15.38</v>
      </c>
      <c r="FMQ50" s="367" t="e">
        <f>FMN50*FMO50*FMP50</f>
        <v>#DIV/0!</v>
      </c>
      <c r="FMR50" s="363" t="s">
        <v>153</v>
      </c>
      <c r="FMS50" s="363"/>
      <c r="FMT50" s="363"/>
      <c r="FMU50" s="364" t="s">
        <v>140</v>
      </c>
      <c r="FMV50" s="365">
        <v>0.5</v>
      </c>
      <c r="FMW50" s="366" t="e">
        <f>10/FMS48</f>
        <v>#DIV/0!</v>
      </c>
      <c r="FMX50" s="367">
        <v>15.38</v>
      </c>
      <c r="FMY50" s="367" t="e">
        <f>FMV50*FMW50*FMX50</f>
        <v>#DIV/0!</v>
      </c>
      <c r="FMZ50" s="363" t="s">
        <v>153</v>
      </c>
      <c r="FNA50" s="363"/>
      <c r="FNB50" s="363"/>
      <c r="FNC50" s="364" t="s">
        <v>140</v>
      </c>
      <c r="FND50" s="365">
        <v>0.5</v>
      </c>
      <c r="FNE50" s="366" t="e">
        <f>10/FNA48</f>
        <v>#DIV/0!</v>
      </c>
      <c r="FNF50" s="367">
        <v>15.38</v>
      </c>
      <c r="FNG50" s="367" t="e">
        <f>FND50*FNE50*FNF50</f>
        <v>#DIV/0!</v>
      </c>
      <c r="FNH50" s="363" t="s">
        <v>153</v>
      </c>
      <c r="FNI50" s="363"/>
      <c r="FNJ50" s="363"/>
      <c r="FNK50" s="364" t="s">
        <v>140</v>
      </c>
      <c r="FNL50" s="365">
        <v>0.5</v>
      </c>
      <c r="FNM50" s="366" t="e">
        <f>10/FNI48</f>
        <v>#DIV/0!</v>
      </c>
      <c r="FNN50" s="367">
        <v>15.38</v>
      </c>
      <c r="FNO50" s="367" t="e">
        <f>FNL50*FNM50*FNN50</f>
        <v>#DIV/0!</v>
      </c>
      <c r="FNP50" s="363" t="s">
        <v>153</v>
      </c>
      <c r="FNQ50" s="363"/>
      <c r="FNR50" s="363"/>
      <c r="FNS50" s="364" t="s">
        <v>140</v>
      </c>
      <c r="FNT50" s="365">
        <v>0.5</v>
      </c>
      <c r="FNU50" s="366" t="e">
        <f>10/FNQ48</f>
        <v>#DIV/0!</v>
      </c>
      <c r="FNV50" s="367">
        <v>15.38</v>
      </c>
      <c r="FNW50" s="367" t="e">
        <f>FNT50*FNU50*FNV50</f>
        <v>#DIV/0!</v>
      </c>
      <c r="FNX50" s="363" t="s">
        <v>153</v>
      </c>
      <c r="FNY50" s="363"/>
      <c r="FNZ50" s="363"/>
      <c r="FOA50" s="364" t="s">
        <v>140</v>
      </c>
      <c r="FOB50" s="365">
        <v>0.5</v>
      </c>
      <c r="FOC50" s="366" t="e">
        <f>10/FNY48</f>
        <v>#DIV/0!</v>
      </c>
      <c r="FOD50" s="367">
        <v>15.38</v>
      </c>
      <c r="FOE50" s="367" t="e">
        <f>FOB50*FOC50*FOD50</f>
        <v>#DIV/0!</v>
      </c>
      <c r="FOF50" s="363" t="s">
        <v>153</v>
      </c>
      <c r="FOG50" s="363"/>
      <c r="FOH50" s="363"/>
      <c r="FOI50" s="364" t="s">
        <v>140</v>
      </c>
      <c r="FOJ50" s="365">
        <v>0.5</v>
      </c>
      <c r="FOK50" s="366" t="e">
        <f>10/FOG48</f>
        <v>#DIV/0!</v>
      </c>
      <c r="FOL50" s="367">
        <v>15.38</v>
      </c>
      <c r="FOM50" s="367" t="e">
        <f>FOJ50*FOK50*FOL50</f>
        <v>#DIV/0!</v>
      </c>
      <c r="FON50" s="363" t="s">
        <v>153</v>
      </c>
      <c r="FOO50" s="363"/>
      <c r="FOP50" s="363"/>
      <c r="FOQ50" s="364" t="s">
        <v>140</v>
      </c>
      <c r="FOR50" s="365">
        <v>0.5</v>
      </c>
      <c r="FOS50" s="366" t="e">
        <f>10/FOO48</f>
        <v>#DIV/0!</v>
      </c>
      <c r="FOT50" s="367">
        <v>15.38</v>
      </c>
      <c r="FOU50" s="367" t="e">
        <f>FOR50*FOS50*FOT50</f>
        <v>#DIV/0!</v>
      </c>
      <c r="FOV50" s="363" t="s">
        <v>153</v>
      </c>
      <c r="FOW50" s="363"/>
      <c r="FOX50" s="363"/>
      <c r="FOY50" s="364" t="s">
        <v>140</v>
      </c>
      <c r="FOZ50" s="365">
        <v>0.5</v>
      </c>
      <c r="FPA50" s="366" t="e">
        <f>10/FOW48</f>
        <v>#DIV/0!</v>
      </c>
      <c r="FPB50" s="367">
        <v>15.38</v>
      </c>
      <c r="FPC50" s="367" t="e">
        <f>FOZ50*FPA50*FPB50</f>
        <v>#DIV/0!</v>
      </c>
      <c r="FPD50" s="363" t="s">
        <v>153</v>
      </c>
      <c r="FPE50" s="363"/>
      <c r="FPF50" s="363"/>
      <c r="FPG50" s="364" t="s">
        <v>140</v>
      </c>
      <c r="FPH50" s="365">
        <v>0.5</v>
      </c>
      <c r="FPI50" s="366" t="e">
        <f>10/FPE48</f>
        <v>#DIV/0!</v>
      </c>
      <c r="FPJ50" s="367">
        <v>15.38</v>
      </c>
      <c r="FPK50" s="367" t="e">
        <f>FPH50*FPI50*FPJ50</f>
        <v>#DIV/0!</v>
      </c>
      <c r="FPL50" s="363" t="s">
        <v>153</v>
      </c>
      <c r="FPM50" s="363"/>
      <c r="FPN50" s="363"/>
      <c r="FPO50" s="364" t="s">
        <v>140</v>
      </c>
      <c r="FPP50" s="365">
        <v>0.5</v>
      </c>
      <c r="FPQ50" s="366" t="e">
        <f>10/FPM48</f>
        <v>#DIV/0!</v>
      </c>
      <c r="FPR50" s="367">
        <v>15.38</v>
      </c>
      <c r="FPS50" s="367" t="e">
        <f>FPP50*FPQ50*FPR50</f>
        <v>#DIV/0!</v>
      </c>
      <c r="FPT50" s="363" t="s">
        <v>153</v>
      </c>
      <c r="FPU50" s="363"/>
      <c r="FPV50" s="363"/>
      <c r="FPW50" s="364" t="s">
        <v>140</v>
      </c>
      <c r="FPX50" s="365">
        <v>0.5</v>
      </c>
      <c r="FPY50" s="366" t="e">
        <f>10/FPU48</f>
        <v>#DIV/0!</v>
      </c>
      <c r="FPZ50" s="367">
        <v>15.38</v>
      </c>
      <c r="FQA50" s="367" t="e">
        <f>FPX50*FPY50*FPZ50</f>
        <v>#DIV/0!</v>
      </c>
      <c r="FQB50" s="363" t="s">
        <v>153</v>
      </c>
      <c r="FQC50" s="363"/>
      <c r="FQD50" s="363"/>
      <c r="FQE50" s="364" t="s">
        <v>140</v>
      </c>
      <c r="FQF50" s="365">
        <v>0.5</v>
      </c>
      <c r="FQG50" s="366" t="e">
        <f>10/FQC48</f>
        <v>#DIV/0!</v>
      </c>
      <c r="FQH50" s="367">
        <v>15.38</v>
      </c>
      <c r="FQI50" s="367" t="e">
        <f>FQF50*FQG50*FQH50</f>
        <v>#DIV/0!</v>
      </c>
      <c r="FQJ50" s="363" t="s">
        <v>153</v>
      </c>
      <c r="FQK50" s="363"/>
      <c r="FQL50" s="363"/>
      <c r="FQM50" s="364" t="s">
        <v>140</v>
      </c>
      <c r="FQN50" s="365">
        <v>0.5</v>
      </c>
      <c r="FQO50" s="366" t="e">
        <f>10/FQK48</f>
        <v>#DIV/0!</v>
      </c>
      <c r="FQP50" s="367">
        <v>15.38</v>
      </c>
      <c r="FQQ50" s="367" t="e">
        <f>FQN50*FQO50*FQP50</f>
        <v>#DIV/0!</v>
      </c>
      <c r="FQR50" s="363" t="s">
        <v>153</v>
      </c>
      <c r="FQS50" s="363"/>
      <c r="FQT50" s="363"/>
      <c r="FQU50" s="364" t="s">
        <v>140</v>
      </c>
      <c r="FQV50" s="365">
        <v>0.5</v>
      </c>
      <c r="FQW50" s="366" t="e">
        <f>10/FQS48</f>
        <v>#DIV/0!</v>
      </c>
      <c r="FQX50" s="367">
        <v>15.38</v>
      </c>
      <c r="FQY50" s="367" t="e">
        <f>FQV50*FQW50*FQX50</f>
        <v>#DIV/0!</v>
      </c>
      <c r="FQZ50" s="363" t="s">
        <v>153</v>
      </c>
      <c r="FRA50" s="363"/>
      <c r="FRB50" s="363"/>
      <c r="FRC50" s="364" t="s">
        <v>140</v>
      </c>
      <c r="FRD50" s="365">
        <v>0.5</v>
      </c>
      <c r="FRE50" s="366" t="e">
        <f>10/FRA48</f>
        <v>#DIV/0!</v>
      </c>
      <c r="FRF50" s="367">
        <v>15.38</v>
      </c>
      <c r="FRG50" s="367" t="e">
        <f>FRD50*FRE50*FRF50</f>
        <v>#DIV/0!</v>
      </c>
      <c r="FRH50" s="363" t="s">
        <v>153</v>
      </c>
      <c r="FRI50" s="363"/>
      <c r="FRJ50" s="363"/>
      <c r="FRK50" s="364" t="s">
        <v>140</v>
      </c>
      <c r="FRL50" s="365">
        <v>0.5</v>
      </c>
      <c r="FRM50" s="366" t="e">
        <f>10/FRI48</f>
        <v>#DIV/0!</v>
      </c>
      <c r="FRN50" s="367">
        <v>15.38</v>
      </c>
      <c r="FRO50" s="367" t="e">
        <f>FRL50*FRM50*FRN50</f>
        <v>#DIV/0!</v>
      </c>
      <c r="FRP50" s="363" t="s">
        <v>153</v>
      </c>
      <c r="FRQ50" s="363"/>
      <c r="FRR50" s="363"/>
      <c r="FRS50" s="364" t="s">
        <v>140</v>
      </c>
      <c r="FRT50" s="365">
        <v>0.5</v>
      </c>
      <c r="FRU50" s="366" t="e">
        <f>10/FRQ48</f>
        <v>#DIV/0!</v>
      </c>
      <c r="FRV50" s="367">
        <v>15.38</v>
      </c>
      <c r="FRW50" s="367" t="e">
        <f>FRT50*FRU50*FRV50</f>
        <v>#DIV/0!</v>
      </c>
      <c r="FRX50" s="363" t="s">
        <v>153</v>
      </c>
      <c r="FRY50" s="363"/>
      <c r="FRZ50" s="363"/>
      <c r="FSA50" s="364" t="s">
        <v>140</v>
      </c>
      <c r="FSB50" s="365">
        <v>0.5</v>
      </c>
      <c r="FSC50" s="366" t="e">
        <f>10/FRY48</f>
        <v>#DIV/0!</v>
      </c>
      <c r="FSD50" s="367">
        <v>15.38</v>
      </c>
      <c r="FSE50" s="367" t="e">
        <f>FSB50*FSC50*FSD50</f>
        <v>#DIV/0!</v>
      </c>
      <c r="FSF50" s="363" t="s">
        <v>153</v>
      </c>
      <c r="FSG50" s="363"/>
      <c r="FSH50" s="363"/>
      <c r="FSI50" s="364" t="s">
        <v>140</v>
      </c>
      <c r="FSJ50" s="365">
        <v>0.5</v>
      </c>
      <c r="FSK50" s="366" t="e">
        <f>10/FSG48</f>
        <v>#DIV/0!</v>
      </c>
      <c r="FSL50" s="367">
        <v>15.38</v>
      </c>
      <c r="FSM50" s="367" t="e">
        <f>FSJ50*FSK50*FSL50</f>
        <v>#DIV/0!</v>
      </c>
      <c r="FSN50" s="363" t="s">
        <v>153</v>
      </c>
      <c r="FSO50" s="363"/>
      <c r="FSP50" s="363"/>
      <c r="FSQ50" s="364" t="s">
        <v>140</v>
      </c>
      <c r="FSR50" s="365">
        <v>0.5</v>
      </c>
      <c r="FSS50" s="366" t="e">
        <f>10/FSO48</f>
        <v>#DIV/0!</v>
      </c>
      <c r="FST50" s="367">
        <v>15.38</v>
      </c>
      <c r="FSU50" s="367" t="e">
        <f>FSR50*FSS50*FST50</f>
        <v>#DIV/0!</v>
      </c>
      <c r="FSV50" s="363" t="s">
        <v>153</v>
      </c>
      <c r="FSW50" s="363"/>
      <c r="FSX50" s="363"/>
      <c r="FSY50" s="364" t="s">
        <v>140</v>
      </c>
      <c r="FSZ50" s="365">
        <v>0.5</v>
      </c>
      <c r="FTA50" s="366" t="e">
        <f>10/FSW48</f>
        <v>#DIV/0!</v>
      </c>
      <c r="FTB50" s="367">
        <v>15.38</v>
      </c>
      <c r="FTC50" s="367" t="e">
        <f>FSZ50*FTA50*FTB50</f>
        <v>#DIV/0!</v>
      </c>
      <c r="FTD50" s="363" t="s">
        <v>153</v>
      </c>
      <c r="FTE50" s="363"/>
      <c r="FTF50" s="363"/>
      <c r="FTG50" s="364" t="s">
        <v>140</v>
      </c>
      <c r="FTH50" s="365">
        <v>0.5</v>
      </c>
      <c r="FTI50" s="366" t="e">
        <f>10/FTE48</f>
        <v>#DIV/0!</v>
      </c>
      <c r="FTJ50" s="367">
        <v>15.38</v>
      </c>
      <c r="FTK50" s="367" t="e">
        <f>FTH50*FTI50*FTJ50</f>
        <v>#DIV/0!</v>
      </c>
      <c r="FTL50" s="363" t="s">
        <v>153</v>
      </c>
      <c r="FTM50" s="363"/>
      <c r="FTN50" s="363"/>
      <c r="FTO50" s="364" t="s">
        <v>140</v>
      </c>
      <c r="FTP50" s="365">
        <v>0.5</v>
      </c>
      <c r="FTQ50" s="366" t="e">
        <f>10/FTM48</f>
        <v>#DIV/0!</v>
      </c>
      <c r="FTR50" s="367">
        <v>15.38</v>
      </c>
      <c r="FTS50" s="367" t="e">
        <f>FTP50*FTQ50*FTR50</f>
        <v>#DIV/0!</v>
      </c>
      <c r="FTT50" s="363" t="s">
        <v>153</v>
      </c>
      <c r="FTU50" s="363"/>
      <c r="FTV50" s="363"/>
      <c r="FTW50" s="364" t="s">
        <v>140</v>
      </c>
      <c r="FTX50" s="365">
        <v>0.5</v>
      </c>
      <c r="FTY50" s="366" t="e">
        <f>10/FTU48</f>
        <v>#DIV/0!</v>
      </c>
      <c r="FTZ50" s="367">
        <v>15.38</v>
      </c>
      <c r="FUA50" s="367" t="e">
        <f>FTX50*FTY50*FTZ50</f>
        <v>#DIV/0!</v>
      </c>
      <c r="FUB50" s="363" t="s">
        <v>153</v>
      </c>
      <c r="FUC50" s="363"/>
      <c r="FUD50" s="363"/>
      <c r="FUE50" s="364" t="s">
        <v>140</v>
      </c>
      <c r="FUF50" s="365">
        <v>0.5</v>
      </c>
      <c r="FUG50" s="366" t="e">
        <f>10/FUC48</f>
        <v>#DIV/0!</v>
      </c>
      <c r="FUH50" s="367">
        <v>15.38</v>
      </c>
      <c r="FUI50" s="367" t="e">
        <f>FUF50*FUG50*FUH50</f>
        <v>#DIV/0!</v>
      </c>
      <c r="FUJ50" s="363" t="s">
        <v>153</v>
      </c>
      <c r="FUK50" s="363"/>
      <c r="FUL50" s="363"/>
      <c r="FUM50" s="364" t="s">
        <v>140</v>
      </c>
      <c r="FUN50" s="365">
        <v>0.5</v>
      </c>
      <c r="FUO50" s="366" t="e">
        <f>10/FUK48</f>
        <v>#DIV/0!</v>
      </c>
      <c r="FUP50" s="367">
        <v>15.38</v>
      </c>
      <c r="FUQ50" s="367" t="e">
        <f>FUN50*FUO50*FUP50</f>
        <v>#DIV/0!</v>
      </c>
      <c r="FUR50" s="363" t="s">
        <v>153</v>
      </c>
      <c r="FUS50" s="363"/>
      <c r="FUT50" s="363"/>
      <c r="FUU50" s="364" t="s">
        <v>140</v>
      </c>
      <c r="FUV50" s="365">
        <v>0.5</v>
      </c>
      <c r="FUW50" s="366" t="e">
        <f>10/FUS48</f>
        <v>#DIV/0!</v>
      </c>
      <c r="FUX50" s="367">
        <v>15.38</v>
      </c>
      <c r="FUY50" s="367" t="e">
        <f>FUV50*FUW50*FUX50</f>
        <v>#DIV/0!</v>
      </c>
      <c r="FUZ50" s="363" t="s">
        <v>153</v>
      </c>
      <c r="FVA50" s="363"/>
      <c r="FVB50" s="363"/>
      <c r="FVC50" s="364" t="s">
        <v>140</v>
      </c>
      <c r="FVD50" s="365">
        <v>0.5</v>
      </c>
      <c r="FVE50" s="366" t="e">
        <f>10/FVA48</f>
        <v>#DIV/0!</v>
      </c>
      <c r="FVF50" s="367">
        <v>15.38</v>
      </c>
      <c r="FVG50" s="367" t="e">
        <f>FVD50*FVE50*FVF50</f>
        <v>#DIV/0!</v>
      </c>
      <c r="FVH50" s="363" t="s">
        <v>153</v>
      </c>
      <c r="FVI50" s="363"/>
      <c r="FVJ50" s="363"/>
      <c r="FVK50" s="364" t="s">
        <v>140</v>
      </c>
      <c r="FVL50" s="365">
        <v>0.5</v>
      </c>
      <c r="FVM50" s="366" t="e">
        <f>10/FVI48</f>
        <v>#DIV/0!</v>
      </c>
      <c r="FVN50" s="367">
        <v>15.38</v>
      </c>
      <c r="FVO50" s="367" t="e">
        <f>FVL50*FVM50*FVN50</f>
        <v>#DIV/0!</v>
      </c>
      <c r="FVP50" s="363" t="s">
        <v>153</v>
      </c>
      <c r="FVQ50" s="363"/>
      <c r="FVR50" s="363"/>
      <c r="FVS50" s="364" t="s">
        <v>140</v>
      </c>
      <c r="FVT50" s="365">
        <v>0.5</v>
      </c>
      <c r="FVU50" s="366" t="e">
        <f>10/FVQ48</f>
        <v>#DIV/0!</v>
      </c>
      <c r="FVV50" s="367">
        <v>15.38</v>
      </c>
      <c r="FVW50" s="367" t="e">
        <f>FVT50*FVU50*FVV50</f>
        <v>#DIV/0!</v>
      </c>
      <c r="FVX50" s="363" t="s">
        <v>153</v>
      </c>
      <c r="FVY50" s="363"/>
      <c r="FVZ50" s="363"/>
      <c r="FWA50" s="364" t="s">
        <v>140</v>
      </c>
      <c r="FWB50" s="365">
        <v>0.5</v>
      </c>
      <c r="FWC50" s="366" t="e">
        <f>10/FVY48</f>
        <v>#DIV/0!</v>
      </c>
      <c r="FWD50" s="367">
        <v>15.38</v>
      </c>
      <c r="FWE50" s="367" t="e">
        <f>FWB50*FWC50*FWD50</f>
        <v>#DIV/0!</v>
      </c>
      <c r="FWF50" s="363" t="s">
        <v>153</v>
      </c>
      <c r="FWG50" s="363"/>
      <c r="FWH50" s="363"/>
      <c r="FWI50" s="364" t="s">
        <v>140</v>
      </c>
      <c r="FWJ50" s="365">
        <v>0.5</v>
      </c>
      <c r="FWK50" s="366" t="e">
        <f>10/FWG48</f>
        <v>#DIV/0!</v>
      </c>
      <c r="FWL50" s="367">
        <v>15.38</v>
      </c>
      <c r="FWM50" s="367" t="e">
        <f>FWJ50*FWK50*FWL50</f>
        <v>#DIV/0!</v>
      </c>
      <c r="FWN50" s="363" t="s">
        <v>153</v>
      </c>
      <c r="FWO50" s="363"/>
      <c r="FWP50" s="363"/>
      <c r="FWQ50" s="364" t="s">
        <v>140</v>
      </c>
      <c r="FWR50" s="365">
        <v>0.5</v>
      </c>
      <c r="FWS50" s="366" t="e">
        <f>10/FWO48</f>
        <v>#DIV/0!</v>
      </c>
      <c r="FWT50" s="367">
        <v>15.38</v>
      </c>
      <c r="FWU50" s="367" t="e">
        <f>FWR50*FWS50*FWT50</f>
        <v>#DIV/0!</v>
      </c>
      <c r="FWV50" s="363" t="s">
        <v>153</v>
      </c>
      <c r="FWW50" s="363"/>
      <c r="FWX50" s="363"/>
      <c r="FWY50" s="364" t="s">
        <v>140</v>
      </c>
      <c r="FWZ50" s="365">
        <v>0.5</v>
      </c>
      <c r="FXA50" s="366" t="e">
        <f>10/FWW48</f>
        <v>#DIV/0!</v>
      </c>
      <c r="FXB50" s="367">
        <v>15.38</v>
      </c>
      <c r="FXC50" s="367" t="e">
        <f>FWZ50*FXA50*FXB50</f>
        <v>#DIV/0!</v>
      </c>
      <c r="FXD50" s="363" t="s">
        <v>153</v>
      </c>
      <c r="FXE50" s="363"/>
      <c r="FXF50" s="363"/>
      <c r="FXG50" s="364" t="s">
        <v>140</v>
      </c>
      <c r="FXH50" s="365">
        <v>0.5</v>
      </c>
      <c r="FXI50" s="366" t="e">
        <f>10/FXE48</f>
        <v>#DIV/0!</v>
      </c>
      <c r="FXJ50" s="367">
        <v>15.38</v>
      </c>
      <c r="FXK50" s="367" t="e">
        <f>FXH50*FXI50*FXJ50</f>
        <v>#DIV/0!</v>
      </c>
      <c r="FXL50" s="363" t="s">
        <v>153</v>
      </c>
      <c r="FXM50" s="363"/>
      <c r="FXN50" s="363"/>
      <c r="FXO50" s="364" t="s">
        <v>140</v>
      </c>
      <c r="FXP50" s="365">
        <v>0.5</v>
      </c>
      <c r="FXQ50" s="366" t="e">
        <f>10/FXM48</f>
        <v>#DIV/0!</v>
      </c>
      <c r="FXR50" s="367">
        <v>15.38</v>
      </c>
      <c r="FXS50" s="367" t="e">
        <f>FXP50*FXQ50*FXR50</f>
        <v>#DIV/0!</v>
      </c>
      <c r="FXT50" s="363" t="s">
        <v>153</v>
      </c>
      <c r="FXU50" s="363"/>
      <c r="FXV50" s="363"/>
      <c r="FXW50" s="364" t="s">
        <v>140</v>
      </c>
      <c r="FXX50" s="365">
        <v>0.5</v>
      </c>
      <c r="FXY50" s="366" t="e">
        <f>10/FXU48</f>
        <v>#DIV/0!</v>
      </c>
      <c r="FXZ50" s="367">
        <v>15.38</v>
      </c>
      <c r="FYA50" s="367" t="e">
        <f>FXX50*FXY50*FXZ50</f>
        <v>#DIV/0!</v>
      </c>
      <c r="FYB50" s="363" t="s">
        <v>153</v>
      </c>
      <c r="FYC50" s="363"/>
      <c r="FYD50" s="363"/>
      <c r="FYE50" s="364" t="s">
        <v>140</v>
      </c>
      <c r="FYF50" s="365">
        <v>0.5</v>
      </c>
      <c r="FYG50" s="366" t="e">
        <f>10/FYC48</f>
        <v>#DIV/0!</v>
      </c>
      <c r="FYH50" s="367">
        <v>15.38</v>
      </c>
      <c r="FYI50" s="367" t="e">
        <f>FYF50*FYG50*FYH50</f>
        <v>#DIV/0!</v>
      </c>
      <c r="FYJ50" s="363" t="s">
        <v>153</v>
      </c>
      <c r="FYK50" s="363"/>
      <c r="FYL50" s="363"/>
      <c r="FYM50" s="364" t="s">
        <v>140</v>
      </c>
      <c r="FYN50" s="365">
        <v>0.5</v>
      </c>
      <c r="FYO50" s="366" t="e">
        <f>10/FYK48</f>
        <v>#DIV/0!</v>
      </c>
      <c r="FYP50" s="367">
        <v>15.38</v>
      </c>
      <c r="FYQ50" s="367" t="e">
        <f>FYN50*FYO50*FYP50</f>
        <v>#DIV/0!</v>
      </c>
      <c r="FYR50" s="363" t="s">
        <v>153</v>
      </c>
      <c r="FYS50" s="363"/>
      <c r="FYT50" s="363"/>
      <c r="FYU50" s="364" t="s">
        <v>140</v>
      </c>
      <c r="FYV50" s="365">
        <v>0.5</v>
      </c>
      <c r="FYW50" s="366" t="e">
        <f>10/FYS48</f>
        <v>#DIV/0!</v>
      </c>
      <c r="FYX50" s="367">
        <v>15.38</v>
      </c>
      <c r="FYY50" s="367" t="e">
        <f>FYV50*FYW50*FYX50</f>
        <v>#DIV/0!</v>
      </c>
      <c r="FYZ50" s="363" t="s">
        <v>153</v>
      </c>
      <c r="FZA50" s="363"/>
      <c r="FZB50" s="363"/>
      <c r="FZC50" s="364" t="s">
        <v>140</v>
      </c>
      <c r="FZD50" s="365">
        <v>0.5</v>
      </c>
      <c r="FZE50" s="366" t="e">
        <f>10/FZA48</f>
        <v>#DIV/0!</v>
      </c>
      <c r="FZF50" s="367">
        <v>15.38</v>
      </c>
      <c r="FZG50" s="367" t="e">
        <f>FZD50*FZE50*FZF50</f>
        <v>#DIV/0!</v>
      </c>
      <c r="FZH50" s="363" t="s">
        <v>153</v>
      </c>
      <c r="FZI50" s="363"/>
      <c r="FZJ50" s="363"/>
      <c r="FZK50" s="364" t="s">
        <v>140</v>
      </c>
      <c r="FZL50" s="365">
        <v>0.5</v>
      </c>
      <c r="FZM50" s="366" t="e">
        <f>10/FZI48</f>
        <v>#DIV/0!</v>
      </c>
      <c r="FZN50" s="367">
        <v>15.38</v>
      </c>
      <c r="FZO50" s="367" t="e">
        <f>FZL50*FZM50*FZN50</f>
        <v>#DIV/0!</v>
      </c>
      <c r="FZP50" s="363" t="s">
        <v>153</v>
      </c>
      <c r="FZQ50" s="363"/>
      <c r="FZR50" s="363"/>
      <c r="FZS50" s="364" t="s">
        <v>140</v>
      </c>
      <c r="FZT50" s="365">
        <v>0.5</v>
      </c>
      <c r="FZU50" s="366" t="e">
        <f>10/FZQ48</f>
        <v>#DIV/0!</v>
      </c>
      <c r="FZV50" s="367">
        <v>15.38</v>
      </c>
      <c r="FZW50" s="367" t="e">
        <f>FZT50*FZU50*FZV50</f>
        <v>#DIV/0!</v>
      </c>
      <c r="FZX50" s="363" t="s">
        <v>153</v>
      </c>
      <c r="FZY50" s="363"/>
      <c r="FZZ50" s="363"/>
      <c r="GAA50" s="364" t="s">
        <v>140</v>
      </c>
      <c r="GAB50" s="365">
        <v>0.5</v>
      </c>
      <c r="GAC50" s="366" t="e">
        <f>10/FZY48</f>
        <v>#DIV/0!</v>
      </c>
      <c r="GAD50" s="367">
        <v>15.38</v>
      </c>
      <c r="GAE50" s="367" t="e">
        <f>GAB50*GAC50*GAD50</f>
        <v>#DIV/0!</v>
      </c>
      <c r="GAF50" s="363" t="s">
        <v>153</v>
      </c>
      <c r="GAG50" s="363"/>
      <c r="GAH50" s="363"/>
      <c r="GAI50" s="364" t="s">
        <v>140</v>
      </c>
      <c r="GAJ50" s="365">
        <v>0.5</v>
      </c>
      <c r="GAK50" s="366" t="e">
        <f>10/GAG48</f>
        <v>#DIV/0!</v>
      </c>
      <c r="GAL50" s="367">
        <v>15.38</v>
      </c>
      <c r="GAM50" s="367" t="e">
        <f>GAJ50*GAK50*GAL50</f>
        <v>#DIV/0!</v>
      </c>
      <c r="GAN50" s="363" t="s">
        <v>153</v>
      </c>
      <c r="GAO50" s="363"/>
      <c r="GAP50" s="363"/>
      <c r="GAQ50" s="364" t="s">
        <v>140</v>
      </c>
      <c r="GAR50" s="365">
        <v>0.5</v>
      </c>
      <c r="GAS50" s="366" t="e">
        <f>10/GAO48</f>
        <v>#DIV/0!</v>
      </c>
      <c r="GAT50" s="367">
        <v>15.38</v>
      </c>
      <c r="GAU50" s="367" t="e">
        <f>GAR50*GAS50*GAT50</f>
        <v>#DIV/0!</v>
      </c>
      <c r="GAV50" s="363" t="s">
        <v>153</v>
      </c>
      <c r="GAW50" s="363"/>
      <c r="GAX50" s="363"/>
      <c r="GAY50" s="364" t="s">
        <v>140</v>
      </c>
      <c r="GAZ50" s="365">
        <v>0.5</v>
      </c>
      <c r="GBA50" s="366" t="e">
        <f>10/GAW48</f>
        <v>#DIV/0!</v>
      </c>
      <c r="GBB50" s="367">
        <v>15.38</v>
      </c>
      <c r="GBC50" s="367" t="e">
        <f>GAZ50*GBA50*GBB50</f>
        <v>#DIV/0!</v>
      </c>
      <c r="GBD50" s="363" t="s">
        <v>153</v>
      </c>
      <c r="GBE50" s="363"/>
      <c r="GBF50" s="363"/>
      <c r="GBG50" s="364" t="s">
        <v>140</v>
      </c>
      <c r="GBH50" s="365">
        <v>0.5</v>
      </c>
      <c r="GBI50" s="366" t="e">
        <f>10/GBE48</f>
        <v>#DIV/0!</v>
      </c>
      <c r="GBJ50" s="367">
        <v>15.38</v>
      </c>
      <c r="GBK50" s="367" t="e">
        <f>GBH50*GBI50*GBJ50</f>
        <v>#DIV/0!</v>
      </c>
      <c r="GBL50" s="363" t="s">
        <v>153</v>
      </c>
      <c r="GBM50" s="363"/>
      <c r="GBN50" s="363"/>
      <c r="GBO50" s="364" t="s">
        <v>140</v>
      </c>
      <c r="GBP50" s="365">
        <v>0.5</v>
      </c>
      <c r="GBQ50" s="366" t="e">
        <f>10/GBM48</f>
        <v>#DIV/0!</v>
      </c>
      <c r="GBR50" s="367">
        <v>15.38</v>
      </c>
      <c r="GBS50" s="367" t="e">
        <f>GBP50*GBQ50*GBR50</f>
        <v>#DIV/0!</v>
      </c>
      <c r="GBT50" s="363" t="s">
        <v>153</v>
      </c>
      <c r="GBU50" s="363"/>
      <c r="GBV50" s="363"/>
      <c r="GBW50" s="364" t="s">
        <v>140</v>
      </c>
      <c r="GBX50" s="365">
        <v>0.5</v>
      </c>
      <c r="GBY50" s="366" t="e">
        <f>10/GBU48</f>
        <v>#DIV/0!</v>
      </c>
      <c r="GBZ50" s="367">
        <v>15.38</v>
      </c>
      <c r="GCA50" s="367" t="e">
        <f>GBX50*GBY50*GBZ50</f>
        <v>#DIV/0!</v>
      </c>
      <c r="GCB50" s="363" t="s">
        <v>153</v>
      </c>
      <c r="GCC50" s="363"/>
      <c r="GCD50" s="363"/>
      <c r="GCE50" s="364" t="s">
        <v>140</v>
      </c>
      <c r="GCF50" s="365">
        <v>0.5</v>
      </c>
      <c r="GCG50" s="366" t="e">
        <f>10/GCC48</f>
        <v>#DIV/0!</v>
      </c>
      <c r="GCH50" s="367">
        <v>15.38</v>
      </c>
      <c r="GCI50" s="367" t="e">
        <f>GCF50*GCG50*GCH50</f>
        <v>#DIV/0!</v>
      </c>
      <c r="GCJ50" s="363" t="s">
        <v>153</v>
      </c>
      <c r="GCK50" s="363"/>
      <c r="GCL50" s="363"/>
      <c r="GCM50" s="364" t="s">
        <v>140</v>
      </c>
      <c r="GCN50" s="365">
        <v>0.5</v>
      </c>
      <c r="GCO50" s="366" t="e">
        <f>10/GCK48</f>
        <v>#DIV/0!</v>
      </c>
      <c r="GCP50" s="367">
        <v>15.38</v>
      </c>
      <c r="GCQ50" s="367" t="e">
        <f>GCN50*GCO50*GCP50</f>
        <v>#DIV/0!</v>
      </c>
      <c r="GCR50" s="363" t="s">
        <v>153</v>
      </c>
      <c r="GCS50" s="363"/>
      <c r="GCT50" s="363"/>
      <c r="GCU50" s="364" t="s">
        <v>140</v>
      </c>
      <c r="GCV50" s="365">
        <v>0.5</v>
      </c>
      <c r="GCW50" s="366" t="e">
        <f>10/GCS48</f>
        <v>#DIV/0!</v>
      </c>
      <c r="GCX50" s="367">
        <v>15.38</v>
      </c>
      <c r="GCY50" s="367" t="e">
        <f>GCV50*GCW50*GCX50</f>
        <v>#DIV/0!</v>
      </c>
      <c r="GCZ50" s="363" t="s">
        <v>153</v>
      </c>
      <c r="GDA50" s="363"/>
      <c r="GDB50" s="363"/>
      <c r="GDC50" s="364" t="s">
        <v>140</v>
      </c>
      <c r="GDD50" s="365">
        <v>0.5</v>
      </c>
      <c r="GDE50" s="366" t="e">
        <f>10/GDA48</f>
        <v>#DIV/0!</v>
      </c>
      <c r="GDF50" s="367">
        <v>15.38</v>
      </c>
      <c r="GDG50" s="367" t="e">
        <f>GDD50*GDE50*GDF50</f>
        <v>#DIV/0!</v>
      </c>
      <c r="GDH50" s="363" t="s">
        <v>153</v>
      </c>
      <c r="GDI50" s="363"/>
      <c r="GDJ50" s="363"/>
      <c r="GDK50" s="364" t="s">
        <v>140</v>
      </c>
      <c r="GDL50" s="365">
        <v>0.5</v>
      </c>
      <c r="GDM50" s="366" t="e">
        <f>10/GDI48</f>
        <v>#DIV/0!</v>
      </c>
      <c r="GDN50" s="367">
        <v>15.38</v>
      </c>
      <c r="GDO50" s="367" t="e">
        <f>GDL50*GDM50*GDN50</f>
        <v>#DIV/0!</v>
      </c>
      <c r="GDP50" s="363" t="s">
        <v>153</v>
      </c>
      <c r="GDQ50" s="363"/>
      <c r="GDR50" s="363"/>
      <c r="GDS50" s="364" t="s">
        <v>140</v>
      </c>
      <c r="GDT50" s="365">
        <v>0.5</v>
      </c>
      <c r="GDU50" s="366" t="e">
        <f>10/GDQ48</f>
        <v>#DIV/0!</v>
      </c>
      <c r="GDV50" s="367">
        <v>15.38</v>
      </c>
      <c r="GDW50" s="367" t="e">
        <f>GDT50*GDU50*GDV50</f>
        <v>#DIV/0!</v>
      </c>
      <c r="GDX50" s="363" t="s">
        <v>153</v>
      </c>
      <c r="GDY50" s="363"/>
      <c r="GDZ50" s="363"/>
      <c r="GEA50" s="364" t="s">
        <v>140</v>
      </c>
      <c r="GEB50" s="365">
        <v>0.5</v>
      </c>
      <c r="GEC50" s="366" t="e">
        <f>10/GDY48</f>
        <v>#DIV/0!</v>
      </c>
      <c r="GED50" s="367">
        <v>15.38</v>
      </c>
      <c r="GEE50" s="367" t="e">
        <f>GEB50*GEC50*GED50</f>
        <v>#DIV/0!</v>
      </c>
      <c r="GEF50" s="363" t="s">
        <v>153</v>
      </c>
      <c r="GEG50" s="363"/>
      <c r="GEH50" s="363"/>
      <c r="GEI50" s="364" t="s">
        <v>140</v>
      </c>
      <c r="GEJ50" s="365">
        <v>0.5</v>
      </c>
      <c r="GEK50" s="366" t="e">
        <f>10/GEG48</f>
        <v>#DIV/0!</v>
      </c>
      <c r="GEL50" s="367">
        <v>15.38</v>
      </c>
      <c r="GEM50" s="367" t="e">
        <f>GEJ50*GEK50*GEL50</f>
        <v>#DIV/0!</v>
      </c>
      <c r="GEN50" s="363" t="s">
        <v>153</v>
      </c>
      <c r="GEO50" s="363"/>
      <c r="GEP50" s="363"/>
      <c r="GEQ50" s="364" t="s">
        <v>140</v>
      </c>
      <c r="GER50" s="365">
        <v>0.5</v>
      </c>
      <c r="GES50" s="366" t="e">
        <f>10/GEO48</f>
        <v>#DIV/0!</v>
      </c>
      <c r="GET50" s="367">
        <v>15.38</v>
      </c>
      <c r="GEU50" s="367" t="e">
        <f>GER50*GES50*GET50</f>
        <v>#DIV/0!</v>
      </c>
      <c r="GEV50" s="363" t="s">
        <v>153</v>
      </c>
      <c r="GEW50" s="363"/>
      <c r="GEX50" s="363"/>
      <c r="GEY50" s="364" t="s">
        <v>140</v>
      </c>
      <c r="GEZ50" s="365">
        <v>0.5</v>
      </c>
      <c r="GFA50" s="366" t="e">
        <f>10/GEW48</f>
        <v>#DIV/0!</v>
      </c>
      <c r="GFB50" s="367">
        <v>15.38</v>
      </c>
      <c r="GFC50" s="367" t="e">
        <f>GEZ50*GFA50*GFB50</f>
        <v>#DIV/0!</v>
      </c>
      <c r="GFD50" s="363" t="s">
        <v>153</v>
      </c>
      <c r="GFE50" s="363"/>
      <c r="GFF50" s="363"/>
      <c r="GFG50" s="364" t="s">
        <v>140</v>
      </c>
      <c r="GFH50" s="365">
        <v>0.5</v>
      </c>
      <c r="GFI50" s="366" t="e">
        <f>10/GFE48</f>
        <v>#DIV/0!</v>
      </c>
      <c r="GFJ50" s="367">
        <v>15.38</v>
      </c>
      <c r="GFK50" s="367" t="e">
        <f>GFH50*GFI50*GFJ50</f>
        <v>#DIV/0!</v>
      </c>
      <c r="GFL50" s="363" t="s">
        <v>153</v>
      </c>
      <c r="GFM50" s="363"/>
      <c r="GFN50" s="363"/>
      <c r="GFO50" s="364" t="s">
        <v>140</v>
      </c>
      <c r="GFP50" s="365">
        <v>0.5</v>
      </c>
      <c r="GFQ50" s="366" t="e">
        <f>10/GFM48</f>
        <v>#DIV/0!</v>
      </c>
      <c r="GFR50" s="367">
        <v>15.38</v>
      </c>
      <c r="GFS50" s="367" t="e">
        <f>GFP50*GFQ50*GFR50</f>
        <v>#DIV/0!</v>
      </c>
      <c r="GFT50" s="363" t="s">
        <v>153</v>
      </c>
      <c r="GFU50" s="363"/>
      <c r="GFV50" s="363"/>
      <c r="GFW50" s="364" t="s">
        <v>140</v>
      </c>
      <c r="GFX50" s="365">
        <v>0.5</v>
      </c>
      <c r="GFY50" s="366" t="e">
        <f>10/GFU48</f>
        <v>#DIV/0!</v>
      </c>
      <c r="GFZ50" s="367">
        <v>15.38</v>
      </c>
      <c r="GGA50" s="367" t="e">
        <f>GFX50*GFY50*GFZ50</f>
        <v>#DIV/0!</v>
      </c>
      <c r="GGB50" s="363" t="s">
        <v>153</v>
      </c>
      <c r="GGC50" s="363"/>
      <c r="GGD50" s="363"/>
      <c r="GGE50" s="364" t="s">
        <v>140</v>
      </c>
      <c r="GGF50" s="365">
        <v>0.5</v>
      </c>
      <c r="GGG50" s="366" t="e">
        <f>10/GGC48</f>
        <v>#DIV/0!</v>
      </c>
      <c r="GGH50" s="367">
        <v>15.38</v>
      </c>
      <c r="GGI50" s="367" t="e">
        <f>GGF50*GGG50*GGH50</f>
        <v>#DIV/0!</v>
      </c>
      <c r="GGJ50" s="363" t="s">
        <v>153</v>
      </c>
      <c r="GGK50" s="363"/>
      <c r="GGL50" s="363"/>
      <c r="GGM50" s="364" t="s">
        <v>140</v>
      </c>
      <c r="GGN50" s="365">
        <v>0.5</v>
      </c>
      <c r="GGO50" s="366" t="e">
        <f>10/GGK48</f>
        <v>#DIV/0!</v>
      </c>
      <c r="GGP50" s="367">
        <v>15.38</v>
      </c>
      <c r="GGQ50" s="367" t="e">
        <f>GGN50*GGO50*GGP50</f>
        <v>#DIV/0!</v>
      </c>
      <c r="GGR50" s="363" t="s">
        <v>153</v>
      </c>
      <c r="GGS50" s="363"/>
      <c r="GGT50" s="363"/>
      <c r="GGU50" s="364" t="s">
        <v>140</v>
      </c>
      <c r="GGV50" s="365">
        <v>0.5</v>
      </c>
      <c r="GGW50" s="366" t="e">
        <f>10/GGS48</f>
        <v>#DIV/0!</v>
      </c>
      <c r="GGX50" s="367">
        <v>15.38</v>
      </c>
      <c r="GGY50" s="367" t="e">
        <f>GGV50*GGW50*GGX50</f>
        <v>#DIV/0!</v>
      </c>
      <c r="GGZ50" s="363" t="s">
        <v>153</v>
      </c>
      <c r="GHA50" s="363"/>
      <c r="GHB50" s="363"/>
      <c r="GHC50" s="364" t="s">
        <v>140</v>
      </c>
      <c r="GHD50" s="365">
        <v>0.5</v>
      </c>
      <c r="GHE50" s="366" t="e">
        <f>10/GHA48</f>
        <v>#DIV/0!</v>
      </c>
      <c r="GHF50" s="367">
        <v>15.38</v>
      </c>
      <c r="GHG50" s="367" t="e">
        <f>GHD50*GHE50*GHF50</f>
        <v>#DIV/0!</v>
      </c>
      <c r="GHH50" s="363" t="s">
        <v>153</v>
      </c>
      <c r="GHI50" s="363"/>
      <c r="GHJ50" s="363"/>
      <c r="GHK50" s="364" t="s">
        <v>140</v>
      </c>
      <c r="GHL50" s="365">
        <v>0.5</v>
      </c>
      <c r="GHM50" s="366" t="e">
        <f>10/GHI48</f>
        <v>#DIV/0!</v>
      </c>
      <c r="GHN50" s="367">
        <v>15.38</v>
      </c>
      <c r="GHO50" s="367" t="e">
        <f>GHL50*GHM50*GHN50</f>
        <v>#DIV/0!</v>
      </c>
      <c r="GHP50" s="363" t="s">
        <v>153</v>
      </c>
      <c r="GHQ50" s="363"/>
      <c r="GHR50" s="363"/>
      <c r="GHS50" s="364" t="s">
        <v>140</v>
      </c>
      <c r="GHT50" s="365">
        <v>0.5</v>
      </c>
      <c r="GHU50" s="366" t="e">
        <f>10/GHQ48</f>
        <v>#DIV/0!</v>
      </c>
      <c r="GHV50" s="367">
        <v>15.38</v>
      </c>
      <c r="GHW50" s="367" t="e">
        <f>GHT50*GHU50*GHV50</f>
        <v>#DIV/0!</v>
      </c>
      <c r="GHX50" s="363" t="s">
        <v>153</v>
      </c>
      <c r="GHY50" s="363"/>
      <c r="GHZ50" s="363"/>
      <c r="GIA50" s="364" t="s">
        <v>140</v>
      </c>
      <c r="GIB50" s="365">
        <v>0.5</v>
      </c>
      <c r="GIC50" s="366" t="e">
        <f>10/GHY48</f>
        <v>#DIV/0!</v>
      </c>
      <c r="GID50" s="367">
        <v>15.38</v>
      </c>
      <c r="GIE50" s="367" t="e">
        <f>GIB50*GIC50*GID50</f>
        <v>#DIV/0!</v>
      </c>
      <c r="GIF50" s="363" t="s">
        <v>153</v>
      </c>
      <c r="GIG50" s="363"/>
      <c r="GIH50" s="363"/>
      <c r="GII50" s="364" t="s">
        <v>140</v>
      </c>
      <c r="GIJ50" s="365">
        <v>0.5</v>
      </c>
      <c r="GIK50" s="366" t="e">
        <f>10/GIG48</f>
        <v>#DIV/0!</v>
      </c>
      <c r="GIL50" s="367">
        <v>15.38</v>
      </c>
      <c r="GIM50" s="367" t="e">
        <f>GIJ50*GIK50*GIL50</f>
        <v>#DIV/0!</v>
      </c>
      <c r="GIN50" s="363" t="s">
        <v>153</v>
      </c>
      <c r="GIO50" s="363"/>
      <c r="GIP50" s="363"/>
      <c r="GIQ50" s="364" t="s">
        <v>140</v>
      </c>
      <c r="GIR50" s="365">
        <v>0.5</v>
      </c>
      <c r="GIS50" s="366" t="e">
        <f>10/GIO48</f>
        <v>#DIV/0!</v>
      </c>
      <c r="GIT50" s="367">
        <v>15.38</v>
      </c>
      <c r="GIU50" s="367" t="e">
        <f>GIR50*GIS50*GIT50</f>
        <v>#DIV/0!</v>
      </c>
      <c r="GIV50" s="363" t="s">
        <v>153</v>
      </c>
      <c r="GIW50" s="363"/>
      <c r="GIX50" s="363"/>
      <c r="GIY50" s="364" t="s">
        <v>140</v>
      </c>
      <c r="GIZ50" s="365">
        <v>0.5</v>
      </c>
      <c r="GJA50" s="366" t="e">
        <f>10/GIW48</f>
        <v>#DIV/0!</v>
      </c>
      <c r="GJB50" s="367">
        <v>15.38</v>
      </c>
      <c r="GJC50" s="367" t="e">
        <f>GIZ50*GJA50*GJB50</f>
        <v>#DIV/0!</v>
      </c>
      <c r="GJD50" s="363" t="s">
        <v>153</v>
      </c>
      <c r="GJE50" s="363"/>
      <c r="GJF50" s="363"/>
      <c r="GJG50" s="364" t="s">
        <v>140</v>
      </c>
      <c r="GJH50" s="365">
        <v>0.5</v>
      </c>
      <c r="GJI50" s="366" t="e">
        <f>10/GJE48</f>
        <v>#DIV/0!</v>
      </c>
      <c r="GJJ50" s="367">
        <v>15.38</v>
      </c>
      <c r="GJK50" s="367" t="e">
        <f>GJH50*GJI50*GJJ50</f>
        <v>#DIV/0!</v>
      </c>
      <c r="GJL50" s="363" t="s">
        <v>153</v>
      </c>
      <c r="GJM50" s="363"/>
      <c r="GJN50" s="363"/>
      <c r="GJO50" s="364" t="s">
        <v>140</v>
      </c>
      <c r="GJP50" s="365">
        <v>0.5</v>
      </c>
      <c r="GJQ50" s="366" t="e">
        <f>10/GJM48</f>
        <v>#DIV/0!</v>
      </c>
      <c r="GJR50" s="367">
        <v>15.38</v>
      </c>
      <c r="GJS50" s="367" t="e">
        <f>GJP50*GJQ50*GJR50</f>
        <v>#DIV/0!</v>
      </c>
      <c r="GJT50" s="363" t="s">
        <v>153</v>
      </c>
      <c r="GJU50" s="363"/>
      <c r="GJV50" s="363"/>
      <c r="GJW50" s="364" t="s">
        <v>140</v>
      </c>
      <c r="GJX50" s="365">
        <v>0.5</v>
      </c>
      <c r="GJY50" s="366" t="e">
        <f>10/GJU48</f>
        <v>#DIV/0!</v>
      </c>
      <c r="GJZ50" s="367">
        <v>15.38</v>
      </c>
      <c r="GKA50" s="367" t="e">
        <f>GJX50*GJY50*GJZ50</f>
        <v>#DIV/0!</v>
      </c>
      <c r="GKB50" s="363" t="s">
        <v>153</v>
      </c>
      <c r="GKC50" s="363"/>
      <c r="GKD50" s="363"/>
      <c r="GKE50" s="364" t="s">
        <v>140</v>
      </c>
      <c r="GKF50" s="365">
        <v>0.5</v>
      </c>
      <c r="GKG50" s="366" t="e">
        <f>10/GKC48</f>
        <v>#DIV/0!</v>
      </c>
      <c r="GKH50" s="367">
        <v>15.38</v>
      </c>
      <c r="GKI50" s="367" t="e">
        <f>GKF50*GKG50*GKH50</f>
        <v>#DIV/0!</v>
      </c>
      <c r="GKJ50" s="363" t="s">
        <v>153</v>
      </c>
      <c r="GKK50" s="363"/>
      <c r="GKL50" s="363"/>
      <c r="GKM50" s="364" t="s">
        <v>140</v>
      </c>
      <c r="GKN50" s="365">
        <v>0.5</v>
      </c>
      <c r="GKO50" s="366" t="e">
        <f>10/GKK48</f>
        <v>#DIV/0!</v>
      </c>
      <c r="GKP50" s="367">
        <v>15.38</v>
      </c>
      <c r="GKQ50" s="367" t="e">
        <f>GKN50*GKO50*GKP50</f>
        <v>#DIV/0!</v>
      </c>
      <c r="GKR50" s="363" t="s">
        <v>153</v>
      </c>
      <c r="GKS50" s="363"/>
      <c r="GKT50" s="363"/>
      <c r="GKU50" s="364" t="s">
        <v>140</v>
      </c>
      <c r="GKV50" s="365">
        <v>0.5</v>
      </c>
      <c r="GKW50" s="366" t="e">
        <f>10/GKS48</f>
        <v>#DIV/0!</v>
      </c>
      <c r="GKX50" s="367">
        <v>15.38</v>
      </c>
      <c r="GKY50" s="367" t="e">
        <f>GKV50*GKW50*GKX50</f>
        <v>#DIV/0!</v>
      </c>
      <c r="GKZ50" s="363" t="s">
        <v>153</v>
      </c>
      <c r="GLA50" s="363"/>
      <c r="GLB50" s="363"/>
      <c r="GLC50" s="364" t="s">
        <v>140</v>
      </c>
      <c r="GLD50" s="365">
        <v>0.5</v>
      </c>
      <c r="GLE50" s="366" t="e">
        <f>10/GLA48</f>
        <v>#DIV/0!</v>
      </c>
      <c r="GLF50" s="367">
        <v>15.38</v>
      </c>
      <c r="GLG50" s="367" t="e">
        <f>GLD50*GLE50*GLF50</f>
        <v>#DIV/0!</v>
      </c>
      <c r="GLH50" s="363" t="s">
        <v>153</v>
      </c>
      <c r="GLI50" s="363"/>
      <c r="GLJ50" s="363"/>
      <c r="GLK50" s="364" t="s">
        <v>140</v>
      </c>
      <c r="GLL50" s="365">
        <v>0.5</v>
      </c>
      <c r="GLM50" s="366" t="e">
        <f>10/GLI48</f>
        <v>#DIV/0!</v>
      </c>
      <c r="GLN50" s="367">
        <v>15.38</v>
      </c>
      <c r="GLO50" s="367" t="e">
        <f>GLL50*GLM50*GLN50</f>
        <v>#DIV/0!</v>
      </c>
      <c r="GLP50" s="363" t="s">
        <v>153</v>
      </c>
      <c r="GLQ50" s="363"/>
      <c r="GLR50" s="363"/>
      <c r="GLS50" s="364" t="s">
        <v>140</v>
      </c>
      <c r="GLT50" s="365">
        <v>0.5</v>
      </c>
      <c r="GLU50" s="366" t="e">
        <f>10/GLQ48</f>
        <v>#DIV/0!</v>
      </c>
      <c r="GLV50" s="367">
        <v>15.38</v>
      </c>
      <c r="GLW50" s="367" t="e">
        <f>GLT50*GLU50*GLV50</f>
        <v>#DIV/0!</v>
      </c>
      <c r="GLX50" s="363" t="s">
        <v>153</v>
      </c>
      <c r="GLY50" s="363"/>
      <c r="GLZ50" s="363"/>
      <c r="GMA50" s="364" t="s">
        <v>140</v>
      </c>
      <c r="GMB50" s="365">
        <v>0.5</v>
      </c>
      <c r="GMC50" s="366" t="e">
        <f>10/GLY48</f>
        <v>#DIV/0!</v>
      </c>
      <c r="GMD50" s="367">
        <v>15.38</v>
      </c>
      <c r="GME50" s="367" t="e">
        <f>GMB50*GMC50*GMD50</f>
        <v>#DIV/0!</v>
      </c>
      <c r="GMF50" s="363" t="s">
        <v>153</v>
      </c>
      <c r="GMG50" s="363"/>
      <c r="GMH50" s="363"/>
      <c r="GMI50" s="364" t="s">
        <v>140</v>
      </c>
      <c r="GMJ50" s="365">
        <v>0.5</v>
      </c>
      <c r="GMK50" s="366" t="e">
        <f>10/GMG48</f>
        <v>#DIV/0!</v>
      </c>
      <c r="GML50" s="367">
        <v>15.38</v>
      </c>
      <c r="GMM50" s="367" t="e">
        <f>GMJ50*GMK50*GML50</f>
        <v>#DIV/0!</v>
      </c>
      <c r="GMN50" s="363" t="s">
        <v>153</v>
      </c>
      <c r="GMO50" s="363"/>
      <c r="GMP50" s="363"/>
      <c r="GMQ50" s="364" t="s">
        <v>140</v>
      </c>
      <c r="GMR50" s="365">
        <v>0.5</v>
      </c>
      <c r="GMS50" s="366" t="e">
        <f>10/GMO48</f>
        <v>#DIV/0!</v>
      </c>
      <c r="GMT50" s="367">
        <v>15.38</v>
      </c>
      <c r="GMU50" s="367" t="e">
        <f>GMR50*GMS50*GMT50</f>
        <v>#DIV/0!</v>
      </c>
      <c r="GMV50" s="363" t="s">
        <v>153</v>
      </c>
      <c r="GMW50" s="363"/>
      <c r="GMX50" s="363"/>
      <c r="GMY50" s="364" t="s">
        <v>140</v>
      </c>
      <c r="GMZ50" s="365">
        <v>0.5</v>
      </c>
      <c r="GNA50" s="366" t="e">
        <f>10/GMW48</f>
        <v>#DIV/0!</v>
      </c>
      <c r="GNB50" s="367">
        <v>15.38</v>
      </c>
      <c r="GNC50" s="367" t="e">
        <f>GMZ50*GNA50*GNB50</f>
        <v>#DIV/0!</v>
      </c>
      <c r="GND50" s="363" t="s">
        <v>153</v>
      </c>
      <c r="GNE50" s="363"/>
      <c r="GNF50" s="363"/>
      <c r="GNG50" s="364" t="s">
        <v>140</v>
      </c>
      <c r="GNH50" s="365">
        <v>0.5</v>
      </c>
      <c r="GNI50" s="366" t="e">
        <f>10/GNE48</f>
        <v>#DIV/0!</v>
      </c>
      <c r="GNJ50" s="367">
        <v>15.38</v>
      </c>
      <c r="GNK50" s="367" t="e">
        <f>GNH50*GNI50*GNJ50</f>
        <v>#DIV/0!</v>
      </c>
      <c r="GNL50" s="363" t="s">
        <v>153</v>
      </c>
      <c r="GNM50" s="363"/>
      <c r="GNN50" s="363"/>
      <c r="GNO50" s="364" t="s">
        <v>140</v>
      </c>
      <c r="GNP50" s="365">
        <v>0.5</v>
      </c>
      <c r="GNQ50" s="366" t="e">
        <f>10/GNM48</f>
        <v>#DIV/0!</v>
      </c>
      <c r="GNR50" s="367">
        <v>15.38</v>
      </c>
      <c r="GNS50" s="367" t="e">
        <f>GNP50*GNQ50*GNR50</f>
        <v>#DIV/0!</v>
      </c>
      <c r="GNT50" s="363" t="s">
        <v>153</v>
      </c>
      <c r="GNU50" s="363"/>
      <c r="GNV50" s="363"/>
      <c r="GNW50" s="364" t="s">
        <v>140</v>
      </c>
      <c r="GNX50" s="365">
        <v>0.5</v>
      </c>
      <c r="GNY50" s="366" t="e">
        <f>10/GNU48</f>
        <v>#DIV/0!</v>
      </c>
      <c r="GNZ50" s="367">
        <v>15.38</v>
      </c>
      <c r="GOA50" s="367" t="e">
        <f>GNX50*GNY50*GNZ50</f>
        <v>#DIV/0!</v>
      </c>
      <c r="GOB50" s="363" t="s">
        <v>153</v>
      </c>
      <c r="GOC50" s="363"/>
      <c r="GOD50" s="363"/>
      <c r="GOE50" s="364" t="s">
        <v>140</v>
      </c>
      <c r="GOF50" s="365">
        <v>0.5</v>
      </c>
      <c r="GOG50" s="366" t="e">
        <f>10/GOC48</f>
        <v>#DIV/0!</v>
      </c>
      <c r="GOH50" s="367">
        <v>15.38</v>
      </c>
      <c r="GOI50" s="367" t="e">
        <f>GOF50*GOG50*GOH50</f>
        <v>#DIV/0!</v>
      </c>
      <c r="GOJ50" s="363" t="s">
        <v>153</v>
      </c>
      <c r="GOK50" s="363"/>
      <c r="GOL50" s="363"/>
      <c r="GOM50" s="364" t="s">
        <v>140</v>
      </c>
      <c r="GON50" s="365">
        <v>0.5</v>
      </c>
      <c r="GOO50" s="366" t="e">
        <f>10/GOK48</f>
        <v>#DIV/0!</v>
      </c>
      <c r="GOP50" s="367">
        <v>15.38</v>
      </c>
      <c r="GOQ50" s="367" t="e">
        <f>GON50*GOO50*GOP50</f>
        <v>#DIV/0!</v>
      </c>
      <c r="GOR50" s="363" t="s">
        <v>153</v>
      </c>
      <c r="GOS50" s="363"/>
      <c r="GOT50" s="363"/>
      <c r="GOU50" s="364" t="s">
        <v>140</v>
      </c>
      <c r="GOV50" s="365">
        <v>0.5</v>
      </c>
      <c r="GOW50" s="366" t="e">
        <f>10/GOS48</f>
        <v>#DIV/0!</v>
      </c>
      <c r="GOX50" s="367">
        <v>15.38</v>
      </c>
      <c r="GOY50" s="367" t="e">
        <f>GOV50*GOW50*GOX50</f>
        <v>#DIV/0!</v>
      </c>
      <c r="GOZ50" s="363" t="s">
        <v>153</v>
      </c>
      <c r="GPA50" s="363"/>
      <c r="GPB50" s="363"/>
      <c r="GPC50" s="364" t="s">
        <v>140</v>
      </c>
      <c r="GPD50" s="365">
        <v>0.5</v>
      </c>
      <c r="GPE50" s="366" t="e">
        <f>10/GPA48</f>
        <v>#DIV/0!</v>
      </c>
      <c r="GPF50" s="367">
        <v>15.38</v>
      </c>
      <c r="GPG50" s="367" t="e">
        <f>GPD50*GPE50*GPF50</f>
        <v>#DIV/0!</v>
      </c>
      <c r="GPH50" s="363" t="s">
        <v>153</v>
      </c>
      <c r="GPI50" s="363"/>
      <c r="GPJ50" s="363"/>
      <c r="GPK50" s="364" t="s">
        <v>140</v>
      </c>
      <c r="GPL50" s="365">
        <v>0.5</v>
      </c>
      <c r="GPM50" s="366" t="e">
        <f>10/GPI48</f>
        <v>#DIV/0!</v>
      </c>
      <c r="GPN50" s="367">
        <v>15.38</v>
      </c>
      <c r="GPO50" s="367" t="e">
        <f>GPL50*GPM50*GPN50</f>
        <v>#DIV/0!</v>
      </c>
      <c r="GPP50" s="363" t="s">
        <v>153</v>
      </c>
      <c r="GPQ50" s="363"/>
      <c r="GPR50" s="363"/>
      <c r="GPS50" s="364" t="s">
        <v>140</v>
      </c>
      <c r="GPT50" s="365">
        <v>0.5</v>
      </c>
      <c r="GPU50" s="366" t="e">
        <f>10/GPQ48</f>
        <v>#DIV/0!</v>
      </c>
      <c r="GPV50" s="367">
        <v>15.38</v>
      </c>
      <c r="GPW50" s="367" t="e">
        <f>GPT50*GPU50*GPV50</f>
        <v>#DIV/0!</v>
      </c>
      <c r="GPX50" s="363" t="s">
        <v>153</v>
      </c>
      <c r="GPY50" s="363"/>
      <c r="GPZ50" s="363"/>
      <c r="GQA50" s="364" t="s">
        <v>140</v>
      </c>
      <c r="GQB50" s="365">
        <v>0.5</v>
      </c>
      <c r="GQC50" s="366" t="e">
        <f>10/GPY48</f>
        <v>#DIV/0!</v>
      </c>
      <c r="GQD50" s="367">
        <v>15.38</v>
      </c>
      <c r="GQE50" s="367" t="e">
        <f>GQB50*GQC50*GQD50</f>
        <v>#DIV/0!</v>
      </c>
      <c r="GQF50" s="363" t="s">
        <v>153</v>
      </c>
      <c r="GQG50" s="363"/>
      <c r="GQH50" s="363"/>
      <c r="GQI50" s="364" t="s">
        <v>140</v>
      </c>
      <c r="GQJ50" s="365">
        <v>0.5</v>
      </c>
      <c r="GQK50" s="366" t="e">
        <f>10/GQG48</f>
        <v>#DIV/0!</v>
      </c>
      <c r="GQL50" s="367">
        <v>15.38</v>
      </c>
      <c r="GQM50" s="367" t="e">
        <f>GQJ50*GQK50*GQL50</f>
        <v>#DIV/0!</v>
      </c>
      <c r="GQN50" s="363" t="s">
        <v>153</v>
      </c>
      <c r="GQO50" s="363"/>
      <c r="GQP50" s="363"/>
      <c r="GQQ50" s="364" t="s">
        <v>140</v>
      </c>
      <c r="GQR50" s="365">
        <v>0.5</v>
      </c>
      <c r="GQS50" s="366" t="e">
        <f>10/GQO48</f>
        <v>#DIV/0!</v>
      </c>
      <c r="GQT50" s="367">
        <v>15.38</v>
      </c>
      <c r="GQU50" s="367" t="e">
        <f>GQR50*GQS50*GQT50</f>
        <v>#DIV/0!</v>
      </c>
      <c r="GQV50" s="363" t="s">
        <v>153</v>
      </c>
      <c r="GQW50" s="363"/>
      <c r="GQX50" s="363"/>
      <c r="GQY50" s="364" t="s">
        <v>140</v>
      </c>
      <c r="GQZ50" s="365">
        <v>0.5</v>
      </c>
      <c r="GRA50" s="366" t="e">
        <f>10/GQW48</f>
        <v>#DIV/0!</v>
      </c>
      <c r="GRB50" s="367">
        <v>15.38</v>
      </c>
      <c r="GRC50" s="367" t="e">
        <f>GQZ50*GRA50*GRB50</f>
        <v>#DIV/0!</v>
      </c>
      <c r="GRD50" s="363" t="s">
        <v>153</v>
      </c>
      <c r="GRE50" s="363"/>
      <c r="GRF50" s="363"/>
      <c r="GRG50" s="364" t="s">
        <v>140</v>
      </c>
      <c r="GRH50" s="365">
        <v>0.5</v>
      </c>
      <c r="GRI50" s="366" t="e">
        <f>10/GRE48</f>
        <v>#DIV/0!</v>
      </c>
      <c r="GRJ50" s="367">
        <v>15.38</v>
      </c>
      <c r="GRK50" s="367" t="e">
        <f>GRH50*GRI50*GRJ50</f>
        <v>#DIV/0!</v>
      </c>
      <c r="GRL50" s="363" t="s">
        <v>153</v>
      </c>
      <c r="GRM50" s="363"/>
      <c r="GRN50" s="363"/>
      <c r="GRO50" s="364" t="s">
        <v>140</v>
      </c>
      <c r="GRP50" s="365">
        <v>0.5</v>
      </c>
      <c r="GRQ50" s="366" t="e">
        <f>10/GRM48</f>
        <v>#DIV/0!</v>
      </c>
      <c r="GRR50" s="367">
        <v>15.38</v>
      </c>
      <c r="GRS50" s="367" t="e">
        <f>GRP50*GRQ50*GRR50</f>
        <v>#DIV/0!</v>
      </c>
      <c r="GRT50" s="363" t="s">
        <v>153</v>
      </c>
      <c r="GRU50" s="363"/>
      <c r="GRV50" s="363"/>
      <c r="GRW50" s="364" t="s">
        <v>140</v>
      </c>
      <c r="GRX50" s="365">
        <v>0.5</v>
      </c>
      <c r="GRY50" s="366" t="e">
        <f>10/GRU48</f>
        <v>#DIV/0!</v>
      </c>
      <c r="GRZ50" s="367">
        <v>15.38</v>
      </c>
      <c r="GSA50" s="367" t="e">
        <f>GRX50*GRY50*GRZ50</f>
        <v>#DIV/0!</v>
      </c>
      <c r="GSB50" s="363" t="s">
        <v>153</v>
      </c>
      <c r="GSC50" s="363"/>
      <c r="GSD50" s="363"/>
      <c r="GSE50" s="364" t="s">
        <v>140</v>
      </c>
      <c r="GSF50" s="365">
        <v>0.5</v>
      </c>
      <c r="GSG50" s="366" t="e">
        <f>10/GSC48</f>
        <v>#DIV/0!</v>
      </c>
      <c r="GSH50" s="367">
        <v>15.38</v>
      </c>
      <c r="GSI50" s="367" t="e">
        <f>GSF50*GSG50*GSH50</f>
        <v>#DIV/0!</v>
      </c>
      <c r="GSJ50" s="363" t="s">
        <v>153</v>
      </c>
      <c r="GSK50" s="363"/>
      <c r="GSL50" s="363"/>
      <c r="GSM50" s="364" t="s">
        <v>140</v>
      </c>
      <c r="GSN50" s="365">
        <v>0.5</v>
      </c>
      <c r="GSO50" s="366" t="e">
        <f>10/GSK48</f>
        <v>#DIV/0!</v>
      </c>
      <c r="GSP50" s="367">
        <v>15.38</v>
      </c>
      <c r="GSQ50" s="367" t="e">
        <f>GSN50*GSO50*GSP50</f>
        <v>#DIV/0!</v>
      </c>
      <c r="GSR50" s="363" t="s">
        <v>153</v>
      </c>
      <c r="GSS50" s="363"/>
      <c r="GST50" s="363"/>
      <c r="GSU50" s="364" t="s">
        <v>140</v>
      </c>
      <c r="GSV50" s="365">
        <v>0.5</v>
      </c>
      <c r="GSW50" s="366" t="e">
        <f>10/GSS48</f>
        <v>#DIV/0!</v>
      </c>
      <c r="GSX50" s="367">
        <v>15.38</v>
      </c>
      <c r="GSY50" s="367" t="e">
        <f>GSV50*GSW50*GSX50</f>
        <v>#DIV/0!</v>
      </c>
      <c r="GSZ50" s="363" t="s">
        <v>153</v>
      </c>
      <c r="GTA50" s="363"/>
      <c r="GTB50" s="363"/>
      <c r="GTC50" s="364" t="s">
        <v>140</v>
      </c>
      <c r="GTD50" s="365">
        <v>0.5</v>
      </c>
      <c r="GTE50" s="366" t="e">
        <f>10/GTA48</f>
        <v>#DIV/0!</v>
      </c>
      <c r="GTF50" s="367">
        <v>15.38</v>
      </c>
      <c r="GTG50" s="367" t="e">
        <f>GTD50*GTE50*GTF50</f>
        <v>#DIV/0!</v>
      </c>
      <c r="GTH50" s="363" t="s">
        <v>153</v>
      </c>
      <c r="GTI50" s="363"/>
      <c r="GTJ50" s="363"/>
      <c r="GTK50" s="364" t="s">
        <v>140</v>
      </c>
      <c r="GTL50" s="365">
        <v>0.5</v>
      </c>
      <c r="GTM50" s="366" t="e">
        <f>10/GTI48</f>
        <v>#DIV/0!</v>
      </c>
      <c r="GTN50" s="367">
        <v>15.38</v>
      </c>
      <c r="GTO50" s="367" t="e">
        <f>GTL50*GTM50*GTN50</f>
        <v>#DIV/0!</v>
      </c>
      <c r="GTP50" s="363" t="s">
        <v>153</v>
      </c>
      <c r="GTQ50" s="363"/>
      <c r="GTR50" s="363"/>
      <c r="GTS50" s="364" t="s">
        <v>140</v>
      </c>
      <c r="GTT50" s="365">
        <v>0.5</v>
      </c>
      <c r="GTU50" s="366" t="e">
        <f>10/GTQ48</f>
        <v>#DIV/0!</v>
      </c>
      <c r="GTV50" s="367">
        <v>15.38</v>
      </c>
      <c r="GTW50" s="367" t="e">
        <f>GTT50*GTU50*GTV50</f>
        <v>#DIV/0!</v>
      </c>
      <c r="GTX50" s="363" t="s">
        <v>153</v>
      </c>
      <c r="GTY50" s="363"/>
      <c r="GTZ50" s="363"/>
      <c r="GUA50" s="364" t="s">
        <v>140</v>
      </c>
      <c r="GUB50" s="365">
        <v>0.5</v>
      </c>
      <c r="GUC50" s="366" t="e">
        <f>10/GTY48</f>
        <v>#DIV/0!</v>
      </c>
      <c r="GUD50" s="367">
        <v>15.38</v>
      </c>
      <c r="GUE50" s="367" t="e">
        <f>GUB50*GUC50*GUD50</f>
        <v>#DIV/0!</v>
      </c>
      <c r="GUF50" s="363" t="s">
        <v>153</v>
      </c>
      <c r="GUG50" s="363"/>
      <c r="GUH50" s="363"/>
      <c r="GUI50" s="364" t="s">
        <v>140</v>
      </c>
      <c r="GUJ50" s="365">
        <v>0.5</v>
      </c>
      <c r="GUK50" s="366" t="e">
        <f>10/GUG48</f>
        <v>#DIV/0!</v>
      </c>
      <c r="GUL50" s="367">
        <v>15.38</v>
      </c>
      <c r="GUM50" s="367" t="e">
        <f>GUJ50*GUK50*GUL50</f>
        <v>#DIV/0!</v>
      </c>
      <c r="GUN50" s="363" t="s">
        <v>153</v>
      </c>
      <c r="GUO50" s="363"/>
      <c r="GUP50" s="363"/>
      <c r="GUQ50" s="364" t="s">
        <v>140</v>
      </c>
      <c r="GUR50" s="365">
        <v>0.5</v>
      </c>
      <c r="GUS50" s="366" t="e">
        <f>10/GUO48</f>
        <v>#DIV/0!</v>
      </c>
      <c r="GUT50" s="367">
        <v>15.38</v>
      </c>
      <c r="GUU50" s="367" t="e">
        <f>GUR50*GUS50*GUT50</f>
        <v>#DIV/0!</v>
      </c>
      <c r="GUV50" s="363" t="s">
        <v>153</v>
      </c>
      <c r="GUW50" s="363"/>
      <c r="GUX50" s="363"/>
      <c r="GUY50" s="364" t="s">
        <v>140</v>
      </c>
      <c r="GUZ50" s="365">
        <v>0.5</v>
      </c>
      <c r="GVA50" s="366" t="e">
        <f>10/GUW48</f>
        <v>#DIV/0!</v>
      </c>
      <c r="GVB50" s="367">
        <v>15.38</v>
      </c>
      <c r="GVC50" s="367" t="e">
        <f>GUZ50*GVA50*GVB50</f>
        <v>#DIV/0!</v>
      </c>
      <c r="GVD50" s="363" t="s">
        <v>153</v>
      </c>
      <c r="GVE50" s="363"/>
      <c r="GVF50" s="363"/>
      <c r="GVG50" s="364" t="s">
        <v>140</v>
      </c>
      <c r="GVH50" s="365">
        <v>0.5</v>
      </c>
      <c r="GVI50" s="366" t="e">
        <f>10/GVE48</f>
        <v>#DIV/0!</v>
      </c>
      <c r="GVJ50" s="367">
        <v>15.38</v>
      </c>
      <c r="GVK50" s="367" t="e">
        <f>GVH50*GVI50*GVJ50</f>
        <v>#DIV/0!</v>
      </c>
      <c r="GVL50" s="363" t="s">
        <v>153</v>
      </c>
      <c r="GVM50" s="363"/>
      <c r="GVN50" s="363"/>
      <c r="GVO50" s="364" t="s">
        <v>140</v>
      </c>
      <c r="GVP50" s="365">
        <v>0.5</v>
      </c>
      <c r="GVQ50" s="366" t="e">
        <f>10/GVM48</f>
        <v>#DIV/0!</v>
      </c>
      <c r="GVR50" s="367">
        <v>15.38</v>
      </c>
      <c r="GVS50" s="367" t="e">
        <f>GVP50*GVQ50*GVR50</f>
        <v>#DIV/0!</v>
      </c>
      <c r="GVT50" s="363" t="s">
        <v>153</v>
      </c>
      <c r="GVU50" s="363"/>
      <c r="GVV50" s="363"/>
      <c r="GVW50" s="364" t="s">
        <v>140</v>
      </c>
      <c r="GVX50" s="365">
        <v>0.5</v>
      </c>
      <c r="GVY50" s="366" t="e">
        <f>10/GVU48</f>
        <v>#DIV/0!</v>
      </c>
      <c r="GVZ50" s="367">
        <v>15.38</v>
      </c>
      <c r="GWA50" s="367" t="e">
        <f>GVX50*GVY50*GVZ50</f>
        <v>#DIV/0!</v>
      </c>
      <c r="GWB50" s="363" t="s">
        <v>153</v>
      </c>
      <c r="GWC50" s="363"/>
      <c r="GWD50" s="363"/>
      <c r="GWE50" s="364" t="s">
        <v>140</v>
      </c>
      <c r="GWF50" s="365">
        <v>0.5</v>
      </c>
      <c r="GWG50" s="366" t="e">
        <f>10/GWC48</f>
        <v>#DIV/0!</v>
      </c>
      <c r="GWH50" s="367">
        <v>15.38</v>
      </c>
      <c r="GWI50" s="367" t="e">
        <f>GWF50*GWG50*GWH50</f>
        <v>#DIV/0!</v>
      </c>
      <c r="GWJ50" s="363" t="s">
        <v>153</v>
      </c>
      <c r="GWK50" s="363"/>
      <c r="GWL50" s="363"/>
      <c r="GWM50" s="364" t="s">
        <v>140</v>
      </c>
      <c r="GWN50" s="365">
        <v>0.5</v>
      </c>
      <c r="GWO50" s="366" t="e">
        <f>10/GWK48</f>
        <v>#DIV/0!</v>
      </c>
      <c r="GWP50" s="367">
        <v>15.38</v>
      </c>
      <c r="GWQ50" s="367" t="e">
        <f>GWN50*GWO50*GWP50</f>
        <v>#DIV/0!</v>
      </c>
      <c r="GWR50" s="363" t="s">
        <v>153</v>
      </c>
      <c r="GWS50" s="363"/>
      <c r="GWT50" s="363"/>
      <c r="GWU50" s="364" t="s">
        <v>140</v>
      </c>
      <c r="GWV50" s="365">
        <v>0.5</v>
      </c>
      <c r="GWW50" s="366" t="e">
        <f>10/GWS48</f>
        <v>#DIV/0!</v>
      </c>
      <c r="GWX50" s="367">
        <v>15.38</v>
      </c>
      <c r="GWY50" s="367" t="e">
        <f>GWV50*GWW50*GWX50</f>
        <v>#DIV/0!</v>
      </c>
      <c r="GWZ50" s="363" t="s">
        <v>153</v>
      </c>
      <c r="GXA50" s="363"/>
      <c r="GXB50" s="363"/>
      <c r="GXC50" s="364" t="s">
        <v>140</v>
      </c>
      <c r="GXD50" s="365">
        <v>0.5</v>
      </c>
      <c r="GXE50" s="366" t="e">
        <f>10/GXA48</f>
        <v>#DIV/0!</v>
      </c>
      <c r="GXF50" s="367">
        <v>15.38</v>
      </c>
      <c r="GXG50" s="367" t="e">
        <f>GXD50*GXE50*GXF50</f>
        <v>#DIV/0!</v>
      </c>
      <c r="GXH50" s="363" t="s">
        <v>153</v>
      </c>
      <c r="GXI50" s="363"/>
      <c r="GXJ50" s="363"/>
      <c r="GXK50" s="364" t="s">
        <v>140</v>
      </c>
      <c r="GXL50" s="365">
        <v>0.5</v>
      </c>
      <c r="GXM50" s="366" t="e">
        <f>10/GXI48</f>
        <v>#DIV/0!</v>
      </c>
      <c r="GXN50" s="367">
        <v>15.38</v>
      </c>
      <c r="GXO50" s="367" t="e">
        <f>GXL50*GXM50*GXN50</f>
        <v>#DIV/0!</v>
      </c>
      <c r="GXP50" s="363" t="s">
        <v>153</v>
      </c>
      <c r="GXQ50" s="363"/>
      <c r="GXR50" s="363"/>
      <c r="GXS50" s="364" t="s">
        <v>140</v>
      </c>
      <c r="GXT50" s="365">
        <v>0.5</v>
      </c>
      <c r="GXU50" s="366" t="e">
        <f>10/GXQ48</f>
        <v>#DIV/0!</v>
      </c>
      <c r="GXV50" s="367">
        <v>15.38</v>
      </c>
      <c r="GXW50" s="367" t="e">
        <f>GXT50*GXU50*GXV50</f>
        <v>#DIV/0!</v>
      </c>
      <c r="GXX50" s="363" t="s">
        <v>153</v>
      </c>
      <c r="GXY50" s="363"/>
      <c r="GXZ50" s="363"/>
      <c r="GYA50" s="364" t="s">
        <v>140</v>
      </c>
      <c r="GYB50" s="365">
        <v>0.5</v>
      </c>
      <c r="GYC50" s="366" t="e">
        <f>10/GXY48</f>
        <v>#DIV/0!</v>
      </c>
      <c r="GYD50" s="367">
        <v>15.38</v>
      </c>
      <c r="GYE50" s="367" t="e">
        <f>GYB50*GYC50*GYD50</f>
        <v>#DIV/0!</v>
      </c>
      <c r="GYF50" s="363" t="s">
        <v>153</v>
      </c>
      <c r="GYG50" s="363"/>
      <c r="GYH50" s="363"/>
      <c r="GYI50" s="364" t="s">
        <v>140</v>
      </c>
      <c r="GYJ50" s="365">
        <v>0.5</v>
      </c>
      <c r="GYK50" s="366" t="e">
        <f>10/GYG48</f>
        <v>#DIV/0!</v>
      </c>
      <c r="GYL50" s="367">
        <v>15.38</v>
      </c>
      <c r="GYM50" s="367" t="e">
        <f>GYJ50*GYK50*GYL50</f>
        <v>#DIV/0!</v>
      </c>
      <c r="GYN50" s="363" t="s">
        <v>153</v>
      </c>
      <c r="GYO50" s="363"/>
      <c r="GYP50" s="363"/>
      <c r="GYQ50" s="364" t="s">
        <v>140</v>
      </c>
      <c r="GYR50" s="365">
        <v>0.5</v>
      </c>
      <c r="GYS50" s="366" t="e">
        <f>10/GYO48</f>
        <v>#DIV/0!</v>
      </c>
      <c r="GYT50" s="367">
        <v>15.38</v>
      </c>
      <c r="GYU50" s="367" t="e">
        <f>GYR50*GYS50*GYT50</f>
        <v>#DIV/0!</v>
      </c>
      <c r="GYV50" s="363" t="s">
        <v>153</v>
      </c>
      <c r="GYW50" s="363"/>
      <c r="GYX50" s="363"/>
      <c r="GYY50" s="364" t="s">
        <v>140</v>
      </c>
      <c r="GYZ50" s="365">
        <v>0.5</v>
      </c>
      <c r="GZA50" s="366" t="e">
        <f>10/GYW48</f>
        <v>#DIV/0!</v>
      </c>
      <c r="GZB50" s="367">
        <v>15.38</v>
      </c>
      <c r="GZC50" s="367" t="e">
        <f>GYZ50*GZA50*GZB50</f>
        <v>#DIV/0!</v>
      </c>
      <c r="GZD50" s="363" t="s">
        <v>153</v>
      </c>
      <c r="GZE50" s="363"/>
      <c r="GZF50" s="363"/>
      <c r="GZG50" s="364" t="s">
        <v>140</v>
      </c>
      <c r="GZH50" s="365">
        <v>0.5</v>
      </c>
      <c r="GZI50" s="366" t="e">
        <f>10/GZE48</f>
        <v>#DIV/0!</v>
      </c>
      <c r="GZJ50" s="367">
        <v>15.38</v>
      </c>
      <c r="GZK50" s="367" t="e">
        <f>GZH50*GZI50*GZJ50</f>
        <v>#DIV/0!</v>
      </c>
      <c r="GZL50" s="363" t="s">
        <v>153</v>
      </c>
      <c r="GZM50" s="363"/>
      <c r="GZN50" s="363"/>
      <c r="GZO50" s="364" t="s">
        <v>140</v>
      </c>
      <c r="GZP50" s="365">
        <v>0.5</v>
      </c>
      <c r="GZQ50" s="366" t="e">
        <f>10/GZM48</f>
        <v>#DIV/0!</v>
      </c>
      <c r="GZR50" s="367">
        <v>15.38</v>
      </c>
      <c r="GZS50" s="367" t="e">
        <f>GZP50*GZQ50*GZR50</f>
        <v>#DIV/0!</v>
      </c>
      <c r="GZT50" s="363" t="s">
        <v>153</v>
      </c>
      <c r="GZU50" s="363"/>
      <c r="GZV50" s="363"/>
      <c r="GZW50" s="364" t="s">
        <v>140</v>
      </c>
      <c r="GZX50" s="365">
        <v>0.5</v>
      </c>
      <c r="GZY50" s="366" t="e">
        <f>10/GZU48</f>
        <v>#DIV/0!</v>
      </c>
      <c r="GZZ50" s="367">
        <v>15.38</v>
      </c>
      <c r="HAA50" s="367" t="e">
        <f>GZX50*GZY50*GZZ50</f>
        <v>#DIV/0!</v>
      </c>
      <c r="HAB50" s="363" t="s">
        <v>153</v>
      </c>
      <c r="HAC50" s="363"/>
      <c r="HAD50" s="363"/>
      <c r="HAE50" s="364" t="s">
        <v>140</v>
      </c>
      <c r="HAF50" s="365">
        <v>0.5</v>
      </c>
      <c r="HAG50" s="366" t="e">
        <f>10/HAC48</f>
        <v>#DIV/0!</v>
      </c>
      <c r="HAH50" s="367">
        <v>15.38</v>
      </c>
      <c r="HAI50" s="367" t="e">
        <f>HAF50*HAG50*HAH50</f>
        <v>#DIV/0!</v>
      </c>
      <c r="HAJ50" s="363" t="s">
        <v>153</v>
      </c>
      <c r="HAK50" s="363"/>
      <c r="HAL50" s="363"/>
      <c r="HAM50" s="364" t="s">
        <v>140</v>
      </c>
      <c r="HAN50" s="365">
        <v>0.5</v>
      </c>
      <c r="HAO50" s="366" t="e">
        <f>10/HAK48</f>
        <v>#DIV/0!</v>
      </c>
      <c r="HAP50" s="367">
        <v>15.38</v>
      </c>
      <c r="HAQ50" s="367" t="e">
        <f>HAN50*HAO50*HAP50</f>
        <v>#DIV/0!</v>
      </c>
      <c r="HAR50" s="363" t="s">
        <v>153</v>
      </c>
      <c r="HAS50" s="363"/>
      <c r="HAT50" s="363"/>
      <c r="HAU50" s="364" t="s">
        <v>140</v>
      </c>
      <c r="HAV50" s="365">
        <v>0.5</v>
      </c>
      <c r="HAW50" s="366" t="e">
        <f>10/HAS48</f>
        <v>#DIV/0!</v>
      </c>
      <c r="HAX50" s="367">
        <v>15.38</v>
      </c>
      <c r="HAY50" s="367" t="e">
        <f>HAV50*HAW50*HAX50</f>
        <v>#DIV/0!</v>
      </c>
      <c r="HAZ50" s="363" t="s">
        <v>153</v>
      </c>
      <c r="HBA50" s="363"/>
      <c r="HBB50" s="363"/>
      <c r="HBC50" s="364" t="s">
        <v>140</v>
      </c>
      <c r="HBD50" s="365">
        <v>0.5</v>
      </c>
      <c r="HBE50" s="366" t="e">
        <f>10/HBA48</f>
        <v>#DIV/0!</v>
      </c>
      <c r="HBF50" s="367">
        <v>15.38</v>
      </c>
      <c r="HBG50" s="367" t="e">
        <f>HBD50*HBE50*HBF50</f>
        <v>#DIV/0!</v>
      </c>
      <c r="HBH50" s="363" t="s">
        <v>153</v>
      </c>
      <c r="HBI50" s="363"/>
      <c r="HBJ50" s="363"/>
      <c r="HBK50" s="364" t="s">
        <v>140</v>
      </c>
      <c r="HBL50" s="365">
        <v>0.5</v>
      </c>
      <c r="HBM50" s="366" t="e">
        <f>10/HBI48</f>
        <v>#DIV/0!</v>
      </c>
      <c r="HBN50" s="367">
        <v>15.38</v>
      </c>
      <c r="HBO50" s="367" t="e">
        <f>HBL50*HBM50*HBN50</f>
        <v>#DIV/0!</v>
      </c>
      <c r="HBP50" s="363" t="s">
        <v>153</v>
      </c>
      <c r="HBQ50" s="363"/>
      <c r="HBR50" s="363"/>
      <c r="HBS50" s="364" t="s">
        <v>140</v>
      </c>
      <c r="HBT50" s="365">
        <v>0.5</v>
      </c>
      <c r="HBU50" s="366" t="e">
        <f>10/HBQ48</f>
        <v>#DIV/0!</v>
      </c>
      <c r="HBV50" s="367">
        <v>15.38</v>
      </c>
      <c r="HBW50" s="367" t="e">
        <f>HBT50*HBU50*HBV50</f>
        <v>#DIV/0!</v>
      </c>
      <c r="HBX50" s="363" t="s">
        <v>153</v>
      </c>
      <c r="HBY50" s="363"/>
      <c r="HBZ50" s="363"/>
      <c r="HCA50" s="364" t="s">
        <v>140</v>
      </c>
      <c r="HCB50" s="365">
        <v>0.5</v>
      </c>
      <c r="HCC50" s="366" t="e">
        <f>10/HBY48</f>
        <v>#DIV/0!</v>
      </c>
      <c r="HCD50" s="367">
        <v>15.38</v>
      </c>
      <c r="HCE50" s="367" t="e">
        <f>HCB50*HCC50*HCD50</f>
        <v>#DIV/0!</v>
      </c>
      <c r="HCF50" s="363" t="s">
        <v>153</v>
      </c>
      <c r="HCG50" s="363"/>
      <c r="HCH50" s="363"/>
      <c r="HCI50" s="364" t="s">
        <v>140</v>
      </c>
      <c r="HCJ50" s="365">
        <v>0.5</v>
      </c>
      <c r="HCK50" s="366" t="e">
        <f>10/HCG48</f>
        <v>#DIV/0!</v>
      </c>
      <c r="HCL50" s="367">
        <v>15.38</v>
      </c>
      <c r="HCM50" s="367" t="e">
        <f>HCJ50*HCK50*HCL50</f>
        <v>#DIV/0!</v>
      </c>
      <c r="HCN50" s="363" t="s">
        <v>153</v>
      </c>
      <c r="HCO50" s="363"/>
      <c r="HCP50" s="363"/>
      <c r="HCQ50" s="364" t="s">
        <v>140</v>
      </c>
      <c r="HCR50" s="365">
        <v>0.5</v>
      </c>
      <c r="HCS50" s="366" t="e">
        <f>10/HCO48</f>
        <v>#DIV/0!</v>
      </c>
      <c r="HCT50" s="367">
        <v>15.38</v>
      </c>
      <c r="HCU50" s="367" t="e">
        <f>HCR50*HCS50*HCT50</f>
        <v>#DIV/0!</v>
      </c>
      <c r="HCV50" s="363" t="s">
        <v>153</v>
      </c>
      <c r="HCW50" s="363"/>
      <c r="HCX50" s="363"/>
      <c r="HCY50" s="364" t="s">
        <v>140</v>
      </c>
      <c r="HCZ50" s="365">
        <v>0.5</v>
      </c>
      <c r="HDA50" s="366" t="e">
        <f>10/HCW48</f>
        <v>#DIV/0!</v>
      </c>
      <c r="HDB50" s="367">
        <v>15.38</v>
      </c>
      <c r="HDC50" s="367" t="e">
        <f>HCZ50*HDA50*HDB50</f>
        <v>#DIV/0!</v>
      </c>
      <c r="HDD50" s="363" t="s">
        <v>153</v>
      </c>
      <c r="HDE50" s="363"/>
      <c r="HDF50" s="363"/>
      <c r="HDG50" s="364" t="s">
        <v>140</v>
      </c>
      <c r="HDH50" s="365">
        <v>0.5</v>
      </c>
      <c r="HDI50" s="366" t="e">
        <f>10/HDE48</f>
        <v>#DIV/0!</v>
      </c>
      <c r="HDJ50" s="367">
        <v>15.38</v>
      </c>
      <c r="HDK50" s="367" t="e">
        <f>HDH50*HDI50*HDJ50</f>
        <v>#DIV/0!</v>
      </c>
      <c r="HDL50" s="363" t="s">
        <v>153</v>
      </c>
      <c r="HDM50" s="363"/>
      <c r="HDN50" s="363"/>
      <c r="HDO50" s="364" t="s">
        <v>140</v>
      </c>
      <c r="HDP50" s="365">
        <v>0.5</v>
      </c>
      <c r="HDQ50" s="366" t="e">
        <f>10/HDM48</f>
        <v>#DIV/0!</v>
      </c>
      <c r="HDR50" s="367">
        <v>15.38</v>
      </c>
      <c r="HDS50" s="367" t="e">
        <f>HDP50*HDQ50*HDR50</f>
        <v>#DIV/0!</v>
      </c>
      <c r="HDT50" s="363" t="s">
        <v>153</v>
      </c>
      <c r="HDU50" s="363"/>
      <c r="HDV50" s="363"/>
      <c r="HDW50" s="364" t="s">
        <v>140</v>
      </c>
      <c r="HDX50" s="365">
        <v>0.5</v>
      </c>
      <c r="HDY50" s="366" t="e">
        <f>10/HDU48</f>
        <v>#DIV/0!</v>
      </c>
      <c r="HDZ50" s="367">
        <v>15.38</v>
      </c>
      <c r="HEA50" s="367" t="e">
        <f>HDX50*HDY50*HDZ50</f>
        <v>#DIV/0!</v>
      </c>
      <c r="HEB50" s="363" t="s">
        <v>153</v>
      </c>
      <c r="HEC50" s="363"/>
      <c r="HED50" s="363"/>
      <c r="HEE50" s="364" t="s">
        <v>140</v>
      </c>
      <c r="HEF50" s="365">
        <v>0.5</v>
      </c>
      <c r="HEG50" s="366" t="e">
        <f>10/HEC48</f>
        <v>#DIV/0!</v>
      </c>
      <c r="HEH50" s="367">
        <v>15.38</v>
      </c>
      <c r="HEI50" s="367" t="e">
        <f>HEF50*HEG50*HEH50</f>
        <v>#DIV/0!</v>
      </c>
      <c r="HEJ50" s="363" t="s">
        <v>153</v>
      </c>
      <c r="HEK50" s="363"/>
      <c r="HEL50" s="363"/>
      <c r="HEM50" s="364" t="s">
        <v>140</v>
      </c>
      <c r="HEN50" s="365">
        <v>0.5</v>
      </c>
      <c r="HEO50" s="366" t="e">
        <f>10/HEK48</f>
        <v>#DIV/0!</v>
      </c>
      <c r="HEP50" s="367">
        <v>15.38</v>
      </c>
      <c r="HEQ50" s="367" t="e">
        <f>HEN50*HEO50*HEP50</f>
        <v>#DIV/0!</v>
      </c>
      <c r="HER50" s="363" t="s">
        <v>153</v>
      </c>
      <c r="HES50" s="363"/>
      <c r="HET50" s="363"/>
      <c r="HEU50" s="364" t="s">
        <v>140</v>
      </c>
      <c r="HEV50" s="365">
        <v>0.5</v>
      </c>
      <c r="HEW50" s="366" t="e">
        <f>10/HES48</f>
        <v>#DIV/0!</v>
      </c>
      <c r="HEX50" s="367">
        <v>15.38</v>
      </c>
      <c r="HEY50" s="367" t="e">
        <f>HEV50*HEW50*HEX50</f>
        <v>#DIV/0!</v>
      </c>
      <c r="HEZ50" s="363" t="s">
        <v>153</v>
      </c>
      <c r="HFA50" s="363"/>
      <c r="HFB50" s="363"/>
      <c r="HFC50" s="364" t="s">
        <v>140</v>
      </c>
      <c r="HFD50" s="365">
        <v>0.5</v>
      </c>
      <c r="HFE50" s="366" t="e">
        <f>10/HFA48</f>
        <v>#DIV/0!</v>
      </c>
      <c r="HFF50" s="367">
        <v>15.38</v>
      </c>
      <c r="HFG50" s="367" t="e">
        <f>HFD50*HFE50*HFF50</f>
        <v>#DIV/0!</v>
      </c>
      <c r="HFH50" s="363" t="s">
        <v>153</v>
      </c>
      <c r="HFI50" s="363"/>
      <c r="HFJ50" s="363"/>
      <c r="HFK50" s="364" t="s">
        <v>140</v>
      </c>
      <c r="HFL50" s="365">
        <v>0.5</v>
      </c>
      <c r="HFM50" s="366" t="e">
        <f>10/HFI48</f>
        <v>#DIV/0!</v>
      </c>
      <c r="HFN50" s="367">
        <v>15.38</v>
      </c>
      <c r="HFO50" s="367" t="e">
        <f>HFL50*HFM50*HFN50</f>
        <v>#DIV/0!</v>
      </c>
      <c r="HFP50" s="363" t="s">
        <v>153</v>
      </c>
      <c r="HFQ50" s="363"/>
      <c r="HFR50" s="363"/>
      <c r="HFS50" s="364" t="s">
        <v>140</v>
      </c>
      <c r="HFT50" s="365">
        <v>0.5</v>
      </c>
      <c r="HFU50" s="366" t="e">
        <f>10/HFQ48</f>
        <v>#DIV/0!</v>
      </c>
      <c r="HFV50" s="367">
        <v>15.38</v>
      </c>
      <c r="HFW50" s="367" t="e">
        <f>HFT50*HFU50*HFV50</f>
        <v>#DIV/0!</v>
      </c>
      <c r="HFX50" s="363" t="s">
        <v>153</v>
      </c>
      <c r="HFY50" s="363"/>
      <c r="HFZ50" s="363"/>
      <c r="HGA50" s="364" t="s">
        <v>140</v>
      </c>
      <c r="HGB50" s="365">
        <v>0.5</v>
      </c>
      <c r="HGC50" s="366" t="e">
        <f>10/HFY48</f>
        <v>#DIV/0!</v>
      </c>
      <c r="HGD50" s="367">
        <v>15.38</v>
      </c>
      <c r="HGE50" s="367" t="e">
        <f>HGB50*HGC50*HGD50</f>
        <v>#DIV/0!</v>
      </c>
      <c r="HGF50" s="363" t="s">
        <v>153</v>
      </c>
      <c r="HGG50" s="363"/>
      <c r="HGH50" s="363"/>
      <c r="HGI50" s="364" t="s">
        <v>140</v>
      </c>
      <c r="HGJ50" s="365">
        <v>0.5</v>
      </c>
      <c r="HGK50" s="366" t="e">
        <f>10/HGG48</f>
        <v>#DIV/0!</v>
      </c>
      <c r="HGL50" s="367">
        <v>15.38</v>
      </c>
      <c r="HGM50" s="367" t="e">
        <f>HGJ50*HGK50*HGL50</f>
        <v>#DIV/0!</v>
      </c>
      <c r="HGN50" s="363" t="s">
        <v>153</v>
      </c>
      <c r="HGO50" s="363"/>
      <c r="HGP50" s="363"/>
      <c r="HGQ50" s="364" t="s">
        <v>140</v>
      </c>
      <c r="HGR50" s="365">
        <v>0.5</v>
      </c>
      <c r="HGS50" s="366" t="e">
        <f>10/HGO48</f>
        <v>#DIV/0!</v>
      </c>
      <c r="HGT50" s="367">
        <v>15.38</v>
      </c>
      <c r="HGU50" s="367" t="e">
        <f>HGR50*HGS50*HGT50</f>
        <v>#DIV/0!</v>
      </c>
      <c r="HGV50" s="363" t="s">
        <v>153</v>
      </c>
      <c r="HGW50" s="363"/>
      <c r="HGX50" s="363"/>
      <c r="HGY50" s="364" t="s">
        <v>140</v>
      </c>
      <c r="HGZ50" s="365">
        <v>0.5</v>
      </c>
      <c r="HHA50" s="366" t="e">
        <f>10/HGW48</f>
        <v>#DIV/0!</v>
      </c>
      <c r="HHB50" s="367">
        <v>15.38</v>
      </c>
      <c r="HHC50" s="367" t="e">
        <f>HGZ50*HHA50*HHB50</f>
        <v>#DIV/0!</v>
      </c>
      <c r="HHD50" s="363" t="s">
        <v>153</v>
      </c>
      <c r="HHE50" s="363"/>
      <c r="HHF50" s="363"/>
      <c r="HHG50" s="364" t="s">
        <v>140</v>
      </c>
      <c r="HHH50" s="365">
        <v>0.5</v>
      </c>
      <c r="HHI50" s="366" t="e">
        <f>10/HHE48</f>
        <v>#DIV/0!</v>
      </c>
      <c r="HHJ50" s="367">
        <v>15.38</v>
      </c>
      <c r="HHK50" s="367" t="e">
        <f>HHH50*HHI50*HHJ50</f>
        <v>#DIV/0!</v>
      </c>
      <c r="HHL50" s="363" t="s">
        <v>153</v>
      </c>
      <c r="HHM50" s="363"/>
      <c r="HHN50" s="363"/>
      <c r="HHO50" s="364" t="s">
        <v>140</v>
      </c>
      <c r="HHP50" s="365">
        <v>0.5</v>
      </c>
      <c r="HHQ50" s="366" t="e">
        <f>10/HHM48</f>
        <v>#DIV/0!</v>
      </c>
      <c r="HHR50" s="367">
        <v>15.38</v>
      </c>
      <c r="HHS50" s="367" t="e">
        <f>HHP50*HHQ50*HHR50</f>
        <v>#DIV/0!</v>
      </c>
      <c r="HHT50" s="363" t="s">
        <v>153</v>
      </c>
      <c r="HHU50" s="363"/>
      <c r="HHV50" s="363"/>
      <c r="HHW50" s="364" t="s">
        <v>140</v>
      </c>
      <c r="HHX50" s="365">
        <v>0.5</v>
      </c>
      <c r="HHY50" s="366" t="e">
        <f>10/HHU48</f>
        <v>#DIV/0!</v>
      </c>
      <c r="HHZ50" s="367">
        <v>15.38</v>
      </c>
      <c r="HIA50" s="367" t="e">
        <f>HHX50*HHY50*HHZ50</f>
        <v>#DIV/0!</v>
      </c>
      <c r="HIB50" s="363" t="s">
        <v>153</v>
      </c>
      <c r="HIC50" s="363"/>
      <c r="HID50" s="363"/>
      <c r="HIE50" s="364" t="s">
        <v>140</v>
      </c>
      <c r="HIF50" s="365">
        <v>0.5</v>
      </c>
      <c r="HIG50" s="366" t="e">
        <f>10/HIC48</f>
        <v>#DIV/0!</v>
      </c>
      <c r="HIH50" s="367">
        <v>15.38</v>
      </c>
      <c r="HII50" s="367" t="e">
        <f>HIF50*HIG50*HIH50</f>
        <v>#DIV/0!</v>
      </c>
      <c r="HIJ50" s="363" t="s">
        <v>153</v>
      </c>
      <c r="HIK50" s="363"/>
      <c r="HIL50" s="363"/>
      <c r="HIM50" s="364" t="s">
        <v>140</v>
      </c>
      <c r="HIN50" s="365">
        <v>0.5</v>
      </c>
      <c r="HIO50" s="366" t="e">
        <f>10/HIK48</f>
        <v>#DIV/0!</v>
      </c>
      <c r="HIP50" s="367">
        <v>15.38</v>
      </c>
      <c r="HIQ50" s="367" t="e">
        <f>HIN50*HIO50*HIP50</f>
        <v>#DIV/0!</v>
      </c>
      <c r="HIR50" s="363" t="s">
        <v>153</v>
      </c>
      <c r="HIS50" s="363"/>
      <c r="HIT50" s="363"/>
      <c r="HIU50" s="364" t="s">
        <v>140</v>
      </c>
      <c r="HIV50" s="365">
        <v>0.5</v>
      </c>
      <c r="HIW50" s="366" t="e">
        <f>10/HIS48</f>
        <v>#DIV/0!</v>
      </c>
      <c r="HIX50" s="367">
        <v>15.38</v>
      </c>
      <c r="HIY50" s="367" t="e">
        <f>HIV50*HIW50*HIX50</f>
        <v>#DIV/0!</v>
      </c>
      <c r="HIZ50" s="363" t="s">
        <v>153</v>
      </c>
      <c r="HJA50" s="363"/>
      <c r="HJB50" s="363"/>
      <c r="HJC50" s="364" t="s">
        <v>140</v>
      </c>
      <c r="HJD50" s="365">
        <v>0.5</v>
      </c>
      <c r="HJE50" s="366" t="e">
        <f>10/HJA48</f>
        <v>#DIV/0!</v>
      </c>
      <c r="HJF50" s="367">
        <v>15.38</v>
      </c>
      <c r="HJG50" s="367" t="e">
        <f>HJD50*HJE50*HJF50</f>
        <v>#DIV/0!</v>
      </c>
      <c r="HJH50" s="363" t="s">
        <v>153</v>
      </c>
      <c r="HJI50" s="363"/>
      <c r="HJJ50" s="363"/>
      <c r="HJK50" s="364" t="s">
        <v>140</v>
      </c>
      <c r="HJL50" s="365">
        <v>0.5</v>
      </c>
      <c r="HJM50" s="366" t="e">
        <f>10/HJI48</f>
        <v>#DIV/0!</v>
      </c>
      <c r="HJN50" s="367">
        <v>15.38</v>
      </c>
      <c r="HJO50" s="367" t="e">
        <f>HJL50*HJM50*HJN50</f>
        <v>#DIV/0!</v>
      </c>
      <c r="HJP50" s="363" t="s">
        <v>153</v>
      </c>
      <c r="HJQ50" s="363"/>
      <c r="HJR50" s="363"/>
      <c r="HJS50" s="364" t="s">
        <v>140</v>
      </c>
      <c r="HJT50" s="365">
        <v>0.5</v>
      </c>
      <c r="HJU50" s="366" t="e">
        <f>10/HJQ48</f>
        <v>#DIV/0!</v>
      </c>
      <c r="HJV50" s="367">
        <v>15.38</v>
      </c>
      <c r="HJW50" s="367" t="e">
        <f>HJT50*HJU50*HJV50</f>
        <v>#DIV/0!</v>
      </c>
      <c r="HJX50" s="363" t="s">
        <v>153</v>
      </c>
      <c r="HJY50" s="363"/>
      <c r="HJZ50" s="363"/>
      <c r="HKA50" s="364" t="s">
        <v>140</v>
      </c>
      <c r="HKB50" s="365">
        <v>0.5</v>
      </c>
      <c r="HKC50" s="366" t="e">
        <f>10/HJY48</f>
        <v>#DIV/0!</v>
      </c>
      <c r="HKD50" s="367">
        <v>15.38</v>
      </c>
      <c r="HKE50" s="367" t="e">
        <f>HKB50*HKC50*HKD50</f>
        <v>#DIV/0!</v>
      </c>
      <c r="HKF50" s="363" t="s">
        <v>153</v>
      </c>
      <c r="HKG50" s="363"/>
      <c r="HKH50" s="363"/>
      <c r="HKI50" s="364" t="s">
        <v>140</v>
      </c>
      <c r="HKJ50" s="365">
        <v>0.5</v>
      </c>
      <c r="HKK50" s="366" t="e">
        <f>10/HKG48</f>
        <v>#DIV/0!</v>
      </c>
      <c r="HKL50" s="367">
        <v>15.38</v>
      </c>
      <c r="HKM50" s="367" t="e">
        <f>HKJ50*HKK50*HKL50</f>
        <v>#DIV/0!</v>
      </c>
      <c r="HKN50" s="363" t="s">
        <v>153</v>
      </c>
      <c r="HKO50" s="363"/>
      <c r="HKP50" s="363"/>
      <c r="HKQ50" s="364" t="s">
        <v>140</v>
      </c>
      <c r="HKR50" s="365">
        <v>0.5</v>
      </c>
      <c r="HKS50" s="366" t="e">
        <f>10/HKO48</f>
        <v>#DIV/0!</v>
      </c>
      <c r="HKT50" s="367">
        <v>15.38</v>
      </c>
      <c r="HKU50" s="367" t="e">
        <f>HKR50*HKS50*HKT50</f>
        <v>#DIV/0!</v>
      </c>
      <c r="HKV50" s="363" t="s">
        <v>153</v>
      </c>
      <c r="HKW50" s="363"/>
      <c r="HKX50" s="363"/>
      <c r="HKY50" s="364" t="s">
        <v>140</v>
      </c>
      <c r="HKZ50" s="365">
        <v>0.5</v>
      </c>
      <c r="HLA50" s="366" t="e">
        <f>10/HKW48</f>
        <v>#DIV/0!</v>
      </c>
      <c r="HLB50" s="367">
        <v>15.38</v>
      </c>
      <c r="HLC50" s="367" t="e">
        <f>HKZ50*HLA50*HLB50</f>
        <v>#DIV/0!</v>
      </c>
      <c r="HLD50" s="363" t="s">
        <v>153</v>
      </c>
      <c r="HLE50" s="363"/>
      <c r="HLF50" s="363"/>
      <c r="HLG50" s="364" t="s">
        <v>140</v>
      </c>
      <c r="HLH50" s="365">
        <v>0.5</v>
      </c>
      <c r="HLI50" s="366" t="e">
        <f>10/HLE48</f>
        <v>#DIV/0!</v>
      </c>
      <c r="HLJ50" s="367">
        <v>15.38</v>
      </c>
      <c r="HLK50" s="367" t="e">
        <f>HLH50*HLI50*HLJ50</f>
        <v>#DIV/0!</v>
      </c>
      <c r="HLL50" s="363" t="s">
        <v>153</v>
      </c>
      <c r="HLM50" s="363"/>
      <c r="HLN50" s="363"/>
      <c r="HLO50" s="364" t="s">
        <v>140</v>
      </c>
      <c r="HLP50" s="365">
        <v>0.5</v>
      </c>
      <c r="HLQ50" s="366" t="e">
        <f>10/HLM48</f>
        <v>#DIV/0!</v>
      </c>
      <c r="HLR50" s="367">
        <v>15.38</v>
      </c>
      <c r="HLS50" s="367" t="e">
        <f>HLP50*HLQ50*HLR50</f>
        <v>#DIV/0!</v>
      </c>
      <c r="HLT50" s="363" t="s">
        <v>153</v>
      </c>
      <c r="HLU50" s="363"/>
      <c r="HLV50" s="363"/>
      <c r="HLW50" s="364" t="s">
        <v>140</v>
      </c>
      <c r="HLX50" s="365">
        <v>0.5</v>
      </c>
      <c r="HLY50" s="366" t="e">
        <f>10/HLU48</f>
        <v>#DIV/0!</v>
      </c>
      <c r="HLZ50" s="367">
        <v>15.38</v>
      </c>
      <c r="HMA50" s="367" t="e">
        <f>HLX50*HLY50*HLZ50</f>
        <v>#DIV/0!</v>
      </c>
      <c r="HMB50" s="363" t="s">
        <v>153</v>
      </c>
      <c r="HMC50" s="363"/>
      <c r="HMD50" s="363"/>
      <c r="HME50" s="364" t="s">
        <v>140</v>
      </c>
      <c r="HMF50" s="365">
        <v>0.5</v>
      </c>
      <c r="HMG50" s="366" t="e">
        <f>10/HMC48</f>
        <v>#DIV/0!</v>
      </c>
      <c r="HMH50" s="367">
        <v>15.38</v>
      </c>
      <c r="HMI50" s="367" t="e">
        <f>HMF50*HMG50*HMH50</f>
        <v>#DIV/0!</v>
      </c>
      <c r="HMJ50" s="363" t="s">
        <v>153</v>
      </c>
      <c r="HMK50" s="363"/>
      <c r="HML50" s="363"/>
      <c r="HMM50" s="364" t="s">
        <v>140</v>
      </c>
      <c r="HMN50" s="365">
        <v>0.5</v>
      </c>
      <c r="HMO50" s="366" t="e">
        <f>10/HMK48</f>
        <v>#DIV/0!</v>
      </c>
      <c r="HMP50" s="367">
        <v>15.38</v>
      </c>
      <c r="HMQ50" s="367" t="e">
        <f>HMN50*HMO50*HMP50</f>
        <v>#DIV/0!</v>
      </c>
      <c r="HMR50" s="363" t="s">
        <v>153</v>
      </c>
      <c r="HMS50" s="363"/>
      <c r="HMT50" s="363"/>
      <c r="HMU50" s="364" t="s">
        <v>140</v>
      </c>
      <c r="HMV50" s="365">
        <v>0.5</v>
      </c>
      <c r="HMW50" s="366" t="e">
        <f>10/HMS48</f>
        <v>#DIV/0!</v>
      </c>
      <c r="HMX50" s="367">
        <v>15.38</v>
      </c>
      <c r="HMY50" s="367" t="e">
        <f>HMV50*HMW50*HMX50</f>
        <v>#DIV/0!</v>
      </c>
      <c r="HMZ50" s="363" t="s">
        <v>153</v>
      </c>
      <c r="HNA50" s="363"/>
      <c r="HNB50" s="363"/>
      <c r="HNC50" s="364" t="s">
        <v>140</v>
      </c>
      <c r="HND50" s="365">
        <v>0.5</v>
      </c>
      <c r="HNE50" s="366" t="e">
        <f>10/HNA48</f>
        <v>#DIV/0!</v>
      </c>
      <c r="HNF50" s="367">
        <v>15.38</v>
      </c>
      <c r="HNG50" s="367" t="e">
        <f>HND50*HNE50*HNF50</f>
        <v>#DIV/0!</v>
      </c>
      <c r="HNH50" s="363" t="s">
        <v>153</v>
      </c>
      <c r="HNI50" s="363"/>
      <c r="HNJ50" s="363"/>
      <c r="HNK50" s="364" t="s">
        <v>140</v>
      </c>
      <c r="HNL50" s="365">
        <v>0.5</v>
      </c>
      <c r="HNM50" s="366" t="e">
        <f>10/HNI48</f>
        <v>#DIV/0!</v>
      </c>
      <c r="HNN50" s="367">
        <v>15.38</v>
      </c>
      <c r="HNO50" s="367" t="e">
        <f>HNL50*HNM50*HNN50</f>
        <v>#DIV/0!</v>
      </c>
      <c r="HNP50" s="363" t="s">
        <v>153</v>
      </c>
      <c r="HNQ50" s="363"/>
      <c r="HNR50" s="363"/>
      <c r="HNS50" s="364" t="s">
        <v>140</v>
      </c>
      <c r="HNT50" s="365">
        <v>0.5</v>
      </c>
      <c r="HNU50" s="366" t="e">
        <f>10/HNQ48</f>
        <v>#DIV/0!</v>
      </c>
      <c r="HNV50" s="367">
        <v>15.38</v>
      </c>
      <c r="HNW50" s="367" t="e">
        <f>HNT50*HNU50*HNV50</f>
        <v>#DIV/0!</v>
      </c>
      <c r="HNX50" s="363" t="s">
        <v>153</v>
      </c>
      <c r="HNY50" s="363"/>
      <c r="HNZ50" s="363"/>
      <c r="HOA50" s="364" t="s">
        <v>140</v>
      </c>
      <c r="HOB50" s="365">
        <v>0.5</v>
      </c>
      <c r="HOC50" s="366" t="e">
        <f>10/HNY48</f>
        <v>#DIV/0!</v>
      </c>
      <c r="HOD50" s="367">
        <v>15.38</v>
      </c>
      <c r="HOE50" s="367" t="e">
        <f>HOB50*HOC50*HOD50</f>
        <v>#DIV/0!</v>
      </c>
      <c r="HOF50" s="363" t="s">
        <v>153</v>
      </c>
      <c r="HOG50" s="363"/>
      <c r="HOH50" s="363"/>
      <c r="HOI50" s="364" t="s">
        <v>140</v>
      </c>
      <c r="HOJ50" s="365">
        <v>0.5</v>
      </c>
      <c r="HOK50" s="366" t="e">
        <f>10/HOG48</f>
        <v>#DIV/0!</v>
      </c>
      <c r="HOL50" s="367">
        <v>15.38</v>
      </c>
      <c r="HOM50" s="367" t="e">
        <f>HOJ50*HOK50*HOL50</f>
        <v>#DIV/0!</v>
      </c>
      <c r="HON50" s="363" t="s">
        <v>153</v>
      </c>
      <c r="HOO50" s="363"/>
      <c r="HOP50" s="363"/>
      <c r="HOQ50" s="364" t="s">
        <v>140</v>
      </c>
      <c r="HOR50" s="365">
        <v>0.5</v>
      </c>
      <c r="HOS50" s="366" t="e">
        <f>10/HOO48</f>
        <v>#DIV/0!</v>
      </c>
      <c r="HOT50" s="367">
        <v>15.38</v>
      </c>
      <c r="HOU50" s="367" t="e">
        <f>HOR50*HOS50*HOT50</f>
        <v>#DIV/0!</v>
      </c>
      <c r="HOV50" s="363" t="s">
        <v>153</v>
      </c>
      <c r="HOW50" s="363"/>
      <c r="HOX50" s="363"/>
      <c r="HOY50" s="364" t="s">
        <v>140</v>
      </c>
      <c r="HOZ50" s="365">
        <v>0.5</v>
      </c>
      <c r="HPA50" s="366" t="e">
        <f>10/HOW48</f>
        <v>#DIV/0!</v>
      </c>
      <c r="HPB50" s="367">
        <v>15.38</v>
      </c>
      <c r="HPC50" s="367" t="e">
        <f>HOZ50*HPA50*HPB50</f>
        <v>#DIV/0!</v>
      </c>
      <c r="HPD50" s="363" t="s">
        <v>153</v>
      </c>
      <c r="HPE50" s="363"/>
      <c r="HPF50" s="363"/>
      <c r="HPG50" s="364" t="s">
        <v>140</v>
      </c>
      <c r="HPH50" s="365">
        <v>0.5</v>
      </c>
      <c r="HPI50" s="366" t="e">
        <f>10/HPE48</f>
        <v>#DIV/0!</v>
      </c>
      <c r="HPJ50" s="367">
        <v>15.38</v>
      </c>
      <c r="HPK50" s="367" t="e">
        <f>HPH50*HPI50*HPJ50</f>
        <v>#DIV/0!</v>
      </c>
      <c r="HPL50" s="363" t="s">
        <v>153</v>
      </c>
      <c r="HPM50" s="363"/>
      <c r="HPN50" s="363"/>
      <c r="HPO50" s="364" t="s">
        <v>140</v>
      </c>
      <c r="HPP50" s="365">
        <v>0.5</v>
      </c>
      <c r="HPQ50" s="366" t="e">
        <f>10/HPM48</f>
        <v>#DIV/0!</v>
      </c>
      <c r="HPR50" s="367">
        <v>15.38</v>
      </c>
      <c r="HPS50" s="367" t="e">
        <f>HPP50*HPQ50*HPR50</f>
        <v>#DIV/0!</v>
      </c>
      <c r="HPT50" s="363" t="s">
        <v>153</v>
      </c>
      <c r="HPU50" s="363"/>
      <c r="HPV50" s="363"/>
      <c r="HPW50" s="364" t="s">
        <v>140</v>
      </c>
      <c r="HPX50" s="365">
        <v>0.5</v>
      </c>
      <c r="HPY50" s="366" t="e">
        <f>10/HPU48</f>
        <v>#DIV/0!</v>
      </c>
      <c r="HPZ50" s="367">
        <v>15.38</v>
      </c>
      <c r="HQA50" s="367" t="e">
        <f>HPX50*HPY50*HPZ50</f>
        <v>#DIV/0!</v>
      </c>
      <c r="HQB50" s="363" t="s">
        <v>153</v>
      </c>
      <c r="HQC50" s="363"/>
      <c r="HQD50" s="363"/>
      <c r="HQE50" s="364" t="s">
        <v>140</v>
      </c>
      <c r="HQF50" s="365">
        <v>0.5</v>
      </c>
      <c r="HQG50" s="366" t="e">
        <f>10/HQC48</f>
        <v>#DIV/0!</v>
      </c>
      <c r="HQH50" s="367">
        <v>15.38</v>
      </c>
      <c r="HQI50" s="367" t="e">
        <f>HQF50*HQG50*HQH50</f>
        <v>#DIV/0!</v>
      </c>
      <c r="HQJ50" s="363" t="s">
        <v>153</v>
      </c>
      <c r="HQK50" s="363"/>
      <c r="HQL50" s="363"/>
      <c r="HQM50" s="364" t="s">
        <v>140</v>
      </c>
      <c r="HQN50" s="365">
        <v>0.5</v>
      </c>
      <c r="HQO50" s="366" t="e">
        <f>10/HQK48</f>
        <v>#DIV/0!</v>
      </c>
      <c r="HQP50" s="367">
        <v>15.38</v>
      </c>
      <c r="HQQ50" s="367" t="e">
        <f>HQN50*HQO50*HQP50</f>
        <v>#DIV/0!</v>
      </c>
      <c r="HQR50" s="363" t="s">
        <v>153</v>
      </c>
      <c r="HQS50" s="363"/>
      <c r="HQT50" s="363"/>
      <c r="HQU50" s="364" t="s">
        <v>140</v>
      </c>
      <c r="HQV50" s="365">
        <v>0.5</v>
      </c>
      <c r="HQW50" s="366" t="e">
        <f>10/HQS48</f>
        <v>#DIV/0!</v>
      </c>
      <c r="HQX50" s="367">
        <v>15.38</v>
      </c>
      <c r="HQY50" s="367" t="e">
        <f>HQV50*HQW50*HQX50</f>
        <v>#DIV/0!</v>
      </c>
      <c r="HQZ50" s="363" t="s">
        <v>153</v>
      </c>
      <c r="HRA50" s="363"/>
      <c r="HRB50" s="363"/>
      <c r="HRC50" s="364" t="s">
        <v>140</v>
      </c>
      <c r="HRD50" s="365">
        <v>0.5</v>
      </c>
      <c r="HRE50" s="366" t="e">
        <f>10/HRA48</f>
        <v>#DIV/0!</v>
      </c>
      <c r="HRF50" s="367">
        <v>15.38</v>
      </c>
      <c r="HRG50" s="367" t="e">
        <f>HRD50*HRE50*HRF50</f>
        <v>#DIV/0!</v>
      </c>
      <c r="HRH50" s="363" t="s">
        <v>153</v>
      </c>
      <c r="HRI50" s="363"/>
      <c r="HRJ50" s="363"/>
      <c r="HRK50" s="364" t="s">
        <v>140</v>
      </c>
      <c r="HRL50" s="365">
        <v>0.5</v>
      </c>
      <c r="HRM50" s="366" t="e">
        <f>10/HRI48</f>
        <v>#DIV/0!</v>
      </c>
      <c r="HRN50" s="367">
        <v>15.38</v>
      </c>
      <c r="HRO50" s="367" t="e">
        <f>HRL50*HRM50*HRN50</f>
        <v>#DIV/0!</v>
      </c>
      <c r="HRP50" s="363" t="s">
        <v>153</v>
      </c>
      <c r="HRQ50" s="363"/>
      <c r="HRR50" s="363"/>
      <c r="HRS50" s="364" t="s">
        <v>140</v>
      </c>
      <c r="HRT50" s="365">
        <v>0.5</v>
      </c>
      <c r="HRU50" s="366" t="e">
        <f>10/HRQ48</f>
        <v>#DIV/0!</v>
      </c>
      <c r="HRV50" s="367">
        <v>15.38</v>
      </c>
      <c r="HRW50" s="367" t="e">
        <f>HRT50*HRU50*HRV50</f>
        <v>#DIV/0!</v>
      </c>
      <c r="HRX50" s="363" t="s">
        <v>153</v>
      </c>
      <c r="HRY50" s="363"/>
      <c r="HRZ50" s="363"/>
      <c r="HSA50" s="364" t="s">
        <v>140</v>
      </c>
      <c r="HSB50" s="365">
        <v>0.5</v>
      </c>
      <c r="HSC50" s="366" t="e">
        <f>10/HRY48</f>
        <v>#DIV/0!</v>
      </c>
      <c r="HSD50" s="367">
        <v>15.38</v>
      </c>
      <c r="HSE50" s="367" t="e">
        <f>HSB50*HSC50*HSD50</f>
        <v>#DIV/0!</v>
      </c>
      <c r="HSF50" s="363" t="s">
        <v>153</v>
      </c>
      <c r="HSG50" s="363"/>
      <c r="HSH50" s="363"/>
      <c r="HSI50" s="364" t="s">
        <v>140</v>
      </c>
      <c r="HSJ50" s="365">
        <v>0.5</v>
      </c>
      <c r="HSK50" s="366" t="e">
        <f>10/HSG48</f>
        <v>#DIV/0!</v>
      </c>
      <c r="HSL50" s="367">
        <v>15.38</v>
      </c>
      <c r="HSM50" s="367" t="e">
        <f>HSJ50*HSK50*HSL50</f>
        <v>#DIV/0!</v>
      </c>
      <c r="HSN50" s="363" t="s">
        <v>153</v>
      </c>
      <c r="HSO50" s="363"/>
      <c r="HSP50" s="363"/>
      <c r="HSQ50" s="364" t="s">
        <v>140</v>
      </c>
      <c r="HSR50" s="365">
        <v>0.5</v>
      </c>
      <c r="HSS50" s="366" t="e">
        <f>10/HSO48</f>
        <v>#DIV/0!</v>
      </c>
      <c r="HST50" s="367">
        <v>15.38</v>
      </c>
      <c r="HSU50" s="367" t="e">
        <f>HSR50*HSS50*HST50</f>
        <v>#DIV/0!</v>
      </c>
      <c r="HSV50" s="363" t="s">
        <v>153</v>
      </c>
      <c r="HSW50" s="363"/>
      <c r="HSX50" s="363"/>
      <c r="HSY50" s="364" t="s">
        <v>140</v>
      </c>
      <c r="HSZ50" s="365">
        <v>0.5</v>
      </c>
      <c r="HTA50" s="366" t="e">
        <f>10/HSW48</f>
        <v>#DIV/0!</v>
      </c>
      <c r="HTB50" s="367">
        <v>15.38</v>
      </c>
      <c r="HTC50" s="367" t="e">
        <f>HSZ50*HTA50*HTB50</f>
        <v>#DIV/0!</v>
      </c>
      <c r="HTD50" s="363" t="s">
        <v>153</v>
      </c>
      <c r="HTE50" s="363"/>
      <c r="HTF50" s="363"/>
      <c r="HTG50" s="364" t="s">
        <v>140</v>
      </c>
      <c r="HTH50" s="365">
        <v>0.5</v>
      </c>
      <c r="HTI50" s="366" t="e">
        <f>10/HTE48</f>
        <v>#DIV/0!</v>
      </c>
      <c r="HTJ50" s="367">
        <v>15.38</v>
      </c>
      <c r="HTK50" s="367" t="e">
        <f>HTH50*HTI50*HTJ50</f>
        <v>#DIV/0!</v>
      </c>
      <c r="HTL50" s="363" t="s">
        <v>153</v>
      </c>
      <c r="HTM50" s="363"/>
      <c r="HTN50" s="363"/>
      <c r="HTO50" s="364" t="s">
        <v>140</v>
      </c>
      <c r="HTP50" s="365">
        <v>0.5</v>
      </c>
      <c r="HTQ50" s="366" t="e">
        <f>10/HTM48</f>
        <v>#DIV/0!</v>
      </c>
      <c r="HTR50" s="367">
        <v>15.38</v>
      </c>
      <c r="HTS50" s="367" t="e">
        <f>HTP50*HTQ50*HTR50</f>
        <v>#DIV/0!</v>
      </c>
      <c r="HTT50" s="363" t="s">
        <v>153</v>
      </c>
      <c r="HTU50" s="363"/>
      <c r="HTV50" s="363"/>
      <c r="HTW50" s="364" t="s">
        <v>140</v>
      </c>
      <c r="HTX50" s="365">
        <v>0.5</v>
      </c>
      <c r="HTY50" s="366" t="e">
        <f>10/HTU48</f>
        <v>#DIV/0!</v>
      </c>
      <c r="HTZ50" s="367">
        <v>15.38</v>
      </c>
      <c r="HUA50" s="367" t="e">
        <f>HTX50*HTY50*HTZ50</f>
        <v>#DIV/0!</v>
      </c>
      <c r="HUB50" s="363" t="s">
        <v>153</v>
      </c>
      <c r="HUC50" s="363"/>
      <c r="HUD50" s="363"/>
      <c r="HUE50" s="364" t="s">
        <v>140</v>
      </c>
      <c r="HUF50" s="365">
        <v>0.5</v>
      </c>
      <c r="HUG50" s="366" t="e">
        <f>10/HUC48</f>
        <v>#DIV/0!</v>
      </c>
      <c r="HUH50" s="367">
        <v>15.38</v>
      </c>
      <c r="HUI50" s="367" t="e">
        <f>HUF50*HUG50*HUH50</f>
        <v>#DIV/0!</v>
      </c>
      <c r="HUJ50" s="363" t="s">
        <v>153</v>
      </c>
      <c r="HUK50" s="363"/>
      <c r="HUL50" s="363"/>
      <c r="HUM50" s="364" t="s">
        <v>140</v>
      </c>
      <c r="HUN50" s="365">
        <v>0.5</v>
      </c>
      <c r="HUO50" s="366" t="e">
        <f>10/HUK48</f>
        <v>#DIV/0!</v>
      </c>
      <c r="HUP50" s="367">
        <v>15.38</v>
      </c>
      <c r="HUQ50" s="367" t="e">
        <f>HUN50*HUO50*HUP50</f>
        <v>#DIV/0!</v>
      </c>
      <c r="HUR50" s="363" t="s">
        <v>153</v>
      </c>
      <c r="HUS50" s="363"/>
      <c r="HUT50" s="363"/>
      <c r="HUU50" s="364" t="s">
        <v>140</v>
      </c>
      <c r="HUV50" s="365">
        <v>0.5</v>
      </c>
      <c r="HUW50" s="366" t="e">
        <f>10/HUS48</f>
        <v>#DIV/0!</v>
      </c>
      <c r="HUX50" s="367">
        <v>15.38</v>
      </c>
      <c r="HUY50" s="367" t="e">
        <f>HUV50*HUW50*HUX50</f>
        <v>#DIV/0!</v>
      </c>
      <c r="HUZ50" s="363" t="s">
        <v>153</v>
      </c>
      <c r="HVA50" s="363"/>
      <c r="HVB50" s="363"/>
      <c r="HVC50" s="364" t="s">
        <v>140</v>
      </c>
      <c r="HVD50" s="365">
        <v>0.5</v>
      </c>
      <c r="HVE50" s="366" t="e">
        <f>10/HVA48</f>
        <v>#DIV/0!</v>
      </c>
      <c r="HVF50" s="367">
        <v>15.38</v>
      </c>
      <c r="HVG50" s="367" t="e">
        <f>HVD50*HVE50*HVF50</f>
        <v>#DIV/0!</v>
      </c>
      <c r="HVH50" s="363" t="s">
        <v>153</v>
      </c>
      <c r="HVI50" s="363"/>
      <c r="HVJ50" s="363"/>
      <c r="HVK50" s="364" t="s">
        <v>140</v>
      </c>
      <c r="HVL50" s="365">
        <v>0.5</v>
      </c>
      <c r="HVM50" s="366" t="e">
        <f>10/HVI48</f>
        <v>#DIV/0!</v>
      </c>
      <c r="HVN50" s="367">
        <v>15.38</v>
      </c>
      <c r="HVO50" s="367" t="e">
        <f>HVL50*HVM50*HVN50</f>
        <v>#DIV/0!</v>
      </c>
      <c r="HVP50" s="363" t="s">
        <v>153</v>
      </c>
      <c r="HVQ50" s="363"/>
      <c r="HVR50" s="363"/>
      <c r="HVS50" s="364" t="s">
        <v>140</v>
      </c>
      <c r="HVT50" s="365">
        <v>0.5</v>
      </c>
      <c r="HVU50" s="366" t="e">
        <f>10/HVQ48</f>
        <v>#DIV/0!</v>
      </c>
      <c r="HVV50" s="367">
        <v>15.38</v>
      </c>
      <c r="HVW50" s="367" t="e">
        <f>HVT50*HVU50*HVV50</f>
        <v>#DIV/0!</v>
      </c>
      <c r="HVX50" s="363" t="s">
        <v>153</v>
      </c>
      <c r="HVY50" s="363"/>
      <c r="HVZ50" s="363"/>
      <c r="HWA50" s="364" t="s">
        <v>140</v>
      </c>
      <c r="HWB50" s="365">
        <v>0.5</v>
      </c>
      <c r="HWC50" s="366" t="e">
        <f>10/HVY48</f>
        <v>#DIV/0!</v>
      </c>
      <c r="HWD50" s="367">
        <v>15.38</v>
      </c>
      <c r="HWE50" s="367" t="e">
        <f>HWB50*HWC50*HWD50</f>
        <v>#DIV/0!</v>
      </c>
      <c r="HWF50" s="363" t="s">
        <v>153</v>
      </c>
      <c r="HWG50" s="363"/>
      <c r="HWH50" s="363"/>
      <c r="HWI50" s="364" t="s">
        <v>140</v>
      </c>
      <c r="HWJ50" s="365">
        <v>0.5</v>
      </c>
      <c r="HWK50" s="366" t="e">
        <f>10/HWG48</f>
        <v>#DIV/0!</v>
      </c>
      <c r="HWL50" s="367">
        <v>15.38</v>
      </c>
      <c r="HWM50" s="367" t="e">
        <f>HWJ50*HWK50*HWL50</f>
        <v>#DIV/0!</v>
      </c>
      <c r="HWN50" s="363" t="s">
        <v>153</v>
      </c>
      <c r="HWO50" s="363"/>
      <c r="HWP50" s="363"/>
      <c r="HWQ50" s="364" t="s">
        <v>140</v>
      </c>
      <c r="HWR50" s="365">
        <v>0.5</v>
      </c>
      <c r="HWS50" s="366" t="e">
        <f>10/HWO48</f>
        <v>#DIV/0!</v>
      </c>
      <c r="HWT50" s="367">
        <v>15.38</v>
      </c>
      <c r="HWU50" s="367" t="e">
        <f>HWR50*HWS50*HWT50</f>
        <v>#DIV/0!</v>
      </c>
      <c r="HWV50" s="363" t="s">
        <v>153</v>
      </c>
      <c r="HWW50" s="363"/>
      <c r="HWX50" s="363"/>
      <c r="HWY50" s="364" t="s">
        <v>140</v>
      </c>
      <c r="HWZ50" s="365">
        <v>0.5</v>
      </c>
      <c r="HXA50" s="366" t="e">
        <f>10/HWW48</f>
        <v>#DIV/0!</v>
      </c>
      <c r="HXB50" s="367">
        <v>15.38</v>
      </c>
      <c r="HXC50" s="367" t="e">
        <f>HWZ50*HXA50*HXB50</f>
        <v>#DIV/0!</v>
      </c>
      <c r="HXD50" s="363" t="s">
        <v>153</v>
      </c>
      <c r="HXE50" s="363"/>
      <c r="HXF50" s="363"/>
      <c r="HXG50" s="364" t="s">
        <v>140</v>
      </c>
      <c r="HXH50" s="365">
        <v>0.5</v>
      </c>
      <c r="HXI50" s="366" t="e">
        <f>10/HXE48</f>
        <v>#DIV/0!</v>
      </c>
      <c r="HXJ50" s="367">
        <v>15.38</v>
      </c>
      <c r="HXK50" s="367" t="e">
        <f>HXH50*HXI50*HXJ50</f>
        <v>#DIV/0!</v>
      </c>
      <c r="HXL50" s="363" t="s">
        <v>153</v>
      </c>
      <c r="HXM50" s="363"/>
      <c r="HXN50" s="363"/>
      <c r="HXO50" s="364" t="s">
        <v>140</v>
      </c>
      <c r="HXP50" s="365">
        <v>0.5</v>
      </c>
      <c r="HXQ50" s="366" t="e">
        <f>10/HXM48</f>
        <v>#DIV/0!</v>
      </c>
      <c r="HXR50" s="367">
        <v>15.38</v>
      </c>
      <c r="HXS50" s="367" t="e">
        <f>HXP50*HXQ50*HXR50</f>
        <v>#DIV/0!</v>
      </c>
      <c r="HXT50" s="363" t="s">
        <v>153</v>
      </c>
      <c r="HXU50" s="363"/>
      <c r="HXV50" s="363"/>
      <c r="HXW50" s="364" t="s">
        <v>140</v>
      </c>
      <c r="HXX50" s="365">
        <v>0.5</v>
      </c>
      <c r="HXY50" s="366" t="e">
        <f>10/HXU48</f>
        <v>#DIV/0!</v>
      </c>
      <c r="HXZ50" s="367">
        <v>15.38</v>
      </c>
      <c r="HYA50" s="367" t="e">
        <f>HXX50*HXY50*HXZ50</f>
        <v>#DIV/0!</v>
      </c>
      <c r="HYB50" s="363" t="s">
        <v>153</v>
      </c>
      <c r="HYC50" s="363"/>
      <c r="HYD50" s="363"/>
      <c r="HYE50" s="364" t="s">
        <v>140</v>
      </c>
      <c r="HYF50" s="365">
        <v>0.5</v>
      </c>
      <c r="HYG50" s="366" t="e">
        <f>10/HYC48</f>
        <v>#DIV/0!</v>
      </c>
      <c r="HYH50" s="367">
        <v>15.38</v>
      </c>
      <c r="HYI50" s="367" t="e">
        <f>HYF50*HYG50*HYH50</f>
        <v>#DIV/0!</v>
      </c>
      <c r="HYJ50" s="363" t="s">
        <v>153</v>
      </c>
      <c r="HYK50" s="363"/>
      <c r="HYL50" s="363"/>
      <c r="HYM50" s="364" t="s">
        <v>140</v>
      </c>
      <c r="HYN50" s="365">
        <v>0.5</v>
      </c>
      <c r="HYO50" s="366" t="e">
        <f>10/HYK48</f>
        <v>#DIV/0!</v>
      </c>
      <c r="HYP50" s="367">
        <v>15.38</v>
      </c>
      <c r="HYQ50" s="367" t="e">
        <f>HYN50*HYO50*HYP50</f>
        <v>#DIV/0!</v>
      </c>
      <c r="HYR50" s="363" t="s">
        <v>153</v>
      </c>
      <c r="HYS50" s="363"/>
      <c r="HYT50" s="363"/>
      <c r="HYU50" s="364" t="s">
        <v>140</v>
      </c>
      <c r="HYV50" s="365">
        <v>0.5</v>
      </c>
      <c r="HYW50" s="366" t="e">
        <f>10/HYS48</f>
        <v>#DIV/0!</v>
      </c>
      <c r="HYX50" s="367">
        <v>15.38</v>
      </c>
      <c r="HYY50" s="367" t="e">
        <f>HYV50*HYW50*HYX50</f>
        <v>#DIV/0!</v>
      </c>
      <c r="HYZ50" s="363" t="s">
        <v>153</v>
      </c>
      <c r="HZA50" s="363"/>
      <c r="HZB50" s="363"/>
      <c r="HZC50" s="364" t="s">
        <v>140</v>
      </c>
      <c r="HZD50" s="365">
        <v>0.5</v>
      </c>
      <c r="HZE50" s="366" t="e">
        <f>10/HZA48</f>
        <v>#DIV/0!</v>
      </c>
      <c r="HZF50" s="367">
        <v>15.38</v>
      </c>
      <c r="HZG50" s="367" t="e">
        <f>HZD50*HZE50*HZF50</f>
        <v>#DIV/0!</v>
      </c>
      <c r="HZH50" s="363" t="s">
        <v>153</v>
      </c>
      <c r="HZI50" s="363"/>
      <c r="HZJ50" s="363"/>
      <c r="HZK50" s="364" t="s">
        <v>140</v>
      </c>
      <c r="HZL50" s="365">
        <v>0.5</v>
      </c>
      <c r="HZM50" s="366" t="e">
        <f>10/HZI48</f>
        <v>#DIV/0!</v>
      </c>
      <c r="HZN50" s="367">
        <v>15.38</v>
      </c>
      <c r="HZO50" s="367" t="e">
        <f>HZL50*HZM50*HZN50</f>
        <v>#DIV/0!</v>
      </c>
      <c r="HZP50" s="363" t="s">
        <v>153</v>
      </c>
      <c r="HZQ50" s="363"/>
      <c r="HZR50" s="363"/>
      <c r="HZS50" s="364" t="s">
        <v>140</v>
      </c>
      <c r="HZT50" s="365">
        <v>0.5</v>
      </c>
      <c r="HZU50" s="366" t="e">
        <f>10/HZQ48</f>
        <v>#DIV/0!</v>
      </c>
      <c r="HZV50" s="367">
        <v>15.38</v>
      </c>
      <c r="HZW50" s="367" t="e">
        <f>HZT50*HZU50*HZV50</f>
        <v>#DIV/0!</v>
      </c>
      <c r="HZX50" s="363" t="s">
        <v>153</v>
      </c>
      <c r="HZY50" s="363"/>
      <c r="HZZ50" s="363"/>
      <c r="IAA50" s="364" t="s">
        <v>140</v>
      </c>
      <c r="IAB50" s="365">
        <v>0.5</v>
      </c>
      <c r="IAC50" s="366" t="e">
        <f>10/HZY48</f>
        <v>#DIV/0!</v>
      </c>
      <c r="IAD50" s="367">
        <v>15.38</v>
      </c>
      <c r="IAE50" s="367" t="e">
        <f>IAB50*IAC50*IAD50</f>
        <v>#DIV/0!</v>
      </c>
      <c r="IAF50" s="363" t="s">
        <v>153</v>
      </c>
      <c r="IAG50" s="363"/>
      <c r="IAH50" s="363"/>
      <c r="IAI50" s="364" t="s">
        <v>140</v>
      </c>
      <c r="IAJ50" s="365">
        <v>0.5</v>
      </c>
      <c r="IAK50" s="366" t="e">
        <f>10/IAG48</f>
        <v>#DIV/0!</v>
      </c>
      <c r="IAL50" s="367">
        <v>15.38</v>
      </c>
      <c r="IAM50" s="367" t="e">
        <f>IAJ50*IAK50*IAL50</f>
        <v>#DIV/0!</v>
      </c>
      <c r="IAN50" s="363" t="s">
        <v>153</v>
      </c>
      <c r="IAO50" s="363"/>
      <c r="IAP50" s="363"/>
      <c r="IAQ50" s="364" t="s">
        <v>140</v>
      </c>
      <c r="IAR50" s="365">
        <v>0.5</v>
      </c>
      <c r="IAS50" s="366" t="e">
        <f>10/IAO48</f>
        <v>#DIV/0!</v>
      </c>
      <c r="IAT50" s="367">
        <v>15.38</v>
      </c>
      <c r="IAU50" s="367" t="e">
        <f>IAR50*IAS50*IAT50</f>
        <v>#DIV/0!</v>
      </c>
      <c r="IAV50" s="363" t="s">
        <v>153</v>
      </c>
      <c r="IAW50" s="363"/>
      <c r="IAX50" s="363"/>
      <c r="IAY50" s="364" t="s">
        <v>140</v>
      </c>
      <c r="IAZ50" s="365">
        <v>0.5</v>
      </c>
      <c r="IBA50" s="366" t="e">
        <f>10/IAW48</f>
        <v>#DIV/0!</v>
      </c>
      <c r="IBB50" s="367">
        <v>15.38</v>
      </c>
      <c r="IBC50" s="367" t="e">
        <f>IAZ50*IBA50*IBB50</f>
        <v>#DIV/0!</v>
      </c>
      <c r="IBD50" s="363" t="s">
        <v>153</v>
      </c>
      <c r="IBE50" s="363"/>
      <c r="IBF50" s="363"/>
      <c r="IBG50" s="364" t="s">
        <v>140</v>
      </c>
      <c r="IBH50" s="365">
        <v>0.5</v>
      </c>
      <c r="IBI50" s="366" t="e">
        <f>10/IBE48</f>
        <v>#DIV/0!</v>
      </c>
      <c r="IBJ50" s="367">
        <v>15.38</v>
      </c>
      <c r="IBK50" s="367" t="e">
        <f>IBH50*IBI50*IBJ50</f>
        <v>#DIV/0!</v>
      </c>
      <c r="IBL50" s="363" t="s">
        <v>153</v>
      </c>
      <c r="IBM50" s="363"/>
      <c r="IBN50" s="363"/>
      <c r="IBO50" s="364" t="s">
        <v>140</v>
      </c>
      <c r="IBP50" s="365">
        <v>0.5</v>
      </c>
      <c r="IBQ50" s="366" t="e">
        <f>10/IBM48</f>
        <v>#DIV/0!</v>
      </c>
      <c r="IBR50" s="367">
        <v>15.38</v>
      </c>
      <c r="IBS50" s="367" t="e">
        <f>IBP50*IBQ50*IBR50</f>
        <v>#DIV/0!</v>
      </c>
      <c r="IBT50" s="363" t="s">
        <v>153</v>
      </c>
      <c r="IBU50" s="363"/>
      <c r="IBV50" s="363"/>
      <c r="IBW50" s="364" t="s">
        <v>140</v>
      </c>
      <c r="IBX50" s="365">
        <v>0.5</v>
      </c>
      <c r="IBY50" s="366" t="e">
        <f>10/IBU48</f>
        <v>#DIV/0!</v>
      </c>
      <c r="IBZ50" s="367">
        <v>15.38</v>
      </c>
      <c r="ICA50" s="367" t="e">
        <f>IBX50*IBY50*IBZ50</f>
        <v>#DIV/0!</v>
      </c>
      <c r="ICB50" s="363" t="s">
        <v>153</v>
      </c>
      <c r="ICC50" s="363"/>
      <c r="ICD50" s="363"/>
      <c r="ICE50" s="364" t="s">
        <v>140</v>
      </c>
      <c r="ICF50" s="365">
        <v>0.5</v>
      </c>
      <c r="ICG50" s="366" t="e">
        <f>10/ICC48</f>
        <v>#DIV/0!</v>
      </c>
      <c r="ICH50" s="367">
        <v>15.38</v>
      </c>
      <c r="ICI50" s="367" t="e">
        <f>ICF50*ICG50*ICH50</f>
        <v>#DIV/0!</v>
      </c>
      <c r="ICJ50" s="363" t="s">
        <v>153</v>
      </c>
      <c r="ICK50" s="363"/>
      <c r="ICL50" s="363"/>
      <c r="ICM50" s="364" t="s">
        <v>140</v>
      </c>
      <c r="ICN50" s="365">
        <v>0.5</v>
      </c>
      <c r="ICO50" s="366" t="e">
        <f>10/ICK48</f>
        <v>#DIV/0!</v>
      </c>
      <c r="ICP50" s="367">
        <v>15.38</v>
      </c>
      <c r="ICQ50" s="367" t="e">
        <f>ICN50*ICO50*ICP50</f>
        <v>#DIV/0!</v>
      </c>
      <c r="ICR50" s="363" t="s">
        <v>153</v>
      </c>
      <c r="ICS50" s="363"/>
      <c r="ICT50" s="363"/>
      <c r="ICU50" s="364" t="s">
        <v>140</v>
      </c>
      <c r="ICV50" s="365">
        <v>0.5</v>
      </c>
      <c r="ICW50" s="366" t="e">
        <f>10/ICS48</f>
        <v>#DIV/0!</v>
      </c>
      <c r="ICX50" s="367">
        <v>15.38</v>
      </c>
      <c r="ICY50" s="367" t="e">
        <f>ICV50*ICW50*ICX50</f>
        <v>#DIV/0!</v>
      </c>
      <c r="ICZ50" s="363" t="s">
        <v>153</v>
      </c>
      <c r="IDA50" s="363"/>
      <c r="IDB50" s="363"/>
      <c r="IDC50" s="364" t="s">
        <v>140</v>
      </c>
      <c r="IDD50" s="365">
        <v>0.5</v>
      </c>
      <c r="IDE50" s="366" t="e">
        <f>10/IDA48</f>
        <v>#DIV/0!</v>
      </c>
      <c r="IDF50" s="367">
        <v>15.38</v>
      </c>
      <c r="IDG50" s="367" t="e">
        <f>IDD50*IDE50*IDF50</f>
        <v>#DIV/0!</v>
      </c>
      <c r="IDH50" s="363" t="s">
        <v>153</v>
      </c>
      <c r="IDI50" s="363"/>
      <c r="IDJ50" s="363"/>
      <c r="IDK50" s="364" t="s">
        <v>140</v>
      </c>
      <c r="IDL50" s="365">
        <v>0.5</v>
      </c>
      <c r="IDM50" s="366" t="e">
        <f>10/IDI48</f>
        <v>#DIV/0!</v>
      </c>
      <c r="IDN50" s="367">
        <v>15.38</v>
      </c>
      <c r="IDO50" s="367" t="e">
        <f>IDL50*IDM50*IDN50</f>
        <v>#DIV/0!</v>
      </c>
      <c r="IDP50" s="363" t="s">
        <v>153</v>
      </c>
      <c r="IDQ50" s="363"/>
      <c r="IDR50" s="363"/>
      <c r="IDS50" s="364" t="s">
        <v>140</v>
      </c>
      <c r="IDT50" s="365">
        <v>0.5</v>
      </c>
      <c r="IDU50" s="366" t="e">
        <f>10/IDQ48</f>
        <v>#DIV/0!</v>
      </c>
      <c r="IDV50" s="367">
        <v>15.38</v>
      </c>
      <c r="IDW50" s="367" t="e">
        <f>IDT50*IDU50*IDV50</f>
        <v>#DIV/0!</v>
      </c>
      <c r="IDX50" s="363" t="s">
        <v>153</v>
      </c>
      <c r="IDY50" s="363"/>
      <c r="IDZ50" s="363"/>
      <c r="IEA50" s="364" t="s">
        <v>140</v>
      </c>
      <c r="IEB50" s="365">
        <v>0.5</v>
      </c>
      <c r="IEC50" s="366" t="e">
        <f>10/IDY48</f>
        <v>#DIV/0!</v>
      </c>
      <c r="IED50" s="367">
        <v>15.38</v>
      </c>
      <c r="IEE50" s="367" t="e">
        <f>IEB50*IEC50*IED50</f>
        <v>#DIV/0!</v>
      </c>
      <c r="IEF50" s="363" t="s">
        <v>153</v>
      </c>
      <c r="IEG50" s="363"/>
      <c r="IEH50" s="363"/>
      <c r="IEI50" s="364" t="s">
        <v>140</v>
      </c>
      <c r="IEJ50" s="365">
        <v>0.5</v>
      </c>
      <c r="IEK50" s="366" t="e">
        <f>10/IEG48</f>
        <v>#DIV/0!</v>
      </c>
      <c r="IEL50" s="367">
        <v>15.38</v>
      </c>
      <c r="IEM50" s="367" t="e">
        <f>IEJ50*IEK50*IEL50</f>
        <v>#DIV/0!</v>
      </c>
      <c r="IEN50" s="363" t="s">
        <v>153</v>
      </c>
      <c r="IEO50" s="363"/>
      <c r="IEP50" s="363"/>
      <c r="IEQ50" s="364" t="s">
        <v>140</v>
      </c>
      <c r="IER50" s="365">
        <v>0.5</v>
      </c>
      <c r="IES50" s="366" t="e">
        <f>10/IEO48</f>
        <v>#DIV/0!</v>
      </c>
      <c r="IET50" s="367">
        <v>15.38</v>
      </c>
      <c r="IEU50" s="367" t="e">
        <f>IER50*IES50*IET50</f>
        <v>#DIV/0!</v>
      </c>
      <c r="IEV50" s="363" t="s">
        <v>153</v>
      </c>
      <c r="IEW50" s="363"/>
      <c r="IEX50" s="363"/>
      <c r="IEY50" s="364" t="s">
        <v>140</v>
      </c>
      <c r="IEZ50" s="365">
        <v>0.5</v>
      </c>
      <c r="IFA50" s="366" t="e">
        <f>10/IEW48</f>
        <v>#DIV/0!</v>
      </c>
      <c r="IFB50" s="367">
        <v>15.38</v>
      </c>
      <c r="IFC50" s="367" t="e">
        <f>IEZ50*IFA50*IFB50</f>
        <v>#DIV/0!</v>
      </c>
      <c r="IFD50" s="363" t="s">
        <v>153</v>
      </c>
      <c r="IFE50" s="363"/>
      <c r="IFF50" s="363"/>
      <c r="IFG50" s="364" t="s">
        <v>140</v>
      </c>
      <c r="IFH50" s="365">
        <v>0.5</v>
      </c>
      <c r="IFI50" s="366" t="e">
        <f>10/IFE48</f>
        <v>#DIV/0!</v>
      </c>
      <c r="IFJ50" s="367">
        <v>15.38</v>
      </c>
      <c r="IFK50" s="367" t="e">
        <f>IFH50*IFI50*IFJ50</f>
        <v>#DIV/0!</v>
      </c>
      <c r="IFL50" s="363" t="s">
        <v>153</v>
      </c>
      <c r="IFM50" s="363"/>
      <c r="IFN50" s="363"/>
      <c r="IFO50" s="364" t="s">
        <v>140</v>
      </c>
      <c r="IFP50" s="365">
        <v>0.5</v>
      </c>
      <c r="IFQ50" s="366" t="e">
        <f>10/IFM48</f>
        <v>#DIV/0!</v>
      </c>
      <c r="IFR50" s="367">
        <v>15.38</v>
      </c>
      <c r="IFS50" s="367" t="e">
        <f>IFP50*IFQ50*IFR50</f>
        <v>#DIV/0!</v>
      </c>
      <c r="IFT50" s="363" t="s">
        <v>153</v>
      </c>
      <c r="IFU50" s="363"/>
      <c r="IFV50" s="363"/>
      <c r="IFW50" s="364" t="s">
        <v>140</v>
      </c>
      <c r="IFX50" s="365">
        <v>0.5</v>
      </c>
      <c r="IFY50" s="366" t="e">
        <f>10/IFU48</f>
        <v>#DIV/0!</v>
      </c>
      <c r="IFZ50" s="367">
        <v>15.38</v>
      </c>
      <c r="IGA50" s="367" t="e">
        <f>IFX50*IFY50*IFZ50</f>
        <v>#DIV/0!</v>
      </c>
      <c r="IGB50" s="363" t="s">
        <v>153</v>
      </c>
      <c r="IGC50" s="363"/>
      <c r="IGD50" s="363"/>
      <c r="IGE50" s="364" t="s">
        <v>140</v>
      </c>
      <c r="IGF50" s="365">
        <v>0.5</v>
      </c>
      <c r="IGG50" s="366" t="e">
        <f>10/IGC48</f>
        <v>#DIV/0!</v>
      </c>
      <c r="IGH50" s="367">
        <v>15.38</v>
      </c>
      <c r="IGI50" s="367" t="e">
        <f>IGF50*IGG50*IGH50</f>
        <v>#DIV/0!</v>
      </c>
      <c r="IGJ50" s="363" t="s">
        <v>153</v>
      </c>
      <c r="IGK50" s="363"/>
      <c r="IGL50" s="363"/>
      <c r="IGM50" s="364" t="s">
        <v>140</v>
      </c>
      <c r="IGN50" s="365">
        <v>0.5</v>
      </c>
      <c r="IGO50" s="366" t="e">
        <f>10/IGK48</f>
        <v>#DIV/0!</v>
      </c>
      <c r="IGP50" s="367">
        <v>15.38</v>
      </c>
      <c r="IGQ50" s="367" t="e">
        <f>IGN50*IGO50*IGP50</f>
        <v>#DIV/0!</v>
      </c>
      <c r="IGR50" s="363" t="s">
        <v>153</v>
      </c>
      <c r="IGS50" s="363"/>
      <c r="IGT50" s="363"/>
      <c r="IGU50" s="364" t="s">
        <v>140</v>
      </c>
      <c r="IGV50" s="365">
        <v>0.5</v>
      </c>
      <c r="IGW50" s="366" t="e">
        <f>10/IGS48</f>
        <v>#DIV/0!</v>
      </c>
      <c r="IGX50" s="367">
        <v>15.38</v>
      </c>
      <c r="IGY50" s="367" t="e">
        <f>IGV50*IGW50*IGX50</f>
        <v>#DIV/0!</v>
      </c>
      <c r="IGZ50" s="363" t="s">
        <v>153</v>
      </c>
      <c r="IHA50" s="363"/>
      <c r="IHB50" s="363"/>
      <c r="IHC50" s="364" t="s">
        <v>140</v>
      </c>
      <c r="IHD50" s="365">
        <v>0.5</v>
      </c>
      <c r="IHE50" s="366" t="e">
        <f>10/IHA48</f>
        <v>#DIV/0!</v>
      </c>
      <c r="IHF50" s="367">
        <v>15.38</v>
      </c>
      <c r="IHG50" s="367" t="e">
        <f>IHD50*IHE50*IHF50</f>
        <v>#DIV/0!</v>
      </c>
      <c r="IHH50" s="363" t="s">
        <v>153</v>
      </c>
      <c r="IHI50" s="363"/>
      <c r="IHJ50" s="363"/>
      <c r="IHK50" s="364" t="s">
        <v>140</v>
      </c>
      <c r="IHL50" s="365">
        <v>0.5</v>
      </c>
      <c r="IHM50" s="366" t="e">
        <f>10/IHI48</f>
        <v>#DIV/0!</v>
      </c>
      <c r="IHN50" s="367">
        <v>15.38</v>
      </c>
      <c r="IHO50" s="367" t="e">
        <f>IHL50*IHM50*IHN50</f>
        <v>#DIV/0!</v>
      </c>
      <c r="IHP50" s="363" t="s">
        <v>153</v>
      </c>
      <c r="IHQ50" s="363"/>
      <c r="IHR50" s="363"/>
      <c r="IHS50" s="364" t="s">
        <v>140</v>
      </c>
      <c r="IHT50" s="365">
        <v>0.5</v>
      </c>
      <c r="IHU50" s="366" t="e">
        <f>10/IHQ48</f>
        <v>#DIV/0!</v>
      </c>
      <c r="IHV50" s="367">
        <v>15.38</v>
      </c>
      <c r="IHW50" s="367" t="e">
        <f>IHT50*IHU50*IHV50</f>
        <v>#DIV/0!</v>
      </c>
      <c r="IHX50" s="363" t="s">
        <v>153</v>
      </c>
      <c r="IHY50" s="363"/>
      <c r="IHZ50" s="363"/>
      <c r="IIA50" s="364" t="s">
        <v>140</v>
      </c>
      <c r="IIB50" s="365">
        <v>0.5</v>
      </c>
      <c r="IIC50" s="366" t="e">
        <f>10/IHY48</f>
        <v>#DIV/0!</v>
      </c>
      <c r="IID50" s="367">
        <v>15.38</v>
      </c>
      <c r="IIE50" s="367" t="e">
        <f>IIB50*IIC50*IID50</f>
        <v>#DIV/0!</v>
      </c>
      <c r="IIF50" s="363" t="s">
        <v>153</v>
      </c>
      <c r="IIG50" s="363"/>
      <c r="IIH50" s="363"/>
      <c r="III50" s="364" t="s">
        <v>140</v>
      </c>
      <c r="IIJ50" s="365">
        <v>0.5</v>
      </c>
      <c r="IIK50" s="366" t="e">
        <f>10/IIG48</f>
        <v>#DIV/0!</v>
      </c>
      <c r="IIL50" s="367">
        <v>15.38</v>
      </c>
      <c r="IIM50" s="367" t="e">
        <f>IIJ50*IIK50*IIL50</f>
        <v>#DIV/0!</v>
      </c>
      <c r="IIN50" s="363" t="s">
        <v>153</v>
      </c>
      <c r="IIO50" s="363"/>
      <c r="IIP50" s="363"/>
      <c r="IIQ50" s="364" t="s">
        <v>140</v>
      </c>
      <c r="IIR50" s="365">
        <v>0.5</v>
      </c>
      <c r="IIS50" s="366" t="e">
        <f>10/IIO48</f>
        <v>#DIV/0!</v>
      </c>
      <c r="IIT50" s="367">
        <v>15.38</v>
      </c>
      <c r="IIU50" s="367" t="e">
        <f>IIR50*IIS50*IIT50</f>
        <v>#DIV/0!</v>
      </c>
      <c r="IIV50" s="363" t="s">
        <v>153</v>
      </c>
      <c r="IIW50" s="363"/>
      <c r="IIX50" s="363"/>
      <c r="IIY50" s="364" t="s">
        <v>140</v>
      </c>
      <c r="IIZ50" s="365">
        <v>0.5</v>
      </c>
      <c r="IJA50" s="366" t="e">
        <f>10/IIW48</f>
        <v>#DIV/0!</v>
      </c>
      <c r="IJB50" s="367">
        <v>15.38</v>
      </c>
      <c r="IJC50" s="367" t="e">
        <f>IIZ50*IJA50*IJB50</f>
        <v>#DIV/0!</v>
      </c>
      <c r="IJD50" s="363" t="s">
        <v>153</v>
      </c>
      <c r="IJE50" s="363"/>
      <c r="IJF50" s="363"/>
      <c r="IJG50" s="364" t="s">
        <v>140</v>
      </c>
      <c r="IJH50" s="365">
        <v>0.5</v>
      </c>
      <c r="IJI50" s="366" t="e">
        <f>10/IJE48</f>
        <v>#DIV/0!</v>
      </c>
      <c r="IJJ50" s="367">
        <v>15.38</v>
      </c>
      <c r="IJK50" s="367" t="e">
        <f>IJH50*IJI50*IJJ50</f>
        <v>#DIV/0!</v>
      </c>
      <c r="IJL50" s="363" t="s">
        <v>153</v>
      </c>
      <c r="IJM50" s="363"/>
      <c r="IJN50" s="363"/>
      <c r="IJO50" s="364" t="s">
        <v>140</v>
      </c>
      <c r="IJP50" s="365">
        <v>0.5</v>
      </c>
      <c r="IJQ50" s="366" t="e">
        <f>10/IJM48</f>
        <v>#DIV/0!</v>
      </c>
      <c r="IJR50" s="367">
        <v>15.38</v>
      </c>
      <c r="IJS50" s="367" t="e">
        <f>IJP50*IJQ50*IJR50</f>
        <v>#DIV/0!</v>
      </c>
      <c r="IJT50" s="363" t="s">
        <v>153</v>
      </c>
      <c r="IJU50" s="363"/>
      <c r="IJV50" s="363"/>
      <c r="IJW50" s="364" t="s">
        <v>140</v>
      </c>
      <c r="IJX50" s="365">
        <v>0.5</v>
      </c>
      <c r="IJY50" s="366" t="e">
        <f>10/IJU48</f>
        <v>#DIV/0!</v>
      </c>
      <c r="IJZ50" s="367">
        <v>15.38</v>
      </c>
      <c r="IKA50" s="367" t="e">
        <f>IJX50*IJY50*IJZ50</f>
        <v>#DIV/0!</v>
      </c>
      <c r="IKB50" s="363" t="s">
        <v>153</v>
      </c>
      <c r="IKC50" s="363"/>
      <c r="IKD50" s="363"/>
      <c r="IKE50" s="364" t="s">
        <v>140</v>
      </c>
      <c r="IKF50" s="365">
        <v>0.5</v>
      </c>
      <c r="IKG50" s="366" t="e">
        <f>10/IKC48</f>
        <v>#DIV/0!</v>
      </c>
      <c r="IKH50" s="367">
        <v>15.38</v>
      </c>
      <c r="IKI50" s="367" t="e">
        <f>IKF50*IKG50*IKH50</f>
        <v>#DIV/0!</v>
      </c>
      <c r="IKJ50" s="363" t="s">
        <v>153</v>
      </c>
      <c r="IKK50" s="363"/>
      <c r="IKL50" s="363"/>
      <c r="IKM50" s="364" t="s">
        <v>140</v>
      </c>
      <c r="IKN50" s="365">
        <v>0.5</v>
      </c>
      <c r="IKO50" s="366" t="e">
        <f>10/IKK48</f>
        <v>#DIV/0!</v>
      </c>
      <c r="IKP50" s="367">
        <v>15.38</v>
      </c>
      <c r="IKQ50" s="367" t="e">
        <f>IKN50*IKO50*IKP50</f>
        <v>#DIV/0!</v>
      </c>
      <c r="IKR50" s="363" t="s">
        <v>153</v>
      </c>
      <c r="IKS50" s="363"/>
      <c r="IKT50" s="363"/>
      <c r="IKU50" s="364" t="s">
        <v>140</v>
      </c>
      <c r="IKV50" s="365">
        <v>0.5</v>
      </c>
      <c r="IKW50" s="366" t="e">
        <f>10/IKS48</f>
        <v>#DIV/0!</v>
      </c>
      <c r="IKX50" s="367">
        <v>15.38</v>
      </c>
      <c r="IKY50" s="367" t="e">
        <f>IKV50*IKW50*IKX50</f>
        <v>#DIV/0!</v>
      </c>
      <c r="IKZ50" s="363" t="s">
        <v>153</v>
      </c>
      <c r="ILA50" s="363"/>
      <c r="ILB50" s="363"/>
      <c r="ILC50" s="364" t="s">
        <v>140</v>
      </c>
      <c r="ILD50" s="365">
        <v>0.5</v>
      </c>
      <c r="ILE50" s="366" t="e">
        <f>10/ILA48</f>
        <v>#DIV/0!</v>
      </c>
      <c r="ILF50" s="367">
        <v>15.38</v>
      </c>
      <c r="ILG50" s="367" t="e">
        <f>ILD50*ILE50*ILF50</f>
        <v>#DIV/0!</v>
      </c>
      <c r="ILH50" s="363" t="s">
        <v>153</v>
      </c>
      <c r="ILI50" s="363"/>
      <c r="ILJ50" s="363"/>
      <c r="ILK50" s="364" t="s">
        <v>140</v>
      </c>
      <c r="ILL50" s="365">
        <v>0.5</v>
      </c>
      <c r="ILM50" s="366" t="e">
        <f>10/ILI48</f>
        <v>#DIV/0!</v>
      </c>
      <c r="ILN50" s="367">
        <v>15.38</v>
      </c>
      <c r="ILO50" s="367" t="e">
        <f>ILL50*ILM50*ILN50</f>
        <v>#DIV/0!</v>
      </c>
      <c r="ILP50" s="363" t="s">
        <v>153</v>
      </c>
      <c r="ILQ50" s="363"/>
      <c r="ILR50" s="363"/>
      <c r="ILS50" s="364" t="s">
        <v>140</v>
      </c>
      <c r="ILT50" s="365">
        <v>0.5</v>
      </c>
      <c r="ILU50" s="366" t="e">
        <f>10/ILQ48</f>
        <v>#DIV/0!</v>
      </c>
      <c r="ILV50" s="367">
        <v>15.38</v>
      </c>
      <c r="ILW50" s="367" t="e">
        <f>ILT50*ILU50*ILV50</f>
        <v>#DIV/0!</v>
      </c>
      <c r="ILX50" s="363" t="s">
        <v>153</v>
      </c>
      <c r="ILY50" s="363"/>
      <c r="ILZ50" s="363"/>
      <c r="IMA50" s="364" t="s">
        <v>140</v>
      </c>
      <c r="IMB50" s="365">
        <v>0.5</v>
      </c>
      <c r="IMC50" s="366" t="e">
        <f>10/ILY48</f>
        <v>#DIV/0!</v>
      </c>
      <c r="IMD50" s="367">
        <v>15.38</v>
      </c>
      <c r="IME50" s="367" t="e">
        <f>IMB50*IMC50*IMD50</f>
        <v>#DIV/0!</v>
      </c>
      <c r="IMF50" s="363" t="s">
        <v>153</v>
      </c>
      <c r="IMG50" s="363"/>
      <c r="IMH50" s="363"/>
      <c r="IMI50" s="364" t="s">
        <v>140</v>
      </c>
      <c r="IMJ50" s="365">
        <v>0.5</v>
      </c>
      <c r="IMK50" s="366" t="e">
        <f>10/IMG48</f>
        <v>#DIV/0!</v>
      </c>
      <c r="IML50" s="367">
        <v>15.38</v>
      </c>
      <c r="IMM50" s="367" t="e">
        <f>IMJ50*IMK50*IML50</f>
        <v>#DIV/0!</v>
      </c>
      <c r="IMN50" s="363" t="s">
        <v>153</v>
      </c>
      <c r="IMO50" s="363"/>
      <c r="IMP50" s="363"/>
      <c r="IMQ50" s="364" t="s">
        <v>140</v>
      </c>
      <c r="IMR50" s="365">
        <v>0.5</v>
      </c>
      <c r="IMS50" s="366" t="e">
        <f>10/IMO48</f>
        <v>#DIV/0!</v>
      </c>
      <c r="IMT50" s="367">
        <v>15.38</v>
      </c>
      <c r="IMU50" s="367" t="e">
        <f>IMR50*IMS50*IMT50</f>
        <v>#DIV/0!</v>
      </c>
      <c r="IMV50" s="363" t="s">
        <v>153</v>
      </c>
      <c r="IMW50" s="363"/>
      <c r="IMX50" s="363"/>
      <c r="IMY50" s="364" t="s">
        <v>140</v>
      </c>
      <c r="IMZ50" s="365">
        <v>0.5</v>
      </c>
      <c r="INA50" s="366" t="e">
        <f>10/IMW48</f>
        <v>#DIV/0!</v>
      </c>
      <c r="INB50" s="367">
        <v>15.38</v>
      </c>
      <c r="INC50" s="367" t="e">
        <f>IMZ50*INA50*INB50</f>
        <v>#DIV/0!</v>
      </c>
      <c r="IND50" s="363" t="s">
        <v>153</v>
      </c>
      <c r="INE50" s="363"/>
      <c r="INF50" s="363"/>
      <c r="ING50" s="364" t="s">
        <v>140</v>
      </c>
      <c r="INH50" s="365">
        <v>0.5</v>
      </c>
      <c r="INI50" s="366" t="e">
        <f>10/INE48</f>
        <v>#DIV/0!</v>
      </c>
      <c r="INJ50" s="367">
        <v>15.38</v>
      </c>
      <c r="INK50" s="367" t="e">
        <f>INH50*INI50*INJ50</f>
        <v>#DIV/0!</v>
      </c>
      <c r="INL50" s="363" t="s">
        <v>153</v>
      </c>
      <c r="INM50" s="363"/>
      <c r="INN50" s="363"/>
      <c r="INO50" s="364" t="s">
        <v>140</v>
      </c>
      <c r="INP50" s="365">
        <v>0.5</v>
      </c>
      <c r="INQ50" s="366" t="e">
        <f>10/INM48</f>
        <v>#DIV/0!</v>
      </c>
      <c r="INR50" s="367">
        <v>15.38</v>
      </c>
      <c r="INS50" s="367" t="e">
        <f>INP50*INQ50*INR50</f>
        <v>#DIV/0!</v>
      </c>
      <c r="INT50" s="363" t="s">
        <v>153</v>
      </c>
      <c r="INU50" s="363"/>
      <c r="INV50" s="363"/>
      <c r="INW50" s="364" t="s">
        <v>140</v>
      </c>
      <c r="INX50" s="365">
        <v>0.5</v>
      </c>
      <c r="INY50" s="366" t="e">
        <f>10/INU48</f>
        <v>#DIV/0!</v>
      </c>
      <c r="INZ50" s="367">
        <v>15.38</v>
      </c>
      <c r="IOA50" s="367" t="e">
        <f>INX50*INY50*INZ50</f>
        <v>#DIV/0!</v>
      </c>
      <c r="IOB50" s="363" t="s">
        <v>153</v>
      </c>
      <c r="IOC50" s="363"/>
      <c r="IOD50" s="363"/>
      <c r="IOE50" s="364" t="s">
        <v>140</v>
      </c>
      <c r="IOF50" s="365">
        <v>0.5</v>
      </c>
      <c r="IOG50" s="366" t="e">
        <f>10/IOC48</f>
        <v>#DIV/0!</v>
      </c>
      <c r="IOH50" s="367">
        <v>15.38</v>
      </c>
      <c r="IOI50" s="367" t="e">
        <f>IOF50*IOG50*IOH50</f>
        <v>#DIV/0!</v>
      </c>
      <c r="IOJ50" s="363" t="s">
        <v>153</v>
      </c>
      <c r="IOK50" s="363"/>
      <c r="IOL50" s="363"/>
      <c r="IOM50" s="364" t="s">
        <v>140</v>
      </c>
      <c r="ION50" s="365">
        <v>0.5</v>
      </c>
      <c r="IOO50" s="366" t="e">
        <f>10/IOK48</f>
        <v>#DIV/0!</v>
      </c>
      <c r="IOP50" s="367">
        <v>15.38</v>
      </c>
      <c r="IOQ50" s="367" t="e">
        <f>ION50*IOO50*IOP50</f>
        <v>#DIV/0!</v>
      </c>
      <c r="IOR50" s="363" t="s">
        <v>153</v>
      </c>
      <c r="IOS50" s="363"/>
      <c r="IOT50" s="363"/>
      <c r="IOU50" s="364" t="s">
        <v>140</v>
      </c>
      <c r="IOV50" s="365">
        <v>0.5</v>
      </c>
      <c r="IOW50" s="366" t="e">
        <f>10/IOS48</f>
        <v>#DIV/0!</v>
      </c>
      <c r="IOX50" s="367">
        <v>15.38</v>
      </c>
      <c r="IOY50" s="367" t="e">
        <f>IOV50*IOW50*IOX50</f>
        <v>#DIV/0!</v>
      </c>
      <c r="IOZ50" s="363" t="s">
        <v>153</v>
      </c>
      <c r="IPA50" s="363"/>
      <c r="IPB50" s="363"/>
      <c r="IPC50" s="364" t="s">
        <v>140</v>
      </c>
      <c r="IPD50" s="365">
        <v>0.5</v>
      </c>
      <c r="IPE50" s="366" t="e">
        <f>10/IPA48</f>
        <v>#DIV/0!</v>
      </c>
      <c r="IPF50" s="367">
        <v>15.38</v>
      </c>
      <c r="IPG50" s="367" t="e">
        <f>IPD50*IPE50*IPF50</f>
        <v>#DIV/0!</v>
      </c>
      <c r="IPH50" s="363" t="s">
        <v>153</v>
      </c>
      <c r="IPI50" s="363"/>
      <c r="IPJ50" s="363"/>
      <c r="IPK50" s="364" t="s">
        <v>140</v>
      </c>
      <c r="IPL50" s="365">
        <v>0.5</v>
      </c>
      <c r="IPM50" s="366" t="e">
        <f>10/IPI48</f>
        <v>#DIV/0!</v>
      </c>
      <c r="IPN50" s="367">
        <v>15.38</v>
      </c>
      <c r="IPO50" s="367" t="e">
        <f>IPL50*IPM50*IPN50</f>
        <v>#DIV/0!</v>
      </c>
      <c r="IPP50" s="363" t="s">
        <v>153</v>
      </c>
      <c r="IPQ50" s="363"/>
      <c r="IPR50" s="363"/>
      <c r="IPS50" s="364" t="s">
        <v>140</v>
      </c>
      <c r="IPT50" s="365">
        <v>0.5</v>
      </c>
      <c r="IPU50" s="366" t="e">
        <f>10/IPQ48</f>
        <v>#DIV/0!</v>
      </c>
      <c r="IPV50" s="367">
        <v>15.38</v>
      </c>
      <c r="IPW50" s="367" t="e">
        <f>IPT50*IPU50*IPV50</f>
        <v>#DIV/0!</v>
      </c>
      <c r="IPX50" s="363" t="s">
        <v>153</v>
      </c>
      <c r="IPY50" s="363"/>
      <c r="IPZ50" s="363"/>
      <c r="IQA50" s="364" t="s">
        <v>140</v>
      </c>
      <c r="IQB50" s="365">
        <v>0.5</v>
      </c>
      <c r="IQC50" s="366" t="e">
        <f>10/IPY48</f>
        <v>#DIV/0!</v>
      </c>
      <c r="IQD50" s="367">
        <v>15.38</v>
      </c>
      <c r="IQE50" s="367" t="e">
        <f>IQB50*IQC50*IQD50</f>
        <v>#DIV/0!</v>
      </c>
      <c r="IQF50" s="363" t="s">
        <v>153</v>
      </c>
      <c r="IQG50" s="363"/>
      <c r="IQH50" s="363"/>
      <c r="IQI50" s="364" t="s">
        <v>140</v>
      </c>
      <c r="IQJ50" s="365">
        <v>0.5</v>
      </c>
      <c r="IQK50" s="366" t="e">
        <f>10/IQG48</f>
        <v>#DIV/0!</v>
      </c>
      <c r="IQL50" s="367">
        <v>15.38</v>
      </c>
      <c r="IQM50" s="367" t="e">
        <f>IQJ50*IQK50*IQL50</f>
        <v>#DIV/0!</v>
      </c>
      <c r="IQN50" s="363" t="s">
        <v>153</v>
      </c>
      <c r="IQO50" s="363"/>
      <c r="IQP50" s="363"/>
      <c r="IQQ50" s="364" t="s">
        <v>140</v>
      </c>
      <c r="IQR50" s="365">
        <v>0.5</v>
      </c>
      <c r="IQS50" s="366" t="e">
        <f>10/IQO48</f>
        <v>#DIV/0!</v>
      </c>
      <c r="IQT50" s="367">
        <v>15.38</v>
      </c>
      <c r="IQU50" s="367" t="e">
        <f>IQR50*IQS50*IQT50</f>
        <v>#DIV/0!</v>
      </c>
      <c r="IQV50" s="363" t="s">
        <v>153</v>
      </c>
      <c r="IQW50" s="363"/>
      <c r="IQX50" s="363"/>
      <c r="IQY50" s="364" t="s">
        <v>140</v>
      </c>
      <c r="IQZ50" s="365">
        <v>0.5</v>
      </c>
      <c r="IRA50" s="366" t="e">
        <f>10/IQW48</f>
        <v>#DIV/0!</v>
      </c>
      <c r="IRB50" s="367">
        <v>15.38</v>
      </c>
      <c r="IRC50" s="367" t="e">
        <f>IQZ50*IRA50*IRB50</f>
        <v>#DIV/0!</v>
      </c>
      <c r="IRD50" s="363" t="s">
        <v>153</v>
      </c>
      <c r="IRE50" s="363"/>
      <c r="IRF50" s="363"/>
      <c r="IRG50" s="364" t="s">
        <v>140</v>
      </c>
      <c r="IRH50" s="365">
        <v>0.5</v>
      </c>
      <c r="IRI50" s="366" t="e">
        <f>10/IRE48</f>
        <v>#DIV/0!</v>
      </c>
      <c r="IRJ50" s="367">
        <v>15.38</v>
      </c>
      <c r="IRK50" s="367" t="e">
        <f>IRH50*IRI50*IRJ50</f>
        <v>#DIV/0!</v>
      </c>
      <c r="IRL50" s="363" t="s">
        <v>153</v>
      </c>
      <c r="IRM50" s="363"/>
      <c r="IRN50" s="363"/>
      <c r="IRO50" s="364" t="s">
        <v>140</v>
      </c>
      <c r="IRP50" s="365">
        <v>0.5</v>
      </c>
      <c r="IRQ50" s="366" t="e">
        <f>10/IRM48</f>
        <v>#DIV/0!</v>
      </c>
      <c r="IRR50" s="367">
        <v>15.38</v>
      </c>
      <c r="IRS50" s="367" t="e">
        <f>IRP50*IRQ50*IRR50</f>
        <v>#DIV/0!</v>
      </c>
      <c r="IRT50" s="363" t="s">
        <v>153</v>
      </c>
      <c r="IRU50" s="363"/>
      <c r="IRV50" s="363"/>
      <c r="IRW50" s="364" t="s">
        <v>140</v>
      </c>
      <c r="IRX50" s="365">
        <v>0.5</v>
      </c>
      <c r="IRY50" s="366" t="e">
        <f>10/IRU48</f>
        <v>#DIV/0!</v>
      </c>
      <c r="IRZ50" s="367">
        <v>15.38</v>
      </c>
      <c r="ISA50" s="367" t="e">
        <f>IRX50*IRY50*IRZ50</f>
        <v>#DIV/0!</v>
      </c>
      <c r="ISB50" s="363" t="s">
        <v>153</v>
      </c>
      <c r="ISC50" s="363"/>
      <c r="ISD50" s="363"/>
      <c r="ISE50" s="364" t="s">
        <v>140</v>
      </c>
      <c r="ISF50" s="365">
        <v>0.5</v>
      </c>
      <c r="ISG50" s="366" t="e">
        <f>10/ISC48</f>
        <v>#DIV/0!</v>
      </c>
      <c r="ISH50" s="367">
        <v>15.38</v>
      </c>
      <c r="ISI50" s="367" t="e">
        <f>ISF50*ISG50*ISH50</f>
        <v>#DIV/0!</v>
      </c>
      <c r="ISJ50" s="363" t="s">
        <v>153</v>
      </c>
      <c r="ISK50" s="363"/>
      <c r="ISL50" s="363"/>
      <c r="ISM50" s="364" t="s">
        <v>140</v>
      </c>
      <c r="ISN50" s="365">
        <v>0.5</v>
      </c>
      <c r="ISO50" s="366" t="e">
        <f>10/ISK48</f>
        <v>#DIV/0!</v>
      </c>
      <c r="ISP50" s="367">
        <v>15.38</v>
      </c>
      <c r="ISQ50" s="367" t="e">
        <f>ISN50*ISO50*ISP50</f>
        <v>#DIV/0!</v>
      </c>
      <c r="ISR50" s="363" t="s">
        <v>153</v>
      </c>
      <c r="ISS50" s="363"/>
      <c r="IST50" s="363"/>
      <c r="ISU50" s="364" t="s">
        <v>140</v>
      </c>
      <c r="ISV50" s="365">
        <v>0.5</v>
      </c>
      <c r="ISW50" s="366" t="e">
        <f>10/ISS48</f>
        <v>#DIV/0!</v>
      </c>
      <c r="ISX50" s="367">
        <v>15.38</v>
      </c>
      <c r="ISY50" s="367" t="e">
        <f>ISV50*ISW50*ISX50</f>
        <v>#DIV/0!</v>
      </c>
      <c r="ISZ50" s="363" t="s">
        <v>153</v>
      </c>
      <c r="ITA50" s="363"/>
      <c r="ITB50" s="363"/>
      <c r="ITC50" s="364" t="s">
        <v>140</v>
      </c>
      <c r="ITD50" s="365">
        <v>0.5</v>
      </c>
      <c r="ITE50" s="366" t="e">
        <f>10/ITA48</f>
        <v>#DIV/0!</v>
      </c>
      <c r="ITF50" s="367">
        <v>15.38</v>
      </c>
      <c r="ITG50" s="367" t="e">
        <f>ITD50*ITE50*ITF50</f>
        <v>#DIV/0!</v>
      </c>
      <c r="ITH50" s="363" t="s">
        <v>153</v>
      </c>
      <c r="ITI50" s="363"/>
      <c r="ITJ50" s="363"/>
      <c r="ITK50" s="364" t="s">
        <v>140</v>
      </c>
      <c r="ITL50" s="365">
        <v>0.5</v>
      </c>
      <c r="ITM50" s="366" t="e">
        <f>10/ITI48</f>
        <v>#DIV/0!</v>
      </c>
      <c r="ITN50" s="367">
        <v>15.38</v>
      </c>
      <c r="ITO50" s="367" t="e">
        <f>ITL50*ITM50*ITN50</f>
        <v>#DIV/0!</v>
      </c>
      <c r="ITP50" s="363" t="s">
        <v>153</v>
      </c>
      <c r="ITQ50" s="363"/>
      <c r="ITR50" s="363"/>
      <c r="ITS50" s="364" t="s">
        <v>140</v>
      </c>
      <c r="ITT50" s="365">
        <v>0.5</v>
      </c>
      <c r="ITU50" s="366" t="e">
        <f>10/ITQ48</f>
        <v>#DIV/0!</v>
      </c>
      <c r="ITV50" s="367">
        <v>15.38</v>
      </c>
      <c r="ITW50" s="367" t="e">
        <f>ITT50*ITU50*ITV50</f>
        <v>#DIV/0!</v>
      </c>
      <c r="ITX50" s="363" t="s">
        <v>153</v>
      </c>
      <c r="ITY50" s="363"/>
      <c r="ITZ50" s="363"/>
      <c r="IUA50" s="364" t="s">
        <v>140</v>
      </c>
      <c r="IUB50" s="365">
        <v>0.5</v>
      </c>
      <c r="IUC50" s="366" t="e">
        <f>10/ITY48</f>
        <v>#DIV/0!</v>
      </c>
      <c r="IUD50" s="367">
        <v>15.38</v>
      </c>
      <c r="IUE50" s="367" t="e">
        <f>IUB50*IUC50*IUD50</f>
        <v>#DIV/0!</v>
      </c>
      <c r="IUF50" s="363" t="s">
        <v>153</v>
      </c>
      <c r="IUG50" s="363"/>
      <c r="IUH50" s="363"/>
      <c r="IUI50" s="364" t="s">
        <v>140</v>
      </c>
      <c r="IUJ50" s="365">
        <v>0.5</v>
      </c>
      <c r="IUK50" s="366" t="e">
        <f>10/IUG48</f>
        <v>#DIV/0!</v>
      </c>
      <c r="IUL50" s="367">
        <v>15.38</v>
      </c>
      <c r="IUM50" s="367" t="e">
        <f>IUJ50*IUK50*IUL50</f>
        <v>#DIV/0!</v>
      </c>
      <c r="IUN50" s="363" t="s">
        <v>153</v>
      </c>
      <c r="IUO50" s="363"/>
      <c r="IUP50" s="363"/>
      <c r="IUQ50" s="364" t="s">
        <v>140</v>
      </c>
      <c r="IUR50" s="365">
        <v>0.5</v>
      </c>
      <c r="IUS50" s="366" t="e">
        <f>10/IUO48</f>
        <v>#DIV/0!</v>
      </c>
      <c r="IUT50" s="367">
        <v>15.38</v>
      </c>
      <c r="IUU50" s="367" t="e">
        <f>IUR50*IUS50*IUT50</f>
        <v>#DIV/0!</v>
      </c>
      <c r="IUV50" s="363" t="s">
        <v>153</v>
      </c>
      <c r="IUW50" s="363"/>
      <c r="IUX50" s="363"/>
      <c r="IUY50" s="364" t="s">
        <v>140</v>
      </c>
      <c r="IUZ50" s="365">
        <v>0.5</v>
      </c>
      <c r="IVA50" s="366" t="e">
        <f>10/IUW48</f>
        <v>#DIV/0!</v>
      </c>
      <c r="IVB50" s="367">
        <v>15.38</v>
      </c>
      <c r="IVC50" s="367" t="e">
        <f>IUZ50*IVA50*IVB50</f>
        <v>#DIV/0!</v>
      </c>
      <c r="IVD50" s="363" t="s">
        <v>153</v>
      </c>
      <c r="IVE50" s="363"/>
      <c r="IVF50" s="363"/>
      <c r="IVG50" s="364" t="s">
        <v>140</v>
      </c>
      <c r="IVH50" s="365">
        <v>0.5</v>
      </c>
      <c r="IVI50" s="366" t="e">
        <f>10/IVE48</f>
        <v>#DIV/0!</v>
      </c>
      <c r="IVJ50" s="367">
        <v>15.38</v>
      </c>
      <c r="IVK50" s="367" t="e">
        <f>IVH50*IVI50*IVJ50</f>
        <v>#DIV/0!</v>
      </c>
      <c r="IVL50" s="363" t="s">
        <v>153</v>
      </c>
      <c r="IVM50" s="363"/>
      <c r="IVN50" s="363"/>
      <c r="IVO50" s="364" t="s">
        <v>140</v>
      </c>
      <c r="IVP50" s="365">
        <v>0.5</v>
      </c>
      <c r="IVQ50" s="366" t="e">
        <f>10/IVM48</f>
        <v>#DIV/0!</v>
      </c>
      <c r="IVR50" s="367">
        <v>15.38</v>
      </c>
      <c r="IVS50" s="367" t="e">
        <f>IVP50*IVQ50*IVR50</f>
        <v>#DIV/0!</v>
      </c>
      <c r="IVT50" s="363" t="s">
        <v>153</v>
      </c>
      <c r="IVU50" s="363"/>
      <c r="IVV50" s="363"/>
      <c r="IVW50" s="364" t="s">
        <v>140</v>
      </c>
      <c r="IVX50" s="365">
        <v>0.5</v>
      </c>
      <c r="IVY50" s="366" t="e">
        <f>10/IVU48</f>
        <v>#DIV/0!</v>
      </c>
      <c r="IVZ50" s="367">
        <v>15.38</v>
      </c>
      <c r="IWA50" s="367" t="e">
        <f>IVX50*IVY50*IVZ50</f>
        <v>#DIV/0!</v>
      </c>
      <c r="IWB50" s="363" t="s">
        <v>153</v>
      </c>
      <c r="IWC50" s="363"/>
      <c r="IWD50" s="363"/>
      <c r="IWE50" s="364" t="s">
        <v>140</v>
      </c>
      <c r="IWF50" s="365">
        <v>0.5</v>
      </c>
      <c r="IWG50" s="366" t="e">
        <f>10/IWC48</f>
        <v>#DIV/0!</v>
      </c>
      <c r="IWH50" s="367">
        <v>15.38</v>
      </c>
      <c r="IWI50" s="367" t="e">
        <f>IWF50*IWG50*IWH50</f>
        <v>#DIV/0!</v>
      </c>
      <c r="IWJ50" s="363" t="s">
        <v>153</v>
      </c>
      <c r="IWK50" s="363"/>
      <c r="IWL50" s="363"/>
      <c r="IWM50" s="364" t="s">
        <v>140</v>
      </c>
      <c r="IWN50" s="365">
        <v>0.5</v>
      </c>
      <c r="IWO50" s="366" t="e">
        <f>10/IWK48</f>
        <v>#DIV/0!</v>
      </c>
      <c r="IWP50" s="367">
        <v>15.38</v>
      </c>
      <c r="IWQ50" s="367" t="e">
        <f>IWN50*IWO50*IWP50</f>
        <v>#DIV/0!</v>
      </c>
      <c r="IWR50" s="363" t="s">
        <v>153</v>
      </c>
      <c r="IWS50" s="363"/>
      <c r="IWT50" s="363"/>
      <c r="IWU50" s="364" t="s">
        <v>140</v>
      </c>
      <c r="IWV50" s="365">
        <v>0.5</v>
      </c>
      <c r="IWW50" s="366" t="e">
        <f>10/IWS48</f>
        <v>#DIV/0!</v>
      </c>
      <c r="IWX50" s="367">
        <v>15.38</v>
      </c>
      <c r="IWY50" s="367" t="e">
        <f>IWV50*IWW50*IWX50</f>
        <v>#DIV/0!</v>
      </c>
      <c r="IWZ50" s="363" t="s">
        <v>153</v>
      </c>
      <c r="IXA50" s="363"/>
      <c r="IXB50" s="363"/>
      <c r="IXC50" s="364" t="s">
        <v>140</v>
      </c>
      <c r="IXD50" s="365">
        <v>0.5</v>
      </c>
      <c r="IXE50" s="366" t="e">
        <f>10/IXA48</f>
        <v>#DIV/0!</v>
      </c>
      <c r="IXF50" s="367">
        <v>15.38</v>
      </c>
      <c r="IXG50" s="367" t="e">
        <f>IXD50*IXE50*IXF50</f>
        <v>#DIV/0!</v>
      </c>
      <c r="IXH50" s="363" t="s">
        <v>153</v>
      </c>
      <c r="IXI50" s="363"/>
      <c r="IXJ50" s="363"/>
      <c r="IXK50" s="364" t="s">
        <v>140</v>
      </c>
      <c r="IXL50" s="365">
        <v>0.5</v>
      </c>
      <c r="IXM50" s="366" t="e">
        <f>10/IXI48</f>
        <v>#DIV/0!</v>
      </c>
      <c r="IXN50" s="367">
        <v>15.38</v>
      </c>
      <c r="IXO50" s="367" t="e">
        <f>IXL50*IXM50*IXN50</f>
        <v>#DIV/0!</v>
      </c>
      <c r="IXP50" s="363" t="s">
        <v>153</v>
      </c>
      <c r="IXQ50" s="363"/>
      <c r="IXR50" s="363"/>
      <c r="IXS50" s="364" t="s">
        <v>140</v>
      </c>
      <c r="IXT50" s="365">
        <v>0.5</v>
      </c>
      <c r="IXU50" s="366" t="e">
        <f>10/IXQ48</f>
        <v>#DIV/0!</v>
      </c>
      <c r="IXV50" s="367">
        <v>15.38</v>
      </c>
      <c r="IXW50" s="367" t="e">
        <f>IXT50*IXU50*IXV50</f>
        <v>#DIV/0!</v>
      </c>
      <c r="IXX50" s="363" t="s">
        <v>153</v>
      </c>
      <c r="IXY50" s="363"/>
      <c r="IXZ50" s="363"/>
      <c r="IYA50" s="364" t="s">
        <v>140</v>
      </c>
      <c r="IYB50" s="365">
        <v>0.5</v>
      </c>
      <c r="IYC50" s="366" t="e">
        <f>10/IXY48</f>
        <v>#DIV/0!</v>
      </c>
      <c r="IYD50" s="367">
        <v>15.38</v>
      </c>
      <c r="IYE50" s="367" t="e">
        <f>IYB50*IYC50*IYD50</f>
        <v>#DIV/0!</v>
      </c>
      <c r="IYF50" s="363" t="s">
        <v>153</v>
      </c>
      <c r="IYG50" s="363"/>
      <c r="IYH50" s="363"/>
      <c r="IYI50" s="364" t="s">
        <v>140</v>
      </c>
      <c r="IYJ50" s="365">
        <v>0.5</v>
      </c>
      <c r="IYK50" s="366" t="e">
        <f>10/IYG48</f>
        <v>#DIV/0!</v>
      </c>
      <c r="IYL50" s="367">
        <v>15.38</v>
      </c>
      <c r="IYM50" s="367" t="e">
        <f>IYJ50*IYK50*IYL50</f>
        <v>#DIV/0!</v>
      </c>
      <c r="IYN50" s="363" t="s">
        <v>153</v>
      </c>
      <c r="IYO50" s="363"/>
      <c r="IYP50" s="363"/>
      <c r="IYQ50" s="364" t="s">
        <v>140</v>
      </c>
      <c r="IYR50" s="365">
        <v>0.5</v>
      </c>
      <c r="IYS50" s="366" t="e">
        <f>10/IYO48</f>
        <v>#DIV/0!</v>
      </c>
      <c r="IYT50" s="367">
        <v>15.38</v>
      </c>
      <c r="IYU50" s="367" t="e">
        <f>IYR50*IYS50*IYT50</f>
        <v>#DIV/0!</v>
      </c>
      <c r="IYV50" s="363" t="s">
        <v>153</v>
      </c>
      <c r="IYW50" s="363"/>
      <c r="IYX50" s="363"/>
      <c r="IYY50" s="364" t="s">
        <v>140</v>
      </c>
      <c r="IYZ50" s="365">
        <v>0.5</v>
      </c>
      <c r="IZA50" s="366" t="e">
        <f>10/IYW48</f>
        <v>#DIV/0!</v>
      </c>
      <c r="IZB50" s="367">
        <v>15.38</v>
      </c>
      <c r="IZC50" s="367" t="e">
        <f>IYZ50*IZA50*IZB50</f>
        <v>#DIV/0!</v>
      </c>
      <c r="IZD50" s="363" t="s">
        <v>153</v>
      </c>
      <c r="IZE50" s="363"/>
      <c r="IZF50" s="363"/>
      <c r="IZG50" s="364" t="s">
        <v>140</v>
      </c>
      <c r="IZH50" s="365">
        <v>0.5</v>
      </c>
      <c r="IZI50" s="366" t="e">
        <f>10/IZE48</f>
        <v>#DIV/0!</v>
      </c>
      <c r="IZJ50" s="367">
        <v>15.38</v>
      </c>
      <c r="IZK50" s="367" t="e">
        <f>IZH50*IZI50*IZJ50</f>
        <v>#DIV/0!</v>
      </c>
      <c r="IZL50" s="363" t="s">
        <v>153</v>
      </c>
      <c r="IZM50" s="363"/>
      <c r="IZN50" s="363"/>
      <c r="IZO50" s="364" t="s">
        <v>140</v>
      </c>
      <c r="IZP50" s="365">
        <v>0.5</v>
      </c>
      <c r="IZQ50" s="366" t="e">
        <f>10/IZM48</f>
        <v>#DIV/0!</v>
      </c>
      <c r="IZR50" s="367">
        <v>15.38</v>
      </c>
      <c r="IZS50" s="367" t="e">
        <f>IZP50*IZQ50*IZR50</f>
        <v>#DIV/0!</v>
      </c>
      <c r="IZT50" s="363" t="s">
        <v>153</v>
      </c>
      <c r="IZU50" s="363"/>
      <c r="IZV50" s="363"/>
      <c r="IZW50" s="364" t="s">
        <v>140</v>
      </c>
      <c r="IZX50" s="365">
        <v>0.5</v>
      </c>
      <c r="IZY50" s="366" t="e">
        <f>10/IZU48</f>
        <v>#DIV/0!</v>
      </c>
      <c r="IZZ50" s="367">
        <v>15.38</v>
      </c>
      <c r="JAA50" s="367" t="e">
        <f>IZX50*IZY50*IZZ50</f>
        <v>#DIV/0!</v>
      </c>
      <c r="JAB50" s="363" t="s">
        <v>153</v>
      </c>
      <c r="JAC50" s="363"/>
      <c r="JAD50" s="363"/>
      <c r="JAE50" s="364" t="s">
        <v>140</v>
      </c>
      <c r="JAF50" s="365">
        <v>0.5</v>
      </c>
      <c r="JAG50" s="366" t="e">
        <f>10/JAC48</f>
        <v>#DIV/0!</v>
      </c>
      <c r="JAH50" s="367">
        <v>15.38</v>
      </c>
      <c r="JAI50" s="367" t="e">
        <f>JAF50*JAG50*JAH50</f>
        <v>#DIV/0!</v>
      </c>
      <c r="JAJ50" s="363" t="s">
        <v>153</v>
      </c>
      <c r="JAK50" s="363"/>
      <c r="JAL50" s="363"/>
      <c r="JAM50" s="364" t="s">
        <v>140</v>
      </c>
      <c r="JAN50" s="365">
        <v>0.5</v>
      </c>
      <c r="JAO50" s="366" t="e">
        <f>10/JAK48</f>
        <v>#DIV/0!</v>
      </c>
      <c r="JAP50" s="367">
        <v>15.38</v>
      </c>
      <c r="JAQ50" s="367" t="e">
        <f>JAN50*JAO50*JAP50</f>
        <v>#DIV/0!</v>
      </c>
      <c r="JAR50" s="363" t="s">
        <v>153</v>
      </c>
      <c r="JAS50" s="363"/>
      <c r="JAT50" s="363"/>
      <c r="JAU50" s="364" t="s">
        <v>140</v>
      </c>
      <c r="JAV50" s="365">
        <v>0.5</v>
      </c>
      <c r="JAW50" s="366" t="e">
        <f>10/JAS48</f>
        <v>#DIV/0!</v>
      </c>
      <c r="JAX50" s="367">
        <v>15.38</v>
      </c>
      <c r="JAY50" s="367" t="e">
        <f>JAV50*JAW50*JAX50</f>
        <v>#DIV/0!</v>
      </c>
      <c r="JAZ50" s="363" t="s">
        <v>153</v>
      </c>
      <c r="JBA50" s="363"/>
      <c r="JBB50" s="363"/>
      <c r="JBC50" s="364" t="s">
        <v>140</v>
      </c>
      <c r="JBD50" s="365">
        <v>0.5</v>
      </c>
      <c r="JBE50" s="366" t="e">
        <f>10/JBA48</f>
        <v>#DIV/0!</v>
      </c>
      <c r="JBF50" s="367">
        <v>15.38</v>
      </c>
      <c r="JBG50" s="367" t="e">
        <f>JBD50*JBE50*JBF50</f>
        <v>#DIV/0!</v>
      </c>
      <c r="JBH50" s="363" t="s">
        <v>153</v>
      </c>
      <c r="JBI50" s="363"/>
      <c r="JBJ50" s="363"/>
      <c r="JBK50" s="364" t="s">
        <v>140</v>
      </c>
      <c r="JBL50" s="365">
        <v>0.5</v>
      </c>
      <c r="JBM50" s="366" t="e">
        <f>10/JBI48</f>
        <v>#DIV/0!</v>
      </c>
      <c r="JBN50" s="367">
        <v>15.38</v>
      </c>
      <c r="JBO50" s="367" t="e">
        <f>JBL50*JBM50*JBN50</f>
        <v>#DIV/0!</v>
      </c>
      <c r="JBP50" s="363" t="s">
        <v>153</v>
      </c>
      <c r="JBQ50" s="363"/>
      <c r="JBR50" s="363"/>
      <c r="JBS50" s="364" t="s">
        <v>140</v>
      </c>
      <c r="JBT50" s="365">
        <v>0.5</v>
      </c>
      <c r="JBU50" s="366" t="e">
        <f>10/JBQ48</f>
        <v>#DIV/0!</v>
      </c>
      <c r="JBV50" s="367">
        <v>15.38</v>
      </c>
      <c r="JBW50" s="367" t="e">
        <f>JBT50*JBU50*JBV50</f>
        <v>#DIV/0!</v>
      </c>
      <c r="JBX50" s="363" t="s">
        <v>153</v>
      </c>
      <c r="JBY50" s="363"/>
      <c r="JBZ50" s="363"/>
      <c r="JCA50" s="364" t="s">
        <v>140</v>
      </c>
      <c r="JCB50" s="365">
        <v>0.5</v>
      </c>
      <c r="JCC50" s="366" t="e">
        <f>10/JBY48</f>
        <v>#DIV/0!</v>
      </c>
      <c r="JCD50" s="367">
        <v>15.38</v>
      </c>
      <c r="JCE50" s="367" t="e">
        <f>JCB50*JCC50*JCD50</f>
        <v>#DIV/0!</v>
      </c>
      <c r="JCF50" s="363" t="s">
        <v>153</v>
      </c>
      <c r="JCG50" s="363"/>
      <c r="JCH50" s="363"/>
      <c r="JCI50" s="364" t="s">
        <v>140</v>
      </c>
      <c r="JCJ50" s="365">
        <v>0.5</v>
      </c>
      <c r="JCK50" s="366" t="e">
        <f>10/JCG48</f>
        <v>#DIV/0!</v>
      </c>
      <c r="JCL50" s="367">
        <v>15.38</v>
      </c>
      <c r="JCM50" s="367" t="e">
        <f>JCJ50*JCK50*JCL50</f>
        <v>#DIV/0!</v>
      </c>
      <c r="JCN50" s="363" t="s">
        <v>153</v>
      </c>
      <c r="JCO50" s="363"/>
      <c r="JCP50" s="363"/>
      <c r="JCQ50" s="364" t="s">
        <v>140</v>
      </c>
      <c r="JCR50" s="365">
        <v>0.5</v>
      </c>
      <c r="JCS50" s="366" t="e">
        <f>10/JCO48</f>
        <v>#DIV/0!</v>
      </c>
      <c r="JCT50" s="367">
        <v>15.38</v>
      </c>
      <c r="JCU50" s="367" t="e">
        <f>JCR50*JCS50*JCT50</f>
        <v>#DIV/0!</v>
      </c>
      <c r="JCV50" s="363" t="s">
        <v>153</v>
      </c>
      <c r="JCW50" s="363"/>
      <c r="JCX50" s="363"/>
      <c r="JCY50" s="364" t="s">
        <v>140</v>
      </c>
      <c r="JCZ50" s="365">
        <v>0.5</v>
      </c>
      <c r="JDA50" s="366" t="e">
        <f>10/JCW48</f>
        <v>#DIV/0!</v>
      </c>
      <c r="JDB50" s="367">
        <v>15.38</v>
      </c>
      <c r="JDC50" s="367" t="e">
        <f>JCZ50*JDA50*JDB50</f>
        <v>#DIV/0!</v>
      </c>
      <c r="JDD50" s="363" t="s">
        <v>153</v>
      </c>
      <c r="JDE50" s="363"/>
      <c r="JDF50" s="363"/>
      <c r="JDG50" s="364" t="s">
        <v>140</v>
      </c>
      <c r="JDH50" s="365">
        <v>0.5</v>
      </c>
      <c r="JDI50" s="366" t="e">
        <f>10/JDE48</f>
        <v>#DIV/0!</v>
      </c>
      <c r="JDJ50" s="367">
        <v>15.38</v>
      </c>
      <c r="JDK50" s="367" t="e">
        <f>JDH50*JDI50*JDJ50</f>
        <v>#DIV/0!</v>
      </c>
      <c r="JDL50" s="363" t="s">
        <v>153</v>
      </c>
      <c r="JDM50" s="363"/>
      <c r="JDN50" s="363"/>
      <c r="JDO50" s="364" t="s">
        <v>140</v>
      </c>
      <c r="JDP50" s="365">
        <v>0.5</v>
      </c>
      <c r="JDQ50" s="366" t="e">
        <f>10/JDM48</f>
        <v>#DIV/0!</v>
      </c>
      <c r="JDR50" s="367">
        <v>15.38</v>
      </c>
      <c r="JDS50" s="367" t="e">
        <f>JDP50*JDQ50*JDR50</f>
        <v>#DIV/0!</v>
      </c>
      <c r="JDT50" s="363" t="s">
        <v>153</v>
      </c>
      <c r="JDU50" s="363"/>
      <c r="JDV50" s="363"/>
      <c r="JDW50" s="364" t="s">
        <v>140</v>
      </c>
      <c r="JDX50" s="365">
        <v>0.5</v>
      </c>
      <c r="JDY50" s="366" t="e">
        <f>10/JDU48</f>
        <v>#DIV/0!</v>
      </c>
      <c r="JDZ50" s="367">
        <v>15.38</v>
      </c>
      <c r="JEA50" s="367" t="e">
        <f>JDX50*JDY50*JDZ50</f>
        <v>#DIV/0!</v>
      </c>
      <c r="JEB50" s="363" t="s">
        <v>153</v>
      </c>
      <c r="JEC50" s="363"/>
      <c r="JED50" s="363"/>
      <c r="JEE50" s="364" t="s">
        <v>140</v>
      </c>
      <c r="JEF50" s="365">
        <v>0.5</v>
      </c>
      <c r="JEG50" s="366" t="e">
        <f>10/JEC48</f>
        <v>#DIV/0!</v>
      </c>
      <c r="JEH50" s="367">
        <v>15.38</v>
      </c>
      <c r="JEI50" s="367" t="e">
        <f>JEF50*JEG50*JEH50</f>
        <v>#DIV/0!</v>
      </c>
      <c r="JEJ50" s="363" t="s">
        <v>153</v>
      </c>
      <c r="JEK50" s="363"/>
      <c r="JEL50" s="363"/>
      <c r="JEM50" s="364" t="s">
        <v>140</v>
      </c>
      <c r="JEN50" s="365">
        <v>0.5</v>
      </c>
      <c r="JEO50" s="366" t="e">
        <f>10/JEK48</f>
        <v>#DIV/0!</v>
      </c>
      <c r="JEP50" s="367">
        <v>15.38</v>
      </c>
      <c r="JEQ50" s="367" t="e">
        <f>JEN50*JEO50*JEP50</f>
        <v>#DIV/0!</v>
      </c>
      <c r="JER50" s="363" t="s">
        <v>153</v>
      </c>
      <c r="JES50" s="363"/>
      <c r="JET50" s="363"/>
      <c r="JEU50" s="364" t="s">
        <v>140</v>
      </c>
      <c r="JEV50" s="365">
        <v>0.5</v>
      </c>
      <c r="JEW50" s="366" t="e">
        <f>10/JES48</f>
        <v>#DIV/0!</v>
      </c>
      <c r="JEX50" s="367">
        <v>15.38</v>
      </c>
      <c r="JEY50" s="367" t="e">
        <f>JEV50*JEW50*JEX50</f>
        <v>#DIV/0!</v>
      </c>
      <c r="JEZ50" s="363" t="s">
        <v>153</v>
      </c>
      <c r="JFA50" s="363"/>
      <c r="JFB50" s="363"/>
      <c r="JFC50" s="364" t="s">
        <v>140</v>
      </c>
      <c r="JFD50" s="365">
        <v>0.5</v>
      </c>
      <c r="JFE50" s="366" t="e">
        <f>10/JFA48</f>
        <v>#DIV/0!</v>
      </c>
      <c r="JFF50" s="367">
        <v>15.38</v>
      </c>
      <c r="JFG50" s="367" t="e">
        <f>JFD50*JFE50*JFF50</f>
        <v>#DIV/0!</v>
      </c>
      <c r="JFH50" s="363" t="s">
        <v>153</v>
      </c>
      <c r="JFI50" s="363"/>
      <c r="JFJ50" s="363"/>
      <c r="JFK50" s="364" t="s">
        <v>140</v>
      </c>
      <c r="JFL50" s="365">
        <v>0.5</v>
      </c>
      <c r="JFM50" s="366" t="e">
        <f>10/JFI48</f>
        <v>#DIV/0!</v>
      </c>
      <c r="JFN50" s="367">
        <v>15.38</v>
      </c>
      <c r="JFO50" s="367" t="e">
        <f>JFL50*JFM50*JFN50</f>
        <v>#DIV/0!</v>
      </c>
      <c r="JFP50" s="363" t="s">
        <v>153</v>
      </c>
      <c r="JFQ50" s="363"/>
      <c r="JFR50" s="363"/>
      <c r="JFS50" s="364" t="s">
        <v>140</v>
      </c>
      <c r="JFT50" s="365">
        <v>0.5</v>
      </c>
      <c r="JFU50" s="366" t="e">
        <f>10/JFQ48</f>
        <v>#DIV/0!</v>
      </c>
      <c r="JFV50" s="367">
        <v>15.38</v>
      </c>
      <c r="JFW50" s="367" t="e">
        <f>JFT50*JFU50*JFV50</f>
        <v>#DIV/0!</v>
      </c>
      <c r="JFX50" s="363" t="s">
        <v>153</v>
      </c>
      <c r="JFY50" s="363"/>
      <c r="JFZ50" s="363"/>
      <c r="JGA50" s="364" t="s">
        <v>140</v>
      </c>
      <c r="JGB50" s="365">
        <v>0.5</v>
      </c>
      <c r="JGC50" s="366" t="e">
        <f>10/JFY48</f>
        <v>#DIV/0!</v>
      </c>
      <c r="JGD50" s="367">
        <v>15.38</v>
      </c>
      <c r="JGE50" s="367" t="e">
        <f>JGB50*JGC50*JGD50</f>
        <v>#DIV/0!</v>
      </c>
      <c r="JGF50" s="363" t="s">
        <v>153</v>
      </c>
      <c r="JGG50" s="363"/>
      <c r="JGH50" s="363"/>
      <c r="JGI50" s="364" t="s">
        <v>140</v>
      </c>
      <c r="JGJ50" s="365">
        <v>0.5</v>
      </c>
      <c r="JGK50" s="366" t="e">
        <f>10/JGG48</f>
        <v>#DIV/0!</v>
      </c>
      <c r="JGL50" s="367">
        <v>15.38</v>
      </c>
      <c r="JGM50" s="367" t="e">
        <f>JGJ50*JGK50*JGL50</f>
        <v>#DIV/0!</v>
      </c>
      <c r="JGN50" s="363" t="s">
        <v>153</v>
      </c>
      <c r="JGO50" s="363"/>
      <c r="JGP50" s="363"/>
      <c r="JGQ50" s="364" t="s">
        <v>140</v>
      </c>
      <c r="JGR50" s="365">
        <v>0.5</v>
      </c>
      <c r="JGS50" s="366" t="e">
        <f>10/JGO48</f>
        <v>#DIV/0!</v>
      </c>
      <c r="JGT50" s="367">
        <v>15.38</v>
      </c>
      <c r="JGU50" s="367" t="e">
        <f>JGR50*JGS50*JGT50</f>
        <v>#DIV/0!</v>
      </c>
      <c r="JGV50" s="363" t="s">
        <v>153</v>
      </c>
      <c r="JGW50" s="363"/>
      <c r="JGX50" s="363"/>
      <c r="JGY50" s="364" t="s">
        <v>140</v>
      </c>
      <c r="JGZ50" s="365">
        <v>0.5</v>
      </c>
      <c r="JHA50" s="366" t="e">
        <f>10/JGW48</f>
        <v>#DIV/0!</v>
      </c>
      <c r="JHB50" s="367">
        <v>15.38</v>
      </c>
      <c r="JHC50" s="367" t="e">
        <f>JGZ50*JHA50*JHB50</f>
        <v>#DIV/0!</v>
      </c>
      <c r="JHD50" s="363" t="s">
        <v>153</v>
      </c>
      <c r="JHE50" s="363"/>
      <c r="JHF50" s="363"/>
      <c r="JHG50" s="364" t="s">
        <v>140</v>
      </c>
      <c r="JHH50" s="365">
        <v>0.5</v>
      </c>
      <c r="JHI50" s="366" t="e">
        <f>10/JHE48</f>
        <v>#DIV/0!</v>
      </c>
      <c r="JHJ50" s="367">
        <v>15.38</v>
      </c>
      <c r="JHK50" s="367" t="e">
        <f>JHH50*JHI50*JHJ50</f>
        <v>#DIV/0!</v>
      </c>
      <c r="JHL50" s="363" t="s">
        <v>153</v>
      </c>
      <c r="JHM50" s="363"/>
      <c r="JHN50" s="363"/>
      <c r="JHO50" s="364" t="s">
        <v>140</v>
      </c>
      <c r="JHP50" s="365">
        <v>0.5</v>
      </c>
      <c r="JHQ50" s="366" t="e">
        <f>10/JHM48</f>
        <v>#DIV/0!</v>
      </c>
      <c r="JHR50" s="367">
        <v>15.38</v>
      </c>
      <c r="JHS50" s="367" t="e">
        <f>JHP50*JHQ50*JHR50</f>
        <v>#DIV/0!</v>
      </c>
      <c r="JHT50" s="363" t="s">
        <v>153</v>
      </c>
      <c r="JHU50" s="363"/>
      <c r="JHV50" s="363"/>
      <c r="JHW50" s="364" t="s">
        <v>140</v>
      </c>
      <c r="JHX50" s="365">
        <v>0.5</v>
      </c>
      <c r="JHY50" s="366" t="e">
        <f>10/JHU48</f>
        <v>#DIV/0!</v>
      </c>
      <c r="JHZ50" s="367">
        <v>15.38</v>
      </c>
      <c r="JIA50" s="367" t="e">
        <f>JHX50*JHY50*JHZ50</f>
        <v>#DIV/0!</v>
      </c>
      <c r="JIB50" s="363" t="s">
        <v>153</v>
      </c>
      <c r="JIC50" s="363"/>
      <c r="JID50" s="363"/>
      <c r="JIE50" s="364" t="s">
        <v>140</v>
      </c>
      <c r="JIF50" s="365">
        <v>0.5</v>
      </c>
      <c r="JIG50" s="366" t="e">
        <f>10/JIC48</f>
        <v>#DIV/0!</v>
      </c>
      <c r="JIH50" s="367">
        <v>15.38</v>
      </c>
      <c r="JII50" s="367" t="e">
        <f>JIF50*JIG50*JIH50</f>
        <v>#DIV/0!</v>
      </c>
      <c r="JIJ50" s="363" t="s">
        <v>153</v>
      </c>
      <c r="JIK50" s="363"/>
      <c r="JIL50" s="363"/>
      <c r="JIM50" s="364" t="s">
        <v>140</v>
      </c>
      <c r="JIN50" s="365">
        <v>0.5</v>
      </c>
      <c r="JIO50" s="366" t="e">
        <f>10/JIK48</f>
        <v>#DIV/0!</v>
      </c>
      <c r="JIP50" s="367">
        <v>15.38</v>
      </c>
      <c r="JIQ50" s="367" t="e">
        <f>JIN50*JIO50*JIP50</f>
        <v>#DIV/0!</v>
      </c>
      <c r="JIR50" s="363" t="s">
        <v>153</v>
      </c>
      <c r="JIS50" s="363"/>
      <c r="JIT50" s="363"/>
      <c r="JIU50" s="364" t="s">
        <v>140</v>
      </c>
      <c r="JIV50" s="365">
        <v>0.5</v>
      </c>
      <c r="JIW50" s="366" t="e">
        <f>10/JIS48</f>
        <v>#DIV/0!</v>
      </c>
      <c r="JIX50" s="367">
        <v>15.38</v>
      </c>
      <c r="JIY50" s="367" t="e">
        <f>JIV50*JIW50*JIX50</f>
        <v>#DIV/0!</v>
      </c>
      <c r="JIZ50" s="363" t="s">
        <v>153</v>
      </c>
      <c r="JJA50" s="363"/>
      <c r="JJB50" s="363"/>
      <c r="JJC50" s="364" t="s">
        <v>140</v>
      </c>
      <c r="JJD50" s="365">
        <v>0.5</v>
      </c>
      <c r="JJE50" s="366" t="e">
        <f>10/JJA48</f>
        <v>#DIV/0!</v>
      </c>
      <c r="JJF50" s="367">
        <v>15.38</v>
      </c>
      <c r="JJG50" s="367" t="e">
        <f>JJD50*JJE50*JJF50</f>
        <v>#DIV/0!</v>
      </c>
      <c r="JJH50" s="363" t="s">
        <v>153</v>
      </c>
      <c r="JJI50" s="363"/>
      <c r="JJJ50" s="363"/>
      <c r="JJK50" s="364" t="s">
        <v>140</v>
      </c>
      <c r="JJL50" s="365">
        <v>0.5</v>
      </c>
      <c r="JJM50" s="366" t="e">
        <f>10/JJI48</f>
        <v>#DIV/0!</v>
      </c>
      <c r="JJN50" s="367">
        <v>15.38</v>
      </c>
      <c r="JJO50" s="367" t="e">
        <f>JJL50*JJM50*JJN50</f>
        <v>#DIV/0!</v>
      </c>
      <c r="JJP50" s="363" t="s">
        <v>153</v>
      </c>
      <c r="JJQ50" s="363"/>
      <c r="JJR50" s="363"/>
      <c r="JJS50" s="364" t="s">
        <v>140</v>
      </c>
      <c r="JJT50" s="365">
        <v>0.5</v>
      </c>
      <c r="JJU50" s="366" t="e">
        <f>10/JJQ48</f>
        <v>#DIV/0!</v>
      </c>
      <c r="JJV50" s="367">
        <v>15.38</v>
      </c>
      <c r="JJW50" s="367" t="e">
        <f>JJT50*JJU50*JJV50</f>
        <v>#DIV/0!</v>
      </c>
      <c r="JJX50" s="363" t="s">
        <v>153</v>
      </c>
      <c r="JJY50" s="363"/>
      <c r="JJZ50" s="363"/>
      <c r="JKA50" s="364" t="s">
        <v>140</v>
      </c>
      <c r="JKB50" s="365">
        <v>0.5</v>
      </c>
      <c r="JKC50" s="366" t="e">
        <f>10/JJY48</f>
        <v>#DIV/0!</v>
      </c>
      <c r="JKD50" s="367">
        <v>15.38</v>
      </c>
      <c r="JKE50" s="367" t="e">
        <f>JKB50*JKC50*JKD50</f>
        <v>#DIV/0!</v>
      </c>
      <c r="JKF50" s="363" t="s">
        <v>153</v>
      </c>
      <c r="JKG50" s="363"/>
      <c r="JKH50" s="363"/>
      <c r="JKI50" s="364" t="s">
        <v>140</v>
      </c>
      <c r="JKJ50" s="365">
        <v>0.5</v>
      </c>
      <c r="JKK50" s="366" t="e">
        <f>10/JKG48</f>
        <v>#DIV/0!</v>
      </c>
      <c r="JKL50" s="367">
        <v>15.38</v>
      </c>
      <c r="JKM50" s="367" t="e">
        <f>JKJ50*JKK50*JKL50</f>
        <v>#DIV/0!</v>
      </c>
      <c r="JKN50" s="363" t="s">
        <v>153</v>
      </c>
      <c r="JKO50" s="363"/>
      <c r="JKP50" s="363"/>
      <c r="JKQ50" s="364" t="s">
        <v>140</v>
      </c>
      <c r="JKR50" s="365">
        <v>0.5</v>
      </c>
      <c r="JKS50" s="366" t="e">
        <f>10/JKO48</f>
        <v>#DIV/0!</v>
      </c>
      <c r="JKT50" s="367">
        <v>15.38</v>
      </c>
      <c r="JKU50" s="367" t="e">
        <f>JKR50*JKS50*JKT50</f>
        <v>#DIV/0!</v>
      </c>
      <c r="JKV50" s="363" t="s">
        <v>153</v>
      </c>
      <c r="JKW50" s="363"/>
      <c r="JKX50" s="363"/>
      <c r="JKY50" s="364" t="s">
        <v>140</v>
      </c>
      <c r="JKZ50" s="365">
        <v>0.5</v>
      </c>
      <c r="JLA50" s="366" t="e">
        <f>10/JKW48</f>
        <v>#DIV/0!</v>
      </c>
      <c r="JLB50" s="367">
        <v>15.38</v>
      </c>
      <c r="JLC50" s="367" t="e">
        <f>JKZ50*JLA50*JLB50</f>
        <v>#DIV/0!</v>
      </c>
      <c r="JLD50" s="363" t="s">
        <v>153</v>
      </c>
      <c r="JLE50" s="363"/>
      <c r="JLF50" s="363"/>
      <c r="JLG50" s="364" t="s">
        <v>140</v>
      </c>
      <c r="JLH50" s="365">
        <v>0.5</v>
      </c>
      <c r="JLI50" s="366" t="e">
        <f>10/JLE48</f>
        <v>#DIV/0!</v>
      </c>
      <c r="JLJ50" s="367">
        <v>15.38</v>
      </c>
      <c r="JLK50" s="367" t="e">
        <f>JLH50*JLI50*JLJ50</f>
        <v>#DIV/0!</v>
      </c>
      <c r="JLL50" s="363" t="s">
        <v>153</v>
      </c>
      <c r="JLM50" s="363"/>
      <c r="JLN50" s="363"/>
      <c r="JLO50" s="364" t="s">
        <v>140</v>
      </c>
      <c r="JLP50" s="365">
        <v>0.5</v>
      </c>
      <c r="JLQ50" s="366" t="e">
        <f>10/JLM48</f>
        <v>#DIV/0!</v>
      </c>
      <c r="JLR50" s="367">
        <v>15.38</v>
      </c>
      <c r="JLS50" s="367" t="e">
        <f>JLP50*JLQ50*JLR50</f>
        <v>#DIV/0!</v>
      </c>
      <c r="JLT50" s="363" t="s">
        <v>153</v>
      </c>
      <c r="JLU50" s="363"/>
      <c r="JLV50" s="363"/>
      <c r="JLW50" s="364" t="s">
        <v>140</v>
      </c>
      <c r="JLX50" s="365">
        <v>0.5</v>
      </c>
      <c r="JLY50" s="366" t="e">
        <f>10/JLU48</f>
        <v>#DIV/0!</v>
      </c>
      <c r="JLZ50" s="367">
        <v>15.38</v>
      </c>
      <c r="JMA50" s="367" t="e">
        <f>JLX50*JLY50*JLZ50</f>
        <v>#DIV/0!</v>
      </c>
      <c r="JMB50" s="363" t="s">
        <v>153</v>
      </c>
      <c r="JMC50" s="363"/>
      <c r="JMD50" s="363"/>
      <c r="JME50" s="364" t="s">
        <v>140</v>
      </c>
      <c r="JMF50" s="365">
        <v>0.5</v>
      </c>
      <c r="JMG50" s="366" t="e">
        <f>10/JMC48</f>
        <v>#DIV/0!</v>
      </c>
      <c r="JMH50" s="367">
        <v>15.38</v>
      </c>
      <c r="JMI50" s="367" t="e">
        <f>JMF50*JMG50*JMH50</f>
        <v>#DIV/0!</v>
      </c>
      <c r="JMJ50" s="363" t="s">
        <v>153</v>
      </c>
      <c r="JMK50" s="363"/>
      <c r="JML50" s="363"/>
      <c r="JMM50" s="364" t="s">
        <v>140</v>
      </c>
      <c r="JMN50" s="365">
        <v>0.5</v>
      </c>
      <c r="JMO50" s="366" t="e">
        <f>10/JMK48</f>
        <v>#DIV/0!</v>
      </c>
      <c r="JMP50" s="367">
        <v>15.38</v>
      </c>
      <c r="JMQ50" s="367" t="e">
        <f>JMN50*JMO50*JMP50</f>
        <v>#DIV/0!</v>
      </c>
      <c r="JMR50" s="363" t="s">
        <v>153</v>
      </c>
      <c r="JMS50" s="363"/>
      <c r="JMT50" s="363"/>
      <c r="JMU50" s="364" t="s">
        <v>140</v>
      </c>
      <c r="JMV50" s="365">
        <v>0.5</v>
      </c>
      <c r="JMW50" s="366" t="e">
        <f>10/JMS48</f>
        <v>#DIV/0!</v>
      </c>
      <c r="JMX50" s="367">
        <v>15.38</v>
      </c>
      <c r="JMY50" s="367" t="e">
        <f>JMV50*JMW50*JMX50</f>
        <v>#DIV/0!</v>
      </c>
      <c r="JMZ50" s="363" t="s">
        <v>153</v>
      </c>
      <c r="JNA50" s="363"/>
      <c r="JNB50" s="363"/>
      <c r="JNC50" s="364" t="s">
        <v>140</v>
      </c>
      <c r="JND50" s="365">
        <v>0.5</v>
      </c>
      <c r="JNE50" s="366" t="e">
        <f>10/JNA48</f>
        <v>#DIV/0!</v>
      </c>
      <c r="JNF50" s="367">
        <v>15.38</v>
      </c>
      <c r="JNG50" s="367" t="e">
        <f>JND50*JNE50*JNF50</f>
        <v>#DIV/0!</v>
      </c>
      <c r="JNH50" s="363" t="s">
        <v>153</v>
      </c>
      <c r="JNI50" s="363"/>
      <c r="JNJ50" s="363"/>
      <c r="JNK50" s="364" t="s">
        <v>140</v>
      </c>
      <c r="JNL50" s="365">
        <v>0.5</v>
      </c>
      <c r="JNM50" s="366" t="e">
        <f>10/JNI48</f>
        <v>#DIV/0!</v>
      </c>
      <c r="JNN50" s="367">
        <v>15.38</v>
      </c>
      <c r="JNO50" s="367" t="e">
        <f>JNL50*JNM50*JNN50</f>
        <v>#DIV/0!</v>
      </c>
      <c r="JNP50" s="363" t="s">
        <v>153</v>
      </c>
      <c r="JNQ50" s="363"/>
      <c r="JNR50" s="363"/>
      <c r="JNS50" s="364" t="s">
        <v>140</v>
      </c>
      <c r="JNT50" s="365">
        <v>0.5</v>
      </c>
      <c r="JNU50" s="366" t="e">
        <f>10/JNQ48</f>
        <v>#DIV/0!</v>
      </c>
      <c r="JNV50" s="367">
        <v>15.38</v>
      </c>
      <c r="JNW50" s="367" t="e">
        <f>JNT50*JNU50*JNV50</f>
        <v>#DIV/0!</v>
      </c>
      <c r="JNX50" s="363" t="s">
        <v>153</v>
      </c>
      <c r="JNY50" s="363"/>
      <c r="JNZ50" s="363"/>
      <c r="JOA50" s="364" t="s">
        <v>140</v>
      </c>
      <c r="JOB50" s="365">
        <v>0.5</v>
      </c>
      <c r="JOC50" s="366" t="e">
        <f>10/JNY48</f>
        <v>#DIV/0!</v>
      </c>
      <c r="JOD50" s="367">
        <v>15.38</v>
      </c>
      <c r="JOE50" s="367" t="e">
        <f>JOB50*JOC50*JOD50</f>
        <v>#DIV/0!</v>
      </c>
      <c r="JOF50" s="363" t="s">
        <v>153</v>
      </c>
      <c r="JOG50" s="363"/>
      <c r="JOH50" s="363"/>
      <c r="JOI50" s="364" t="s">
        <v>140</v>
      </c>
      <c r="JOJ50" s="365">
        <v>0.5</v>
      </c>
      <c r="JOK50" s="366" t="e">
        <f>10/JOG48</f>
        <v>#DIV/0!</v>
      </c>
      <c r="JOL50" s="367">
        <v>15.38</v>
      </c>
      <c r="JOM50" s="367" t="e">
        <f>JOJ50*JOK50*JOL50</f>
        <v>#DIV/0!</v>
      </c>
      <c r="JON50" s="363" t="s">
        <v>153</v>
      </c>
      <c r="JOO50" s="363"/>
      <c r="JOP50" s="363"/>
      <c r="JOQ50" s="364" t="s">
        <v>140</v>
      </c>
      <c r="JOR50" s="365">
        <v>0.5</v>
      </c>
      <c r="JOS50" s="366" t="e">
        <f>10/JOO48</f>
        <v>#DIV/0!</v>
      </c>
      <c r="JOT50" s="367">
        <v>15.38</v>
      </c>
      <c r="JOU50" s="367" t="e">
        <f>JOR50*JOS50*JOT50</f>
        <v>#DIV/0!</v>
      </c>
      <c r="JOV50" s="363" t="s">
        <v>153</v>
      </c>
      <c r="JOW50" s="363"/>
      <c r="JOX50" s="363"/>
      <c r="JOY50" s="364" t="s">
        <v>140</v>
      </c>
      <c r="JOZ50" s="365">
        <v>0.5</v>
      </c>
      <c r="JPA50" s="366" t="e">
        <f>10/JOW48</f>
        <v>#DIV/0!</v>
      </c>
      <c r="JPB50" s="367">
        <v>15.38</v>
      </c>
      <c r="JPC50" s="367" t="e">
        <f>JOZ50*JPA50*JPB50</f>
        <v>#DIV/0!</v>
      </c>
      <c r="JPD50" s="363" t="s">
        <v>153</v>
      </c>
      <c r="JPE50" s="363"/>
      <c r="JPF50" s="363"/>
      <c r="JPG50" s="364" t="s">
        <v>140</v>
      </c>
      <c r="JPH50" s="365">
        <v>0.5</v>
      </c>
      <c r="JPI50" s="366" t="e">
        <f>10/JPE48</f>
        <v>#DIV/0!</v>
      </c>
      <c r="JPJ50" s="367">
        <v>15.38</v>
      </c>
      <c r="JPK50" s="367" t="e">
        <f>JPH50*JPI50*JPJ50</f>
        <v>#DIV/0!</v>
      </c>
      <c r="JPL50" s="363" t="s">
        <v>153</v>
      </c>
      <c r="JPM50" s="363"/>
      <c r="JPN50" s="363"/>
      <c r="JPO50" s="364" t="s">
        <v>140</v>
      </c>
      <c r="JPP50" s="365">
        <v>0.5</v>
      </c>
      <c r="JPQ50" s="366" t="e">
        <f>10/JPM48</f>
        <v>#DIV/0!</v>
      </c>
      <c r="JPR50" s="367">
        <v>15.38</v>
      </c>
      <c r="JPS50" s="367" t="e">
        <f>JPP50*JPQ50*JPR50</f>
        <v>#DIV/0!</v>
      </c>
      <c r="JPT50" s="363" t="s">
        <v>153</v>
      </c>
      <c r="JPU50" s="363"/>
      <c r="JPV50" s="363"/>
      <c r="JPW50" s="364" t="s">
        <v>140</v>
      </c>
      <c r="JPX50" s="365">
        <v>0.5</v>
      </c>
      <c r="JPY50" s="366" t="e">
        <f>10/JPU48</f>
        <v>#DIV/0!</v>
      </c>
      <c r="JPZ50" s="367">
        <v>15.38</v>
      </c>
      <c r="JQA50" s="367" t="e">
        <f>JPX50*JPY50*JPZ50</f>
        <v>#DIV/0!</v>
      </c>
      <c r="JQB50" s="363" t="s">
        <v>153</v>
      </c>
      <c r="JQC50" s="363"/>
      <c r="JQD50" s="363"/>
      <c r="JQE50" s="364" t="s">
        <v>140</v>
      </c>
      <c r="JQF50" s="365">
        <v>0.5</v>
      </c>
      <c r="JQG50" s="366" t="e">
        <f>10/JQC48</f>
        <v>#DIV/0!</v>
      </c>
      <c r="JQH50" s="367">
        <v>15.38</v>
      </c>
      <c r="JQI50" s="367" t="e">
        <f>JQF50*JQG50*JQH50</f>
        <v>#DIV/0!</v>
      </c>
      <c r="JQJ50" s="363" t="s">
        <v>153</v>
      </c>
      <c r="JQK50" s="363"/>
      <c r="JQL50" s="363"/>
      <c r="JQM50" s="364" t="s">
        <v>140</v>
      </c>
      <c r="JQN50" s="365">
        <v>0.5</v>
      </c>
      <c r="JQO50" s="366" t="e">
        <f>10/JQK48</f>
        <v>#DIV/0!</v>
      </c>
      <c r="JQP50" s="367">
        <v>15.38</v>
      </c>
      <c r="JQQ50" s="367" t="e">
        <f>JQN50*JQO50*JQP50</f>
        <v>#DIV/0!</v>
      </c>
      <c r="JQR50" s="363" t="s">
        <v>153</v>
      </c>
      <c r="JQS50" s="363"/>
      <c r="JQT50" s="363"/>
      <c r="JQU50" s="364" t="s">
        <v>140</v>
      </c>
      <c r="JQV50" s="365">
        <v>0.5</v>
      </c>
      <c r="JQW50" s="366" t="e">
        <f>10/JQS48</f>
        <v>#DIV/0!</v>
      </c>
      <c r="JQX50" s="367">
        <v>15.38</v>
      </c>
      <c r="JQY50" s="367" t="e">
        <f>JQV50*JQW50*JQX50</f>
        <v>#DIV/0!</v>
      </c>
      <c r="JQZ50" s="363" t="s">
        <v>153</v>
      </c>
      <c r="JRA50" s="363"/>
      <c r="JRB50" s="363"/>
      <c r="JRC50" s="364" t="s">
        <v>140</v>
      </c>
      <c r="JRD50" s="365">
        <v>0.5</v>
      </c>
      <c r="JRE50" s="366" t="e">
        <f>10/JRA48</f>
        <v>#DIV/0!</v>
      </c>
      <c r="JRF50" s="367">
        <v>15.38</v>
      </c>
      <c r="JRG50" s="367" t="e">
        <f>JRD50*JRE50*JRF50</f>
        <v>#DIV/0!</v>
      </c>
      <c r="JRH50" s="363" t="s">
        <v>153</v>
      </c>
      <c r="JRI50" s="363"/>
      <c r="JRJ50" s="363"/>
      <c r="JRK50" s="364" t="s">
        <v>140</v>
      </c>
      <c r="JRL50" s="365">
        <v>0.5</v>
      </c>
      <c r="JRM50" s="366" t="e">
        <f>10/JRI48</f>
        <v>#DIV/0!</v>
      </c>
      <c r="JRN50" s="367">
        <v>15.38</v>
      </c>
      <c r="JRO50" s="367" t="e">
        <f>JRL50*JRM50*JRN50</f>
        <v>#DIV/0!</v>
      </c>
      <c r="JRP50" s="363" t="s">
        <v>153</v>
      </c>
      <c r="JRQ50" s="363"/>
      <c r="JRR50" s="363"/>
      <c r="JRS50" s="364" t="s">
        <v>140</v>
      </c>
      <c r="JRT50" s="365">
        <v>0.5</v>
      </c>
      <c r="JRU50" s="366" t="e">
        <f>10/JRQ48</f>
        <v>#DIV/0!</v>
      </c>
      <c r="JRV50" s="367">
        <v>15.38</v>
      </c>
      <c r="JRW50" s="367" t="e">
        <f>JRT50*JRU50*JRV50</f>
        <v>#DIV/0!</v>
      </c>
      <c r="JRX50" s="363" t="s">
        <v>153</v>
      </c>
      <c r="JRY50" s="363"/>
      <c r="JRZ50" s="363"/>
      <c r="JSA50" s="364" t="s">
        <v>140</v>
      </c>
      <c r="JSB50" s="365">
        <v>0.5</v>
      </c>
      <c r="JSC50" s="366" t="e">
        <f>10/JRY48</f>
        <v>#DIV/0!</v>
      </c>
      <c r="JSD50" s="367">
        <v>15.38</v>
      </c>
      <c r="JSE50" s="367" t="e">
        <f>JSB50*JSC50*JSD50</f>
        <v>#DIV/0!</v>
      </c>
      <c r="JSF50" s="363" t="s">
        <v>153</v>
      </c>
      <c r="JSG50" s="363"/>
      <c r="JSH50" s="363"/>
      <c r="JSI50" s="364" t="s">
        <v>140</v>
      </c>
      <c r="JSJ50" s="365">
        <v>0.5</v>
      </c>
      <c r="JSK50" s="366" t="e">
        <f>10/JSG48</f>
        <v>#DIV/0!</v>
      </c>
      <c r="JSL50" s="367">
        <v>15.38</v>
      </c>
      <c r="JSM50" s="367" t="e">
        <f>JSJ50*JSK50*JSL50</f>
        <v>#DIV/0!</v>
      </c>
      <c r="JSN50" s="363" t="s">
        <v>153</v>
      </c>
      <c r="JSO50" s="363"/>
      <c r="JSP50" s="363"/>
      <c r="JSQ50" s="364" t="s">
        <v>140</v>
      </c>
      <c r="JSR50" s="365">
        <v>0.5</v>
      </c>
      <c r="JSS50" s="366" t="e">
        <f>10/JSO48</f>
        <v>#DIV/0!</v>
      </c>
      <c r="JST50" s="367">
        <v>15.38</v>
      </c>
      <c r="JSU50" s="367" t="e">
        <f>JSR50*JSS50*JST50</f>
        <v>#DIV/0!</v>
      </c>
      <c r="JSV50" s="363" t="s">
        <v>153</v>
      </c>
      <c r="JSW50" s="363"/>
      <c r="JSX50" s="363"/>
      <c r="JSY50" s="364" t="s">
        <v>140</v>
      </c>
      <c r="JSZ50" s="365">
        <v>0.5</v>
      </c>
      <c r="JTA50" s="366" t="e">
        <f>10/JSW48</f>
        <v>#DIV/0!</v>
      </c>
      <c r="JTB50" s="367">
        <v>15.38</v>
      </c>
      <c r="JTC50" s="367" t="e">
        <f>JSZ50*JTA50*JTB50</f>
        <v>#DIV/0!</v>
      </c>
      <c r="JTD50" s="363" t="s">
        <v>153</v>
      </c>
      <c r="JTE50" s="363"/>
      <c r="JTF50" s="363"/>
      <c r="JTG50" s="364" t="s">
        <v>140</v>
      </c>
      <c r="JTH50" s="365">
        <v>0.5</v>
      </c>
      <c r="JTI50" s="366" t="e">
        <f>10/JTE48</f>
        <v>#DIV/0!</v>
      </c>
      <c r="JTJ50" s="367">
        <v>15.38</v>
      </c>
      <c r="JTK50" s="367" t="e">
        <f>JTH50*JTI50*JTJ50</f>
        <v>#DIV/0!</v>
      </c>
      <c r="JTL50" s="363" t="s">
        <v>153</v>
      </c>
      <c r="JTM50" s="363"/>
      <c r="JTN50" s="363"/>
      <c r="JTO50" s="364" t="s">
        <v>140</v>
      </c>
      <c r="JTP50" s="365">
        <v>0.5</v>
      </c>
      <c r="JTQ50" s="366" t="e">
        <f>10/JTM48</f>
        <v>#DIV/0!</v>
      </c>
      <c r="JTR50" s="367">
        <v>15.38</v>
      </c>
      <c r="JTS50" s="367" t="e">
        <f>JTP50*JTQ50*JTR50</f>
        <v>#DIV/0!</v>
      </c>
      <c r="JTT50" s="363" t="s">
        <v>153</v>
      </c>
      <c r="JTU50" s="363"/>
      <c r="JTV50" s="363"/>
      <c r="JTW50" s="364" t="s">
        <v>140</v>
      </c>
      <c r="JTX50" s="365">
        <v>0.5</v>
      </c>
      <c r="JTY50" s="366" t="e">
        <f>10/JTU48</f>
        <v>#DIV/0!</v>
      </c>
      <c r="JTZ50" s="367">
        <v>15.38</v>
      </c>
      <c r="JUA50" s="367" t="e">
        <f>JTX50*JTY50*JTZ50</f>
        <v>#DIV/0!</v>
      </c>
      <c r="JUB50" s="363" t="s">
        <v>153</v>
      </c>
      <c r="JUC50" s="363"/>
      <c r="JUD50" s="363"/>
      <c r="JUE50" s="364" t="s">
        <v>140</v>
      </c>
      <c r="JUF50" s="365">
        <v>0.5</v>
      </c>
      <c r="JUG50" s="366" t="e">
        <f>10/JUC48</f>
        <v>#DIV/0!</v>
      </c>
      <c r="JUH50" s="367">
        <v>15.38</v>
      </c>
      <c r="JUI50" s="367" t="e">
        <f>JUF50*JUG50*JUH50</f>
        <v>#DIV/0!</v>
      </c>
      <c r="JUJ50" s="363" t="s">
        <v>153</v>
      </c>
      <c r="JUK50" s="363"/>
      <c r="JUL50" s="363"/>
      <c r="JUM50" s="364" t="s">
        <v>140</v>
      </c>
      <c r="JUN50" s="365">
        <v>0.5</v>
      </c>
      <c r="JUO50" s="366" t="e">
        <f>10/JUK48</f>
        <v>#DIV/0!</v>
      </c>
      <c r="JUP50" s="367">
        <v>15.38</v>
      </c>
      <c r="JUQ50" s="367" t="e">
        <f>JUN50*JUO50*JUP50</f>
        <v>#DIV/0!</v>
      </c>
      <c r="JUR50" s="363" t="s">
        <v>153</v>
      </c>
      <c r="JUS50" s="363"/>
      <c r="JUT50" s="363"/>
      <c r="JUU50" s="364" t="s">
        <v>140</v>
      </c>
      <c r="JUV50" s="365">
        <v>0.5</v>
      </c>
      <c r="JUW50" s="366" t="e">
        <f>10/JUS48</f>
        <v>#DIV/0!</v>
      </c>
      <c r="JUX50" s="367">
        <v>15.38</v>
      </c>
      <c r="JUY50" s="367" t="e">
        <f>JUV50*JUW50*JUX50</f>
        <v>#DIV/0!</v>
      </c>
      <c r="JUZ50" s="363" t="s">
        <v>153</v>
      </c>
      <c r="JVA50" s="363"/>
      <c r="JVB50" s="363"/>
      <c r="JVC50" s="364" t="s">
        <v>140</v>
      </c>
      <c r="JVD50" s="365">
        <v>0.5</v>
      </c>
      <c r="JVE50" s="366" t="e">
        <f>10/JVA48</f>
        <v>#DIV/0!</v>
      </c>
      <c r="JVF50" s="367">
        <v>15.38</v>
      </c>
      <c r="JVG50" s="367" t="e">
        <f>JVD50*JVE50*JVF50</f>
        <v>#DIV/0!</v>
      </c>
      <c r="JVH50" s="363" t="s">
        <v>153</v>
      </c>
      <c r="JVI50" s="363"/>
      <c r="JVJ50" s="363"/>
      <c r="JVK50" s="364" t="s">
        <v>140</v>
      </c>
      <c r="JVL50" s="365">
        <v>0.5</v>
      </c>
      <c r="JVM50" s="366" t="e">
        <f>10/JVI48</f>
        <v>#DIV/0!</v>
      </c>
      <c r="JVN50" s="367">
        <v>15.38</v>
      </c>
      <c r="JVO50" s="367" t="e">
        <f>JVL50*JVM50*JVN50</f>
        <v>#DIV/0!</v>
      </c>
      <c r="JVP50" s="363" t="s">
        <v>153</v>
      </c>
      <c r="JVQ50" s="363"/>
      <c r="JVR50" s="363"/>
      <c r="JVS50" s="364" t="s">
        <v>140</v>
      </c>
      <c r="JVT50" s="365">
        <v>0.5</v>
      </c>
      <c r="JVU50" s="366" t="e">
        <f>10/JVQ48</f>
        <v>#DIV/0!</v>
      </c>
      <c r="JVV50" s="367">
        <v>15.38</v>
      </c>
      <c r="JVW50" s="367" t="e">
        <f>JVT50*JVU50*JVV50</f>
        <v>#DIV/0!</v>
      </c>
      <c r="JVX50" s="363" t="s">
        <v>153</v>
      </c>
      <c r="JVY50" s="363"/>
      <c r="JVZ50" s="363"/>
      <c r="JWA50" s="364" t="s">
        <v>140</v>
      </c>
      <c r="JWB50" s="365">
        <v>0.5</v>
      </c>
      <c r="JWC50" s="366" t="e">
        <f>10/JVY48</f>
        <v>#DIV/0!</v>
      </c>
      <c r="JWD50" s="367">
        <v>15.38</v>
      </c>
      <c r="JWE50" s="367" t="e">
        <f>JWB50*JWC50*JWD50</f>
        <v>#DIV/0!</v>
      </c>
      <c r="JWF50" s="363" t="s">
        <v>153</v>
      </c>
      <c r="JWG50" s="363"/>
      <c r="JWH50" s="363"/>
      <c r="JWI50" s="364" t="s">
        <v>140</v>
      </c>
      <c r="JWJ50" s="365">
        <v>0.5</v>
      </c>
      <c r="JWK50" s="366" t="e">
        <f>10/JWG48</f>
        <v>#DIV/0!</v>
      </c>
      <c r="JWL50" s="367">
        <v>15.38</v>
      </c>
      <c r="JWM50" s="367" t="e">
        <f>JWJ50*JWK50*JWL50</f>
        <v>#DIV/0!</v>
      </c>
      <c r="JWN50" s="363" t="s">
        <v>153</v>
      </c>
      <c r="JWO50" s="363"/>
      <c r="JWP50" s="363"/>
      <c r="JWQ50" s="364" t="s">
        <v>140</v>
      </c>
      <c r="JWR50" s="365">
        <v>0.5</v>
      </c>
      <c r="JWS50" s="366" t="e">
        <f>10/JWO48</f>
        <v>#DIV/0!</v>
      </c>
      <c r="JWT50" s="367">
        <v>15.38</v>
      </c>
      <c r="JWU50" s="367" t="e">
        <f>JWR50*JWS50*JWT50</f>
        <v>#DIV/0!</v>
      </c>
      <c r="JWV50" s="363" t="s">
        <v>153</v>
      </c>
      <c r="JWW50" s="363"/>
      <c r="JWX50" s="363"/>
      <c r="JWY50" s="364" t="s">
        <v>140</v>
      </c>
      <c r="JWZ50" s="365">
        <v>0.5</v>
      </c>
      <c r="JXA50" s="366" t="e">
        <f>10/JWW48</f>
        <v>#DIV/0!</v>
      </c>
      <c r="JXB50" s="367">
        <v>15.38</v>
      </c>
      <c r="JXC50" s="367" t="e">
        <f>JWZ50*JXA50*JXB50</f>
        <v>#DIV/0!</v>
      </c>
      <c r="JXD50" s="363" t="s">
        <v>153</v>
      </c>
      <c r="JXE50" s="363"/>
      <c r="JXF50" s="363"/>
      <c r="JXG50" s="364" t="s">
        <v>140</v>
      </c>
      <c r="JXH50" s="365">
        <v>0.5</v>
      </c>
      <c r="JXI50" s="366" t="e">
        <f>10/JXE48</f>
        <v>#DIV/0!</v>
      </c>
      <c r="JXJ50" s="367">
        <v>15.38</v>
      </c>
      <c r="JXK50" s="367" t="e">
        <f>JXH50*JXI50*JXJ50</f>
        <v>#DIV/0!</v>
      </c>
      <c r="JXL50" s="363" t="s">
        <v>153</v>
      </c>
      <c r="JXM50" s="363"/>
      <c r="JXN50" s="363"/>
      <c r="JXO50" s="364" t="s">
        <v>140</v>
      </c>
      <c r="JXP50" s="365">
        <v>0.5</v>
      </c>
      <c r="JXQ50" s="366" t="e">
        <f>10/JXM48</f>
        <v>#DIV/0!</v>
      </c>
      <c r="JXR50" s="367">
        <v>15.38</v>
      </c>
      <c r="JXS50" s="367" t="e">
        <f>JXP50*JXQ50*JXR50</f>
        <v>#DIV/0!</v>
      </c>
      <c r="JXT50" s="363" t="s">
        <v>153</v>
      </c>
      <c r="JXU50" s="363"/>
      <c r="JXV50" s="363"/>
      <c r="JXW50" s="364" t="s">
        <v>140</v>
      </c>
      <c r="JXX50" s="365">
        <v>0.5</v>
      </c>
      <c r="JXY50" s="366" t="e">
        <f>10/JXU48</f>
        <v>#DIV/0!</v>
      </c>
      <c r="JXZ50" s="367">
        <v>15.38</v>
      </c>
      <c r="JYA50" s="367" t="e">
        <f>JXX50*JXY50*JXZ50</f>
        <v>#DIV/0!</v>
      </c>
      <c r="JYB50" s="363" t="s">
        <v>153</v>
      </c>
      <c r="JYC50" s="363"/>
      <c r="JYD50" s="363"/>
      <c r="JYE50" s="364" t="s">
        <v>140</v>
      </c>
      <c r="JYF50" s="365">
        <v>0.5</v>
      </c>
      <c r="JYG50" s="366" t="e">
        <f>10/JYC48</f>
        <v>#DIV/0!</v>
      </c>
      <c r="JYH50" s="367">
        <v>15.38</v>
      </c>
      <c r="JYI50" s="367" t="e">
        <f>JYF50*JYG50*JYH50</f>
        <v>#DIV/0!</v>
      </c>
      <c r="JYJ50" s="363" t="s">
        <v>153</v>
      </c>
      <c r="JYK50" s="363"/>
      <c r="JYL50" s="363"/>
      <c r="JYM50" s="364" t="s">
        <v>140</v>
      </c>
      <c r="JYN50" s="365">
        <v>0.5</v>
      </c>
      <c r="JYO50" s="366" t="e">
        <f>10/JYK48</f>
        <v>#DIV/0!</v>
      </c>
      <c r="JYP50" s="367">
        <v>15.38</v>
      </c>
      <c r="JYQ50" s="367" t="e">
        <f>JYN50*JYO50*JYP50</f>
        <v>#DIV/0!</v>
      </c>
      <c r="JYR50" s="363" t="s">
        <v>153</v>
      </c>
      <c r="JYS50" s="363"/>
      <c r="JYT50" s="363"/>
      <c r="JYU50" s="364" t="s">
        <v>140</v>
      </c>
      <c r="JYV50" s="365">
        <v>0.5</v>
      </c>
      <c r="JYW50" s="366" t="e">
        <f>10/JYS48</f>
        <v>#DIV/0!</v>
      </c>
      <c r="JYX50" s="367">
        <v>15.38</v>
      </c>
      <c r="JYY50" s="367" t="e">
        <f>JYV50*JYW50*JYX50</f>
        <v>#DIV/0!</v>
      </c>
      <c r="JYZ50" s="363" t="s">
        <v>153</v>
      </c>
      <c r="JZA50" s="363"/>
      <c r="JZB50" s="363"/>
      <c r="JZC50" s="364" t="s">
        <v>140</v>
      </c>
      <c r="JZD50" s="365">
        <v>0.5</v>
      </c>
      <c r="JZE50" s="366" t="e">
        <f>10/JZA48</f>
        <v>#DIV/0!</v>
      </c>
      <c r="JZF50" s="367">
        <v>15.38</v>
      </c>
      <c r="JZG50" s="367" t="e">
        <f>JZD50*JZE50*JZF50</f>
        <v>#DIV/0!</v>
      </c>
      <c r="JZH50" s="363" t="s">
        <v>153</v>
      </c>
      <c r="JZI50" s="363"/>
      <c r="JZJ50" s="363"/>
      <c r="JZK50" s="364" t="s">
        <v>140</v>
      </c>
      <c r="JZL50" s="365">
        <v>0.5</v>
      </c>
      <c r="JZM50" s="366" t="e">
        <f>10/JZI48</f>
        <v>#DIV/0!</v>
      </c>
      <c r="JZN50" s="367">
        <v>15.38</v>
      </c>
      <c r="JZO50" s="367" t="e">
        <f>JZL50*JZM50*JZN50</f>
        <v>#DIV/0!</v>
      </c>
      <c r="JZP50" s="363" t="s">
        <v>153</v>
      </c>
      <c r="JZQ50" s="363"/>
      <c r="JZR50" s="363"/>
      <c r="JZS50" s="364" t="s">
        <v>140</v>
      </c>
      <c r="JZT50" s="365">
        <v>0.5</v>
      </c>
      <c r="JZU50" s="366" t="e">
        <f>10/JZQ48</f>
        <v>#DIV/0!</v>
      </c>
      <c r="JZV50" s="367">
        <v>15.38</v>
      </c>
      <c r="JZW50" s="367" t="e">
        <f>JZT50*JZU50*JZV50</f>
        <v>#DIV/0!</v>
      </c>
      <c r="JZX50" s="363" t="s">
        <v>153</v>
      </c>
      <c r="JZY50" s="363"/>
      <c r="JZZ50" s="363"/>
      <c r="KAA50" s="364" t="s">
        <v>140</v>
      </c>
      <c r="KAB50" s="365">
        <v>0.5</v>
      </c>
      <c r="KAC50" s="366" t="e">
        <f>10/JZY48</f>
        <v>#DIV/0!</v>
      </c>
      <c r="KAD50" s="367">
        <v>15.38</v>
      </c>
      <c r="KAE50" s="367" t="e">
        <f>KAB50*KAC50*KAD50</f>
        <v>#DIV/0!</v>
      </c>
      <c r="KAF50" s="363" t="s">
        <v>153</v>
      </c>
      <c r="KAG50" s="363"/>
      <c r="KAH50" s="363"/>
      <c r="KAI50" s="364" t="s">
        <v>140</v>
      </c>
      <c r="KAJ50" s="365">
        <v>0.5</v>
      </c>
      <c r="KAK50" s="366" t="e">
        <f>10/KAG48</f>
        <v>#DIV/0!</v>
      </c>
      <c r="KAL50" s="367">
        <v>15.38</v>
      </c>
      <c r="KAM50" s="367" t="e">
        <f>KAJ50*KAK50*KAL50</f>
        <v>#DIV/0!</v>
      </c>
      <c r="KAN50" s="363" t="s">
        <v>153</v>
      </c>
      <c r="KAO50" s="363"/>
      <c r="KAP50" s="363"/>
      <c r="KAQ50" s="364" t="s">
        <v>140</v>
      </c>
      <c r="KAR50" s="365">
        <v>0.5</v>
      </c>
      <c r="KAS50" s="366" t="e">
        <f>10/KAO48</f>
        <v>#DIV/0!</v>
      </c>
      <c r="KAT50" s="367">
        <v>15.38</v>
      </c>
      <c r="KAU50" s="367" t="e">
        <f>KAR50*KAS50*KAT50</f>
        <v>#DIV/0!</v>
      </c>
      <c r="KAV50" s="363" t="s">
        <v>153</v>
      </c>
      <c r="KAW50" s="363"/>
      <c r="KAX50" s="363"/>
      <c r="KAY50" s="364" t="s">
        <v>140</v>
      </c>
      <c r="KAZ50" s="365">
        <v>0.5</v>
      </c>
      <c r="KBA50" s="366" t="e">
        <f>10/KAW48</f>
        <v>#DIV/0!</v>
      </c>
      <c r="KBB50" s="367">
        <v>15.38</v>
      </c>
      <c r="KBC50" s="367" t="e">
        <f>KAZ50*KBA50*KBB50</f>
        <v>#DIV/0!</v>
      </c>
      <c r="KBD50" s="363" t="s">
        <v>153</v>
      </c>
      <c r="KBE50" s="363"/>
      <c r="KBF50" s="363"/>
      <c r="KBG50" s="364" t="s">
        <v>140</v>
      </c>
      <c r="KBH50" s="365">
        <v>0.5</v>
      </c>
      <c r="KBI50" s="366" t="e">
        <f>10/KBE48</f>
        <v>#DIV/0!</v>
      </c>
      <c r="KBJ50" s="367">
        <v>15.38</v>
      </c>
      <c r="KBK50" s="367" t="e">
        <f>KBH50*KBI50*KBJ50</f>
        <v>#DIV/0!</v>
      </c>
      <c r="KBL50" s="363" t="s">
        <v>153</v>
      </c>
      <c r="KBM50" s="363"/>
      <c r="KBN50" s="363"/>
      <c r="KBO50" s="364" t="s">
        <v>140</v>
      </c>
      <c r="KBP50" s="365">
        <v>0.5</v>
      </c>
      <c r="KBQ50" s="366" t="e">
        <f>10/KBM48</f>
        <v>#DIV/0!</v>
      </c>
      <c r="KBR50" s="367">
        <v>15.38</v>
      </c>
      <c r="KBS50" s="367" t="e">
        <f>KBP50*KBQ50*KBR50</f>
        <v>#DIV/0!</v>
      </c>
      <c r="KBT50" s="363" t="s">
        <v>153</v>
      </c>
      <c r="KBU50" s="363"/>
      <c r="KBV50" s="363"/>
      <c r="KBW50" s="364" t="s">
        <v>140</v>
      </c>
      <c r="KBX50" s="365">
        <v>0.5</v>
      </c>
      <c r="KBY50" s="366" t="e">
        <f>10/KBU48</f>
        <v>#DIV/0!</v>
      </c>
      <c r="KBZ50" s="367">
        <v>15.38</v>
      </c>
      <c r="KCA50" s="367" t="e">
        <f>KBX50*KBY50*KBZ50</f>
        <v>#DIV/0!</v>
      </c>
      <c r="KCB50" s="363" t="s">
        <v>153</v>
      </c>
      <c r="KCC50" s="363"/>
      <c r="KCD50" s="363"/>
      <c r="KCE50" s="364" t="s">
        <v>140</v>
      </c>
      <c r="KCF50" s="365">
        <v>0.5</v>
      </c>
      <c r="KCG50" s="366" t="e">
        <f>10/KCC48</f>
        <v>#DIV/0!</v>
      </c>
      <c r="KCH50" s="367">
        <v>15.38</v>
      </c>
      <c r="KCI50" s="367" t="e">
        <f>KCF50*KCG50*KCH50</f>
        <v>#DIV/0!</v>
      </c>
      <c r="KCJ50" s="363" t="s">
        <v>153</v>
      </c>
      <c r="KCK50" s="363"/>
      <c r="KCL50" s="363"/>
      <c r="KCM50" s="364" t="s">
        <v>140</v>
      </c>
      <c r="KCN50" s="365">
        <v>0.5</v>
      </c>
      <c r="KCO50" s="366" t="e">
        <f>10/KCK48</f>
        <v>#DIV/0!</v>
      </c>
      <c r="KCP50" s="367">
        <v>15.38</v>
      </c>
      <c r="KCQ50" s="367" t="e">
        <f>KCN50*KCO50*KCP50</f>
        <v>#DIV/0!</v>
      </c>
      <c r="KCR50" s="363" t="s">
        <v>153</v>
      </c>
      <c r="KCS50" s="363"/>
      <c r="KCT50" s="363"/>
      <c r="KCU50" s="364" t="s">
        <v>140</v>
      </c>
      <c r="KCV50" s="365">
        <v>0.5</v>
      </c>
      <c r="KCW50" s="366" t="e">
        <f>10/KCS48</f>
        <v>#DIV/0!</v>
      </c>
      <c r="KCX50" s="367">
        <v>15.38</v>
      </c>
      <c r="KCY50" s="367" t="e">
        <f>KCV50*KCW50*KCX50</f>
        <v>#DIV/0!</v>
      </c>
      <c r="KCZ50" s="363" t="s">
        <v>153</v>
      </c>
      <c r="KDA50" s="363"/>
      <c r="KDB50" s="363"/>
      <c r="KDC50" s="364" t="s">
        <v>140</v>
      </c>
      <c r="KDD50" s="365">
        <v>0.5</v>
      </c>
      <c r="KDE50" s="366" t="e">
        <f>10/KDA48</f>
        <v>#DIV/0!</v>
      </c>
      <c r="KDF50" s="367">
        <v>15.38</v>
      </c>
      <c r="KDG50" s="367" t="e">
        <f>KDD50*KDE50*KDF50</f>
        <v>#DIV/0!</v>
      </c>
      <c r="KDH50" s="363" t="s">
        <v>153</v>
      </c>
      <c r="KDI50" s="363"/>
      <c r="KDJ50" s="363"/>
      <c r="KDK50" s="364" t="s">
        <v>140</v>
      </c>
      <c r="KDL50" s="365">
        <v>0.5</v>
      </c>
      <c r="KDM50" s="366" t="e">
        <f>10/KDI48</f>
        <v>#DIV/0!</v>
      </c>
      <c r="KDN50" s="367">
        <v>15.38</v>
      </c>
      <c r="KDO50" s="367" t="e">
        <f>KDL50*KDM50*KDN50</f>
        <v>#DIV/0!</v>
      </c>
      <c r="KDP50" s="363" t="s">
        <v>153</v>
      </c>
      <c r="KDQ50" s="363"/>
      <c r="KDR50" s="363"/>
      <c r="KDS50" s="364" t="s">
        <v>140</v>
      </c>
      <c r="KDT50" s="365">
        <v>0.5</v>
      </c>
      <c r="KDU50" s="366" t="e">
        <f>10/KDQ48</f>
        <v>#DIV/0!</v>
      </c>
      <c r="KDV50" s="367">
        <v>15.38</v>
      </c>
      <c r="KDW50" s="367" t="e">
        <f>KDT50*KDU50*KDV50</f>
        <v>#DIV/0!</v>
      </c>
      <c r="KDX50" s="363" t="s">
        <v>153</v>
      </c>
      <c r="KDY50" s="363"/>
      <c r="KDZ50" s="363"/>
      <c r="KEA50" s="364" t="s">
        <v>140</v>
      </c>
      <c r="KEB50" s="365">
        <v>0.5</v>
      </c>
      <c r="KEC50" s="366" t="e">
        <f>10/KDY48</f>
        <v>#DIV/0!</v>
      </c>
      <c r="KED50" s="367">
        <v>15.38</v>
      </c>
      <c r="KEE50" s="367" t="e">
        <f>KEB50*KEC50*KED50</f>
        <v>#DIV/0!</v>
      </c>
      <c r="KEF50" s="363" t="s">
        <v>153</v>
      </c>
      <c r="KEG50" s="363"/>
      <c r="KEH50" s="363"/>
      <c r="KEI50" s="364" t="s">
        <v>140</v>
      </c>
      <c r="KEJ50" s="365">
        <v>0.5</v>
      </c>
      <c r="KEK50" s="366" t="e">
        <f>10/KEG48</f>
        <v>#DIV/0!</v>
      </c>
      <c r="KEL50" s="367">
        <v>15.38</v>
      </c>
      <c r="KEM50" s="367" t="e">
        <f>KEJ50*KEK50*KEL50</f>
        <v>#DIV/0!</v>
      </c>
      <c r="KEN50" s="363" t="s">
        <v>153</v>
      </c>
      <c r="KEO50" s="363"/>
      <c r="KEP50" s="363"/>
      <c r="KEQ50" s="364" t="s">
        <v>140</v>
      </c>
      <c r="KER50" s="365">
        <v>0.5</v>
      </c>
      <c r="KES50" s="366" t="e">
        <f>10/KEO48</f>
        <v>#DIV/0!</v>
      </c>
      <c r="KET50" s="367">
        <v>15.38</v>
      </c>
      <c r="KEU50" s="367" t="e">
        <f>KER50*KES50*KET50</f>
        <v>#DIV/0!</v>
      </c>
      <c r="KEV50" s="363" t="s">
        <v>153</v>
      </c>
      <c r="KEW50" s="363"/>
      <c r="KEX50" s="363"/>
      <c r="KEY50" s="364" t="s">
        <v>140</v>
      </c>
      <c r="KEZ50" s="365">
        <v>0.5</v>
      </c>
      <c r="KFA50" s="366" t="e">
        <f>10/KEW48</f>
        <v>#DIV/0!</v>
      </c>
      <c r="KFB50" s="367">
        <v>15.38</v>
      </c>
      <c r="KFC50" s="367" t="e">
        <f>KEZ50*KFA50*KFB50</f>
        <v>#DIV/0!</v>
      </c>
      <c r="KFD50" s="363" t="s">
        <v>153</v>
      </c>
      <c r="KFE50" s="363"/>
      <c r="KFF50" s="363"/>
      <c r="KFG50" s="364" t="s">
        <v>140</v>
      </c>
      <c r="KFH50" s="365">
        <v>0.5</v>
      </c>
      <c r="KFI50" s="366" t="e">
        <f>10/KFE48</f>
        <v>#DIV/0!</v>
      </c>
      <c r="KFJ50" s="367">
        <v>15.38</v>
      </c>
      <c r="KFK50" s="367" t="e">
        <f>KFH50*KFI50*KFJ50</f>
        <v>#DIV/0!</v>
      </c>
      <c r="KFL50" s="363" t="s">
        <v>153</v>
      </c>
      <c r="KFM50" s="363"/>
      <c r="KFN50" s="363"/>
      <c r="KFO50" s="364" t="s">
        <v>140</v>
      </c>
      <c r="KFP50" s="365">
        <v>0.5</v>
      </c>
      <c r="KFQ50" s="366" t="e">
        <f>10/KFM48</f>
        <v>#DIV/0!</v>
      </c>
      <c r="KFR50" s="367">
        <v>15.38</v>
      </c>
      <c r="KFS50" s="367" t="e">
        <f>KFP50*KFQ50*KFR50</f>
        <v>#DIV/0!</v>
      </c>
      <c r="KFT50" s="363" t="s">
        <v>153</v>
      </c>
      <c r="KFU50" s="363"/>
      <c r="KFV50" s="363"/>
      <c r="KFW50" s="364" t="s">
        <v>140</v>
      </c>
      <c r="KFX50" s="365">
        <v>0.5</v>
      </c>
      <c r="KFY50" s="366" t="e">
        <f>10/KFU48</f>
        <v>#DIV/0!</v>
      </c>
      <c r="KFZ50" s="367">
        <v>15.38</v>
      </c>
      <c r="KGA50" s="367" t="e">
        <f>KFX50*KFY50*KFZ50</f>
        <v>#DIV/0!</v>
      </c>
      <c r="KGB50" s="363" t="s">
        <v>153</v>
      </c>
      <c r="KGC50" s="363"/>
      <c r="KGD50" s="363"/>
      <c r="KGE50" s="364" t="s">
        <v>140</v>
      </c>
      <c r="KGF50" s="365">
        <v>0.5</v>
      </c>
      <c r="KGG50" s="366" t="e">
        <f>10/KGC48</f>
        <v>#DIV/0!</v>
      </c>
      <c r="KGH50" s="367">
        <v>15.38</v>
      </c>
      <c r="KGI50" s="367" t="e">
        <f>KGF50*KGG50*KGH50</f>
        <v>#DIV/0!</v>
      </c>
      <c r="KGJ50" s="363" t="s">
        <v>153</v>
      </c>
      <c r="KGK50" s="363"/>
      <c r="KGL50" s="363"/>
      <c r="KGM50" s="364" t="s">
        <v>140</v>
      </c>
      <c r="KGN50" s="365">
        <v>0.5</v>
      </c>
      <c r="KGO50" s="366" t="e">
        <f>10/KGK48</f>
        <v>#DIV/0!</v>
      </c>
      <c r="KGP50" s="367">
        <v>15.38</v>
      </c>
      <c r="KGQ50" s="367" t="e">
        <f>KGN50*KGO50*KGP50</f>
        <v>#DIV/0!</v>
      </c>
      <c r="KGR50" s="363" t="s">
        <v>153</v>
      </c>
      <c r="KGS50" s="363"/>
      <c r="KGT50" s="363"/>
      <c r="KGU50" s="364" t="s">
        <v>140</v>
      </c>
      <c r="KGV50" s="365">
        <v>0.5</v>
      </c>
      <c r="KGW50" s="366" t="e">
        <f>10/KGS48</f>
        <v>#DIV/0!</v>
      </c>
      <c r="KGX50" s="367">
        <v>15.38</v>
      </c>
      <c r="KGY50" s="367" t="e">
        <f>KGV50*KGW50*KGX50</f>
        <v>#DIV/0!</v>
      </c>
      <c r="KGZ50" s="363" t="s">
        <v>153</v>
      </c>
      <c r="KHA50" s="363"/>
      <c r="KHB50" s="363"/>
      <c r="KHC50" s="364" t="s">
        <v>140</v>
      </c>
      <c r="KHD50" s="365">
        <v>0.5</v>
      </c>
      <c r="KHE50" s="366" t="e">
        <f>10/KHA48</f>
        <v>#DIV/0!</v>
      </c>
      <c r="KHF50" s="367">
        <v>15.38</v>
      </c>
      <c r="KHG50" s="367" t="e">
        <f>KHD50*KHE50*KHF50</f>
        <v>#DIV/0!</v>
      </c>
      <c r="KHH50" s="363" t="s">
        <v>153</v>
      </c>
      <c r="KHI50" s="363"/>
      <c r="KHJ50" s="363"/>
      <c r="KHK50" s="364" t="s">
        <v>140</v>
      </c>
      <c r="KHL50" s="365">
        <v>0.5</v>
      </c>
      <c r="KHM50" s="366" t="e">
        <f>10/KHI48</f>
        <v>#DIV/0!</v>
      </c>
      <c r="KHN50" s="367">
        <v>15.38</v>
      </c>
      <c r="KHO50" s="367" t="e">
        <f>KHL50*KHM50*KHN50</f>
        <v>#DIV/0!</v>
      </c>
      <c r="KHP50" s="363" t="s">
        <v>153</v>
      </c>
      <c r="KHQ50" s="363"/>
      <c r="KHR50" s="363"/>
      <c r="KHS50" s="364" t="s">
        <v>140</v>
      </c>
      <c r="KHT50" s="365">
        <v>0.5</v>
      </c>
      <c r="KHU50" s="366" t="e">
        <f>10/KHQ48</f>
        <v>#DIV/0!</v>
      </c>
      <c r="KHV50" s="367">
        <v>15.38</v>
      </c>
      <c r="KHW50" s="367" t="e">
        <f>KHT50*KHU50*KHV50</f>
        <v>#DIV/0!</v>
      </c>
      <c r="KHX50" s="363" t="s">
        <v>153</v>
      </c>
      <c r="KHY50" s="363"/>
      <c r="KHZ50" s="363"/>
      <c r="KIA50" s="364" t="s">
        <v>140</v>
      </c>
      <c r="KIB50" s="365">
        <v>0.5</v>
      </c>
      <c r="KIC50" s="366" t="e">
        <f>10/KHY48</f>
        <v>#DIV/0!</v>
      </c>
      <c r="KID50" s="367">
        <v>15.38</v>
      </c>
      <c r="KIE50" s="367" t="e">
        <f>KIB50*KIC50*KID50</f>
        <v>#DIV/0!</v>
      </c>
      <c r="KIF50" s="363" t="s">
        <v>153</v>
      </c>
      <c r="KIG50" s="363"/>
      <c r="KIH50" s="363"/>
      <c r="KII50" s="364" t="s">
        <v>140</v>
      </c>
      <c r="KIJ50" s="365">
        <v>0.5</v>
      </c>
      <c r="KIK50" s="366" t="e">
        <f>10/KIG48</f>
        <v>#DIV/0!</v>
      </c>
      <c r="KIL50" s="367">
        <v>15.38</v>
      </c>
      <c r="KIM50" s="367" t="e">
        <f>KIJ50*KIK50*KIL50</f>
        <v>#DIV/0!</v>
      </c>
      <c r="KIN50" s="363" t="s">
        <v>153</v>
      </c>
      <c r="KIO50" s="363"/>
      <c r="KIP50" s="363"/>
      <c r="KIQ50" s="364" t="s">
        <v>140</v>
      </c>
      <c r="KIR50" s="365">
        <v>0.5</v>
      </c>
      <c r="KIS50" s="366" t="e">
        <f>10/KIO48</f>
        <v>#DIV/0!</v>
      </c>
      <c r="KIT50" s="367">
        <v>15.38</v>
      </c>
      <c r="KIU50" s="367" t="e">
        <f>KIR50*KIS50*KIT50</f>
        <v>#DIV/0!</v>
      </c>
      <c r="KIV50" s="363" t="s">
        <v>153</v>
      </c>
      <c r="KIW50" s="363"/>
      <c r="KIX50" s="363"/>
      <c r="KIY50" s="364" t="s">
        <v>140</v>
      </c>
      <c r="KIZ50" s="365">
        <v>0.5</v>
      </c>
      <c r="KJA50" s="366" t="e">
        <f>10/KIW48</f>
        <v>#DIV/0!</v>
      </c>
      <c r="KJB50" s="367">
        <v>15.38</v>
      </c>
      <c r="KJC50" s="367" t="e">
        <f>KIZ50*KJA50*KJB50</f>
        <v>#DIV/0!</v>
      </c>
      <c r="KJD50" s="363" t="s">
        <v>153</v>
      </c>
      <c r="KJE50" s="363"/>
      <c r="KJF50" s="363"/>
      <c r="KJG50" s="364" t="s">
        <v>140</v>
      </c>
      <c r="KJH50" s="365">
        <v>0.5</v>
      </c>
      <c r="KJI50" s="366" t="e">
        <f>10/KJE48</f>
        <v>#DIV/0!</v>
      </c>
      <c r="KJJ50" s="367">
        <v>15.38</v>
      </c>
      <c r="KJK50" s="367" t="e">
        <f>KJH50*KJI50*KJJ50</f>
        <v>#DIV/0!</v>
      </c>
      <c r="KJL50" s="363" t="s">
        <v>153</v>
      </c>
      <c r="KJM50" s="363"/>
      <c r="KJN50" s="363"/>
      <c r="KJO50" s="364" t="s">
        <v>140</v>
      </c>
      <c r="KJP50" s="365">
        <v>0.5</v>
      </c>
      <c r="KJQ50" s="366" t="e">
        <f>10/KJM48</f>
        <v>#DIV/0!</v>
      </c>
      <c r="KJR50" s="367">
        <v>15.38</v>
      </c>
      <c r="KJS50" s="367" t="e">
        <f>KJP50*KJQ50*KJR50</f>
        <v>#DIV/0!</v>
      </c>
      <c r="KJT50" s="363" t="s">
        <v>153</v>
      </c>
      <c r="KJU50" s="363"/>
      <c r="KJV50" s="363"/>
      <c r="KJW50" s="364" t="s">
        <v>140</v>
      </c>
      <c r="KJX50" s="365">
        <v>0.5</v>
      </c>
      <c r="KJY50" s="366" t="e">
        <f>10/KJU48</f>
        <v>#DIV/0!</v>
      </c>
      <c r="KJZ50" s="367">
        <v>15.38</v>
      </c>
      <c r="KKA50" s="367" t="e">
        <f>KJX50*KJY50*KJZ50</f>
        <v>#DIV/0!</v>
      </c>
      <c r="KKB50" s="363" t="s">
        <v>153</v>
      </c>
      <c r="KKC50" s="363"/>
      <c r="KKD50" s="363"/>
      <c r="KKE50" s="364" t="s">
        <v>140</v>
      </c>
      <c r="KKF50" s="365">
        <v>0.5</v>
      </c>
      <c r="KKG50" s="366" t="e">
        <f>10/KKC48</f>
        <v>#DIV/0!</v>
      </c>
      <c r="KKH50" s="367">
        <v>15.38</v>
      </c>
      <c r="KKI50" s="367" t="e">
        <f>KKF50*KKG50*KKH50</f>
        <v>#DIV/0!</v>
      </c>
      <c r="KKJ50" s="363" t="s">
        <v>153</v>
      </c>
      <c r="KKK50" s="363"/>
      <c r="KKL50" s="363"/>
      <c r="KKM50" s="364" t="s">
        <v>140</v>
      </c>
      <c r="KKN50" s="365">
        <v>0.5</v>
      </c>
      <c r="KKO50" s="366" t="e">
        <f>10/KKK48</f>
        <v>#DIV/0!</v>
      </c>
      <c r="KKP50" s="367">
        <v>15.38</v>
      </c>
      <c r="KKQ50" s="367" t="e">
        <f>KKN50*KKO50*KKP50</f>
        <v>#DIV/0!</v>
      </c>
      <c r="KKR50" s="363" t="s">
        <v>153</v>
      </c>
      <c r="KKS50" s="363"/>
      <c r="KKT50" s="363"/>
      <c r="KKU50" s="364" t="s">
        <v>140</v>
      </c>
      <c r="KKV50" s="365">
        <v>0.5</v>
      </c>
      <c r="KKW50" s="366" t="e">
        <f>10/KKS48</f>
        <v>#DIV/0!</v>
      </c>
      <c r="KKX50" s="367">
        <v>15.38</v>
      </c>
      <c r="KKY50" s="367" t="e">
        <f>KKV50*KKW50*KKX50</f>
        <v>#DIV/0!</v>
      </c>
      <c r="KKZ50" s="363" t="s">
        <v>153</v>
      </c>
      <c r="KLA50" s="363"/>
      <c r="KLB50" s="363"/>
      <c r="KLC50" s="364" t="s">
        <v>140</v>
      </c>
      <c r="KLD50" s="365">
        <v>0.5</v>
      </c>
      <c r="KLE50" s="366" t="e">
        <f>10/KLA48</f>
        <v>#DIV/0!</v>
      </c>
      <c r="KLF50" s="367">
        <v>15.38</v>
      </c>
      <c r="KLG50" s="367" t="e">
        <f>KLD50*KLE50*KLF50</f>
        <v>#DIV/0!</v>
      </c>
      <c r="KLH50" s="363" t="s">
        <v>153</v>
      </c>
      <c r="KLI50" s="363"/>
      <c r="KLJ50" s="363"/>
      <c r="KLK50" s="364" t="s">
        <v>140</v>
      </c>
      <c r="KLL50" s="365">
        <v>0.5</v>
      </c>
      <c r="KLM50" s="366" t="e">
        <f>10/KLI48</f>
        <v>#DIV/0!</v>
      </c>
      <c r="KLN50" s="367">
        <v>15.38</v>
      </c>
      <c r="KLO50" s="367" t="e">
        <f>KLL50*KLM50*KLN50</f>
        <v>#DIV/0!</v>
      </c>
      <c r="KLP50" s="363" t="s">
        <v>153</v>
      </c>
      <c r="KLQ50" s="363"/>
      <c r="KLR50" s="363"/>
      <c r="KLS50" s="364" t="s">
        <v>140</v>
      </c>
      <c r="KLT50" s="365">
        <v>0.5</v>
      </c>
      <c r="KLU50" s="366" t="e">
        <f>10/KLQ48</f>
        <v>#DIV/0!</v>
      </c>
      <c r="KLV50" s="367">
        <v>15.38</v>
      </c>
      <c r="KLW50" s="367" t="e">
        <f>KLT50*KLU50*KLV50</f>
        <v>#DIV/0!</v>
      </c>
      <c r="KLX50" s="363" t="s">
        <v>153</v>
      </c>
      <c r="KLY50" s="363"/>
      <c r="KLZ50" s="363"/>
      <c r="KMA50" s="364" t="s">
        <v>140</v>
      </c>
      <c r="KMB50" s="365">
        <v>0.5</v>
      </c>
      <c r="KMC50" s="366" t="e">
        <f>10/KLY48</f>
        <v>#DIV/0!</v>
      </c>
      <c r="KMD50" s="367">
        <v>15.38</v>
      </c>
      <c r="KME50" s="367" t="e">
        <f>KMB50*KMC50*KMD50</f>
        <v>#DIV/0!</v>
      </c>
      <c r="KMF50" s="363" t="s">
        <v>153</v>
      </c>
      <c r="KMG50" s="363"/>
      <c r="KMH50" s="363"/>
      <c r="KMI50" s="364" t="s">
        <v>140</v>
      </c>
      <c r="KMJ50" s="365">
        <v>0.5</v>
      </c>
      <c r="KMK50" s="366" t="e">
        <f>10/KMG48</f>
        <v>#DIV/0!</v>
      </c>
      <c r="KML50" s="367">
        <v>15.38</v>
      </c>
      <c r="KMM50" s="367" t="e">
        <f>KMJ50*KMK50*KML50</f>
        <v>#DIV/0!</v>
      </c>
      <c r="KMN50" s="363" t="s">
        <v>153</v>
      </c>
      <c r="KMO50" s="363"/>
      <c r="KMP50" s="363"/>
      <c r="KMQ50" s="364" t="s">
        <v>140</v>
      </c>
      <c r="KMR50" s="365">
        <v>0.5</v>
      </c>
      <c r="KMS50" s="366" t="e">
        <f>10/KMO48</f>
        <v>#DIV/0!</v>
      </c>
      <c r="KMT50" s="367">
        <v>15.38</v>
      </c>
      <c r="KMU50" s="367" t="e">
        <f>KMR50*KMS50*KMT50</f>
        <v>#DIV/0!</v>
      </c>
      <c r="KMV50" s="363" t="s">
        <v>153</v>
      </c>
      <c r="KMW50" s="363"/>
      <c r="KMX50" s="363"/>
      <c r="KMY50" s="364" t="s">
        <v>140</v>
      </c>
      <c r="KMZ50" s="365">
        <v>0.5</v>
      </c>
      <c r="KNA50" s="366" t="e">
        <f>10/KMW48</f>
        <v>#DIV/0!</v>
      </c>
      <c r="KNB50" s="367">
        <v>15.38</v>
      </c>
      <c r="KNC50" s="367" t="e">
        <f>KMZ50*KNA50*KNB50</f>
        <v>#DIV/0!</v>
      </c>
      <c r="KND50" s="363" t="s">
        <v>153</v>
      </c>
      <c r="KNE50" s="363"/>
      <c r="KNF50" s="363"/>
      <c r="KNG50" s="364" t="s">
        <v>140</v>
      </c>
      <c r="KNH50" s="365">
        <v>0.5</v>
      </c>
      <c r="KNI50" s="366" t="e">
        <f>10/KNE48</f>
        <v>#DIV/0!</v>
      </c>
      <c r="KNJ50" s="367">
        <v>15.38</v>
      </c>
      <c r="KNK50" s="367" t="e">
        <f>KNH50*KNI50*KNJ50</f>
        <v>#DIV/0!</v>
      </c>
      <c r="KNL50" s="363" t="s">
        <v>153</v>
      </c>
      <c r="KNM50" s="363"/>
      <c r="KNN50" s="363"/>
      <c r="KNO50" s="364" t="s">
        <v>140</v>
      </c>
      <c r="KNP50" s="365">
        <v>0.5</v>
      </c>
      <c r="KNQ50" s="366" t="e">
        <f>10/KNM48</f>
        <v>#DIV/0!</v>
      </c>
      <c r="KNR50" s="367">
        <v>15.38</v>
      </c>
      <c r="KNS50" s="367" t="e">
        <f>KNP50*KNQ50*KNR50</f>
        <v>#DIV/0!</v>
      </c>
      <c r="KNT50" s="363" t="s">
        <v>153</v>
      </c>
      <c r="KNU50" s="363"/>
      <c r="KNV50" s="363"/>
      <c r="KNW50" s="364" t="s">
        <v>140</v>
      </c>
      <c r="KNX50" s="365">
        <v>0.5</v>
      </c>
      <c r="KNY50" s="366" t="e">
        <f>10/KNU48</f>
        <v>#DIV/0!</v>
      </c>
      <c r="KNZ50" s="367">
        <v>15.38</v>
      </c>
      <c r="KOA50" s="367" t="e">
        <f>KNX50*KNY50*KNZ50</f>
        <v>#DIV/0!</v>
      </c>
      <c r="KOB50" s="363" t="s">
        <v>153</v>
      </c>
      <c r="KOC50" s="363"/>
      <c r="KOD50" s="363"/>
      <c r="KOE50" s="364" t="s">
        <v>140</v>
      </c>
      <c r="KOF50" s="365">
        <v>0.5</v>
      </c>
      <c r="KOG50" s="366" t="e">
        <f>10/KOC48</f>
        <v>#DIV/0!</v>
      </c>
      <c r="KOH50" s="367">
        <v>15.38</v>
      </c>
      <c r="KOI50" s="367" t="e">
        <f>KOF50*KOG50*KOH50</f>
        <v>#DIV/0!</v>
      </c>
      <c r="KOJ50" s="363" t="s">
        <v>153</v>
      </c>
      <c r="KOK50" s="363"/>
      <c r="KOL50" s="363"/>
      <c r="KOM50" s="364" t="s">
        <v>140</v>
      </c>
      <c r="KON50" s="365">
        <v>0.5</v>
      </c>
      <c r="KOO50" s="366" t="e">
        <f>10/KOK48</f>
        <v>#DIV/0!</v>
      </c>
      <c r="KOP50" s="367">
        <v>15.38</v>
      </c>
      <c r="KOQ50" s="367" t="e">
        <f>KON50*KOO50*KOP50</f>
        <v>#DIV/0!</v>
      </c>
      <c r="KOR50" s="363" t="s">
        <v>153</v>
      </c>
      <c r="KOS50" s="363"/>
      <c r="KOT50" s="363"/>
      <c r="KOU50" s="364" t="s">
        <v>140</v>
      </c>
      <c r="KOV50" s="365">
        <v>0.5</v>
      </c>
      <c r="KOW50" s="366" t="e">
        <f>10/KOS48</f>
        <v>#DIV/0!</v>
      </c>
      <c r="KOX50" s="367">
        <v>15.38</v>
      </c>
      <c r="KOY50" s="367" t="e">
        <f>KOV50*KOW50*KOX50</f>
        <v>#DIV/0!</v>
      </c>
      <c r="KOZ50" s="363" t="s">
        <v>153</v>
      </c>
      <c r="KPA50" s="363"/>
      <c r="KPB50" s="363"/>
      <c r="KPC50" s="364" t="s">
        <v>140</v>
      </c>
      <c r="KPD50" s="365">
        <v>0.5</v>
      </c>
      <c r="KPE50" s="366" t="e">
        <f>10/KPA48</f>
        <v>#DIV/0!</v>
      </c>
      <c r="KPF50" s="367">
        <v>15.38</v>
      </c>
      <c r="KPG50" s="367" t="e">
        <f>KPD50*KPE50*KPF50</f>
        <v>#DIV/0!</v>
      </c>
      <c r="KPH50" s="363" t="s">
        <v>153</v>
      </c>
      <c r="KPI50" s="363"/>
      <c r="KPJ50" s="363"/>
      <c r="KPK50" s="364" t="s">
        <v>140</v>
      </c>
      <c r="KPL50" s="365">
        <v>0.5</v>
      </c>
      <c r="KPM50" s="366" t="e">
        <f>10/KPI48</f>
        <v>#DIV/0!</v>
      </c>
      <c r="KPN50" s="367">
        <v>15.38</v>
      </c>
      <c r="KPO50" s="367" t="e">
        <f>KPL50*KPM50*KPN50</f>
        <v>#DIV/0!</v>
      </c>
      <c r="KPP50" s="363" t="s">
        <v>153</v>
      </c>
      <c r="KPQ50" s="363"/>
      <c r="KPR50" s="363"/>
      <c r="KPS50" s="364" t="s">
        <v>140</v>
      </c>
      <c r="KPT50" s="365">
        <v>0.5</v>
      </c>
      <c r="KPU50" s="366" t="e">
        <f>10/KPQ48</f>
        <v>#DIV/0!</v>
      </c>
      <c r="KPV50" s="367">
        <v>15.38</v>
      </c>
      <c r="KPW50" s="367" t="e">
        <f>KPT50*KPU50*KPV50</f>
        <v>#DIV/0!</v>
      </c>
      <c r="KPX50" s="363" t="s">
        <v>153</v>
      </c>
      <c r="KPY50" s="363"/>
      <c r="KPZ50" s="363"/>
      <c r="KQA50" s="364" t="s">
        <v>140</v>
      </c>
      <c r="KQB50" s="365">
        <v>0.5</v>
      </c>
      <c r="KQC50" s="366" t="e">
        <f>10/KPY48</f>
        <v>#DIV/0!</v>
      </c>
      <c r="KQD50" s="367">
        <v>15.38</v>
      </c>
      <c r="KQE50" s="367" t="e">
        <f>KQB50*KQC50*KQD50</f>
        <v>#DIV/0!</v>
      </c>
      <c r="KQF50" s="363" t="s">
        <v>153</v>
      </c>
      <c r="KQG50" s="363"/>
      <c r="KQH50" s="363"/>
      <c r="KQI50" s="364" t="s">
        <v>140</v>
      </c>
      <c r="KQJ50" s="365">
        <v>0.5</v>
      </c>
      <c r="KQK50" s="366" t="e">
        <f>10/KQG48</f>
        <v>#DIV/0!</v>
      </c>
      <c r="KQL50" s="367">
        <v>15.38</v>
      </c>
      <c r="KQM50" s="367" t="e">
        <f>KQJ50*KQK50*KQL50</f>
        <v>#DIV/0!</v>
      </c>
      <c r="KQN50" s="363" t="s">
        <v>153</v>
      </c>
      <c r="KQO50" s="363"/>
      <c r="KQP50" s="363"/>
      <c r="KQQ50" s="364" t="s">
        <v>140</v>
      </c>
      <c r="KQR50" s="365">
        <v>0.5</v>
      </c>
      <c r="KQS50" s="366" t="e">
        <f>10/KQO48</f>
        <v>#DIV/0!</v>
      </c>
      <c r="KQT50" s="367">
        <v>15.38</v>
      </c>
      <c r="KQU50" s="367" t="e">
        <f>KQR50*KQS50*KQT50</f>
        <v>#DIV/0!</v>
      </c>
      <c r="KQV50" s="363" t="s">
        <v>153</v>
      </c>
      <c r="KQW50" s="363"/>
      <c r="KQX50" s="363"/>
      <c r="KQY50" s="364" t="s">
        <v>140</v>
      </c>
      <c r="KQZ50" s="365">
        <v>0.5</v>
      </c>
      <c r="KRA50" s="366" t="e">
        <f>10/KQW48</f>
        <v>#DIV/0!</v>
      </c>
      <c r="KRB50" s="367">
        <v>15.38</v>
      </c>
      <c r="KRC50" s="367" t="e">
        <f>KQZ50*KRA50*KRB50</f>
        <v>#DIV/0!</v>
      </c>
      <c r="KRD50" s="363" t="s">
        <v>153</v>
      </c>
      <c r="KRE50" s="363"/>
      <c r="KRF50" s="363"/>
      <c r="KRG50" s="364" t="s">
        <v>140</v>
      </c>
      <c r="KRH50" s="365">
        <v>0.5</v>
      </c>
      <c r="KRI50" s="366" t="e">
        <f>10/KRE48</f>
        <v>#DIV/0!</v>
      </c>
      <c r="KRJ50" s="367">
        <v>15.38</v>
      </c>
      <c r="KRK50" s="367" t="e">
        <f>KRH50*KRI50*KRJ50</f>
        <v>#DIV/0!</v>
      </c>
      <c r="KRL50" s="363" t="s">
        <v>153</v>
      </c>
      <c r="KRM50" s="363"/>
      <c r="KRN50" s="363"/>
      <c r="KRO50" s="364" t="s">
        <v>140</v>
      </c>
      <c r="KRP50" s="365">
        <v>0.5</v>
      </c>
      <c r="KRQ50" s="366" t="e">
        <f>10/KRM48</f>
        <v>#DIV/0!</v>
      </c>
      <c r="KRR50" s="367">
        <v>15.38</v>
      </c>
      <c r="KRS50" s="367" t="e">
        <f>KRP50*KRQ50*KRR50</f>
        <v>#DIV/0!</v>
      </c>
      <c r="KRT50" s="363" t="s">
        <v>153</v>
      </c>
      <c r="KRU50" s="363"/>
      <c r="KRV50" s="363"/>
      <c r="KRW50" s="364" t="s">
        <v>140</v>
      </c>
      <c r="KRX50" s="365">
        <v>0.5</v>
      </c>
      <c r="KRY50" s="366" t="e">
        <f>10/KRU48</f>
        <v>#DIV/0!</v>
      </c>
      <c r="KRZ50" s="367">
        <v>15.38</v>
      </c>
      <c r="KSA50" s="367" t="e">
        <f>KRX50*KRY50*KRZ50</f>
        <v>#DIV/0!</v>
      </c>
      <c r="KSB50" s="363" t="s">
        <v>153</v>
      </c>
      <c r="KSC50" s="363"/>
      <c r="KSD50" s="363"/>
      <c r="KSE50" s="364" t="s">
        <v>140</v>
      </c>
      <c r="KSF50" s="365">
        <v>0.5</v>
      </c>
      <c r="KSG50" s="366" t="e">
        <f>10/KSC48</f>
        <v>#DIV/0!</v>
      </c>
      <c r="KSH50" s="367">
        <v>15.38</v>
      </c>
      <c r="KSI50" s="367" t="e">
        <f>KSF50*KSG50*KSH50</f>
        <v>#DIV/0!</v>
      </c>
      <c r="KSJ50" s="363" t="s">
        <v>153</v>
      </c>
      <c r="KSK50" s="363"/>
      <c r="KSL50" s="363"/>
      <c r="KSM50" s="364" t="s">
        <v>140</v>
      </c>
      <c r="KSN50" s="365">
        <v>0.5</v>
      </c>
      <c r="KSO50" s="366" t="e">
        <f>10/KSK48</f>
        <v>#DIV/0!</v>
      </c>
      <c r="KSP50" s="367">
        <v>15.38</v>
      </c>
      <c r="KSQ50" s="367" t="e">
        <f>KSN50*KSO50*KSP50</f>
        <v>#DIV/0!</v>
      </c>
      <c r="KSR50" s="363" t="s">
        <v>153</v>
      </c>
      <c r="KSS50" s="363"/>
      <c r="KST50" s="363"/>
      <c r="KSU50" s="364" t="s">
        <v>140</v>
      </c>
      <c r="KSV50" s="365">
        <v>0.5</v>
      </c>
      <c r="KSW50" s="366" t="e">
        <f>10/KSS48</f>
        <v>#DIV/0!</v>
      </c>
      <c r="KSX50" s="367">
        <v>15.38</v>
      </c>
      <c r="KSY50" s="367" t="e">
        <f>KSV50*KSW50*KSX50</f>
        <v>#DIV/0!</v>
      </c>
      <c r="KSZ50" s="363" t="s">
        <v>153</v>
      </c>
      <c r="KTA50" s="363"/>
      <c r="KTB50" s="363"/>
      <c r="KTC50" s="364" t="s">
        <v>140</v>
      </c>
      <c r="KTD50" s="365">
        <v>0.5</v>
      </c>
      <c r="KTE50" s="366" t="e">
        <f>10/KTA48</f>
        <v>#DIV/0!</v>
      </c>
      <c r="KTF50" s="367">
        <v>15.38</v>
      </c>
      <c r="KTG50" s="367" t="e">
        <f>KTD50*KTE50*KTF50</f>
        <v>#DIV/0!</v>
      </c>
      <c r="KTH50" s="363" t="s">
        <v>153</v>
      </c>
      <c r="KTI50" s="363"/>
      <c r="KTJ50" s="363"/>
      <c r="KTK50" s="364" t="s">
        <v>140</v>
      </c>
      <c r="KTL50" s="365">
        <v>0.5</v>
      </c>
      <c r="KTM50" s="366" t="e">
        <f>10/KTI48</f>
        <v>#DIV/0!</v>
      </c>
      <c r="KTN50" s="367">
        <v>15.38</v>
      </c>
      <c r="KTO50" s="367" t="e">
        <f>KTL50*KTM50*KTN50</f>
        <v>#DIV/0!</v>
      </c>
      <c r="KTP50" s="363" t="s">
        <v>153</v>
      </c>
      <c r="KTQ50" s="363"/>
      <c r="KTR50" s="363"/>
      <c r="KTS50" s="364" t="s">
        <v>140</v>
      </c>
      <c r="KTT50" s="365">
        <v>0.5</v>
      </c>
      <c r="KTU50" s="366" t="e">
        <f>10/KTQ48</f>
        <v>#DIV/0!</v>
      </c>
      <c r="KTV50" s="367">
        <v>15.38</v>
      </c>
      <c r="KTW50" s="367" t="e">
        <f>KTT50*KTU50*KTV50</f>
        <v>#DIV/0!</v>
      </c>
      <c r="KTX50" s="363" t="s">
        <v>153</v>
      </c>
      <c r="KTY50" s="363"/>
      <c r="KTZ50" s="363"/>
      <c r="KUA50" s="364" t="s">
        <v>140</v>
      </c>
      <c r="KUB50" s="365">
        <v>0.5</v>
      </c>
      <c r="KUC50" s="366" t="e">
        <f>10/KTY48</f>
        <v>#DIV/0!</v>
      </c>
      <c r="KUD50" s="367">
        <v>15.38</v>
      </c>
      <c r="KUE50" s="367" t="e">
        <f>KUB50*KUC50*KUD50</f>
        <v>#DIV/0!</v>
      </c>
      <c r="KUF50" s="363" t="s">
        <v>153</v>
      </c>
      <c r="KUG50" s="363"/>
      <c r="KUH50" s="363"/>
      <c r="KUI50" s="364" t="s">
        <v>140</v>
      </c>
      <c r="KUJ50" s="365">
        <v>0.5</v>
      </c>
      <c r="KUK50" s="366" t="e">
        <f>10/KUG48</f>
        <v>#DIV/0!</v>
      </c>
      <c r="KUL50" s="367">
        <v>15.38</v>
      </c>
      <c r="KUM50" s="367" t="e">
        <f>KUJ50*KUK50*KUL50</f>
        <v>#DIV/0!</v>
      </c>
      <c r="KUN50" s="363" t="s">
        <v>153</v>
      </c>
      <c r="KUO50" s="363"/>
      <c r="KUP50" s="363"/>
      <c r="KUQ50" s="364" t="s">
        <v>140</v>
      </c>
      <c r="KUR50" s="365">
        <v>0.5</v>
      </c>
      <c r="KUS50" s="366" t="e">
        <f>10/KUO48</f>
        <v>#DIV/0!</v>
      </c>
      <c r="KUT50" s="367">
        <v>15.38</v>
      </c>
      <c r="KUU50" s="367" t="e">
        <f>KUR50*KUS50*KUT50</f>
        <v>#DIV/0!</v>
      </c>
      <c r="KUV50" s="363" t="s">
        <v>153</v>
      </c>
      <c r="KUW50" s="363"/>
      <c r="KUX50" s="363"/>
      <c r="KUY50" s="364" t="s">
        <v>140</v>
      </c>
      <c r="KUZ50" s="365">
        <v>0.5</v>
      </c>
      <c r="KVA50" s="366" t="e">
        <f>10/KUW48</f>
        <v>#DIV/0!</v>
      </c>
      <c r="KVB50" s="367">
        <v>15.38</v>
      </c>
      <c r="KVC50" s="367" t="e">
        <f>KUZ50*KVA50*KVB50</f>
        <v>#DIV/0!</v>
      </c>
      <c r="KVD50" s="363" t="s">
        <v>153</v>
      </c>
      <c r="KVE50" s="363"/>
      <c r="KVF50" s="363"/>
      <c r="KVG50" s="364" t="s">
        <v>140</v>
      </c>
      <c r="KVH50" s="365">
        <v>0.5</v>
      </c>
      <c r="KVI50" s="366" t="e">
        <f>10/KVE48</f>
        <v>#DIV/0!</v>
      </c>
      <c r="KVJ50" s="367">
        <v>15.38</v>
      </c>
      <c r="KVK50" s="367" t="e">
        <f>KVH50*KVI50*KVJ50</f>
        <v>#DIV/0!</v>
      </c>
      <c r="KVL50" s="363" t="s">
        <v>153</v>
      </c>
      <c r="KVM50" s="363"/>
      <c r="KVN50" s="363"/>
      <c r="KVO50" s="364" t="s">
        <v>140</v>
      </c>
      <c r="KVP50" s="365">
        <v>0.5</v>
      </c>
      <c r="KVQ50" s="366" t="e">
        <f>10/KVM48</f>
        <v>#DIV/0!</v>
      </c>
      <c r="KVR50" s="367">
        <v>15.38</v>
      </c>
      <c r="KVS50" s="367" t="e">
        <f>KVP50*KVQ50*KVR50</f>
        <v>#DIV/0!</v>
      </c>
      <c r="KVT50" s="363" t="s">
        <v>153</v>
      </c>
      <c r="KVU50" s="363"/>
      <c r="KVV50" s="363"/>
      <c r="KVW50" s="364" t="s">
        <v>140</v>
      </c>
      <c r="KVX50" s="365">
        <v>0.5</v>
      </c>
      <c r="KVY50" s="366" t="e">
        <f>10/KVU48</f>
        <v>#DIV/0!</v>
      </c>
      <c r="KVZ50" s="367">
        <v>15.38</v>
      </c>
      <c r="KWA50" s="367" t="e">
        <f>KVX50*KVY50*KVZ50</f>
        <v>#DIV/0!</v>
      </c>
      <c r="KWB50" s="363" t="s">
        <v>153</v>
      </c>
      <c r="KWC50" s="363"/>
      <c r="KWD50" s="363"/>
      <c r="KWE50" s="364" t="s">
        <v>140</v>
      </c>
      <c r="KWF50" s="365">
        <v>0.5</v>
      </c>
      <c r="KWG50" s="366" t="e">
        <f>10/KWC48</f>
        <v>#DIV/0!</v>
      </c>
      <c r="KWH50" s="367">
        <v>15.38</v>
      </c>
      <c r="KWI50" s="367" t="e">
        <f>KWF50*KWG50*KWH50</f>
        <v>#DIV/0!</v>
      </c>
      <c r="KWJ50" s="363" t="s">
        <v>153</v>
      </c>
      <c r="KWK50" s="363"/>
      <c r="KWL50" s="363"/>
      <c r="KWM50" s="364" t="s">
        <v>140</v>
      </c>
      <c r="KWN50" s="365">
        <v>0.5</v>
      </c>
      <c r="KWO50" s="366" t="e">
        <f>10/KWK48</f>
        <v>#DIV/0!</v>
      </c>
      <c r="KWP50" s="367">
        <v>15.38</v>
      </c>
      <c r="KWQ50" s="367" t="e">
        <f>KWN50*KWO50*KWP50</f>
        <v>#DIV/0!</v>
      </c>
      <c r="KWR50" s="363" t="s">
        <v>153</v>
      </c>
      <c r="KWS50" s="363"/>
      <c r="KWT50" s="363"/>
      <c r="KWU50" s="364" t="s">
        <v>140</v>
      </c>
      <c r="KWV50" s="365">
        <v>0.5</v>
      </c>
      <c r="KWW50" s="366" t="e">
        <f>10/KWS48</f>
        <v>#DIV/0!</v>
      </c>
      <c r="KWX50" s="367">
        <v>15.38</v>
      </c>
      <c r="KWY50" s="367" t="e">
        <f>KWV50*KWW50*KWX50</f>
        <v>#DIV/0!</v>
      </c>
      <c r="KWZ50" s="363" t="s">
        <v>153</v>
      </c>
      <c r="KXA50" s="363"/>
      <c r="KXB50" s="363"/>
      <c r="KXC50" s="364" t="s">
        <v>140</v>
      </c>
      <c r="KXD50" s="365">
        <v>0.5</v>
      </c>
      <c r="KXE50" s="366" t="e">
        <f>10/KXA48</f>
        <v>#DIV/0!</v>
      </c>
      <c r="KXF50" s="367">
        <v>15.38</v>
      </c>
      <c r="KXG50" s="367" t="e">
        <f>KXD50*KXE50*KXF50</f>
        <v>#DIV/0!</v>
      </c>
      <c r="KXH50" s="363" t="s">
        <v>153</v>
      </c>
      <c r="KXI50" s="363"/>
      <c r="KXJ50" s="363"/>
      <c r="KXK50" s="364" t="s">
        <v>140</v>
      </c>
      <c r="KXL50" s="365">
        <v>0.5</v>
      </c>
      <c r="KXM50" s="366" t="e">
        <f>10/KXI48</f>
        <v>#DIV/0!</v>
      </c>
      <c r="KXN50" s="367">
        <v>15.38</v>
      </c>
      <c r="KXO50" s="367" t="e">
        <f>KXL50*KXM50*KXN50</f>
        <v>#DIV/0!</v>
      </c>
      <c r="KXP50" s="363" t="s">
        <v>153</v>
      </c>
      <c r="KXQ50" s="363"/>
      <c r="KXR50" s="363"/>
      <c r="KXS50" s="364" t="s">
        <v>140</v>
      </c>
      <c r="KXT50" s="365">
        <v>0.5</v>
      </c>
      <c r="KXU50" s="366" t="e">
        <f>10/KXQ48</f>
        <v>#DIV/0!</v>
      </c>
      <c r="KXV50" s="367">
        <v>15.38</v>
      </c>
      <c r="KXW50" s="367" t="e">
        <f>KXT50*KXU50*KXV50</f>
        <v>#DIV/0!</v>
      </c>
      <c r="KXX50" s="363" t="s">
        <v>153</v>
      </c>
      <c r="KXY50" s="363"/>
      <c r="KXZ50" s="363"/>
      <c r="KYA50" s="364" t="s">
        <v>140</v>
      </c>
      <c r="KYB50" s="365">
        <v>0.5</v>
      </c>
      <c r="KYC50" s="366" t="e">
        <f>10/KXY48</f>
        <v>#DIV/0!</v>
      </c>
      <c r="KYD50" s="367">
        <v>15.38</v>
      </c>
      <c r="KYE50" s="367" t="e">
        <f>KYB50*KYC50*KYD50</f>
        <v>#DIV/0!</v>
      </c>
      <c r="KYF50" s="363" t="s">
        <v>153</v>
      </c>
      <c r="KYG50" s="363"/>
      <c r="KYH50" s="363"/>
      <c r="KYI50" s="364" t="s">
        <v>140</v>
      </c>
      <c r="KYJ50" s="365">
        <v>0.5</v>
      </c>
      <c r="KYK50" s="366" t="e">
        <f>10/KYG48</f>
        <v>#DIV/0!</v>
      </c>
      <c r="KYL50" s="367">
        <v>15.38</v>
      </c>
      <c r="KYM50" s="367" t="e">
        <f>KYJ50*KYK50*KYL50</f>
        <v>#DIV/0!</v>
      </c>
      <c r="KYN50" s="363" t="s">
        <v>153</v>
      </c>
      <c r="KYO50" s="363"/>
      <c r="KYP50" s="363"/>
      <c r="KYQ50" s="364" t="s">
        <v>140</v>
      </c>
      <c r="KYR50" s="365">
        <v>0.5</v>
      </c>
      <c r="KYS50" s="366" t="e">
        <f>10/KYO48</f>
        <v>#DIV/0!</v>
      </c>
      <c r="KYT50" s="367">
        <v>15.38</v>
      </c>
      <c r="KYU50" s="367" t="e">
        <f>KYR50*KYS50*KYT50</f>
        <v>#DIV/0!</v>
      </c>
      <c r="KYV50" s="363" t="s">
        <v>153</v>
      </c>
      <c r="KYW50" s="363"/>
      <c r="KYX50" s="363"/>
      <c r="KYY50" s="364" t="s">
        <v>140</v>
      </c>
      <c r="KYZ50" s="365">
        <v>0.5</v>
      </c>
      <c r="KZA50" s="366" t="e">
        <f>10/KYW48</f>
        <v>#DIV/0!</v>
      </c>
      <c r="KZB50" s="367">
        <v>15.38</v>
      </c>
      <c r="KZC50" s="367" t="e">
        <f>KYZ50*KZA50*KZB50</f>
        <v>#DIV/0!</v>
      </c>
      <c r="KZD50" s="363" t="s">
        <v>153</v>
      </c>
      <c r="KZE50" s="363"/>
      <c r="KZF50" s="363"/>
      <c r="KZG50" s="364" t="s">
        <v>140</v>
      </c>
      <c r="KZH50" s="365">
        <v>0.5</v>
      </c>
      <c r="KZI50" s="366" t="e">
        <f>10/KZE48</f>
        <v>#DIV/0!</v>
      </c>
      <c r="KZJ50" s="367">
        <v>15.38</v>
      </c>
      <c r="KZK50" s="367" t="e">
        <f>KZH50*KZI50*KZJ50</f>
        <v>#DIV/0!</v>
      </c>
      <c r="KZL50" s="363" t="s">
        <v>153</v>
      </c>
      <c r="KZM50" s="363"/>
      <c r="KZN50" s="363"/>
      <c r="KZO50" s="364" t="s">
        <v>140</v>
      </c>
      <c r="KZP50" s="365">
        <v>0.5</v>
      </c>
      <c r="KZQ50" s="366" t="e">
        <f>10/KZM48</f>
        <v>#DIV/0!</v>
      </c>
      <c r="KZR50" s="367">
        <v>15.38</v>
      </c>
      <c r="KZS50" s="367" t="e">
        <f>KZP50*KZQ50*KZR50</f>
        <v>#DIV/0!</v>
      </c>
      <c r="KZT50" s="363" t="s">
        <v>153</v>
      </c>
      <c r="KZU50" s="363"/>
      <c r="KZV50" s="363"/>
      <c r="KZW50" s="364" t="s">
        <v>140</v>
      </c>
      <c r="KZX50" s="365">
        <v>0.5</v>
      </c>
      <c r="KZY50" s="366" t="e">
        <f>10/KZU48</f>
        <v>#DIV/0!</v>
      </c>
      <c r="KZZ50" s="367">
        <v>15.38</v>
      </c>
      <c r="LAA50" s="367" t="e">
        <f>KZX50*KZY50*KZZ50</f>
        <v>#DIV/0!</v>
      </c>
      <c r="LAB50" s="363" t="s">
        <v>153</v>
      </c>
      <c r="LAC50" s="363"/>
      <c r="LAD50" s="363"/>
      <c r="LAE50" s="364" t="s">
        <v>140</v>
      </c>
      <c r="LAF50" s="365">
        <v>0.5</v>
      </c>
      <c r="LAG50" s="366" t="e">
        <f>10/LAC48</f>
        <v>#DIV/0!</v>
      </c>
      <c r="LAH50" s="367">
        <v>15.38</v>
      </c>
      <c r="LAI50" s="367" t="e">
        <f>LAF50*LAG50*LAH50</f>
        <v>#DIV/0!</v>
      </c>
      <c r="LAJ50" s="363" t="s">
        <v>153</v>
      </c>
      <c r="LAK50" s="363"/>
      <c r="LAL50" s="363"/>
      <c r="LAM50" s="364" t="s">
        <v>140</v>
      </c>
      <c r="LAN50" s="365">
        <v>0.5</v>
      </c>
      <c r="LAO50" s="366" t="e">
        <f>10/LAK48</f>
        <v>#DIV/0!</v>
      </c>
      <c r="LAP50" s="367">
        <v>15.38</v>
      </c>
      <c r="LAQ50" s="367" t="e">
        <f>LAN50*LAO50*LAP50</f>
        <v>#DIV/0!</v>
      </c>
      <c r="LAR50" s="363" t="s">
        <v>153</v>
      </c>
      <c r="LAS50" s="363"/>
      <c r="LAT50" s="363"/>
      <c r="LAU50" s="364" t="s">
        <v>140</v>
      </c>
      <c r="LAV50" s="365">
        <v>0.5</v>
      </c>
      <c r="LAW50" s="366" t="e">
        <f>10/LAS48</f>
        <v>#DIV/0!</v>
      </c>
      <c r="LAX50" s="367">
        <v>15.38</v>
      </c>
      <c r="LAY50" s="367" t="e">
        <f>LAV50*LAW50*LAX50</f>
        <v>#DIV/0!</v>
      </c>
      <c r="LAZ50" s="363" t="s">
        <v>153</v>
      </c>
      <c r="LBA50" s="363"/>
      <c r="LBB50" s="363"/>
      <c r="LBC50" s="364" t="s">
        <v>140</v>
      </c>
      <c r="LBD50" s="365">
        <v>0.5</v>
      </c>
      <c r="LBE50" s="366" t="e">
        <f>10/LBA48</f>
        <v>#DIV/0!</v>
      </c>
      <c r="LBF50" s="367">
        <v>15.38</v>
      </c>
      <c r="LBG50" s="367" t="e">
        <f>LBD50*LBE50*LBF50</f>
        <v>#DIV/0!</v>
      </c>
      <c r="LBH50" s="363" t="s">
        <v>153</v>
      </c>
      <c r="LBI50" s="363"/>
      <c r="LBJ50" s="363"/>
      <c r="LBK50" s="364" t="s">
        <v>140</v>
      </c>
      <c r="LBL50" s="365">
        <v>0.5</v>
      </c>
      <c r="LBM50" s="366" t="e">
        <f>10/LBI48</f>
        <v>#DIV/0!</v>
      </c>
      <c r="LBN50" s="367">
        <v>15.38</v>
      </c>
      <c r="LBO50" s="367" t="e">
        <f>LBL50*LBM50*LBN50</f>
        <v>#DIV/0!</v>
      </c>
      <c r="LBP50" s="363" t="s">
        <v>153</v>
      </c>
      <c r="LBQ50" s="363"/>
      <c r="LBR50" s="363"/>
      <c r="LBS50" s="364" t="s">
        <v>140</v>
      </c>
      <c r="LBT50" s="365">
        <v>0.5</v>
      </c>
      <c r="LBU50" s="366" t="e">
        <f>10/LBQ48</f>
        <v>#DIV/0!</v>
      </c>
      <c r="LBV50" s="367">
        <v>15.38</v>
      </c>
      <c r="LBW50" s="367" t="e">
        <f>LBT50*LBU50*LBV50</f>
        <v>#DIV/0!</v>
      </c>
      <c r="LBX50" s="363" t="s">
        <v>153</v>
      </c>
      <c r="LBY50" s="363"/>
      <c r="LBZ50" s="363"/>
      <c r="LCA50" s="364" t="s">
        <v>140</v>
      </c>
      <c r="LCB50" s="365">
        <v>0.5</v>
      </c>
      <c r="LCC50" s="366" t="e">
        <f>10/LBY48</f>
        <v>#DIV/0!</v>
      </c>
      <c r="LCD50" s="367">
        <v>15.38</v>
      </c>
      <c r="LCE50" s="367" t="e">
        <f>LCB50*LCC50*LCD50</f>
        <v>#DIV/0!</v>
      </c>
      <c r="LCF50" s="363" t="s">
        <v>153</v>
      </c>
      <c r="LCG50" s="363"/>
      <c r="LCH50" s="363"/>
      <c r="LCI50" s="364" t="s">
        <v>140</v>
      </c>
      <c r="LCJ50" s="365">
        <v>0.5</v>
      </c>
      <c r="LCK50" s="366" t="e">
        <f>10/LCG48</f>
        <v>#DIV/0!</v>
      </c>
      <c r="LCL50" s="367">
        <v>15.38</v>
      </c>
      <c r="LCM50" s="367" t="e">
        <f>LCJ50*LCK50*LCL50</f>
        <v>#DIV/0!</v>
      </c>
      <c r="LCN50" s="363" t="s">
        <v>153</v>
      </c>
      <c r="LCO50" s="363"/>
      <c r="LCP50" s="363"/>
      <c r="LCQ50" s="364" t="s">
        <v>140</v>
      </c>
      <c r="LCR50" s="365">
        <v>0.5</v>
      </c>
      <c r="LCS50" s="366" t="e">
        <f>10/LCO48</f>
        <v>#DIV/0!</v>
      </c>
      <c r="LCT50" s="367">
        <v>15.38</v>
      </c>
      <c r="LCU50" s="367" t="e">
        <f>LCR50*LCS50*LCT50</f>
        <v>#DIV/0!</v>
      </c>
      <c r="LCV50" s="363" t="s">
        <v>153</v>
      </c>
      <c r="LCW50" s="363"/>
      <c r="LCX50" s="363"/>
      <c r="LCY50" s="364" t="s">
        <v>140</v>
      </c>
      <c r="LCZ50" s="365">
        <v>0.5</v>
      </c>
      <c r="LDA50" s="366" t="e">
        <f>10/LCW48</f>
        <v>#DIV/0!</v>
      </c>
      <c r="LDB50" s="367">
        <v>15.38</v>
      </c>
      <c r="LDC50" s="367" t="e">
        <f>LCZ50*LDA50*LDB50</f>
        <v>#DIV/0!</v>
      </c>
      <c r="LDD50" s="363" t="s">
        <v>153</v>
      </c>
      <c r="LDE50" s="363"/>
      <c r="LDF50" s="363"/>
      <c r="LDG50" s="364" t="s">
        <v>140</v>
      </c>
      <c r="LDH50" s="365">
        <v>0.5</v>
      </c>
      <c r="LDI50" s="366" t="e">
        <f>10/LDE48</f>
        <v>#DIV/0!</v>
      </c>
      <c r="LDJ50" s="367">
        <v>15.38</v>
      </c>
      <c r="LDK50" s="367" t="e">
        <f>LDH50*LDI50*LDJ50</f>
        <v>#DIV/0!</v>
      </c>
      <c r="LDL50" s="363" t="s">
        <v>153</v>
      </c>
      <c r="LDM50" s="363"/>
      <c r="LDN50" s="363"/>
      <c r="LDO50" s="364" t="s">
        <v>140</v>
      </c>
      <c r="LDP50" s="365">
        <v>0.5</v>
      </c>
      <c r="LDQ50" s="366" t="e">
        <f>10/LDM48</f>
        <v>#DIV/0!</v>
      </c>
      <c r="LDR50" s="367">
        <v>15.38</v>
      </c>
      <c r="LDS50" s="367" t="e">
        <f>LDP50*LDQ50*LDR50</f>
        <v>#DIV/0!</v>
      </c>
      <c r="LDT50" s="363" t="s">
        <v>153</v>
      </c>
      <c r="LDU50" s="363"/>
      <c r="LDV50" s="363"/>
      <c r="LDW50" s="364" t="s">
        <v>140</v>
      </c>
      <c r="LDX50" s="365">
        <v>0.5</v>
      </c>
      <c r="LDY50" s="366" t="e">
        <f>10/LDU48</f>
        <v>#DIV/0!</v>
      </c>
      <c r="LDZ50" s="367">
        <v>15.38</v>
      </c>
      <c r="LEA50" s="367" t="e">
        <f>LDX50*LDY50*LDZ50</f>
        <v>#DIV/0!</v>
      </c>
      <c r="LEB50" s="363" t="s">
        <v>153</v>
      </c>
      <c r="LEC50" s="363"/>
      <c r="LED50" s="363"/>
      <c r="LEE50" s="364" t="s">
        <v>140</v>
      </c>
      <c r="LEF50" s="365">
        <v>0.5</v>
      </c>
      <c r="LEG50" s="366" t="e">
        <f>10/LEC48</f>
        <v>#DIV/0!</v>
      </c>
      <c r="LEH50" s="367">
        <v>15.38</v>
      </c>
      <c r="LEI50" s="367" t="e">
        <f>LEF50*LEG50*LEH50</f>
        <v>#DIV/0!</v>
      </c>
      <c r="LEJ50" s="363" t="s">
        <v>153</v>
      </c>
      <c r="LEK50" s="363"/>
      <c r="LEL50" s="363"/>
      <c r="LEM50" s="364" t="s">
        <v>140</v>
      </c>
      <c r="LEN50" s="365">
        <v>0.5</v>
      </c>
      <c r="LEO50" s="366" t="e">
        <f>10/LEK48</f>
        <v>#DIV/0!</v>
      </c>
      <c r="LEP50" s="367">
        <v>15.38</v>
      </c>
      <c r="LEQ50" s="367" t="e">
        <f>LEN50*LEO50*LEP50</f>
        <v>#DIV/0!</v>
      </c>
      <c r="LER50" s="363" t="s">
        <v>153</v>
      </c>
      <c r="LES50" s="363"/>
      <c r="LET50" s="363"/>
      <c r="LEU50" s="364" t="s">
        <v>140</v>
      </c>
      <c r="LEV50" s="365">
        <v>0.5</v>
      </c>
      <c r="LEW50" s="366" t="e">
        <f>10/LES48</f>
        <v>#DIV/0!</v>
      </c>
      <c r="LEX50" s="367">
        <v>15.38</v>
      </c>
      <c r="LEY50" s="367" t="e">
        <f>LEV50*LEW50*LEX50</f>
        <v>#DIV/0!</v>
      </c>
      <c r="LEZ50" s="363" t="s">
        <v>153</v>
      </c>
      <c r="LFA50" s="363"/>
      <c r="LFB50" s="363"/>
      <c r="LFC50" s="364" t="s">
        <v>140</v>
      </c>
      <c r="LFD50" s="365">
        <v>0.5</v>
      </c>
      <c r="LFE50" s="366" t="e">
        <f>10/LFA48</f>
        <v>#DIV/0!</v>
      </c>
      <c r="LFF50" s="367">
        <v>15.38</v>
      </c>
      <c r="LFG50" s="367" t="e">
        <f>LFD50*LFE50*LFF50</f>
        <v>#DIV/0!</v>
      </c>
      <c r="LFH50" s="363" t="s">
        <v>153</v>
      </c>
      <c r="LFI50" s="363"/>
      <c r="LFJ50" s="363"/>
      <c r="LFK50" s="364" t="s">
        <v>140</v>
      </c>
      <c r="LFL50" s="365">
        <v>0.5</v>
      </c>
      <c r="LFM50" s="366" t="e">
        <f>10/LFI48</f>
        <v>#DIV/0!</v>
      </c>
      <c r="LFN50" s="367">
        <v>15.38</v>
      </c>
      <c r="LFO50" s="367" t="e">
        <f>LFL50*LFM50*LFN50</f>
        <v>#DIV/0!</v>
      </c>
      <c r="LFP50" s="363" t="s">
        <v>153</v>
      </c>
      <c r="LFQ50" s="363"/>
      <c r="LFR50" s="363"/>
      <c r="LFS50" s="364" t="s">
        <v>140</v>
      </c>
      <c r="LFT50" s="365">
        <v>0.5</v>
      </c>
      <c r="LFU50" s="366" t="e">
        <f>10/LFQ48</f>
        <v>#DIV/0!</v>
      </c>
      <c r="LFV50" s="367">
        <v>15.38</v>
      </c>
      <c r="LFW50" s="367" t="e">
        <f>LFT50*LFU50*LFV50</f>
        <v>#DIV/0!</v>
      </c>
      <c r="LFX50" s="363" t="s">
        <v>153</v>
      </c>
      <c r="LFY50" s="363"/>
      <c r="LFZ50" s="363"/>
      <c r="LGA50" s="364" t="s">
        <v>140</v>
      </c>
      <c r="LGB50" s="365">
        <v>0.5</v>
      </c>
      <c r="LGC50" s="366" t="e">
        <f>10/LFY48</f>
        <v>#DIV/0!</v>
      </c>
      <c r="LGD50" s="367">
        <v>15.38</v>
      </c>
      <c r="LGE50" s="367" t="e">
        <f>LGB50*LGC50*LGD50</f>
        <v>#DIV/0!</v>
      </c>
      <c r="LGF50" s="363" t="s">
        <v>153</v>
      </c>
      <c r="LGG50" s="363"/>
      <c r="LGH50" s="363"/>
      <c r="LGI50" s="364" t="s">
        <v>140</v>
      </c>
      <c r="LGJ50" s="365">
        <v>0.5</v>
      </c>
      <c r="LGK50" s="366" t="e">
        <f>10/LGG48</f>
        <v>#DIV/0!</v>
      </c>
      <c r="LGL50" s="367">
        <v>15.38</v>
      </c>
      <c r="LGM50" s="367" t="e">
        <f>LGJ50*LGK50*LGL50</f>
        <v>#DIV/0!</v>
      </c>
      <c r="LGN50" s="363" t="s">
        <v>153</v>
      </c>
      <c r="LGO50" s="363"/>
      <c r="LGP50" s="363"/>
      <c r="LGQ50" s="364" t="s">
        <v>140</v>
      </c>
      <c r="LGR50" s="365">
        <v>0.5</v>
      </c>
      <c r="LGS50" s="366" t="e">
        <f>10/LGO48</f>
        <v>#DIV/0!</v>
      </c>
      <c r="LGT50" s="367">
        <v>15.38</v>
      </c>
      <c r="LGU50" s="367" t="e">
        <f>LGR50*LGS50*LGT50</f>
        <v>#DIV/0!</v>
      </c>
      <c r="LGV50" s="363" t="s">
        <v>153</v>
      </c>
      <c r="LGW50" s="363"/>
      <c r="LGX50" s="363"/>
      <c r="LGY50" s="364" t="s">
        <v>140</v>
      </c>
      <c r="LGZ50" s="365">
        <v>0.5</v>
      </c>
      <c r="LHA50" s="366" t="e">
        <f>10/LGW48</f>
        <v>#DIV/0!</v>
      </c>
      <c r="LHB50" s="367">
        <v>15.38</v>
      </c>
      <c r="LHC50" s="367" t="e">
        <f>LGZ50*LHA50*LHB50</f>
        <v>#DIV/0!</v>
      </c>
      <c r="LHD50" s="363" t="s">
        <v>153</v>
      </c>
      <c r="LHE50" s="363"/>
      <c r="LHF50" s="363"/>
      <c r="LHG50" s="364" t="s">
        <v>140</v>
      </c>
      <c r="LHH50" s="365">
        <v>0.5</v>
      </c>
      <c r="LHI50" s="366" t="e">
        <f>10/LHE48</f>
        <v>#DIV/0!</v>
      </c>
      <c r="LHJ50" s="367">
        <v>15.38</v>
      </c>
      <c r="LHK50" s="367" t="e">
        <f>LHH50*LHI50*LHJ50</f>
        <v>#DIV/0!</v>
      </c>
      <c r="LHL50" s="363" t="s">
        <v>153</v>
      </c>
      <c r="LHM50" s="363"/>
      <c r="LHN50" s="363"/>
      <c r="LHO50" s="364" t="s">
        <v>140</v>
      </c>
      <c r="LHP50" s="365">
        <v>0.5</v>
      </c>
      <c r="LHQ50" s="366" t="e">
        <f>10/LHM48</f>
        <v>#DIV/0!</v>
      </c>
      <c r="LHR50" s="367">
        <v>15.38</v>
      </c>
      <c r="LHS50" s="367" t="e">
        <f>LHP50*LHQ50*LHR50</f>
        <v>#DIV/0!</v>
      </c>
      <c r="LHT50" s="363" t="s">
        <v>153</v>
      </c>
      <c r="LHU50" s="363"/>
      <c r="LHV50" s="363"/>
      <c r="LHW50" s="364" t="s">
        <v>140</v>
      </c>
      <c r="LHX50" s="365">
        <v>0.5</v>
      </c>
      <c r="LHY50" s="366" t="e">
        <f>10/LHU48</f>
        <v>#DIV/0!</v>
      </c>
      <c r="LHZ50" s="367">
        <v>15.38</v>
      </c>
      <c r="LIA50" s="367" t="e">
        <f>LHX50*LHY50*LHZ50</f>
        <v>#DIV/0!</v>
      </c>
      <c r="LIB50" s="363" t="s">
        <v>153</v>
      </c>
      <c r="LIC50" s="363"/>
      <c r="LID50" s="363"/>
      <c r="LIE50" s="364" t="s">
        <v>140</v>
      </c>
      <c r="LIF50" s="365">
        <v>0.5</v>
      </c>
      <c r="LIG50" s="366" t="e">
        <f>10/LIC48</f>
        <v>#DIV/0!</v>
      </c>
      <c r="LIH50" s="367">
        <v>15.38</v>
      </c>
      <c r="LII50" s="367" t="e">
        <f>LIF50*LIG50*LIH50</f>
        <v>#DIV/0!</v>
      </c>
      <c r="LIJ50" s="363" t="s">
        <v>153</v>
      </c>
      <c r="LIK50" s="363"/>
      <c r="LIL50" s="363"/>
      <c r="LIM50" s="364" t="s">
        <v>140</v>
      </c>
      <c r="LIN50" s="365">
        <v>0.5</v>
      </c>
      <c r="LIO50" s="366" t="e">
        <f>10/LIK48</f>
        <v>#DIV/0!</v>
      </c>
      <c r="LIP50" s="367">
        <v>15.38</v>
      </c>
      <c r="LIQ50" s="367" t="e">
        <f>LIN50*LIO50*LIP50</f>
        <v>#DIV/0!</v>
      </c>
      <c r="LIR50" s="363" t="s">
        <v>153</v>
      </c>
      <c r="LIS50" s="363"/>
      <c r="LIT50" s="363"/>
      <c r="LIU50" s="364" t="s">
        <v>140</v>
      </c>
      <c r="LIV50" s="365">
        <v>0.5</v>
      </c>
      <c r="LIW50" s="366" t="e">
        <f>10/LIS48</f>
        <v>#DIV/0!</v>
      </c>
      <c r="LIX50" s="367">
        <v>15.38</v>
      </c>
      <c r="LIY50" s="367" t="e">
        <f>LIV50*LIW50*LIX50</f>
        <v>#DIV/0!</v>
      </c>
      <c r="LIZ50" s="363" t="s">
        <v>153</v>
      </c>
      <c r="LJA50" s="363"/>
      <c r="LJB50" s="363"/>
      <c r="LJC50" s="364" t="s">
        <v>140</v>
      </c>
      <c r="LJD50" s="365">
        <v>0.5</v>
      </c>
      <c r="LJE50" s="366" t="e">
        <f>10/LJA48</f>
        <v>#DIV/0!</v>
      </c>
      <c r="LJF50" s="367">
        <v>15.38</v>
      </c>
      <c r="LJG50" s="367" t="e">
        <f>LJD50*LJE50*LJF50</f>
        <v>#DIV/0!</v>
      </c>
      <c r="LJH50" s="363" t="s">
        <v>153</v>
      </c>
      <c r="LJI50" s="363"/>
      <c r="LJJ50" s="363"/>
      <c r="LJK50" s="364" t="s">
        <v>140</v>
      </c>
      <c r="LJL50" s="365">
        <v>0.5</v>
      </c>
      <c r="LJM50" s="366" t="e">
        <f>10/LJI48</f>
        <v>#DIV/0!</v>
      </c>
      <c r="LJN50" s="367">
        <v>15.38</v>
      </c>
      <c r="LJO50" s="367" t="e">
        <f>LJL50*LJM50*LJN50</f>
        <v>#DIV/0!</v>
      </c>
      <c r="LJP50" s="363" t="s">
        <v>153</v>
      </c>
      <c r="LJQ50" s="363"/>
      <c r="LJR50" s="363"/>
      <c r="LJS50" s="364" t="s">
        <v>140</v>
      </c>
      <c r="LJT50" s="365">
        <v>0.5</v>
      </c>
      <c r="LJU50" s="366" t="e">
        <f>10/LJQ48</f>
        <v>#DIV/0!</v>
      </c>
      <c r="LJV50" s="367">
        <v>15.38</v>
      </c>
      <c r="LJW50" s="367" t="e">
        <f>LJT50*LJU50*LJV50</f>
        <v>#DIV/0!</v>
      </c>
      <c r="LJX50" s="363" t="s">
        <v>153</v>
      </c>
      <c r="LJY50" s="363"/>
      <c r="LJZ50" s="363"/>
      <c r="LKA50" s="364" t="s">
        <v>140</v>
      </c>
      <c r="LKB50" s="365">
        <v>0.5</v>
      </c>
      <c r="LKC50" s="366" t="e">
        <f>10/LJY48</f>
        <v>#DIV/0!</v>
      </c>
      <c r="LKD50" s="367">
        <v>15.38</v>
      </c>
      <c r="LKE50" s="367" t="e">
        <f>LKB50*LKC50*LKD50</f>
        <v>#DIV/0!</v>
      </c>
      <c r="LKF50" s="363" t="s">
        <v>153</v>
      </c>
      <c r="LKG50" s="363"/>
      <c r="LKH50" s="363"/>
      <c r="LKI50" s="364" t="s">
        <v>140</v>
      </c>
      <c r="LKJ50" s="365">
        <v>0.5</v>
      </c>
      <c r="LKK50" s="366" t="e">
        <f>10/LKG48</f>
        <v>#DIV/0!</v>
      </c>
      <c r="LKL50" s="367">
        <v>15.38</v>
      </c>
      <c r="LKM50" s="367" t="e">
        <f>LKJ50*LKK50*LKL50</f>
        <v>#DIV/0!</v>
      </c>
      <c r="LKN50" s="363" t="s">
        <v>153</v>
      </c>
      <c r="LKO50" s="363"/>
      <c r="LKP50" s="363"/>
      <c r="LKQ50" s="364" t="s">
        <v>140</v>
      </c>
      <c r="LKR50" s="365">
        <v>0.5</v>
      </c>
      <c r="LKS50" s="366" t="e">
        <f>10/LKO48</f>
        <v>#DIV/0!</v>
      </c>
      <c r="LKT50" s="367">
        <v>15.38</v>
      </c>
      <c r="LKU50" s="367" t="e">
        <f>LKR50*LKS50*LKT50</f>
        <v>#DIV/0!</v>
      </c>
      <c r="LKV50" s="363" t="s">
        <v>153</v>
      </c>
      <c r="LKW50" s="363"/>
      <c r="LKX50" s="363"/>
      <c r="LKY50" s="364" t="s">
        <v>140</v>
      </c>
      <c r="LKZ50" s="365">
        <v>0.5</v>
      </c>
      <c r="LLA50" s="366" t="e">
        <f>10/LKW48</f>
        <v>#DIV/0!</v>
      </c>
      <c r="LLB50" s="367">
        <v>15.38</v>
      </c>
      <c r="LLC50" s="367" t="e">
        <f>LKZ50*LLA50*LLB50</f>
        <v>#DIV/0!</v>
      </c>
      <c r="LLD50" s="363" t="s">
        <v>153</v>
      </c>
      <c r="LLE50" s="363"/>
      <c r="LLF50" s="363"/>
      <c r="LLG50" s="364" t="s">
        <v>140</v>
      </c>
      <c r="LLH50" s="365">
        <v>0.5</v>
      </c>
      <c r="LLI50" s="366" t="e">
        <f>10/LLE48</f>
        <v>#DIV/0!</v>
      </c>
      <c r="LLJ50" s="367">
        <v>15.38</v>
      </c>
      <c r="LLK50" s="367" t="e">
        <f>LLH50*LLI50*LLJ50</f>
        <v>#DIV/0!</v>
      </c>
      <c r="LLL50" s="363" t="s">
        <v>153</v>
      </c>
      <c r="LLM50" s="363"/>
      <c r="LLN50" s="363"/>
      <c r="LLO50" s="364" t="s">
        <v>140</v>
      </c>
      <c r="LLP50" s="365">
        <v>0.5</v>
      </c>
      <c r="LLQ50" s="366" t="e">
        <f>10/LLM48</f>
        <v>#DIV/0!</v>
      </c>
      <c r="LLR50" s="367">
        <v>15.38</v>
      </c>
      <c r="LLS50" s="367" t="e">
        <f>LLP50*LLQ50*LLR50</f>
        <v>#DIV/0!</v>
      </c>
      <c r="LLT50" s="363" t="s">
        <v>153</v>
      </c>
      <c r="LLU50" s="363"/>
      <c r="LLV50" s="363"/>
      <c r="LLW50" s="364" t="s">
        <v>140</v>
      </c>
      <c r="LLX50" s="365">
        <v>0.5</v>
      </c>
      <c r="LLY50" s="366" t="e">
        <f>10/LLU48</f>
        <v>#DIV/0!</v>
      </c>
      <c r="LLZ50" s="367">
        <v>15.38</v>
      </c>
      <c r="LMA50" s="367" t="e">
        <f>LLX50*LLY50*LLZ50</f>
        <v>#DIV/0!</v>
      </c>
      <c r="LMB50" s="363" t="s">
        <v>153</v>
      </c>
      <c r="LMC50" s="363"/>
      <c r="LMD50" s="363"/>
      <c r="LME50" s="364" t="s">
        <v>140</v>
      </c>
      <c r="LMF50" s="365">
        <v>0.5</v>
      </c>
      <c r="LMG50" s="366" t="e">
        <f>10/LMC48</f>
        <v>#DIV/0!</v>
      </c>
      <c r="LMH50" s="367">
        <v>15.38</v>
      </c>
      <c r="LMI50" s="367" t="e">
        <f>LMF50*LMG50*LMH50</f>
        <v>#DIV/0!</v>
      </c>
      <c r="LMJ50" s="363" t="s">
        <v>153</v>
      </c>
      <c r="LMK50" s="363"/>
      <c r="LML50" s="363"/>
      <c r="LMM50" s="364" t="s">
        <v>140</v>
      </c>
      <c r="LMN50" s="365">
        <v>0.5</v>
      </c>
      <c r="LMO50" s="366" t="e">
        <f>10/LMK48</f>
        <v>#DIV/0!</v>
      </c>
      <c r="LMP50" s="367">
        <v>15.38</v>
      </c>
      <c r="LMQ50" s="367" t="e">
        <f>LMN50*LMO50*LMP50</f>
        <v>#DIV/0!</v>
      </c>
      <c r="LMR50" s="363" t="s">
        <v>153</v>
      </c>
      <c r="LMS50" s="363"/>
      <c r="LMT50" s="363"/>
      <c r="LMU50" s="364" t="s">
        <v>140</v>
      </c>
      <c r="LMV50" s="365">
        <v>0.5</v>
      </c>
      <c r="LMW50" s="366" t="e">
        <f>10/LMS48</f>
        <v>#DIV/0!</v>
      </c>
      <c r="LMX50" s="367">
        <v>15.38</v>
      </c>
      <c r="LMY50" s="367" t="e">
        <f>LMV50*LMW50*LMX50</f>
        <v>#DIV/0!</v>
      </c>
      <c r="LMZ50" s="363" t="s">
        <v>153</v>
      </c>
      <c r="LNA50" s="363"/>
      <c r="LNB50" s="363"/>
      <c r="LNC50" s="364" t="s">
        <v>140</v>
      </c>
      <c r="LND50" s="365">
        <v>0.5</v>
      </c>
      <c r="LNE50" s="366" t="e">
        <f>10/LNA48</f>
        <v>#DIV/0!</v>
      </c>
      <c r="LNF50" s="367">
        <v>15.38</v>
      </c>
      <c r="LNG50" s="367" t="e">
        <f>LND50*LNE50*LNF50</f>
        <v>#DIV/0!</v>
      </c>
      <c r="LNH50" s="363" t="s">
        <v>153</v>
      </c>
      <c r="LNI50" s="363"/>
      <c r="LNJ50" s="363"/>
      <c r="LNK50" s="364" t="s">
        <v>140</v>
      </c>
      <c r="LNL50" s="365">
        <v>0.5</v>
      </c>
      <c r="LNM50" s="366" t="e">
        <f>10/LNI48</f>
        <v>#DIV/0!</v>
      </c>
      <c r="LNN50" s="367">
        <v>15.38</v>
      </c>
      <c r="LNO50" s="367" t="e">
        <f>LNL50*LNM50*LNN50</f>
        <v>#DIV/0!</v>
      </c>
      <c r="LNP50" s="363" t="s">
        <v>153</v>
      </c>
      <c r="LNQ50" s="363"/>
      <c r="LNR50" s="363"/>
      <c r="LNS50" s="364" t="s">
        <v>140</v>
      </c>
      <c r="LNT50" s="365">
        <v>0.5</v>
      </c>
      <c r="LNU50" s="366" t="e">
        <f>10/LNQ48</f>
        <v>#DIV/0!</v>
      </c>
      <c r="LNV50" s="367">
        <v>15.38</v>
      </c>
      <c r="LNW50" s="367" t="e">
        <f>LNT50*LNU50*LNV50</f>
        <v>#DIV/0!</v>
      </c>
      <c r="LNX50" s="363" t="s">
        <v>153</v>
      </c>
      <c r="LNY50" s="363"/>
      <c r="LNZ50" s="363"/>
      <c r="LOA50" s="364" t="s">
        <v>140</v>
      </c>
      <c r="LOB50" s="365">
        <v>0.5</v>
      </c>
      <c r="LOC50" s="366" t="e">
        <f>10/LNY48</f>
        <v>#DIV/0!</v>
      </c>
      <c r="LOD50" s="367">
        <v>15.38</v>
      </c>
      <c r="LOE50" s="367" t="e">
        <f>LOB50*LOC50*LOD50</f>
        <v>#DIV/0!</v>
      </c>
      <c r="LOF50" s="363" t="s">
        <v>153</v>
      </c>
      <c r="LOG50" s="363"/>
      <c r="LOH50" s="363"/>
      <c r="LOI50" s="364" t="s">
        <v>140</v>
      </c>
      <c r="LOJ50" s="365">
        <v>0.5</v>
      </c>
      <c r="LOK50" s="366" t="e">
        <f>10/LOG48</f>
        <v>#DIV/0!</v>
      </c>
      <c r="LOL50" s="367">
        <v>15.38</v>
      </c>
      <c r="LOM50" s="367" t="e">
        <f>LOJ50*LOK50*LOL50</f>
        <v>#DIV/0!</v>
      </c>
      <c r="LON50" s="363" t="s">
        <v>153</v>
      </c>
      <c r="LOO50" s="363"/>
      <c r="LOP50" s="363"/>
      <c r="LOQ50" s="364" t="s">
        <v>140</v>
      </c>
      <c r="LOR50" s="365">
        <v>0.5</v>
      </c>
      <c r="LOS50" s="366" t="e">
        <f>10/LOO48</f>
        <v>#DIV/0!</v>
      </c>
      <c r="LOT50" s="367">
        <v>15.38</v>
      </c>
      <c r="LOU50" s="367" t="e">
        <f>LOR50*LOS50*LOT50</f>
        <v>#DIV/0!</v>
      </c>
      <c r="LOV50" s="363" t="s">
        <v>153</v>
      </c>
      <c r="LOW50" s="363"/>
      <c r="LOX50" s="363"/>
      <c r="LOY50" s="364" t="s">
        <v>140</v>
      </c>
      <c r="LOZ50" s="365">
        <v>0.5</v>
      </c>
      <c r="LPA50" s="366" t="e">
        <f>10/LOW48</f>
        <v>#DIV/0!</v>
      </c>
      <c r="LPB50" s="367">
        <v>15.38</v>
      </c>
      <c r="LPC50" s="367" t="e">
        <f>LOZ50*LPA50*LPB50</f>
        <v>#DIV/0!</v>
      </c>
      <c r="LPD50" s="363" t="s">
        <v>153</v>
      </c>
      <c r="LPE50" s="363"/>
      <c r="LPF50" s="363"/>
      <c r="LPG50" s="364" t="s">
        <v>140</v>
      </c>
      <c r="LPH50" s="365">
        <v>0.5</v>
      </c>
      <c r="LPI50" s="366" t="e">
        <f>10/LPE48</f>
        <v>#DIV/0!</v>
      </c>
      <c r="LPJ50" s="367">
        <v>15.38</v>
      </c>
      <c r="LPK50" s="367" t="e">
        <f>LPH50*LPI50*LPJ50</f>
        <v>#DIV/0!</v>
      </c>
      <c r="LPL50" s="363" t="s">
        <v>153</v>
      </c>
      <c r="LPM50" s="363"/>
      <c r="LPN50" s="363"/>
      <c r="LPO50" s="364" t="s">
        <v>140</v>
      </c>
      <c r="LPP50" s="365">
        <v>0.5</v>
      </c>
      <c r="LPQ50" s="366" t="e">
        <f>10/LPM48</f>
        <v>#DIV/0!</v>
      </c>
      <c r="LPR50" s="367">
        <v>15.38</v>
      </c>
      <c r="LPS50" s="367" t="e">
        <f>LPP50*LPQ50*LPR50</f>
        <v>#DIV/0!</v>
      </c>
      <c r="LPT50" s="363" t="s">
        <v>153</v>
      </c>
      <c r="LPU50" s="363"/>
      <c r="LPV50" s="363"/>
      <c r="LPW50" s="364" t="s">
        <v>140</v>
      </c>
      <c r="LPX50" s="365">
        <v>0.5</v>
      </c>
      <c r="LPY50" s="366" t="e">
        <f>10/LPU48</f>
        <v>#DIV/0!</v>
      </c>
      <c r="LPZ50" s="367">
        <v>15.38</v>
      </c>
      <c r="LQA50" s="367" t="e">
        <f>LPX50*LPY50*LPZ50</f>
        <v>#DIV/0!</v>
      </c>
      <c r="LQB50" s="363" t="s">
        <v>153</v>
      </c>
      <c r="LQC50" s="363"/>
      <c r="LQD50" s="363"/>
      <c r="LQE50" s="364" t="s">
        <v>140</v>
      </c>
      <c r="LQF50" s="365">
        <v>0.5</v>
      </c>
      <c r="LQG50" s="366" t="e">
        <f>10/LQC48</f>
        <v>#DIV/0!</v>
      </c>
      <c r="LQH50" s="367">
        <v>15.38</v>
      </c>
      <c r="LQI50" s="367" t="e">
        <f>LQF50*LQG50*LQH50</f>
        <v>#DIV/0!</v>
      </c>
      <c r="LQJ50" s="363" t="s">
        <v>153</v>
      </c>
      <c r="LQK50" s="363"/>
      <c r="LQL50" s="363"/>
      <c r="LQM50" s="364" t="s">
        <v>140</v>
      </c>
      <c r="LQN50" s="365">
        <v>0.5</v>
      </c>
      <c r="LQO50" s="366" t="e">
        <f>10/LQK48</f>
        <v>#DIV/0!</v>
      </c>
      <c r="LQP50" s="367">
        <v>15.38</v>
      </c>
      <c r="LQQ50" s="367" t="e">
        <f>LQN50*LQO50*LQP50</f>
        <v>#DIV/0!</v>
      </c>
      <c r="LQR50" s="363" t="s">
        <v>153</v>
      </c>
      <c r="LQS50" s="363"/>
      <c r="LQT50" s="363"/>
      <c r="LQU50" s="364" t="s">
        <v>140</v>
      </c>
      <c r="LQV50" s="365">
        <v>0.5</v>
      </c>
      <c r="LQW50" s="366" t="e">
        <f>10/LQS48</f>
        <v>#DIV/0!</v>
      </c>
      <c r="LQX50" s="367">
        <v>15.38</v>
      </c>
      <c r="LQY50" s="367" t="e">
        <f>LQV50*LQW50*LQX50</f>
        <v>#DIV/0!</v>
      </c>
      <c r="LQZ50" s="363" t="s">
        <v>153</v>
      </c>
      <c r="LRA50" s="363"/>
      <c r="LRB50" s="363"/>
      <c r="LRC50" s="364" t="s">
        <v>140</v>
      </c>
      <c r="LRD50" s="365">
        <v>0.5</v>
      </c>
      <c r="LRE50" s="366" t="e">
        <f>10/LRA48</f>
        <v>#DIV/0!</v>
      </c>
      <c r="LRF50" s="367">
        <v>15.38</v>
      </c>
      <c r="LRG50" s="367" t="e">
        <f>LRD50*LRE50*LRF50</f>
        <v>#DIV/0!</v>
      </c>
      <c r="LRH50" s="363" t="s">
        <v>153</v>
      </c>
      <c r="LRI50" s="363"/>
      <c r="LRJ50" s="363"/>
      <c r="LRK50" s="364" t="s">
        <v>140</v>
      </c>
      <c r="LRL50" s="365">
        <v>0.5</v>
      </c>
      <c r="LRM50" s="366" t="e">
        <f>10/LRI48</f>
        <v>#DIV/0!</v>
      </c>
      <c r="LRN50" s="367">
        <v>15.38</v>
      </c>
      <c r="LRO50" s="367" t="e">
        <f>LRL50*LRM50*LRN50</f>
        <v>#DIV/0!</v>
      </c>
      <c r="LRP50" s="363" t="s">
        <v>153</v>
      </c>
      <c r="LRQ50" s="363"/>
      <c r="LRR50" s="363"/>
      <c r="LRS50" s="364" t="s">
        <v>140</v>
      </c>
      <c r="LRT50" s="365">
        <v>0.5</v>
      </c>
      <c r="LRU50" s="366" t="e">
        <f>10/LRQ48</f>
        <v>#DIV/0!</v>
      </c>
      <c r="LRV50" s="367">
        <v>15.38</v>
      </c>
      <c r="LRW50" s="367" t="e">
        <f>LRT50*LRU50*LRV50</f>
        <v>#DIV/0!</v>
      </c>
      <c r="LRX50" s="363" t="s">
        <v>153</v>
      </c>
      <c r="LRY50" s="363"/>
      <c r="LRZ50" s="363"/>
      <c r="LSA50" s="364" t="s">
        <v>140</v>
      </c>
      <c r="LSB50" s="365">
        <v>0.5</v>
      </c>
      <c r="LSC50" s="366" t="e">
        <f>10/LRY48</f>
        <v>#DIV/0!</v>
      </c>
      <c r="LSD50" s="367">
        <v>15.38</v>
      </c>
      <c r="LSE50" s="367" t="e">
        <f>LSB50*LSC50*LSD50</f>
        <v>#DIV/0!</v>
      </c>
      <c r="LSF50" s="363" t="s">
        <v>153</v>
      </c>
      <c r="LSG50" s="363"/>
      <c r="LSH50" s="363"/>
      <c r="LSI50" s="364" t="s">
        <v>140</v>
      </c>
      <c r="LSJ50" s="365">
        <v>0.5</v>
      </c>
      <c r="LSK50" s="366" t="e">
        <f>10/LSG48</f>
        <v>#DIV/0!</v>
      </c>
      <c r="LSL50" s="367">
        <v>15.38</v>
      </c>
      <c r="LSM50" s="367" t="e">
        <f>LSJ50*LSK50*LSL50</f>
        <v>#DIV/0!</v>
      </c>
      <c r="LSN50" s="363" t="s">
        <v>153</v>
      </c>
      <c r="LSO50" s="363"/>
      <c r="LSP50" s="363"/>
      <c r="LSQ50" s="364" t="s">
        <v>140</v>
      </c>
      <c r="LSR50" s="365">
        <v>0.5</v>
      </c>
      <c r="LSS50" s="366" t="e">
        <f>10/LSO48</f>
        <v>#DIV/0!</v>
      </c>
      <c r="LST50" s="367">
        <v>15.38</v>
      </c>
      <c r="LSU50" s="367" t="e">
        <f>LSR50*LSS50*LST50</f>
        <v>#DIV/0!</v>
      </c>
      <c r="LSV50" s="363" t="s">
        <v>153</v>
      </c>
      <c r="LSW50" s="363"/>
      <c r="LSX50" s="363"/>
      <c r="LSY50" s="364" t="s">
        <v>140</v>
      </c>
      <c r="LSZ50" s="365">
        <v>0.5</v>
      </c>
      <c r="LTA50" s="366" t="e">
        <f>10/LSW48</f>
        <v>#DIV/0!</v>
      </c>
      <c r="LTB50" s="367">
        <v>15.38</v>
      </c>
      <c r="LTC50" s="367" t="e">
        <f>LSZ50*LTA50*LTB50</f>
        <v>#DIV/0!</v>
      </c>
      <c r="LTD50" s="363" t="s">
        <v>153</v>
      </c>
      <c r="LTE50" s="363"/>
      <c r="LTF50" s="363"/>
      <c r="LTG50" s="364" t="s">
        <v>140</v>
      </c>
      <c r="LTH50" s="365">
        <v>0.5</v>
      </c>
      <c r="LTI50" s="366" t="e">
        <f>10/LTE48</f>
        <v>#DIV/0!</v>
      </c>
      <c r="LTJ50" s="367">
        <v>15.38</v>
      </c>
      <c r="LTK50" s="367" t="e">
        <f>LTH50*LTI50*LTJ50</f>
        <v>#DIV/0!</v>
      </c>
      <c r="LTL50" s="363" t="s">
        <v>153</v>
      </c>
      <c r="LTM50" s="363"/>
      <c r="LTN50" s="363"/>
      <c r="LTO50" s="364" t="s">
        <v>140</v>
      </c>
      <c r="LTP50" s="365">
        <v>0.5</v>
      </c>
      <c r="LTQ50" s="366" t="e">
        <f>10/LTM48</f>
        <v>#DIV/0!</v>
      </c>
      <c r="LTR50" s="367">
        <v>15.38</v>
      </c>
      <c r="LTS50" s="367" t="e">
        <f>LTP50*LTQ50*LTR50</f>
        <v>#DIV/0!</v>
      </c>
      <c r="LTT50" s="363" t="s">
        <v>153</v>
      </c>
      <c r="LTU50" s="363"/>
      <c r="LTV50" s="363"/>
      <c r="LTW50" s="364" t="s">
        <v>140</v>
      </c>
      <c r="LTX50" s="365">
        <v>0.5</v>
      </c>
      <c r="LTY50" s="366" t="e">
        <f>10/LTU48</f>
        <v>#DIV/0!</v>
      </c>
      <c r="LTZ50" s="367">
        <v>15.38</v>
      </c>
      <c r="LUA50" s="367" t="e">
        <f>LTX50*LTY50*LTZ50</f>
        <v>#DIV/0!</v>
      </c>
      <c r="LUB50" s="363" t="s">
        <v>153</v>
      </c>
      <c r="LUC50" s="363"/>
      <c r="LUD50" s="363"/>
      <c r="LUE50" s="364" t="s">
        <v>140</v>
      </c>
      <c r="LUF50" s="365">
        <v>0.5</v>
      </c>
      <c r="LUG50" s="366" t="e">
        <f>10/LUC48</f>
        <v>#DIV/0!</v>
      </c>
      <c r="LUH50" s="367">
        <v>15.38</v>
      </c>
      <c r="LUI50" s="367" t="e">
        <f>LUF50*LUG50*LUH50</f>
        <v>#DIV/0!</v>
      </c>
      <c r="LUJ50" s="363" t="s">
        <v>153</v>
      </c>
      <c r="LUK50" s="363"/>
      <c r="LUL50" s="363"/>
      <c r="LUM50" s="364" t="s">
        <v>140</v>
      </c>
      <c r="LUN50" s="365">
        <v>0.5</v>
      </c>
      <c r="LUO50" s="366" t="e">
        <f>10/LUK48</f>
        <v>#DIV/0!</v>
      </c>
      <c r="LUP50" s="367">
        <v>15.38</v>
      </c>
      <c r="LUQ50" s="367" t="e">
        <f>LUN50*LUO50*LUP50</f>
        <v>#DIV/0!</v>
      </c>
      <c r="LUR50" s="363" t="s">
        <v>153</v>
      </c>
      <c r="LUS50" s="363"/>
      <c r="LUT50" s="363"/>
      <c r="LUU50" s="364" t="s">
        <v>140</v>
      </c>
      <c r="LUV50" s="365">
        <v>0.5</v>
      </c>
      <c r="LUW50" s="366" t="e">
        <f>10/LUS48</f>
        <v>#DIV/0!</v>
      </c>
      <c r="LUX50" s="367">
        <v>15.38</v>
      </c>
      <c r="LUY50" s="367" t="e">
        <f>LUV50*LUW50*LUX50</f>
        <v>#DIV/0!</v>
      </c>
      <c r="LUZ50" s="363" t="s">
        <v>153</v>
      </c>
      <c r="LVA50" s="363"/>
      <c r="LVB50" s="363"/>
      <c r="LVC50" s="364" t="s">
        <v>140</v>
      </c>
      <c r="LVD50" s="365">
        <v>0.5</v>
      </c>
      <c r="LVE50" s="366" t="e">
        <f>10/LVA48</f>
        <v>#DIV/0!</v>
      </c>
      <c r="LVF50" s="367">
        <v>15.38</v>
      </c>
      <c r="LVG50" s="367" t="e">
        <f>LVD50*LVE50*LVF50</f>
        <v>#DIV/0!</v>
      </c>
      <c r="LVH50" s="363" t="s">
        <v>153</v>
      </c>
      <c r="LVI50" s="363"/>
      <c r="LVJ50" s="363"/>
      <c r="LVK50" s="364" t="s">
        <v>140</v>
      </c>
      <c r="LVL50" s="365">
        <v>0.5</v>
      </c>
      <c r="LVM50" s="366" t="e">
        <f>10/LVI48</f>
        <v>#DIV/0!</v>
      </c>
      <c r="LVN50" s="367">
        <v>15.38</v>
      </c>
      <c r="LVO50" s="367" t="e">
        <f>LVL50*LVM50*LVN50</f>
        <v>#DIV/0!</v>
      </c>
      <c r="LVP50" s="363" t="s">
        <v>153</v>
      </c>
      <c r="LVQ50" s="363"/>
      <c r="LVR50" s="363"/>
      <c r="LVS50" s="364" t="s">
        <v>140</v>
      </c>
      <c r="LVT50" s="365">
        <v>0.5</v>
      </c>
      <c r="LVU50" s="366" t="e">
        <f>10/LVQ48</f>
        <v>#DIV/0!</v>
      </c>
      <c r="LVV50" s="367">
        <v>15.38</v>
      </c>
      <c r="LVW50" s="367" t="e">
        <f>LVT50*LVU50*LVV50</f>
        <v>#DIV/0!</v>
      </c>
      <c r="LVX50" s="363" t="s">
        <v>153</v>
      </c>
      <c r="LVY50" s="363"/>
      <c r="LVZ50" s="363"/>
      <c r="LWA50" s="364" t="s">
        <v>140</v>
      </c>
      <c r="LWB50" s="365">
        <v>0.5</v>
      </c>
      <c r="LWC50" s="366" t="e">
        <f>10/LVY48</f>
        <v>#DIV/0!</v>
      </c>
      <c r="LWD50" s="367">
        <v>15.38</v>
      </c>
      <c r="LWE50" s="367" t="e">
        <f>LWB50*LWC50*LWD50</f>
        <v>#DIV/0!</v>
      </c>
      <c r="LWF50" s="363" t="s">
        <v>153</v>
      </c>
      <c r="LWG50" s="363"/>
      <c r="LWH50" s="363"/>
      <c r="LWI50" s="364" t="s">
        <v>140</v>
      </c>
      <c r="LWJ50" s="365">
        <v>0.5</v>
      </c>
      <c r="LWK50" s="366" t="e">
        <f>10/LWG48</f>
        <v>#DIV/0!</v>
      </c>
      <c r="LWL50" s="367">
        <v>15.38</v>
      </c>
      <c r="LWM50" s="367" t="e">
        <f>LWJ50*LWK50*LWL50</f>
        <v>#DIV/0!</v>
      </c>
      <c r="LWN50" s="363" t="s">
        <v>153</v>
      </c>
      <c r="LWO50" s="363"/>
      <c r="LWP50" s="363"/>
      <c r="LWQ50" s="364" t="s">
        <v>140</v>
      </c>
      <c r="LWR50" s="365">
        <v>0.5</v>
      </c>
      <c r="LWS50" s="366" t="e">
        <f>10/LWO48</f>
        <v>#DIV/0!</v>
      </c>
      <c r="LWT50" s="367">
        <v>15.38</v>
      </c>
      <c r="LWU50" s="367" t="e">
        <f>LWR50*LWS50*LWT50</f>
        <v>#DIV/0!</v>
      </c>
      <c r="LWV50" s="363" t="s">
        <v>153</v>
      </c>
      <c r="LWW50" s="363"/>
      <c r="LWX50" s="363"/>
      <c r="LWY50" s="364" t="s">
        <v>140</v>
      </c>
      <c r="LWZ50" s="365">
        <v>0.5</v>
      </c>
      <c r="LXA50" s="366" t="e">
        <f>10/LWW48</f>
        <v>#DIV/0!</v>
      </c>
      <c r="LXB50" s="367">
        <v>15.38</v>
      </c>
      <c r="LXC50" s="367" t="e">
        <f>LWZ50*LXA50*LXB50</f>
        <v>#DIV/0!</v>
      </c>
      <c r="LXD50" s="363" t="s">
        <v>153</v>
      </c>
      <c r="LXE50" s="363"/>
      <c r="LXF50" s="363"/>
      <c r="LXG50" s="364" t="s">
        <v>140</v>
      </c>
      <c r="LXH50" s="365">
        <v>0.5</v>
      </c>
      <c r="LXI50" s="366" t="e">
        <f>10/LXE48</f>
        <v>#DIV/0!</v>
      </c>
      <c r="LXJ50" s="367">
        <v>15.38</v>
      </c>
      <c r="LXK50" s="367" t="e">
        <f>LXH50*LXI50*LXJ50</f>
        <v>#DIV/0!</v>
      </c>
      <c r="LXL50" s="363" t="s">
        <v>153</v>
      </c>
      <c r="LXM50" s="363"/>
      <c r="LXN50" s="363"/>
      <c r="LXO50" s="364" t="s">
        <v>140</v>
      </c>
      <c r="LXP50" s="365">
        <v>0.5</v>
      </c>
      <c r="LXQ50" s="366" t="e">
        <f>10/LXM48</f>
        <v>#DIV/0!</v>
      </c>
      <c r="LXR50" s="367">
        <v>15.38</v>
      </c>
      <c r="LXS50" s="367" t="e">
        <f>LXP50*LXQ50*LXR50</f>
        <v>#DIV/0!</v>
      </c>
      <c r="LXT50" s="363" t="s">
        <v>153</v>
      </c>
      <c r="LXU50" s="363"/>
      <c r="LXV50" s="363"/>
      <c r="LXW50" s="364" t="s">
        <v>140</v>
      </c>
      <c r="LXX50" s="365">
        <v>0.5</v>
      </c>
      <c r="LXY50" s="366" t="e">
        <f>10/LXU48</f>
        <v>#DIV/0!</v>
      </c>
      <c r="LXZ50" s="367">
        <v>15.38</v>
      </c>
      <c r="LYA50" s="367" t="e">
        <f>LXX50*LXY50*LXZ50</f>
        <v>#DIV/0!</v>
      </c>
      <c r="LYB50" s="363" t="s">
        <v>153</v>
      </c>
      <c r="LYC50" s="363"/>
      <c r="LYD50" s="363"/>
      <c r="LYE50" s="364" t="s">
        <v>140</v>
      </c>
      <c r="LYF50" s="365">
        <v>0.5</v>
      </c>
      <c r="LYG50" s="366" t="e">
        <f>10/LYC48</f>
        <v>#DIV/0!</v>
      </c>
      <c r="LYH50" s="367">
        <v>15.38</v>
      </c>
      <c r="LYI50" s="367" t="e">
        <f>LYF50*LYG50*LYH50</f>
        <v>#DIV/0!</v>
      </c>
      <c r="LYJ50" s="363" t="s">
        <v>153</v>
      </c>
      <c r="LYK50" s="363"/>
      <c r="LYL50" s="363"/>
      <c r="LYM50" s="364" t="s">
        <v>140</v>
      </c>
      <c r="LYN50" s="365">
        <v>0.5</v>
      </c>
      <c r="LYO50" s="366" t="e">
        <f>10/LYK48</f>
        <v>#DIV/0!</v>
      </c>
      <c r="LYP50" s="367">
        <v>15.38</v>
      </c>
      <c r="LYQ50" s="367" t="e">
        <f>LYN50*LYO50*LYP50</f>
        <v>#DIV/0!</v>
      </c>
      <c r="LYR50" s="363" t="s">
        <v>153</v>
      </c>
      <c r="LYS50" s="363"/>
      <c r="LYT50" s="363"/>
      <c r="LYU50" s="364" t="s">
        <v>140</v>
      </c>
      <c r="LYV50" s="365">
        <v>0.5</v>
      </c>
      <c r="LYW50" s="366" t="e">
        <f>10/LYS48</f>
        <v>#DIV/0!</v>
      </c>
      <c r="LYX50" s="367">
        <v>15.38</v>
      </c>
      <c r="LYY50" s="367" t="e">
        <f>LYV50*LYW50*LYX50</f>
        <v>#DIV/0!</v>
      </c>
      <c r="LYZ50" s="363" t="s">
        <v>153</v>
      </c>
      <c r="LZA50" s="363"/>
      <c r="LZB50" s="363"/>
      <c r="LZC50" s="364" t="s">
        <v>140</v>
      </c>
      <c r="LZD50" s="365">
        <v>0.5</v>
      </c>
      <c r="LZE50" s="366" t="e">
        <f>10/LZA48</f>
        <v>#DIV/0!</v>
      </c>
      <c r="LZF50" s="367">
        <v>15.38</v>
      </c>
      <c r="LZG50" s="367" t="e">
        <f>LZD50*LZE50*LZF50</f>
        <v>#DIV/0!</v>
      </c>
      <c r="LZH50" s="363" t="s">
        <v>153</v>
      </c>
      <c r="LZI50" s="363"/>
      <c r="LZJ50" s="363"/>
      <c r="LZK50" s="364" t="s">
        <v>140</v>
      </c>
      <c r="LZL50" s="365">
        <v>0.5</v>
      </c>
      <c r="LZM50" s="366" t="e">
        <f>10/LZI48</f>
        <v>#DIV/0!</v>
      </c>
      <c r="LZN50" s="367">
        <v>15.38</v>
      </c>
      <c r="LZO50" s="367" t="e">
        <f>LZL50*LZM50*LZN50</f>
        <v>#DIV/0!</v>
      </c>
      <c r="LZP50" s="363" t="s">
        <v>153</v>
      </c>
      <c r="LZQ50" s="363"/>
      <c r="LZR50" s="363"/>
      <c r="LZS50" s="364" t="s">
        <v>140</v>
      </c>
      <c r="LZT50" s="365">
        <v>0.5</v>
      </c>
      <c r="LZU50" s="366" t="e">
        <f>10/LZQ48</f>
        <v>#DIV/0!</v>
      </c>
      <c r="LZV50" s="367">
        <v>15.38</v>
      </c>
      <c r="LZW50" s="367" t="e">
        <f>LZT50*LZU50*LZV50</f>
        <v>#DIV/0!</v>
      </c>
      <c r="LZX50" s="363" t="s">
        <v>153</v>
      </c>
      <c r="LZY50" s="363"/>
      <c r="LZZ50" s="363"/>
      <c r="MAA50" s="364" t="s">
        <v>140</v>
      </c>
      <c r="MAB50" s="365">
        <v>0.5</v>
      </c>
      <c r="MAC50" s="366" t="e">
        <f>10/LZY48</f>
        <v>#DIV/0!</v>
      </c>
      <c r="MAD50" s="367">
        <v>15.38</v>
      </c>
      <c r="MAE50" s="367" t="e">
        <f>MAB50*MAC50*MAD50</f>
        <v>#DIV/0!</v>
      </c>
      <c r="MAF50" s="363" t="s">
        <v>153</v>
      </c>
      <c r="MAG50" s="363"/>
      <c r="MAH50" s="363"/>
      <c r="MAI50" s="364" t="s">
        <v>140</v>
      </c>
      <c r="MAJ50" s="365">
        <v>0.5</v>
      </c>
      <c r="MAK50" s="366" t="e">
        <f>10/MAG48</f>
        <v>#DIV/0!</v>
      </c>
      <c r="MAL50" s="367">
        <v>15.38</v>
      </c>
      <c r="MAM50" s="367" t="e">
        <f>MAJ50*MAK50*MAL50</f>
        <v>#DIV/0!</v>
      </c>
      <c r="MAN50" s="363" t="s">
        <v>153</v>
      </c>
      <c r="MAO50" s="363"/>
      <c r="MAP50" s="363"/>
      <c r="MAQ50" s="364" t="s">
        <v>140</v>
      </c>
      <c r="MAR50" s="365">
        <v>0.5</v>
      </c>
      <c r="MAS50" s="366" t="e">
        <f>10/MAO48</f>
        <v>#DIV/0!</v>
      </c>
      <c r="MAT50" s="367">
        <v>15.38</v>
      </c>
      <c r="MAU50" s="367" t="e">
        <f>MAR50*MAS50*MAT50</f>
        <v>#DIV/0!</v>
      </c>
      <c r="MAV50" s="363" t="s">
        <v>153</v>
      </c>
      <c r="MAW50" s="363"/>
      <c r="MAX50" s="363"/>
      <c r="MAY50" s="364" t="s">
        <v>140</v>
      </c>
      <c r="MAZ50" s="365">
        <v>0.5</v>
      </c>
      <c r="MBA50" s="366" t="e">
        <f>10/MAW48</f>
        <v>#DIV/0!</v>
      </c>
      <c r="MBB50" s="367">
        <v>15.38</v>
      </c>
      <c r="MBC50" s="367" t="e">
        <f>MAZ50*MBA50*MBB50</f>
        <v>#DIV/0!</v>
      </c>
      <c r="MBD50" s="363" t="s">
        <v>153</v>
      </c>
      <c r="MBE50" s="363"/>
      <c r="MBF50" s="363"/>
      <c r="MBG50" s="364" t="s">
        <v>140</v>
      </c>
      <c r="MBH50" s="365">
        <v>0.5</v>
      </c>
      <c r="MBI50" s="366" t="e">
        <f>10/MBE48</f>
        <v>#DIV/0!</v>
      </c>
      <c r="MBJ50" s="367">
        <v>15.38</v>
      </c>
      <c r="MBK50" s="367" t="e">
        <f>MBH50*MBI50*MBJ50</f>
        <v>#DIV/0!</v>
      </c>
      <c r="MBL50" s="363" t="s">
        <v>153</v>
      </c>
      <c r="MBM50" s="363"/>
      <c r="MBN50" s="363"/>
      <c r="MBO50" s="364" t="s">
        <v>140</v>
      </c>
      <c r="MBP50" s="365">
        <v>0.5</v>
      </c>
      <c r="MBQ50" s="366" t="e">
        <f>10/MBM48</f>
        <v>#DIV/0!</v>
      </c>
      <c r="MBR50" s="367">
        <v>15.38</v>
      </c>
      <c r="MBS50" s="367" t="e">
        <f>MBP50*MBQ50*MBR50</f>
        <v>#DIV/0!</v>
      </c>
      <c r="MBT50" s="363" t="s">
        <v>153</v>
      </c>
      <c r="MBU50" s="363"/>
      <c r="MBV50" s="363"/>
      <c r="MBW50" s="364" t="s">
        <v>140</v>
      </c>
      <c r="MBX50" s="365">
        <v>0.5</v>
      </c>
      <c r="MBY50" s="366" t="e">
        <f>10/MBU48</f>
        <v>#DIV/0!</v>
      </c>
      <c r="MBZ50" s="367">
        <v>15.38</v>
      </c>
      <c r="MCA50" s="367" t="e">
        <f>MBX50*MBY50*MBZ50</f>
        <v>#DIV/0!</v>
      </c>
      <c r="MCB50" s="363" t="s">
        <v>153</v>
      </c>
      <c r="MCC50" s="363"/>
      <c r="MCD50" s="363"/>
      <c r="MCE50" s="364" t="s">
        <v>140</v>
      </c>
      <c r="MCF50" s="365">
        <v>0.5</v>
      </c>
      <c r="MCG50" s="366" t="e">
        <f>10/MCC48</f>
        <v>#DIV/0!</v>
      </c>
      <c r="MCH50" s="367">
        <v>15.38</v>
      </c>
      <c r="MCI50" s="367" t="e">
        <f>MCF50*MCG50*MCH50</f>
        <v>#DIV/0!</v>
      </c>
      <c r="MCJ50" s="363" t="s">
        <v>153</v>
      </c>
      <c r="MCK50" s="363"/>
      <c r="MCL50" s="363"/>
      <c r="MCM50" s="364" t="s">
        <v>140</v>
      </c>
      <c r="MCN50" s="365">
        <v>0.5</v>
      </c>
      <c r="MCO50" s="366" t="e">
        <f>10/MCK48</f>
        <v>#DIV/0!</v>
      </c>
      <c r="MCP50" s="367">
        <v>15.38</v>
      </c>
      <c r="MCQ50" s="367" t="e">
        <f>MCN50*MCO50*MCP50</f>
        <v>#DIV/0!</v>
      </c>
      <c r="MCR50" s="363" t="s">
        <v>153</v>
      </c>
      <c r="MCS50" s="363"/>
      <c r="MCT50" s="363"/>
      <c r="MCU50" s="364" t="s">
        <v>140</v>
      </c>
      <c r="MCV50" s="365">
        <v>0.5</v>
      </c>
      <c r="MCW50" s="366" t="e">
        <f>10/MCS48</f>
        <v>#DIV/0!</v>
      </c>
      <c r="MCX50" s="367">
        <v>15.38</v>
      </c>
      <c r="MCY50" s="367" t="e">
        <f>MCV50*MCW50*MCX50</f>
        <v>#DIV/0!</v>
      </c>
      <c r="MCZ50" s="363" t="s">
        <v>153</v>
      </c>
      <c r="MDA50" s="363"/>
      <c r="MDB50" s="363"/>
      <c r="MDC50" s="364" t="s">
        <v>140</v>
      </c>
      <c r="MDD50" s="365">
        <v>0.5</v>
      </c>
      <c r="MDE50" s="366" t="e">
        <f>10/MDA48</f>
        <v>#DIV/0!</v>
      </c>
      <c r="MDF50" s="367">
        <v>15.38</v>
      </c>
      <c r="MDG50" s="367" t="e">
        <f>MDD50*MDE50*MDF50</f>
        <v>#DIV/0!</v>
      </c>
      <c r="MDH50" s="363" t="s">
        <v>153</v>
      </c>
      <c r="MDI50" s="363"/>
      <c r="MDJ50" s="363"/>
      <c r="MDK50" s="364" t="s">
        <v>140</v>
      </c>
      <c r="MDL50" s="365">
        <v>0.5</v>
      </c>
      <c r="MDM50" s="366" t="e">
        <f>10/MDI48</f>
        <v>#DIV/0!</v>
      </c>
      <c r="MDN50" s="367">
        <v>15.38</v>
      </c>
      <c r="MDO50" s="367" t="e">
        <f>MDL50*MDM50*MDN50</f>
        <v>#DIV/0!</v>
      </c>
      <c r="MDP50" s="363" t="s">
        <v>153</v>
      </c>
      <c r="MDQ50" s="363"/>
      <c r="MDR50" s="363"/>
      <c r="MDS50" s="364" t="s">
        <v>140</v>
      </c>
      <c r="MDT50" s="365">
        <v>0.5</v>
      </c>
      <c r="MDU50" s="366" t="e">
        <f>10/MDQ48</f>
        <v>#DIV/0!</v>
      </c>
      <c r="MDV50" s="367">
        <v>15.38</v>
      </c>
      <c r="MDW50" s="367" t="e">
        <f>MDT50*MDU50*MDV50</f>
        <v>#DIV/0!</v>
      </c>
      <c r="MDX50" s="363" t="s">
        <v>153</v>
      </c>
      <c r="MDY50" s="363"/>
      <c r="MDZ50" s="363"/>
      <c r="MEA50" s="364" t="s">
        <v>140</v>
      </c>
      <c r="MEB50" s="365">
        <v>0.5</v>
      </c>
      <c r="MEC50" s="366" t="e">
        <f>10/MDY48</f>
        <v>#DIV/0!</v>
      </c>
      <c r="MED50" s="367">
        <v>15.38</v>
      </c>
      <c r="MEE50" s="367" t="e">
        <f>MEB50*MEC50*MED50</f>
        <v>#DIV/0!</v>
      </c>
      <c r="MEF50" s="363" t="s">
        <v>153</v>
      </c>
      <c r="MEG50" s="363"/>
      <c r="MEH50" s="363"/>
      <c r="MEI50" s="364" t="s">
        <v>140</v>
      </c>
      <c r="MEJ50" s="365">
        <v>0.5</v>
      </c>
      <c r="MEK50" s="366" t="e">
        <f>10/MEG48</f>
        <v>#DIV/0!</v>
      </c>
      <c r="MEL50" s="367">
        <v>15.38</v>
      </c>
      <c r="MEM50" s="367" t="e">
        <f>MEJ50*MEK50*MEL50</f>
        <v>#DIV/0!</v>
      </c>
      <c r="MEN50" s="363" t="s">
        <v>153</v>
      </c>
      <c r="MEO50" s="363"/>
      <c r="MEP50" s="363"/>
      <c r="MEQ50" s="364" t="s">
        <v>140</v>
      </c>
      <c r="MER50" s="365">
        <v>0.5</v>
      </c>
      <c r="MES50" s="366" t="e">
        <f>10/MEO48</f>
        <v>#DIV/0!</v>
      </c>
      <c r="MET50" s="367">
        <v>15.38</v>
      </c>
      <c r="MEU50" s="367" t="e">
        <f>MER50*MES50*MET50</f>
        <v>#DIV/0!</v>
      </c>
      <c r="MEV50" s="363" t="s">
        <v>153</v>
      </c>
      <c r="MEW50" s="363"/>
      <c r="MEX50" s="363"/>
      <c r="MEY50" s="364" t="s">
        <v>140</v>
      </c>
      <c r="MEZ50" s="365">
        <v>0.5</v>
      </c>
      <c r="MFA50" s="366" t="e">
        <f>10/MEW48</f>
        <v>#DIV/0!</v>
      </c>
      <c r="MFB50" s="367">
        <v>15.38</v>
      </c>
      <c r="MFC50" s="367" t="e">
        <f>MEZ50*MFA50*MFB50</f>
        <v>#DIV/0!</v>
      </c>
      <c r="MFD50" s="363" t="s">
        <v>153</v>
      </c>
      <c r="MFE50" s="363"/>
      <c r="MFF50" s="363"/>
      <c r="MFG50" s="364" t="s">
        <v>140</v>
      </c>
      <c r="MFH50" s="365">
        <v>0.5</v>
      </c>
      <c r="MFI50" s="366" t="e">
        <f>10/MFE48</f>
        <v>#DIV/0!</v>
      </c>
      <c r="MFJ50" s="367">
        <v>15.38</v>
      </c>
      <c r="MFK50" s="367" t="e">
        <f>MFH50*MFI50*MFJ50</f>
        <v>#DIV/0!</v>
      </c>
      <c r="MFL50" s="363" t="s">
        <v>153</v>
      </c>
      <c r="MFM50" s="363"/>
      <c r="MFN50" s="363"/>
      <c r="MFO50" s="364" t="s">
        <v>140</v>
      </c>
      <c r="MFP50" s="365">
        <v>0.5</v>
      </c>
      <c r="MFQ50" s="366" t="e">
        <f>10/MFM48</f>
        <v>#DIV/0!</v>
      </c>
      <c r="MFR50" s="367">
        <v>15.38</v>
      </c>
      <c r="MFS50" s="367" t="e">
        <f>MFP50*MFQ50*MFR50</f>
        <v>#DIV/0!</v>
      </c>
      <c r="MFT50" s="363" t="s">
        <v>153</v>
      </c>
      <c r="MFU50" s="363"/>
      <c r="MFV50" s="363"/>
      <c r="MFW50" s="364" t="s">
        <v>140</v>
      </c>
      <c r="MFX50" s="365">
        <v>0.5</v>
      </c>
      <c r="MFY50" s="366" t="e">
        <f>10/MFU48</f>
        <v>#DIV/0!</v>
      </c>
      <c r="MFZ50" s="367">
        <v>15.38</v>
      </c>
      <c r="MGA50" s="367" t="e">
        <f>MFX50*MFY50*MFZ50</f>
        <v>#DIV/0!</v>
      </c>
      <c r="MGB50" s="363" t="s">
        <v>153</v>
      </c>
      <c r="MGC50" s="363"/>
      <c r="MGD50" s="363"/>
      <c r="MGE50" s="364" t="s">
        <v>140</v>
      </c>
      <c r="MGF50" s="365">
        <v>0.5</v>
      </c>
      <c r="MGG50" s="366" t="e">
        <f>10/MGC48</f>
        <v>#DIV/0!</v>
      </c>
      <c r="MGH50" s="367">
        <v>15.38</v>
      </c>
      <c r="MGI50" s="367" t="e">
        <f>MGF50*MGG50*MGH50</f>
        <v>#DIV/0!</v>
      </c>
      <c r="MGJ50" s="363" t="s">
        <v>153</v>
      </c>
      <c r="MGK50" s="363"/>
      <c r="MGL50" s="363"/>
      <c r="MGM50" s="364" t="s">
        <v>140</v>
      </c>
      <c r="MGN50" s="365">
        <v>0.5</v>
      </c>
      <c r="MGO50" s="366" t="e">
        <f>10/MGK48</f>
        <v>#DIV/0!</v>
      </c>
      <c r="MGP50" s="367">
        <v>15.38</v>
      </c>
      <c r="MGQ50" s="367" t="e">
        <f>MGN50*MGO50*MGP50</f>
        <v>#DIV/0!</v>
      </c>
      <c r="MGR50" s="363" t="s">
        <v>153</v>
      </c>
      <c r="MGS50" s="363"/>
      <c r="MGT50" s="363"/>
      <c r="MGU50" s="364" t="s">
        <v>140</v>
      </c>
      <c r="MGV50" s="365">
        <v>0.5</v>
      </c>
      <c r="MGW50" s="366" t="e">
        <f>10/MGS48</f>
        <v>#DIV/0!</v>
      </c>
      <c r="MGX50" s="367">
        <v>15.38</v>
      </c>
      <c r="MGY50" s="367" t="e">
        <f>MGV50*MGW50*MGX50</f>
        <v>#DIV/0!</v>
      </c>
      <c r="MGZ50" s="363" t="s">
        <v>153</v>
      </c>
      <c r="MHA50" s="363"/>
      <c r="MHB50" s="363"/>
      <c r="MHC50" s="364" t="s">
        <v>140</v>
      </c>
      <c r="MHD50" s="365">
        <v>0.5</v>
      </c>
      <c r="MHE50" s="366" t="e">
        <f>10/MHA48</f>
        <v>#DIV/0!</v>
      </c>
      <c r="MHF50" s="367">
        <v>15.38</v>
      </c>
      <c r="MHG50" s="367" t="e">
        <f>MHD50*MHE50*MHF50</f>
        <v>#DIV/0!</v>
      </c>
      <c r="MHH50" s="363" t="s">
        <v>153</v>
      </c>
      <c r="MHI50" s="363"/>
      <c r="MHJ50" s="363"/>
      <c r="MHK50" s="364" t="s">
        <v>140</v>
      </c>
      <c r="MHL50" s="365">
        <v>0.5</v>
      </c>
      <c r="MHM50" s="366" t="e">
        <f>10/MHI48</f>
        <v>#DIV/0!</v>
      </c>
      <c r="MHN50" s="367">
        <v>15.38</v>
      </c>
      <c r="MHO50" s="367" t="e">
        <f>MHL50*MHM50*MHN50</f>
        <v>#DIV/0!</v>
      </c>
      <c r="MHP50" s="363" t="s">
        <v>153</v>
      </c>
      <c r="MHQ50" s="363"/>
      <c r="MHR50" s="363"/>
      <c r="MHS50" s="364" t="s">
        <v>140</v>
      </c>
      <c r="MHT50" s="365">
        <v>0.5</v>
      </c>
      <c r="MHU50" s="366" t="e">
        <f>10/MHQ48</f>
        <v>#DIV/0!</v>
      </c>
      <c r="MHV50" s="367">
        <v>15.38</v>
      </c>
      <c r="MHW50" s="367" t="e">
        <f>MHT50*MHU50*MHV50</f>
        <v>#DIV/0!</v>
      </c>
      <c r="MHX50" s="363" t="s">
        <v>153</v>
      </c>
      <c r="MHY50" s="363"/>
      <c r="MHZ50" s="363"/>
      <c r="MIA50" s="364" t="s">
        <v>140</v>
      </c>
      <c r="MIB50" s="365">
        <v>0.5</v>
      </c>
      <c r="MIC50" s="366" t="e">
        <f>10/MHY48</f>
        <v>#DIV/0!</v>
      </c>
      <c r="MID50" s="367">
        <v>15.38</v>
      </c>
      <c r="MIE50" s="367" t="e">
        <f>MIB50*MIC50*MID50</f>
        <v>#DIV/0!</v>
      </c>
      <c r="MIF50" s="363" t="s">
        <v>153</v>
      </c>
      <c r="MIG50" s="363"/>
      <c r="MIH50" s="363"/>
      <c r="MII50" s="364" t="s">
        <v>140</v>
      </c>
      <c r="MIJ50" s="365">
        <v>0.5</v>
      </c>
      <c r="MIK50" s="366" t="e">
        <f>10/MIG48</f>
        <v>#DIV/0!</v>
      </c>
      <c r="MIL50" s="367">
        <v>15.38</v>
      </c>
      <c r="MIM50" s="367" t="e">
        <f>MIJ50*MIK50*MIL50</f>
        <v>#DIV/0!</v>
      </c>
      <c r="MIN50" s="363" t="s">
        <v>153</v>
      </c>
      <c r="MIO50" s="363"/>
      <c r="MIP50" s="363"/>
      <c r="MIQ50" s="364" t="s">
        <v>140</v>
      </c>
      <c r="MIR50" s="365">
        <v>0.5</v>
      </c>
      <c r="MIS50" s="366" t="e">
        <f>10/MIO48</f>
        <v>#DIV/0!</v>
      </c>
      <c r="MIT50" s="367">
        <v>15.38</v>
      </c>
      <c r="MIU50" s="367" t="e">
        <f>MIR50*MIS50*MIT50</f>
        <v>#DIV/0!</v>
      </c>
      <c r="MIV50" s="363" t="s">
        <v>153</v>
      </c>
      <c r="MIW50" s="363"/>
      <c r="MIX50" s="363"/>
      <c r="MIY50" s="364" t="s">
        <v>140</v>
      </c>
      <c r="MIZ50" s="365">
        <v>0.5</v>
      </c>
      <c r="MJA50" s="366" t="e">
        <f>10/MIW48</f>
        <v>#DIV/0!</v>
      </c>
      <c r="MJB50" s="367">
        <v>15.38</v>
      </c>
      <c r="MJC50" s="367" t="e">
        <f>MIZ50*MJA50*MJB50</f>
        <v>#DIV/0!</v>
      </c>
      <c r="MJD50" s="363" t="s">
        <v>153</v>
      </c>
      <c r="MJE50" s="363"/>
      <c r="MJF50" s="363"/>
      <c r="MJG50" s="364" t="s">
        <v>140</v>
      </c>
      <c r="MJH50" s="365">
        <v>0.5</v>
      </c>
      <c r="MJI50" s="366" t="e">
        <f>10/MJE48</f>
        <v>#DIV/0!</v>
      </c>
      <c r="MJJ50" s="367">
        <v>15.38</v>
      </c>
      <c r="MJK50" s="367" t="e">
        <f>MJH50*MJI50*MJJ50</f>
        <v>#DIV/0!</v>
      </c>
      <c r="MJL50" s="363" t="s">
        <v>153</v>
      </c>
      <c r="MJM50" s="363"/>
      <c r="MJN50" s="363"/>
      <c r="MJO50" s="364" t="s">
        <v>140</v>
      </c>
      <c r="MJP50" s="365">
        <v>0.5</v>
      </c>
      <c r="MJQ50" s="366" t="e">
        <f>10/MJM48</f>
        <v>#DIV/0!</v>
      </c>
      <c r="MJR50" s="367">
        <v>15.38</v>
      </c>
      <c r="MJS50" s="367" t="e">
        <f>MJP50*MJQ50*MJR50</f>
        <v>#DIV/0!</v>
      </c>
      <c r="MJT50" s="363" t="s">
        <v>153</v>
      </c>
      <c r="MJU50" s="363"/>
      <c r="MJV50" s="363"/>
      <c r="MJW50" s="364" t="s">
        <v>140</v>
      </c>
      <c r="MJX50" s="365">
        <v>0.5</v>
      </c>
      <c r="MJY50" s="366" t="e">
        <f>10/MJU48</f>
        <v>#DIV/0!</v>
      </c>
      <c r="MJZ50" s="367">
        <v>15.38</v>
      </c>
      <c r="MKA50" s="367" t="e">
        <f>MJX50*MJY50*MJZ50</f>
        <v>#DIV/0!</v>
      </c>
      <c r="MKB50" s="363" t="s">
        <v>153</v>
      </c>
      <c r="MKC50" s="363"/>
      <c r="MKD50" s="363"/>
      <c r="MKE50" s="364" t="s">
        <v>140</v>
      </c>
      <c r="MKF50" s="365">
        <v>0.5</v>
      </c>
      <c r="MKG50" s="366" t="e">
        <f>10/MKC48</f>
        <v>#DIV/0!</v>
      </c>
      <c r="MKH50" s="367">
        <v>15.38</v>
      </c>
      <c r="MKI50" s="367" t="e">
        <f>MKF50*MKG50*MKH50</f>
        <v>#DIV/0!</v>
      </c>
      <c r="MKJ50" s="363" t="s">
        <v>153</v>
      </c>
      <c r="MKK50" s="363"/>
      <c r="MKL50" s="363"/>
      <c r="MKM50" s="364" t="s">
        <v>140</v>
      </c>
      <c r="MKN50" s="365">
        <v>0.5</v>
      </c>
      <c r="MKO50" s="366" t="e">
        <f>10/MKK48</f>
        <v>#DIV/0!</v>
      </c>
      <c r="MKP50" s="367">
        <v>15.38</v>
      </c>
      <c r="MKQ50" s="367" t="e">
        <f>MKN50*MKO50*MKP50</f>
        <v>#DIV/0!</v>
      </c>
      <c r="MKR50" s="363" t="s">
        <v>153</v>
      </c>
      <c r="MKS50" s="363"/>
      <c r="MKT50" s="363"/>
      <c r="MKU50" s="364" t="s">
        <v>140</v>
      </c>
      <c r="MKV50" s="365">
        <v>0.5</v>
      </c>
      <c r="MKW50" s="366" t="e">
        <f>10/MKS48</f>
        <v>#DIV/0!</v>
      </c>
      <c r="MKX50" s="367">
        <v>15.38</v>
      </c>
      <c r="MKY50" s="367" t="e">
        <f>MKV50*MKW50*MKX50</f>
        <v>#DIV/0!</v>
      </c>
      <c r="MKZ50" s="363" t="s">
        <v>153</v>
      </c>
      <c r="MLA50" s="363"/>
      <c r="MLB50" s="363"/>
      <c r="MLC50" s="364" t="s">
        <v>140</v>
      </c>
      <c r="MLD50" s="365">
        <v>0.5</v>
      </c>
      <c r="MLE50" s="366" t="e">
        <f>10/MLA48</f>
        <v>#DIV/0!</v>
      </c>
      <c r="MLF50" s="367">
        <v>15.38</v>
      </c>
      <c r="MLG50" s="367" t="e">
        <f>MLD50*MLE50*MLF50</f>
        <v>#DIV/0!</v>
      </c>
      <c r="MLH50" s="363" t="s">
        <v>153</v>
      </c>
      <c r="MLI50" s="363"/>
      <c r="MLJ50" s="363"/>
      <c r="MLK50" s="364" t="s">
        <v>140</v>
      </c>
      <c r="MLL50" s="365">
        <v>0.5</v>
      </c>
      <c r="MLM50" s="366" t="e">
        <f>10/MLI48</f>
        <v>#DIV/0!</v>
      </c>
      <c r="MLN50" s="367">
        <v>15.38</v>
      </c>
      <c r="MLO50" s="367" t="e">
        <f>MLL50*MLM50*MLN50</f>
        <v>#DIV/0!</v>
      </c>
      <c r="MLP50" s="363" t="s">
        <v>153</v>
      </c>
      <c r="MLQ50" s="363"/>
      <c r="MLR50" s="363"/>
      <c r="MLS50" s="364" t="s">
        <v>140</v>
      </c>
      <c r="MLT50" s="365">
        <v>0.5</v>
      </c>
      <c r="MLU50" s="366" t="e">
        <f>10/MLQ48</f>
        <v>#DIV/0!</v>
      </c>
      <c r="MLV50" s="367">
        <v>15.38</v>
      </c>
      <c r="MLW50" s="367" t="e">
        <f>MLT50*MLU50*MLV50</f>
        <v>#DIV/0!</v>
      </c>
      <c r="MLX50" s="363" t="s">
        <v>153</v>
      </c>
      <c r="MLY50" s="363"/>
      <c r="MLZ50" s="363"/>
      <c r="MMA50" s="364" t="s">
        <v>140</v>
      </c>
      <c r="MMB50" s="365">
        <v>0.5</v>
      </c>
      <c r="MMC50" s="366" t="e">
        <f>10/MLY48</f>
        <v>#DIV/0!</v>
      </c>
      <c r="MMD50" s="367">
        <v>15.38</v>
      </c>
      <c r="MME50" s="367" t="e">
        <f>MMB50*MMC50*MMD50</f>
        <v>#DIV/0!</v>
      </c>
      <c r="MMF50" s="363" t="s">
        <v>153</v>
      </c>
      <c r="MMG50" s="363"/>
      <c r="MMH50" s="363"/>
      <c r="MMI50" s="364" t="s">
        <v>140</v>
      </c>
      <c r="MMJ50" s="365">
        <v>0.5</v>
      </c>
      <c r="MMK50" s="366" t="e">
        <f>10/MMG48</f>
        <v>#DIV/0!</v>
      </c>
      <c r="MML50" s="367">
        <v>15.38</v>
      </c>
      <c r="MMM50" s="367" t="e">
        <f>MMJ50*MMK50*MML50</f>
        <v>#DIV/0!</v>
      </c>
      <c r="MMN50" s="363" t="s">
        <v>153</v>
      </c>
      <c r="MMO50" s="363"/>
      <c r="MMP50" s="363"/>
      <c r="MMQ50" s="364" t="s">
        <v>140</v>
      </c>
      <c r="MMR50" s="365">
        <v>0.5</v>
      </c>
      <c r="MMS50" s="366" t="e">
        <f>10/MMO48</f>
        <v>#DIV/0!</v>
      </c>
      <c r="MMT50" s="367">
        <v>15.38</v>
      </c>
      <c r="MMU50" s="367" t="e">
        <f>MMR50*MMS50*MMT50</f>
        <v>#DIV/0!</v>
      </c>
      <c r="MMV50" s="363" t="s">
        <v>153</v>
      </c>
      <c r="MMW50" s="363"/>
      <c r="MMX50" s="363"/>
      <c r="MMY50" s="364" t="s">
        <v>140</v>
      </c>
      <c r="MMZ50" s="365">
        <v>0.5</v>
      </c>
      <c r="MNA50" s="366" t="e">
        <f>10/MMW48</f>
        <v>#DIV/0!</v>
      </c>
      <c r="MNB50" s="367">
        <v>15.38</v>
      </c>
      <c r="MNC50" s="367" t="e">
        <f>MMZ50*MNA50*MNB50</f>
        <v>#DIV/0!</v>
      </c>
      <c r="MND50" s="363" t="s">
        <v>153</v>
      </c>
      <c r="MNE50" s="363"/>
      <c r="MNF50" s="363"/>
      <c r="MNG50" s="364" t="s">
        <v>140</v>
      </c>
      <c r="MNH50" s="365">
        <v>0.5</v>
      </c>
      <c r="MNI50" s="366" t="e">
        <f>10/MNE48</f>
        <v>#DIV/0!</v>
      </c>
      <c r="MNJ50" s="367">
        <v>15.38</v>
      </c>
      <c r="MNK50" s="367" t="e">
        <f>MNH50*MNI50*MNJ50</f>
        <v>#DIV/0!</v>
      </c>
      <c r="MNL50" s="363" t="s">
        <v>153</v>
      </c>
      <c r="MNM50" s="363"/>
      <c r="MNN50" s="363"/>
      <c r="MNO50" s="364" t="s">
        <v>140</v>
      </c>
      <c r="MNP50" s="365">
        <v>0.5</v>
      </c>
      <c r="MNQ50" s="366" t="e">
        <f>10/MNM48</f>
        <v>#DIV/0!</v>
      </c>
      <c r="MNR50" s="367">
        <v>15.38</v>
      </c>
      <c r="MNS50" s="367" t="e">
        <f>MNP50*MNQ50*MNR50</f>
        <v>#DIV/0!</v>
      </c>
      <c r="MNT50" s="363" t="s">
        <v>153</v>
      </c>
      <c r="MNU50" s="363"/>
      <c r="MNV50" s="363"/>
      <c r="MNW50" s="364" t="s">
        <v>140</v>
      </c>
      <c r="MNX50" s="365">
        <v>0.5</v>
      </c>
      <c r="MNY50" s="366" t="e">
        <f>10/MNU48</f>
        <v>#DIV/0!</v>
      </c>
      <c r="MNZ50" s="367">
        <v>15.38</v>
      </c>
      <c r="MOA50" s="367" t="e">
        <f>MNX50*MNY50*MNZ50</f>
        <v>#DIV/0!</v>
      </c>
      <c r="MOB50" s="363" t="s">
        <v>153</v>
      </c>
      <c r="MOC50" s="363"/>
      <c r="MOD50" s="363"/>
      <c r="MOE50" s="364" t="s">
        <v>140</v>
      </c>
      <c r="MOF50" s="365">
        <v>0.5</v>
      </c>
      <c r="MOG50" s="366" t="e">
        <f>10/MOC48</f>
        <v>#DIV/0!</v>
      </c>
      <c r="MOH50" s="367">
        <v>15.38</v>
      </c>
      <c r="MOI50" s="367" t="e">
        <f>MOF50*MOG50*MOH50</f>
        <v>#DIV/0!</v>
      </c>
      <c r="MOJ50" s="363" t="s">
        <v>153</v>
      </c>
      <c r="MOK50" s="363"/>
      <c r="MOL50" s="363"/>
      <c r="MOM50" s="364" t="s">
        <v>140</v>
      </c>
      <c r="MON50" s="365">
        <v>0.5</v>
      </c>
      <c r="MOO50" s="366" t="e">
        <f>10/MOK48</f>
        <v>#DIV/0!</v>
      </c>
      <c r="MOP50" s="367">
        <v>15.38</v>
      </c>
      <c r="MOQ50" s="367" t="e">
        <f>MON50*MOO50*MOP50</f>
        <v>#DIV/0!</v>
      </c>
      <c r="MOR50" s="363" t="s">
        <v>153</v>
      </c>
      <c r="MOS50" s="363"/>
      <c r="MOT50" s="363"/>
      <c r="MOU50" s="364" t="s">
        <v>140</v>
      </c>
      <c r="MOV50" s="365">
        <v>0.5</v>
      </c>
      <c r="MOW50" s="366" t="e">
        <f>10/MOS48</f>
        <v>#DIV/0!</v>
      </c>
      <c r="MOX50" s="367">
        <v>15.38</v>
      </c>
      <c r="MOY50" s="367" t="e">
        <f>MOV50*MOW50*MOX50</f>
        <v>#DIV/0!</v>
      </c>
      <c r="MOZ50" s="363" t="s">
        <v>153</v>
      </c>
      <c r="MPA50" s="363"/>
      <c r="MPB50" s="363"/>
      <c r="MPC50" s="364" t="s">
        <v>140</v>
      </c>
      <c r="MPD50" s="365">
        <v>0.5</v>
      </c>
      <c r="MPE50" s="366" t="e">
        <f>10/MPA48</f>
        <v>#DIV/0!</v>
      </c>
      <c r="MPF50" s="367">
        <v>15.38</v>
      </c>
      <c r="MPG50" s="367" t="e">
        <f>MPD50*MPE50*MPF50</f>
        <v>#DIV/0!</v>
      </c>
      <c r="MPH50" s="363" t="s">
        <v>153</v>
      </c>
      <c r="MPI50" s="363"/>
      <c r="MPJ50" s="363"/>
      <c r="MPK50" s="364" t="s">
        <v>140</v>
      </c>
      <c r="MPL50" s="365">
        <v>0.5</v>
      </c>
      <c r="MPM50" s="366" t="e">
        <f>10/MPI48</f>
        <v>#DIV/0!</v>
      </c>
      <c r="MPN50" s="367">
        <v>15.38</v>
      </c>
      <c r="MPO50" s="367" t="e">
        <f>MPL50*MPM50*MPN50</f>
        <v>#DIV/0!</v>
      </c>
      <c r="MPP50" s="363" t="s">
        <v>153</v>
      </c>
      <c r="MPQ50" s="363"/>
      <c r="MPR50" s="363"/>
      <c r="MPS50" s="364" t="s">
        <v>140</v>
      </c>
      <c r="MPT50" s="365">
        <v>0.5</v>
      </c>
      <c r="MPU50" s="366" t="e">
        <f>10/MPQ48</f>
        <v>#DIV/0!</v>
      </c>
      <c r="MPV50" s="367">
        <v>15.38</v>
      </c>
      <c r="MPW50" s="367" t="e">
        <f>MPT50*MPU50*MPV50</f>
        <v>#DIV/0!</v>
      </c>
      <c r="MPX50" s="363" t="s">
        <v>153</v>
      </c>
      <c r="MPY50" s="363"/>
      <c r="MPZ50" s="363"/>
      <c r="MQA50" s="364" t="s">
        <v>140</v>
      </c>
      <c r="MQB50" s="365">
        <v>0.5</v>
      </c>
      <c r="MQC50" s="366" t="e">
        <f>10/MPY48</f>
        <v>#DIV/0!</v>
      </c>
      <c r="MQD50" s="367">
        <v>15.38</v>
      </c>
      <c r="MQE50" s="367" t="e">
        <f>MQB50*MQC50*MQD50</f>
        <v>#DIV/0!</v>
      </c>
      <c r="MQF50" s="363" t="s">
        <v>153</v>
      </c>
      <c r="MQG50" s="363"/>
      <c r="MQH50" s="363"/>
      <c r="MQI50" s="364" t="s">
        <v>140</v>
      </c>
      <c r="MQJ50" s="365">
        <v>0.5</v>
      </c>
      <c r="MQK50" s="366" t="e">
        <f>10/MQG48</f>
        <v>#DIV/0!</v>
      </c>
      <c r="MQL50" s="367">
        <v>15.38</v>
      </c>
      <c r="MQM50" s="367" t="e">
        <f>MQJ50*MQK50*MQL50</f>
        <v>#DIV/0!</v>
      </c>
      <c r="MQN50" s="363" t="s">
        <v>153</v>
      </c>
      <c r="MQO50" s="363"/>
      <c r="MQP50" s="363"/>
      <c r="MQQ50" s="364" t="s">
        <v>140</v>
      </c>
      <c r="MQR50" s="365">
        <v>0.5</v>
      </c>
      <c r="MQS50" s="366" t="e">
        <f>10/MQO48</f>
        <v>#DIV/0!</v>
      </c>
      <c r="MQT50" s="367">
        <v>15.38</v>
      </c>
      <c r="MQU50" s="367" t="e">
        <f>MQR50*MQS50*MQT50</f>
        <v>#DIV/0!</v>
      </c>
      <c r="MQV50" s="363" t="s">
        <v>153</v>
      </c>
      <c r="MQW50" s="363"/>
      <c r="MQX50" s="363"/>
      <c r="MQY50" s="364" t="s">
        <v>140</v>
      </c>
      <c r="MQZ50" s="365">
        <v>0.5</v>
      </c>
      <c r="MRA50" s="366" t="e">
        <f>10/MQW48</f>
        <v>#DIV/0!</v>
      </c>
      <c r="MRB50" s="367">
        <v>15.38</v>
      </c>
      <c r="MRC50" s="367" t="e">
        <f>MQZ50*MRA50*MRB50</f>
        <v>#DIV/0!</v>
      </c>
      <c r="MRD50" s="363" t="s">
        <v>153</v>
      </c>
      <c r="MRE50" s="363"/>
      <c r="MRF50" s="363"/>
      <c r="MRG50" s="364" t="s">
        <v>140</v>
      </c>
      <c r="MRH50" s="365">
        <v>0.5</v>
      </c>
      <c r="MRI50" s="366" t="e">
        <f>10/MRE48</f>
        <v>#DIV/0!</v>
      </c>
      <c r="MRJ50" s="367">
        <v>15.38</v>
      </c>
      <c r="MRK50" s="367" t="e">
        <f>MRH50*MRI50*MRJ50</f>
        <v>#DIV/0!</v>
      </c>
      <c r="MRL50" s="363" t="s">
        <v>153</v>
      </c>
      <c r="MRM50" s="363"/>
      <c r="MRN50" s="363"/>
      <c r="MRO50" s="364" t="s">
        <v>140</v>
      </c>
      <c r="MRP50" s="365">
        <v>0.5</v>
      </c>
      <c r="MRQ50" s="366" t="e">
        <f>10/MRM48</f>
        <v>#DIV/0!</v>
      </c>
      <c r="MRR50" s="367">
        <v>15.38</v>
      </c>
      <c r="MRS50" s="367" t="e">
        <f>MRP50*MRQ50*MRR50</f>
        <v>#DIV/0!</v>
      </c>
      <c r="MRT50" s="363" t="s">
        <v>153</v>
      </c>
      <c r="MRU50" s="363"/>
      <c r="MRV50" s="363"/>
      <c r="MRW50" s="364" t="s">
        <v>140</v>
      </c>
      <c r="MRX50" s="365">
        <v>0.5</v>
      </c>
      <c r="MRY50" s="366" t="e">
        <f>10/MRU48</f>
        <v>#DIV/0!</v>
      </c>
      <c r="MRZ50" s="367">
        <v>15.38</v>
      </c>
      <c r="MSA50" s="367" t="e">
        <f>MRX50*MRY50*MRZ50</f>
        <v>#DIV/0!</v>
      </c>
      <c r="MSB50" s="363" t="s">
        <v>153</v>
      </c>
      <c r="MSC50" s="363"/>
      <c r="MSD50" s="363"/>
      <c r="MSE50" s="364" t="s">
        <v>140</v>
      </c>
      <c r="MSF50" s="365">
        <v>0.5</v>
      </c>
      <c r="MSG50" s="366" t="e">
        <f>10/MSC48</f>
        <v>#DIV/0!</v>
      </c>
      <c r="MSH50" s="367">
        <v>15.38</v>
      </c>
      <c r="MSI50" s="367" t="e">
        <f>MSF50*MSG50*MSH50</f>
        <v>#DIV/0!</v>
      </c>
      <c r="MSJ50" s="363" t="s">
        <v>153</v>
      </c>
      <c r="MSK50" s="363"/>
      <c r="MSL50" s="363"/>
      <c r="MSM50" s="364" t="s">
        <v>140</v>
      </c>
      <c r="MSN50" s="365">
        <v>0.5</v>
      </c>
      <c r="MSO50" s="366" t="e">
        <f>10/MSK48</f>
        <v>#DIV/0!</v>
      </c>
      <c r="MSP50" s="367">
        <v>15.38</v>
      </c>
      <c r="MSQ50" s="367" t="e">
        <f>MSN50*MSO50*MSP50</f>
        <v>#DIV/0!</v>
      </c>
      <c r="MSR50" s="363" t="s">
        <v>153</v>
      </c>
      <c r="MSS50" s="363"/>
      <c r="MST50" s="363"/>
      <c r="MSU50" s="364" t="s">
        <v>140</v>
      </c>
      <c r="MSV50" s="365">
        <v>0.5</v>
      </c>
      <c r="MSW50" s="366" t="e">
        <f>10/MSS48</f>
        <v>#DIV/0!</v>
      </c>
      <c r="MSX50" s="367">
        <v>15.38</v>
      </c>
      <c r="MSY50" s="367" t="e">
        <f>MSV50*MSW50*MSX50</f>
        <v>#DIV/0!</v>
      </c>
      <c r="MSZ50" s="363" t="s">
        <v>153</v>
      </c>
      <c r="MTA50" s="363"/>
      <c r="MTB50" s="363"/>
      <c r="MTC50" s="364" t="s">
        <v>140</v>
      </c>
      <c r="MTD50" s="365">
        <v>0.5</v>
      </c>
      <c r="MTE50" s="366" t="e">
        <f>10/MTA48</f>
        <v>#DIV/0!</v>
      </c>
      <c r="MTF50" s="367">
        <v>15.38</v>
      </c>
      <c r="MTG50" s="367" t="e">
        <f>MTD50*MTE50*MTF50</f>
        <v>#DIV/0!</v>
      </c>
      <c r="MTH50" s="363" t="s">
        <v>153</v>
      </c>
      <c r="MTI50" s="363"/>
      <c r="MTJ50" s="363"/>
      <c r="MTK50" s="364" t="s">
        <v>140</v>
      </c>
      <c r="MTL50" s="365">
        <v>0.5</v>
      </c>
      <c r="MTM50" s="366" t="e">
        <f>10/MTI48</f>
        <v>#DIV/0!</v>
      </c>
      <c r="MTN50" s="367">
        <v>15.38</v>
      </c>
      <c r="MTO50" s="367" t="e">
        <f>MTL50*MTM50*MTN50</f>
        <v>#DIV/0!</v>
      </c>
      <c r="MTP50" s="363" t="s">
        <v>153</v>
      </c>
      <c r="MTQ50" s="363"/>
      <c r="MTR50" s="363"/>
      <c r="MTS50" s="364" t="s">
        <v>140</v>
      </c>
      <c r="MTT50" s="365">
        <v>0.5</v>
      </c>
      <c r="MTU50" s="366" t="e">
        <f>10/MTQ48</f>
        <v>#DIV/0!</v>
      </c>
      <c r="MTV50" s="367">
        <v>15.38</v>
      </c>
      <c r="MTW50" s="367" t="e">
        <f>MTT50*MTU50*MTV50</f>
        <v>#DIV/0!</v>
      </c>
      <c r="MTX50" s="363" t="s">
        <v>153</v>
      </c>
      <c r="MTY50" s="363"/>
      <c r="MTZ50" s="363"/>
      <c r="MUA50" s="364" t="s">
        <v>140</v>
      </c>
      <c r="MUB50" s="365">
        <v>0.5</v>
      </c>
      <c r="MUC50" s="366" t="e">
        <f>10/MTY48</f>
        <v>#DIV/0!</v>
      </c>
      <c r="MUD50" s="367">
        <v>15.38</v>
      </c>
      <c r="MUE50" s="367" t="e">
        <f>MUB50*MUC50*MUD50</f>
        <v>#DIV/0!</v>
      </c>
      <c r="MUF50" s="363" t="s">
        <v>153</v>
      </c>
      <c r="MUG50" s="363"/>
      <c r="MUH50" s="363"/>
      <c r="MUI50" s="364" t="s">
        <v>140</v>
      </c>
      <c r="MUJ50" s="365">
        <v>0.5</v>
      </c>
      <c r="MUK50" s="366" t="e">
        <f>10/MUG48</f>
        <v>#DIV/0!</v>
      </c>
      <c r="MUL50" s="367">
        <v>15.38</v>
      </c>
      <c r="MUM50" s="367" t="e">
        <f>MUJ50*MUK50*MUL50</f>
        <v>#DIV/0!</v>
      </c>
      <c r="MUN50" s="363" t="s">
        <v>153</v>
      </c>
      <c r="MUO50" s="363"/>
      <c r="MUP50" s="363"/>
      <c r="MUQ50" s="364" t="s">
        <v>140</v>
      </c>
      <c r="MUR50" s="365">
        <v>0.5</v>
      </c>
      <c r="MUS50" s="366" t="e">
        <f>10/MUO48</f>
        <v>#DIV/0!</v>
      </c>
      <c r="MUT50" s="367">
        <v>15.38</v>
      </c>
      <c r="MUU50" s="367" t="e">
        <f>MUR50*MUS50*MUT50</f>
        <v>#DIV/0!</v>
      </c>
      <c r="MUV50" s="363" t="s">
        <v>153</v>
      </c>
      <c r="MUW50" s="363"/>
      <c r="MUX50" s="363"/>
      <c r="MUY50" s="364" t="s">
        <v>140</v>
      </c>
      <c r="MUZ50" s="365">
        <v>0.5</v>
      </c>
      <c r="MVA50" s="366" t="e">
        <f>10/MUW48</f>
        <v>#DIV/0!</v>
      </c>
      <c r="MVB50" s="367">
        <v>15.38</v>
      </c>
      <c r="MVC50" s="367" t="e">
        <f>MUZ50*MVA50*MVB50</f>
        <v>#DIV/0!</v>
      </c>
      <c r="MVD50" s="363" t="s">
        <v>153</v>
      </c>
      <c r="MVE50" s="363"/>
      <c r="MVF50" s="363"/>
      <c r="MVG50" s="364" t="s">
        <v>140</v>
      </c>
      <c r="MVH50" s="365">
        <v>0.5</v>
      </c>
      <c r="MVI50" s="366" t="e">
        <f>10/MVE48</f>
        <v>#DIV/0!</v>
      </c>
      <c r="MVJ50" s="367">
        <v>15.38</v>
      </c>
      <c r="MVK50" s="367" t="e">
        <f>MVH50*MVI50*MVJ50</f>
        <v>#DIV/0!</v>
      </c>
      <c r="MVL50" s="363" t="s">
        <v>153</v>
      </c>
      <c r="MVM50" s="363"/>
      <c r="MVN50" s="363"/>
      <c r="MVO50" s="364" t="s">
        <v>140</v>
      </c>
      <c r="MVP50" s="365">
        <v>0.5</v>
      </c>
      <c r="MVQ50" s="366" t="e">
        <f>10/MVM48</f>
        <v>#DIV/0!</v>
      </c>
      <c r="MVR50" s="367">
        <v>15.38</v>
      </c>
      <c r="MVS50" s="367" t="e">
        <f>MVP50*MVQ50*MVR50</f>
        <v>#DIV/0!</v>
      </c>
      <c r="MVT50" s="363" t="s">
        <v>153</v>
      </c>
      <c r="MVU50" s="363"/>
      <c r="MVV50" s="363"/>
      <c r="MVW50" s="364" t="s">
        <v>140</v>
      </c>
      <c r="MVX50" s="365">
        <v>0.5</v>
      </c>
      <c r="MVY50" s="366" t="e">
        <f>10/MVU48</f>
        <v>#DIV/0!</v>
      </c>
      <c r="MVZ50" s="367">
        <v>15.38</v>
      </c>
      <c r="MWA50" s="367" t="e">
        <f>MVX50*MVY50*MVZ50</f>
        <v>#DIV/0!</v>
      </c>
      <c r="MWB50" s="363" t="s">
        <v>153</v>
      </c>
      <c r="MWC50" s="363"/>
      <c r="MWD50" s="363"/>
      <c r="MWE50" s="364" t="s">
        <v>140</v>
      </c>
      <c r="MWF50" s="365">
        <v>0.5</v>
      </c>
      <c r="MWG50" s="366" t="e">
        <f>10/MWC48</f>
        <v>#DIV/0!</v>
      </c>
      <c r="MWH50" s="367">
        <v>15.38</v>
      </c>
      <c r="MWI50" s="367" t="e">
        <f>MWF50*MWG50*MWH50</f>
        <v>#DIV/0!</v>
      </c>
      <c r="MWJ50" s="363" t="s">
        <v>153</v>
      </c>
      <c r="MWK50" s="363"/>
      <c r="MWL50" s="363"/>
      <c r="MWM50" s="364" t="s">
        <v>140</v>
      </c>
      <c r="MWN50" s="365">
        <v>0.5</v>
      </c>
      <c r="MWO50" s="366" t="e">
        <f>10/MWK48</f>
        <v>#DIV/0!</v>
      </c>
      <c r="MWP50" s="367">
        <v>15.38</v>
      </c>
      <c r="MWQ50" s="367" t="e">
        <f>MWN50*MWO50*MWP50</f>
        <v>#DIV/0!</v>
      </c>
      <c r="MWR50" s="363" t="s">
        <v>153</v>
      </c>
      <c r="MWS50" s="363"/>
      <c r="MWT50" s="363"/>
      <c r="MWU50" s="364" t="s">
        <v>140</v>
      </c>
      <c r="MWV50" s="365">
        <v>0.5</v>
      </c>
      <c r="MWW50" s="366" t="e">
        <f>10/MWS48</f>
        <v>#DIV/0!</v>
      </c>
      <c r="MWX50" s="367">
        <v>15.38</v>
      </c>
      <c r="MWY50" s="367" t="e">
        <f>MWV50*MWW50*MWX50</f>
        <v>#DIV/0!</v>
      </c>
      <c r="MWZ50" s="363" t="s">
        <v>153</v>
      </c>
      <c r="MXA50" s="363"/>
      <c r="MXB50" s="363"/>
      <c r="MXC50" s="364" t="s">
        <v>140</v>
      </c>
      <c r="MXD50" s="365">
        <v>0.5</v>
      </c>
      <c r="MXE50" s="366" t="e">
        <f>10/MXA48</f>
        <v>#DIV/0!</v>
      </c>
      <c r="MXF50" s="367">
        <v>15.38</v>
      </c>
      <c r="MXG50" s="367" t="e">
        <f>MXD50*MXE50*MXF50</f>
        <v>#DIV/0!</v>
      </c>
      <c r="MXH50" s="363" t="s">
        <v>153</v>
      </c>
      <c r="MXI50" s="363"/>
      <c r="MXJ50" s="363"/>
      <c r="MXK50" s="364" t="s">
        <v>140</v>
      </c>
      <c r="MXL50" s="365">
        <v>0.5</v>
      </c>
      <c r="MXM50" s="366" t="e">
        <f>10/MXI48</f>
        <v>#DIV/0!</v>
      </c>
      <c r="MXN50" s="367">
        <v>15.38</v>
      </c>
      <c r="MXO50" s="367" t="e">
        <f>MXL50*MXM50*MXN50</f>
        <v>#DIV/0!</v>
      </c>
      <c r="MXP50" s="363" t="s">
        <v>153</v>
      </c>
      <c r="MXQ50" s="363"/>
      <c r="MXR50" s="363"/>
      <c r="MXS50" s="364" t="s">
        <v>140</v>
      </c>
      <c r="MXT50" s="365">
        <v>0.5</v>
      </c>
      <c r="MXU50" s="366" t="e">
        <f>10/MXQ48</f>
        <v>#DIV/0!</v>
      </c>
      <c r="MXV50" s="367">
        <v>15.38</v>
      </c>
      <c r="MXW50" s="367" t="e">
        <f>MXT50*MXU50*MXV50</f>
        <v>#DIV/0!</v>
      </c>
      <c r="MXX50" s="363" t="s">
        <v>153</v>
      </c>
      <c r="MXY50" s="363"/>
      <c r="MXZ50" s="363"/>
      <c r="MYA50" s="364" t="s">
        <v>140</v>
      </c>
      <c r="MYB50" s="365">
        <v>0.5</v>
      </c>
      <c r="MYC50" s="366" t="e">
        <f>10/MXY48</f>
        <v>#DIV/0!</v>
      </c>
      <c r="MYD50" s="367">
        <v>15.38</v>
      </c>
      <c r="MYE50" s="367" t="e">
        <f>MYB50*MYC50*MYD50</f>
        <v>#DIV/0!</v>
      </c>
      <c r="MYF50" s="363" t="s">
        <v>153</v>
      </c>
      <c r="MYG50" s="363"/>
      <c r="MYH50" s="363"/>
      <c r="MYI50" s="364" t="s">
        <v>140</v>
      </c>
      <c r="MYJ50" s="365">
        <v>0.5</v>
      </c>
      <c r="MYK50" s="366" t="e">
        <f>10/MYG48</f>
        <v>#DIV/0!</v>
      </c>
      <c r="MYL50" s="367">
        <v>15.38</v>
      </c>
      <c r="MYM50" s="367" t="e">
        <f>MYJ50*MYK50*MYL50</f>
        <v>#DIV/0!</v>
      </c>
      <c r="MYN50" s="363" t="s">
        <v>153</v>
      </c>
      <c r="MYO50" s="363"/>
      <c r="MYP50" s="363"/>
      <c r="MYQ50" s="364" t="s">
        <v>140</v>
      </c>
      <c r="MYR50" s="365">
        <v>0.5</v>
      </c>
      <c r="MYS50" s="366" t="e">
        <f>10/MYO48</f>
        <v>#DIV/0!</v>
      </c>
      <c r="MYT50" s="367">
        <v>15.38</v>
      </c>
      <c r="MYU50" s="367" t="e">
        <f>MYR50*MYS50*MYT50</f>
        <v>#DIV/0!</v>
      </c>
      <c r="MYV50" s="363" t="s">
        <v>153</v>
      </c>
      <c r="MYW50" s="363"/>
      <c r="MYX50" s="363"/>
      <c r="MYY50" s="364" t="s">
        <v>140</v>
      </c>
      <c r="MYZ50" s="365">
        <v>0.5</v>
      </c>
      <c r="MZA50" s="366" t="e">
        <f>10/MYW48</f>
        <v>#DIV/0!</v>
      </c>
      <c r="MZB50" s="367">
        <v>15.38</v>
      </c>
      <c r="MZC50" s="367" t="e">
        <f>MYZ50*MZA50*MZB50</f>
        <v>#DIV/0!</v>
      </c>
      <c r="MZD50" s="363" t="s">
        <v>153</v>
      </c>
      <c r="MZE50" s="363"/>
      <c r="MZF50" s="363"/>
      <c r="MZG50" s="364" t="s">
        <v>140</v>
      </c>
      <c r="MZH50" s="365">
        <v>0.5</v>
      </c>
      <c r="MZI50" s="366" t="e">
        <f>10/MZE48</f>
        <v>#DIV/0!</v>
      </c>
      <c r="MZJ50" s="367">
        <v>15.38</v>
      </c>
      <c r="MZK50" s="367" t="e">
        <f>MZH50*MZI50*MZJ50</f>
        <v>#DIV/0!</v>
      </c>
      <c r="MZL50" s="363" t="s">
        <v>153</v>
      </c>
      <c r="MZM50" s="363"/>
      <c r="MZN50" s="363"/>
      <c r="MZO50" s="364" t="s">
        <v>140</v>
      </c>
      <c r="MZP50" s="365">
        <v>0.5</v>
      </c>
      <c r="MZQ50" s="366" t="e">
        <f>10/MZM48</f>
        <v>#DIV/0!</v>
      </c>
      <c r="MZR50" s="367">
        <v>15.38</v>
      </c>
      <c r="MZS50" s="367" t="e">
        <f>MZP50*MZQ50*MZR50</f>
        <v>#DIV/0!</v>
      </c>
      <c r="MZT50" s="363" t="s">
        <v>153</v>
      </c>
      <c r="MZU50" s="363"/>
      <c r="MZV50" s="363"/>
      <c r="MZW50" s="364" t="s">
        <v>140</v>
      </c>
      <c r="MZX50" s="365">
        <v>0.5</v>
      </c>
      <c r="MZY50" s="366" t="e">
        <f>10/MZU48</f>
        <v>#DIV/0!</v>
      </c>
      <c r="MZZ50" s="367">
        <v>15.38</v>
      </c>
      <c r="NAA50" s="367" t="e">
        <f>MZX50*MZY50*MZZ50</f>
        <v>#DIV/0!</v>
      </c>
      <c r="NAB50" s="363" t="s">
        <v>153</v>
      </c>
      <c r="NAC50" s="363"/>
      <c r="NAD50" s="363"/>
      <c r="NAE50" s="364" t="s">
        <v>140</v>
      </c>
      <c r="NAF50" s="365">
        <v>0.5</v>
      </c>
      <c r="NAG50" s="366" t="e">
        <f>10/NAC48</f>
        <v>#DIV/0!</v>
      </c>
      <c r="NAH50" s="367">
        <v>15.38</v>
      </c>
      <c r="NAI50" s="367" t="e">
        <f>NAF50*NAG50*NAH50</f>
        <v>#DIV/0!</v>
      </c>
      <c r="NAJ50" s="363" t="s">
        <v>153</v>
      </c>
      <c r="NAK50" s="363"/>
      <c r="NAL50" s="363"/>
      <c r="NAM50" s="364" t="s">
        <v>140</v>
      </c>
      <c r="NAN50" s="365">
        <v>0.5</v>
      </c>
      <c r="NAO50" s="366" t="e">
        <f>10/NAK48</f>
        <v>#DIV/0!</v>
      </c>
      <c r="NAP50" s="367">
        <v>15.38</v>
      </c>
      <c r="NAQ50" s="367" t="e">
        <f>NAN50*NAO50*NAP50</f>
        <v>#DIV/0!</v>
      </c>
      <c r="NAR50" s="363" t="s">
        <v>153</v>
      </c>
      <c r="NAS50" s="363"/>
      <c r="NAT50" s="363"/>
      <c r="NAU50" s="364" t="s">
        <v>140</v>
      </c>
      <c r="NAV50" s="365">
        <v>0.5</v>
      </c>
      <c r="NAW50" s="366" t="e">
        <f>10/NAS48</f>
        <v>#DIV/0!</v>
      </c>
      <c r="NAX50" s="367">
        <v>15.38</v>
      </c>
      <c r="NAY50" s="367" t="e">
        <f>NAV50*NAW50*NAX50</f>
        <v>#DIV/0!</v>
      </c>
      <c r="NAZ50" s="363" t="s">
        <v>153</v>
      </c>
      <c r="NBA50" s="363"/>
      <c r="NBB50" s="363"/>
      <c r="NBC50" s="364" t="s">
        <v>140</v>
      </c>
      <c r="NBD50" s="365">
        <v>0.5</v>
      </c>
      <c r="NBE50" s="366" t="e">
        <f>10/NBA48</f>
        <v>#DIV/0!</v>
      </c>
      <c r="NBF50" s="367">
        <v>15.38</v>
      </c>
      <c r="NBG50" s="367" t="e">
        <f>NBD50*NBE50*NBF50</f>
        <v>#DIV/0!</v>
      </c>
      <c r="NBH50" s="363" t="s">
        <v>153</v>
      </c>
      <c r="NBI50" s="363"/>
      <c r="NBJ50" s="363"/>
      <c r="NBK50" s="364" t="s">
        <v>140</v>
      </c>
      <c r="NBL50" s="365">
        <v>0.5</v>
      </c>
      <c r="NBM50" s="366" t="e">
        <f>10/NBI48</f>
        <v>#DIV/0!</v>
      </c>
      <c r="NBN50" s="367">
        <v>15.38</v>
      </c>
      <c r="NBO50" s="367" t="e">
        <f>NBL50*NBM50*NBN50</f>
        <v>#DIV/0!</v>
      </c>
      <c r="NBP50" s="363" t="s">
        <v>153</v>
      </c>
      <c r="NBQ50" s="363"/>
      <c r="NBR50" s="363"/>
      <c r="NBS50" s="364" t="s">
        <v>140</v>
      </c>
      <c r="NBT50" s="365">
        <v>0.5</v>
      </c>
      <c r="NBU50" s="366" t="e">
        <f>10/NBQ48</f>
        <v>#DIV/0!</v>
      </c>
      <c r="NBV50" s="367">
        <v>15.38</v>
      </c>
      <c r="NBW50" s="367" t="e">
        <f>NBT50*NBU50*NBV50</f>
        <v>#DIV/0!</v>
      </c>
      <c r="NBX50" s="363" t="s">
        <v>153</v>
      </c>
      <c r="NBY50" s="363"/>
      <c r="NBZ50" s="363"/>
      <c r="NCA50" s="364" t="s">
        <v>140</v>
      </c>
      <c r="NCB50" s="365">
        <v>0.5</v>
      </c>
      <c r="NCC50" s="366" t="e">
        <f>10/NBY48</f>
        <v>#DIV/0!</v>
      </c>
      <c r="NCD50" s="367">
        <v>15.38</v>
      </c>
      <c r="NCE50" s="367" t="e">
        <f>NCB50*NCC50*NCD50</f>
        <v>#DIV/0!</v>
      </c>
      <c r="NCF50" s="363" t="s">
        <v>153</v>
      </c>
      <c r="NCG50" s="363"/>
      <c r="NCH50" s="363"/>
      <c r="NCI50" s="364" t="s">
        <v>140</v>
      </c>
      <c r="NCJ50" s="365">
        <v>0.5</v>
      </c>
      <c r="NCK50" s="366" t="e">
        <f>10/NCG48</f>
        <v>#DIV/0!</v>
      </c>
      <c r="NCL50" s="367">
        <v>15.38</v>
      </c>
      <c r="NCM50" s="367" t="e">
        <f>NCJ50*NCK50*NCL50</f>
        <v>#DIV/0!</v>
      </c>
      <c r="NCN50" s="363" t="s">
        <v>153</v>
      </c>
      <c r="NCO50" s="363"/>
      <c r="NCP50" s="363"/>
      <c r="NCQ50" s="364" t="s">
        <v>140</v>
      </c>
      <c r="NCR50" s="365">
        <v>0.5</v>
      </c>
      <c r="NCS50" s="366" t="e">
        <f>10/NCO48</f>
        <v>#DIV/0!</v>
      </c>
      <c r="NCT50" s="367">
        <v>15.38</v>
      </c>
      <c r="NCU50" s="367" t="e">
        <f>NCR50*NCS50*NCT50</f>
        <v>#DIV/0!</v>
      </c>
      <c r="NCV50" s="363" t="s">
        <v>153</v>
      </c>
      <c r="NCW50" s="363"/>
      <c r="NCX50" s="363"/>
      <c r="NCY50" s="364" t="s">
        <v>140</v>
      </c>
      <c r="NCZ50" s="365">
        <v>0.5</v>
      </c>
      <c r="NDA50" s="366" t="e">
        <f>10/NCW48</f>
        <v>#DIV/0!</v>
      </c>
      <c r="NDB50" s="367">
        <v>15.38</v>
      </c>
      <c r="NDC50" s="367" t="e">
        <f>NCZ50*NDA50*NDB50</f>
        <v>#DIV/0!</v>
      </c>
      <c r="NDD50" s="363" t="s">
        <v>153</v>
      </c>
      <c r="NDE50" s="363"/>
      <c r="NDF50" s="363"/>
      <c r="NDG50" s="364" t="s">
        <v>140</v>
      </c>
      <c r="NDH50" s="365">
        <v>0.5</v>
      </c>
      <c r="NDI50" s="366" t="e">
        <f>10/NDE48</f>
        <v>#DIV/0!</v>
      </c>
      <c r="NDJ50" s="367">
        <v>15.38</v>
      </c>
      <c r="NDK50" s="367" t="e">
        <f>NDH50*NDI50*NDJ50</f>
        <v>#DIV/0!</v>
      </c>
      <c r="NDL50" s="363" t="s">
        <v>153</v>
      </c>
      <c r="NDM50" s="363"/>
      <c r="NDN50" s="363"/>
      <c r="NDO50" s="364" t="s">
        <v>140</v>
      </c>
      <c r="NDP50" s="365">
        <v>0.5</v>
      </c>
      <c r="NDQ50" s="366" t="e">
        <f>10/NDM48</f>
        <v>#DIV/0!</v>
      </c>
      <c r="NDR50" s="367">
        <v>15.38</v>
      </c>
      <c r="NDS50" s="367" t="e">
        <f>NDP50*NDQ50*NDR50</f>
        <v>#DIV/0!</v>
      </c>
      <c r="NDT50" s="363" t="s">
        <v>153</v>
      </c>
      <c r="NDU50" s="363"/>
      <c r="NDV50" s="363"/>
      <c r="NDW50" s="364" t="s">
        <v>140</v>
      </c>
      <c r="NDX50" s="365">
        <v>0.5</v>
      </c>
      <c r="NDY50" s="366" t="e">
        <f>10/NDU48</f>
        <v>#DIV/0!</v>
      </c>
      <c r="NDZ50" s="367">
        <v>15.38</v>
      </c>
      <c r="NEA50" s="367" t="e">
        <f>NDX50*NDY50*NDZ50</f>
        <v>#DIV/0!</v>
      </c>
      <c r="NEB50" s="363" t="s">
        <v>153</v>
      </c>
      <c r="NEC50" s="363"/>
      <c r="NED50" s="363"/>
      <c r="NEE50" s="364" t="s">
        <v>140</v>
      </c>
      <c r="NEF50" s="365">
        <v>0.5</v>
      </c>
      <c r="NEG50" s="366" t="e">
        <f>10/NEC48</f>
        <v>#DIV/0!</v>
      </c>
      <c r="NEH50" s="367">
        <v>15.38</v>
      </c>
      <c r="NEI50" s="367" t="e">
        <f>NEF50*NEG50*NEH50</f>
        <v>#DIV/0!</v>
      </c>
      <c r="NEJ50" s="363" t="s">
        <v>153</v>
      </c>
      <c r="NEK50" s="363"/>
      <c r="NEL50" s="363"/>
      <c r="NEM50" s="364" t="s">
        <v>140</v>
      </c>
      <c r="NEN50" s="365">
        <v>0.5</v>
      </c>
      <c r="NEO50" s="366" t="e">
        <f>10/NEK48</f>
        <v>#DIV/0!</v>
      </c>
      <c r="NEP50" s="367">
        <v>15.38</v>
      </c>
      <c r="NEQ50" s="367" t="e">
        <f>NEN50*NEO50*NEP50</f>
        <v>#DIV/0!</v>
      </c>
      <c r="NER50" s="363" t="s">
        <v>153</v>
      </c>
      <c r="NES50" s="363"/>
      <c r="NET50" s="363"/>
      <c r="NEU50" s="364" t="s">
        <v>140</v>
      </c>
      <c r="NEV50" s="365">
        <v>0.5</v>
      </c>
      <c r="NEW50" s="366" t="e">
        <f>10/NES48</f>
        <v>#DIV/0!</v>
      </c>
      <c r="NEX50" s="367">
        <v>15.38</v>
      </c>
      <c r="NEY50" s="367" t="e">
        <f>NEV50*NEW50*NEX50</f>
        <v>#DIV/0!</v>
      </c>
      <c r="NEZ50" s="363" t="s">
        <v>153</v>
      </c>
      <c r="NFA50" s="363"/>
      <c r="NFB50" s="363"/>
      <c r="NFC50" s="364" t="s">
        <v>140</v>
      </c>
      <c r="NFD50" s="365">
        <v>0.5</v>
      </c>
      <c r="NFE50" s="366" t="e">
        <f>10/NFA48</f>
        <v>#DIV/0!</v>
      </c>
      <c r="NFF50" s="367">
        <v>15.38</v>
      </c>
      <c r="NFG50" s="367" t="e">
        <f>NFD50*NFE50*NFF50</f>
        <v>#DIV/0!</v>
      </c>
      <c r="NFH50" s="363" t="s">
        <v>153</v>
      </c>
      <c r="NFI50" s="363"/>
      <c r="NFJ50" s="363"/>
      <c r="NFK50" s="364" t="s">
        <v>140</v>
      </c>
      <c r="NFL50" s="365">
        <v>0.5</v>
      </c>
      <c r="NFM50" s="366" t="e">
        <f>10/NFI48</f>
        <v>#DIV/0!</v>
      </c>
      <c r="NFN50" s="367">
        <v>15.38</v>
      </c>
      <c r="NFO50" s="367" t="e">
        <f>NFL50*NFM50*NFN50</f>
        <v>#DIV/0!</v>
      </c>
      <c r="NFP50" s="363" t="s">
        <v>153</v>
      </c>
      <c r="NFQ50" s="363"/>
      <c r="NFR50" s="363"/>
      <c r="NFS50" s="364" t="s">
        <v>140</v>
      </c>
      <c r="NFT50" s="365">
        <v>0.5</v>
      </c>
      <c r="NFU50" s="366" t="e">
        <f>10/NFQ48</f>
        <v>#DIV/0!</v>
      </c>
      <c r="NFV50" s="367">
        <v>15.38</v>
      </c>
      <c r="NFW50" s="367" t="e">
        <f>NFT50*NFU50*NFV50</f>
        <v>#DIV/0!</v>
      </c>
      <c r="NFX50" s="363" t="s">
        <v>153</v>
      </c>
      <c r="NFY50" s="363"/>
      <c r="NFZ50" s="363"/>
      <c r="NGA50" s="364" t="s">
        <v>140</v>
      </c>
      <c r="NGB50" s="365">
        <v>0.5</v>
      </c>
      <c r="NGC50" s="366" t="e">
        <f>10/NFY48</f>
        <v>#DIV/0!</v>
      </c>
      <c r="NGD50" s="367">
        <v>15.38</v>
      </c>
      <c r="NGE50" s="367" t="e">
        <f>NGB50*NGC50*NGD50</f>
        <v>#DIV/0!</v>
      </c>
      <c r="NGF50" s="363" t="s">
        <v>153</v>
      </c>
      <c r="NGG50" s="363"/>
      <c r="NGH50" s="363"/>
      <c r="NGI50" s="364" t="s">
        <v>140</v>
      </c>
      <c r="NGJ50" s="365">
        <v>0.5</v>
      </c>
      <c r="NGK50" s="366" t="e">
        <f>10/NGG48</f>
        <v>#DIV/0!</v>
      </c>
      <c r="NGL50" s="367">
        <v>15.38</v>
      </c>
      <c r="NGM50" s="367" t="e">
        <f>NGJ50*NGK50*NGL50</f>
        <v>#DIV/0!</v>
      </c>
      <c r="NGN50" s="363" t="s">
        <v>153</v>
      </c>
      <c r="NGO50" s="363"/>
      <c r="NGP50" s="363"/>
      <c r="NGQ50" s="364" t="s">
        <v>140</v>
      </c>
      <c r="NGR50" s="365">
        <v>0.5</v>
      </c>
      <c r="NGS50" s="366" t="e">
        <f>10/NGO48</f>
        <v>#DIV/0!</v>
      </c>
      <c r="NGT50" s="367">
        <v>15.38</v>
      </c>
      <c r="NGU50" s="367" t="e">
        <f>NGR50*NGS50*NGT50</f>
        <v>#DIV/0!</v>
      </c>
      <c r="NGV50" s="363" t="s">
        <v>153</v>
      </c>
      <c r="NGW50" s="363"/>
      <c r="NGX50" s="363"/>
      <c r="NGY50" s="364" t="s">
        <v>140</v>
      </c>
      <c r="NGZ50" s="365">
        <v>0.5</v>
      </c>
      <c r="NHA50" s="366" t="e">
        <f>10/NGW48</f>
        <v>#DIV/0!</v>
      </c>
      <c r="NHB50" s="367">
        <v>15.38</v>
      </c>
      <c r="NHC50" s="367" t="e">
        <f>NGZ50*NHA50*NHB50</f>
        <v>#DIV/0!</v>
      </c>
      <c r="NHD50" s="363" t="s">
        <v>153</v>
      </c>
      <c r="NHE50" s="363"/>
      <c r="NHF50" s="363"/>
      <c r="NHG50" s="364" t="s">
        <v>140</v>
      </c>
      <c r="NHH50" s="365">
        <v>0.5</v>
      </c>
      <c r="NHI50" s="366" t="e">
        <f>10/NHE48</f>
        <v>#DIV/0!</v>
      </c>
      <c r="NHJ50" s="367">
        <v>15.38</v>
      </c>
      <c r="NHK50" s="367" t="e">
        <f>NHH50*NHI50*NHJ50</f>
        <v>#DIV/0!</v>
      </c>
      <c r="NHL50" s="363" t="s">
        <v>153</v>
      </c>
      <c r="NHM50" s="363"/>
      <c r="NHN50" s="363"/>
      <c r="NHO50" s="364" t="s">
        <v>140</v>
      </c>
      <c r="NHP50" s="365">
        <v>0.5</v>
      </c>
      <c r="NHQ50" s="366" t="e">
        <f>10/NHM48</f>
        <v>#DIV/0!</v>
      </c>
      <c r="NHR50" s="367">
        <v>15.38</v>
      </c>
      <c r="NHS50" s="367" t="e">
        <f>NHP50*NHQ50*NHR50</f>
        <v>#DIV/0!</v>
      </c>
      <c r="NHT50" s="363" t="s">
        <v>153</v>
      </c>
      <c r="NHU50" s="363"/>
      <c r="NHV50" s="363"/>
      <c r="NHW50" s="364" t="s">
        <v>140</v>
      </c>
      <c r="NHX50" s="365">
        <v>0.5</v>
      </c>
      <c r="NHY50" s="366" t="e">
        <f>10/NHU48</f>
        <v>#DIV/0!</v>
      </c>
      <c r="NHZ50" s="367">
        <v>15.38</v>
      </c>
      <c r="NIA50" s="367" t="e">
        <f>NHX50*NHY50*NHZ50</f>
        <v>#DIV/0!</v>
      </c>
      <c r="NIB50" s="363" t="s">
        <v>153</v>
      </c>
      <c r="NIC50" s="363"/>
      <c r="NID50" s="363"/>
      <c r="NIE50" s="364" t="s">
        <v>140</v>
      </c>
      <c r="NIF50" s="365">
        <v>0.5</v>
      </c>
      <c r="NIG50" s="366" t="e">
        <f>10/NIC48</f>
        <v>#DIV/0!</v>
      </c>
      <c r="NIH50" s="367">
        <v>15.38</v>
      </c>
      <c r="NII50" s="367" t="e">
        <f>NIF50*NIG50*NIH50</f>
        <v>#DIV/0!</v>
      </c>
      <c r="NIJ50" s="363" t="s">
        <v>153</v>
      </c>
      <c r="NIK50" s="363"/>
      <c r="NIL50" s="363"/>
      <c r="NIM50" s="364" t="s">
        <v>140</v>
      </c>
      <c r="NIN50" s="365">
        <v>0.5</v>
      </c>
      <c r="NIO50" s="366" t="e">
        <f>10/NIK48</f>
        <v>#DIV/0!</v>
      </c>
      <c r="NIP50" s="367">
        <v>15.38</v>
      </c>
      <c r="NIQ50" s="367" t="e">
        <f>NIN50*NIO50*NIP50</f>
        <v>#DIV/0!</v>
      </c>
      <c r="NIR50" s="363" t="s">
        <v>153</v>
      </c>
      <c r="NIS50" s="363"/>
      <c r="NIT50" s="363"/>
      <c r="NIU50" s="364" t="s">
        <v>140</v>
      </c>
      <c r="NIV50" s="365">
        <v>0.5</v>
      </c>
      <c r="NIW50" s="366" t="e">
        <f>10/NIS48</f>
        <v>#DIV/0!</v>
      </c>
      <c r="NIX50" s="367">
        <v>15.38</v>
      </c>
      <c r="NIY50" s="367" t="e">
        <f>NIV50*NIW50*NIX50</f>
        <v>#DIV/0!</v>
      </c>
      <c r="NIZ50" s="363" t="s">
        <v>153</v>
      </c>
      <c r="NJA50" s="363"/>
      <c r="NJB50" s="363"/>
      <c r="NJC50" s="364" t="s">
        <v>140</v>
      </c>
      <c r="NJD50" s="365">
        <v>0.5</v>
      </c>
      <c r="NJE50" s="366" t="e">
        <f>10/NJA48</f>
        <v>#DIV/0!</v>
      </c>
      <c r="NJF50" s="367">
        <v>15.38</v>
      </c>
      <c r="NJG50" s="367" t="e">
        <f>NJD50*NJE50*NJF50</f>
        <v>#DIV/0!</v>
      </c>
      <c r="NJH50" s="363" t="s">
        <v>153</v>
      </c>
      <c r="NJI50" s="363"/>
      <c r="NJJ50" s="363"/>
      <c r="NJK50" s="364" t="s">
        <v>140</v>
      </c>
      <c r="NJL50" s="365">
        <v>0.5</v>
      </c>
      <c r="NJM50" s="366" t="e">
        <f>10/NJI48</f>
        <v>#DIV/0!</v>
      </c>
      <c r="NJN50" s="367">
        <v>15.38</v>
      </c>
      <c r="NJO50" s="367" t="e">
        <f>NJL50*NJM50*NJN50</f>
        <v>#DIV/0!</v>
      </c>
      <c r="NJP50" s="363" t="s">
        <v>153</v>
      </c>
      <c r="NJQ50" s="363"/>
      <c r="NJR50" s="363"/>
      <c r="NJS50" s="364" t="s">
        <v>140</v>
      </c>
      <c r="NJT50" s="365">
        <v>0.5</v>
      </c>
      <c r="NJU50" s="366" t="e">
        <f>10/NJQ48</f>
        <v>#DIV/0!</v>
      </c>
      <c r="NJV50" s="367">
        <v>15.38</v>
      </c>
      <c r="NJW50" s="367" t="e">
        <f>NJT50*NJU50*NJV50</f>
        <v>#DIV/0!</v>
      </c>
      <c r="NJX50" s="363" t="s">
        <v>153</v>
      </c>
      <c r="NJY50" s="363"/>
      <c r="NJZ50" s="363"/>
      <c r="NKA50" s="364" t="s">
        <v>140</v>
      </c>
      <c r="NKB50" s="365">
        <v>0.5</v>
      </c>
      <c r="NKC50" s="366" t="e">
        <f>10/NJY48</f>
        <v>#DIV/0!</v>
      </c>
      <c r="NKD50" s="367">
        <v>15.38</v>
      </c>
      <c r="NKE50" s="367" t="e">
        <f>NKB50*NKC50*NKD50</f>
        <v>#DIV/0!</v>
      </c>
      <c r="NKF50" s="363" t="s">
        <v>153</v>
      </c>
      <c r="NKG50" s="363"/>
      <c r="NKH50" s="363"/>
      <c r="NKI50" s="364" t="s">
        <v>140</v>
      </c>
      <c r="NKJ50" s="365">
        <v>0.5</v>
      </c>
      <c r="NKK50" s="366" t="e">
        <f>10/NKG48</f>
        <v>#DIV/0!</v>
      </c>
      <c r="NKL50" s="367">
        <v>15.38</v>
      </c>
      <c r="NKM50" s="367" t="e">
        <f>NKJ50*NKK50*NKL50</f>
        <v>#DIV/0!</v>
      </c>
      <c r="NKN50" s="363" t="s">
        <v>153</v>
      </c>
      <c r="NKO50" s="363"/>
      <c r="NKP50" s="363"/>
      <c r="NKQ50" s="364" t="s">
        <v>140</v>
      </c>
      <c r="NKR50" s="365">
        <v>0.5</v>
      </c>
      <c r="NKS50" s="366" t="e">
        <f>10/NKO48</f>
        <v>#DIV/0!</v>
      </c>
      <c r="NKT50" s="367">
        <v>15.38</v>
      </c>
      <c r="NKU50" s="367" t="e">
        <f>NKR50*NKS50*NKT50</f>
        <v>#DIV/0!</v>
      </c>
      <c r="NKV50" s="363" t="s">
        <v>153</v>
      </c>
      <c r="NKW50" s="363"/>
      <c r="NKX50" s="363"/>
      <c r="NKY50" s="364" t="s">
        <v>140</v>
      </c>
      <c r="NKZ50" s="365">
        <v>0.5</v>
      </c>
      <c r="NLA50" s="366" t="e">
        <f>10/NKW48</f>
        <v>#DIV/0!</v>
      </c>
      <c r="NLB50" s="367">
        <v>15.38</v>
      </c>
      <c r="NLC50" s="367" t="e">
        <f>NKZ50*NLA50*NLB50</f>
        <v>#DIV/0!</v>
      </c>
      <c r="NLD50" s="363" t="s">
        <v>153</v>
      </c>
      <c r="NLE50" s="363"/>
      <c r="NLF50" s="363"/>
      <c r="NLG50" s="364" t="s">
        <v>140</v>
      </c>
      <c r="NLH50" s="365">
        <v>0.5</v>
      </c>
      <c r="NLI50" s="366" t="e">
        <f>10/NLE48</f>
        <v>#DIV/0!</v>
      </c>
      <c r="NLJ50" s="367">
        <v>15.38</v>
      </c>
      <c r="NLK50" s="367" t="e">
        <f>NLH50*NLI50*NLJ50</f>
        <v>#DIV/0!</v>
      </c>
      <c r="NLL50" s="363" t="s">
        <v>153</v>
      </c>
      <c r="NLM50" s="363"/>
      <c r="NLN50" s="363"/>
      <c r="NLO50" s="364" t="s">
        <v>140</v>
      </c>
      <c r="NLP50" s="365">
        <v>0.5</v>
      </c>
      <c r="NLQ50" s="366" t="e">
        <f>10/NLM48</f>
        <v>#DIV/0!</v>
      </c>
      <c r="NLR50" s="367">
        <v>15.38</v>
      </c>
      <c r="NLS50" s="367" t="e">
        <f>NLP50*NLQ50*NLR50</f>
        <v>#DIV/0!</v>
      </c>
      <c r="NLT50" s="363" t="s">
        <v>153</v>
      </c>
      <c r="NLU50" s="363"/>
      <c r="NLV50" s="363"/>
      <c r="NLW50" s="364" t="s">
        <v>140</v>
      </c>
      <c r="NLX50" s="365">
        <v>0.5</v>
      </c>
      <c r="NLY50" s="366" t="e">
        <f>10/NLU48</f>
        <v>#DIV/0!</v>
      </c>
      <c r="NLZ50" s="367">
        <v>15.38</v>
      </c>
      <c r="NMA50" s="367" t="e">
        <f>NLX50*NLY50*NLZ50</f>
        <v>#DIV/0!</v>
      </c>
      <c r="NMB50" s="363" t="s">
        <v>153</v>
      </c>
      <c r="NMC50" s="363"/>
      <c r="NMD50" s="363"/>
      <c r="NME50" s="364" t="s">
        <v>140</v>
      </c>
      <c r="NMF50" s="365">
        <v>0.5</v>
      </c>
      <c r="NMG50" s="366" t="e">
        <f>10/NMC48</f>
        <v>#DIV/0!</v>
      </c>
      <c r="NMH50" s="367">
        <v>15.38</v>
      </c>
      <c r="NMI50" s="367" t="e">
        <f>NMF50*NMG50*NMH50</f>
        <v>#DIV/0!</v>
      </c>
      <c r="NMJ50" s="363" t="s">
        <v>153</v>
      </c>
      <c r="NMK50" s="363"/>
      <c r="NML50" s="363"/>
      <c r="NMM50" s="364" t="s">
        <v>140</v>
      </c>
      <c r="NMN50" s="365">
        <v>0.5</v>
      </c>
      <c r="NMO50" s="366" t="e">
        <f>10/NMK48</f>
        <v>#DIV/0!</v>
      </c>
      <c r="NMP50" s="367">
        <v>15.38</v>
      </c>
      <c r="NMQ50" s="367" t="e">
        <f>NMN50*NMO50*NMP50</f>
        <v>#DIV/0!</v>
      </c>
      <c r="NMR50" s="363" t="s">
        <v>153</v>
      </c>
      <c r="NMS50" s="363"/>
      <c r="NMT50" s="363"/>
      <c r="NMU50" s="364" t="s">
        <v>140</v>
      </c>
      <c r="NMV50" s="365">
        <v>0.5</v>
      </c>
      <c r="NMW50" s="366" t="e">
        <f>10/NMS48</f>
        <v>#DIV/0!</v>
      </c>
      <c r="NMX50" s="367">
        <v>15.38</v>
      </c>
      <c r="NMY50" s="367" t="e">
        <f>NMV50*NMW50*NMX50</f>
        <v>#DIV/0!</v>
      </c>
      <c r="NMZ50" s="363" t="s">
        <v>153</v>
      </c>
      <c r="NNA50" s="363"/>
      <c r="NNB50" s="363"/>
      <c r="NNC50" s="364" t="s">
        <v>140</v>
      </c>
      <c r="NND50" s="365">
        <v>0.5</v>
      </c>
      <c r="NNE50" s="366" t="e">
        <f>10/NNA48</f>
        <v>#DIV/0!</v>
      </c>
      <c r="NNF50" s="367">
        <v>15.38</v>
      </c>
      <c r="NNG50" s="367" t="e">
        <f>NND50*NNE50*NNF50</f>
        <v>#DIV/0!</v>
      </c>
      <c r="NNH50" s="363" t="s">
        <v>153</v>
      </c>
      <c r="NNI50" s="363"/>
      <c r="NNJ50" s="363"/>
      <c r="NNK50" s="364" t="s">
        <v>140</v>
      </c>
      <c r="NNL50" s="365">
        <v>0.5</v>
      </c>
      <c r="NNM50" s="366" t="e">
        <f>10/NNI48</f>
        <v>#DIV/0!</v>
      </c>
      <c r="NNN50" s="367">
        <v>15.38</v>
      </c>
      <c r="NNO50" s="367" t="e">
        <f>NNL50*NNM50*NNN50</f>
        <v>#DIV/0!</v>
      </c>
      <c r="NNP50" s="363" t="s">
        <v>153</v>
      </c>
      <c r="NNQ50" s="363"/>
      <c r="NNR50" s="363"/>
      <c r="NNS50" s="364" t="s">
        <v>140</v>
      </c>
      <c r="NNT50" s="365">
        <v>0.5</v>
      </c>
      <c r="NNU50" s="366" t="e">
        <f>10/NNQ48</f>
        <v>#DIV/0!</v>
      </c>
      <c r="NNV50" s="367">
        <v>15.38</v>
      </c>
      <c r="NNW50" s="367" t="e">
        <f>NNT50*NNU50*NNV50</f>
        <v>#DIV/0!</v>
      </c>
      <c r="NNX50" s="363" t="s">
        <v>153</v>
      </c>
      <c r="NNY50" s="363"/>
      <c r="NNZ50" s="363"/>
      <c r="NOA50" s="364" t="s">
        <v>140</v>
      </c>
      <c r="NOB50" s="365">
        <v>0.5</v>
      </c>
      <c r="NOC50" s="366" t="e">
        <f>10/NNY48</f>
        <v>#DIV/0!</v>
      </c>
      <c r="NOD50" s="367">
        <v>15.38</v>
      </c>
      <c r="NOE50" s="367" t="e">
        <f>NOB50*NOC50*NOD50</f>
        <v>#DIV/0!</v>
      </c>
      <c r="NOF50" s="363" t="s">
        <v>153</v>
      </c>
      <c r="NOG50" s="363"/>
      <c r="NOH50" s="363"/>
      <c r="NOI50" s="364" t="s">
        <v>140</v>
      </c>
      <c r="NOJ50" s="365">
        <v>0.5</v>
      </c>
      <c r="NOK50" s="366" t="e">
        <f>10/NOG48</f>
        <v>#DIV/0!</v>
      </c>
      <c r="NOL50" s="367">
        <v>15.38</v>
      </c>
      <c r="NOM50" s="367" t="e">
        <f>NOJ50*NOK50*NOL50</f>
        <v>#DIV/0!</v>
      </c>
      <c r="NON50" s="363" t="s">
        <v>153</v>
      </c>
      <c r="NOO50" s="363"/>
      <c r="NOP50" s="363"/>
      <c r="NOQ50" s="364" t="s">
        <v>140</v>
      </c>
      <c r="NOR50" s="365">
        <v>0.5</v>
      </c>
      <c r="NOS50" s="366" t="e">
        <f>10/NOO48</f>
        <v>#DIV/0!</v>
      </c>
      <c r="NOT50" s="367">
        <v>15.38</v>
      </c>
      <c r="NOU50" s="367" t="e">
        <f>NOR50*NOS50*NOT50</f>
        <v>#DIV/0!</v>
      </c>
      <c r="NOV50" s="363" t="s">
        <v>153</v>
      </c>
      <c r="NOW50" s="363"/>
      <c r="NOX50" s="363"/>
      <c r="NOY50" s="364" t="s">
        <v>140</v>
      </c>
      <c r="NOZ50" s="365">
        <v>0.5</v>
      </c>
      <c r="NPA50" s="366" t="e">
        <f>10/NOW48</f>
        <v>#DIV/0!</v>
      </c>
      <c r="NPB50" s="367">
        <v>15.38</v>
      </c>
      <c r="NPC50" s="367" t="e">
        <f>NOZ50*NPA50*NPB50</f>
        <v>#DIV/0!</v>
      </c>
      <c r="NPD50" s="363" t="s">
        <v>153</v>
      </c>
      <c r="NPE50" s="363"/>
      <c r="NPF50" s="363"/>
      <c r="NPG50" s="364" t="s">
        <v>140</v>
      </c>
      <c r="NPH50" s="365">
        <v>0.5</v>
      </c>
      <c r="NPI50" s="366" t="e">
        <f>10/NPE48</f>
        <v>#DIV/0!</v>
      </c>
      <c r="NPJ50" s="367">
        <v>15.38</v>
      </c>
      <c r="NPK50" s="367" t="e">
        <f>NPH50*NPI50*NPJ50</f>
        <v>#DIV/0!</v>
      </c>
      <c r="NPL50" s="363" t="s">
        <v>153</v>
      </c>
      <c r="NPM50" s="363"/>
      <c r="NPN50" s="363"/>
      <c r="NPO50" s="364" t="s">
        <v>140</v>
      </c>
      <c r="NPP50" s="365">
        <v>0.5</v>
      </c>
      <c r="NPQ50" s="366" t="e">
        <f>10/NPM48</f>
        <v>#DIV/0!</v>
      </c>
      <c r="NPR50" s="367">
        <v>15.38</v>
      </c>
      <c r="NPS50" s="367" t="e">
        <f>NPP50*NPQ50*NPR50</f>
        <v>#DIV/0!</v>
      </c>
      <c r="NPT50" s="363" t="s">
        <v>153</v>
      </c>
      <c r="NPU50" s="363"/>
      <c r="NPV50" s="363"/>
      <c r="NPW50" s="364" t="s">
        <v>140</v>
      </c>
      <c r="NPX50" s="365">
        <v>0.5</v>
      </c>
      <c r="NPY50" s="366" t="e">
        <f>10/NPU48</f>
        <v>#DIV/0!</v>
      </c>
      <c r="NPZ50" s="367">
        <v>15.38</v>
      </c>
      <c r="NQA50" s="367" t="e">
        <f>NPX50*NPY50*NPZ50</f>
        <v>#DIV/0!</v>
      </c>
      <c r="NQB50" s="363" t="s">
        <v>153</v>
      </c>
      <c r="NQC50" s="363"/>
      <c r="NQD50" s="363"/>
      <c r="NQE50" s="364" t="s">
        <v>140</v>
      </c>
      <c r="NQF50" s="365">
        <v>0.5</v>
      </c>
      <c r="NQG50" s="366" t="e">
        <f>10/NQC48</f>
        <v>#DIV/0!</v>
      </c>
      <c r="NQH50" s="367">
        <v>15.38</v>
      </c>
      <c r="NQI50" s="367" t="e">
        <f>NQF50*NQG50*NQH50</f>
        <v>#DIV/0!</v>
      </c>
      <c r="NQJ50" s="363" t="s">
        <v>153</v>
      </c>
      <c r="NQK50" s="363"/>
      <c r="NQL50" s="363"/>
      <c r="NQM50" s="364" t="s">
        <v>140</v>
      </c>
      <c r="NQN50" s="365">
        <v>0.5</v>
      </c>
      <c r="NQO50" s="366" t="e">
        <f>10/NQK48</f>
        <v>#DIV/0!</v>
      </c>
      <c r="NQP50" s="367">
        <v>15.38</v>
      </c>
      <c r="NQQ50" s="367" t="e">
        <f>NQN50*NQO50*NQP50</f>
        <v>#DIV/0!</v>
      </c>
      <c r="NQR50" s="363" t="s">
        <v>153</v>
      </c>
      <c r="NQS50" s="363"/>
      <c r="NQT50" s="363"/>
      <c r="NQU50" s="364" t="s">
        <v>140</v>
      </c>
      <c r="NQV50" s="365">
        <v>0.5</v>
      </c>
      <c r="NQW50" s="366" t="e">
        <f>10/NQS48</f>
        <v>#DIV/0!</v>
      </c>
      <c r="NQX50" s="367">
        <v>15.38</v>
      </c>
      <c r="NQY50" s="367" t="e">
        <f>NQV50*NQW50*NQX50</f>
        <v>#DIV/0!</v>
      </c>
      <c r="NQZ50" s="363" t="s">
        <v>153</v>
      </c>
      <c r="NRA50" s="363"/>
      <c r="NRB50" s="363"/>
      <c r="NRC50" s="364" t="s">
        <v>140</v>
      </c>
      <c r="NRD50" s="365">
        <v>0.5</v>
      </c>
      <c r="NRE50" s="366" t="e">
        <f>10/NRA48</f>
        <v>#DIV/0!</v>
      </c>
      <c r="NRF50" s="367">
        <v>15.38</v>
      </c>
      <c r="NRG50" s="367" t="e">
        <f>NRD50*NRE50*NRF50</f>
        <v>#DIV/0!</v>
      </c>
      <c r="NRH50" s="363" t="s">
        <v>153</v>
      </c>
      <c r="NRI50" s="363"/>
      <c r="NRJ50" s="363"/>
      <c r="NRK50" s="364" t="s">
        <v>140</v>
      </c>
      <c r="NRL50" s="365">
        <v>0.5</v>
      </c>
      <c r="NRM50" s="366" t="e">
        <f>10/NRI48</f>
        <v>#DIV/0!</v>
      </c>
      <c r="NRN50" s="367">
        <v>15.38</v>
      </c>
      <c r="NRO50" s="367" t="e">
        <f>NRL50*NRM50*NRN50</f>
        <v>#DIV/0!</v>
      </c>
      <c r="NRP50" s="363" t="s">
        <v>153</v>
      </c>
      <c r="NRQ50" s="363"/>
      <c r="NRR50" s="363"/>
      <c r="NRS50" s="364" t="s">
        <v>140</v>
      </c>
      <c r="NRT50" s="365">
        <v>0.5</v>
      </c>
      <c r="NRU50" s="366" t="e">
        <f>10/NRQ48</f>
        <v>#DIV/0!</v>
      </c>
      <c r="NRV50" s="367">
        <v>15.38</v>
      </c>
      <c r="NRW50" s="367" t="e">
        <f>NRT50*NRU50*NRV50</f>
        <v>#DIV/0!</v>
      </c>
      <c r="NRX50" s="363" t="s">
        <v>153</v>
      </c>
      <c r="NRY50" s="363"/>
      <c r="NRZ50" s="363"/>
      <c r="NSA50" s="364" t="s">
        <v>140</v>
      </c>
      <c r="NSB50" s="365">
        <v>0.5</v>
      </c>
      <c r="NSC50" s="366" t="e">
        <f>10/NRY48</f>
        <v>#DIV/0!</v>
      </c>
      <c r="NSD50" s="367">
        <v>15.38</v>
      </c>
      <c r="NSE50" s="367" t="e">
        <f>NSB50*NSC50*NSD50</f>
        <v>#DIV/0!</v>
      </c>
      <c r="NSF50" s="363" t="s">
        <v>153</v>
      </c>
      <c r="NSG50" s="363"/>
      <c r="NSH50" s="363"/>
      <c r="NSI50" s="364" t="s">
        <v>140</v>
      </c>
      <c r="NSJ50" s="365">
        <v>0.5</v>
      </c>
      <c r="NSK50" s="366" t="e">
        <f>10/NSG48</f>
        <v>#DIV/0!</v>
      </c>
      <c r="NSL50" s="367">
        <v>15.38</v>
      </c>
      <c r="NSM50" s="367" t="e">
        <f>NSJ50*NSK50*NSL50</f>
        <v>#DIV/0!</v>
      </c>
      <c r="NSN50" s="363" t="s">
        <v>153</v>
      </c>
      <c r="NSO50" s="363"/>
      <c r="NSP50" s="363"/>
      <c r="NSQ50" s="364" t="s">
        <v>140</v>
      </c>
      <c r="NSR50" s="365">
        <v>0.5</v>
      </c>
      <c r="NSS50" s="366" t="e">
        <f>10/NSO48</f>
        <v>#DIV/0!</v>
      </c>
      <c r="NST50" s="367">
        <v>15.38</v>
      </c>
      <c r="NSU50" s="367" t="e">
        <f>NSR50*NSS50*NST50</f>
        <v>#DIV/0!</v>
      </c>
      <c r="NSV50" s="363" t="s">
        <v>153</v>
      </c>
      <c r="NSW50" s="363"/>
      <c r="NSX50" s="363"/>
      <c r="NSY50" s="364" t="s">
        <v>140</v>
      </c>
      <c r="NSZ50" s="365">
        <v>0.5</v>
      </c>
      <c r="NTA50" s="366" t="e">
        <f>10/NSW48</f>
        <v>#DIV/0!</v>
      </c>
      <c r="NTB50" s="367">
        <v>15.38</v>
      </c>
      <c r="NTC50" s="367" t="e">
        <f>NSZ50*NTA50*NTB50</f>
        <v>#DIV/0!</v>
      </c>
      <c r="NTD50" s="363" t="s">
        <v>153</v>
      </c>
      <c r="NTE50" s="363"/>
      <c r="NTF50" s="363"/>
      <c r="NTG50" s="364" t="s">
        <v>140</v>
      </c>
      <c r="NTH50" s="365">
        <v>0.5</v>
      </c>
      <c r="NTI50" s="366" t="e">
        <f>10/NTE48</f>
        <v>#DIV/0!</v>
      </c>
      <c r="NTJ50" s="367">
        <v>15.38</v>
      </c>
      <c r="NTK50" s="367" t="e">
        <f>NTH50*NTI50*NTJ50</f>
        <v>#DIV/0!</v>
      </c>
      <c r="NTL50" s="363" t="s">
        <v>153</v>
      </c>
      <c r="NTM50" s="363"/>
      <c r="NTN50" s="363"/>
      <c r="NTO50" s="364" t="s">
        <v>140</v>
      </c>
      <c r="NTP50" s="365">
        <v>0.5</v>
      </c>
      <c r="NTQ50" s="366" t="e">
        <f>10/NTM48</f>
        <v>#DIV/0!</v>
      </c>
      <c r="NTR50" s="367">
        <v>15.38</v>
      </c>
      <c r="NTS50" s="367" t="e">
        <f>NTP50*NTQ50*NTR50</f>
        <v>#DIV/0!</v>
      </c>
      <c r="NTT50" s="363" t="s">
        <v>153</v>
      </c>
      <c r="NTU50" s="363"/>
      <c r="NTV50" s="363"/>
      <c r="NTW50" s="364" t="s">
        <v>140</v>
      </c>
      <c r="NTX50" s="365">
        <v>0.5</v>
      </c>
      <c r="NTY50" s="366" t="e">
        <f>10/NTU48</f>
        <v>#DIV/0!</v>
      </c>
      <c r="NTZ50" s="367">
        <v>15.38</v>
      </c>
      <c r="NUA50" s="367" t="e">
        <f>NTX50*NTY50*NTZ50</f>
        <v>#DIV/0!</v>
      </c>
      <c r="NUB50" s="363" t="s">
        <v>153</v>
      </c>
      <c r="NUC50" s="363"/>
      <c r="NUD50" s="363"/>
      <c r="NUE50" s="364" t="s">
        <v>140</v>
      </c>
      <c r="NUF50" s="365">
        <v>0.5</v>
      </c>
      <c r="NUG50" s="366" t="e">
        <f>10/NUC48</f>
        <v>#DIV/0!</v>
      </c>
      <c r="NUH50" s="367">
        <v>15.38</v>
      </c>
      <c r="NUI50" s="367" t="e">
        <f>NUF50*NUG50*NUH50</f>
        <v>#DIV/0!</v>
      </c>
      <c r="NUJ50" s="363" t="s">
        <v>153</v>
      </c>
      <c r="NUK50" s="363"/>
      <c r="NUL50" s="363"/>
      <c r="NUM50" s="364" t="s">
        <v>140</v>
      </c>
      <c r="NUN50" s="365">
        <v>0.5</v>
      </c>
      <c r="NUO50" s="366" t="e">
        <f>10/NUK48</f>
        <v>#DIV/0!</v>
      </c>
      <c r="NUP50" s="367">
        <v>15.38</v>
      </c>
      <c r="NUQ50" s="367" t="e">
        <f>NUN50*NUO50*NUP50</f>
        <v>#DIV/0!</v>
      </c>
      <c r="NUR50" s="363" t="s">
        <v>153</v>
      </c>
      <c r="NUS50" s="363"/>
      <c r="NUT50" s="363"/>
      <c r="NUU50" s="364" t="s">
        <v>140</v>
      </c>
      <c r="NUV50" s="365">
        <v>0.5</v>
      </c>
      <c r="NUW50" s="366" t="e">
        <f>10/NUS48</f>
        <v>#DIV/0!</v>
      </c>
      <c r="NUX50" s="367">
        <v>15.38</v>
      </c>
      <c r="NUY50" s="367" t="e">
        <f>NUV50*NUW50*NUX50</f>
        <v>#DIV/0!</v>
      </c>
      <c r="NUZ50" s="363" t="s">
        <v>153</v>
      </c>
      <c r="NVA50" s="363"/>
      <c r="NVB50" s="363"/>
      <c r="NVC50" s="364" t="s">
        <v>140</v>
      </c>
      <c r="NVD50" s="365">
        <v>0.5</v>
      </c>
      <c r="NVE50" s="366" t="e">
        <f>10/NVA48</f>
        <v>#DIV/0!</v>
      </c>
      <c r="NVF50" s="367">
        <v>15.38</v>
      </c>
      <c r="NVG50" s="367" t="e">
        <f>NVD50*NVE50*NVF50</f>
        <v>#DIV/0!</v>
      </c>
      <c r="NVH50" s="363" t="s">
        <v>153</v>
      </c>
      <c r="NVI50" s="363"/>
      <c r="NVJ50" s="363"/>
      <c r="NVK50" s="364" t="s">
        <v>140</v>
      </c>
      <c r="NVL50" s="365">
        <v>0.5</v>
      </c>
      <c r="NVM50" s="366" t="e">
        <f>10/NVI48</f>
        <v>#DIV/0!</v>
      </c>
      <c r="NVN50" s="367">
        <v>15.38</v>
      </c>
      <c r="NVO50" s="367" t="e">
        <f>NVL50*NVM50*NVN50</f>
        <v>#DIV/0!</v>
      </c>
      <c r="NVP50" s="363" t="s">
        <v>153</v>
      </c>
      <c r="NVQ50" s="363"/>
      <c r="NVR50" s="363"/>
      <c r="NVS50" s="364" t="s">
        <v>140</v>
      </c>
      <c r="NVT50" s="365">
        <v>0.5</v>
      </c>
      <c r="NVU50" s="366" t="e">
        <f>10/NVQ48</f>
        <v>#DIV/0!</v>
      </c>
      <c r="NVV50" s="367">
        <v>15.38</v>
      </c>
      <c r="NVW50" s="367" t="e">
        <f>NVT50*NVU50*NVV50</f>
        <v>#DIV/0!</v>
      </c>
      <c r="NVX50" s="363" t="s">
        <v>153</v>
      </c>
      <c r="NVY50" s="363"/>
      <c r="NVZ50" s="363"/>
      <c r="NWA50" s="364" t="s">
        <v>140</v>
      </c>
      <c r="NWB50" s="365">
        <v>0.5</v>
      </c>
      <c r="NWC50" s="366" t="e">
        <f>10/NVY48</f>
        <v>#DIV/0!</v>
      </c>
      <c r="NWD50" s="367">
        <v>15.38</v>
      </c>
      <c r="NWE50" s="367" t="e">
        <f>NWB50*NWC50*NWD50</f>
        <v>#DIV/0!</v>
      </c>
      <c r="NWF50" s="363" t="s">
        <v>153</v>
      </c>
      <c r="NWG50" s="363"/>
      <c r="NWH50" s="363"/>
      <c r="NWI50" s="364" t="s">
        <v>140</v>
      </c>
      <c r="NWJ50" s="365">
        <v>0.5</v>
      </c>
      <c r="NWK50" s="366" t="e">
        <f>10/NWG48</f>
        <v>#DIV/0!</v>
      </c>
      <c r="NWL50" s="367">
        <v>15.38</v>
      </c>
      <c r="NWM50" s="367" t="e">
        <f>NWJ50*NWK50*NWL50</f>
        <v>#DIV/0!</v>
      </c>
      <c r="NWN50" s="363" t="s">
        <v>153</v>
      </c>
      <c r="NWO50" s="363"/>
      <c r="NWP50" s="363"/>
      <c r="NWQ50" s="364" t="s">
        <v>140</v>
      </c>
      <c r="NWR50" s="365">
        <v>0.5</v>
      </c>
      <c r="NWS50" s="366" t="e">
        <f>10/NWO48</f>
        <v>#DIV/0!</v>
      </c>
      <c r="NWT50" s="367">
        <v>15.38</v>
      </c>
      <c r="NWU50" s="367" t="e">
        <f>NWR50*NWS50*NWT50</f>
        <v>#DIV/0!</v>
      </c>
      <c r="NWV50" s="363" t="s">
        <v>153</v>
      </c>
      <c r="NWW50" s="363"/>
      <c r="NWX50" s="363"/>
      <c r="NWY50" s="364" t="s">
        <v>140</v>
      </c>
      <c r="NWZ50" s="365">
        <v>0.5</v>
      </c>
      <c r="NXA50" s="366" t="e">
        <f>10/NWW48</f>
        <v>#DIV/0!</v>
      </c>
      <c r="NXB50" s="367">
        <v>15.38</v>
      </c>
      <c r="NXC50" s="367" t="e">
        <f>NWZ50*NXA50*NXB50</f>
        <v>#DIV/0!</v>
      </c>
      <c r="NXD50" s="363" t="s">
        <v>153</v>
      </c>
      <c r="NXE50" s="363"/>
      <c r="NXF50" s="363"/>
      <c r="NXG50" s="364" t="s">
        <v>140</v>
      </c>
      <c r="NXH50" s="365">
        <v>0.5</v>
      </c>
      <c r="NXI50" s="366" t="e">
        <f>10/NXE48</f>
        <v>#DIV/0!</v>
      </c>
      <c r="NXJ50" s="367">
        <v>15.38</v>
      </c>
      <c r="NXK50" s="367" t="e">
        <f>NXH50*NXI50*NXJ50</f>
        <v>#DIV/0!</v>
      </c>
      <c r="NXL50" s="363" t="s">
        <v>153</v>
      </c>
      <c r="NXM50" s="363"/>
      <c r="NXN50" s="363"/>
      <c r="NXO50" s="364" t="s">
        <v>140</v>
      </c>
      <c r="NXP50" s="365">
        <v>0.5</v>
      </c>
      <c r="NXQ50" s="366" t="e">
        <f>10/NXM48</f>
        <v>#DIV/0!</v>
      </c>
      <c r="NXR50" s="367">
        <v>15.38</v>
      </c>
      <c r="NXS50" s="367" t="e">
        <f>NXP50*NXQ50*NXR50</f>
        <v>#DIV/0!</v>
      </c>
      <c r="NXT50" s="363" t="s">
        <v>153</v>
      </c>
      <c r="NXU50" s="363"/>
      <c r="NXV50" s="363"/>
      <c r="NXW50" s="364" t="s">
        <v>140</v>
      </c>
      <c r="NXX50" s="365">
        <v>0.5</v>
      </c>
      <c r="NXY50" s="366" t="e">
        <f>10/NXU48</f>
        <v>#DIV/0!</v>
      </c>
      <c r="NXZ50" s="367">
        <v>15.38</v>
      </c>
      <c r="NYA50" s="367" t="e">
        <f>NXX50*NXY50*NXZ50</f>
        <v>#DIV/0!</v>
      </c>
      <c r="NYB50" s="363" t="s">
        <v>153</v>
      </c>
      <c r="NYC50" s="363"/>
      <c r="NYD50" s="363"/>
      <c r="NYE50" s="364" t="s">
        <v>140</v>
      </c>
      <c r="NYF50" s="365">
        <v>0.5</v>
      </c>
      <c r="NYG50" s="366" t="e">
        <f>10/NYC48</f>
        <v>#DIV/0!</v>
      </c>
      <c r="NYH50" s="367">
        <v>15.38</v>
      </c>
      <c r="NYI50" s="367" t="e">
        <f>NYF50*NYG50*NYH50</f>
        <v>#DIV/0!</v>
      </c>
      <c r="NYJ50" s="363" t="s">
        <v>153</v>
      </c>
      <c r="NYK50" s="363"/>
      <c r="NYL50" s="363"/>
      <c r="NYM50" s="364" t="s">
        <v>140</v>
      </c>
      <c r="NYN50" s="365">
        <v>0.5</v>
      </c>
      <c r="NYO50" s="366" t="e">
        <f>10/NYK48</f>
        <v>#DIV/0!</v>
      </c>
      <c r="NYP50" s="367">
        <v>15.38</v>
      </c>
      <c r="NYQ50" s="367" t="e">
        <f>NYN50*NYO50*NYP50</f>
        <v>#DIV/0!</v>
      </c>
      <c r="NYR50" s="363" t="s">
        <v>153</v>
      </c>
      <c r="NYS50" s="363"/>
      <c r="NYT50" s="363"/>
      <c r="NYU50" s="364" t="s">
        <v>140</v>
      </c>
      <c r="NYV50" s="365">
        <v>0.5</v>
      </c>
      <c r="NYW50" s="366" t="e">
        <f>10/NYS48</f>
        <v>#DIV/0!</v>
      </c>
      <c r="NYX50" s="367">
        <v>15.38</v>
      </c>
      <c r="NYY50" s="367" t="e">
        <f>NYV50*NYW50*NYX50</f>
        <v>#DIV/0!</v>
      </c>
      <c r="NYZ50" s="363" t="s">
        <v>153</v>
      </c>
      <c r="NZA50" s="363"/>
      <c r="NZB50" s="363"/>
      <c r="NZC50" s="364" t="s">
        <v>140</v>
      </c>
      <c r="NZD50" s="365">
        <v>0.5</v>
      </c>
      <c r="NZE50" s="366" t="e">
        <f>10/NZA48</f>
        <v>#DIV/0!</v>
      </c>
      <c r="NZF50" s="367">
        <v>15.38</v>
      </c>
      <c r="NZG50" s="367" t="e">
        <f>NZD50*NZE50*NZF50</f>
        <v>#DIV/0!</v>
      </c>
      <c r="NZH50" s="363" t="s">
        <v>153</v>
      </c>
      <c r="NZI50" s="363"/>
      <c r="NZJ50" s="363"/>
      <c r="NZK50" s="364" t="s">
        <v>140</v>
      </c>
      <c r="NZL50" s="365">
        <v>0.5</v>
      </c>
      <c r="NZM50" s="366" t="e">
        <f>10/NZI48</f>
        <v>#DIV/0!</v>
      </c>
      <c r="NZN50" s="367">
        <v>15.38</v>
      </c>
      <c r="NZO50" s="367" t="e">
        <f>NZL50*NZM50*NZN50</f>
        <v>#DIV/0!</v>
      </c>
      <c r="NZP50" s="363" t="s">
        <v>153</v>
      </c>
      <c r="NZQ50" s="363"/>
      <c r="NZR50" s="363"/>
      <c r="NZS50" s="364" t="s">
        <v>140</v>
      </c>
      <c r="NZT50" s="365">
        <v>0.5</v>
      </c>
      <c r="NZU50" s="366" t="e">
        <f>10/NZQ48</f>
        <v>#DIV/0!</v>
      </c>
      <c r="NZV50" s="367">
        <v>15.38</v>
      </c>
      <c r="NZW50" s="367" t="e">
        <f>NZT50*NZU50*NZV50</f>
        <v>#DIV/0!</v>
      </c>
      <c r="NZX50" s="363" t="s">
        <v>153</v>
      </c>
      <c r="NZY50" s="363"/>
      <c r="NZZ50" s="363"/>
      <c r="OAA50" s="364" t="s">
        <v>140</v>
      </c>
      <c r="OAB50" s="365">
        <v>0.5</v>
      </c>
      <c r="OAC50" s="366" t="e">
        <f>10/NZY48</f>
        <v>#DIV/0!</v>
      </c>
      <c r="OAD50" s="367">
        <v>15.38</v>
      </c>
      <c r="OAE50" s="367" t="e">
        <f>OAB50*OAC50*OAD50</f>
        <v>#DIV/0!</v>
      </c>
      <c r="OAF50" s="363" t="s">
        <v>153</v>
      </c>
      <c r="OAG50" s="363"/>
      <c r="OAH50" s="363"/>
      <c r="OAI50" s="364" t="s">
        <v>140</v>
      </c>
      <c r="OAJ50" s="365">
        <v>0.5</v>
      </c>
      <c r="OAK50" s="366" t="e">
        <f>10/OAG48</f>
        <v>#DIV/0!</v>
      </c>
      <c r="OAL50" s="367">
        <v>15.38</v>
      </c>
      <c r="OAM50" s="367" t="e">
        <f>OAJ50*OAK50*OAL50</f>
        <v>#DIV/0!</v>
      </c>
      <c r="OAN50" s="363" t="s">
        <v>153</v>
      </c>
      <c r="OAO50" s="363"/>
      <c r="OAP50" s="363"/>
      <c r="OAQ50" s="364" t="s">
        <v>140</v>
      </c>
      <c r="OAR50" s="365">
        <v>0.5</v>
      </c>
      <c r="OAS50" s="366" t="e">
        <f>10/OAO48</f>
        <v>#DIV/0!</v>
      </c>
      <c r="OAT50" s="367">
        <v>15.38</v>
      </c>
      <c r="OAU50" s="367" t="e">
        <f>OAR50*OAS50*OAT50</f>
        <v>#DIV/0!</v>
      </c>
      <c r="OAV50" s="363" t="s">
        <v>153</v>
      </c>
      <c r="OAW50" s="363"/>
      <c r="OAX50" s="363"/>
      <c r="OAY50" s="364" t="s">
        <v>140</v>
      </c>
      <c r="OAZ50" s="365">
        <v>0.5</v>
      </c>
      <c r="OBA50" s="366" t="e">
        <f>10/OAW48</f>
        <v>#DIV/0!</v>
      </c>
      <c r="OBB50" s="367">
        <v>15.38</v>
      </c>
      <c r="OBC50" s="367" t="e">
        <f>OAZ50*OBA50*OBB50</f>
        <v>#DIV/0!</v>
      </c>
      <c r="OBD50" s="363" t="s">
        <v>153</v>
      </c>
      <c r="OBE50" s="363"/>
      <c r="OBF50" s="363"/>
      <c r="OBG50" s="364" t="s">
        <v>140</v>
      </c>
      <c r="OBH50" s="365">
        <v>0.5</v>
      </c>
      <c r="OBI50" s="366" t="e">
        <f>10/OBE48</f>
        <v>#DIV/0!</v>
      </c>
      <c r="OBJ50" s="367">
        <v>15.38</v>
      </c>
      <c r="OBK50" s="367" t="e">
        <f>OBH50*OBI50*OBJ50</f>
        <v>#DIV/0!</v>
      </c>
      <c r="OBL50" s="363" t="s">
        <v>153</v>
      </c>
      <c r="OBM50" s="363"/>
      <c r="OBN50" s="363"/>
      <c r="OBO50" s="364" t="s">
        <v>140</v>
      </c>
      <c r="OBP50" s="365">
        <v>0.5</v>
      </c>
      <c r="OBQ50" s="366" t="e">
        <f>10/OBM48</f>
        <v>#DIV/0!</v>
      </c>
      <c r="OBR50" s="367">
        <v>15.38</v>
      </c>
      <c r="OBS50" s="367" t="e">
        <f>OBP50*OBQ50*OBR50</f>
        <v>#DIV/0!</v>
      </c>
      <c r="OBT50" s="363" t="s">
        <v>153</v>
      </c>
      <c r="OBU50" s="363"/>
      <c r="OBV50" s="363"/>
      <c r="OBW50" s="364" t="s">
        <v>140</v>
      </c>
      <c r="OBX50" s="365">
        <v>0.5</v>
      </c>
      <c r="OBY50" s="366" t="e">
        <f>10/OBU48</f>
        <v>#DIV/0!</v>
      </c>
      <c r="OBZ50" s="367">
        <v>15.38</v>
      </c>
      <c r="OCA50" s="367" t="e">
        <f>OBX50*OBY50*OBZ50</f>
        <v>#DIV/0!</v>
      </c>
      <c r="OCB50" s="363" t="s">
        <v>153</v>
      </c>
      <c r="OCC50" s="363"/>
      <c r="OCD50" s="363"/>
      <c r="OCE50" s="364" t="s">
        <v>140</v>
      </c>
      <c r="OCF50" s="365">
        <v>0.5</v>
      </c>
      <c r="OCG50" s="366" t="e">
        <f>10/OCC48</f>
        <v>#DIV/0!</v>
      </c>
      <c r="OCH50" s="367">
        <v>15.38</v>
      </c>
      <c r="OCI50" s="367" t="e">
        <f>OCF50*OCG50*OCH50</f>
        <v>#DIV/0!</v>
      </c>
      <c r="OCJ50" s="363" t="s">
        <v>153</v>
      </c>
      <c r="OCK50" s="363"/>
      <c r="OCL50" s="363"/>
      <c r="OCM50" s="364" t="s">
        <v>140</v>
      </c>
      <c r="OCN50" s="365">
        <v>0.5</v>
      </c>
      <c r="OCO50" s="366" t="e">
        <f>10/OCK48</f>
        <v>#DIV/0!</v>
      </c>
      <c r="OCP50" s="367">
        <v>15.38</v>
      </c>
      <c r="OCQ50" s="367" t="e">
        <f>OCN50*OCO50*OCP50</f>
        <v>#DIV/0!</v>
      </c>
      <c r="OCR50" s="363" t="s">
        <v>153</v>
      </c>
      <c r="OCS50" s="363"/>
      <c r="OCT50" s="363"/>
      <c r="OCU50" s="364" t="s">
        <v>140</v>
      </c>
      <c r="OCV50" s="365">
        <v>0.5</v>
      </c>
      <c r="OCW50" s="366" t="e">
        <f>10/OCS48</f>
        <v>#DIV/0!</v>
      </c>
      <c r="OCX50" s="367">
        <v>15.38</v>
      </c>
      <c r="OCY50" s="367" t="e">
        <f>OCV50*OCW50*OCX50</f>
        <v>#DIV/0!</v>
      </c>
      <c r="OCZ50" s="363" t="s">
        <v>153</v>
      </c>
      <c r="ODA50" s="363"/>
      <c r="ODB50" s="363"/>
      <c r="ODC50" s="364" t="s">
        <v>140</v>
      </c>
      <c r="ODD50" s="365">
        <v>0.5</v>
      </c>
      <c r="ODE50" s="366" t="e">
        <f>10/ODA48</f>
        <v>#DIV/0!</v>
      </c>
      <c r="ODF50" s="367">
        <v>15.38</v>
      </c>
      <c r="ODG50" s="367" t="e">
        <f>ODD50*ODE50*ODF50</f>
        <v>#DIV/0!</v>
      </c>
      <c r="ODH50" s="363" t="s">
        <v>153</v>
      </c>
      <c r="ODI50" s="363"/>
      <c r="ODJ50" s="363"/>
      <c r="ODK50" s="364" t="s">
        <v>140</v>
      </c>
      <c r="ODL50" s="365">
        <v>0.5</v>
      </c>
      <c r="ODM50" s="366" t="e">
        <f>10/ODI48</f>
        <v>#DIV/0!</v>
      </c>
      <c r="ODN50" s="367">
        <v>15.38</v>
      </c>
      <c r="ODO50" s="367" t="e">
        <f>ODL50*ODM50*ODN50</f>
        <v>#DIV/0!</v>
      </c>
      <c r="ODP50" s="363" t="s">
        <v>153</v>
      </c>
      <c r="ODQ50" s="363"/>
      <c r="ODR50" s="363"/>
      <c r="ODS50" s="364" t="s">
        <v>140</v>
      </c>
      <c r="ODT50" s="365">
        <v>0.5</v>
      </c>
      <c r="ODU50" s="366" t="e">
        <f>10/ODQ48</f>
        <v>#DIV/0!</v>
      </c>
      <c r="ODV50" s="367">
        <v>15.38</v>
      </c>
      <c r="ODW50" s="367" t="e">
        <f>ODT50*ODU50*ODV50</f>
        <v>#DIV/0!</v>
      </c>
      <c r="ODX50" s="363" t="s">
        <v>153</v>
      </c>
      <c r="ODY50" s="363"/>
      <c r="ODZ50" s="363"/>
      <c r="OEA50" s="364" t="s">
        <v>140</v>
      </c>
      <c r="OEB50" s="365">
        <v>0.5</v>
      </c>
      <c r="OEC50" s="366" t="e">
        <f>10/ODY48</f>
        <v>#DIV/0!</v>
      </c>
      <c r="OED50" s="367">
        <v>15.38</v>
      </c>
      <c r="OEE50" s="367" t="e">
        <f>OEB50*OEC50*OED50</f>
        <v>#DIV/0!</v>
      </c>
      <c r="OEF50" s="363" t="s">
        <v>153</v>
      </c>
      <c r="OEG50" s="363"/>
      <c r="OEH50" s="363"/>
      <c r="OEI50" s="364" t="s">
        <v>140</v>
      </c>
      <c r="OEJ50" s="365">
        <v>0.5</v>
      </c>
      <c r="OEK50" s="366" t="e">
        <f>10/OEG48</f>
        <v>#DIV/0!</v>
      </c>
      <c r="OEL50" s="367">
        <v>15.38</v>
      </c>
      <c r="OEM50" s="367" t="e">
        <f>OEJ50*OEK50*OEL50</f>
        <v>#DIV/0!</v>
      </c>
      <c r="OEN50" s="363" t="s">
        <v>153</v>
      </c>
      <c r="OEO50" s="363"/>
      <c r="OEP50" s="363"/>
      <c r="OEQ50" s="364" t="s">
        <v>140</v>
      </c>
      <c r="OER50" s="365">
        <v>0.5</v>
      </c>
      <c r="OES50" s="366" t="e">
        <f>10/OEO48</f>
        <v>#DIV/0!</v>
      </c>
      <c r="OET50" s="367">
        <v>15.38</v>
      </c>
      <c r="OEU50" s="367" t="e">
        <f>OER50*OES50*OET50</f>
        <v>#DIV/0!</v>
      </c>
      <c r="OEV50" s="363" t="s">
        <v>153</v>
      </c>
      <c r="OEW50" s="363"/>
      <c r="OEX50" s="363"/>
      <c r="OEY50" s="364" t="s">
        <v>140</v>
      </c>
      <c r="OEZ50" s="365">
        <v>0.5</v>
      </c>
      <c r="OFA50" s="366" t="e">
        <f>10/OEW48</f>
        <v>#DIV/0!</v>
      </c>
      <c r="OFB50" s="367">
        <v>15.38</v>
      </c>
      <c r="OFC50" s="367" t="e">
        <f>OEZ50*OFA50*OFB50</f>
        <v>#DIV/0!</v>
      </c>
      <c r="OFD50" s="363" t="s">
        <v>153</v>
      </c>
      <c r="OFE50" s="363"/>
      <c r="OFF50" s="363"/>
      <c r="OFG50" s="364" t="s">
        <v>140</v>
      </c>
      <c r="OFH50" s="365">
        <v>0.5</v>
      </c>
      <c r="OFI50" s="366" t="e">
        <f>10/OFE48</f>
        <v>#DIV/0!</v>
      </c>
      <c r="OFJ50" s="367">
        <v>15.38</v>
      </c>
      <c r="OFK50" s="367" t="e">
        <f>OFH50*OFI50*OFJ50</f>
        <v>#DIV/0!</v>
      </c>
      <c r="OFL50" s="363" t="s">
        <v>153</v>
      </c>
      <c r="OFM50" s="363"/>
      <c r="OFN50" s="363"/>
      <c r="OFO50" s="364" t="s">
        <v>140</v>
      </c>
      <c r="OFP50" s="365">
        <v>0.5</v>
      </c>
      <c r="OFQ50" s="366" t="e">
        <f>10/OFM48</f>
        <v>#DIV/0!</v>
      </c>
      <c r="OFR50" s="367">
        <v>15.38</v>
      </c>
      <c r="OFS50" s="367" t="e">
        <f>OFP50*OFQ50*OFR50</f>
        <v>#DIV/0!</v>
      </c>
      <c r="OFT50" s="363" t="s">
        <v>153</v>
      </c>
      <c r="OFU50" s="363"/>
      <c r="OFV50" s="363"/>
      <c r="OFW50" s="364" t="s">
        <v>140</v>
      </c>
      <c r="OFX50" s="365">
        <v>0.5</v>
      </c>
      <c r="OFY50" s="366" t="e">
        <f>10/OFU48</f>
        <v>#DIV/0!</v>
      </c>
      <c r="OFZ50" s="367">
        <v>15.38</v>
      </c>
      <c r="OGA50" s="367" t="e">
        <f>OFX50*OFY50*OFZ50</f>
        <v>#DIV/0!</v>
      </c>
      <c r="OGB50" s="363" t="s">
        <v>153</v>
      </c>
      <c r="OGC50" s="363"/>
      <c r="OGD50" s="363"/>
      <c r="OGE50" s="364" t="s">
        <v>140</v>
      </c>
      <c r="OGF50" s="365">
        <v>0.5</v>
      </c>
      <c r="OGG50" s="366" t="e">
        <f>10/OGC48</f>
        <v>#DIV/0!</v>
      </c>
      <c r="OGH50" s="367">
        <v>15.38</v>
      </c>
      <c r="OGI50" s="367" t="e">
        <f>OGF50*OGG50*OGH50</f>
        <v>#DIV/0!</v>
      </c>
      <c r="OGJ50" s="363" t="s">
        <v>153</v>
      </c>
      <c r="OGK50" s="363"/>
      <c r="OGL50" s="363"/>
      <c r="OGM50" s="364" t="s">
        <v>140</v>
      </c>
      <c r="OGN50" s="365">
        <v>0.5</v>
      </c>
      <c r="OGO50" s="366" t="e">
        <f>10/OGK48</f>
        <v>#DIV/0!</v>
      </c>
      <c r="OGP50" s="367">
        <v>15.38</v>
      </c>
      <c r="OGQ50" s="367" t="e">
        <f>OGN50*OGO50*OGP50</f>
        <v>#DIV/0!</v>
      </c>
      <c r="OGR50" s="363" t="s">
        <v>153</v>
      </c>
      <c r="OGS50" s="363"/>
      <c r="OGT50" s="363"/>
      <c r="OGU50" s="364" t="s">
        <v>140</v>
      </c>
      <c r="OGV50" s="365">
        <v>0.5</v>
      </c>
      <c r="OGW50" s="366" t="e">
        <f>10/OGS48</f>
        <v>#DIV/0!</v>
      </c>
      <c r="OGX50" s="367">
        <v>15.38</v>
      </c>
      <c r="OGY50" s="367" t="e">
        <f>OGV50*OGW50*OGX50</f>
        <v>#DIV/0!</v>
      </c>
      <c r="OGZ50" s="363" t="s">
        <v>153</v>
      </c>
      <c r="OHA50" s="363"/>
      <c r="OHB50" s="363"/>
      <c r="OHC50" s="364" t="s">
        <v>140</v>
      </c>
      <c r="OHD50" s="365">
        <v>0.5</v>
      </c>
      <c r="OHE50" s="366" t="e">
        <f>10/OHA48</f>
        <v>#DIV/0!</v>
      </c>
      <c r="OHF50" s="367">
        <v>15.38</v>
      </c>
      <c r="OHG50" s="367" t="e">
        <f>OHD50*OHE50*OHF50</f>
        <v>#DIV/0!</v>
      </c>
      <c r="OHH50" s="363" t="s">
        <v>153</v>
      </c>
      <c r="OHI50" s="363"/>
      <c r="OHJ50" s="363"/>
      <c r="OHK50" s="364" t="s">
        <v>140</v>
      </c>
      <c r="OHL50" s="365">
        <v>0.5</v>
      </c>
      <c r="OHM50" s="366" t="e">
        <f>10/OHI48</f>
        <v>#DIV/0!</v>
      </c>
      <c r="OHN50" s="367">
        <v>15.38</v>
      </c>
      <c r="OHO50" s="367" t="e">
        <f>OHL50*OHM50*OHN50</f>
        <v>#DIV/0!</v>
      </c>
      <c r="OHP50" s="363" t="s">
        <v>153</v>
      </c>
      <c r="OHQ50" s="363"/>
      <c r="OHR50" s="363"/>
      <c r="OHS50" s="364" t="s">
        <v>140</v>
      </c>
      <c r="OHT50" s="365">
        <v>0.5</v>
      </c>
      <c r="OHU50" s="366" t="e">
        <f>10/OHQ48</f>
        <v>#DIV/0!</v>
      </c>
      <c r="OHV50" s="367">
        <v>15.38</v>
      </c>
      <c r="OHW50" s="367" t="e">
        <f>OHT50*OHU50*OHV50</f>
        <v>#DIV/0!</v>
      </c>
      <c r="OHX50" s="363" t="s">
        <v>153</v>
      </c>
      <c r="OHY50" s="363"/>
      <c r="OHZ50" s="363"/>
      <c r="OIA50" s="364" t="s">
        <v>140</v>
      </c>
      <c r="OIB50" s="365">
        <v>0.5</v>
      </c>
      <c r="OIC50" s="366" t="e">
        <f>10/OHY48</f>
        <v>#DIV/0!</v>
      </c>
      <c r="OID50" s="367">
        <v>15.38</v>
      </c>
      <c r="OIE50" s="367" t="e">
        <f>OIB50*OIC50*OID50</f>
        <v>#DIV/0!</v>
      </c>
      <c r="OIF50" s="363" t="s">
        <v>153</v>
      </c>
      <c r="OIG50" s="363"/>
      <c r="OIH50" s="363"/>
      <c r="OII50" s="364" t="s">
        <v>140</v>
      </c>
      <c r="OIJ50" s="365">
        <v>0.5</v>
      </c>
      <c r="OIK50" s="366" t="e">
        <f>10/OIG48</f>
        <v>#DIV/0!</v>
      </c>
      <c r="OIL50" s="367">
        <v>15.38</v>
      </c>
      <c r="OIM50" s="367" t="e">
        <f>OIJ50*OIK50*OIL50</f>
        <v>#DIV/0!</v>
      </c>
      <c r="OIN50" s="363" t="s">
        <v>153</v>
      </c>
      <c r="OIO50" s="363"/>
      <c r="OIP50" s="363"/>
      <c r="OIQ50" s="364" t="s">
        <v>140</v>
      </c>
      <c r="OIR50" s="365">
        <v>0.5</v>
      </c>
      <c r="OIS50" s="366" t="e">
        <f>10/OIO48</f>
        <v>#DIV/0!</v>
      </c>
      <c r="OIT50" s="367">
        <v>15.38</v>
      </c>
      <c r="OIU50" s="367" t="e">
        <f>OIR50*OIS50*OIT50</f>
        <v>#DIV/0!</v>
      </c>
      <c r="OIV50" s="363" t="s">
        <v>153</v>
      </c>
      <c r="OIW50" s="363"/>
      <c r="OIX50" s="363"/>
      <c r="OIY50" s="364" t="s">
        <v>140</v>
      </c>
      <c r="OIZ50" s="365">
        <v>0.5</v>
      </c>
      <c r="OJA50" s="366" t="e">
        <f>10/OIW48</f>
        <v>#DIV/0!</v>
      </c>
      <c r="OJB50" s="367">
        <v>15.38</v>
      </c>
      <c r="OJC50" s="367" t="e">
        <f>OIZ50*OJA50*OJB50</f>
        <v>#DIV/0!</v>
      </c>
      <c r="OJD50" s="363" t="s">
        <v>153</v>
      </c>
      <c r="OJE50" s="363"/>
      <c r="OJF50" s="363"/>
      <c r="OJG50" s="364" t="s">
        <v>140</v>
      </c>
      <c r="OJH50" s="365">
        <v>0.5</v>
      </c>
      <c r="OJI50" s="366" t="e">
        <f>10/OJE48</f>
        <v>#DIV/0!</v>
      </c>
      <c r="OJJ50" s="367">
        <v>15.38</v>
      </c>
      <c r="OJK50" s="367" t="e">
        <f>OJH50*OJI50*OJJ50</f>
        <v>#DIV/0!</v>
      </c>
      <c r="OJL50" s="363" t="s">
        <v>153</v>
      </c>
      <c r="OJM50" s="363"/>
      <c r="OJN50" s="363"/>
      <c r="OJO50" s="364" t="s">
        <v>140</v>
      </c>
      <c r="OJP50" s="365">
        <v>0.5</v>
      </c>
      <c r="OJQ50" s="366" t="e">
        <f>10/OJM48</f>
        <v>#DIV/0!</v>
      </c>
      <c r="OJR50" s="367">
        <v>15.38</v>
      </c>
      <c r="OJS50" s="367" t="e">
        <f>OJP50*OJQ50*OJR50</f>
        <v>#DIV/0!</v>
      </c>
      <c r="OJT50" s="363" t="s">
        <v>153</v>
      </c>
      <c r="OJU50" s="363"/>
      <c r="OJV50" s="363"/>
      <c r="OJW50" s="364" t="s">
        <v>140</v>
      </c>
      <c r="OJX50" s="365">
        <v>0.5</v>
      </c>
      <c r="OJY50" s="366" t="e">
        <f>10/OJU48</f>
        <v>#DIV/0!</v>
      </c>
      <c r="OJZ50" s="367">
        <v>15.38</v>
      </c>
      <c r="OKA50" s="367" t="e">
        <f>OJX50*OJY50*OJZ50</f>
        <v>#DIV/0!</v>
      </c>
      <c r="OKB50" s="363" t="s">
        <v>153</v>
      </c>
      <c r="OKC50" s="363"/>
      <c r="OKD50" s="363"/>
      <c r="OKE50" s="364" t="s">
        <v>140</v>
      </c>
      <c r="OKF50" s="365">
        <v>0.5</v>
      </c>
      <c r="OKG50" s="366" t="e">
        <f>10/OKC48</f>
        <v>#DIV/0!</v>
      </c>
      <c r="OKH50" s="367">
        <v>15.38</v>
      </c>
      <c r="OKI50" s="367" t="e">
        <f>OKF50*OKG50*OKH50</f>
        <v>#DIV/0!</v>
      </c>
      <c r="OKJ50" s="363" t="s">
        <v>153</v>
      </c>
      <c r="OKK50" s="363"/>
      <c r="OKL50" s="363"/>
      <c r="OKM50" s="364" t="s">
        <v>140</v>
      </c>
      <c r="OKN50" s="365">
        <v>0.5</v>
      </c>
      <c r="OKO50" s="366" t="e">
        <f>10/OKK48</f>
        <v>#DIV/0!</v>
      </c>
      <c r="OKP50" s="367">
        <v>15.38</v>
      </c>
      <c r="OKQ50" s="367" t="e">
        <f>OKN50*OKO50*OKP50</f>
        <v>#DIV/0!</v>
      </c>
      <c r="OKR50" s="363" t="s">
        <v>153</v>
      </c>
      <c r="OKS50" s="363"/>
      <c r="OKT50" s="363"/>
      <c r="OKU50" s="364" t="s">
        <v>140</v>
      </c>
      <c r="OKV50" s="365">
        <v>0.5</v>
      </c>
      <c r="OKW50" s="366" t="e">
        <f>10/OKS48</f>
        <v>#DIV/0!</v>
      </c>
      <c r="OKX50" s="367">
        <v>15.38</v>
      </c>
      <c r="OKY50" s="367" t="e">
        <f>OKV50*OKW50*OKX50</f>
        <v>#DIV/0!</v>
      </c>
      <c r="OKZ50" s="363" t="s">
        <v>153</v>
      </c>
      <c r="OLA50" s="363"/>
      <c r="OLB50" s="363"/>
      <c r="OLC50" s="364" t="s">
        <v>140</v>
      </c>
      <c r="OLD50" s="365">
        <v>0.5</v>
      </c>
      <c r="OLE50" s="366" t="e">
        <f>10/OLA48</f>
        <v>#DIV/0!</v>
      </c>
      <c r="OLF50" s="367">
        <v>15.38</v>
      </c>
      <c r="OLG50" s="367" t="e">
        <f>OLD50*OLE50*OLF50</f>
        <v>#DIV/0!</v>
      </c>
      <c r="OLH50" s="363" t="s">
        <v>153</v>
      </c>
      <c r="OLI50" s="363"/>
      <c r="OLJ50" s="363"/>
      <c r="OLK50" s="364" t="s">
        <v>140</v>
      </c>
      <c r="OLL50" s="365">
        <v>0.5</v>
      </c>
      <c r="OLM50" s="366" t="e">
        <f>10/OLI48</f>
        <v>#DIV/0!</v>
      </c>
      <c r="OLN50" s="367">
        <v>15.38</v>
      </c>
      <c r="OLO50" s="367" t="e">
        <f>OLL50*OLM50*OLN50</f>
        <v>#DIV/0!</v>
      </c>
      <c r="OLP50" s="363" t="s">
        <v>153</v>
      </c>
      <c r="OLQ50" s="363"/>
      <c r="OLR50" s="363"/>
      <c r="OLS50" s="364" t="s">
        <v>140</v>
      </c>
      <c r="OLT50" s="365">
        <v>0.5</v>
      </c>
      <c r="OLU50" s="366" t="e">
        <f>10/OLQ48</f>
        <v>#DIV/0!</v>
      </c>
      <c r="OLV50" s="367">
        <v>15.38</v>
      </c>
      <c r="OLW50" s="367" t="e">
        <f>OLT50*OLU50*OLV50</f>
        <v>#DIV/0!</v>
      </c>
      <c r="OLX50" s="363" t="s">
        <v>153</v>
      </c>
      <c r="OLY50" s="363"/>
      <c r="OLZ50" s="363"/>
      <c r="OMA50" s="364" t="s">
        <v>140</v>
      </c>
      <c r="OMB50" s="365">
        <v>0.5</v>
      </c>
      <c r="OMC50" s="366" t="e">
        <f>10/OLY48</f>
        <v>#DIV/0!</v>
      </c>
      <c r="OMD50" s="367">
        <v>15.38</v>
      </c>
      <c r="OME50" s="367" t="e">
        <f>OMB50*OMC50*OMD50</f>
        <v>#DIV/0!</v>
      </c>
      <c r="OMF50" s="363" t="s">
        <v>153</v>
      </c>
      <c r="OMG50" s="363"/>
      <c r="OMH50" s="363"/>
      <c r="OMI50" s="364" t="s">
        <v>140</v>
      </c>
      <c r="OMJ50" s="365">
        <v>0.5</v>
      </c>
      <c r="OMK50" s="366" t="e">
        <f>10/OMG48</f>
        <v>#DIV/0!</v>
      </c>
      <c r="OML50" s="367">
        <v>15.38</v>
      </c>
      <c r="OMM50" s="367" t="e">
        <f>OMJ50*OMK50*OML50</f>
        <v>#DIV/0!</v>
      </c>
      <c r="OMN50" s="363" t="s">
        <v>153</v>
      </c>
      <c r="OMO50" s="363"/>
      <c r="OMP50" s="363"/>
      <c r="OMQ50" s="364" t="s">
        <v>140</v>
      </c>
      <c r="OMR50" s="365">
        <v>0.5</v>
      </c>
      <c r="OMS50" s="366" t="e">
        <f>10/OMO48</f>
        <v>#DIV/0!</v>
      </c>
      <c r="OMT50" s="367">
        <v>15.38</v>
      </c>
      <c r="OMU50" s="367" t="e">
        <f>OMR50*OMS50*OMT50</f>
        <v>#DIV/0!</v>
      </c>
      <c r="OMV50" s="363" t="s">
        <v>153</v>
      </c>
      <c r="OMW50" s="363"/>
      <c r="OMX50" s="363"/>
      <c r="OMY50" s="364" t="s">
        <v>140</v>
      </c>
      <c r="OMZ50" s="365">
        <v>0.5</v>
      </c>
      <c r="ONA50" s="366" t="e">
        <f>10/OMW48</f>
        <v>#DIV/0!</v>
      </c>
      <c r="ONB50" s="367">
        <v>15.38</v>
      </c>
      <c r="ONC50" s="367" t="e">
        <f>OMZ50*ONA50*ONB50</f>
        <v>#DIV/0!</v>
      </c>
      <c r="OND50" s="363" t="s">
        <v>153</v>
      </c>
      <c r="ONE50" s="363"/>
      <c r="ONF50" s="363"/>
      <c r="ONG50" s="364" t="s">
        <v>140</v>
      </c>
      <c r="ONH50" s="365">
        <v>0.5</v>
      </c>
      <c r="ONI50" s="366" t="e">
        <f>10/ONE48</f>
        <v>#DIV/0!</v>
      </c>
      <c r="ONJ50" s="367">
        <v>15.38</v>
      </c>
      <c r="ONK50" s="367" t="e">
        <f>ONH50*ONI50*ONJ50</f>
        <v>#DIV/0!</v>
      </c>
      <c r="ONL50" s="363" t="s">
        <v>153</v>
      </c>
      <c r="ONM50" s="363"/>
      <c r="ONN50" s="363"/>
      <c r="ONO50" s="364" t="s">
        <v>140</v>
      </c>
      <c r="ONP50" s="365">
        <v>0.5</v>
      </c>
      <c r="ONQ50" s="366" t="e">
        <f>10/ONM48</f>
        <v>#DIV/0!</v>
      </c>
      <c r="ONR50" s="367">
        <v>15.38</v>
      </c>
      <c r="ONS50" s="367" t="e">
        <f>ONP50*ONQ50*ONR50</f>
        <v>#DIV/0!</v>
      </c>
      <c r="ONT50" s="363" t="s">
        <v>153</v>
      </c>
      <c r="ONU50" s="363"/>
      <c r="ONV50" s="363"/>
      <c r="ONW50" s="364" t="s">
        <v>140</v>
      </c>
      <c r="ONX50" s="365">
        <v>0.5</v>
      </c>
      <c r="ONY50" s="366" t="e">
        <f>10/ONU48</f>
        <v>#DIV/0!</v>
      </c>
      <c r="ONZ50" s="367">
        <v>15.38</v>
      </c>
      <c r="OOA50" s="367" t="e">
        <f>ONX50*ONY50*ONZ50</f>
        <v>#DIV/0!</v>
      </c>
      <c r="OOB50" s="363" t="s">
        <v>153</v>
      </c>
      <c r="OOC50" s="363"/>
      <c r="OOD50" s="363"/>
      <c r="OOE50" s="364" t="s">
        <v>140</v>
      </c>
      <c r="OOF50" s="365">
        <v>0.5</v>
      </c>
      <c r="OOG50" s="366" t="e">
        <f>10/OOC48</f>
        <v>#DIV/0!</v>
      </c>
      <c r="OOH50" s="367">
        <v>15.38</v>
      </c>
      <c r="OOI50" s="367" t="e">
        <f>OOF50*OOG50*OOH50</f>
        <v>#DIV/0!</v>
      </c>
      <c r="OOJ50" s="363" t="s">
        <v>153</v>
      </c>
      <c r="OOK50" s="363"/>
      <c r="OOL50" s="363"/>
      <c r="OOM50" s="364" t="s">
        <v>140</v>
      </c>
      <c r="OON50" s="365">
        <v>0.5</v>
      </c>
      <c r="OOO50" s="366" t="e">
        <f>10/OOK48</f>
        <v>#DIV/0!</v>
      </c>
      <c r="OOP50" s="367">
        <v>15.38</v>
      </c>
      <c r="OOQ50" s="367" t="e">
        <f>OON50*OOO50*OOP50</f>
        <v>#DIV/0!</v>
      </c>
      <c r="OOR50" s="363" t="s">
        <v>153</v>
      </c>
      <c r="OOS50" s="363"/>
      <c r="OOT50" s="363"/>
      <c r="OOU50" s="364" t="s">
        <v>140</v>
      </c>
      <c r="OOV50" s="365">
        <v>0.5</v>
      </c>
      <c r="OOW50" s="366" t="e">
        <f>10/OOS48</f>
        <v>#DIV/0!</v>
      </c>
      <c r="OOX50" s="367">
        <v>15.38</v>
      </c>
      <c r="OOY50" s="367" t="e">
        <f>OOV50*OOW50*OOX50</f>
        <v>#DIV/0!</v>
      </c>
      <c r="OOZ50" s="363" t="s">
        <v>153</v>
      </c>
      <c r="OPA50" s="363"/>
      <c r="OPB50" s="363"/>
      <c r="OPC50" s="364" t="s">
        <v>140</v>
      </c>
      <c r="OPD50" s="365">
        <v>0.5</v>
      </c>
      <c r="OPE50" s="366" t="e">
        <f>10/OPA48</f>
        <v>#DIV/0!</v>
      </c>
      <c r="OPF50" s="367">
        <v>15.38</v>
      </c>
      <c r="OPG50" s="367" t="e">
        <f>OPD50*OPE50*OPF50</f>
        <v>#DIV/0!</v>
      </c>
      <c r="OPH50" s="363" t="s">
        <v>153</v>
      </c>
      <c r="OPI50" s="363"/>
      <c r="OPJ50" s="363"/>
      <c r="OPK50" s="364" t="s">
        <v>140</v>
      </c>
      <c r="OPL50" s="365">
        <v>0.5</v>
      </c>
      <c r="OPM50" s="366" t="e">
        <f>10/OPI48</f>
        <v>#DIV/0!</v>
      </c>
      <c r="OPN50" s="367">
        <v>15.38</v>
      </c>
      <c r="OPO50" s="367" t="e">
        <f>OPL50*OPM50*OPN50</f>
        <v>#DIV/0!</v>
      </c>
      <c r="OPP50" s="363" t="s">
        <v>153</v>
      </c>
      <c r="OPQ50" s="363"/>
      <c r="OPR50" s="363"/>
      <c r="OPS50" s="364" t="s">
        <v>140</v>
      </c>
      <c r="OPT50" s="365">
        <v>0.5</v>
      </c>
      <c r="OPU50" s="366" t="e">
        <f>10/OPQ48</f>
        <v>#DIV/0!</v>
      </c>
      <c r="OPV50" s="367">
        <v>15.38</v>
      </c>
      <c r="OPW50" s="367" t="e">
        <f>OPT50*OPU50*OPV50</f>
        <v>#DIV/0!</v>
      </c>
      <c r="OPX50" s="363" t="s">
        <v>153</v>
      </c>
      <c r="OPY50" s="363"/>
      <c r="OPZ50" s="363"/>
      <c r="OQA50" s="364" t="s">
        <v>140</v>
      </c>
      <c r="OQB50" s="365">
        <v>0.5</v>
      </c>
      <c r="OQC50" s="366" t="e">
        <f>10/OPY48</f>
        <v>#DIV/0!</v>
      </c>
      <c r="OQD50" s="367">
        <v>15.38</v>
      </c>
      <c r="OQE50" s="367" t="e">
        <f>OQB50*OQC50*OQD50</f>
        <v>#DIV/0!</v>
      </c>
      <c r="OQF50" s="363" t="s">
        <v>153</v>
      </c>
      <c r="OQG50" s="363"/>
      <c r="OQH50" s="363"/>
      <c r="OQI50" s="364" t="s">
        <v>140</v>
      </c>
      <c r="OQJ50" s="365">
        <v>0.5</v>
      </c>
      <c r="OQK50" s="366" t="e">
        <f>10/OQG48</f>
        <v>#DIV/0!</v>
      </c>
      <c r="OQL50" s="367">
        <v>15.38</v>
      </c>
      <c r="OQM50" s="367" t="e">
        <f>OQJ50*OQK50*OQL50</f>
        <v>#DIV/0!</v>
      </c>
      <c r="OQN50" s="363" t="s">
        <v>153</v>
      </c>
      <c r="OQO50" s="363"/>
      <c r="OQP50" s="363"/>
      <c r="OQQ50" s="364" t="s">
        <v>140</v>
      </c>
      <c r="OQR50" s="365">
        <v>0.5</v>
      </c>
      <c r="OQS50" s="366" t="e">
        <f>10/OQO48</f>
        <v>#DIV/0!</v>
      </c>
      <c r="OQT50" s="367">
        <v>15.38</v>
      </c>
      <c r="OQU50" s="367" t="e">
        <f>OQR50*OQS50*OQT50</f>
        <v>#DIV/0!</v>
      </c>
      <c r="OQV50" s="363" t="s">
        <v>153</v>
      </c>
      <c r="OQW50" s="363"/>
      <c r="OQX50" s="363"/>
      <c r="OQY50" s="364" t="s">
        <v>140</v>
      </c>
      <c r="OQZ50" s="365">
        <v>0.5</v>
      </c>
      <c r="ORA50" s="366" t="e">
        <f>10/OQW48</f>
        <v>#DIV/0!</v>
      </c>
      <c r="ORB50" s="367">
        <v>15.38</v>
      </c>
      <c r="ORC50" s="367" t="e">
        <f>OQZ50*ORA50*ORB50</f>
        <v>#DIV/0!</v>
      </c>
      <c r="ORD50" s="363" t="s">
        <v>153</v>
      </c>
      <c r="ORE50" s="363"/>
      <c r="ORF50" s="363"/>
      <c r="ORG50" s="364" t="s">
        <v>140</v>
      </c>
      <c r="ORH50" s="365">
        <v>0.5</v>
      </c>
      <c r="ORI50" s="366" t="e">
        <f>10/ORE48</f>
        <v>#DIV/0!</v>
      </c>
      <c r="ORJ50" s="367">
        <v>15.38</v>
      </c>
      <c r="ORK50" s="367" t="e">
        <f>ORH50*ORI50*ORJ50</f>
        <v>#DIV/0!</v>
      </c>
      <c r="ORL50" s="363" t="s">
        <v>153</v>
      </c>
      <c r="ORM50" s="363"/>
      <c r="ORN50" s="363"/>
      <c r="ORO50" s="364" t="s">
        <v>140</v>
      </c>
      <c r="ORP50" s="365">
        <v>0.5</v>
      </c>
      <c r="ORQ50" s="366" t="e">
        <f>10/ORM48</f>
        <v>#DIV/0!</v>
      </c>
      <c r="ORR50" s="367">
        <v>15.38</v>
      </c>
      <c r="ORS50" s="367" t="e">
        <f>ORP50*ORQ50*ORR50</f>
        <v>#DIV/0!</v>
      </c>
      <c r="ORT50" s="363" t="s">
        <v>153</v>
      </c>
      <c r="ORU50" s="363"/>
      <c r="ORV50" s="363"/>
      <c r="ORW50" s="364" t="s">
        <v>140</v>
      </c>
      <c r="ORX50" s="365">
        <v>0.5</v>
      </c>
      <c r="ORY50" s="366" t="e">
        <f>10/ORU48</f>
        <v>#DIV/0!</v>
      </c>
      <c r="ORZ50" s="367">
        <v>15.38</v>
      </c>
      <c r="OSA50" s="367" t="e">
        <f>ORX50*ORY50*ORZ50</f>
        <v>#DIV/0!</v>
      </c>
      <c r="OSB50" s="363" t="s">
        <v>153</v>
      </c>
      <c r="OSC50" s="363"/>
      <c r="OSD50" s="363"/>
      <c r="OSE50" s="364" t="s">
        <v>140</v>
      </c>
      <c r="OSF50" s="365">
        <v>0.5</v>
      </c>
      <c r="OSG50" s="366" t="e">
        <f>10/OSC48</f>
        <v>#DIV/0!</v>
      </c>
      <c r="OSH50" s="367">
        <v>15.38</v>
      </c>
      <c r="OSI50" s="367" t="e">
        <f>OSF50*OSG50*OSH50</f>
        <v>#DIV/0!</v>
      </c>
      <c r="OSJ50" s="363" t="s">
        <v>153</v>
      </c>
      <c r="OSK50" s="363"/>
      <c r="OSL50" s="363"/>
      <c r="OSM50" s="364" t="s">
        <v>140</v>
      </c>
      <c r="OSN50" s="365">
        <v>0.5</v>
      </c>
      <c r="OSO50" s="366" t="e">
        <f>10/OSK48</f>
        <v>#DIV/0!</v>
      </c>
      <c r="OSP50" s="367">
        <v>15.38</v>
      </c>
      <c r="OSQ50" s="367" t="e">
        <f>OSN50*OSO50*OSP50</f>
        <v>#DIV/0!</v>
      </c>
      <c r="OSR50" s="363" t="s">
        <v>153</v>
      </c>
      <c r="OSS50" s="363"/>
      <c r="OST50" s="363"/>
      <c r="OSU50" s="364" t="s">
        <v>140</v>
      </c>
      <c r="OSV50" s="365">
        <v>0.5</v>
      </c>
      <c r="OSW50" s="366" t="e">
        <f>10/OSS48</f>
        <v>#DIV/0!</v>
      </c>
      <c r="OSX50" s="367">
        <v>15.38</v>
      </c>
      <c r="OSY50" s="367" t="e">
        <f>OSV50*OSW50*OSX50</f>
        <v>#DIV/0!</v>
      </c>
      <c r="OSZ50" s="363" t="s">
        <v>153</v>
      </c>
      <c r="OTA50" s="363"/>
      <c r="OTB50" s="363"/>
      <c r="OTC50" s="364" t="s">
        <v>140</v>
      </c>
      <c r="OTD50" s="365">
        <v>0.5</v>
      </c>
      <c r="OTE50" s="366" t="e">
        <f>10/OTA48</f>
        <v>#DIV/0!</v>
      </c>
      <c r="OTF50" s="367">
        <v>15.38</v>
      </c>
      <c r="OTG50" s="367" t="e">
        <f>OTD50*OTE50*OTF50</f>
        <v>#DIV/0!</v>
      </c>
      <c r="OTH50" s="363" t="s">
        <v>153</v>
      </c>
      <c r="OTI50" s="363"/>
      <c r="OTJ50" s="363"/>
      <c r="OTK50" s="364" t="s">
        <v>140</v>
      </c>
      <c r="OTL50" s="365">
        <v>0.5</v>
      </c>
      <c r="OTM50" s="366" t="e">
        <f>10/OTI48</f>
        <v>#DIV/0!</v>
      </c>
      <c r="OTN50" s="367">
        <v>15.38</v>
      </c>
      <c r="OTO50" s="367" t="e">
        <f>OTL50*OTM50*OTN50</f>
        <v>#DIV/0!</v>
      </c>
      <c r="OTP50" s="363" t="s">
        <v>153</v>
      </c>
      <c r="OTQ50" s="363"/>
      <c r="OTR50" s="363"/>
      <c r="OTS50" s="364" t="s">
        <v>140</v>
      </c>
      <c r="OTT50" s="365">
        <v>0.5</v>
      </c>
      <c r="OTU50" s="366" t="e">
        <f>10/OTQ48</f>
        <v>#DIV/0!</v>
      </c>
      <c r="OTV50" s="367">
        <v>15.38</v>
      </c>
      <c r="OTW50" s="367" t="e">
        <f>OTT50*OTU50*OTV50</f>
        <v>#DIV/0!</v>
      </c>
      <c r="OTX50" s="363" t="s">
        <v>153</v>
      </c>
      <c r="OTY50" s="363"/>
      <c r="OTZ50" s="363"/>
      <c r="OUA50" s="364" t="s">
        <v>140</v>
      </c>
      <c r="OUB50" s="365">
        <v>0.5</v>
      </c>
      <c r="OUC50" s="366" t="e">
        <f>10/OTY48</f>
        <v>#DIV/0!</v>
      </c>
      <c r="OUD50" s="367">
        <v>15.38</v>
      </c>
      <c r="OUE50" s="367" t="e">
        <f>OUB50*OUC50*OUD50</f>
        <v>#DIV/0!</v>
      </c>
      <c r="OUF50" s="363" t="s">
        <v>153</v>
      </c>
      <c r="OUG50" s="363"/>
      <c r="OUH50" s="363"/>
      <c r="OUI50" s="364" t="s">
        <v>140</v>
      </c>
      <c r="OUJ50" s="365">
        <v>0.5</v>
      </c>
      <c r="OUK50" s="366" t="e">
        <f>10/OUG48</f>
        <v>#DIV/0!</v>
      </c>
      <c r="OUL50" s="367">
        <v>15.38</v>
      </c>
      <c r="OUM50" s="367" t="e">
        <f>OUJ50*OUK50*OUL50</f>
        <v>#DIV/0!</v>
      </c>
      <c r="OUN50" s="363" t="s">
        <v>153</v>
      </c>
      <c r="OUO50" s="363"/>
      <c r="OUP50" s="363"/>
      <c r="OUQ50" s="364" t="s">
        <v>140</v>
      </c>
      <c r="OUR50" s="365">
        <v>0.5</v>
      </c>
      <c r="OUS50" s="366" t="e">
        <f>10/OUO48</f>
        <v>#DIV/0!</v>
      </c>
      <c r="OUT50" s="367">
        <v>15.38</v>
      </c>
      <c r="OUU50" s="367" t="e">
        <f>OUR50*OUS50*OUT50</f>
        <v>#DIV/0!</v>
      </c>
      <c r="OUV50" s="363" t="s">
        <v>153</v>
      </c>
      <c r="OUW50" s="363"/>
      <c r="OUX50" s="363"/>
      <c r="OUY50" s="364" t="s">
        <v>140</v>
      </c>
      <c r="OUZ50" s="365">
        <v>0.5</v>
      </c>
      <c r="OVA50" s="366" t="e">
        <f>10/OUW48</f>
        <v>#DIV/0!</v>
      </c>
      <c r="OVB50" s="367">
        <v>15.38</v>
      </c>
      <c r="OVC50" s="367" t="e">
        <f>OUZ50*OVA50*OVB50</f>
        <v>#DIV/0!</v>
      </c>
      <c r="OVD50" s="363" t="s">
        <v>153</v>
      </c>
      <c r="OVE50" s="363"/>
      <c r="OVF50" s="363"/>
      <c r="OVG50" s="364" t="s">
        <v>140</v>
      </c>
      <c r="OVH50" s="365">
        <v>0.5</v>
      </c>
      <c r="OVI50" s="366" t="e">
        <f>10/OVE48</f>
        <v>#DIV/0!</v>
      </c>
      <c r="OVJ50" s="367">
        <v>15.38</v>
      </c>
      <c r="OVK50" s="367" t="e">
        <f>OVH50*OVI50*OVJ50</f>
        <v>#DIV/0!</v>
      </c>
      <c r="OVL50" s="363" t="s">
        <v>153</v>
      </c>
      <c r="OVM50" s="363"/>
      <c r="OVN50" s="363"/>
      <c r="OVO50" s="364" t="s">
        <v>140</v>
      </c>
      <c r="OVP50" s="365">
        <v>0.5</v>
      </c>
      <c r="OVQ50" s="366" t="e">
        <f>10/OVM48</f>
        <v>#DIV/0!</v>
      </c>
      <c r="OVR50" s="367">
        <v>15.38</v>
      </c>
      <c r="OVS50" s="367" t="e">
        <f>OVP50*OVQ50*OVR50</f>
        <v>#DIV/0!</v>
      </c>
      <c r="OVT50" s="363" t="s">
        <v>153</v>
      </c>
      <c r="OVU50" s="363"/>
      <c r="OVV50" s="363"/>
      <c r="OVW50" s="364" t="s">
        <v>140</v>
      </c>
      <c r="OVX50" s="365">
        <v>0.5</v>
      </c>
      <c r="OVY50" s="366" t="e">
        <f>10/OVU48</f>
        <v>#DIV/0!</v>
      </c>
      <c r="OVZ50" s="367">
        <v>15.38</v>
      </c>
      <c r="OWA50" s="367" t="e">
        <f>OVX50*OVY50*OVZ50</f>
        <v>#DIV/0!</v>
      </c>
      <c r="OWB50" s="363" t="s">
        <v>153</v>
      </c>
      <c r="OWC50" s="363"/>
      <c r="OWD50" s="363"/>
      <c r="OWE50" s="364" t="s">
        <v>140</v>
      </c>
      <c r="OWF50" s="365">
        <v>0.5</v>
      </c>
      <c r="OWG50" s="366" t="e">
        <f>10/OWC48</f>
        <v>#DIV/0!</v>
      </c>
      <c r="OWH50" s="367">
        <v>15.38</v>
      </c>
      <c r="OWI50" s="367" t="e">
        <f>OWF50*OWG50*OWH50</f>
        <v>#DIV/0!</v>
      </c>
      <c r="OWJ50" s="363" t="s">
        <v>153</v>
      </c>
      <c r="OWK50" s="363"/>
      <c r="OWL50" s="363"/>
      <c r="OWM50" s="364" t="s">
        <v>140</v>
      </c>
      <c r="OWN50" s="365">
        <v>0.5</v>
      </c>
      <c r="OWO50" s="366" t="e">
        <f>10/OWK48</f>
        <v>#DIV/0!</v>
      </c>
      <c r="OWP50" s="367">
        <v>15.38</v>
      </c>
      <c r="OWQ50" s="367" t="e">
        <f>OWN50*OWO50*OWP50</f>
        <v>#DIV/0!</v>
      </c>
      <c r="OWR50" s="363" t="s">
        <v>153</v>
      </c>
      <c r="OWS50" s="363"/>
      <c r="OWT50" s="363"/>
      <c r="OWU50" s="364" t="s">
        <v>140</v>
      </c>
      <c r="OWV50" s="365">
        <v>0.5</v>
      </c>
      <c r="OWW50" s="366" t="e">
        <f>10/OWS48</f>
        <v>#DIV/0!</v>
      </c>
      <c r="OWX50" s="367">
        <v>15.38</v>
      </c>
      <c r="OWY50" s="367" t="e">
        <f>OWV50*OWW50*OWX50</f>
        <v>#DIV/0!</v>
      </c>
      <c r="OWZ50" s="363" t="s">
        <v>153</v>
      </c>
      <c r="OXA50" s="363"/>
      <c r="OXB50" s="363"/>
      <c r="OXC50" s="364" t="s">
        <v>140</v>
      </c>
      <c r="OXD50" s="365">
        <v>0.5</v>
      </c>
      <c r="OXE50" s="366" t="e">
        <f>10/OXA48</f>
        <v>#DIV/0!</v>
      </c>
      <c r="OXF50" s="367">
        <v>15.38</v>
      </c>
      <c r="OXG50" s="367" t="e">
        <f>OXD50*OXE50*OXF50</f>
        <v>#DIV/0!</v>
      </c>
      <c r="OXH50" s="363" t="s">
        <v>153</v>
      </c>
      <c r="OXI50" s="363"/>
      <c r="OXJ50" s="363"/>
      <c r="OXK50" s="364" t="s">
        <v>140</v>
      </c>
      <c r="OXL50" s="365">
        <v>0.5</v>
      </c>
      <c r="OXM50" s="366" t="e">
        <f>10/OXI48</f>
        <v>#DIV/0!</v>
      </c>
      <c r="OXN50" s="367">
        <v>15.38</v>
      </c>
      <c r="OXO50" s="367" t="e">
        <f>OXL50*OXM50*OXN50</f>
        <v>#DIV/0!</v>
      </c>
      <c r="OXP50" s="363" t="s">
        <v>153</v>
      </c>
      <c r="OXQ50" s="363"/>
      <c r="OXR50" s="363"/>
      <c r="OXS50" s="364" t="s">
        <v>140</v>
      </c>
      <c r="OXT50" s="365">
        <v>0.5</v>
      </c>
      <c r="OXU50" s="366" t="e">
        <f>10/OXQ48</f>
        <v>#DIV/0!</v>
      </c>
      <c r="OXV50" s="367">
        <v>15.38</v>
      </c>
      <c r="OXW50" s="367" t="e">
        <f>OXT50*OXU50*OXV50</f>
        <v>#DIV/0!</v>
      </c>
      <c r="OXX50" s="363" t="s">
        <v>153</v>
      </c>
      <c r="OXY50" s="363"/>
      <c r="OXZ50" s="363"/>
      <c r="OYA50" s="364" t="s">
        <v>140</v>
      </c>
      <c r="OYB50" s="365">
        <v>0.5</v>
      </c>
      <c r="OYC50" s="366" t="e">
        <f>10/OXY48</f>
        <v>#DIV/0!</v>
      </c>
      <c r="OYD50" s="367">
        <v>15.38</v>
      </c>
      <c r="OYE50" s="367" t="e">
        <f>OYB50*OYC50*OYD50</f>
        <v>#DIV/0!</v>
      </c>
      <c r="OYF50" s="363" t="s">
        <v>153</v>
      </c>
      <c r="OYG50" s="363"/>
      <c r="OYH50" s="363"/>
      <c r="OYI50" s="364" t="s">
        <v>140</v>
      </c>
      <c r="OYJ50" s="365">
        <v>0.5</v>
      </c>
      <c r="OYK50" s="366" t="e">
        <f>10/OYG48</f>
        <v>#DIV/0!</v>
      </c>
      <c r="OYL50" s="367">
        <v>15.38</v>
      </c>
      <c r="OYM50" s="367" t="e">
        <f>OYJ50*OYK50*OYL50</f>
        <v>#DIV/0!</v>
      </c>
      <c r="OYN50" s="363" t="s">
        <v>153</v>
      </c>
      <c r="OYO50" s="363"/>
      <c r="OYP50" s="363"/>
      <c r="OYQ50" s="364" t="s">
        <v>140</v>
      </c>
      <c r="OYR50" s="365">
        <v>0.5</v>
      </c>
      <c r="OYS50" s="366" t="e">
        <f>10/OYO48</f>
        <v>#DIV/0!</v>
      </c>
      <c r="OYT50" s="367">
        <v>15.38</v>
      </c>
      <c r="OYU50" s="367" t="e">
        <f>OYR50*OYS50*OYT50</f>
        <v>#DIV/0!</v>
      </c>
      <c r="OYV50" s="363" t="s">
        <v>153</v>
      </c>
      <c r="OYW50" s="363"/>
      <c r="OYX50" s="363"/>
      <c r="OYY50" s="364" t="s">
        <v>140</v>
      </c>
      <c r="OYZ50" s="365">
        <v>0.5</v>
      </c>
      <c r="OZA50" s="366" t="e">
        <f>10/OYW48</f>
        <v>#DIV/0!</v>
      </c>
      <c r="OZB50" s="367">
        <v>15.38</v>
      </c>
      <c r="OZC50" s="367" t="e">
        <f>OYZ50*OZA50*OZB50</f>
        <v>#DIV/0!</v>
      </c>
      <c r="OZD50" s="363" t="s">
        <v>153</v>
      </c>
      <c r="OZE50" s="363"/>
      <c r="OZF50" s="363"/>
      <c r="OZG50" s="364" t="s">
        <v>140</v>
      </c>
      <c r="OZH50" s="365">
        <v>0.5</v>
      </c>
      <c r="OZI50" s="366" t="e">
        <f>10/OZE48</f>
        <v>#DIV/0!</v>
      </c>
      <c r="OZJ50" s="367">
        <v>15.38</v>
      </c>
      <c r="OZK50" s="367" t="e">
        <f>OZH50*OZI50*OZJ50</f>
        <v>#DIV/0!</v>
      </c>
      <c r="OZL50" s="363" t="s">
        <v>153</v>
      </c>
      <c r="OZM50" s="363"/>
      <c r="OZN50" s="363"/>
      <c r="OZO50" s="364" t="s">
        <v>140</v>
      </c>
      <c r="OZP50" s="365">
        <v>0.5</v>
      </c>
      <c r="OZQ50" s="366" t="e">
        <f>10/OZM48</f>
        <v>#DIV/0!</v>
      </c>
      <c r="OZR50" s="367">
        <v>15.38</v>
      </c>
      <c r="OZS50" s="367" t="e">
        <f>OZP50*OZQ50*OZR50</f>
        <v>#DIV/0!</v>
      </c>
      <c r="OZT50" s="363" t="s">
        <v>153</v>
      </c>
      <c r="OZU50" s="363"/>
      <c r="OZV50" s="363"/>
      <c r="OZW50" s="364" t="s">
        <v>140</v>
      </c>
      <c r="OZX50" s="365">
        <v>0.5</v>
      </c>
      <c r="OZY50" s="366" t="e">
        <f>10/OZU48</f>
        <v>#DIV/0!</v>
      </c>
      <c r="OZZ50" s="367">
        <v>15.38</v>
      </c>
      <c r="PAA50" s="367" t="e">
        <f>OZX50*OZY50*OZZ50</f>
        <v>#DIV/0!</v>
      </c>
      <c r="PAB50" s="363" t="s">
        <v>153</v>
      </c>
      <c r="PAC50" s="363"/>
      <c r="PAD50" s="363"/>
      <c r="PAE50" s="364" t="s">
        <v>140</v>
      </c>
      <c r="PAF50" s="365">
        <v>0.5</v>
      </c>
      <c r="PAG50" s="366" t="e">
        <f>10/PAC48</f>
        <v>#DIV/0!</v>
      </c>
      <c r="PAH50" s="367">
        <v>15.38</v>
      </c>
      <c r="PAI50" s="367" t="e">
        <f>PAF50*PAG50*PAH50</f>
        <v>#DIV/0!</v>
      </c>
      <c r="PAJ50" s="363" t="s">
        <v>153</v>
      </c>
      <c r="PAK50" s="363"/>
      <c r="PAL50" s="363"/>
      <c r="PAM50" s="364" t="s">
        <v>140</v>
      </c>
      <c r="PAN50" s="365">
        <v>0.5</v>
      </c>
      <c r="PAO50" s="366" t="e">
        <f>10/PAK48</f>
        <v>#DIV/0!</v>
      </c>
      <c r="PAP50" s="367">
        <v>15.38</v>
      </c>
      <c r="PAQ50" s="367" t="e">
        <f>PAN50*PAO50*PAP50</f>
        <v>#DIV/0!</v>
      </c>
      <c r="PAR50" s="363" t="s">
        <v>153</v>
      </c>
      <c r="PAS50" s="363"/>
      <c r="PAT50" s="363"/>
      <c r="PAU50" s="364" t="s">
        <v>140</v>
      </c>
      <c r="PAV50" s="365">
        <v>0.5</v>
      </c>
      <c r="PAW50" s="366" t="e">
        <f>10/PAS48</f>
        <v>#DIV/0!</v>
      </c>
      <c r="PAX50" s="367">
        <v>15.38</v>
      </c>
      <c r="PAY50" s="367" t="e">
        <f>PAV50*PAW50*PAX50</f>
        <v>#DIV/0!</v>
      </c>
      <c r="PAZ50" s="363" t="s">
        <v>153</v>
      </c>
      <c r="PBA50" s="363"/>
      <c r="PBB50" s="363"/>
      <c r="PBC50" s="364" t="s">
        <v>140</v>
      </c>
      <c r="PBD50" s="365">
        <v>0.5</v>
      </c>
      <c r="PBE50" s="366" t="e">
        <f>10/PBA48</f>
        <v>#DIV/0!</v>
      </c>
      <c r="PBF50" s="367">
        <v>15.38</v>
      </c>
      <c r="PBG50" s="367" t="e">
        <f>PBD50*PBE50*PBF50</f>
        <v>#DIV/0!</v>
      </c>
      <c r="PBH50" s="363" t="s">
        <v>153</v>
      </c>
      <c r="PBI50" s="363"/>
      <c r="PBJ50" s="363"/>
      <c r="PBK50" s="364" t="s">
        <v>140</v>
      </c>
      <c r="PBL50" s="365">
        <v>0.5</v>
      </c>
      <c r="PBM50" s="366" t="e">
        <f>10/PBI48</f>
        <v>#DIV/0!</v>
      </c>
      <c r="PBN50" s="367">
        <v>15.38</v>
      </c>
      <c r="PBO50" s="367" t="e">
        <f>PBL50*PBM50*PBN50</f>
        <v>#DIV/0!</v>
      </c>
      <c r="PBP50" s="363" t="s">
        <v>153</v>
      </c>
      <c r="PBQ50" s="363"/>
      <c r="PBR50" s="363"/>
      <c r="PBS50" s="364" t="s">
        <v>140</v>
      </c>
      <c r="PBT50" s="365">
        <v>0.5</v>
      </c>
      <c r="PBU50" s="366" t="e">
        <f>10/PBQ48</f>
        <v>#DIV/0!</v>
      </c>
      <c r="PBV50" s="367">
        <v>15.38</v>
      </c>
      <c r="PBW50" s="367" t="e">
        <f>PBT50*PBU50*PBV50</f>
        <v>#DIV/0!</v>
      </c>
      <c r="PBX50" s="363" t="s">
        <v>153</v>
      </c>
      <c r="PBY50" s="363"/>
      <c r="PBZ50" s="363"/>
      <c r="PCA50" s="364" t="s">
        <v>140</v>
      </c>
      <c r="PCB50" s="365">
        <v>0.5</v>
      </c>
      <c r="PCC50" s="366" t="e">
        <f>10/PBY48</f>
        <v>#DIV/0!</v>
      </c>
      <c r="PCD50" s="367">
        <v>15.38</v>
      </c>
      <c r="PCE50" s="367" t="e">
        <f>PCB50*PCC50*PCD50</f>
        <v>#DIV/0!</v>
      </c>
      <c r="PCF50" s="363" t="s">
        <v>153</v>
      </c>
      <c r="PCG50" s="363"/>
      <c r="PCH50" s="363"/>
      <c r="PCI50" s="364" t="s">
        <v>140</v>
      </c>
      <c r="PCJ50" s="365">
        <v>0.5</v>
      </c>
      <c r="PCK50" s="366" t="e">
        <f>10/PCG48</f>
        <v>#DIV/0!</v>
      </c>
      <c r="PCL50" s="367">
        <v>15.38</v>
      </c>
      <c r="PCM50" s="367" t="e">
        <f>PCJ50*PCK50*PCL50</f>
        <v>#DIV/0!</v>
      </c>
      <c r="PCN50" s="363" t="s">
        <v>153</v>
      </c>
      <c r="PCO50" s="363"/>
      <c r="PCP50" s="363"/>
      <c r="PCQ50" s="364" t="s">
        <v>140</v>
      </c>
      <c r="PCR50" s="365">
        <v>0.5</v>
      </c>
      <c r="PCS50" s="366" t="e">
        <f>10/PCO48</f>
        <v>#DIV/0!</v>
      </c>
      <c r="PCT50" s="367">
        <v>15.38</v>
      </c>
      <c r="PCU50" s="367" t="e">
        <f>PCR50*PCS50*PCT50</f>
        <v>#DIV/0!</v>
      </c>
      <c r="PCV50" s="363" t="s">
        <v>153</v>
      </c>
      <c r="PCW50" s="363"/>
      <c r="PCX50" s="363"/>
      <c r="PCY50" s="364" t="s">
        <v>140</v>
      </c>
      <c r="PCZ50" s="365">
        <v>0.5</v>
      </c>
      <c r="PDA50" s="366" t="e">
        <f>10/PCW48</f>
        <v>#DIV/0!</v>
      </c>
      <c r="PDB50" s="367">
        <v>15.38</v>
      </c>
      <c r="PDC50" s="367" t="e">
        <f>PCZ50*PDA50*PDB50</f>
        <v>#DIV/0!</v>
      </c>
      <c r="PDD50" s="363" t="s">
        <v>153</v>
      </c>
      <c r="PDE50" s="363"/>
      <c r="PDF50" s="363"/>
      <c r="PDG50" s="364" t="s">
        <v>140</v>
      </c>
      <c r="PDH50" s="365">
        <v>0.5</v>
      </c>
      <c r="PDI50" s="366" t="e">
        <f>10/PDE48</f>
        <v>#DIV/0!</v>
      </c>
      <c r="PDJ50" s="367">
        <v>15.38</v>
      </c>
      <c r="PDK50" s="367" t="e">
        <f>PDH50*PDI50*PDJ50</f>
        <v>#DIV/0!</v>
      </c>
      <c r="PDL50" s="363" t="s">
        <v>153</v>
      </c>
      <c r="PDM50" s="363"/>
      <c r="PDN50" s="363"/>
      <c r="PDO50" s="364" t="s">
        <v>140</v>
      </c>
      <c r="PDP50" s="365">
        <v>0.5</v>
      </c>
      <c r="PDQ50" s="366" t="e">
        <f>10/PDM48</f>
        <v>#DIV/0!</v>
      </c>
      <c r="PDR50" s="367">
        <v>15.38</v>
      </c>
      <c r="PDS50" s="367" t="e">
        <f>PDP50*PDQ50*PDR50</f>
        <v>#DIV/0!</v>
      </c>
      <c r="PDT50" s="363" t="s">
        <v>153</v>
      </c>
      <c r="PDU50" s="363"/>
      <c r="PDV50" s="363"/>
      <c r="PDW50" s="364" t="s">
        <v>140</v>
      </c>
      <c r="PDX50" s="365">
        <v>0.5</v>
      </c>
      <c r="PDY50" s="366" t="e">
        <f>10/PDU48</f>
        <v>#DIV/0!</v>
      </c>
      <c r="PDZ50" s="367">
        <v>15.38</v>
      </c>
      <c r="PEA50" s="367" t="e">
        <f>PDX50*PDY50*PDZ50</f>
        <v>#DIV/0!</v>
      </c>
      <c r="PEB50" s="363" t="s">
        <v>153</v>
      </c>
      <c r="PEC50" s="363"/>
      <c r="PED50" s="363"/>
      <c r="PEE50" s="364" t="s">
        <v>140</v>
      </c>
      <c r="PEF50" s="365">
        <v>0.5</v>
      </c>
      <c r="PEG50" s="366" t="e">
        <f>10/PEC48</f>
        <v>#DIV/0!</v>
      </c>
      <c r="PEH50" s="367">
        <v>15.38</v>
      </c>
      <c r="PEI50" s="367" t="e">
        <f>PEF50*PEG50*PEH50</f>
        <v>#DIV/0!</v>
      </c>
      <c r="PEJ50" s="363" t="s">
        <v>153</v>
      </c>
      <c r="PEK50" s="363"/>
      <c r="PEL50" s="363"/>
      <c r="PEM50" s="364" t="s">
        <v>140</v>
      </c>
      <c r="PEN50" s="365">
        <v>0.5</v>
      </c>
      <c r="PEO50" s="366" t="e">
        <f>10/PEK48</f>
        <v>#DIV/0!</v>
      </c>
      <c r="PEP50" s="367">
        <v>15.38</v>
      </c>
      <c r="PEQ50" s="367" t="e">
        <f>PEN50*PEO50*PEP50</f>
        <v>#DIV/0!</v>
      </c>
      <c r="PER50" s="363" t="s">
        <v>153</v>
      </c>
      <c r="PES50" s="363"/>
      <c r="PET50" s="363"/>
      <c r="PEU50" s="364" t="s">
        <v>140</v>
      </c>
      <c r="PEV50" s="365">
        <v>0.5</v>
      </c>
      <c r="PEW50" s="366" t="e">
        <f>10/PES48</f>
        <v>#DIV/0!</v>
      </c>
      <c r="PEX50" s="367">
        <v>15.38</v>
      </c>
      <c r="PEY50" s="367" t="e">
        <f>PEV50*PEW50*PEX50</f>
        <v>#DIV/0!</v>
      </c>
      <c r="PEZ50" s="363" t="s">
        <v>153</v>
      </c>
      <c r="PFA50" s="363"/>
      <c r="PFB50" s="363"/>
      <c r="PFC50" s="364" t="s">
        <v>140</v>
      </c>
      <c r="PFD50" s="365">
        <v>0.5</v>
      </c>
      <c r="PFE50" s="366" t="e">
        <f>10/PFA48</f>
        <v>#DIV/0!</v>
      </c>
      <c r="PFF50" s="367">
        <v>15.38</v>
      </c>
      <c r="PFG50" s="367" t="e">
        <f>PFD50*PFE50*PFF50</f>
        <v>#DIV/0!</v>
      </c>
      <c r="PFH50" s="363" t="s">
        <v>153</v>
      </c>
      <c r="PFI50" s="363"/>
      <c r="PFJ50" s="363"/>
      <c r="PFK50" s="364" t="s">
        <v>140</v>
      </c>
      <c r="PFL50" s="365">
        <v>0.5</v>
      </c>
      <c r="PFM50" s="366" t="e">
        <f>10/PFI48</f>
        <v>#DIV/0!</v>
      </c>
      <c r="PFN50" s="367">
        <v>15.38</v>
      </c>
      <c r="PFO50" s="367" t="e">
        <f>PFL50*PFM50*PFN50</f>
        <v>#DIV/0!</v>
      </c>
      <c r="PFP50" s="363" t="s">
        <v>153</v>
      </c>
      <c r="PFQ50" s="363"/>
      <c r="PFR50" s="363"/>
      <c r="PFS50" s="364" t="s">
        <v>140</v>
      </c>
      <c r="PFT50" s="365">
        <v>0.5</v>
      </c>
      <c r="PFU50" s="366" t="e">
        <f>10/PFQ48</f>
        <v>#DIV/0!</v>
      </c>
      <c r="PFV50" s="367">
        <v>15.38</v>
      </c>
      <c r="PFW50" s="367" t="e">
        <f>PFT50*PFU50*PFV50</f>
        <v>#DIV/0!</v>
      </c>
      <c r="PFX50" s="363" t="s">
        <v>153</v>
      </c>
      <c r="PFY50" s="363"/>
      <c r="PFZ50" s="363"/>
      <c r="PGA50" s="364" t="s">
        <v>140</v>
      </c>
      <c r="PGB50" s="365">
        <v>0.5</v>
      </c>
      <c r="PGC50" s="366" t="e">
        <f>10/PFY48</f>
        <v>#DIV/0!</v>
      </c>
      <c r="PGD50" s="367">
        <v>15.38</v>
      </c>
      <c r="PGE50" s="367" t="e">
        <f>PGB50*PGC50*PGD50</f>
        <v>#DIV/0!</v>
      </c>
      <c r="PGF50" s="363" t="s">
        <v>153</v>
      </c>
      <c r="PGG50" s="363"/>
      <c r="PGH50" s="363"/>
      <c r="PGI50" s="364" t="s">
        <v>140</v>
      </c>
      <c r="PGJ50" s="365">
        <v>0.5</v>
      </c>
      <c r="PGK50" s="366" t="e">
        <f>10/PGG48</f>
        <v>#DIV/0!</v>
      </c>
      <c r="PGL50" s="367">
        <v>15.38</v>
      </c>
      <c r="PGM50" s="367" t="e">
        <f>PGJ50*PGK50*PGL50</f>
        <v>#DIV/0!</v>
      </c>
      <c r="PGN50" s="363" t="s">
        <v>153</v>
      </c>
      <c r="PGO50" s="363"/>
      <c r="PGP50" s="363"/>
      <c r="PGQ50" s="364" t="s">
        <v>140</v>
      </c>
      <c r="PGR50" s="365">
        <v>0.5</v>
      </c>
      <c r="PGS50" s="366" t="e">
        <f>10/PGO48</f>
        <v>#DIV/0!</v>
      </c>
      <c r="PGT50" s="367">
        <v>15.38</v>
      </c>
      <c r="PGU50" s="367" t="e">
        <f>PGR50*PGS50*PGT50</f>
        <v>#DIV/0!</v>
      </c>
      <c r="PGV50" s="363" t="s">
        <v>153</v>
      </c>
      <c r="PGW50" s="363"/>
      <c r="PGX50" s="363"/>
      <c r="PGY50" s="364" t="s">
        <v>140</v>
      </c>
      <c r="PGZ50" s="365">
        <v>0.5</v>
      </c>
      <c r="PHA50" s="366" t="e">
        <f>10/PGW48</f>
        <v>#DIV/0!</v>
      </c>
      <c r="PHB50" s="367">
        <v>15.38</v>
      </c>
      <c r="PHC50" s="367" t="e">
        <f>PGZ50*PHA50*PHB50</f>
        <v>#DIV/0!</v>
      </c>
      <c r="PHD50" s="363" t="s">
        <v>153</v>
      </c>
      <c r="PHE50" s="363"/>
      <c r="PHF50" s="363"/>
      <c r="PHG50" s="364" t="s">
        <v>140</v>
      </c>
      <c r="PHH50" s="365">
        <v>0.5</v>
      </c>
      <c r="PHI50" s="366" t="e">
        <f>10/PHE48</f>
        <v>#DIV/0!</v>
      </c>
      <c r="PHJ50" s="367">
        <v>15.38</v>
      </c>
      <c r="PHK50" s="367" t="e">
        <f>PHH50*PHI50*PHJ50</f>
        <v>#DIV/0!</v>
      </c>
      <c r="PHL50" s="363" t="s">
        <v>153</v>
      </c>
      <c r="PHM50" s="363"/>
      <c r="PHN50" s="363"/>
      <c r="PHO50" s="364" t="s">
        <v>140</v>
      </c>
      <c r="PHP50" s="365">
        <v>0.5</v>
      </c>
      <c r="PHQ50" s="366" t="e">
        <f>10/PHM48</f>
        <v>#DIV/0!</v>
      </c>
      <c r="PHR50" s="367">
        <v>15.38</v>
      </c>
      <c r="PHS50" s="367" t="e">
        <f>PHP50*PHQ50*PHR50</f>
        <v>#DIV/0!</v>
      </c>
      <c r="PHT50" s="363" t="s">
        <v>153</v>
      </c>
      <c r="PHU50" s="363"/>
      <c r="PHV50" s="363"/>
      <c r="PHW50" s="364" t="s">
        <v>140</v>
      </c>
      <c r="PHX50" s="365">
        <v>0.5</v>
      </c>
      <c r="PHY50" s="366" t="e">
        <f>10/PHU48</f>
        <v>#DIV/0!</v>
      </c>
      <c r="PHZ50" s="367">
        <v>15.38</v>
      </c>
      <c r="PIA50" s="367" t="e">
        <f>PHX50*PHY50*PHZ50</f>
        <v>#DIV/0!</v>
      </c>
      <c r="PIB50" s="363" t="s">
        <v>153</v>
      </c>
      <c r="PIC50" s="363"/>
      <c r="PID50" s="363"/>
      <c r="PIE50" s="364" t="s">
        <v>140</v>
      </c>
      <c r="PIF50" s="365">
        <v>0.5</v>
      </c>
      <c r="PIG50" s="366" t="e">
        <f>10/PIC48</f>
        <v>#DIV/0!</v>
      </c>
      <c r="PIH50" s="367">
        <v>15.38</v>
      </c>
      <c r="PII50" s="367" t="e">
        <f>PIF50*PIG50*PIH50</f>
        <v>#DIV/0!</v>
      </c>
      <c r="PIJ50" s="363" t="s">
        <v>153</v>
      </c>
      <c r="PIK50" s="363"/>
      <c r="PIL50" s="363"/>
      <c r="PIM50" s="364" t="s">
        <v>140</v>
      </c>
      <c r="PIN50" s="365">
        <v>0.5</v>
      </c>
      <c r="PIO50" s="366" t="e">
        <f>10/PIK48</f>
        <v>#DIV/0!</v>
      </c>
      <c r="PIP50" s="367">
        <v>15.38</v>
      </c>
      <c r="PIQ50" s="367" t="e">
        <f>PIN50*PIO50*PIP50</f>
        <v>#DIV/0!</v>
      </c>
      <c r="PIR50" s="363" t="s">
        <v>153</v>
      </c>
      <c r="PIS50" s="363"/>
      <c r="PIT50" s="363"/>
      <c r="PIU50" s="364" t="s">
        <v>140</v>
      </c>
      <c r="PIV50" s="365">
        <v>0.5</v>
      </c>
      <c r="PIW50" s="366" t="e">
        <f>10/PIS48</f>
        <v>#DIV/0!</v>
      </c>
      <c r="PIX50" s="367">
        <v>15.38</v>
      </c>
      <c r="PIY50" s="367" t="e">
        <f>PIV50*PIW50*PIX50</f>
        <v>#DIV/0!</v>
      </c>
      <c r="PIZ50" s="363" t="s">
        <v>153</v>
      </c>
      <c r="PJA50" s="363"/>
      <c r="PJB50" s="363"/>
      <c r="PJC50" s="364" t="s">
        <v>140</v>
      </c>
      <c r="PJD50" s="365">
        <v>0.5</v>
      </c>
      <c r="PJE50" s="366" t="e">
        <f>10/PJA48</f>
        <v>#DIV/0!</v>
      </c>
      <c r="PJF50" s="367">
        <v>15.38</v>
      </c>
      <c r="PJG50" s="367" t="e">
        <f>PJD50*PJE50*PJF50</f>
        <v>#DIV/0!</v>
      </c>
      <c r="PJH50" s="363" t="s">
        <v>153</v>
      </c>
      <c r="PJI50" s="363"/>
      <c r="PJJ50" s="363"/>
      <c r="PJK50" s="364" t="s">
        <v>140</v>
      </c>
      <c r="PJL50" s="365">
        <v>0.5</v>
      </c>
      <c r="PJM50" s="366" t="e">
        <f>10/PJI48</f>
        <v>#DIV/0!</v>
      </c>
      <c r="PJN50" s="367">
        <v>15.38</v>
      </c>
      <c r="PJO50" s="367" t="e">
        <f>PJL50*PJM50*PJN50</f>
        <v>#DIV/0!</v>
      </c>
      <c r="PJP50" s="363" t="s">
        <v>153</v>
      </c>
      <c r="PJQ50" s="363"/>
      <c r="PJR50" s="363"/>
      <c r="PJS50" s="364" t="s">
        <v>140</v>
      </c>
      <c r="PJT50" s="365">
        <v>0.5</v>
      </c>
      <c r="PJU50" s="366" t="e">
        <f>10/PJQ48</f>
        <v>#DIV/0!</v>
      </c>
      <c r="PJV50" s="367">
        <v>15.38</v>
      </c>
      <c r="PJW50" s="367" t="e">
        <f>PJT50*PJU50*PJV50</f>
        <v>#DIV/0!</v>
      </c>
      <c r="PJX50" s="363" t="s">
        <v>153</v>
      </c>
      <c r="PJY50" s="363"/>
      <c r="PJZ50" s="363"/>
      <c r="PKA50" s="364" t="s">
        <v>140</v>
      </c>
      <c r="PKB50" s="365">
        <v>0.5</v>
      </c>
      <c r="PKC50" s="366" t="e">
        <f>10/PJY48</f>
        <v>#DIV/0!</v>
      </c>
      <c r="PKD50" s="367">
        <v>15.38</v>
      </c>
      <c r="PKE50" s="367" t="e">
        <f>PKB50*PKC50*PKD50</f>
        <v>#DIV/0!</v>
      </c>
      <c r="PKF50" s="363" t="s">
        <v>153</v>
      </c>
      <c r="PKG50" s="363"/>
      <c r="PKH50" s="363"/>
      <c r="PKI50" s="364" t="s">
        <v>140</v>
      </c>
      <c r="PKJ50" s="365">
        <v>0.5</v>
      </c>
      <c r="PKK50" s="366" t="e">
        <f>10/PKG48</f>
        <v>#DIV/0!</v>
      </c>
      <c r="PKL50" s="367">
        <v>15.38</v>
      </c>
      <c r="PKM50" s="367" t="e">
        <f>PKJ50*PKK50*PKL50</f>
        <v>#DIV/0!</v>
      </c>
      <c r="PKN50" s="363" t="s">
        <v>153</v>
      </c>
      <c r="PKO50" s="363"/>
      <c r="PKP50" s="363"/>
      <c r="PKQ50" s="364" t="s">
        <v>140</v>
      </c>
      <c r="PKR50" s="365">
        <v>0.5</v>
      </c>
      <c r="PKS50" s="366" t="e">
        <f>10/PKO48</f>
        <v>#DIV/0!</v>
      </c>
      <c r="PKT50" s="367">
        <v>15.38</v>
      </c>
      <c r="PKU50" s="367" t="e">
        <f>PKR50*PKS50*PKT50</f>
        <v>#DIV/0!</v>
      </c>
      <c r="PKV50" s="363" t="s">
        <v>153</v>
      </c>
      <c r="PKW50" s="363"/>
      <c r="PKX50" s="363"/>
      <c r="PKY50" s="364" t="s">
        <v>140</v>
      </c>
      <c r="PKZ50" s="365">
        <v>0.5</v>
      </c>
      <c r="PLA50" s="366" t="e">
        <f>10/PKW48</f>
        <v>#DIV/0!</v>
      </c>
      <c r="PLB50" s="367">
        <v>15.38</v>
      </c>
      <c r="PLC50" s="367" t="e">
        <f>PKZ50*PLA50*PLB50</f>
        <v>#DIV/0!</v>
      </c>
      <c r="PLD50" s="363" t="s">
        <v>153</v>
      </c>
      <c r="PLE50" s="363"/>
      <c r="PLF50" s="363"/>
      <c r="PLG50" s="364" t="s">
        <v>140</v>
      </c>
      <c r="PLH50" s="365">
        <v>0.5</v>
      </c>
      <c r="PLI50" s="366" t="e">
        <f>10/PLE48</f>
        <v>#DIV/0!</v>
      </c>
      <c r="PLJ50" s="367">
        <v>15.38</v>
      </c>
      <c r="PLK50" s="367" t="e">
        <f>PLH50*PLI50*PLJ50</f>
        <v>#DIV/0!</v>
      </c>
      <c r="PLL50" s="363" t="s">
        <v>153</v>
      </c>
      <c r="PLM50" s="363"/>
      <c r="PLN50" s="363"/>
      <c r="PLO50" s="364" t="s">
        <v>140</v>
      </c>
      <c r="PLP50" s="365">
        <v>0.5</v>
      </c>
      <c r="PLQ50" s="366" t="e">
        <f>10/PLM48</f>
        <v>#DIV/0!</v>
      </c>
      <c r="PLR50" s="367">
        <v>15.38</v>
      </c>
      <c r="PLS50" s="367" t="e">
        <f>PLP50*PLQ50*PLR50</f>
        <v>#DIV/0!</v>
      </c>
      <c r="PLT50" s="363" t="s">
        <v>153</v>
      </c>
      <c r="PLU50" s="363"/>
      <c r="PLV50" s="363"/>
      <c r="PLW50" s="364" t="s">
        <v>140</v>
      </c>
      <c r="PLX50" s="365">
        <v>0.5</v>
      </c>
      <c r="PLY50" s="366" t="e">
        <f>10/PLU48</f>
        <v>#DIV/0!</v>
      </c>
      <c r="PLZ50" s="367">
        <v>15.38</v>
      </c>
      <c r="PMA50" s="367" t="e">
        <f>PLX50*PLY50*PLZ50</f>
        <v>#DIV/0!</v>
      </c>
      <c r="PMB50" s="363" t="s">
        <v>153</v>
      </c>
      <c r="PMC50" s="363"/>
      <c r="PMD50" s="363"/>
      <c r="PME50" s="364" t="s">
        <v>140</v>
      </c>
      <c r="PMF50" s="365">
        <v>0.5</v>
      </c>
      <c r="PMG50" s="366" t="e">
        <f>10/PMC48</f>
        <v>#DIV/0!</v>
      </c>
      <c r="PMH50" s="367">
        <v>15.38</v>
      </c>
      <c r="PMI50" s="367" t="e">
        <f>PMF50*PMG50*PMH50</f>
        <v>#DIV/0!</v>
      </c>
      <c r="PMJ50" s="363" t="s">
        <v>153</v>
      </c>
      <c r="PMK50" s="363"/>
      <c r="PML50" s="363"/>
      <c r="PMM50" s="364" t="s">
        <v>140</v>
      </c>
      <c r="PMN50" s="365">
        <v>0.5</v>
      </c>
      <c r="PMO50" s="366" t="e">
        <f>10/PMK48</f>
        <v>#DIV/0!</v>
      </c>
      <c r="PMP50" s="367">
        <v>15.38</v>
      </c>
      <c r="PMQ50" s="367" t="e">
        <f>PMN50*PMO50*PMP50</f>
        <v>#DIV/0!</v>
      </c>
      <c r="PMR50" s="363" t="s">
        <v>153</v>
      </c>
      <c r="PMS50" s="363"/>
      <c r="PMT50" s="363"/>
      <c r="PMU50" s="364" t="s">
        <v>140</v>
      </c>
      <c r="PMV50" s="365">
        <v>0.5</v>
      </c>
      <c r="PMW50" s="366" t="e">
        <f>10/PMS48</f>
        <v>#DIV/0!</v>
      </c>
      <c r="PMX50" s="367">
        <v>15.38</v>
      </c>
      <c r="PMY50" s="367" t="e">
        <f>PMV50*PMW50*PMX50</f>
        <v>#DIV/0!</v>
      </c>
      <c r="PMZ50" s="363" t="s">
        <v>153</v>
      </c>
      <c r="PNA50" s="363"/>
      <c r="PNB50" s="363"/>
      <c r="PNC50" s="364" t="s">
        <v>140</v>
      </c>
      <c r="PND50" s="365">
        <v>0.5</v>
      </c>
      <c r="PNE50" s="366" t="e">
        <f>10/PNA48</f>
        <v>#DIV/0!</v>
      </c>
      <c r="PNF50" s="367">
        <v>15.38</v>
      </c>
      <c r="PNG50" s="367" t="e">
        <f>PND50*PNE50*PNF50</f>
        <v>#DIV/0!</v>
      </c>
      <c r="PNH50" s="363" t="s">
        <v>153</v>
      </c>
      <c r="PNI50" s="363"/>
      <c r="PNJ50" s="363"/>
      <c r="PNK50" s="364" t="s">
        <v>140</v>
      </c>
      <c r="PNL50" s="365">
        <v>0.5</v>
      </c>
      <c r="PNM50" s="366" t="e">
        <f>10/PNI48</f>
        <v>#DIV/0!</v>
      </c>
      <c r="PNN50" s="367">
        <v>15.38</v>
      </c>
      <c r="PNO50" s="367" t="e">
        <f>PNL50*PNM50*PNN50</f>
        <v>#DIV/0!</v>
      </c>
      <c r="PNP50" s="363" t="s">
        <v>153</v>
      </c>
      <c r="PNQ50" s="363"/>
      <c r="PNR50" s="363"/>
      <c r="PNS50" s="364" t="s">
        <v>140</v>
      </c>
      <c r="PNT50" s="365">
        <v>0.5</v>
      </c>
      <c r="PNU50" s="366" t="e">
        <f>10/PNQ48</f>
        <v>#DIV/0!</v>
      </c>
      <c r="PNV50" s="367">
        <v>15.38</v>
      </c>
      <c r="PNW50" s="367" t="e">
        <f>PNT50*PNU50*PNV50</f>
        <v>#DIV/0!</v>
      </c>
      <c r="PNX50" s="363" t="s">
        <v>153</v>
      </c>
      <c r="PNY50" s="363"/>
      <c r="PNZ50" s="363"/>
      <c r="POA50" s="364" t="s">
        <v>140</v>
      </c>
      <c r="POB50" s="365">
        <v>0.5</v>
      </c>
      <c r="POC50" s="366" t="e">
        <f>10/PNY48</f>
        <v>#DIV/0!</v>
      </c>
      <c r="POD50" s="367">
        <v>15.38</v>
      </c>
      <c r="POE50" s="367" t="e">
        <f>POB50*POC50*POD50</f>
        <v>#DIV/0!</v>
      </c>
      <c r="POF50" s="363" t="s">
        <v>153</v>
      </c>
      <c r="POG50" s="363"/>
      <c r="POH50" s="363"/>
      <c r="POI50" s="364" t="s">
        <v>140</v>
      </c>
      <c r="POJ50" s="365">
        <v>0.5</v>
      </c>
      <c r="POK50" s="366" t="e">
        <f>10/POG48</f>
        <v>#DIV/0!</v>
      </c>
      <c r="POL50" s="367">
        <v>15.38</v>
      </c>
      <c r="POM50" s="367" t="e">
        <f>POJ50*POK50*POL50</f>
        <v>#DIV/0!</v>
      </c>
      <c r="PON50" s="363" t="s">
        <v>153</v>
      </c>
      <c r="POO50" s="363"/>
      <c r="POP50" s="363"/>
      <c r="POQ50" s="364" t="s">
        <v>140</v>
      </c>
      <c r="POR50" s="365">
        <v>0.5</v>
      </c>
      <c r="POS50" s="366" t="e">
        <f>10/POO48</f>
        <v>#DIV/0!</v>
      </c>
      <c r="POT50" s="367">
        <v>15.38</v>
      </c>
      <c r="POU50" s="367" t="e">
        <f>POR50*POS50*POT50</f>
        <v>#DIV/0!</v>
      </c>
      <c r="POV50" s="363" t="s">
        <v>153</v>
      </c>
      <c r="POW50" s="363"/>
      <c r="POX50" s="363"/>
      <c r="POY50" s="364" t="s">
        <v>140</v>
      </c>
      <c r="POZ50" s="365">
        <v>0.5</v>
      </c>
      <c r="PPA50" s="366" t="e">
        <f>10/POW48</f>
        <v>#DIV/0!</v>
      </c>
      <c r="PPB50" s="367">
        <v>15.38</v>
      </c>
      <c r="PPC50" s="367" t="e">
        <f>POZ50*PPA50*PPB50</f>
        <v>#DIV/0!</v>
      </c>
      <c r="PPD50" s="363" t="s">
        <v>153</v>
      </c>
      <c r="PPE50" s="363"/>
      <c r="PPF50" s="363"/>
      <c r="PPG50" s="364" t="s">
        <v>140</v>
      </c>
      <c r="PPH50" s="365">
        <v>0.5</v>
      </c>
      <c r="PPI50" s="366" t="e">
        <f>10/PPE48</f>
        <v>#DIV/0!</v>
      </c>
      <c r="PPJ50" s="367">
        <v>15.38</v>
      </c>
      <c r="PPK50" s="367" t="e">
        <f>PPH50*PPI50*PPJ50</f>
        <v>#DIV/0!</v>
      </c>
      <c r="PPL50" s="363" t="s">
        <v>153</v>
      </c>
      <c r="PPM50" s="363"/>
      <c r="PPN50" s="363"/>
      <c r="PPO50" s="364" t="s">
        <v>140</v>
      </c>
      <c r="PPP50" s="365">
        <v>0.5</v>
      </c>
      <c r="PPQ50" s="366" t="e">
        <f>10/PPM48</f>
        <v>#DIV/0!</v>
      </c>
      <c r="PPR50" s="367">
        <v>15.38</v>
      </c>
      <c r="PPS50" s="367" t="e">
        <f>PPP50*PPQ50*PPR50</f>
        <v>#DIV/0!</v>
      </c>
      <c r="PPT50" s="363" t="s">
        <v>153</v>
      </c>
      <c r="PPU50" s="363"/>
      <c r="PPV50" s="363"/>
      <c r="PPW50" s="364" t="s">
        <v>140</v>
      </c>
      <c r="PPX50" s="365">
        <v>0.5</v>
      </c>
      <c r="PPY50" s="366" t="e">
        <f>10/PPU48</f>
        <v>#DIV/0!</v>
      </c>
      <c r="PPZ50" s="367">
        <v>15.38</v>
      </c>
      <c r="PQA50" s="367" t="e">
        <f>PPX50*PPY50*PPZ50</f>
        <v>#DIV/0!</v>
      </c>
      <c r="PQB50" s="363" t="s">
        <v>153</v>
      </c>
      <c r="PQC50" s="363"/>
      <c r="PQD50" s="363"/>
      <c r="PQE50" s="364" t="s">
        <v>140</v>
      </c>
      <c r="PQF50" s="365">
        <v>0.5</v>
      </c>
      <c r="PQG50" s="366" t="e">
        <f>10/PQC48</f>
        <v>#DIV/0!</v>
      </c>
      <c r="PQH50" s="367">
        <v>15.38</v>
      </c>
      <c r="PQI50" s="367" t="e">
        <f>PQF50*PQG50*PQH50</f>
        <v>#DIV/0!</v>
      </c>
      <c r="PQJ50" s="363" t="s">
        <v>153</v>
      </c>
      <c r="PQK50" s="363"/>
      <c r="PQL50" s="363"/>
      <c r="PQM50" s="364" t="s">
        <v>140</v>
      </c>
      <c r="PQN50" s="365">
        <v>0.5</v>
      </c>
      <c r="PQO50" s="366" t="e">
        <f>10/PQK48</f>
        <v>#DIV/0!</v>
      </c>
      <c r="PQP50" s="367">
        <v>15.38</v>
      </c>
      <c r="PQQ50" s="367" t="e">
        <f>PQN50*PQO50*PQP50</f>
        <v>#DIV/0!</v>
      </c>
      <c r="PQR50" s="363" t="s">
        <v>153</v>
      </c>
      <c r="PQS50" s="363"/>
      <c r="PQT50" s="363"/>
      <c r="PQU50" s="364" t="s">
        <v>140</v>
      </c>
      <c r="PQV50" s="365">
        <v>0.5</v>
      </c>
      <c r="PQW50" s="366" t="e">
        <f>10/PQS48</f>
        <v>#DIV/0!</v>
      </c>
      <c r="PQX50" s="367">
        <v>15.38</v>
      </c>
      <c r="PQY50" s="367" t="e">
        <f>PQV50*PQW50*PQX50</f>
        <v>#DIV/0!</v>
      </c>
      <c r="PQZ50" s="363" t="s">
        <v>153</v>
      </c>
      <c r="PRA50" s="363"/>
      <c r="PRB50" s="363"/>
      <c r="PRC50" s="364" t="s">
        <v>140</v>
      </c>
      <c r="PRD50" s="365">
        <v>0.5</v>
      </c>
      <c r="PRE50" s="366" t="e">
        <f>10/PRA48</f>
        <v>#DIV/0!</v>
      </c>
      <c r="PRF50" s="367">
        <v>15.38</v>
      </c>
      <c r="PRG50" s="367" t="e">
        <f>PRD50*PRE50*PRF50</f>
        <v>#DIV/0!</v>
      </c>
      <c r="PRH50" s="363" t="s">
        <v>153</v>
      </c>
      <c r="PRI50" s="363"/>
      <c r="PRJ50" s="363"/>
      <c r="PRK50" s="364" t="s">
        <v>140</v>
      </c>
      <c r="PRL50" s="365">
        <v>0.5</v>
      </c>
      <c r="PRM50" s="366" t="e">
        <f>10/PRI48</f>
        <v>#DIV/0!</v>
      </c>
      <c r="PRN50" s="367">
        <v>15.38</v>
      </c>
      <c r="PRO50" s="367" t="e">
        <f>PRL50*PRM50*PRN50</f>
        <v>#DIV/0!</v>
      </c>
      <c r="PRP50" s="363" t="s">
        <v>153</v>
      </c>
      <c r="PRQ50" s="363"/>
      <c r="PRR50" s="363"/>
      <c r="PRS50" s="364" t="s">
        <v>140</v>
      </c>
      <c r="PRT50" s="365">
        <v>0.5</v>
      </c>
      <c r="PRU50" s="366" t="e">
        <f>10/PRQ48</f>
        <v>#DIV/0!</v>
      </c>
      <c r="PRV50" s="367">
        <v>15.38</v>
      </c>
      <c r="PRW50" s="367" t="e">
        <f>PRT50*PRU50*PRV50</f>
        <v>#DIV/0!</v>
      </c>
      <c r="PRX50" s="363" t="s">
        <v>153</v>
      </c>
      <c r="PRY50" s="363"/>
      <c r="PRZ50" s="363"/>
      <c r="PSA50" s="364" t="s">
        <v>140</v>
      </c>
      <c r="PSB50" s="365">
        <v>0.5</v>
      </c>
      <c r="PSC50" s="366" t="e">
        <f>10/PRY48</f>
        <v>#DIV/0!</v>
      </c>
      <c r="PSD50" s="367">
        <v>15.38</v>
      </c>
      <c r="PSE50" s="367" t="e">
        <f>PSB50*PSC50*PSD50</f>
        <v>#DIV/0!</v>
      </c>
      <c r="PSF50" s="363" t="s">
        <v>153</v>
      </c>
      <c r="PSG50" s="363"/>
      <c r="PSH50" s="363"/>
      <c r="PSI50" s="364" t="s">
        <v>140</v>
      </c>
      <c r="PSJ50" s="365">
        <v>0.5</v>
      </c>
      <c r="PSK50" s="366" t="e">
        <f>10/PSG48</f>
        <v>#DIV/0!</v>
      </c>
      <c r="PSL50" s="367">
        <v>15.38</v>
      </c>
      <c r="PSM50" s="367" t="e">
        <f>PSJ50*PSK50*PSL50</f>
        <v>#DIV/0!</v>
      </c>
      <c r="PSN50" s="363" t="s">
        <v>153</v>
      </c>
      <c r="PSO50" s="363"/>
      <c r="PSP50" s="363"/>
      <c r="PSQ50" s="364" t="s">
        <v>140</v>
      </c>
      <c r="PSR50" s="365">
        <v>0.5</v>
      </c>
      <c r="PSS50" s="366" t="e">
        <f>10/PSO48</f>
        <v>#DIV/0!</v>
      </c>
      <c r="PST50" s="367">
        <v>15.38</v>
      </c>
      <c r="PSU50" s="367" t="e">
        <f>PSR50*PSS50*PST50</f>
        <v>#DIV/0!</v>
      </c>
      <c r="PSV50" s="363" t="s">
        <v>153</v>
      </c>
      <c r="PSW50" s="363"/>
      <c r="PSX50" s="363"/>
      <c r="PSY50" s="364" t="s">
        <v>140</v>
      </c>
      <c r="PSZ50" s="365">
        <v>0.5</v>
      </c>
      <c r="PTA50" s="366" t="e">
        <f>10/PSW48</f>
        <v>#DIV/0!</v>
      </c>
      <c r="PTB50" s="367">
        <v>15.38</v>
      </c>
      <c r="PTC50" s="367" t="e">
        <f>PSZ50*PTA50*PTB50</f>
        <v>#DIV/0!</v>
      </c>
      <c r="PTD50" s="363" t="s">
        <v>153</v>
      </c>
      <c r="PTE50" s="363"/>
      <c r="PTF50" s="363"/>
      <c r="PTG50" s="364" t="s">
        <v>140</v>
      </c>
      <c r="PTH50" s="365">
        <v>0.5</v>
      </c>
      <c r="PTI50" s="366" t="e">
        <f>10/PTE48</f>
        <v>#DIV/0!</v>
      </c>
      <c r="PTJ50" s="367">
        <v>15.38</v>
      </c>
      <c r="PTK50" s="367" t="e">
        <f>PTH50*PTI50*PTJ50</f>
        <v>#DIV/0!</v>
      </c>
      <c r="PTL50" s="363" t="s">
        <v>153</v>
      </c>
      <c r="PTM50" s="363"/>
      <c r="PTN50" s="363"/>
      <c r="PTO50" s="364" t="s">
        <v>140</v>
      </c>
      <c r="PTP50" s="365">
        <v>0.5</v>
      </c>
      <c r="PTQ50" s="366" t="e">
        <f>10/PTM48</f>
        <v>#DIV/0!</v>
      </c>
      <c r="PTR50" s="367">
        <v>15.38</v>
      </c>
      <c r="PTS50" s="367" t="e">
        <f>PTP50*PTQ50*PTR50</f>
        <v>#DIV/0!</v>
      </c>
      <c r="PTT50" s="363" t="s">
        <v>153</v>
      </c>
      <c r="PTU50" s="363"/>
      <c r="PTV50" s="363"/>
      <c r="PTW50" s="364" t="s">
        <v>140</v>
      </c>
      <c r="PTX50" s="365">
        <v>0.5</v>
      </c>
      <c r="PTY50" s="366" t="e">
        <f>10/PTU48</f>
        <v>#DIV/0!</v>
      </c>
      <c r="PTZ50" s="367">
        <v>15.38</v>
      </c>
      <c r="PUA50" s="367" t="e">
        <f>PTX50*PTY50*PTZ50</f>
        <v>#DIV/0!</v>
      </c>
      <c r="PUB50" s="363" t="s">
        <v>153</v>
      </c>
      <c r="PUC50" s="363"/>
      <c r="PUD50" s="363"/>
      <c r="PUE50" s="364" t="s">
        <v>140</v>
      </c>
      <c r="PUF50" s="365">
        <v>0.5</v>
      </c>
      <c r="PUG50" s="366" t="e">
        <f>10/PUC48</f>
        <v>#DIV/0!</v>
      </c>
      <c r="PUH50" s="367">
        <v>15.38</v>
      </c>
      <c r="PUI50" s="367" t="e">
        <f>PUF50*PUG50*PUH50</f>
        <v>#DIV/0!</v>
      </c>
      <c r="PUJ50" s="363" t="s">
        <v>153</v>
      </c>
      <c r="PUK50" s="363"/>
      <c r="PUL50" s="363"/>
      <c r="PUM50" s="364" t="s">
        <v>140</v>
      </c>
      <c r="PUN50" s="365">
        <v>0.5</v>
      </c>
      <c r="PUO50" s="366" t="e">
        <f>10/PUK48</f>
        <v>#DIV/0!</v>
      </c>
      <c r="PUP50" s="367">
        <v>15.38</v>
      </c>
      <c r="PUQ50" s="367" t="e">
        <f>PUN50*PUO50*PUP50</f>
        <v>#DIV/0!</v>
      </c>
      <c r="PUR50" s="363" t="s">
        <v>153</v>
      </c>
      <c r="PUS50" s="363"/>
      <c r="PUT50" s="363"/>
      <c r="PUU50" s="364" t="s">
        <v>140</v>
      </c>
      <c r="PUV50" s="365">
        <v>0.5</v>
      </c>
      <c r="PUW50" s="366" t="e">
        <f>10/PUS48</f>
        <v>#DIV/0!</v>
      </c>
      <c r="PUX50" s="367">
        <v>15.38</v>
      </c>
      <c r="PUY50" s="367" t="e">
        <f>PUV50*PUW50*PUX50</f>
        <v>#DIV/0!</v>
      </c>
      <c r="PUZ50" s="363" t="s">
        <v>153</v>
      </c>
      <c r="PVA50" s="363"/>
      <c r="PVB50" s="363"/>
      <c r="PVC50" s="364" t="s">
        <v>140</v>
      </c>
      <c r="PVD50" s="365">
        <v>0.5</v>
      </c>
      <c r="PVE50" s="366" t="e">
        <f>10/PVA48</f>
        <v>#DIV/0!</v>
      </c>
      <c r="PVF50" s="367">
        <v>15.38</v>
      </c>
      <c r="PVG50" s="367" t="e">
        <f>PVD50*PVE50*PVF50</f>
        <v>#DIV/0!</v>
      </c>
      <c r="PVH50" s="363" t="s">
        <v>153</v>
      </c>
      <c r="PVI50" s="363"/>
      <c r="PVJ50" s="363"/>
      <c r="PVK50" s="364" t="s">
        <v>140</v>
      </c>
      <c r="PVL50" s="365">
        <v>0.5</v>
      </c>
      <c r="PVM50" s="366" t="e">
        <f>10/PVI48</f>
        <v>#DIV/0!</v>
      </c>
      <c r="PVN50" s="367">
        <v>15.38</v>
      </c>
      <c r="PVO50" s="367" t="e">
        <f>PVL50*PVM50*PVN50</f>
        <v>#DIV/0!</v>
      </c>
      <c r="PVP50" s="363" t="s">
        <v>153</v>
      </c>
      <c r="PVQ50" s="363"/>
      <c r="PVR50" s="363"/>
      <c r="PVS50" s="364" t="s">
        <v>140</v>
      </c>
      <c r="PVT50" s="365">
        <v>0.5</v>
      </c>
      <c r="PVU50" s="366" t="e">
        <f>10/PVQ48</f>
        <v>#DIV/0!</v>
      </c>
      <c r="PVV50" s="367">
        <v>15.38</v>
      </c>
      <c r="PVW50" s="367" t="e">
        <f>PVT50*PVU50*PVV50</f>
        <v>#DIV/0!</v>
      </c>
      <c r="PVX50" s="363" t="s">
        <v>153</v>
      </c>
      <c r="PVY50" s="363"/>
      <c r="PVZ50" s="363"/>
      <c r="PWA50" s="364" t="s">
        <v>140</v>
      </c>
      <c r="PWB50" s="365">
        <v>0.5</v>
      </c>
      <c r="PWC50" s="366" t="e">
        <f>10/PVY48</f>
        <v>#DIV/0!</v>
      </c>
      <c r="PWD50" s="367">
        <v>15.38</v>
      </c>
      <c r="PWE50" s="367" t="e">
        <f>PWB50*PWC50*PWD50</f>
        <v>#DIV/0!</v>
      </c>
      <c r="PWF50" s="363" t="s">
        <v>153</v>
      </c>
      <c r="PWG50" s="363"/>
      <c r="PWH50" s="363"/>
      <c r="PWI50" s="364" t="s">
        <v>140</v>
      </c>
      <c r="PWJ50" s="365">
        <v>0.5</v>
      </c>
      <c r="PWK50" s="366" t="e">
        <f>10/PWG48</f>
        <v>#DIV/0!</v>
      </c>
      <c r="PWL50" s="367">
        <v>15.38</v>
      </c>
      <c r="PWM50" s="367" t="e">
        <f>PWJ50*PWK50*PWL50</f>
        <v>#DIV/0!</v>
      </c>
      <c r="PWN50" s="363" t="s">
        <v>153</v>
      </c>
      <c r="PWO50" s="363"/>
      <c r="PWP50" s="363"/>
      <c r="PWQ50" s="364" t="s">
        <v>140</v>
      </c>
      <c r="PWR50" s="365">
        <v>0.5</v>
      </c>
      <c r="PWS50" s="366" t="e">
        <f>10/PWO48</f>
        <v>#DIV/0!</v>
      </c>
      <c r="PWT50" s="367">
        <v>15.38</v>
      </c>
      <c r="PWU50" s="367" t="e">
        <f>PWR50*PWS50*PWT50</f>
        <v>#DIV/0!</v>
      </c>
      <c r="PWV50" s="363" t="s">
        <v>153</v>
      </c>
      <c r="PWW50" s="363"/>
      <c r="PWX50" s="363"/>
      <c r="PWY50" s="364" t="s">
        <v>140</v>
      </c>
      <c r="PWZ50" s="365">
        <v>0.5</v>
      </c>
      <c r="PXA50" s="366" t="e">
        <f>10/PWW48</f>
        <v>#DIV/0!</v>
      </c>
      <c r="PXB50" s="367">
        <v>15.38</v>
      </c>
      <c r="PXC50" s="367" t="e">
        <f>PWZ50*PXA50*PXB50</f>
        <v>#DIV/0!</v>
      </c>
      <c r="PXD50" s="363" t="s">
        <v>153</v>
      </c>
      <c r="PXE50" s="363"/>
      <c r="PXF50" s="363"/>
      <c r="PXG50" s="364" t="s">
        <v>140</v>
      </c>
      <c r="PXH50" s="365">
        <v>0.5</v>
      </c>
      <c r="PXI50" s="366" t="e">
        <f>10/PXE48</f>
        <v>#DIV/0!</v>
      </c>
      <c r="PXJ50" s="367">
        <v>15.38</v>
      </c>
      <c r="PXK50" s="367" t="e">
        <f>PXH50*PXI50*PXJ50</f>
        <v>#DIV/0!</v>
      </c>
      <c r="PXL50" s="363" t="s">
        <v>153</v>
      </c>
      <c r="PXM50" s="363"/>
      <c r="PXN50" s="363"/>
      <c r="PXO50" s="364" t="s">
        <v>140</v>
      </c>
      <c r="PXP50" s="365">
        <v>0.5</v>
      </c>
      <c r="PXQ50" s="366" t="e">
        <f>10/PXM48</f>
        <v>#DIV/0!</v>
      </c>
      <c r="PXR50" s="367">
        <v>15.38</v>
      </c>
      <c r="PXS50" s="367" t="e">
        <f>PXP50*PXQ50*PXR50</f>
        <v>#DIV/0!</v>
      </c>
      <c r="PXT50" s="363" t="s">
        <v>153</v>
      </c>
      <c r="PXU50" s="363"/>
      <c r="PXV50" s="363"/>
      <c r="PXW50" s="364" t="s">
        <v>140</v>
      </c>
      <c r="PXX50" s="365">
        <v>0.5</v>
      </c>
      <c r="PXY50" s="366" t="e">
        <f>10/PXU48</f>
        <v>#DIV/0!</v>
      </c>
      <c r="PXZ50" s="367">
        <v>15.38</v>
      </c>
      <c r="PYA50" s="367" t="e">
        <f>PXX50*PXY50*PXZ50</f>
        <v>#DIV/0!</v>
      </c>
      <c r="PYB50" s="363" t="s">
        <v>153</v>
      </c>
      <c r="PYC50" s="363"/>
      <c r="PYD50" s="363"/>
      <c r="PYE50" s="364" t="s">
        <v>140</v>
      </c>
      <c r="PYF50" s="365">
        <v>0.5</v>
      </c>
      <c r="PYG50" s="366" t="e">
        <f>10/PYC48</f>
        <v>#DIV/0!</v>
      </c>
      <c r="PYH50" s="367">
        <v>15.38</v>
      </c>
      <c r="PYI50" s="367" t="e">
        <f>PYF50*PYG50*PYH50</f>
        <v>#DIV/0!</v>
      </c>
      <c r="PYJ50" s="363" t="s">
        <v>153</v>
      </c>
      <c r="PYK50" s="363"/>
      <c r="PYL50" s="363"/>
      <c r="PYM50" s="364" t="s">
        <v>140</v>
      </c>
      <c r="PYN50" s="365">
        <v>0.5</v>
      </c>
      <c r="PYO50" s="366" t="e">
        <f>10/PYK48</f>
        <v>#DIV/0!</v>
      </c>
      <c r="PYP50" s="367">
        <v>15.38</v>
      </c>
      <c r="PYQ50" s="367" t="e">
        <f>PYN50*PYO50*PYP50</f>
        <v>#DIV/0!</v>
      </c>
      <c r="PYR50" s="363" t="s">
        <v>153</v>
      </c>
      <c r="PYS50" s="363"/>
      <c r="PYT50" s="363"/>
      <c r="PYU50" s="364" t="s">
        <v>140</v>
      </c>
      <c r="PYV50" s="365">
        <v>0.5</v>
      </c>
      <c r="PYW50" s="366" t="e">
        <f>10/PYS48</f>
        <v>#DIV/0!</v>
      </c>
      <c r="PYX50" s="367">
        <v>15.38</v>
      </c>
      <c r="PYY50" s="367" t="e">
        <f>PYV50*PYW50*PYX50</f>
        <v>#DIV/0!</v>
      </c>
      <c r="PYZ50" s="363" t="s">
        <v>153</v>
      </c>
      <c r="PZA50" s="363"/>
      <c r="PZB50" s="363"/>
      <c r="PZC50" s="364" t="s">
        <v>140</v>
      </c>
      <c r="PZD50" s="365">
        <v>0.5</v>
      </c>
      <c r="PZE50" s="366" t="e">
        <f>10/PZA48</f>
        <v>#DIV/0!</v>
      </c>
      <c r="PZF50" s="367">
        <v>15.38</v>
      </c>
      <c r="PZG50" s="367" t="e">
        <f>PZD50*PZE50*PZF50</f>
        <v>#DIV/0!</v>
      </c>
      <c r="PZH50" s="363" t="s">
        <v>153</v>
      </c>
      <c r="PZI50" s="363"/>
      <c r="PZJ50" s="363"/>
      <c r="PZK50" s="364" t="s">
        <v>140</v>
      </c>
      <c r="PZL50" s="365">
        <v>0.5</v>
      </c>
      <c r="PZM50" s="366" t="e">
        <f>10/PZI48</f>
        <v>#DIV/0!</v>
      </c>
      <c r="PZN50" s="367">
        <v>15.38</v>
      </c>
      <c r="PZO50" s="367" t="e">
        <f>PZL50*PZM50*PZN50</f>
        <v>#DIV/0!</v>
      </c>
      <c r="PZP50" s="363" t="s">
        <v>153</v>
      </c>
      <c r="PZQ50" s="363"/>
      <c r="PZR50" s="363"/>
      <c r="PZS50" s="364" t="s">
        <v>140</v>
      </c>
      <c r="PZT50" s="365">
        <v>0.5</v>
      </c>
      <c r="PZU50" s="366" t="e">
        <f>10/PZQ48</f>
        <v>#DIV/0!</v>
      </c>
      <c r="PZV50" s="367">
        <v>15.38</v>
      </c>
      <c r="PZW50" s="367" t="e">
        <f>PZT50*PZU50*PZV50</f>
        <v>#DIV/0!</v>
      </c>
      <c r="PZX50" s="363" t="s">
        <v>153</v>
      </c>
      <c r="PZY50" s="363"/>
      <c r="PZZ50" s="363"/>
      <c r="QAA50" s="364" t="s">
        <v>140</v>
      </c>
      <c r="QAB50" s="365">
        <v>0.5</v>
      </c>
      <c r="QAC50" s="366" t="e">
        <f>10/PZY48</f>
        <v>#DIV/0!</v>
      </c>
      <c r="QAD50" s="367">
        <v>15.38</v>
      </c>
      <c r="QAE50" s="367" t="e">
        <f>QAB50*QAC50*QAD50</f>
        <v>#DIV/0!</v>
      </c>
      <c r="QAF50" s="363" t="s">
        <v>153</v>
      </c>
      <c r="QAG50" s="363"/>
      <c r="QAH50" s="363"/>
      <c r="QAI50" s="364" t="s">
        <v>140</v>
      </c>
      <c r="QAJ50" s="365">
        <v>0.5</v>
      </c>
      <c r="QAK50" s="366" t="e">
        <f>10/QAG48</f>
        <v>#DIV/0!</v>
      </c>
      <c r="QAL50" s="367">
        <v>15.38</v>
      </c>
      <c r="QAM50" s="367" t="e">
        <f>QAJ50*QAK50*QAL50</f>
        <v>#DIV/0!</v>
      </c>
      <c r="QAN50" s="363" t="s">
        <v>153</v>
      </c>
      <c r="QAO50" s="363"/>
      <c r="QAP50" s="363"/>
      <c r="QAQ50" s="364" t="s">
        <v>140</v>
      </c>
      <c r="QAR50" s="365">
        <v>0.5</v>
      </c>
      <c r="QAS50" s="366" t="e">
        <f>10/QAO48</f>
        <v>#DIV/0!</v>
      </c>
      <c r="QAT50" s="367">
        <v>15.38</v>
      </c>
      <c r="QAU50" s="367" t="e">
        <f>QAR50*QAS50*QAT50</f>
        <v>#DIV/0!</v>
      </c>
      <c r="QAV50" s="363" t="s">
        <v>153</v>
      </c>
      <c r="QAW50" s="363"/>
      <c r="QAX50" s="363"/>
      <c r="QAY50" s="364" t="s">
        <v>140</v>
      </c>
      <c r="QAZ50" s="365">
        <v>0.5</v>
      </c>
      <c r="QBA50" s="366" t="e">
        <f>10/QAW48</f>
        <v>#DIV/0!</v>
      </c>
      <c r="QBB50" s="367">
        <v>15.38</v>
      </c>
      <c r="QBC50" s="367" t="e">
        <f>QAZ50*QBA50*QBB50</f>
        <v>#DIV/0!</v>
      </c>
      <c r="QBD50" s="363" t="s">
        <v>153</v>
      </c>
      <c r="QBE50" s="363"/>
      <c r="QBF50" s="363"/>
      <c r="QBG50" s="364" t="s">
        <v>140</v>
      </c>
      <c r="QBH50" s="365">
        <v>0.5</v>
      </c>
      <c r="QBI50" s="366" t="e">
        <f>10/QBE48</f>
        <v>#DIV/0!</v>
      </c>
      <c r="QBJ50" s="367">
        <v>15.38</v>
      </c>
      <c r="QBK50" s="367" t="e">
        <f>QBH50*QBI50*QBJ50</f>
        <v>#DIV/0!</v>
      </c>
      <c r="QBL50" s="363" t="s">
        <v>153</v>
      </c>
      <c r="QBM50" s="363"/>
      <c r="QBN50" s="363"/>
      <c r="QBO50" s="364" t="s">
        <v>140</v>
      </c>
      <c r="QBP50" s="365">
        <v>0.5</v>
      </c>
      <c r="QBQ50" s="366" t="e">
        <f>10/QBM48</f>
        <v>#DIV/0!</v>
      </c>
      <c r="QBR50" s="367">
        <v>15.38</v>
      </c>
      <c r="QBS50" s="367" t="e">
        <f>QBP50*QBQ50*QBR50</f>
        <v>#DIV/0!</v>
      </c>
      <c r="QBT50" s="363" t="s">
        <v>153</v>
      </c>
      <c r="QBU50" s="363"/>
      <c r="QBV50" s="363"/>
      <c r="QBW50" s="364" t="s">
        <v>140</v>
      </c>
      <c r="QBX50" s="365">
        <v>0.5</v>
      </c>
      <c r="QBY50" s="366" t="e">
        <f>10/QBU48</f>
        <v>#DIV/0!</v>
      </c>
      <c r="QBZ50" s="367">
        <v>15.38</v>
      </c>
      <c r="QCA50" s="367" t="e">
        <f>QBX50*QBY50*QBZ50</f>
        <v>#DIV/0!</v>
      </c>
      <c r="QCB50" s="363" t="s">
        <v>153</v>
      </c>
      <c r="QCC50" s="363"/>
      <c r="QCD50" s="363"/>
      <c r="QCE50" s="364" t="s">
        <v>140</v>
      </c>
      <c r="QCF50" s="365">
        <v>0.5</v>
      </c>
      <c r="QCG50" s="366" t="e">
        <f>10/QCC48</f>
        <v>#DIV/0!</v>
      </c>
      <c r="QCH50" s="367">
        <v>15.38</v>
      </c>
      <c r="QCI50" s="367" t="e">
        <f>QCF50*QCG50*QCH50</f>
        <v>#DIV/0!</v>
      </c>
      <c r="QCJ50" s="363" t="s">
        <v>153</v>
      </c>
      <c r="QCK50" s="363"/>
      <c r="QCL50" s="363"/>
      <c r="QCM50" s="364" t="s">
        <v>140</v>
      </c>
      <c r="QCN50" s="365">
        <v>0.5</v>
      </c>
      <c r="QCO50" s="366" t="e">
        <f>10/QCK48</f>
        <v>#DIV/0!</v>
      </c>
      <c r="QCP50" s="367">
        <v>15.38</v>
      </c>
      <c r="QCQ50" s="367" t="e">
        <f>QCN50*QCO50*QCP50</f>
        <v>#DIV/0!</v>
      </c>
      <c r="QCR50" s="363" t="s">
        <v>153</v>
      </c>
      <c r="QCS50" s="363"/>
      <c r="QCT50" s="363"/>
      <c r="QCU50" s="364" t="s">
        <v>140</v>
      </c>
      <c r="QCV50" s="365">
        <v>0.5</v>
      </c>
      <c r="QCW50" s="366" t="e">
        <f>10/QCS48</f>
        <v>#DIV/0!</v>
      </c>
      <c r="QCX50" s="367">
        <v>15.38</v>
      </c>
      <c r="QCY50" s="367" t="e">
        <f>QCV50*QCW50*QCX50</f>
        <v>#DIV/0!</v>
      </c>
      <c r="QCZ50" s="363" t="s">
        <v>153</v>
      </c>
      <c r="QDA50" s="363"/>
      <c r="QDB50" s="363"/>
      <c r="QDC50" s="364" t="s">
        <v>140</v>
      </c>
      <c r="QDD50" s="365">
        <v>0.5</v>
      </c>
      <c r="QDE50" s="366" t="e">
        <f>10/QDA48</f>
        <v>#DIV/0!</v>
      </c>
      <c r="QDF50" s="367">
        <v>15.38</v>
      </c>
      <c r="QDG50" s="367" t="e">
        <f>QDD50*QDE50*QDF50</f>
        <v>#DIV/0!</v>
      </c>
      <c r="QDH50" s="363" t="s">
        <v>153</v>
      </c>
      <c r="QDI50" s="363"/>
      <c r="QDJ50" s="363"/>
      <c r="QDK50" s="364" t="s">
        <v>140</v>
      </c>
      <c r="QDL50" s="365">
        <v>0.5</v>
      </c>
      <c r="QDM50" s="366" t="e">
        <f>10/QDI48</f>
        <v>#DIV/0!</v>
      </c>
      <c r="QDN50" s="367">
        <v>15.38</v>
      </c>
      <c r="QDO50" s="367" t="e">
        <f>QDL50*QDM50*QDN50</f>
        <v>#DIV/0!</v>
      </c>
      <c r="QDP50" s="363" t="s">
        <v>153</v>
      </c>
      <c r="QDQ50" s="363"/>
      <c r="QDR50" s="363"/>
      <c r="QDS50" s="364" t="s">
        <v>140</v>
      </c>
      <c r="QDT50" s="365">
        <v>0.5</v>
      </c>
      <c r="QDU50" s="366" t="e">
        <f>10/QDQ48</f>
        <v>#DIV/0!</v>
      </c>
      <c r="QDV50" s="367">
        <v>15.38</v>
      </c>
      <c r="QDW50" s="367" t="e">
        <f>QDT50*QDU50*QDV50</f>
        <v>#DIV/0!</v>
      </c>
      <c r="QDX50" s="363" t="s">
        <v>153</v>
      </c>
      <c r="QDY50" s="363"/>
      <c r="QDZ50" s="363"/>
      <c r="QEA50" s="364" t="s">
        <v>140</v>
      </c>
      <c r="QEB50" s="365">
        <v>0.5</v>
      </c>
      <c r="QEC50" s="366" t="e">
        <f>10/QDY48</f>
        <v>#DIV/0!</v>
      </c>
      <c r="QED50" s="367">
        <v>15.38</v>
      </c>
      <c r="QEE50" s="367" t="e">
        <f>QEB50*QEC50*QED50</f>
        <v>#DIV/0!</v>
      </c>
      <c r="QEF50" s="363" t="s">
        <v>153</v>
      </c>
      <c r="QEG50" s="363"/>
      <c r="QEH50" s="363"/>
      <c r="QEI50" s="364" t="s">
        <v>140</v>
      </c>
      <c r="QEJ50" s="365">
        <v>0.5</v>
      </c>
      <c r="QEK50" s="366" t="e">
        <f>10/QEG48</f>
        <v>#DIV/0!</v>
      </c>
      <c r="QEL50" s="367">
        <v>15.38</v>
      </c>
      <c r="QEM50" s="367" t="e">
        <f>QEJ50*QEK50*QEL50</f>
        <v>#DIV/0!</v>
      </c>
      <c r="QEN50" s="363" t="s">
        <v>153</v>
      </c>
      <c r="QEO50" s="363"/>
      <c r="QEP50" s="363"/>
      <c r="QEQ50" s="364" t="s">
        <v>140</v>
      </c>
      <c r="QER50" s="365">
        <v>0.5</v>
      </c>
      <c r="QES50" s="366" t="e">
        <f>10/QEO48</f>
        <v>#DIV/0!</v>
      </c>
      <c r="QET50" s="367">
        <v>15.38</v>
      </c>
      <c r="QEU50" s="367" t="e">
        <f>QER50*QES50*QET50</f>
        <v>#DIV/0!</v>
      </c>
      <c r="QEV50" s="363" t="s">
        <v>153</v>
      </c>
      <c r="QEW50" s="363"/>
      <c r="QEX50" s="363"/>
      <c r="QEY50" s="364" t="s">
        <v>140</v>
      </c>
      <c r="QEZ50" s="365">
        <v>0.5</v>
      </c>
      <c r="QFA50" s="366" t="e">
        <f>10/QEW48</f>
        <v>#DIV/0!</v>
      </c>
      <c r="QFB50" s="367">
        <v>15.38</v>
      </c>
      <c r="QFC50" s="367" t="e">
        <f>QEZ50*QFA50*QFB50</f>
        <v>#DIV/0!</v>
      </c>
      <c r="QFD50" s="363" t="s">
        <v>153</v>
      </c>
      <c r="QFE50" s="363"/>
      <c r="QFF50" s="363"/>
      <c r="QFG50" s="364" t="s">
        <v>140</v>
      </c>
      <c r="QFH50" s="365">
        <v>0.5</v>
      </c>
      <c r="QFI50" s="366" t="e">
        <f>10/QFE48</f>
        <v>#DIV/0!</v>
      </c>
      <c r="QFJ50" s="367">
        <v>15.38</v>
      </c>
      <c r="QFK50" s="367" t="e">
        <f>QFH50*QFI50*QFJ50</f>
        <v>#DIV/0!</v>
      </c>
      <c r="QFL50" s="363" t="s">
        <v>153</v>
      </c>
      <c r="QFM50" s="363"/>
      <c r="QFN50" s="363"/>
      <c r="QFO50" s="364" t="s">
        <v>140</v>
      </c>
      <c r="QFP50" s="365">
        <v>0.5</v>
      </c>
      <c r="QFQ50" s="366" t="e">
        <f>10/QFM48</f>
        <v>#DIV/0!</v>
      </c>
      <c r="QFR50" s="367">
        <v>15.38</v>
      </c>
      <c r="QFS50" s="367" t="e">
        <f>QFP50*QFQ50*QFR50</f>
        <v>#DIV/0!</v>
      </c>
      <c r="QFT50" s="363" t="s">
        <v>153</v>
      </c>
      <c r="QFU50" s="363"/>
      <c r="QFV50" s="363"/>
      <c r="QFW50" s="364" t="s">
        <v>140</v>
      </c>
      <c r="QFX50" s="365">
        <v>0.5</v>
      </c>
      <c r="QFY50" s="366" t="e">
        <f>10/QFU48</f>
        <v>#DIV/0!</v>
      </c>
      <c r="QFZ50" s="367">
        <v>15.38</v>
      </c>
      <c r="QGA50" s="367" t="e">
        <f>QFX50*QFY50*QFZ50</f>
        <v>#DIV/0!</v>
      </c>
      <c r="QGB50" s="363" t="s">
        <v>153</v>
      </c>
      <c r="QGC50" s="363"/>
      <c r="QGD50" s="363"/>
      <c r="QGE50" s="364" t="s">
        <v>140</v>
      </c>
      <c r="QGF50" s="365">
        <v>0.5</v>
      </c>
      <c r="QGG50" s="366" t="e">
        <f>10/QGC48</f>
        <v>#DIV/0!</v>
      </c>
      <c r="QGH50" s="367">
        <v>15.38</v>
      </c>
      <c r="QGI50" s="367" t="e">
        <f>QGF50*QGG50*QGH50</f>
        <v>#DIV/0!</v>
      </c>
      <c r="QGJ50" s="363" t="s">
        <v>153</v>
      </c>
      <c r="QGK50" s="363"/>
      <c r="QGL50" s="363"/>
      <c r="QGM50" s="364" t="s">
        <v>140</v>
      </c>
      <c r="QGN50" s="365">
        <v>0.5</v>
      </c>
      <c r="QGO50" s="366" t="e">
        <f>10/QGK48</f>
        <v>#DIV/0!</v>
      </c>
      <c r="QGP50" s="367">
        <v>15.38</v>
      </c>
      <c r="QGQ50" s="367" t="e">
        <f>QGN50*QGO50*QGP50</f>
        <v>#DIV/0!</v>
      </c>
      <c r="QGR50" s="363" t="s">
        <v>153</v>
      </c>
      <c r="QGS50" s="363"/>
      <c r="QGT50" s="363"/>
      <c r="QGU50" s="364" t="s">
        <v>140</v>
      </c>
      <c r="QGV50" s="365">
        <v>0.5</v>
      </c>
      <c r="QGW50" s="366" t="e">
        <f>10/QGS48</f>
        <v>#DIV/0!</v>
      </c>
      <c r="QGX50" s="367">
        <v>15.38</v>
      </c>
      <c r="QGY50" s="367" t="e">
        <f>QGV50*QGW50*QGX50</f>
        <v>#DIV/0!</v>
      </c>
      <c r="QGZ50" s="363" t="s">
        <v>153</v>
      </c>
      <c r="QHA50" s="363"/>
      <c r="QHB50" s="363"/>
      <c r="QHC50" s="364" t="s">
        <v>140</v>
      </c>
      <c r="QHD50" s="365">
        <v>0.5</v>
      </c>
      <c r="QHE50" s="366" t="e">
        <f>10/QHA48</f>
        <v>#DIV/0!</v>
      </c>
      <c r="QHF50" s="367">
        <v>15.38</v>
      </c>
      <c r="QHG50" s="367" t="e">
        <f>QHD50*QHE50*QHF50</f>
        <v>#DIV/0!</v>
      </c>
      <c r="QHH50" s="363" t="s">
        <v>153</v>
      </c>
      <c r="QHI50" s="363"/>
      <c r="QHJ50" s="363"/>
      <c r="QHK50" s="364" t="s">
        <v>140</v>
      </c>
      <c r="QHL50" s="365">
        <v>0.5</v>
      </c>
      <c r="QHM50" s="366" t="e">
        <f>10/QHI48</f>
        <v>#DIV/0!</v>
      </c>
      <c r="QHN50" s="367">
        <v>15.38</v>
      </c>
      <c r="QHO50" s="367" t="e">
        <f>QHL50*QHM50*QHN50</f>
        <v>#DIV/0!</v>
      </c>
      <c r="QHP50" s="363" t="s">
        <v>153</v>
      </c>
      <c r="QHQ50" s="363"/>
      <c r="QHR50" s="363"/>
      <c r="QHS50" s="364" t="s">
        <v>140</v>
      </c>
      <c r="QHT50" s="365">
        <v>0.5</v>
      </c>
      <c r="QHU50" s="366" t="e">
        <f>10/QHQ48</f>
        <v>#DIV/0!</v>
      </c>
      <c r="QHV50" s="367">
        <v>15.38</v>
      </c>
      <c r="QHW50" s="367" t="e">
        <f>QHT50*QHU50*QHV50</f>
        <v>#DIV/0!</v>
      </c>
      <c r="QHX50" s="363" t="s">
        <v>153</v>
      </c>
      <c r="QHY50" s="363"/>
      <c r="QHZ50" s="363"/>
      <c r="QIA50" s="364" t="s">
        <v>140</v>
      </c>
      <c r="QIB50" s="365">
        <v>0.5</v>
      </c>
      <c r="QIC50" s="366" t="e">
        <f>10/QHY48</f>
        <v>#DIV/0!</v>
      </c>
      <c r="QID50" s="367">
        <v>15.38</v>
      </c>
      <c r="QIE50" s="367" t="e">
        <f>QIB50*QIC50*QID50</f>
        <v>#DIV/0!</v>
      </c>
      <c r="QIF50" s="363" t="s">
        <v>153</v>
      </c>
      <c r="QIG50" s="363"/>
      <c r="QIH50" s="363"/>
      <c r="QII50" s="364" t="s">
        <v>140</v>
      </c>
      <c r="QIJ50" s="365">
        <v>0.5</v>
      </c>
      <c r="QIK50" s="366" t="e">
        <f>10/QIG48</f>
        <v>#DIV/0!</v>
      </c>
      <c r="QIL50" s="367">
        <v>15.38</v>
      </c>
      <c r="QIM50" s="367" t="e">
        <f>QIJ50*QIK50*QIL50</f>
        <v>#DIV/0!</v>
      </c>
      <c r="QIN50" s="363" t="s">
        <v>153</v>
      </c>
      <c r="QIO50" s="363"/>
      <c r="QIP50" s="363"/>
      <c r="QIQ50" s="364" t="s">
        <v>140</v>
      </c>
      <c r="QIR50" s="365">
        <v>0.5</v>
      </c>
      <c r="QIS50" s="366" t="e">
        <f>10/QIO48</f>
        <v>#DIV/0!</v>
      </c>
      <c r="QIT50" s="367">
        <v>15.38</v>
      </c>
      <c r="QIU50" s="367" t="e">
        <f>QIR50*QIS50*QIT50</f>
        <v>#DIV/0!</v>
      </c>
      <c r="QIV50" s="363" t="s">
        <v>153</v>
      </c>
      <c r="QIW50" s="363"/>
      <c r="QIX50" s="363"/>
      <c r="QIY50" s="364" t="s">
        <v>140</v>
      </c>
      <c r="QIZ50" s="365">
        <v>0.5</v>
      </c>
      <c r="QJA50" s="366" t="e">
        <f>10/QIW48</f>
        <v>#DIV/0!</v>
      </c>
      <c r="QJB50" s="367">
        <v>15.38</v>
      </c>
      <c r="QJC50" s="367" t="e">
        <f>QIZ50*QJA50*QJB50</f>
        <v>#DIV/0!</v>
      </c>
      <c r="QJD50" s="363" t="s">
        <v>153</v>
      </c>
      <c r="QJE50" s="363"/>
      <c r="QJF50" s="363"/>
      <c r="QJG50" s="364" t="s">
        <v>140</v>
      </c>
      <c r="QJH50" s="365">
        <v>0.5</v>
      </c>
      <c r="QJI50" s="366" t="e">
        <f>10/QJE48</f>
        <v>#DIV/0!</v>
      </c>
      <c r="QJJ50" s="367">
        <v>15.38</v>
      </c>
      <c r="QJK50" s="367" t="e">
        <f>QJH50*QJI50*QJJ50</f>
        <v>#DIV/0!</v>
      </c>
      <c r="QJL50" s="363" t="s">
        <v>153</v>
      </c>
      <c r="QJM50" s="363"/>
      <c r="QJN50" s="363"/>
      <c r="QJO50" s="364" t="s">
        <v>140</v>
      </c>
      <c r="QJP50" s="365">
        <v>0.5</v>
      </c>
      <c r="QJQ50" s="366" t="e">
        <f>10/QJM48</f>
        <v>#DIV/0!</v>
      </c>
      <c r="QJR50" s="367">
        <v>15.38</v>
      </c>
      <c r="QJS50" s="367" t="e">
        <f>QJP50*QJQ50*QJR50</f>
        <v>#DIV/0!</v>
      </c>
      <c r="QJT50" s="363" t="s">
        <v>153</v>
      </c>
      <c r="QJU50" s="363"/>
      <c r="QJV50" s="363"/>
      <c r="QJW50" s="364" t="s">
        <v>140</v>
      </c>
      <c r="QJX50" s="365">
        <v>0.5</v>
      </c>
      <c r="QJY50" s="366" t="e">
        <f>10/QJU48</f>
        <v>#DIV/0!</v>
      </c>
      <c r="QJZ50" s="367">
        <v>15.38</v>
      </c>
      <c r="QKA50" s="367" t="e">
        <f>QJX50*QJY50*QJZ50</f>
        <v>#DIV/0!</v>
      </c>
      <c r="QKB50" s="363" t="s">
        <v>153</v>
      </c>
      <c r="QKC50" s="363"/>
      <c r="QKD50" s="363"/>
      <c r="QKE50" s="364" t="s">
        <v>140</v>
      </c>
      <c r="QKF50" s="365">
        <v>0.5</v>
      </c>
      <c r="QKG50" s="366" t="e">
        <f>10/QKC48</f>
        <v>#DIV/0!</v>
      </c>
      <c r="QKH50" s="367">
        <v>15.38</v>
      </c>
      <c r="QKI50" s="367" t="e">
        <f>QKF50*QKG50*QKH50</f>
        <v>#DIV/0!</v>
      </c>
      <c r="QKJ50" s="363" t="s">
        <v>153</v>
      </c>
      <c r="QKK50" s="363"/>
      <c r="QKL50" s="363"/>
      <c r="QKM50" s="364" t="s">
        <v>140</v>
      </c>
      <c r="QKN50" s="365">
        <v>0.5</v>
      </c>
      <c r="QKO50" s="366" t="e">
        <f>10/QKK48</f>
        <v>#DIV/0!</v>
      </c>
      <c r="QKP50" s="367">
        <v>15.38</v>
      </c>
      <c r="QKQ50" s="367" t="e">
        <f>QKN50*QKO50*QKP50</f>
        <v>#DIV/0!</v>
      </c>
      <c r="QKR50" s="363" t="s">
        <v>153</v>
      </c>
      <c r="QKS50" s="363"/>
      <c r="QKT50" s="363"/>
      <c r="QKU50" s="364" t="s">
        <v>140</v>
      </c>
      <c r="QKV50" s="365">
        <v>0.5</v>
      </c>
      <c r="QKW50" s="366" t="e">
        <f>10/QKS48</f>
        <v>#DIV/0!</v>
      </c>
      <c r="QKX50" s="367">
        <v>15.38</v>
      </c>
      <c r="QKY50" s="367" t="e">
        <f>QKV50*QKW50*QKX50</f>
        <v>#DIV/0!</v>
      </c>
      <c r="QKZ50" s="363" t="s">
        <v>153</v>
      </c>
      <c r="QLA50" s="363"/>
      <c r="QLB50" s="363"/>
      <c r="QLC50" s="364" t="s">
        <v>140</v>
      </c>
      <c r="QLD50" s="365">
        <v>0.5</v>
      </c>
      <c r="QLE50" s="366" t="e">
        <f>10/QLA48</f>
        <v>#DIV/0!</v>
      </c>
      <c r="QLF50" s="367">
        <v>15.38</v>
      </c>
      <c r="QLG50" s="367" t="e">
        <f>QLD50*QLE50*QLF50</f>
        <v>#DIV/0!</v>
      </c>
      <c r="QLH50" s="363" t="s">
        <v>153</v>
      </c>
      <c r="QLI50" s="363"/>
      <c r="QLJ50" s="363"/>
      <c r="QLK50" s="364" t="s">
        <v>140</v>
      </c>
      <c r="QLL50" s="365">
        <v>0.5</v>
      </c>
      <c r="QLM50" s="366" t="e">
        <f>10/QLI48</f>
        <v>#DIV/0!</v>
      </c>
      <c r="QLN50" s="367">
        <v>15.38</v>
      </c>
      <c r="QLO50" s="367" t="e">
        <f>QLL50*QLM50*QLN50</f>
        <v>#DIV/0!</v>
      </c>
      <c r="QLP50" s="363" t="s">
        <v>153</v>
      </c>
      <c r="QLQ50" s="363"/>
      <c r="QLR50" s="363"/>
      <c r="QLS50" s="364" t="s">
        <v>140</v>
      </c>
      <c r="QLT50" s="365">
        <v>0.5</v>
      </c>
      <c r="QLU50" s="366" t="e">
        <f>10/QLQ48</f>
        <v>#DIV/0!</v>
      </c>
      <c r="QLV50" s="367">
        <v>15.38</v>
      </c>
      <c r="QLW50" s="367" t="e">
        <f>QLT50*QLU50*QLV50</f>
        <v>#DIV/0!</v>
      </c>
      <c r="QLX50" s="363" t="s">
        <v>153</v>
      </c>
      <c r="QLY50" s="363"/>
      <c r="QLZ50" s="363"/>
      <c r="QMA50" s="364" t="s">
        <v>140</v>
      </c>
      <c r="QMB50" s="365">
        <v>0.5</v>
      </c>
      <c r="QMC50" s="366" t="e">
        <f>10/QLY48</f>
        <v>#DIV/0!</v>
      </c>
      <c r="QMD50" s="367">
        <v>15.38</v>
      </c>
      <c r="QME50" s="367" t="e">
        <f>QMB50*QMC50*QMD50</f>
        <v>#DIV/0!</v>
      </c>
      <c r="QMF50" s="363" t="s">
        <v>153</v>
      </c>
      <c r="QMG50" s="363"/>
      <c r="QMH50" s="363"/>
      <c r="QMI50" s="364" t="s">
        <v>140</v>
      </c>
      <c r="QMJ50" s="365">
        <v>0.5</v>
      </c>
      <c r="QMK50" s="366" t="e">
        <f>10/QMG48</f>
        <v>#DIV/0!</v>
      </c>
      <c r="QML50" s="367">
        <v>15.38</v>
      </c>
      <c r="QMM50" s="367" t="e">
        <f>QMJ50*QMK50*QML50</f>
        <v>#DIV/0!</v>
      </c>
      <c r="QMN50" s="363" t="s">
        <v>153</v>
      </c>
      <c r="QMO50" s="363"/>
      <c r="QMP50" s="363"/>
      <c r="QMQ50" s="364" t="s">
        <v>140</v>
      </c>
      <c r="QMR50" s="365">
        <v>0.5</v>
      </c>
      <c r="QMS50" s="366" t="e">
        <f>10/QMO48</f>
        <v>#DIV/0!</v>
      </c>
      <c r="QMT50" s="367">
        <v>15.38</v>
      </c>
      <c r="QMU50" s="367" t="e">
        <f>QMR50*QMS50*QMT50</f>
        <v>#DIV/0!</v>
      </c>
      <c r="QMV50" s="363" t="s">
        <v>153</v>
      </c>
      <c r="QMW50" s="363"/>
      <c r="QMX50" s="363"/>
      <c r="QMY50" s="364" t="s">
        <v>140</v>
      </c>
      <c r="QMZ50" s="365">
        <v>0.5</v>
      </c>
      <c r="QNA50" s="366" t="e">
        <f>10/QMW48</f>
        <v>#DIV/0!</v>
      </c>
      <c r="QNB50" s="367">
        <v>15.38</v>
      </c>
      <c r="QNC50" s="367" t="e">
        <f>QMZ50*QNA50*QNB50</f>
        <v>#DIV/0!</v>
      </c>
      <c r="QND50" s="363" t="s">
        <v>153</v>
      </c>
      <c r="QNE50" s="363"/>
      <c r="QNF50" s="363"/>
      <c r="QNG50" s="364" t="s">
        <v>140</v>
      </c>
      <c r="QNH50" s="365">
        <v>0.5</v>
      </c>
      <c r="QNI50" s="366" t="e">
        <f>10/QNE48</f>
        <v>#DIV/0!</v>
      </c>
      <c r="QNJ50" s="367">
        <v>15.38</v>
      </c>
      <c r="QNK50" s="367" t="e">
        <f>QNH50*QNI50*QNJ50</f>
        <v>#DIV/0!</v>
      </c>
      <c r="QNL50" s="363" t="s">
        <v>153</v>
      </c>
      <c r="QNM50" s="363"/>
      <c r="QNN50" s="363"/>
      <c r="QNO50" s="364" t="s">
        <v>140</v>
      </c>
      <c r="QNP50" s="365">
        <v>0.5</v>
      </c>
      <c r="QNQ50" s="366" t="e">
        <f>10/QNM48</f>
        <v>#DIV/0!</v>
      </c>
      <c r="QNR50" s="367">
        <v>15.38</v>
      </c>
      <c r="QNS50" s="367" t="e">
        <f>QNP50*QNQ50*QNR50</f>
        <v>#DIV/0!</v>
      </c>
      <c r="QNT50" s="363" t="s">
        <v>153</v>
      </c>
      <c r="QNU50" s="363"/>
      <c r="QNV50" s="363"/>
      <c r="QNW50" s="364" t="s">
        <v>140</v>
      </c>
      <c r="QNX50" s="365">
        <v>0.5</v>
      </c>
      <c r="QNY50" s="366" t="e">
        <f>10/QNU48</f>
        <v>#DIV/0!</v>
      </c>
      <c r="QNZ50" s="367">
        <v>15.38</v>
      </c>
      <c r="QOA50" s="367" t="e">
        <f>QNX50*QNY50*QNZ50</f>
        <v>#DIV/0!</v>
      </c>
      <c r="QOB50" s="363" t="s">
        <v>153</v>
      </c>
      <c r="QOC50" s="363"/>
      <c r="QOD50" s="363"/>
      <c r="QOE50" s="364" t="s">
        <v>140</v>
      </c>
      <c r="QOF50" s="365">
        <v>0.5</v>
      </c>
      <c r="QOG50" s="366" t="e">
        <f>10/QOC48</f>
        <v>#DIV/0!</v>
      </c>
      <c r="QOH50" s="367">
        <v>15.38</v>
      </c>
      <c r="QOI50" s="367" t="e">
        <f>QOF50*QOG50*QOH50</f>
        <v>#DIV/0!</v>
      </c>
      <c r="QOJ50" s="363" t="s">
        <v>153</v>
      </c>
      <c r="QOK50" s="363"/>
      <c r="QOL50" s="363"/>
      <c r="QOM50" s="364" t="s">
        <v>140</v>
      </c>
      <c r="QON50" s="365">
        <v>0.5</v>
      </c>
      <c r="QOO50" s="366" t="e">
        <f>10/QOK48</f>
        <v>#DIV/0!</v>
      </c>
      <c r="QOP50" s="367">
        <v>15.38</v>
      </c>
      <c r="QOQ50" s="367" t="e">
        <f>QON50*QOO50*QOP50</f>
        <v>#DIV/0!</v>
      </c>
      <c r="QOR50" s="363" t="s">
        <v>153</v>
      </c>
      <c r="QOS50" s="363"/>
      <c r="QOT50" s="363"/>
      <c r="QOU50" s="364" t="s">
        <v>140</v>
      </c>
      <c r="QOV50" s="365">
        <v>0.5</v>
      </c>
      <c r="QOW50" s="366" t="e">
        <f>10/QOS48</f>
        <v>#DIV/0!</v>
      </c>
      <c r="QOX50" s="367">
        <v>15.38</v>
      </c>
      <c r="QOY50" s="367" t="e">
        <f>QOV50*QOW50*QOX50</f>
        <v>#DIV/0!</v>
      </c>
      <c r="QOZ50" s="363" t="s">
        <v>153</v>
      </c>
      <c r="QPA50" s="363"/>
      <c r="QPB50" s="363"/>
      <c r="QPC50" s="364" t="s">
        <v>140</v>
      </c>
      <c r="QPD50" s="365">
        <v>0.5</v>
      </c>
      <c r="QPE50" s="366" t="e">
        <f>10/QPA48</f>
        <v>#DIV/0!</v>
      </c>
      <c r="QPF50" s="367">
        <v>15.38</v>
      </c>
      <c r="QPG50" s="367" t="e">
        <f>QPD50*QPE50*QPF50</f>
        <v>#DIV/0!</v>
      </c>
      <c r="QPH50" s="363" t="s">
        <v>153</v>
      </c>
      <c r="QPI50" s="363"/>
      <c r="QPJ50" s="363"/>
      <c r="QPK50" s="364" t="s">
        <v>140</v>
      </c>
      <c r="QPL50" s="365">
        <v>0.5</v>
      </c>
      <c r="QPM50" s="366" t="e">
        <f>10/QPI48</f>
        <v>#DIV/0!</v>
      </c>
      <c r="QPN50" s="367">
        <v>15.38</v>
      </c>
      <c r="QPO50" s="367" t="e">
        <f>QPL50*QPM50*QPN50</f>
        <v>#DIV/0!</v>
      </c>
      <c r="QPP50" s="363" t="s">
        <v>153</v>
      </c>
      <c r="QPQ50" s="363"/>
      <c r="QPR50" s="363"/>
      <c r="QPS50" s="364" t="s">
        <v>140</v>
      </c>
      <c r="QPT50" s="365">
        <v>0.5</v>
      </c>
      <c r="QPU50" s="366" t="e">
        <f>10/QPQ48</f>
        <v>#DIV/0!</v>
      </c>
      <c r="QPV50" s="367">
        <v>15.38</v>
      </c>
      <c r="QPW50" s="367" t="e">
        <f>QPT50*QPU50*QPV50</f>
        <v>#DIV/0!</v>
      </c>
      <c r="QPX50" s="363" t="s">
        <v>153</v>
      </c>
      <c r="QPY50" s="363"/>
      <c r="QPZ50" s="363"/>
      <c r="QQA50" s="364" t="s">
        <v>140</v>
      </c>
      <c r="QQB50" s="365">
        <v>0.5</v>
      </c>
      <c r="QQC50" s="366" t="e">
        <f>10/QPY48</f>
        <v>#DIV/0!</v>
      </c>
      <c r="QQD50" s="367">
        <v>15.38</v>
      </c>
      <c r="QQE50" s="367" t="e">
        <f>QQB50*QQC50*QQD50</f>
        <v>#DIV/0!</v>
      </c>
      <c r="QQF50" s="363" t="s">
        <v>153</v>
      </c>
      <c r="QQG50" s="363"/>
      <c r="QQH50" s="363"/>
      <c r="QQI50" s="364" t="s">
        <v>140</v>
      </c>
      <c r="QQJ50" s="365">
        <v>0.5</v>
      </c>
      <c r="QQK50" s="366" t="e">
        <f>10/QQG48</f>
        <v>#DIV/0!</v>
      </c>
      <c r="QQL50" s="367">
        <v>15.38</v>
      </c>
      <c r="QQM50" s="367" t="e">
        <f>QQJ50*QQK50*QQL50</f>
        <v>#DIV/0!</v>
      </c>
      <c r="QQN50" s="363" t="s">
        <v>153</v>
      </c>
      <c r="QQO50" s="363"/>
      <c r="QQP50" s="363"/>
      <c r="QQQ50" s="364" t="s">
        <v>140</v>
      </c>
      <c r="QQR50" s="365">
        <v>0.5</v>
      </c>
      <c r="QQS50" s="366" t="e">
        <f>10/QQO48</f>
        <v>#DIV/0!</v>
      </c>
      <c r="QQT50" s="367">
        <v>15.38</v>
      </c>
      <c r="QQU50" s="367" t="e">
        <f>QQR50*QQS50*QQT50</f>
        <v>#DIV/0!</v>
      </c>
      <c r="QQV50" s="363" t="s">
        <v>153</v>
      </c>
      <c r="QQW50" s="363"/>
      <c r="QQX50" s="363"/>
      <c r="QQY50" s="364" t="s">
        <v>140</v>
      </c>
      <c r="QQZ50" s="365">
        <v>0.5</v>
      </c>
      <c r="QRA50" s="366" t="e">
        <f>10/QQW48</f>
        <v>#DIV/0!</v>
      </c>
      <c r="QRB50" s="367">
        <v>15.38</v>
      </c>
      <c r="QRC50" s="367" t="e">
        <f>QQZ50*QRA50*QRB50</f>
        <v>#DIV/0!</v>
      </c>
      <c r="QRD50" s="363" t="s">
        <v>153</v>
      </c>
      <c r="QRE50" s="363"/>
      <c r="QRF50" s="363"/>
      <c r="QRG50" s="364" t="s">
        <v>140</v>
      </c>
      <c r="QRH50" s="365">
        <v>0.5</v>
      </c>
      <c r="QRI50" s="366" t="e">
        <f>10/QRE48</f>
        <v>#DIV/0!</v>
      </c>
      <c r="QRJ50" s="367">
        <v>15.38</v>
      </c>
      <c r="QRK50" s="367" t="e">
        <f>QRH50*QRI50*QRJ50</f>
        <v>#DIV/0!</v>
      </c>
      <c r="QRL50" s="363" t="s">
        <v>153</v>
      </c>
      <c r="QRM50" s="363"/>
      <c r="QRN50" s="363"/>
      <c r="QRO50" s="364" t="s">
        <v>140</v>
      </c>
      <c r="QRP50" s="365">
        <v>0.5</v>
      </c>
      <c r="QRQ50" s="366" t="e">
        <f>10/QRM48</f>
        <v>#DIV/0!</v>
      </c>
      <c r="QRR50" s="367">
        <v>15.38</v>
      </c>
      <c r="QRS50" s="367" t="e">
        <f>QRP50*QRQ50*QRR50</f>
        <v>#DIV/0!</v>
      </c>
      <c r="QRT50" s="363" t="s">
        <v>153</v>
      </c>
      <c r="QRU50" s="363"/>
      <c r="QRV50" s="363"/>
      <c r="QRW50" s="364" t="s">
        <v>140</v>
      </c>
      <c r="QRX50" s="365">
        <v>0.5</v>
      </c>
      <c r="QRY50" s="366" t="e">
        <f>10/QRU48</f>
        <v>#DIV/0!</v>
      </c>
      <c r="QRZ50" s="367">
        <v>15.38</v>
      </c>
      <c r="QSA50" s="367" t="e">
        <f>QRX50*QRY50*QRZ50</f>
        <v>#DIV/0!</v>
      </c>
      <c r="QSB50" s="363" t="s">
        <v>153</v>
      </c>
      <c r="QSC50" s="363"/>
      <c r="QSD50" s="363"/>
      <c r="QSE50" s="364" t="s">
        <v>140</v>
      </c>
      <c r="QSF50" s="365">
        <v>0.5</v>
      </c>
      <c r="QSG50" s="366" t="e">
        <f>10/QSC48</f>
        <v>#DIV/0!</v>
      </c>
      <c r="QSH50" s="367">
        <v>15.38</v>
      </c>
      <c r="QSI50" s="367" t="e">
        <f>QSF50*QSG50*QSH50</f>
        <v>#DIV/0!</v>
      </c>
      <c r="QSJ50" s="363" t="s">
        <v>153</v>
      </c>
      <c r="QSK50" s="363"/>
      <c r="QSL50" s="363"/>
      <c r="QSM50" s="364" t="s">
        <v>140</v>
      </c>
      <c r="QSN50" s="365">
        <v>0.5</v>
      </c>
      <c r="QSO50" s="366" t="e">
        <f>10/QSK48</f>
        <v>#DIV/0!</v>
      </c>
      <c r="QSP50" s="367">
        <v>15.38</v>
      </c>
      <c r="QSQ50" s="367" t="e">
        <f>QSN50*QSO50*QSP50</f>
        <v>#DIV/0!</v>
      </c>
      <c r="QSR50" s="363" t="s">
        <v>153</v>
      </c>
      <c r="QSS50" s="363"/>
      <c r="QST50" s="363"/>
      <c r="QSU50" s="364" t="s">
        <v>140</v>
      </c>
      <c r="QSV50" s="365">
        <v>0.5</v>
      </c>
      <c r="QSW50" s="366" t="e">
        <f>10/QSS48</f>
        <v>#DIV/0!</v>
      </c>
      <c r="QSX50" s="367">
        <v>15.38</v>
      </c>
      <c r="QSY50" s="367" t="e">
        <f>QSV50*QSW50*QSX50</f>
        <v>#DIV/0!</v>
      </c>
      <c r="QSZ50" s="363" t="s">
        <v>153</v>
      </c>
      <c r="QTA50" s="363"/>
      <c r="QTB50" s="363"/>
      <c r="QTC50" s="364" t="s">
        <v>140</v>
      </c>
      <c r="QTD50" s="365">
        <v>0.5</v>
      </c>
      <c r="QTE50" s="366" t="e">
        <f>10/QTA48</f>
        <v>#DIV/0!</v>
      </c>
      <c r="QTF50" s="367">
        <v>15.38</v>
      </c>
      <c r="QTG50" s="367" t="e">
        <f>QTD50*QTE50*QTF50</f>
        <v>#DIV/0!</v>
      </c>
      <c r="QTH50" s="363" t="s">
        <v>153</v>
      </c>
      <c r="QTI50" s="363"/>
      <c r="QTJ50" s="363"/>
      <c r="QTK50" s="364" t="s">
        <v>140</v>
      </c>
      <c r="QTL50" s="365">
        <v>0.5</v>
      </c>
      <c r="QTM50" s="366" t="e">
        <f>10/QTI48</f>
        <v>#DIV/0!</v>
      </c>
      <c r="QTN50" s="367">
        <v>15.38</v>
      </c>
      <c r="QTO50" s="367" t="e">
        <f>QTL50*QTM50*QTN50</f>
        <v>#DIV/0!</v>
      </c>
      <c r="QTP50" s="363" t="s">
        <v>153</v>
      </c>
      <c r="QTQ50" s="363"/>
      <c r="QTR50" s="363"/>
      <c r="QTS50" s="364" t="s">
        <v>140</v>
      </c>
      <c r="QTT50" s="365">
        <v>0.5</v>
      </c>
      <c r="QTU50" s="366" t="e">
        <f>10/QTQ48</f>
        <v>#DIV/0!</v>
      </c>
      <c r="QTV50" s="367">
        <v>15.38</v>
      </c>
      <c r="QTW50" s="367" t="e">
        <f>QTT50*QTU50*QTV50</f>
        <v>#DIV/0!</v>
      </c>
      <c r="QTX50" s="363" t="s">
        <v>153</v>
      </c>
      <c r="QTY50" s="363"/>
      <c r="QTZ50" s="363"/>
      <c r="QUA50" s="364" t="s">
        <v>140</v>
      </c>
      <c r="QUB50" s="365">
        <v>0.5</v>
      </c>
      <c r="QUC50" s="366" t="e">
        <f>10/QTY48</f>
        <v>#DIV/0!</v>
      </c>
      <c r="QUD50" s="367">
        <v>15.38</v>
      </c>
      <c r="QUE50" s="367" t="e">
        <f>QUB50*QUC50*QUD50</f>
        <v>#DIV/0!</v>
      </c>
      <c r="QUF50" s="363" t="s">
        <v>153</v>
      </c>
      <c r="QUG50" s="363"/>
      <c r="QUH50" s="363"/>
      <c r="QUI50" s="364" t="s">
        <v>140</v>
      </c>
      <c r="QUJ50" s="365">
        <v>0.5</v>
      </c>
      <c r="QUK50" s="366" t="e">
        <f>10/QUG48</f>
        <v>#DIV/0!</v>
      </c>
      <c r="QUL50" s="367">
        <v>15.38</v>
      </c>
      <c r="QUM50" s="367" t="e">
        <f>QUJ50*QUK50*QUL50</f>
        <v>#DIV/0!</v>
      </c>
      <c r="QUN50" s="363" t="s">
        <v>153</v>
      </c>
      <c r="QUO50" s="363"/>
      <c r="QUP50" s="363"/>
      <c r="QUQ50" s="364" t="s">
        <v>140</v>
      </c>
      <c r="QUR50" s="365">
        <v>0.5</v>
      </c>
      <c r="QUS50" s="366" t="e">
        <f>10/QUO48</f>
        <v>#DIV/0!</v>
      </c>
      <c r="QUT50" s="367">
        <v>15.38</v>
      </c>
      <c r="QUU50" s="367" t="e">
        <f>QUR50*QUS50*QUT50</f>
        <v>#DIV/0!</v>
      </c>
      <c r="QUV50" s="363" t="s">
        <v>153</v>
      </c>
      <c r="QUW50" s="363"/>
      <c r="QUX50" s="363"/>
      <c r="QUY50" s="364" t="s">
        <v>140</v>
      </c>
      <c r="QUZ50" s="365">
        <v>0.5</v>
      </c>
      <c r="QVA50" s="366" t="e">
        <f>10/QUW48</f>
        <v>#DIV/0!</v>
      </c>
      <c r="QVB50" s="367">
        <v>15.38</v>
      </c>
      <c r="QVC50" s="367" t="e">
        <f>QUZ50*QVA50*QVB50</f>
        <v>#DIV/0!</v>
      </c>
      <c r="QVD50" s="363" t="s">
        <v>153</v>
      </c>
      <c r="QVE50" s="363"/>
      <c r="QVF50" s="363"/>
      <c r="QVG50" s="364" t="s">
        <v>140</v>
      </c>
      <c r="QVH50" s="365">
        <v>0.5</v>
      </c>
      <c r="QVI50" s="366" t="e">
        <f>10/QVE48</f>
        <v>#DIV/0!</v>
      </c>
      <c r="QVJ50" s="367">
        <v>15.38</v>
      </c>
      <c r="QVK50" s="367" t="e">
        <f>QVH50*QVI50*QVJ50</f>
        <v>#DIV/0!</v>
      </c>
      <c r="QVL50" s="363" t="s">
        <v>153</v>
      </c>
      <c r="QVM50" s="363"/>
      <c r="QVN50" s="363"/>
      <c r="QVO50" s="364" t="s">
        <v>140</v>
      </c>
      <c r="QVP50" s="365">
        <v>0.5</v>
      </c>
      <c r="QVQ50" s="366" t="e">
        <f>10/QVM48</f>
        <v>#DIV/0!</v>
      </c>
      <c r="QVR50" s="367">
        <v>15.38</v>
      </c>
      <c r="QVS50" s="367" t="e">
        <f>QVP50*QVQ50*QVR50</f>
        <v>#DIV/0!</v>
      </c>
      <c r="QVT50" s="363" t="s">
        <v>153</v>
      </c>
      <c r="QVU50" s="363"/>
      <c r="QVV50" s="363"/>
      <c r="QVW50" s="364" t="s">
        <v>140</v>
      </c>
      <c r="QVX50" s="365">
        <v>0.5</v>
      </c>
      <c r="QVY50" s="366" t="e">
        <f>10/QVU48</f>
        <v>#DIV/0!</v>
      </c>
      <c r="QVZ50" s="367">
        <v>15.38</v>
      </c>
      <c r="QWA50" s="367" t="e">
        <f>QVX50*QVY50*QVZ50</f>
        <v>#DIV/0!</v>
      </c>
      <c r="QWB50" s="363" t="s">
        <v>153</v>
      </c>
      <c r="QWC50" s="363"/>
      <c r="QWD50" s="363"/>
      <c r="QWE50" s="364" t="s">
        <v>140</v>
      </c>
      <c r="QWF50" s="365">
        <v>0.5</v>
      </c>
      <c r="QWG50" s="366" t="e">
        <f>10/QWC48</f>
        <v>#DIV/0!</v>
      </c>
      <c r="QWH50" s="367">
        <v>15.38</v>
      </c>
      <c r="QWI50" s="367" t="e">
        <f>QWF50*QWG50*QWH50</f>
        <v>#DIV/0!</v>
      </c>
      <c r="QWJ50" s="363" t="s">
        <v>153</v>
      </c>
      <c r="QWK50" s="363"/>
      <c r="QWL50" s="363"/>
      <c r="QWM50" s="364" t="s">
        <v>140</v>
      </c>
      <c r="QWN50" s="365">
        <v>0.5</v>
      </c>
      <c r="QWO50" s="366" t="e">
        <f>10/QWK48</f>
        <v>#DIV/0!</v>
      </c>
      <c r="QWP50" s="367">
        <v>15.38</v>
      </c>
      <c r="QWQ50" s="367" t="e">
        <f>QWN50*QWO50*QWP50</f>
        <v>#DIV/0!</v>
      </c>
      <c r="QWR50" s="363" t="s">
        <v>153</v>
      </c>
      <c r="QWS50" s="363"/>
      <c r="QWT50" s="363"/>
      <c r="QWU50" s="364" t="s">
        <v>140</v>
      </c>
      <c r="QWV50" s="365">
        <v>0.5</v>
      </c>
      <c r="QWW50" s="366" t="e">
        <f>10/QWS48</f>
        <v>#DIV/0!</v>
      </c>
      <c r="QWX50" s="367">
        <v>15.38</v>
      </c>
      <c r="QWY50" s="367" t="e">
        <f>QWV50*QWW50*QWX50</f>
        <v>#DIV/0!</v>
      </c>
      <c r="QWZ50" s="363" t="s">
        <v>153</v>
      </c>
      <c r="QXA50" s="363"/>
      <c r="QXB50" s="363"/>
      <c r="QXC50" s="364" t="s">
        <v>140</v>
      </c>
      <c r="QXD50" s="365">
        <v>0.5</v>
      </c>
      <c r="QXE50" s="366" t="e">
        <f>10/QXA48</f>
        <v>#DIV/0!</v>
      </c>
      <c r="QXF50" s="367">
        <v>15.38</v>
      </c>
      <c r="QXG50" s="367" t="e">
        <f>QXD50*QXE50*QXF50</f>
        <v>#DIV/0!</v>
      </c>
      <c r="QXH50" s="363" t="s">
        <v>153</v>
      </c>
      <c r="QXI50" s="363"/>
      <c r="QXJ50" s="363"/>
      <c r="QXK50" s="364" t="s">
        <v>140</v>
      </c>
      <c r="QXL50" s="365">
        <v>0.5</v>
      </c>
      <c r="QXM50" s="366" t="e">
        <f>10/QXI48</f>
        <v>#DIV/0!</v>
      </c>
      <c r="QXN50" s="367">
        <v>15.38</v>
      </c>
      <c r="QXO50" s="367" t="e">
        <f>QXL50*QXM50*QXN50</f>
        <v>#DIV/0!</v>
      </c>
      <c r="QXP50" s="363" t="s">
        <v>153</v>
      </c>
      <c r="QXQ50" s="363"/>
      <c r="QXR50" s="363"/>
      <c r="QXS50" s="364" t="s">
        <v>140</v>
      </c>
      <c r="QXT50" s="365">
        <v>0.5</v>
      </c>
      <c r="QXU50" s="366" t="e">
        <f>10/QXQ48</f>
        <v>#DIV/0!</v>
      </c>
      <c r="QXV50" s="367">
        <v>15.38</v>
      </c>
      <c r="QXW50" s="367" t="e">
        <f>QXT50*QXU50*QXV50</f>
        <v>#DIV/0!</v>
      </c>
      <c r="QXX50" s="363" t="s">
        <v>153</v>
      </c>
      <c r="QXY50" s="363"/>
      <c r="QXZ50" s="363"/>
      <c r="QYA50" s="364" t="s">
        <v>140</v>
      </c>
      <c r="QYB50" s="365">
        <v>0.5</v>
      </c>
      <c r="QYC50" s="366" t="e">
        <f>10/QXY48</f>
        <v>#DIV/0!</v>
      </c>
      <c r="QYD50" s="367">
        <v>15.38</v>
      </c>
      <c r="QYE50" s="367" t="e">
        <f>QYB50*QYC50*QYD50</f>
        <v>#DIV/0!</v>
      </c>
      <c r="QYF50" s="363" t="s">
        <v>153</v>
      </c>
      <c r="QYG50" s="363"/>
      <c r="QYH50" s="363"/>
      <c r="QYI50" s="364" t="s">
        <v>140</v>
      </c>
      <c r="QYJ50" s="365">
        <v>0.5</v>
      </c>
      <c r="QYK50" s="366" t="e">
        <f>10/QYG48</f>
        <v>#DIV/0!</v>
      </c>
      <c r="QYL50" s="367">
        <v>15.38</v>
      </c>
      <c r="QYM50" s="367" t="e">
        <f>QYJ50*QYK50*QYL50</f>
        <v>#DIV/0!</v>
      </c>
      <c r="QYN50" s="363" t="s">
        <v>153</v>
      </c>
      <c r="QYO50" s="363"/>
      <c r="QYP50" s="363"/>
      <c r="QYQ50" s="364" t="s">
        <v>140</v>
      </c>
      <c r="QYR50" s="365">
        <v>0.5</v>
      </c>
      <c r="QYS50" s="366" t="e">
        <f>10/QYO48</f>
        <v>#DIV/0!</v>
      </c>
      <c r="QYT50" s="367">
        <v>15.38</v>
      </c>
      <c r="QYU50" s="367" t="e">
        <f>QYR50*QYS50*QYT50</f>
        <v>#DIV/0!</v>
      </c>
      <c r="QYV50" s="363" t="s">
        <v>153</v>
      </c>
      <c r="QYW50" s="363"/>
      <c r="QYX50" s="363"/>
      <c r="QYY50" s="364" t="s">
        <v>140</v>
      </c>
      <c r="QYZ50" s="365">
        <v>0.5</v>
      </c>
      <c r="QZA50" s="366" t="e">
        <f>10/QYW48</f>
        <v>#DIV/0!</v>
      </c>
      <c r="QZB50" s="367">
        <v>15.38</v>
      </c>
      <c r="QZC50" s="367" t="e">
        <f>QYZ50*QZA50*QZB50</f>
        <v>#DIV/0!</v>
      </c>
      <c r="QZD50" s="363" t="s">
        <v>153</v>
      </c>
      <c r="QZE50" s="363"/>
      <c r="QZF50" s="363"/>
      <c r="QZG50" s="364" t="s">
        <v>140</v>
      </c>
      <c r="QZH50" s="365">
        <v>0.5</v>
      </c>
      <c r="QZI50" s="366" t="e">
        <f>10/QZE48</f>
        <v>#DIV/0!</v>
      </c>
      <c r="QZJ50" s="367">
        <v>15.38</v>
      </c>
      <c r="QZK50" s="367" t="e">
        <f>QZH50*QZI50*QZJ50</f>
        <v>#DIV/0!</v>
      </c>
      <c r="QZL50" s="363" t="s">
        <v>153</v>
      </c>
      <c r="QZM50" s="363"/>
      <c r="QZN50" s="363"/>
      <c r="QZO50" s="364" t="s">
        <v>140</v>
      </c>
      <c r="QZP50" s="365">
        <v>0.5</v>
      </c>
      <c r="QZQ50" s="366" t="e">
        <f>10/QZM48</f>
        <v>#DIV/0!</v>
      </c>
      <c r="QZR50" s="367">
        <v>15.38</v>
      </c>
      <c r="QZS50" s="367" t="e">
        <f>QZP50*QZQ50*QZR50</f>
        <v>#DIV/0!</v>
      </c>
      <c r="QZT50" s="363" t="s">
        <v>153</v>
      </c>
      <c r="QZU50" s="363"/>
      <c r="QZV50" s="363"/>
      <c r="QZW50" s="364" t="s">
        <v>140</v>
      </c>
      <c r="QZX50" s="365">
        <v>0.5</v>
      </c>
      <c r="QZY50" s="366" t="e">
        <f>10/QZU48</f>
        <v>#DIV/0!</v>
      </c>
      <c r="QZZ50" s="367">
        <v>15.38</v>
      </c>
      <c r="RAA50" s="367" t="e">
        <f>QZX50*QZY50*QZZ50</f>
        <v>#DIV/0!</v>
      </c>
      <c r="RAB50" s="363" t="s">
        <v>153</v>
      </c>
      <c r="RAC50" s="363"/>
      <c r="RAD50" s="363"/>
      <c r="RAE50" s="364" t="s">
        <v>140</v>
      </c>
      <c r="RAF50" s="365">
        <v>0.5</v>
      </c>
      <c r="RAG50" s="366" t="e">
        <f>10/RAC48</f>
        <v>#DIV/0!</v>
      </c>
      <c r="RAH50" s="367">
        <v>15.38</v>
      </c>
      <c r="RAI50" s="367" t="e">
        <f>RAF50*RAG50*RAH50</f>
        <v>#DIV/0!</v>
      </c>
      <c r="RAJ50" s="363" t="s">
        <v>153</v>
      </c>
      <c r="RAK50" s="363"/>
      <c r="RAL50" s="363"/>
      <c r="RAM50" s="364" t="s">
        <v>140</v>
      </c>
      <c r="RAN50" s="365">
        <v>0.5</v>
      </c>
      <c r="RAO50" s="366" t="e">
        <f>10/RAK48</f>
        <v>#DIV/0!</v>
      </c>
      <c r="RAP50" s="367">
        <v>15.38</v>
      </c>
      <c r="RAQ50" s="367" t="e">
        <f>RAN50*RAO50*RAP50</f>
        <v>#DIV/0!</v>
      </c>
      <c r="RAR50" s="363" t="s">
        <v>153</v>
      </c>
      <c r="RAS50" s="363"/>
      <c r="RAT50" s="363"/>
      <c r="RAU50" s="364" t="s">
        <v>140</v>
      </c>
      <c r="RAV50" s="365">
        <v>0.5</v>
      </c>
      <c r="RAW50" s="366" t="e">
        <f>10/RAS48</f>
        <v>#DIV/0!</v>
      </c>
      <c r="RAX50" s="367">
        <v>15.38</v>
      </c>
      <c r="RAY50" s="367" t="e">
        <f>RAV50*RAW50*RAX50</f>
        <v>#DIV/0!</v>
      </c>
      <c r="RAZ50" s="363" t="s">
        <v>153</v>
      </c>
      <c r="RBA50" s="363"/>
      <c r="RBB50" s="363"/>
      <c r="RBC50" s="364" t="s">
        <v>140</v>
      </c>
      <c r="RBD50" s="365">
        <v>0.5</v>
      </c>
      <c r="RBE50" s="366" t="e">
        <f>10/RBA48</f>
        <v>#DIV/0!</v>
      </c>
      <c r="RBF50" s="367">
        <v>15.38</v>
      </c>
      <c r="RBG50" s="367" t="e">
        <f>RBD50*RBE50*RBF50</f>
        <v>#DIV/0!</v>
      </c>
      <c r="RBH50" s="363" t="s">
        <v>153</v>
      </c>
      <c r="RBI50" s="363"/>
      <c r="RBJ50" s="363"/>
      <c r="RBK50" s="364" t="s">
        <v>140</v>
      </c>
      <c r="RBL50" s="365">
        <v>0.5</v>
      </c>
      <c r="RBM50" s="366" t="e">
        <f>10/RBI48</f>
        <v>#DIV/0!</v>
      </c>
      <c r="RBN50" s="367">
        <v>15.38</v>
      </c>
      <c r="RBO50" s="367" t="e">
        <f>RBL50*RBM50*RBN50</f>
        <v>#DIV/0!</v>
      </c>
      <c r="RBP50" s="363" t="s">
        <v>153</v>
      </c>
      <c r="RBQ50" s="363"/>
      <c r="RBR50" s="363"/>
      <c r="RBS50" s="364" t="s">
        <v>140</v>
      </c>
      <c r="RBT50" s="365">
        <v>0.5</v>
      </c>
      <c r="RBU50" s="366" t="e">
        <f>10/RBQ48</f>
        <v>#DIV/0!</v>
      </c>
      <c r="RBV50" s="367">
        <v>15.38</v>
      </c>
      <c r="RBW50" s="367" t="e">
        <f>RBT50*RBU50*RBV50</f>
        <v>#DIV/0!</v>
      </c>
      <c r="RBX50" s="363" t="s">
        <v>153</v>
      </c>
      <c r="RBY50" s="363"/>
      <c r="RBZ50" s="363"/>
      <c r="RCA50" s="364" t="s">
        <v>140</v>
      </c>
      <c r="RCB50" s="365">
        <v>0.5</v>
      </c>
      <c r="RCC50" s="366" t="e">
        <f>10/RBY48</f>
        <v>#DIV/0!</v>
      </c>
      <c r="RCD50" s="367">
        <v>15.38</v>
      </c>
      <c r="RCE50" s="367" t="e">
        <f>RCB50*RCC50*RCD50</f>
        <v>#DIV/0!</v>
      </c>
      <c r="RCF50" s="363" t="s">
        <v>153</v>
      </c>
      <c r="RCG50" s="363"/>
      <c r="RCH50" s="363"/>
      <c r="RCI50" s="364" t="s">
        <v>140</v>
      </c>
      <c r="RCJ50" s="365">
        <v>0.5</v>
      </c>
      <c r="RCK50" s="366" t="e">
        <f>10/RCG48</f>
        <v>#DIV/0!</v>
      </c>
      <c r="RCL50" s="367">
        <v>15.38</v>
      </c>
      <c r="RCM50" s="367" t="e">
        <f>RCJ50*RCK50*RCL50</f>
        <v>#DIV/0!</v>
      </c>
      <c r="RCN50" s="363" t="s">
        <v>153</v>
      </c>
      <c r="RCO50" s="363"/>
      <c r="RCP50" s="363"/>
      <c r="RCQ50" s="364" t="s">
        <v>140</v>
      </c>
      <c r="RCR50" s="365">
        <v>0.5</v>
      </c>
      <c r="RCS50" s="366" t="e">
        <f>10/RCO48</f>
        <v>#DIV/0!</v>
      </c>
      <c r="RCT50" s="367">
        <v>15.38</v>
      </c>
      <c r="RCU50" s="367" t="e">
        <f>RCR50*RCS50*RCT50</f>
        <v>#DIV/0!</v>
      </c>
      <c r="RCV50" s="363" t="s">
        <v>153</v>
      </c>
      <c r="RCW50" s="363"/>
      <c r="RCX50" s="363"/>
      <c r="RCY50" s="364" t="s">
        <v>140</v>
      </c>
      <c r="RCZ50" s="365">
        <v>0.5</v>
      </c>
      <c r="RDA50" s="366" t="e">
        <f>10/RCW48</f>
        <v>#DIV/0!</v>
      </c>
      <c r="RDB50" s="367">
        <v>15.38</v>
      </c>
      <c r="RDC50" s="367" t="e">
        <f>RCZ50*RDA50*RDB50</f>
        <v>#DIV/0!</v>
      </c>
      <c r="RDD50" s="363" t="s">
        <v>153</v>
      </c>
      <c r="RDE50" s="363"/>
      <c r="RDF50" s="363"/>
      <c r="RDG50" s="364" t="s">
        <v>140</v>
      </c>
      <c r="RDH50" s="365">
        <v>0.5</v>
      </c>
      <c r="RDI50" s="366" t="e">
        <f>10/RDE48</f>
        <v>#DIV/0!</v>
      </c>
      <c r="RDJ50" s="367">
        <v>15.38</v>
      </c>
      <c r="RDK50" s="367" t="e">
        <f>RDH50*RDI50*RDJ50</f>
        <v>#DIV/0!</v>
      </c>
      <c r="RDL50" s="363" t="s">
        <v>153</v>
      </c>
      <c r="RDM50" s="363"/>
      <c r="RDN50" s="363"/>
      <c r="RDO50" s="364" t="s">
        <v>140</v>
      </c>
      <c r="RDP50" s="365">
        <v>0.5</v>
      </c>
      <c r="RDQ50" s="366" t="e">
        <f>10/RDM48</f>
        <v>#DIV/0!</v>
      </c>
      <c r="RDR50" s="367">
        <v>15.38</v>
      </c>
      <c r="RDS50" s="367" t="e">
        <f>RDP50*RDQ50*RDR50</f>
        <v>#DIV/0!</v>
      </c>
      <c r="RDT50" s="363" t="s">
        <v>153</v>
      </c>
      <c r="RDU50" s="363"/>
      <c r="RDV50" s="363"/>
      <c r="RDW50" s="364" t="s">
        <v>140</v>
      </c>
      <c r="RDX50" s="365">
        <v>0.5</v>
      </c>
      <c r="RDY50" s="366" t="e">
        <f>10/RDU48</f>
        <v>#DIV/0!</v>
      </c>
      <c r="RDZ50" s="367">
        <v>15.38</v>
      </c>
      <c r="REA50" s="367" t="e">
        <f>RDX50*RDY50*RDZ50</f>
        <v>#DIV/0!</v>
      </c>
      <c r="REB50" s="363" t="s">
        <v>153</v>
      </c>
      <c r="REC50" s="363"/>
      <c r="RED50" s="363"/>
      <c r="REE50" s="364" t="s">
        <v>140</v>
      </c>
      <c r="REF50" s="365">
        <v>0.5</v>
      </c>
      <c r="REG50" s="366" t="e">
        <f>10/REC48</f>
        <v>#DIV/0!</v>
      </c>
      <c r="REH50" s="367">
        <v>15.38</v>
      </c>
      <c r="REI50" s="367" t="e">
        <f>REF50*REG50*REH50</f>
        <v>#DIV/0!</v>
      </c>
      <c r="REJ50" s="363" t="s">
        <v>153</v>
      </c>
      <c r="REK50" s="363"/>
      <c r="REL50" s="363"/>
      <c r="REM50" s="364" t="s">
        <v>140</v>
      </c>
      <c r="REN50" s="365">
        <v>0.5</v>
      </c>
      <c r="REO50" s="366" t="e">
        <f>10/REK48</f>
        <v>#DIV/0!</v>
      </c>
      <c r="REP50" s="367">
        <v>15.38</v>
      </c>
      <c r="REQ50" s="367" t="e">
        <f>REN50*REO50*REP50</f>
        <v>#DIV/0!</v>
      </c>
      <c r="RER50" s="363" t="s">
        <v>153</v>
      </c>
      <c r="RES50" s="363"/>
      <c r="RET50" s="363"/>
      <c r="REU50" s="364" t="s">
        <v>140</v>
      </c>
      <c r="REV50" s="365">
        <v>0.5</v>
      </c>
      <c r="REW50" s="366" t="e">
        <f>10/RES48</f>
        <v>#DIV/0!</v>
      </c>
      <c r="REX50" s="367">
        <v>15.38</v>
      </c>
      <c r="REY50" s="367" t="e">
        <f>REV50*REW50*REX50</f>
        <v>#DIV/0!</v>
      </c>
      <c r="REZ50" s="363" t="s">
        <v>153</v>
      </c>
      <c r="RFA50" s="363"/>
      <c r="RFB50" s="363"/>
      <c r="RFC50" s="364" t="s">
        <v>140</v>
      </c>
      <c r="RFD50" s="365">
        <v>0.5</v>
      </c>
      <c r="RFE50" s="366" t="e">
        <f>10/RFA48</f>
        <v>#DIV/0!</v>
      </c>
      <c r="RFF50" s="367">
        <v>15.38</v>
      </c>
      <c r="RFG50" s="367" t="e">
        <f>RFD50*RFE50*RFF50</f>
        <v>#DIV/0!</v>
      </c>
      <c r="RFH50" s="363" t="s">
        <v>153</v>
      </c>
      <c r="RFI50" s="363"/>
      <c r="RFJ50" s="363"/>
      <c r="RFK50" s="364" t="s">
        <v>140</v>
      </c>
      <c r="RFL50" s="365">
        <v>0.5</v>
      </c>
      <c r="RFM50" s="366" t="e">
        <f>10/RFI48</f>
        <v>#DIV/0!</v>
      </c>
      <c r="RFN50" s="367">
        <v>15.38</v>
      </c>
      <c r="RFO50" s="367" t="e">
        <f>RFL50*RFM50*RFN50</f>
        <v>#DIV/0!</v>
      </c>
      <c r="RFP50" s="363" t="s">
        <v>153</v>
      </c>
      <c r="RFQ50" s="363"/>
      <c r="RFR50" s="363"/>
      <c r="RFS50" s="364" t="s">
        <v>140</v>
      </c>
      <c r="RFT50" s="365">
        <v>0.5</v>
      </c>
      <c r="RFU50" s="366" t="e">
        <f>10/RFQ48</f>
        <v>#DIV/0!</v>
      </c>
      <c r="RFV50" s="367">
        <v>15.38</v>
      </c>
      <c r="RFW50" s="367" t="e">
        <f>RFT50*RFU50*RFV50</f>
        <v>#DIV/0!</v>
      </c>
      <c r="RFX50" s="363" t="s">
        <v>153</v>
      </c>
      <c r="RFY50" s="363"/>
      <c r="RFZ50" s="363"/>
      <c r="RGA50" s="364" t="s">
        <v>140</v>
      </c>
      <c r="RGB50" s="365">
        <v>0.5</v>
      </c>
      <c r="RGC50" s="366" t="e">
        <f>10/RFY48</f>
        <v>#DIV/0!</v>
      </c>
      <c r="RGD50" s="367">
        <v>15.38</v>
      </c>
      <c r="RGE50" s="367" t="e">
        <f>RGB50*RGC50*RGD50</f>
        <v>#DIV/0!</v>
      </c>
      <c r="RGF50" s="363" t="s">
        <v>153</v>
      </c>
      <c r="RGG50" s="363"/>
      <c r="RGH50" s="363"/>
      <c r="RGI50" s="364" t="s">
        <v>140</v>
      </c>
      <c r="RGJ50" s="365">
        <v>0.5</v>
      </c>
      <c r="RGK50" s="366" t="e">
        <f>10/RGG48</f>
        <v>#DIV/0!</v>
      </c>
      <c r="RGL50" s="367">
        <v>15.38</v>
      </c>
      <c r="RGM50" s="367" t="e">
        <f>RGJ50*RGK50*RGL50</f>
        <v>#DIV/0!</v>
      </c>
      <c r="RGN50" s="363" t="s">
        <v>153</v>
      </c>
      <c r="RGO50" s="363"/>
      <c r="RGP50" s="363"/>
      <c r="RGQ50" s="364" t="s">
        <v>140</v>
      </c>
      <c r="RGR50" s="365">
        <v>0.5</v>
      </c>
      <c r="RGS50" s="366" t="e">
        <f>10/RGO48</f>
        <v>#DIV/0!</v>
      </c>
      <c r="RGT50" s="367">
        <v>15.38</v>
      </c>
      <c r="RGU50" s="367" t="e">
        <f>RGR50*RGS50*RGT50</f>
        <v>#DIV/0!</v>
      </c>
      <c r="RGV50" s="363" t="s">
        <v>153</v>
      </c>
      <c r="RGW50" s="363"/>
      <c r="RGX50" s="363"/>
      <c r="RGY50" s="364" t="s">
        <v>140</v>
      </c>
      <c r="RGZ50" s="365">
        <v>0.5</v>
      </c>
      <c r="RHA50" s="366" t="e">
        <f>10/RGW48</f>
        <v>#DIV/0!</v>
      </c>
      <c r="RHB50" s="367">
        <v>15.38</v>
      </c>
      <c r="RHC50" s="367" t="e">
        <f>RGZ50*RHA50*RHB50</f>
        <v>#DIV/0!</v>
      </c>
      <c r="RHD50" s="363" t="s">
        <v>153</v>
      </c>
      <c r="RHE50" s="363"/>
      <c r="RHF50" s="363"/>
      <c r="RHG50" s="364" t="s">
        <v>140</v>
      </c>
      <c r="RHH50" s="365">
        <v>0.5</v>
      </c>
      <c r="RHI50" s="366" t="e">
        <f>10/RHE48</f>
        <v>#DIV/0!</v>
      </c>
      <c r="RHJ50" s="367">
        <v>15.38</v>
      </c>
      <c r="RHK50" s="367" t="e">
        <f>RHH50*RHI50*RHJ50</f>
        <v>#DIV/0!</v>
      </c>
      <c r="RHL50" s="363" t="s">
        <v>153</v>
      </c>
      <c r="RHM50" s="363"/>
      <c r="RHN50" s="363"/>
      <c r="RHO50" s="364" t="s">
        <v>140</v>
      </c>
      <c r="RHP50" s="365">
        <v>0.5</v>
      </c>
      <c r="RHQ50" s="366" t="e">
        <f>10/RHM48</f>
        <v>#DIV/0!</v>
      </c>
      <c r="RHR50" s="367">
        <v>15.38</v>
      </c>
      <c r="RHS50" s="367" t="e">
        <f>RHP50*RHQ50*RHR50</f>
        <v>#DIV/0!</v>
      </c>
      <c r="RHT50" s="363" t="s">
        <v>153</v>
      </c>
      <c r="RHU50" s="363"/>
      <c r="RHV50" s="363"/>
      <c r="RHW50" s="364" t="s">
        <v>140</v>
      </c>
      <c r="RHX50" s="365">
        <v>0.5</v>
      </c>
      <c r="RHY50" s="366" t="e">
        <f>10/RHU48</f>
        <v>#DIV/0!</v>
      </c>
      <c r="RHZ50" s="367">
        <v>15.38</v>
      </c>
      <c r="RIA50" s="367" t="e">
        <f>RHX50*RHY50*RHZ50</f>
        <v>#DIV/0!</v>
      </c>
      <c r="RIB50" s="363" t="s">
        <v>153</v>
      </c>
      <c r="RIC50" s="363"/>
      <c r="RID50" s="363"/>
      <c r="RIE50" s="364" t="s">
        <v>140</v>
      </c>
      <c r="RIF50" s="365">
        <v>0.5</v>
      </c>
      <c r="RIG50" s="366" t="e">
        <f>10/RIC48</f>
        <v>#DIV/0!</v>
      </c>
      <c r="RIH50" s="367">
        <v>15.38</v>
      </c>
      <c r="RII50" s="367" t="e">
        <f>RIF50*RIG50*RIH50</f>
        <v>#DIV/0!</v>
      </c>
      <c r="RIJ50" s="363" t="s">
        <v>153</v>
      </c>
      <c r="RIK50" s="363"/>
      <c r="RIL50" s="363"/>
      <c r="RIM50" s="364" t="s">
        <v>140</v>
      </c>
      <c r="RIN50" s="365">
        <v>0.5</v>
      </c>
      <c r="RIO50" s="366" t="e">
        <f>10/RIK48</f>
        <v>#DIV/0!</v>
      </c>
      <c r="RIP50" s="367">
        <v>15.38</v>
      </c>
      <c r="RIQ50" s="367" t="e">
        <f>RIN50*RIO50*RIP50</f>
        <v>#DIV/0!</v>
      </c>
      <c r="RIR50" s="363" t="s">
        <v>153</v>
      </c>
      <c r="RIS50" s="363"/>
      <c r="RIT50" s="363"/>
      <c r="RIU50" s="364" t="s">
        <v>140</v>
      </c>
      <c r="RIV50" s="365">
        <v>0.5</v>
      </c>
      <c r="RIW50" s="366" t="e">
        <f>10/RIS48</f>
        <v>#DIV/0!</v>
      </c>
      <c r="RIX50" s="367">
        <v>15.38</v>
      </c>
      <c r="RIY50" s="367" t="e">
        <f>RIV50*RIW50*RIX50</f>
        <v>#DIV/0!</v>
      </c>
      <c r="RIZ50" s="363" t="s">
        <v>153</v>
      </c>
      <c r="RJA50" s="363"/>
      <c r="RJB50" s="363"/>
      <c r="RJC50" s="364" t="s">
        <v>140</v>
      </c>
      <c r="RJD50" s="365">
        <v>0.5</v>
      </c>
      <c r="RJE50" s="366" t="e">
        <f>10/RJA48</f>
        <v>#DIV/0!</v>
      </c>
      <c r="RJF50" s="367">
        <v>15.38</v>
      </c>
      <c r="RJG50" s="367" t="e">
        <f>RJD50*RJE50*RJF50</f>
        <v>#DIV/0!</v>
      </c>
      <c r="RJH50" s="363" t="s">
        <v>153</v>
      </c>
      <c r="RJI50" s="363"/>
      <c r="RJJ50" s="363"/>
      <c r="RJK50" s="364" t="s">
        <v>140</v>
      </c>
      <c r="RJL50" s="365">
        <v>0.5</v>
      </c>
      <c r="RJM50" s="366" t="e">
        <f>10/RJI48</f>
        <v>#DIV/0!</v>
      </c>
      <c r="RJN50" s="367">
        <v>15.38</v>
      </c>
      <c r="RJO50" s="367" t="e">
        <f>RJL50*RJM50*RJN50</f>
        <v>#DIV/0!</v>
      </c>
      <c r="RJP50" s="363" t="s">
        <v>153</v>
      </c>
      <c r="RJQ50" s="363"/>
      <c r="RJR50" s="363"/>
      <c r="RJS50" s="364" t="s">
        <v>140</v>
      </c>
      <c r="RJT50" s="365">
        <v>0.5</v>
      </c>
      <c r="RJU50" s="366" t="e">
        <f>10/RJQ48</f>
        <v>#DIV/0!</v>
      </c>
      <c r="RJV50" s="367">
        <v>15.38</v>
      </c>
      <c r="RJW50" s="367" t="e">
        <f>RJT50*RJU50*RJV50</f>
        <v>#DIV/0!</v>
      </c>
      <c r="RJX50" s="363" t="s">
        <v>153</v>
      </c>
      <c r="RJY50" s="363"/>
      <c r="RJZ50" s="363"/>
      <c r="RKA50" s="364" t="s">
        <v>140</v>
      </c>
      <c r="RKB50" s="365">
        <v>0.5</v>
      </c>
      <c r="RKC50" s="366" t="e">
        <f>10/RJY48</f>
        <v>#DIV/0!</v>
      </c>
      <c r="RKD50" s="367">
        <v>15.38</v>
      </c>
      <c r="RKE50" s="367" t="e">
        <f>RKB50*RKC50*RKD50</f>
        <v>#DIV/0!</v>
      </c>
      <c r="RKF50" s="363" t="s">
        <v>153</v>
      </c>
      <c r="RKG50" s="363"/>
      <c r="RKH50" s="363"/>
      <c r="RKI50" s="364" t="s">
        <v>140</v>
      </c>
      <c r="RKJ50" s="365">
        <v>0.5</v>
      </c>
      <c r="RKK50" s="366" t="e">
        <f>10/RKG48</f>
        <v>#DIV/0!</v>
      </c>
      <c r="RKL50" s="367">
        <v>15.38</v>
      </c>
      <c r="RKM50" s="367" t="e">
        <f>RKJ50*RKK50*RKL50</f>
        <v>#DIV/0!</v>
      </c>
      <c r="RKN50" s="363" t="s">
        <v>153</v>
      </c>
      <c r="RKO50" s="363"/>
      <c r="RKP50" s="363"/>
      <c r="RKQ50" s="364" t="s">
        <v>140</v>
      </c>
      <c r="RKR50" s="365">
        <v>0.5</v>
      </c>
      <c r="RKS50" s="366" t="e">
        <f>10/RKO48</f>
        <v>#DIV/0!</v>
      </c>
      <c r="RKT50" s="367">
        <v>15.38</v>
      </c>
      <c r="RKU50" s="367" t="e">
        <f>RKR50*RKS50*RKT50</f>
        <v>#DIV/0!</v>
      </c>
      <c r="RKV50" s="363" t="s">
        <v>153</v>
      </c>
      <c r="RKW50" s="363"/>
      <c r="RKX50" s="363"/>
      <c r="RKY50" s="364" t="s">
        <v>140</v>
      </c>
      <c r="RKZ50" s="365">
        <v>0.5</v>
      </c>
      <c r="RLA50" s="366" t="e">
        <f>10/RKW48</f>
        <v>#DIV/0!</v>
      </c>
      <c r="RLB50" s="367">
        <v>15.38</v>
      </c>
      <c r="RLC50" s="367" t="e">
        <f>RKZ50*RLA50*RLB50</f>
        <v>#DIV/0!</v>
      </c>
      <c r="RLD50" s="363" t="s">
        <v>153</v>
      </c>
      <c r="RLE50" s="363"/>
      <c r="RLF50" s="363"/>
      <c r="RLG50" s="364" t="s">
        <v>140</v>
      </c>
      <c r="RLH50" s="365">
        <v>0.5</v>
      </c>
      <c r="RLI50" s="366" t="e">
        <f>10/RLE48</f>
        <v>#DIV/0!</v>
      </c>
      <c r="RLJ50" s="367">
        <v>15.38</v>
      </c>
      <c r="RLK50" s="367" t="e">
        <f>RLH50*RLI50*RLJ50</f>
        <v>#DIV/0!</v>
      </c>
      <c r="RLL50" s="363" t="s">
        <v>153</v>
      </c>
      <c r="RLM50" s="363"/>
      <c r="RLN50" s="363"/>
      <c r="RLO50" s="364" t="s">
        <v>140</v>
      </c>
      <c r="RLP50" s="365">
        <v>0.5</v>
      </c>
      <c r="RLQ50" s="366" t="e">
        <f>10/RLM48</f>
        <v>#DIV/0!</v>
      </c>
      <c r="RLR50" s="367">
        <v>15.38</v>
      </c>
      <c r="RLS50" s="367" t="e">
        <f>RLP50*RLQ50*RLR50</f>
        <v>#DIV/0!</v>
      </c>
      <c r="RLT50" s="363" t="s">
        <v>153</v>
      </c>
      <c r="RLU50" s="363"/>
      <c r="RLV50" s="363"/>
      <c r="RLW50" s="364" t="s">
        <v>140</v>
      </c>
      <c r="RLX50" s="365">
        <v>0.5</v>
      </c>
      <c r="RLY50" s="366" t="e">
        <f>10/RLU48</f>
        <v>#DIV/0!</v>
      </c>
      <c r="RLZ50" s="367">
        <v>15.38</v>
      </c>
      <c r="RMA50" s="367" t="e">
        <f>RLX50*RLY50*RLZ50</f>
        <v>#DIV/0!</v>
      </c>
      <c r="RMB50" s="363" t="s">
        <v>153</v>
      </c>
      <c r="RMC50" s="363"/>
      <c r="RMD50" s="363"/>
      <c r="RME50" s="364" t="s">
        <v>140</v>
      </c>
      <c r="RMF50" s="365">
        <v>0.5</v>
      </c>
      <c r="RMG50" s="366" t="e">
        <f>10/RMC48</f>
        <v>#DIV/0!</v>
      </c>
      <c r="RMH50" s="367">
        <v>15.38</v>
      </c>
      <c r="RMI50" s="367" t="e">
        <f>RMF50*RMG50*RMH50</f>
        <v>#DIV/0!</v>
      </c>
      <c r="RMJ50" s="363" t="s">
        <v>153</v>
      </c>
      <c r="RMK50" s="363"/>
      <c r="RML50" s="363"/>
      <c r="RMM50" s="364" t="s">
        <v>140</v>
      </c>
      <c r="RMN50" s="365">
        <v>0.5</v>
      </c>
      <c r="RMO50" s="366" t="e">
        <f>10/RMK48</f>
        <v>#DIV/0!</v>
      </c>
      <c r="RMP50" s="367">
        <v>15.38</v>
      </c>
      <c r="RMQ50" s="367" t="e">
        <f>RMN50*RMO50*RMP50</f>
        <v>#DIV/0!</v>
      </c>
      <c r="RMR50" s="363" t="s">
        <v>153</v>
      </c>
      <c r="RMS50" s="363"/>
      <c r="RMT50" s="363"/>
      <c r="RMU50" s="364" t="s">
        <v>140</v>
      </c>
      <c r="RMV50" s="365">
        <v>0.5</v>
      </c>
      <c r="RMW50" s="366" t="e">
        <f>10/RMS48</f>
        <v>#DIV/0!</v>
      </c>
      <c r="RMX50" s="367">
        <v>15.38</v>
      </c>
      <c r="RMY50" s="367" t="e">
        <f>RMV50*RMW50*RMX50</f>
        <v>#DIV/0!</v>
      </c>
      <c r="RMZ50" s="363" t="s">
        <v>153</v>
      </c>
      <c r="RNA50" s="363"/>
      <c r="RNB50" s="363"/>
      <c r="RNC50" s="364" t="s">
        <v>140</v>
      </c>
      <c r="RND50" s="365">
        <v>0.5</v>
      </c>
      <c r="RNE50" s="366" t="e">
        <f>10/RNA48</f>
        <v>#DIV/0!</v>
      </c>
      <c r="RNF50" s="367">
        <v>15.38</v>
      </c>
      <c r="RNG50" s="367" t="e">
        <f>RND50*RNE50*RNF50</f>
        <v>#DIV/0!</v>
      </c>
      <c r="RNH50" s="363" t="s">
        <v>153</v>
      </c>
      <c r="RNI50" s="363"/>
      <c r="RNJ50" s="363"/>
      <c r="RNK50" s="364" t="s">
        <v>140</v>
      </c>
      <c r="RNL50" s="365">
        <v>0.5</v>
      </c>
      <c r="RNM50" s="366" t="e">
        <f>10/RNI48</f>
        <v>#DIV/0!</v>
      </c>
      <c r="RNN50" s="367">
        <v>15.38</v>
      </c>
      <c r="RNO50" s="367" t="e">
        <f>RNL50*RNM50*RNN50</f>
        <v>#DIV/0!</v>
      </c>
      <c r="RNP50" s="363" t="s">
        <v>153</v>
      </c>
      <c r="RNQ50" s="363"/>
      <c r="RNR50" s="363"/>
      <c r="RNS50" s="364" t="s">
        <v>140</v>
      </c>
      <c r="RNT50" s="365">
        <v>0.5</v>
      </c>
      <c r="RNU50" s="366" t="e">
        <f>10/RNQ48</f>
        <v>#DIV/0!</v>
      </c>
      <c r="RNV50" s="367">
        <v>15.38</v>
      </c>
      <c r="RNW50" s="367" t="e">
        <f>RNT50*RNU50*RNV50</f>
        <v>#DIV/0!</v>
      </c>
      <c r="RNX50" s="363" t="s">
        <v>153</v>
      </c>
      <c r="RNY50" s="363"/>
      <c r="RNZ50" s="363"/>
      <c r="ROA50" s="364" t="s">
        <v>140</v>
      </c>
      <c r="ROB50" s="365">
        <v>0.5</v>
      </c>
      <c r="ROC50" s="366" t="e">
        <f>10/RNY48</f>
        <v>#DIV/0!</v>
      </c>
      <c r="ROD50" s="367">
        <v>15.38</v>
      </c>
      <c r="ROE50" s="367" t="e">
        <f>ROB50*ROC50*ROD50</f>
        <v>#DIV/0!</v>
      </c>
      <c r="ROF50" s="363" t="s">
        <v>153</v>
      </c>
      <c r="ROG50" s="363"/>
      <c r="ROH50" s="363"/>
      <c r="ROI50" s="364" t="s">
        <v>140</v>
      </c>
      <c r="ROJ50" s="365">
        <v>0.5</v>
      </c>
      <c r="ROK50" s="366" t="e">
        <f>10/ROG48</f>
        <v>#DIV/0!</v>
      </c>
      <c r="ROL50" s="367">
        <v>15.38</v>
      </c>
      <c r="ROM50" s="367" t="e">
        <f>ROJ50*ROK50*ROL50</f>
        <v>#DIV/0!</v>
      </c>
      <c r="RON50" s="363" t="s">
        <v>153</v>
      </c>
      <c r="ROO50" s="363"/>
      <c r="ROP50" s="363"/>
      <c r="ROQ50" s="364" t="s">
        <v>140</v>
      </c>
      <c r="ROR50" s="365">
        <v>0.5</v>
      </c>
      <c r="ROS50" s="366" t="e">
        <f>10/ROO48</f>
        <v>#DIV/0!</v>
      </c>
      <c r="ROT50" s="367">
        <v>15.38</v>
      </c>
      <c r="ROU50" s="367" t="e">
        <f>ROR50*ROS50*ROT50</f>
        <v>#DIV/0!</v>
      </c>
      <c r="ROV50" s="363" t="s">
        <v>153</v>
      </c>
      <c r="ROW50" s="363"/>
      <c r="ROX50" s="363"/>
      <c r="ROY50" s="364" t="s">
        <v>140</v>
      </c>
      <c r="ROZ50" s="365">
        <v>0.5</v>
      </c>
      <c r="RPA50" s="366" t="e">
        <f>10/ROW48</f>
        <v>#DIV/0!</v>
      </c>
      <c r="RPB50" s="367">
        <v>15.38</v>
      </c>
      <c r="RPC50" s="367" t="e">
        <f>ROZ50*RPA50*RPB50</f>
        <v>#DIV/0!</v>
      </c>
      <c r="RPD50" s="363" t="s">
        <v>153</v>
      </c>
      <c r="RPE50" s="363"/>
      <c r="RPF50" s="363"/>
      <c r="RPG50" s="364" t="s">
        <v>140</v>
      </c>
      <c r="RPH50" s="365">
        <v>0.5</v>
      </c>
      <c r="RPI50" s="366" t="e">
        <f>10/RPE48</f>
        <v>#DIV/0!</v>
      </c>
      <c r="RPJ50" s="367">
        <v>15.38</v>
      </c>
      <c r="RPK50" s="367" t="e">
        <f>RPH50*RPI50*RPJ50</f>
        <v>#DIV/0!</v>
      </c>
      <c r="RPL50" s="363" t="s">
        <v>153</v>
      </c>
      <c r="RPM50" s="363"/>
      <c r="RPN50" s="363"/>
      <c r="RPO50" s="364" t="s">
        <v>140</v>
      </c>
      <c r="RPP50" s="365">
        <v>0.5</v>
      </c>
      <c r="RPQ50" s="366" t="e">
        <f>10/RPM48</f>
        <v>#DIV/0!</v>
      </c>
      <c r="RPR50" s="367">
        <v>15.38</v>
      </c>
      <c r="RPS50" s="367" t="e">
        <f>RPP50*RPQ50*RPR50</f>
        <v>#DIV/0!</v>
      </c>
      <c r="RPT50" s="363" t="s">
        <v>153</v>
      </c>
      <c r="RPU50" s="363"/>
      <c r="RPV50" s="363"/>
      <c r="RPW50" s="364" t="s">
        <v>140</v>
      </c>
      <c r="RPX50" s="365">
        <v>0.5</v>
      </c>
      <c r="RPY50" s="366" t="e">
        <f>10/RPU48</f>
        <v>#DIV/0!</v>
      </c>
      <c r="RPZ50" s="367">
        <v>15.38</v>
      </c>
      <c r="RQA50" s="367" t="e">
        <f>RPX50*RPY50*RPZ50</f>
        <v>#DIV/0!</v>
      </c>
      <c r="RQB50" s="363" t="s">
        <v>153</v>
      </c>
      <c r="RQC50" s="363"/>
      <c r="RQD50" s="363"/>
      <c r="RQE50" s="364" t="s">
        <v>140</v>
      </c>
      <c r="RQF50" s="365">
        <v>0.5</v>
      </c>
      <c r="RQG50" s="366" t="e">
        <f>10/RQC48</f>
        <v>#DIV/0!</v>
      </c>
      <c r="RQH50" s="367">
        <v>15.38</v>
      </c>
      <c r="RQI50" s="367" t="e">
        <f>RQF50*RQG50*RQH50</f>
        <v>#DIV/0!</v>
      </c>
      <c r="RQJ50" s="363" t="s">
        <v>153</v>
      </c>
      <c r="RQK50" s="363"/>
      <c r="RQL50" s="363"/>
      <c r="RQM50" s="364" t="s">
        <v>140</v>
      </c>
      <c r="RQN50" s="365">
        <v>0.5</v>
      </c>
      <c r="RQO50" s="366" t="e">
        <f>10/RQK48</f>
        <v>#DIV/0!</v>
      </c>
      <c r="RQP50" s="367">
        <v>15.38</v>
      </c>
      <c r="RQQ50" s="367" t="e">
        <f>RQN50*RQO50*RQP50</f>
        <v>#DIV/0!</v>
      </c>
      <c r="RQR50" s="363" t="s">
        <v>153</v>
      </c>
      <c r="RQS50" s="363"/>
      <c r="RQT50" s="363"/>
      <c r="RQU50" s="364" t="s">
        <v>140</v>
      </c>
      <c r="RQV50" s="365">
        <v>0.5</v>
      </c>
      <c r="RQW50" s="366" t="e">
        <f>10/RQS48</f>
        <v>#DIV/0!</v>
      </c>
      <c r="RQX50" s="367">
        <v>15.38</v>
      </c>
      <c r="RQY50" s="367" t="e">
        <f>RQV50*RQW50*RQX50</f>
        <v>#DIV/0!</v>
      </c>
      <c r="RQZ50" s="363" t="s">
        <v>153</v>
      </c>
      <c r="RRA50" s="363"/>
      <c r="RRB50" s="363"/>
      <c r="RRC50" s="364" t="s">
        <v>140</v>
      </c>
      <c r="RRD50" s="365">
        <v>0.5</v>
      </c>
      <c r="RRE50" s="366" t="e">
        <f>10/RRA48</f>
        <v>#DIV/0!</v>
      </c>
      <c r="RRF50" s="367">
        <v>15.38</v>
      </c>
      <c r="RRG50" s="367" t="e">
        <f>RRD50*RRE50*RRF50</f>
        <v>#DIV/0!</v>
      </c>
      <c r="RRH50" s="363" t="s">
        <v>153</v>
      </c>
      <c r="RRI50" s="363"/>
      <c r="RRJ50" s="363"/>
      <c r="RRK50" s="364" t="s">
        <v>140</v>
      </c>
      <c r="RRL50" s="365">
        <v>0.5</v>
      </c>
      <c r="RRM50" s="366" t="e">
        <f>10/RRI48</f>
        <v>#DIV/0!</v>
      </c>
      <c r="RRN50" s="367">
        <v>15.38</v>
      </c>
      <c r="RRO50" s="367" t="e">
        <f>RRL50*RRM50*RRN50</f>
        <v>#DIV/0!</v>
      </c>
      <c r="RRP50" s="363" t="s">
        <v>153</v>
      </c>
      <c r="RRQ50" s="363"/>
      <c r="RRR50" s="363"/>
      <c r="RRS50" s="364" t="s">
        <v>140</v>
      </c>
      <c r="RRT50" s="365">
        <v>0.5</v>
      </c>
      <c r="RRU50" s="366" t="e">
        <f>10/RRQ48</f>
        <v>#DIV/0!</v>
      </c>
      <c r="RRV50" s="367">
        <v>15.38</v>
      </c>
      <c r="RRW50" s="367" t="e">
        <f>RRT50*RRU50*RRV50</f>
        <v>#DIV/0!</v>
      </c>
      <c r="RRX50" s="363" t="s">
        <v>153</v>
      </c>
      <c r="RRY50" s="363"/>
      <c r="RRZ50" s="363"/>
      <c r="RSA50" s="364" t="s">
        <v>140</v>
      </c>
      <c r="RSB50" s="365">
        <v>0.5</v>
      </c>
      <c r="RSC50" s="366" t="e">
        <f>10/RRY48</f>
        <v>#DIV/0!</v>
      </c>
      <c r="RSD50" s="367">
        <v>15.38</v>
      </c>
      <c r="RSE50" s="367" t="e">
        <f>RSB50*RSC50*RSD50</f>
        <v>#DIV/0!</v>
      </c>
      <c r="RSF50" s="363" t="s">
        <v>153</v>
      </c>
      <c r="RSG50" s="363"/>
      <c r="RSH50" s="363"/>
      <c r="RSI50" s="364" t="s">
        <v>140</v>
      </c>
      <c r="RSJ50" s="365">
        <v>0.5</v>
      </c>
      <c r="RSK50" s="366" t="e">
        <f>10/RSG48</f>
        <v>#DIV/0!</v>
      </c>
      <c r="RSL50" s="367">
        <v>15.38</v>
      </c>
      <c r="RSM50" s="367" t="e">
        <f>RSJ50*RSK50*RSL50</f>
        <v>#DIV/0!</v>
      </c>
      <c r="RSN50" s="363" t="s">
        <v>153</v>
      </c>
      <c r="RSO50" s="363"/>
      <c r="RSP50" s="363"/>
      <c r="RSQ50" s="364" t="s">
        <v>140</v>
      </c>
      <c r="RSR50" s="365">
        <v>0.5</v>
      </c>
      <c r="RSS50" s="366" t="e">
        <f>10/RSO48</f>
        <v>#DIV/0!</v>
      </c>
      <c r="RST50" s="367">
        <v>15.38</v>
      </c>
      <c r="RSU50" s="367" t="e">
        <f>RSR50*RSS50*RST50</f>
        <v>#DIV/0!</v>
      </c>
      <c r="RSV50" s="363" t="s">
        <v>153</v>
      </c>
      <c r="RSW50" s="363"/>
      <c r="RSX50" s="363"/>
      <c r="RSY50" s="364" t="s">
        <v>140</v>
      </c>
      <c r="RSZ50" s="365">
        <v>0.5</v>
      </c>
      <c r="RTA50" s="366" t="e">
        <f>10/RSW48</f>
        <v>#DIV/0!</v>
      </c>
      <c r="RTB50" s="367">
        <v>15.38</v>
      </c>
      <c r="RTC50" s="367" t="e">
        <f>RSZ50*RTA50*RTB50</f>
        <v>#DIV/0!</v>
      </c>
      <c r="RTD50" s="363" t="s">
        <v>153</v>
      </c>
      <c r="RTE50" s="363"/>
      <c r="RTF50" s="363"/>
      <c r="RTG50" s="364" t="s">
        <v>140</v>
      </c>
      <c r="RTH50" s="365">
        <v>0.5</v>
      </c>
      <c r="RTI50" s="366" t="e">
        <f>10/RTE48</f>
        <v>#DIV/0!</v>
      </c>
      <c r="RTJ50" s="367">
        <v>15.38</v>
      </c>
      <c r="RTK50" s="367" t="e">
        <f>RTH50*RTI50*RTJ50</f>
        <v>#DIV/0!</v>
      </c>
      <c r="RTL50" s="363" t="s">
        <v>153</v>
      </c>
      <c r="RTM50" s="363"/>
      <c r="RTN50" s="363"/>
      <c r="RTO50" s="364" t="s">
        <v>140</v>
      </c>
      <c r="RTP50" s="365">
        <v>0.5</v>
      </c>
      <c r="RTQ50" s="366" t="e">
        <f>10/RTM48</f>
        <v>#DIV/0!</v>
      </c>
      <c r="RTR50" s="367">
        <v>15.38</v>
      </c>
      <c r="RTS50" s="367" t="e">
        <f>RTP50*RTQ50*RTR50</f>
        <v>#DIV/0!</v>
      </c>
      <c r="RTT50" s="363" t="s">
        <v>153</v>
      </c>
      <c r="RTU50" s="363"/>
      <c r="RTV50" s="363"/>
      <c r="RTW50" s="364" t="s">
        <v>140</v>
      </c>
      <c r="RTX50" s="365">
        <v>0.5</v>
      </c>
      <c r="RTY50" s="366" t="e">
        <f>10/RTU48</f>
        <v>#DIV/0!</v>
      </c>
      <c r="RTZ50" s="367">
        <v>15.38</v>
      </c>
      <c r="RUA50" s="367" t="e">
        <f>RTX50*RTY50*RTZ50</f>
        <v>#DIV/0!</v>
      </c>
      <c r="RUB50" s="363" t="s">
        <v>153</v>
      </c>
      <c r="RUC50" s="363"/>
      <c r="RUD50" s="363"/>
      <c r="RUE50" s="364" t="s">
        <v>140</v>
      </c>
      <c r="RUF50" s="365">
        <v>0.5</v>
      </c>
      <c r="RUG50" s="366" t="e">
        <f>10/RUC48</f>
        <v>#DIV/0!</v>
      </c>
      <c r="RUH50" s="367">
        <v>15.38</v>
      </c>
      <c r="RUI50" s="367" t="e">
        <f>RUF50*RUG50*RUH50</f>
        <v>#DIV/0!</v>
      </c>
      <c r="RUJ50" s="363" t="s">
        <v>153</v>
      </c>
      <c r="RUK50" s="363"/>
      <c r="RUL50" s="363"/>
      <c r="RUM50" s="364" t="s">
        <v>140</v>
      </c>
      <c r="RUN50" s="365">
        <v>0.5</v>
      </c>
      <c r="RUO50" s="366" t="e">
        <f>10/RUK48</f>
        <v>#DIV/0!</v>
      </c>
      <c r="RUP50" s="367">
        <v>15.38</v>
      </c>
      <c r="RUQ50" s="367" t="e">
        <f>RUN50*RUO50*RUP50</f>
        <v>#DIV/0!</v>
      </c>
      <c r="RUR50" s="363" t="s">
        <v>153</v>
      </c>
      <c r="RUS50" s="363"/>
      <c r="RUT50" s="363"/>
      <c r="RUU50" s="364" t="s">
        <v>140</v>
      </c>
      <c r="RUV50" s="365">
        <v>0.5</v>
      </c>
      <c r="RUW50" s="366" t="e">
        <f>10/RUS48</f>
        <v>#DIV/0!</v>
      </c>
      <c r="RUX50" s="367">
        <v>15.38</v>
      </c>
      <c r="RUY50" s="367" t="e">
        <f>RUV50*RUW50*RUX50</f>
        <v>#DIV/0!</v>
      </c>
      <c r="RUZ50" s="363" t="s">
        <v>153</v>
      </c>
      <c r="RVA50" s="363"/>
      <c r="RVB50" s="363"/>
      <c r="RVC50" s="364" t="s">
        <v>140</v>
      </c>
      <c r="RVD50" s="365">
        <v>0.5</v>
      </c>
      <c r="RVE50" s="366" t="e">
        <f>10/RVA48</f>
        <v>#DIV/0!</v>
      </c>
      <c r="RVF50" s="367">
        <v>15.38</v>
      </c>
      <c r="RVG50" s="367" t="e">
        <f>RVD50*RVE50*RVF50</f>
        <v>#DIV/0!</v>
      </c>
      <c r="RVH50" s="363" t="s">
        <v>153</v>
      </c>
      <c r="RVI50" s="363"/>
      <c r="RVJ50" s="363"/>
      <c r="RVK50" s="364" t="s">
        <v>140</v>
      </c>
      <c r="RVL50" s="365">
        <v>0.5</v>
      </c>
      <c r="RVM50" s="366" t="e">
        <f>10/RVI48</f>
        <v>#DIV/0!</v>
      </c>
      <c r="RVN50" s="367">
        <v>15.38</v>
      </c>
      <c r="RVO50" s="367" t="e">
        <f>RVL50*RVM50*RVN50</f>
        <v>#DIV/0!</v>
      </c>
      <c r="RVP50" s="363" t="s">
        <v>153</v>
      </c>
      <c r="RVQ50" s="363"/>
      <c r="RVR50" s="363"/>
      <c r="RVS50" s="364" t="s">
        <v>140</v>
      </c>
      <c r="RVT50" s="365">
        <v>0.5</v>
      </c>
      <c r="RVU50" s="366" t="e">
        <f>10/RVQ48</f>
        <v>#DIV/0!</v>
      </c>
      <c r="RVV50" s="367">
        <v>15.38</v>
      </c>
      <c r="RVW50" s="367" t="e">
        <f>RVT50*RVU50*RVV50</f>
        <v>#DIV/0!</v>
      </c>
      <c r="RVX50" s="363" t="s">
        <v>153</v>
      </c>
      <c r="RVY50" s="363"/>
      <c r="RVZ50" s="363"/>
      <c r="RWA50" s="364" t="s">
        <v>140</v>
      </c>
      <c r="RWB50" s="365">
        <v>0.5</v>
      </c>
      <c r="RWC50" s="366" t="e">
        <f>10/RVY48</f>
        <v>#DIV/0!</v>
      </c>
      <c r="RWD50" s="367">
        <v>15.38</v>
      </c>
      <c r="RWE50" s="367" t="e">
        <f>RWB50*RWC50*RWD50</f>
        <v>#DIV/0!</v>
      </c>
      <c r="RWF50" s="363" t="s">
        <v>153</v>
      </c>
      <c r="RWG50" s="363"/>
      <c r="RWH50" s="363"/>
      <c r="RWI50" s="364" t="s">
        <v>140</v>
      </c>
      <c r="RWJ50" s="365">
        <v>0.5</v>
      </c>
      <c r="RWK50" s="366" t="e">
        <f>10/RWG48</f>
        <v>#DIV/0!</v>
      </c>
      <c r="RWL50" s="367">
        <v>15.38</v>
      </c>
      <c r="RWM50" s="367" t="e">
        <f>RWJ50*RWK50*RWL50</f>
        <v>#DIV/0!</v>
      </c>
      <c r="RWN50" s="363" t="s">
        <v>153</v>
      </c>
      <c r="RWO50" s="363"/>
      <c r="RWP50" s="363"/>
      <c r="RWQ50" s="364" t="s">
        <v>140</v>
      </c>
      <c r="RWR50" s="365">
        <v>0.5</v>
      </c>
      <c r="RWS50" s="366" t="e">
        <f>10/RWO48</f>
        <v>#DIV/0!</v>
      </c>
      <c r="RWT50" s="367">
        <v>15.38</v>
      </c>
      <c r="RWU50" s="367" t="e">
        <f>RWR50*RWS50*RWT50</f>
        <v>#DIV/0!</v>
      </c>
      <c r="RWV50" s="363" t="s">
        <v>153</v>
      </c>
      <c r="RWW50" s="363"/>
      <c r="RWX50" s="363"/>
      <c r="RWY50" s="364" t="s">
        <v>140</v>
      </c>
      <c r="RWZ50" s="365">
        <v>0.5</v>
      </c>
      <c r="RXA50" s="366" t="e">
        <f>10/RWW48</f>
        <v>#DIV/0!</v>
      </c>
      <c r="RXB50" s="367">
        <v>15.38</v>
      </c>
      <c r="RXC50" s="367" t="e">
        <f>RWZ50*RXA50*RXB50</f>
        <v>#DIV/0!</v>
      </c>
      <c r="RXD50" s="363" t="s">
        <v>153</v>
      </c>
      <c r="RXE50" s="363"/>
      <c r="RXF50" s="363"/>
      <c r="RXG50" s="364" t="s">
        <v>140</v>
      </c>
      <c r="RXH50" s="365">
        <v>0.5</v>
      </c>
      <c r="RXI50" s="366" t="e">
        <f>10/RXE48</f>
        <v>#DIV/0!</v>
      </c>
      <c r="RXJ50" s="367">
        <v>15.38</v>
      </c>
      <c r="RXK50" s="367" t="e">
        <f>RXH50*RXI50*RXJ50</f>
        <v>#DIV/0!</v>
      </c>
      <c r="RXL50" s="363" t="s">
        <v>153</v>
      </c>
      <c r="RXM50" s="363"/>
      <c r="RXN50" s="363"/>
      <c r="RXO50" s="364" t="s">
        <v>140</v>
      </c>
      <c r="RXP50" s="365">
        <v>0.5</v>
      </c>
      <c r="RXQ50" s="366" t="e">
        <f>10/RXM48</f>
        <v>#DIV/0!</v>
      </c>
      <c r="RXR50" s="367">
        <v>15.38</v>
      </c>
      <c r="RXS50" s="367" t="e">
        <f>RXP50*RXQ50*RXR50</f>
        <v>#DIV/0!</v>
      </c>
      <c r="RXT50" s="363" t="s">
        <v>153</v>
      </c>
      <c r="RXU50" s="363"/>
      <c r="RXV50" s="363"/>
      <c r="RXW50" s="364" t="s">
        <v>140</v>
      </c>
      <c r="RXX50" s="365">
        <v>0.5</v>
      </c>
      <c r="RXY50" s="366" t="e">
        <f>10/RXU48</f>
        <v>#DIV/0!</v>
      </c>
      <c r="RXZ50" s="367">
        <v>15.38</v>
      </c>
      <c r="RYA50" s="367" t="e">
        <f>RXX50*RXY50*RXZ50</f>
        <v>#DIV/0!</v>
      </c>
      <c r="RYB50" s="363" t="s">
        <v>153</v>
      </c>
      <c r="RYC50" s="363"/>
      <c r="RYD50" s="363"/>
      <c r="RYE50" s="364" t="s">
        <v>140</v>
      </c>
      <c r="RYF50" s="365">
        <v>0.5</v>
      </c>
      <c r="RYG50" s="366" t="e">
        <f>10/RYC48</f>
        <v>#DIV/0!</v>
      </c>
      <c r="RYH50" s="367">
        <v>15.38</v>
      </c>
      <c r="RYI50" s="367" t="e">
        <f>RYF50*RYG50*RYH50</f>
        <v>#DIV/0!</v>
      </c>
      <c r="RYJ50" s="363" t="s">
        <v>153</v>
      </c>
      <c r="RYK50" s="363"/>
      <c r="RYL50" s="363"/>
      <c r="RYM50" s="364" t="s">
        <v>140</v>
      </c>
      <c r="RYN50" s="365">
        <v>0.5</v>
      </c>
      <c r="RYO50" s="366" t="e">
        <f>10/RYK48</f>
        <v>#DIV/0!</v>
      </c>
      <c r="RYP50" s="367">
        <v>15.38</v>
      </c>
      <c r="RYQ50" s="367" t="e">
        <f>RYN50*RYO50*RYP50</f>
        <v>#DIV/0!</v>
      </c>
      <c r="RYR50" s="363" t="s">
        <v>153</v>
      </c>
      <c r="RYS50" s="363"/>
      <c r="RYT50" s="363"/>
      <c r="RYU50" s="364" t="s">
        <v>140</v>
      </c>
      <c r="RYV50" s="365">
        <v>0.5</v>
      </c>
      <c r="RYW50" s="366" t="e">
        <f>10/RYS48</f>
        <v>#DIV/0!</v>
      </c>
      <c r="RYX50" s="367">
        <v>15.38</v>
      </c>
      <c r="RYY50" s="367" t="e">
        <f>RYV50*RYW50*RYX50</f>
        <v>#DIV/0!</v>
      </c>
      <c r="RYZ50" s="363" t="s">
        <v>153</v>
      </c>
      <c r="RZA50" s="363"/>
      <c r="RZB50" s="363"/>
      <c r="RZC50" s="364" t="s">
        <v>140</v>
      </c>
      <c r="RZD50" s="365">
        <v>0.5</v>
      </c>
      <c r="RZE50" s="366" t="e">
        <f>10/RZA48</f>
        <v>#DIV/0!</v>
      </c>
      <c r="RZF50" s="367">
        <v>15.38</v>
      </c>
      <c r="RZG50" s="367" t="e">
        <f>RZD50*RZE50*RZF50</f>
        <v>#DIV/0!</v>
      </c>
      <c r="RZH50" s="363" t="s">
        <v>153</v>
      </c>
      <c r="RZI50" s="363"/>
      <c r="RZJ50" s="363"/>
      <c r="RZK50" s="364" t="s">
        <v>140</v>
      </c>
      <c r="RZL50" s="365">
        <v>0.5</v>
      </c>
      <c r="RZM50" s="366" t="e">
        <f>10/RZI48</f>
        <v>#DIV/0!</v>
      </c>
      <c r="RZN50" s="367">
        <v>15.38</v>
      </c>
      <c r="RZO50" s="367" t="e">
        <f>RZL50*RZM50*RZN50</f>
        <v>#DIV/0!</v>
      </c>
      <c r="RZP50" s="363" t="s">
        <v>153</v>
      </c>
      <c r="RZQ50" s="363"/>
      <c r="RZR50" s="363"/>
      <c r="RZS50" s="364" t="s">
        <v>140</v>
      </c>
      <c r="RZT50" s="365">
        <v>0.5</v>
      </c>
      <c r="RZU50" s="366" t="e">
        <f>10/RZQ48</f>
        <v>#DIV/0!</v>
      </c>
      <c r="RZV50" s="367">
        <v>15.38</v>
      </c>
      <c r="RZW50" s="367" t="e">
        <f>RZT50*RZU50*RZV50</f>
        <v>#DIV/0!</v>
      </c>
      <c r="RZX50" s="363" t="s">
        <v>153</v>
      </c>
      <c r="RZY50" s="363"/>
      <c r="RZZ50" s="363"/>
      <c r="SAA50" s="364" t="s">
        <v>140</v>
      </c>
      <c r="SAB50" s="365">
        <v>0.5</v>
      </c>
      <c r="SAC50" s="366" t="e">
        <f>10/RZY48</f>
        <v>#DIV/0!</v>
      </c>
      <c r="SAD50" s="367">
        <v>15.38</v>
      </c>
      <c r="SAE50" s="367" t="e">
        <f>SAB50*SAC50*SAD50</f>
        <v>#DIV/0!</v>
      </c>
      <c r="SAF50" s="363" t="s">
        <v>153</v>
      </c>
      <c r="SAG50" s="363"/>
      <c r="SAH50" s="363"/>
      <c r="SAI50" s="364" t="s">
        <v>140</v>
      </c>
      <c r="SAJ50" s="365">
        <v>0.5</v>
      </c>
      <c r="SAK50" s="366" t="e">
        <f>10/SAG48</f>
        <v>#DIV/0!</v>
      </c>
      <c r="SAL50" s="367">
        <v>15.38</v>
      </c>
      <c r="SAM50" s="367" t="e">
        <f>SAJ50*SAK50*SAL50</f>
        <v>#DIV/0!</v>
      </c>
      <c r="SAN50" s="363" t="s">
        <v>153</v>
      </c>
      <c r="SAO50" s="363"/>
      <c r="SAP50" s="363"/>
      <c r="SAQ50" s="364" t="s">
        <v>140</v>
      </c>
      <c r="SAR50" s="365">
        <v>0.5</v>
      </c>
      <c r="SAS50" s="366" t="e">
        <f>10/SAO48</f>
        <v>#DIV/0!</v>
      </c>
      <c r="SAT50" s="367">
        <v>15.38</v>
      </c>
      <c r="SAU50" s="367" t="e">
        <f>SAR50*SAS50*SAT50</f>
        <v>#DIV/0!</v>
      </c>
      <c r="SAV50" s="363" t="s">
        <v>153</v>
      </c>
      <c r="SAW50" s="363"/>
      <c r="SAX50" s="363"/>
      <c r="SAY50" s="364" t="s">
        <v>140</v>
      </c>
      <c r="SAZ50" s="365">
        <v>0.5</v>
      </c>
      <c r="SBA50" s="366" t="e">
        <f>10/SAW48</f>
        <v>#DIV/0!</v>
      </c>
      <c r="SBB50" s="367">
        <v>15.38</v>
      </c>
      <c r="SBC50" s="367" t="e">
        <f>SAZ50*SBA50*SBB50</f>
        <v>#DIV/0!</v>
      </c>
      <c r="SBD50" s="363" t="s">
        <v>153</v>
      </c>
      <c r="SBE50" s="363"/>
      <c r="SBF50" s="363"/>
      <c r="SBG50" s="364" t="s">
        <v>140</v>
      </c>
      <c r="SBH50" s="365">
        <v>0.5</v>
      </c>
      <c r="SBI50" s="366" t="e">
        <f>10/SBE48</f>
        <v>#DIV/0!</v>
      </c>
      <c r="SBJ50" s="367">
        <v>15.38</v>
      </c>
      <c r="SBK50" s="367" t="e">
        <f>SBH50*SBI50*SBJ50</f>
        <v>#DIV/0!</v>
      </c>
      <c r="SBL50" s="363" t="s">
        <v>153</v>
      </c>
      <c r="SBM50" s="363"/>
      <c r="SBN50" s="363"/>
      <c r="SBO50" s="364" t="s">
        <v>140</v>
      </c>
      <c r="SBP50" s="365">
        <v>0.5</v>
      </c>
      <c r="SBQ50" s="366" t="e">
        <f>10/SBM48</f>
        <v>#DIV/0!</v>
      </c>
      <c r="SBR50" s="367">
        <v>15.38</v>
      </c>
      <c r="SBS50" s="367" t="e">
        <f>SBP50*SBQ50*SBR50</f>
        <v>#DIV/0!</v>
      </c>
      <c r="SBT50" s="363" t="s">
        <v>153</v>
      </c>
      <c r="SBU50" s="363"/>
      <c r="SBV50" s="363"/>
      <c r="SBW50" s="364" t="s">
        <v>140</v>
      </c>
      <c r="SBX50" s="365">
        <v>0.5</v>
      </c>
      <c r="SBY50" s="366" t="e">
        <f>10/SBU48</f>
        <v>#DIV/0!</v>
      </c>
      <c r="SBZ50" s="367">
        <v>15.38</v>
      </c>
      <c r="SCA50" s="367" t="e">
        <f>SBX50*SBY50*SBZ50</f>
        <v>#DIV/0!</v>
      </c>
      <c r="SCB50" s="363" t="s">
        <v>153</v>
      </c>
      <c r="SCC50" s="363"/>
      <c r="SCD50" s="363"/>
      <c r="SCE50" s="364" t="s">
        <v>140</v>
      </c>
      <c r="SCF50" s="365">
        <v>0.5</v>
      </c>
      <c r="SCG50" s="366" t="e">
        <f>10/SCC48</f>
        <v>#DIV/0!</v>
      </c>
      <c r="SCH50" s="367">
        <v>15.38</v>
      </c>
      <c r="SCI50" s="367" t="e">
        <f>SCF50*SCG50*SCH50</f>
        <v>#DIV/0!</v>
      </c>
      <c r="SCJ50" s="363" t="s">
        <v>153</v>
      </c>
      <c r="SCK50" s="363"/>
      <c r="SCL50" s="363"/>
      <c r="SCM50" s="364" t="s">
        <v>140</v>
      </c>
      <c r="SCN50" s="365">
        <v>0.5</v>
      </c>
      <c r="SCO50" s="366" t="e">
        <f>10/SCK48</f>
        <v>#DIV/0!</v>
      </c>
      <c r="SCP50" s="367">
        <v>15.38</v>
      </c>
      <c r="SCQ50" s="367" t="e">
        <f>SCN50*SCO50*SCP50</f>
        <v>#DIV/0!</v>
      </c>
      <c r="SCR50" s="363" t="s">
        <v>153</v>
      </c>
      <c r="SCS50" s="363"/>
      <c r="SCT50" s="363"/>
      <c r="SCU50" s="364" t="s">
        <v>140</v>
      </c>
      <c r="SCV50" s="365">
        <v>0.5</v>
      </c>
      <c r="SCW50" s="366" t="e">
        <f>10/SCS48</f>
        <v>#DIV/0!</v>
      </c>
      <c r="SCX50" s="367">
        <v>15.38</v>
      </c>
      <c r="SCY50" s="367" t="e">
        <f>SCV50*SCW50*SCX50</f>
        <v>#DIV/0!</v>
      </c>
      <c r="SCZ50" s="363" t="s">
        <v>153</v>
      </c>
      <c r="SDA50" s="363"/>
      <c r="SDB50" s="363"/>
      <c r="SDC50" s="364" t="s">
        <v>140</v>
      </c>
      <c r="SDD50" s="365">
        <v>0.5</v>
      </c>
      <c r="SDE50" s="366" t="e">
        <f>10/SDA48</f>
        <v>#DIV/0!</v>
      </c>
      <c r="SDF50" s="367">
        <v>15.38</v>
      </c>
      <c r="SDG50" s="367" t="e">
        <f>SDD50*SDE50*SDF50</f>
        <v>#DIV/0!</v>
      </c>
      <c r="SDH50" s="363" t="s">
        <v>153</v>
      </c>
      <c r="SDI50" s="363"/>
      <c r="SDJ50" s="363"/>
      <c r="SDK50" s="364" t="s">
        <v>140</v>
      </c>
      <c r="SDL50" s="365">
        <v>0.5</v>
      </c>
      <c r="SDM50" s="366" t="e">
        <f>10/SDI48</f>
        <v>#DIV/0!</v>
      </c>
      <c r="SDN50" s="367">
        <v>15.38</v>
      </c>
      <c r="SDO50" s="367" t="e">
        <f>SDL50*SDM50*SDN50</f>
        <v>#DIV/0!</v>
      </c>
      <c r="SDP50" s="363" t="s">
        <v>153</v>
      </c>
      <c r="SDQ50" s="363"/>
      <c r="SDR50" s="363"/>
      <c r="SDS50" s="364" t="s">
        <v>140</v>
      </c>
      <c r="SDT50" s="365">
        <v>0.5</v>
      </c>
      <c r="SDU50" s="366" t="e">
        <f>10/SDQ48</f>
        <v>#DIV/0!</v>
      </c>
      <c r="SDV50" s="367">
        <v>15.38</v>
      </c>
      <c r="SDW50" s="367" t="e">
        <f>SDT50*SDU50*SDV50</f>
        <v>#DIV/0!</v>
      </c>
      <c r="SDX50" s="363" t="s">
        <v>153</v>
      </c>
      <c r="SDY50" s="363"/>
      <c r="SDZ50" s="363"/>
      <c r="SEA50" s="364" t="s">
        <v>140</v>
      </c>
      <c r="SEB50" s="365">
        <v>0.5</v>
      </c>
      <c r="SEC50" s="366" t="e">
        <f>10/SDY48</f>
        <v>#DIV/0!</v>
      </c>
      <c r="SED50" s="367">
        <v>15.38</v>
      </c>
      <c r="SEE50" s="367" t="e">
        <f>SEB50*SEC50*SED50</f>
        <v>#DIV/0!</v>
      </c>
      <c r="SEF50" s="363" t="s">
        <v>153</v>
      </c>
      <c r="SEG50" s="363"/>
      <c r="SEH50" s="363"/>
      <c r="SEI50" s="364" t="s">
        <v>140</v>
      </c>
      <c r="SEJ50" s="365">
        <v>0.5</v>
      </c>
      <c r="SEK50" s="366" t="e">
        <f>10/SEG48</f>
        <v>#DIV/0!</v>
      </c>
      <c r="SEL50" s="367">
        <v>15.38</v>
      </c>
      <c r="SEM50" s="367" t="e">
        <f>SEJ50*SEK50*SEL50</f>
        <v>#DIV/0!</v>
      </c>
      <c r="SEN50" s="363" t="s">
        <v>153</v>
      </c>
      <c r="SEO50" s="363"/>
      <c r="SEP50" s="363"/>
      <c r="SEQ50" s="364" t="s">
        <v>140</v>
      </c>
      <c r="SER50" s="365">
        <v>0.5</v>
      </c>
      <c r="SES50" s="366" t="e">
        <f>10/SEO48</f>
        <v>#DIV/0!</v>
      </c>
      <c r="SET50" s="367">
        <v>15.38</v>
      </c>
      <c r="SEU50" s="367" t="e">
        <f>SER50*SES50*SET50</f>
        <v>#DIV/0!</v>
      </c>
      <c r="SEV50" s="363" t="s">
        <v>153</v>
      </c>
      <c r="SEW50" s="363"/>
      <c r="SEX50" s="363"/>
      <c r="SEY50" s="364" t="s">
        <v>140</v>
      </c>
      <c r="SEZ50" s="365">
        <v>0.5</v>
      </c>
      <c r="SFA50" s="366" t="e">
        <f>10/SEW48</f>
        <v>#DIV/0!</v>
      </c>
      <c r="SFB50" s="367">
        <v>15.38</v>
      </c>
      <c r="SFC50" s="367" t="e">
        <f>SEZ50*SFA50*SFB50</f>
        <v>#DIV/0!</v>
      </c>
      <c r="SFD50" s="363" t="s">
        <v>153</v>
      </c>
      <c r="SFE50" s="363"/>
      <c r="SFF50" s="363"/>
      <c r="SFG50" s="364" t="s">
        <v>140</v>
      </c>
      <c r="SFH50" s="365">
        <v>0.5</v>
      </c>
      <c r="SFI50" s="366" t="e">
        <f>10/SFE48</f>
        <v>#DIV/0!</v>
      </c>
      <c r="SFJ50" s="367">
        <v>15.38</v>
      </c>
      <c r="SFK50" s="367" t="e">
        <f>SFH50*SFI50*SFJ50</f>
        <v>#DIV/0!</v>
      </c>
      <c r="SFL50" s="363" t="s">
        <v>153</v>
      </c>
      <c r="SFM50" s="363"/>
      <c r="SFN50" s="363"/>
      <c r="SFO50" s="364" t="s">
        <v>140</v>
      </c>
      <c r="SFP50" s="365">
        <v>0.5</v>
      </c>
      <c r="SFQ50" s="366" t="e">
        <f>10/SFM48</f>
        <v>#DIV/0!</v>
      </c>
      <c r="SFR50" s="367">
        <v>15.38</v>
      </c>
      <c r="SFS50" s="367" t="e">
        <f>SFP50*SFQ50*SFR50</f>
        <v>#DIV/0!</v>
      </c>
      <c r="SFT50" s="363" t="s">
        <v>153</v>
      </c>
      <c r="SFU50" s="363"/>
      <c r="SFV50" s="363"/>
      <c r="SFW50" s="364" t="s">
        <v>140</v>
      </c>
      <c r="SFX50" s="365">
        <v>0.5</v>
      </c>
      <c r="SFY50" s="366" t="e">
        <f>10/SFU48</f>
        <v>#DIV/0!</v>
      </c>
      <c r="SFZ50" s="367">
        <v>15.38</v>
      </c>
      <c r="SGA50" s="367" t="e">
        <f>SFX50*SFY50*SFZ50</f>
        <v>#DIV/0!</v>
      </c>
      <c r="SGB50" s="363" t="s">
        <v>153</v>
      </c>
      <c r="SGC50" s="363"/>
      <c r="SGD50" s="363"/>
      <c r="SGE50" s="364" t="s">
        <v>140</v>
      </c>
      <c r="SGF50" s="365">
        <v>0.5</v>
      </c>
      <c r="SGG50" s="366" t="e">
        <f>10/SGC48</f>
        <v>#DIV/0!</v>
      </c>
      <c r="SGH50" s="367">
        <v>15.38</v>
      </c>
      <c r="SGI50" s="367" t="e">
        <f>SGF50*SGG50*SGH50</f>
        <v>#DIV/0!</v>
      </c>
      <c r="SGJ50" s="363" t="s">
        <v>153</v>
      </c>
      <c r="SGK50" s="363"/>
      <c r="SGL50" s="363"/>
      <c r="SGM50" s="364" t="s">
        <v>140</v>
      </c>
      <c r="SGN50" s="365">
        <v>0.5</v>
      </c>
      <c r="SGO50" s="366" t="e">
        <f>10/SGK48</f>
        <v>#DIV/0!</v>
      </c>
      <c r="SGP50" s="367">
        <v>15.38</v>
      </c>
      <c r="SGQ50" s="367" t="e">
        <f>SGN50*SGO50*SGP50</f>
        <v>#DIV/0!</v>
      </c>
      <c r="SGR50" s="363" t="s">
        <v>153</v>
      </c>
      <c r="SGS50" s="363"/>
      <c r="SGT50" s="363"/>
      <c r="SGU50" s="364" t="s">
        <v>140</v>
      </c>
      <c r="SGV50" s="365">
        <v>0.5</v>
      </c>
      <c r="SGW50" s="366" t="e">
        <f>10/SGS48</f>
        <v>#DIV/0!</v>
      </c>
      <c r="SGX50" s="367">
        <v>15.38</v>
      </c>
      <c r="SGY50" s="367" t="e">
        <f>SGV50*SGW50*SGX50</f>
        <v>#DIV/0!</v>
      </c>
      <c r="SGZ50" s="363" t="s">
        <v>153</v>
      </c>
      <c r="SHA50" s="363"/>
      <c r="SHB50" s="363"/>
      <c r="SHC50" s="364" t="s">
        <v>140</v>
      </c>
      <c r="SHD50" s="365">
        <v>0.5</v>
      </c>
      <c r="SHE50" s="366" t="e">
        <f>10/SHA48</f>
        <v>#DIV/0!</v>
      </c>
      <c r="SHF50" s="367">
        <v>15.38</v>
      </c>
      <c r="SHG50" s="367" t="e">
        <f>SHD50*SHE50*SHF50</f>
        <v>#DIV/0!</v>
      </c>
      <c r="SHH50" s="363" t="s">
        <v>153</v>
      </c>
      <c r="SHI50" s="363"/>
      <c r="SHJ50" s="363"/>
      <c r="SHK50" s="364" t="s">
        <v>140</v>
      </c>
      <c r="SHL50" s="365">
        <v>0.5</v>
      </c>
      <c r="SHM50" s="366" t="e">
        <f>10/SHI48</f>
        <v>#DIV/0!</v>
      </c>
      <c r="SHN50" s="367">
        <v>15.38</v>
      </c>
      <c r="SHO50" s="367" t="e">
        <f>SHL50*SHM50*SHN50</f>
        <v>#DIV/0!</v>
      </c>
      <c r="SHP50" s="363" t="s">
        <v>153</v>
      </c>
      <c r="SHQ50" s="363"/>
      <c r="SHR50" s="363"/>
      <c r="SHS50" s="364" t="s">
        <v>140</v>
      </c>
      <c r="SHT50" s="365">
        <v>0.5</v>
      </c>
      <c r="SHU50" s="366" t="e">
        <f>10/SHQ48</f>
        <v>#DIV/0!</v>
      </c>
      <c r="SHV50" s="367">
        <v>15.38</v>
      </c>
      <c r="SHW50" s="367" t="e">
        <f>SHT50*SHU50*SHV50</f>
        <v>#DIV/0!</v>
      </c>
      <c r="SHX50" s="363" t="s">
        <v>153</v>
      </c>
      <c r="SHY50" s="363"/>
      <c r="SHZ50" s="363"/>
      <c r="SIA50" s="364" t="s">
        <v>140</v>
      </c>
      <c r="SIB50" s="365">
        <v>0.5</v>
      </c>
      <c r="SIC50" s="366" t="e">
        <f>10/SHY48</f>
        <v>#DIV/0!</v>
      </c>
      <c r="SID50" s="367">
        <v>15.38</v>
      </c>
      <c r="SIE50" s="367" t="e">
        <f>SIB50*SIC50*SID50</f>
        <v>#DIV/0!</v>
      </c>
      <c r="SIF50" s="363" t="s">
        <v>153</v>
      </c>
      <c r="SIG50" s="363"/>
      <c r="SIH50" s="363"/>
      <c r="SII50" s="364" t="s">
        <v>140</v>
      </c>
      <c r="SIJ50" s="365">
        <v>0.5</v>
      </c>
      <c r="SIK50" s="366" t="e">
        <f>10/SIG48</f>
        <v>#DIV/0!</v>
      </c>
      <c r="SIL50" s="367">
        <v>15.38</v>
      </c>
      <c r="SIM50" s="367" t="e">
        <f>SIJ50*SIK50*SIL50</f>
        <v>#DIV/0!</v>
      </c>
      <c r="SIN50" s="363" t="s">
        <v>153</v>
      </c>
      <c r="SIO50" s="363"/>
      <c r="SIP50" s="363"/>
      <c r="SIQ50" s="364" t="s">
        <v>140</v>
      </c>
      <c r="SIR50" s="365">
        <v>0.5</v>
      </c>
      <c r="SIS50" s="366" t="e">
        <f>10/SIO48</f>
        <v>#DIV/0!</v>
      </c>
      <c r="SIT50" s="367">
        <v>15.38</v>
      </c>
      <c r="SIU50" s="367" t="e">
        <f>SIR50*SIS50*SIT50</f>
        <v>#DIV/0!</v>
      </c>
      <c r="SIV50" s="363" t="s">
        <v>153</v>
      </c>
      <c r="SIW50" s="363"/>
      <c r="SIX50" s="363"/>
      <c r="SIY50" s="364" t="s">
        <v>140</v>
      </c>
      <c r="SIZ50" s="365">
        <v>0.5</v>
      </c>
      <c r="SJA50" s="366" t="e">
        <f>10/SIW48</f>
        <v>#DIV/0!</v>
      </c>
      <c r="SJB50" s="367">
        <v>15.38</v>
      </c>
      <c r="SJC50" s="367" t="e">
        <f>SIZ50*SJA50*SJB50</f>
        <v>#DIV/0!</v>
      </c>
      <c r="SJD50" s="363" t="s">
        <v>153</v>
      </c>
      <c r="SJE50" s="363"/>
      <c r="SJF50" s="363"/>
      <c r="SJG50" s="364" t="s">
        <v>140</v>
      </c>
      <c r="SJH50" s="365">
        <v>0.5</v>
      </c>
      <c r="SJI50" s="366" t="e">
        <f>10/SJE48</f>
        <v>#DIV/0!</v>
      </c>
      <c r="SJJ50" s="367">
        <v>15.38</v>
      </c>
      <c r="SJK50" s="367" t="e">
        <f>SJH50*SJI50*SJJ50</f>
        <v>#DIV/0!</v>
      </c>
      <c r="SJL50" s="363" t="s">
        <v>153</v>
      </c>
      <c r="SJM50" s="363"/>
      <c r="SJN50" s="363"/>
      <c r="SJO50" s="364" t="s">
        <v>140</v>
      </c>
      <c r="SJP50" s="365">
        <v>0.5</v>
      </c>
      <c r="SJQ50" s="366" t="e">
        <f>10/SJM48</f>
        <v>#DIV/0!</v>
      </c>
      <c r="SJR50" s="367">
        <v>15.38</v>
      </c>
      <c r="SJS50" s="367" t="e">
        <f>SJP50*SJQ50*SJR50</f>
        <v>#DIV/0!</v>
      </c>
      <c r="SJT50" s="363" t="s">
        <v>153</v>
      </c>
      <c r="SJU50" s="363"/>
      <c r="SJV50" s="363"/>
      <c r="SJW50" s="364" t="s">
        <v>140</v>
      </c>
      <c r="SJX50" s="365">
        <v>0.5</v>
      </c>
      <c r="SJY50" s="366" t="e">
        <f>10/SJU48</f>
        <v>#DIV/0!</v>
      </c>
      <c r="SJZ50" s="367">
        <v>15.38</v>
      </c>
      <c r="SKA50" s="367" t="e">
        <f>SJX50*SJY50*SJZ50</f>
        <v>#DIV/0!</v>
      </c>
      <c r="SKB50" s="363" t="s">
        <v>153</v>
      </c>
      <c r="SKC50" s="363"/>
      <c r="SKD50" s="363"/>
      <c r="SKE50" s="364" t="s">
        <v>140</v>
      </c>
      <c r="SKF50" s="365">
        <v>0.5</v>
      </c>
      <c r="SKG50" s="366" t="e">
        <f>10/SKC48</f>
        <v>#DIV/0!</v>
      </c>
      <c r="SKH50" s="367">
        <v>15.38</v>
      </c>
      <c r="SKI50" s="367" t="e">
        <f>SKF50*SKG50*SKH50</f>
        <v>#DIV/0!</v>
      </c>
      <c r="SKJ50" s="363" t="s">
        <v>153</v>
      </c>
      <c r="SKK50" s="363"/>
      <c r="SKL50" s="363"/>
      <c r="SKM50" s="364" t="s">
        <v>140</v>
      </c>
      <c r="SKN50" s="365">
        <v>0.5</v>
      </c>
      <c r="SKO50" s="366" t="e">
        <f>10/SKK48</f>
        <v>#DIV/0!</v>
      </c>
      <c r="SKP50" s="367">
        <v>15.38</v>
      </c>
      <c r="SKQ50" s="367" t="e">
        <f>SKN50*SKO50*SKP50</f>
        <v>#DIV/0!</v>
      </c>
      <c r="SKR50" s="363" t="s">
        <v>153</v>
      </c>
      <c r="SKS50" s="363"/>
      <c r="SKT50" s="363"/>
      <c r="SKU50" s="364" t="s">
        <v>140</v>
      </c>
      <c r="SKV50" s="365">
        <v>0.5</v>
      </c>
      <c r="SKW50" s="366" t="e">
        <f>10/SKS48</f>
        <v>#DIV/0!</v>
      </c>
      <c r="SKX50" s="367">
        <v>15.38</v>
      </c>
      <c r="SKY50" s="367" t="e">
        <f>SKV50*SKW50*SKX50</f>
        <v>#DIV/0!</v>
      </c>
      <c r="SKZ50" s="363" t="s">
        <v>153</v>
      </c>
      <c r="SLA50" s="363"/>
      <c r="SLB50" s="363"/>
      <c r="SLC50" s="364" t="s">
        <v>140</v>
      </c>
      <c r="SLD50" s="365">
        <v>0.5</v>
      </c>
      <c r="SLE50" s="366" t="e">
        <f>10/SLA48</f>
        <v>#DIV/0!</v>
      </c>
      <c r="SLF50" s="367">
        <v>15.38</v>
      </c>
      <c r="SLG50" s="367" t="e">
        <f>SLD50*SLE50*SLF50</f>
        <v>#DIV/0!</v>
      </c>
      <c r="SLH50" s="363" t="s">
        <v>153</v>
      </c>
      <c r="SLI50" s="363"/>
      <c r="SLJ50" s="363"/>
      <c r="SLK50" s="364" t="s">
        <v>140</v>
      </c>
      <c r="SLL50" s="365">
        <v>0.5</v>
      </c>
      <c r="SLM50" s="366" t="e">
        <f>10/SLI48</f>
        <v>#DIV/0!</v>
      </c>
      <c r="SLN50" s="367">
        <v>15.38</v>
      </c>
      <c r="SLO50" s="367" t="e">
        <f>SLL50*SLM50*SLN50</f>
        <v>#DIV/0!</v>
      </c>
      <c r="SLP50" s="363" t="s">
        <v>153</v>
      </c>
      <c r="SLQ50" s="363"/>
      <c r="SLR50" s="363"/>
      <c r="SLS50" s="364" t="s">
        <v>140</v>
      </c>
      <c r="SLT50" s="365">
        <v>0.5</v>
      </c>
      <c r="SLU50" s="366" t="e">
        <f>10/SLQ48</f>
        <v>#DIV/0!</v>
      </c>
      <c r="SLV50" s="367">
        <v>15.38</v>
      </c>
      <c r="SLW50" s="367" t="e">
        <f>SLT50*SLU50*SLV50</f>
        <v>#DIV/0!</v>
      </c>
      <c r="SLX50" s="363" t="s">
        <v>153</v>
      </c>
      <c r="SLY50" s="363"/>
      <c r="SLZ50" s="363"/>
      <c r="SMA50" s="364" t="s">
        <v>140</v>
      </c>
      <c r="SMB50" s="365">
        <v>0.5</v>
      </c>
      <c r="SMC50" s="366" t="e">
        <f>10/SLY48</f>
        <v>#DIV/0!</v>
      </c>
      <c r="SMD50" s="367">
        <v>15.38</v>
      </c>
      <c r="SME50" s="367" t="e">
        <f>SMB50*SMC50*SMD50</f>
        <v>#DIV/0!</v>
      </c>
      <c r="SMF50" s="363" t="s">
        <v>153</v>
      </c>
      <c r="SMG50" s="363"/>
      <c r="SMH50" s="363"/>
      <c r="SMI50" s="364" t="s">
        <v>140</v>
      </c>
      <c r="SMJ50" s="365">
        <v>0.5</v>
      </c>
      <c r="SMK50" s="366" t="e">
        <f>10/SMG48</f>
        <v>#DIV/0!</v>
      </c>
      <c r="SML50" s="367">
        <v>15.38</v>
      </c>
      <c r="SMM50" s="367" t="e">
        <f>SMJ50*SMK50*SML50</f>
        <v>#DIV/0!</v>
      </c>
      <c r="SMN50" s="363" t="s">
        <v>153</v>
      </c>
      <c r="SMO50" s="363"/>
      <c r="SMP50" s="363"/>
      <c r="SMQ50" s="364" t="s">
        <v>140</v>
      </c>
      <c r="SMR50" s="365">
        <v>0.5</v>
      </c>
      <c r="SMS50" s="366" t="e">
        <f>10/SMO48</f>
        <v>#DIV/0!</v>
      </c>
      <c r="SMT50" s="367">
        <v>15.38</v>
      </c>
      <c r="SMU50" s="367" t="e">
        <f>SMR50*SMS50*SMT50</f>
        <v>#DIV/0!</v>
      </c>
      <c r="SMV50" s="363" t="s">
        <v>153</v>
      </c>
      <c r="SMW50" s="363"/>
      <c r="SMX50" s="363"/>
      <c r="SMY50" s="364" t="s">
        <v>140</v>
      </c>
      <c r="SMZ50" s="365">
        <v>0.5</v>
      </c>
      <c r="SNA50" s="366" t="e">
        <f>10/SMW48</f>
        <v>#DIV/0!</v>
      </c>
      <c r="SNB50" s="367">
        <v>15.38</v>
      </c>
      <c r="SNC50" s="367" t="e">
        <f>SMZ50*SNA50*SNB50</f>
        <v>#DIV/0!</v>
      </c>
      <c r="SND50" s="363" t="s">
        <v>153</v>
      </c>
      <c r="SNE50" s="363"/>
      <c r="SNF50" s="363"/>
      <c r="SNG50" s="364" t="s">
        <v>140</v>
      </c>
      <c r="SNH50" s="365">
        <v>0.5</v>
      </c>
      <c r="SNI50" s="366" t="e">
        <f>10/SNE48</f>
        <v>#DIV/0!</v>
      </c>
      <c r="SNJ50" s="367">
        <v>15.38</v>
      </c>
      <c r="SNK50" s="367" t="e">
        <f>SNH50*SNI50*SNJ50</f>
        <v>#DIV/0!</v>
      </c>
      <c r="SNL50" s="363" t="s">
        <v>153</v>
      </c>
      <c r="SNM50" s="363"/>
      <c r="SNN50" s="363"/>
      <c r="SNO50" s="364" t="s">
        <v>140</v>
      </c>
      <c r="SNP50" s="365">
        <v>0.5</v>
      </c>
      <c r="SNQ50" s="366" t="e">
        <f>10/SNM48</f>
        <v>#DIV/0!</v>
      </c>
      <c r="SNR50" s="367">
        <v>15.38</v>
      </c>
      <c r="SNS50" s="367" t="e">
        <f>SNP50*SNQ50*SNR50</f>
        <v>#DIV/0!</v>
      </c>
      <c r="SNT50" s="363" t="s">
        <v>153</v>
      </c>
      <c r="SNU50" s="363"/>
      <c r="SNV50" s="363"/>
      <c r="SNW50" s="364" t="s">
        <v>140</v>
      </c>
      <c r="SNX50" s="365">
        <v>0.5</v>
      </c>
      <c r="SNY50" s="366" t="e">
        <f>10/SNU48</f>
        <v>#DIV/0!</v>
      </c>
      <c r="SNZ50" s="367">
        <v>15.38</v>
      </c>
      <c r="SOA50" s="367" t="e">
        <f>SNX50*SNY50*SNZ50</f>
        <v>#DIV/0!</v>
      </c>
      <c r="SOB50" s="363" t="s">
        <v>153</v>
      </c>
      <c r="SOC50" s="363"/>
      <c r="SOD50" s="363"/>
      <c r="SOE50" s="364" t="s">
        <v>140</v>
      </c>
      <c r="SOF50" s="365">
        <v>0.5</v>
      </c>
      <c r="SOG50" s="366" t="e">
        <f>10/SOC48</f>
        <v>#DIV/0!</v>
      </c>
      <c r="SOH50" s="367">
        <v>15.38</v>
      </c>
      <c r="SOI50" s="367" t="e">
        <f>SOF50*SOG50*SOH50</f>
        <v>#DIV/0!</v>
      </c>
      <c r="SOJ50" s="363" t="s">
        <v>153</v>
      </c>
      <c r="SOK50" s="363"/>
      <c r="SOL50" s="363"/>
      <c r="SOM50" s="364" t="s">
        <v>140</v>
      </c>
      <c r="SON50" s="365">
        <v>0.5</v>
      </c>
      <c r="SOO50" s="366" t="e">
        <f>10/SOK48</f>
        <v>#DIV/0!</v>
      </c>
      <c r="SOP50" s="367">
        <v>15.38</v>
      </c>
      <c r="SOQ50" s="367" t="e">
        <f>SON50*SOO50*SOP50</f>
        <v>#DIV/0!</v>
      </c>
      <c r="SOR50" s="363" t="s">
        <v>153</v>
      </c>
      <c r="SOS50" s="363"/>
      <c r="SOT50" s="363"/>
      <c r="SOU50" s="364" t="s">
        <v>140</v>
      </c>
      <c r="SOV50" s="365">
        <v>0.5</v>
      </c>
      <c r="SOW50" s="366" t="e">
        <f>10/SOS48</f>
        <v>#DIV/0!</v>
      </c>
      <c r="SOX50" s="367">
        <v>15.38</v>
      </c>
      <c r="SOY50" s="367" t="e">
        <f>SOV50*SOW50*SOX50</f>
        <v>#DIV/0!</v>
      </c>
      <c r="SOZ50" s="363" t="s">
        <v>153</v>
      </c>
      <c r="SPA50" s="363"/>
      <c r="SPB50" s="363"/>
      <c r="SPC50" s="364" t="s">
        <v>140</v>
      </c>
      <c r="SPD50" s="365">
        <v>0.5</v>
      </c>
      <c r="SPE50" s="366" t="e">
        <f>10/SPA48</f>
        <v>#DIV/0!</v>
      </c>
      <c r="SPF50" s="367">
        <v>15.38</v>
      </c>
      <c r="SPG50" s="367" t="e">
        <f>SPD50*SPE50*SPF50</f>
        <v>#DIV/0!</v>
      </c>
      <c r="SPH50" s="363" t="s">
        <v>153</v>
      </c>
      <c r="SPI50" s="363"/>
      <c r="SPJ50" s="363"/>
      <c r="SPK50" s="364" t="s">
        <v>140</v>
      </c>
      <c r="SPL50" s="365">
        <v>0.5</v>
      </c>
      <c r="SPM50" s="366" t="e">
        <f>10/SPI48</f>
        <v>#DIV/0!</v>
      </c>
      <c r="SPN50" s="367">
        <v>15.38</v>
      </c>
      <c r="SPO50" s="367" t="e">
        <f>SPL50*SPM50*SPN50</f>
        <v>#DIV/0!</v>
      </c>
      <c r="SPP50" s="363" t="s">
        <v>153</v>
      </c>
      <c r="SPQ50" s="363"/>
      <c r="SPR50" s="363"/>
      <c r="SPS50" s="364" t="s">
        <v>140</v>
      </c>
      <c r="SPT50" s="365">
        <v>0.5</v>
      </c>
      <c r="SPU50" s="366" t="e">
        <f>10/SPQ48</f>
        <v>#DIV/0!</v>
      </c>
      <c r="SPV50" s="367">
        <v>15.38</v>
      </c>
      <c r="SPW50" s="367" t="e">
        <f>SPT50*SPU50*SPV50</f>
        <v>#DIV/0!</v>
      </c>
      <c r="SPX50" s="363" t="s">
        <v>153</v>
      </c>
      <c r="SPY50" s="363"/>
      <c r="SPZ50" s="363"/>
      <c r="SQA50" s="364" t="s">
        <v>140</v>
      </c>
      <c r="SQB50" s="365">
        <v>0.5</v>
      </c>
      <c r="SQC50" s="366" t="e">
        <f>10/SPY48</f>
        <v>#DIV/0!</v>
      </c>
      <c r="SQD50" s="367">
        <v>15.38</v>
      </c>
      <c r="SQE50" s="367" t="e">
        <f>SQB50*SQC50*SQD50</f>
        <v>#DIV/0!</v>
      </c>
      <c r="SQF50" s="363" t="s">
        <v>153</v>
      </c>
      <c r="SQG50" s="363"/>
      <c r="SQH50" s="363"/>
      <c r="SQI50" s="364" t="s">
        <v>140</v>
      </c>
      <c r="SQJ50" s="365">
        <v>0.5</v>
      </c>
      <c r="SQK50" s="366" t="e">
        <f>10/SQG48</f>
        <v>#DIV/0!</v>
      </c>
      <c r="SQL50" s="367">
        <v>15.38</v>
      </c>
      <c r="SQM50" s="367" t="e">
        <f>SQJ50*SQK50*SQL50</f>
        <v>#DIV/0!</v>
      </c>
      <c r="SQN50" s="363" t="s">
        <v>153</v>
      </c>
      <c r="SQO50" s="363"/>
      <c r="SQP50" s="363"/>
      <c r="SQQ50" s="364" t="s">
        <v>140</v>
      </c>
      <c r="SQR50" s="365">
        <v>0.5</v>
      </c>
      <c r="SQS50" s="366" t="e">
        <f>10/SQO48</f>
        <v>#DIV/0!</v>
      </c>
      <c r="SQT50" s="367">
        <v>15.38</v>
      </c>
      <c r="SQU50" s="367" t="e">
        <f>SQR50*SQS50*SQT50</f>
        <v>#DIV/0!</v>
      </c>
      <c r="SQV50" s="363" t="s">
        <v>153</v>
      </c>
      <c r="SQW50" s="363"/>
      <c r="SQX50" s="363"/>
      <c r="SQY50" s="364" t="s">
        <v>140</v>
      </c>
      <c r="SQZ50" s="365">
        <v>0.5</v>
      </c>
      <c r="SRA50" s="366" t="e">
        <f>10/SQW48</f>
        <v>#DIV/0!</v>
      </c>
      <c r="SRB50" s="367">
        <v>15.38</v>
      </c>
      <c r="SRC50" s="367" t="e">
        <f>SQZ50*SRA50*SRB50</f>
        <v>#DIV/0!</v>
      </c>
      <c r="SRD50" s="363" t="s">
        <v>153</v>
      </c>
      <c r="SRE50" s="363"/>
      <c r="SRF50" s="363"/>
      <c r="SRG50" s="364" t="s">
        <v>140</v>
      </c>
      <c r="SRH50" s="365">
        <v>0.5</v>
      </c>
      <c r="SRI50" s="366" t="e">
        <f>10/SRE48</f>
        <v>#DIV/0!</v>
      </c>
      <c r="SRJ50" s="367">
        <v>15.38</v>
      </c>
      <c r="SRK50" s="367" t="e">
        <f>SRH50*SRI50*SRJ50</f>
        <v>#DIV/0!</v>
      </c>
      <c r="SRL50" s="363" t="s">
        <v>153</v>
      </c>
      <c r="SRM50" s="363"/>
      <c r="SRN50" s="363"/>
      <c r="SRO50" s="364" t="s">
        <v>140</v>
      </c>
      <c r="SRP50" s="365">
        <v>0.5</v>
      </c>
      <c r="SRQ50" s="366" t="e">
        <f>10/SRM48</f>
        <v>#DIV/0!</v>
      </c>
      <c r="SRR50" s="367">
        <v>15.38</v>
      </c>
      <c r="SRS50" s="367" t="e">
        <f>SRP50*SRQ50*SRR50</f>
        <v>#DIV/0!</v>
      </c>
      <c r="SRT50" s="363" t="s">
        <v>153</v>
      </c>
      <c r="SRU50" s="363"/>
      <c r="SRV50" s="363"/>
      <c r="SRW50" s="364" t="s">
        <v>140</v>
      </c>
      <c r="SRX50" s="365">
        <v>0.5</v>
      </c>
      <c r="SRY50" s="366" t="e">
        <f>10/SRU48</f>
        <v>#DIV/0!</v>
      </c>
      <c r="SRZ50" s="367">
        <v>15.38</v>
      </c>
      <c r="SSA50" s="367" t="e">
        <f>SRX50*SRY50*SRZ50</f>
        <v>#DIV/0!</v>
      </c>
      <c r="SSB50" s="363" t="s">
        <v>153</v>
      </c>
      <c r="SSC50" s="363"/>
      <c r="SSD50" s="363"/>
      <c r="SSE50" s="364" t="s">
        <v>140</v>
      </c>
      <c r="SSF50" s="365">
        <v>0.5</v>
      </c>
      <c r="SSG50" s="366" t="e">
        <f>10/SSC48</f>
        <v>#DIV/0!</v>
      </c>
      <c r="SSH50" s="367">
        <v>15.38</v>
      </c>
      <c r="SSI50" s="367" t="e">
        <f>SSF50*SSG50*SSH50</f>
        <v>#DIV/0!</v>
      </c>
      <c r="SSJ50" s="363" t="s">
        <v>153</v>
      </c>
      <c r="SSK50" s="363"/>
      <c r="SSL50" s="363"/>
      <c r="SSM50" s="364" t="s">
        <v>140</v>
      </c>
      <c r="SSN50" s="365">
        <v>0.5</v>
      </c>
      <c r="SSO50" s="366" t="e">
        <f>10/SSK48</f>
        <v>#DIV/0!</v>
      </c>
      <c r="SSP50" s="367">
        <v>15.38</v>
      </c>
      <c r="SSQ50" s="367" t="e">
        <f>SSN50*SSO50*SSP50</f>
        <v>#DIV/0!</v>
      </c>
      <c r="SSR50" s="363" t="s">
        <v>153</v>
      </c>
      <c r="SSS50" s="363"/>
      <c r="SST50" s="363"/>
      <c r="SSU50" s="364" t="s">
        <v>140</v>
      </c>
      <c r="SSV50" s="365">
        <v>0.5</v>
      </c>
      <c r="SSW50" s="366" t="e">
        <f>10/SSS48</f>
        <v>#DIV/0!</v>
      </c>
      <c r="SSX50" s="367">
        <v>15.38</v>
      </c>
      <c r="SSY50" s="367" t="e">
        <f>SSV50*SSW50*SSX50</f>
        <v>#DIV/0!</v>
      </c>
      <c r="SSZ50" s="363" t="s">
        <v>153</v>
      </c>
      <c r="STA50" s="363"/>
      <c r="STB50" s="363"/>
      <c r="STC50" s="364" t="s">
        <v>140</v>
      </c>
      <c r="STD50" s="365">
        <v>0.5</v>
      </c>
      <c r="STE50" s="366" t="e">
        <f>10/STA48</f>
        <v>#DIV/0!</v>
      </c>
      <c r="STF50" s="367">
        <v>15.38</v>
      </c>
      <c r="STG50" s="367" t="e">
        <f>STD50*STE50*STF50</f>
        <v>#DIV/0!</v>
      </c>
      <c r="STH50" s="363" t="s">
        <v>153</v>
      </c>
      <c r="STI50" s="363"/>
      <c r="STJ50" s="363"/>
      <c r="STK50" s="364" t="s">
        <v>140</v>
      </c>
      <c r="STL50" s="365">
        <v>0.5</v>
      </c>
      <c r="STM50" s="366" t="e">
        <f>10/STI48</f>
        <v>#DIV/0!</v>
      </c>
      <c r="STN50" s="367">
        <v>15.38</v>
      </c>
      <c r="STO50" s="367" t="e">
        <f>STL50*STM50*STN50</f>
        <v>#DIV/0!</v>
      </c>
      <c r="STP50" s="363" t="s">
        <v>153</v>
      </c>
      <c r="STQ50" s="363"/>
      <c r="STR50" s="363"/>
      <c r="STS50" s="364" t="s">
        <v>140</v>
      </c>
      <c r="STT50" s="365">
        <v>0.5</v>
      </c>
      <c r="STU50" s="366" t="e">
        <f>10/STQ48</f>
        <v>#DIV/0!</v>
      </c>
      <c r="STV50" s="367">
        <v>15.38</v>
      </c>
      <c r="STW50" s="367" t="e">
        <f>STT50*STU50*STV50</f>
        <v>#DIV/0!</v>
      </c>
      <c r="STX50" s="363" t="s">
        <v>153</v>
      </c>
      <c r="STY50" s="363"/>
      <c r="STZ50" s="363"/>
      <c r="SUA50" s="364" t="s">
        <v>140</v>
      </c>
      <c r="SUB50" s="365">
        <v>0.5</v>
      </c>
      <c r="SUC50" s="366" t="e">
        <f>10/STY48</f>
        <v>#DIV/0!</v>
      </c>
      <c r="SUD50" s="367">
        <v>15.38</v>
      </c>
      <c r="SUE50" s="367" t="e">
        <f>SUB50*SUC50*SUD50</f>
        <v>#DIV/0!</v>
      </c>
      <c r="SUF50" s="363" t="s">
        <v>153</v>
      </c>
      <c r="SUG50" s="363"/>
      <c r="SUH50" s="363"/>
      <c r="SUI50" s="364" t="s">
        <v>140</v>
      </c>
      <c r="SUJ50" s="365">
        <v>0.5</v>
      </c>
      <c r="SUK50" s="366" t="e">
        <f>10/SUG48</f>
        <v>#DIV/0!</v>
      </c>
      <c r="SUL50" s="367">
        <v>15.38</v>
      </c>
      <c r="SUM50" s="367" t="e">
        <f>SUJ50*SUK50*SUL50</f>
        <v>#DIV/0!</v>
      </c>
      <c r="SUN50" s="363" t="s">
        <v>153</v>
      </c>
      <c r="SUO50" s="363"/>
      <c r="SUP50" s="363"/>
      <c r="SUQ50" s="364" t="s">
        <v>140</v>
      </c>
      <c r="SUR50" s="365">
        <v>0.5</v>
      </c>
      <c r="SUS50" s="366" t="e">
        <f>10/SUO48</f>
        <v>#DIV/0!</v>
      </c>
      <c r="SUT50" s="367">
        <v>15.38</v>
      </c>
      <c r="SUU50" s="367" t="e">
        <f>SUR50*SUS50*SUT50</f>
        <v>#DIV/0!</v>
      </c>
      <c r="SUV50" s="363" t="s">
        <v>153</v>
      </c>
      <c r="SUW50" s="363"/>
      <c r="SUX50" s="363"/>
      <c r="SUY50" s="364" t="s">
        <v>140</v>
      </c>
      <c r="SUZ50" s="365">
        <v>0.5</v>
      </c>
      <c r="SVA50" s="366" t="e">
        <f>10/SUW48</f>
        <v>#DIV/0!</v>
      </c>
      <c r="SVB50" s="367">
        <v>15.38</v>
      </c>
      <c r="SVC50" s="367" t="e">
        <f>SUZ50*SVA50*SVB50</f>
        <v>#DIV/0!</v>
      </c>
      <c r="SVD50" s="363" t="s">
        <v>153</v>
      </c>
      <c r="SVE50" s="363"/>
      <c r="SVF50" s="363"/>
      <c r="SVG50" s="364" t="s">
        <v>140</v>
      </c>
      <c r="SVH50" s="365">
        <v>0.5</v>
      </c>
      <c r="SVI50" s="366" t="e">
        <f>10/SVE48</f>
        <v>#DIV/0!</v>
      </c>
      <c r="SVJ50" s="367">
        <v>15.38</v>
      </c>
      <c r="SVK50" s="367" t="e">
        <f>SVH50*SVI50*SVJ50</f>
        <v>#DIV/0!</v>
      </c>
      <c r="SVL50" s="363" t="s">
        <v>153</v>
      </c>
      <c r="SVM50" s="363"/>
      <c r="SVN50" s="363"/>
      <c r="SVO50" s="364" t="s">
        <v>140</v>
      </c>
      <c r="SVP50" s="365">
        <v>0.5</v>
      </c>
      <c r="SVQ50" s="366" t="e">
        <f>10/SVM48</f>
        <v>#DIV/0!</v>
      </c>
      <c r="SVR50" s="367">
        <v>15.38</v>
      </c>
      <c r="SVS50" s="367" t="e">
        <f>SVP50*SVQ50*SVR50</f>
        <v>#DIV/0!</v>
      </c>
      <c r="SVT50" s="363" t="s">
        <v>153</v>
      </c>
      <c r="SVU50" s="363"/>
      <c r="SVV50" s="363"/>
      <c r="SVW50" s="364" t="s">
        <v>140</v>
      </c>
      <c r="SVX50" s="365">
        <v>0.5</v>
      </c>
      <c r="SVY50" s="366" t="e">
        <f>10/SVU48</f>
        <v>#DIV/0!</v>
      </c>
      <c r="SVZ50" s="367">
        <v>15.38</v>
      </c>
      <c r="SWA50" s="367" t="e">
        <f>SVX50*SVY50*SVZ50</f>
        <v>#DIV/0!</v>
      </c>
      <c r="SWB50" s="363" t="s">
        <v>153</v>
      </c>
      <c r="SWC50" s="363"/>
      <c r="SWD50" s="363"/>
      <c r="SWE50" s="364" t="s">
        <v>140</v>
      </c>
      <c r="SWF50" s="365">
        <v>0.5</v>
      </c>
      <c r="SWG50" s="366" t="e">
        <f>10/SWC48</f>
        <v>#DIV/0!</v>
      </c>
      <c r="SWH50" s="367">
        <v>15.38</v>
      </c>
      <c r="SWI50" s="367" t="e">
        <f>SWF50*SWG50*SWH50</f>
        <v>#DIV/0!</v>
      </c>
      <c r="SWJ50" s="363" t="s">
        <v>153</v>
      </c>
      <c r="SWK50" s="363"/>
      <c r="SWL50" s="363"/>
      <c r="SWM50" s="364" t="s">
        <v>140</v>
      </c>
      <c r="SWN50" s="365">
        <v>0.5</v>
      </c>
      <c r="SWO50" s="366" t="e">
        <f>10/SWK48</f>
        <v>#DIV/0!</v>
      </c>
      <c r="SWP50" s="367">
        <v>15.38</v>
      </c>
      <c r="SWQ50" s="367" t="e">
        <f>SWN50*SWO50*SWP50</f>
        <v>#DIV/0!</v>
      </c>
      <c r="SWR50" s="363" t="s">
        <v>153</v>
      </c>
      <c r="SWS50" s="363"/>
      <c r="SWT50" s="363"/>
      <c r="SWU50" s="364" t="s">
        <v>140</v>
      </c>
      <c r="SWV50" s="365">
        <v>0.5</v>
      </c>
      <c r="SWW50" s="366" t="e">
        <f>10/SWS48</f>
        <v>#DIV/0!</v>
      </c>
      <c r="SWX50" s="367">
        <v>15.38</v>
      </c>
      <c r="SWY50" s="367" t="e">
        <f>SWV50*SWW50*SWX50</f>
        <v>#DIV/0!</v>
      </c>
      <c r="SWZ50" s="363" t="s">
        <v>153</v>
      </c>
      <c r="SXA50" s="363"/>
      <c r="SXB50" s="363"/>
      <c r="SXC50" s="364" t="s">
        <v>140</v>
      </c>
      <c r="SXD50" s="365">
        <v>0.5</v>
      </c>
      <c r="SXE50" s="366" t="e">
        <f>10/SXA48</f>
        <v>#DIV/0!</v>
      </c>
      <c r="SXF50" s="367">
        <v>15.38</v>
      </c>
      <c r="SXG50" s="367" t="e">
        <f>SXD50*SXE50*SXF50</f>
        <v>#DIV/0!</v>
      </c>
      <c r="SXH50" s="363" t="s">
        <v>153</v>
      </c>
      <c r="SXI50" s="363"/>
      <c r="SXJ50" s="363"/>
      <c r="SXK50" s="364" t="s">
        <v>140</v>
      </c>
      <c r="SXL50" s="365">
        <v>0.5</v>
      </c>
      <c r="SXM50" s="366" t="e">
        <f>10/SXI48</f>
        <v>#DIV/0!</v>
      </c>
      <c r="SXN50" s="367">
        <v>15.38</v>
      </c>
      <c r="SXO50" s="367" t="e">
        <f>SXL50*SXM50*SXN50</f>
        <v>#DIV/0!</v>
      </c>
      <c r="SXP50" s="363" t="s">
        <v>153</v>
      </c>
      <c r="SXQ50" s="363"/>
      <c r="SXR50" s="363"/>
      <c r="SXS50" s="364" t="s">
        <v>140</v>
      </c>
      <c r="SXT50" s="365">
        <v>0.5</v>
      </c>
      <c r="SXU50" s="366" t="e">
        <f>10/SXQ48</f>
        <v>#DIV/0!</v>
      </c>
      <c r="SXV50" s="367">
        <v>15.38</v>
      </c>
      <c r="SXW50" s="367" t="e">
        <f>SXT50*SXU50*SXV50</f>
        <v>#DIV/0!</v>
      </c>
      <c r="SXX50" s="363" t="s">
        <v>153</v>
      </c>
      <c r="SXY50" s="363"/>
      <c r="SXZ50" s="363"/>
      <c r="SYA50" s="364" t="s">
        <v>140</v>
      </c>
      <c r="SYB50" s="365">
        <v>0.5</v>
      </c>
      <c r="SYC50" s="366" t="e">
        <f>10/SXY48</f>
        <v>#DIV/0!</v>
      </c>
      <c r="SYD50" s="367">
        <v>15.38</v>
      </c>
      <c r="SYE50" s="367" t="e">
        <f>SYB50*SYC50*SYD50</f>
        <v>#DIV/0!</v>
      </c>
      <c r="SYF50" s="363" t="s">
        <v>153</v>
      </c>
      <c r="SYG50" s="363"/>
      <c r="SYH50" s="363"/>
      <c r="SYI50" s="364" t="s">
        <v>140</v>
      </c>
      <c r="SYJ50" s="365">
        <v>0.5</v>
      </c>
      <c r="SYK50" s="366" t="e">
        <f>10/SYG48</f>
        <v>#DIV/0!</v>
      </c>
      <c r="SYL50" s="367">
        <v>15.38</v>
      </c>
      <c r="SYM50" s="367" t="e">
        <f>SYJ50*SYK50*SYL50</f>
        <v>#DIV/0!</v>
      </c>
      <c r="SYN50" s="363" t="s">
        <v>153</v>
      </c>
      <c r="SYO50" s="363"/>
      <c r="SYP50" s="363"/>
      <c r="SYQ50" s="364" t="s">
        <v>140</v>
      </c>
      <c r="SYR50" s="365">
        <v>0.5</v>
      </c>
      <c r="SYS50" s="366" t="e">
        <f>10/SYO48</f>
        <v>#DIV/0!</v>
      </c>
      <c r="SYT50" s="367">
        <v>15.38</v>
      </c>
      <c r="SYU50" s="367" t="e">
        <f>SYR50*SYS50*SYT50</f>
        <v>#DIV/0!</v>
      </c>
      <c r="SYV50" s="363" t="s">
        <v>153</v>
      </c>
      <c r="SYW50" s="363"/>
      <c r="SYX50" s="363"/>
      <c r="SYY50" s="364" t="s">
        <v>140</v>
      </c>
      <c r="SYZ50" s="365">
        <v>0.5</v>
      </c>
      <c r="SZA50" s="366" t="e">
        <f>10/SYW48</f>
        <v>#DIV/0!</v>
      </c>
      <c r="SZB50" s="367">
        <v>15.38</v>
      </c>
      <c r="SZC50" s="367" t="e">
        <f>SYZ50*SZA50*SZB50</f>
        <v>#DIV/0!</v>
      </c>
      <c r="SZD50" s="363" t="s">
        <v>153</v>
      </c>
      <c r="SZE50" s="363"/>
      <c r="SZF50" s="363"/>
      <c r="SZG50" s="364" t="s">
        <v>140</v>
      </c>
      <c r="SZH50" s="365">
        <v>0.5</v>
      </c>
      <c r="SZI50" s="366" t="e">
        <f>10/SZE48</f>
        <v>#DIV/0!</v>
      </c>
      <c r="SZJ50" s="367">
        <v>15.38</v>
      </c>
      <c r="SZK50" s="367" t="e">
        <f>SZH50*SZI50*SZJ50</f>
        <v>#DIV/0!</v>
      </c>
      <c r="SZL50" s="363" t="s">
        <v>153</v>
      </c>
      <c r="SZM50" s="363"/>
      <c r="SZN50" s="363"/>
      <c r="SZO50" s="364" t="s">
        <v>140</v>
      </c>
      <c r="SZP50" s="365">
        <v>0.5</v>
      </c>
      <c r="SZQ50" s="366" t="e">
        <f>10/SZM48</f>
        <v>#DIV/0!</v>
      </c>
      <c r="SZR50" s="367">
        <v>15.38</v>
      </c>
      <c r="SZS50" s="367" t="e">
        <f>SZP50*SZQ50*SZR50</f>
        <v>#DIV/0!</v>
      </c>
      <c r="SZT50" s="363" t="s">
        <v>153</v>
      </c>
      <c r="SZU50" s="363"/>
      <c r="SZV50" s="363"/>
      <c r="SZW50" s="364" t="s">
        <v>140</v>
      </c>
      <c r="SZX50" s="365">
        <v>0.5</v>
      </c>
      <c r="SZY50" s="366" t="e">
        <f>10/SZU48</f>
        <v>#DIV/0!</v>
      </c>
      <c r="SZZ50" s="367">
        <v>15.38</v>
      </c>
      <c r="TAA50" s="367" t="e">
        <f>SZX50*SZY50*SZZ50</f>
        <v>#DIV/0!</v>
      </c>
      <c r="TAB50" s="363" t="s">
        <v>153</v>
      </c>
      <c r="TAC50" s="363"/>
      <c r="TAD50" s="363"/>
      <c r="TAE50" s="364" t="s">
        <v>140</v>
      </c>
      <c r="TAF50" s="365">
        <v>0.5</v>
      </c>
      <c r="TAG50" s="366" t="e">
        <f>10/TAC48</f>
        <v>#DIV/0!</v>
      </c>
      <c r="TAH50" s="367">
        <v>15.38</v>
      </c>
      <c r="TAI50" s="367" t="e">
        <f>TAF50*TAG50*TAH50</f>
        <v>#DIV/0!</v>
      </c>
      <c r="TAJ50" s="363" t="s">
        <v>153</v>
      </c>
      <c r="TAK50" s="363"/>
      <c r="TAL50" s="363"/>
      <c r="TAM50" s="364" t="s">
        <v>140</v>
      </c>
      <c r="TAN50" s="365">
        <v>0.5</v>
      </c>
      <c r="TAO50" s="366" t="e">
        <f>10/TAK48</f>
        <v>#DIV/0!</v>
      </c>
      <c r="TAP50" s="367">
        <v>15.38</v>
      </c>
      <c r="TAQ50" s="367" t="e">
        <f>TAN50*TAO50*TAP50</f>
        <v>#DIV/0!</v>
      </c>
      <c r="TAR50" s="363" t="s">
        <v>153</v>
      </c>
      <c r="TAS50" s="363"/>
      <c r="TAT50" s="363"/>
      <c r="TAU50" s="364" t="s">
        <v>140</v>
      </c>
      <c r="TAV50" s="365">
        <v>0.5</v>
      </c>
      <c r="TAW50" s="366" t="e">
        <f>10/TAS48</f>
        <v>#DIV/0!</v>
      </c>
      <c r="TAX50" s="367">
        <v>15.38</v>
      </c>
      <c r="TAY50" s="367" t="e">
        <f>TAV50*TAW50*TAX50</f>
        <v>#DIV/0!</v>
      </c>
      <c r="TAZ50" s="363" t="s">
        <v>153</v>
      </c>
      <c r="TBA50" s="363"/>
      <c r="TBB50" s="363"/>
      <c r="TBC50" s="364" t="s">
        <v>140</v>
      </c>
      <c r="TBD50" s="365">
        <v>0.5</v>
      </c>
      <c r="TBE50" s="366" t="e">
        <f>10/TBA48</f>
        <v>#DIV/0!</v>
      </c>
      <c r="TBF50" s="367">
        <v>15.38</v>
      </c>
      <c r="TBG50" s="367" t="e">
        <f>TBD50*TBE50*TBF50</f>
        <v>#DIV/0!</v>
      </c>
      <c r="TBH50" s="363" t="s">
        <v>153</v>
      </c>
      <c r="TBI50" s="363"/>
      <c r="TBJ50" s="363"/>
      <c r="TBK50" s="364" t="s">
        <v>140</v>
      </c>
      <c r="TBL50" s="365">
        <v>0.5</v>
      </c>
      <c r="TBM50" s="366" t="e">
        <f>10/TBI48</f>
        <v>#DIV/0!</v>
      </c>
      <c r="TBN50" s="367">
        <v>15.38</v>
      </c>
      <c r="TBO50" s="367" t="e">
        <f>TBL50*TBM50*TBN50</f>
        <v>#DIV/0!</v>
      </c>
      <c r="TBP50" s="363" t="s">
        <v>153</v>
      </c>
      <c r="TBQ50" s="363"/>
      <c r="TBR50" s="363"/>
      <c r="TBS50" s="364" t="s">
        <v>140</v>
      </c>
      <c r="TBT50" s="365">
        <v>0.5</v>
      </c>
      <c r="TBU50" s="366" t="e">
        <f>10/TBQ48</f>
        <v>#DIV/0!</v>
      </c>
      <c r="TBV50" s="367">
        <v>15.38</v>
      </c>
      <c r="TBW50" s="367" t="e">
        <f>TBT50*TBU50*TBV50</f>
        <v>#DIV/0!</v>
      </c>
      <c r="TBX50" s="363" t="s">
        <v>153</v>
      </c>
      <c r="TBY50" s="363"/>
      <c r="TBZ50" s="363"/>
      <c r="TCA50" s="364" t="s">
        <v>140</v>
      </c>
      <c r="TCB50" s="365">
        <v>0.5</v>
      </c>
      <c r="TCC50" s="366" t="e">
        <f>10/TBY48</f>
        <v>#DIV/0!</v>
      </c>
      <c r="TCD50" s="367">
        <v>15.38</v>
      </c>
      <c r="TCE50" s="367" t="e">
        <f>TCB50*TCC50*TCD50</f>
        <v>#DIV/0!</v>
      </c>
      <c r="TCF50" s="363" t="s">
        <v>153</v>
      </c>
      <c r="TCG50" s="363"/>
      <c r="TCH50" s="363"/>
      <c r="TCI50" s="364" t="s">
        <v>140</v>
      </c>
      <c r="TCJ50" s="365">
        <v>0.5</v>
      </c>
      <c r="TCK50" s="366" t="e">
        <f>10/TCG48</f>
        <v>#DIV/0!</v>
      </c>
      <c r="TCL50" s="367">
        <v>15.38</v>
      </c>
      <c r="TCM50" s="367" t="e">
        <f>TCJ50*TCK50*TCL50</f>
        <v>#DIV/0!</v>
      </c>
      <c r="TCN50" s="363" t="s">
        <v>153</v>
      </c>
      <c r="TCO50" s="363"/>
      <c r="TCP50" s="363"/>
      <c r="TCQ50" s="364" t="s">
        <v>140</v>
      </c>
      <c r="TCR50" s="365">
        <v>0.5</v>
      </c>
      <c r="TCS50" s="366" t="e">
        <f>10/TCO48</f>
        <v>#DIV/0!</v>
      </c>
      <c r="TCT50" s="367">
        <v>15.38</v>
      </c>
      <c r="TCU50" s="367" t="e">
        <f>TCR50*TCS50*TCT50</f>
        <v>#DIV/0!</v>
      </c>
      <c r="TCV50" s="363" t="s">
        <v>153</v>
      </c>
      <c r="TCW50" s="363"/>
      <c r="TCX50" s="363"/>
      <c r="TCY50" s="364" t="s">
        <v>140</v>
      </c>
      <c r="TCZ50" s="365">
        <v>0.5</v>
      </c>
      <c r="TDA50" s="366" t="e">
        <f>10/TCW48</f>
        <v>#DIV/0!</v>
      </c>
      <c r="TDB50" s="367">
        <v>15.38</v>
      </c>
      <c r="TDC50" s="367" t="e">
        <f>TCZ50*TDA50*TDB50</f>
        <v>#DIV/0!</v>
      </c>
      <c r="TDD50" s="363" t="s">
        <v>153</v>
      </c>
      <c r="TDE50" s="363"/>
      <c r="TDF50" s="363"/>
      <c r="TDG50" s="364" t="s">
        <v>140</v>
      </c>
      <c r="TDH50" s="365">
        <v>0.5</v>
      </c>
      <c r="TDI50" s="366" t="e">
        <f>10/TDE48</f>
        <v>#DIV/0!</v>
      </c>
      <c r="TDJ50" s="367">
        <v>15.38</v>
      </c>
      <c r="TDK50" s="367" t="e">
        <f>TDH50*TDI50*TDJ50</f>
        <v>#DIV/0!</v>
      </c>
      <c r="TDL50" s="363" t="s">
        <v>153</v>
      </c>
      <c r="TDM50" s="363"/>
      <c r="TDN50" s="363"/>
      <c r="TDO50" s="364" t="s">
        <v>140</v>
      </c>
      <c r="TDP50" s="365">
        <v>0.5</v>
      </c>
      <c r="TDQ50" s="366" t="e">
        <f>10/TDM48</f>
        <v>#DIV/0!</v>
      </c>
      <c r="TDR50" s="367">
        <v>15.38</v>
      </c>
      <c r="TDS50" s="367" t="e">
        <f>TDP50*TDQ50*TDR50</f>
        <v>#DIV/0!</v>
      </c>
      <c r="TDT50" s="363" t="s">
        <v>153</v>
      </c>
      <c r="TDU50" s="363"/>
      <c r="TDV50" s="363"/>
      <c r="TDW50" s="364" t="s">
        <v>140</v>
      </c>
      <c r="TDX50" s="365">
        <v>0.5</v>
      </c>
      <c r="TDY50" s="366" t="e">
        <f>10/TDU48</f>
        <v>#DIV/0!</v>
      </c>
      <c r="TDZ50" s="367">
        <v>15.38</v>
      </c>
      <c r="TEA50" s="367" t="e">
        <f>TDX50*TDY50*TDZ50</f>
        <v>#DIV/0!</v>
      </c>
      <c r="TEB50" s="363" t="s">
        <v>153</v>
      </c>
      <c r="TEC50" s="363"/>
      <c r="TED50" s="363"/>
      <c r="TEE50" s="364" t="s">
        <v>140</v>
      </c>
      <c r="TEF50" s="365">
        <v>0.5</v>
      </c>
      <c r="TEG50" s="366" t="e">
        <f>10/TEC48</f>
        <v>#DIV/0!</v>
      </c>
      <c r="TEH50" s="367">
        <v>15.38</v>
      </c>
      <c r="TEI50" s="367" t="e">
        <f>TEF50*TEG50*TEH50</f>
        <v>#DIV/0!</v>
      </c>
      <c r="TEJ50" s="363" t="s">
        <v>153</v>
      </c>
      <c r="TEK50" s="363"/>
      <c r="TEL50" s="363"/>
      <c r="TEM50" s="364" t="s">
        <v>140</v>
      </c>
      <c r="TEN50" s="365">
        <v>0.5</v>
      </c>
      <c r="TEO50" s="366" t="e">
        <f>10/TEK48</f>
        <v>#DIV/0!</v>
      </c>
      <c r="TEP50" s="367">
        <v>15.38</v>
      </c>
      <c r="TEQ50" s="367" t="e">
        <f>TEN50*TEO50*TEP50</f>
        <v>#DIV/0!</v>
      </c>
      <c r="TER50" s="363" t="s">
        <v>153</v>
      </c>
      <c r="TES50" s="363"/>
      <c r="TET50" s="363"/>
      <c r="TEU50" s="364" t="s">
        <v>140</v>
      </c>
      <c r="TEV50" s="365">
        <v>0.5</v>
      </c>
      <c r="TEW50" s="366" t="e">
        <f>10/TES48</f>
        <v>#DIV/0!</v>
      </c>
      <c r="TEX50" s="367">
        <v>15.38</v>
      </c>
      <c r="TEY50" s="367" t="e">
        <f>TEV50*TEW50*TEX50</f>
        <v>#DIV/0!</v>
      </c>
      <c r="TEZ50" s="363" t="s">
        <v>153</v>
      </c>
      <c r="TFA50" s="363"/>
      <c r="TFB50" s="363"/>
      <c r="TFC50" s="364" t="s">
        <v>140</v>
      </c>
      <c r="TFD50" s="365">
        <v>0.5</v>
      </c>
      <c r="TFE50" s="366" t="e">
        <f>10/TFA48</f>
        <v>#DIV/0!</v>
      </c>
      <c r="TFF50" s="367">
        <v>15.38</v>
      </c>
      <c r="TFG50" s="367" t="e">
        <f>TFD50*TFE50*TFF50</f>
        <v>#DIV/0!</v>
      </c>
      <c r="TFH50" s="363" t="s">
        <v>153</v>
      </c>
      <c r="TFI50" s="363"/>
      <c r="TFJ50" s="363"/>
      <c r="TFK50" s="364" t="s">
        <v>140</v>
      </c>
      <c r="TFL50" s="365">
        <v>0.5</v>
      </c>
      <c r="TFM50" s="366" t="e">
        <f>10/TFI48</f>
        <v>#DIV/0!</v>
      </c>
      <c r="TFN50" s="367">
        <v>15.38</v>
      </c>
      <c r="TFO50" s="367" t="e">
        <f>TFL50*TFM50*TFN50</f>
        <v>#DIV/0!</v>
      </c>
      <c r="TFP50" s="363" t="s">
        <v>153</v>
      </c>
      <c r="TFQ50" s="363"/>
      <c r="TFR50" s="363"/>
      <c r="TFS50" s="364" t="s">
        <v>140</v>
      </c>
      <c r="TFT50" s="365">
        <v>0.5</v>
      </c>
      <c r="TFU50" s="366" t="e">
        <f>10/TFQ48</f>
        <v>#DIV/0!</v>
      </c>
      <c r="TFV50" s="367">
        <v>15.38</v>
      </c>
      <c r="TFW50" s="367" t="e">
        <f>TFT50*TFU50*TFV50</f>
        <v>#DIV/0!</v>
      </c>
      <c r="TFX50" s="363" t="s">
        <v>153</v>
      </c>
      <c r="TFY50" s="363"/>
      <c r="TFZ50" s="363"/>
      <c r="TGA50" s="364" t="s">
        <v>140</v>
      </c>
      <c r="TGB50" s="365">
        <v>0.5</v>
      </c>
      <c r="TGC50" s="366" t="e">
        <f>10/TFY48</f>
        <v>#DIV/0!</v>
      </c>
      <c r="TGD50" s="367">
        <v>15.38</v>
      </c>
      <c r="TGE50" s="367" t="e">
        <f>TGB50*TGC50*TGD50</f>
        <v>#DIV/0!</v>
      </c>
      <c r="TGF50" s="363" t="s">
        <v>153</v>
      </c>
      <c r="TGG50" s="363"/>
      <c r="TGH50" s="363"/>
      <c r="TGI50" s="364" t="s">
        <v>140</v>
      </c>
      <c r="TGJ50" s="365">
        <v>0.5</v>
      </c>
      <c r="TGK50" s="366" t="e">
        <f>10/TGG48</f>
        <v>#DIV/0!</v>
      </c>
      <c r="TGL50" s="367">
        <v>15.38</v>
      </c>
      <c r="TGM50" s="367" t="e">
        <f>TGJ50*TGK50*TGL50</f>
        <v>#DIV/0!</v>
      </c>
      <c r="TGN50" s="363" t="s">
        <v>153</v>
      </c>
      <c r="TGO50" s="363"/>
      <c r="TGP50" s="363"/>
      <c r="TGQ50" s="364" t="s">
        <v>140</v>
      </c>
      <c r="TGR50" s="365">
        <v>0.5</v>
      </c>
      <c r="TGS50" s="366" t="e">
        <f>10/TGO48</f>
        <v>#DIV/0!</v>
      </c>
      <c r="TGT50" s="367">
        <v>15.38</v>
      </c>
      <c r="TGU50" s="367" t="e">
        <f>TGR50*TGS50*TGT50</f>
        <v>#DIV/0!</v>
      </c>
      <c r="TGV50" s="363" t="s">
        <v>153</v>
      </c>
      <c r="TGW50" s="363"/>
      <c r="TGX50" s="363"/>
      <c r="TGY50" s="364" t="s">
        <v>140</v>
      </c>
      <c r="TGZ50" s="365">
        <v>0.5</v>
      </c>
      <c r="THA50" s="366" t="e">
        <f>10/TGW48</f>
        <v>#DIV/0!</v>
      </c>
      <c r="THB50" s="367">
        <v>15.38</v>
      </c>
      <c r="THC50" s="367" t="e">
        <f>TGZ50*THA50*THB50</f>
        <v>#DIV/0!</v>
      </c>
      <c r="THD50" s="363" t="s">
        <v>153</v>
      </c>
      <c r="THE50" s="363"/>
      <c r="THF50" s="363"/>
      <c r="THG50" s="364" t="s">
        <v>140</v>
      </c>
      <c r="THH50" s="365">
        <v>0.5</v>
      </c>
      <c r="THI50" s="366" t="e">
        <f>10/THE48</f>
        <v>#DIV/0!</v>
      </c>
      <c r="THJ50" s="367">
        <v>15.38</v>
      </c>
      <c r="THK50" s="367" t="e">
        <f>THH50*THI50*THJ50</f>
        <v>#DIV/0!</v>
      </c>
      <c r="THL50" s="363" t="s">
        <v>153</v>
      </c>
      <c r="THM50" s="363"/>
      <c r="THN50" s="363"/>
      <c r="THO50" s="364" t="s">
        <v>140</v>
      </c>
      <c r="THP50" s="365">
        <v>0.5</v>
      </c>
      <c r="THQ50" s="366" t="e">
        <f>10/THM48</f>
        <v>#DIV/0!</v>
      </c>
      <c r="THR50" s="367">
        <v>15.38</v>
      </c>
      <c r="THS50" s="367" t="e">
        <f>THP50*THQ50*THR50</f>
        <v>#DIV/0!</v>
      </c>
      <c r="THT50" s="363" t="s">
        <v>153</v>
      </c>
      <c r="THU50" s="363"/>
      <c r="THV50" s="363"/>
      <c r="THW50" s="364" t="s">
        <v>140</v>
      </c>
      <c r="THX50" s="365">
        <v>0.5</v>
      </c>
      <c r="THY50" s="366" t="e">
        <f>10/THU48</f>
        <v>#DIV/0!</v>
      </c>
      <c r="THZ50" s="367">
        <v>15.38</v>
      </c>
      <c r="TIA50" s="367" t="e">
        <f>THX50*THY50*THZ50</f>
        <v>#DIV/0!</v>
      </c>
      <c r="TIB50" s="363" t="s">
        <v>153</v>
      </c>
      <c r="TIC50" s="363"/>
      <c r="TID50" s="363"/>
      <c r="TIE50" s="364" t="s">
        <v>140</v>
      </c>
      <c r="TIF50" s="365">
        <v>0.5</v>
      </c>
      <c r="TIG50" s="366" t="e">
        <f>10/TIC48</f>
        <v>#DIV/0!</v>
      </c>
      <c r="TIH50" s="367">
        <v>15.38</v>
      </c>
      <c r="TII50" s="367" t="e">
        <f>TIF50*TIG50*TIH50</f>
        <v>#DIV/0!</v>
      </c>
      <c r="TIJ50" s="363" t="s">
        <v>153</v>
      </c>
      <c r="TIK50" s="363"/>
      <c r="TIL50" s="363"/>
      <c r="TIM50" s="364" t="s">
        <v>140</v>
      </c>
      <c r="TIN50" s="365">
        <v>0.5</v>
      </c>
      <c r="TIO50" s="366" t="e">
        <f>10/TIK48</f>
        <v>#DIV/0!</v>
      </c>
      <c r="TIP50" s="367">
        <v>15.38</v>
      </c>
      <c r="TIQ50" s="367" t="e">
        <f>TIN50*TIO50*TIP50</f>
        <v>#DIV/0!</v>
      </c>
      <c r="TIR50" s="363" t="s">
        <v>153</v>
      </c>
      <c r="TIS50" s="363"/>
      <c r="TIT50" s="363"/>
      <c r="TIU50" s="364" t="s">
        <v>140</v>
      </c>
      <c r="TIV50" s="365">
        <v>0.5</v>
      </c>
      <c r="TIW50" s="366" t="e">
        <f>10/TIS48</f>
        <v>#DIV/0!</v>
      </c>
      <c r="TIX50" s="367">
        <v>15.38</v>
      </c>
      <c r="TIY50" s="367" t="e">
        <f>TIV50*TIW50*TIX50</f>
        <v>#DIV/0!</v>
      </c>
      <c r="TIZ50" s="363" t="s">
        <v>153</v>
      </c>
      <c r="TJA50" s="363"/>
      <c r="TJB50" s="363"/>
      <c r="TJC50" s="364" t="s">
        <v>140</v>
      </c>
      <c r="TJD50" s="365">
        <v>0.5</v>
      </c>
      <c r="TJE50" s="366" t="e">
        <f>10/TJA48</f>
        <v>#DIV/0!</v>
      </c>
      <c r="TJF50" s="367">
        <v>15.38</v>
      </c>
      <c r="TJG50" s="367" t="e">
        <f>TJD50*TJE50*TJF50</f>
        <v>#DIV/0!</v>
      </c>
      <c r="TJH50" s="363" t="s">
        <v>153</v>
      </c>
      <c r="TJI50" s="363"/>
      <c r="TJJ50" s="363"/>
      <c r="TJK50" s="364" t="s">
        <v>140</v>
      </c>
      <c r="TJL50" s="365">
        <v>0.5</v>
      </c>
      <c r="TJM50" s="366" t="e">
        <f>10/TJI48</f>
        <v>#DIV/0!</v>
      </c>
      <c r="TJN50" s="367">
        <v>15.38</v>
      </c>
      <c r="TJO50" s="367" t="e">
        <f>TJL50*TJM50*TJN50</f>
        <v>#DIV/0!</v>
      </c>
      <c r="TJP50" s="363" t="s">
        <v>153</v>
      </c>
      <c r="TJQ50" s="363"/>
      <c r="TJR50" s="363"/>
      <c r="TJS50" s="364" t="s">
        <v>140</v>
      </c>
      <c r="TJT50" s="365">
        <v>0.5</v>
      </c>
      <c r="TJU50" s="366" t="e">
        <f>10/TJQ48</f>
        <v>#DIV/0!</v>
      </c>
      <c r="TJV50" s="367">
        <v>15.38</v>
      </c>
      <c r="TJW50" s="367" t="e">
        <f>TJT50*TJU50*TJV50</f>
        <v>#DIV/0!</v>
      </c>
      <c r="TJX50" s="363" t="s">
        <v>153</v>
      </c>
      <c r="TJY50" s="363"/>
      <c r="TJZ50" s="363"/>
      <c r="TKA50" s="364" t="s">
        <v>140</v>
      </c>
      <c r="TKB50" s="365">
        <v>0.5</v>
      </c>
      <c r="TKC50" s="366" t="e">
        <f>10/TJY48</f>
        <v>#DIV/0!</v>
      </c>
      <c r="TKD50" s="367">
        <v>15.38</v>
      </c>
      <c r="TKE50" s="367" t="e">
        <f>TKB50*TKC50*TKD50</f>
        <v>#DIV/0!</v>
      </c>
      <c r="TKF50" s="363" t="s">
        <v>153</v>
      </c>
      <c r="TKG50" s="363"/>
      <c r="TKH50" s="363"/>
      <c r="TKI50" s="364" t="s">
        <v>140</v>
      </c>
      <c r="TKJ50" s="365">
        <v>0.5</v>
      </c>
      <c r="TKK50" s="366" t="e">
        <f>10/TKG48</f>
        <v>#DIV/0!</v>
      </c>
      <c r="TKL50" s="367">
        <v>15.38</v>
      </c>
      <c r="TKM50" s="367" t="e">
        <f>TKJ50*TKK50*TKL50</f>
        <v>#DIV/0!</v>
      </c>
      <c r="TKN50" s="363" t="s">
        <v>153</v>
      </c>
      <c r="TKO50" s="363"/>
      <c r="TKP50" s="363"/>
      <c r="TKQ50" s="364" t="s">
        <v>140</v>
      </c>
      <c r="TKR50" s="365">
        <v>0.5</v>
      </c>
      <c r="TKS50" s="366" t="e">
        <f>10/TKO48</f>
        <v>#DIV/0!</v>
      </c>
      <c r="TKT50" s="367">
        <v>15.38</v>
      </c>
      <c r="TKU50" s="367" t="e">
        <f>TKR50*TKS50*TKT50</f>
        <v>#DIV/0!</v>
      </c>
      <c r="TKV50" s="363" t="s">
        <v>153</v>
      </c>
      <c r="TKW50" s="363"/>
      <c r="TKX50" s="363"/>
      <c r="TKY50" s="364" t="s">
        <v>140</v>
      </c>
      <c r="TKZ50" s="365">
        <v>0.5</v>
      </c>
      <c r="TLA50" s="366" t="e">
        <f>10/TKW48</f>
        <v>#DIV/0!</v>
      </c>
      <c r="TLB50" s="367">
        <v>15.38</v>
      </c>
      <c r="TLC50" s="367" t="e">
        <f>TKZ50*TLA50*TLB50</f>
        <v>#DIV/0!</v>
      </c>
      <c r="TLD50" s="363" t="s">
        <v>153</v>
      </c>
      <c r="TLE50" s="363"/>
      <c r="TLF50" s="363"/>
      <c r="TLG50" s="364" t="s">
        <v>140</v>
      </c>
      <c r="TLH50" s="365">
        <v>0.5</v>
      </c>
      <c r="TLI50" s="366" t="e">
        <f>10/TLE48</f>
        <v>#DIV/0!</v>
      </c>
      <c r="TLJ50" s="367">
        <v>15.38</v>
      </c>
      <c r="TLK50" s="367" t="e">
        <f>TLH50*TLI50*TLJ50</f>
        <v>#DIV/0!</v>
      </c>
      <c r="TLL50" s="363" t="s">
        <v>153</v>
      </c>
      <c r="TLM50" s="363"/>
      <c r="TLN50" s="363"/>
      <c r="TLO50" s="364" t="s">
        <v>140</v>
      </c>
      <c r="TLP50" s="365">
        <v>0.5</v>
      </c>
      <c r="TLQ50" s="366" t="e">
        <f>10/TLM48</f>
        <v>#DIV/0!</v>
      </c>
      <c r="TLR50" s="367">
        <v>15.38</v>
      </c>
      <c r="TLS50" s="367" t="e">
        <f>TLP50*TLQ50*TLR50</f>
        <v>#DIV/0!</v>
      </c>
      <c r="TLT50" s="363" t="s">
        <v>153</v>
      </c>
      <c r="TLU50" s="363"/>
      <c r="TLV50" s="363"/>
      <c r="TLW50" s="364" t="s">
        <v>140</v>
      </c>
      <c r="TLX50" s="365">
        <v>0.5</v>
      </c>
      <c r="TLY50" s="366" t="e">
        <f>10/TLU48</f>
        <v>#DIV/0!</v>
      </c>
      <c r="TLZ50" s="367">
        <v>15.38</v>
      </c>
      <c r="TMA50" s="367" t="e">
        <f>TLX50*TLY50*TLZ50</f>
        <v>#DIV/0!</v>
      </c>
      <c r="TMB50" s="363" t="s">
        <v>153</v>
      </c>
      <c r="TMC50" s="363"/>
      <c r="TMD50" s="363"/>
      <c r="TME50" s="364" t="s">
        <v>140</v>
      </c>
      <c r="TMF50" s="365">
        <v>0.5</v>
      </c>
      <c r="TMG50" s="366" t="e">
        <f>10/TMC48</f>
        <v>#DIV/0!</v>
      </c>
      <c r="TMH50" s="367">
        <v>15.38</v>
      </c>
      <c r="TMI50" s="367" t="e">
        <f>TMF50*TMG50*TMH50</f>
        <v>#DIV/0!</v>
      </c>
      <c r="TMJ50" s="363" t="s">
        <v>153</v>
      </c>
      <c r="TMK50" s="363"/>
      <c r="TML50" s="363"/>
      <c r="TMM50" s="364" t="s">
        <v>140</v>
      </c>
      <c r="TMN50" s="365">
        <v>0.5</v>
      </c>
      <c r="TMO50" s="366" t="e">
        <f>10/TMK48</f>
        <v>#DIV/0!</v>
      </c>
      <c r="TMP50" s="367">
        <v>15.38</v>
      </c>
      <c r="TMQ50" s="367" t="e">
        <f>TMN50*TMO50*TMP50</f>
        <v>#DIV/0!</v>
      </c>
      <c r="TMR50" s="363" t="s">
        <v>153</v>
      </c>
      <c r="TMS50" s="363"/>
      <c r="TMT50" s="363"/>
      <c r="TMU50" s="364" t="s">
        <v>140</v>
      </c>
      <c r="TMV50" s="365">
        <v>0.5</v>
      </c>
      <c r="TMW50" s="366" t="e">
        <f>10/TMS48</f>
        <v>#DIV/0!</v>
      </c>
      <c r="TMX50" s="367">
        <v>15.38</v>
      </c>
      <c r="TMY50" s="367" t="e">
        <f>TMV50*TMW50*TMX50</f>
        <v>#DIV/0!</v>
      </c>
      <c r="TMZ50" s="363" t="s">
        <v>153</v>
      </c>
      <c r="TNA50" s="363"/>
      <c r="TNB50" s="363"/>
      <c r="TNC50" s="364" t="s">
        <v>140</v>
      </c>
      <c r="TND50" s="365">
        <v>0.5</v>
      </c>
      <c r="TNE50" s="366" t="e">
        <f>10/TNA48</f>
        <v>#DIV/0!</v>
      </c>
      <c r="TNF50" s="367">
        <v>15.38</v>
      </c>
      <c r="TNG50" s="367" t="e">
        <f>TND50*TNE50*TNF50</f>
        <v>#DIV/0!</v>
      </c>
      <c r="TNH50" s="363" t="s">
        <v>153</v>
      </c>
      <c r="TNI50" s="363"/>
      <c r="TNJ50" s="363"/>
      <c r="TNK50" s="364" t="s">
        <v>140</v>
      </c>
      <c r="TNL50" s="365">
        <v>0.5</v>
      </c>
      <c r="TNM50" s="366" t="e">
        <f>10/TNI48</f>
        <v>#DIV/0!</v>
      </c>
      <c r="TNN50" s="367">
        <v>15.38</v>
      </c>
      <c r="TNO50" s="367" t="e">
        <f>TNL50*TNM50*TNN50</f>
        <v>#DIV/0!</v>
      </c>
      <c r="TNP50" s="363" t="s">
        <v>153</v>
      </c>
      <c r="TNQ50" s="363"/>
      <c r="TNR50" s="363"/>
      <c r="TNS50" s="364" t="s">
        <v>140</v>
      </c>
      <c r="TNT50" s="365">
        <v>0.5</v>
      </c>
      <c r="TNU50" s="366" t="e">
        <f>10/TNQ48</f>
        <v>#DIV/0!</v>
      </c>
      <c r="TNV50" s="367">
        <v>15.38</v>
      </c>
      <c r="TNW50" s="367" t="e">
        <f>TNT50*TNU50*TNV50</f>
        <v>#DIV/0!</v>
      </c>
      <c r="TNX50" s="363" t="s">
        <v>153</v>
      </c>
      <c r="TNY50" s="363"/>
      <c r="TNZ50" s="363"/>
      <c r="TOA50" s="364" t="s">
        <v>140</v>
      </c>
      <c r="TOB50" s="365">
        <v>0.5</v>
      </c>
      <c r="TOC50" s="366" t="e">
        <f>10/TNY48</f>
        <v>#DIV/0!</v>
      </c>
      <c r="TOD50" s="367">
        <v>15.38</v>
      </c>
      <c r="TOE50" s="367" t="e">
        <f>TOB50*TOC50*TOD50</f>
        <v>#DIV/0!</v>
      </c>
      <c r="TOF50" s="363" t="s">
        <v>153</v>
      </c>
      <c r="TOG50" s="363"/>
      <c r="TOH50" s="363"/>
      <c r="TOI50" s="364" t="s">
        <v>140</v>
      </c>
      <c r="TOJ50" s="365">
        <v>0.5</v>
      </c>
      <c r="TOK50" s="366" t="e">
        <f>10/TOG48</f>
        <v>#DIV/0!</v>
      </c>
      <c r="TOL50" s="367">
        <v>15.38</v>
      </c>
      <c r="TOM50" s="367" t="e">
        <f>TOJ50*TOK50*TOL50</f>
        <v>#DIV/0!</v>
      </c>
      <c r="TON50" s="363" t="s">
        <v>153</v>
      </c>
      <c r="TOO50" s="363"/>
      <c r="TOP50" s="363"/>
      <c r="TOQ50" s="364" t="s">
        <v>140</v>
      </c>
      <c r="TOR50" s="365">
        <v>0.5</v>
      </c>
      <c r="TOS50" s="366" t="e">
        <f>10/TOO48</f>
        <v>#DIV/0!</v>
      </c>
      <c r="TOT50" s="367">
        <v>15.38</v>
      </c>
      <c r="TOU50" s="367" t="e">
        <f>TOR50*TOS50*TOT50</f>
        <v>#DIV/0!</v>
      </c>
      <c r="TOV50" s="363" t="s">
        <v>153</v>
      </c>
      <c r="TOW50" s="363"/>
      <c r="TOX50" s="363"/>
      <c r="TOY50" s="364" t="s">
        <v>140</v>
      </c>
      <c r="TOZ50" s="365">
        <v>0.5</v>
      </c>
      <c r="TPA50" s="366" t="e">
        <f>10/TOW48</f>
        <v>#DIV/0!</v>
      </c>
      <c r="TPB50" s="367">
        <v>15.38</v>
      </c>
      <c r="TPC50" s="367" t="e">
        <f>TOZ50*TPA50*TPB50</f>
        <v>#DIV/0!</v>
      </c>
      <c r="TPD50" s="363" t="s">
        <v>153</v>
      </c>
      <c r="TPE50" s="363"/>
      <c r="TPF50" s="363"/>
      <c r="TPG50" s="364" t="s">
        <v>140</v>
      </c>
      <c r="TPH50" s="365">
        <v>0.5</v>
      </c>
      <c r="TPI50" s="366" t="e">
        <f>10/TPE48</f>
        <v>#DIV/0!</v>
      </c>
      <c r="TPJ50" s="367">
        <v>15.38</v>
      </c>
      <c r="TPK50" s="367" t="e">
        <f>TPH50*TPI50*TPJ50</f>
        <v>#DIV/0!</v>
      </c>
      <c r="TPL50" s="363" t="s">
        <v>153</v>
      </c>
      <c r="TPM50" s="363"/>
      <c r="TPN50" s="363"/>
      <c r="TPO50" s="364" t="s">
        <v>140</v>
      </c>
      <c r="TPP50" s="365">
        <v>0.5</v>
      </c>
      <c r="TPQ50" s="366" t="e">
        <f>10/TPM48</f>
        <v>#DIV/0!</v>
      </c>
      <c r="TPR50" s="367">
        <v>15.38</v>
      </c>
      <c r="TPS50" s="367" t="e">
        <f>TPP50*TPQ50*TPR50</f>
        <v>#DIV/0!</v>
      </c>
      <c r="TPT50" s="363" t="s">
        <v>153</v>
      </c>
      <c r="TPU50" s="363"/>
      <c r="TPV50" s="363"/>
      <c r="TPW50" s="364" t="s">
        <v>140</v>
      </c>
      <c r="TPX50" s="365">
        <v>0.5</v>
      </c>
      <c r="TPY50" s="366" t="e">
        <f>10/TPU48</f>
        <v>#DIV/0!</v>
      </c>
      <c r="TPZ50" s="367">
        <v>15.38</v>
      </c>
      <c r="TQA50" s="367" t="e">
        <f>TPX50*TPY50*TPZ50</f>
        <v>#DIV/0!</v>
      </c>
      <c r="TQB50" s="363" t="s">
        <v>153</v>
      </c>
      <c r="TQC50" s="363"/>
      <c r="TQD50" s="363"/>
      <c r="TQE50" s="364" t="s">
        <v>140</v>
      </c>
      <c r="TQF50" s="365">
        <v>0.5</v>
      </c>
      <c r="TQG50" s="366" t="e">
        <f>10/TQC48</f>
        <v>#DIV/0!</v>
      </c>
      <c r="TQH50" s="367">
        <v>15.38</v>
      </c>
      <c r="TQI50" s="367" t="e">
        <f>TQF50*TQG50*TQH50</f>
        <v>#DIV/0!</v>
      </c>
      <c r="TQJ50" s="363" t="s">
        <v>153</v>
      </c>
      <c r="TQK50" s="363"/>
      <c r="TQL50" s="363"/>
      <c r="TQM50" s="364" t="s">
        <v>140</v>
      </c>
      <c r="TQN50" s="365">
        <v>0.5</v>
      </c>
      <c r="TQO50" s="366" t="e">
        <f>10/TQK48</f>
        <v>#DIV/0!</v>
      </c>
      <c r="TQP50" s="367">
        <v>15.38</v>
      </c>
      <c r="TQQ50" s="367" t="e">
        <f>TQN50*TQO50*TQP50</f>
        <v>#DIV/0!</v>
      </c>
      <c r="TQR50" s="363" t="s">
        <v>153</v>
      </c>
      <c r="TQS50" s="363"/>
      <c r="TQT50" s="363"/>
      <c r="TQU50" s="364" t="s">
        <v>140</v>
      </c>
      <c r="TQV50" s="365">
        <v>0.5</v>
      </c>
      <c r="TQW50" s="366" t="e">
        <f>10/TQS48</f>
        <v>#DIV/0!</v>
      </c>
      <c r="TQX50" s="367">
        <v>15.38</v>
      </c>
      <c r="TQY50" s="367" t="e">
        <f>TQV50*TQW50*TQX50</f>
        <v>#DIV/0!</v>
      </c>
      <c r="TQZ50" s="363" t="s">
        <v>153</v>
      </c>
      <c r="TRA50" s="363"/>
      <c r="TRB50" s="363"/>
      <c r="TRC50" s="364" t="s">
        <v>140</v>
      </c>
      <c r="TRD50" s="365">
        <v>0.5</v>
      </c>
      <c r="TRE50" s="366" t="e">
        <f>10/TRA48</f>
        <v>#DIV/0!</v>
      </c>
      <c r="TRF50" s="367">
        <v>15.38</v>
      </c>
      <c r="TRG50" s="367" t="e">
        <f>TRD50*TRE50*TRF50</f>
        <v>#DIV/0!</v>
      </c>
      <c r="TRH50" s="363" t="s">
        <v>153</v>
      </c>
      <c r="TRI50" s="363"/>
      <c r="TRJ50" s="363"/>
      <c r="TRK50" s="364" t="s">
        <v>140</v>
      </c>
      <c r="TRL50" s="365">
        <v>0.5</v>
      </c>
      <c r="TRM50" s="366" t="e">
        <f>10/TRI48</f>
        <v>#DIV/0!</v>
      </c>
      <c r="TRN50" s="367">
        <v>15.38</v>
      </c>
      <c r="TRO50" s="367" t="e">
        <f>TRL50*TRM50*TRN50</f>
        <v>#DIV/0!</v>
      </c>
      <c r="TRP50" s="363" t="s">
        <v>153</v>
      </c>
      <c r="TRQ50" s="363"/>
      <c r="TRR50" s="363"/>
      <c r="TRS50" s="364" t="s">
        <v>140</v>
      </c>
      <c r="TRT50" s="365">
        <v>0.5</v>
      </c>
      <c r="TRU50" s="366" t="e">
        <f>10/TRQ48</f>
        <v>#DIV/0!</v>
      </c>
      <c r="TRV50" s="367">
        <v>15.38</v>
      </c>
      <c r="TRW50" s="367" t="e">
        <f>TRT50*TRU50*TRV50</f>
        <v>#DIV/0!</v>
      </c>
      <c r="TRX50" s="363" t="s">
        <v>153</v>
      </c>
      <c r="TRY50" s="363"/>
      <c r="TRZ50" s="363"/>
      <c r="TSA50" s="364" t="s">
        <v>140</v>
      </c>
      <c r="TSB50" s="365">
        <v>0.5</v>
      </c>
      <c r="TSC50" s="366" t="e">
        <f>10/TRY48</f>
        <v>#DIV/0!</v>
      </c>
      <c r="TSD50" s="367">
        <v>15.38</v>
      </c>
      <c r="TSE50" s="367" t="e">
        <f>TSB50*TSC50*TSD50</f>
        <v>#DIV/0!</v>
      </c>
      <c r="TSF50" s="363" t="s">
        <v>153</v>
      </c>
      <c r="TSG50" s="363"/>
      <c r="TSH50" s="363"/>
      <c r="TSI50" s="364" t="s">
        <v>140</v>
      </c>
      <c r="TSJ50" s="365">
        <v>0.5</v>
      </c>
      <c r="TSK50" s="366" t="e">
        <f>10/TSG48</f>
        <v>#DIV/0!</v>
      </c>
      <c r="TSL50" s="367">
        <v>15.38</v>
      </c>
      <c r="TSM50" s="367" t="e">
        <f>TSJ50*TSK50*TSL50</f>
        <v>#DIV/0!</v>
      </c>
      <c r="TSN50" s="363" t="s">
        <v>153</v>
      </c>
      <c r="TSO50" s="363"/>
      <c r="TSP50" s="363"/>
      <c r="TSQ50" s="364" t="s">
        <v>140</v>
      </c>
      <c r="TSR50" s="365">
        <v>0.5</v>
      </c>
      <c r="TSS50" s="366" t="e">
        <f>10/TSO48</f>
        <v>#DIV/0!</v>
      </c>
      <c r="TST50" s="367">
        <v>15.38</v>
      </c>
      <c r="TSU50" s="367" t="e">
        <f>TSR50*TSS50*TST50</f>
        <v>#DIV/0!</v>
      </c>
      <c r="TSV50" s="363" t="s">
        <v>153</v>
      </c>
      <c r="TSW50" s="363"/>
      <c r="TSX50" s="363"/>
      <c r="TSY50" s="364" t="s">
        <v>140</v>
      </c>
      <c r="TSZ50" s="365">
        <v>0.5</v>
      </c>
      <c r="TTA50" s="366" t="e">
        <f>10/TSW48</f>
        <v>#DIV/0!</v>
      </c>
      <c r="TTB50" s="367">
        <v>15.38</v>
      </c>
      <c r="TTC50" s="367" t="e">
        <f>TSZ50*TTA50*TTB50</f>
        <v>#DIV/0!</v>
      </c>
      <c r="TTD50" s="363" t="s">
        <v>153</v>
      </c>
      <c r="TTE50" s="363"/>
      <c r="TTF50" s="363"/>
      <c r="TTG50" s="364" t="s">
        <v>140</v>
      </c>
      <c r="TTH50" s="365">
        <v>0.5</v>
      </c>
      <c r="TTI50" s="366" t="e">
        <f>10/TTE48</f>
        <v>#DIV/0!</v>
      </c>
      <c r="TTJ50" s="367">
        <v>15.38</v>
      </c>
      <c r="TTK50" s="367" t="e">
        <f>TTH50*TTI50*TTJ50</f>
        <v>#DIV/0!</v>
      </c>
      <c r="TTL50" s="363" t="s">
        <v>153</v>
      </c>
      <c r="TTM50" s="363"/>
      <c r="TTN50" s="363"/>
      <c r="TTO50" s="364" t="s">
        <v>140</v>
      </c>
      <c r="TTP50" s="365">
        <v>0.5</v>
      </c>
      <c r="TTQ50" s="366" t="e">
        <f>10/TTM48</f>
        <v>#DIV/0!</v>
      </c>
      <c r="TTR50" s="367">
        <v>15.38</v>
      </c>
      <c r="TTS50" s="367" t="e">
        <f>TTP50*TTQ50*TTR50</f>
        <v>#DIV/0!</v>
      </c>
      <c r="TTT50" s="363" t="s">
        <v>153</v>
      </c>
      <c r="TTU50" s="363"/>
      <c r="TTV50" s="363"/>
      <c r="TTW50" s="364" t="s">
        <v>140</v>
      </c>
      <c r="TTX50" s="365">
        <v>0.5</v>
      </c>
      <c r="TTY50" s="366" t="e">
        <f>10/TTU48</f>
        <v>#DIV/0!</v>
      </c>
      <c r="TTZ50" s="367">
        <v>15.38</v>
      </c>
      <c r="TUA50" s="367" t="e">
        <f>TTX50*TTY50*TTZ50</f>
        <v>#DIV/0!</v>
      </c>
      <c r="TUB50" s="363" t="s">
        <v>153</v>
      </c>
      <c r="TUC50" s="363"/>
      <c r="TUD50" s="363"/>
      <c r="TUE50" s="364" t="s">
        <v>140</v>
      </c>
      <c r="TUF50" s="365">
        <v>0.5</v>
      </c>
      <c r="TUG50" s="366" t="e">
        <f>10/TUC48</f>
        <v>#DIV/0!</v>
      </c>
      <c r="TUH50" s="367">
        <v>15.38</v>
      </c>
      <c r="TUI50" s="367" t="e">
        <f>TUF50*TUG50*TUH50</f>
        <v>#DIV/0!</v>
      </c>
      <c r="TUJ50" s="363" t="s">
        <v>153</v>
      </c>
      <c r="TUK50" s="363"/>
      <c r="TUL50" s="363"/>
      <c r="TUM50" s="364" t="s">
        <v>140</v>
      </c>
      <c r="TUN50" s="365">
        <v>0.5</v>
      </c>
      <c r="TUO50" s="366" t="e">
        <f>10/TUK48</f>
        <v>#DIV/0!</v>
      </c>
      <c r="TUP50" s="367">
        <v>15.38</v>
      </c>
      <c r="TUQ50" s="367" t="e">
        <f>TUN50*TUO50*TUP50</f>
        <v>#DIV/0!</v>
      </c>
      <c r="TUR50" s="363" t="s">
        <v>153</v>
      </c>
      <c r="TUS50" s="363"/>
      <c r="TUT50" s="363"/>
      <c r="TUU50" s="364" t="s">
        <v>140</v>
      </c>
      <c r="TUV50" s="365">
        <v>0.5</v>
      </c>
      <c r="TUW50" s="366" t="e">
        <f>10/TUS48</f>
        <v>#DIV/0!</v>
      </c>
      <c r="TUX50" s="367">
        <v>15.38</v>
      </c>
      <c r="TUY50" s="367" t="e">
        <f>TUV50*TUW50*TUX50</f>
        <v>#DIV/0!</v>
      </c>
      <c r="TUZ50" s="363" t="s">
        <v>153</v>
      </c>
      <c r="TVA50" s="363"/>
      <c r="TVB50" s="363"/>
      <c r="TVC50" s="364" t="s">
        <v>140</v>
      </c>
      <c r="TVD50" s="365">
        <v>0.5</v>
      </c>
      <c r="TVE50" s="366" t="e">
        <f>10/TVA48</f>
        <v>#DIV/0!</v>
      </c>
      <c r="TVF50" s="367">
        <v>15.38</v>
      </c>
      <c r="TVG50" s="367" t="e">
        <f>TVD50*TVE50*TVF50</f>
        <v>#DIV/0!</v>
      </c>
      <c r="TVH50" s="363" t="s">
        <v>153</v>
      </c>
      <c r="TVI50" s="363"/>
      <c r="TVJ50" s="363"/>
      <c r="TVK50" s="364" t="s">
        <v>140</v>
      </c>
      <c r="TVL50" s="365">
        <v>0.5</v>
      </c>
      <c r="TVM50" s="366" t="e">
        <f>10/TVI48</f>
        <v>#DIV/0!</v>
      </c>
      <c r="TVN50" s="367">
        <v>15.38</v>
      </c>
      <c r="TVO50" s="367" t="e">
        <f>TVL50*TVM50*TVN50</f>
        <v>#DIV/0!</v>
      </c>
      <c r="TVP50" s="363" t="s">
        <v>153</v>
      </c>
      <c r="TVQ50" s="363"/>
      <c r="TVR50" s="363"/>
      <c r="TVS50" s="364" t="s">
        <v>140</v>
      </c>
      <c r="TVT50" s="365">
        <v>0.5</v>
      </c>
      <c r="TVU50" s="366" t="e">
        <f>10/TVQ48</f>
        <v>#DIV/0!</v>
      </c>
      <c r="TVV50" s="367">
        <v>15.38</v>
      </c>
      <c r="TVW50" s="367" t="e">
        <f>TVT50*TVU50*TVV50</f>
        <v>#DIV/0!</v>
      </c>
      <c r="TVX50" s="363" t="s">
        <v>153</v>
      </c>
      <c r="TVY50" s="363"/>
      <c r="TVZ50" s="363"/>
      <c r="TWA50" s="364" t="s">
        <v>140</v>
      </c>
      <c r="TWB50" s="365">
        <v>0.5</v>
      </c>
      <c r="TWC50" s="366" t="e">
        <f>10/TVY48</f>
        <v>#DIV/0!</v>
      </c>
      <c r="TWD50" s="367">
        <v>15.38</v>
      </c>
      <c r="TWE50" s="367" t="e">
        <f>TWB50*TWC50*TWD50</f>
        <v>#DIV/0!</v>
      </c>
      <c r="TWF50" s="363" t="s">
        <v>153</v>
      </c>
      <c r="TWG50" s="363"/>
      <c r="TWH50" s="363"/>
      <c r="TWI50" s="364" t="s">
        <v>140</v>
      </c>
      <c r="TWJ50" s="365">
        <v>0.5</v>
      </c>
      <c r="TWK50" s="366" t="e">
        <f>10/TWG48</f>
        <v>#DIV/0!</v>
      </c>
      <c r="TWL50" s="367">
        <v>15.38</v>
      </c>
      <c r="TWM50" s="367" t="e">
        <f>TWJ50*TWK50*TWL50</f>
        <v>#DIV/0!</v>
      </c>
      <c r="TWN50" s="363" t="s">
        <v>153</v>
      </c>
      <c r="TWO50" s="363"/>
      <c r="TWP50" s="363"/>
      <c r="TWQ50" s="364" t="s">
        <v>140</v>
      </c>
      <c r="TWR50" s="365">
        <v>0.5</v>
      </c>
      <c r="TWS50" s="366" t="e">
        <f>10/TWO48</f>
        <v>#DIV/0!</v>
      </c>
      <c r="TWT50" s="367">
        <v>15.38</v>
      </c>
      <c r="TWU50" s="367" t="e">
        <f>TWR50*TWS50*TWT50</f>
        <v>#DIV/0!</v>
      </c>
      <c r="TWV50" s="363" t="s">
        <v>153</v>
      </c>
      <c r="TWW50" s="363"/>
      <c r="TWX50" s="363"/>
      <c r="TWY50" s="364" t="s">
        <v>140</v>
      </c>
      <c r="TWZ50" s="365">
        <v>0.5</v>
      </c>
      <c r="TXA50" s="366" t="e">
        <f>10/TWW48</f>
        <v>#DIV/0!</v>
      </c>
      <c r="TXB50" s="367">
        <v>15.38</v>
      </c>
      <c r="TXC50" s="367" t="e">
        <f>TWZ50*TXA50*TXB50</f>
        <v>#DIV/0!</v>
      </c>
      <c r="TXD50" s="363" t="s">
        <v>153</v>
      </c>
      <c r="TXE50" s="363"/>
      <c r="TXF50" s="363"/>
      <c r="TXG50" s="364" t="s">
        <v>140</v>
      </c>
      <c r="TXH50" s="365">
        <v>0.5</v>
      </c>
      <c r="TXI50" s="366" t="e">
        <f>10/TXE48</f>
        <v>#DIV/0!</v>
      </c>
      <c r="TXJ50" s="367">
        <v>15.38</v>
      </c>
      <c r="TXK50" s="367" t="e">
        <f>TXH50*TXI50*TXJ50</f>
        <v>#DIV/0!</v>
      </c>
      <c r="TXL50" s="363" t="s">
        <v>153</v>
      </c>
      <c r="TXM50" s="363"/>
      <c r="TXN50" s="363"/>
      <c r="TXO50" s="364" t="s">
        <v>140</v>
      </c>
      <c r="TXP50" s="365">
        <v>0.5</v>
      </c>
      <c r="TXQ50" s="366" t="e">
        <f>10/TXM48</f>
        <v>#DIV/0!</v>
      </c>
      <c r="TXR50" s="367">
        <v>15.38</v>
      </c>
      <c r="TXS50" s="367" t="e">
        <f>TXP50*TXQ50*TXR50</f>
        <v>#DIV/0!</v>
      </c>
      <c r="TXT50" s="363" t="s">
        <v>153</v>
      </c>
      <c r="TXU50" s="363"/>
      <c r="TXV50" s="363"/>
      <c r="TXW50" s="364" t="s">
        <v>140</v>
      </c>
      <c r="TXX50" s="365">
        <v>0.5</v>
      </c>
      <c r="TXY50" s="366" t="e">
        <f>10/TXU48</f>
        <v>#DIV/0!</v>
      </c>
      <c r="TXZ50" s="367">
        <v>15.38</v>
      </c>
      <c r="TYA50" s="367" t="e">
        <f>TXX50*TXY50*TXZ50</f>
        <v>#DIV/0!</v>
      </c>
      <c r="TYB50" s="363" t="s">
        <v>153</v>
      </c>
      <c r="TYC50" s="363"/>
      <c r="TYD50" s="363"/>
      <c r="TYE50" s="364" t="s">
        <v>140</v>
      </c>
      <c r="TYF50" s="365">
        <v>0.5</v>
      </c>
      <c r="TYG50" s="366" t="e">
        <f>10/TYC48</f>
        <v>#DIV/0!</v>
      </c>
      <c r="TYH50" s="367">
        <v>15.38</v>
      </c>
      <c r="TYI50" s="367" t="e">
        <f>TYF50*TYG50*TYH50</f>
        <v>#DIV/0!</v>
      </c>
      <c r="TYJ50" s="363" t="s">
        <v>153</v>
      </c>
      <c r="TYK50" s="363"/>
      <c r="TYL50" s="363"/>
      <c r="TYM50" s="364" t="s">
        <v>140</v>
      </c>
      <c r="TYN50" s="365">
        <v>0.5</v>
      </c>
      <c r="TYO50" s="366" t="e">
        <f>10/TYK48</f>
        <v>#DIV/0!</v>
      </c>
      <c r="TYP50" s="367">
        <v>15.38</v>
      </c>
      <c r="TYQ50" s="367" t="e">
        <f>TYN50*TYO50*TYP50</f>
        <v>#DIV/0!</v>
      </c>
      <c r="TYR50" s="363" t="s">
        <v>153</v>
      </c>
      <c r="TYS50" s="363"/>
      <c r="TYT50" s="363"/>
      <c r="TYU50" s="364" t="s">
        <v>140</v>
      </c>
      <c r="TYV50" s="365">
        <v>0.5</v>
      </c>
      <c r="TYW50" s="366" t="e">
        <f>10/TYS48</f>
        <v>#DIV/0!</v>
      </c>
      <c r="TYX50" s="367">
        <v>15.38</v>
      </c>
      <c r="TYY50" s="367" t="e">
        <f>TYV50*TYW50*TYX50</f>
        <v>#DIV/0!</v>
      </c>
      <c r="TYZ50" s="363" t="s">
        <v>153</v>
      </c>
      <c r="TZA50" s="363"/>
      <c r="TZB50" s="363"/>
      <c r="TZC50" s="364" t="s">
        <v>140</v>
      </c>
      <c r="TZD50" s="365">
        <v>0.5</v>
      </c>
      <c r="TZE50" s="366" t="e">
        <f>10/TZA48</f>
        <v>#DIV/0!</v>
      </c>
      <c r="TZF50" s="367">
        <v>15.38</v>
      </c>
      <c r="TZG50" s="367" t="e">
        <f>TZD50*TZE50*TZF50</f>
        <v>#DIV/0!</v>
      </c>
      <c r="TZH50" s="363" t="s">
        <v>153</v>
      </c>
      <c r="TZI50" s="363"/>
      <c r="TZJ50" s="363"/>
      <c r="TZK50" s="364" t="s">
        <v>140</v>
      </c>
      <c r="TZL50" s="365">
        <v>0.5</v>
      </c>
      <c r="TZM50" s="366" t="e">
        <f>10/TZI48</f>
        <v>#DIV/0!</v>
      </c>
      <c r="TZN50" s="367">
        <v>15.38</v>
      </c>
      <c r="TZO50" s="367" t="e">
        <f>TZL50*TZM50*TZN50</f>
        <v>#DIV/0!</v>
      </c>
      <c r="TZP50" s="363" t="s">
        <v>153</v>
      </c>
      <c r="TZQ50" s="363"/>
      <c r="TZR50" s="363"/>
      <c r="TZS50" s="364" t="s">
        <v>140</v>
      </c>
      <c r="TZT50" s="365">
        <v>0.5</v>
      </c>
      <c r="TZU50" s="366" t="e">
        <f>10/TZQ48</f>
        <v>#DIV/0!</v>
      </c>
      <c r="TZV50" s="367">
        <v>15.38</v>
      </c>
      <c r="TZW50" s="367" t="e">
        <f>TZT50*TZU50*TZV50</f>
        <v>#DIV/0!</v>
      </c>
      <c r="TZX50" s="363" t="s">
        <v>153</v>
      </c>
      <c r="TZY50" s="363"/>
      <c r="TZZ50" s="363"/>
      <c r="UAA50" s="364" t="s">
        <v>140</v>
      </c>
      <c r="UAB50" s="365">
        <v>0.5</v>
      </c>
      <c r="UAC50" s="366" t="e">
        <f>10/TZY48</f>
        <v>#DIV/0!</v>
      </c>
      <c r="UAD50" s="367">
        <v>15.38</v>
      </c>
      <c r="UAE50" s="367" t="e">
        <f>UAB50*UAC50*UAD50</f>
        <v>#DIV/0!</v>
      </c>
      <c r="UAF50" s="363" t="s">
        <v>153</v>
      </c>
      <c r="UAG50" s="363"/>
      <c r="UAH50" s="363"/>
      <c r="UAI50" s="364" t="s">
        <v>140</v>
      </c>
      <c r="UAJ50" s="365">
        <v>0.5</v>
      </c>
      <c r="UAK50" s="366" t="e">
        <f>10/UAG48</f>
        <v>#DIV/0!</v>
      </c>
      <c r="UAL50" s="367">
        <v>15.38</v>
      </c>
      <c r="UAM50" s="367" t="e">
        <f>UAJ50*UAK50*UAL50</f>
        <v>#DIV/0!</v>
      </c>
      <c r="UAN50" s="363" t="s">
        <v>153</v>
      </c>
      <c r="UAO50" s="363"/>
      <c r="UAP50" s="363"/>
      <c r="UAQ50" s="364" t="s">
        <v>140</v>
      </c>
      <c r="UAR50" s="365">
        <v>0.5</v>
      </c>
      <c r="UAS50" s="366" t="e">
        <f>10/UAO48</f>
        <v>#DIV/0!</v>
      </c>
      <c r="UAT50" s="367">
        <v>15.38</v>
      </c>
      <c r="UAU50" s="367" t="e">
        <f>UAR50*UAS50*UAT50</f>
        <v>#DIV/0!</v>
      </c>
      <c r="UAV50" s="363" t="s">
        <v>153</v>
      </c>
      <c r="UAW50" s="363"/>
      <c r="UAX50" s="363"/>
      <c r="UAY50" s="364" t="s">
        <v>140</v>
      </c>
      <c r="UAZ50" s="365">
        <v>0.5</v>
      </c>
      <c r="UBA50" s="366" t="e">
        <f>10/UAW48</f>
        <v>#DIV/0!</v>
      </c>
      <c r="UBB50" s="367">
        <v>15.38</v>
      </c>
      <c r="UBC50" s="367" t="e">
        <f>UAZ50*UBA50*UBB50</f>
        <v>#DIV/0!</v>
      </c>
      <c r="UBD50" s="363" t="s">
        <v>153</v>
      </c>
      <c r="UBE50" s="363"/>
      <c r="UBF50" s="363"/>
      <c r="UBG50" s="364" t="s">
        <v>140</v>
      </c>
      <c r="UBH50" s="365">
        <v>0.5</v>
      </c>
      <c r="UBI50" s="366" t="e">
        <f>10/UBE48</f>
        <v>#DIV/0!</v>
      </c>
      <c r="UBJ50" s="367">
        <v>15.38</v>
      </c>
      <c r="UBK50" s="367" t="e">
        <f>UBH50*UBI50*UBJ50</f>
        <v>#DIV/0!</v>
      </c>
      <c r="UBL50" s="363" t="s">
        <v>153</v>
      </c>
      <c r="UBM50" s="363"/>
      <c r="UBN50" s="363"/>
      <c r="UBO50" s="364" t="s">
        <v>140</v>
      </c>
      <c r="UBP50" s="365">
        <v>0.5</v>
      </c>
      <c r="UBQ50" s="366" t="e">
        <f>10/UBM48</f>
        <v>#DIV/0!</v>
      </c>
      <c r="UBR50" s="367">
        <v>15.38</v>
      </c>
      <c r="UBS50" s="367" t="e">
        <f>UBP50*UBQ50*UBR50</f>
        <v>#DIV/0!</v>
      </c>
      <c r="UBT50" s="363" t="s">
        <v>153</v>
      </c>
      <c r="UBU50" s="363"/>
      <c r="UBV50" s="363"/>
      <c r="UBW50" s="364" t="s">
        <v>140</v>
      </c>
      <c r="UBX50" s="365">
        <v>0.5</v>
      </c>
      <c r="UBY50" s="366" t="e">
        <f>10/UBU48</f>
        <v>#DIV/0!</v>
      </c>
      <c r="UBZ50" s="367">
        <v>15.38</v>
      </c>
      <c r="UCA50" s="367" t="e">
        <f>UBX50*UBY50*UBZ50</f>
        <v>#DIV/0!</v>
      </c>
      <c r="UCB50" s="363" t="s">
        <v>153</v>
      </c>
      <c r="UCC50" s="363"/>
      <c r="UCD50" s="363"/>
      <c r="UCE50" s="364" t="s">
        <v>140</v>
      </c>
      <c r="UCF50" s="365">
        <v>0.5</v>
      </c>
      <c r="UCG50" s="366" t="e">
        <f>10/UCC48</f>
        <v>#DIV/0!</v>
      </c>
      <c r="UCH50" s="367">
        <v>15.38</v>
      </c>
      <c r="UCI50" s="367" t="e">
        <f>UCF50*UCG50*UCH50</f>
        <v>#DIV/0!</v>
      </c>
      <c r="UCJ50" s="363" t="s">
        <v>153</v>
      </c>
      <c r="UCK50" s="363"/>
      <c r="UCL50" s="363"/>
      <c r="UCM50" s="364" t="s">
        <v>140</v>
      </c>
      <c r="UCN50" s="365">
        <v>0.5</v>
      </c>
      <c r="UCO50" s="366" t="e">
        <f>10/UCK48</f>
        <v>#DIV/0!</v>
      </c>
      <c r="UCP50" s="367">
        <v>15.38</v>
      </c>
      <c r="UCQ50" s="367" t="e">
        <f>UCN50*UCO50*UCP50</f>
        <v>#DIV/0!</v>
      </c>
      <c r="UCR50" s="363" t="s">
        <v>153</v>
      </c>
      <c r="UCS50" s="363"/>
      <c r="UCT50" s="363"/>
      <c r="UCU50" s="364" t="s">
        <v>140</v>
      </c>
      <c r="UCV50" s="365">
        <v>0.5</v>
      </c>
      <c r="UCW50" s="366" t="e">
        <f>10/UCS48</f>
        <v>#DIV/0!</v>
      </c>
      <c r="UCX50" s="367">
        <v>15.38</v>
      </c>
      <c r="UCY50" s="367" t="e">
        <f>UCV50*UCW50*UCX50</f>
        <v>#DIV/0!</v>
      </c>
      <c r="UCZ50" s="363" t="s">
        <v>153</v>
      </c>
      <c r="UDA50" s="363"/>
      <c r="UDB50" s="363"/>
      <c r="UDC50" s="364" t="s">
        <v>140</v>
      </c>
      <c r="UDD50" s="365">
        <v>0.5</v>
      </c>
      <c r="UDE50" s="366" t="e">
        <f>10/UDA48</f>
        <v>#DIV/0!</v>
      </c>
      <c r="UDF50" s="367">
        <v>15.38</v>
      </c>
      <c r="UDG50" s="367" t="e">
        <f>UDD50*UDE50*UDF50</f>
        <v>#DIV/0!</v>
      </c>
      <c r="UDH50" s="363" t="s">
        <v>153</v>
      </c>
      <c r="UDI50" s="363"/>
      <c r="UDJ50" s="363"/>
      <c r="UDK50" s="364" t="s">
        <v>140</v>
      </c>
      <c r="UDL50" s="365">
        <v>0.5</v>
      </c>
      <c r="UDM50" s="366" t="e">
        <f>10/UDI48</f>
        <v>#DIV/0!</v>
      </c>
      <c r="UDN50" s="367">
        <v>15.38</v>
      </c>
      <c r="UDO50" s="367" t="e">
        <f>UDL50*UDM50*UDN50</f>
        <v>#DIV/0!</v>
      </c>
      <c r="UDP50" s="363" t="s">
        <v>153</v>
      </c>
      <c r="UDQ50" s="363"/>
      <c r="UDR50" s="363"/>
      <c r="UDS50" s="364" t="s">
        <v>140</v>
      </c>
      <c r="UDT50" s="365">
        <v>0.5</v>
      </c>
      <c r="UDU50" s="366" t="e">
        <f>10/UDQ48</f>
        <v>#DIV/0!</v>
      </c>
      <c r="UDV50" s="367">
        <v>15.38</v>
      </c>
      <c r="UDW50" s="367" t="e">
        <f>UDT50*UDU50*UDV50</f>
        <v>#DIV/0!</v>
      </c>
      <c r="UDX50" s="363" t="s">
        <v>153</v>
      </c>
      <c r="UDY50" s="363"/>
      <c r="UDZ50" s="363"/>
      <c r="UEA50" s="364" t="s">
        <v>140</v>
      </c>
      <c r="UEB50" s="365">
        <v>0.5</v>
      </c>
      <c r="UEC50" s="366" t="e">
        <f>10/UDY48</f>
        <v>#DIV/0!</v>
      </c>
      <c r="UED50" s="367">
        <v>15.38</v>
      </c>
      <c r="UEE50" s="367" t="e">
        <f>UEB50*UEC50*UED50</f>
        <v>#DIV/0!</v>
      </c>
      <c r="UEF50" s="363" t="s">
        <v>153</v>
      </c>
      <c r="UEG50" s="363"/>
      <c r="UEH50" s="363"/>
      <c r="UEI50" s="364" t="s">
        <v>140</v>
      </c>
      <c r="UEJ50" s="365">
        <v>0.5</v>
      </c>
      <c r="UEK50" s="366" t="e">
        <f>10/UEG48</f>
        <v>#DIV/0!</v>
      </c>
      <c r="UEL50" s="367">
        <v>15.38</v>
      </c>
      <c r="UEM50" s="367" t="e">
        <f>UEJ50*UEK50*UEL50</f>
        <v>#DIV/0!</v>
      </c>
      <c r="UEN50" s="363" t="s">
        <v>153</v>
      </c>
      <c r="UEO50" s="363"/>
      <c r="UEP50" s="363"/>
      <c r="UEQ50" s="364" t="s">
        <v>140</v>
      </c>
      <c r="UER50" s="365">
        <v>0.5</v>
      </c>
      <c r="UES50" s="366" t="e">
        <f>10/UEO48</f>
        <v>#DIV/0!</v>
      </c>
      <c r="UET50" s="367">
        <v>15.38</v>
      </c>
      <c r="UEU50" s="367" t="e">
        <f>UER50*UES50*UET50</f>
        <v>#DIV/0!</v>
      </c>
      <c r="UEV50" s="363" t="s">
        <v>153</v>
      </c>
      <c r="UEW50" s="363"/>
      <c r="UEX50" s="363"/>
      <c r="UEY50" s="364" t="s">
        <v>140</v>
      </c>
      <c r="UEZ50" s="365">
        <v>0.5</v>
      </c>
      <c r="UFA50" s="366" t="e">
        <f>10/UEW48</f>
        <v>#DIV/0!</v>
      </c>
      <c r="UFB50" s="367">
        <v>15.38</v>
      </c>
      <c r="UFC50" s="367" t="e">
        <f>UEZ50*UFA50*UFB50</f>
        <v>#DIV/0!</v>
      </c>
      <c r="UFD50" s="363" t="s">
        <v>153</v>
      </c>
      <c r="UFE50" s="363"/>
      <c r="UFF50" s="363"/>
      <c r="UFG50" s="364" t="s">
        <v>140</v>
      </c>
      <c r="UFH50" s="365">
        <v>0.5</v>
      </c>
      <c r="UFI50" s="366" t="e">
        <f>10/UFE48</f>
        <v>#DIV/0!</v>
      </c>
      <c r="UFJ50" s="367">
        <v>15.38</v>
      </c>
      <c r="UFK50" s="367" t="e">
        <f>UFH50*UFI50*UFJ50</f>
        <v>#DIV/0!</v>
      </c>
      <c r="UFL50" s="363" t="s">
        <v>153</v>
      </c>
      <c r="UFM50" s="363"/>
      <c r="UFN50" s="363"/>
      <c r="UFO50" s="364" t="s">
        <v>140</v>
      </c>
      <c r="UFP50" s="365">
        <v>0.5</v>
      </c>
      <c r="UFQ50" s="366" t="e">
        <f>10/UFM48</f>
        <v>#DIV/0!</v>
      </c>
      <c r="UFR50" s="367">
        <v>15.38</v>
      </c>
      <c r="UFS50" s="367" t="e">
        <f>UFP50*UFQ50*UFR50</f>
        <v>#DIV/0!</v>
      </c>
      <c r="UFT50" s="363" t="s">
        <v>153</v>
      </c>
      <c r="UFU50" s="363"/>
      <c r="UFV50" s="363"/>
      <c r="UFW50" s="364" t="s">
        <v>140</v>
      </c>
      <c r="UFX50" s="365">
        <v>0.5</v>
      </c>
      <c r="UFY50" s="366" t="e">
        <f>10/UFU48</f>
        <v>#DIV/0!</v>
      </c>
      <c r="UFZ50" s="367">
        <v>15.38</v>
      </c>
      <c r="UGA50" s="367" t="e">
        <f>UFX50*UFY50*UFZ50</f>
        <v>#DIV/0!</v>
      </c>
      <c r="UGB50" s="363" t="s">
        <v>153</v>
      </c>
      <c r="UGC50" s="363"/>
      <c r="UGD50" s="363"/>
      <c r="UGE50" s="364" t="s">
        <v>140</v>
      </c>
      <c r="UGF50" s="365">
        <v>0.5</v>
      </c>
      <c r="UGG50" s="366" t="e">
        <f>10/UGC48</f>
        <v>#DIV/0!</v>
      </c>
      <c r="UGH50" s="367">
        <v>15.38</v>
      </c>
      <c r="UGI50" s="367" t="e">
        <f>UGF50*UGG50*UGH50</f>
        <v>#DIV/0!</v>
      </c>
      <c r="UGJ50" s="363" t="s">
        <v>153</v>
      </c>
      <c r="UGK50" s="363"/>
      <c r="UGL50" s="363"/>
      <c r="UGM50" s="364" t="s">
        <v>140</v>
      </c>
      <c r="UGN50" s="365">
        <v>0.5</v>
      </c>
      <c r="UGO50" s="366" t="e">
        <f>10/UGK48</f>
        <v>#DIV/0!</v>
      </c>
      <c r="UGP50" s="367">
        <v>15.38</v>
      </c>
      <c r="UGQ50" s="367" t="e">
        <f>UGN50*UGO50*UGP50</f>
        <v>#DIV/0!</v>
      </c>
      <c r="UGR50" s="363" t="s">
        <v>153</v>
      </c>
      <c r="UGS50" s="363"/>
      <c r="UGT50" s="363"/>
      <c r="UGU50" s="364" t="s">
        <v>140</v>
      </c>
      <c r="UGV50" s="365">
        <v>0.5</v>
      </c>
      <c r="UGW50" s="366" t="e">
        <f>10/UGS48</f>
        <v>#DIV/0!</v>
      </c>
      <c r="UGX50" s="367">
        <v>15.38</v>
      </c>
      <c r="UGY50" s="367" t="e">
        <f>UGV50*UGW50*UGX50</f>
        <v>#DIV/0!</v>
      </c>
      <c r="UGZ50" s="363" t="s">
        <v>153</v>
      </c>
      <c r="UHA50" s="363"/>
      <c r="UHB50" s="363"/>
      <c r="UHC50" s="364" t="s">
        <v>140</v>
      </c>
      <c r="UHD50" s="365">
        <v>0.5</v>
      </c>
      <c r="UHE50" s="366" t="e">
        <f>10/UHA48</f>
        <v>#DIV/0!</v>
      </c>
      <c r="UHF50" s="367">
        <v>15.38</v>
      </c>
      <c r="UHG50" s="367" t="e">
        <f>UHD50*UHE50*UHF50</f>
        <v>#DIV/0!</v>
      </c>
      <c r="UHH50" s="363" t="s">
        <v>153</v>
      </c>
      <c r="UHI50" s="363"/>
      <c r="UHJ50" s="363"/>
      <c r="UHK50" s="364" t="s">
        <v>140</v>
      </c>
      <c r="UHL50" s="365">
        <v>0.5</v>
      </c>
      <c r="UHM50" s="366" t="e">
        <f>10/UHI48</f>
        <v>#DIV/0!</v>
      </c>
      <c r="UHN50" s="367">
        <v>15.38</v>
      </c>
      <c r="UHO50" s="367" t="e">
        <f>UHL50*UHM50*UHN50</f>
        <v>#DIV/0!</v>
      </c>
      <c r="UHP50" s="363" t="s">
        <v>153</v>
      </c>
      <c r="UHQ50" s="363"/>
      <c r="UHR50" s="363"/>
      <c r="UHS50" s="364" t="s">
        <v>140</v>
      </c>
      <c r="UHT50" s="365">
        <v>0.5</v>
      </c>
      <c r="UHU50" s="366" t="e">
        <f>10/UHQ48</f>
        <v>#DIV/0!</v>
      </c>
      <c r="UHV50" s="367">
        <v>15.38</v>
      </c>
      <c r="UHW50" s="367" t="e">
        <f>UHT50*UHU50*UHV50</f>
        <v>#DIV/0!</v>
      </c>
      <c r="UHX50" s="363" t="s">
        <v>153</v>
      </c>
      <c r="UHY50" s="363"/>
      <c r="UHZ50" s="363"/>
      <c r="UIA50" s="364" t="s">
        <v>140</v>
      </c>
      <c r="UIB50" s="365">
        <v>0.5</v>
      </c>
      <c r="UIC50" s="366" t="e">
        <f>10/UHY48</f>
        <v>#DIV/0!</v>
      </c>
      <c r="UID50" s="367">
        <v>15.38</v>
      </c>
      <c r="UIE50" s="367" t="e">
        <f>UIB50*UIC50*UID50</f>
        <v>#DIV/0!</v>
      </c>
      <c r="UIF50" s="363" t="s">
        <v>153</v>
      </c>
      <c r="UIG50" s="363"/>
      <c r="UIH50" s="363"/>
      <c r="UII50" s="364" t="s">
        <v>140</v>
      </c>
      <c r="UIJ50" s="365">
        <v>0.5</v>
      </c>
      <c r="UIK50" s="366" t="e">
        <f>10/UIG48</f>
        <v>#DIV/0!</v>
      </c>
      <c r="UIL50" s="367">
        <v>15.38</v>
      </c>
      <c r="UIM50" s="367" t="e">
        <f>UIJ50*UIK50*UIL50</f>
        <v>#DIV/0!</v>
      </c>
      <c r="UIN50" s="363" t="s">
        <v>153</v>
      </c>
      <c r="UIO50" s="363"/>
      <c r="UIP50" s="363"/>
      <c r="UIQ50" s="364" t="s">
        <v>140</v>
      </c>
      <c r="UIR50" s="365">
        <v>0.5</v>
      </c>
      <c r="UIS50" s="366" t="e">
        <f>10/UIO48</f>
        <v>#DIV/0!</v>
      </c>
      <c r="UIT50" s="367">
        <v>15.38</v>
      </c>
      <c r="UIU50" s="367" t="e">
        <f>UIR50*UIS50*UIT50</f>
        <v>#DIV/0!</v>
      </c>
      <c r="UIV50" s="363" t="s">
        <v>153</v>
      </c>
      <c r="UIW50" s="363"/>
      <c r="UIX50" s="363"/>
      <c r="UIY50" s="364" t="s">
        <v>140</v>
      </c>
      <c r="UIZ50" s="365">
        <v>0.5</v>
      </c>
      <c r="UJA50" s="366" t="e">
        <f>10/UIW48</f>
        <v>#DIV/0!</v>
      </c>
      <c r="UJB50" s="367">
        <v>15.38</v>
      </c>
      <c r="UJC50" s="367" t="e">
        <f>UIZ50*UJA50*UJB50</f>
        <v>#DIV/0!</v>
      </c>
      <c r="UJD50" s="363" t="s">
        <v>153</v>
      </c>
      <c r="UJE50" s="363"/>
      <c r="UJF50" s="363"/>
      <c r="UJG50" s="364" t="s">
        <v>140</v>
      </c>
      <c r="UJH50" s="365">
        <v>0.5</v>
      </c>
      <c r="UJI50" s="366" t="e">
        <f>10/UJE48</f>
        <v>#DIV/0!</v>
      </c>
      <c r="UJJ50" s="367">
        <v>15.38</v>
      </c>
      <c r="UJK50" s="367" t="e">
        <f>UJH50*UJI50*UJJ50</f>
        <v>#DIV/0!</v>
      </c>
      <c r="UJL50" s="363" t="s">
        <v>153</v>
      </c>
      <c r="UJM50" s="363"/>
      <c r="UJN50" s="363"/>
      <c r="UJO50" s="364" t="s">
        <v>140</v>
      </c>
      <c r="UJP50" s="365">
        <v>0.5</v>
      </c>
      <c r="UJQ50" s="366" t="e">
        <f>10/UJM48</f>
        <v>#DIV/0!</v>
      </c>
      <c r="UJR50" s="367">
        <v>15.38</v>
      </c>
      <c r="UJS50" s="367" t="e">
        <f>UJP50*UJQ50*UJR50</f>
        <v>#DIV/0!</v>
      </c>
      <c r="UJT50" s="363" t="s">
        <v>153</v>
      </c>
      <c r="UJU50" s="363"/>
      <c r="UJV50" s="363"/>
      <c r="UJW50" s="364" t="s">
        <v>140</v>
      </c>
      <c r="UJX50" s="365">
        <v>0.5</v>
      </c>
      <c r="UJY50" s="366" t="e">
        <f>10/UJU48</f>
        <v>#DIV/0!</v>
      </c>
      <c r="UJZ50" s="367">
        <v>15.38</v>
      </c>
      <c r="UKA50" s="367" t="e">
        <f>UJX50*UJY50*UJZ50</f>
        <v>#DIV/0!</v>
      </c>
      <c r="UKB50" s="363" t="s">
        <v>153</v>
      </c>
      <c r="UKC50" s="363"/>
      <c r="UKD50" s="363"/>
      <c r="UKE50" s="364" t="s">
        <v>140</v>
      </c>
      <c r="UKF50" s="365">
        <v>0.5</v>
      </c>
      <c r="UKG50" s="366" t="e">
        <f>10/UKC48</f>
        <v>#DIV/0!</v>
      </c>
      <c r="UKH50" s="367">
        <v>15.38</v>
      </c>
      <c r="UKI50" s="367" t="e">
        <f>UKF50*UKG50*UKH50</f>
        <v>#DIV/0!</v>
      </c>
      <c r="UKJ50" s="363" t="s">
        <v>153</v>
      </c>
      <c r="UKK50" s="363"/>
      <c r="UKL50" s="363"/>
      <c r="UKM50" s="364" t="s">
        <v>140</v>
      </c>
      <c r="UKN50" s="365">
        <v>0.5</v>
      </c>
      <c r="UKO50" s="366" t="e">
        <f>10/UKK48</f>
        <v>#DIV/0!</v>
      </c>
      <c r="UKP50" s="367">
        <v>15.38</v>
      </c>
      <c r="UKQ50" s="367" t="e">
        <f>UKN50*UKO50*UKP50</f>
        <v>#DIV/0!</v>
      </c>
      <c r="UKR50" s="363" t="s">
        <v>153</v>
      </c>
      <c r="UKS50" s="363"/>
      <c r="UKT50" s="363"/>
      <c r="UKU50" s="364" t="s">
        <v>140</v>
      </c>
      <c r="UKV50" s="365">
        <v>0.5</v>
      </c>
      <c r="UKW50" s="366" t="e">
        <f>10/UKS48</f>
        <v>#DIV/0!</v>
      </c>
      <c r="UKX50" s="367">
        <v>15.38</v>
      </c>
      <c r="UKY50" s="367" t="e">
        <f>UKV50*UKW50*UKX50</f>
        <v>#DIV/0!</v>
      </c>
      <c r="UKZ50" s="363" t="s">
        <v>153</v>
      </c>
      <c r="ULA50" s="363"/>
      <c r="ULB50" s="363"/>
      <c r="ULC50" s="364" t="s">
        <v>140</v>
      </c>
      <c r="ULD50" s="365">
        <v>0.5</v>
      </c>
      <c r="ULE50" s="366" t="e">
        <f>10/ULA48</f>
        <v>#DIV/0!</v>
      </c>
      <c r="ULF50" s="367">
        <v>15.38</v>
      </c>
      <c r="ULG50" s="367" t="e">
        <f>ULD50*ULE50*ULF50</f>
        <v>#DIV/0!</v>
      </c>
      <c r="ULH50" s="363" t="s">
        <v>153</v>
      </c>
      <c r="ULI50" s="363"/>
      <c r="ULJ50" s="363"/>
      <c r="ULK50" s="364" t="s">
        <v>140</v>
      </c>
      <c r="ULL50" s="365">
        <v>0.5</v>
      </c>
      <c r="ULM50" s="366" t="e">
        <f>10/ULI48</f>
        <v>#DIV/0!</v>
      </c>
      <c r="ULN50" s="367">
        <v>15.38</v>
      </c>
      <c r="ULO50" s="367" t="e">
        <f>ULL50*ULM50*ULN50</f>
        <v>#DIV/0!</v>
      </c>
      <c r="ULP50" s="363" t="s">
        <v>153</v>
      </c>
      <c r="ULQ50" s="363"/>
      <c r="ULR50" s="363"/>
      <c r="ULS50" s="364" t="s">
        <v>140</v>
      </c>
      <c r="ULT50" s="365">
        <v>0.5</v>
      </c>
      <c r="ULU50" s="366" t="e">
        <f>10/ULQ48</f>
        <v>#DIV/0!</v>
      </c>
      <c r="ULV50" s="367">
        <v>15.38</v>
      </c>
      <c r="ULW50" s="367" t="e">
        <f>ULT50*ULU50*ULV50</f>
        <v>#DIV/0!</v>
      </c>
      <c r="ULX50" s="363" t="s">
        <v>153</v>
      </c>
      <c r="ULY50" s="363"/>
      <c r="ULZ50" s="363"/>
      <c r="UMA50" s="364" t="s">
        <v>140</v>
      </c>
      <c r="UMB50" s="365">
        <v>0.5</v>
      </c>
      <c r="UMC50" s="366" t="e">
        <f>10/ULY48</f>
        <v>#DIV/0!</v>
      </c>
      <c r="UMD50" s="367">
        <v>15.38</v>
      </c>
      <c r="UME50" s="367" t="e">
        <f>UMB50*UMC50*UMD50</f>
        <v>#DIV/0!</v>
      </c>
      <c r="UMF50" s="363" t="s">
        <v>153</v>
      </c>
      <c r="UMG50" s="363"/>
      <c r="UMH50" s="363"/>
      <c r="UMI50" s="364" t="s">
        <v>140</v>
      </c>
      <c r="UMJ50" s="365">
        <v>0.5</v>
      </c>
      <c r="UMK50" s="366" t="e">
        <f>10/UMG48</f>
        <v>#DIV/0!</v>
      </c>
      <c r="UML50" s="367">
        <v>15.38</v>
      </c>
      <c r="UMM50" s="367" t="e">
        <f>UMJ50*UMK50*UML50</f>
        <v>#DIV/0!</v>
      </c>
      <c r="UMN50" s="363" t="s">
        <v>153</v>
      </c>
      <c r="UMO50" s="363"/>
      <c r="UMP50" s="363"/>
      <c r="UMQ50" s="364" t="s">
        <v>140</v>
      </c>
      <c r="UMR50" s="365">
        <v>0.5</v>
      </c>
      <c r="UMS50" s="366" t="e">
        <f>10/UMO48</f>
        <v>#DIV/0!</v>
      </c>
      <c r="UMT50" s="367">
        <v>15.38</v>
      </c>
      <c r="UMU50" s="367" t="e">
        <f>UMR50*UMS50*UMT50</f>
        <v>#DIV/0!</v>
      </c>
      <c r="UMV50" s="363" t="s">
        <v>153</v>
      </c>
      <c r="UMW50" s="363"/>
      <c r="UMX50" s="363"/>
      <c r="UMY50" s="364" t="s">
        <v>140</v>
      </c>
      <c r="UMZ50" s="365">
        <v>0.5</v>
      </c>
      <c r="UNA50" s="366" t="e">
        <f>10/UMW48</f>
        <v>#DIV/0!</v>
      </c>
      <c r="UNB50" s="367">
        <v>15.38</v>
      </c>
      <c r="UNC50" s="367" t="e">
        <f>UMZ50*UNA50*UNB50</f>
        <v>#DIV/0!</v>
      </c>
      <c r="UND50" s="363" t="s">
        <v>153</v>
      </c>
      <c r="UNE50" s="363"/>
      <c r="UNF50" s="363"/>
      <c r="UNG50" s="364" t="s">
        <v>140</v>
      </c>
      <c r="UNH50" s="365">
        <v>0.5</v>
      </c>
      <c r="UNI50" s="366" t="e">
        <f>10/UNE48</f>
        <v>#DIV/0!</v>
      </c>
      <c r="UNJ50" s="367">
        <v>15.38</v>
      </c>
      <c r="UNK50" s="367" t="e">
        <f>UNH50*UNI50*UNJ50</f>
        <v>#DIV/0!</v>
      </c>
      <c r="UNL50" s="363" t="s">
        <v>153</v>
      </c>
      <c r="UNM50" s="363"/>
      <c r="UNN50" s="363"/>
      <c r="UNO50" s="364" t="s">
        <v>140</v>
      </c>
      <c r="UNP50" s="365">
        <v>0.5</v>
      </c>
      <c r="UNQ50" s="366" t="e">
        <f>10/UNM48</f>
        <v>#DIV/0!</v>
      </c>
      <c r="UNR50" s="367">
        <v>15.38</v>
      </c>
      <c r="UNS50" s="367" t="e">
        <f>UNP50*UNQ50*UNR50</f>
        <v>#DIV/0!</v>
      </c>
      <c r="UNT50" s="363" t="s">
        <v>153</v>
      </c>
      <c r="UNU50" s="363"/>
      <c r="UNV50" s="363"/>
      <c r="UNW50" s="364" t="s">
        <v>140</v>
      </c>
      <c r="UNX50" s="365">
        <v>0.5</v>
      </c>
      <c r="UNY50" s="366" t="e">
        <f>10/UNU48</f>
        <v>#DIV/0!</v>
      </c>
      <c r="UNZ50" s="367">
        <v>15.38</v>
      </c>
      <c r="UOA50" s="367" t="e">
        <f>UNX50*UNY50*UNZ50</f>
        <v>#DIV/0!</v>
      </c>
      <c r="UOB50" s="363" t="s">
        <v>153</v>
      </c>
      <c r="UOC50" s="363"/>
      <c r="UOD50" s="363"/>
      <c r="UOE50" s="364" t="s">
        <v>140</v>
      </c>
      <c r="UOF50" s="365">
        <v>0.5</v>
      </c>
      <c r="UOG50" s="366" t="e">
        <f>10/UOC48</f>
        <v>#DIV/0!</v>
      </c>
      <c r="UOH50" s="367">
        <v>15.38</v>
      </c>
      <c r="UOI50" s="367" t="e">
        <f>UOF50*UOG50*UOH50</f>
        <v>#DIV/0!</v>
      </c>
      <c r="UOJ50" s="363" t="s">
        <v>153</v>
      </c>
      <c r="UOK50" s="363"/>
      <c r="UOL50" s="363"/>
      <c r="UOM50" s="364" t="s">
        <v>140</v>
      </c>
      <c r="UON50" s="365">
        <v>0.5</v>
      </c>
      <c r="UOO50" s="366" t="e">
        <f>10/UOK48</f>
        <v>#DIV/0!</v>
      </c>
      <c r="UOP50" s="367">
        <v>15.38</v>
      </c>
      <c r="UOQ50" s="367" t="e">
        <f>UON50*UOO50*UOP50</f>
        <v>#DIV/0!</v>
      </c>
      <c r="UOR50" s="363" t="s">
        <v>153</v>
      </c>
      <c r="UOS50" s="363"/>
      <c r="UOT50" s="363"/>
      <c r="UOU50" s="364" t="s">
        <v>140</v>
      </c>
      <c r="UOV50" s="365">
        <v>0.5</v>
      </c>
      <c r="UOW50" s="366" t="e">
        <f>10/UOS48</f>
        <v>#DIV/0!</v>
      </c>
      <c r="UOX50" s="367">
        <v>15.38</v>
      </c>
      <c r="UOY50" s="367" t="e">
        <f>UOV50*UOW50*UOX50</f>
        <v>#DIV/0!</v>
      </c>
      <c r="UOZ50" s="363" t="s">
        <v>153</v>
      </c>
      <c r="UPA50" s="363"/>
      <c r="UPB50" s="363"/>
      <c r="UPC50" s="364" t="s">
        <v>140</v>
      </c>
      <c r="UPD50" s="365">
        <v>0.5</v>
      </c>
      <c r="UPE50" s="366" t="e">
        <f>10/UPA48</f>
        <v>#DIV/0!</v>
      </c>
      <c r="UPF50" s="367">
        <v>15.38</v>
      </c>
      <c r="UPG50" s="367" t="e">
        <f>UPD50*UPE50*UPF50</f>
        <v>#DIV/0!</v>
      </c>
      <c r="UPH50" s="363" t="s">
        <v>153</v>
      </c>
      <c r="UPI50" s="363"/>
      <c r="UPJ50" s="363"/>
      <c r="UPK50" s="364" t="s">
        <v>140</v>
      </c>
      <c r="UPL50" s="365">
        <v>0.5</v>
      </c>
      <c r="UPM50" s="366" t="e">
        <f>10/UPI48</f>
        <v>#DIV/0!</v>
      </c>
      <c r="UPN50" s="367">
        <v>15.38</v>
      </c>
      <c r="UPO50" s="367" t="e">
        <f>UPL50*UPM50*UPN50</f>
        <v>#DIV/0!</v>
      </c>
      <c r="UPP50" s="363" t="s">
        <v>153</v>
      </c>
      <c r="UPQ50" s="363"/>
      <c r="UPR50" s="363"/>
      <c r="UPS50" s="364" t="s">
        <v>140</v>
      </c>
      <c r="UPT50" s="365">
        <v>0.5</v>
      </c>
      <c r="UPU50" s="366" t="e">
        <f>10/UPQ48</f>
        <v>#DIV/0!</v>
      </c>
      <c r="UPV50" s="367">
        <v>15.38</v>
      </c>
      <c r="UPW50" s="367" t="e">
        <f>UPT50*UPU50*UPV50</f>
        <v>#DIV/0!</v>
      </c>
      <c r="UPX50" s="363" t="s">
        <v>153</v>
      </c>
      <c r="UPY50" s="363"/>
      <c r="UPZ50" s="363"/>
      <c r="UQA50" s="364" t="s">
        <v>140</v>
      </c>
      <c r="UQB50" s="365">
        <v>0.5</v>
      </c>
      <c r="UQC50" s="366" t="e">
        <f>10/UPY48</f>
        <v>#DIV/0!</v>
      </c>
      <c r="UQD50" s="367">
        <v>15.38</v>
      </c>
      <c r="UQE50" s="367" t="e">
        <f>UQB50*UQC50*UQD50</f>
        <v>#DIV/0!</v>
      </c>
      <c r="UQF50" s="363" t="s">
        <v>153</v>
      </c>
      <c r="UQG50" s="363"/>
      <c r="UQH50" s="363"/>
      <c r="UQI50" s="364" t="s">
        <v>140</v>
      </c>
      <c r="UQJ50" s="365">
        <v>0.5</v>
      </c>
      <c r="UQK50" s="366" t="e">
        <f>10/UQG48</f>
        <v>#DIV/0!</v>
      </c>
      <c r="UQL50" s="367">
        <v>15.38</v>
      </c>
      <c r="UQM50" s="367" t="e">
        <f>UQJ50*UQK50*UQL50</f>
        <v>#DIV/0!</v>
      </c>
      <c r="UQN50" s="363" t="s">
        <v>153</v>
      </c>
      <c r="UQO50" s="363"/>
      <c r="UQP50" s="363"/>
      <c r="UQQ50" s="364" t="s">
        <v>140</v>
      </c>
      <c r="UQR50" s="365">
        <v>0.5</v>
      </c>
      <c r="UQS50" s="366" t="e">
        <f>10/UQO48</f>
        <v>#DIV/0!</v>
      </c>
      <c r="UQT50" s="367">
        <v>15.38</v>
      </c>
      <c r="UQU50" s="367" t="e">
        <f>UQR50*UQS50*UQT50</f>
        <v>#DIV/0!</v>
      </c>
      <c r="UQV50" s="363" t="s">
        <v>153</v>
      </c>
      <c r="UQW50" s="363"/>
      <c r="UQX50" s="363"/>
      <c r="UQY50" s="364" t="s">
        <v>140</v>
      </c>
      <c r="UQZ50" s="365">
        <v>0.5</v>
      </c>
      <c r="URA50" s="366" t="e">
        <f>10/UQW48</f>
        <v>#DIV/0!</v>
      </c>
      <c r="URB50" s="367">
        <v>15.38</v>
      </c>
      <c r="URC50" s="367" t="e">
        <f>UQZ50*URA50*URB50</f>
        <v>#DIV/0!</v>
      </c>
      <c r="URD50" s="363" t="s">
        <v>153</v>
      </c>
      <c r="URE50" s="363"/>
      <c r="URF50" s="363"/>
      <c r="URG50" s="364" t="s">
        <v>140</v>
      </c>
      <c r="URH50" s="365">
        <v>0.5</v>
      </c>
      <c r="URI50" s="366" t="e">
        <f>10/URE48</f>
        <v>#DIV/0!</v>
      </c>
      <c r="URJ50" s="367">
        <v>15.38</v>
      </c>
      <c r="URK50" s="367" t="e">
        <f>URH50*URI50*URJ50</f>
        <v>#DIV/0!</v>
      </c>
      <c r="URL50" s="363" t="s">
        <v>153</v>
      </c>
      <c r="URM50" s="363"/>
      <c r="URN50" s="363"/>
      <c r="URO50" s="364" t="s">
        <v>140</v>
      </c>
      <c r="URP50" s="365">
        <v>0.5</v>
      </c>
      <c r="URQ50" s="366" t="e">
        <f>10/URM48</f>
        <v>#DIV/0!</v>
      </c>
      <c r="URR50" s="367">
        <v>15.38</v>
      </c>
      <c r="URS50" s="367" t="e">
        <f>URP50*URQ50*URR50</f>
        <v>#DIV/0!</v>
      </c>
      <c r="URT50" s="363" t="s">
        <v>153</v>
      </c>
      <c r="URU50" s="363"/>
      <c r="URV50" s="363"/>
      <c r="URW50" s="364" t="s">
        <v>140</v>
      </c>
      <c r="URX50" s="365">
        <v>0.5</v>
      </c>
      <c r="URY50" s="366" t="e">
        <f>10/URU48</f>
        <v>#DIV/0!</v>
      </c>
      <c r="URZ50" s="367">
        <v>15.38</v>
      </c>
      <c r="USA50" s="367" t="e">
        <f>URX50*URY50*URZ50</f>
        <v>#DIV/0!</v>
      </c>
      <c r="USB50" s="363" t="s">
        <v>153</v>
      </c>
      <c r="USC50" s="363"/>
      <c r="USD50" s="363"/>
      <c r="USE50" s="364" t="s">
        <v>140</v>
      </c>
      <c r="USF50" s="365">
        <v>0.5</v>
      </c>
      <c r="USG50" s="366" t="e">
        <f>10/USC48</f>
        <v>#DIV/0!</v>
      </c>
      <c r="USH50" s="367">
        <v>15.38</v>
      </c>
      <c r="USI50" s="367" t="e">
        <f>USF50*USG50*USH50</f>
        <v>#DIV/0!</v>
      </c>
      <c r="USJ50" s="363" t="s">
        <v>153</v>
      </c>
      <c r="USK50" s="363"/>
      <c r="USL50" s="363"/>
      <c r="USM50" s="364" t="s">
        <v>140</v>
      </c>
      <c r="USN50" s="365">
        <v>0.5</v>
      </c>
      <c r="USO50" s="366" t="e">
        <f>10/USK48</f>
        <v>#DIV/0!</v>
      </c>
      <c r="USP50" s="367">
        <v>15.38</v>
      </c>
      <c r="USQ50" s="367" t="e">
        <f>USN50*USO50*USP50</f>
        <v>#DIV/0!</v>
      </c>
      <c r="USR50" s="363" t="s">
        <v>153</v>
      </c>
      <c r="USS50" s="363"/>
      <c r="UST50" s="363"/>
      <c r="USU50" s="364" t="s">
        <v>140</v>
      </c>
      <c r="USV50" s="365">
        <v>0.5</v>
      </c>
      <c r="USW50" s="366" t="e">
        <f>10/USS48</f>
        <v>#DIV/0!</v>
      </c>
      <c r="USX50" s="367">
        <v>15.38</v>
      </c>
      <c r="USY50" s="367" t="e">
        <f>USV50*USW50*USX50</f>
        <v>#DIV/0!</v>
      </c>
      <c r="USZ50" s="363" t="s">
        <v>153</v>
      </c>
      <c r="UTA50" s="363"/>
      <c r="UTB50" s="363"/>
      <c r="UTC50" s="364" t="s">
        <v>140</v>
      </c>
      <c r="UTD50" s="365">
        <v>0.5</v>
      </c>
      <c r="UTE50" s="366" t="e">
        <f>10/UTA48</f>
        <v>#DIV/0!</v>
      </c>
      <c r="UTF50" s="367">
        <v>15.38</v>
      </c>
      <c r="UTG50" s="367" t="e">
        <f>UTD50*UTE50*UTF50</f>
        <v>#DIV/0!</v>
      </c>
      <c r="UTH50" s="363" t="s">
        <v>153</v>
      </c>
      <c r="UTI50" s="363"/>
      <c r="UTJ50" s="363"/>
      <c r="UTK50" s="364" t="s">
        <v>140</v>
      </c>
      <c r="UTL50" s="365">
        <v>0.5</v>
      </c>
      <c r="UTM50" s="366" t="e">
        <f>10/UTI48</f>
        <v>#DIV/0!</v>
      </c>
      <c r="UTN50" s="367">
        <v>15.38</v>
      </c>
      <c r="UTO50" s="367" t="e">
        <f>UTL50*UTM50*UTN50</f>
        <v>#DIV/0!</v>
      </c>
      <c r="UTP50" s="363" t="s">
        <v>153</v>
      </c>
      <c r="UTQ50" s="363"/>
      <c r="UTR50" s="363"/>
      <c r="UTS50" s="364" t="s">
        <v>140</v>
      </c>
      <c r="UTT50" s="365">
        <v>0.5</v>
      </c>
      <c r="UTU50" s="366" t="e">
        <f>10/UTQ48</f>
        <v>#DIV/0!</v>
      </c>
      <c r="UTV50" s="367">
        <v>15.38</v>
      </c>
      <c r="UTW50" s="367" t="e">
        <f>UTT50*UTU50*UTV50</f>
        <v>#DIV/0!</v>
      </c>
      <c r="UTX50" s="363" t="s">
        <v>153</v>
      </c>
      <c r="UTY50" s="363"/>
      <c r="UTZ50" s="363"/>
      <c r="UUA50" s="364" t="s">
        <v>140</v>
      </c>
      <c r="UUB50" s="365">
        <v>0.5</v>
      </c>
      <c r="UUC50" s="366" t="e">
        <f>10/UTY48</f>
        <v>#DIV/0!</v>
      </c>
      <c r="UUD50" s="367">
        <v>15.38</v>
      </c>
      <c r="UUE50" s="367" t="e">
        <f>UUB50*UUC50*UUD50</f>
        <v>#DIV/0!</v>
      </c>
      <c r="UUF50" s="363" t="s">
        <v>153</v>
      </c>
      <c r="UUG50" s="363"/>
      <c r="UUH50" s="363"/>
      <c r="UUI50" s="364" t="s">
        <v>140</v>
      </c>
      <c r="UUJ50" s="365">
        <v>0.5</v>
      </c>
      <c r="UUK50" s="366" t="e">
        <f>10/UUG48</f>
        <v>#DIV/0!</v>
      </c>
      <c r="UUL50" s="367">
        <v>15.38</v>
      </c>
      <c r="UUM50" s="367" t="e">
        <f>UUJ50*UUK50*UUL50</f>
        <v>#DIV/0!</v>
      </c>
      <c r="UUN50" s="363" t="s">
        <v>153</v>
      </c>
      <c r="UUO50" s="363"/>
      <c r="UUP50" s="363"/>
      <c r="UUQ50" s="364" t="s">
        <v>140</v>
      </c>
      <c r="UUR50" s="365">
        <v>0.5</v>
      </c>
      <c r="UUS50" s="366" t="e">
        <f>10/UUO48</f>
        <v>#DIV/0!</v>
      </c>
      <c r="UUT50" s="367">
        <v>15.38</v>
      </c>
      <c r="UUU50" s="367" t="e">
        <f>UUR50*UUS50*UUT50</f>
        <v>#DIV/0!</v>
      </c>
      <c r="UUV50" s="363" t="s">
        <v>153</v>
      </c>
      <c r="UUW50" s="363"/>
      <c r="UUX50" s="363"/>
      <c r="UUY50" s="364" t="s">
        <v>140</v>
      </c>
      <c r="UUZ50" s="365">
        <v>0.5</v>
      </c>
      <c r="UVA50" s="366" t="e">
        <f>10/UUW48</f>
        <v>#DIV/0!</v>
      </c>
      <c r="UVB50" s="367">
        <v>15.38</v>
      </c>
      <c r="UVC50" s="367" t="e">
        <f>UUZ50*UVA50*UVB50</f>
        <v>#DIV/0!</v>
      </c>
      <c r="UVD50" s="363" t="s">
        <v>153</v>
      </c>
      <c r="UVE50" s="363"/>
      <c r="UVF50" s="363"/>
      <c r="UVG50" s="364" t="s">
        <v>140</v>
      </c>
      <c r="UVH50" s="365">
        <v>0.5</v>
      </c>
      <c r="UVI50" s="366" t="e">
        <f>10/UVE48</f>
        <v>#DIV/0!</v>
      </c>
      <c r="UVJ50" s="367">
        <v>15.38</v>
      </c>
      <c r="UVK50" s="367" t="e">
        <f>UVH50*UVI50*UVJ50</f>
        <v>#DIV/0!</v>
      </c>
      <c r="UVL50" s="363" t="s">
        <v>153</v>
      </c>
      <c r="UVM50" s="363"/>
      <c r="UVN50" s="363"/>
      <c r="UVO50" s="364" t="s">
        <v>140</v>
      </c>
      <c r="UVP50" s="365">
        <v>0.5</v>
      </c>
      <c r="UVQ50" s="366" t="e">
        <f>10/UVM48</f>
        <v>#DIV/0!</v>
      </c>
      <c r="UVR50" s="367">
        <v>15.38</v>
      </c>
      <c r="UVS50" s="367" t="e">
        <f>UVP50*UVQ50*UVR50</f>
        <v>#DIV/0!</v>
      </c>
      <c r="UVT50" s="363" t="s">
        <v>153</v>
      </c>
      <c r="UVU50" s="363"/>
      <c r="UVV50" s="363"/>
      <c r="UVW50" s="364" t="s">
        <v>140</v>
      </c>
      <c r="UVX50" s="365">
        <v>0.5</v>
      </c>
      <c r="UVY50" s="366" t="e">
        <f>10/UVU48</f>
        <v>#DIV/0!</v>
      </c>
      <c r="UVZ50" s="367">
        <v>15.38</v>
      </c>
      <c r="UWA50" s="367" t="e">
        <f>UVX50*UVY50*UVZ50</f>
        <v>#DIV/0!</v>
      </c>
      <c r="UWB50" s="363" t="s">
        <v>153</v>
      </c>
      <c r="UWC50" s="363"/>
      <c r="UWD50" s="363"/>
      <c r="UWE50" s="364" t="s">
        <v>140</v>
      </c>
      <c r="UWF50" s="365">
        <v>0.5</v>
      </c>
      <c r="UWG50" s="366" t="e">
        <f>10/UWC48</f>
        <v>#DIV/0!</v>
      </c>
      <c r="UWH50" s="367">
        <v>15.38</v>
      </c>
      <c r="UWI50" s="367" t="e">
        <f>UWF50*UWG50*UWH50</f>
        <v>#DIV/0!</v>
      </c>
      <c r="UWJ50" s="363" t="s">
        <v>153</v>
      </c>
      <c r="UWK50" s="363"/>
      <c r="UWL50" s="363"/>
      <c r="UWM50" s="364" t="s">
        <v>140</v>
      </c>
      <c r="UWN50" s="365">
        <v>0.5</v>
      </c>
      <c r="UWO50" s="366" t="e">
        <f>10/UWK48</f>
        <v>#DIV/0!</v>
      </c>
      <c r="UWP50" s="367">
        <v>15.38</v>
      </c>
      <c r="UWQ50" s="367" t="e">
        <f>UWN50*UWO50*UWP50</f>
        <v>#DIV/0!</v>
      </c>
      <c r="UWR50" s="363" t="s">
        <v>153</v>
      </c>
      <c r="UWS50" s="363"/>
      <c r="UWT50" s="363"/>
      <c r="UWU50" s="364" t="s">
        <v>140</v>
      </c>
      <c r="UWV50" s="365">
        <v>0.5</v>
      </c>
      <c r="UWW50" s="366" t="e">
        <f>10/UWS48</f>
        <v>#DIV/0!</v>
      </c>
      <c r="UWX50" s="367">
        <v>15.38</v>
      </c>
      <c r="UWY50" s="367" t="e">
        <f>UWV50*UWW50*UWX50</f>
        <v>#DIV/0!</v>
      </c>
      <c r="UWZ50" s="363" t="s">
        <v>153</v>
      </c>
      <c r="UXA50" s="363"/>
      <c r="UXB50" s="363"/>
      <c r="UXC50" s="364" t="s">
        <v>140</v>
      </c>
      <c r="UXD50" s="365">
        <v>0.5</v>
      </c>
      <c r="UXE50" s="366" t="e">
        <f>10/UXA48</f>
        <v>#DIV/0!</v>
      </c>
      <c r="UXF50" s="367">
        <v>15.38</v>
      </c>
      <c r="UXG50" s="367" t="e">
        <f>UXD50*UXE50*UXF50</f>
        <v>#DIV/0!</v>
      </c>
      <c r="UXH50" s="363" t="s">
        <v>153</v>
      </c>
      <c r="UXI50" s="363"/>
      <c r="UXJ50" s="363"/>
      <c r="UXK50" s="364" t="s">
        <v>140</v>
      </c>
      <c r="UXL50" s="365">
        <v>0.5</v>
      </c>
      <c r="UXM50" s="366" t="e">
        <f>10/UXI48</f>
        <v>#DIV/0!</v>
      </c>
      <c r="UXN50" s="367">
        <v>15.38</v>
      </c>
      <c r="UXO50" s="367" t="e">
        <f>UXL50*UXM50*UXN50</f>
        <v>#DIV/0!</v>
      </c>
      <c r="UXP50" s="363" t="s">
        <v>153</v>
      </c>
      <c r="UXQ50" s="363"/>
      <c r="UXR50" s="363"/>
      <c r="UXS50" s="364" t="s">
        <v>140</v>
      </c>
      <c r="UXT50" s="365">
        <v>0.5</v>
      </c>
      <c r="UXU50" s="366" t="e">
        <f>10/UXQ48</f>
        <v>#DIV/0!</v>
      </c>
      <c r="UXV50" s="367">
        <v>15.38</v>
      </c>
      <c r="UXW50" s="367" t="e">
        <f>UXT50*UXU50*UXV50</f>
        <v>#DIV/0!</v>
      </c>
      <c r="UXX50" s="363" t="s">
        <v>153</v>
      </c>
      <c r="UXY50" s="363"/>
      <c r="UXZ50" s="363"/>
      <c r="UYA50" s="364" t="s">
        <v>140</v>
      </c>
      <c r="UYB50" s="365">
        <v>0.5</v>
      </c>
      <c r="UYC50" s="366" t="e">
        <f>10/UXY48</f>
        <v>#DIV/0!</v>
      </c>
      <c r="UYD50" s="367">
        <v>15.38</v>
      </c>
      <c r="UYE50" s="367" t="e">
        <f>UYB50*UYC50*UYD50</f>
        <v>#DIV/0!</v>
      </c>
      <c r="UYF50" s="363" t="s">
        <v>153</v>
      </c>
      <c r="UYG50" s="363"/>
      <c r="UYH50" s="363"/>
      <c r="UYI50" s="364" t="s">
        <v>140</v>
      </c>
      <c r="UYJ50" s="365">
        <v>0.5</v>
      </c>
      <c r="UYK50" s="366" t="e">
        <f>10/UYG48</f>
        <v>#DIV/0!</v>
      </c>
      <c r="UYL50" s="367">
        <v>15.38</v>
      </c>
      <c r="UYM50" s="367" t="e">
        <f>UYJ50*UYK50*UYL50</f>
        <v>#DIV/0!</v>
      </c>
      <c r="UYN50" s="363" t="s">
        <v>153</v>
      </c>
      <c r="UYO50" s="363"/>
      <c r="UYP50" s="363"/>
      <c r="UYQ50" s="364" t="s">
        <v>140</v>
      </c>
      <c r="UYR50" s="365">
        <v>0.5</v>
      </c>
      <c r="UYS50" s="366" t="e">
        <f>10/UYO48</f>
        <v>#DIV/0!</v>
      </c>
      <c r="UYT50" s="367">
        <v>15.38</v>
      </c>
      <c r="UYU50" s="367" t="e">
        <f>UYR50*UYS50*UYT50</f>
        <v>#DIV/0!</v>
      </c>
      <c r="UYV50" s="363" t="s">
        <v>153</v>
      </c>
      <c r="UYW50" s="363"/>
      <c r="UYX50" s="363"/>
      <c r="UYY50" s="364" t="s">
        <v>140</v>
      </c>
      <c r="UYZ50" s="365">
        <v>0.5</v>
      </c>
      <c r="UZA50" s="366" t="e">
        <f>10/UYW48</f>
        <v>#DIV/0!</v>
      </c>
      <c r="UZB50" s="367">
        <v>15.38</v>
      </c>
      <c r="UZC50" s="367" t="e">
        <f>UYZ50*UZA50*UZB50</f>
        <v>#DIV/0!</v>
      </c>
      <c r="UZD50" s="363" t="s">
        <v>153</v>
      </c>
      <c r="UZE50" s="363"/>
      <c r="UZF50" s="363"/>
      <c r="UZG50" s="364" t="s">
        <v>140</v>
      </c>
      <c r="UZH50" s="365">
        <v>0.5</v>
      </c>
      <c r="UZI50" s="366" t="e">
        <f>10/UZE48</f>
        <v>#DIV/0!</v>
      </c>
      <c r="UZJ50" s="367">
        <v>15.38</v>
      </c>
      <c r="UZK50" s="367" t="e">
        <f>UZH50*UZI50*UZJ50</f>
        <v>#DIV/0!</v>
      </c>
      <c r="UZL50" s="363" t="s">
        <v>153</v>
      </c>
      <c r="UZM50" s="363"/>
      <c r="UZN50" s="363"/>
      <c r="UZO50" s="364" t="s">
        <v>140</v>
      </c>
      <c r="UZP50" s="365">
        <v>0.5</v>
      </c>
      <c r="UZQ50" s="366" t="e">
        <f>10/UZM48</f>
        <v>#DIV/0!</v>
      </c>
      <c r="UZR50" s="367">
        <v>15.38</v>
      </c>
      <c r="UZS50" s="367" t="e">
        <f>UZP50*UZQ50*UZR50</f>
        <v>#DIV/0!</v>
      </c>
      <c r="UZT50" s="363" t="s">
        <v>153</v>
      </c>
      <c r="UZU50" s="363"/>
      <c r="UZV50" s="363"/>
      <c r="UZW50" s="364" t="s">
        <v>140</v>
      </c>
      <c r="UZX50" s="365">
        <v>0.5</v>
      </c>
      <c r="UZY50" s="366" t="e">
        <f>10/UZU48</f>
        <v>#DIV/0!</v>
      </c>
      <c r="UZZ50" s="367">
        <v>15.38</v>
      </c>
      <c r="VAA50" s="367" t="e">
        <f>UZX50*UZY50*UZZ50</f>
        <v>#DIV/0!</v>
      </c>
      <c r="VAB50" s="363" t="s">
        <v>153</v>
      </c>
      <c r="VAC50" s="363"/>
      <c r="VAD50" s="363"/>
      <c r="VAE50" s="364" t="s">
        <v>140</v>
      </c>
      <c r="VAF50" s="365">
        <v>0.5</v>
      </c>
      <c r="VAG50" s="366" t="e">
        <f>10/VAC48</f>
        <v>#DIV/0!</v>
      </c>
      <c r="VAH50" s="367">
        <v>15.38</v>
      </c>
      <c r="VAI50" s="367" t="e">
        <f>VAF50*VAG50*VAH50</f>
        <v>#DIV/0!</v>
      </c>
      <c r="VAJ50" s="363" t="s">
        <v>153</v>
      </c>
      <c r="VAK50" s="363"/>
      <c r="VAL50" s="363"/>
      <c r="VAM50" s="364" t="s">
        <v>140</v>
      </c>
      <c r="VAN50" s="365">
        <v>0.5</v>
      </c>
      <c r="VAO50" s="366" t="e">
        <f>10/VAK48</f>
        <v>#DIV/0!</v>
      </c>
      <c r="VAP50" s="367">
        <v>15.38</v>
      </c>
      <c r="VAQ50" s="367" t="e">
        <f>VAN50*VAO50*VAP50</f>
        <v>#DIV/0!</v>
      </c>
      <c r="VAR50" s="363" t="s">
        <v>153</v>
      </c>
      <c r="VAS50" s="363"/>
      <c r="VAT50" s="363"/>
      <c r="VAU50" s="364" t="s">
        <v>140</v>
      </c>
      <c r="VAV50" s="365">
        <v>0.5</v>
      </c>
      <c r="VAW50" s="366" t="e">
        <f>10/VAS48</f>
        <v>#DIV/0!</v>
      </c>
      <c r="VAX50" s="367">
        <v>15.38</v>
      </c>
      <c r="VAY50" s="367" t="e">
        <f>VAV50*VAW50*VAX50</f>
        <v>#DIV/0!</v>
      </c>
      <c r="VAZ50" s="363" t="s">
        <v>153</v>
      </c>
      <c r="VBA50" s="363"/>
      <c r="VBB50" s="363"/>
      <c r="VBC50" s="364" t="s">
        <v>140</v>
      </c>
      <c r="VBD50" s="365">
        <v>0.5</v>
      </c>
      <c r="VBE50" s="366" t="e">
        <f>10/VBA48</f>
        <v>#DIV/0!</v>
      </c>
      <c r="VBF50" s="367">
        <v>15.38</v>
      </c>
      <c r="VBG50" s="367" t="e">
        <f>VBD50*VBE50*VBF50</f>
        <v>#DIV/0!</v>
      </c>
      <c r="VBH50" s="363" t="s">
        <v>153</v>
      </c>
      <c r="VBI50" s="363"/>
      <c r="VBJ50" s="363"/>
      <c r="VBK50" s="364" t="s">
        <v>140</v>
      </c>
      <c r="VBL50" s="365">
        <v>0.5</v>
      </c>
      <c r="VBM50" s="366" t="e">
        <f>10/VBI48</f>
        <v>#DIV/0!</v>
      </c>
      <c r="VBN50" s="367">
        <v>15.38</v>
      </c>
      <c r="VBO50" s="367" t="e">
        <f>VBL50*VBM50*VBN50</f>
        <v>#DIV/0!</v>
      </c>
      <c r="VBP50" s="363" t="s">
        <v>153</v>
      </c>
      <c r="VBQ50" s="363"/>
      <c r="VBR50" s="363"/>
      <c r="VBS50" s="364" t="s">
        <v>140</v>
      </c>
      <c r="VBT50" s="365">
        <v>0.5</v>
      </c>
      <c r="VBU50" s="366" t="e">
        <f>10/VBQ48</f>
        <v>#DIV/0!</v>
      </c>
      <c r="VBV50" s="367">
        <v>15.38</v>
      </c>
      <c r="VBW50" s="367" t="e">
        <f>VBT50*VBU50*VBV50</f>
        <v>#DIV/0!</v>
      </c>
      <c r="VBX50" s="363" t="s">
        <v>153</v>
      </c>
      <c r="VBY50" s="363"/>
      <c r="VBZ50" s="363"/>
      <c r="VCA50" s="364" t="s">
        <v>140</v>
      </c>
      <c r="VCB50" s="365">
        <v>0.5</v>
      </c>
      <c r="VCC50" s="366" t="e">
        <f>10/VBY48</f>
        <v>#DIV/0!</v>
      </c>
      <c r="VCD50" s="367">
        <v>15.38</v>
      </c>
      <c r="VCE50" s="367" t="e">
        <f>VCB50*VCC50*VCD50</f>
        <v>#DIV/0!</v>
      </c>
      <c r="VCF50" s="363" t="s">
        <v>153</v>
      </c>
      <c r="VCG50" s="363"/>
      <c r="VCH50" s="363"/>
      <c r="VCI50" s="364" t="s">
        <v>140</v>
      </c>
      <c r="VCJ50" s="365">
        <v>0.5</v>
      </c>
      <c r="VCK50" s="366" t="e">
        <f>10/VCG48</f>
        <v>#DIV/0!</v>
      </c>
      <c r="VCL50" s="367">
        <v>15.38</v>
      </c>
      <c r="VCM50" s="367" t="e">
        <f>VCJ50*VCK50*VCL50</f>
        <v>#DIV/0!</v>
      </c>
      <c r="VCN50" s="363" t="s">
        <v>153</v>
      </c>
      <c r="VCO50" s="363"/>
      <c r="VCP50" s="363"/>
      <c r="VCQ50" s="364" t="s">
        <v>140</v>
      </c>
      <c r="VCR50" s="365">
        <v>0.5</v>
      </c>
      <c r="VCS50" s="366" t="e">
        <f>10/VCO48</f>
        <v>#DIV/0!</v>
      </c>
      <c r="VCT50" s="367">
        <v>15.38</v>
      </c>
      <c r="VCU50" s="367" t="e">
        <f>VCR50*VCS50*VCT50</f>
        <v>#DIV/0!</v>
      </c>
      <c r="VCV50" s="363" t="s">
        <v>153</v>
      </c>
      <c r="VCW50" s="363"/>
      <c r="VCX50" s="363"/>
      <c r="VCY50" s="364" t="s">
        <v>140</v>
      </c>
      <c r="VCZ50" s="365">
        <v>0.5</v>
      </c>
      <c r="VDA50" s="366" t="e">
        <f>10/VCW48</f>
        <v>#DIV/0!</v>
      </c>
      <c r="VDB50" s="367">
        <v>15.38</v>
      </c>
      <c r="VDC50" s="367" t="e">
        <f>VCZ50*VDA50*VDB50</f>
        <v>#DIV/0!</v>
      </c>
      <c r="VDD50" s="363" t="s">
        <v>153</v>
      </c>
      <c r="VDE50" s="363"/>
      <c r="VDF50" s="363"/>
      <c r="VDG50" s="364" t="s">
        <v>140</v>
      </c>
      <c r="VDH50" s="365">
        <v>0.5</v>
      </c>
      <c r="VDI50" s="366" t="e">
        <f>10/VDE48</f>
        <v>#DIV/0!</v>
      </c>
      <c r="VDJ50" s="367">
        <v>15.38</v>
      </c>
      <c r="VDK50" s="367" t="e">
        <f>VDH50*VDI50*VDJ50</f>
        <v>#DIV/0!</v>
      </c>
      <c r="VDL50" s="363" t="s">
        <v>153</v>
      </c>
      <c r="VDM50" s="363"/>
      <c r="VDN50" s="363"/>
      <c r="VDO50" s="364" t="s">
        <v>140</v>
      </c>
      <c r="VDP50" s="365">
        <v>0.5</v>
      </c>
      <c r="VDQ50" s="366" t="e">
        <f>10/VDM48</f>
        <v>#DIV/0!</v>
      </c>
      <c r="VDR50" s="367">
        <v>15.38</v>
      </c>
      <c r="VDS50" s="367" t="e">
        <f>VDP50*VDQ50*VDR50</f>
        <v>#DIV/0!</v>
      </c>
      <c r="VDT50" s="363" t="s">
        <v>153</v>
      </c>
      <c r="VDU50" s="363"/>
      <c r="VDV50" s="363"/>
      <c r="VDW50" s="364" t="s">
        <v>140</v>
      </c>
      <c r="VDX50" s="365">
        <v>0.5</v>
      </c>
      <c r="VDY50" s="366" t="e">
        <f>10/VDU48</f>
        <v>#DIV/0!</v>
      </c>
      <c r="VDZ50" s="367">
        <v>15.38</v>
      </c>
      <c r="VEA50" s="367" t="e">
        <f>VDX50*VDY50*VDZ50</f>
        <v>#DIV/0!</v>
      </c>
      <c r="VEB50" s="363" t="s">
        <v>153</v>
      </c>
      <c r="VEC50" s="363"/>
      <c r="VED50" s="363"/>
      <c r="VEE50" s="364" t="s">
        <v>140</v>
      </c>
      <c r="VEF50" s="365">
        <v>0.5</v>
      </c>
      <c r="VEG50" s="366" t="e">
        <f>10/VEC48</f>
        <v>#DIV/0!</v>
      </c>
      <c r="VEH50" s="367">
        <v>15.38</v>
      </c>
      <c r="VEI50" s="367" t="e">
        <f>VEF50*VEG50*VEH50</f>
        <v>#DIV/0!</v>
      </c>
      <c r="VEJ50" s="363" t="s">
        <v>153</v>
      </c>
      <c r="VEK50" s="363"/>
      <c r="VEL50" s="363"/>
      <c r="VEM50" s="364" t="s">
        <v>140</v>
      </c>
      <c r="VEN50" s="365">
        <v>0.5</v>
      </c>
      <c r="VEO50" s="366" t="e">
        <f>10/VEK48</f>
        <v>#DIV/0!</v>
      </c>
      <c r="VEP50" s="367">
        <v>15.38</v>
      </c>
      <c r="VEQ50" s="367" t="e">
        <f>VEN50*VEO50*VEP50</f>
        <v>#DIV/0!</v>
      </c>
      <c r="VER50" s="363" t="s">
        <v>153</v>
      </c>
      <c r="VES50" s="363"/>
      <c r="VET50" s="363"/>
      <c r="VEU50" s="364" t="s">
        <v>140</v>
      </c>
      <c r="VEV50" s="365">
        <v>0.5</v>
      </c>
      <c r="VEW50" s="366" t="e">
        <f>10/VES48</f>
        <v>#DIV/0!</v>
      </c>
      <c r="VEX50" s="367">
        <v>15.38</v>
      </c>
      <c r="VEY50" s="367" t="e">
        <f>VEV50*VEW50*VEX50</f>
        <v>#DIV/0!</v>
      </c>
      <c r="VEZ50" s="363" t="s">
        <v>153</v>
      </c>
      <c r="VFA50" s="363"/>
      <c r="VFB50" s="363"/>
      <c r="VFC50" s="364" t="s">
        <v>140</v>
      </c>
      <c r="VFD50" s="365">
        <v>0.5</v>
      </c>
      <c r="VFE50" s="366" t="e">
        <f>10/VFA48</f>
        <v>#DIV/0!</v>
      </c>
      <c r="VFF50" s="367">
        <v>15.38</v>
      </c>
      <c r="VFG50" s="367" t="e">
        <f>VFD50*VFE50*VFF50</f>
        <v>#DIV/0!</v>
      </c>
      <c r="VFH50" s="363" t="s">
        <v>153</v>
      </c>
      <c r="VFI50" s="363"/>
      <c r="VFJ50" s="363"/>
      <c r="VFK50" s="364" t="s">
        <v>140</v>
      </c>
      <c r="VFL50" s="365">
        <v>0.5</v>
      </c>
      <c r="VFM50" s="366" t="e">
        <f>10/VFI48</f>
        <v>#DIV/0!</v>
      </c>
      <c r="VFN50" s="367">
        <v>15.38</v>
      </c>
      <c r="VFO50" s="367" t="e">
        <f>VFL50*VFM50*VFN50</f>
        <v>#DIV/0!</v>
      </c>
      <c r="VFP50" s="363" t="s">
        <v>153</v>
      </c>
      <c r="VFQ50" s="363"/>
      <c r="VFR50" s="363"/>
      <c r="VFS50" s="364" t="s">
        <v>140</v>
      </c>
      <c r="VFT50" s="365">
        <v>0.5</v>
      </c>
      <c r="VFU50" s="366" t="e">
        <f>10/VFQ48</f>
        <v>#DIV/0!</v>
      </c>
      <c r="VFV50" s="367">
        <v>15.38</v>
      </c>
      <c r="VFW50" s="367" t="e">
        <f>VFT50*VFU50*VFV50</f>
        <v>#DIV/0!</v>
      </c>
      <c r="VFX50" s="363" t="s">
        <v>153</v>
      </c>
      <c r="VFY50" s="363"/>
      <c r="VFZ50" s="363"/>
      <c r="VGA50" s="364" t="s">
        <v>140</v>
      </c>
      <c r="VGB50" s="365">
        <v>0.5</v>
      </c>
      <c r="VGC50" s="366" t="e">
        <f>10/VFY48</f>
        <v>#DIV/0!</v>
      </c>
      <c r="VGD50" s="367">
        <v>15.38</v>
      </c>
      <c r="VGE50" s="367" t="e">
        <f>VGB50*VGC50*VGD50</f>
        <v>#DIV/0!</v>
      </c>
      <c r="VGF50" s="363" t="s">
        <v>153</v>
      </c>
      <c r="VGG50" s="363"/>
      <c r="VGH50" s="363"/>
      <c r="VGI50" s="364" t="s">
        <v>140</v>
      </c>
      <c r="VGJ50" s="365">
        <v>0.5</v>
      </c>
      <c r="VGK50" s="366" t="e">
        <f>10/VGG48</f>
        <v>#DIV/0!</v>
      </c>
      <c r="VGL50" s="367">
        <v>15.38</v>
      </c>
      <c r="VGM50" s="367" t="e">
        <f>VGJ50*VGK50*VGL50</f>
        <v>#DIV/0!</v>
      </c>
      <c r="VGN50" s="363" t="s">
        <v>153</v>
      </c>
      <c r="VGO50" s="363"/>
      <c r="VGP50" s="363"/>
      <c r="VGQ50" s="364" t="s">
        <v>140</v>
      </c>
      <c r="VGR50" s="365">
        <v>0.5</v>
      </c>
      <c r="VGS50" s="366" t="e">
        <f>10/VGO48</f>
        <v>#DIV/0!</v>
      </c>
      <c r="VGT50" s="367">
        <v>15.38</v>
      </c>
      <c r="VGU50" s="367" t="e">
        <f>VGR50*VGS50*VGT50</f>
        <v>#DIV/0!</v>
      </c>
      <c r="VGV50" s="363" t="s">
        <v>153</v>
      </c>
      <c r="VGW50" s="363"/>
      <c r="VGX50" s="363"/>
      <c r="VGY50" s="364" t="s">
        <v>140</v>
      </c>
      <c r="VGZ50" s="365">
        <v>0.5</v>
      </c>
      <c r="VHA50" s="366" t="e">
        <f>10/VGW48</f>
        <v>#DIV/0!</v>
      </c>
      <c r="VHB50" s="367">
        <v>15.38</v>
      </c>
      <c r="VHC50" s="367" t="e">
        <f>VGZ50*VHA50*VHB50</f>
        <v>#DIV/0!</v>
      </c>
      <c r="VHD50" s="363" t="s">
        <v>153</v>
      </c>
      <c r="VHE50" s="363"/>
      <c r="VHF50" s="363"/>
      <c r="VHG50" s="364" t="s">
        <v>140</v>
      </c>
      <c r="VHH50" s="365">
        <v>0.5</v>
      </c>
      <c r="VHI50" s="366" t="e">
        <f>10/VHE48</f>
        <v>#DIV/0!</v>
      </c>
      <c r="VHJ50" s="367">
        <v>15.38</v>
      </c>
      <c r="VHK50" s="367" t="e">
        <f>VHH50*VHI50*VHJ50</f>
        <v>#DIV/0!</v>
      </c>
      <c r="VHL50" s="363" t="s">
        <v>153</v>
      </c>
      <c r="VHM50" s="363"/>
      <c r="VHN50" s="363"/>
      <c r="VHO50" s="364" t="s">
        <v>140</v>
      </c>
      <c r="VHP50" s="365">
        <v>0.5</v>
      </c>
      <c r="VHQ50" s="366" t="e">
        <f>10/VHM48</f>
        <v>#DIV/0!</v>
      </c>
      <c r="VHR50" s="367">
        <v>15.38</v>
      </c>
      <c r="VHS50" s="367" t="e">
        <f>VHP50*VHQ50*VHR50</f>
        <v>#DIV/0!</v>
      </c>
      <c r="VHT50" s="363" t="s">
        <v>153</v>
      </c>
      <c r="VHU50" s="363"/>
      <c r="VHV50" s="363"/>
      <c r="VHW50" s="364" t="s">
        <v>140</v>
      </c>
      <c r="VHX50" s="365">
        <v>0.5</v>
      </c>
      <c r="VHY50" s="366" t="e">
        <f>10/VHU48</f>
        <v>#DIV/0!</v>
      </c>
      <c r="VHZ50" s="367">
        <v>15.38</v>
      </c>
      <c r="VIA50" s="367" t="e">
        <f>VHX50*VHY50*VHZ50</f>
        <v>#DIV/0!</v>
      </c>
      <c r="VIB50" s="363" t="s">
        <v>153</v>
      </c>
      <c r="VIC50" s="363"/>
      <c r="VID50" s="363"/>
      <c r="VIE50" s="364" t="s">
        <v>140</v>
      </c>
      <c r="VIF50" s="365">
        <v>0.5</v>
      </c>
      <c r="VIG50" s="366" t="e">
        <f>10/VIC48</f>
        <v>#DIV/0!</v>
      </c>
      <c r="VIH50" s="367">
        <v>15.38</v>
      </c>
      <c r="VII50" s="367" t="e">
        <f>VIF50*VIG50*VIH50</f>
        <v>#DIV/0!</v>
      </c>
      <c r="VIJ50" s="363" t="s">
        <v>153</v>
      </c>
      <c r="VIK50" s="363"/>
      <c r="VIL50" s="363"/>
      <c r="VIM50" s="364" t="s">
        <v>140</v>
      </c>
      <c r="VIN50" s="365">
        <v>0.5</v>
      </c>
      <c r="VIO50" s="366" t="e">
        <f>10/VIK48</f>
        <v>#DIV/0!</v>
      </c>
      <c r="VIP50" s="367">
        <v>15.38</v>
      </c>
      <c r="VIQ50" s="367" t="e">
        <f>VIN50*VIO50*VIP50</f>
        <v>#DIV/0!</v>
      </c>
      <c r="VIR50" s="363" t="s">
        <v>153</v>
      </c>
      <c r="VIS50" s="363"/>
      <c r="VIT50" s="363"/>
      <c r="VIU50" s="364" t="s">
        <v>140</v>
      </c>
      <c r="VIV50" s="365">
        <v>0.5</v>
      </c>
      <c r="VIW50" s="366" t="e">
        <f>10/VIS48</f>
        <v>#DIV/0!</v>
      </c>
      <c r="VIX50" s="367">
        <v>15.38</v>
      </c>
      <c r="VIY50" s="367" t="e">
        <f>VIV50*VIW50*VIX50</f>
        <v>#DIV/0!</v>
      </c>
      <c r="VIZ50" s="363" t="s">
        <v>153</v>
      </c>
      <c r="VJA50" s="363"/>
      <c r="VJB50" s="363"/>
      <c r="VJC50" s="364" t="s">
        <v>140</v>
      </c>
      <c r="VJD50" s="365">
        <v>0.5</v>
      </c>
      <c r="VJE50" s="366" t="e">
        <f>10/VJA48</f>
        <v>#DIV/0!</v>
      </c>
      <c r="VJF50" s="367">
        <v>15.38</v>
      </c>
      <c r="VJG50" s="367" t="e">
        <f>VJD50*VJE50*VJF50</f>
        <v>#DIV/0!</v>
      </c>
      <c r="VJH50" s="363" t="s">
        <v>153</v>
      </c>
      <c r="VJI50" s="363"/>
      <c r="VJJ50" s="363"/>
      <c r="VJK50" s="364" t="s">
        <v>140</v>
      </c>
      <c r="VJL50" s="365">
        <v>0.5</v>
      </c>
      <c r="VJM50" s="366" t="e">
        <f>10/VJI48</f>
        <v>#DIV/0!</v>
      </c>
      <c r="VJN50" s="367">
        <v>15.38</v>
      </c>
      <c r="VJO50" s="367" t="e">
        <f>VJL50*VJM50*VJN50</f>
        <v>#DIV/0!</v>
      </c>
      <c r="VJP50" s="363" t="s">
        <v>153</v>
      </c>
      <c r="VJQ50" s="363"/>
      <c r="VJR50" s="363"/>
      <c r="VJS50" s="364" t="s">
        <v>140</v>
      </c>
      <c r="VJT50" s="365">
        <v>0.5</v>
      </c>
      <c r="VJU50" s="366" t="e">
        <f>10/VJQ48</f>
        <v>#DIV/0!</v>
      </c>
      <c r="VJV50" s="367">
        <v>15.38</v>
      </c>
      <c r="VJW50" s="367" t="e">
        <f>VJT50*VJU50*VJV50</f>
        <v>#DIV/0!</v>
      </c>
      <c r="VJX50" s="363" t="s">
        <v>153</v>
      </c>
      <c r="VJY50" s="363"/>
      <c r="VJZ50" s="363"/>
      <c r="VKA50" s="364" t="s">
        <v>140</v>
      </c>
      <c r="VKB50" s="365">
        <v>0.5</v>
      </c>
      <c r="VKC50" s="366" t="e">
        <f>10/VJY48</f>
        <v>#DIV/0!</v>
      </c>
      <c r="VKD50" s="367">
        <v>15.38</v>
      </c>
      <c r="VKE50" s="367" t="e">
        <f>VKB50*VKC50*VKD50</f>
        <v>#DIV/0!</v>
      </c>
      <c r="VKF50" s="363" t="s">
        <v>153</v>
      </c>
      <c r="VKG50" s="363"/>
      <c r="VKH50" s="363"/>
      <c r="VKI50" s="364" t="s">
        <v>140</v>
      </c>
      <c r="VKJ50" s="365">
        <v>0.5</v>
      </c>
      <c r="VKK50" s="366" t="e">
        <f>10/VKG48</f>
        <v>#DIV/0!</v>
      </c>
      <c r="VKL50" s="367">
        <v>15.38</v>
      </c>
      <c r="VKM50" s="367" t="e">
        <f>VKJ50*VKK50*VKL50</f>
        <v>#DIV/0!</v>
      </c>
      <c r="VKN50" s="363" t="s">
        <v>153</v>
      </c>
      <c r="VKO50" s="363"/>
      <c r="VKP50" s="363"/>
      <c r="VKQ50" s="364" t="s">
        <v>140</v>
      </c>
      <c r="VKR50" s="365">
        <v>0.5</v>
      </c>
      <c r="VKS50" s="366" t="e">
        <f>10/VKO48</f>
        <v>#DIV/0!</v>
      </c>
      <c r="VKT50" s="367">
        <v>15.38</v>
      </c>
      <c r="VKU50" s="367" t="e">
        <f>VKR50*VKS50*VKT50</f>
        <v>#DIV/0!</v>
      </c>
      <c r="VKV50" s="363" t="s">
        <v>153</v>
      </c>
      <c r="VKW50" s="363"/>
      <c r="VKX50" s="363"/>
      <c r="VKY50" s="364" t="s">
        <v>140</v>
      </c>
      <c r="VKZ50" s="365">
        <v>0.5</v>
      </c>
      <c r="VLA50" s="366" t="e">
        <f>10/VKW48</f>
        <v>#DIV/0!</v>
      </c>
      <c r="VLB50" s="367">
        <v>15.38</v>
      </c>
      <c r="VLC50" s="367" t="e">
        <f>VKZ50*VLA50*VLB50</f>
        <v>#DIV/0!</v>
      </c>
      <c r="VLD50" s="363" t="s">
        <v>153</v>
      </c>
      <c r="VLE50" s="363"/>
      <c r="VLF50" s="363"/>
      <c r="VLG50" s="364" t="s">
        <v>140</v>
      </c>
      <c r="VLH50" s="365">
        <v>0.5</v>
      </c>
      <c r="VLI50" s="366" t="e">
        <f>10/VLE48</f>
        <v>#DIV/0!</v>
      </c>
      <c r="VLJ50" s="367">
        <v>15.38</v>
      </c>
      <c r="VLK50" s="367" t="e">
        <f>VLH50*VLI50*VLJ50</f>
        <v>#DIV/0!</v>
      </c>
      <c r="VLL50" s="363" t="s">
        <v>153</v>
      </c>
      <c r="VLM50" s="363"/>
      <c r="VLN50" s="363"/>
      <c r="VLO50" s="364" t="s">
        <v>140</v>
      </c>
      <c r="VLP50" s="365">
        <v>0.5</v>
      </c>
      <c r="VLQ50" s="366" t="e">
        <f>10/VLM48</f>
        <v>#DIV/0!</v>
      </c>
      <c r="VLR50" s="367">
        <v>15.38</v>
      </c>
      <c r="VLS50" s="367" t="e">
        <f>VLP50*VLQ50*VLR50</f>
        <v>#DIV/0!</v>
      </c>
      <c r="VLT50" s="363" t="s">
        <v>153</v>
      </c>
      <c r="VLU50" s="363"/>
      <c r="VLV50" s="363"/>
      <c r="VLW50" s="364" t="s">
        <v>140</v>
      </c>
      <c r="VLX50" s="365">
        <v>0.5</v>
      </c>
      <c r="VLY50" s="366" t="e">
        <f>10/VLU48</f>
        <v>#DIV/0!</v>
      </c>
      <c r="VLZ50" s="367">
        <v>15.38</v>
      </c>
      <c r="VMA50" s="367" t="e">
        <f>VLX50*VLY50*VLZ50</f>
        <v>#DIV/0!</v>
      </c>
      <c r="VMB50" s="363" t="s">
        <v>153</v>
      </c>
      <c r="VMC50" s="363"/>
      <c r="VMD50" s="363"/>
      <c r="VME50" s="364" t="s">
        <v>140</v>
      </c>
      <c r="VMF50" s="365">
        <v>0.5</v>
      </c>
      <c r="VMG50" s="366" t="e">
        <f>10/VMC48</f>
        <v>#DIV/0!</v>
      </c>
      <c r="VMH50" s="367">
        <v>15.38</v>
      </c>
      <c r="VMI50" s="367" t="e">
        <f>VMF50*VMG50*VMH50</f>
        <v>#DIV/0!</v>
      </c>
      <c r="VMJ50" s="363" t="s">
        <v>153</v>
      </c>
      <c r="VMK50" s="363"/>
      <c r="VML50" s="363"/>
      <c r="VMM50" s="364" t="s">
        <v>140</v>
      </c>
      <c r="VMN50" s="365">
        <v>0.5</v>
      </c>
      <c r="VMO50" s="366" t="e">
        <f>10/VMK48</f>
        <v>#DIV/0!</v>
      </c>
      <c r="VMP50" s="367">
        <v>15.38</v>
      </c>
      <c r="VMQ50" s="367" t="e">
        <f>VMN50*VMO50*VMP50</f>
        <v>#DIV/0!</v>
      </c>
      <c r="VMR50" s="363" t="s">
        <v>153</v>
      </c>
      <c r="VMS50" s="363"/>
      <c r="VMT50" s="363"/>
      <c r="VMU50" s="364" t="s">
        <v>140</v>
      </c>
      <c r="VMV50" s="365">
        <v>0.5</v>
      </c>
      <c r="VMW50" s="366" t="e">
        <f>10/VMS48</f>
        <v>#DIV/0!</v>
      </c>
      <c r="VMX50" s="367">
        <v>15.38</v>
      </c>
      <c r="VMY50" s="367" t="e">
        <f>VMV50*VMW50*VMX50</f>
        <v>#DIV/0!</v>
      </c>
      <c r="VMZ50" s="363" t="s">
        <v>153</v>
      </c>
      <c r="VNA50" s="363"/>
      <c r="VNB50" s="363"/>
      <c r="VNC50" s="364" t="s">
        <v>140</v>
      </c>
      <c r="VND50" s="365">
        <v>0.5</v>
      </c>
      <c r="VNE50" s="366" t="e">
        <f>10/VNA48</f>
        <v>#DIV/0!</v>
      </c>
      <c r="VNF50" s="367">
        <v>15.38</v>
      </c>
      <c r="VNG50" s="367" t="e">
        <f>VND50*VNE50*VNF50</f>
        <v>#DIV/0!</v>
      </c>
      <c r="VNH50" s="363" t="s">
        <v>153</v>
      </c>
      <c r="VNI50" s="363"/>
      <c r="VNJ50" s="363"/>
      <c r="VNK50" s="364" t="s">
        <v>140</v>
      </c>
      <c r="VNL50" s="365">
        <v>0.5</v>
      </c>
      <c r="VNM50" s="366" t="e">
        <f>10/VNI48</f>
        <v>#DIV/0!</v>
      </c>
      <c r="VNN50" s="367">
        <v>15.38</v>
      </c>
      <c r="VNO50" s="367" t="e">
        <f>VNL50*VNM50*VNN50</f>
        <v>#DIV/0!</v>
      </c>
      <c r="VNP50" s="363" t="s">
        <v>153</v>
      </c>
      <c r="VNQ50" s="363"/>
      <c r="VNR50" s="363"/>
      <c r="VNS50" s="364" t="s">
        <v>140</v>
      </c>
      <c r="VNT50" s="365">
        <v>0.5</v>
      </c>
      <c r="VNU50" s="366" t="e">
        <f>10/VNQ48</f>
        <v>#DIV/0!</v>
      </c>
      <c r="VNV50" s="367">
        <v>15.38</v>
      </c>
      <c r="VNW50" s="367" t="e">
        <f>VNT50*VNU50*VNV50</f>
        <v>#DIV/0!</v>
      </c>
      <c r="VNX50" s="363" t="s">
        <v>153</v>
      </c>
      <c r="VNY50" s="363"/>
      <c r="VNZ50" s="363"/>
      <c r="VOA50" s="364" t="s">
        <v>140</v>
      </c>
      <c r="VOB50" s="365">
        <v>0.5</v>
      </c>
      <c r="VOC50" s="366" t="e">
        <f>10/VNY48</f>
        <v>#DIV/0!</v>
      </c>
      <c r="VOD50" s="367">
        <v>15.38</v>
      </c>
      <c r="VOE50" s="367" t="e">
        <f>VOB50*VOC50*VOD50</f>
        <v>#DIV/0!</v>
      </c>
      <c r="VOF50" s="363" t="s">
        <v>153</v>
      </c>
      <c r="VOG50" s="363"/>
      <c r="VOH50" s="363"/>
      <c r="VOI50" s="364" t="s">
        <v>140</v>
      </c>
      <c r="VOJ50" s="365">
        <v>0.5</v>
      </c>
      <c r="VOK50" s="366" t="e">
        <f>10/VOG48</f>
        <v>#DIV/0!</v>
      </c>
      <c r="VOL50" s="367">
        <v>15.38</v>
      </c>
      <c r="VOM50" s="367" t="e">
        <f>VOJ50*VOK50*VOL50</f>
        <v>#DIV/0!</v>
      </c>
      <c r="VON50" s="363" t="s">
        <v>153</v>
      </c>
      <c r="VOO50" s="363"/>
      <c r="VOP50" s="363"/>
      <c r="VOQ50" s="364" t="s">
        <v>140</v>
      </c>
      <c r="VOR50" s="365">
        <v>0.5</v>
      </c>
      <c r="VOS50" s="366" t="e">
        <f>10/VOO48</f>
        <v>#DIV/0!</v>
      </c>
      <c r="VOT50" s="367">
        <v>15.38</v>
      </c>
      <c r="VOU50" s="367" t="e">
        <f>VOR50*VOS50*VOT50</f>
        <v>#DIV/0!</v>
      </c>
      <c r="VOV50" s="363" t="s">
        <v>153</v>
      </c>
      <c r="VOW50" s="363"/>
      <c r="VOX50" s="363"/>
      <c r="VOY50" s="364" t="s">
        <v>140</v>
      </c>
      <c r="VOZ50" s="365">
        <v>0.5</v>
      </c>
      <c r="VPA50" s="366" t="e">
        <f>10/VOW48</f>
        <v>#DIV/0!</v>
      </c>
      <c r="VPB50" s="367">
        <v>15.38</v>
      </c>
      <c r="VPC50" s="367" t="e">
        <f>VOZ50*VPA50*VPB50</f>
        <v>#DIV/0!</v>
      </c>
      <c r="VPD50" s="363" t="s">
        <v>153</v>
      </c>
      <c r="VPE50" s="363"/>
      <c r="VPF50" s="363"/>
      <c r="VPG50" s="364" t="s">
        <v>140</v>
      </c>
      <c r="VPH50" s="365">
        <v>0.5</v>
      </c>
      <c r="VPI50" s="366" t="e">
        <f>10/VPE48</f>
        <v>#DIV/0!</v>
      </c>
      <c r="VPJ50" s="367">
        <v>15.38</v>
      </c>
      <c r="VPK50" s="367" t="e">
        <f>VPH50*VPI50*VPJ50</f>
        <v>#DIV/0!</v>
      </c>
      <c r="VPL50" s="363" t="s">
        <v>153</v>
      </c>
      <c r="VPM50" s="363"/>
      <c r="VPN50" s="363"/>
      <c r="VPO50" s="364" t="s">
        <v>140</v>
      </c>
      <c r="VPP50" s="365">
        <v>0.5</v>
      </c>
      <c r="VPQ50" s="366" t="e">
        <f>10/VPM48</f>
        <v>#DIV/0!</v>
      </c>
      <c r="VPR50" s="367">
        <v>15.38</v>
      </c>
      <c r="VPS50" s="367" t="e">
        <f>VPP50*VPQ50*VPR50</f>
        <v>#DIV/0!</v>
      </c>
      <c r="VPT50" s="363" t="s">
        <v>153</v>
      </c>
      <c r="VPU50" s="363"/>
      <c r="VPV50" s="363"/>
      <c r="VPW50" s="364" t="s">
        <v>140</v>
      </c>
      <c r="VPX50" s="365">
        <v>0.5</v>
      </c>
      <c r="VPY50" s="366" t="e">
        <f>10/VPU48</f>
        <v>#DIV/0!</v>
      </c>
      <c r="VPZ50" s="367">
        <v>15.38</v>
      </c>
      <c r="VQA50" s="367" t="e">
        <f>VPX50*VPY50*VPZ50</f>
        <v>#DIV/0!</v>
      </c>
      <c r="VQB50" s="363" t="s">
        <v>153</v>
      </c>
      <c r="VQC50" s="363"/>
      <c r="VQD50" s="363"/>
      <c r="VQE50" s="364" t="s">
        <v>140</v>
      </c>
      <c r="VQF50" s="365">
        <v>0.5</v>
      </c>
      <c r="VQG50" s="366" t="e">
        <f>10/VQC48</f>
        <v>#DIV/0!</v>
      </c>
      <c r="VQH50" s="367">
        <v>15.38</v>
      </c>
      <c r="VQI50" s="367" t="e">
        <f>VQF50*VQG50*VQH50</f>
        <v>#DIV/0!</v>
      </c>
      <c r="VQJ50" s="363" t="s">
        <v>153</v>
      </c>
      <c r="VQK50" s="363"/>
      <c r="VQL50" s="363"/>
      <c r="VQM50" s="364" t="s">
        <v>140</v>
      </c>
      <c r="VQN50" s="365">
        <v>0.5</v>
      </c>
      <c r="VQO50" s="366" t="e">
        <f>10/VQK48</f>
        <v>#DIV/0!</v>
      </c>
      <c r="VQP50" s="367">
        <v>15.38</v>
      </c>
      <c r="VQQ50" s="367" t="e">
        <f>VQN50*VQO50*VQP50</f>
        <v>#DIV/0!</v>
      </c>
      <c r="VQR50" s="363" t="s">
        <v>153</v>
      </c>
      <c r="VQS50" s="363"/>
      <c r="VQT50" s="363"/>
      <c r="VQU50" s="364" t="s">
        <v>140</v>
      </c>
      <c r="VQV50" s="365">
        <v>0.5</v>
      </c>
      <c r="VQW50" s="366" t="e">
        <f>10/VQS48</f>
        <v>#DIV/0!</v>
      </c>
      <c r="VQX50" s="367">
        <v>15.38</v>
      </c>
      <c r="VQY50" s="367" t="e">
        <f>VQV50*VQW50*VQX50</f>
        <v>#DIV/0!</v>
      </c>
      <c r="VQZ50" s="363" t="s">
        <v>153</v>
      </c>
      <c r="VRA50" s="363"/>
      <c r="VRB50" s="363"/>
      <c r="VRC50" s="364" t="s">
        <v>140</v>
      </c>
      <c r="VRD50" s="365">
        <v>0.5</v>
      </c>
      <c r="VRE50" s="366" t="e">
        <f>10/VRA48</f>
        <v>#DIV/0!</v>
      </c>
      <c r="VRF50" s="367">
        <v>15.38</v>
      </c>
      <c r="VRG50" s="367" t="e">
        <f>VRD50*VRE50*VRF50</f>
        <v>#DIV/0!</v>
      </c>
      <c r="VRH50" s="363" t="s">
        <v>153</v>
      </c>
      <c r="VRI50" s="363"/>
      <c r="VRJ50" s="363"/>
      <c r="VRK50" s="364" t="s">
        <v>140</v>
      </c>
      <c r="VRL50" s="365">
        <v>0.5</v>
      </c>
      <c r="VRM50" s="366" t="e">
        <f>10/VRI48</f>
        <v>#DIV/0!</v>
      </c>
      <c r="VRN50" s="367">
        <v>15.38</v>
      </c>
      <c r="VRO50" s="367" t="e">
        <f>VRL50*VRM50*VRN50</f>
        <v>#DIV/0!</v>
      </c>
      <c r="VRP50" s="363" t="s">
        <v>153</v>
      </c>
      <c r="VRQ50" s="363"/>
      <c r="VRR50" s="363"/>
      <c r="VRS50" s="364" t="s">
        <v>140</v>
      </c>
      <c r="VRT50" s="365">
        <v>0.5</v>
      </c>
      <c r="VRU50" s="366" t="e">
        <f>10/VRQ48</f>
        <v>#DIV/0!</v>
      </c>
      <c r="VRV50" s="367">
        <v>15.38</v>
      </c>
      <c r="VRW50" s="367" t="e">
        <f>VRT50*VRU50*VRV50</f>
        <v>#DIV/0!</v>
      </c>
      <c r="VRX50" s="363" t="s">
        <v>153</v>
      </c>
      <c r="VRY50" s="363"/>
      <c r="VRZ50" s="363"/>
      <c r="VSA50" s="364" t="s">
        <v>140</v>
      </c>
      <c r="VSB50" s="365">
        <v>0.5</v>
      </c>
      <c r="VSC50" s="366" t="e">
        <f>10/VRY48</f>
        <v>#DIV/0!</v>
      </c>
      <c r="VSD50" s="367">
        <v>15.38</v>
      </c>
      <c r="VSE50" s="367" t="e">
        <f>VSB50*VSC50*VSD50</f>
        <v>#DIV/0!</v>
      </c>
      <c r="VSF50" s="363" t="s">
        <v>153</v>
      </c>
      <c r="VSG50" s="363"/>
      <c r="VSH50" s="363"/>
      <c r="VSI50" s="364" t="s">
        <v>140</v>
      </c>
      <c r="VSJ50" s="365">
        <v>0.5</v>
      </c>
      <c r="VSK50" s="366" t="e">
        <f>10/VSG48</f>
        <v>#DIV/0!</v>
      </c>
      <c r="VSL50" s="367">
        <v>15.38</v>
      </c>
      <c r="VSM50" s="367" t="e">
        <f>VSJ50*VSK50*VSL50</f>
        <v>#DIV/0!</v>
      </c>
      <c r="VSN50" s="363" t="s">
        <v>153</v>
      </c>
      <c r="VSO50" s="363"/>
      <c r="VSP50" s="363"/>
      <c r="VSQ50" s="364" t="s">
        <v>140</v>
      </c>
      <c r="VSR50" s="365">
        <v>0.5</v>
      </c>
      <c r="VSS50" s="366" t="e">
        <f>10/VSO48</f>
        <v>#DIV/0!</v>
      </c>
      <c r="VST50" s="367">
        <v>15.38</v>
      </c>
      <c r="VSU50" s="367" t="e">
        <f>VSR50*VSS50*VST50</f>
        <v>#DIV/0!</v>
      </c>
      <c r="VSV50" s="363" t="s">
        <v>153</v>
      </c>
      <c r="VSW50" s="363"/>
      <c r="VSX50" s="363"/>
      <c r="VSY50" s="364" t="s">
        <v>140</v>
      </c>
      <c r="VSZ50" s="365">
        <v>0.5</v>
      </c>
      <c r="VTA50" s="366" t="e">
        <f>10/VSW48</f>
        <v>#DIV/0!</v>
      </c>
      <c r="VTB50" s="367">
        <v>15.38</v>
      </c>
      <c r="VTC50" s="367" t="e">
        <f>VSZ50*VTA50*VTB50</f>
        <v>#DIV/0!</v>
      </c>
      <c r="VTD50" s="363" t="s">
        <v>153</v>
      </c>
      <c r="VTE50" s="363"/>
      <c r="VTF50" s="363"/>
      <c r="VTG50" s="364" t="s">
        <v>140</v>
      </c>
      <c r="VTH50" s="365">
        <v>0.5</v>
      </c>
      <c r="VTI50" s="366" t="e">
        <f>10/VTE48</f>
        <v>#DIV/0!</v>
      </c>
      <c r="VTJ50" s="367">
        <v>15.38</v>
      </c>
      <c r="VTK50" s="367" t="e">
        <f>VTH50*VTI50*VTJ50</f>
        <v>#DIV/0!</v>
      </c>
      <c r="VTL50" s="363" t="s">
        <v>153</v>
      </c>
      <c r="VTM50" s="363"/>
      <c r="VTN50" s="363"/>
      <c r="VTO50" s="364" t="s">
        <v>140</v>
      </c>
      <c r="VTP50" s="365">
        <v>0.5</v>
      </c>
      <c r="VTQ50" s="366" t="e">
        <f>10/VTM48</f>
        <v>#DIV/0!</v>
      </c>
      <c r="VTR50" s="367">
        <v>15.38</v>
      </c>
      <c r="VTS50" s="367" t="e">
        <f>VTP50*VTQ50*VTR50</f>
        <v>#DIV/0!</v>
      </c>
      <c r="VTT50" s="363" t="s">
        <v>153</v>
      </c>
      <c r="VTU50" s="363"/>
      <c r="VTV50" s="363"/>
      <c r="VTW50" s="364" t="s">
        <v>140</v>
      </c>
      <c r="VTX50" s="365">
        <v>0.5</v>
      </c>
      <c r="VTY50" s="366" t="e">
        <f>10/VTU48</f>
        <v>#DIV/0!</v>
      </c>
      <c r="VTZ50" s="367">
        <v>15.38</v>
      </c>
      <c r="VUA50" s="367" t="e">
        <f>VTX50*VTY50*VTZ50</f>
        <v>#DIV/0!</v>
      </c>
      <c r="VUB50" s="363" t="s">
        <v>153</v>
      </c>
      <c r="VUC50" s="363"/>
      <c r="VUD50" s="363"/>
      <c r="VUE50" s="364" t="s">
        <v>140</v>
      </c>
      <c r="VUF50" s="365">
        <v>0.5</v>
      </c>
      <c r="VUG50" s="366" t="e">
        <f>10/VUC48</f>
        <v>#DIV/0!</v>
      </c>
      <c r="VUH50" s="367">
        <v>15.38</v>
      </c>
      <c r="VUI50" s="367" t="e">
        <f>VUF50*VUG50*VUH50</f>
        <v>#DIV/0!</v>
      </c>
      <c r="VUJ50" s="363" t="s">
        <v>153</v>
      </c>
      <c r="VUK50" s="363"/>
      <c r="VUL50" s="363"/>
      <c r="VUM50" s="364" t="s">
        <v>140</v>
      </c>
      <c r="VUN50" s="365">
        <v>0.5</v>
      </c>
      <c r="VUO50" s="366" t="e">
        <f>10/VUK48</f>
        <v>#DIV/0!</v>
      </c>
      <c r="VUP50" s="367">
        <v>15.38</v>
      </c>
      <c r="VUQ50" s="367" t="e">
        <f>VUN50*VUO50*VUP50</f>
        <v>#DIV/0!</v>
      </c>
      <c r="VUR50" s="363" t="s">
        <v>153</v>
      </c>
      <c r="VUS50" s="363"/>
      <c r="VUT50" s="363"/>
      <c r="VUU50" s="364" t="s">
        <v>140</v>
      </c>
      <c r="VUV50" s="365">
        <v>0.5</v>
      </c>
      <c r="VUW50" s="366" t="e">
        <f>10/VUS48</f>
        <v>#DIV/0!</v>
      </c>
      <c r="VUX50" s="367">
        <v>15.38</v>
      </c>
      <c r="VUY50" s="367" t="e">
        <f>VUV50*VUW50*VUX50</f>
        <v>#DIV/0!</v>
      </c>
      <c r="VUZ50" s="363" t="s">
        <v>153</v>
      </c>
      <c r="VVA50" s="363"/>
      <c r="VVB50" s="363"/>
      <c r="VVC50" s="364" t="s">
        <v>140</v>
      </c>
      <c r="VVD50" s="365">
        <v>0.5</v>
      </c>
      <c r="VVE50" s="366" t="e">
        <f>10/VVA48</f>
        <v>#DIV/0!</v>
      </c>
      <c r="VVF50" s="367">
        <v>15.38</v>
      </c>
      <c r="VVG50" s="367" t="e">
        <f>VVD50*VVE50*VVF50</f>
        <v>#DIV/0!</v>
      </c>
      <c r="VVH50" s="363" t="s">
        <v>153</v>
      </c>
      <c r="VVI50" s="363"/>
      <c r="VVJ50" s="363"/>
      <c r="VVK50" s="364" t="s">
        <v>140</v>
      </c>
      <c r="VVL50" s="365">
        <v>0.5</v>
      </c>
      <c r="VVM50" s="366" t="e">
        <f>10/VVI48</f>
        <v>#DIV/0!</v>
      </c>
      <c r="VVN50" s="367">
        <v>15.38</v>
      </c>
      <c r="VVO50" s="367" t="e">
        <f>VVL50*VVM50*VVN50</f>
        <v>#DIV/0!</v>
      </c>
      <c r="VVP50" s="363" t="s">
        <v>153</v>
      </c>
      <c r="VVQ50" s="363"/>
      <c r="VVR50" s="363"/>
      <c r="VVS50" s="364" t="s">
        <v>140</v>
      </c>
      <c r="VVT50" s="365">
        <v>0.5</v>
      </c>
      <c r="VVU50" s="366" t="e">
        <f>10/VVQ48</f>
        <v>#DIV/0!</v>
      </c>
      <c r="VVV50" s="367">
        <v>15.38</v>
      </c>
      <c r="VVW50" s="367" t="e">
        <f>VVT50*VVU50*VVV50</f>
        <v>#DIV/0!</v>
      </c>
      <c r="VVX50" s="363" t="s">
        <v>153</v>
      </c>
      <c r="VVY50" s="363"/>
      <c r="VVZ50" s="363"/>
      <c r="VWA50" s="364" t="s">
        <v>140</v>
      </c>
      <c r="VWB50" s="365">
        <v>0.5</v>
      </c>
      <c r="VWC50" s="366" t="e">
        <f>10/VVY48</f>
        <v>#DIV/0!</v>
      </c>
      <c r="VWD50" s="367">
        <v>15.38</v>
      </c>
      <c r="VWE50" s="367" t="e">
        <f>VWB50*VWC50*VWD50</f>
        <v>#DIV/0!</v>
      </c>
      <c r="VWF50" s="363" t="s">
        <v>153</v>
      </c>
      <c r="VWG50" s="363"/>
      <c r="VWH50" s="363"/>
      <c r="VWI50" s="364" t="s">
        <v>140</v>
      </c>
      <c r="VWJ50" s="365">
        <v>0.5</v>
      </c>
      <c r="VWK50" s="366" t="e">
        <f>10/VWG48</f>
        <v>#DIV/0!</v>
      </c>
      <c r="VWL50" s="367">
        <v>15.38</v>
      </c>
      <c r="VWM50" s="367" t="e">
        <f>VWJ50*VWK50*VWL50</f>
        <v>#DIV/0!</v>
      </c>
      <c r="VWN50" s="363" t="s">
        <v>153</v>
      </c>
      <c r="VWO50" s="363"/>
      <c r="VWP50" s="363"/>
      <c r="VWQ50" s="364" t="s">
        <v>140</v>
      </c>
      <c r="VWR50" s="365">
        <v>0.5</v>
      </c>
      <c r="VWS50" s="366" t="e">
        <f>10/VWO48</f>
        <v>#DIV/0!</v>
      </c>
      <c r="VWT50" s="367">
        <v>15.38</v>
      </c>
      <c r="VWU50" s="367" t="e">
        <f>VWR50*VWS50*VWT50</f>
        <v>#DIV/0!</v>
      </c>
      <c r="VWV50" s="363" t="s">
        <v>153</v>
      </c>
      <c r="VWW50" s="363"/>
      <c r="VWX50" s="363"/>
      <c r="VWY50" s="364" t="s">
        <v>140</v>
      </c>
      <c r="VWZ50" s="365">
        <v>0.5</v>
      </c>
      <c r="VXA50" s="366" t="e">
        <f>10/VWW48</f>
        <v>#DIV/0!</v>
      </c>
      <c r="VXB50" s="367">
        <v>15.38</v>
      </c>
      <c r="VXC50" s="367" t="e">
        <f>VWZ50*VXA50*VXB50</f>
        <v>#DIV/0!</v>
      </c>
      <c r="VXD50" s="363" t="s">
        <v>153</v>
      </c>
      <c r="VXE50" s="363"/>
      <c r="VXF50" s="363"/>
      <c r="VXG50" s="364" t="s">
        <v>140</v>
      </c>
      <c r="VXH50" s="365">
        <v>0.5</v>
      </c>
      <c r="VXI50" s="366" t="e">
        <f>10/VXE48</f>
        <v>#DIV/0!</v>
      </c>
      <c r="VXJ50" s="367">
        <v>15.38</v>
      </c>
      <c r="VXK50" s="367" t="e">
        <f>VXH50*VXI50*VXJ50</f>
        <v>#DIV/0!</v>
      </c>
      <c r="VXL50" s="363" t="s">
        <v>153</v>
      </c>
      <c r="VXM50" s="363"/>
      <c r="VXN50" s="363"/>
      <c r="VXO50" s="364" t="s">
        <v>140</v>
      </c>
      <c r="VXP50" s="365">
        <v>0.5</v>
      </c>
      <c r="VXQ50" s="366" t="e">
        <f>10/VXM48</f>
        <v>#DIV/0!</v>
      </c>
      <c r="VXR50" s="367">
        <v>15.38</v>
      </c>
      <c r="VXS50" s="367" t="e">
        <f>VXP50*VXQ50*VXR50</f>
        <v>#DIV/0!</v>
      </c>
      <c r="VXT50" s="363" t="s">
        <v>153</v>
      </c>
      <c r="VXU50" s="363"/>
      <c r="VXV50" s="363"/>
      <c r="VXW50" s="364" t="s">
        <v>140</v>
      </c>
      <c r="VXX50" s="365">
        <v>0.5</v>
      </c>
      <c r="VXY50" s="366" t="e">
        <f>10/VXU48</f>
        <v>#DIV/0!</v>
      </c>
      <c r="VXZ50" s="367">
        <v>15.38</v>
      </c>
      <c r="VYA50" s="367" t="e">
        <f>VXX50*VXY50*VXZ50</f>
        <v>#DIV/0!</v>
      </c>
      <c r="VYB50" s="363" t="s">
        <v>153</v>
      </c>
      <c r="VYC50" s="363"/>
      <c r="VYD50" s="363"/>
      <c r="VYE50" s="364" t="s">
        <v>140</v>
      </c>
      <c r="VYF50" s="365">
        <v>0.5</v>
      </c>
      <c r="VYG50" s="366" t="e">
        <f>10/VYC48</f>
        <v>#DIV/0!</v>
      </c>
      <c r="VYH50" s="367">
        <v>15.38</v>
      </c>
      <c r="VYI50" s="367" t="e">
        <f>VYF50*VYG50*VYH50</f>
        <v>#DIV/0!</v>
      </c>
      <c r="VYJ50" s="363" t="s">
        <v>153</v>
      </c>
      <c r="VYK50" s="363"/>
      <c r="VYL50" s="363"/>
      <c r="VYM50" s="364" t="s">
        <v>140</v>
      </c>
      <c r="VYN50" s="365">
        <v>0.5</v>
      </c>
      <c r="VYO50" s="366" t="e">
        <f>10/VYK48</f>
        <v>#DIV/0!</v>
      </c>
      <c r="VYP50" s="367">
        <v>15.38</v>
      </c>
      <c r="VYQ50" s="367" t="e">
        <f>VYN50*VYO50*VYP50</f>
        <v>#DIV/0!</v>
      </c>
      <c r="VYR50" s="363" t="s">
        <v>153</v>
      </c>
      <c r="VYS50" s="363"/>
      <c r="VYT50" s="363"/>
      <c r="VYU50" s="364" t="s">
        <v>140</v>
      </c>
      <c r="VYV50" s="365">
        <v>0.5</v>
      </c>
      <c r="VYW50" s="366" t="e">
        <f>10/VYS48</f>
        <v>#DIV/0!</v>
      </c>
      <c r="VYX50" s="367">
        <v>15.38</v>
      </c>
      <c r="VYY50" s="367" t="e">
        <f>VYV50*VYW50*VYX50</f>
        <v>#DIV/0!</v>
      </c>
      <c r="VYZ50" s="363" t="s">
        <v>153</v>
      </c>
      <c r="VZA50" s="363"/>
      <c r="VZB50" s="363"/>
      <c r="VZC50" s="364" t="s">
        <v>140</v>
      </c>
      <c r="VZD50" s="365">
        <v>0.5</v>
      </c>
      <c r="VZE50" s="366" t="e">
        <f>10/VZA48</f>
        <v>#DIV/0!</v>
      </c>
      <c r="VZF50" s="367">
        <v>15.38</v>
      </c>
      <c r="VZG50" s="367" t="e">
        <f>VZD50*VZE50*VZF50</f>
        <v>#DIV/0!</v>
      </c>
      <c r="VZH50" s="363" t="s">
        <v>153</v>
      </c>
      <c r="VZI50" s="363"/>
      <c r="VZJ50" s="363"/>
      <c r="VZK50" s="364" t="s">
        <v>140</v>
      </c>
      <c r="VZL50" s="365">
        <v>0.5</v>
      </c>
      <c r="VZM50" s="366" t="e">
        <f>10/VZI48</f>
        <v>#DIV/0!</v>
      </c>
      <c r="VZN50" s="367">
        <v>15.38</v>
      </c>
      <c r="VZO50" s="367" t="e">
        <f>VZL50*VZM50*VZN50</f>
        <v>#DIV/0!</v>
      </c>
      <c r="VZP50" s="363" t="s">
        <v>153</v>
      </c>
      <c r="VZQ50" s="363"/>
      <c r="VZR50" s="363"/>
      <c r="VZS50" s="364" t="s">
        <v>140</v>
      </c>
      <c r="VZT50" s="365">
        <v>0.5</v>
      </c>
      <c r="VZU50" s="366" t="e">
        <f>10/VZQ48</f>
        <v>#DIV/0!</v>
      </c>
      <c r="VZV50" s="367">
        <v>15.38</v>
      </c>
      <c r="VZW50" s="367" t="e">
        <f>VZT50*VZU50*VZV50</f>
        <v>#DIV/0!</v>
      </c>
      <c r="VZX50" s="363" t="s">
        <v>153</v>
      </c>
      <c r="VZY50" s="363"/>
      <c r="VZZ50" s="363"/>
      <c r="WAA50" s="364" t="s">
        <v>140</v>
      </c>
      <c r="WAB50" s="365">
        <v>0.5</v>
      </c>
      <c r="WAC50" s="366" t="e">
        <f>10/VZY48</f>
        <v>#DIV/0!</v>
      </c>
      <c r="WAD50" s="367">
        <v>15.38</v>
      </c>
      <c r="WAE50" s="367" t="e">
        <f>WAB50*WAC50*WAD50</f>
        <v>#DIV/0!</v>
      </c>
      <c r="WAF50" s="363" t="s">
        <v>153</v>
      </c>
      <c r="WAG50" s="363"/>
      <c r="WAH50" s="363"/>
      <c r="WAI50" s="364" t="s">
        <v>140</v>
      </c>
      <c r="WAJ50" s="365">
        <v>0.5</v>
      </c>
      <c r="WAK50" s="366" t="e">
        <f>10/WAG48</f>
        <v>#DIV/0!</v>
      </c>
      <c r="WAL50" s="367">
        <v>15.38</v>
      </c>
      <c r="WAM50" s="367" t="e">
        <f>WAJ50*WAK50*WAL50</f>
        <v>#DIV/0!</v>
      </c>
      <c r="WAN50" s="363" t="s">
        <v>153</v>
      </c>
      <c r="WAO50" s="363"/>
      <c r="WAP50" s="363"/>
      <c r="WAQ50" s="364" t="s">
        <v>140</v>
      </c>
      <c r="WAR50" s="365">
        <v>0.5</v>
      </c>
      <c r="WAS50" s="366" t="e">
        <f>10/WAO48</f>
        <v>#DIV/0!</v>
      </c>
      <c r="WAT50" s="367">
        <v>15.38</v>
      </c>
      <c r="WAU50" s="367" t="e">
        <f>WAR50*WAS50*WAT50</f>
        <v>#DIV/0!</v>
      </c>
      <c r="WAV50" s="363" t="s">
        <v>153</v>
      </c>
      <c r="WAW50" s="363"/>
      <c r="WAX50" s="363"/>
      <c r="WAY50" s="364" t="s">
        <v>140</v>
      </c>
      <c r="WAZ50" s="365">
        <v>0.5</v>
      </c>
      <c r="WBA50" s="366" t="e">
        <f>10/WAW48</f>
        <v>#DIV/0!</v>
      </c>
      <c r="WBB50" s="367">
        <v>15.38</v>
      </c>
      <c r="WBC50" s="367" t="e">
        <f>WAZ50*WBA50*WBB50</f>
        <v>#DIV/0!</v>
      </c>
      <c r="WBD50" s="363" t="s">
        <v>153</v>
      </c>
      <c r="WBE50" s="363"/>
      <c r="WBF50" s="363"/>
      <c r="WBG50" s="364" t="s">
        <v>140</v>
      </c>
      <c r="WBH50" s="365">
        <v>0.5</v>
      </c>
      <c r="WBI50" s="366" t="e">
        <f>10/WBE48</f>
        <v>#DIV/0!</v>
      </c>
      <c r="WBJ50" s="367">
        <v>15.38</v>
      </c>
      <c r="WBK50" s="367" t="e">
        <f>WBH50*WBI50*WBJ50</f>
        <v>#DIV/0!</v>
      </c>
      <c r="WBL50" s="363" t="s">
        <v>153</v>
      </c>
      <c r="WBM50" s="363"/>
      <c r="WBN50" s="363"/>
      <c r="WBO50" s="364" t="s">
        <v>140</v>
      </c>
      <c r="WBP50" s="365">
        <v>0.5</v>
      </c>
      <c r="WBQ50" s="366" t="e">
        <f>10/WBM48</f>
        <v>#DIV/0!</v>
      </c>
      <c r="WBR50" s="367">
        <v>15.38</v>
      </c>
      <c r="WBS50" s="367" t="e">
        <f>WBP50*WBQ50*WBR50</f>
        <v>#DIV/0!</v>
      </c>
      <c r="WBT50" s="363" t="s">
        <v>153</v>
      </c>
      <c r="WBU50" s="363"/>
      <c r="WBV50" s="363"/>
      <c r="WBW50" s="364" t="s">
        <v>140</v>
      </c>
      <c r="WBX50" s="365">
        <v>0.5</v>
      </c>
      <c r="WBY50" s="366" t="e">
        <f>10/WBU48</f>
        <v>#DIV/0!</v>
      </c>
      <c r="WBZ50" s="367">
        <v>15.38</v>
      </c>
      <c r="WCA50" s="367" t="e">
        <f>WBX50*WBY50*WBZ50</f>
        <v>#DIV/0!</v>
      </c>
      <c r="WCB50" s="363" t="s">
        <v>153</v>
      </c>
      <c r="WCC50" s="363"/>
      <c r="WCD50" s="363"/>
      <c r="WCE50" s="364" t="s">
        <v>140</v>
      </c>
      <c r="WCF50" s="365">
        <v>0.5</v>
      </c>
      <c r="WCG50" s="366" t="e">
        <f>10/WCC48</f>
        <v>#DIV/0!</v>
      </c>
      <c r="WCH50" s="367">
        <v>15.38</v>
      </c>
      <c r="WCI50" s="367" t="e">
        <f>WCF50*WCG50*WCH50</f>
        <v>#DIV/0!</v>
      </c>
      <c r="WCJ50" s="363" t="s">
        <v>153</v>
      </c>
      <c r="WCK50" s="363"/>
      <c r="WCL50" s="363"/>
      <c r="WCM50" s="364" t="s">
        <v>140</v>
      </c>
      <c r="WCN50" s="365">
        <v>0.5</v>
      </c>
      <c r="WCO50" s="366" t="e">
        <f>10/WCK48</f>
        <v>#DIV/0!</v>
      </c>
      <c r="WCP50" s="367">
        <v>15.38</v>
      </c>
      <c r="WCQ50" s="367" t="e">
        <f>WCN50*WCO50*WCP50</f>
        <v>#DIV/0!</v>
      </c>
      <c r="WCR50" s="363" t="s">
        <v>153</v>
      </c>
      <c r="WCS50" s="363"/>
      <c r="WCT50" s="363"/>
      <c r="WCU50" s="364" t="s">
        <v>140</v>
      </c>
      <c r="WCV50" s="365">
        <v>0.5</v>
      </c>
      <c r="WCW50" s="366" t="e">
        <f>10/WCS48</f>
        <v>#DIV/0!</v>
      </c>
      <c r="WCX50" s="367">
        <v>15.38</v>
      </c>
      <c r="WCY50" s="367" t="e">
        <f>WCV50*WCW50*WCX50</f>
        <v>#DIV/0!</v>
      </c>
      <c r="WCZ50" s="363" t="s">
        <v>153</v>
      </c>
      <c r="WDA50" s="363"/>
      <c r="WDB50" s="363"/>
      <c r="WDC50" s="364" t="s">
        <v>140</v>
      </c>
      <c r="WDD50" s="365">
        <v>0.5</v>
      </c>
      <c r="WDE50" s="366" t="e">
        <f>10/WDA48</f>
        <v>#DIV/0!</v>
      </c>
      <c r="WDF50" s="367">
        <v>15.38</v>
      </c>
      <c r="WDG50" s="367" t="e">
        <f>WDD50*WDE50*WDF50</f>
        <v>#DIV/0!</v>
      </c>
      <c r="WDH50" s="363" t="s">
        <v>153</v>
      </c>
      <c r="WDI50" s="363"/>
      <c r="WDJ50" s="363"/>
      <c r="WDK50" s="364" t="s">
        <v>140</v>
      </c>
      <c r="WDL50" s="365">
        <v>0.5</v>
      </c>
      <c r="WDM50" s="366" t="e">
        <f>10/WDI48</f>
        <v>#DIV/0!</v>
      </c>
      <c r="WDN50" s="367">
        <v>15.38</v>
      </c>
      <c r="WDO50" s="367" t="e">
        <f>WDL50*WDM50*WDN50</f>
        <v>#DIV/0!</v>
      </c>
      <c r="WDP50" s="363" t="s">
        <v>153</v>
      </c>
      <c r="WDQ50" s="363"/>
      <c r="WDR50" s="363"/>
      <c r="WDS50" s="364" t="s">
        <v>140</v>
      </c>
      <c r="WDT50" s="365">
        <v>0.5</v>
      </c>
      <c r="WDU50" s="366" t="e">
        <f>10/WDQ48</f>
        <v>#DIV/0!</v>
      </c>
      <c r="WDV50" s="367">
        <v>15.38</v>
      </c>
      <c r="WDW50" s="367" t="e">
        <f>WDT50*WDU50*WDV50</f>
        <v>#DIV/0!</v>
      </c>
      <c r="WDX50" s="363" t="s">
        <v>153</v>
      </c>
      <c r="WDY50" s="363"/>
      <c r="WDZ50" s="363"/>
      <c r="WEA50" s="364" t="s">
        <v>140</v>
      </c>
      <c r="WEB50" s="365">
        <v>0.5</v>
      </c>
      <c r="WEC50" s="366" t="e">
        <f>10/WDY48</f>
        <v>#DIV/0!</v>
      </c>
      <c r="WED50" s="367">
        <v>15.38</v>
      </c>
      <c r="WEE50" s="367" t="e">
        <f>WEB50*WEC50*WED50</f>
        <v>#DIV/0!</v>
      </c>
      <c r="WEF50" s="363" t="s">
        <v>153</v>
      </c>
      <c r="WEG50" s="363"/>
      <c r="WEH50" s="363"/>
      <c r="WEI50" s="364" t="s">
        <v>140</v>
      </c>
      <c r="WEJ50" s="365">
        <v>0.5</v>
      </c>
      <c r="WEK50" s="366" t="e">
        <f>10/WEG48</f>
        <v>#DIV/0!</v>
      </c>
      <c r="WEL50" s="367">
        <v>15.38</v>
      </c>
      <c r="WEM50" s="367" t="e">
        <f>WEJ50*WEK50*WEL50</f>
        <v>#DIV/0!</v>
      </c>
      <c r="WEN50" s="363" t="s">
        <v>153</v>
      </c>
      <c r="WEO50" s="363"/>
      <c r="WEP50" s="363"/>
      <c r="WEQ50" s="364" t="s">
        <v>140</v>
      </c>
      <c r="WER50" s="365">
        <v>0.5</v>
      </c>
      <c r="WES50" s="366" t="e">
        <f>10/WEO48</f>
        <v>#DIV/0!</v>
      </c>
      <c r="WET50" s="367">
        <v>15.38</v>
      </c>
      <c r="WEU50" s="367" t="e">
        <f>WER50*WES50*WET50</f>
        <v>#DIV/0!</v>
      </c>
      <c r="WEV50" s="363" t="s">
        <v>153</v>
      </c>
      <c r="WEW50" s="363"/>
      <c r="WEX50" s="363"/>
      <c r="WEY50" s="364" t="s">
        <v>140</v>
      </c>
      <c r="WEZ50" s="365">
        <v>0.5</v>
      </c>
      <c r="WFA50" s="366" t="e">
        <f>10/WEW48</f>
        <v>#DIV/0!</v>
      </c>
      <c r="WFB50" s="367">
        <v>15.38</v>
      </c>
      <c r="WFC50" s="367" t="e">
        <f>WEZ50*WFA50*WFB50</f>
        <v>#DIV/0!</v>
      </c>
      <c r="WFD50" s="363" t="s">
        <v>153</v>
      </c>
      <c r="WFE50" s="363"/>
      <c r="WFF50" s="363"/>
      <c r="WFG50" s="364" t="s">
        <v>140</v>
      </c>
      <c r="WFH50" s="365">
        <v>0.5</v>
      </c>
      <c r="WFI50" s="366" t="e">
        <f>10/WFE48</f>
        <v>#DIV/0!</v>
      </c>
      <c r="WFJ50" s="367">
        <v>15.38</v>
      </c>
      <c r="WFK50" s="367" t="e">
        <f>WFH50*WFI50*WFJ50</f>
        <v>#DIV/0!</v>
      </c>
      <c r="WFL50" s="363" t="s">
        <v>153</v>
      </c>
      <c r="WFM50" s="363"/>
      <c r="WFN50" s="363"/>
      <c r="WFO50" s="364" t="s">
        <v>140</v>
      </c>
      <c r="WFP50" s="365">
        <v>0.5</v>
      </c>
      <c r="WFQ50" s="366" t="e">
        <f>10/WFM48</f>
        <v>#DIV/0!</v>
      </c>
      <c r="WFR50" s="367">
        <v>15.38</v>
      </c>
      <c r="WFS50" s="367" t="e">
        <f>WFP50*WFQ50*WFR50</f>
        <v>#DIV/0!</v>
      </c>
      <c r="WFT50" s="363" t="s">
        <v>153</v>
      </c>
      <c r="WFU50" s="363"/>
      <c r="WFV50" s="363"/>
      <c r="WFW50" s="364" t="s">
        <v>140</v>
      </c>
      <c r="WFX50" s="365">
        <v>0.5</v>
      </c>
      <c r="WFY50" s="366" t="e">
        <f>10/WFU48</f>
        <v>#DIV/0!</v>
      </c>
      <c r="WFZ50" s="367">
        <v>15.38</v>
      </c>
      <c r="WGA50" s="367" t="e">
        <f>WFX50*WFY50*WFZ50</f>
        <v>#DIV/0!</v>
      </c>
      <c r="WGB50" s="363" t="s">
        <v>153</v>
      </c>
      <c r="WGC50" s="363"/>
      <c r="WGD50" s="363"/>
      <c r="WGE50" s="364" t="s">
        <v>140</v>
      </c>
      <c r="WGF50" s="365">
        <v>0.5</v>
      </c>
      <c r="WGG50" s="366" t="e">
        <f>10/WGC48</f>
        <v>#DIV/0!</v>
      </c>
      <c r="WGH50" s="367">
        <v>15.38</v>
      </c>
      <c r="WGI50" s="367" t="e">
        <f>WGF50*WGG50*WGH50</f>
        <v>#DIV/0!</v>
      </c>
      <c r="WGJ50" s="363" t="s">
        <v>153</v>
      </c>
      <c r="WGK50" s="363"/>
      <c r="WGL50" s="363"/>
      <c r="WGM50" s="364" t="s">
        <v>140</v>
      </c>
      <c r="WGN50" s="365">
        <v>0.5</v>
      </c>
      <c r="WGO50" s="366" t="e">
        <f>10/WGK48</f>
        <v>#DIV/0!</v>
      </c>
      <c r="WGP50" s="367">
        <v>15.38</v>
      </c>
      <c r="WGQ50" s="367" t="e">
        <f>WGN50*WGO50*WGP50</f>
        <v>#DIV/0!</v>
      </c>
      <c r="WGR50" s="363" t="s">
        <v>153</v>
      </c>
      <c r="WGS50" s="363"/>
      <c r="WGT50" s="363"/>
      <c r="WGU50" s="364" t="s">
        <v>140</v>
      </c>
      <c r="WGV50" s="365">
        <v>0.5</v>
      </c>
      <c r="WGW50" s="366" t="e">
        <f>10/WGS48</f>
        <v>#DIV/0!</v>
      </c>
      <c r="WGX50" s="367">
        <v>15.38</v>
      </c>
      <c r="WGY50" s="367" t="e">
        <f>WGV50*WGW50*WGX50</f>
        <v>#DIV/0!</v>
      </c>
      <c r="WGZ50" s="363" t="s">
        <v>153</v>
      </c>
      <c r="WHA50" s="363"/>
      <c r="WHB50" s="363"/>
      <c r="WHC50" s="364" t="s">
        <v>140</v>
      </c>
      <c r="WHD50" s="365">
        <v>0.5</v>
      </c>
      <c r="WHE50" s="366" t="e">
        <f>10/WHA48</f>
        <v>#DIV/0!</v>
      </c>
      <c r="WHF50" s="367">
        <v>15.38</v>
      </c>
      <c r="WHG50" s="367" t="e">
        <f>WHD50*WHE50*WHF50</f>
        <v>#DIV/0!</v>
      </c>
      <c r="WHH50" s="363" t="s">
        <v>153</v>
      </c>
      <c r="WHI50" s="363"/>
      <c r="WHJ50" s="363"/>
      <c r="WHK50" s="364" t="s">
        <v>140</v>
      </c>
      <c r="WHL50" s="365">
        <v>0.5</v>
      </c>
      <c r="WHM50" s="366" t="e">
        <f>10/WHI48</f>
        <v>#DIV/0!</v>
      </c>
      <c r="WHN50" s="367">
        <v>15.38</v>
      </c>
      <c r="WHO50" s="367" t="e">
        <f>WHL50*WHM50*WHN50</f>
        <v>#DIV/0!</v>
      </c>
      <c r="WHP50" s="363" t="s">
        <v>153</v>
      </c>
      <c r="WHQ50" s="363"/>
      <c r="WHR50" s="363"/>
      <c r="WHS50" s="364" t="s">
        <v>140</v>
      </c>
      <c r="WHT50" s="365">
        <v>0.5</v>
      </c>
      <c r="WHU50" s="366" t="e">
        <f>10/WHQ48</f>
        <v>#DIV/0!</v>
      </c>
      <c r="WHV50" s="367">
        <v>15.38</v>
      </c>
      <c r="WHW50" s="367" t="e">
        <f>WHT50*WHU50*WHV50</f>
        <v>#DIV/0!</v>
      </c>
      <c r="WHX50" s="363" t="s">
        <v>153</v>
      </c>
      <c r="WHY50" s="363"/>
      <c r="WHZ50" s="363"/>
      <c r="WIA50" s="364" t="s">
        <v>140</v>
      </c>
      <c r="WIB50" s="365">
        <v>0.5</v>
      </c>
      <c r="WIC50" s="366" t="e">
        <f>10/WHY48</f>
        <v>#DIV/0!</v>
      </c>
      <c r="WID50" s="367">
        <v>15.38</v>
      </c>
      <c r="WIE50" s="367" t="e">
        <f>WIB50*WIC50*WID50</f>
        <v>#DIV/0!</v>
      </c>
      <c r="WIF50" s="363" t="s">
        <v>153</v>
      </c>
      <c r="WIG50" s="363"/>
      <c r="WIH50" s="363"/>
      <c r="WII50" s="364" t="s">
        <v>140</v>
      </c>
      <c r="WIJ50" s="365">
        <v>0.5</v>
      </c>
      <c r="WIK50" s="366" t="e">
        <f>10/WIG48</f>
        <v>#DIV/0!</v>
      </c>
      <c r="WIL50" s="367">
        <v>15.38</v>
      </c>
      <c r="WIM50" s="367" t="e">
        <f>WIJ50*WIK50*WIL50</f>
        <v>#DIV/0!</v>
      </c>
      <c r="WIN50" s="363" t="s">
        <v>153</v>
      </c>
      <c r="WIO50" s="363"/>
      <c r="WIP50" s="363"/>
      <c r="WIQ50" s="364" t="s">
        <v>140</v>
      </c>
      <c r="WIR50" s="365">
        <v>0.5</v>
      </c>
      <c r="WIS50" s="366" t="e">
        <f>10/WIO48</f>
        <v>#DIV/0!</v>
      </c>
      <c r="WIT50" s="367">
        <v>15.38</v>
      </c>
      <c r="WIU50" s="367" t="e">
        <f>WIR50*WIS50*WIT50</f>
        <v>#DIV/0!</v>
      </c>
      <c r="WIV50" s="363" t="s">
        <v>153</v>
      </c>
      <c r="WIW50" s="363"/>
      <c r="WIX50" s="363"/>
      <c r="WIY50" s="364" t="s">
        <v>140</v>
      </c>
      <c r="WIZ50" s="365">
        <v>0.5</v>
      </c>
      <c r="WJA50" s="366" t="e">
        <f>10/WIW48</f>
        <v>#DIV/0!</v>
      </c>
      <c r="WJB50" s="367">
        <v>15.38</v>
      </c>
      <c r="WJC50" s="367" t="e">
        <f>WIZ50*WJA50*WJB50</f>
        <v>#DIV/0!</v>
      </c>
      <c r="WJD50" s="363" t="s">
        <v>153</v>
      </c>
      <c r="WJE50" s="363"/>
      <c r="WJF50" s="363"/>
      <c r="WJG50" s="364" t="s">
        <v>140</v>
      </c>
      <c r="WJH50" s="365">
        <v>0.5</v>
      </c>
      <c r="WJI50" s="366" t="e">
        <f>10/WJE48</f>
        <v>#DIV/0!</v>
      </c>
      <c r="WJJ50" s="367">
        <v>15.38</v>
      </c>
      <c r="WJK50" s="367" t="e">
        <f>WJH50*WJI50*WJJ50</f>
        <v>#DIV/0!</v>
      </c>
      <c r="WJL50" s="363" t="s">
        <v>153</v>
      </c>
      <c r="WJM50" s="363"/>
      <c r="WJN50" s="363"/>
      <c r="WJO50" s="364" t="s">
        <v>140</v>
      </c>
      <c r="WJP50" s="365">
        <v>0.5</v>
      </c>
      <c r="WJQ50" s="366" t="e">
        <f>10/WJM48</f>
        <v>#DIV/0!</v>
      </c>
      <c r="WJR50" s="367">
        <v>15.38</v>
      </c>
      <c r="WJS50" s="367" t="e">
        <f>WJP50*WJQ50*WJR50</f>
        <v>#DIV/0!</v>
      </c>
      <c r="WJT50" s="363" t="s">
        <v>153</v>
      </c>
      <c r="WJU50" s="363"/>
      <c r="WJV50" s="363"/>
      <c r="WJW50" s="364" t="s">
        <v>140</v>
      </c>
      <c r="WJX50" s="365">
        <v>0.5</v>
      </c>
      <c r="WJY50" s="366" t="e">
        <f>10/WJU48</f>
        <v>#DIV/0!</v>
      </c>
      <c r="WJZ50" s="367">
        <v>15.38</v>
      </c>
      <c r="WKA50" s="367" t="e">
        <f>WJX50*WJY50*WJZ50</f>
        <v>#DIV/0!</v>
      </c>
      <c r="WKB50" s="363" t="s">
        <v>153</v>
      </c>
      <c r="WKC50" s="363"/>
      <c r="WKD50" s="363"/>
      <c r="WKE50" s="364" t="s">
        <v>140</v>
      </c>
      <c r="WKF50" s="365">
        <v>0.5</v>
      </c>
      <c r="WKG50" s="366" t="e">
        <f>10/WKC48</f>
        <v>#DIV/0!</v>
      </c>
      <c r="WKH50" s="367">
        <v>15.38</v>
      </c>
      <c r="WKI50" s="367" t="e">
        <f>WKF50*WKG50*WKH50</f>
        <v>#DIV/0!</v>
      </c>
      <c r="WKJ50" s="363" t="s">
        <v>153</v>
      </c>
      <c r="WKK50" s="363"/>
      <c r="WKL50" s="363"/>
      <c r="WKM50" s="364" t="s">
        <v>140</v>
      </c>
      <c r="WKN50" s="365">
        <v>0.5</v>
      </c>
      <c r="WKO50" s="366" t="e">
        <f>10/WKK48</f>
        <v>#DIV/0!</v>
      </c>
      <c r="WKP50" s="367">
        <v>15.38</v>
      </c>
      <c r="WKQ50" s="367" t="e">
        <f>WKN50*WKO50*WKP50</f>
        <v>#DIV/0!</v>
      </c>
      <c r="WKR50" s="363" t="s">
        <v>153</v>
      </c>
      <c r="WKS50" s="363"/>
      <c r="WKT50" s="363"/>
      <c r="WKU50" s="364" t="s">
        <v>140</v>
      </c>
      <c r="WKV50" s="365">
        <v>0.5</v>
      </c>
      <c r="WKW50" s="366" t="e">
        <f>10/WKS48</f>
        <v>#DIV/0!</v>
      </c>
      <c r="WKX50" s="367">
        <v>15.38</v>
      </c>
      <c r="WKY50" s="367" t="e">
        <f>WKV50*WKW50*WKX50</f>
        <v>#DIV/0!</v>
      </c>
      <c r="WKZ50" s="363" t="s">
        <v>153</v>
      </c>
      <c r="WLA50" s="363"/>
      <c r="WLB50" s="363"/>
      <c r="WLC50" s="364" t="s">
        <v>140</v>
      </c>
      <c r="WLD50" s="365">
        <v>0.5</v>
      </c>
      <c r="WLE50" s="366" t="e">
        <f>10/WLA48</f>
        <v>#DIV/0!</v>
      </c>
      <c r="WLF50" s="367">
        <v>15.38</v>
      </c>
      <c r="WLG50" s="367" t="e">
        <f>WLD50*WLE50*WLF50</f>
        <v>#DIV/0!</v>
      </c>
      <c r="WLH50" s="363" t="s">
        <v>153</v>
      </c>
      <c r="WLI50" s="363"/>
      <c r="WLJ50" s="363"/>
      <c r="WLK50" s="364" t="s">
        <v>140</v>
      </c>
      <c r="WLL50" s="365">
        <v>0.5</v>
      </c>
      <c r="WLM50" s="366" t="e">
        <f>10/WLI48</f>
        <v>#DIV/0!</v>
      </c>
      <c r="WLN50" s="367">
        <v>15.38</v>
      </c>
      <c r="WLO50" s="367" t="e">
        <f>WLL50*WLM50*WLN50</f>
        <v>#DIV/0!</v>
      </c>
      <c r="WLP50" s="363" t="s">
        <v>153</v>
      </c>
      <c r="WLQ50" s="363"/>
      <c r="WLR50" s="363"/>
      <c r="WLS50" s="364" t="s">
        <v>140</v>
      </c>
      <c r="WLT50" s="365">
        <v>0.5</v>
      </c>
      <c r="WLU50" s="366" t="e">
        <f>10/WLQ48</f>
        <v>#DIV/0!</v>
      </c>
      <c r="WLV50" s="367">
        <v>15.38</v>
      </c>
      <c r="WLW50" s="367" t="e">
        <f>WLT50*WLU50*WLV50</f>
        <v>#DIV/0!</v>
      </c>
      <c r="WLX50" s="363" t="s">
        <v>153</v>
      </c>
      <c r="WLY50" s="363"/>
      <c r="WLZ50" s="363"/>
      <c r="WMA50" s="364" t="s">
        <v>140</v>
      </c>
      <c r="WMB50" s="365">
        <v>0.5</v>
      </c>
      <c r="WMC50" s="366" t="e">
        <f>10/WLY48</f>
        <v>#DIV/0!</v>
      </c>
      <c r="WMD50" s="367">
        <v>15.38</v>
      </c>
      <c r="WME50" s="367" t="e">
        <f>WMB50*WMC50*WMD50</f>
        <v>#DIV/0!</v>
      </c>
      <c r="WMF50" s="363" t="s">
        <v>153</v>
      </c>
      <c r="WMG50" s="363"/>
      <c r="WMH50" s="363"/>
      <c r="WMI50" s="364" t="s">
        <v>140</v>
      </c>
      <c r="WMJ50" s="365">
        <v>0.5</v>
      </c>
      <c r="WMK50" s="366" t="e">
        <f>10/WMG48</f>
        <v>#DIV/0!</v>
      </c>
      <c r="WML50" s="367">
        <v>15.38</v>
      </c>
      <c r="WMM50" s="367" t="e">
        <f>WMJ50*WMK50*WML50</f>
        <v>#DIV/0!</v>
      </c>
      <c r="WMN50" s="363" t="s">
        <v>153</v>
      </c>
      <c r="WMO50" s="363"/>
      <c r="WMP50" s="363"/>
      <c r="WMQ50" s="364" t="s">
        <v>140</v>
      </c>
      <c r="WMR50" s="365">
        <v>0.5</v>
      </c>
      <c r="WMS50" s="366" t="e">
        <f>10/WMO48</f>
        <v>#DIV/0!</v>
      </c>
      <c r="WMT50" s="367">
        <v>15.38</v>
      </c>
      <c r="WMU50" s="367" t="e">
        <f>WMR50*WMS50*WMT50</f>
        <v>#DIV/0!</v>
      </c>
      <c r="WMV50" s="363" t="s">
        <v>153</v>
      </c>
      <c r="WMW50" s="363"/>
      <c r="WMX50" s="363"/>
      <c r="WMY50" s="364" t="s">
        <v>140</v>
      </c>
      <c r="WMZ50" s="365">
        <v>0.5</v>
      </c>
      <c r="WNA50" s="366" t="e">
        <f>10/WMW48</f>
        <v>#DIV/0!</v>
      </c>
      <c r="WNB50" s="367">
        <v>15.38</v>
      </c>
      <c r="WNC50" s="367" t="e">
        <f>WMZ50*WNA50*WNB50</f>
        <v>#DIV/0!</v>
      </c>
      <c r="WND50" s="363" t="s">
        <v>153</v>
      </c>
      <c r="WNE50" s="363"/>
      <c r="WNF50" s="363"/>
      <c r="WNG50" s="364" t="s">
        <v>140</v>
      </c>
      <c r="WNH50" s="365">
        <v>0.5</v>
      </c>
      <c r="WNI50" s="366" t="e">
        <f>10/WNE48</f>
        <v>#DIV/0!</v>
      </c>
      <c r="WNJ50" s="367">
        <v>15.38</v>
      </c>
      <c r="WNK50" s="367" t="e">
        <f>WNH50*WNI50*WNJ50</f>
        <v>#DIV/0!</v>
      </c>
      <c r="WNL50" s="363" t="s">
        <v>153</v>
      </c>
      <c r="WNM50" s="363"/>
      <c r="WNN50" s="363"/>
      <c r="WNO50" s="364" t="s">
        <v>140</v>
      </c>
      <c r="WNP50" s="365">
        <v>0.5</v>
      </c>
      <c r="WNQ50" s="366" t="e">
        <f>10/WNM48</f>
        <v>#DIV/0!</v>
      </c>
      <c r="WNR50" s="367">
        <v>15.38</v>
      </c>
      <c r="WNS50" s="367" t="e">
        <f>WNP50*WNQ50*WNR50</f>
        <v>#DIV/0!</v>
      </c>
      <c r="WNT50" s="363" t="s">
        <v>153</v>
      </c>
      <c r="WNU50" s="363"/>
      <c r="WNV50" s="363"/>
      <c r="WNW50" s="364" t="s">
        <v>140</v>
      </c>
      <c r="WNX50" s="365">
        <v>0.5</v>
      </c>
      <c r="WNY50" s="366" t="e">
        <f>10/WNU48</f>
        <v>#DIV/0!</v>
      </c>
      <c r="WNZ50" s="367">
        <v>15.38</v>
      </c>
      <c r="WOA50" s="367" t="e">
        <f>WNX50*WNY50*WNZ50</f>
        <v>#DIV/0!</v>
      </c>
      <c r="WOB50" s="363" t="s">
        <v>153</v>
      </c>
      <c r="WOC50" s="363"/>
      <c r="WOD50" s="363"/>
      <c r="WOE50" s="364" t="s">
        <v>140</v>
      </c>
      <c r="WOF50" s="365">
        <v>0.5</v>
      </c>
      <c r="WOG50" s="366" t="e">
        <f>10/WOC48</f>
        <v>#DIV/0!</v>
      </c>
      <c r="WOH50" s="367">
        <v>15.38</v>
      </c>
      <c r="WOI50" s="367" t="e">
        <f>WOF50*WOG50*WOH50</f>
        <v>#DIV/0!</v>
      </c>
      <c r="WOJ50" s="363" t="s">
        <v>153</v>
      </c>
      <c r="WOK50" s="363"/>
      <c r="WOL50" s="363"/>
      <c r="WOM50" s="364" t="s">
        <v>140</v>
      </c>
      <c r="WON50" s="365">
        <v>0.5</v>
      </c>
      <c r="WOO50" s="366" t="e">
        <f>10/WOK48</f>
        <v>#DIV/0!</v>
      </c>
      <c r="WOP50" s="367">
        <v>15.38</v>
      </c>
      <c r="WOQ50" s="367" t="e">
        <f>WON50*WOO50*WOP50</f>
        <v>#DIV/0!</v>
      </c>
      <c r="WOR50" s="363" t="s">
        <v>153</v>
      </c>
      <c r="WOS50" s="363"/>
      <c r="WOT50" s="363"/>
      <c r="WOU50" s="364" t="s">
        <v>140</v>
      </c>
      <c r="WOV50" s="365">
        <v>0.5</v>
      </c>
      <c r="WOW50" s="366" t="e">
        <f>10/WOS48</f>
        <v>#DIV/0!</v>
      </c>
      <c r="WOX50" s="367">
        <v>15.38</v>
      </c>
      <c r="WOY50" s="367" t="e">
        <f>WOV50*WOW50*WOX50</f>
        <v>#DIV/0!</v>
      </c>
      <c r="WOZ50" s="363" t="s">
        <v>153</v>
      </c>
      <c r="WPA50" s="363"/>
      <c r="WPB50" s="363"/>
      <c r="WPC50" s="364" t="s">
        <v>140</v>
      </c>
      <c r="WPD50" s="365">
        <v>0.5</v>
      </c>
      <c r="WPE50" s="366" t="e">
        <f>10/WPA48</f>
        <v>#DIV/0!</v>
      </c>
      <c r="WPF50" s="367">
        <v>15.38</v>
      </c>
      <c r="WPG50" s="367" t="e">
        <f>WPD50*WPE50*WPF50</f>
        <v>#DIV/0!</v>
      </c>
      <c r="WPH50" s="363" t="s">
        <v>153</v>
      </c>
      <c r="WPI50" s="363"/>
      <c r="WPJ50" s="363"/>
      <c r="WPK50" s="364" t="s">
        <v>140</v>
      </c>
      <c r="WPL50" s="365">
        <v>0.5</v>
      </c>
      <c r="WPM50" s="366" t="e">
        <f>10/WPI48</f>
        <v>#DIV/0!</v>
      </c>
      <c r="WPN50" s="367">
        <v>15.38</v>
      </c>
      <c r="WPO50" s="367" t="e">
        <f>WPL50*WPM50*WPN50</f>
        <v>#DIV/0!</v>
      </c>
      <c r="WPP50" s="363" t="s">
        <v>153</v>
      </c>
      <c r="WPQ50" s="363"/>
      <c r="WPR50" s="363"/>
      <c r="WPS50" s="364" t="s">
        <v>140</v>
      </c>
      <c r="WPT50" s="365">
        <v>0.5</v>
      </c>
      <c r="WPU50" s="366" t="e">
        <f>10/WPQ48</f>
        <v>#DIV/0!</v>
      </c>
      <c r="WPV50" s="367">
        <v>15.38</v>
      </c>
      <c r="WPW50" s="367" t="e">
        <f>WPT50*WPU50*WPV50</f>
        <v>#DIV/0!</v>
      </c>
      <c r="WPX50" s="363" t="s">
        <v>153</v>
      </c>
      <c r="WPY50" s="363"/>
      <c r="WPZ50" s="363"/>
      <c r="WQA50" s="364" t="s">
        <v>140</v>
      </c>
      <c r="WQB50" s="365">
        <v>0.5</v>
      </c>
      <c r="WQC50" s="366" t="e">
        <f>10/WPY48</f>
        <v>#DIV/0!</v>
      </c>
      <c r="WQD50" s="367">
        <v>15.38</v>
      </c>
      <c r="WQE50" s="367" t="e">
        <f>WQB50*WQC50*WQD50</f>
        <v>#DIV/0!</v>
      </c>
      <c r="WQF50" s="363" t="s">
        <v>153</v>
      </c>
      <c r="WQG50" s="363"/>
      <c r="WQH50" s="363"/>
      <c r="WQI50" s="364" t="s">
        <v>140</v>
      </c>
      <c r="WQJ50" s="365">
        <v>0.5</v>
      </c>
      <c r="WQK50" s="366" t="e">
        <f>10/WQG48</f>
        <v>#DIV/0!</v>
      </c>
      <c r="WQL50" s="367">
        <v>15.38</v>
      </c>
      <c r="WQM50" s="367" t="e">
        <f>WQJ50*WQK50*WQL50</f>
        <v>#DIV/0!</v>
      </c>
      <c r="WQN50" s="363" t="s">
        <v>153</v>
      </c>
      <c r="WQO50" s="363"/>
      <c r="WQP50" s="363"/>
      <c r="WQQ50" s="364" t="s">
        <v>140</v>
      </c>
      <c r="WQR50" s="365">
        <v>0.5</v>
      </c>
      <c r="WQS50" s="366" t="e">
        <f>10/WQO48</f>
        <v>#DIV/0!</v>
      </c>
      <c r="WQT50" s="367">
        <v>15.38</v>
      </c>
      <c r="WQU50" s="367" t="e">
        <f>WQR50*WQS50*WQT50</f>
        <v>#DIV/0!</v>
      </c>
      <c r="WQV50" s="363" t="s">
        <v>153</v>
      </c>
      <c r="WQW50" s="363"/>
      <c r="WQX50" s="363"/>
      <c r="WQY50" s="364" t="s">
        <v>140</v>
      </c>
      <c r="WQZ50" s="365">
        <v>0.5</v>
      </c>
      <c r="WRA50" s="366" t="e">
        <f>10/WQW48</f>
        <v>#DIV/0!</v>
      </c>
      <c r="WRB50" s="367">
        <v>15.38</v>
      </c>
      <c r="WRC50" s="367" t="e">
        <f>WQZ50*WRA50*WRB50</f>
        <v>#DIV/0!</v>
      </c>
      <c r="WRD50" s="363" t="s">
        <v>153</v>
      </c>
      <c r="WRE50" s="363"/>
      <c r="WRF50" s="363"/>
      <c r="WRG50" s="364" t="s">
        <v>140</v>
      </c>
      <c r="WRH50" s="365">
        <v>0.5</v>
      </c>
      <c r="WRI50" s="366" t="e">
        <f>10/WRE48</f>
        <v>#DIV/0!</v>
      </c>
      <c r="WRJ50" s="367">
        <v>15.38</v>
      </c>
      <c r="WRK50" s="367" t="e">
        <f>WRH50*WRI50*WRJ50</f>
        <v>#DIV/0!</v>
      </c>
      <c r="WRL50" s="363" t="s">
        <v>153</v>
      </c>
      <c r="WRM50" s="363"/>
      <c r="WRN50" s="363"/>
      <c r="WRO50" s="364" t="s">
        <v>140</v>
      </c>
      <c r="WRP50" s="365">
        <v>0.5</v>
      </c>
      <c r="WRQ50" s="366" t="e">
        <f>10/WRM48</f>
        <v>#DIV/0!</v>
      </c>
      <c r="WRR50" s="367">
        <v>15.38</v>
      </c>
      <c r="WRS50" s="367" t="e">
        <f>WRP50*WRQ50*WRR50</f>
        <v>#DIV/0!</v>
      </c>
      <c r="WRT50" s="363" t="s">
        <v>153</v>
      </c>
      <c r="WRU50" s="363"/>
      <c r="WRV50" s="363"/>
      <c r="WRW50" s="364" t="s">
        <v>140</v>
      </c>
      <c r="WRX50" s="365">
        <v>0.5</v>
      </c>
      <c r="WRY50" s="366" t="e">
        <f>10/WRU48</f>
        <v>#DIV/0!</v>
      </c>
      <c r="WRZ50" s="367">
        <v>15.38</v>
      </c>
      <c r="WSA50" s="367" t="e">
        <f>WRX50*WRY50*WRZ50</f>
        <v>#DIV/0!</v>
      </c>
      <c r="WSB50" s="363" t="s">
        <v>153</v>
      </c>
      <c r="WSC50" s="363"/>
      <c r="WSD50" s="363"/>
      <c r="WSE50" s="364" t="s">
        <v>140</v>
      </c>
      <c r="WSF50" s="365">
        <v>0.5</v>
      </c>
      <c r="WSG50" s="366" t="e">
        <f>10/WSC48</f>
        <v>#DIV/0!</v>
      </c>
      <c r="WSH50" s="367">
        <v>15.38</v>
      </c>
      <c r="WSI50" s="367" t="e">
        <f>WSF50*WSG50*WSH50</f>
        <v>#DIV/0!</v>
      </c>
      <c r="WSJ50" s="363" t="s">
        <v>153</v>
      </c>
      <c r="WSK50" s="363"/>
      <c r="WSL50" s="363"/>
      <c r="WSM50" s="364" t="s">
        <v>140</v>
      </c>
      <c r="WSN50" s="365">
        <v>0.5</v>
      </c>
      <c r="WSO50" s="366" t="e">
        <f>10/WSK48</f>
        <v>#DIV/0!</v>
      </c>
      <c r="WSP50" s="367">
        <v>15.38</v>
      </c>
      <c r="WSQ50" s="367" t="e">
        <f>WSN50*WSO50*WSP50</f>
        <v>#DIV/0!</v>
      </c>
      <c r="WSR50" s="363" t="s">
        <v>153</v>
      </c>
      <c r="WSS50" s="363"/>
      <c r="WST50" s="363"/>
      <c r="WSU50" s="364" t="s">
        <v>140</v>
      </c>
      <c r="WSV50" s="365">
        <v>0.5</v>
      </c>
      <c r="WSW50" s="366" t="e">
        <f>10/WSS48</f>
        <v>#DIV/0!</v>
      </c>
      <c r="WSX50" s="367">
        <v>15.38</v>
      </c>
      <c r="WSY50" s="367" t="e">
        <f>WSV50*WSW50*WSX50</f>
        <v>#DIV/0!</v>
      </c>
      <c r="WSZ50" s="363" t="s">
        <v>153</v>
      </c>
      <c r="WTA50" s="363"/>
      <c r="WTB50" s="363"/>
      <c r="WTC50" s="364" t="s">
        <v>140</v>
      </c>
      <c r="WTD50" s="365">
        <v>0.5</v>
      </c>
      <c r="WTE50" s="366" t="e">
        <f>10/WTA48</f>
        <v>#DIV/0!</v>
      </c>
      <c r="WTF50" s="367">
        <v>15.38</v>
      </c>
      <c r="WTG50" s="367" t="e">
        <f>WTD50*WTE50*WTF50</f>
        <v>#DIV/0!</v>
      </c>
      <c r="WTH50" s="363" t="s">
        <v>153</v>
      </c>
      <c r="WTI50" s="363"/>
      <c r="WTJ50" s="363"/>
      <c r="WTK50" s="364" t="s">
        <v>140</v>
      </c>
      <c r="WTL50" s="365">
        <v>0.5</v>
      </c>
      <c r="WTM50" s="366" t="e">
        <f>10/WTI48</f>
        <v>#DIV/0!</v>
      </c>
      <c r="WTN50" s="367">
        <v>15.38</v>
      </c>
      <c r="WTO50" s="367" t="e">
        <f>WTL50*WTM50*WTN50</f>
        <v>#DIV/0!</v>
      </c>
      <c r="WTP50" s="363" t="s">
        <v>153</v>
      </c>
      <c r="WTQ50" s="363"/>
      <c r="WTR50" s="363"/>
      <c r="WTS50" s="364" t="s">
        <v>140</v>
      </c>
      <c r="WTT50" s="365">
        <v>0.5</v>
      </c>
      <c r="WTU50" s="366" t="e">
        <f>10/WTQ48</f>
        <v>#DIV/0!</v>
      </c>
      <c r="WTV50" s="367">
        <v>15.38</v>
      </c>
      <c r="WTW50" s="367" t="e">
        <f>WTT50*WTU50*WTV50</f>
        <v>#DIV/0!</v>
      </c>
      <c r="WTX50" s="363" t="s">
        <v>153</v>
      </c>
      <c r="WTY50" s="363"/>
      <c r="WTZ50" s="363"/>
      <c r="WUA50" s="364" t="s">
        <v>140</v>
      </c>
      <c r="WUB50" s="365">
        <v>0.5</v>
      </c>
      <c r="WUC50" s="366" t="e">
        <f>10/WTY48</f>
        <v>#DIV/0!</v>
      </c>
      <c r="WUD50" s="367">
        <v>15.38</v>
      </c>
      <c r="WUE50" s="367" t="e">
        <f>WUB50*WUC50*WUD50</f>
        <v>#DIV/0!</v>
      </c>
      <c r="WUF50" s="363" t="s">
        <v>153</v>
      </c>
      <c r="WUG50" s="363"/>
      <c r="WUH50" s="363"/>
      <c r="WUI50" s="364" t="s">
        <v>140</v>
      </c>
      <c r="WUJ50" s="365">
        <v>0.5</v>
      </c>
      <c r="WUK50" s="366" t="e">
        <f>10/WUG48</f>
        <v>#DIV/0!</v>
      </c>
      <c r="WUL50" s="367">
        <v>15.38</v>
      </c>
      <c r="WUM50" s="367" t="e">
        <f>WUJ50*WUK50*WUL50</f>
        <v>#DIV/0!</v>
      </c>
      <c r="WUN50" s="363" t="s">
        <v>153</v>
      </c>
      <c r="WUO50" s="363"/>
      <c r="WUP50" s="363"/>
      <c r="WUQ50" s="364" t="s">
        <v>140</v>
      </c>
      <c r="WUR50" s="365">
        <v>0.5</v>
      </c>
      <c r="WUS50" s="366" t="e">
        <f>10/WUO48</f>
        <v>#DIV/0!</v>
      </c>
      <c r="WUT50" s="367">
        <v>15.38</v>
      </c>
      <c r="WUU50" s="367" t="e">
        <f>WUR50*WUS50*WUT50</f>
        <v>#DIV/0!</v>
      </c>
      <c r="WUV50" s="363" t="s">
        <v>153</v>
      </c>
      <c r="WUW50" s="363"/>
      <c r="WUX50" s="363"/>
      <c r="WUY50" s="364" t="s">
        <v>140</v>
      </c>
      <c r="WUZ50" s="365">
        <v>0.5</v>
      </c>
      <c r="WVA50" s="366" t="e">
        <f>10/WUW48</f>
        <v>#DIV/0!</v>
      </c>
      <c r="WVB50" s="367">
        <v>15.38</v>
      </c>
      <c r="WVC50" s="367" t="e">
        <f>WUZ50*WVA50*WVB50</f>
        <v>#DIV/0!</v>
      </c>
      <c r="WVD50" s="363" t="s">
        <v>153</v>
      </c>
      <c r="WVE50" s="363"/>
      <c r="WVF50" s="363"/>
      <c r="WVG50" s="364" t="s">
        <v>140</v>
      </c>
      <c r="WVH50" s="365">
        <v>0.5</v>
      </c>
      <c r="WVI50" s="366" t="e">
        <f>10/WVE48</f>
        <v>#DIV/0!</v>
      </c>
      <c r="WVJ50" s="367">
        <v>15.38</v>
      </c>
      <c r="WVK50" s="367" t="e">
        <f>WVH50*WVI50*WVJ50</f>
        <v>#DIV/0!</v>
      </c>
      <c r="WVL50" s="363" t="s">
        <v>153</v>
      </c>
      <c r="WVM50" s="363"/>
      <c r="WVN50" s="363"/>
      <c r="WVO50" s="364" t="s">
        <v>140</v>
      </c>
      <c r="WVP50" s="365">
        <v>0.5</v>
      </c>
      <c r="WVQ50" s="366" t="e">
        <f>10/WVM48</f>
        <v>#DIV/0!</v>
      </c>
      <c r="WVR50" s="367">
        <v>15.38</v>
      </c>
      <c r="WVS50" s="367" t="e">
        <f>WVP50*WVQ50*WVR50</f>
        <v>#DIV/0!</v>
      </c>
      <c r="WVT50" s="363" t="s">
        <v>153</v>
      </c>
      <c r="WVU50" s="363"/>
      <c r="WVV50" s="363"/>
      <c r="WVW50" s="364" t="s">
        <v>140</v>
      </c>
      <c r="WVX50" s="365">
        <v>0.5</v>
      </c>
      <c r="WVY50" s="366" t="e">
        <f>10/WVU48</f>
        <v>#DIV/0!</v>
      </c>
      <c r="WVZ50" s="367">
        <v>15.38</v>
      </c>
      <c r="WWA50" s="367" t="e">
        <f>WVX50*WVY50*WVZ50</f>
        <v>#DIV/0!</v>
      </c>
      <c r="WWB50" s="363" t="s">
        <v>153</v>
      </c>
      <c r="WWC50" s="363"/>
      <c r="WWD50" s="363"/>
      <c r="WWE50" s="364" t="s">
        <v>140</v>
      </c>
      <c r="WWF50" s="365">
        <v>0.5</v>
      </c>
      <c r="WWG50" s="366" t="e">
        <f>10/WWC48</f>
        <v>#DIV/0!</v>
      </c>
      <c r="WWH50" s="367">
        <v>15.38</v>
      </c>
      <c r="WWI50" s="367" t="e">
        <f>WWF50*WWG50*WWH50</f>
        <v>#DIV/0!</v>
      </c>
      <c r="WWJ50" s="363" t="s">
        <v>153</v>
      </c>
      <c r="WWK50" s="363"/>
      <c r="WWL50" s="363"/>
      <c r="WWM50" s="364" t="s">
        <v>140</v>
      </c>
      <c r="WWN50" s="365">
        <v>0.5</v>
      </c>
      <c r="WWO50" s="366" t="e">
        <f>10/WWK48</f>
        <v>#DIV/0!</v>
      </c>
      <c r="WWP50" s="367">
        <v>15.38</v>
      </c>
      <c r="WWQ50" s="367" t="e">
        <f>WWN50*WWO50*WWP50</f>
        <v>#DIV/0!</v>
      </c>
      <c r="WWR50" s="363" t="s">
        <v>153</v>
      </c>
      <c r="WWS50" s="363"/>
      <c r="WWT50" s="363"/>
      <c r="WWU50" s="364" t="s">
        <v>140</v>
      </c>
      <c r="WWV50" s="365">
        <v>0.5</v>
      </c>
      <c r="WWW50" s="366" t="e">
        <f>10/WWS48</f>
        <v>#DIV/0!</v>
      </c>
      <c r="WWX50" s="367">
        <v>15.38</v>
      </c>
      <c r="WWY50" s="367" t="e">
        <f>WWV50*WWW50*WWX50</f>
        <v>#DIV/0!</v>
      </c>
      <c r="WWZ50" s="363" t="s">
        <v>153</v>
      </c>
      <c r="WXA50" s="363"/>
      <c r="WXB50" s="363"/>
      <c r="WXC50" s="364" t="s">
        <v>140</v>
      </c>
      <c r="WXD50" s="365">
        <v>0.5</v>
      </c>
      <c r="WXE50" s="366" t="e">
        <f>10/WXA48</f>
        <v>#DIV/0!</v>
      </c>
      <c r="WXF50" s="367">
        <v>15.38</v>
      </c>
      <c r="WXG50" s="367" t="e">
        <f>WXD50*WXE50*WXF50</f>
        <v>#DIV/0!</v>
      </c>
      <c r="WXH50" s="363" t="s">
        <v>153</v>
      </c>
      <c r="WXI50" s="363"/>
      <c r="WXJ50" s="363"/>
      <c r="WXK50" s="364" t="s">
        <v>140</v>
      </c>
      <c r="WXL50" s="365">
        <v>0.5</v>
      </c>
      <c r="WXM50" s="366" t="e">
        <f>10/WXI48</f>
        <v>#DIV/0!</v>
      </c>
      <c r="WXN50" s="367">
        <v>15.38</v>
      </c>
      <c r="WXO50" s="367" t="e">
        <f>WXL50*WXM50*WXN50</f>
        <v>#DIV/0!</v>
      </c>
      <c r="WXP50" s="363" t="s">
        <v>153</v>
      </c>
      <c r="WXQ50" s="363"/>
      <c r="WXR50" s="363"/>
      <c r="WXS50" s="364" t="s">
        <v>140</v>
      </c>
      <c r="WXT50" s="365">
        <v>0.5</v>
      </c>
      <c r="WXU50" s="366" t="e">
        <f>10/WXQ48</f>
        <v>#DIV/0!</v>
      </c>
      <c r="WXV50" s="367">
        <v>15.38</v>
      </c>
      <c r="WXW50" s="367" t="e">
        <f>WXT50*WXU50*WXV50</f>
        <v>#DIV/0!</v>
      </c>
      <c r="WXX50" s="363" t="s">
        <v>153</v>
      </c>
      <c r="WXY50" s="363"/>
      <c r="WXZ50" s="363"/>
      <c r="WYA50" s="364" t="s">
        <v>140</v>
      </c>
      <c r="WYB50" s="365">
        <v>0.5</v>
      </c>
      <c r="WYC50" s="366" t="e">
        <f>10/WXY48</f>
        <v>#DIV/0!</v>
      </c>
      <c r="WYD50" s="367">
        <v>15.38</v>
      </c>
      <c r="WYE50" s="367" t="e">
        <f>WYB50*WYC50*WYD50</f>
        <v>#DIV/0!</v>
      </c>
      <c r="WYF50" s="363" t="s">
        <v>153</v>
      </c>
      <c r="WYG50" s="363"/>
      <c r="WYH50" s="363"/>
      <c r="WYI50" s="364" t="s">
        <v>140</v>
      </c>
      <c r="WYJ50" s="365">
        <v>0.5</v>
      </c>
      <c r="WYK50" s="366" t="e">
        <f>10/WYG48</f>
        <v>#DIV/0!</v>
      </c>
      <c r="WYL50" s="367">
        <v>15.38</v>
      </c>
      <c r="WYM50" s="367" t="e">
        <f>WYJ50*WYK50*WYL50</f>
        <v>#DIV/0!</v>
      </c>
      <c r="WYN50" s="363" t="s">
        <v>153</v>
      </c>
      <c r="WYO50" s="363"/>
      <c r="WYP50" s="363"/>
      <c r="WYQ50" s="364" t="s">
        <v>140</v>
      </c>
      <c r="WYR50" s="365">
        <v>0.5</v>
      </c>
      <c r="WYS50" s="366" t="e">
        <f>10/WYO48</f>
        <v>#DIV/0!</v>
      </c>
      <c r="WYT50" s="367">
        <v>15.38</v>
      </c>
      <c r="WYU50" s="367" t="e">
        <f>WYR50*WYS50*WYT50</f>
        <v>#DIV/0!</v>
      </c>
      <c r="WYV50" s="363" t="s">
        <v>153</v>
      </c>
      <c r="WYW50" s="363"/>
      <c r="WYX50" s="363"/>
      <c r="WYY50" s="364" t="s">
        <v>140</v>
      </c>
      <c r="WYZ50" s="365">
        <v>0.5</v>
      </c>
      <c r="WZA50" s="366" t="e">
        <f>10/WYW48</f>
        <v>#DIV/0!</v>
      </c>
      <c r="WZB50" s="367">
        <v>15.38</v>
      </c>
      <c r="WZC50" s="367" t="e">
        <f>WYZ50*WZA50*WZB50</f>
        <v>#DIV/0!</v>
      </c>
      <c r="WZD50" s="363" t="s">
        <v>153</v>
      </c>
      <c r="WZE50" s="363"/>
      <c r="WZF50" s="363"/>
      <c r="WZG50" s="364" t="s">
        <v>140</v>
      </c>
      <c r="WZH50" s="365">
        <v>0.5</v>
      </c>
      <c r="WZI50" s="366" t="e">
        <f>10/WZE48</f>
        <v>#DIV/0!</v>
      </c>
      <c r="WZJ50" s="367">
        <v>15.38</v>
      </c>
      <c r="WZK50" s="367" t="e">
        <f>WZH50*WZI50*WZJ50</f>
        <v>#DIV/0!</v>
      </c>
      <c r="WZL50" s="363" t="s">
        <v>153</v>
      </c>
      <c r="WZM50" s="363"/>
      <c r="WZN50" s="363"/>
      <c r="WZO50" s="364" t="s">
        <v>140</v>
      </c>
      <c r="WZP50" s="365">
        <v>0.5</v>
      </c>
      <c r="WZQ50" s="366" t="e">
        <f>10/WZM48</f>
        <v>#DIV/0!</v>
      </c>
      <c r="WZR50" s="367">
        <v>15.38</v>
      </c>
      <c r="WZS50" s="367" t="e">
        <f>WZP50*WZQ50*WZR50</f>
        <v>#DIV/0!</v>
      </c>
      <c r="WZT50" s="363" t="s">
        <v>153</v>
      </c>
      <c r="WZU50" s="363"/>
      <c r="WZV50" s="363"/>
      <c r="WZW50" s="364" t="s">
        <v>140</v>
      </c>
      <c r="WZX50" s="365">
        <v>0.5</v>
      </c>
      <c r="WZY50" s="366" t="e">
        <f>10/WZU48</f>
        <v>#DIV/0!</v>
      </c>
      <c r="WZZ50" s="367">
        <v>15.38</v>
      </c>
      <c r="XAA50" s="367" t="e">
        <f>WZX50*WZY50*WZZ50</f>
        <v>#DIV/0!</v>
      </c>
      <c r="XAB50" s="363" t="s">
        <v>153</v>
      </c>
      <c r="XAC50" s="363"/>
      <c r="XAD50" s="363"/>
      <c r="XAE50" s="364" t="s">
        <v>140</v>
      </c>
      <c r="XAF50" s="365">
        <v>0.5</v>
      </c>
      <c r="XAG50" s="366" t="e">
        <f>10/XAC48</f>
        <v>#DIV/0!</v>
      </c>
      <c r="XAH50" s="367">
        <v>15.38</v>
      </c>
      <c r="XAI50" s="367" t="e">
        <f>XAF50*XAG50*XAH50</f>
        <v>#DIV/0!</v>
      </c>
      <c r="XAJ50" s="363" t="s">
        <v>153</v>
      </c>
      <c r="XAK50" s="363"/>
      <c r="XAL50" s="363"/>
      <c r="XAM50" s="364" t="s">
        <v>140</v>
      </c>
      <c r="XAN50" s="365">
        <v>0.5</v>
      </c>
      <c r="XAO50" s="366" t="e">
        <f>10/XAK48</f>
        <v>#DIV/0!</v>
      </c>
      <c r="XAP50" s="367">
        <v>15.38</v>
      </c>
      <c r="XAQ50" s="367" t="e">
        <f>XAN50*XAO50*XAP50</f>
        <v>#DIV/0!</v>
      </c>
      <c r="XAR50" s="363" t="s">
        <v>153</v>
      </c>
      <c r="XAS50" s="363"/>
      <c r="XAT50" s="363"/>
      <c r="XAU50" s="364" t="s">
        <v>140</v>
      </c>
      <c r="XAV50" s="365">
        <v>0.5</v>
      </c>
      <c r="XAW50" s="366" t="e">
        <f>10/XAS48</f>
        <v>#DIV/0!</v>
      </c>
      <c r="XAX50" s="367">
        <v>15.38</v>
      </c>
      <c r="XAY50" s="367" t="e">
        <f>XAV50*XAW50*XAX50</f>
        <v>#DIV/0!</v>
      </c>
      <c r="XAZ50" s="363" t="s">
        <v>153</v>
      </c>
      <c r="XBA50" s="363"/>
      <c r="XBB50" s="363"/>
      <c r="XBC50" s="364" t="s">
        <v>140</v>
      </c>
      <c r="XBD50" s="365">
        <v>0.5</v>
      </c>
      <c r="XBE50" s="366" t="e">
        <f>10/XBA48</f>
        <v>#DIV/0!</v>
      </c>
      <c r="XBF50" s="367">
        <v>15.38</v>
      </c>
      <c r="XBG50" s="367" t="e">
        <f>XBD50*XBE50*XBF50</f>
        <v>#DIV/0!</v>
      </c>
      <c r="XBH50" s="363" t="s">
        <v>153</v>
      </c>
      <c r="XBI50" s="363"/>
      <c r="XBJ50" s="363"/>
      <c r="XBK50" s="364" t="s">
        <v>140</v>
      </c>
      <c r="XBL50" s="365">
        <v>0.5</v>
      </c>
      <c r="XBM50" s="366" t="e">
        <f>10/XBI48</f>
        <v>#DIV/0!</v>
      </c>
      <c r="XBN50" s="367">
        <v>15.38</v>
      </c>
      <c r="XBO50" s="367" t="e">
        <f>XBL50*XBM50*XBN50</f>
        <v>#DIV/0!</v>
      </c>
      <c r="XBP50" s="363" t="s">
        <v>153</v>
      </c>
      <c r="XBQ50" s="363"/>
      <c r="XBR50" s="363"/>
      <c r="XBS50" s="364" t="s">
        <v>140</v>
      </c>
      <c r="XBT50" s="365">
        <v>0.5</v>
      </c>
      <c r="XBU50" s="366" t="e">
        <f>10/XBQ48</f>
        <v>#DIV/0!</v>
      </c>
      <c r="XBV50" s="367">
        <v>15.38</v>
      </c>
      <c r="XBW50" s="367" t="e">
        <f>XBT50*XBU50*XBV50</f>
        <v>#DIV/0!</v>
      </c>
    </row>
    <row r="51" spans="1:16299" x14ac:dyDescent="0.25">
      <c r="A51" s="363" t="s">
        <v>163</v>
      </c>
      <c r="D51" s="364" t="s">
        <v>140</v>
      </c>
      <c r="E51" s="365">
        <v>1</v>
      </c>
      <c r="F51" s="366">
        <f>10/B48</f>
        <v>1.25</v>
      </c>
      <c r="G51" s="316">
        <v>13.94</v>
      </c>
      <c r="H51" s="367">
        <f>E51*F51*G51</f>
        <v>17.425000000000001</v>
      </c>
    </row>
    <row r="52" spans="1:16299" x14ac:dyDescent="0.25">
      <c r="A52" s="363" t="s">
        <v>141</v>
      </c>
      <c r="D52" s="364" t="s">
        <v>140</v>
      </c>
      <c r="E52" s="365">
        <v>2</v>
      </c>
      <c r="F52" s="366">
        <f>10/B48</f>
        <v>1.25</v>
      </c>
      <c r="G52" s="316">
        <v>13</v>
      </c>
      <c r="H52" s="367">
        <f>E52*F52*G52</f>
        <v>32.5</v>
      </c>
    </row>
    <row r="53" spans="1:16299" ht="15" customHeight="1" x14ac:dyDescent="0.25">
      <c r="A53" s="295"/>
      <c r="B53" s="295"/>
      <c r="C53" s="295"/>
      <c r="D53" s="296"/>
      <c r="E53" s="326"/>
      <c r="F53" s="327"/>
      <c r="G53" s="297" t="s">
        <v>142</v>
      </c>
      <c r="H53" s="297">
        <f>SUM(H50:H52)</f>
        <v>59.537500000000001</v>
      </c>
    </row>
    <row r="55" spans="1:16299" x14ac:dyDescent="0.25">
      <c r="A55" s="363" t="s">
        <v>155</v>
      </c>
      <c r="D55" s="370" t="s">
        <v>144</v>
      </c>
      <c r="F55" s="366">
        <f>10/B48</f>
        <v>1.25</v>
      </c>
      <c r="G55" s="367">
        <v>30</v>
      </c>
      <c r="H55" s="367">
        <f>F55*G55</f>
        <v>37.5</v>
      </c>
    </row>
    <row r="56" spans="1:16299" x14ac:dyDescent="0.25">
      <c r="A56" s="363" t="s">
        <v>164</v>
      </c>
      <c r="D56" s="364" t="s">
        <v>144</v>
      </c>
      <c r="F56" s="366">
        <f>10/B48</f>
        <v>1.25</v>
      </c>
      <c r="G56" s="367">
        <v>1.2</v>
      </c>
      <c r="H56" s="367">
        <f>F56*G56</f>
        <v>1.5</v>
      </c>
    </row>
    <row r="57" spans="1:16299" x14ac:dyDescent="0.25">
      <c r="A57" s="363" t="s">
        <v>156</v>
      </c>
      <c r="D57" s="364" t="s">
        <v>157</v>
      </c>
      <c r="F57" s="366">
        <v>3</v>
      </c>
      <c r="G57" s="367">
        <f>H53</f>
        <v>59.537500000000001</v>
      </c>
      <c r="H57" s="367">
        <f>G57*F57/100</f>
        <v>1.7861250000000002</v>
      </c>
    </row>
    <row r="58" spans="1:16299" ht="15" customHeight="1" x14ac:dyDescent="0.25">
      <c r="A58" s="295"/>
      <c r="B58" s="295"/>
      <c r="C58" s="295"/>
      <c r="D58" s="296"/>
      <c r="E58" s="326"/>
      <c r="F58" s="327"/>
      <c r="G58" s="297" t="s">
        <v>145</v>
      </c>
      <c r="H58" s="297">
        <f>SUM(H55:H57)</f>
        <v>40.786124999999998</v>
      </c>
    </row>
    <row r="61" spans="1:16299" ht="15" customHeight="1" x14ac:dyDescent="0.3">
      <c r="A61" s="291" t="s">
        <v>165</v>
      </c>
      <c r="B61" s="291"/>
      <c r="C61" s="291"/>
      <c r="D61" s="291"/>
      <c r="E61" s="291"/>
      <c r="F61" s="291"/>
      <c r="G61" s="291"/>
      <c r="H61" s="291"/>
    </row>
    <row r="62" spans="1:16299" ht="15" customHeight="1" x14ac:dyDescent="0.25">
      <c r="A62" s="281" t="s">
        <v>151</v>
      </c>
      <c r="B62" s="371">
        <v>2</v>
      </c>
      <c r="C62" s="281" t="s">
        <v>152</v>
      </c>
      <c r="D62" s="292"/>
      <c r="E62" s="323" t="s">
        <v>149</v>
      </c>
      <c r="F62" s="324"/>
      <c r="G62" s="293" t="s">
        <v>133</v>
      </c>
      <c r="H62" s="293">
        <f>H68+H71+H77</f>
        <v>343.63550000000004</v>
      </c>
    </row>
    <row r="63" spans="1:16299" ht="15" customHeight="1" x14ac:dyDescent="0.25">
      <c r="A63" s="292" t="s">
        <v>134</v>
      </c>
      <c r="B63" s="292"/>
      <c r="C63" s="292"/>
      <c r="D63" s="292" t="s">
        <v>135</v>
      </c>
      <c r="E63" s="325" t="s">
        <v>136</v>
      </c>
      <c r="F63" s="325" t="s">
        <v>24</v>
      </c>
      <c r="G63" s="294" t="s">
        <v>137</v>
      </c>
      <c r="H63" s="294" t="s">
        <v>138</v>
      </c>
    </row>
    <row r="64" spans="1:16299" ht="15" customHeight="1" x14ac:dyDescent="0.25">
      <c r="A64" s="363" t="s">
        <v>153</v>
      </c>
      <c r="D64" s="364" t="s">
        <v>140</v>
      </c>
      <c r="E64" s="365">
        <v>0.5</v>
      </c>
      <c r="F64" s="366">
        <f>10/B62</f>
        <v>5</v>
      </c>
      <c r="G64" s="367">
        <v>15.38</v>
      </c>
      <c r="H64" s="367">
        <f>E64*F64*G64</f>
        <v>38.450000000000003</v>
      </c>
      <c r="I64" s="363"/>
      <c r="J64" s="367"/>
      <c r="K64" s="367"/>
      <c r="L64" s="363"/>
      <c r="M64" s="363"/>
      <c r="N64" s="363"/>
      <c r="O64" s="364"/>
      <c r="P64" s="365"/>
      <c r="Q64" s="366"/>
      <c r="R64" s="367"/>
      <c r="S64" s="367"/>
      <c r="T64" s="363"/>
      <c r="U64" s="363"/>
      <c r="V64" s="363"/>
      <c r="W64" s="364"/>
      <c r="X64" s="365"/>
      <c r="Y64" s="366"/>
      <c r="Z64" s="367"/>
      <c r="AA64" s="367">
        <f>X64*Y64*Z64</f>
        <v>0</v>
      </c>
      <c r="AB64" s="363" t="s">
        <v>153</v>
      </c>
      <c r="AC64" s="363"/>
      <c r="AD64" s="363"/>
      <c r="AE64" s="364" t="s">
        <v>140</v>
      </c>
      <c r="AF64" s="365">
        <v>0.5</v>
      </c>
      <c r="AG64" s="366" t="e">
        <f>10/AC62</f>
        <v>#DIV/0!</v>
      </c>
      <c r="AH64" s="367">
        <v>15.38</v>
      </c>
      <c r="AI64" s="367" t="e">
        <f>AF64*AG64*AH64</f>
        <v>#DIV/0!</v>
      </c>
      <c r="AJ64" s="363" t="s">
        <v>153</v>
      </c>
      <c r="AK64" s="363"/>
      <c r="AL64" s="363"/>
      <c r="AM64" s="364" t="s">
        <v>140</v>
      </c>
      <c r="AN64" s="365">
        <v>0.5</v>
      </c>
      <c r="AO64" s="366" t="e">
        <f>10/AK62</f>
        <v>#DIV/0!</v>
      </c>
      <c r="AP64" s="367">
        <v>15.38</v>
      </c>
      <c r="AQ64" s="367" t="e">
        <f>AN64*AO64*AP64</f>
        <v>#DIV/0!</v>
      </c>
      <c r="AR64" s="363" t="s">
        <v>153</v>
      </c>
      <c r="AS64" s="363"/>
      <c r="AT64" s="363"/>
      <c r="AU64" s="364" t="s">
        <v>140</v>
      </c>
      <c r="AV64" s="365">
        <v>0.5</v>
      </c>
      <c r="AW64" s="366" t="e">
        <f>10/AS62</f>
        <v>#DIV/0!</v>
      </c>
      <c r="AX64" s="367">
        <v>15.38</v>
      </c>
      <c r="AY64" s="367" t="e">
        <f>AV64*AW64*AX64</f>
        <v>#DIV/0!</v>
      </c>
      <c r="AZ64" s="363" t="s">
        <v>153</v>
      </c>
      <c r="BA64" s="363"/>
      <c r="BB64" s="363"/>
      <c r="BC64" s="364" t="s">
        <v>140</v>
      </c>
      <c r="BD64" s="365">
        <v>0.5</v>
      </c>
      <c r="BE64" s="366" t="e">
        <f>10/BA62</f>
        <v>#DIV/0!</v>
      </c>
      <c r="BF64" s="367">
        <v>15.38</v>
      </c>
      <c r="BG64" s="367" t="e">
        <f>BD64*BE64*BF64</f>
        <v>#DIV/0!</v>
      </c>
      <c r="BH64" s="363" t="s">
        <v>153</v>
      </c>
      <c r="BI64" s="363"/>
      <c r="BJ64" s="363"/>
      <c r="BK64" s="364" t="s">
        <v>140</v>
      </c>
      <c r="BL64" s="365">
        <v>0.5</v>
      </c>
      <c r="BM64" s="366" t="e">
        <f>10/BI62</f>
        <v>#DIV/0!</v>
      </c>
      <c r="BN64" s="367">
        <v>15.38</v>
      </c>
      <c r="BO64" s="367" t="e">
        <f>BL64*BM64*BN64</f>
        <v>#DIV/0!</v>
      </c>
      <c r="BP64" s="363" t="s">
        <v>153</v>
      </c>
      <c r="BQ64" s="363"/>
      <c r="BR64" s="363"/>
      <c r="BS64" s="364" t="s">
        <v>140</v>
      </c>
      <c r="BT64" s="365">
        <v>0.5</v>
      </c>
      <c r="BU64" s="366" t="e">
        <f>10/BQ62</f>
        <v>#DIV/0!</v>
      </c>
      <c r="BV64" s="367">
        <v>15.38</v>
      </c>
      <c r="BW64" s="367" t="e">
        <f>BT64*BU64*BV64</f>
        <v>#DIV/0!</v>
      </c>
      <c r="BX64" s="363" t="s">
        <v>153</v>
      </c>
      <c r="BY64" s="363"/>
      <c r="BZ64" s="363"/>
      <c r="CA64" s="364" t="s">
        <v>140</v>
      </c>
      <c r="CB64" s="365">
        <v>0.5</v>
      </c>
      <c r="CC64" s="366" t="e">
        <f>10/BY62</f>
        <v>#DIV/0!</v>
      </c>
      <c r="CD64" s="367">
        <v>15.38</v>
      </c>
      <c r="CE64" s="367" t="e">
        <f>CB64*CC64*CD64</f>
        <v>#DIV/0!</v>
      </c>
      <c r="CF64" s="363" t="s">
        <v>153</v>
      </c>
      <c r="CG64" s="363"/>
      <c r="CH64" s="363"/>
      <c r="CI64" s="364" t="s">
        <v>140</v>
      </c>
      <c r="CJ64" s="365">
        <v>0.5</v>
      </c>
      <c r="CK64" s="366" t="e">
        <f>10/CG62</f>
        <v>#DIV/0!</v>
      </c>
      <c r="CL64" s="367">
        <v>15.38</v>
      </c>
      <c r="CM64" s="367" t="e">
        <f>CJ64*CK64*CL64</f>
        <v>#DIV/0!</v>
      </c>
      <c r="CN64" s="363" t="s">
        <v>153</v>
      </c>
      <c r="CO64" s="363"/>
      <c r="CP64" s="363"/>
      <c r="CQ64" s="364" t="s">
        <v>140</v>
      </c>
      <c r="CR64" s="365">
        <v>0.5</v>
      </c>
      <c r="CS64" s="366" t="e">
        <f>10/CO62</f>
        <v>#DIV/0!</v>
      </c>
      <c r="CT64" s="367">
        <v>15.38</v>
      </c>
      <c r="CU64" s="367" t="e">
        <f>CR64*CS64*CT64</f>
        <v>#DIV/0!</v>
      </c>
      <c r="CV64" s="363" t="s">
        <v>153</v>
      </c>
      <c r="CW64" s="363"/>
      <c r="CX64" s="363"/>
      <c r="CY64" s="364" t="s">
        <v>140</v>
      </c>
      <c r="CZ64" s="365">
        <v>0.5</v>
      </c>
      <c r="DA64" s="366" t="e">
        <f>10/CW62</f>
        <v>#DIV/0!</v>
      </c>
      <c r="DB64" s="367">
        <v>15.38</v>
      </c>
      <c r="DC64" s="367" t="e">
        <f>CZ64*DA64*DB64</f>
        <v>#DIV/0!</v>
      </c>
      <c r="DD64" s="363" t="s">
        <v>153</v>
      </c>
      <c r="DE64" s="363"/>
      <c r="DF64" s="363"/>
      <c r="DG64" s="364" t="s">
        <v>140</v>
      </c>
      <c r="DH64" s="365">
        <v>0.5</v>
      </c>
      <c r="DI64" s="366" t="e">
        <f>10/DE62</f>
        <v>#DIV/0!</v>
      </c>
      <c r="DJ64" s="367">
        <v>15.38</v>
      </c>
      <c r="DK64" s="367" t="e">
        <f>DH64*DI64*DJ64</f>
        <v>#DIV/0!</v>
      </c>
      <c r="DL64" s="363" t="s">
        <v>153</v>
      </c>
      <c r="DM64" s="363"/>
      <c r="DN64" s="363"/>
      <c r="DO64" s="364" t="s">
        <v>140</v>
      </c>
      <c r="DP64" s="365">
        <v>0.5</v>
      </c>
      <c r="DQ64" s="366" t="e">
        <f>10/DM62</f>
        <v>#DIV/0!</v>
      </c>
      <c r="DR64" s="367">
        <v>15.38</v>
      </c>
      <c r="DS64" s="367" t="e">
        <f>DP64*DQ64*DR64</f>
        <v>#DIV/0!</v>
      </c>
      <c r="DT64" s="363" t="s">
        <v>153</v>
      </c>
      <c r="DU64" s="363"/>
      <c r="DV64" s="363"/>
      <c r="DW64" s="364" t="s">
        <v>140</v>
      </c>
      <c r="DX64" s="365">
        <v>0.5</v>
      </c>
      <c r="DY64" s="366" t="e">
        <f>10/DU62</f>
        <v>#DIV/0!</v>
      </c>
      <c r="DZ64" s="367">
        <v>15.38</v>
      </c>
      <c r="EA64" s="367" t="e">
        <f>DX64*DY64*DZ64</f>
        <v>#DIV/0!</v>
      </c>
      <c r="EB64" s="363" t="s">
        <v>153</v>
      </c>
      <c r="EC64" s="363"/>
      <c r="ED64" s="363"/>
      <c r="EE64" s="364" t="s">
        <v>140</v>
      </c>
      <c r="EF64" s="365">
        <v>0.5</v>
      </c>
      <c r="EG64" s="366" t="e">
        <f>10/EC62</f>
        <v>#DIV/0!</v>
      </c>
      <c r="EH64" s="367">
        <v>15.38</v>
      </c>
      <c r="EI64" s="367" t="e">
        <f>EF64*EG64*EH64</f>
        <v>#DIV/0!</v>
      </c>
      <c r="EJ64" s="363" t="s">
        <v>153</v>
      </c>
      <c r="EK64" s="363"/>
      <c r="EL64" s="363"/>
      <c r="EM64" s="364" t="s">
        <v>140</v>
      </c>
      <c r="EN64" s="365">
        <v>0.5</v>
      </c>
      <c r="EO64" s="366" t="e">
        <f>10/EK62</f>
        <v>#DIV/0!</v>
      </c>
      <c r="EP64" s="367">
        <v>15.38</v>
      </c>
      <c r="EQ64" s="367" t="e">
        <f>EN64*EO64*EP64</f>
        <v>#DIV/0!</v>
      </c>
      <c r="ER64" s="363" t="s">
        <v>153</v>
      </c>
      <c r="ES64" s="363"/>
      <c r="ET64" s="363"/>
      <c r="EU64" s="364" t="s">
        <v>140</v>
      </c>
      <c r="EV64" s="365">
        <v>0.5</v>
      </c>
      <c r="EW64" s="366" t="e">
        <f>10/ES62</f>
        <v>#DIV/0!</v>
      </c>
      <c r="EX64" s="367">
        <v>15.38</v>
      </c>
      <c r="EY64" s="367" t="e">
        <f>EV64*EW64*EX64</f>
        <v>#DIV/0!</v>
      </c>
      <c r="EZ64" s="363" t="s">
        <v>153</v>
      </c>
      <c r="FA64" s="363"/>
      <c r="FB64" s="363"/>
      <c r="FC64" s="364" t="s">
        <v>140</v>
      </c>
      <c r="FD64" s="365">
        <v>0.5</v>
      </c>
      <c r="FE64" s="366" t="e">
        <f>10/FA62</f>
        <v>#DIV/0!</v>
      </c>
      <c r="FF64" s="367">
        <v>15.38</v>
      </c>
      <c r="FG64" s="367" t="e">
        <f>FD64*FE64*FF64</f>
        <v>#DIV/0!</v>
      </c>
      <c r="FH64" s="363" t="s">
        <v>153</v>
      </c>
      <c r="FI64" s="363"/>
      <c r="FJ64" s="363"/>
      <c r="FK64" s="364" t="s">
        <v>140</v>
      </c>
      <c r="FL64" s="365">
        <v>0.5</v>
      </c>
      <c r="FM64" s="366" t="e">
        <f>10/FI62</f>
        <v>#DIV/0!</v>
      </c>
      <c r="FN64" s="367">
        <v>15.38</v>
      </c>
      <c r="FO64" s="367" t="e">
        <f>FL64*FM64*FN64</f>
        <v>#DIV/0!</v>
      </c>
      <c r="FP64" s="363" t="s">
        <v>153</v>
      </c>
      <c r="FQ64" s="363"/>
      <c r="FR64" s="363"/>
      <c r="FS64" s="364" t="s">
        <v>140</v>
      </c>
      <c r="FT64" s="365">
        <v>0.5</v>
      </c>
      <c r="FU64" s="366" t="e">
        <f>10/FQ62</f>
        <v>#DIV/0!</v>
      </c>
      <c r="FV64" s="367">
        <v>15.38</v>
      </c>
      <c r="FW64" s="367" t="e">
        <f>FT64*FU64*FV64</f>
        <v>#DIV/0!</v>
      </c>
      <c r="FX64" s="363" t="s">
        <v>153</v>
      </c>
      <c r="FY64" s="363"/>
      <c r="FZ64" s="363"/>
      <c r="GA64" s="364" t="s">
        <v>140</v>
      </c>
      <c r="GB64" s="365">
        <v>0.5</v>
      </c>
      <c r="GC64" s="366" t="e">
        <f>10/FY62</f>
        <v>#DIV/0!</v>
      </c>
      <c r="GD64" s="367">
        <v>15.38</v>
      </c>
      <c r="GE64" s="367" t="e">
        <f>GB64*GC64*GD64</f>
        <v>#DIV/0!</v>
      </c>
      <c r="GF64" s="363" t="s">
        <v>153</v>
      </c>
      <c r="GG64" s="363"/>
      <c r="GH64" s="363"/>
      <c r="GI64" s="364" t="s">
        <v>140</v>
      </c>
      <c r="GJ64" s="365">
        <v>0.5</v>
      </c>
      <c r="GK64" s="366" t="e">
        <f>10/GG62</f>
        <v>#DIV/0!</v>
      </c>
      <c r="GL64" s="367">
        <v>15.38</v>
      </c>
      <c r="GM64" s="367" t="e">
        <f>GJ64*GK64*GL64</f>
        <v>#DIV/0!</v>
      </c>
      <c r="GN64" s="363" t="s">
        <v>153</v>
      </c>
      <c r="GO64" s="363"/>
      <c r="GP64" s="363"/>
      <c r="GQ64" s="364" t="s">
        <v>140</v>
      </c>
      <c r="GR64" s="365">
        <v>0.5</v>
      </c>
      <c r="GS64" s="366" t="e">
        <f>10/GO62</f>
        <v>#DIV/0!</v>
      </c>
      <c r="GT64" s="367">
        <v>15.38</v>
      </c>
      <c r="GU64" s="367" t="e">
        <f>GR64*GS64*GT64</f>
        <v>#DIV/0!</v>
      </c>
      <c r="GV64" s="363" t="s">
        <v>153</v>
      </c>
      <c r="GW64" s="363"/>
      <c r="GX64" s="363"/>
      <c r="GY64" s="364" t="s">
        <v>140</v>
      </c>
      <c r="GZ64" s="365">
        <v>0.5</v>
      </c>
      <c r="HA64" s="366" t="e">
        <f>10/GW62</f>
        <v>#DIV/0!</v>
      </c>
      <c r="HB64" s="367">
        <v>15.38</v>
      </c>
      <c r="HC64" s="367" t="e">
        <f>GZ64*HA64*HB64</f>
        <v>#DIV/0!</v>
      </c>
      <c r="HD64" s="363" t="s">
        <v>153</v>
      </c>
      <c r="HE64" s="363"/>
      <c r="HF64" s="363"/>
      <c r="HG64" s="364" t="s">
        <v>140</v>
      </c>
      <c r="HH64" s="365">
        <v>0.5</v>
      </c>
      <c r="HI64" s="366" t="e">
        <f>10/HE62</f>
        <v>#DIV/0!</v>
      </c>
      <c r="HJ64" s="367">
        <v>15.38</v>
      </c>
      <c r="HK64" s="367" t="e">
        <f>HH64*HI64*HJ64</f>
        <v>#DIV/0!</v>
      </c>
      <c r="HL64" s="363" t="s">
        <v>153</v>
      </c>
      <c r="HM64" s="363"/>
      <c r="HN64" s="363"/>
      <c r="HO64" s="364" t="s">
        <v>140</v>
      </c>
      <c r="HP64" s="365">
        <v>0.5</v>
      </c>
      <c r="HQ64" s="366" t="e">
        <f>10/HM62</f>
        <v>#DIV/0!</v>
      </c>
      <c r="HR64" s="367">
        <v>15.38</v>
      </c>
      <c r="HS64" s="367" t="e">
        <f>HP64*HQ64*HR64</f>
        <v>#DIV/0!</v>
      </c>
      <c r="HT64" s="363" t="s">
        <v>153</v>
      </c>
      <c r="HU64" s="363"/>
      <c r="HV64" s="363"/>
      <c r="HW64" s="364" t="s">
        <v>140</v>
      </c>
      <c r="HX64" s="365">
        <v>0.5</v>
      </c>
      <c r="HY64" s="366" t="e">
        <f>10/HU62</f>
        <v>#DIV/0!</v>
      </c>
      <c r="HZ64" s="367">
        <v>15.38</v>
      </c>
      <c r="IA64" s="367" t="e">
        <f>HX64*HY64*HZ64</f>
        <v>#DIV/0!</v>
      </c>
      <c r="IB64" s="363" t="s">
        <v>153</v>
      </c>
      <c r="IC64" s="363"/>
      <c r="ID64" s="363"/>
      <c r="IE64" s="364" t="s">
        <v>140</v>
      </c>
      <c r="IF64" s="365">
        <v>0.5</v>
      </c>
      <c r="IG64" s="366" t="e">
        <f>10/IC62</f>
        <v>#DIV/0!</v>
      </c>
      <c r="IH64" s="367">
        <v>15.38</v>
      </c>
      <c r="II64" s="367" t="e">
        <f>IF64*IG64*IH64</f>
        <v>#DIV/0!</v>
      </c>
      <c r="IJ64" s="363" t="s">
        <v>153</v>
      </c>
      <c r="IK64" s="363"/>
      <c r="IL64" s="363"/>
      <c r="IM64" s="364" t="s">
        <v>140</v>
      </c>
      <c r="IN64" s="365">
        <v>0.5</v>
      </c>
      <c r="IO64" s="366" t="e">
        <f>10/IK62</f>
        <v>#DIV/0!</v>
      </c>
      <c r="IP64" s="367">
        <v>15.38</v>
      </c>
      <c r="IQ64" s="367" t="e">
        <f>IN64*IO64*IP64</f>
        <v>#DIV/0!</v>
      </c>
      <c r="IR64" s="363" t="s">
        <v>153</v>
      </c>
      <c r="IS64" s="363"/>
      <c r="IT64" s="363"/>
      <c r="IU64" s="364" t="s">
        <v>140</v>
      </c>
      <c r="IV64" s="365">
        <v>0.5</v>
      </c>
      <c r="IW64" s="366" t="e">
        <f>10/IS62</f>
        <v>#DIV/0!</v>
      </c>
      <c r="IX64" s="367">
        <v>15.38</v>
      </c>
      <c r="IY64" s="367" t="e">
        <f>IV64*IW64*IX64</f>
        <v>#DIV/0!</v>
      </c>
      <c r="IZ64" s="363" t="s">
        <v>153</v>
      </c>
      <c r="JA64" s="363"/>
      <c r="JB64" s="363"/>
      <c r="JC64" s="364" t="s">
        <v>140</v>
      </c>
      <c r="JD64" s="365">
        <v>0.5</v>
      </c>
      <c r="JE64" s="366" t="e">
        <f>10/JA62</f>
        <v>#DIV/0!</v>
      </c>
      <c r="JF64" s="367">
        <v>15.38</v>
      </c>
      <c r="JG64" s="367" t="e">
        <f>JD64*JE64*JF64</f>
        <v>#DIV/0!</v>
      </c>
      <c r="JH64" s="363" t="s">
        <v>153</v>
      </c>
      <c r="JI64" s="363"/>
      <c r="JJ64" s="363"/>
      <c r="JK64" s="364" t="s">
        <v>140</v>
      </c>
      <c r="JL64" s="365">
        <v>0.5</v>
      </c>
      <c r="JM64" s="366" t="e">
        <f>10/JI62</f>
        <v>#DIV/0!</v>
      </c>
      <c r="JN64" s="367">
        <v>15.38</v>
      </c>
      <c r="JO64" s="367" t="e">
        <f>JL64*JM64*JN64</f>
        <v>#DIV/0!</v>
      </c>
      <c r="JP64" s="363" t="s">
        <v>153</v>
      </c>
      <c r="JQ64" s="363"/>
      <c r="JR64" s="363"/>
      <c r="JS64" s="364" t="s">
        <v>140</v>
      </c>
      <c r="JT64" s="365">
        <v>0.5</v>
      </c>
      <c r="JU64" s="366" t="e">
        <f>10/JQ62</f>
        <v>#DIV/0!</v>
      </c>
      <c r="JV64" s="367">
        <v>15.38</v>
      </c>
      <c r="JW64" s="367" t="e">
        <f>JT64*JU64*JV64</f>
        <v>#DIV/0!</v>
      </c>
      <c r="JX64" s="363" t="s">
        <v>153</v>
      </c>
      <c r="JY64" s="363"/>
      <c r="JZ64" s="363"/>
      <c r="KA64" s="364" t="s">
        <v>140</v>
      </c>
      <c r="KB64" s="365">
        <v>0.5</v>
      </c>
      <c r="KC64" s="366" t="e">
        <f>10/JY62</f>
        <v>#DIV/0!</v>
      </c>
      <c r="KD64" s="367">
        <v>15.38</v>
      </c>
      <c r="KE64" s="367" t="e">
        <f>KB64*KC64*KD64</f>
        <v>#DIV/0!</v>
      </c>
      <c r="KF64" s="363" t="s">
        <v>153</v>
      </c>
      <c r="KG64" s="363"/>
      <c r="KH64" s="363"/>
      <c r="KI64" s="364" t="s">
        <v>140</v>
      </c>
      <c r="KJ64" s="365">
        <v>0.5</v>
      </c>
      <c r="KK64" s="366" t="e">
        <f>10/KG62</f>
        <v>#DIV/0!</v>
      </c>
      <c r="KL64" s="367">
        <v>15.38</v>
      </c>
      <c r="KM64" s="367" t="e">
        <f>KJ64*KK64*KL64</f>
        <v>#DIV/0!</v>
      </c>
      <c r="KN64" s="363" t="s">
        <v>153</v>
      </c>
      <c r="KO64" s="363"/>
      <c r="KP64" s="363"/>
      <c r="KQ64" s="364" t="s">
        <v>140</v>
      </c>
      <c r="KR64" s="365">
        <v>0.5</v>
      </c>
      <c r="KS64" s="366" t="e">
        <f>10/KO62</f>
        <v>#DIV/0!</v>
      </c>
      <c r="KT64" s="367">
        <v>15.38</v>
      </c>
      <c r="KU64" s="367" t="e">
        <f>KR64*KS64*KT64</f>
        <v>#DIV/0!</v>
      </c>
      <c r="KV64" s="363" t="s">
        <v>153</v>
      </c>
      <c r="KW64" s="363"/>
      <c r="KX64" s="363"/>
      <c r="KY64" s="364" t="s">
        <v>140</v>
      </c>
      <c r="KZ64" s="365">
        <v>0.5</v>
      </c>
      <c r="LA64" s="366" t="e">
        <f>10/KW62</f>
        <v>#DIV/0!</v>
      </c>
      <c r="LB64" s="367">
        <v>15.38</v>
      </c>
      <c r="LC64" s="367" t="e">
        <f>KZ64*LA64*LB64</f>
        <v>#DIV/0!</v>
      </c>
      <c r="LD64" s="363" t="s">
        <v>153</v>
      </c>
      <c r="LE64" s="363"/>
      <c r="LF64" s="363"/>
      <c r="LG64" s="364" t="s">
        <v>140</v>
      </c>
      <c r="LH64" s="365">
        <v>0.5</v>
      </c>
      <c r="LI64" s="366" t="e">
        <f>10/LE62</f>
        <v>#DIV/0!</v>
      </c>
      <c r="LJ64" s="367">
        <v>15.38</v>
      </c>
      <c r="LK64" s="367" t="e">
        <f>LH64*LI64*LJ64</f>
        <v>#DIV/0!</v>
      </c>
      <c r="LL64" s="363" t="s">
        <v>153</v>
      </c>
      <c r="LM64" s="363"/>
      <c r="LN64" s="363"/>
      <c r="LO64" s="364" t="s">
        <v>140</v>
      </c>
      <c r="LP64" s="365">
        <v>0.5</v>
      </c>
      <c r="LQ64" s="366" t="e">
        <f>10/LM62</f>
        <v>#DIV/0!</v>
      </c>
      <c r="LR64" s="367">
        <v>15.38</v>
      </c>
      <c r="LS64" s="367" t="e">
        <f>LP64*LQ64*LR64</f>
        <v>#DIV/0!</v>
      </c>
      <c r="LT64" s="363" t="s">
        <v>153</v>
      </c>
      <c r="LU64" s="363"/>
      <c r="LV64" s="363"/>
      <c r="LW64" s="364" t="s">
        <v>140</v>
      </c>
      <c r="LX64" s="365">
        <v>0.5</v>
      </c>
      <c r="LY64" s="366" t="e">
        <f>10/LU62</f>
        <v>#DIV/0!</v>
      </c>
      <c r="LZ64" s="367">
        <v>15.38</v>
      </c>
      <c r="MA64" s="367" t="e">
        <f>LX64*LY64*LZ64</f>
        <v>#DIV/0!</v>
      </c>
      <c r="MB64" s="363" t="s">
        <v>153</v>
      </c>
      <c r="MC64" s="363"/>
      <c r="MD64" s="363"/>
      <c r="ME64" s="364" t="s">
        <v>140</v>
      </c>
      <c r="MF64" s="365">
        <v>0.5</v>
      </c>
      <c r="MG64" s="366" t="e">
        <f>10/MC62</f>
        <v>#DIV/0!</v>
      </c>
      <c r="MH64" s="367">
        <v>15.38</v>
      </c>
      <c r="MI64" s="367" t="e">
        <f>MF64*MG64*MH64</f>
        <v>#DIV/0!</v>
      </c>
      <c r="MJ64" s="363" t="s">
        <v>153</v>
      </c>
      <c r="MK64" s="363"/>
      <c r="ML64" s="363"/>
      <c r="MM64" s="364" t="s">
        <v>140</v>
      </c>
      <c r="MN64" s="365">
        <v>0.5</v>
      </c>
      <c r="MO64" s="366" t="e">
        <f>10/MK62</f>
        <v>#DIV/0!</v>
      </c>
      <c r="MP64" s="367">
        <v>15.38</v>
      </c>
      <c r="MQ64" s="367" t="e">
        <f>MN64*MO64*MP64</f>
        <v>#DIV/0!</v>
      </c>
      <c r="MR64" s="363" t="s">
        <v>153</v>
      </c>
      <c r="MS64" s="363"/>
      <c r="MT64" s="363"/>
      <c r="MU64" s="364" t="s">
        <v>140</v>
      </c>
      <c r="MV64" s="365">
        <v>0.5</v>
      </c>
      <c r="MW64" s="366" t="e">
        <f>10/MS62</f>
        <v>#DIV/0!</v>
      </c>
      <c r="MX64" s="367">
        <v>15.38</v>
      </c>
      <c r="MY64" s="367" t="e">
        <f>MV64*MW64*MX64</f>
        <v>#DIV/0!</v>
      </c>
      <c r="MZ64" s="363" t="s">
        <v>153</v>
      </c>
      <c r="NA64" s="363"/>
      <c r="NB64" s="363"/>
      <c r="NC64" s="364" t="s">
        <v>140</v>
      </c>
      <c r="ND64" s="365">
        <v>0.5</v>
      </c>
      <c r="NE64" s="366" t="e">
        <f>10/NA62</f>
        <v>#DIV/0!</v>
      </c>
      <c r="NF64" s="367">
        <v>15.38</v>
      </c>
      <c r="NG64" s="367" t="e">
        <f>ND64*NE64*NF64</f>
        <v>#DIV/0!</v>
      </c>
      <c r="NH64" s="363" t="s">
        <v>153</v>
      </c>
      <c r="NI64" s="363"/>
      <c r="NJ64" s="363"/>
      <c r="NK64" s="364" t="s">
        <v>140</v>
      </c>
      <c r="NL64" s="365">
        <v>0.5</v>
      </c>
      <c r="NM64" s="366" t="e">
        <f>10/NI62</f>
        <v>#DIV/0!</v>
      </c>
      <c r="NN64" s="367">
        <v>15.38</v>
      </c>
      <c r="NO64" s="367" t="e">
        <f>NL64*NM64*NN64</f>
        <v>#DIV/0!</v>
      </c>
      <c r="NP64" s="363" t="s">
        <v>153</v>
      </c>
      <c r="NQ64" s="363"/>
      <c r="NR64" s="363"/>
      <c r="NS64" s="364" t="s">
        <v>140</v>
      </c>
      <c r="NT64" s="365">
        <v>0.5</v>
      </c>
      <c r="NU64" s="366" t="e">
        <f>10/NQ62</f>
        <v>#DIV/0!</v>
      </c>
      <c r="NV64" s="367">
        <v>15.38</v>
      </c>
      <c r="NW64" s="367" t="e">
        <f>NT64*NU64*NV64</f>
        <v>#DIV/0!</v>
      </c>
      <c r="NX64" s="363" t="s">
        <v>153</v>
      </c>
      <c r="NY64" s="363"/>
      <c r="NZ64" s="363"/>
      <c r="OA64" s="364" t="s">
        <v>140</v>
      </c>
      <c r="OB64" s="365">
        <v>0.5</v>
      </c>
      <c r="OC64" s="366" t="e">
        <f>10/NY62</f>
        <v>#DIV/0!</v>
      </c>
      <c r="OD64" s="367">
        <v>15.38</v>
      </c>
      <c r="OE64" s="367" t="e">
        <f>OB64*OC64*OD64</f>
        <v>#DIV/0!</v>
      </c>
      <c r="OF64" s="363" t="s">
        <v>153</v>
      </c>
      <c r="OG64" s="363"/>
      <c r="OH64" s="363"/>
      <c r="OI64" s="364" t="s">
        <v>140</v>
      </c>
      <c r="OJ64" s="365">
        <v>0.5</v>
      </c>
      <c r="OK64" s="366" t="e">
        <f>10/OG62</f>
        <v>#DIV/0!</v>
      </c>
      <c r="OL64" s="367">
        <v>15.38</v>
      </c>
      <c r="OM64" s="367" t="e">
        <f>OJ64*OK64*OL64</f>
        <v>#DIV/0!</v>
      </c>
      <c r="ON64" s="363" t="s">
        <v>153</v>
      </c>
      <c r="OO64" s="363"/>
      <c r="OP64" s="363"/>
      <c r="OQ64" s="364" t="s">
        <v>140</v>
      </c>
      <c r="OR64" s="365">
        <v>0.5</v>
      </c>
      <c r="OS64" s="366" t="e">
        <f>10/OO62</f>
        <v>#DIV/0!</v>
      </c>
      <c r="OT64" s="367">
        <v>15.38</v>
      </c>
      <c r="OU64" s="367" t="e">
        <f>OR64*OS64*OT64</f>
        <v>#DIV/0!</v>
      </c>
      <c r="OV64" s="363" t="s">
        <v>153</v>
      </c>
      <c r="OW64" s="363"/>
      <c r="OX64" s="363"/>
      <c r="OY64" s="364" t="s">
        <v>140</v>
      </c>
      <c r="OZ64" s="365">
        <v>0.5</v>
      </c>
      <c r="PA64" s="366" t="e">
        <f>10/OW62</f>
        <v>#DIV/0!</v>
      </c>
      <c r="PB64" s="367">
        <v>15.38</v>
      </c>
      <c r="PC64" s="367" t="e">
        <f>OZ64*PA64*PB64</f>
        <v>#DIV/0!</v>
      </c>
      <c r="PD64" s="363" t="s">
        <v>153</v>
      </c>
      <c r="PE64" s="363"/>
      <c r="PF64" s="363"/>
      <c r="PG64" s="364" t="s">
        <v>140</v>
      </c>
      <c r="PH64" s="365">
        <v>0.5</v>
      </c>
      <c r="PI64" s="366" t="e">
        <f>10/PE62</f>
        <v>#DIV/0!</v>
      </c>
      <c r="PJ64" s="367">
        <v>15.38</v>
      </c>
      <c r="PK64" s="367" t="e">
        <f>PH64*PI64*PJ64</f>
        <v>#DIV/0!</v>
      </c>
      <c r="PL64" s="363" t="s">
        <v>153</v>
      </c>
      <c r="PM64" s="363"/>
      <c r="PN64" s="363"/>
      <c r="PO64" s="364" t="s">
        <v>140</v>
      </c>
      <c r="PP64" s="365">
        <v>0.5</v>
      </c>
      <c r="PQ64" s="366" t="e">
        <f>10/PM62</f>
        <v>#DIV/0!</v>
      </c>
      <c r="PR64" s="367">
        <v>15.38</v>
      </c>
      <c r="PS64" s="367" t="e">
        <f>PP64*PQ64*PR64</f>
        <v>#DIV/0!</v>
      </c>
      <c r="PT64" s="363" t="s">
        <v>153</v>
      </c>
      <c r="PU64" s="363"/>
      <c r="PV64" s="363"/>
      <c r="PW64" s="364" t="s">
        <v>140</v>
      </c>
      <c r="PX64" s="365">
        <v>0.5</v>
      </c>
      <c r="PY64" s="366" t="e">
        <f>10/PU62</f>
        <v>#DIV/0!</v>
      </c>
      <c r="PZ64" s="367">
        <v>15.38</v>
      </c>
      <c r="QA64" s="367" t="e">
        <f>PX64*PY64*PZ64</f>
        <v>#DIV/0!</v>
      </c>
      <c r="QB64" s="363" t="s">
        <v>153</v>
      </c>
      <c r="QC64" s="363"/>
      <c r="QD64" s="363"/>
      <c r="QE64" s="364" t="s">
        <v>140</v>
      </c>
      <c r="QF64" s="365">
        <v>0.5</v>
      </c>
      <c r="QG64" s="366" t="e">
        <f>10/QC62</f>
        <v>#DIV/0!</v>
      </c>
      <c r="QH64" s="367">
        <v>15.38</v>
      </c>
      <c r="QI64" s="367" t="e">
        <f>QF64*QG64*QH64</f>
        <v>#DIV/0!</v>
      </c>
      <c r="QJ64" s="363" t="s">
        <v>153</v>
      </c>
      <c r="QK64" s="363"/>
      <c r="QL64" s="363"/>
      <c r="QM64" s="364" t="s">
        <v>140</v>
      </c>
      <c r="QN64" s="365">
        <v>0.5</v>
      </c>
      <c r="QO64" s="366" t="e">
        <f>10/QK62</f>
        <v>#DIV/0!</v>
      </c>
      <c r="QP64" s="367">
        <v>15.38</v>
      </c>
      <c r="QQ64" s="367" t="e">
        <f>QN64*QO64*QP64</f>
        <v>#DIV/0!</v>
      </c>
      <c r="QR64" s="363" t="s">
        <v>153</v>
      </c>
      <c r="QS64" s="363"/>
      <c r="QT64" s="363"/>
      <c r="QU64" s="364" t="s">
        <v>140</v>
      </c>
      <c r="QV64" s="365">
        <v>0.5</v>
      </c>
      <c r="QW64" s="366" t="e">
        <f>10/QS62</f>
        <v>#DIV/0!</v>
      </c>
      <c r="QX64" s="367">
        <v>15.38</v>
      </c>
      <c r="QY64" s="367" t="e">
        <f>QV64*QW64*QX64</f>
        <v>#DIV/0!</v>
      </c>
      <c r="QZ64" s="363" t="s">
        <v>153</v>
      </c>
      <c r="RA64" s="363"/>
      <c r="RB64" s="363"/>
      <c r="RC64" s="364" t="s">
        <v>140</v>
      </c>
      <c r="RD64" s="365">
        <v>0.5</v>
      </c>
      <c r="RE64" s="366" t="e">
        <f>10/RA62</f>
        <v>#DIV/0!</v>
      </c>
      <c r="RF64" s="367">
        <v>15.38</v>
      </c>
      <c r="RG64" s="367" t="e">
        <f>RD64*RE64*RF64</f>
        <v>#DIV/0!</v>
      </c>
      <c r="RH64" s="363" t="s">
        <v>153</v>
      </c>
      <c r="RI64" s="363"/>
      <c r="RJ64" s="363"/>
      <c r="RK64" s="364" t="s">
        <v>140</v>
      </c>
      <c r="RL64" s="365">
        <v>0.5</v>
      </c>
      <c r="RM64" s="366" t="e">
        <f>10/RI62</f>
        <v>#DIV/0!</v>
      </c>
      <c r="RN64" s="367">
        <v>15.38</v>
      </c>
      <c r="RO64" s="367" t="e">
        <f>RL64*RM64*RN64</f>
        <v>#DIV/0!</v>
      </c>
      <c r="RP64" s="363" t="s">
        <v>153</v>
      </c>
      <c r="RQ64" s="363"/>
      <c r="RR64" s="363"/>
      <c r="RS64" s="364" t="s">
        <v>140</v>
      </c>
      <c r="RT64" s="365">
        <v>0.5</v>
      </c>
      <c r="RU64" s="366" t="e">
        <f>10/RQ62</f>
        <v>#DIV/0!</v>
      </c>
      <c r="RV64" s="367">
        <v>15.38</v>
      </c>
      <c r="RW64" s="367" t="e">
        <f>RT64*RU64*RV64</f>
        <v>#DIV/0!</v>
      </c>
      <c r="RX64" s="363" t="s">
        <v>153</v>
      </c>
      <c r="RY64" s="363"/>
      <c r="RZ64" s="363"/>
      <c r="SA64" s="364" t="s">
        <v>140</v>
      </c>
      <c r="SB64" s="365">
        <v>0.5</v>
      </c>
      <c r="SC64" s="366" t="e">
        <f>10/RY62</f>
        <v>#DIV/0!</v>
      </c>
      <c r="SD64" s="367">
        <v>15.38</v>
      </c>
      <c r="SE64" s="367" t="e">
        <f>SB64*SC64*SD64</f>
        <v>#DIV/0!</v>
      </c>
      <c r="SF64" s="363" t="s">
        <v>153</v>
      </c>
      <c r="SG64" s="363"/>
      <c r="SH64" s="363"/>
      <c r="SI64" s="364" t="s">
        <v>140</v>
      </c>
      <c r="SJ64" s="365">
        <v>0.5</v>
      </c>
      <c r="SK64" s="366" t="e">
        <f>10/SG62</f>
        <v>#DIV/0!</v>
      </c>
      <c r="SL64" s="367">
        <v>15.38</v>
      </c>
      <c r="SM64" s="367" t="e">
        <f>SJ64*SK64*SL64</f>
        <v>#DIV/0!</v>
      </c>
      <c r="SN64" s="363" t="s">
        <v>153</v>
      </c>
      <c r="SO64" s="363"/>
      <c r="SP64" s="363"/>
      <c r="SQ64" s="364" t="s">
        <v>140</v>
      </c>
      <c r="SR64" s="365">
        <v>0.5</v>
      </c>
      <c r="SS64" s="366" t="e">
        <f>10/SO62</f>
        <v>#DIV/0!</v>
      </c>
      <c r="ST64" s="367">
        <v>15.38</v>
      </c>
      <c r="SU64" s="367" t="e">
        <f>SR64*SS64*ST64</f>
        <v>#DIV/0!</v>
      </c>
      <c r="SV64" s="363" t="s">
        <v>153</v>
      </c>
      <c r="SW64" s="363"/>
      <c r="SX64" s="363"/>
      <c r="SY64" s="364" t="s">
        <v>140</v>
      </c>
      <c r="SZ64" s="365">
        <v>0.5</v>
      </c>
      <c r="TA64" s="366" t="e">
        <f>10/SW62</f>
        <v>#DIV/0!</v>
      </c>
      <c r="TB64" s="367">
        <v>15.38</v>
      </c>
      <c r="TC64" s="367" t="e">
        <f>SZ64*TA64*TB64</f>
        <v>#DIV/0!</v>
      </c>
      <c r="TD64" s="363" t="s">
        <v>153</v>
      </c>
      <c r="TE64" s="363"/>
      <c r="TF64" s="363"/>
      <c r="TG64" s="364" t="s">
        <v>140</v>
      </c>
      <c r="TH64" s="365">
        <v>0.5</v>
      </c>
      <c r="TI64" s="366" t="e">
        <f>10/TE62</f>
        <v>#DIV/0!</v>
      </c>
      <c r="TJ64" s="367">
        <v>15.38</v>
      </c>
      <c r="TK64" s="367" t="e">
        <f>TH64*TI64*TJ64</f>
        <v>#DIV/0!</v>
      </c>
      <c r="TL64" s="363" t="s">
        <v>153</v>
      </c>
      <c r="TM64" s="363"/>
      <c r="TN64" s="363"/>
      <c r="TO64" s="364" t="s">
        <v>140</v>
      </c>
      <c r="TP64" s="365">
        <v>0.5</v>
      </c>
      <c r="TQ64" s="366" t="e">
        <f>10/TM62</f>
        <v>#DIV/0!</v>
      </c>
      <c r="TR64" s="367">
        <v>15.38</v>
      </c>
      <c r="TS64" s="367" t="e">
        <f>TP64*TQ64*TR64</f>
        <v>#DIV/0!</v>
      </c>
      <c r="TT64" s="363" t="s">
        <v>153</v>
      </c>
      <c r="TU64" s="363"/>
      <c r="TV64" s="363"/>
      <c r="TW64" s="364" t="s">
        <v>140</v>
      </c>
      <c r="TX64" s="365">
        <v>0.5</v>
      </c>
      <c r="TY64" s="366" t="e">
        <f>10/TU62</f>
        <v>#DIV/0!</v>
      </c>
      <c r="TZ64" s="367">
        <v>15.38</v>
      </c>
      <c r="UA64" s="367" t="e">
        <f>TX64*TY64*TZ64</f>
        <v>#DIV/0!</v>
      </c>
      <c r="UB64" s="363" t="s">
        <v>153</v>
      </c>
      <c r="UC64" s="363"/>
      <c r="UD64" s="363"/>
      <c r="UE64" s="364" t="s">
        <v>140</v>
      </c>
      <c r="UF64" s="365">
        <v>0.5</v>
      </c>
      <c r="UG64" s="366" t="e">
        <f>10/UC62</f>
        <v>#DIV/0!</v>
      </c>
      <c r="UH64" s="367">
        <v>15.38</v>
      </c>
      <c r="UI64" s="367" t="e">
        <f>UF64*UG64*UH64</f>
        <v>#DIV/0!</v>
      </c>
      <c r="UJ64" s="363" t="s">
        <v>153</v>
      </c>
      <c r="UK64" s="363"/>
      <c r="UL64" s="363"/>
      <c r="UM64" s="364" t="s">
        <v>140</v>
      </c>
      <c r="UN64" s="365">
        <v>0.5</v>
      </c>
      <c r="UO64" s="366" t="e">
        <f>10/UK62</f>
        <v>#DIV/0!</v>
      </c>
      <c r="UP64" s="367">
        <v>15.38</v>
      </c>
      <c r="UQ64" s="367" t="e">
        <f>UN64*UO64*UP64</f>
        <v>#DIV/0!</v>
      </c>
      <c r="UR64" s="363" t="s">
        <v>153</v>
      </c>
      <c r="US64" s="363"/>
      <c r="UT64" s="363"/>
      <c r="UU64" s="364" t="s">
        <v>140</v>
      </c>
      <c r="UV64" s="365">
        <v>0.5</v>
      </c>
      <c r="UW64" s="366" t="e">
        <f>10/US62</f>
        <v>#DIV/0!</v>
      </c>
      <c r="UX64" s="367">
        <v>15.38</v>
      </c>
      <c r="UY64" s="367" t="e">
        <f>UV64*UW64*UX64</f>
        <v>#DIV/0!</v>
      </c>
      <c r="UZ64" s="363" t="s">
        <v>153</v>
      </c>
      <c r="VA64" s="363"/>
      <c r="VB64" s="363"/>
      <c r="VC64" s="364" t="s">
        <v>140</v>
      </c>
      <c r="VD64" s="365">
        <v>0.5</v>
      </c>
      <c r="VE64" s="366" t="e">
        <f>10/VA62</f>
        <v>#DIV/0!</v>
      </c>
      <c r="VF64" s="367">
        <v>15.38</v>
      </c>
      <c r="VG64" s="367" t="e">
        <f>VD64*VE64*VF64</f>
        <v>#DIV/0!</v>
      </c>
      <c r="VH64" s="363" t="s">
        <v>153</v>
      </c>
      <c r="VI64" s="363"/>
      <c r="VJ64" s="363"/>
      <c r="VK64" s="364" t="s">
        <v>140</v>
      </c>
      <c r="VL64" s="365">
        <v>0.5</v>
      </c>
      <c r="VM64" s="366" t="e">
        <f>10/VI62</f>
        <v>#DIV/0!</v>
      </c>
      <c r="VN64" s="367">
        <v>15.38</v>
      </c>
      <c r="VO64" s="367" t="e">
        <f>VL64*VM64*VN64</f>
        <v>#DIV/0!</v>
      </c>
      <c r="VP64" s="363" t="s">
        <v>153</v>
      </c>
      <c r="VQ64" s="363"/>
      <c r="VR64" s="363"/>
      <c r="VS64" s="364" t="s">
        <v>140</v>
      </c>
      <c r="VT64" s="365">
        <v>0.5</v>
      </c>
      <c r="VU64" s="366" t="e">
        <f>10/VQ62</f>
        <v>#DIV/0!</v>
      </c>
      <c r="VV64" s="367">
        <v>15.38</v>
      </c>
      <c r="VW64" s="367" t="e">
        <f>VT64*VU64*VV64</f>
        <v>#DIV/0!</v>
      </c>
      <c r="VX64" s="363" t="s">
        <v>153</v>
      </c>
      <c r="VY64" s="363"/>
      <c r="VZ64" s="363"/>
      <c r="WA64" s="364" t="s">
        <v>140</v>
      </c>
      <c r="WB64" s="365">
        <v>0.5</v>
      </c>
      <c r="WC64" s="366" t="e">
        <f>10/VY62</f>
        <v>#DIV/0!</v>
      </c>
      <c r="WD64" s="367">
        <v>15.38</v>
      </c>
      <c r="WE64" s="367" t="e">
        <f>WB64*WC64*WD64</f>
        <v>#DIV/0!</v>
      </c>
      <c r="WF64" s="363" t="s">
        <v>153</v>
      </c>
      <c r="WG64" s="363"/>
      <c r="WH64" s="363"/>
      <c r="WI64" s="364" t="s">
        <v>140</v>
      </c>
      <c r="WJ64" s="365">
        <v>0.5</v>
      </c>
      <c r="WK64" s="366" t="e">
        <f>10/WG62</f>
        <v>#DIV/0!</v>
      </c>
      <c r="WL64" s="367">
        <v>15.38</v>
      </c>
      <c r="WM64" s="367" t="e">
        <f>WJ64*WK64*WL64</f>
        <v>#DIV/0!</v>
      </c>
      <c r="WN64" s="363" t="s">
        <v>153</v>
      </c>
      <c r="WO64" s="363"/>
      <c r="WP64" s="363"/>
      <c r="WQ64" s="364" t="s">
        <v>140</v>
      </c>
      <c r="WR64" s="365">
        <v>0.5</v>
      </c>
      <c r="WS64" s="366" t="e">
        <f>10/WO62</f>
        <v>#DIV/0!</v>
      </c>
      <c r="WT64" s="367">
        <v>15.38</v>
      </c>
      <c r="WU64" s="367" t="e">
        <f>WR64*WS64*WT64</f>
        <v>#DIV/0!</v>
      </c>
      <c r="WV64" s="363" t="s">
        <v>153</v>
      </c>
      <c r="WW64" s="363"/>
      <c r="WX64" s="363"/>
      <c r="WY64" s="364" t="s">
        <v>140</v>
      </c>
      <c r="WZ64" s="365">
        <v>0.5</v>
      </c>
      <c r="XA64" s="366" t="e">
        <f>10/WW62</f>
        <v>#DIV/0!</v>
      </c>
      <c r="XB64" s="367">
        <v>15.38</v>
      </c>
      <c r="XC64" s="367" t="e">
        <f>WZ64*XA64*XB64</f>
        <v>#DIV/0!</v>
      </c>
      <c r="XD64" s="363" t="s">
        <v>153</v>
      </c>
      <c r="XE64" s="363"/>
      <c r="XF64" s="363"/>
      <c r="XG64" s="364" t="s">
        <v>140</v>
      </c>
      <c r="XH64" s="365">
        <v>0.5</v>
      </c>
      <c r="XI64" s="366" t="e">
        <f>10/XE62</f>
        <v>#DIV/0!</v>
      </c>
      <c r="XJ64" s="367">
        <v>15.38</v>
      </c>
      <c r="XK64" s="367" t="e">
        <f>XH64*XI64*XJ64</f>
        <v>#DIV/0!</v>
      </c>
      <c r="XL64" s="363" t="s">
        <v>153</v>
      </c>
      <c r="XM64" s="363"/>
      <c r="XN64" s="363"/>
      <c r="XO64" s="364" t="s">
        <v>140</v>
      </c>
      <c r="XP64" s="365">
        <v>0.5</v>
      </c>
      <c r="XQ64" s="366" t="e">
        <f>10/XM62</f>
        <v>#DIV/0!</v>
      </c>
      <c r="XR64" s="367">
        <v>15.38</v>
      </c>
      <c r="XS64" s="367" t="e">
        <f>XP64*XQ64*XR64</f>
        <v>#DIV/0!</v>
      </c>
      <c r="XT64" s="363" t="s">
        <v>153</v>
      </c>
      <c r="XU64" s="363"/>
      <c r="XV64" s="363"/>
      <c r="XW64" s="364" t="s">
        <v>140</v>
      </c>
      <c r="XX64" s="365">
        <v>0.5</v>
      </c>
      <c r="XY64" s="366" t="e">
        <f>10/XU62</f>
        <v>#DIV/0!</v>
      </c>
      <c r="XZ64" s="367">
        <v>15.38</v>
      </c>
      <c r="YA64" s="367" t="e">
        <f>XX64*XY64*XZ64</f>
        <v>#DIV/0!</v>
      </c>
      <c r="YB64" s="363" t="s">
        <v>153</v>
      </c>
      <c r="YC64" s="363"/>
      <c r="YD64" s="363"/>
      <c r="YE64" s="364" t="s">
        <v>140</v>
      </c>
      <c r="YF64" s="365">
        <v>0.5</v>
      </c>
      <c r="YG64" s="366" t="e">
        <f>10/YC62</f>
        <v>#DIV/0!</v>
      </c>
      <c r="YH64" s="367">
        <v>15.38</v>
      </c>
      <c r="YI64" s="367" t="e">
        <f>YF64*YG64*YH64</f>
        <v>#DIV/0!</v>
      </c>
      <c r="YJ64" s="363" t="s">
        <v>153</v>
      </c>
      <c r="YK64" s="363"/>
      <c r="YL64" s="363"/>
      <c r="YM64" s="364" t="s">
        <v>140</v>
      </c>
      <c r="YN64" s="365">
        <v>0.5</v>
      </c>
      <c r="YO64" s="366" t="e">
        <f>10/YK62</f>
        <v>#DIV/0!</v>
      </c>
      <c r="YP64" s="367">
        <v>15.38</v>
      </c>
      <c r="YQ64" s="367" t="e">
        <f>YN64*YO64*YP64</f>
        <v>#DIV/0!</v>
      </c>
      <c r="YR64" s="363" t="s">
        <v>153</v>
      </c>
      <c r="YS64" s="363"/>
      <c r="YT64" s="363"/>
      <c r="YU64" s="364" t="s">
        <v>140</v>
      </c>
      <c r="YV64" s="365">
        <v>0.5</v>
      </c>
      <c r="YW64" s="366" t="e">
        <f>10/YS62</f>
        <v>#DIV/0!</v>
      </c>
      <c r="YX64" s="367">
        <v>15.38</v>
      </c>
      <c r="YY64" s="367" t="e">
        <f>YV64*YW64*YX64</f>
        <v>#DIV/0!</v>
      </c>
      <c r="YZ64" s="363" t="s">
        <v>153</v>
      </c>
      <c r="ZA64" s="363"/>
      <c r="ZB64" s="363"/>
      <c r="ZC64" s="364" t="s">
        <v>140</v>
      </c>
      <c r="ZD64" s="365">
        <v>0.5</v>
      </c>
      <c r="ZE64" s="366" t="e">
        <f>10/ZA62</f>
        <v>#DIV/0!</v>
      </c>
      <c r="ZF64" s="367">
        <v>15.38</v>
      </c>
      <c r="ZG64" s="367" t="e">
        <f>ZD64*ZE64*ZF64</f>
        <v>#DIV/0!</v>
      </c>
      <c r="ZH64" s="363" t="s">
        <v>153</v>
      </c>
      <c r="ZI64" s="363"/>
      <c r="ZJ64" s="363"/>
      <c r="ZK64" s="364" t="s">
        <v>140</v>
      </c>
      <c r="ZL64" s="365">
        <v>0.5</v>
      </c>
      <c r="ZM64" s="366" t="e">
        <f>10/ZI62</f>
        <v>#DIV/0!</v>
      </c>
      <c r="ZN64" s="367">
        <v>15.38</v>
      </c>
      <c r="ZO64" s="367" t="e">
        <f>ZL64*ZM64*ZN64</f>
        <v>#DIV/0!</v>
      </c>
      <c r="ZP64" s="363" t="s">
        <v>153</v>
      </c>
      <c r="ZQ64" s="363"/>
      <c r="ZR64" s="363"/>
      <c r="ZS64" s="364" t="s">
        <v>140</v>
      </c>
      <c r="ZT64" s="365">
        <v>0.5</v>
      </c>
      <c r="ZU64" s="366" t="e">
        <f>10/ZQ62</f>
        <v>#DIV/0!</v>
      </c>
      <c r="ZV64" s="367">
        <v>15.38</v>
      </c>
      <c r="ZW64" s="367" t="e">
        <f>ZT64*ZU64*ZV64</f>
        <v>#DIV/0!</v>
      </c>
      <c r="ZX64" s="363" t="s">
        <v>153</v>
      </c>
      <c r="ZY64" s="363"/>
      <c r="ZZ64" s="363"/>
      <c r="AAA64" s="364" t="s">
        <v>140</v>
      </c>
      <c r="AAB64" s="365">
        <v>0.5</v>
      </c>
      <c r="AAC64" s="366" t="e">
        <f>10/ZY62</f>
        <v>#DIV/0!</v>
      </c>
      <c r="AAD64" s="367">
        <v>15.38</v>
      </c>
      <c r="AAE64" s="367" t="e">
        <f>AAB64*AAC64*AAD64</f>
        <v>#DIV/0!</v>
      </c>
      <c r="AAF64" s="363" t="s">
        <v>153</v>
      </c>
      <c r="AAG64" s="363"/>
      <c r="AAH64" s="363"/>
      <c r="AAI64" s="364" t="s">
        <v>140</v>
      </c>
      <c r="AAJ64" s="365">
        <v>0.5</v>
      </c>
      <c r="AAK64" s="366" t="e">
        <f>10/AAG62</f>
        <v>#DIV/0!</v>
      </c>
      <c r="AAL64" s="367">
        <v>15.38</v>
      </c>
      <c r="AAM64" s="367" t="e">
        <f>AAJ64*AAK64*AAL64</f>
        <v>#DIV/0!</v>
      </c>
      <c r="AAN64" s="363" t="s">
        <v>153</v>
      </c>
      <c r="AAO64" s="363"/>
      <c r="AAP64" s="363"/>
      <c r="AAQ64" s="364" t="s">
        <v>140</v>
      </c>
      <c r="AAR64" s="365">
        <v>0.5</v>
      </c>
      <c r="AAS64" s="366" t="e">
        <f>10/AAO62</f>
        <v>#DIV/0!</v>
      </c>
      <c r="AAT64" s="367">
        <v>15.38</v>
      </c>
      <c r="AAU64" s="367" t="e">
        <f>AAR64*AAS64*AAT64</f>
        <v>#DIV/0!</v>
      </c>
      <c r="AAV64" s="363" t="s">
        <v>153</v>
      </c>
      <c r="AAW64" s="363"/>
      <c r="AAX64" s="363"/>
      <c r="AAY64" s="364" t="s">
        <v>140</v>
      </c>
      <c r="AAZ64" s="365">
        <v>0.5</v>
      </c>
      <c r="ABA64" s="366" t="e">
        <f>10/AAW62</f>
        <v>#DIV/0!</v>
      </c>
      <c r="ABB64" s="367">
        <v>15.38</v>
      </c>
      <c r="ABC64" s="367" t="e">
        <f>AAZ64*ABA64*ABB64</f>
        <v>#DIV/0!</v>
      </c>
      <c r="ABD64" s="363" t="s">
        <v>153</v>
      </c>
      <c r="ABE64" s="363"/>
      <c r="ABF64" s="363"/>
      <c r="ABG64" s="364" t="s">
        <v>140</v>
      </c>
      <c r="ABH64" s="365">
        <v>0.5</v>
      </c>
      <c r="ABI64" s="366" t="e">
        <f>10/ABE62</f>
        <v>#DIV/0!</v>
      </c>
      <c r="ABJ64" s="367">
        <v>15.38</v>
      </c>
      <c r="ABK64" s="367" t="e">
        <f>ABH64*ABI64*ABJ64</f>
        <v>#DIV/0!</v>
      </c>
      <c r="ABL64" s="363" t="s">
        <v>153</v>
      </c>
      <c r="ABM64" s="363"/>
      <c r="ABN64" s="363"/>
      <c r="ABO64" s="364" t="s">
        <v>140</v>
      </c>
      <c r="ABP64" s="365">
        <v>0.5</v>
      </c>
      <c r="ABQ64" s="366" t="e">
        <f>10/ABM62</f>
        <v>#DIV/0!</v>
      </c>
      <c r="ABR64" s="367">
        <v>15.38</v>
      </c>
      <c r="ABS64" s="367" t="e">
        <f>ABP64*ABQ64*ABR64</f>
        <v>#DIV/0!</v>
      </c>
      <c r="ABT64" s="363" t="s">
        <v>153</v>
      </c>
      <c r="ABU64" s="363"/>
      <c r="ABV64" s="363"/>
      <c r="ABW64" s="364" t="s">
        <v>140</v>
      </c>
      <c r="ABX64" s="365">
        <v>0.5</v>
      </c>
      <c r="ABY64" s="366" t="e">
        <f>10/ABU62</f>
        <v>#DIV/0!</v>
      </c>
      <c r="ABZ64" s="367">
        <v>15.38</v>
      </c>
      <c r="ACA64" s="367" t="e">
        <f>ABX64*ABY64*ABZ64</f>
        <v>#DIV/0!</v>
      </c>
      <c r="ACB64" s="363" t="s">
        <v>153</v>
      </c>
      <c r="ACC64" s="363"/>
      <c r="ACD64" s="363"/>
      <c r="ACE64" s="364" t="s">
        <v>140</v>
      </c>
      <c r="ACF64" s="365">
        <v>0.5</v>
      </c>
      <c r="ACG64" s="366" t="e">
        <f>10/ACC62</f>
        <v>#DIV/0!</v>
      </c>
      <c r="ACH64" s="367">
        <v>15.38</v>
      </c>
      <c r="ACI64" s="367" t="e">
        <f>ACF64*ACG64*ACH64</f>
        <v>#DIV/0!</v>
      </c>
      <c r="ACJ64" s="363" t="s">
        <v>153</v>
      </c>
      <c r="ACK64" s="363"/>
      <c r="ACL64" s="363"/>
      <c r="ACM64" s="364" t="s">
        <v>140</v>
      </c>
      <c r="ACN64" s="365">
        <v>0.5</v>
      </c>
      <c r="ACO64" s="366" t="e">
        <f>10/ACK62</f>
        <v>#DIV/0!</v>
      </c>
      <c r="ACP64" s="367">
        <v>15.38</v>
      </c>
      <c r="ACQ64" s="367" t="e">
        <f>ACN64*ACO64*ACP64</f>
        <v>#DIV/0!</v>
      </c>
      <c r="ACR64" s="363" t="s">
        <v>153</v>
      </c>
      <c r="ACS64" s="363"/>
      <c r="ACT64" s="363"/>
      <c r="ACU64" s="364" t="s">
        <v>140</v>
      </c>
      <c r="ACV64" s="365">
        <v>0.5</v>
      </c>
      <c r="ACW64" s="366" t="e">
        <f>10/ACS62</f>
        <v>#DIV/0!</v>
      </c>
      <c r="ACX64" s="367">
        <v>15.38</v>
      </c>
      <c r="ACY64" s="367" t="e">
        <f>ACV64*ACW64*ACX64</f>
        <v>#DIV/0!</v>
      </c>
      <c r="ACZ64" s="363" t="s">
        <v>153</v>
      </c>
      <c r="ADA64" s="363"/>
      <c r="ADB64" s="363"/>
      <c r="ADC64" s="364" t="s">
        <v>140</v>
      </c>
      <c r="ADD64" s="365">
        <v>0.5</v>
      </c>
      <c r="ADE64" s="366" t="e">
        <f>10/ADA62</f>
        <v>#DIV/0!</v>
      </c>
      <c r="ADF64" s="367">
        <v>15.38</v>
      </c>
      <c r="ADG64" s="367" t="e">
        <f>ADD64*ADE64*ADF64</f>
        <v>#DIV/0!</v>
      </c>
      <c r="ADH64" s="363" t="s">
        <v>153</v>
      </c>
      <c r="ADI64" s="363"/>
      <c r="ADJ64" s="363"/>
      <c r="ADK64" s="364" t="s">
        <v>140</v>
      </c>
      <c r="ADL64" s="365">
        <v>0.5</v>
      </c>
      <c r="ADM64" s="366" t="e">
        <f>10/ADI62</f>
        <v>#DIV/0!</v>
      </c>
      <c r="ADN64" s="367">
        <v>15.38</v>
      </c>
      <c r="ADO64" s="367" t="e">
        <f>ADL64*ADM64*ADN64</f>
        <v>#DIV/0!</v>
      </c>
      <c r="ADP64" s="363" t="s">
        <v>153</v>
      </c>
      <c r="ADQ64" s="363"/>
      <c r="ADR64" s="363"/>
      <c r="ADS64" s="364" t="s">
        <v>140</v>
      </c>
      <c r="ADT64" s="365">
        <v>0.5</v>
      </c>
      <c r="ADU64" s="366" t="e">
        <f>10/ADQ62</f>
        <v>#DIV/0!</v>
      </c>
      <c r="ADV64" s="367">
        <v>15.38</v>
      </c>
      <c r="ADW64" s="367" t="e">
        <f>ADT64*ADU64*ADV64</f>
        <v>#DIV/0!</v>
      </c>
      <c r="ADX64" s="363" t="s">
        <v>153</v>
      </c>
      <c r="ADY64" s="363"/>
      <c r="ADZ64" s="363"/>
      <c r="AEA64" s="364" t="s">
        <v>140</v>
      </c>
      <c r="AEB64" s="365">
        <v>0.5</v>
      </c>
      <c r="AEC64" s="366" t="e">
        <f>10/ADY62</f>
        <v>#DIV/0!</v>
      </c>
      <c r="AED64" s="367">
        <v>15.38</v>
      </c>
      <c r="AEE64" s="367" t="e">
        <f>AEB64*AEC64*AED64</f>
        <v>#DIV/0!</v>
      </c>
      <c r="AEF64" s="363" t="s">
        <v>153</v>
      </c>
      <c r="AEG64" s="363"/>
      <c r="AEH64" s="363"/>
      <c r="AEI64" s="364" t="s">
        <v>140</v>
      </c>
      <c r="AEJ64" s="365">
        <v>0.5</v>
      </c>
      <c r="AEK64" s="366" t="e">
        <f>10/AEG62</f>
        <v>#DIV/0!</v>
      </c>
      <c r="AEL64" s="367">
        <v>15.38</v>
      </c>
      <c r="AEM64" s="367" t="e">
        <f>AEJ64*AEK64*AEL64</f>
        <v>#DIV/0!</v>
      </c>
      <c r="AEN64" s="363" t="s">
        <v>153</v>
      </c>
      <c r="AEO64" s="363"/>
      <c r="AEP64" s="363"/>
      <c r="AEQ64" s="364" t="s">
        <v>140</v>
      </c>
      <c r="AER64" s="365">
        <v>0.5</v>
      </c>
      <c r="AES64" s="366" t="e">
        <f>10/AEO62</f>
        <v>#DIV/0!</v>
      </c>
      <c r="AET64" s="367">
        <v>15.38</v>
      </c>
      <c r="AEU64" s="367" t="e">
        <f>AER64*AES64*AET64</f>
        <v>#DIV/0!</v>
      </c>
      <c r="AEV64" s="363" t="s">
        <v>153</v>
      </c>
      <c r="AEW64" s="363"/>
      <c r="AEX64" s="363"/>
      <c r="AEY64" s="364" t="s">
        <v>140</v>
      </c>
      <c r="AEZ64" s="365">
        <v>0.5</v>
      </c>
      <c r="AFA64" s="366" t="e">
        <f>10/AEW62</f>
        <v>#DIV/0!</v>
      </c>
      <c r="AFB64" s="367">
        <v>15.38</v>
      </c>
      <c r="AFC64" s="367" t="e">
        <f>AEZ64*AFA64*AFB64</f>
        <v>#DIV/0!</v>
      </c>
      <c r="AFD64" s="363" t="s">
        <v>153</v>
      </c>
      <c r="AFE64" s="363"/>
      <c r="AFF64" s="363"/>
      <c r="AFG64" s="364" t="s">
        <v>140</v>
      </c>
      <c r="AFH64" s="365">
        <v>0.5</v>
      </c>
      <c r="AFI64" s="366" t="e">
        <f>10/AFE62</f>
        <v>#DIV/0!</v>
      </c>
      <c r="AFJ64" s="367">
        <v>15.38</v>
      </c>
      <c r="AFK64" s="367" t="e">
        <f>AFH64*AFI64*AFJ64</f>
        <v>#DIV/0!</v>
      </c>
      <c r="AFL64" s="363" t="s">
        <v>153</v>
      </c>
      <c r="AFM64" s="363"/>
      <c r="AFN64" s="363"/>
      <c r="AFO64" s="364" t="s">
        <v>140</v>
      </c>
      <c r="AFP64" s="365">
        <v>0.5</v>
      </c>
      <c r="AFQ64" s="366" t="e">
        <f>10/AFM62</f>
        <v>#DIV/0!</v>
      </c>
      <c r="AFR64" s="367">
        <v>15.38</v>
      </c>
      <c r="AFS64" s="367" t="e">
        <f>AFP64*AFQ64*AFR64</f>
        <v>#DIV/0!</v>
      </c>
      <c r="AFT64" s="363" t="s">
        <v>153</v>
      </c>
      <c r="AFU64" s="363"/>
      <c r="AFV64" s="363"/>
      <c r="AFW64" s="364" t="s">
        <v>140</v>
      </c>
      <c r="AFX64" s="365">
        <v>0.5</v>
      </c>
      <c r="AFY64" s="366" t="e">
        <f>10/AFU62</f>
        <v>#DIV/0!</v>
      </c>
      <c r="AFZ64" s="367">
        <v>15.38</v>
      </c>
      <c r="AGA64" s="367" t="e">
        <f>AFX64*AFY64*AFZ64</f>
        <v>#DIV/0!</v>
      </c>
      <c r="AGB64" s="363" t="s">
        <v>153</v>
      </c>
      <c r="AGC64" s="363"/>
      <c r="AGD64" s="363"/>
      <c r="AGE64" s="364" t="s">
        <v>140</v>
      </c>
      <c r="AGF64" s="365">
        <v>0.5</v>
      </c>
      <c r="AGG64" s="366" t="e">
        <f>10/AGC62</f>
        <v>#DIV/0!</v>
      </c>
      <c r="AGH64" s="367">
        <v>15.38</v>
      </c>
      <c r="AGI64" s="367" t="e">
        <f>AGF64*AGG64*AGH64</f>
        <v>#DIV/0!</v>
      </c>
      <c r="AGJ64" s="363" t="s">
        <v>153</v>
      </c>
      <c r="AGK64" s="363"/>
      <c r="AGL64" s="363"/>
      <c r="AGM64" s="364" t="s">
        <v>140</v>
      </c>
      <c r="AGN64" s="365">
        <v>0.5</v>
      </c>
      <c r="AGO64" s="366" t="e">
        <f>10/AGK62</f>
        <v>#DIV/0!</v>
      </c>
      <c r="AGP64" s="367">
        <v>15.38</v>
      </c>
      <c r="AGQ64" s="367" t="e">
        <f>AGN64*AGO64*AGP64</f>
        <v>#DIV/0!</v>
      </c>
      <c r="AGR64" s="363" t="s">
        <v>153</v>
      </c>
      <c r="AGS64" s="363"/>
      <c r="AGT64" s="363"/>
      <c r="AGU64" s="364" t="s">
        <v>140</v>
      </c>
      <c r="AGV64" s="365">
        <v>0.5</v>
      </c>
      <c r="AGW64" s="366" t="e">
        <f>10/AGS62</f>
        <v>#DIV/0!</v>
      </c>
      <c r="AGX64" s="367">
        <v>15.38</v>
      </c>
      <c r="AGY64" s="367" t="e">
        <f>AGV64*AGW64*AGX64</f>
        <v>#DIV/0!</v>
      </c>
      <c r="AGZ64" s="363" t="s">
        <v>153</v>
      </c>
      <c r="AHA64" s="363"/>
      <c r="AHB64" s="363"/>
      <c r="AHC64" s="364" t="s">
        <v>140</v>
      </c>
      <c r="AHD64" s="365">
        <v>0.5</v>
      </c>
      <c r="AHE64" s="366" t="e">
        <f>10/AHA62</f>
        <v>#DIV/0!</v>
      </c>
      <c r="AHF64" s="367">
        <v>15.38</v>
      </c>
      <c r="AHG64" s="367" t="e">
        <f>AHD64*AHE64*AHF64</f>
        <v>#DIV/0!</v>
      </c>
      <c r="AHH64" s="363" t="s">
        <v>153</v>
      </c>
      <c r="AHI64" s="363"/>
      <c r="AHJ64" s="363"/>
      <c r="AHK64" s="364" t="s">
        <v>140</v>
      </c>
      <c r="AHL64" s="365">
        <v>0.5</v>
      </c>
      <c r="AHM64" s="366" t="e">
        <f>10/AHI62</f>
        <v>#DIV/0!</v>
      </c>
      <c r="AHN64" s="367">
        <v>15.38</v>
      </c>
      <c r="AHO64" s="367" t="e">
        <f>AHL64*AHM64*AHN64</f>
        <v>#DIV/0!</v>
      </c>
      <c r="AHP64" s="363" t="s">
        <v>153</v>
      </c>
      <c r="AHQ64" s="363"/>
      <c r="AHR64" s="363"/>
      <c r="AHS64" s="364" t="s">
        <v>140</v>
      </c>
      <c r="AHT64" s="365">
        <v>0.5</v>
      </c>
      <c r="AHU64" s="366" t="e">
        <f>10/AHQ62</f>
        <v>#DIV/0!</v>
      </c>
      <c r="AHV64" s="367">
        <v>15.38</v>
      </c>
      <c r="AHW64" s="367" t="e">
        <f>AHT64*AHU64*AHV64</f>
        <v>#DIV/0!</v>
      </c>
      <c r="AHX64" s="363" t="s">
        <v>153</v>
      </c>
      <c r="AHY64" s="363"/>
      <c r="AHZ64" s="363"/>
      <c r="AIA64" s="364" t="s">
        <v>140</v>
      </c>
      <c r="AIB64" s="365">
        <v>0.5</v>
      </c>
      <c r="AIC64" s="366" t="e">
        <f>10/AHY62</f>
        <v>#DIV/0!</v>
      </c>
      <c r="AID64" s="367">
        <v>15.38</v>
      </c>
      <c r="AIE64" s="367" t="e">
        <f>AIB64*AIC64*AID64</f>
        <v>#DIV/0!</v>
      </c>
      <c r="AIF64" s="363" t="s">
        <v>153</v>
      </c>
      <c r="AIG64" s="363"/>
      <c r="AIH64" s="363"/>
      <c r="AII64" s="364" t="s">
        <v>140</v>
      </c>
      <c r="AIJ64" s="365">
        <v>0.5</v>
      </c>
      <c r="AIK64" s="366" t="e">
        <f>10/AIG62</f>
        <v>#DIV/0!</v>
      </c>
      <c r="AIL64" s="367">
        <v>15.38</v>
      </c>
      <c r="AIM64" s="367" t="e">
        <f>AIJ64*AIK64*AIL64</f>
        <v>#DIV/0!</v>
      </c>
      <c r="AIN64" s="363" t="s">
        <v>153</v>
      </c>
      <c r="AIO64" s="363"/>
      <c r="AIP64" s="363"/>
      <c r="AIQ64" s="364" t="s">
        <v>140</v>
      </c>
      <c r="AIR64" s="365">
        <v>0.5</v>
      </c>
      <c r="AIS64" s="366" t="e">
        <f>10/AIO62</f>
        <v>#DIV/0!</v>
      </c>
      <c r="AIT64" s="367">
        <v>15.38</v>
      </c>
      <c r="AIU64" s="367" t="e">
        <f>AIR64*AIS64*AIT64</f>
        <v>#DIV/0!</v>
      </c>
      <c r="AIV64" s="363" t="s">
        <v>153</v>
      </c>
      <c r="AIW64" s="363"/>
      <c r="AIX64" s="363"/>
      <c r="AIY64" s="364" t="s">
        <v>140</v>
      </c>
      <c r="AIZ64" s="365">
        <v>0.5</v>
      </c>
      <c r="AJA64" s="366" t="e">
        <f>10/AIW62</f>
        <v>#DIV/0!</v>
      </c>
      <c r="AJB64" s="367">
        <v>15.38</v>
      </c>
      <c r="AJC64" s="367" t="e">
        <f>AIZ64*AJA64*AJB64</f>
        <v>#DIV/0!</v>
      </c>
      <c r="AJD64" s="363" t="s">
        <v>153</v>
      </c>
      <c r="AJE64" s="363"/>
      <c r="AJF64" s="363"/>
      <c r="AJG64" s="364" t="s">
        <v>140</v>
      </c>
      <c r="AJH64" s="365">
        <v>0.5</v>
      </c>
      <c r="AJI64" s="366" t="e">
        <f>10/AJE62</f>
        <v>#DIV/0!</v>
      </c>
      <c r="AJJ64" s="367">
        <v>15.38</v>
      </c>
      <c r="AJK64" s="367" t="e">
        <f>AJH64*AJI64*AJJ64</f>
        <v>#DIV/0!</v>
      </c>
      <c r="AJL64" s="363" t="s">
        <v>153</v>
      </c>
      <c r="AJM64" s="363"/>
      <c r="AJN64" s="363"/>
      <c r="AJO64" s="364" t="s">
        <v>140</v>
      </c>
      <c r="AJP64" s="365">
        <v>0.5</v>
      </c>
      <c r="AJQ64" s="366" t="e">
        <f>10/AJM62</f>
        <v>#DIV/0!</v>
      </c>
      <c r="AJR64" s="367">
        <v>15.38</v>
      </c>
      <c r="AJS64" s="367" t="e">
        <f>AJP64*AJQ64*AJR64</f>
        <v>#DIV/0!</v>
      </c>
      <c r="AJT64" s="363" t="s">
        <v>153</v>
      </c>
      <c r="AJU64" s="363"/>
      <c r="AJV64" s="363"/>
      <c r="AJW64" s="364" t="s">
        <v>140</v>
      </c>
      <c r="AJX64" s="365">
        <v>0.5</v>
      </c>
      <c r="AJY64" s="366" t="e">
        <f>10/AJU62</f>
        <v>#DIV/0!</v>
      </c>
      <c r="AJZ64" s="367">
        <v>15.38</v>
      </c>
      <c r="AKA64" s="367" t="e">
        <f>AJX64*AJY64*AJZ64</f>
        <v>#DIV/0!</v>
      </c>
      <c r="AKB64" s="363" t="s">
        <v>153</v>
      </c>
      <c r="AKC64" s="363"/>
      <c r="AKD64" s="363"/>
      <c r="AKE64" s="364" t="s">
        <v>140</v>
      </c>
      <c r="AKF64" s="365">
        <v>0.5</v>
      </c>
      <c r="AKG64" s="366" t="e">
        <f>10/AKC62</f>
        <v>#DIV/0!</v>
      </c>
      <c r="AKH64" s="367">
        <v>15.38</v>
      </c>
      <c r="AKI64" s="367" t="e">
        <f>AKF64*AKG64*AKH64</f>
        <v>#DIV/0!</v>
      </c>
      <c r="AKJ64" s="363" t="s">
        <v>153</v>
      </c>
      <c r="AKK64" s="363"/>
      <c r="AKL64" s="363"/>
      <c r="AKM64" s="364" t="s">
        <v>140</v>
      </c>
      <c r="AKN64" s="365">
        <v>0.5</v>
      </c>
      <c r="AKO64" s="366" t="e">
        <f>10/AKK62</f>
        <v>#DIV/0!</v>
      </c>
      <c r="AKP64" s="367">
        <v>15.38</v>
      </c>
      <c r="AKQ64" s="367" t="e">
        <f>AKN64*AKO64*AKP64</f>
        <v>#DIV/0!</v>
      </c>
      <c r="AKR64" s="363" t="s">
        <v>153</v>
      </c>
      <c r="AKS64" s="363"/>
      <c r="AKT64" s="363"/>
      <c r="AKU64" s="364" t="s">
        <v>140</v>
      </c>
      <c r="AKV64" s="365">
        <v>0.5</v>
      </c>
      <c r="AKW64" s="366" t="e">
        <f>10/AKS62</f>
        <v>#DIV/0!</v>
      </c>
      <c r="AKX64" s="367">
        <v>15.38</v>
      </c>
      <c r="AKY64" s="367" t="e">
        <f>AKV64*AKW64*AKX64</f>
        <v>#DIV/0!</v>
      </c>
      <c r="AKZ64" s="363" t="s">
        <v>153</v>
      </c>
      <c r="ALA64" s="363"/>
      <c r="ALB64" s="363"/>
      <c r="ALC64" s="364" t="s">
        <v>140</v>
      </c>
      <c r="ALD64" s="365">
        <v>0.5</v>
      </c>
      <c r="ALE64" s="366" t="e">
        <f>10/ALA62</f>
        <v>#DIV/0!</v>
      </c>
      <c r="ALF64" s="367">
        <v>15.38</v>
      </c>
      <c r="ALG64" s="367" t="e">
        <f>ALD64*ALE64*ALF64</f>
        <v>#DIV/0!</v>
      </c>
      <c r="ALH64" s="363" t="s">
        <v>153</v>
      </c>
      <c r="ALI64" s="363"/>
      <c r="ALJ64" s="363"/>
      <c r="ALK64" s="364" t="s">
        <v>140</v>
      </c>
      <c r="ALL64" s="365">
        <v>0.5</v>
      </c>
      <c r="ALM64" s="366" t="e">
        <f>10/ALI62</f>
        <v>#DIV/0!</v>
      </c>
      <c r="ALN64" s="367">
        <v>15.38</v>
      </c>
      <c r="ALO64" s="367" t="e">
        <f>ALL64*ALM64*ALN64</f>
        <v>#DIV/0!</v>
      </c>
      <c r="ALP64" s="363" t="s">
        <v>153</v>
      </c>
      <c r="ALQ64" s="363"/>
      <c r="ALR64" s="363"/>
      <c r="ALS64" s="364" t="s">
        <v>140</v>
      </c>
      <c r="ALT64" s="365">
        <v>0.5</v>
      </c>
      <c r="ALU64" s="366" t="e">
        <f>10/ALQ62</f>
        <v>#DIV/0!</v>
      </c>
      <c r="ALV64" s="367">
        <v>15.38</v>
      </c>
      <c r="ALW64" s="367" t="e">
        <f>ALT64*ALU64*ALV64</f>
        <v>#DIV/0!</v>
      </c>
      <c r="ALX64" s="363" t="s">
        <v>153</v>
      </c>
      <c r="ALY64" s="363"/>
      <c r="ALZ64" s="363"/>
      <c r="AMA64" s="364" t="s">
        <v>140</v>
      </c>
      <c r="AMB64" s="365">
        <v>0.5</v>
      </c>
      <c r="AMC64" s="366" t="e">
        <f>10/ALY62</f>
        <v>#DIV/0!</v>
      </c>
      <c r="AMD64" s="367">
        <v>15.38</v>
      </c>
      <c r="AME64" s="367" t="e">
        <f>AMB64*AMC64*AMD64</f>
        <v>#DIV/0!</v>
      </c>
      <c r="AMF64" s="363" t="s">
        <v>153</v>
      </c>
      <c r="AMG64" s="363"/>
      <c r="AMH64" s="363"/>
      <c r="AMI64" s="364" t="s">
        <v>140</v>
      </c>
      <c r="AMJ64" s="365">
        <v>0.5</v>
      </c>
      <c r="AMK64" s="366" t="e">
        <f>10/AMG62</f>
        <v>#DIV/0!</v>
      </c>
      <c r="AML64" s="367">
        <v>15.38</v>
      </c>
      <c r="AMM64" s="367" t="e">
        <f>AMJ64*AMK64*AML64</f>
        <v>#DIV/0!</v>
      </c>
      <c r="AMN64" s="363" t="s">
        <v>153</v>
      </c>
      <c r="AMO64" s="363"/>
      <c r="AMP64" s="363"/>
      <c r="AMQ64" s="364" t="s">
        <v>140</v>
      </c>
      <c r="AMR64" s="365">
        <v>0.5</v>
      </c>
      <c r="AMS64" s="366" t="e">
        <f>10/AMO62</f>
        <v>#DIV/0!</v>
      </c>
      <c r="AMT64" s="367">
        <v>15.38</v>
      </c>
      <c r="AMU64" s="367" t="e">
        <f>AMR64*AMS64*AMT64</f>
        <v>#DIV/0!</v>
      </c>
      <c r="AMV64" s="363" t="s">
        <v>153</v>
      </c>
      <c r="AMW64" s="363"/>
      <c r="AMX64" s="363"/>
      <c r="AMY64" s="364" t="s">
        <v>140</v>
      </c>
      <c r="AMZ64" s="365">
        <v>0.5</v>
      </c>
      <c r="ANA64" s="366" t="e">
        <f>10/AMW62</f>
        <v>#DIV/0!</v>
      </c>
      <c r="ANB64" s="367">
        <v>15.38</v>
      </c>
      <c r="ANC64" s="367" t="e">
        <f>AMZ64*ANA64*ANB64</f>
        <v>#DIV/0!</v>
      </c>
      <c r="AND64" s="363" t="s">
        <v>153</v>
      </c>
      <c r="ANE64" s="363"/>
      <c r="ANF64" s="363"/>
      <c r="ANG64" s="364" t="s">
        <v>140</v>
      </c>
      <c r="ANH64" s="365">
        <v>0.5</v>
      </c>
      <c r="ANI64" s="366" t="e">
        <f>10/ANE62</f>
        <v>#DIV/0!</v>
      </c>
      <c r="ANJ64" s="367">
        <v>15.38</v>
      </c>
      <c r="ANK64" s="367" t="e">
        <f>ANH64*ANI64*ANJ64</f>
        <v>#DIV/0!</v>
      </c>
      <c r="ANL64" s="363" t="s">
        <v>153</v>
      </c>
      <c r="ANM64" s="363"/>
      <c r="ANN64" s="363"/>
      <c r="ANO64" s="364" t="s">
        <v>140</v>
      </c>
      <c r="ANP64" s="365">
        <v>0.5</v>
      </c>
      <c r="ANQ64" s="366" t="e">
        <f>10/ANM62</f>
        <v>#DIV/0!</v>
      </c>
      <c r="ANR64" s="367">
        <v>15.38</v>
      </c>
      <c r="ANS64" s="367" t="e">
        <f>ANP64*ANQ64*ANR64</f>
        <v>#DIV/0!</v>
      </c>
      <c r="ANT64" s="363" t="s">
        <v>153</v>
      </c>
      <c r="ANU64" s="363"/>
      <c r="ANV64" s="363"/>
      <c r="ANW64" s="364" t="s">
        <v>140</v>
      </c>
      <c r="ANX64" s="365">
        <v>0.5</v>
      </c>
      <c r="ANY64" s="366" t="e">
        <f>10/ANU62</f>
        <v>#DIV/0!</v>
      </c>
      <c r="ANZ64" s="367">
        <v>15.38</v>
      </c>
      <c r="AOA64" s="367" t="e">
        <f>ANX64*ANY64*ANZ64</f>
        <v>#DIV/0!</v>
      </c>
      <c r="AOB64" s="363" t="s">
        <v>153</v>
      </c>
      <c r="AOC64" s="363"/>
      <c r="AOD64" s="363"/>
      <c r="AOE64" s="364" t="s">
        <v>140</v>
      </c>
      <c r="AOF64" s="365">
        <v>0.5</v>
      </c>
      <c r="AOG64" s="366" t="e">
        <f>10/AOC62</f>
        <v>#DIV/0!</v>
      </c>
      <c r="AOH64" s="367">
        <v>15.38</v>
      </c>
      <c r="AOI64" s="367" t="e">
        <f>AOF64*AOG64*AOH64</f>
        <v>#DIV/0!</v>
      </c>
      <c r="AOJ64" s="363" t="s">
        <v>153</v>
      </c>
      <c r="AOK64" s="363"/>
      <c r="AOL64" s="363"/>
      <c r="AOM64" s="364" t="s">
        <v>140</v>
      </c>
      <c r="AON64" s="365">
        <v>0.5</v>
      </c>
      <c r="AOO64" s="366" t="e">
        <f>10/AOK62</f>
        <v>#DIV/0!</v>
      </c>
      <c r="AOP64" s="367">
        <v>15.38</v>
      </c>
      <c r="AOQ64" s="367" t="e">
        <f>AON64*AOO64*AOP64</f>
        <v>#DIV/0!</v>
      </c>
      <c r="AOR64" s="363" t="s">
        <v>153</v>
      </c>
      <c r="AOS64" s="363"/>
      <c r="AOT64" s="363"/>
      <c r="AOU64" s="364" t="s">
        <v>140</v>
      </c>
      <c r="AOV64" s="365">
        <v>0.5</v>
      </c>
      <c r="AOW64" s="366" t="e">
        <f>10/AOS62</f>
        <v>#DIV/0!</v>
      </c>
      <c r="AOX64" s="367">
        <v>15.38</v>
      </c>
      <c r="AOY64" s="367" t="e">
        <f>AOV64*AOW64*AOX64</f>
        <v>#DIV/0!</v>
      </c>
      <c r="AOZ64" s="363" t="s">
        <v>153</v>
      </c>
      <c r="APA64" s="363"/>
      <c r="APB64" s="363"/>
      <c r="APC64" s="364" t="s">
        <v>140</v>
      </c>
      <c r="APD64" s="365">
        <v>0.5</v>
      </c>
      <c r="APE64" s="366" t="e">
        <f>10/APA62</f>
        <v>#DIV/0!</v>
      </c>
      <c r="APF64" s="367">
        <v>15.38</v>
      </c>
      <c r="APG64" s="367" t="e">
        <f>APD64*APE64*APF64</f>
        <v>#DIV/0!</v>
      </c>
      <c r="APH64" s="363" t="s">
        <v>153</v>
      </c>
      <c r="API64" s="363"/>
      <c r="APJ64" s="363"/>
      <c r="APK64" s="364" t="s">
        <v>140</v>
      </c>
      <c r="APL64" s="365">
        <v>0.5</v>
      </c>
      <c r="APM64" s="366" t="e">
        <f>10/API62</f>
        <v>#DIV/0!</v>
      </c>
      <c r="APN64" s="367">
        <v>15.38</v>
      </c>
      <c r="APO64" s="367" t="e">
        <f>APL64*APM64*APN64</f>
        <v>#DIV/0!</v>
      </c>
      <c r="APP64" s="363" t="s">
        <v>153</v>
      </c>
      <c r="APQ64" s="363"/>
      <c r="APR64" s="363"/>
      <c r="APS64" s="364" t="s">
        <v>140</v>
      </c>
      <c r="APT64" s="365">
        <v>0.5</v>
      </c>
      <c r="APU64" s="366" t="e">
        <f>10/APQ62</f>
        <v>#DIV/0!</v>
      </c>
      <c r="APV64" s="367">
        <v>15.38</v>
      </c>
      <c r="APW64" s="367" t="e">
        <f>APT64*APU64*APV64</f>
        <v>#DIV/0!</v>
      </c>
      <c r="APX64" s="363" t="s">
        <v>153</v>
      </c>
      <c r="APY64" s="363"/>
      <c r="APZ64" s="363"/>
      <c r="AQA64" s="364" t="s">
        <v>140</v>
      </c>
      <c r="AQB64" s="365">
        <v>0.5</v>
      </c>
      <c r="AQC64" s="366" t="e">
        <f>10/APY62</f>
        <v>#DIV/0!</v>
      </c>
      <c r="AQD64" s="367">
        <v>15.38</v>
      </c>
      <c r="AQE64" s="367" t="e">
        <f>AQB64*AQC64*AQD64</f>
        <v>#DIV/0!</v>
      </c>
      <c r="AQF64" s="363" t="s">
        <v>153</v>
      </c>
      <c r="AQG64" s="363"/>
      <c r="AQH64" s="363"/>
      <c r="AQI64" s="364" t="s">
        <v>140</v>
      </c>
      <c r="AQJ64" s="365">
        <v>0.5</v>
      </c>
      <c r="AQK64" s="366" t="e">
        <f>10/AQG62</f>
        <v>#DIV/0!</v>
      </c>
      <c r="AQL64" s="367">
        <v>15.38</v>
      </c>
      <c r="AQM64" s="367" t="e">
        <f>AQJ64*AQK64*AQL64</f>
        <v>#DIV/0!</v>
      </c>
      <c r="AQN64" s="363" t="s">
        <v>153</v>
      </c>
      <c r="AQO64" s="363"/>
      <c r="AQP64" s="363"/>
      <c r="AQQ64" s="364" t="s">
        <v>140</v>
      </c>
      <c r="AQR64" s="365">
        <v>0.5</v>
      </c>
      <c r="AQS64" s="366" t="e">
        <f>10/AQO62</f>
        <v>#DIV/0!</v>
      </c>
      <c r="AQT64" s="367">
        <v>15.38</v>
      </c>
      <c r="AQU64" s="367" t="e">
        <f>AQR64*AQS64*AQT64</f>
        <v>#DIV/0!</v>
      </c>
      <c r="AQV64" s="363" t="s">
        <v>153</v>
      </c>
      <c r="AQW64" s="363"/>
      <c r="AQX64" s="363"/>
      <c r="AQY64" s="364" t="s">
        <v>140</v>
      </c>
      <c r="AQZ64" s="365">
        <v>0.5</v>
      </c>
      <c r="ARA64" s="366" t="e">
        <f>10/AQW62</f>
        <v>#DIV/0!</v>
      </c>
      <c r="ARB64" s="367">
        <v>15.38</v>
      </c>
      <c r="ARC64" s="367" t="e">
        <f>AQZ64*ARA64*ARB64</f>
        <v>#DIV/0!</v>
      </c>
      <c r="ARD64" s="363" t="s">
        <v>153</v>
      </c>
      <c r="ARE64" s="363"/>
      <c r="ARF64" s="363"/>
      <c r="ARG64" s="364" t="s">
        <v>140</v>
      </c>
      <c r="ARH64" s="365">
        <v>0.5</v>
      </c>
      <c r="ARI64" s="366" t="e">
        <f>10/ARE62</f>
        <v>#DIV/0!</v>
      </c>
      <c r="ARJ64" s="367">
        <v>15.38</v>
      </c>
      <c r="ARK64" s="367" t="e">
        <f>ARH64*ARI64*ARJ64</f>
        <v>#DIV/0!</v>
      </c>
      <c r="ARL64" s="363" t="s">
        <v>153</v>
      </c>
      <c r="ARM64" s="363"/>
      <c r="ARN64" s="363"/>
      <c r="ARO64" s="364" t="s">
        <v>140</v>
      </c>
      <c r="ARP64" s="365">
        <v>0.5</v>
      </c>
      <c r="ARQ64" s="366" t="e">
        <f>10/ARM62</f>
        <v>#DIV/0!</v>
      </c>
      <c r="ARR64" s="367">
        <v>15.38</v>
      </c>
      <c r="ARS64" s="367" t="e">
        <f>ARP64*ARQ64*ARR64</f>
        <v>#DIV/0!</v>
      </c>
      <c r="ART64" s="363" t="s">
        <v>153</v>
      </c>
      <c r="ARU64" s="363"/>
      <c r="ARV64" s="363"/>
      <c r="ARW64" s="364" t="s">
        <v>140</v>
      </c>
      <c r="ARX64" s="365">
        <v>0.5</v>
      </c>
      <c r="ARY64" s="366" t="e">
        <f>10/ARU62</f>
        <v>#DIV/0!</v>
      </c>
      <c r="ARZ64" s="367">
        <v>15.38</v>
      </c>
      <c r="ASA64" s="367" t="e">
        <f>ARX64*ARY64*ARZ64</f>
        <v>#DIV/0!</v>
      </c>
      <c r="ASB64" s="363" t="s">
        <v>153</v>
      </c>
      <c r="ASC64" s="363"/>
      <c r="ASD64" s="363"/>
      <c r="ASE64" s="364" t="s">
        <v>140</v>
      </c>
      <c r="ASF64" s="365">
        <v>0.5</v>
      </c>
      <c r="ASG64" s="366" t="e">
        <f>10/ASC62</f>
        <v>#DIV/0!</v>
      </c>
      <c r="ASH64" s="367">
        <v>15.38</v>
      </c>
      <c r="ASI64" s="367" t="e">
        <f>ASF64*ASG64*ASH64</f>
        <v>#DIV/0!</v>
      </c>
      <c r="ASJ64" s="363" t="s">
        <v>153</v>
      </c>
      <c r="ASK64" s="363"/>
      <c r="ASL64" s="363"/>
      <c r="ASM64" s="364" t="s">
        <v>140</v>
      </c>
      <c r="ASN64" s="365">
        <v>0.5</v>
      </c>
      <c r="ASO64" s="366" t="e">
        <f>10/ASK62</f>
        <v>#DIV/0!</v>
      </c>
      <c r="ASP64" s="367">
        <v>15.38</v>
      </c>
      <c r="ASQ64" s="367" t="e">
        <f>ASN64*ASO64*ASP64</f>
        <v>#DIV/0!</v>
      </c>
      <c r="ASR64" s="363" t="s">
        <v>153</v>
      </c>
      <c r="ASS64" s="363"/>
      <c r="AST64" s="363"/>
      <c r="ASU64" s="364" t="s">
        <v>140</v>
      </c>
      <c r="ASV64" s="365">
        <v>0.5</v>
      </c>
      <c r="ASW64" s="366" t="e">
        <f>10/ASS62</f>
        <v>#DIV/0!</v>
      </c>
      <c r="ASX64" s="367">
        <v>15.38</v>
      </c>
      <c r="ASY64" s="367" t="e">
        <f>ASV64*ASW64*ASX64</f>
        <v>#DIV/0!</v>
      </c>
      <c r="ASZ64" s="363" t="s">
        <v>153</v>
      </c>
      <c r="ATA64" s="363"/>
      <c r="ATB64" s="363"/>
      <c r="ATC64" s="364" t="s">
        <v>140</v>
      </c>
      <c r="ATD64" s="365">
        <v>0.5</v>
      </c>
      <c r="ATE64" s="366" t="e">
        <f>10/ATA62</f>
        <v>#DIV/0!</v>
      </c>
      <c r="ATF64" s="367">
        <v>15.38</v>
      </c>
      <c r="ATG64" s="367" t="e">
        <f>ATD64*ATE64*ATF64</f>
        <v>#DIV/0!</v>
      </c>
      <c r="ATH64" s="363" t="s">
        <v>153</v>
      </c>
      <c r="ATI64" s="363"/>
      <c r="ATJ64" s="363"/>
      <c r="ATK64" s="364" t="s">
        <v>140</v>
      </c>
      <c r="ATL64" s="365">
        <v>0.5</v>
      </c>
      <c r="ATM64" s="366" t="e">
        <f>10/ATI62</f>
        <v>#DIV/0!</v>
      </c>
      <c r="ATN64" s="367">
        <v>15.38</v>
      </c>
      <c r="ATO64" s="367" t="e">
        <f>ATL64*ATM64*ATN64</f>
        <v>#DIV/0!</v>
      </c>
      <c r="ATP64" s="363" t="s">
        <v>153</v>
      </c>
      <c r="ATQ64" s="363"/>
      <c r="ATR64" s="363"/>
      <c r="ATS64" s="364" t="s">
        <v>140</v>
      </c>
      <c r="ATT64" s="365">
        <v>0.5</v>
      </c>
      <c r="ATU64" s="366" t="e">
        <f>10/ATQ62</f>
        <v>#DIV/0!</v>
      </c>
      <c r="ATV64" s="367">
        <v>15.38</v>
      </c>
      <c r="ATW64" s="367" t="e">
        <f>ATT64*ATU64*ATV64</f>
        <v>#DIV/0!</v>
      </c>
      <c r="ATX64" s="363" t="s">
        <v>153</v>
      </c>
      <c r="ATY64" s="363"/>
      <c r="ATZ64" s="363"/>
      <c r="AUA64" s="364" t="s">
        <v>140</v>
      </c>
      <c r="AUB64" s="365">
        <v>0.5</v>
      </c>
      <c r="AUC64" s="366" t="e">
        <f>10/ATY62</f>
        <v>#DIV/0!</v>
      </c>
      <c r="AUD64" s="367">
        <v>15.38</v>
      </c>
      <c r="AUE64" s="367" t="e">
        <f>AUB64*AUC64*AUD64</f>
        <v>#DIV/0!</v>
      </c>
      <c r="AUF64" s="363" t="s">
        <v>153</v>
      </c>
      <c r="AUG64" s="363"/>
      <c r="AUH64" s="363"/>
      <c r="AUI64" s="364" t="s">
        <v>140</v>
      </c>
      <c r="AUJ64" s="365">
        <v>0.5</v>
      </c>
      <c r="AUK64" s="366" t="e">
        <f>10/AUG62</f>
        <v>#DIV/0!</v>
      </c>
      <c r="AUL64" s="367">
        <v>15.38</v>
      </c>
      <c r="AUM64" s="367" t="e">
        <f>AUJ64*AUK64*AUL64</f>
        <v>#DIV/0!</v>
      </c>
      <c r="AUN64" s="363" t="s">
        <v>153</v>
      </c>
      <c r="AUO64" s="363"/>
      <c r="AUP64" s="363"/>
      <c r="AUQ64" s="364" t="s">
        <v>140</v>
      </c>
      <c r="AUR64" s="365">
        <v>0.5</v>
      </c>
      <c r="AUS64" s="366" t="e">
        <f>10/AUO62</f>
        <v>#DIV/0!</v>
      </c>
      <c r="AUT64" s="367">
        <v>15.38</v>
      </c>
      <c r="AUU64" s="367" t="e">
        <f>AUR64*AUS64*AUT64</f>
        <v>#DIV/0!</v>
      </c>
      <c r="AUV64" s="363" t="s">
        <v>153</v>
      </c>
      <c r="AUW64" s="363"/>
      <c r="AUX64" s="363"/>
      <c r="AUY64" s="364" t="s">
        <v>140</v>
      </c>
      <c r="AUZ64" s="365">
        <v>0.5</v>
      </c>
      <c r="AVA64" s="366" t="e">
        <f>10/AUW62</f>
        <v>#DIV/0!</v>
      </c>
      <c r="AVB64" s="367">
        <v>15.38</v>
      </c>
      <c r="AVC64" s="367" t="e">
        <f>AUZ64*AVA64*AVB64</f>
        <v>#DIV/0!</v>
      </c>
      <c r="AVD64" s="363" t="s">
        <v>153</v>
      </c>
      <c r="AVE64" s="363"/>
      <c r="AVF64" s="363"/>
      <c r="AVG64" s="364" t="s">
        <v>140</v>
      </c>
      <c r="AVH64" s="365">
        <v>0.5</v>
      </c>
      <c r="AVI64" s="366" t="e">
        <f>10/AVE62</f>
        <v>#DIV/0!</v>
      </c>
      <c r="AVJ64" s="367">
        <v>15.38</v>
      </c>
      <c r="AVK64" s="367" t="e">
        <f>AVH64*AVI64*AVJ64</f>
        <v>#DIV/0!</v>
      </c>
      <c r="AVL64" s="363" t="s">
        <v>153</v>
      </c>
      <c r="AVM64" s="363"/>
      <c r="AVN64" s="363"/>
      <c r="AVO64" s="364" t="s">
        <v>140</v>
      </c>
      <c r="AVP64" s="365">
        <v>0.5</v>
      </c>
      <c r="AVQ64" s="366" t="e">
        <f>10/AVM62</f>
        <v>#DIV/0!</v>
      </c>
      <c r="AVR64" s="367">
        <v>15.38</v>
      </c>
      <c r="AVS64" s="367" t="e">
        <f>AVP64*AVQ64*AVR64</f>
        <v>#DIV/0!</v>
      </c>
      <c r="AVT64" s="363" t="s">
        <v>153</v>
      </c>
      <c r="AVU64" s="363"/>
      <c r="AVV64" s="363"/>
      <c r="AVW64" s="364" t="s">
        <v>140</v>
      </c>
      <c r="AVX64" s="365">
        <v>0.5</v>
      </c>
      <c r="AVY64" s="366" t="e">
        <f>10/AVU62</f>
        <v>#DIV/0!</v>
      </c>
      <c r="AVZ64" s="367">
        <v>15.38</v>
      </c>
      <c r="AWA64" s="367" t="e">
        <f>AVX64*AVY64*AVZ64</f>
        <v>#DIV/0!</v>
      </c>
      <c r="AWB64" s="363" t="s">
        <v>153</v>
      </c>
      <c r="AWC64" s="363"/>
      <c r="AWD64" s="363"/>
      <c r="AWE64" s="364" t="s">
        <v>140</v>
      </c>
      <c r="AWF64" s="365">
        <v>0.5</v>
      </c>
      <c r="AWG64" s="366" t="e">
        <f>10/AWC62</f>
        <v>#DIV/0!</v>
      </c>
      <c r="AWH64" s="367">
        <v>15.38</v>
      </c>
      <c r="AWI64" s="367" t="e">
        <f>AWF64*AWG64*AWH64</f>
        <v>#DIV/0!</v>
      </c>
      <c r="AWJ64" s="363" t="s">
        <v>153</v>
      </c>
      <c r="AWK64" s="363"/>
      <c r="AWL64" s="363"/>
      <c r="AWM64" s="364" t="s">
        <v>140</v>
      </c>
      <c r="AWN64" s="365">
        <v>0.5</v>
      </c>
      <c r="AWO64" s="366" t="e">
        <f>10/AWK62</f>
        <v>#DIV/0!</v>
      </c>
      <c r="AWP64" s="367">
        <v>15.38</v>
      </c>
      <c r="AWQ64" s="367" t="e">
        <f>AWN64*AWO64*AWP64</f>
        <v>#DIV/0!</v>
      </c>
      <c r="AWR64" s="363" t="s">
        <v>153</v>
      </c>
      <c r="AWS64" s="363"/>
      <c r="AWT64" s="363"/>
      <c r="AWU64" s="364" t="s">
        <v>140</v>
      </c>
      <c r="AWV64" s="365">
        <v>0.5</v>
      </c>
      <c r="AWW64" s="366" t="e">
        <f>10/AWS62</f>
        <v>#DIV/0!</v>
      </c>
      <c r="AWX64" s="367">
        <v>15.38</v>
      </c>
      <c r="AWY64" s="367" t="e">
        <f>AWV64*AWW64*AWX64</f>
        <v>#DIV/0!</v>
      </c>
      <c r="AWZ64" s="363" t="s">
        <v>153</v>
      </c>
      <c r="AXA64" s="363"/>
      <c r="AXB64" s="363"/>
      <c r="AXC64" s="364" t="s">
        <v>140</v>
      </c>
      <c r="AXD64" s="365">
        <v>0.5</v>
      </c>
      <c r="AXE64" s="366" t="e">
        <f>10/AXA62</f>
        <v>#DIV/0!</v>
      </c>
      <c r="AXF64" s="367">
        <v>15.38</v>
      </c>
      <c r="AXG64" s="367" t="e">
        <f>AXD64*AXE64*AXF64</f>
        <v>#DIV/0!</v>
      </c>
      <c r="AXH64" s="363" t="s">
        <v>153</v>
      </c>
      <c r="AXI64" s="363"/>
      <c r="AXJ64" s="363"/>
      <c r="AXK64" s="364" t="s">
        <v>140</v>
      </c>
      <c r="AXL64" s="365">
        <v>0.5</v>
      </c>
      <c r="AXM64" s="366" t="e">
        <f>10/AXI62</f>
        <v>#DIV/0!</v>
      </c>
      <c r="AXN64" s="367">
        <v>15.38</v>
      </c>
      <c r="AXO64" s="367" t="e">
        <f>AXL64*AXM64*AXN64</f>
        <v>#DIV/0!</v>
      </c>
      <c r="AXP64" s="363" t="s">
        <v>153</v>
      </c>
      <c r="AXQ64" s="363"/>
      <c r="AXR64" s="363"/>
      <c r="AXS64" s="364" t="s">
        <v>140</v>
      </c>
      <c r="AXT64" s="365">
        <v>0.5</v>
      </c>
      <c r="AXU64" s="366" t="e">
        <f>10/AXQ62</f>
        <v>#DIV/0!</v>
      </c>
      <c r="AXV64" s="367">
        <v>15.38</v>
      </c>
      <c r="AXW64" s="367" t="e">
        <f>AXT64*AXU64*AXV64</f>
        <v>#DIV/0!</v>
      </c>
      <c r="AXX64" s="363" t="s">
        <v>153</v>
      </c>
      <c r="AXY64" s="363"/>
      <c r="AXZ64" s="363"/>
      <c r="AYA64" s="364" t="s">
        <v>140</v>
      </c>
      <c r="AYB64" s="365">
        <v>0.5</v>
      </c>
      <c r="AYC64" s="366" t="e">
        <f>10/AXY62</f>
        <v>#DIV/0!</v>
      </c>
      <c r="AYD64" s="367">
        <v>15.38</v>
      </c>
      <c r="AYE64" s="367" t="e">
        <f>AYB64*AYC64*AYD64</f>
        <v>#DIV/0!</v>
      </c>
      <c r="AYF64" s="363" t="s">
        <v>153</v>
      </c>
      <c r="AYG64" s="363"/>
      <c r="AYH64" s="363"/>
      <c r="AYI64" s="364" t="s">
        <v>140</v>
      </c>
      <c r="AYJ64" s="365">
        <v>0.5</v>
      </c>
      <c r="AYK64" s="366" t="e">
        <f>10/AYG62</f>
        <v>#DIV/0!</v>
      </c>
      <c r="AYL64" s="367">
        <v>15.38</v>
      </c>
      <c r="AYM64" s="367" t="e">
        <f>AYJ64*AYK64*AYL64</f>
        <v>#DIV/0!</v>
      </c>
      <c r="AYN64" s="363" t="s">
        <v>153</v>
      </c>
      <c r="AYO64" s="363"/>
      <c r="AYP64" s="363"/>
      <c r="AYQ64" s="364" t="s">
        <v>140</v>
      </c>
      <c r="AYR64" s="365">
        <v>0.5</v>
      </c>
      <c r="AYS64" s="366" t="e">
        <f>10/AYO62</f>
        <v>#DIV/0!</v>
      </c>
      <c r="AYT64" s="367">
        <v>15.38</v>
      </c>
      <c r="AYU64" s="367" t="e">
        <f>AYR64*AYS64*AYT64</f>
        <v>#DIV/0!</v>
      </c>
      <c r="AYV64" s="363" t="s">
        <v>153</v>
      </c>
      <c r="AYW64" s="363"/>
      <c r="AYX64" s="363"/>
      <c r="AYY64" s="364" t="s">
        <v>140</v>
      </c>
      <c r="AYZ64" s="365">
        <v>0.5</v>
      </c>
      <c r="AZA64" s="366" t="e">
        <f>10/AYW62</f>
        <v>#DIV/0!</v>
      </c>
      <c r="AZB64" s="367">
        <v>15.38</v>
      </c>
      <c r="AZC64" s="367" t="e">
        <f>AYZ64*AZA64*AZB64</f>
        <v>#DIV/0!</v>
      </c>
      <c r="AZD64" s="363" t="s">
        <v>153</v>
      </c>
      <c r="AZE64" s="363"/>
      <c r="AZF64" s="363"/>
      <c r="AZG64" s="364" t="s">
        <v>140</v>
      </c>
      <c r="AZH64" s="365">
        <v>0.5</v>
      </c>
      <c r="AZI64" s="366" t="e">
        <f>10/AZE62</f>
        <v>#DIV/0!</v>
      </c>
      <c r="AZJ64" s="367">
        <v>15.38</v>
      </c>
      <c r="AZK64" s="367" t="e">
        <f>AZH64*AZI64*AZJ64</f>
        <v>#DIV/0!</v>
      </c>
      <c r="AZL64" s="363" t="s">
        <v>153</v>
      </c>
      <c r="AZM64" s="363"/>
      <c r="AZN64" s="363"/>
      <c r="AZO64" s="364" t="s">
        <v>140</v>
      </c>
      <c r="AZP64" s="365">
        <v>0.5</v>
      </c>
      <c r="AZQ64" s="366" t="e">
        <f>10/AZM62</f>
        <v>#DIV/0!</v>
      </c>
      <c r="AZR64" s="367">
        <v>15.38</v>
      </c>
      <c r="AZS64" s="367" t="e">
        <f>AZP64*AZQ64*AZR64</f>
        <v>#DIV/0!</v>
      </c>
      <c r="AZT64" s="363" t="s">
        <v>153</v>
      </c>
      <c r="AZU64" s="363"/>
      <c r="AZV64" s="363"/>
      <c r="AZW64" s="364" t="s">
        <v>140</v>
      </c>
      <c r="AZX64" s="365">
        <v>0.5</v>
      </c>
      <c r="AZY64" s="366" t="e">
        <f>10/AZU62</f>
        <v>#DIV/0!</v>
      </c>
      <c r="AZZ64" s="367">
        <v>15.38</v>
      </c>
      <c r="BAA64" s="367" t="e">
        <f>AZX64*AZY64*AZZ64</f>
        <v>#DIV/0!</v>
      </c>
      <c r="BAB64" s="363" t="s">
        <v>153</v>
      </c>
      <c r="BAC64" s="363"/>
      <c r="BAD64" s="363"/>
      <c r="BAE64" s="364" t="s">
        <v>140</v>
      </c>
      <c r="BAF64" s="365">
        <v>0.5</v>
      </c>
      <c r="BAG64" s="366" t="e">
        <f>10/BAC62</f>
        <v>#DIV/0!</v>
      </c>
      <c r="BAH64" s="367">
        <v>15.38</v>
      </c>
      <c r="BAI64" s="367" t="e">
        <f>BAF64*BAG64*BAH64</f>
        <v>#DIV/0!</v>
      </c>
      <c r="BAJ64" s="363" t="s">
        <v>153</v>
      </c>
      <c r="BAK64" s="363"/>
      <c r="BAL64" s="363"/>
      <c r="BAM64" s="364" t="s">
        <v>140</v>
      </c>
      <c r="BAN64" s="365">
        <v>0.5</v>
      </c>
      <c r="BAO64" s="366" t="e">
        <f>10/BAK62</f>
        <v>#DIV/0!</v>
      </c>
      <c r="BAP64" s="367">
        <v>15.38</v>
      </c>
      <c r="BAQ64" s="367" t="e">
        <f>BAN64*BAO64*BAP64</f>
        <v>#DIV/0!</v>
      </c>
      <c r="BAR64" s="363" t="s">
        <v>153</v>
      </c>
      <c r="BAS64" s="363"/>
      <c r="BAT64" s="363"/>
      <c r="BAU64" s="364" t="s">
        <v>140</v>
      </c>
      <c r="BAV64" s="365">
        <v>0.5</v>
      </c>
      <c r="BAW64" s="366" t="e">
        <f>10/BAS62</f>
        <v>#DIV/0!</v>
      </c>
      <c r="BAX64" s="367">
        <v>15.38</v>
      </c>
      <c r="BAY64" s="367" t="e">
        <f>BAV64*BAW64*BAX64</f>
        <v>#DIV/0!</v>
      </c>
      <c r="BAZ64" s="363" t="s">
        <v>153</v>
      </c>
      <c r="BBA64" s="363"/>
      <c r="BBB64" s="363"/>
      <c r="BBC64" s="364" t="s">
        <v>140</v>
      </c>
      <c r="BBD64" s="365">
        <v>0.5</v>
      </c>
      <c r="BBE64" s="366" t="e">
        <f>10/BBA62</f>
        <v>#DIV/0!</v>
      </c>
      <c r="BBF64" s="367">
        <v>15.38</v>
      </c>
      <c r="BBG64" s="367" t="e">
        <f>BBD64*BBE64*BBF64</f>
        <v>#DIV/0!</v>
      </c>
      <c r="BBH64" s="363" t="s">
        <v>153</v>
      </c>
      <c r="BBI64" s="363"/>
      <c r="BBJ64" s="363"/>
      <c r="BBK64" s="364" t="s">
        <v>140</v>
      </c>
      <c r="BBL64" s="365">
        <v>0.5</v>
      </c>
      <c r="BBM64" s="366" t="e">
        <f>10/BBI62</f>
        <v>#DIV/0!</v>
      </c>
      <c r="BBN64" s="367">
        <v>15.38</v>
      </c>
      <c r="BBO64" s="367" t="e">
        <f>BBL64*BBM64*BBN64</f>
        <v>#DIV/0!</v>
      </c>
      <c r="BBP64" s="363" t="s">
        <v>153</v>
      </c>
      <c r="BBQ64" s="363"/>
      <c r="BBR64" s="363"/>
      <c r="BBS64" s="364" t="s">
        <v>140</v>
      </c>
      <c r="BBT64" s="365">
        <v>0.5</v>
      </c>
      <c r="BBU64" s="366" t="e">
        <f>10/BBQ62</f>
        <v>#DIV/0!</v>
      </c>
      <c r="BBV64" s="367">
        <v>15.38</v>
      </c>
      <c r="BBW64" s="367" t="e">
        <f>BBT64*BBU64*BBV64</f>
        <v>#DIV/0!</v>
      </c>
      <c r="BBX64" s="363" t="s">
        <v>153</v>
      </c>
      <c r="BBY64" s="363"/>
      <c r="BBZ64" s="363"/>
      <c r="BCA64" s="364" t="s">
        <v>140</v>
      </c>
      <c r="BCB64" s="365">
        <v>0.5</v>
      </c>
      <c r="BCC64" s="366" t="e">
        <f>10/BBY62</f>
        <v>#DIV/0!</v>
      </c>
      <c r="BCD64" s="367">
        <v>15.38</v>
      </c>
      <c r="BCE64" s="367" t="e">
        <f>BCB64*BCC64*BCD64</f>
        <v>#DIV/0!</v>
      </c>
      <c r="BCF64" s="363" t="s">
        <v>153</v>
      </c>
      <c r="BCG64" s="363"/>
      <c r="BCH64" s="363"/>
      <c r="BCI64" s="364" t="s">
        <v>140</v>
      </c>
      <c r="BCJ64" s="365">
        <v>0.5</v>
      </c>
      <c r="BCK64" s="366" t="e">
        <f>10/BCG62</f>
        <v>#DIV/0!</v>
      </c>
      <c r="BCL64" s="367">
        <v>15.38</v>
      </c>
      <c r="BCM64" s="367" t="e">
        <f>BCJ64*BCK64*BCL64</f>
        <v>#DIV/0!</v>
      </c>
      <c r="BCN64" s="363" t="s">
        <v>153</v>
      </c>
      <c r="BCO64" s="363"/>
      <c r="BCP64" s="363"/>
      <c r="BCQ64" s="364" t="s">
        <v>140</v>
      </c>
      <c r="BCR64" s="365">
        <v>0.5</v>
      </c>
      <c r="BCS64" s="366" t="e">
        <f>10/BCO62</f>
        <v>#DIV/0!</v>
      </c>
      <c r="BCT64" s="367">
        <v>15.38</v>
      </c>
      <c r="BCU64" s="367" t="e">
        <f>BCR64*BCS64*BCT64</f>
        <v>#DIV/0!</v>
      </c>
      <c r="BCV64" s="363" t="s">
        <v>153</v>
      </c>
      <c r="BCW64" s="363"/>
      <c r="BCX64" s="363"/>
      <c r="BCY64" s="364" t="s">
        <v>140</v>
      </c>
      <c r="BCZ64" s="365">
        <v>0.5</v>
      </c>
      <c r="BDA64" s="366" t="e">
        <f>10/BCW62</f>
        <v>#DIV/0!</v>
      </c>
      <c r="BDB64" s="367">
        <v>15.38</v>
      </c>
      <c r="BDC64" s="367" t="e">
        <f>BCZ64*BDA64*BDB64</f>
        <v>#DIV/0!</v>
      </c>
      <c r="BDD64" s="363" t="s">
        <v>153</v>
      </c>
      <c r="BDE64" s="363"/>
      <c r="BDF64" s="363"/>
      <c r="BDG64" s="364" t="s">
        <v>140</v>
      </c>
      <c r="BDH64" s="365">
        <v>0.5</v>
      </c>
      <c r="BDI64" s="366" t="e">
        <f>10/BDE62</f>
        <v>#DIV/0!</v>
      </c>
      <c r="BDJ64" s="367">
        <v>15.38</v>
      </c>
      <c r="BDK64" s="367" t="e">
        <f>BDH64*BDI64*BDJ64</f>
        <v>#DIV/0!</v>
      </c>
      <c r="BDL64" s="363" t="s">
        <v>153</v>
      </c>
      <c r="BDM64" s="363"/>
      <c r="BDN64" s="363"/>
      <c r="BDO64" s="364" t="s">
        <v>140</v>
      </c>
      <c r="BDP64" s="365">
        <v>0.5</v>
      </c>
      <c r="BDQ64" s="366" t="e">
        <f>10/BDM62</f>
        <v>#DIV/0!</v>
      </c>
      <c r="BDR64" s="367">
        <v>15.38</v>
      </c>
      <c r="BDS64" s="367" t="e">
        <f>BDP64*BDQ64*BDR64</f>
        <v>#DIV/0!</v>
      </c>
      <c r="BDT64" s="363" t="s">
        <v>153</v>
      </c>
      <c r="BDU64" s="363"/>
      <c r="BDV64" s="363"/>
      <c r="BDW64" s="364" t="s">
        <v>140</v>
      </c>
      <c r="BDX64" s="365">
        <v>0.5</v>
      </c>
      <c r="BDY64" s="366" t="e">
        <f>10/BDU62</f>
        <v>#DIV/0!</v>
      </c>
      <c r="BDZ64" s="367">
        <v>15.38</v>
      </c>
      <c r="BEA64" s="367" t="e">
        <f>BDX64*BDY64*BDZ64</f>
        <v>#DIV/0!</v>
      </c>
      <c r="BEB64" s="363" t="s">
        <v>153</v>
      </c>
      <c r="BEC64" s="363"/>
      <c r="BED64" s="363"/>
      <c r="BEE64" s="364" t="s">
        <v>140</v>
      </c>
      <c r="BEF64" s="365">
        <v>0.5</v>
      </c>
      <c r="BEG64" s="366" t="e">
        <f>10/BEC62</f>
        <v>#DIV/0!</v>
      </c>
      <c r="BEH64" s="367">
        <v>15.38</v>
      </c>
      <c r="BEI64" s="367" t="e">
        <f>BEF64*BEG64*BEH64</f>
        <v>#DIV/0!</v>
      </c>
      <c r="BEJ64" s="363" t="s">
        <v>153</v>
      </c>
      <c r="BEK64" s="363"/>
      <c r="BEL64" s="363"/>
      <c r="BEM64" s="364" t="s">
        <v>140</v>
      </c>
      <c r="BEN64" s="365">
        <v>0.5</v>
      </c>
      <c r="BEO64" s="366" t="e">
        <f>10/BEK62</f>
        <v>#DIV/0!</v>
      </c>
      <c r="BEP64" s="367">
        <v>15.38</v>
      </c>
      <c r="BEQ64" s="367" t="e">
        <f>BEN64*BEO64*BEP64</f>
        <v>#DIV/0!</v>
      </c>
      <c r="BER64" s="363" t="s">
        <v>153</v>
      </c>
      <c r="BES64" s="363"/>
      <c r="BET64" s="363"/>
      <c r="BEU64" s="364" t="s">
        <v>140</v>
      </c>
      <c r="BEV64" s="365">
        <v>0.5</v>
      </c>
      <c r="BEW64" s="366" t="e">
        <f>10/BES62</f>
        <v>#DIV/0!</v>
      </c>
      <c r="BEX64" s="367">
        <v>15.38</v>
      </c>
      <c r="BEY64" s="367" t="e">
        <f>BEV64*BEW64*BEX64</f>
        <v>#DIV/0!</v>
      </c>
      <c r="BEZ64" s="363" t="s">
        <v>153</v>
      </c>
      <c r="BFA64" s="363"/>
      <c r="BFB64" s="363"/>
      <c r="BFC64" s="364" t="s">
        <v>140</v>
      </c>
      <c r="BFD64" s="365">
        <v>0.5</v>
      </c>
      <c r="BFE64" s="366" t="e">
        <f>10/BFA62</f>
        <v>#DIV/0!</v>
      </c>
      <c r="BFF64" s="367">
        <v>15.38</v>
      </c>
      <c r="BFG64" s="367" t="e">
        <f>BFD64*BFE64*BFF64</f>
        <v>#DIV/0!</v>
      </c>
      <c r="BFH64" s="363" t="s">
        <v>153</v>
      </c>
      <c r="BFI64" s="363"/>
      <c r="BFJ64" s="363"/>
      <c r="BFK64" s="364" t="s">
        <v>140</v>
      </c>
      <c r="BFL64" s="365">
        <v>0.5</v>
      </c>
      <c r="BFM64" s="366" t="e">
        <f>10/BFI62</f>
        <v>#DIV/0!</v>
      </c>
      <c r="BFN64" s="367">
        <v>15.38</v>
      </c>
      <c r="BFO64" s="367" t="e">
        <f>BFL64*BFM64*BFN64</f>
        <v>#DIV/0!</v>
      </c>
      <c r="BFP64" s="363" t="s">
        <v>153</v>
      </c>
      <c r="BFQ64" s="363"/>
      <c r="BFR64" s="363"/>
      <c r="BFS64" s="364" t="s">
        <v>140</v>
      </c>
      <c r="BFT64" s="365">
        <v>0.5</v>
      </c>
      <c r="BFU64" s="366" t="e">
        <f>10/BFQ62</f>
        <v>#DIV/0!</v>
      </c>
      <c r="BFV64" s="367">
        <v>15.38</v>
      </c>
      <c r="BFW64" s="367" t="e">
        <f>BFT64*BFU64*BFV64</f>
        <v>#DIV/0!</v>
      </c>
      <c r="BFX64" s="363" t="s">
        <v>153</v>
      </c>
      <c r="BFY64" s="363"/>
      <c r="BFZ64" s="363"/>
      <c r="BGA64" s="364" t="s">
        <v>140</v>
      </c>
      <c r="BGB64" s="365">
        <v>0.5</v>
      </c>
      <c r="BGC64" s="366" t="e">
        <f>10/BFY62</f>
        <v>#DIV/0!</v>
      </c>
      <c r="BGD64" s="367">
        <v>15.38</v>
      </c>
      <c r="BGE64" s="367" t="e">
        <f>BGB64*BGC64*BGD64</f>
        <v>#DIV/0!</v>
      </c>
      <c r="BGF64" s="363" t="s">
        <v>153</v>
      </c>
      <c r="BGG64" s="363"/>
      <c r="BGH64" s="363"/>
      <c r="BGI64" s="364" t="s">
        <v>140</v>
      </c>
      <c r="BGJ64" s="365">
        <v>0.5</v>
      </c>
      <c r="BGK64" s="366" t="e">
        <f>10/BGG62</f>
        <v>#DIV/0!</v>
      </c>
      <c r="BGL64" s="367">
        <v>15.38</v>
      </c>
      <c r="BGM64" s="367" t="e">
        <f>BGJ64*BGK64*BGL64</f>
        <v>#DIV/0!</v>
      </c>
      <c r="BGN64" s="363" t="s">
        <v>153</v>
      </c>
      <c r="BGO64" s="363"/>
      <c r="BGP64" s="363"/>
      <c r="BGQ64" s="364" t="s">
        <v>140</v>
      </c>
      <c r="BGR64" s="365">
        <v>0.5</v>
      </c>
      <c r="BGS64" s="366" t="e">
        <f>10/BGO62</f>
        <v>#DIV/0!</v>
      </c>
      <c r="BGT64" s="367">
        <v>15.38</v>
      </c>
      <c r="BGU64" s="367" t="e">
        <f>BGR64*BGS64*BGT64</f>
        <v>#DIV/0!</v>
      </c>
      <c r="BGV64" s="363" t="s">
        <v>153</v>
      </c>
      <c r="BGW64" s="363"/>
      <c r="BGX64" s="363"/>
      <c r="BGY64" s="364" t="s">
        <v>140</v>
      </c>
      <c r="BGZ64" s="365">
        <v>0.5</v>
      </c>
      <c r="BHA64" s="366" t="e">
        <f>10/BGW62</f>
        <v>#DIV/0!</v>
      </c>
      <c r="BHB64" s="367">
        <v>15.38</v>
      </c>
      <c r="BHC64" s="367" t="e">
        <f>BGZ64*BHA64*BHB64</f>
        <v>#DIV/0!</v>
      </c>
      <c r="BHD64" s="363" t="s">
        <v>153</v>
      </c>
      <c r="BHE64" s="363"/>
      <c r="BHF64" s="363"/>
      <c r="BHG64" s="364" t="s">
        <v>140</v>
      </c>
      <c r="BHH64" s="365">
        <v>0.5</v>
      </c>
      <c r="BHI64" s="366" t="e">
        <f>10/BHE62</f>
        <v>#DIV/0!</v>
      </c>
      <c r="BHJ64" s="367">
        <v>15.38</v>
      </c>
      <c r="BHK64" s="367" t="e">
        <f>BHH64*BHI64*BHJ64</f>
        <v>#DIV/0!</v>
      </c>
      <c r="BHL64" s="363" t="s">
        <v>153</v>
      </c>
      <c r="BHM64" s="363"/>
      <c r="BHN64" s="363"/>
      <c r="BHO64" s="364" t="s">
        <v>140</v>
      </c>
      <c r="BHP64" s="365">
        <v>0.5</v>
      </c>
      <c r="BHQ64" s="366" t="e">
        <f>10/BHM62</f>
        <v>#DIV/0!</v>
      </c>
      <c r="BHR64" s="367">
        <v>15.38</v>
      </c>
      <c r="BHS64" s="367" t="e">
        <f>BHP64*BHQ64*BHR64</f>
        <v>#DIV/0!</v>
      </c>
      <c r="BHT64" s="363" t="s">
        <v>153</v>
      </c>
      <c r="BHU64" s="363"/>
      <c r="BHV64" s="363"/>
      <c r="BHW64" s="364" t="s">
        <v>140</v>
      </c>
      <c r="BHX64" s="365">
        <v>0.5</v>
      </c>
      <c r="BHY64" s="366" t="e">
        <f>10/BHU62</f>
        <v>#DIV/0!</v>
      </c>
      <c r="BHZ64" s="367">
        <v>15.38</v>
      </c>
      <c r="BIA64" s="367" t="e">
        <f>BHX64*BHY64*BHZ64</f>
        <v>#DIV/0!</v>
      </c>
      <c r="BIB64" s="363" t="s">
        <v>153</v>
      </c>
      <c r="BIC64" s="363"/>
      <c r="BID64" s="363"/>
      <c r="BIE64" s="364" t="s">
        <v>140</v>
      </c>
      <c r="BIF64" s="365">
        <v>0.5</v>
      </c>
      <c r="BIG64" s="366" t="e">
        <f>10/BIC62</f>
        <v>#DIV/0!</v>
      </c>
      <c r="BIH64" s="367">
        <v>15.38</v>
      </c>
      <c r="BII64" s="367" t="e">
        <f>BIF64*BIG64*BIH64</f>
        <v>#DIV/0!</v>
      </c>
      <c r="BIJ64" s="363" t="s">
        <v>153</v>
      </c>
      <c r="BIK64" s="363"/>
      <c r="BIL64" s="363"/>
      <c r="BIM64" s="364" t="s">
        <v>140</v>
      </c>
      <c r="BIN64" s="365">
        <v>0.5</v>
      </c>
      <c r="BIO64" s="366" t="e">
        <f>10/BIK62</f>
        <v>#DIV/0!</v>
      </c>
      <c r="BIP64" s="367">
        <v>15.38</v>
      </c>
      <c r="BIQ64" s="367" t="e">
        <f>BIN64*BIO64*BIP64</f>
        <v>#DIV/0!</v>
      </c>
      <c r="BIR64" s="363" t="s">
        <v>153</v>
      </c>
      <c r="BIS64" s="363"/>
      <c r="BIT64" s="363"/>
      <c r="BIU64" s="364" t="s">
        <v>140</v>
      </c>
      <c r="BIV64" s="365">
        <v>0.5</v>
      </c>
      <c r="BIW64" s="366" t="e">
        <f>10/BIS62</f>
        <v>#DIV/0!</v>
      </c>
      <c r="BIX64" s="367">
        <v>15.38</v>
      </c>
      <c r="BIY64" s="367" t="e">
        <f>BIV64*BIW64*BIX64</f>
        <v>#DIV/0!</v>
      </c>
      <c r="BIZ64" s="363" t="s">
        <v>153</v>
      </c>
      <c r="BJA64" s="363"/>
      <c r="BJB64" s="363"/>
      <c r="BJC64" s="364" t="s">
        <v>140</v>
      </c>
      <c r="BJD64" s="365">
        <v>0.5</v>
      </c>
      <c r="BJE64" s="366" t="e">
        <f>10/BJA62</f>
        <v>#DIV/0!</v>
      </c>
      <c r="BJF64" s="367">
        <v>15.38</v>
      </c>
      <c r="BJG64" s="367" t="e">
        <f>BJD64*BJE64*BJF64</f>
        <v>#DIV/0!</v>
      </c>
      <c r="BJH64" s="363" t="s">
        <v>153</v>
      </c>
      <c r="BJI64" s="363"/>
      <c r="BJJ64" s="363"/>
      <c r="BJK64" s="364" t="s">
        <v>140</v>
      </c>
      <c r="BJL64" s="365">
        <v>0.5</v>
      </c>
      <c r="BJM64" s="366" t="e">
        <f>10/BJI62</f>
        <v>#DIV/0!</v>
      </c>
      <c r="BJN64" s="367">
        <v>15.38</v>
      </c>
      <c r="BJO64" s="367" t="e">
        <f>BJL64*BJM64*BJN64</f>
        <v>#DIV/0!</v>
      </c>
      <c r="BJP64" s="363" t="s">
        <v>153</v>
      </c>
      <c r="BJQ64" s="363"/>
      <c r="BJR64" s="363"/>
      <c r="BJS64" s="364" t="s">
        <v>140</v>
      </c>
      <c r="BJT64" s="365">
        <v>0.5</v>
      </c>
      <c r="BJU64" s="366" t="e">
        <f>10/BJQ62</f>
        <v>#DIV/0!</v>
      </c>
      <c r="BJV64" s="367">
        <v>15.38</v>
      </c>
      <c r="BJW64" s="367" t="e">
        <f>BJT64*BJU64*BJV64</f>
        <v>#DIV/0!</v>
      </c>
      <c r="BJX64" s="363" t="s">
        <v>153</v>
      </c>
      <c r="BJY64" s="363"/>
      <c r="BJZ64" s="363"/>
      <c r="BKA64" s="364" t="s">
        <v>140</v>
      </c>
      <c r="BKB64" s="365">
        <v>0.5</v>
      </c>
      <c r="BKC64" s="366" t="e">
        <f>10/BJY62</f>
        <v>#DIV/0!</v>
      </c>
      <c r="BKD64" s="367">
        <v>15.38</v>
      </c>
      <c r="BKE64" s="367" t="e">
        <f>BKB64*BKC64*BKD64</f>
        <v>#DIV/0!</v>
      </c>
      <c r="BKF64" s="363" t="s">
        <v>153</v>
      </c>
      <c r="BKG64" s="363"/>
      <c r="BKH64" s="363"/>
      <c r="BKI64" s="364" t="s">
        <v>140</v>
      </c>
      <c r="BKJ64" s="365">
        <v>0.5</v>
      </c>
      <c r="BKK64" s="366" t="e">
        <f>10/BKG62</f>
        <v>#DIV/0!</v>
      </c>
      <c r="BKL64" s="367">
        <v>15.38</v>
      </c>
      <c r="BKM64" s="367" t="e">
        <f>BKJ64*BKK64*BKL64</f>
        <v>#DIV/0!</v>
      </c>
      <c r="BKN64" s="363" t="s">
        <v>153</v>
      </c>
      <c r="BKO64" s="363"/>
      <c r="BKP64" s="363"/>
      <c r="BKQ64" s="364" t="s">
        <v>140</v>
      </c>
      <c r="BKR64" s="365">
        <v>0.5</v>
      </c>
      <c r="BKS64" s="366" t="e">
        <f>10/BKO62</f>
        <v>#DIV/0!</v>
      </c>
      <c r="BKT64" s="367">
        <v>15.38</v>
      </c>
      <c r="BKU64" s="367" t="e">
        <f>BKR64*BKS64*BKT64</f>
        <v>#DIV/0!</v>
      </c>
      <c r="BKV64" s="363" t="s">
        <v>153</v>
      </c>
      <c r="BKW64" s="363"/>
      <c r="BKX64" s="363"/>
      <c r="BKY64" s="364" t="s">
        <v>140</v>
      </c>
      <c r="BKZ64" s="365">
        <v>0.5</v>
      </c>
      <c r="BLA64" s="366" t="e">
        <f>10/BKW62</f>
        <v>#DIV/0!</v>
      </c>
      <c r="BLB64" s="367">
        <v>15.38</v>
      </c>
      <c r="BLC64" s="367" t="e">
        <f>BKZ64*BLA64*BLB64</f>
        <v>#DIV/0!</v>
      </c>
      <c r="BLD64" s="363" t="s">
        <v>153</v>
      </c>
      <c r="BLE64" s="363"/>
      <c r="BLF64" s="363"/>
      <c r="BLG64" s="364" t="s">
        <v>140</v>
      </c>
      <c r="BLH64" s="365">
        <v>0.5</v>
      </c>
      <c r="BLI64" s="366" t="e">
        <f>10/BLE62</f>
        <v>#DIV/0!</v>
      </c>
      <c r="BLJ64" s="367">
        <v>15.38</v>
      </c>
      <c r="BLK64" s="367" t="e">
        <f>BLH64*BLI64*BLJ64</f>
        <v>#DIV/0!</v>
      </c>
      <c r="BLL64" s="363" t="s">
        <v>153</v>
      </c>
      <c r="BLM64" s="363"/>
      <c r="BLN64" s="363"/>
      <c r="BLO64" s="364" t="s">
        <v>140</v>
      </c>
      <c r="BLP64" s="365">
        <v>0.5</v>
      </c>
      <c r="BLQ64" s="366" t="e">
        <f>10/BLM62</f>
        <v>#DIV/0!</v>
      </c>
      <c r="BLR64" s="367">
        <v>15.38</v>
      </c>
      <c r="BLS64" s="367" t="e">
        <f>BLP64*BLQ64*BLR64</f>
        <v>#DIV/0!</v>
      </c>
      <c r="BLT64" s="363" t="s">
        <v>153</v>
      </c>
      <c r="BLU64" s="363"/>
      <c r="BLV64" s="363"/>
      <c r="BLW64" s="364" t="s">
        <v>140</v>
      </c>
      <c r="BLX64" s="365">
        <v>0.5</v>
      </c>
      <c r="BLY64" s="366" t="e">
        <f>10/BLU62</f>
        <v>#DIV/0!</v>
      </c>
      <c r="BLZ64" s="367">
        <v>15.38</v>
      </c>
      <c r="BMA64" s="367" t="e">
        <f>BLX64*BLY64*BLZ64</f>
        <v>#DIV/0!</v>
      </c>
      <c r="BMB64" s="363" t="s">
        <v>153</v>
      </c>
      <c r="BMC64" s="363"/>
      <c r="BMD64" s="363"/>
      <c r="BME64" s="364" t="s">
        <v>140</v>
      </c>
      <c r="BMF64" s="365">
        <v>0.5</v>
      </c>
      <c r="BMG64" s="366" t="e">
        <f>10/BMC62</f>
        <v>#DIV/0!</v>
      </c>
      <c r="BMH64" s="367">
        <v>15.38</v>
      </c>
      <c r="BMI64" s="367" t="e">
        <f>BMF64*BMG64*BMH64</f>
        <v>#DIV/0!</v>
      </c>
      <c r="BMJ64" s="363" t="s">
        <v>153</v>
      </c>
      <c r="BMK64" s="363"/>
      <c r="BML64" s="363"/>
      <c r="BMM64" s="364" t="s">
        <v>140</v>
      </c>
      <c r="BMN64" s="365">
        <v>0.5</v>
      </c>
      <c r="BMO64" s="366" t="e">
        <f>10/BMK62</f>
        <v>#DIV/0!</v>
      </c>
      <c r="BMP64" s="367">
        <v>15.38</v>
      </c>
      <c r="BMQ64" s="367" t="e">
        <f>BMN64*BMO64*BMP64</f>
        <v>#DIV/0!</v>
      </c>
      <c r="BMR64" s="363" t="s">
        <v>153</v>
      </c>
      <c r="BMS64" s="363"/>
      <c r="BMT64" s="363"/>
      <c r="BMU64" s="364" t="s">
        <v>140</v>
      </c>
      <c r="BMV64" s="365">
        <v>0.5</v>
      </c>
      <c r="BMW64" s="366" t="e">
        <f>10/BMS62</f>
        <v>#DIV/0!</v>
      </c>
      <c r="BMX64" s="367">
        <v>15.38</v>
      </c>
      <c r="BMY64" s="367" t="e">
        <f>BMV64*BMW64*BMX64</f>
        <v>#DIV/0!</v>
      </c>
      <c r="BMZ64" s="363" t="s">
        <v>153</v>
      </c>
      <c r="BNA64" s="363"/>
      <c r="BNB64" s="363"/>
      <c r="BNC64" s="364" t="s">
        <v>140</v>
      </c>
      <c r="BND64" s="365">
        <v>0.5</v>
      </c>
      <c r="BNE64" s="366" t="e">
        <f>10/BNA62</f>
        <v>#DIV/0!</v>
      </c>
      <c r="BNF64" s="367">
        <v>15.38</v>
      </c>
      <c r="BNG64" s="367" t="e">
        <f>BND64*BNE64*BNF64</f>
        <v>#DIV/0!</v>
      </c>
      <c r="BNH64" s="363" t="s">
        <v>153</v>
      </c>
      <c r="BNI64" s="363"/>
      <c r="BNJ64" s="363"/>
      <c r="BNK64" s="364" t="s">
        <v>140</v>
      </c>
      <c r="BNL64" s="365">
        <v>0.5</v>
      </c>
      <c r="BNM64" s="366" t="e">
        <f>10/BNI62</f>
        <v>#DIV/0!</v>
      </c>
      <c r="BNN64" s="367">
        <v>15.38</v>
      </c>
      <c r="BNO64" s="367" t="e">
        <f>BNL64*BNM64*BNN64</f>
        <v>#DIV/0!</v>
      </c>
      <c r="BNP64" s="363" t="s">
        <v>153</v>
      </c>
      <c r="BNQ64" s="363"/>
      <c r="BNR64" s="363"/>
      <c r="BNS64" s="364" t="s">
        <v>140</v>
      </c>
      <c r="BNT64" s="365">
        <v>0.5</v>
      </c>
      <c r="BNU64" s="366" t="e">
        <f>10/BNQ62</f>
        <v>#DIV/0!</v>
      </c>
      <c r="BNV64" s="367">
        <v>15.38</v>
      </c>
      <c r="BNW64" s="367" t="e">
        <f>BNT64*BNU64*BNV64</f>
        <v>#DIV/0!</v>
      </c>
      <c r="BNX64" s="363" t="s">
        <v>153</v>
      </c>
      <c r="BNY64" s="363"/>
      <c r="BNZ64" s="363"/>
      <c r="BOA64" s="364" t="s">
        <v>140</v>
      </c>
      <c r="BOB64" s="365">
        <v>0.5</v>
      </c>
      <c r="BOC64" s="366" t="e">
        <f>10/BNY62</f>
        <v>#DIV/0!</v>
      </c>
      <c r="BOD64" s="367">
        <v>15.38</v>
      </c>
      <c r="BOE64" s="367" t="e">
        <f>BOB64*BOC64*BOD64</f>
        <v>#DIV/0!</v>
      </c>
      <c r="BOF64" s="363" t="s">
        <v>153</v>
      </c>
      <c r="BOG64" s="363"/>
      <c r="BOH64" s="363"/>
      <c r="BOI64" s="364" t="s">
        <v>140</v>
      </c>
      <c r="BOJ64" s="365">
        <v>0.5</v>
      </c>
      <c r="BOK64" s="366" t="e">
        <f>10/BOG62</f>
        <v>#DIV/0!</v>
      </c>
      <c r="BOL64" s="367">
        <v>15.38</v>
      </c>
      <c r="BOM64" s="367" t="e">
        <f>BOJ64*BOK64*BOL64</f>
        <v>#DIV/0!</v>
      </c>
      <c r="BON64" s="363" t="s">
        <v>153</v>
      </c>
      <c r="BOO64" s="363"/>
      <c r="BOP64" s="363"/>
      <c r="BOQ64" s="364" t="s">
        <v>140</v>
      </c>
      <c r="BOR64" s="365">
        <v>0.5</v>
      </c>
      <c r="BOS64" s="366" t="e">
        <f>10/BOO62</f>
        <v>#DIV/0!</v>
      </c>
      <c r="BOT64" s="367">
        <v>15.38</v>
      </c>
      <c r="BOU64" s="367" t="e">
        <f>BOR64*BOS64*BOT64</f>
        <v>#DIV/0!</v>
      </c>
      <c r="BOV64" s="363" t="s">
        <v>153</v>
      </c>
      <c r="BOW64" s="363"/>
      <c r="BOX64" s="363"/>
      <c r="BOY64" s="364" t="s">
        <v>140</v>
      </c>
      <c r="BOZ64" s="365">
        <v>0.5</v>
      </c>
      <c r="BPA64" s="366" t="e">
        <f>10/BOW62</f>
        <v>#DIV/0!</v>
      </c>
      <c r="BPB64" s="367">
        <v>15.38</v>
      </c>
      <c r="BPC64" s="367" t="e">
        <f>BOZ64*BPA64*BPB64</f>
        <v>#DIV/0!</v>
      </c>
      <c r="BPD64" s="363" t="s">
        <v>153</v>
      </c>
      <c r="BPE64" s="363"/>
      <c r="BPF64" s="363"/>
      <c r="BPG64" s="364" t="s">
        <v>140</v>
      </c>
      <c r="BPH64" s="365">
        <v>0.5</v>
      </c>
      <c r="BPI64" s="366" t="e">
        <f>10/BPE62</f>
        <v>#DIV/0!</v>
      </c>
      <c r="BPJ64" s="367">
        <v>15.38</v>
      </c>
      <c r="BPK64" s="367" t="e">
        <f>BPH64*BPI64*BPJ64</f>
        <v>#DIV/0!</v>
      </c>
      <c r="BPL64" s="363" t="s">
        <v>153</v>
      </c>
      <c r="BPM64" s="363"/>
      <c r="BPN64" s="363"/>
      <c r="BPO64" s="364" t="s">
        <v>140</v>
      </c>
      <c r="BPP64" s="365">
        <v>0.5</v>
      </c>
      <c r="BPQ64" s="366" t="e">
        <f>10/BPM62</f>
        <v>#DIV/0!</v>
      </c>
      <c r="BPR64" s="367">
        <v>15.38</v>
      </c>
      <c r="BPS64" s="367" t="e">
        <f>BPP64*BPQ64*BPR64</f>
        <v>#DIV/0!</v>
      </c>
      <c r="BPT64" s="363" t="s">
        <v>153</v>
      </c>
      <c r="BPU64" s="363"/>
      <c r="BPV64" s="363"/>
      <c r="BPW64" s="364" t="s">
        <v>140</v>
      </c>
      <c r="BPX64" s="365">
        <v>0.5</v>
      </c>
      <c r="BPY64" s="366" t="e">
        <f>10/BPU62</f>
        <v>#DIV/0!</v>
      </c>
      <c r="BPZ64" s="367">
        <v>15.38</v>
      </c>
      <c r="BQA64" s="367" t="e">
        <f>BPX64*BPY64*BPZ64</f>
        <v>#DIV/0!</v>
      </c>
      <c r="BQB64" s="363" t="s">
        <v>153</v>
      </c>
      <c r="BQC64" s="363"/>
      <c r="BQD64" s="363"/>
      <c r="BQE64" s="364" t="s">
        <v>140</v>
      </c>
      <c r="BQF64" s="365">
        <v>0.5</v>
      </c>
      <c r="BQG64" s="366" t="e">
        <f>10/BQC62</f>
        <v>#DIV/0!</v>
      </c>
      <c r="BQH64" s="367">
        <v>15.38</v>
      </c>
      <c r="BQI64" s="367" t="e">
        <f>BQF64*BQG64*BQH64</f>
        <v>#DIV/0!</v>
      </c>
      <c r="BQJ64" s="363" t="s">
        <v>153</v>
      </c>
      <c r="BQK64" s="363"/>
      <c r="BQL64" s="363"/>
      <c r="BQM64" s="364" t="s">
        <v>140</v>
      </c>
      <c r="BQN64" s="365">
        <v>0.5</v>
      </c>
      <c r="BQO64" s="366" t="e">
        <f>10/BQK62</f>
        <v>#DIV/0!</v>
      </c>
      <c r="BQP64" s="367">
        <v>15.38</v>
      </c>
      <c r="BQQ64" s="367" t="e">
        <f>BQN64*BQO64*BQP64</f>
        <v>#DIV/0!</v>
      </c>
      <c r="BQR64" s="363" t="s">
        <v>153</v>
      </c>
      <c r="BQS64" s="363"/>
      <c r="BQT64" s="363"/>
      <c r="BQU64" s="364" t="s">
        <v>140</v>
      </c>
      <c r="BQV64" s="365">
        <v>0.5</v>
      </c>
      <c r="BQW64" s="366" t="e">
        <f>10/BQS62</f>
        <v>#DIV/0!</v>
      </c>
      <c r="BQX64" s="367">
        <v>15.38</v>
      </c>
      <c r="BQY64" s="367" t="e">
        <f>BQV64*BQW64*BQX64</f>
        <v>#DIV/0!</v>
      </c>
      <c r="BQZ64" s="363" t="s">
        <v>153</v>
      </c>
      <c r="BRA64" s="363"/>
      <c r="BRB64" s="363"/>
      <c r="BRC64" s="364" t="s">
        <v>140</v>
      </c>
      <c r="BRD64" s="365">
        <v>0.5</v>
      </c>
      <c r="BRE64" s="366" t="e">
        <f>10/BRA62</f>
        <v>#DIV/0!</v>
      </c>
      <c r="BRF64" s="367">
        <v>15.38</v>
      </c>
      <c r="BRG64" s="367" t="e">
        <f>BRD64*BRE64*BRF64</f>
        <v>#DIV/0!</v>
      </c>
      <c r="BRH64" s="363" t="s">
        <v>153</v>
      </c>
      <c r="BRI64" s="363"/>
      <c r="BRJ64" s="363"/>
      <c r="BRK64" s="364" t="s">
        <v>140</v>
      </c>
      <c r="BRL64" s="365">
        <v>0.5</v>
      </c>
      <c r="BRM64" s="366" t="e">
        <f>10/BRI62</f>
        <v>#DIV/0!</v>
      </c>
      <c r="BRN64" s="367">
        <v>15.38</v>
      </c>
      <c r="BRO64" s="367" t="e">
        <f>BRL64*BRM64*BRN64</f>
        <v>#DIV/0!</v>
      </c>
      <c r="BRP64" s="363" t="s">
        <v>153</v>
      </c>
      <c r="BRQ64" s="363"/>
      <c r="BRR64" s="363"/>
      <c r="BRS64" s="364" t="s">
        <v>140</v>
      </c>
      <c r="BRT64" s="365">
        <v>0.5</v>
      </c>
      <c r="BRU64" s="366" t="e">
        <f>10/BRQ62</f>
        <v>#DIV/0!</v>
      </c>
      <c r="BRV64" s="367">
        <v>15.38</v>
      </c>
      <c r="BRW64" s="367" t="e">
        <f>BRT64*BRU64*BRV64</f>
        <v>#DIV/0!</v>
      </c>
      <c r="BRX64" s="363" t="s">
        <v>153</v>
      </c>
      <c r="BRY64" s="363"/>
      <c r="BRZ64" s="363"/>
      <c r="BSA64" s="364" t="s">
        <v>140</v>
      </c>
      <c r="BSB64" s="365">
        <v>0.5</v>
      </c>
      <c r="BSC64" s="366" t="e">
        <f>10/BRY62</f>
        <v>#DIV/0!</v>
      </c>
      <c r="BSD64" s="367">
        <v>15.38</v>
      </c>
      <c r="BSE64" s="367" t="e">
        <f>BSB64*BSC64*BSD64</f>
        <v>#DIV/0!</v>
      </c>
      <c r="BSF64" s="363" t="s">
        <v>153</v>
      </c>
      <c r="BSG64" s="363"/>
      <c r="BSH64" s="363"/>
      <c r="BSI64" s="364" t="s">
        <v>140</v>
      </c>
      <c r="BSJ64" s="365">
        <v>0.5</v>
      </c>
      <c r="BSK64" s="366" t="e">
        <f>10/BSG62</f>
        <v>#DIV/0!</v>
      </c>
      <c r="BSL64" s="367">
        <v>15.38</v>
      </c>
      <c r="BSM64" s="367" t="e">
        <f>BSJ64*BSK64*BSL64</f>
        <v>#DIV/0!</v>
      </c>
      <c r="BSN64" s="363" t="s">
        <v>153</v>
      </c>
      <c r="BSO64" s="363"/>
      <c r="BSP64" s="363"/>
      <c r="BSQ64" s="364" t="s">
        <v>140</v>
      </c>
      <c r="BSR64" s="365">
        <v>0.5</v>
      </c>
      <c r="BSS64" s="366" t="e">
        <f>10/BSO62</f>
        <v>#DIV/0!</v>
      </c>
      <c r="BST64" s="367">
        <v>15.38</v>
      </c>
      <c r="BSU64" s="367" t="e">
        <f>BSR64*BSS64*BST64</f>
        <v>#DIV/0!</v>
      </c>
      <c r="BSV64" s="363" t="s">
        <v>153</v>
      </c>
      <c r="BSW64" s="363"/>
      <c r="BSX64" s="363"/>
      <c r="BSY64" s="364" t="s">
        <v>140</v>
      </c>
      <c r="BSZ64" s="365">
        <v>0.5</v>
      </c>
      <c r="BTA64" s="366" t="e">
        <f>10/BSW62</f>
        <v>#DIV/0!</v>
      </c>
      <c r="BTB64" s="367">
        <v>15.38</v>
      </c>
      <c r="BTC64" s="367" t="e">
        <f>BSZ64*BTA64*BTB64</f>
        <v>#DIV/0!</v>
      </c>
      <c r="BTD64" s="363" t="s">
        <v>153</v>
      </c>
      <c r="BTE64" s="363"/>
      <c r="BTF64" s="363"/>
      <c r="BTG64" s="364" t="s">
        <v>140</v>
      </c>
      <c r="BTH64" s="365">
        <v>0.5</v>
      </c>
      <c r="BTI64" s="366" t="e">
        <f>10/BTE62</f>
        <v>#DIV/0!</v>
      </c>
      <c r="BTJ64" s="367">
        <v>15.38</v>
      </c>
      <c r="BTK64" s="367" t="e">
        <f>BTH64*BTI64*BTJ64</f>
        <v>#DIV/0!</v>
      </c>
      <c r="BTL64" s="363" t="s">
        <v>153</v>
      </c>
      <c r="BTM64" s="363"/>
      <c r="BTN64" s="363"/>
      <c r="BTO64" s="364" t="s">
        <v>140</v>
      </c>
      <c r="BTP64" s="365">
        <v>0.5</v>
      </c>
      <c r="BTQ64" s="366" t="e">
        <f>10/BTM62</f>
        <v>#DIV/0!</v>
      </c>
      <c r="BTR64" s="367">
        <v>15.38</v>
      </c>
      <c r="BTS64" s="367" t="e">
        <f>BTP64*BTQ64*BTR64</f>
        <v>#DIV/0!</v>
      </c>
      <c r="BTT64" s="363" t="s">
        <v>153</v>
      </c>
      <c r="BTU64" s="363"/>
      <c r="BTV64" s="363"/>
      <c r="BTW64" s="364" t="s">
        <v>140</v>
      </c>
      <c r="BTX64" s="365">
        <v>0.5</v>
      </c>
      <c r="BTY64" s="366" t="e">
        <f>10/BTU62</f>
        <v>#DIV/0!</v>
      </c>
      <c r="BTZ64" s="367">
        <v>15.38</v>
      </c>
      <c r="BUA64" s="367" t="e">
        <f>BTX64*BTY64*BTZ64</f>
        <v>#DIV/0!</v>
      </c>
      <c r="BUB64" s="363" t="s">
        <v>153</v>
      </c>
      <c r="BUC64" s="363"/>
      <c r="BUD64" s="363"/>
      <c r="BUE64" s="364" t="s">
        <v>140</v>
      </c>
      <c r="BUF64" s="365">
        <v>0.5</v>
      </c>
      <c r="BUG64" s="366" t="e">
        <f>10/BUC62</f>
        <v>#DIV/0!</v>
      </c>
      <c r="BUH64" s="367">
        <v>15.38</v>
      </c>
      <c r="BUI64" s="367" t="e">
        <f>BUF64*BUG64*BUH64</f>
        <v>#DIV/0!</v>
      </c>
      <c r="BUJ64" s="363" t="s">
        <v>153</v>
      </c>
      <c r="BUK64" s="363"/>
      <c r="BUL64" s="363"/>
      <c r="BUM64" s="364" t="s">
        <v>140</v>
      </c>
      <c r="BUN64" s="365">
        <v>0.5</v>
      </c>
      <c r="BUO64" s="366" t="e">
        <f>10/BUK62</f>
        <v>#DIV/0!</v>
      </c>
      <c r="BUP64" s="367">
        <v>15.38</v>
      </c>
      <c r="BUQ64" s="367" t="e">
        <f>BUN64*BUO64*BUP64</f>
        <v>#DIV/0!</v>
      </c>
      <c r="BUR64" s="363" t="s">
        <v>153</v>
      </c>
      <c r="BUS64" s="363"/>
      <c r="BUT64" s="363"/>
      <c r="BUU64" s="364" t="s">
        <v>140</v>
      </c>
      <c r="BUV64" s="365">
        <v>0.5</v>
      </c>
      <c r="BUW64" s="366" t="e">
        <f>10/BUS62</f>
        <v>#DIV/0!</v>
      </c>
      <c r="BUX64" s="367">
        <v>15.38</v>
      </c>
      <c r="BUY64" s="367" t="e">
        <f>BUV64*BUW64*BUX64</f>
        <v>#DIV/0!</v>
      </c>
      <c r="BUZ64" s="363" t="s">
        <v>153</v>
      </c>
      <c r="BVA64" s="363"/>
      <c r="BVB64" s="363"/>
      <c r="BVC64" s="364" t="s">
        <v>140</v>
      </c>
      <c r="BVD64" s="365">
        <v>0.5</v>
      </c>
      <c r="BVE64" s="366" t="e">
        <f>10/BVA62</f>
        <v>#DIV/0!</v>
      </c>
      <c r="BVF64" s="367">
        <v>15.38</v>
      </c>
      <c r="BVG64" s="367" t="e">
        <f>BVD64*BVE64*BVF64</f>
        <v>#DIV/0!</v>
      </c>
      <c r="BVH64" s="363" t="s">
        <v>153</v>
      </c>
      <c r="BVI64" s="363"/>
      <c r="BVJ64" s="363"/>
      <c r="BVK64" s="364" t="s">
        <v>140</v>
      </c>
      <c r="BVL64" s="365">
        <v>0.5</v>
      </c>
      <c r="BVM64" s="366" t="e">
        <f>10/BVI62</f>
        <v>#DIV/0!</v>
      </c>
      <c r="BVN64" s="367">
        <v>15.38</v>
      </c>
      <c r="BVO64" s="367" t="e">
        <f>BVL64*BVM64*BVN64</f>
        <v>#DIV/0!</v>
      </c>
      <c r="BVP64" s="363" t="s">
        <v>153</v>
      </c>
      <c r="BVQ64" s="363"/>
      <c r="BVR64" s="363"/>
      <c r="BVS64" s="364" t="s">
        <v>140</v>
      </c>
      <c r="BVT64" s="365">
        <v>0.5</v>
      </c>
      <c r="BVU64" s="366" t="e">
        <f>10/BVQ62</f>
        <v>#DIV/0!</v>
      </c>
      <c r="BVV64" s="367">
        <v>15.38</v>
      </c>
      <c r="BVW64" s="367" t="e">
        <f>BVT64*BVU64*BVV64</f>
        <v>#DIV/0!</v>
      </c>
      <c r="BVX64" s="363" t="s">
        <v>153</v>
      </c>
      <c r="BVY64" s="363"/>
      <c r="BVZ64" s="363"/>
      <c r="BWA64" s="364" t="s">
        <v>140</v>
      </c>
      <c r="BWB64" s="365">
        <v>0.5</v>
      </c>
      <c r="BWC64" s="366" t="e">
        <f>10/BVY62</f>
        <v>#DIV/0!</v>
      </c>
      <c r="BWD64" s="367">
        <v>15.38</v>
      </c>
      <c r="BWE64" s="367" t="e">
        <f>BWB64*BWC64*BWD64</f>
        <v>#DIV/0!</v>
      </c>
      <c r="BWF64" s="363" t="s">
        <v>153</v>
      </c>
      <c r="BWG64" s="363"/>
      <c r="BWH64" s="363"/>
      <c r="BWI64" s="364" t="s">
        <v>140</v>
      </c>
      <c r="BWJ64" s="365">
        <v>0.5</v>
      </c>
      <c r="BWK64" s="366" t="e">
        <f>10/BWG62</f>
        <v>#DIV/0!</v>
      </c>
      <c r="BWL64" s="367">
        <v>15.38</v>
      </c>
      <c r="BWM64" s="367" t="e">
        <f>BWJ64*BWK64*BWL64</f>
        <v>#DIV/0!</v>
      </c>
      <c r="BWN64" s="363" t="s">
        <v>153</v>
      </c>
      <c r="BWO64" s="363"/>
      <c r="BWP64" s="363"/>
      <c r="BWQ64" s="364" t="s">
        <v>140</v>
      </c>
      <c r="BWR64" s="365">
        <v>0.5</v>
      </c>
      <c r="BWS64" s="366" t="e">
        <f>10/BWO62</f>
        <v>#DIV/0!</v>
      </c>
      <c r="BWT64" s="367">
        <v>15.38</v>
      </c>
      <c r="BWU64" s="367" t="e">
        <f>BWR64*BWS64*BWT64</f>
        <v>#DIV/0!</v>
      </c>
      <c r="BWV64" s="363" t="s">
        <v>153</v>
      </c>
      <c r="BWW64" s="363"/>
      <c r="BWX64" s="363"/>
      <c r="BWY64" s="364" t="s">
        <v>140</v>
      </c>
      <c r="BWZ64" s="365">
        <v>0.5</v>
      </c>
      <c r="BXA64" s="366" t="e">
        <f>10/BWW62</f>
        <v>#DIV/0!</v>
      </c>
      <c r="BXB64" s="367">
        <v>15.38</v>
      </c>
      <c r="BXC64" s="367" t="e">
        <f>BWZ64*BXA64*BXB64</f>
        <v>#DIV/0!</v>
      </c>
      <c r="BXD64" s="363" t="s">
        <v>153</v>
      </c>
      <c r="BXE64" s="363"/>
      <c r="BXF64" s="363"/>
      <c r="BXG64" s="364" t="s">
        <v>140</v>
      </c>
      <c r="BXH64" s="365">
        <v>0.5</v>
      </c>
      <c r="BXI64" s="366" t="e">
        <f>10/BXE62</f>
        <v>#DIV/0!</v>
      </c>
      <c r="BXJ64" s="367">
        <v>15.38</v>
      </c>
      <c r="BXK64" s="367" t="e">
        <f>BXH64*BXI64*BXJ64</f>
        <v>#DIV/0!</v>
      </c>
      <c r="BXL64" s="363" t="s">
        <v>153</v>
      </c>
      <c r="BXM64" s="363"/>
      <c r="BXN64" s="363"/>
      <c r="BXO64" s="364" t="s">
        <v>140</v>
      </c>
      <c r="BXP64" s="365">
        <v>0.5</v>
      </c>
      <c r="BXQ64" s="366" t="e">
        <f>10/BXM62</f>
        <v>#DIV/0!</v>
      </c>
      <c r="BXR64" s="367">
        <v>15.38</v>
      </c>
      <c r="BXS64" s="367" t="e">
        <f>BXP64*BXQ64*BXR64</f>
        <v>#DIV/0!</v>
      </c>
      <c r="BXT64" s="363" t="s">
        <v>153</v>
      </c>
      <c r="BXU64" s="363"/>
      <c r="BXV64" s="363"/>
      <c r="BXW64" s="364" t="s">
        <v>140</v>
      </c>
      <c r="BXX64" s="365">
        <v>0.5</v>
      </c>
      <c r="BXY64" s="366" t="e">
        <f>10/BXU62</f>
        <v>#DIV/0!</v>
      </c>
      <c r="BXZ64" s="367">
        <v>15.38</v>
      </c>
      <c r="BYA64" s="367" t="e">
        <f>BXX64*BXY64*BXZ64</f>
        <v>#DIV/0!</v>
      </c>
      <c r="BYB64" s="363" t="s">
        <v>153</v>
      </c>
      <c r="BYC64" s="363"/>
      <c r="BYD64" s="363"/>
      <c r="BYE64" s="364" t="s">
        <v>140</v>
      </c>
      <c r="BYF64" s="365">
        <v>0.5</v>
      </c>
      <c r="BYG64" s="366" t="e">
        <f>10/BYC62</f>
        <v>#DIV/0!</v>
      </c>
      <c r="BYH64" s="367">
        <v>15.38</v>
      </c>
      <c r="BYI64" s="367" t="e">
        <f>BYF64*BYG64*BYH64</f>
        <v>#DIV/0!</v>
      </c>
      <c r="BYJ64" s="363" t="s">
        <v>153</v>
      </c>
      <c r="BYK64" s="363"/>
      <c r="BYL64" s="363"/>
      <c r="BYM64" s="364" t="s">
        <v>140</v>
      </c>
      <c r="BYN64" s="365">
        <v>0.5</v>
      </c>
      <c r="BYO64" s="366" t="e">
        <f>10/BYK62</f>
        <v>#DIV/0!</v>
      </c>
      <c r="BYP64" s="367">
        <v>15.38</v>
      </c>
      <c r="BYQ64" s="367" t="e">
        <f>BYN64*BYO64*BYP64</f>
        <v>#DIV/0!</v>
      </c>
      <c r="BYR64" s="363" t="s">
        <v>153</v>
      </c>
      <c r="BYS64" s="363"/>
      <c r="BYT64" s="363"/>
      <c r="BYU64" s="364" t="s">
        <v>140</v>
      </c>
      <c r="BYV64" s="365">
        <v>0.5</v>
      </c>
      <c r="BYW64" s="366" t="e">
        <f>10/BYS62</f>
        <v>#DIV/0!</v>
      </c>
      <c r="BYX64" s="367">
        <v>15.38</v>
      </c>
      <c r="BYY64" s="367" t="e">
        <f>BYV64*BYW64*BYX64</f>
        <v>#DIV/0!</v>
      </c>
      <c r="BYZ64" s="363" t="s">
        <v>153</v>
      </c>
      <c r="BZA64" s="363"/>
      <c r="BZB64" s="363"/>
      <c r="BZC64" s="364" t="s">
        <v>140</v>
      </c>
      <c r="BZD64" s="365">
        <v>0.5</v>
      </c>
      <c r="BZE64" s="366" t="e">
        <f>10/BZA62</f>
        <v>#DIV/0!</v>
      </c>
      <c r="BZF64" s="367">
        <v>15.38</v>
      </c>
      <c r="BZG64" s="367" t="e">
        <f>BZD64*BZE64*BZF64</f>
        <v>#DIV/0!</v>
      </c>
      <c r="BZH64" s="363" t="s">
        <v>153</v>
      </c>
      <c r="BZI64" s="363"/>
      <c r="BZJ64" s="363"/>
      <c r="BZK64" s="364" t="s">
        <v>140</v>
      </c>
      <c r="BZL64" s="365">
        <v>0.5</v>
      </c>
      <c r="BZM64" s="366" t="e">
        <f>10/BZI62</f>
        <v>#DIV/0!</v>
      </c>
      <c r="BZN64" s="367">
        <v>15.38</v>
      </c>
      <c r="BZO64" s="367" t="e">
        <f>BZL64*BZM64*BZN64</f>
        <v>#DIV/0!</v>
      </c>
      <c r="BZP64" s="363" t="s">
        <v>153</v>
      </c>
      <c r="BZQ64" s="363"/>
      <c r="BZR64" s="363"/>
      <c r="BZS64" s="364" t="s">
        <v>140</v>
      </c>
      <c r="BZT64" s="365">
        <v>0.5</v>
      </c>
      <c r="BZU64" s="366" t="e">
        <f>10/BZQ62</f>
        <v>#DIV/0!</v>
      </c>
      <c r="BZV64" s="367">
        <v>15.38</v>
      </c>
      <c r="BZW64" s="367" t="e">
        <f>BZT64*BZU64*BZV64</f>
        <v>#DIV/0!</v>
      </c>
      <c r="BZX64" s="363" t="s">
        <v>153</v>
      </c>
      <c r="BZY64" s="363"/>
      <c r="BZZ64" s="363"/>
      <c r="CAA64" s="364" t="s">
        <v>140</v>
      </c>
      <c r="CAB64" s="365">
        <v>0.5</v>
      </c>
      <c r="CAC64" s="366" t="e">
        <f>10/BZY62</f>
        <v>#DIV/0!</v>
      </c>
      <c r="CAD64" s="367">
        <v>15.38</v>
      </c>
      <c r="CAE64" s="367" t="e">
        <f>CAB64*CAC64*CAD64</f>
        <v>#DIV/0!</v>
      </c>
      <c r="CAF64" s="363" t="s">
        <v>153</v>
      </c>
      <c r="CAG64" s="363"/>
      <c r="CAH64" s="363"/>
      <c r="CAI64" s="364" t="s">
        <v>140</v>
      </c>
      <c r="CAJ64" s="365">
        <v>0.5</v>
      </c>
      <c r="CAK64" s="366" t="e">
        <f>10/CAG62</f>
        <v>#DIV/0!</v>
      </c>
      <c r="CAL64" s="367">
        <v>15.38</v>
      </c>
      <c r="CAM64" s="367" t="e">
        <f>CAJ64*CAK64*CAL64</f>
        <v>#DIV/0!</v>
      </c>
      <c r="CAN64" s="363" t="s">
        <v>153</v>
      </c>
      <c r="CAO64" s="363"/>
      <c r="CAP64" s="363"/>
      <c r="CAQ64" s="364" t="s">
        <v>140</v>
      </c>
      <c r="CAR64" s="365">
        <v>0.5</v>
      </c>
      <c r="CAS64" s="366" t="e">
        <f>10/CAO62</f>
        <v>#DIV/0!</v>
      </c>
      <c r="CAT64" s="367">
        <v>15.38</v>
      </c>
      <c r="CAU64" s="367" t="e">
        <f>CAR64*CAS64*CAT64</f>
        <v>#DIV/0!</v>
      </c>
      <c r="CAV64" s="363" t="s">
        <v>153</v>
      </c>
      <c r="CAW64" s="363"/>
      <c r="CAX64" s="363"/>
      <c r="CAY64" s="364" t="s">
        <v>140</v>
      </c>
      <c r="CAZ64" s="365">
        <v>0.5</v>
      </c>
      <c r="CBA64" s="366" t="e">
        <f>10/CAW62</f>
        <v>#DIV/0!</v>
      </c>
      <c r="CBB64" s="367">
        <v>15.38</v>
      </c>
      <c r="CBC64" s="367" t="e">
        <f>CAZ64*CBA64*CBB64</f>
        <v>#DIV/0!</v>
      </c>
      <c r="CBD64" s="363" t="s">
        <v>153</v>
      </c>
      <c r="CBE64" s="363"/>
      <c r="CBF64" s="363"/>
      <c r="CBG64" s="364" t="s">
        <v>140</v>
      </c>
      <c r="CBH64" s="365">
        <v>0.5</v>
      </c>
      <c r="CBI64" s="366" t="e">
        <f>10/CBE62</f>
        <v>#DIV/0!</v>
      </c>
      <c r="CBJ64" s="367">
        <v>15.38</v>
      </c>
      <c r="CBK64" s="367" t="e">
        <f>CBH64*CBI64*CBJ64</f>
        <v>#DIV/0!</v>
      </c>
      <c r="CBL64" s="363" t="s">
        <v>153</v>
      </c>
      <c r="CBM64" s="363"/>
      <c r="CBN64" s="363"/>
      <c r="CBO64" s="364" t="s">
        <v>140</v>
      </c>
      <c r="CBP64" s="365">
        <v>0.5</v>
      </c>
      <c r="CBQ64" s="366" t="e">
        <f>10/CBM62</f>
        <v>#DIV/0!</v>
      </c>
      <c r="CBR64" s="367">
        <v>15.38</v>
      </c>
      <c r="CBS64" s="367" t="e">
        <f>CBP64*CBQ64*CBR64</f>
        <v>#DIV/0!</v>
      </c>
      <c r="CBT64" s="363" t="s">
        <v>153</v>
      </c>
      <c r="CBU64" s="363"/>
      <c r="CBV64" s="363"/>
      <c r="CBW64" s="364" t="s">
        <v>140</v>
      </c>
      <c r="CBX64" s="365">
        <v>0.5</v>
      </c>
      <c r="CBY64" s="366" t="e">
        <f>10/CBU62</f>
        <v>#DIV/0!</v>
      </c>
      <c r="CBZ64" s="367">
        <v>15.38</v>
      </c>
      <c r="CCA64" s="367" t="e">
        <f>CBX64*CBY64*CBZ64</f>
        <v>#DIV/0!</v>
      </c>
      <c r="CCB64" s="363" t="s">
        <v>153</v>
      </c>
      <c r="CCC64" s="363"/>
      <c r="CCD64" s="363"/>
      <c r="CCE64" s="364" t="s">
        <v>140</v>
      </c>
      <c r="CCF64" s="365">
        <v>0.5</v>
      </c>
      <c r="CCG64" s="366" t="e">
        <f>10/CCC62</f>
        <v>#DIV/0!</v>
      </c>
      <c r="CCH64" s="367">
        <v>15.38</v>
      </c>
      <c r="CCI64" s="367" t="e">
        <f>CCF64*CCG64*CCH64</f>
        <v>#DIV/0!</v>
      </c>
      <c r="CCJ64" s="363" t="s">
        <v>153</v>
      </c>
      <c r="CCK64" s="363"/>
      <c r="CCL64" s="363"/>
      <c r="CCM64" s="364" t="s">
        <v>140</v>
      </c>
      <c r="CCN64" s="365">
        <v>0.5</v>
      </c>
      <c r="CCO64" s="366" t="e">
        <f>10/CCK62</f>
        <v>#DIV/0!</v>
      </c>
      <c r="CCP64" s="367">
        <v>15.38</v>
      </c>
      <c r="CCQ64" s="367" t="e">
        <f>CCN64*CCO64*CCP64</f>
        <v>#DIV/0!</v>
      </c>
      <c r="CCR64" s="363" t="s">
        <v>153</v>
      </c>
      <c r="CCS64" s="363"/>
      <c r="CCT64" s="363"/>
      <c r="CCU64" s="364" t="s">
        <v>140</v>
      </c>
      <c r="CCV64" s="365">
        <v>0.5</v>
      </c>
      <c r="CCW64" s="366" t="e">
        <f>10/CCS62</f>
        <v>#DIV/0!</v>
      </c>
      <c r="CCX64" s="367">
        <v>15.38</v>
      </c>
      <c r="CCY64" s="367" t="e">
        <f>CCV64*CCW64*CCX64</f>
        <v>#DIV/0!</v>
      </c>
      <c r="CCZ64" s="363" t="s">
        <v>153</v>
      </c>
      <c r="CDA64" s="363"/>
      <c r="CDB64" s="363"/>
      <c r="CDC64" s="364" t="s">
        <v>140</v>
      </c>
      <c r="CDD64" s="365">
        <v>0.5</v>
      </c>
      <c r="CDE64" s="366" t="e">
        <f>10/CDA62</f>
        <v>#DIV/0!</v>
      </c>
      <c r="CDF64" s="367">
        <v>15.38</v>
      </c>
      <c r="CDG64" s="367" t="e">
        <f>CDD64*CDE64*CDF64</f>
        <v>#DIV/0!</v>
      </c>
      <c r="CDH64" s="363" t="s">
        <v>153</v>
      </c>
      <c r="CDI64" s="363"/>
      <c r="CDJ64" s="363"/>
      <c r="CDK64" s="364" t="s">
        <v>140</v>
      </c>
      <c r="CDL64" s="365">
        <v>0.5</v>
      </c>
      <c r="CDM64" s="366" t="e">
        <f>10/CDI62</f>
        <v>#DIV/0!</v>
      </c>
      <c r="CDN64" s="367">
        <v>15.38</v>
      </c>
      <c r="CDO64" s="367" t="e">
        <f>CDL64*CDM64*CDN64</f>
        <v>#DIV/0!</v>
      </c>
      <c r="CDP64" s="363" t="s">
        <v>153</v>
      </c>
      <c r="CDQ64" s="363"/>
      <c r="CDR64" s="363"/>
      <c r="CDS64" s="364" t="s">
        <v>140</v>
      </c>
      <c r="CDT64" s="365">
        <v>0.5</v>
      </c>
      <c r="CDU64" s="366" t="e">
        <f>10/CDQ62</f>
        <v>#DIV/0!</v>
      </c>
      <c r="CDV64" s="367">
        <v>15.38</v>
      </c>
      <c r="CDW64" s="367" t="e">
        <f>CDT64*CDU64*CDV64</f>
        <v>#DIV/0!</v>
      </c>
      <c r="CDX64" s="363" t="s">
        <v>153</v>
      </c>
      <c r="CDY64" s="363"/>
      <c r="CDZ64" s="363"/>
      <c r="CEA64" s="364" t="s">
        <v>140</v>
      </c>
      <c r="CEB64" s="365">
        <v>0.5</v>
      </c>
      <c r="CEC64" s="366" t="e">
        <f>10/CDY62</f>
        <v>#DIV/0!</v>
      </c>
      <c r="CED64" s="367">
        <v>15.38</v>
      </c>
      <c r="CEE64" s="367" t="e">
        <f>CEB64*CEC64*CED64</f>
        <v>#DIV/0!</v>
      </c>
      <c r="CEF64" s="363" t="s">
        <v>153</v>
      </c>
      <c r="CEG64" s="363"/>
      <c r="CEH64" s="363"/>
      <c r="CEI64" s="364" t="s">
        <v>140</v>
      </c>
      <c r="CEJ64" s="365">
        <v>0.5</v>
      </c>
      <c r="CEK64" s="366" t="e">
        <f>10/CEG62</f>
        <v>#DIV/0!</v>
      </c>
      <c r="CEL64" s="367">
        <v>15.38</v>
      </c>
      <c r="CEM64" s="367" t="e">
        <f>CEJ64*CEK64*CEL64</f>
        <v>#DIV/0!</v>
      </c>
      <c r="CEN64" s="363" t="s">
        <v>153</v>
      </c>
      <c r="CEO64" s="363"/>
      <c r="CEP64" s="363"/>
      <c r="CEQ64" s="364" t="s">
        <v>140</v>
      </c>
      <c r="CER64" s="365">
        <v>0.5</v>
      </c>
      <c r="CES64" s="366" t="e">
        <f>10/CEO62</f>
        <v>#DIV/0!</v>
      </c>
      <c r="CET64" s="367">
        <v>15.38</v>
      </c>
      <c r="CEU64" s="367" t="e">
        <f>CER64*CES64*CET64</f>
        <v>#DIV/0!</v>
      </c>
      <c r="CEV64" s="363" t="s">
        <v>153</v>
      </c>
      <c r="CEW64" s="363"/>
      <c r="CEX64" s="363"/>
      <c r="CEY64" s="364" t="s">
        <v>140</v>
      </c>
      <c r="CEZ64" s="365">
        <v>0.5</v>
      </c>
      <c r="CFA64" s="366" t="e">
        <f>10/CEW62</f>
        <v>#DIV/0!</v>
      </c>
      <c r="CFB64" s="367">
        <v>15.38</v>
      </c>
      <c r="CFC64" s="367" t="e">
        <f>CEZ64*CFA64*CFB64</f>
        <v>#DIV/0!</v>
      </c>
      <c r="CFD64" s="363" t="s">
        <v>153</v>
      </c>
      <c r="CFE64" s="363"/>
      <c r="CFF64" s="363"/>
      <c r="CFG64" s="364" t="s">
        <v>140</v>
      </c>
      <c r="CFH64" s="365">
        <v>0.5</v>
      </c>
      <c r="CFI64" s="366" t="e">
        <f>10/CFE62</f>
        <v>#DIV/0!</v>
      </c>
      <c r="CFJ64" s="367">
        <v>15.38</v>
      </c>
      <c r="CFK64" s="367" t="e">
        <f>CFH64*CFI64*CFJ64</f>
        <v>#DIV/0!</v>
      </c>
      <c r="CFL64" s="363" t="s">
        <v>153</v>
      </c>
      <c r="CFM64" s="363"/>
      <c r="CFN64" s="363"/>
      <c r="CFO64" s="364" t="s">
        <v>140</v>
      </c>
      <c r="CFP64" s="365">
        <v>0.5</v>
      </c>
      <c r="CFQ64" s="366" t="e">
        <f>10/CFM62</f>
        <v>#DIV/0!</v>
      </c>
      <c r="CFR64" s="367">
        <v>15.38</v>
      </c>
      <c r="CFS64" s="367" t="e">
        <f>CFP64*CFQ64*CFR64</f>
        <v>#DIV/0!</v>
      </c>
      <c r="CFT64" s="363" t="s">
        <v>153</v>
      </c>
      <c r="CFU64" s="363"/>
      <c r="CFV64" s="363"/>
      <c r="CFW64" s="364" t="s">
        <v>140</v>
      </c>
      <c r="CFX64" s="365">
        <v>0.5</v>
      </c>
      <c r="CFY64" s="366" t="e">
        <f>10/CFU62</f>
        <v>#DIV/0!</v>
      </c>
      <c r="CFZ64" s="367">
        <v>15.38</v>
      </c>
      <c r="CGA64" s="367" t="e">
        <f>CFX64*CFY64*CFZ64</f>
        <v>#DIV/0!</v>
      </c>
      <c r="CGB64" s="363" t="s">
        <v>153</v>
      </c>
      <c r="CGC64" s="363"/>
      <c r="CGD64" s="363"/>
      <c r="CGE64" s="364" t="s">
        <v>140</v>
      </c>
      <c r="CGF64" s="365">
        <v>0.5</v>
      </c>
      <c r="CGG64" s="366" t="e">
        <f>10/CGC62</f>
        <v>#DIV/0!</v>
      </c>
      <c r="CGH64" s="367">
        <v>15.38</v>
      </c>
      <c r="CGI64" s="367" t="e">
        <f>CGF64*CGG64*CGH64</f>
        <v>#DIV/0!</v>
      </c>
      <c r="CGJ64" s="363" t="s">
        <v>153</v>
      </c>
      <c r="CGK64" s="363"/>
      <c r="CGL64" s="363"/>
      <c r="CGM64" s="364" t="s">
        <v>140</v>
      </c>
      <c r="CGN64" s="365">
        <v>0.5</v>
      </c>
      <c r="CGO64" s="366" t="e">
        <f>10/CGK62</f>
        <v>#DIV/0!</v>
      </c>
      <c r="CGP64" s="367">
        <v>15.38</v>
      </c>
      <c r="CGQ64" s="367" t="e">
        <f>CGN64*CGO64*CGP64</f>
        <v>#DIV/0!</v>
      </c>
      <c r="CGR64" s="363" t="s">
        <v>153</v>
      </c>
      <c r="CGS64" s="363"/>
      <c r="CGT64" s="363"/>
      <c r="CGU64" s="364" t="s">
        <v>140</v>
      </c>
      <c r="CGV64" s="365">
        <v>0.5</v>
      </c>
      <c r="CGW64" s="366" t="e">
        <f>10/CGS62</f>
        <v>#DIV/0!</v>
      </c>
      <c r="CGX64" s="367">
        <v>15.38</v>
      </c>
      <c r="CGY64" s="367" t="e">
        <f>CGV64*CGW64*CGX64</f>
        <v>#DIV/0!</v>
      </c>
      <c r="CGZ64" s="363" t="s">
        <v>153</v>
      </c>
      <c r="CHA64" s="363"/>
      <c r="CHB64" s="363"/>
      <c r="CHC64" s="364" t="s">
        <v>140</v>
      </c>
      <c r="CHD64" s="365">
        <v>0.5</v>
      </c>
      <c r="CHE64" s="366" t="e">
        <f>10/CHA62</f>
        <v>#DIV/0!</v>
      </c>
      <c r="CHF64" s="367">
        <v>15.38</v>
      </c>
      <c r="CHG64" s="367" t="e">
        <f>CHD64*CHE64*CHF64</f>
        <v>#DIV/0!</v>
      </c>
      <c r="CHH64" s="363" t="s">
        <v>153</v>
      </c>
      <c r="CHI64" s="363"/>
      <c r="CHJ64" s="363"/>
      <c r="CHK64" s="364" t="s">
        <v>140</v>
      </c>
      <c r="CHL64" s="365">
        <v>0.5</v>
      </c>
      <c r="CHM64" s="366" t="e">
        <f>10/CHI62</f>
        <v>#DIV/0!</v>
      </c>
      <c r="CHN64" s="367">
        <v>15.38</v>
      </c>
      <c r="CHO64" s="367" t="e">
        <f>CHL64*CHM64*CHN64</f>
        <v>#DIV/0!</v>
      </c>
      <c r="CHP64" s="363" t="s">
        <v>153</v>
      </c>
      <c r="CHQ64" s="363"/>
      <c r="CHR64" s="363"/>
      <c r="CHS64" s="364" t="s">
        <v>140</v>
      </c>
      <c r="CHT64" s="365">
        <v>0.5</v>
      </c>
      <c r="CHU64" s="366" t="e">
        <f>10/CHQ62</f>
        <v>#DIV/0!</v>
      </c>
      <c r="CHV64" s="367">
        <v>15.38</v>
      </c>
      <c r="CHW64" s="367" t="e">
        <f>CHT64*CHU64*CHV64</f>
        <v>#DIV/0!</v>
      </c>
      <c r="CHX64" s="363" t="s">
        <v>153</v>
      </c>
      <c r="CHY64" s="363"/>
      <c r="CHZ64" s="363"/>
      <c r="CIA64" s="364" t="s">
        <v>140</v>
      </c>
      <c r="CIB64" s="365">
        <v>0.5</v>
      </c>
      <c r="CIC64" s="366" t="e">
        <f>10/CHY62</f>
        <v>#DIV/0!</v>
      </c>
      <c r="CID64" s="367">
        <v>15.38</v>
      </c>
      <c r="CIE64" s="367" t="e">
        <f>CIB64*CIC64*CID64</f>
        <v>#DIV/0!</v>
      </c>
      <c r="CIF64" s="363" t="s">
        <v>153</v>
      </c>
      <c r="CIG64" s="363"/>
      <c r="CIH64" s="363"/>
      <c r="CII64" s="364" t="s">
        <v>140</v>
      </c>
      <c r="CIJ64" s="365">
        <v>0.5</v>
      </c>
      <c r="CIK64" s="366" t="e">
        <f>10/CIG62</f>
        <v>#DIV/0!</v>
      </c>
      <c r="CIL64" s="367">
        <v>15.38</v>
      </c>
      <c r="CIM64" s="367" t="e">
        <f>CIJ64*CIK64*CIL64</f>
        <v>#DIV/0!</v>
      </c>
      <c r="CIN64" s="363" t="s">
        <v>153</v>
      </c>
      <c r="CIO64" s="363"/>
      <c r="CIP64" s="363"/>
      <c r="CIQ64" s="364" t="s">
        <v>140</v>
      </c>
      <c r="CIR64" s="365">
        <v>0.5</v>
      </c>
      <c r="CIS64" s="366" t="e">
        <f>10/CIO62</f>
        <v>#DIV/0!</v>
      </c>
      <c r="CIT64" s="367">
        <v>15.38</v>
      </c>
      <c r="CIU64" s="367" t="e">
        <f>CIR64*CIS64*CIT64</f>
        <v>#DIV/0!</v>
      </c>
      <c r="CIV64" s="363" t="s">
        <v>153</v>
      </c>
      <c r="CIW64" s="363"/>
      <c r="CIX64" s="363"/>
      <c r="CIY64" s="364" t="s">
        <v>140</v>
      </c>
      <c r="CIZ64" s="365">
        <v>0.5</v>
      </c>
      <c r="CJA64" s="366" t="e">
        <f>10/CIW62</f>
        <v>#DIV/0!</v>
      </c>
      <c r="CJB64" s="367">
        <v>15.38</v>
      </c>
      <c r="CJC64" s="367" t="e">
        <f>CIZ64*CJA64*CJB64</f>
        <v>#DIV/0!</v>
      </c>
      <c r="CJD64" s="363" t="s">
        <v>153</v>
      </c>
      <c r="CJE64" s="363"/>
      <c r="CJF64" s="363"/>
      <c r="CJG64" s="364" t="s">
        <v>140</v>
      </c>
      <c r="CJH64" s="365">
        <v>0.5</v>
      </c>
      <c r="CJI64" s="366" t="e">
        <f>10/CJE62</f>
        <v>#DIV/0!</v>
      </c>
      <c r="CJJ64" s="367">
        <v>15.38</v>
      </c>
      <c r="CJK64" s="367" t="e">
        <f>CJH64*CJI64*CJJ64</f>
        <v>#DIV/0!</v>
      </c>
      <c r="CJL64" s="363" t="s">
        <v>153</v>
      </c>
      <c r="CJM64" s="363"/>
      <c r="CJN64" s="363"/>
      <c r="CJO64" s="364" t="s">
        <v>140</v>
      </c>
      <c r="CJP64" s="365">
        <v>0.5</v>
      </c>
      <c r="CJQ64" s="366" t="e">
        <f>10/CJM62</f>
        <v>#DIV/0!</v>
      </c>
      <c r="CJR64" s="367">
        <v>15.38</v>
      </c>
      <c r="CJS64" s="367" t="e">
        <f>CJP64*CJQ64*CJR64</f>
        <v>#DIV/0!</v>
      </c>
      <c r="CJT64" s="363" t="s">
        <v>153</v>
      </c>
      <c r="CJU64" s="363"/>
      <c r="CJV64" s="363"/>
      <c r="CJW64" s="364" t="s">
        <v>140</v>
      </c>
      <c r="CJX64" s="365">
        <v>0.5</v>
      </c>
      <c r="CJY64" s="366" t="e">
        <f>10/CJU62</f>
        <v>#DIV/0!</v>
      </c>
      <c r="CJZ64" s="367">
        <v>15.38</v>
      </c>
      <c r="CKA64" s="367" t="e">
        <f>CJX64*CJY64*CJZ64</f>
        <v>#DIV/0!</v>
      </c>
      <c r="CKB64" s="363" t="s">
        <v>153</v>
      </c>
      <c r="CKC64" s="363"/>
      <c r="CKD64" s="363"/>
      <c r="CKE64" s="364" t="s">
        <v>140</v>
      </c>
      <c r="CKF64" s="365">
        <v>0.5</v>
      </c>
      <c r="CKG64" s="366" t="e">
        <f>10/CKC62</f>
        <v>#DIV/0!</v>
      </c>
      <c r="CKH64" s="367">
        <v>15.38</v>
      </c>
      <c r="CKI64" s="367" t="e">
        <f>CKF64*CKG64*CKH64</f>
        <v>#DIV/0!</v>
      </c>
      <c r="CKJ64" s="363" t="s">
        <v>153</v>
      </c>
      <c r="CKK64" s="363"/>
      <c r="CKL64" s="363"/>
      <c r="CKM64" s="364" t="s">
        <v>140</v>
      </c>
      <c r="CKN64" s="365">
        <v>0.5</v>
      </c>
      <c r="CKO64" s="366" t="e">
        <f>10/CKK62</f>
        <v>#DIV/0!</v>
      </c>
      <c r="CKP64" s="367">
        <v>15.38</v>
      </c>
      <c r="CKQ64" s="367" t="e">
        <f>CKN64*CKO64*CKP64</f>
        <v>#DIV/0!</v>
      </c>
      <c r="CKR64" s="363" t="s">
        <v>153</v>
      </c>
      <c r="CKS64" s="363"/>
      <c r="CKT64" s="363"/>
      <c r="CKU64" s="364" t="s">
        <v>140</v>
      </c>
      <c r="CKV64" s="365">
        <v>0.5</v>
      </c>
      <c r="CKW64" s="366" t="e">
        <f>10/CKS62</f>
        <v>#DIV/0!</v>
      </c>
      <c r="CKX64" s="367">
        <v>15.38</v>
      </c>
      <c r="CKY64" s="367" t="e">
        <f>CKV64*CKW64*CKX64</f>
        <v>#DIV/0!</v>
      </c>
      <c r="CKZ64" s="363" t="s">
        <v>153</v>
      </c>
      <c r="CLA64" s="363"/>
      <c r="CLB64" s="363"/>
      <c r="CLC64" s="364" t="s">
        <v>140</v>
      </c>
      <c r="CLD64" s="365">
        <v>0.5</v>
      </c>
      <c r="CLE64" s="366" t="e">
        <f>10/CLA62</f>
        <v>#DIV/0!</v>
      </c>
      <c r="CLF64" s="367">
        <v>15.38</v>
      </c>
      <c r="CLG64" s="367" t="e">
        <f>CLD64*CLE64*CLF64</f>
        <v>#DIV/0!</v>
      </c>
      <c r="CLH64" s="363" t="s">
        <v>153</v>
      </c>
      <c r="CLI64" s="363"/>
      <c r="CLJ64" s="363"/>
      <c r="CLK64" s="364" t="s">
        <v>140</v>
      </c>
      <c r="CLL64" s="365">
        <v>0.5</v>
      </c>
      <c r="CLM64" s="366" t="e">
        <f>10/CLI62</f>
        <v>#DIV/0!</v>
      </c>
      <c r="CLN64" s="367">
        <v>15.38</v>
      </c>
      <c r="CLO64" s="367" t="e">
        <f>CLL64*CLM64*CLN64</f>
        <v>#DIV/0!</v>
      </c>
      <c r="CLP64" s="363" t="s">
        <v>153</v>
      </c>
      <c r="CLQ64" s="363"/>
      <c r="CLR64" s="363"/>
      <c r="CLS64" s="364" t="s">
        <v>140</v>
      </c>
      <c r="CLT64" s="365">
        <v>0.5</v>
      </c>
      <c r="CLU64" s="366" t="e">
        <f>10/CLQ62</f>
        <v>#DIV/0!</v>
      </c>
      <c r="CLV64" s="367">
        <v>15.38</v>
      </c>
      <c r="CLW64" s="367" t="e">
        <f>CLT64*CLU64*CLV64</f>
        <v>#DIV/0!</v>
      </c>
      <c r="CLX64" s="363" t="s">
        <v>153</v>
      </c>
      <c r="CLY64" s="363"/>
      <c r="CLZ64" s="363"/>
      <c r="CMA64" s="364" t="s">
        <v>140</v>
      </c>
      <c r="CMB64" s="365">
        <v>0.5</v>
      </c>
      <c r="CMC64" s="366" t="e">
        <f>10/CLY62</f>
        <v>#DIV/0!</v>
      </c>
      <c r="CMD64" s="367">
        <v>15.38</v>
      </c>
      <c r="CME64" s="367" t="e">
        <f>CMB64*CMC64*CMD64</f>
        <v>#DIV/0!</v>
      </c>
      <c r="CMF64" s="363" t="s">
        <v>153</v>
      </c>
      <c r="CMG64" s="363"/>
      <c r="CMH64" s="363"/>
      <c r="CMI64" s="364" t="s">
        <v>140</v>
      </c>
      <c r="CMJ64" s="365">
        <v>0.5</v>
      </c>
      <c r="CMK64" s="366" t="e">
        <f>10/CMG62</f>
        <v>#DIV/0!</v>
      </c>
      <c r="CML64" s="367">
        <v>15.38</v>
      </c>
      <c r="CMM64" s="367" t="e">
        <f>CMJ64*CMK64*CML64</f>
        <v>#DIV/0!</v>
      </c>
      <c r="CMN64" s="363" t="s">
        <v>153</v>
      </c>
      <c r="CMO64" s="363"/>
      <c r="CMP64" s="363"/>
      <c r="CMQ64" s="364" t="s">
        <v>140</v>
      </c>
      <c r="CMR64" s="365">
        <v>0.5</v>
      </c>
      <c r="CMS64" s="366" t="e">
        <f>10/CMO62</f>
        <v>#DIV/0!</v>
      </c>
      <c r="CMT64" s="367">
        <v>15.38</v>
      </c>
      <c r="CMU64" s="367" t="e">
        <f>CMR64*CMS64*CMT64</f>
        <v>#DIV/0!</v>
      </c>
      <c r="CMV64" s="363" t="s">
        <v>153</v>
      </c>
      <c r="CMW64" s="363"/>
      <c r="CMX64" s="363"/>
      <c r="CMY64" s="364" t="s">
        <v>140</v>
      </c>
      <c r="CMZ64" s="365">
        <v>0.5</v>
      </c>
      <c r="CNA64" s="366" t="e">
        <f>10/CMW62</f>
        <v>#DIV/0!</v>
      </c>
      <c r="CNB64" s="367">
        <v>15.38</v>
      </c>
      <c r="CNC64" s="367" t="e">
        <f>CMZ64*CNA64*CNB64</f>
        <v>#DIV/0!</v>
      </c>
      <c r="CND64" s="363" t="s">
        <v>153</v>
      </c>
      <c r="CNE64" s="363"/>
      <c r="CNF64" s="363"/>
      <c r="CNG64" s="364" t="s">
        <v>140</v>
      </c>
      <c r="CNH64" s="365">
        <v>0.5</v>
      </c>
      <c r="CNI64" s="366" t="e">
        <f>10/CNE62</f>
        <v>#DIV/0!</v>
      </c>
      <c r="CNJ64" s="367">
        <v>15.38</v>
      </c>
      <c r="CNK64" s="367" t="e">
        <f>CNH64*CNI64*CNJ64</f>
        <v>#DIV/0!</v>
      </c>
      <c r="CNL64" s="363" t="s">
        <v>153</v>
      </c>
      <c r="CNM64" s="363"/>
      <c r="CNN64" s="363"/>
      <c r="CNO64" s="364" t="s">
        <v>140</v>
      </c>
      <c r="CNP64" s="365">
        <v>0.5</v>
      </c>
      <c r="CNQ64" s="366" t="e">
        <f>10/CNM62</f>
        <v>#DIV/0!</v>
      </c>
      <c r="CNR64" s="367">
        <v>15.38</v>
      </c>
      <c r="CNS64" s="367" t="e">
        <f>CNP64*CNQ64*CNR64</f>
        <v>#DIV/0!</v>
      </c>
      <c r="CNT64" s="363" t="s">
        <v>153</v>
      </c>
      <c r="CNU64" s="363"/>
      <c r="CNV64" s="363"/>
      <c r="CNW64" s="364" t="s">
        <v>140</v>
      </c>
      <c r="CNX64" s="365">
        <v>0.5</v>
      </c>
      <c r="CNY64" s="366" t="e">
        <f>10/CNU62</f>
        <v>#DIV/0!</v>
      </c>
      <c r="CNZ64" s="367">
        <v>15.38</v>
      </c>
      <c r="COA64" s="367" t="e">
        <f>CNX64*CNY64*CNZ64</f>
        <v>#DIV/0!</v>
      </c>
      <c r="COB64" s="363" t="s">
        <v>153</v>
      </c>
      <c r="COC64" s="363"/>
      <c r="COD64" s="363"/>
      <c r="COE64" s="364" t="s">
        <v>140</v>
      </c>
      <c r="COF64" s="365">
        <v>0.5</v>
      </c>
      <c r="COG64" s="366" t="e">
        <f>10/COC62</f>
        <v>#DIV/0!</v>
      </c>
      <c r="COH64" s="367">
        <v>15.38</v>
      </c>
      <c r="COI64" s="367" t="e">
        <f>COF64*COG64*COH64</f>
        <v>#DIV/0!</v>
      </c>
      <c r="COJ64" s="363" t="s">
        <v>153</v>
      </c>
      <c r="COK64" s="363"/>
      <c r="COL64" s="363"/>
      <c r="COM64" s="364" t="s">
        <v>140</v>
      </c>
      <c r="CON64" s="365">
        <v>0.5</v>
      </c>
      <c r="COO64" s="366" t="e">
        <f>10/COK62</f>
        <v>#DIV/0!</v>
      </c>
      <c r="COP64" s="367">
        <v>15.38</v>
      </c>
      <c r="COQ64" s="367" t="e">
        <f>CON64*COO64*COP64</f>
        <v>#DIV/0!</v>
      </c>
      <c r="COR64" s="363" t="s">
        <v>153</v>
      </c>
      <c r="COS64" s="363"/>
      <c r="COT64" s="363"/>
      <c r="COU64" s="364" t="s">
        <v>140</v>
      </c>
      <c r="COV64" s="365">
        <v>0.5</v>
      </c>
      <c r="COW64" s="366" t="e">
        <f>10/COS62</f>
        <v>#DIV/0!</v>
      </c>
      <c r="COX64" s="367">
        <v>15.38</v>
      </c>
      <c r="COY64" s="367" t="e">
        <f>COV64*COW64*COX64</f>
        <v>#DIV/0!</v>
      </c>
      <c r="COZ64" s="363" t="s">
        <v>153</v>
      </c>
      <c r="CPA64" s="363"/>
      <c r="CPB64" s="363"/>
      <c r="CPC64" s="364" t="s">
        <v>140</v>
      </c>
      <c r="CPD64" s="365">
        <v>0.5</v>
      </c>
      <c r="CPE64" s="366" t="e">
        <f>10/CPA62</f>
        <v>#DIV/0!</v>
      </c>
      <c r="CPF64" s="367">
        <v>15.38</v>
      </c>
      <c r="CPG64" s="367" t="e">
        <f>CPD64*CPE64*CPF64</f>
        <v>#DIV/0!</v>
      </c>
      <c r="CPH64" s="363" t="s">
        <v>153</v>
      </c>
      <c r="CPI64" s="363"/>
      <c r="CPJ64" s="363"/>
      <c r="CPK64" s="364" t="s">
        <v>140</v>
      </c>
      <c r="CPL64" s="365">
        <v>0.5</v>
      </c>
      <c r="CPM64" s="366" t="e">
        <f>10/CPI62</f>
        <v>#DIV/0!</v>
      </c>
      <c r="CPN64" s="367">
        <v>15.38</v>
      </c>
      <c r="CPO64" s="367" t="e">
        <f>CPL64*CPM64*CPN64</f>
        <v>#DIV/0!</v>
      </c>
      <c r="CPP64" s="363" t="s">
        <v>153</v>
      </c>
      <c r="CPQ64" s="363"/>
      <c r="CPR64" s="363"/>
      <c r="CPS64" s="364" t="s">
        <v>140</v>
      </c>
      <c r="CPT64" s="365">
        <v>0.5</v>
      </c>
      <c r="CPU64" s="366" t="e">
        <f>10/CPQ62</f>
        <v>#DIV/0!</v>
      </c>
      <c r="CPV64" s="367">
        <v>15.38</v>
      </c>
      <c r="CPW64" s="367" t="e">
        <f>CPT64*CPU64*CPV64</f>
        <v>#DIV/0!</v>
      </c>
      <c r="CPX64" s="363" t="s">
        <v>153</v>
      </c>
      <c r="CPY64" s="363"/>
      <c r="CPZ64" s="363"/>
      <c r="CQA64" s="364" t="s">
        <v>140</v>
      </c>
      <c r="CQB64" s="365">
        <v>0.5</v>
      </c>
      <c r="CQC64" s="366" t="e">
        <f>10/CPY62</f>
        <v>#DIV/0!</v>
      </c>
      <c r="CQD64" s="367">
        <v>15.38</v>
      </c>
      <c r="CQE64" s="367" t="e">
        <f>CQB64*CQC64*CQD64</f>
        <v>#DIV/0!</v>
      </c>
      <c r="CQF64" s="363" t="s">
        <v>153</v>
      </c>
      <c r="CQG64" s="363"/>
      <c r="CQH64" s="363"/>
      <c r="CQI64" s="364" t="s">
        <v>140</v>
      </c>
      <c r="CQJ64" s="365">
        <v>0.5</v>
      </c>
      <c r="CQK64" s="366" t="e">
        <f>10/CQG62</f>
        <v>#DIV/0!</v>
      </c>
      <c r="CQL64" s="367">
        <v>15.38</v>
      </c>
      <c r="CQM64" s="367" t="e">
        <f>CQJ64*CQK64*CQL64</f>
        <v>#DIV/0!</v>
      </c>
      <c r="CQN64" s="363" t="s">
        <v>153</v>
      </c>
      <c r="CQO64" s="363"/>
      <c r="CQP64" s="363"/>
      <c r="CQQ64" s="364" t="s">
        <v>140</v>
      </c>
      <c r="CQR64" s="365">
        <v>0.5</v>
      </c>
      <c r="CQS64" s="366" t="e">
        <f>10/CQO62</f>
        <v>#DIV/0!</v>
      </c>
      <c r="CQT64" s="367">
        <v>15.38</v>
      </c>
      <c r="CQU64" s="367" t="e">
        <f>CQR64*CQS64*CQT64</f>
        <v>#DIV/0!</v>
      </c>
      <c r="CQV64" s="363" t="s">
        <v>153</v>
      </c>
      <c r="CQW64" s="363"/>
      <c r="CQX64" s="363"/>
      <c r="CQY64" s="364" t="s">
        <v>140</v>
      </c>
      <c r="CQZ64" s="365">
        <v>0.5</v>
      </c>
      <c r="CRA64" s="366" t="e">
        <f>10/CQW62</f>
        <v>#DIV/0!</v>
      </c>
      <c r="CRB64" s="367">
        <v>15.38</v>
      </c>
      <c r="CRC64" s="367" t="e">
        <f>CQZ64*CRA64*CRB64</f>
        <v>#DIV/0!</v>
      </c>
      <c r="CRD64" s="363" t="s">
        <v>153</v>
      </c>
      <c r="CRE64" s="363"/>
      <c r="CRF64" s="363"/>
      <c r="CRG64" s="364" t="s">
        <v>140</v>
      </c>
      <c r="CRH64" s="365">
        <v>0.5</v>
      </c>
      <c r="CRI64" s="366" t="e">
        <f>10/CRE62</f>
        <v>#DIV/0!</v>
      </c>
      <c r="CRJ64" s="367">
        <v>15.38</v>
      </c>
      <c r="CRK64" s="367" t="e">
        <f>CRH64*CRI64*CRJ64</f>
        <v>#DIV/0!</v>
      </c>
      <c r="CRL64" s="363" t="s">
        <v>153</v>
      </c>
      <c r="CRM64" s="363"/>
      <c r="CRN64" s="363"/>
      <c r="CRO64" s="364" t="s">
        <v>140</v>
      </c>
      <c r="CRP64" s="365">
        <v>0.5</v>
      </c>
      <c r="CRQ64" s="366" t="e">
        <f>10/CRM62</f>
        <v>#DIV/0!</v>
      </c>
      <c r="CRR64" s="367">
        <v>15.38</v>
      </c>
      <c r="CRS64" s="367" t="e">
        <f>CRP64*CRQ64*CRR64</f>
        <v>#DIV/0!</v>
      </c>
      <c r="CRT64" s="363" t="s">
        <v>153</v>
      </c>
      <c r="CRU64" s="363"/>
      <c r="CRV64" s="363"/>
      <c r="CRW64" s="364" t="s">
        <v>140</v>
      </c>
      <c r="CRX64" s="365">
        <v>0.5</v>
      </c>
      <c r="CRY64" s="366" t="e">
        <f>10/CRU62</f>
        <v>#DIV/0!</v>
      </c>
      <c r="CRZ64" s="367">
        <v>15.38</v>
      </c>
      <c r="CSA64" s="367" t="e">
        <f>CRX64*CRY64*CRZ64</f>
        <v>#DIV/0!</v>
      </c>
      <c r="CSB64" s="363" t="s">
        <v>153</v>
      </c>
      <c r="CSC64" s="363"/>
      <c r="CSD64" s="363"/>
      <c r="CSE64" s="364" t="s">
        <v>140</v>
      </c>
      <c r="CSF64" s="365">
        <v>0.5</v>
      </c>
      <c r="CSG64" s="366" t="e">
        <f>10/CSC62</f>
        <v>#DIV/0!</v>
      </c>
      <c r="CSH64" s="367">
        <v>15.38</v>
      </c>
      <c r="CSI64" s="367" t="e">
        <f>CSF64*CSG64*CSH64</f>
        <v>#DIV/0!</v>
      </c>
      <c r="CSJ64" s="363" t="s">
        <v>153</v>
      </c>
      <c r="CSK64" s="363"/>
      <c r="CSL64" s="363"/>
      <c r="CSM64" s="364" t="s">
        <v>140</v>
      </c>
      <c r="CSN64" s="365">
        <v>0.5</v>
      </c>
      <c r="CSO64" s="366" t="e">
        <f>10/CSK62</f>
        <v>#DIV/0!</v>
      </c>
      <c r="CSP64" s="367">
        <v>15.38</v>
      </c>
      <c r="CSQ64" s="367" t="e">
        <f>CSN64*CSO64*CSP64</f>
        <v>#DIV/0!</v>
      </c>
      <c r="CSR64" s="363" t="s">
        <v>153</v>
      </c>
      <c r="CSS64" s="363"/>
      <c r="CST64" s="363"/>
      <c r="CSU64" s="364" t="s">
        <v>140</v>
      </c>
      <c r="CSV64" s="365">
        <v>0.5</v>
      </c>
      <c r="CSW64" s="366" t="e">
        <f>10/CSS62</f>
        <v>#DIV/0!</v>
      </c>
      <c r="CSX64" s="367">
        <v>15.38</v>
      </c>
      <c r="CSY64" s="367" t="e">
        <f>CSV64*CSW64*CSX64</f>
        <v>#DIV/0!</v>
      </c>
      <c r="CSZ64" s="363" t="s">
        <v>153</v>
      </c>
      <c r="CTA64" s="363"/>
      <c r="CTB64" s="363"/>
      <c r="CTC64" s="364" t="s">
        <v>140</v>
      </c>
      <c r="CTD64" s="365">
        <v>0.5</v>
      </c>
      <c r="CTE64" s="366" t="e">
        <f>10/CTA62</f>
        <v>#DIV/0!</v>
      </c>
      <c r="CTF64" s="367">
        <v>15.38</v>
      </c>
      <c r="CTG64" s="367" t="e">
        <f>CTD64*CTE64*CTF64</f>
        <v>#DIV/0!</v>
      </c>
      <c r="CTH64" s="363" t="s">
        <v>153</v>
      </c>
      <c r="CTI64" s="363"/>
      <c r="CTJ64" s="363"/>
      <c r="CTK64" s="364" t="s">
        <v>140</v>
      </c>
      <c r="CTL64" s="365">
        <v>0.5</v>
      </c>
      <c r="CTM64" s="366" t="e">
        <f>10/CTI62</f>
        <v>#DIV/0!</v>
      </c>
      <c r="CTN64" s="367">
        <v>15.38</v>
      </c>
      <c r="CTO64" s="367" t="e">
        <f>CTL64*CTM64*CTN64</f>
        <v>#DIV/0!</v>
      </c>
      <c r="CTP64" s="363" t="s">
        <v>153</v>
      </c>
      <c r="CTQ64" s="363"/>
      <c r="CTR64" s="363"/>
      <c r="CTS64" s="364" t="s">
        <v>140</v>
      </c>
      <c r="CTT64" s="365">
        <v>0.5</v>
      </c>
      <c r="CTU64" s="366" t="e">
        <f>10/CTQ62</f>
        <v>#DIV/0!</v>
      </c>
      <c r="CTV64" s="367">
        <v>15.38</v>
      </c>
      <c r="CTW64" s="367" t="e">
        <f>CTT64*CTU64*CTV64</f>
        <v>#DIV/0!</v>
      </c>
      <c r="CTX64" s="363" t="s">
        <v>153</v>
      </c>
      <c r="CTY64" s="363"/>
      <c r="CTZ64" s="363"/>
      <c r="CUA64" s="364" t="s">
        <v>140</v>
      </c>
      <c r="CUB64" s="365">
        <v>0.5</v>
      </c>
      <c r="CUC64" s="366" t="e">
        <f>10/CTY62</f>
        <v>#DIV/0!</v>
      </c>
      <c r="CUD64" s="367">
        <v>15.38</v>
      </c>
      <c r="CUE64" s="367" t="e">
        <f>CUB64*CUC64*CUD64</f>
        <v>#DIV/0!</v>
      </c>
      <c r="CUF64" s="363" t="s">
        <v>153</v>
      </c>
      <c r="CUG64" s="363"/>
      <c r="CUH64" s="363"/>
      <c r="CUI64" s="364" t="s">
        <v>140</v>
      </c>
      <c r="CUJ64" s="365">
        <v>0.5</v>
      </c>
      <c r="CUK64" s="366" t="e">
        <f>10/CUG62</f>
        <v>#DIV/0!</v>
      </c>
      <c r="CUL64" s="367">
        <v>15.38</v>
      </c>
      <c r="CUM64" s="367" t="e">
        <f>CUJ64*CUK64*CUL64</f>
        <v>#DIV/0!</v>
      </c>
      <c r="CUN64" s="363" t="s">
        <v>153</v>
      </c>
      <c r="CUO64" s="363"/>
      <c r="CUP64" s="363"/>
      <c r="CUQ64" s="364" t="s">
        <v>140</v>
      </c>
      <c r="CUR64" s="365">
        <v>0.5</v>
      </c>
      <c r="CUS64" s="366" t="e">
        <f>10/CUO62</f>
        <v>#DIV/0!</v>
      </c>
      <c r="CUT64" s="367">
        <v>15.38</v>
      </c>
      <c r="CUU64" s="367" t="e">
        <f>CUR64*CUS64*CUT64</f>
        <v>#DIV/0!</v>
      </c>
      <c r="CUV64" s="363" t="s">
        <v>153</v>
      </c>
      <c r="CUW64" s="363"/>
      <c r="CUX64" s="363"/>
      <c r="CUY64" s="364" t="s">
        <v>140</v>
      </c>
      <c r="CUZ64" s="365">
        <v>0.5</v>
      </c>
      <c r="CVA64" s="366" t="e">
        <f>10/CUW62</f>
        <v>#DIV/0!</v>
      </c>
      <c r="CVB64" s="367">
        <v>15.38</v>
      </c>
      <c r="CVC64" s="367" t="e">
        <f>CUZ64*CVA64*CVB64</f>
        <v>#DIV/0!</v>
      </c>
      <c r="CVD64" s="363" t="s">
        <v>153</v>
      </c>
      <c r="CVE64" s="363"/>
      <c r="CVF64" s="363"/>
      <c r="CVG64" s="364" t="s">
        <v>140</v>
      </c>
      <c r="CVH64" s="365">
        <v>0.5</v>
      </c>
      <c r="CVI64" s="366" t="e">
        <f>10/CVE62</f>
        <v>#DIV/0!</v>
      </c>
      <c r="CVJ64" s="367">
        <v>15.38</v>
      </c>
      <c r="CVK64" s="367" t="e">
        <f>CVH64*CVI64*CVJ64</f>
        <v>#DIV/0!</v>
      </c>
      <c r="CVL64" s="363" t="s">
        <v>153</v>
      </c>
      <c r="CVM64" s="363"/>
      <c r="CVN64" s="363"/>
      <c r="CVO64" s="364" t="s">
        <v>140</v>
      </c>
      <c r="CVP64" s="365">
        <v>0.5</v>
      </c>
      <c r="CVQ64" s="366" t="e">
        <f>10/CVM62</f>
        <v>#DIV/0!</v>
      </c>
      <c r="CVR64" s="367">
        <v>15.38</v>
      </c>
      <c r="CVS64" s="367" t="e">
        <f>CVP64*CVQ64*CVR64</f>
        <v>#DIV/0!</v>
      </c>
      <c r="CVT64" s="363" t="s">
        <v>153</v>
      </c>
      <c r="CVU64" s="363"/>
      <c r="CVV64" s="363"/>
      <c r="CVW64" s="364" t="s">
        <v>140</v>
      </c>
      <c r="CVX64" s="365">
        <v>0.5</v>
      </c>
      <c r="CVY64" s="366" t="e">
        <f>10/CVU62</f>
        <v>#DIV/0!</v>
      </c>
      <c r="CVZ64" s="367">
        <v>15.38</v>
      </c>
      <c r="CWA64" s="367" t="e">
        <f>CVX64*CVY64*CVZ64</f>
        <v>#DIV/0!</v>
      </c>
      <c r="CWB64" s="363" t="s">
        <v>153</v>
      </c>
      <c r="CWC64" s="363"/>
      <c r="CWD64" s="363"/>
      <c r="CWE64" s="364" t="s">
        <v>140</v>
      </c>
      <c r="CWF64" s="365">
        <v>0.5</v>
      </c>
      <c r="CWG64" s="366" t="e">
        <f>10/CWC62</f>
        <v>#DIV/0!</v>
      </c>
      <c r="CWH64" s="367">
        <v>15.38</v>
      </c>
      <c r="CWI64" s="367" t="e">
        <f>CWF64*CWG64*CWH64</f>
        <v>#DIV/0!</v>
      </c>
      <c r="CWJ64" s="363" t="s">
        <v>153</v>
      </c>
      <c r="CWK64" s="363"/>
      <c r="CWL64" s="363"/>
      <c r="CWM64" s="364" t="s">
        <v>140</v>
      </c>
      <c r="CWN64" s="365">
        <v>0.5</v>
      </c>
      <c r="CWO64" s="366" t="e">
        <f>10/CWK62</f>
        <v>#DIV/0!</v>
      </c>
      <c r="CWP64" s="367">
        <v>15.38</v>
      </c>
      <c r="CWQ64" s="367" t="e">
        <f>CWN64*CWO64*CWP64</f>
        <v>#DIV/0!</v>
      </c>
      <c r="CWR64" s="363" t="s">
        <v>153</v>
      </c>
      <c r="CWS64" s="363"/>
      <c r="CWT64" s="363"/>
      <c r="CWU64" s="364" t="s">
        <v>140</v>
      </c>
      <c r="CWV64" s="365">
        <v>0.5</v>
      </c>
      <c r="CWW64" s="366" t="e">
        <f>10/CWS62</f>
        <v>#DIV/0!</v>
      </c>
      <c r="CWX64" s="367">
        <v>15.38</v>
      </c>
      <c r="CWY64" s="367" t="e">
        <f>CWV64*CWW64*CWX64</f>
        <v>#DIV/0!</v>
      </c>
      <c r="CWZ64" s="363" t="s">
        <v>153</v>
      </c>
      <c r="CXA64" s="363"/>
      <c r="CXB64" s="363"/>
      <c r="CXC64" s="364" t="s">
        <v>140</v>
      </c>
      <c r="CXD64" s="365">
        <v>0.5</v>
      </c>
      <c r="CXE64" s="366" t="e">
        <f>10/CXA62</f>
        <v>#DIV/0!</v>
      </c>
      <c r="CXF64" s="367">
        <v>15.38</v>
      </c>
      <c r="CXG64" s="367" t="e">
        <f>CXD64*CXE64*CXF64</f>
        <v>#DIV/0!</v>
      </c>
      <c r="CXH64" s="363" t="s">
        <v>153</v>
      </c>
      <c r="CXI64" s="363"/>
      <c r="CXJ64" s="363"/>
      <c r="CXK64" s="364" t="s">
        <v>140</v>
      </c>
      <c r="CXL64" s="365">
        <v>0.5</v>
      </c>
      <c r="CXM64" s="366" t="e">
        <f>10/CXI62</f>
        <v>#DIV/0!</v>
      </c>
      <c r="CXN64" s="367">
        <v>15.38</v>
      </c>
      <c r="CXO64" s="367" t="e">
        <f>CXL64*CXM64*CXN64</f>
        <v>#DIV/0!</v>
      </c>
      <c r="CXP64" s="363" t="s">
        <v>153</v>
      </c>
      <c r="CXQ64" s="363"/>
      <c r="CXR64" s="363"/>
      <c r="CXS64" s="364" t="s">
        <v>140</v>
      </c>
      <c r="CXT64" s="365">
        <v>0.5</v>
      </c>
      <c r="CXU64" s="366" t="e">
        <f>10/CXQ62</f>
        <v>#DIV/0!</v>
      </c>
      <c r="CXV64" s="367">
        <v>15.38</v>
      </c>
      <c r="CXW64" s="367" t="e">
        <f>CXT64*CXU64*CXV64</f>
        <v>#DIV/0!</v>
      </c>
      <c r="CXX64" s="363" t="s">
        <v>153</v>
      </c>
      <c r="CXY64" s="363"/>
      <c r="CXZ64" s="363"/>
      <c r="CYA64" s="364" t="s">
        <v>140</v>
      </c>
      <c r="CYB64" s="365">
        <v>0.5</v>
      </c>
      <c r="CYC64" s="366" t="e">
        <f>10/CXY62</f>
        <v>#DIV/0!</v>
      </c>
      <c r="CYD64" s="367">
        <v>15.38</v>
      </c>
      <c r="CYE64" s="367" t="e">
        <f>CYB64*CYC64*CYD64</f>
        <v>#DIV/0!</v>
      </c>
      <c r="CYF64" s="363" t="s">
        <v>153</v>
      </c>
      <c r="CYG64" s="363"/>
      <c r="CYH64" s="363"/>
      <c r="CYI64" s="364" t="s">
        <v>140</v>
      </c>
      <c r="CYJ64" s="365">
        <v>0.5</v>
      </c>
      <c r="CYK64" s="366" t="e">
        <f>10/CYG62</f>
        <v>#DIV/0!</v>
      </c>
      <c r="CYL64" s="367">
        <v>15.38</v>
      </c>
      <c r="CYM64" s="367" t="e">
        <f>CYJ64*CYK64*CYL64</f>
        <v>#DIV/0!</v>
      </c>
      <c r="CYN64" s="363" t="s">
        <v>153</v>
      </c>
      <c r="CYO64" s="363"/>
      <c r="CYP64" s="363"/>
      <c r="CYQ64" s="364" t="s">
        <v>140</v>
      </c>
      <c r="CYR64" s="365">
        <v>0.5</v>
      </c>
      <c r="CYS64" s="366" t="e">
        <f>10/CYO62</f>
        <v>#DIV/0!</v>
      </c>
      <c r="CYT64" s="367">
        <v>15.38</v>
      </c>
      <c r="CYU64" s="367" t="e">
        <f>CYR64*CYS64*CYT64</f>
        <v>#DIV/0!</v>
      </c>
      <c r="CYV64" s="363" t="s">
        <v>153</v>
      </c>
      <c r="CYW64" s="363"/>
      <c r="CYX64" s="363"/>
      <c r="CYY64" s="364" t="s">
        <v>140</v>
      </c>
      <c r="CYZ64" s="365">
        <v>0.5</v>
      </c>
      <c r="CZA64" s="366" t="e">
        <f>10/CYW62</f>
        <v>#DIV/0!</v>
      </c>
      <c r="CZB64" s="367">
        <v>15.38</v>
      </c>
      <c r="CZC64" s="367" t="e">
        <f>CYZ64*CZA64*CZB64</f>
        <v>#DIV/0!</v>
      </c>
      <c r="CZD64" s="363" t="s">
        <v>153</v>
      </c>
      <c r="CZE64" s="363"/>
      <c r="CZF64" s="363"/>
      <c r="CZG64" s="364" t="s">
        <v>140</v>
      </c>
      <c r="CZH64" s="365">
        <v>0.5</v>
      </c>
      <c r="CZI64" s="366" t="e">
        <f>10/CZE62</f>
        <v>#DIV/0!</v>
      </c>
      <c r="CZJ64" s="367">
        <v>15.38</v>
      </c>
      <c r="CZK64" s="367" t="e">
        <f>CZH64*CZI64*CZJ64</f>
        <v>#DIV/0!</v>
      </c>
      <c r="CZL64" s="363" t="s">
        <v>153</v>
      </c>
      <c r="CZM64" s="363"/>
      <c r="CZN64" s="363"/>
      <c r="CZO64" s="364" t="s">
        <v>140</v>
      </c>
      <c r="CZP64" s="365">
        <v>0.5</v>
      </c>
      <c r="CZQ64" s="366" t="e">
        <f>10/CZM62</f>
        <v>#DIV/0!</v>
      </c>
      <c r="CZR64" s="367">
        <v>15.38</v>
      </c>
      <c r="CZS64" s="367" t="e">
        <f>CZP64*CZQ64*CZR64</f>
        <v>#DIV/0!</v>
      </c>
      <c r="CZT64" s="363" t="s">
        <v>153</v>
      </c>
      <c r="CZU64" s="363"/>
      <c r="CZV64" s="363"/>
      <c r="CZW64" s="364" t="s">
        <v>140</v>
      </c>
      <c r="CZX64" s="365">
        <v>0.5</v>
      </c>
      <c r="CZY64" s="366" t="e">
        <f>10/CZU62</f>
        <v>#DIV/0!</v>
      </c>
      <c r="CZZ64" s="367">
        <v>15.38</v>
      </c>
      <c r="DAA64" s="367" t="e">
        <f>CZX64*CZY64*CZZ64</f>
        <v>#DIV/0!</v>
      </c>
      <c r="DAB64" s="363" t="s">
        <v>153</v>
      </c>
      <c r="DAC64" s="363"/>
      <c r="DAD64" s="363"/>
      <c r="DAE64" s="364" t="s">
        <v>140</v>
      </c>
      <c r="DAF64" s="365">
        <v>0.5</v>
      </c>
      <c r="DAG64" s="366" t="e">
        <f>10/DAC62</f>
        <v>#DIV/0!</v>
      </c>
      <c r="DAH64" s="367">
        <v>15.38</v>
      </c>
      <c r="DAI64" s="367" t="e">
        <f>DAF64*DAG64*DAH64</f>
        <v>#DIV/0!</v>
      </c>
      <c r="DAJ64" s="363" t="s">
        <v>153</v>
      </c>
      <c r="DAK64" s="363"/>
      <c r="DAL64" s="363"/>
      <c r="DAM64" s="364" t="s">
        <v>140</v>
      </c>
      <c r="DAN64" s="365">
        <v>0.5</v>
      </c>
      <c r="DAO64" s="366" t="e">
        <f>10/DAK62</f>
        <v>#DIV/0!</v>
      </c>
      <c r="DAP64" s="367">
        <v>15.38</v>
      </c>
      <c r="DAQ64" s="367" t="e">
        <f>DAN64*DAO64*DAP64</f>
        <v>#DIV/0!</v>
      </c>
      <c r="DAR64" s="363" t="s">
        <v>153</v>
      </c>
      <c r="DAS64" s="363"/>
      <c r="DAT64" s="363"/>
      <c r="DAU64" s="364" t="s">
        <v>140</v>
      </c>
      <c r="DAV64" s="365">
        <v>0.5</v>
      </c>
      <c r="DAW64" s="366" t="e">
        <f>10/DAS62</f>
        <v>#DIV/0!</v>
      </c>
      <c r="DAX64" s="367">
        <v>15.38</v>
      </c>
      <c r="DAY64" s="367" t="e">
        <f>DAV64*DAW64*DAX64</f>
        <v>#DIV/0!</v>
      </c>
      <c r="DAZ64" s="363" t="s">
        <v>153</v>
      </c>
      <c r="DBA64" s="363"/>
      <c r="DBB64" s="363"/>
      <c r="DBC64" s="364" t="s">
        <v>140</v>
      </c>
      <c r="DBD64" s="365">
        <v>0.5</v>
      </c>
      <c r="DBE64" s="366" t="e">
        <f>10/DBA62</f>
        <v>#DIV/0!</v>
      </c>
      <c r="DBF64" s="367">
        <v>15.38</v>
      </c>
      <c r="DBG64" s="367" t="e">
        <f>DBD64*DBE64*DBF64</f>
        <v>#DIV/0!</v>
      </c>
      <c r="DBH64" s="363" t="s">
        <v>153</v>
      </c>
      <c r="DBI64" s="363"/>
      <c r="DBJ64" s="363"/>
      <c r="DBK64" s="364" t="s">
        <v>140</v>
      </c>
      <c r="DBL64" s="365">
        <v>0.5</v>
      </c>
      <c r="DBM64" s="366" t="e">
        <f>10/DBI62</f>
        <v>#DIV/0!</v>
      </c>
      <c r="DBN64" s="367">
        <v>15.38</v>
      </c>
      <c r="DBO64" s="367" t="e">
        <f>DBL64*DBM64*DBN64</f>
        <v>#DIV/0!</v>
      </c>
      <c r="DBP64" s="363" t="s">
        <v>153</v>
      </c>
      <c r="DBQ64" s="363"/>
      <c r="DBR64" s="363"/>
      <c r="DBS64" s="364" t="s">
        <v>140</v>
      </c>
      <c r="DBT64" s="365">
        <v>0.5</v>
      </c>
      <c r="DBU64" s="366" t="e">
        <f>10/DBQ62</f>
        <v>#DIV/0!</v>
      </c>
      <c r="DBV64" s="367">
        <v>15.38</v>
      </c>
      <c r="DBW64" s="367" t="e">
        <f>DBT64*DBU64*DBV64</f>
        <v>#DIV/0!</v>
      </c>
      <c r="DBX64" s="363" t="s">
        <v>153</v>
      </c>
      <c r="DBY64" s="363"/>
      <c r="DBZ64" s="363"/>
      <c r="DCA64" s="364" t="s">
        <v>140</v>
      </c>
      <c r="DCB64" s="365">
        <v>0.5</v>
      </c>
      <c r="DCC64" s="366" t="e">
        <f>10/DBY62</f>
        <v>#DIV/0!</v>
      </c>
      <c r="DCD64" s="367">
        <v>15.38</v>
      </c>
      <c r="DCE64" s="367" t="e">
        <f>DCB64*DCC64*DCD64</f>
        <v>#DIV/0!</v>
      </c>
      <c r="DCF64" s="363" t="s">
        <v>153</v>
      </c>
      <c r="DCG64" s="363"/>
      <c r="DCH64" s="363"/>
      <c r="DCI64" s="364" t="s">
        <v>140</v>
      </c>
      <c r="DCJ64" s="365">
        <v>0.5</v>
      </c>
      <c r="DCK64" s="366" t="e">
        <f>10/DCG62</f>
        <v>#DIV/0!</v>
      </c>
      <c r="DCL64" s="367">
        <v>15.38</v>
      </c>
      <c r="DCM64" s="367" t="e">
        <f>DCJ64*DCK64*DCL64</f>
        <v>#DIV/0!</v>
      </c>
      <c r="DCN64" s="363" t="s">
        <v>153</v>
      </c>
      <c r="DCO64" s="363"/>
      <c r="DCP64" s="363"/>
      <c r="DCQ64" s="364" t="s">
        <v>140</v>
      </c>
      <c r="DCR64" s="365">
        <v>0.5</v>
      </c>
      <c r="DCS64" s="366" t="e">
        <f>10/DCO62</f>
        <v>#DIV/0!</v>
      </c>
      <c r="DCT64" s="367">
        <v>15.38</v>
      </c>
      <c r="DCU64" s="367" t="e">
        <f>DCR64*DCS64*DCT64</f>
        <v>#DIV/0!</v>
      </c>
      <c r="DCV64" s="363" t="s">
        <v>153</v>
      </c>
      <c r="DCW64" s="363"/>
      <c r="DCX64" s="363"/>
      <c r="DCY64" s="364" t="s">
        <v>140</v>
      </c>
      <c r="DCZ64" s="365">
        <v>0.5</v>
      </c>
      <c r="DDA64" s="366" t="e">
        <f>10/DCW62</f>
        <v>#DIV/0!</v>
      </c>
      <c r="DDB64" s="367">
        <v>15.38</v>
      </c>
      <c r="DDC64" s="367" t="e">
        <f>DCZ64*DDA64*DDB64</f>
        <v>#DIV/0!</v>
      </c>
      <c r="DDD64" s="363" t="s">
        <v>153</v>
      </c>
      <c r="DDE64" s="363"/>
      <c r="DDF64" s="363"/>
      <c r="DDG64" s="364" t="s">
        <v>140</v>
      </c>
      <c r="DDH64" s="365">
        <v>0.5</v>
      </c>
      <c r="DDI64" s="366" t="e">
        <f>10/DDE62</f>
        <v>#DIV/0!</v>
      </c>
      <c r="DDJ64" s="367">
        <v>15.38</v>
      </c>
      <c r="DDK64" s="367" t="e">
        <f>DDH64*DDI64*DDJ64</f>
        <v>#DIV/0!</v>
      </c>
      <c r="DDL64" s="363" t="s">
        <v>153</v>
      </c>
      <c r="DDM64" s="363"/>
      <c r="DDN64" s="363"/>
      <c r="DDO64" s="364" t="s">
        <v>140</v>
      </c>
      <c r="DDP64" s="365">
        <v>0.5</v>
      </c>
      <c r="DDQ64" s="366" t="e">
        <f>10/DDM62</f>
        <v>#DIV/0!</v>
      </c>
      <c r="DDR64" s="367">
        <v>15.38</v>
      </c>
      <c r="DDS64" s="367" t="e">
        <f>DDP64*DDQ64*DDR64</f>
        <v>#DIV/0!</v>
      </c>
      <c r="DDT64" s="363" t="s">
        <v>153</v>
      </c>
      <c r="DDU64" s="363"/>
      <c r="DDV64" s="363"/>
      <c r="DDW64" s="364" t="s">
        <v>140</v>
      </c>
      <c r="DDX64" s="365">
        <v>0.5</v>
      </c>
      <c r="DDY64" s="366" t="e">
        <f>10/DDU62</f>
        <v>#DIV/0!</v>
      </c>
      <c r="DDZ64" s="367">
        <v>15.38</v>
      </c>
      <c r="DEA64" s="367" t="e">
        <f>DDX64*DDY64*DDZ64</f>
        <v>#DIV/0!</v>
      </c>
      <c r="DEB64" s="363" t="s">
        <v>153</v>
      </c>
      <c r="DEC64" s="363"/>
      <c r="DED64" s="363"/>
      <c r="DEE64" s="364" t="s">
        <v>140</v>
      </c>
      <c r="DEF64" s="365">
        <v>0.5</v>
      </c>
      <c r="DEG64" s="366" t="e">
        <f>10/DEC62</f>
        <v>#DIV/0!</v>
      </c>
      <c r="DEH64" s="367">
        <v>15.38</v>
      </c>
      <c r="DEI64" s="367" t="e">
        <f>DEF64*DEG64*DEH64</f>
        <v>#DIV/0!</v>
      </c>
      <c r="DEJ64" s="363" t="s">
        <v>153</v>
      </c>
      <c r="DEK64" s="363"/>
      <c r="DEL64" s="363"/>
      <c r="DEM64" s="364" t="s">
        <v>140</v>
      </c>
      <c r="DEN64" s="365">
        <v>0.5</v>
      </c>
      <c r="DEO64" s="366" t="e">
        <f>10/DEK62</f>
        <v>#DIV/0!</v>
      </c>
      <c r="DEP64" s="367">
        <v>15.38</v>
      </c>
      <c r="DEQ64" s="367" t="e">
        <f>DEN64*DEO64*DEP64</f>
        <v>#DIV/0!</v>
      </c>
      <c r="DER64" s="363" t="s">
        <v>153</v>
      </c>
      <c r="DES64" s="363"/>
      <c r="DET64" s="363"/>
      <c r="DEU64" s="364" t="s">
        <v>140</v>
      </c>
      <c r="DEV64" s="365">
        <v>0.5</v>
      </c>
      <c r="DEW64" s="366" t="e">
        <f>10/DES62</f>
        <v>#DIV/0!</v>
      </c>
      <c r="DEX64" s="367">
        <v>15.38</v>
      </c>
      <c r="DEY64" s="367" t="e">
        <f>DEV64*DEW64*DEX64</f>
        <v>#DIV/0!</v>
      </c>
      <c r="DEZ64" s="363" t="s">
        <v>153</v>
      </c>
      <c r="DFA64" s="363"/>
      <c r="DFB64" s="363"/>
      <c r="DFC64" s="364" t="s">
        <v>140</v>
      </c>
      <c r="DFD64" s="365">
        <v>0.5</v>
      </c>
      <c r="DFE64" s="366" t="e">
        <f>10/DFA62</f>
        <v>#DIV/0!</v>
      </c>
      <c r="DFF64" s="367">
        <v>15.38</v>
      </c>
      <c r="DFG64" s="367" t="e">
        <f>DFD64*DFE64*DFF64</f>
        <v>#DIV/0!</v>
      </c>
      <c r="DFH64" s="363" t="s">
        <v>153</v>
      </c>
      <c r="DFI64" s="363"/>
      <c r="DFJ64" s="363"/>
      <c r="DFK64" s="364" t="s">
        <v>140</v>
      </c>
      <c r="DFL64" s="365">
        <v>0.5</v>
      </c>
      <c r="DFM64" s="366" t="e">
        <f>10/DFI62</f>
        <v>#DIV/0!</v>
      </c>
      <c r="DFN64" s="367">
        <v>15.38</v>
      </c>
      <c r="DFO64" s="367" t="e">
        <f>DFL64*DFM64*DFN64</f>
        <v>#DIV/0!</v>
      </c>
      <c r="DFP64" s="363" t="s">
        <v>153</v>
      </c>
      <c r="DFQ64" s="363"/>
      <c r="DFR64" s="363"/>
      <c r="DFS64" s="364" t="s">
        <v>140</v>
      </c>
      <c r="DFT64" s="365">
        <v>0.5</v>
      </c>
      <c r="DFU64" s="366" t="e">
        <f>10/DFQ62</f>
        <v>#DIV/0!</v>
      </c>
      <c r="DFV64" s="367">
        <v>15.38</v>
      </c>
      <c r="DFW64" s="367" t="e">
        <f>DFT64*DFU64*DFV64</f>
        <v>#DIV/0!</v>
      </c>
      <c r="DFX64" s="363" t="s">
        <v>153</v>
      </c>
      <c r="DFY64" s="363"/>
      <c r="DFZ64" s="363"/>
      <c r="DGA64" s="364" t="s">
        <v>140</v>
      </c>
      <c r="DGB64" s="365">
        <v>0.5</v>
      </c>
      <c r="DGC64" s="366" t="e">
        <f>10/DFY62</f>
        <v>#DIV/0!</v>
      </c>
      <c r="DGD64" s="367">
        <v>15.38</v>
      </c>
      <c r="DGE64" s="367" t="e">
        <f>DGB64*DGC64*DGD64</f>
        <v>#DIV/0!</v>
      </c>
      <c r="DGF64" s="363" t="s">
        <v>153</v>
      </c>
      <c r="DGG64" s="363"/>
      <c r="DGH64" s="363"/>
      <c r="DGI64" s="364" t="s">
        <v>140</v>
      </c>
      <c r="DGJ64" s="365">
        <v>0.5</v>
      </c>
      <c r="DGK64" s="366" t="e">
        <f>10/DGG62</f>
        <v>#DIV/0!</v>
      </c>
      <c r="DGL64" s="367">
        <v>15.38</v>
      </c>
      <c r="DGM64" s="367" t="e">
        <f>DGJ64*DGK64*DGL64</f>
        <v>#DIV/0!</v>
      </c>
      <c r="DGN64" s="363" t="s">
        <v>153</v>
      </c>
      <c r="DGO64" s="363"/>
      <c r="DGP64" s="363"/>
      <c r="DGQ64" s="364" t="s">
        <v>140</v>
      </c>
      <c r="DGR64" s="365">
        <v>0.5</v>
      </c>
      <c r="DGS64" s="366" t="e">
        <f>10/DGO62</f>
        <v>#DIV/0!</v>
      </c>
      <c r="DGT64" s="367">
        <v>15.38</v>
      </c>
      <c r="DGU64" s="367" t="e">
        <f>DGR64*DGS64*DGT64</f>
        <v>#DIV/0!</v>
      </c>
      <c r="DGV64" s="363" t="s">
        <v>153</v>
      </c>
      <c r="DGW64" s="363"/>
      <c r="DGX64" s="363"/>
      <c r="DGY64" s="364" t="s">
        <v>140</v>
      </c>
      <c r="DGZ64" s="365">
        <v>0.5</v>
      </c>
      <c r="DHA64" s="366" t="e">
        <f>10/DGW62</f>
        <v>#DIV/0!</v>
      </c>
      <c r="DHB64" s="367">
        <v>15.38</v>
      </c>
      <c r="DHC64" s="367" t="e">
        <f>DGZ64*DHA64*DHB64</f>
        <v>#DIV/0!</v>
      </c>
      <c r="DHD64" s="363" t="s">
        <v>153</v>
      </c>
      <c r="DHE64" s="363"/>
      <c r="DHF64" s="363"/>
      <c r="DHG64" s="364" t="s">
        <v>140</v>
      </c>
      <c r="DHH64" s="365">
        <v>0.5</v>
      </c>
      <c r="DHI64" s="366" t="e">
        <f>10/DHE62</f>
        <v>#DIV/0!</v>
      </c>
      <c r="DHJ64" s="367">
        <v>15.38</v>
      </c>
      <c r="DHK64" s="367" t="e">
        <f>DHH64*DHI64*DHJ64</f>
        <v>#DIV/0!</v>
      </c>
      <c r="DHL64" s="363" t="s">
        <v>153</v>
      </c>
      <c r="DHM64" s="363"/>
      <c r="DHN64" s="363"/>
      <c r="DHO64" s="364" t="s">
        <v>140</v>
      </c>
      <c r="DHP64" s="365">
        <v>0.5</v>
      </c>
      <c r="DHQ64" s="366" t="e">
        <f>10/DHM62</f>
        <v>#DIV/0!</v>
      </c>
      <c r="DHR64" s="367">
        <v>15.38</v>
      </c>
      <c r="DHS64" s="367" t="e">
        <f>DHP64*DHQ64*DHR64</f>
        <v>#DIV/0!</v>
      </c>
      <c r="DHT64" s="363" t="s">
        <v>153</v>
      </c>
      <c r="DHU64" s="363"/>
      <c r="DHV64" s="363"/>
      <c r="DHW64" s="364" t="s">
        <v>140</v>
      </c>
      <c r="DHX64" s="365">
        <v>0.5</v>
      </c>
      <c r="DHY64" s="366" t="e">
        <f>10/DHU62</f>
        <v>#DIV/0!</v>
      </c>
      <c r="DHZ64" s="367">
        <v>15.38</v>
      </c>
      <c r="DIA64" s="367" t="e">
        <f>DHX64*DHY64*DHZ64</f>
        <v>#DIV/0!</v>
      </c>
      <c r="DIB64" s="363" t="s">
        <v>153</v>
      </c>
      <c r="DIC64" s="363"/>
      <c r="DID64" s="363"/>
      <c r="DIE64" s="364" t="s">
        <v>140</v>
      </c>
      <c r="DIF64" s="365">
        <v>0.5</v>
      </c>
      <c r="DIG64" s="366" t="e">
        <f>10/DIC62</f>
        <v>#DIV/0!</v>
      </c>
      <c r="DIH64" s="367">
        <v>15.38</v>
      </c>
      <c r="DII64" s="367" t="e">
        <f>DIF64*DIG64*DIH64</f>
        <v>#DIV/0!</v>
      </c>
      <c r="DIJ64" s="363" t="s">
        <v>153</v>
      </c>
      <c r="DIK64" s="363"/>
      <c r="DIL64" s="363"/>
      <c r="DIM64" s="364" t="s">
        <v>140</v>
      </c>
      <c r="DIN64" s="365">
        <v>0.5</v>
      </c>
      <c r="DIO64" s="366" t="e">
        <f>10/DIK62</f>
        <v>#DIV/0!</v>
      </c>
      <c r="DIP64" s="367">
        <v>15.38</v>
      </c>
      <c r="DIQ64" s="367" t="e">
        <f>DIN64*DIO64*DIP64</f>
        <v>#DIV/0!</v>
      </c>
      <c r="DIR64" s="363" t="s">
        <v>153</v>
      </c>
      <c r="DIS64" s="363"/>
      <c r="DIT64" s="363"/>
      <c r="DIU64" s="364" t="s">
        <v>140</v>
      </c>
      <c r="DIV64" s="365">
        <v>0.5</v>
      </c>
      <c r="DIW64" s="366" t="e">
        <f>10/DIS62</f>
        <v>#DIV/0!</v>
      </c>
      <c r="DIX64" s="367">
        <v>15.38</v>
      </c>
      <c r="DIY64" s="367" t="e">
        <f>DIV64*DIW64*DIX64</f>
        <v>#DIV/0!</v>
      </c>
      <c r="DIZ64" s="363" t="s">
        <v>153</v>
      </c>
      <c r="DJA64" s="363"/>
      <c r="DJB64" s="363"/>
      <c r="DJC64" s="364" t="s">
        <v>140</v>
      </c>
      <c r="DJD64" s="365">
        <v>0.5</v>
      </c>
      <c r="DJE64" s="366" t="e">
        <f>10/DJA62</f>
        <v>#DIV/0!</v>
      </c>
      <c r="DJF64" s="367">
        <v>15.38</v>
      </c>
      <c r="DJG64" s="367" t="e">
        <f>DJD64*DJE64*DJF64</f>
        <v>#DIV/0!</v>
      </c>
      <c r="DJH64" s="363" t="s">
        <v>153</v>
      </c>
      <c r="DJI64" s="363"/>
      <c r="DJJ64" s="363"/>
      <c r="DJK64" s="364" t="s">
        <v>140</v>
      </c>
      <c r="DJL64" s="365">
        <v>0.5</v>
      </c>
      <c r="DJM64" s="366" t="e">
        <f>10/DJI62</f>
        <v>#DIV/0!</v>
      </c>
      <c r="DJN64" s="367">
        <v>15.38</v>
      </c>
      <c r="DJO64" s="367" t="e">
        <f>DJL64*DJM64*DJN64</f>
        <v>#DIV/0!</v>
      </c>
      <c r="DJP64" s="363" t="s">
        <v>153</v>
      </c>
      <c r="DJQ64" s="363"/>
      <c r="DJR64" s="363"/>
      <c r="DJS64" s="364" t="s">
        <v>140</v>
      </c>
      <c r="DJT64" s="365">
        <v>0.5</v>
      </c>
      <c r="DJU64" s="366" t="e">
        <f>10/DJQ62</f>
        <v>#DIV/0!</v>
      </c>
      <c r="DJV64" s="367">
        <v>15.38</v>
      </c>
      <c r="DJW64" s="367" t="e">
        <f>DJT64*DJU64*DJV64</f>
        <v>#DIV/0!</v>
      </c>
      <c r="DJX64" s="363" t="s">
        <v>153</v>
      </c>
      <c r="DJY64" s="363"/>
      <c r="DJZ64" s="363"/>
      <c r="DKA64" s="364" t="s">
        <v>140</v>
      </c>
      <c r="DKB64" s="365">
        <v>0.5</v>
      </c>
      <c r="DKC64" s="366" t="e">
        <f>10/DJY62</f>
        <v>#DIV/0!</v>
      </c>
      <c r="DKD64" s="367">
        <v>15.38</v>
      </c>
      <c r="DKE64" s="367" t="e">
        <f>DKB64*DKC64*DKD64</f>
        <v>#DIV/0!</v>
      </c>
      <c r="DKF64" s="363" t="s">
        <v>153</v>
      </c>
      <c r="DKG64" s="363"/>
      <c r="DKH64" s="363"/>
      <c r="DKI64" s="364" t="s">
        <v>140</v>
      </c>
      <c r="DKJ64" s="365">
        <v>0.5</v>
      </c>
      <c r="DKK64" s="366" t="e">
        <f>10/DKG62</f>
        <v>#DIV/0!</v>
      </c>
      <c r="DKL64" s="367">
        <v>15.38</v>
      </c>
      <c r="DKM64" s="367" t="e">
        <f>DKJ64*DKK64*DKL64</f>
        <v>#DIV/0!</v>
      </c>
      <c r="DKN64" s="363" t="s">
        <v>153</v>
      </c>
      <c r="DKO64" s="363"/>
      <c r="DKP64" s="363"/>
      <c r="DKQ64" s="364" t="s">
        <v>140</v>
      </c>
      <c r="DKR64" s="365">
        <v>0.5</v>
      </c>
      <c r="DKS64" s="366" t="e">
        <f>10/DKO62</f>
        <v>#DIV/0!</v>
      </c>
      <c r="DKT64" s="367">
        <v>15.38</v>
      </c>
      <c r="DKU64" s="367" t="e">
        <f>DKR64*DKS64*DKT64</f>
        <v>#DIV/0!</v>
      </c>
      <c r="DKV64" s="363" t="s">
        <v>153</v>
      </c>
      <c r="DKW64" s="363"/>
      <c r="DKX64" s="363"/>
      <c r="DKY64" s="364" t="s">
        <v>140</v>
      </c>
      <c r="DKZ64" s="365">
        <v>0.5</v>
      </c>
      <c r="DLA64" s="366" t="e">
        <f>10/DKW62</f>
        <v>#DIV/0!</v>
      </c>
      <c r="DLB64" s="367">
        <v>15.38</v>
      </c>
      <c r="DLC64" s="367" t="e">
        <f>DKZ64*DLA64*DLB64</f>
        <v>#DIV/0!</v>
      </c>
      <c r="DLD64" s="363" t="s">
        <v>153</v>
      </c>
      <c r="DLE64" s="363"/>
      <c r="DLF64" s="363"/>
      <c r="DLG64" s="364" t="s">
        <v>140</v>
      </c>
      <c r="DLH64" s="365">
        <v>0.5</v>
      </c>
      <c r="DLI64" s="366" t="e">
        <f>10/DLE62</f>
        <v>#DIV/0!</v>
      </c>
      <c r="DLJ64" s="367">
        <v>15.38</v>
      </c>
      <c r="DLK64" s="367" t="e">
        <f>DLH64*DLI64*DLJ64</f>
        <v>#DIV/0!</v>
      </c>
      <c r="DLL64" s="363" t="s">
        <v>153</v>
      </c>
      <c r="DLM64" s="363"/>
      <c r="DLN64" s="363"/>
      <c r="DLO64" s="364" t="s">
        <v>140</v>
      </c>
      <c r="DLP64" s="365">
        <v>0.5</v>
      </c>
      <c r="DLQ64" s="366" t="e">
        <f>10/DLM62</f>
        <v>#DIV/0!</v>
      </c>
      <c r="DLR64" s="367">
        <v>15.38</v>
      </c>
      <c r="DLS64" s="367" t="e">
        <f>DLP64*DLQ64*DLR64</f>
        <v>#DIV/0!</v>
      </c>
      <c r="DLT64" s="363" t="s">
        <v>153</v>
      </c>
      <c r="DLU64" s="363"/>
      <c r="DLV64" s="363"/>
      <c r="DLW64" s="364" t="s">
        <v>140</v>
      </c>
      <c r="DLX64" s="365">
        <v>0.5</v>
      </c>
      <c r="DLY64" s="366" t="e">
        <f>10/DLU62</f>
        <v>#DIV/0!</v>
      </c>
      <c r="DLZ64" s="367">
        <v>15.38</v>
      </c>
      <c r="DMA64" s="367" t="e">
        <f>DLX64*DLY64*DLZ64</f>
        <v>#DIV/0!</v>
      </c>
      <c r="DMB64" s="363" t="s">
        <v>153</v>
      </c>
      <c r="DMC64" s="363"/>
      <c r="DMD64" s="363"/>
      <c r="DME64" s="364" t="s">
        <v>140</v>
      </c>
      <c r="DMF64" s="365">
        <v>0.5</v>
      </c>
      <c r="DMG64" s="366" t="e">
        <f>10/DMC62</f>
        <v>#DIV/0!</v>
      </c>
      <c r="DMH64" s="367">
        <v>15.38</v>
      </c>
      <c r="DMI64" s="367" t="e">
        <f>DMF64*DMG64*DMH64</f>
        <v>#DIV/0!</v>
      </c>
      <c r="DMJ64" s="363" t="s">
        <v>153</v>
      </c>
      <c r="DMK64" s="363"/>
      <c r="DML64" s="363"/>
      <c r="DMM64" s="364" t="s">
        <v>140</v>
      </c>
      <c r="DMN64" s="365">
        <v>0.5</v>
      </c>
      <c r="DMO64" s="366" t="e">
        <f>10/DMK62</f>
        <v>#DIV/0!</v>
      </c>
      <c r="DMP64" s="367">
        <v>15.38</v>
      </c>
      <c r="DMQ64" s="367" t="e">
        <f>DMN64*DMO64*DMP64</f>
        <v>#DIV/0!</v>
      </c>
      <c r="DMR64" s="363" t="s">
        <v>153</v>
      </c>
      <c r="DMS64" s="363"/>
      <c r="DMT64" s="363"/>
      <c r="DMU64" s="364" t="s">
        <v>140</v>
      </c>
      <c r="DMV64" s="365">
        <v>0.5</v>
      </c>
      <c r="DMW64" s="366" t="e">
        <f>10/DMS62</f>
        <v>#DIV/0!</v>
      </c>
      <c r="DMX64" s="367">
        <v>15.38</v>
      </c>
      <c r="DMY64" s="367" t="e">
        <f>DMV64*DMW64*DMX64</f>
        <v>#DIV/0!</v>
      </c>
      <c r="DMZ64" s="363" t="s">
        <v>153</v>
      </c>
      <c r="DNA64" s="363"/>
      <c r="DNB64" s="363"/>
      <c r="DNC64" s="364" t="s">
        <v>140</v>
      </c>
      <c r="DND64" s="365">
        <v>0.5</v>
      </c>
      <c r="DNE64" s="366" t="e">
        <f>10/DNA62</f>
        <v>#DIV/0!</v>
      </c>
      <c r="DNF64" s="367">
        <v>15.38</v>
      </c>
      <c r="DNG64" s="367" t="e">
        <f>DND64*DNE64*DNF64</f>
        <v>#DIV/0!</v>
      </c>
      <c r="DNH64" s="363" t="s">
        <v>153</v>
      </c>
      <c r="DNI64" s="363"/>
      <c r="DNJ64" s="363"/>
      <c r="DNK64" s="364" t="s">
        <v>140</v>
      </c>
      <c r="DNL64" s="365">
        <v>0.5</v>
      </c>
      <c r="DNM64" s="366" t="e">
        <f>10/DNI62</f>
        <v>#DIV/0!</v>
      </c>
      <c r="DNN64" s="367">
        <v>15.38</v>
      </c>
      <c r="DNO64" s="367" t="e">
        <f>DNL64*DNM64*DNN64</f>
        <v>#DIV/0!</v>
      </c>
      <c r="DNP64" s="363" t="s">
        <v>153</v>
      </c>
      <c r="DNQ64" s="363"/>
      <c r="DNR64" s="363"/>
      <c r="DNS64" s="364" t="s">
        <v>140</v>
      </c>
      <c r="DNT64" s="365">
        <v>0.5</v>
      </c>
      <c r="DNU64" s="366" t="e">
        <f>10/DNQ62</f>
        <v>#DIV/0!</v>
      </c>
      <c r="DNV64" s="367">
        <v>15.38</v>
      </c>
      <c r="DNW64" s="367" t="e">
        <f>DNT64*DNU64*DNV64</f>
        <v>#DIV/0!</v>
      </c>
      <c r="DNX64" s="363" t="s">
        <v>153</v>
      </c>
      <c r="DNY64" s="363"/>
      <c r="DNZ64" s="363"/>
      <c r="DOA64" s="364" t="s">
        <v>140</v>
      </c>
      <c r="DOB64" s="365">
        <v>0.5</v>
      </c>
      <c r="DOC64" s="366" t="e">
        <f>10/DNY62</f>
        <v>#DIV/0!</v>
      </c>
      <c r="DOD64" s="367">
        <v>15.38</v>
      </c>
      <c r="DOE64" s="367" t="e">
        <f>DOB64*DOC64*DOD64</f>
        <v>#DIV/0!</v>
      </c>
      <c r="DOF64" s="363" t="s">
        <v>153</v>
      </c>
      <c r="DOG64" s="363"/>
      <c r="DOH64" s="363"/>
      <c r="DOI64" s="364" t="s">
        <v>140</v>
      </c>
      <c r="DOJ64" s="365">
        <v>0.5</v>
      </c>
      <c r="DOK64" s="366" t="e">
        <f>10/DOG62</f>
        <v>#DIV/0!</v>
      </c>
      <c r="DOL64" s="367">
        <v>15.38</v>
      </c>
      <c r="DOM64" s="367" t="e">
        <f>DOJ64*DOK64*DOL64</f>
        <v>#DIV/0!</v>
      </c>
      <c r="DON64" s="363" t="s">
        <v>153</v>
      </c>
      <c r="DOO64" s="363"/>
      <c r="DOP64" s="363"/>
      <c r="DOQ64" s="364" t="s">
        <v>140</v>
      </c>
      <c r="DOR64" s="365">
        <v>0.5</v>
      </c>
      <c r="DOS64" s="366" t="e">
        <f>10/DOO62</f>
        <v>#DIV/0!</v>
      </c>
      <c r="DOT64" s="367">
        <v>15.38</v>
      </c>
      <c r="DOU64" s="367" t="e">
        <f>DOR64*DOS64*DOT64</f>
        <v>#DIV/0!</v>
      </c>
      <c r="DOV64" s="363" t="s">
        <v>153</v>
      </c>
      <c r="DOW64" s="363"/>
      <c r="DOX64" s="363"/>
      <c r="DOY64" s="364" t="s">
        <v>140</v>
      </c>
      <c r="DOZ64" s="365">
        <v>0.5</v>
      </c>
      <c r="DPA64" s="366" t="e">
        <f>10/DOW62</f>
        <v>#DIV/0!</v>
      </c>
      <c r="DPB64" s="367">
        <v>15.38</v>
      </c>
      <c r="DPC64" s="367" t="e">
        <f>DOZ64*DPA64*DPB64</f>
        <v>#DIV/0!</v>
      </c>
      <c r="DPD64" s="363" t="s">
        <v>153</v>
      </c>
      <c r="DPE64" s="363"/>
      <c r="DPF64" s="363"/>
      <c r="DPG64" s="364" t="s">
        <v>140</v>
      </c>
      <c r="DPH64" s="365">
        <v>0.5</v>
      </c>
      <c r="DPI64" s="366" t="e">
        <f>10/DPE62</f>
        <v>#DIV/0!</v>
      </c>
      <c r="DPJ64" s="367">
        <v>15.38</v>
      </c>
      <c r="DPK64" s="367" t="e">
        <f>DPH64*DPI64*DPJ64</f>
        <v>#DIV/0!</v>
      </c>
      <c r="DPL64" s="363" t="s">
        <v>153</v>
      </c>
      <c r="DPM64" s="363"/>
      <c r="DPN64" s="363"/>
      <c r="DPO64" s="364" t="s">
        <v>140</v>
      </c>
      <c r="DPP64" s="365">
        <v>0.5</v>
      </c>
      <c r="DPQ64" s="366" t="e">
        <f>10/DPM62</f>
        <v>#DIV/0!</v>
      </c>
      <c r="DPR64" s="367">
        <v>15.38</v>
      </c>
      <c r="DPS64" s="367" t="e">
        <f>DPP64*DPQ64*DPR64</f>
        <v>#DIV/0!</v>
      </c>
      <c r="DPT64" s="363" t="s">
        <v>153</v>
      </c>
      <c r="DPU64" s="363"/>
      <c r="DPV64" s="363"/>
      <c r="DPW64" s="364" t="s">
        <v>140</v>
      </c>
      <c r="DPX64" s="365">
        <v>0.5</v>
      </c>
      <c r="DPY64" s="366" t="e">
        <f>10/DPU62</f>
        <v>#DIV/0!</v>
      </c>
      <c r="DPZ64" s="367">
        <v>15.38</v>
      </c>
      <c r="DQA64" s="367" t="e">
        <f>DPX64*DPY64*DPZ64</f>
        <v>#DIV/0!</v>
      </c>
      <c r="DQB64" s="363" t="s">
        <v>153</v>
      </c>
      <c r="DQC64" s="363"/>
      <c r="DQD64" s="363"/>
      <c r="DQE64" s="364" t="s">
        <v>140</v>
      </c>
      <c r="DQF64" s="365">
        <v>0.5</v>
      </c>
      <c r="DQG64" s="366" t="e">
        <f>10/DQC62</f>
        <v>#DIV/0!</v>
      </c>
      <c r="DQH64" s="367">
        <v>15.38</v>
      </c>
      <c r="DQI64" s="367" t="e">
        <f>DQF64*DQG64*DQH64</f>
        <v>#DIV/0!</v>
      </c>
      <c r="DQJ64" s="363" t="s">
        <v>153</v>
      </c>
      <c r="DQK64" s="363"/>
      <c r="DQL64" s="363"/>
      <c r="DQM64" s="364" t="s">
        <v>140</v>
      </c>
      <c r="DQN64" s="365">
        <v>0.5</v>
      </c>
      <c r="DQO64" s="366" t="e">
        <f>10/DQK62</f>
        <v>#DIV/0!</v>
      </c>
      <c r="DQP64" s="367">
        <v>15.38</v>
      </c>
      <c r="DQQ64" s="367" t="e">
        <f>DQN64*DQO64*DQP64</f>
        <v>#DIV/0!</v>
      </c>
      <c r="DQR64" s="363" t="s">
        <v>153</v>
      </c>
      <c r="DQS64" s="363"/>
      <c r="DQT64" s="363"/>
      <c r="DQU64" s="364" t="s">
        <v>140</v>
      </c>
      <c r="DQV64" s="365">
        <v>0.5</v>
      </c>
      <c r="DQW64" s="366" t="e">
        <f>10/DQS62</f>
        <v>#DIV/0!</v>
      </c>
      <c r="DQX64" s="367">
        <v>15.38</v>
      </c>
      <c r="DQY64" s="367" t="e">
        <f>DQV64*DQW64*DQX64</f>
        <v>#DIV/0!</v>
      </c>
      <c r="DQZ64" s="363" t="s">
        <v>153</v>
      </c>
      <c r="DRA64" s="363"/>
      <c r="DRB64" s="363"/>
      <c r="DRC64" s="364" t="s">
        <v>140</v>
      </c>
      <c r="DRD64" s="365">
        <v>0.5</v>
      </c>
      <c r="DRE64" s="366" t="e">
        <f>10/DRA62</f>
        <v>#DIV/0!</v>
      </c>
      <c r="DRF64" s="367">
        <v>15.38</v>
      </c>
      <c r="DRG64" s="367" t="e">
        <f>DRD64*DRE64*DRF64</f>
        <v>#DIV/0!</v>
      </c>
      <c r="DRH64" s="363" t="s">
        <v>153</v>
      </c>
      <c r="DRI64" s="363"/>
      <c r="DRJ64" s="363"/>
      <c r="DRK64" s="364" t="s">
        <v>140</v>
      </c>
      <c r="DRL64" s="365">
        <v>0.5</v>
      </c>
      <c r="DRM64" s="366" t="e">
        <f>10/DRI62</f>
        <v>#DIV/0!</v>
      </c>
      <c r="DRN64" s="367">
        <v>15.38</v>
      </c>
      <c r="DRO64" s="367" t="e">
        <f>DRL64*DRM64*DRN64</f>
        <v>#DIV/0!</v>
      </c>
      <c r="DRP64" s="363" t="s">
        <v>153</v>
      </c>
      <c r="DRQ64" s="363"/>
      <c r="DRR64" s="363"/>
      <c r="DRS64" s="364" t="s">
        <v>140</v>
      </c>
      <c r="DRT64" s="365">
        <v>0.5</v>
      </c>
      <c r="DRU64" s="366" t="e">
        <f>10/DRQ62</f>
        <v>#DIV/0!</v>
      </c>
      <c r="DRV64" s="367">
        <v>15.38</v>
      </c>
      <c r="DRW64" s="367" t="e">
        <f>DRT64*DRU64*DRV64</f>
        <v>#DIV/0!</v>
      </c>
      <c r="DRX64" s="363" t="s">
        <v>153</v>
      </c>
      <c r="DRY64" s="363"/>
      <c r="DRZ64" s="363"/>
      <c r="DSA64" s="364" t="s">
        <v>140</v>
      </c>
      <c r="DSB64" s="365">
        <v>0.5</v>
      </c>
      <c r="DSC64" s="366" t="e">
        <f>10/DRY62</f>
        <v>#DIV/0!</v>
      </c>
      <c r="DSD64" s="367">
        <v>15.38</v>
      </c>
      <c r="DSE64" s="367" t="e">
        <f>DSB64*DSC64*DSD64</f>
        <v>#DIV/0!</v>
      </c>
      <c r="DSF64" s="363" t="s">
        <v>153</v>
      </c>
      <c r="DSG64" s="363"/>
      <c r="DSH64" s="363"/>
      <c r="DSI64" s="364" t="s">
        <v>140</v>
      </c>
      <c r="DSJ64" s="365">
        <v>0.5</v>
      </c>
      <c r="DSK64" s="366" t="e">
        <f>10/DSG62</f>
        <v>#DIV/0!</v>
      </c>
      <c r="DSL64" s="367">
        <v>15.38</v>
      </c>
      <c r="DSM64" s="367" t="e">
        <f>DSJ64*DSK64*DSL64</f>
        <v>#DIV/0!</v>
      </c>
      <c r="DSN64" s="363" t="s">
        <v>153</v>
      </c>
      <c r="DSO64" s="363"/>
      <c r="DSP64" s="363"/>
      <c r="DSQ64" s="364" t="s">
        <v>140</v>
      </c>
      <c r="DSR64" s="365">
        <v>0.5</v>
      </c>
      <c r="DSS64" s="366" t="e">
        <f>10/DSO62</f>
        <v>#DIV/0!</v>
      </c>
      <c r="DST64" s="367">
        <v>15.38</v>
      </c>
      <c r="DSU64" s="367" t="e">
        <f>DSR64*DSS64*DST64</f>
        <v>#DIV/0!</v>
      </c>
      <c r="DSV64" s="363" t="s">
        <v>153</v>
      </c>
      <c r="DSW64" s="363"/>
      <c r="DSX64" s="363"/>
      <c r="DSY64" s="364" t="s">
        <v>140</v>
      </c>
      <c r="DSZ64" s="365">
        <v>0.5</v>
      </c>
      <c r="DTA64" s="366" t="e">
        <f>10/DSW62</f>
        <v>#DIV/0!</v>
      </c>
      <c r="DTB64" s="367">
        <v>15.38</v>
      </c>
      <c r="DTC64" s="367" t="e">
        <f>DSZ64*DTA64*DTB64</f>
        <v>#DIV/0!</v>
      </c>
      <c r="DTD64" s="363" t="s">
        <v>153</v>
      </c>
      <c r="DTE64" s="363"/>
      <c r="DTF64" s="363"/>
      <c r="DTG64" s="364" t="s">
        <v>140</v>
      </c>
      <c r="DTH64" s="365">
        <v>0.5</v>
      </c>
      <c r="DTI64" s="366" t="e">
        <f>10/DTE62</f>
        <v>#DIV/0!</v>
      </c>
      <c r="DTJ64" s="367">
        <v>15.38</v>
      </c>
      <c r="DTK64" s="367" t="e">
        <f>DTH64*DTI64*DTJ64</f>
        <v>#DIV/0!</v>
      </c>
      <c r="DTL64" s="363" t="s">
        <v>153</v>
      </c>
      <c r="DTM64" s="363"/>
      <c r="DTN64" s="363"/>
      <c r="DTO64" s="364" t="s">
        <v>140</v>
      </c>
      <c r="DTP64" s="365">
        <v>0.5</v>
      </c>
      <c r="DTQ64" s="366" t="e">
        <f>10/DTM62</f>
        <v>#DIV/0!</v>
      </c>
      <c r="DTR64" s="367">
        <v>15.38</v>
      </c>
      <c r="DTS64" s="367" t="e">
        <f>DTP64*DTQ64*DTR64</f>
        <v>#DIV/0!</v>
      </c>
      <c r="DTT64" s="363" t="s">
        <v>153</v>
      </c>
      <c r="DTU64" s="363"/>
      <c r="DTV64" s="363"/>
      <c r="DTW64" s="364" t="s">
        <v>140</v>
      </c>
      <c r="DTX64" s="365">
        <v>0.5</v>
      </c>
      <c r="DTY64" s="366" t="e">
        <f>10/DTU62</f>
        <v>#DIV/0!</v>
      </c>
      <c r="DTZ64" s="367">
        <v>15.38</v>
      </c>
      <c r="DUA64" s="367" t="e">
        <f>DTX64*DTY64*DTZ64</f>
        <v>#DIV/0!</v>
      </c>
      <c r="DUB64" s="363" t="s">
        <v>153</v>
      </c>
      <c r="DUC64" s="363"/>
      <c r="DUD64" s="363"/>
      <c r="DUE64" s="364" t="s">
        <v>140</v>
      </c>
      <c r="DUF64" s="365">
        <v>0.5</v>
      </c>
      <c r="DUG64" s="366" t="e">
        <f>10/DUC62</f>
        <v>#DIV/0!</v>
      </c>
      <c r="DUH64" s="367">
        <v>15.38</v>
      </c>
      <c r="DUI64" s="367" t="e">
        <f>DUF64*DUG64*DUH64</f>
        <v>#DIV/0!</v>
      </c>
      <c r="DUJ64" s="363" t="s">
        <v>153</v>
      </c>
      <c r="DUK64" s="363"/>
      <c r="DUL64" s="363"/>
      <c r="DUM64" s="364" t="s">
        <v>140</v>
      </c>
      <c r="DUN64" s="365">
        <v>0.5</v>
      </c>
      <c r="DUO64" s="366" t="e">
        <f>10/DUK62</f>
        <v>#DIV/0!</v>
      </c>
      <c r="DUP64" s="367">
        <v>15.38</v>
      </c>
      <c r="DUQ64" s="367" t="e">
        <f>DUN64*DUO64*DUP64</f>
        <v>#DIV/0!</v>
      </c>
      <c r="DUR64" s="363" t="s">
        <v>153</v>
      </c>
      <c r="DUS64" s="363"/>
      <c r="DUT64" s="363"/>
      <c r="DUU64" s="364" t="s">
        <v>140</v>
      </c>
      <c r="DUV64" s="365">
        <v>0.5</v>
      </c>
      <c r="DUW64" s="366" t="e">
        <f>10/DUS62</f>
        <v>#DIV/0!</v>
      </c>
      <c r="DUX64" s="367">
        <v>15.38</v>
      </c>
      <c r="DUY64" s="367" t="e">
        <f>DUV64*DUW64*DUX64</f>
        <v>#DIV/0!</v>
      </c>
      <c r="DUZ64" s="363" t="s">
        <v>153</v>
      </c>
      <c r="DVA64" s="363"/>
      <c r="DVB64" s="363"/>
      <c r="DVC64" s="364" t="s">
        <v>140</v>
      </c>
      <c r="DVD64" s="365">
        <v>0.5</v>
      </c>
      <c r="DVE64" s="366" t="e">
        <f>10/DVA62</f>
        <v>#DIV/0!</v>
      </c>
      <c r="DVF64" s="367">
        <v>15.38</v>
      </c>
      <c r="DVG64" s="367" t="e">
        <f>DVD64*DVE64*DVF64</f>
        <v>#DIV/0!</v>
      </c>
      <c r="DVH64" s="363" t="s">
        <v>153</v>
      </c>
      <c r="DVI64" s="363"/>
      <c r="DVJ64" s="363"/>
      <c r="DVK64" s="364" t="s">
        <v>140</v>
      </c>
      <c r="DVL64" s="365">
        <v>0.5</v>
      </c>
      <c r="DVM64" s="366" t="e">
        <f>10/DVI62</f>
        <v>#DIV/0!</v>
      </c>
      <c r="DVN64" s="367">
        <v>15.38</v>
      </c>
      <c r="DVO64" s="367" t="e">
        <f>DVL64*DVM64*DVN64</f>
        <v>#DIV/0!</v>
      </c>
      <c r="DVP64" s="363" t="s">
        <v>153</v>
      </c>
      <c r="DVQ64" s="363"/>
      <c r="DVR64" s="363"/>
      <c r="DVS64" s="364" t="s">
        <v>140</v>
      </c>
      <c r="DVT64" s="365">
        <v>0.5</v>
      </c>
      <c r="DVU64" s="366" t="e">
        <f>10/DVQ62</f>
        <v>#DIV/0!</v>
      </c>
      <c r="DVV64" s="367">
        <v>15.38</v>
      </c>
      <c r="DVW64" s="367" t="e">
        <f>DVT64*DVU64*DVV64</f>
        <v>#DIV/0!</v>
      </c>
      <c r="DVX64" s="363" t="s">
        <v>153</v>
      </c>
      <c r="DVY64" s="363"/>
      <c r="DVZ64" s="363"/>
      <c r="DWA64" s="364" t="s">
        <v>140</v>
      </c>
      <c r="DWB64" s="365">
        <v>0.5</v>
      </c>
      <c r="DWC64" s="366" t="e">
        <f>10/DVY62</f>
        <v>#DIV/0!</v>
      </c>
      <c r="DWD64" s="367">
        <v>15.38</v>
      </c>
      <c r="DWE64" s="367" t="e">
        <f>DWB64*DWC64*DWD64</f>
        <v>#DIV/0!</v>
      </c>
      <c r="DWF64" s="363" t="s">
        <v>153</v>
      </c>
      <c r="DWG64" s="363"/>
      <c r="DWH64" s="363"/>
      <c r="DWI64" s="364" t="s">
        <v>140</v>
      </c>
      <c r="DWJ64" s="365">
        <v>0.5</v>
      </c>
      <c r="DWK64" s="366" t="e">
        <f>10/DWG62</f>
        <v>#DIV/0!</v>
      </c>
      <c r="DWL64" s="367">
        <v>15.38</v>
      </c>
      <c r="DWM64" s="367" t="e">
        <f>DWJ64*DWK64*DWL64</f>
        <v>#DIV/0!</v>
      </c>
      <c r="DWN64" s="363" t="s">
        <v>153</v>
      </c>
      <c r="DWO64" s="363"/>
      <c r="DWP64" s="363"/>
      <c r="DWQ64" s="364" t="s">
        <v>140</v>
      </c>
      <c r="DWR64" s="365">
        <v>0.5</v>
      </c>
      <c r="DWS64" s="366" t="e">
        <f>10/DWO62</f>
        <v>#DIV/0!</v>
      </c>
      <c r="DWT64" s="367">
        <v>15.38</v>
      </c>
      <c r="DWU64" s="367" t="e">
        <f>DWR64*DWS64*DWT64</f>
        <v>#DIV/0!</v>
      </c>
      <c r="DWV64" s="363" t="s">
        <v>153</v>
      </c>
      <c r="DWW64" s="363"/>
      <c r="DWX64" s="363"/>
      <c r="DWY64" s="364" t="s">
        <v>140</v>
      </c>
      <c r="DWZ64" s="365">
        <v>0.5</v>
      </c>
      <c r="DXA64" s="366" t="e">
        <f>10/DWW62</f>
        <v>#DIV/0!</v>
      </c>
      <c r="DXB64" s="367">
        <v>15.38</v>
      </c>
      <c r="DXC64" s="367" t="e">
        <f>DWZ64*DXA64*DXB64</f>
        <v>#DIV/0!</v>
      </c>
      <c r="DXD64" s="363" t="s">
        <v>153</v>
      </c>
      <c r="DXE64" s="363"/>
      <c r="DXF64" s="363"/>
      <c r="DXG64" s="364" t="s">
        <v>140</v>
      </c>
      <c r="DXH64" s="365">
        <v>0.5</v>
      </c>
      <c r="DXI64" s="366" t="e">
        <f>10/DXE62</f>
        <v>#DIV/0!</v>
      </c>
      <c r="DXJ64" s="367">
        <v>15.38</v>
      </c>
      <c r="DXK64" s="367" t="e">
        <f>DXH64*DXI64*DXJ64</f>
        <v>#DIV/0!</v>
      </c>
      <c r="DXL64" s="363" t="s">
        <v>153</v>
      </c>
      <c r="DXM64" s="363"/>
      <c r="DXN64" s="363"/>
      <c r="DXO64" s="364" t="s">
        <v>140</v>
      </c>
      <c r="DXP64" s="365">
        <v>0.5</v>
      </c>
      <c r="DXQ64" s="366" t="e">
        <f>10/DXM62</f>
        <v>#DIV/0!</v>
      </c>
      <c r="DXR64" s="367">
        <v>15.38</v>
      </c>
      <c r="DXS64" s="367" t="e">
        <f>DXP64*DXQ64*DXR64</f>
        <v>#DIV/0!</v>
      </c>
      <c r="DXT64" s="363" t="s">
        <v>153</v>
      </c>
      <c r="DXU64" s="363"/>
      <c r="DXV64" s="363"/>
      <c r="DXW64" s="364" t="s">
        <v>140</v>
      </c>
      <c r="DXX64" s="365">
        <v>0.5</v>
      </c>
      <c r="DXY64" s="366" t="e">
        <f>10/DXU62</f>
        <v>#DIV/0!</v>
      </c>
      <c r="DXZ64" s="367">
        <v>15.38</v>
      </c>
      <c r="DYA64" s="367" t="e">
        <f>DXX64*DXY64*DXZ64</f>
        <v>#DIV/0!</v>
      </c>
      <c r="DYB64" s="363" t="s">
        <v>153</v>
      </c>
      <c r="DYC64" s="363"/>
      <c r="DYD64" s="363"/>
      <c r="DYE64" s="364" t="s">
        <v>140</v>
      </c>
      <c r="DYF64" s="365">
        <v>0.5</v>
      </c>
      <c r="DYG64" s="366" t="e">
        <f>10/DYC62</f>
        <v>#DIV/0!</v>
      </c>
      <c r="DYH64" s="367">
        <v>15.38</v>
      </c>
      <c r="DYI64" s="367" t="e">
        <f>DYF64*DYG64*DYH64</f>
        <v>#DIV/0!</v>
      </c>
      <c r="DYJ64" s="363" t="s">
        <v>153</v>
      </c>
      <c r="DYK64" s="363"/>
      <c r="DYL64" s="363"/>
      <c r="DYM64" s="364" t="s">
        <v>140</v>
      </c>
      <c r="DYN64" s="365">
        <v>0.5</v>
      </c>
      <c r="DYO64" s="366" t="e">
        <f>10/DYK62</f>
        <v>#DIV/0!</v>
      </c>
      <c r="DYP64" s="367">
        <v>15.38</v>
      </c>
      <c r="DYQ64" s="367" t="e">
        <f>DYN64*DYO64*DYP64</f>
        <v>#DIV/0!</v>
      </c>
      <c r="DYR64" s="363" t="s">
        <v>153</v>
      </c>
      <c r="DYS64" s="363"/>
      <c r="DYT64" s="363"/>
      <c r="DYU64" s="364" t="s">
        <v>140</v>
      </c>
      <c r="DYV64" s="365">
        <v>0.5</v>
      </c>
      <c r="DYW64" s="366" t="e">
        <f>10/DYS62</f>
        <v>#DIV/0!</v>
      </c>
      <c r="DYX64" s="367">
        <v>15.38</v>
      </c>
      <c r="DYY64" s="367" t="e">
        <f>DYV64*DYW64*DYX64</f>
        <v>#DIV/0!</v>
      </c>
      <c r="DYZ64" s="363" t="s">
        <v>153</v>
      </c>
      <c r="DZA64" s="363"/>
      <c r="DZB64" s="363"/>
      <c r="DZC64" s="364" t="s">
        <v>140</v>
      </c>
      <c r="DZD64" s="365">
        <v>0.5</v>
      </c>
      <c r="DZE64" s="366" t="e">
        <f>10/DZA62</f>
        <v>#DIV/0!</v>
      </c>
      <c r="DZF64" s="367">
        <v>15.38</v>
      </c>
      <c r="DZG64" s="367" t="e">
        <f>DZD64*DZE64*DZF64</f>
        <v>#DIV/0!</v>
      </c>
      <c r="DZH64" s="363" t="s">
        <v>153</v>
      </c>
      <c r="DZI64" s="363"/>
      <c r="DZJ64" s="363"/>
      <c r="DZK64" s="364" t="s">
        <v>140</v>
      </c>
      <c r="DZL64" s="365">
        <v>0.5</v>
      </c>
      <c r="DZM64" s="366" t="e">
        <f>10/DZI62</f>
        <v>#DIV/0!</v>
      </c>
      <c r="DZN64" s="367">
        <v>15.38</v>
      </c>
      <c r="DZO64" s="367" t="e">
        <f>DZL64*DZM64*DZN64</f>
        <v>#DIV/0!</v>
      </c>
      <c r="DZP64" s="363" t="s">
        <v>153</v>
      </c>
      <c r="DZQ64" s="363"/>
      <c r="DZR64" s="363"/>
      <c r="DZS64" s="364" t="s">
        <v>140</v>
      </c>
      <c r="DZT64" s="365">
        <v>0.5</v>
      </c>
      <c r="DZU64" s="366" t="e">
        <f>10/DZQ62</f>
        <v>#DIV/0!</v>
      </c>
      <c r="DZV64" s="367">
        <v>15.38</v>
      </c>
      <c r="DZW64" s="367" t="e">
        <f>DZT64*DZU64*DZV64</f>
        <v>#DIV/0!</v>
      </c>
      <c r="DZX64" s="363" t="s">
        <v>153</v>
      </c>
      <c r="DZY64" s="363"/>
      <c r="DZZ64" s="363"/>
      <c r="EAA64" s="364" t="s">
        <v>140</v>
      </c>
      <c r="EAB64" s="365">
        <v>0.5</v>
      </c>
      <c r="EAC64" s="366" t="e">
        <f>10/DZY62</f>
        <v>#DIV/0!</v>
      </c>
      <c r="EAD64" s="367">
        <v>15.38</v>
      </c>
      <c r="EAE64" s="367" t="e">
        <f>EAB64*EAC64*EAD64</f>
        <v>#DIV/0!</v>
      </c>
      <c r="EAF64" s="363" t="s">
        <v>153</v>
      </c>
      <c r="EAG64" s="363"/>
      <c r="EAH64" s="363"/>
      <c r="EAI64" s="364" t="s">
        <v>140</v>
      </c>
      <c r="EAJ64" s="365">
        <v>0.5</v>
      </c>
      <c r="EAK64" s="366" t="e">
        <f>10/EAG62</f>
        <v>#DIV/0!</v>
      </c>
      <c r="EAL64" s="367">
        <v>15.38</v>
      </c>
      <c r="EAM64" s="367" t="e">
        <f>EAJ64*EAK64*EAL64</f>
        <v>#DIV/0!</v>
      </c>
      <c r="EAN64" s="363" t="s">
        <v>153</v>
      </c>
      <c r="EAO64" s="363"/>
      <c r="EAP64" s="363"/>
      <c r="EAQ64" s="364" t="s">
        <v>140</v>
      </c>
      <c r="EAR64" s="365">
        <v>0.5</v>
      </c>
      <c r="EAS64" s="366" t="e">
        <f>10/EAO62</f>
        <v>#DIV/0!</v>
      </c>
      <c r="EAT64" s="367">
        <v>15.38</v>
      </c>
      <c r="EAU64" s="367" t="e">
        <f>EAR64*EAS64*EAT64</f>
        <v>#DIV/0!</v>
      </c>
      <c r="EAV64" s="363" t="s">
        <v>153</v>
      </c>
      <c r="EAW64" s="363"/>
      <c r="EAX64" s="363"/>
      <c r="EAY64" s="364" t="s">
        <v>140</v>
      </c>
      <c r="EAZ64" s="365">
        <v>0.5</v>
      </c>
      <c r="EBA64" s="366" t="e">
        <f>10/EAW62</f>
        <v>#DIV/0!</v>
      </c>
      <c r="EBB64" s="367">
        <v>15.38</v>
      </c>
      <c r="EBC64" s="367" t="e">
        <f>EAZ64*EBA64*EBB64</f>
        <v>#DIV/0!</v>
      </c>
      <c r="EBD64" s="363" t="s">
        <v>153</v>
      </c>
      <c r="EBE64" s="363"/>
      <c r="EBF64" s="363"/>
      <c r="EBG64" s="364" t="s">
        <v>140</v>
      </c>
      <c r="EBH64" s="365">
        <v>0.5</v>
      </c>
      <c r="EBI64" s="366" t="e">
        <f>10/EBE62</f>
        <v>#DIV/0!</v>
      </c>
      <c r="EBJ64" s="367">
        <v>15.38</v>
      </c>
      <c r="EBK64" s="367" t="e">
        <f>EBH64*EBI64*EBJ64</f>
        <v>#DIV/0!</v>
      </c>
      <c r="EBL64" s="363" t="s">
        <v>153</v>
      </c>
      <c r="EBM64" s="363"/>
      <c r="EBN64" s="363"/>
      <c r="EBO64" s="364" t="s">
        <v>140</v>
      </c>
      <c r="EBP64" s="365">
        <v>0.5</v>
      </c>
      <c r="EBQ64" s="366" t="e">
        <f>10/EBM62</f>
        <v>#DIV/0!</v>
      </c>
      <c r="EBR64" s="367">
        <v>15.38</v>
      </c>
      <c r="EBS64" s="367" t="e">
        <f>EBP64*EBQ64*EBR64</f>
        <v>#DIV/0!</v>
      </c>
      <c r="EBT64" s="363" t="s">
        <v>153</v>
      </c>
      <c r="EBU64" s="363"/>
      <c r="EBV64" s="363"/>
      <c r="EBW64" s="364" t="s">
        <v>140</v>
      </c>
      <c r="EBX64" s="365">
        <v>0.5</v>
      </c>
      <c r="EBY64" s="366" t="e">
        <f>10/EBU62</f>
        <v>#DIV/0!</v>
      </c>
      <c r="EBZ64" s="367">
        <v>15.38</v>
      </c>
      <c r="ECA64" s="367" t="e">
        <f>EBX64*EBY64*EBZ64</f>
        <v>#DIV/0!</v>
      </c>
      <c r="ECB64" s="363" t="s">
        <v>153</v>
      </c>
      <c r="ECC64" s="363"/>
      <c r="ECD64" s="363"/>
      <c r="ECE64" s="364" t="s">
        <v>140</v>
      </c>
      <c r="ECF64" s="365">
        <v>0.5</v>
      </c>
      <c r="ECG64" s="366" t="e">
        <f>10/ECC62</f>
        <v>#DIV/0!</v>
      </c>
      <c r="ECH64" s="367">
        <v>15.38</v>
      </c>
      <c r="ECI64" s="367" t="e">
        <f>ECF64*ECG64*ECH64</f>
        <v>#DIV/0!</v>
      </c>
      <c r="ECJ64" s="363" t="s">
        <v>153</v>
      </c>
      <c r="ECK64" s="363"/>
      <c r="ECL64" s="363"/>
      <c r="ECM64" s="364" t="s">
        <v>140</v>
      </c>
      <c r="ECN64" s="365">
        <v>0.5</v>
      </c>
      <c r="ECO64" s="366" t="e">
        <f>10/ECK62</f>
        <v>#DIV/0!</v>
      </c>
      <c r="ECP64" s="367">
        <v>15.38</v>
      </c>
      <c r="ECQ64" s="367" t="e">
        <f>ECN64*ECO64*ECP64</f>
        <v>#DIV/0!</v>
      </c>
      <c r="ECR64" s="363" t="s">
        <v>153</v>
      </c>
      <c r="ECS64" s="363"/>
      <c r="ECT64" s="363"/>
      <c r="ECU64" s="364" t="s">
        <v>140</v>
      </c>
      <c r="ECV64" s="365">
        <v>0.5</v>
      </c>
      <c r="ECW64" s="366" t="e">
        <f>10/ECS62</f>
        <v>#DIV/0!</v>
      </c>
      <c r="ECX64" s="367">
        <v>15.38</v>
      </c>
      <c r="ECY64" s="367" t="e">
        <f>ECV64*ECW64*ECX64</f>
        <v>#DIV/0!</v>
      </c>
      <c r="ECZ64" s="363" t="s">
        <v>153</v>
      </c>
      <c r="EDA64" s="363"/>
      <c r="EDB64" s="363"/>
      <c r="EDC64" s="364" t="s">
        <v>140</v>
      </c>
      <c r="EDD64" s="365">
        <v>0.5</v>
      </c>
      <c r="EDE64" s="366" t="e">
        <f>10/EDA62</f>
        <v>#DIV/0!</v>
      </c>
      <c r="EDF64" s="367">
        <v>15.38</v>
      </c>
      <c r="EDG64" s="367" t="e">
        <f>EDD64*EDE64*EDF64</f>
        <v>#DIV/0!</v>
      </c>
      <c r="EDH64" s="363" t="s">
        <v>153</v>
      </c>
      <c r="EDI64" s="363"/>
      <c r="EDJ64" s="363"/>
      <c r="EDK64" s="364" t="s">
        <v>140</v>
      </c>
      <c r="EDL64" s="365">
        <v>0.5</v>
      </c>
      <c r="EDM64" s="366" t="e">
        <f>10/EDI62</f>
        <v>#DIV/0!</v>
      </c>
      <c r="EDN64" s="367">
        <v>15.38</v>
      </c>
      <c r="EDO64" s="367" t="e">
        <f>EDL64*EDM64*EDN64</f>
        <v>#DIV/0!</v>
      </c>
      <c r="EDP64" s="363" t="s">
        <v>153</v>
      </c>
      <c r="EDQ64" s="363"/>
      <c r="EDR64" s="363"/>
      <c r="EDS64" s="364" t="s">
        <v>140</v>
      </c>
      <c r="EDT64" s="365">
        <v>0.5</v>
      </c>
      <c r="EDU64" s="366" t="e">
        <f>10/EDQ62</f>
        <v>#DIV/0!</v>
      </c>
      <c r="EDV64" s="367">
        <v>15.38</v>
      </c>
      <c r="EDW64" s="367" t="e">
        <f>EDT64*EDU64*EDV64</f>
        <v>#DIV/0!</v>
      </c>
      <c r="EDX64" s="363" t="s">
        <v>153</v>
      </c>
      <c r="EDY64" s="363"/>
      <c r="EDZ64" s="363"/>
      <c r="EEA64" s="364" t="s">
        <v>140</v>
      </c>
      <c r="EEB64" s="365">
        <v>0.5</v>
      </c>
      <c r="EEC64" s="366" t="e">
        <f>10/EDY62</f>
        <v>#DIV/0!</v>
      </c>
      <c r="EED64" s="367">
        <v>15.38</v>
      </c>
      <c r="EEE64" s="367" t="e">
        <f>EEB64*EEC64*EED64</f>
        <v>#DIV/0!</v>
      </c>
      <c r="EEF64" s="363" t="s">
        <v>153</v>
      </c>
      <c r="EEG64" s="363"/>
      <c r="EEH64" s="363"/>
      <c r="EEI64" s="364" t="s">
        <v>140</v>
      </c>
      <c r="EEJ64" s="365">
        <v>0.5</v>
      </c>
      <c r="EEK64" s="366" t="e">
        <f>10/EEG62</f>
        <v>#DIV/0!</v>
      </c>
      <c r="EEL64" s="367">
        <v>15.38</v>
      </c>
      <c r="EEM64" s="367" t="e">
        <f>EEJ64*EEK64*EEL64</f>
        <v>#DIV/0!</v>
      </c>
      <c r="EEN64" s="363" t="s">
        <v>153</v>
      </c>
      <c r="EEO64" s="363"/>
      <c r="EEP64" s="363"/>
      <c r="EEQ64" s="364" t="s">
        <v>140</v>
      </c>
      <c r="EER64" s="365">
        <v>0.5</v>
      </c>
      <c r="EES64" s="366" t="e">
        <f>10/EEO62</f>
        <v>#DIV/0!</v>
      </c>
      <c r="EET64" s="367">
        <v>15.38</v>
      </c>
      <c r="EEU64" s="367" t="e">
        <f>EER64*EES64*EET64</f>
        <v>#DIV/0!</v>
      </c>
      <c r="EEV64" s="363" t="s">
        <v>153</v>
      </c>
      <c r="EEW64" s="363"/>
      <c r="EEX64" s="363"/>
      <c r="EEY64" s="364" t="s">
        <v>140</v>
      </c>
      <c r="EEZ64" s="365">
        <v>0.5</v>
      </c>
      <c r="EFA64" s="366" t="e">
        <f>10/EEW62</f>
        <v>#DIV/0!</v>
      </c>
      <c r="EFB64" s="367">
        <v>15.38</v>
      </c>
      <c r="EFC64" s="367" t="e">
        <f>EEZ64*EFA64*EFB64</f>
        <v>#DIV/0!</v>
      </c>
      <c r="EFD64" s="363" t="s">
        <v>153</v>
      </c>
      <c r="EFE64" s="363"/>
      <c r="EFF64" s="363"/>
      <c r="EFG64" s="364" t="s">
        <v>140</v>
      </c>
      <c r="EFH64" s="365">
        <v>0.5</v>
      </c>
      <c r="EFI64" s="366" t="e">
        <f>10/EFE62</f>
        <v>#DIV/0!</v>
      </c>
      <c r="EFJ64" s="367">
        <v>15.38</v>
      </c>
      <c r="EFK64" s="367" t="e">
        <f>EFH64*EFI64*EFJ64</f>
        <v>#DIV/0!</v>
      </c>
      <c r="EFL64" s="363" t="s">
        <v>153</v>
      </c>
      <c r="EFM64" s="363"/>
      <c r="EFN64" s="363"/>
      <c r="EFO64" s="364" t="s">
        <v>140</v>
      </c>
      <c r="EFP64" s="365">
        <v>0.5</v>
      </c>
      <c r="EFQ64" s="366" t="e">
        <f>10/EFM62</f>
        <v>#DIV/0!</v>
      </c>
      <c r="EFR64" s="367">
        <v>15.38</v>
      </c>
      <c r="EFS64" s="367" t="e">
        <f>EFP64*EFQ64*EFR64</f>
        <v>#DIV/0!</v>
      </c>
      <c r="EFT64" s="363" t="s">
        <v>153</v>
      </c>
      <c r="EFU64" s="363"/>
      <c r="EFV64" s="363"/>
      <c r="EFW64" s="364" t="s">
        <v>140</v>
      </c>
      <c r="EFX64" s="365">
        <v>0.5</v>
      </c>
      <c r="EFY64" s="366" t="e">
        <f>10/EFU62</f>
        <v>#DIV/0!</v>
      </c>
      <c r="EFZ64" s="367">
        <v>15.38</v>
      </c>
      <c r="EGA64" s="367" t="e">
        <f>EFX64*EFY64*EFZ64</f>
        <v>#DIV/0!</v>
      </c>
      <c r="EGB64" s="363" t="s">
        <v>153</v>
      </c>
      <c r="EGC64" s="363"/>
      <c r="EGD64" s="363"/>
      <c r="EGE64" s="364" t="s">
        <v>140</v>
      </c>
      <c r="EGF64" s="365">
        <v>0.5</v>
      </c>
      <c r="EGG64" s="366" t="e">
        <f>10/EGC62</f>
        <v>#DIV/0!</v>
      </c>
      <c r="EGH64" s="367">
        <v>15.38</v>
      </c>
      <c r="EGI64" s="367" t="e">
        <f>EGF64*EGG64*EGH64</f>
        <v>#DIV/0!</v>
      </c>
      <c r="EGJ64" s="363" t="s">
        <v>153</v>
      </c>
      <c r="EGK64" s="363"/>
      <c r="EGL64" s="363"/>
      <c r="EGM64" s="364" t="s">
        <v>140</v>
      </c>
      <c r="EGN64" s="365">
        <v>0.5</v>
      </c>
      <c r="EGO64" s="366" t="e">
        <f>10/EGK62</f>
        <v>#DIV/0!</v>
      </c>
      <c r="EGP64" s="367">
        <v>15.38</v>
      </c>
      <c r="EGQ64" s="367" t="e">
        <f>EGN64*EGO64*EGP64</f>
        <v>#DIV/0!</v>
      </c>
      <c r="EGR64" s="363" t="s">
        <v>153</v>
      </c>
      <c r="EGS64" s="363"/>
      <c r="EGT64" s="363"/>
      <c r="EGU64" s="364" t="s">
        <v>140</v>
      </c>
      <c r="EGV64" s="365">
        <v>0.5</v>
      </c>
      <c r="EGW64" s="366" t="e">
        <f>10/EGS62</f>
        <v>#DIV/0!</v>
      </c>
      <c r="EGX64" s="367">
        <v>15.38</v>
      </c>
      <c r="EGY64" s="367" t="e">
        <f>EGV64*EGW64*EGX64</f>
        <v>#DIV/0!</v>
      </c>
      <c r="EGZ64" s="363" t="s">
        <v>153</v>
      </c>
      <c r="EHA64" s="363"/>
      <c r="EHB64" s="363"/>
      <c r="EHC64" s="364" t="s">
        <v>140</v>
      </c>
      <c r="EHD64" s="365">
        <v>0.5</v>
      </c>
      <c r="EHE64" s="366" t="e">
        <f>10/EHA62</f>
        <v>#DIV/0!</v>
      </c>
      <c r="EHF64" s="367">
        <v>15.38</v>
      </c>
      <c r="EHG64" s="367" t="e">
        <f>EHD64*EHE64*EHF64</f>
        <v>#DIV/0!</v>
      </c>
      <c r="EHH64" s="363" t="s">
        <v>153</v>
      </c>
      <c r="EHI64" s="363"/>
      <c r="EHJ64" s="363"/>
      <c r="EHK64" s="364" t="s">
        <v>140</v>
      </c>
      <c r="EHL64" s="365">
        <v>0.5</v>
      </c>
      <c r="EHM64" s="366" t="e">
        <f>10/EHI62</f>
        <v>#DIV/0!</v>
      </c>
      <c r="EHN64" s="367">
        <v>15.38</v>
      </c>
      <c r="EHO64" s="367" t="e">
        <f>EHL64*EHM64*EHN64</f>
        <v>#DIV/0!</v>
      </c>
      <c r="EHP64" s="363" t="s">
        <v>153</v>
      </c>
      <c r="EHQ64" s="363"/>
      <c r="EHR64" s="363"/>
      <c r="EHS64" s="364" t="s">
        <v>140</v>
      </c>
      <c r="EHT64" s="365">
        <v>0.5</v>
      </c>
      <c r="EHU64" s="366" t="e">
        <f>10/EHQ62</f>
        <v>#DIV/0!</v>
      </c>
      <c r="EHV64" s="367">
        <v>15.38</v>
      </c>
      <c r="EHW64" s="367" t="e">
        <f>EHT64*EHU64*EHV64</f>
        <v>#DIV/0!</v>
      </c>
      <c r="EHX64" s="363" t="s">
        <v>153</v>
      </c>
      <c r="EHY64" s="363"/>
      <c r="EHZ64" s="363"/>
      <c r="EIA64" s="364" t="s">
        <v>140</v>
      </c>
      <c r="EIB64" s="365">
        <v>0.5</v>
      </c>
      <c r="EIC64" s="366" t="e">
        <f>10/EHY62</f>
        <v>#DIV/0!</v>
      </c>
      <c r="EID64" s="367">
        <v>15.38</v>
      </c>
      <c r="EIE64" s="367" t="e">
        <f>EIB64*EIC64*EID64</f>
        <v>#DIV/0!</v>
      </c>
      <c r="EIF64" s="363" t="s">
        <v>153</v>
      </c>
      <c r="EIG64" s="363"/>
      <c r="EIH64" s="363"/>
      <c r="EII64" s="364" t="s">
        <v>140</v>
      </c>
      <c r="EIJ64" s="365">
        <v>0.5</v>
      </c>
      <c r="EIK64" s="366" t="e">
        <f>10/EIG62</f>
        <v>#DIV/0!</v>
      </c>
      <c r="EIL64" s="367">
        <v>15.38</v>
      </c>
      <c r="EIM64" s="367" t="e">
        <f>EIJ64*EIK64*EIL64</f>
        <v>#DIV/0!</v>
      </c>
      <c r="EIN64" s="363" t="s">
        <v>153</v>
      </c>
      <c r="EIO64" s="363"/>
      <c r="EIP64" s="363"/>
      <c r="EIQ64" s="364" t="s">
        <v>140</v>
      </c>
      <c r="EIR64" s="365">
        <v>0.5</v>
      </c>
      <c r="EIS64" s="366" t="e">
        <f>10/EIO62</f>
        <v>#DIV/0!</v>
      </c>
      <c r="EIT64" s="367">
        <v>15.38</v>
      </c>
      <c r="EIU64" s="367" t="e">
        <f>EIR64*EIS64*EIT64</f>
        <v>#DIV/0!</v>
      </c>
      <c r="EIV64" s="363" t="s">
        <v>153</v>
      </c>
      <c r="EIW64" s="363"/>
      <c r="EIX64" s="363"/>
      <c r="EIY64" s="364" t="s">
        <v>140</v>
      </c>
      <c r="EIZ64" s="365">
        <v>0.5</v>
      </c>
      <c r="EJA64" s="366" t="e">
        <f>10/EIW62</f>
        <v>#DIV/0!</v>
      </c>
      <c r="EJB64" s="367">
        <v>15.38</v>
      </c>
      <c r="EJC64" s="367" t="e">
        <f>EIZ64*EJA64*EJB64</f>
        <v>#DIV/0!</v>
      </c>
      <c r="EJD64" s="363" t="s">
        <v>153</v>
      </c>
      <c r="EJE64" s="363"/>
      <c r="EJF64" s="363"/>
      <c r="EJG64" s="364" t="s">
        <v>140</v>
      </c>
      <c r="EJH64" s="365">
        <v>0.5</v>
      </c>
      <c r="EJI64" s="366" t="e">
        <f>10/EJE62</f>
        <v>#DIV/0!</v>
      </c>
      <c r="EJJ64" s="367">
        <v>15.38</v>
      </c>
      <c r="EJK64" s="367" t="e">
        <f>EJH64*EJI64*EJJ64</f>
        <v>#DIV/0!</v>
      </c>
      <c r="EJL64" s="363" t="s">
        <v>153</v>
      </c>
      <c r="EJM64" s="363"/>
      <c r="EJN64" s="363"/>
      <c r="EJO64" s="364" t="s">
        <v>140</v>
      </c>
      <c r="EJP64" s="365">
        <v>0.5</v>
      </c>
      <c r="EJQ64" s="366" t="e">
        <f>10/EJM62</f>
        <v>#DIV/0!</v>
      </c>
      <c r="EJR64" s="367">
        <v>15.38</v>
      </c>
      <c r="EJS64" s="367" t="e">
        <f>EJP64*EJQ64*EJR64</f>
        <v>#DIV/0!</v>
      </c>
      <c r="EJT64" s="363" t="s">
        <v>153</v>
      </c>
      <c r="EJU64" s="363"/>
      <c r="EJV64" s="363"/>
      <c r="EJW64" s="364" t="s">
        <v>140</v>
      </c>
      <c r="EJX64" s="365">
        <v>0.5</v>
      </c>
      <c r="EJY64" s="366" t="e">
        <f>10/EJU62</f>
        <v>#DIV/0!</v>
      </c>
      <c r="EJZ64" s="367">
        <v>15.38</v>
      </c>
      <c r="EKA64" s="367" t="e">
        <f>EJX64*EJY64*EJZ64</f>
        <v>#DIV/0!</v>
      </c>
      <c r="EKB64" s="363" t="s">
        <v>153</v>
      </c>
      <c r="EKC64" s="363"/>
      <c r="EKD64" s="363"/>
      <c r="EKE64" s="364" t="s">
        <v>140</v>
      </c>
      <c r="EKF64" s="365">
        <v>0.5</v>
      </c>
      <c r="EKG64" s="366" t="e">
        <f>10/EKC62</f>
        <v>#DIV/0!</v>
      </c>
      <c r="EKH64" s="367">
        <v>15.38</v>
      </c>
      <c r="EKI64" s="367" t="e">
        <f>EKF64*EKG64*EKH64</f>
        <v>#DIV/0!</v>
      </c>
      <c r="EKJ64" s="363" t="s">
        <v>153</v>
      </c>
      <c r="EKK64" s="363"/>
      <c r="EKL64" s="363"/>
      <c r="EKM64" s="364" t="s">
        <v>140</v>
      </c>
      <c r="EKN64" s="365">
        <v>0.5</v>
      </c>
      <c r="EKO64" s="366" t="e">
        <f>10/EKK62</f>
        <v>#DIV/0!</v>
      </c>
      <c r="EKP64" s="367">
        <v>15.38</v>
      </c>
      <c r="EKQ64" s="367" t="e">
        <f>EKN64*EKO64*EKP64</f>
        <v>#DIV/0!</v>
      </c>
      <c r="EKR64" s="363" t="s">
        <v>153</v>
      </c>
      <c r="EKS64" s="363"/>
      <c r="EKT64" s="363"/>
      <c r="EKU64" s="364" t="s">
        <v>140</v>
      </c>
      <c r="EKV64" s="365">
        <v>0.5</v>
      </c>
      <c r="EKW64" s="366" t="e">
        <f>10/EKS62</f>
        <v>#DIV/0!</v>
      </c>
      <c r="EKX64" s="367">
        <v>15.38</v>
      </c>
      <c r="EKY64" s="367" t="e">
        <f>EKV64*EKW64*EKX64</f>
        <v>#DIV/0!</v>
      </c>
      <c r="EKZ64" s="363" t="s">
        <v>153</v>
      </c>
      <c r="ELA64" s="363"/>
      <c r="ELB64" s="363"/>
      <c r="ELC64" s="364" t="s">
        <v>140</v>
      </c>
      <c r="ELD64" s="365">
        <v>0.5</v>
      </c>
      <c r="ELE64" s="366" t="e">
        <f>10/ELA62</f>
        <v>#DIV/0!</v>
      </c>
      <c r="ELF64" s="367">
        <v>15.38</v>
      </c>
      <c r="ELG64" s="367" t="e">
        <f>ELD64*ELE64*ELF64</f>
        <v>#DIV/0!</v>
      </c>
      <c r="ELH64" s="363" t="s">
        <v>153</v>
      </c>
      <c r="ELI64" s="363"/>
      <c r="ELJ64" s="363"/>
      <c r="ELK64" s="364" t="s">
        <v>140</v>
      </c>
      <c r="ELL64" s="365">
        <v>0.5</v>
      </c>
      <c r="ELM64" s="366" t="e">
        <f>10/ELI62</f>
        <v>#DIV/0!</v>
      </c>
      <c r="ELN64" s="367">
        <v>15.38</v>
      </c>
      <c r="ELO64" s="367" t="e">
        <f>ELL64*ELM64*ELN64</f>
        <v>#DIV/0!</v>
      </c>
      <c r="ELP64" s="363" t="s">
        <v>153</v>
      </c>
      <c r="ELQ64" s="363"/>
      <c r="ELR64" s="363"/>
      <c r="ELS64" s="364" t="s">
        <v>140</v>
      </c>
      <c r="ELT64" s="365">
        <v>0.5</v>
      </c>
      <c r="ELU64" s="366" t="e">
        <f>10/ELQ62</f>
        <v>#DIV/0!</v>
      </c>
      <c r="ELV64" s="367">
        <v>15.38</v>
      </c>
      <c r="ELW64" s="367" t="e">
        <f>ELT64*ELU64*ELV64</f>
        <v>#DIV/0!</v>
      </c>
      <c r="ELX64" s="363" t="s">
        <v>153</v>
      </c>
      <c r="ELY64" s="363"/>
      <c r="ELZ64" s="363"/>
      <c r="EMA64" s="364" t="s">
        <v>140</v>
      </c>
      <c r="EMB64" s="365">
        <v>0.5</v>
      </c>
      <c r="EMC64" s="366" t="e">
        <f>10/ELY62</f>
        <v>#DIV/0!</v>
      </c>
      <c r="EMD64" s="367">
        <v>15.38</v>
      </c>
      <c r="EME64" s="367" t="e">
        <f>EMB64*EMC64*EMD64</f>
        <v>#DIV/0!</v>
      </c>
      <c r="EMF64" s="363" t="s">
        <v>153</v>
      </c>
      <c r="EMG64" s="363"/>
      <c r="EMH64" s="363"/>
      <c r="EMI64" s="364" t="s">
        <v>140</v>
      </c>
      <c r="EMJ64" s="365">
        <v>0.5</v>
      </c>
      <c r="EMK64" s="366" t="e">
        <f>10/EMG62</f>
        <v>#DIV/0!</v>
      </c>
      <c r="EML64" s="367">
        <v>15.38</v>
      </c>
      <c r="EMM64" s="367" t="e">
        <f>EMJ64*EMK64*EML64</f>
        <v>#DIV/0!</v>
      </c>
      <c r="EMN64" s="363" t="s">
        <v>153</v>
      </c>
      <c r="EMO64" s="363"/>
      <c r="EMP64" s="363"/>
      <c r="EMQ64" s="364" t="s">
        <v>140</v>
      </c>
      <c r="EMR64" s="365">
        <v>0.5</v>
      </c>
      <c r="EMS64" s="366" t="e">
        <f>10/EMO62</f>
        <v>#DIV/0!</v>
      </c>
      <c r="EMT64" s="367">
        <v>15.38</v>
      </c>
      <c r="EMU64" s="367" t="e">
        <f>EMR64*EMS64*EMT64</f>
        <v>#DIV/0!</v>
      </c>
      <c r="EMV64" s="363" t="s">
        <v>153</v>
      </c>
      <c r="EMW64" s="363"/>
      <c r="EMX64" s="363"/>
      <c r="EMY64" s="364" t="s">
        <v>140</v>
      </c>
      <c r="EMZ64" s="365">
        <v>0.5</v>
      </c>
      <c r="ENA64" s="366" t="e">
        <f>10/EMW62</f>
        <v>#DIV/0!</v>
      </c>
      <c r="ENB64" s="367">
        <v>15.38</v>
      </c>
      <c r="ENC64" s="367" t="e">
        <f>EMZ64*ENA64*ENB64</f>
        <v>#DIV/0!</v>
      </c>
      <c r="END64" s="363" t="s">
        <v>153</v>
      </c>
      <c r="ENE64" s="363"/>
      <c r="ENF64" s="363"/>
      <c r="ENG64" s="364" t="s">
        <v>140</v>
      </c>
      <c r="ENH64" s="365">
        <v>0.5</v>
      </c>
      <c r="ENI64" s="366" t="e">
        <f>10/ENE62</f>
        <v>#DIV/0!</v>
      </c>
      <c r="ENJ64" s="367">
        <v>15.38</v>
      </c>
      <c r="ENK64" s="367" t="e">
        <f>ENH64*ENI64*ENJ64</f>
        <v>#DIV/0!</v>
      </c>
      <c r="ENL64" s="363" t="s">
        <v>153</v>
      </c>
      <c r="ENM64" s="363"/>
      <c r="ENN64" s="363"/>
      <c r="ENO64" s="364" t="s">
        <v>140</v>
      </c>
      <c r="ENP64" s="365">
        <v>0.5</v>
      </c>
      <c r="ENQ64" s="366" t="e">
        <f>10/ENM62</f>
        <v>#DIV/0!</v>
      </c>
      <c r="ENR64" s="367">
        <v>15.38</v>
      </c>
      <c r="ENS64" s="367" t="e">
        <f>ENP64*ENQ64*ENR64</f>
        <v>#DIV/0!</v>
      </c>
      <c r="ENT64" s="363" t="s">
        <v>153</v>
      </c>
      <c r="ENU64" s="363"/>
      <c r="ENV64" s="363"/>
      <c r="ENW64" s="364" t="s">
        <v>140</v>
      </c>
      <c r="ENX64" s="365">
        <v>0.5</v>
      </c>
      <c r="ENY64" s="366" t="e">
        <f>10/ENU62</f>
        <v>#DIV/0!</v>
      </c>
      <c r="ENZ64" s="367">
        <v>15.38</v>
      </c>
      <c r="EOA64" s="367" t="e">
        <f>ENX64*ENY64*ENZ64</f>
        <v>#DIV/0!</v>
      </c>
      <c r="EOB64" s="363" t="s">
        <v>153</v>
      </c>
      <c r="EOC64" s="363"/>
      <c r="EOD64" s="363"/>
      <c r="EOE64" s="364" t="s">
        <v>140</v>
      </c>
      <c r="EOF64" s="365">
        <v>0.5</v>
      </c>
      <c r="EOG64" s="366" t="e">
        <f>10/EOC62</f>
        <v>#DIV/0!</v>
      </c>
      <c r="EOH64" s="367">
        <v>15.38</v>
      </c>
      <c r="EOI64" s="367" t="e">
        <f>EOF64*EOG64*EOH64</f>
        <v>#DIV/0!</v>
      </c>
      <c r="EOJ64" s="363" t="s">
        <v>153</v>
      </c>
      <c r="EOK64" s="363"/>
      <c r="EOL64" s="363"/>
      <c r="EOM64" s="364" t="s">
        <v>140</v>
      </c>
      <c r="EON64" s="365">
        <v>0.5</v>
      </c>
      <c r="EOO64" s="366" t="e">
        <f>10/EOK62</f>
        <v>#DIV/0!</v>
      </c>
      <c r="EOP64" s="367">
        <v>15.38</v>
      </c>
      <c r="EOQ64" s="367" t="e">
        <f>EON64*EOO64*EOP64</f>
        <v>#DIV/0!</v>
      </c>
      <c r="EOR64" s="363" t="s">
        <v>153</v>
      </c>
      <c r="EOS64" s="363"/>
      <c r="EOT64" s="363"/>
      <c r="EOU64" s="364" t="s">
        <v>140</v>
      </c>
      <c r="EOV64" s="365">
        <v>0.5</v>
      </c>
      <c r="EOW64" s="366" t="e">
        <f>10/EOS62</f>
        <v>#DIV/0!</v>
      </c>
      <c r="EOX64" s="367">
        <v>15.38</v>
      </c>
      <c r="EOY64" s="367" t="e">
        <f>EOV64*EOW64*EOX64</f>
        <v>#DIV/0!</v>
      </c>
      <c r="EOZ64" s="363" t="s">
        <v>153</v>
      </c>
      <c r="EPA64" s="363"/>
      <c r="EPB64" s="363"/>
      <c r="EPC64" s="364" t="s">
        <v>140</v>
      </c>
      <c r="EPD64" s="365">
        <v>0.5</v>
      </c>
      <c r="EPE64" s="366" t="e">
        <f>10/EPA62</f>
        <v>#DIV/0!</v>
      </c>
      <c r="EPF64" s="367">
        <v>15.38</v>
      </c>
      <c r="EPG64" s="367" t="e">
        <f>EPD64*EPE64*EPF64</f>
        <v>#DIV/0!</v>
      </c>
      <c r="EPH64" s="363" t="s">
        <v>153</v>
      </c>
      <c r="EPI64" s="363"/>
      <c r="EPJ64" s="363"/>
      <c r="EPK64" s="364" t="s">
        <v>140</v>
      </c>
      <c r="EPL64" s="365">
        <v>0.5</v>
      </c>
      <c r="EPM64" s="366" t="e">
        <f>10/EPI62</f>
        <v>#DIV/0!</v>
      </c>
      <c r="EPN64" s="367">
        <v>15.38</v>
      </c>
      <c r="EPO64" s="367" t="e">
        <f>EPL64*EPM64*EPN64</f>
        <v>#DIV/0!</v>
      </c>
      <c r="EPP64" s="363" t="s">
        <v>153</v>
      </c>
      <c r="EPQ64" s="363"/>
      <c r="EPR64" s="363"/>
      <c r="EPS64" s="364" t="s">
        <v>140</v>
      </c>
      <c r="EPT64" s="365">
        <v>0.5</v>
      </c>
      <c r="EPU64" s="366" t="e">
        <f>10/EPQ62</f>
        <v>#DIV/0!</v>
      </c>
      <c r="EPV64" s="367">
        <v>15.38</v>
      </c>
      <c r="EPW64" s="367" t="e">
        <f>EPT64*EPU64*EPV64</f>
        <v>#DIV/0!</v>
      </c>
      <c r="EPX64" s="363" t="s">
        <v>153</v>
      </c>
      <c r="EPY64" s="363"/>
      <c r="EPZ64" s="363"/>
      <c r="EQA64" s="364" t="s">
        <v>140</v>
      </c>
      <c r="EQB64" s="365">
        <v>0.5</v>
      </c>
      <c r="EQC64" s="366" t="e">
        <f>10/EPY62</f>
        <v>#DIV/0!</v>
      </c>
      <c r="EQD64" s="367">
        <v>15.38</v>
      </c>
      <c r="EQE64" s="367" t="e">
        <f>EQB64*EQC64*EQD64</f>
        <v>#DIV/0!</v>
      </c>
      <c r="EQF64" s="363" t="s">
        <v>153</v>
      </c>
      <c r="EQG64" s="363"/>
      <c r="EQH64" s="363"/>
      <c r="EQI64" s="364" t="s">
        <v>140</v>
      </c>
      <c r="EQJ64" s="365">
        <v>0.5</v>
      </c>
      <c r="EQK64" s="366" t="e">
        <f>10/EQG62</f>
        <v>#DIV/0!</v>
      </c>
      <c r="EQL64" s="367">
        <v>15.38</v>
      </c>
      <c r="EQM64" s="367" t="e">
        <f>EQJ64*EQK64*EQL64</f>
        <v>#DIV/0!</v>
      </c>
      <c r="EQN64" s="363" t="s">
        <v>153</v>
      </c>
      <c r="EQO64" s="363"/>
      <c r="EQP64" s="363"/>
      <c r="EQQ64" s="364" t="s">
        <v>140</v>
      </c>
      <c r="EQR64" s="365">
        <v>0.5</v>
      </c>
      <c r="EQS64" s="366" t="e">
        <f>10/EQO62</f>
        <v>#DIV/0!</v>
      </c>
      <c r="EQT64" s="367">
        <v>15.38</v>
      </c>
      <c r="EQU64" s="367" t="e">
        <f>EQR64*EQS64*EQT64</f>
        <v>#DIV/0!</v>
      </c>
      <c r="EQV64" s="363" t="s">
        <v>153</v>
      </c>
      <c r="EQW64" s="363"/>
      <c r="EQX64" s="363"/>
      <c r="EQY64" s="364" t="s">
        <v>140</v>
      </c>
      <c r="EQZ64" s="365">
        <v>0.5</v>
      </c>
      <c r="ERA64" s="366" t="e">
        <f>10/EQW62</f>
        <v>#DIV/0!</v>
      </c>
      <c r="ERB64" s="367">
        <v>15.38</v>
      </c>
      <c r="ERC64" s="367" t="e">
        <f>EQZ64*ERA64*ERB64</f>
        <v>#DIV/0!</v>
      </c>
      <c r="ERD64" s="363" t="s">
        <v>153</v>
      </c>
      <c r="ERE64" s="363"/>
      <c r="ERF64" s="363"/>
      <c r="ERG64" s="364" t="s">
        <v>140</v>
      </c>
      <c r="ERH64" s="365">
        <v>0.5</v>
      </c>
      <c r="ERI64" s="366" t="e">
        <f>10/ERE62</f>
        <v>#DIV/0!</v>
      </c>
      <c r="ERJ64" s="367">
        <v>15.38</v>
      </c>
      <c r="ERK64" s="367" t="e">
        <f>ERH64*ERI64*ERJ64</f>
        <v>#DIV/0!</v>
      </c>
      <c r="ERL64" s="363" t="s">
        <v>153</v>
      </c>
      <c r="ERM64" s="363"/>
      <c r="ERN64" s="363"/>
      <c r="ERO64" s="364" t="s">
        <v>140</v>
      </c>
      <c r="ERP64" s="365">
        <v>0.5</v>
      </c>
      <c r="ERQ64" s="366" t="e">
        <f>10/ERM62</f>
        <v>#DIV/0!</v>
      </c>
      <c r="ERR64" s="367">
        <v>15.38</v>
      </c>
      <c r="ERS64" s="367" t="e">
        <f>ERP64*ERQ64*ERR64</f>
        <v>#DIV/0!</v>
      </c>
      <c r="ERT64" s="363" t="s">
        <v>153</v>
      </c>
      <c r="ERU64" s="363"/>
      <c r="ERV64" s="363"/>
      <c r="ERW64" s="364" t="s">
        <v>140</v>
      </c>
      <c r="ERX64" s="365">
        <v>0.5</v>
      </c>
      <c r="ERY64" s="366" t="e">
        <f>10/ERU62</f>
        <v>#DIV/0!</v>
      </c>
      <c r="ERZ64" s="367">
        <v>15.38</v>
      </c>
      <c r="ESA64" s="367" t="e">
        <f>ERX64*ERY64*ERZ64</f>
        <v>#DIV/0!</v>
      </c>
      <c r="ESB64" s="363" t="s">
        <v>153</v>
      </c>
      <c r="ESC64" s="363"/>
      <c r="ESD64" s="363"/>
      <c r="ESE64" s="364" t="s">
        <v>140</v>
      </c>
      <c r="ESF64" s="365">
        <v>0.5</v>
      </c>
      <c r="ESG64" s="366" t="e">
        <f>10/ESC62</f>
        <v>#DIV/0!</v>
      </c>
      <c r="ESH64" s="367">
        <v>15.38</v>
      </c>
      <c r="ESI64" s="367" t="e">
        <f>ESF64*ESG64*ESH64</f>
        <v>#DIV/0!</v>
      </c>
      <c r="ESJ64" s="363" t="s">
        <v>153</v>
      </c>
      <c r="ESK64" s="363"/>
      <c r="ESL64" s="363"/>
      <c r="ESM64" s="364" t="s">
        <v>140</v>
      </c>
      <c r="ESN64" s="365">
        <v>0.5</v>
      </c>
      <c r="ESO64" s="366" t="e">
        <f>10/ESK62</f>
        <v>#DIV/0!</v>
      </c>
      <c r="ESP64" s="367">
        <v>15.38</v>
      </c>
      <c r="ESQ64" s="367" t="e">
        <f>ESN64*ESO64*ESP64</f>
        <v>#DIV/0!</v>
      </c>
      <c r="ESR64" s="363" t="s">
        <v>153</v>
      </c>
      <c r="ESS64" s="363"/>
      <c r="EST64" s="363"/>
      <c r="ESU64" s="364" t="s">
        <v>140</v>
      </c>
      <c r="ESV64" s="365">
        <v>0.5</v>
      </c>
      <c r="ESW64" s="366" t="e">
        <f>10/ESS62</f>
        <v>#DIV/0!</v>
      </c>
      <c r="ESX64" s="367">
        <v>15.38</v>
      </c>
      <c r="ESY64" s="367" t="e">
        <f>ESV64*ESW64*ESX64</f>
        <v>#DIV/0!</v>
      </c>
      <c r="ESZ64" s="363" t="s">
        <v>153</v>
      </c>
      <c r="ETA64" s="363"/>
      <c r="ETB64" s="363"/>
      <c r="ETC64" s="364" t="s">
        <v>140</v>
      </c>
      <c r="ETD64" s="365">
        <v>0.5</v>
      </c>
      <c r="ETE64" s="366" t="e">
        <f>10/ETA62</f>
        <v>#DIV/0!</v>
      </c>
      <c r="ETF64" s="367">
        <v>15.38</v>
      </c>
      <c r="ETG64" s="367" t="e">
        <f>ETD64*ETE64*ETF64</f>
        <v>#DIV/0!</v>
      </c>
      <c r="ETH64" s="363" t="s">
        <v>153</v>
      </c>
      <c r="ETI64" s="363"/>
      <c r="ETJ64" s="363"/>
      <c r="ETK64" s="364" t="s">
        <v>140</v>
      </c>
      <c r="ETL64" s="365">
        <v>0.5</v>
      </c>
      <c r="ETM64" s="366" t="e">
        <f>10/ETI62</f>
        <v>#DIV/0!</v>
      </c>
      <c r="ETN64" s="367">
        <v>15.38</v>
      </c>
      <c r="ETO64" s="367" t="e">
        <f>ETL64*ETM64*ETN64</f>
        <v>#DIV/0!</v>
      </c>
      <c r="ETP64" s="363" t="s">
        <v>153</v>
      </c>
      <c r="ETQ64" s="363"/>
      <c r="ETR64" s="363"/>
      <c r="ETS64" s="364" t="s">
        <v>140</v>
      </c>
      <c r="ETT64" s="365">
        <v>0.5</v>
      </c>
      <c r="ETU64" s="366" t="e">
        <f>10/ETQ62</f>
        <v>#DIV/0!</v>
      </c>
      <c r="ETV64" s="367">
        <v>15.38</v>
      </c>
      <c r="ETW64" s="367" t="e">
        <f>ETT64*ETU64*ETV64</f>
        <v>#DIV/0!</v>
      </c>
      <c r="ETX64" s="363" t="s">
        <v>153</v>
      </c>
      <c r="ETY64" s="363"/>
      <c r="ETZ64" s="363"/>
      <c r="EUA64" s="364" t="s">
        <v>140</v>
      </c>
      <c r="EUB64" s="365">
        <v>0.5</v>
      </c>
      <c r="EUC64" s="366" t="e">
        <f>10/ETY62</f>
        <v>#DIV/0!</v>
      </c>
      <c r="EUD64" s="367">
        <v>15.38</v>
      </c>
      <c r="EUE64" s="367" t="e">
        <f>EUB64*EUC64*EUD64</f>
        <v>#DIV/0!</v>
      </c>
      <c r="EUF64" s="363" t="s">
        <v>153</v>
      </c>
      <c r="EUG64" s="363"/>
      <c r="EUH64" s="363"/>
      <c r="EUI64" s="364" t="s">
        <v>140</v>
      </c>
      <c r="EUJ64" s="365">
        <v>0.5</v>
      </c>
      <c r="EUK64" s="366" t="e">
        <f>10/EUG62</f>
        <v>#DIV/0!</v>
      </c>
      <c r="EUL64" s="367">
        <v>15.38</v>
      </c>
      <c r="EUM64" s="367" t="e">
        <f>EUJ64*EUK64*EUL64</f>
        <v>#DIV/0!</v>
      </c>
      <c r="EUN64" s="363" t="s">
        <v>153</v>
      </c>
      <c r="EUO64" s="363"/>
      <c r="EUP64" s="363"/>
      <c r="EUQ64" s="364" t="s">
        <v>140</v>
      </c>
      <c r="EUR64" s="365">
        <v>0.5</v>
      </c>
      <c r="EUS64" s="366" t="e">
        <f>10/EUO62</f>
        <v>#DIV/0!</v>
      </c>
      <c r="EUT64" s="367">
        <v>15.38</v>
      </c>
      <c r="EUU64" s="367" t="e">
        <f>EUR64*EUS64*EUT64</f>
        <v>#DIV/0!</v>
      </c>
      <c r="EUV64" s="363" t="s">
        <v>153</v>
      </c>
      <c r="EUW64" s="363"/>
      <c r="EUX64" s="363"/>
      <c r="EUY64" s="364" t="s">
        <v>140</v>
      </c>
      <c r="EUZ64" s="365">
        <v>0.5</v>
      </c>
      <c r="EVA64" s="366" t="e">
        <f>10/EUW62</f>
        <v>#DIV/0!</v>
      </c>
      <c r="EVB64" s="367">
        <v>15.38</v>
      </c>
      <c r="EVC64" s="367" t="e">
        <f>EUZ64*EVA64*EVB64</f>
        <v>#DIV/0!</v>
      </c>
      <c r="EVD64" s="363" t="s">
        <v>153</v>
      </c>
      <c r="EVE64" s="363"/>
      <c r="EVF64" s="363"/>
      <c r="EVG64" s="364" t="s">
        <v>140</v>
      </c>
      <c r="EVH64" s="365">
        <v>0.5</v>
      </c>
      <c r="EVI64" s="366" t="e">
        <f>10/EVE62</f>
        <v>#DIV/0!</v>
      </c>
      <c r="EVJ64" s="367">
        <v>15.38</v>
      </c>
      <c r="EVK64" s="367" t="e">
        <f>EVH64*EVI64*EVJ64</f>
        <v>#DIV/0!</v>
      </c>
      <c r="EVL64" s="363" t="s">
        <v>153</v>
      </c>
      <c r="EVM64" s="363"/>
      <c r="EVN64" s="363"/>
      <c r="EVO64" s="364" t="s">
        <v>140</v>
      </c>
      <c r="EVP64" s="365">
        <v>0.5</v>
      </c>
      <c r="EVQ64" s="366" t="e">
        <f>10/EVM62</f>
        <v>#DIV/0!</v>
      </c>
      <c r="EVR64" s="367">
        <v>15.38</v>
      </c>
      <c r="EVS64" s="367" t="e">
        <f>EVP64*EVQ64*EVR64</f>
        <v>#DIV/0!</v>
      </c>
      <c r="EVT64" s="363" t="s">
        <v>153</v>
      </c>
      <c r="EVU64" s="363"/>
      <c r="EVV64" s="363"/>
      <c r="EVW64" s="364" t="s">
        <v>140</v>
      </c>
      <c r="EVX64" s="365">
        <v>0.5</v>
      </c>
      <c r="EVY64" s="366" t="e">
        <f>10/EVU62</f>
        <v>#DIV/0!</v>
      </c>
      <c r="EVZ64" s="367">
        <v>15.38</v>
      </c>
      <c r="EWA64" s="367" t="e">
        <f>EVX64*EVY64*EVZ64</f>
        <v>#DIV/0!</v>
      </c>
      <c r="EWB64" s="363" t="s">
        <v>153</v>
      </c>
      <c r="EWC64" s="363"/>
      <c r="EWD64" s="363"/>
      <c r="EWE64" s="364" t="s">
        <v>140</v>
      </c>
      <c r="EWF64" s="365">
        <v>0.5</v>
      </c>
      <c r="EWG64" s="366" t="e">
        <f>10/EWC62</f>
        <v>#DIV/0!</v>
      </c>
      <c r="EWH64" s="367">
        <v>15.38</v>
      </c>
      <c r="EWI64" s="367" t="e">
        <f>EWF64*EWG64*EWH64</f>
        <v>#DIV/0!</v>
      </c>
      <c r="EWJ64" s="363" t="s">
        <v>153</v>
      </c>
      <c r="EWK64" s="363"/>
      <c r="EWL64" s="363"/>
      <c r="EWM64" s="364" t="s">
        <v>140</v>
      </c>
      <c r="EWN64" s="365">
        <v>0.5</v>
      </c>
      <c r="EWO64" s="366" t="e">
        <f>10/EWK62</f>
        <v>#DIV/0!</v>
      </c>
      <c r="EWP64" s="367">
        <v>15.38</v>
      </c>
      <c r="EWQ64" s="367" t="e">
        <f>EWN64*EWO64*EWP64</f>
        <v>#DIV/0!</v>
      </c>
      <c r="EWR64" s="363" t="s">
        <v>153</v>
      </c>
      <c r="EWS64" s="363"/>
      <c r="EWT64" s="363"/>
      <c r="EWU64" s="364" t="s">
        <v>140</v>
      </c>
      <c r="EWV64" s="365">
        <v>0.5</v>
      </c>
      <c r="EWW64" s="366" t="e">
        <f>10/EWS62</f>
        <v>#DIV/0!</v>
      </c>
      <c r="EWX64" s="367">
        <v>15.38</v>
      </c>
      <c r="EWY64" s="367" t="e">
        <f>EWV64*EWW64*EWX64</f>
        <v>#DIV/0!</v>
      </c>
      <c r="EWZ64" s="363" t="s">
        <v>153</v>
      </c>
      <c r="EXA64" s="363"/>
      <c r="EXB64" s="363"/>
      <c r="EXC64" s="364" t="s">
        <v>140</v>
      </c>
      <c r="EXD64" s="365">
        <v>0.5</v>
      </c>
      <c r="EXE64" s="366" t="e">
        <f>10/EXA62</f>
        <v>#DIV/0!</v>
      </c>
      <c r="EXF64" s="367">
        <v>15.38</v>
      </c>
      <c r="EXG64" s="367" t="e">
        <f>EXD64*EXE64*EXF64</f>
        <v>#DIV/0!</v>
      </c>
      <c r="EXH64" s="363" t="s">
        <v>153</v>
      </c>
      <c r="EXI64" s="363"/>
      <c r="EXJ64" s="363"/>
      <c r="EXK64" s="364" t="s">
        <v>140</v>
      </c>
      <c r="EXL64" s="365">
        <v>0.5</v>
      </c>
      <c r="EXM64" s="366" t="e">
        <f>10/EXI62</f>
        <v>#DIV/0!</v>
      </c>
      <c r="EXN64" s="367">
        <v>15.38</v>
      </c>
      <c r="EXO64" s="367" t="e">
        <f>EXL64*EXM64*EXN64</f>
        <v>#DIV/0!</v>
      </c>
      <c r="EXP64" s="363" t="s">
        <v>153</v>
      </c>
      <c r="EXQ64" s="363"/>
      <c r="EXR64" s="363"/>
      <c r="EXS64" s="364" t="s">
        <v>140</v>
      </c>
      <c r="EXT64" s="365">
        <v>0.5</v>
      </c>
      <c r="EXU64" s="366" t="e">
        <f>10/EXQ62</f>
        <v>#DIV/0!</v>
      </c>
      <c r="EXV64" s="367">
        <v>15.38</v>
      </c>
      <c r="EXW64" s="367" t="e">
        <f>EXT64*EXU64*EXV64</f>
        <v>#DIV/0!</v>
      </c>
      <c r="EXX64" s="363" t="s">
        <v>153</v>
      </c>
      <c r="EXY64" s="363"/>
      <c r="EXZ64" s="363"/>
      <c r="EYA64" s="364" t="s">
        <v>140</v>
      </c>
      <c r="EYB64" s="365">
        <v>0.5</v>
      </c>
      <c r="EYC64" s="366" t="e">
        <f>10/EXY62</f>
        <v>#DIV/0!</v>
      </c>
      <c r="EYD64" s="367">
        <v>15.38</v>
      </c>
      <c r="EYE64" s="367" t="e">
        <f>EYB64*EYC64*EYD64</f>
        <v>#DIV/0!</v>
      </c>
      <c r="EYF64" s="363" t="s">
        <v>153</v>
      </c>
      <c r="EYG64" s="363"/>
      <c r="EYH64" s="363"/>
      <c r="EYI64" s="364" t="s">
        <v>140</v>
      </c>
      <c r="EYJ64" s="365">
        <v>0.5</v>
      </c>
      <c r="EYK64" s="366" t="e">
        <f>10/EYG62</f>
        <v>#DIV/0!</v>
      </c>
      <c r="EYL64" s="367">
        <v>15.38</v>
      </c>
      <c r="EYM64" s="367" t="e">
        <f>EYJ64*EYK64*EYL64</f>
        <v>#DIV/0!</v>
      </c>
      <c r="EYN64" s="363" t="s">
        <v>153</v>
      </c>
      <c r="EYO64" s="363"/>
      <c r="EYP64" s="363"/>
      <c r="EYQ64" s="364" t="s">
        <v>140</v>
      </c>
      <c r="EYR64" s="365">
        <v>0.5</v>
      </c>
      <c r="EYS64" s="366" t="e">
        <f>10/EYO62</f>
        <v>#DIV/0!</v>
      </c>
      <c r="EYT64" s="367">
        <v>15.38</v>
      </c>
      <c r="EYU64" s="367" t="e">
        <f>EYR64*EYS64*EYT64</f>
        <v>#DIV/0!</v>
      </c>
      <c r="EYV64" s="363" t="s">
        <v>153</v>
      </c>
      <c r="EYW64" s="363"/>
      <c r="EYX64" s="363"/>
      <c r="EYY64" s="364" t="s">
        <v>140</v>
      </c>
      <c r="EYZ64" s="365">
        <v>0.5</v>
      </c>
      <c r="EZA64" s="366" t="e">
        <f>10/EYW62</f>
        <v>#DIV/0!</v>
      </c>
      <c r="EZB64" s="367">
        <v>15.38</v>
      </c>
      <c r="EZC64" s="367" t="e">
        <f>EYZ64*EZA64*EZB64</f>
        <v>#DIV/0!</v>
      </c>
      <c r="EZD64" s="363" t="s">
        <v>153</v>
      </c>
      <c r="EZE64" s="363"/>
      <c r="EZF64" s="363"/>
      <c r="EZG64" s="364" t="s">
        <v>140</v>
      </c>
      <c r="EZH64" s="365">
        <v>0.5</v>
      </c>
      <c r="EZI64" s="366" t="e">
        <f>10/EZE62</f>
        <v>#DIV/0!</v>
      </c>
      <c r="EZJ64" s="367">
        <v>15.38</v>
      </c>
      <c r="EZK64" s="367" t="e">
        <f>EZH64*EZI64*EZJ64</f>
        <v>#DIV/0!</v>
      </c>
      <c r="EZL64" s="363" t="s">
        <v>153</v>
      </c>
      <c r="EZM64" s="363"/>
      <c r="EZN64" s="363"/>
      <c r="EZO64" s="364" t="s">
        <v>140</v>
      </c>
      <c r="EZP64" s="365">
        <v>0.5</v>
      </c>
      <c r="EZQ64" s="366" t="e">
        <f>10/EZM62</f>
        <v>#DIV/0!</v>
      </c>
      <c r="EZR64" s="367">
        <v>15.38</v>
      </c>
      <c r="EZS64" s="367" t="e">
        <f>EZP64*EZQ64*EZR64</f>
        <v>#DIV/0!</v>
      </c>
      <c r="EZT64" s="363" t="s">
        <v>153</v>
      </c>
      <c r="EZU64" s="363"/>
      <c r="EZV64" s="363"/>
      <c r="EZW64" s="364" t="s">
        <v>140</v>
      </c>
      <c r="EZX64" s="365">
        <v>0.5</v>
      </c>
      <c r="EZY64" s="366" t="e">
        <f>10/EZU62</f>
        <v>#DIV/0!</v>
      </c>
      <c r="EZZ64" s="367">
        <v>15.38</v>
      </c>
      <c r="FAA64" s="367" t="e">
        <f>EZX64*EZY64*EZZ64</f>
        <v>#DIV/0!</v>
      </c>
      <c r="FAB64" s="363" t="s">
        <v>153</v>
      </c>
      <c r="FAC64" s="363"/>
      <c r="FAD64" s="363"/>
      <c r="FAE64" s="364" t="s">
        <v>140</v>
      </c>
      <c r="FAF64" s="365">
        <v>0.5</v>
      </c>
      <c r="FAG64" s="366" t="e">
        <f>10/FAC62</f>
        <v>#DIV/0!</v>
      </c>
      <c r="FAH64" s="367">
        <v>15.38</v>
      </c>
      <c r="FAI64" s="367" t="e">
        <f>FAF64*FAG64*FAH64</f>
        <v>#DIV/0!</v>
      </c>
      <c r="FAJ64" s="363" t="s">
        <v>153</v>
      </c>
      <c r="FAK64" s="363"/>
      <c r="FAL64" s="363"/>
      <c r="FAM64" s="364" t="s">
        <v>140</v>
      </c>
      <c r="FAN64" s="365">
        <v>0.5</v>
      </c>
      <c r="FAO64" s="366" t="e">
        <f>10/FAK62</f>
        <v>#DIV/0!</v>
      </c>
      <c r="FAP64" s="367">
        <v>15.38</v>
      </c>
      <c r="FAQ64" s="367" t="e">
        <f>FAN64*FAO64*FAP64</f>
        <v>#DIV/0!</v>
      </c>
      <c r="FAR64" s="363" t="s">
        <v>153</v>
      </c>
      <c r="FAS64" s="363"/>
      <c r="FAT64" s="363"/>
      <c r="FAU64" s="364" t="s">
        <v>140</v>
      </c>
      <c r="FAV64" s="365">
        <v>0.5</v>
      </c>
      <c r="FAW64" s="366" t="e">
        <f>10/FAS62</f>
        <v>#DIV/0!</v>
      </c>
      <c r="FAX64" s="367">
        <v>15.38</v>
      </c>
      <c r="FAY64" s="367" t="e">
        <f>FAV64*FAW64*FAX64</f>
        <v>#DIV/0!</v>
      </c>
      <c r="FAZ64" s="363" t="s">
        <v>153</v>
      </c>
      <c r="FBA64" s="363"/>
      <c r="FBB64" s="363"/>
      <c r="FBC64" s="364" t="s">
        <v>140</v>
      </c>
      <c r="FBD64" s="365">
        <v>0.5</v>
      </c>
      <c r="FBE64" s="366" t="e">
        <f>10/FBA62</f>
        <v>#DIV/0!</v>
      </c>
      <c r="FBF64" s="367">
        <v>15.38</v>
      </c>
      <c r="FBG64" s="367" t="e">
        <f>FBD64*FBE64*FBF64</f>
        <v>#DIV/0!</v>
      </c>
      <c r="FBH64" s="363" t="s">
        <v>153</v>
      </c>
      <c r="FBI64" s="363"/>
      <c r="FBJ64" s="363"/>
      <c r="FBK64" s="364" t="s">
        <v>140</v>
      </c>
      <c r="FBL64" s="365">
        <v>0.5</v>
      </c>
      <c r="FBM64" s="366" t="e">
        <f>10/FBI62</f>
        <v>#DIV/0!</v>
      </c>
      <c r="FBN64" s="367">
        <v>15.38</v>
      </c>
      <c r="FBO64" s="367" t="e">
        <f>FBL64*FBM64*FBN64</f>
        <v>#DIV/0!</v>
      </c>
      <c r="FBP64" s="363" t="s">
        <v>153</v>
      </c>
      <c r="FBQ64" s="363"/>
      <c r="FBR64" s="363"/>
      <c r="FBS64" s="364" t="s">
        <v>140</v>
      </c>
      <c r="FBT64" s="365">
        <v>0.5</v>
      </c>
      <c r="FBU64" s="366" t="e">
        <f>10/FBQ62</f>
        <v>#DIV/0!</v>
      </c>
      <c r="FBV64" s="367">
        <v>15.38</v>
      </c>
      <c r="FBW64" s="367" t="e">
        <f>FBT64*FBU64*FBV64</f>
        <v>#DIV/0!</v>
      </c>
      <c r="FBX64" s="363" t="s">
        <v>153</v>
      </c>
      <c r="FBY64" s="363"/>
      <c r="FBZ64" s="363"/>
      <c r="FCA64" s="364" t="s">
        <v>140</v>
      </c>
      <c r="FCB64" s="365">
        <v>0.5</v>
      </c>
      <c r="FCC64" s="366" t="e">
        <f>10/FBY62</f>
        <v>#DIV/0!</v>
      </c>
      <c r="FCD64" s="367">
        <v>15.38</v>
      </c>
      <c r="FCE64" s="367" t="e">
        <f>FCB64*FCC64*FCD64</f>
        <v>#DIV/0!</v>
      </c>
      <c r="FCF64" s="363" t="s">
        <v>153</v>
      </c>
      <c r="FCG64" s="363"/>
      <c r="FCH64" s="363"/>
      <c r="FCI64" s="364" t="s">
        <v>140</v>
      </c>
      <c r="FCJ64" s="365">
        <v>0.5</v>
      </c>
      <c r="FCK64" s="366" t="e">
        <f>10/FCG62</f>
        <v>#DIV/0!</v>
      </c>
      <c r="FCL64" s="367">
        <v>15.38</v>
      </c>
      <c r="FCM64" s="367" t="e">
        <f>FCJ64*FCK64*FCL64</f>
        <v>#DIV/0!</v>
      </c>
      <c r="FCN64" s="363" t="s">
        <v>153</v>
      </c>
      <c r="FCO64" s="363"/>
      <c r="FCP64" s="363"/>
      <c r="FCQ64" s="364" t="s">
        <v>140</v>
      </c>
      <c r="FCR64" s="365">
        <v>0.5</v>
      </c>
      <c r="FCS64" s="366" t="e">
        <f>10/FCO62</f>
        <v>#DIV/0!</v>
      </c>
      <c r="FCT64" s="367">
        <v>15.38</v>
      </c>
      <c r="FCU64" s="367" t="e">
        <f>FCR64*FCS64*FCT64</f>
        <v>#DIV/0!</v>
      </c>
      <c r="FCV64" s="363" t="s">
        <v>153</v>
      </c>
      <c r="FCW64" s="363"/>
      <c r="FCX64" s="363"/>
      <c r="FCY64" s="364" t="s">
        <v>140</v>
      </c>
      <c r="FCZ64" s="365">
        <v>0.5</v>
      </c>
      <c r="FDA64" s="366" t="e">
        <f>10/FCW62</f>
        <v>#DIV/0!</v>
      </c>
      <c r="FDB64" s="367">
        <v>15.38</v>
      </c>
      <c r="FDC64" s="367" t="e">
        <f>FCZ64*FDA64*FDB64</f>
        <v>#DIV/0!</v>
      </c>
      <c r="FDD64" s="363" t="s">
        <v>153</v>
      </c>
      <c r="FDE64" s="363"/>
      <c r="FDF64" s="363"/>
      <c r="FDG64" s="364" t="s">
        <v>140</v>
      </c>
      <c r="FDH64" s="365">
        <v>0.5</v>
      </c>
      <c r="FDI64" s="366" t="e">
        <f>10/FDE62</f>
        <v>#DIV/0!</v>
      </c>
      <c r="FDJ64" s="367">
        <v>15.38</v>
      </c>
      <c r="FDK64" s="367" t="e">
        <f>FDH64*FDI64*FDJ64</f>
        <v>#DIV/0!</v>
      </c>
      <c r="FDL64" s="363" t="s">
        <v>153</v>
      </c>
      <c r="FDM64" s="363"/>
      <c r="FDN64" s="363"/>
      <c r="FDO64" s="364" t="s">
        <v>140</v>
      </c>
      <c r="FDP64" s="365">
        <v>0.5</v>
      </c>
      <c r="FDQ64" s="366" t="e">
        <f>10/FDM62</f>
        <v>#DIV/0!</v>
      </c>
      <c r="FDR64" s="367">
        <v>15.38</v>
      </c>
      <c r="FDS64" s="367" t="e">
        <f>FDP64*FDQ64*FDR64</f>
        <v>#DIV/0!</v>
      </c>
      <c r="FDT64" s="363" t="s">
        <v>153</v>
      </c>
      <c r="FDU64" s="363"/>
      <c r="FDV64" s="363"/>
      <c r="FDW64" s="364" t="s">
        <v>140</v>
      </c>
      <c r="FDX64" s="365">
        <v>0.5</v>
      </c>
      <c r="FDY64" s="366" t="e">
        <f>10/FDU62</f>
        <v>#DIV/0!</v>
      </c>
      <c r="FDZ64" s="367">
        <v>15.38</v>
      </c>
      <c r="FEA64" s="367" t="e">
        <f>FDX64*FDY64*FDZ64</f>
        <v>#DIV/0!</v>
      </c>
      <c r="FEB64" s="363" t="s">
        <v>153</v>
      </c>
      <c r="FEC64" s="363"/>
      <c r="FED64" s="363"/>
      <c r="FEE64" s="364" t="s">
        <v>140</v>
      </c>
      <c r="FEF64" s="365">
        <v>0.5</v>
      </c>
      <c r="FEG64" s="366" t="e">
        <f>10/FEC62</f>
        <v>#DIV/0!</v>
      </c>
      <c r="FEH64" s="367">
        <v>15.38</v>
      </c>
      <c r="FEI64" s="367" t="e">
        <f>FEF64*FEG64*FEH64</f>
        <v>#DIV/0!</v>
      </c>
      <c r="FEJ64" s="363" t="s">
        <v>153</v>
      </c>
      <c r="FEK64" s="363"/>
      <c r="FEL64" s="363"/>
      <c r="FEM64" s="364" t="s">
        <v>140</v>
      </c>
      <c r="FEN64" s="365">
        <v>0.5</v>
      </c>
      <c r="FEO64" s="366" t="e">
        <f>10/FEK62</f>
        <v>#DIV/0!</v>
      </c>
      <c r="FEP64" s="367">
        <v>15.38</v>
      </c>
      <c r="FEQ64" s="367" t="e">
        <f>FEN64*FEO64*FEP64</f>
        <v>#DIV/0!</v>
      </c>
      <c r="FER64" s="363" t="s">
        <v>153</v>
      </c>
      <c r="FES64" s="363"/>
      <c r="FET64" s="363"/>
      <c r="FEU64" s="364" t="s">
        <v>140</v>
      </c>
      <c r="FEV64" s="365">
        <v>0.5</v>
      </c>
      <c r="FEW64" s="366" t="e">
        <f>10/FES62</f>
        <v>#DIV/0!</v>
      </c>
      <c r="FEX64" s="367">
        <v>15.38</v>
      </c>
      <c r="FEY64" s="367" t="e">
        <f>FEV64*FEW64*FEX64</f>
        <v>#DIV/0!</v>
      </c>
      <c r="FEZ64" s="363" t="s">
        <v>153</v>
      </c>
      <c r="FFA64" s="363"/>
      <c r="FFB64" s="363"/>
      <c r="FFC64" s="364" t="s">
        <v>140</v>
      </c>
      <c r="FFD64" s="365">
        <v>0.5</v>
      </c>
      <c r="FFE64" s="366" t="e">
        <f>10/FFA62</f>
        <v>#DIV/0!</v>
      </c>
      <c r="FFF64" s="367">
        <v>15.38</v>
      </c>
      <c r="FFG64" s="367" t="e">
        <f>FFD64*FFE64*FFF64</f>
        <v>#DIV/0!</v>
      </c>
      <c r="FFH64" s="363" t="s">
        <v>153</v>
      </c>
      <c r="FFI64" s="363"/>
      <c r="FFJ64" s="363"/>
      <c r="FFK64" s="364" t="s">
        <v>140</v>
      </c>
      <c r="FFL64" s="365">
        <v>0.5</v>
      </c>
      <c r="FFM64" s="366" t="e">
        <f>10/FFI62</f>
        <v>#DIV/0!</v>
      </c>
      <c r="FFN64" s="367">
        <v>15.38</v>
      </c>
      <c r="FFO64" s="367" t="e">
        <f>FFL64*FFM64*FFN64</f>
        <v>#DIV/0!</v>
      </c>
      <c r="FFP64" s="363" t="s">
        <v>153</v>
      </c>
      <c r="FFQ64" s="363"/>
      <c r="FFR64" s="363"/>
      <c r="FFS64" s="364" t="s">
        <v>140</v>
      </c>
      <c r="FFT64" s="365">
        <v>0.5</v>
      </c>
      <c r="FFU64" s="366" t="e">
        <f>10/FFQ62</f>
        <v>#DIV/0!</v>
      </c>
      <c r="FFV64" s="367">
        <v>15.38</v>
      </c>
      <c r="FFW64" s="367" t="e">
        <f>FFT64*FFU64*FFV64</f>
        <v>#DIV/0!</v>
      </c>
      <c r="FFX64" s="363" t="s">
        <v>153</v>
      </c>
      <c r="FFY64" s="363"/>
      <c r="FFZ64" s="363"/>
      <c r="FGA64" s="364" t="s">
        <v>140</v>
      </c>
      <c r="FGB64" s="365">
        <v>0.5</v>
      </c>
      <c r="FGC64" s="366" t="e">
        <f>10/FFY62</f>
        <v>#DIV/0!</v>
      </c>
      <c r="FGD64" s="367">
        <v>15.38</v>
      </c>
      <c r="FGE64" s="367" t="e">
        <f>FGB64*FGC64*FGD64</f>
        <v>#DIV/0!</v>
      </c>
      <c r="FGF64" s="363" t="s">
        <v>153</v>
      </c>
      <c r="FGG64" s="363"/>
      <c r="FGH64" s="363"/>
      <c r="FGI64" s="364" t="s">
        <v>140</v>
      </c>
      <c r="FGJ64" s="365">
        <v>0.5</v>
      </c>
      <c r="FGK64" s="366" t="e">
        <f>10/FGG62</f>
        <v>#DIV/0!</v>
      </c>
      <c r="FGL64" s="367">
        <v>15.38</v>
      </c>
      <c r="FGM64" s="367" t="e">
        <f>FGJ64*FGK64*FGL64</f>
        <v>#DIV/0!</v>
      </c>
      <c r="FGN64" s="363" t="s">
        <v>153</v>
      </c>
      <c r="FGO64" s="363"/>
      <c r="FGP64" s="363"/>
      <c r="FGQ64" s="364" t="s">
        <v>140</v>
      </c>
      <c r="FGR64" s="365">
        <v>0.5</v>
      </c>
      <c r="FGS64" s="366" t="e">
        <f>10/FGO62</f>
        <v>#DIV/0!</v>
      </c>
      <c r="FGT64" s="367">
        <v>15.38</v>
      </c>
      <c r="FGU64" s="367" t="e">
        <f>FGR64*FGS64*FGT64</f>
        <v>#DIV/0!</v>
      </c>
      <c r="FGV64" s="363" t="s">
        <v>153</v>
      </c>
      <c r="FGW64" s="363"/>
      <c r="FGX64" s="363"/>
      <c r="FGY64" s="364" t="s">
        <v>140</v>
      </c>
      <c r="FGZ64" s="365">
        <v>0.5</v>
      </c>
      <c r="FHA64" s="366" t="e">
        <f>10/FGW62</f>
        <v>#DIV/0!</v>
      </c>
      <c r="FHB64" s="367">
        <v>15.38</v>
      </c>
      <c r="FHC64" s="367" t="e">
        <f>FGZ64*FHA64*FHB64</f>
        <v>#DIV/0!</v>
      </c>
      <c r="FHD64" s="363" t="s">
        <v>153</v>
      </c>
      <c r="FHE64" s="363"/>
      <c r="FHF64" s="363"/>
      <c r="FHG64" s="364" t="s">
        <v>140</v>
      </c>
      <c r="FHH64" s="365">
        <v>0.5</v>
      </c>
      <c r="FHI64" s="366" t="e">
        <f>10/FHE62</f>
        <v>#DIV/0!</v>
      </c>
      <c r="FHJ64" s="367">
        <v>15.38</v>
      </c>
      <c r="FHK64" s="367" t="e">
        <f>FHH64*FHI64*FHJ64</f>
        <v>#DIV/0!</v>
      </c>
      <c r="FHL64" s="363" t="s">
        <v>153</v>
      </c>
      <c r="FHM64" s="363"/>
      <c r="FHN64" s="363"/>
      <c r="FHO64" s="364" t="s">
        <v>140</v>
      </c>
      <c r="FHP64" s="365">
        <v>0.5</v>
      </c>
      <c r="FHQ64" s="366" t="e">
        <f>10/FHM62</f>
        <v>#DIV/0!</v>
      </c>
      <c r="FHR64" s="367">
        <v>15.38</v>
      </c>
      <c r="FHS64" s="367" t="e">
        <f>FHP64*FHQ64*FHR64</f>
        <v>#DIV/0!</v>
      </c>
      <c r="FHT64" s="363" t="s">
        <v>153</v>
      </c>
      <c r="FHU64" s="363"/>
      <c r="FHV64" s="363"/>
      <c r="FHW64" s="364" t="s">
        <v>140</v>
      </c>
      <c r="FHX64" s="365">
        <v>0.5</v>
      </c>
      <c r="FHY64" s="366" t="e">
        <f>10/FHU62</f>
        <v>#DIV/0!</v>
      </c>
      <c r="FHZ64" s="367">
        <v>15.38</v>
      </c>
      <c r="FIA64" s="367" t="e">
        <f>FHX64*FHY64*FHZ64</f>
        <v>#DIV/0!</v>
      </c>
      <c r="FIB64" s="363" t="s">
        <v>153</v>
      </c>
      <c r="FIC64" s="363"/>
      <c r="FID64" s="363"/>
      <c r="FIE64" s="364" t="s">
        <v>140</v>
      </c>
      <c r="FIF64" s="365">
        <v>0.5</v>
      </c>
      <c r="FIG64" s="366" t="e">
        <f>10/FIC62</f>
        <v>#DIV/0!</v>
      </c>
      <c r="FIH64" s="367">
        <v>15.38</v>
      </c>
      <c r="FII64" s="367" t="e">
        <f>FIF64*FIG64*FIH64</f>
        <v>#DIV/0!</v>
      </c>
      <c r="FIJ64" s="363" t="s">
        <v>153</v>
      </c>
      <c r="FIK64" s="363"/>
      <c r="FIL64" s="363"/>
      <c r="FIM64" s="364" t="s">
        <v>140</v>
      </c>
      <c r="FIN64" s="365">
        <v>0.5</v>
      </c>
      <c r="FIO64" s="366" t="e">
        <f>10/FIK62</f>
        <v>#DIV/0!</v>
      </c>
      <c r="FIP64" s="367">
        <v>15.38</v>
      </c>
      <c r="FIQ64" s="367" t="e">
        <f>FIN64*FIO64*FIP64</f>
        <v>#DIV/0!</v>
      </c>
      <c r="FIR64" s="363" t="s">
        <v>153</v>
      </c>
      <c r="FIS64" s="363"/>
      <c r="FIT64" s="363"/>
      <c r="FIU64" s="364" t="s">
        <v>140</v>
      </c>
      <c r="FIV64" s="365">
        <v>0.5</v>
      </c>
      <c r="FIW64" s="366" t="e">
        <f>10/FIS62</f>
        <v>#DIV/0!</v>
      </c>
      <c r="FIX64" s="367">
        <v>15.38</v>
      </c>
      <c r="FIY64" s="367" t="e">
        <f>FIV64*FIW64*FIX64</f>
        <v>#DIV/0!</v>
      </c>
      <c r="FIZ64" s="363" t="s">
        <v>153</v>
      </c>
      <c r="FJA64" s="363"/>
      <c r="FJB64" s="363"/>
      <c r="FJC64" s="364" t="s">
        <v>140</v>
      </c>
      <c r="FJD64" s="365">
        <v>0.5</v>
      </c>
      <c r="FJE64" s="366" t="e">
        <f>10/FJA62</f>
        <v>#DIV/0!</v>
      </c>
      <c r="FJF64" s="367">
        <v>15.38</v>
      </c>
      <c r="FJG64" s="367" t="e">
        <f>FJD64*FJE64*FJF64</f>
        <v>#DIV/0!</v>
      </c>
      <c r="FJH64" s="363" t="s">
        <v>153</v>
      </c>
      <c r="FJI64" s="363"/>
      <c r="FJJ64" s="363"/>
      <c r="FJK64" s="364" t="s">
        <v>140</v>
      </c>
      <c r="FJL64" s="365">
        <v>0.5</v>
      </c>
      <c r="FJM64" s="366" t="e">
        <f>10/FJI62</f>
        <v>#DIV/0!</v>
      </c>
      <c r="FJN64" s="367">
        <v>15.38</v>
      </c>
      <c r="FJO64" s="367" t="e">
        <f>FJL64*FJM64*FJN64</f>
        <v>#DIV/0!</v>
      </c>
      <c r="FJP64" s="363" t="s">
        <v>153</v>
      </c>
      <c r="FJQ64" s="363"/>
      <c r="FJR64" s="363"/>
      <c r="FJS64" s="364" t="s">
        <v>140</v>
      </c>
      <c r="FJT64" s="365">
        <v>0.5</v>
      </c>
      <c r="FJU64" s="366" t="e">
        <f>10/FJQ62</f>
        <v>#DIV/0!</v>
      </c>
      <c r="FJV64" s="367">
        <v>15.38</v>
      </c>
      <c r="FJW64" s="367" t="e">
        <f>FJT64*FJU64*FJV64</f>
        <v>#DIV/0!</v>
      </c>
      <c r="FJX64" s="363" t="s">
        <v>153</v>
      </c>
      <c r="FJY64" s="363"/>
      <c r="FJZ64" s="363"/>
      <c r="FKA64" s="364" t="s">
        <v>140</v>
      </c>
      <c r="FKB64" s="365">
        <v>0.5</v>
      </c>
      <c r="FKC64" s="366" t="e">
        <f>10/FJY62</f>
        <v>#DIV/0!</v>
      </c>
      <c r="FKD64" s="367">
        <v>15.38</v>
      </c>
      <c r="FKE64" s="367" t="e">
        <f>FKB64*FKC64*FKD64</f>
        <v>#DIV/0!</v>
      </c>
      <c r="FKF64" s="363" t="s">
        <v>153</v>
      </c>
      <c r="FKG64" s="363"/>
      <c r="FKH64" s="363"/>
      <c r="FKI64" s="364" t="s">
        <v>140</v>
      </c>
      <c r="FKJ64" s="365">
        <v>0.5</v>
      </c>
      <c r="FKK64" s="366" t="e">
        <f>10/FKG62</f>
        <v>#DIV/0!</v>
      </c>
      <c r="FKL64" s="367">
        <v>15.38</v>
      </c>
      <c r="FKM64" s="367" t="e">
        <f>FKJ64*FKK64*FKL64</f>
        <v>#DIV/0!</v>
      </c>
      <c r="FKN64" s="363" t="s">
        <v>153</v>
      </c>
      <c r="FKO64" s="363"/>
      <c r="FKP64" s="363"/>
      <c r="FKQ64" s="364" t="s">
        <v>140</v>
      </c>
      <c r="FKR64" s="365">
        <v>0.5</v>
      </c>
      <c r="FKS64" s="366" t="e">
        <f>10/FKO62</f>
        <v>#DIV/0!</v>
      </c>
      <c r="FKT64" s="367">
        <v>15.38</v>
      </c>
      <c r="FKU64" s="367" t="e">
        <f>FKR64*FKS64*FKT64</f>
        <v>#DIV/0!</v>
      </c>
      <c r="FKV64" s="363" t="s">
        <v>153</v>
      </c>
      <c r="FKW64" s="363"/>
      <c r="FKX64" s="363"/>
      <c r="FKY64" s="364" t="s">
        <v>140</v>
      </c>
      <c r="FKZ64" s="365">
        <v>0.5</v>
      </c>
      <c r="FLA64" s="366" t="e">
        <f>10/FKW62</f>
        <v>#DIV/0!</v>
      </c>
      <c r="FLB64" s="367">
        <v>15.38</v>
      </c>
      <c r="FLC64" s="367" t="e">
        <f>FKZ64*FLA64*FLB64</f>
        <v>#DIV/0!</v>
      </c>
      <c r="FLD64" s="363" t="s">
        <v>153</v>
      </c>
      <c r="FLE64" s="363"/>
      <c r="FLF64" s="363"/>
      <c r="FLG64" s="364" t="s">
        <v>140</v>
      </c>
      <c r="FLH64" s="365">
        <v>0.5</v>
      </c>
      <c r="FLI64" s="366" t="e">
        <f>10/FLE62</f>
        <v>#DIV/0!</v>
      </c>
      <c r="FLJ64" s="367">
        <v>15.38</v>
      </c>
      <c r="FLK64" s="367" t="e">
        <f>FLH64*FLI64*FLJ64</f>
        <v>#DIV/0!</v>
      </c>
      <c r="FLL64" s="363" t="s">
        <v>153</v>
      </c>
      <c r="FLM64" s="363"/>
      <c r="FLN64" s="363"/>
      <c r="FLO64" s="364" t="s">
        <v>140</v>
      </c>
      <c r="FLP64" s="365">
        <v>0.5</v>
      </c>
      <c r="FLQ64" s="366" t="e">
        <f>10/FLM62</f>
        <v>#DIV/0!</v>
      </c>
      <c r="FLR64" s="367">
        <v>15.38</v>
      </c>
      <c r="FLS64" s="367" t="e">
        <f>FLP64*FLQ64*FLR64</f>
        <v>#DIV/0!</v>
      </c>
      <c r="FLT64" s="363" t="s">
        <v>153</v>
      </c>
      <c r="FLU64" s="363"/>
      <c r="FLV64" s="363"/>
      <c r="FLW64" s="364" t="s">
        <v>140</v>
      </c>
      <c r="FLX64" s="365">
        <v>0.5</v>
      </c>
      <c r="FLY64" s="366" t="e">
        <f>10/FLU62</f>
        <v>#DIV/0!</v>
      </c>
      <c r="FLZ64" s="367">
        <v>15.38</v>
      </c>
      <c r="FMA64" s="367" t="e">
        <f>FLX64*FLY64*FLZ64</f>
        <v>#DIV/0!</v>
      </c>
      <c r="FMB64" s="363" t="s">
        <v>153</v>
      </c>
      <c r="FMC64" s="363"/>
      <c r="FMD64" s="363"/>
      <c r="FME64" s="364" t="s">
        <v>140</v>
      </c>
      <c r="FMF64" s="365">
        <v>0.5</v>
      </c>
      <c r="FMG64" s="366" t="e">
        <f>10/FMC62</f>
        <v>#DIV/0!</v>
      </c>
      <c r="FMH64" s="367">
        <v>15.38</v>
      </c>
      <c r="FMI64" s="367" t="e">
        <f>FMF64*FMG64*FMH64</f>
        <v>#DIV/0!</v>
      </c>
      <c r="FMJ64" s="363" t="s">
        <v>153</v>
      </c>
      <c r="FMK64" s="363"/>
      <c r="FML64" s="363"/>
      <c r="FMM64" s="364" t="s">
        <v>140</v>
      </c>
      <c r="FMN64" s="365">
        <v>0.5</v>
      </c>
      <c r="FMO64" s="366" t="e">
        <f>10/FMK62</f>
        <v>#DIV/0!</v>
      </c>
      <c r="FMP64" s="367">
        <v>15.38</v>
      </c>
      <c r="FMQ64" s="367" t="e">
        <f>FMN64*FMO64*FMP64</f>
        <v>#DIV/0!</v>
      </c>
      <c r="FMR64" s="363" t="s">
        <v>153</v>
      </c>
      <c r="FMS64" s="363"/>
      <c r="FMT64" s="363"/>
      <c r="FMU64" s="364" t="s">
        <v>140</v>
      </c>
      <c r="FMV64" s="365">
        <v>0.5</v>
      </c>
      <c r="FMW64" s="366" t="e">
        <f>10/FMS62</f>
        <v>#DIV/0!</v>
      </c>
      <c r="FMX64" s="367">
        <v>15.38</v>
      </c>
      <c r="FMY64" s="367" t="e">
        <f>FMV64*FMW64*FMX64</f>
        <v>#DIV/0!</v>
      </c>
      <c r="FMZ64" s="363" t="s">
        <v>153</v>
      </c>
      <c r="FNA64" s="363"/>
      <c r="FNB64" s="363"/>
      <c r="FNC64" s="364" t="s">
        <v>140</v>
      </c>
      <c r="FND64" s="365">
        <v>0.5</v>
      </c>
      <c r="FNE64" s="366" t="e">
        <f>10/FNA62</f>
        <v>#DIV/0!</v>
      </c>
      <c r="FNF64" s="367">
        <v>15.38</v>
      </c>
      <c r="FNG64" s="367" t="e">
        <f>FND64*FNE64*FNF64</f>
        <v>#DIV/0!</v>
      </c>
      <c r="FNH64" s="363" t="s">
        <v>153</v>
      </c>
      <c r="FNI64" s="363"/>
      <c r="FNJ64" s="363"/>
      <c r="FNK64" s="364" t="s">
        <v>140</v>
      </c>
      <c r="FNL64" s="365">
        <v>0.5</v>
      </c>
      <c r="FNM64" s="366" t="e">
        <f>10/FNI62</f>
        <v>#DIV/0!</v>
      </c>
      <c r="FNN64" s="367">
        <v>15.38</v>
      </c>
      <c r="FNO64" s="367" t="e">
        <f>FNL64*FNM64*FNN64</f>
        <v>#DIV/0!</v>
      </c>
      <c r="FNP64" s="363" t="s">
        <v>153</v>
      </c>
      <c r="FNQ64" s="363"/>
      <c r="FNR64" s="363"/>
      <c r="FNS64" s="364" t="s">
        <v>140</v>
      </c>
      <c r="FNT64" s="365">
        <v>0.5</v>
      </c>
      <c r="FNU64" s="366" t="e">
        <f>10/FNQ62</f>
        <v>#DIV/0!</v>
      </c>
      <c r="FNV64" s="367">
        <v>15.38</v>
      </c>
      <c r="FNW64" s="367" t="e">
        <f>FNT64*FNU64*FNV64</f>
        <v>#DIV/0!</v>
      </c>
      <c r="FNX64" s="363" t="s">
        <v>153</v>
      </c>
      <c r="FNY64" s="363"/>
      <c r="FNZ64" s="363"/>
      <c r="FOA64" s="364" t="s">
        <v>140</v>
      </c>
      <c r="FOB64" s="365">
        <v>0.5</v>
      </c>
      <c r="FOC64" s="366" t="e">
        <f>10/FNY62</f>
        <v>#DIV/0!</v>
      </c>
      <c r="FOD64" s="367">
        <v>15.38</v>
      </c>
      <c r="FOE64" s="367" t="e">
        <f>FOB64*FOC64*FOD64</f>
        <v>#DIV/0!</v>
      </c>
      <c r="FOF64" s="363" t="s">
        <v>153</v>
      </c>
      <c r="FOG64" s="363"/>
      <c r="FOH64" s="363"/>
      <c r="FOI64" s="364" t="s">
        <v>140</v>
      </c>
      <c r="FOJ64" s="365">
        <v>0.5</v>
      </c>
      <c r="FOK64" s="366" t="e">
        <f>10/FOG62</f>
        <v>#DIV/0!</v>
      </c>
      <c r="FOL64" s="367">
        <v>15.38</v>
      </c>
      <c r="FOM64" s="367" t="e">
        <f>FOJ64*FOK64*FOL64</f>
        <v>#DIV/0!</v>
      </c>
      <c r="FON64" s="363" t="s">
        <v>153</v>
      </c>
      <c r="FOO64" s="363"/>
      <c r="FOP64" s="363"/>
      <c r="FOQ64" s="364" t="s">
        <v>140</v>
      </c>
      <c r="FOR64" s="365">
        <v>0.5</v>
      </c>
      <c r="FOS64" s="366" t="e">
        <f>10/FOO62</f>
        <v>#DIV/0!</v>
      </c>
      <c r="FOT64" s="367">
        <v>15.38</v>
      </c>
      <c r="FOU64" s="367" t="e">
        <f>FOR64*FOS64*FOT64</f>
        <v>#DIV/0!</v>
      </c>
      <c r="FOV64" s="363" t="s">
        <v>153</v>
      </c>
      <c r="FOW64" s="363"/>
      <c r="FOX64" s="363"/>
      <c r="FOY64" s="364" t="s">
        <v>140</v>
      </c>
      <c r="FOZ64" s="365">
        <v>0.5</v>
      </c>
      <c r="FPA64" s="366" t="e">
        <f>10/FOW62</f>
        <v>#DIV/0!</v>
      </c>
      <c r="FPB64" s="367">
        <v>15.38</v>
      </c>
      <c r="FPC64" s="367" t="e">
        <f>FOZ64*FPA64*FPB64</f>
        <v>#DIV/0!</v>
      </c>
      <c r="FPD64" s="363" t="s">
        <v>153</v>
      </c>
      <c r="FPE64" s="363"/>
      <c r="FPF64" s="363"/>
      <c r="FPG64" s="364" t="s">
        <v>140</v>
      </c>
      <c r="FPH64" s="365">
        <v>0.5</v>
      </c>
      <c r="FPI64" s="366" t="e">
        <f>10/FPE62</f>
        <v>#DIV/0!</v>
      </c>
      <c r="FPJ64" s="367">
        <v>15.38</v>
      </c>
      <c r="FPK64" s="367" t="e">
        <f>FPH64*FPI64*FPJ64</f>
        <v>#DIV/0!</v>
      </c>
      <c r="FPL64" s="363" t="s">
        <v>153</v>
      </c>
      <c r="FPM64" s="363"/>
      <c r="FPN64" s="363"/>
      <c r="FPO64" s="364" t="s">
        <v>140</v>
      </c>
      <c r="FPP64" s="365">
        <v>0.5</v>
      </c>
      <c r="FPQ64" s="366" t="e">
        <f>10/FPM62</f>
        <v>#DIV/0!</v>
      </c>
      <c r="FPR64" s="367">
        <v>15.38</v>
      </c>
      <c r="FPS64" s="367" t="e">
        <f>FPP64*FPQ64*FPR64</f>
        <v>#DIV/0!</v>
      </c>
      <c r="FPT64" s="363" t="s">
        <v>153</v>
      </c>
      <c r="FPU64" s="363"/>
      <c r="FPV64" s="363"/>
      <c r="FPW64" s="364" t="s">
        <v>140</v>
      </c>
      <c r="FPX64" s="365">
        <v>0.5</v>
      </c>
      <c r="FPY64" s="366" t="e">
        <f>10/FPU62</f>
        <v>#DIV/0!</v>
      </c>
      <c r="FPZ64" s="367">
        <v>15.38</v>
      </c>
      <c r="FQA64" s="367" t="e">
        <f>FPX64*FPY64*FPZ64</f>
        <v>#DIV/0!</v>
      </c>
      <c r="FQB64" s="363" t="s">
        <v>153</v>
      </c>
      <c r="FQC64" s="363"/>
      <c r="FQD64" s="363"/>
      <c r="FQE64" s="364" t="s">
        <v>140</v>
      </c>
      <c r="FQF64" s="365">
        <v>0.5</v>
      </c>
      <c r="FQG64" s="366" t="e">
        <f>10/FQC62</f>
        <v>#DIV/0!</v>
      </c>
      <c r="FQH64" s="367">
        <v>15.38</v>
      </c>
      <c r="FQI64" s="367" t="e">
        <f>FQF64*FQG64*FQH64</f>
        <v>#DIV/0!</v>
      </c>
      <c r="FQJ64" s="363" t="s">
        <v>153</v>
      </c>
      <c r="FQK64" s="363"/>
      <c r="FQL64" s="363"/>
      <c r="FQM64" s="364" t="s">
        <v>140</v>
      </c>
      <c r="FQN64" s="365">
        <v>0.5</v>
      </c>
      <c r="FQO64" s="366" t="e">
        <f>10/FQK62</f>
        <v>#DIV/0!</v>
      </c>
      <c r="FQP64" s="367">
        <v>15.38</v>
      </c>
      <c r="FQQ64" s="367" t="e">
        <f>FQN64*FQO64*FQP64</f>
        <v>#DIV/0!</v>
      </c>
      <c r="FQR64" s="363" t="s">
        <v>153</v>
      </c>
      <c r="FQS64" s="363"/>
      <c r="FQT64" s="363"/>
      <c r="FQU64" s="364" t="s">
        <v>140</v>
      </c>
      <c r="FQV64" s="365">
        <v>0.5</v>
      </c>
      <c r="FQW64" s="366" t="e">
        <f>10/FQS62</f>
        <v>#DIV/0!</v>
      </c>
      <c r="FQX64" s="367">
        <v>15.38</v>
      </c>
      <c r="FQY64" s="367" t="e">
        <f>FQV64*FQW64*FQX64</f>
        <v>#DIV/0!</v>
      </c>
      <c r="FQZ64" s="363" t="s">
        <v>153</v>
      </c>
      <c r="FRA64" s="363"/>
      <c r="FRB64" s="363"/>
      <c r="FRC64" s="364" t="s">
        <v>140</v>
      </c>
      <c r="FRD64" s="365">
        <v>0.5</v>
      </c>
      <c r="FRE64" s="366" t="e">
        <f>10/FRA62</f>
        <v>#DIV/0!</v>
      </c>
      <c r="FRF64" s="367">
        <v>15.38</v>
      </c>
      <c r="FRG64" s="367" t="e">
        <f>FRD64*FRE64*FRF64</f>
        <v>#DIV/0!</v>
      </c>
      <c r="FRH64" s="363" t="s">
        <v>153</v>
      </c>
      <c r="FRI64" s="363"/>
      <c r="FRJ64" s="363"/>
      <c r="FRK64" s="364" t="s">
        <v>140</v>
      </c>
      <c r="FRL64" s="365">
        <v>0.5</v>
      </c>
      <c r="FRM64" s="366" t="e">
        <f>10/FRI62</f>
        <v>#DIV/0!</v>
      </c>
      <c r="FRN64" s="367">
        <v>15.38</v>
      </c>
      <c r="FRO64" s="367" t="e">
        <f>FRL64*FRM64*FRN64</f>
        <v>#DIV/0!</v>
      </c>
      <c r="FRP64" s="363" t="s">
        <v>153</v>
      </c>
      <c r="FRQ64" s="363"/>
      <c r="FRR64" s="363"/>
      <c r="FRS64" s="364" t="s">
        <v>140</v>
      </c>
      <c r="FRT64" s="365">
        <v>0.5</v>
      </c>
      <c r="FRU64" s="366" t="e">
        <f>10/FRQ62</f>
        <v>#DIV/0!</v>
      </c>
      <c r="FRV64" s="367">
        <v>15.38</v>
      </c>
      <c r="FRW64" s="367" t="e">
        <f>FRT64*FRU64*FRV64</f>
        <v>#DIV/0!</v>
      </c>
      <c r="FRX64" s="363" t="s">
        <v>153</v>
      </c>
      <c r="FRY64" s="363"/>
      <c r="FRZ64" s="363"/>
      <c r="FSA64" s="364" t="s">
        <v>140</v>
      </c>
      <c r="FSB64" s="365">
        <v>0.5</v>
      </c>
      <c r="FSC64" s="366" t="e">
        <f>10/FRY62</f>
        <v>#DIV/0!</v>
      </c>
      <c r="FSD64" s="367">
        <v>15.38</v>
      </c>
      <c r="FSE64" s="367" t="e">
        <f>FSB64*FSC64*FSD64</f>
        <v>#DIV/0!</v>
      </c>
      <c r="FSF64" s="363" t="s">
        <v>153</v>
      </c>
      <c r="FSG64" s="363"/>
      <c r="FSH64" s="363"/>
      <c r="FSI64" s="364" t="s">
        <v>140</v>
      </c>
      <c r="FSJ64" s="365">
        <v>0.5</v>
      </c>
      <c r="FSK64" s="366" t="e">
        <f>10/FSG62</f>
        <v>#DIV/0!</v>
      </c>
      <c r="FSL64" s="367">
        <v>15.38</v>
      </c>
      <c r="FSM64" s="367" t="e">
        <f>FSJ64*FSK64*FSL64</f>
        <v>#DIV/0!</v>
      </c>
      <c r="FSN64" s="363" t="s">
        <v>153</v>
      </c>
      <c r="FSO64" s="363"/>
      <c r="FSP64" s="363"/>
      <c r="FSQ64" s="364" t="s">
        <v>140</v>
      </c>
      <c r="FSR64" s="365">
        <v>0.5</v>
      </c>
      <c r="FSS64" s="366" t="e">
        <f>10/FSO62</f>
        <v>#DIV/0!</v>
      </c>
      <c r="FST64" s="367">
        <v>15.38</v>
      </c>
      <c r="FSU64" s="367" t="e">
        <f>FSR64*FSS64*FST64</f>
        <v>#DIV/0!</v>
      </c>
      <c r="FSV64" s="363" t="s">
        <v>153</v>
      </c>
      <c r="FSW64" s="363"/>
      <c r="FSX64" s="363"/>
      <c r="FSY64" s="364" t="s">
        <v>140</v>
      </c>
      <c r="FSZ64" s="365">
        <v>0.5</v>
      </c>
      <c r="FTA64" s="366" t="e">
        <f>10/FSW62</f>
        <v>#DIV/0!</v>
      </c>
      <c r="FTB64" s="367">
        <v>15.38</v>
      </c>
      <c r="FTC64" s="367" t="e">
        <f>FSZ64*FTA64*FTB64</f>
        <v>#DIV/0!</v>
      </c>
      <c r="FTD64" s="363" t="s">
        <v>153</v>
      </c>
      <c r="FTE64" s="363"/>
      <c r="FTF64" s="363"/>
      <c r="FTG64" s="364" t="s">
        <v>140</v>
      </c>
      <c r="FTH64" s="365">
        <v>0.5</v>
      </c>
      <c r="FTI64" s="366" t="e">
        <f>10/FTE62</f>
        <v>#DIV/0!</v>
      </c>
      <c r="FTJ64" s="367">
        <v>15.38</v>
      </c>
      <c r="FTK64" s="367" t="e">
        <f>FTH64*FTI64*FTJ64</f>
        <v>#DIV/0!</v>
      </c>
      <c r="FTL64" s="363" t="s">
        <v>153</v>
      </c>
      <c r="FTM64" s="363"/>
      <c r="FTN64" s="363"/>
      <c r="FTO64" s="364" t="s">
        <v>140</v>
      </c>
      <c r="FTP64" s="365">
        <v>0.5</v>
      </c>
      <c r="FTQ64" s="366" t="e">
        <f>10/FTM62</f>
        <v>#DIV/0!</v>
      </c>
      <c r="FTR64" s="367">
        <v>15.38</v>
      </c>
      <c r="FTS64" s="367" t="e">
        <f>FTP64*FTQ64*FTR64</f>
        <v>#DIV/0!</v>
      </c>
      <c r="FTT64" s="363" t="s">
        <v>153</v>
      </c>
      <c r="FTU64" s="363"/>
      <c r="FTV64" s="363"/>
      <c r="FTW64" s="364" t="s">
        <v>140</v>
      </c>
      <c r="FTX64" s="365">
        <v>0.5</v>
      </c>
      <c r="FTY64" s="366" t="e">
        <f>10/FTU62</f>
        <v>#DIV/0!</v>
      </c>
      <c r="FTZ64" s="367">
        <v>15.38</v>
      </c>
      <c r="FUA64" s="367" t="e">
        <f>FTX64*FTY64*FTZ64</f>
        <v>#DIV/0!</v>
      </c>
      <c r="FUB64" s="363" t="s">
        <v>153</v>
      </c>
      <c r="FUC64" s="363"/>
      <c r="FUD64" s="363"/>
      <c r="FUE64" s="364" t="s">
        <v>140</v>
      </c>
      <c r="FUF64" s="365">
        <v>0.5</v>
      </c>
      <c r="FUG64" s="366" t="e">
        <f>10/FUC62</f>
        <v>#DIV/0!</v>
      </c>
      <c r="FUH64" s="367">
        <v>15.38</v>
      </c>
      <c r="FUI64" s="367" t="e">
        <f>FUF64*FUG64*FUH64</f>
        <v>#DIV/0!</v>
      </c>
      <c r="FUJ64" s="363" t="s">
        <v>153</v>
      </c>
      <c r="FUK64" s="363"/>
      <c r="FUL64" s="363"/>
      <c r="FUM64" s="364" t="s">
        <v>140</v>
      </c>
      <c r="FUN64" s="365">
        <v>0.5</v>
      </c>
      <c r="FUO64" s="366" t="e">
        <f>10/FUK62</f>
        <v>#DIV/0!</v>
      </c>
      <c r="FUP64" s="367">
        <v>15.38</v>
      </c>
      <c r="FUQ64" s="367" t="e">
        <f>FUN64*FUO64*FUP64</f>
        <v>#DIV/0!</v>
      </c>
      <c r="FUR64" s="363" t="s">
        <v>153</v>
      </c>
      <c r="FUS64" s="363"/>
      <c r="FUT64" s="363"/>
      <c r="FUU64" s="364" t="s">
        <v>140</v>
      </c>
      <c r="FUV64" s="365">
        <v>0.5</v>
      </c>
      <c r="FUW64" s="366" t="e">
        <f>10/FUS62</f>
        <v>#DIV/0!</v>
      </c>
      <c r="FUX64" s="367">
        <v>15.38</v>
      </c>
      <c r="FUY64" s="367" t="e">
        <f>FUV64*FUW64*FUX64</f>
        <v>#DIV/0!</v>
      </c>
      <c r="FUZ64" s="363" t="s">
        <v>153</v>
      </c>
      <c r="FVA64" s="363"/>
      <c r="FVB64" s="363"/>
      <c r="FVC64" s="364" t="s">
        <v>140</v>
      </c>
      <c r="FVD64" s="365">
        <v>0.5</v>
      </c>
      <c r="FVE64" s="366" t="e">
        <f>10/FVA62</f>
        <v>#DIV/0!</v>
      </c>
      <c r="FVF64" s="367">
        <v>15.38</v>
      </c>
      <c r="FVG64" s="367" t="e">
        <f>FVD64*FVE64*FVF64</f>
        <v>#DIV/0!</v>
      </c>
      <c r="FVH64" s="363" t="s">
        <v>153</v>
      </c>
      <c r="FVI64" s="363"/>
      <c r="FVJ64" s="363"/>
      <c r="FVK64" s="364" t="s">
        <v>140</v>
      </c>
      <c r="FVL64" s="365">
        <v>0.5</v>
      </c>
      <c r="FVM64" s="366" t="e">
        <f>10/FVI62</f>
        <v>#DIV/0!</v>
      </c>
      <c r="FVN64" s="367">
        <v>15.38</v>
      </c>
      <c r="FVO64" s="367" t="e">
        <f>FVL64*FVM64*FVN64</f>
        <v>#DIV/0!</v>
      </c>
      <c r="FVP64" s="363" t="s">
        <v>153</v>
      </c>
      <c r="FVQ64" s="363"/>
      <c r="FVR64" s="363"/>
      <c r="FVS64" s="364" t="s">
        <v>140</v>
      </c>
      <c r="FVT64" s="365">
        <v>0.5</v>
      </c>
      <c r="FVU64" s="366" t="e">
        <f>10/FVQ62</f>
        <v>#DIV/0!</v>
      </c>
      <c r="FVV64" s="367">
        <v>15.38</v>
      </c>
      <c r="FVW64" s="367" t="e">
        <f>FVT64*FVU64*FVV64</f>
        <v>#DIV/0!</v>
      </c>
      <c r="FVX64" s="363" t="s">
        <v>153</v>
      </c>
      <c r="FVY64" s="363"/>
      <c r="FVZ64" s="363"/>
      <c r="FWA64" s="364" t="s">
        <v>140</v>
      </c>
      <c r="FWB64" s="365">
        <v>0.5</v>
      </c>
      <c r="FWC64" s="366" t="e">
        <f>10/FVY62</f>
        <v>#DIV/0!</v>
      </c>
      <c r="FWD64" s="367">
        <v>15.38</v>
      </c>
      <c r="FWE64" s="367" t="e">
        <f>FWB64*FWC64*FWD64</f>
        <v>#DIV/0!</v>
      </c>
      <c r="FWF64" s="363" t="s">
        <v>153</v>
      </c>
      <c r="FWG64" s="363"/>
      <c r="FWH64" s="363"/>
      <c r="FWI64" s="364" t="s">
        <v>140</v>
      </c>
      <c r="FWJ64" s="365">
        <v>0.5</v>
      </c>
      <c r="FWK64" s="366" t="e">
        <f>10/FWG62</f>
        <v>#DIV/0!</v>
      </c>
      <c r="FWL64" s="367">
        <v>15.38</v>
      </c>
      <c r="FWM64" s="367" t="e">
        <f>FWJ64*FWK64*FWL64</f>
        <v>#DIV/0!</v>
      </c>
      <c r="FWN64" s="363" t="s">
        <v>153</v>
      </c>
      <c r="FWO64" s="363"/>
      <c r="FWP64" s="363"/>
      <c r="FWQ64" s="364" t="s">
        <v>140</v>
      </c>
      <c r="FWR64" s="365">
        <v>0.5</v>
      </c>
      <c r="FWS64" s="366" t="e">
        <f>10/FWO62</f>
        <v>#DIV/0!</v>
      </c>
      <c r="FWT64" s="367">
        <v>15.38</v>
      </c>
      <c r="FWU64" s="367" t="e">
        <f>FWR64*FWS64*FWT64</f>
        <v>#DIV/0!</v>
      </c>
      <c r="FWV64" s="363" t="s">
        <v>153</v>
      </c>
      <c r="FWW64" s="363"/>
      <c r="FWX64" s="363"/>
      <c r="FWY64" s="364" t="s">
        <v>140</v>
      </c>
      <c r="FWZ64" s="365">
        <v>0.5</v>
      </c>
      <c r="FXA64" s="366" t="e">
        <f>10/FWW62</f>
        <v>#DIV/0!</v>
      </c>
      <c r="FXB64" s="367">
        <v>15.38</v>
      </c>
      <c r="FXC64" s="367" t="e">
        <f>FWZ64*FXA64*FXB64</f>
        <v>#DIV/0!</v>
      </c>
      <c r="FXD64" s="363" t="s">
        <v>153</v>
      </c>
      <c r="FXE64" s="363"/>
      <c r="FXF64" s="363"/>
      <c r="FXG64" s="364" t="s">
        <v>140</v>
      </c>
      <c r="FXH64" s="365">
        <v>0.5</v>
      </c>
      <c r="FXI64" s="366" t="e">
        <f>10/FXE62</f>
        <v>#DIV/0!</v>
      </c>
      <c r="FXJ64" s="367">
        <v>15.38</v>
      </c>
      <c r="FXK64" s="367" t="e">
        <f>FXH64*FXI64*FXJ64</f>
        <v>#DIV/0!</v>
      </c>
      <c r="FXL64" s="363" t="s">
        <v>153</v>
      </c>
      <c r="FXM64" s="363"/>
      <c r="FXN64" s="363"/>
      <c r="FXO64" s="364" t="s">
        <v>140</v>
      </c>
      <c r="FXP64" s="365">
        <v>0.5</v>
      </c>
      <c r="FXQ64" s="366" t="e">
        <f>10/FXM62</f>
        <v>#DIV/0!</v>
      </c>
      <c r="FXR64" s="367">
        <v>15.38</v>
      </c>
      <c r="FXS64" s="367" t="e">
        <f>FXP64*FXQ64*FXR64</f>
        <v>#DIV/0!</v>
      </c>
      <c r="FXT64" s="363" t="s">
        <v>153</v>
      </c>
      <c r="FXU64" s="363"/>
      <c r="FXV64" s="363"/>
      <c r="FXW64" s="364" t="s">
        <v>140</v>
      </c>
      <c r="FXX64" s="365">
        <v>0.5</v>
      </c>
      <c r="FXY64" s="366" t="e">
        <f>10/FXU62</f>
        <v>#DIV/0!</v>
      </c>
      <c r="FXZ64" s="367">
        <v>15.38</v>
      </c>
      <c r="FYA64" s="367" t="e">
        <f>FXX64*FXY64*FXZ64</f>
        <v>#DIV/0!</v>
      </c>
      <c r="FYB64" s="363" t="s">
        <v>153</v>
      </c>
      <c r="FYC64" s="363"/>
      <c r="FYD64" s="363"/>
      <c r="FYE64" s="364" t="s">
        <v>140</v>
      </c>
      <c r="FYF64" s="365">
        <v>0.5</v>
      </c>
      <c r="FYG64" s="366" t="e">
        <f>10/FYC62</f>
        <v>#DIV/0!</v>
      </c>
      <c r="FYH64" s="367">
        <v>15.38</v>
      </c>
      <c r="FYI64" s="367" t="e">
        <f>FYF64*FYG64*FYH64</f>
        <v>#DIV/0!</v>
      </c>
      <c r="FYJ64" s="363" t="s">
        <v>153</v>
      </c>
      <c r="FYK64" s="363"/>
      <c r="FYL64" s="363"/>
      <c r="FYM64" s="364" t="s">
        <v>140</v>
      </c>
      <c r="FYN64" s="365">
        <v>0.5</v>
      </c>
      <c r="FYO64" s="366" t="e">
        <f>10/FYK62</f>
        <v>#DIV/0!</v>
      </c>
      <c r="FYP64" s="367">
        <v>15.38</v>
      </c>
      <c r="FYQ64" s="367" t="e">
        <f>FYN64*FYO64*FYP64</f>
        <v>#DIV/0!</v>
      </c>
      <c r="FYR64" s="363" t="s">
        <v>153</v>
      </c>
      <c r="FYS64" s="363"/>
      <c r="FYT64" s="363"/>
      <c r="FYU64" s="364" t="s">
        <v>140</v>
      </c>
      <c r="FYV64" s="365">
        <v>0.5</v>
      </c>
      <c r="FYW64" s="366" t="e">
        <f>10/FYS62</f>
        <v>#DIV/0!</v>
      </c>
      <c r="FYX64" s="367">
        <v>15.38</v>
      </c>
      <c r="FYY64" s="367" t="e">
        <f>FYV64*FYW64*FYX64</f>
        <v>#DIV/0!</v>
      </c>
      <c r="FYZ64" s="363" t="s">
        <v>153</v>
      </c>
      <c r="FZA64" s="363"/>
      <c r="FZB64" s="363"/>
      <c r="FZC64" s="364" t="s">
        <v>140</v>
      </c>
      <c r="FZD64" s="365">
        <v>0.5</v>
      </c>
      <c r="FZE64" s="366" t="e">
        <f>10/FZA62</f>
        <v>#DIV/0!</v>
      </c>
      <c r="FZF64" s="367">
        <v>15.38</v>
      </c>
      <c r="FZG64" s="367" t="e">
        <f>FZD64*FZE64*FZF64</f>
        <v>#DIV/0!</v>
      </c>
      <c r="FZH64" s="363" t="s">
        <v>153</v>
      </c>
      <c r="FZI64" s="363"/>
      <c r="FZJ64" s="363"/>
      <c r="FZK64" s="364" t="s">
        <v>140</v>
      </c>
      <c r="FZL64" s="365">
        <v>0.5</v>
      </c>
      <c r="FZM64" s="366" t="e">
        <f>10/FZI62</f>
        <v>#DIV/0!</v>
      </c>
      <c r="FZN64" s="367">
        <v>15.38</v>
      </c>
      <c r="FZO64" s="367" t="e">
        <f>FZL64*FZM64*FZN64</f>
        <v>#DIV/0!</v>
      </c>
      <c r="FZP64" s="363" t="s">
        <v>153</v>
      </c>
      <c r="FZQ64" s="363"/>
      <c r="FZR64" s="363"/>
      <c r="FZS64" s="364" t="s">
        <v>140</v>
      </c>
      <c r="FZT64" s="365">
        <v>0.5</v>
      </c>
      <c r="FZU64" s="366" t="e">
        <f>10/FZQ62</f>
        <v>#DIV/0!</v>
      </c>
      <c r="FZV64" s="367">
        <v>15.38</v>
      </c>
      <c r="FZW64" s="367" t="e">
        <f>FZT64*FZU64*FZV64</f>
        <v>#DIV/0!</v>
      </c>
      <c r="FZX64" s="363" t="s">
        <v>153</v>
      </c>
      <c r="FZY64" s="363"/>
      <c r="FZZ64" s="363"/>
      <c r="GAA64" s="364" t="s">
        <v>140</v>
      </c>
      <c r="GAB64" s="365">
        <v>0.5</v>
      </c>
      <c r="GAC64" s="366" t="e">
        <f>10/FZY62</f>
        <v>#DIV/0!</v>
      </c>
      <c r="GAD64" s="367">
        <v>15.38</v>
      </c>
      <c r="GAE64" s="367" t="e">
        <f>GAB64*GAC64*GAD64</f>
        <v>#DIV/0!</v>
      </c>
      <c r="GAF64" s="363" t="s">
        <v>153</v>
      </c>
      <c r="GAG64" s="363"/>
      <c r="GAH64" s="363"/>
      <c r="GAI64" s="364" t="s">
        <v>140</v>
      </c>
      <c r="GAJ64" s="365">
        <v>0.5</v>
      </c>
      <c r="GAK64" s="366" t="e">
        <f>10/GAG62</f>
        <v>#DIV/0!</v>
      </c>
      <c r="GAL64" s="367">
        <v>15.38</v>
      </c>
      <c r="GAM64" s="367" t="e">
        <f>GAJ64*GAK64*GAL64</f>
        <v>#DIV/0!</v>
      </c>
      <c r="GAN64" s="363" t="s">
        <v>153</v>
      </c>
      <c r="GAO64" s="363"/>
      <c r="GAP64" s="363"/>
      <c r="GAQ64" s="364" t="s">
        <v>140</v>
      </c>
      <c r="GAR64" s="365">
        <v>0.5</v>
      </c>
      <c r="GAS64" s="366" t="e">
        <f>10/GAO62</f>
        <v>#DIV/0!</v>
      </c>
      <c r="GAT64" s="367">
        <v>15.38</v>
      </c>
      <c r="GAU64" s="367" t="e">
        <f>GAR64*GAS64*GAT64</f>
        <v>#DIV/0!</v>
      </c>
      <c r="GAV64" s="363" t="s">
        <v>153</v>
      </c>
      <c r="GAW64" s="363"/>
      <c r="GAX64" s="363"/>
      <c r="GAY64" s="364" t="s">
        <v>140</v>
      </c>
      <c r="GAZ64" s="365">
        <v>0.5</v>
      </c>
      <c r="GBA64" s="366" t="e">
        <f>10/GAW62</f>
        <v>#DIV/0!</v>
      </c>
      <c r="GBB64" s="367">
        <v>15.38</v>
      </c>
      <c r="GBC64" s="367" t="e">
        <f>GAZ64*GBA64*GBB64</f>
        <v>#DIV/0!</v>
      </c>
      <c r="GBD64" s="363" t="s">
        <v>153</v>
      </c>
      <c r="GBE64" s="363"/>
      <c r="GBF64" s="363"/>
      <c r="GBG64" s="364" t="s">
        <v>140</v>
      </c>
      <c r="GBH64" s="365">
        <v>0.5</v>
      </c>
      <c r="GBI64" s="366" t="e">
        <f>10/GBE62</f>
        <v>#DIV/0!</v>
      </c>
      <c r="GBJ64" s="367">
        <v>15.38</v>
      </c>
      <c r="GBK64" s="367" t="e">
        <f>GBH64*GBI64*GBJ64</f>
        <v>#DIV/0!</v>
      </c>
      <c r="GBL64" s="363" t="s">
        <v>153</v>
      </c>
      <c r="GBM64" s="363"/>
      <c r="GBN64" s="363"/>
      <c r="GBO64" s="364" t="s">
        <v>140</v>
      </c>
      <c r="GBP64" s="365">
        <v>0.5</v>
      </c>
      <c r="GBQ64" s="366" t="e">
        <f>10/GBM62</f>
        <v>#DIV/0!</v>
      </c>
      <c r="GBR64" s="367">
        <v>15.38</v>
      </c>
      <c r="GBS64" s="367" t="e">
        <f>GBP64*GBQ64*GBR64</f>
        <v>#DIV/0!</v>
      </c>
      <c r="GBT64" s="363" t="s">
        <v>153</v>
      </c>
      <c r="GBU64" s="363"/>
      <c r="GBV64" s="363"/>
      <c r="GBW64" s="364" t="s">
        <v>140</v>
      </c>
      <c r="GBX64" s="365">
        <v>0.5</v>
      </c>
      <c r="GBY64" s="366" t="e">
        <f>10/GBU62</f>
        <v>#DIV/0!</v>
      </c>
      <c r="GBZ64" s="367">
        <v>15.38</v>
      </c>
      <c r="GCA64" s="367" t="e">
        <f>GBX64*GBY64*GBZ64</f>
        <v>#DIV/0!</v>
      </c>
      <c r="GCB64" s="363" t="s">
        <v>153</v>
      </c>
      <c r="GCC64" s="363"/>
      <c r="GCD64" s="363"/>
      <c r="GCE64" s="364" t="s">
        <v>140</v>
      </c>
      <c r="GCF64" s="365">
        <v>0.5</v>
      </c>
      <c r="GCG64" s="366" t="e">
        <f>10/GCC62</f>
        <v>#DIV/0!</v>
      </c>
      <c r="GCH64" s="367">
        <v>15.38</v>
      </c>
      <c r="GCI64" s="367" t="e">
        <f>GCF64*GCG64*GCH64</f>
        <v>#DIV/0!</v>
      </c>
      <c r="GCJ64" s="363" t="s">
        <v>153</v>
      </c>
      <c r="GCK64" s="363"/>
      <c r="GCL64" s="363"/>
      <c r="GCM64" s="364" t="s">
        <v>140</v>
      </c>
      <c r="GCN64" s="365">
        <v>0.5</v>
      </c>
      <c r="GCO64" s="366" t="e">
        <f>10/GCK62</f>
        <v>#DIV/0!</v>
      </c>
      <c r="GCP64" s="367">
        <v>15.38</v>
      </c>
      <c r="GCQ64" s="367" t="e">
        <f>GCN64*GCO64*GCP64</f>
        <v>#DIV/0!</v>
      </c>
      <c r="GCR64" s="363" t="s">
        <v>153</v>
      </c>
      <c r="GCS64" s="363"/>
      <c r="GCT64" s="363"/>
      <c r="GCU64" s="364" t="s">
        <v>140</v>
      </c>
      <c r="GCV64" s="365">
        <v>0.5</v>
      </c>
      <c r="GCW64" s="366" t="e">
        <f>10/GCS62</f>
        <v>#DIV/0!</v>
      </c>
      <c r="GCX64" s="367">
        <v>15.38</v>
      </c>
      <c r="GCY64" s="367" t="e">
        <f>GCV64*GCW64*GCX64</f>
        <v>#DIV/0!</v>
      </c>
      <c r="GCZ64" s="363" t="s">
        <v>153</v>
      </c>
      <c r="GDA64" s="363"/>
      <c r="GDB64" s="363"/>
      <c r="GDC64" s="364" t="s">
        <v>140</v>
      </c>
      <c r="GDD64" s="365">
        <v>0.5</v>
      </c>
      <c r="GDE64" s="366" t="e">
        <f>10/GDA62</f>
        <v>#DIV/0!</v>
      </c>
      <c r="GDF64" s="367">
        <v>15.38</v>
      </c>
      <c r="GDG64" s="367" t="e">
        <f>GDD64*GDE64*GDF64</f>
        <v>#DIV/0!</v>
      </c>
      <c r="GDH64" s="363" t="s">
        <v>153</v>
      </c>
      <c r="GDI64" s="363"/>
      <c r="GDJ64" s="363"/>
      <c r="GDK64" s="364" t="s">
        <v>140</v>
      </c>
      <c r="GDL64" s="365">
        <v>0.5</v>
      </c>
      <c r="GDM64" s="366" t="e">
        <f>10/GDI62</f>
        <v>#DIV/0!</v>
      </c>
      <c r="GDN64" s="367">
        <v>15.38</v>
      </c>
      <c r="GDO64" s="367" t="e">
        <f>GDL64*GDM64*GDN64</f>
        <v>#DIV/0!</v>
      </c>
      <c r="GDP64" s="363" t="s">
        <v>153</v>
      </c>
      <c r="GDQ64" s="363"/>
      <c r="GDR64" s="363"/>
      <c r="GDS64" s="364" t="s">
        <v>140</v>
      </c>
      <c r="GDT64" s="365">
        <v>0.5</v>
      </c>
      <c r="GDU64" s="366" t="e">
        <f>10/GDQ62</f>
        <v>#DIV/0!</v>
      </c>
      <c r="GDV64" s="367">
        <v>15.38</v>
      </c>
      <c r="GDW64" s="367" t="e">
        <f>GDT64*GDU64*GDV64</f>
        <v>#DIV/0!</v>
      </c>
      <c r="GDX64" s="363" t="s">
        <v>153</v>
      </c>
      <c r="GDY64" s="363"/>
      <c r="GDZ64" s="363"/>
      <c r="GEA64" s="364" t="s">
        <v>140</v>
      </c>
      <c r="GEB64" s="365">
        <v>0.5</v>
      </c>
      <c r="GEC64" s="366" t="e">
        <f>10/GDY62</f>
        <v>#DIV/0!</v>
      </c>
      <c r="GED64" s="367">
        <v>15.38</v>
      </c>
      <c r="GEE64" s="367" t="e">
        <f>GEB64*GEC64*GED64</f>
        <v>#DIV/0!</v>
      </c>
      <c r="GEF64" s="363" t="s">
        <v>153</v>
      </c>
      <c r="GEG64" s="363"/>
      <c r="GEH64" s="363"/>
      <c r="GEI64" s="364" t="s">
        <v>140</v>
      </c>
      <c r="GEJ64" s="365">
        <v>0.5</v>
      </c>
      <c r="GEK64" s="366" t="e">
        <f>10/GEG62</f>
        <v>#DIV/0!</v>
      </c>
      <c r="GEL64" s="367">
        <v>15.38</v>
      </c>
      <c r="GEM64" s="367" t="e">
        <f>GEJ64*GEK64*GEL64</f>
        <v>#DIV/0!</v>
      </c>
      <c r="GEN64" s="363" t="s">
        <v>153</v>
      </c>
      <c r="GEO64" s="363"/>
      <c r="GEP64" s="363"/>
      <c r="GEQ64" s="364" t="s">
        <v>140</v>
      </c>
      <c r="GER64" s="365">
        <v>0.5</v>
      </c>
      <c r="GES64" s="366" t="e">
        <f>10/GEO62</f>
        <v>#DIV/0!</v>
      </c>
      <c r="GET64" s="367">
        <v>15.38</v>
      </c>
      <c r="GEU64" s="367" t="e">
        <f>GER64*GES64*GET64</f>
        <v>#DIV/0!</v>
      </c>
      <c r="GEV64" s="363" t="s">
        <v>153</v>
      </c>
      <c r="GEW64" s="363"/>
      <c r="GEX64" s="363"/>
      <c r="GEY64" s="364" t="s">
        <v>140</v>
      </c>
      <c r="GEZ64" s="365">
        <v>0.5</v>
      </c>
      <c r="GFA64" s="366" t="e">
        <f>10/GEW62</f>
        <v>#DIV/0!</v>
      </c>
      <c r="GFB64" s="367">
        <v>15.38</v>
      </c>
      <c r="GFC64" s="367" t="e">
        <f>GEZ64*GFA64*GFB64</f>
        <v>#DIV/0!</v>
      </c>
      <c r="GFD64" s="363" t="s">
        <v>153</v>
      </c>
      <c r="GFE64" s="363"/>
      <c r="GFF64" s="363"/>
      <c r="GFG64" s="364" t="s">
        <v>140</v>
      </c>
      <c r="GFH64" s="365">
        <v>0.5</v>
      </c>
      <c r="GFI64" s="366" t="e">
        <f>10/GFE62</f>
        <v>#DIV/0!</v>
      </c>
      <c r="GFJ64" s="367">
        <v>15.38</v>
      </c>
      <c r="GFK64" s="367" t="e">
        <f>GFH64*GFI64*GFJ64</f>
        <v>#DIV/0!</v>
      </c>
      <c r="GFL64" s="363" t="s">
        <v>153</v>
      </c>
      <c r="GFM64" s="363"/>
      <c r="GFN64" s="363"/>
      <c r="GFO64" s="364" t="s">
        <v>140</v>
      </c>
      <c r="GFP64" s="365">
        <v>0.5</v>
      </c>
      <c r="GFQ64" s="366" t="e">
        <f>10/GFM62</f>
        <v>#DIV/0!</v>
      </c>
      <c r="GFR64" s="367">
        <v>15.38</v>
      </c>
      <c r="GFS64" s="367" t="e">
        <f>GFP64*GFQ64*GFR64</f>
        <v>#DIV/0!</v>
      </c>
      <c r="GFT64" s="363" t="s">
        <v>153</v>
      </c>
      <c r="GFU64" s="363"/>
      <c r="GFV64" s="363"/>
      <c r="GFW64" s="364" t="s">
        <v>140</v>
      </c>
      <c r="GFX64" s="365">
        <v>0.5</v>
      </c>
      <c r="GFY64" s="366" t="e">
        <f>10/GFU62</f>
        <v>#DIV/0!</v>
      </c>
      <c r="GFZ64" s="367">
        <v>15.38</v>
      </c>
      <c r="GGA64" s="367" t="e">
        <f>GFX64*GFY64*GFZ64</f>
        <v>#DIV/0!</v>
      </c>
      <c r="GGB64" s="363" t="s">
        <v>153</v>
      </c>
      <c r="GGC64" s="363"/>
      <c r="GGD64" s="363"/>
      <c r="GGE64" s="364" t="s">
        <v>140</v>
      </c>
      <c r="GGF64" s="365">
        <v>0.5</v>
      </c>
      <c r="GGG64" s="366" t="e">
        <f>10/GGC62</f>
        <v>#DIV/0!</v>
      </c>
      <c r="GGH64" s="367">
        <v>15.38</v>
      </c>
      <c r="GGI64" s="367" t="e">
        <f>GGF64*GGG64*GGH64</f>
        <v>#DIV/0!</v>
      </c>
      <c r="GGJ64" s="363" t="s">
        <v>153</v>
      </c>
      <c r="GGK64" s="363"/>
      <c r="GGL64" s="363"/>
      <c r="GGM64" s="364" t="s">
        <v>140</v>
      </c>
      <c r="GGN64" s="365">
        <v>0.5</v>
      </c>
      <c r="GGO64" s="366" t="e">
        <f>10/GGK62</f>
        <v>#DIV/0!</v>
      </c>
      <c r="GGP64" s="367">
        <v>15.38</v>
      </c>
      <c r="GGQ64" s="367" t="e">
        <f>GGN64*GGO64*GGP64</f>
        <v>#DIV/0!</v>
      </c>
      <c r="GGR64" s="363" t="s">
        <v>153</v>
      </c>
      <c r="GGS64" s="363"/>
      <c r="GGT64" s="363"/>
      <c r="GGU64" s="364" t="s">
        <v>140</v>
      </c>
      <c r="GGV64" s="365">
        <v>0.5</v>
      </c>
      <c r="GGW64" s="366" t="e">
        <f>10/GGS62</f>
        <v>#DIV/0!</v>
      </c>
      <c r="GGX64" s="367">
        <v>15.38</v>
      </c>
      <c r="GGY64" s="367" t="e">
        <f>GGV64*GGW64*GGX64</f>
        <v>#DIV/0!</v>
      </c>
      <c r="GGZ64" s="363" t="s">
        <v>153</v>
      </c>
      <c r="GHA64" s="363"/>
      <c r="GHB64" s="363"/>
      <c r="GHC64" s="364" t="s">
        <v>140</v>
      </c>
      <c r="GHD64" s="365">
        <v>0.5</v>
      </c>
      <c r="GHE64" s="366" t="e">
        <f>10/GHA62</f>
        <v>#DIV/0!</v>
      </c>
      <c r="GHF64" s="367">
        <v>15.38</v>
      </c>
      <c r="GHG64" s="367" t="e">
        <f>GHD64*GHE64*GHF64</f>
        <v>#DIV/0!</v>
      </c>
      <c r="GHH64" s="363" t="s">
        <v>153</v>
      </c>
      <c r="GHI64" s="363"/>
      <c r="GHJ64" s="363"/>
      <c r="GHK64" s="364" t="s">
        <v>140</v>
      </c>
      <c r="GHL64" s="365">
        <v>0.5</v>
      </c>
      <c r="GHM64" s="366" t="e">
        <f>10/GHI62</f>
        <v>#DIV/0!</v>
      </c>
      <c r="GHN64" s="367">
        <v>15.38</v>
      </c>
      <c r="GHO64" s="367" t="e">
        <f>GHL64*GHM64*GHN64</f>
        <v>#DIV/0!</v>
      </c>
      <c r="GHP64" s="363" t="s">
        <v>153</v>
      </c>
      <c r="GHQ64" s="363"/>
      <c r="GHR64" s="363"/>
      <c r="GHS64" s="364" t="s">
        <v>140</v>
      </c>
      <c r="GHT64" s="365">
        <v>0.5</v>
      </c>
      <c r="GHU64" s="366" t="e">
        <f>10/GHQ62</f>
        <v>#DIV/0!</v>
      </c>
      <c r="GHV64" s="367">
        <v>15.38</v>
      </c>
      <c r="GHW64" s="367" t="e">
        <f>GHT64*GHU64*GHV64</f>
        <v>#DIV/0!</v>
      </c>
      <c r="GHX64" s="363" t="s">
        <v>153</v>
      </c>
      <c r="GHY64" s="363"/>
      <c r="GHZ64" s="363"/>
      <c r="GIA64" s="364" t="s">
        <v>140</v>
      </c>
      <c r="GIB64" s="365">
        <v>0.5</v>
      </c>
      <c r="GIC64" s="366" t="e">
        <f>10/GHY62</f>
        <v>#DIV/0!</v>
      </c>
      <c r="GID64" s="367">
        <v>15.38</v>
      </c>
      <c r="GIE64" s="367" t="e">
        <f>GIB64*GIC64*GID64</f>
        <v>#DIV/0!</v>
      </c>
      <c r="GIF64" s="363" t="s">
        <v>153</v>
      </c>
      <c r="GIG64" s="363"/>
      <c r="GIH64" s="363"/>
      <c r="GII64" s="364" t="s">
        <v>140</v>
      </c>
      <c r="GIJ64" s="365">
        <v>0.5</v>
      </c>
      <c r="GIK64" s="366" t="e">
        <f>10/GIG62</f>
        <v>#DIV/0!</v>
      </c>
      <c r="GIL64" s="367">
        <v>15.38</v>
      </c>
      <c r="GIM64" s="367" t="e">
        <f>GIJ64*GIK64*GIL64</f>
        <v>#DIV/0!</v>
      </c>
      <c r="GIN64" s="363" t="s">
        <v>153</v>
      </c>
      <c r="GIO64" s="363"/>
      <c r="GIP64" s="363"/>
      <c r="GIQ64" s="364" t="s">
        <v>140</v>
      </c>
      <c r="GIR64" s="365">
        <v>0.5</v>
      </c>
      <c r="GIS64" s="366" t="e">
        <f>10/GIO62</f>
        <v>#DIV/0!</v>
      </c>
      <c r="GIT64" s="367">
        <v>15.38</v>
      </c>
      <c r="GIU64" s="367" t="e">
        <f>GIR64*GIS64*GIT64</f>
        <v>#DIV/0!</v>
      </c>
      <c r="GIV64" s="363" t="s">
        <v>153</v>
      </c>
      <c r="GIW64" s="363"/>
      <c r="GIX64" s="363"/>
      <c r="GIY64" s="364" t="s">
        <v>140</v>
      </c>
      <c r="GIZ64" s="365">
        <v>0.5</v>
      </c>
      <c r="GJA64" s="366" t="e">
        <f>10/GIW62</f>
        <v>#DIV/0!</v>
      </c>
      <c r="GJB64" s="367">
        <v>15.38</v>
      </c>
      <c r="GJC64" s="367" t="e">
        <f>GIZ64*GJA64*GJB64</f>
        <v>#DIV/0!</v>
      </c>
      <c r="GJD64" s="363" t="s">
        <v>153</v>
      </c>
      <c r="GJE64" s="363"/>
      <c r="GJF64" s="363"/>
      <c r="GJG64" s="364" t="s">
        <v>140</v>
      </c>
      <c r="GJH64" s="365">
        <v>0.5</v>
      </c>
      <c r="GJI64" s="366" t="e">
        <f>10/GJE62</f>
        <v>#DIV/0!</v>
      </c>
      <c r="GJJ64" s="367">
        <v>15.38</v>
      </c>
      <c r="GJK64" s="367" t="e">
        <f>GJH64*GJI64*GJJ64</f>
        <v>#DIV/0!</v>
      </c>
      <c r="GJL64" s="363" t="s">
        <v>153</v>
      </c>
      <c r="GJM64" s="363"/>
      <c r="GJN64" s="363"/>
      <c r="GJO64" s="364" t="s">
        <v>140</v>
      </c>
      <c r="GJP64" s="365">
        <v>0.5</v>
      </c>
      <c r="GJQ64" s="366" t="e">
        <f>10/GJM62</f>
        <v>#DIV/0!</v>
      </c>
      <c r="GJR64" s="367">
        <v>15.38</v>
      </c>
      <c r="GJS64" s="367" t="e">
        <f>GJP64*GJQ64*GJR64</f>
        <v>#DIV/0!</v>
      </c>
      <c r="GJT64" s="363" t="s">
        <v>153</v>
      </c>
      <c r="GJU64" s="363"/>
      <c r="GJV64" s="363"/>
      <c r="GJW64" s="364" t="s">
        <v>140</v>
      </c>
      <c r="GJX64" s="365">
        <v>0.5</v>
      </c>
      <c r="GJY64" s="366" t="e">
        <f>10/GJU62</f>
        <v>#DIV/0!</v>
      </c>
      <c r="GJZ64" s="367">
        <v>15.38</v>
      </c>
      <c r="GKA64" s="367" t="e">
        <f>GJX64*GJY64*GJZ64</f>
        <v>#DIV/0!</v>
      </c>
      <c r="GKB64" s="363" t="s">
        <v>153</v>
      </c>
      <c r="GKC64" s="363"/>
      <c r="GKD64" s="363"/>
      <c r="GKE64" s="364" t="s">
        <v>140</v>
      </c>
      <c r="GKF64" s="365">
        <v>0.5</v>
      </c>
      <c r="GKG64" s="366" t="e">
        <f>10/GKC62</f>
        <v>#DIV/0!</v>
      </c>
      <c r="GKH64" s="367">
        <v>15.38</v>
      </c>
      <c r="GKI64" s="367" t="e">
        <f>GKF64*GKG64*GKH64</f>
        <v>#DIV/0!</v>
      </c>
      <c r="GKJ64" s="363" t="s">
        <v>153</v>
      </c>
      <c r="GKK64" s="363"/>
      <c r="GKL64" s="363"/>
      <c r="GKM64" s="364" t="s">
        <v>140</v>
      </c>
      <c r="GKN64" s="365">
        <v>0.5</v>
      </c>
      <c r="GKO64" s="366" t="e">
        <f>10/GKK62</f>
        <v>#DIV/0!</v>
      </c>
      <c r="GKP64" s="367">
        <v>15.38</v>
      </c>
      <c r="GKQ64" s="367" t="e">
        <f>GKN64*GKO64*GKP64</f>
        <v>#DIV/0!</v>
      </c>
      <c r="GKR64" s="363" t="s">
        <v>153</v>
      </c>
      <c r="GKS64" s="363"/>
      <c r="GKT64" s="363"/>
      <c r="GKU64" s="364" t="s">
        <v>140</v>
      </c>
      <c r="GKV64" s="365">
        <v>0.5</v>
      </c>
      <c r="GKW64" s="366" t="e">
        <f>10/GKS62</f>
        <v>#DIV/0!</v>
      </c>
      <c r="GKX64" s="367">
        <v>15.38</v>
      </c>
      <c r="GKY64" s="367" t="e">
        <f>GKV64*GKW64*GKX64</f>
        <v>#DIV/0!</v>
      </c>
      <c r="GKZ64" s="363" t="s">
        <v>153</v>
      </c>
      <c r="GLA64" s="363"/>
      <c r="GLB64" s="363"/>
      <c r="GLC64" s="364" t="s">
        <v>140</v>
      </c>
      <c r="GLD64" s="365">
        <v>0.5</v>
      </c>
      <c r="GLE64" s="366" t="e">
        <f>10/GLA62</f>
        <v>#DIV/0!</v>
      </c>
      <c r="GLF64" s="367">
        <v>15.38</v>
      </c>
      <c r="GLG64" s="367" t="e">
        <f>GLD64*GLE64*GLF64</f>
        <v>#DIV/0!</v>
      </c>
      <c r="GLH64" s="363" t="s">
        <v>153</v>
      </c>
      <c r="GLI64" s="363"/>
      <c r="GLJ64" s="363"/>
      <c r="GLK64" s="364" t="s">
        <v>140</v>
      </c>
      <c r="GLL64" s="365">
        <v>0.5</v>
      </c>
      <c r="GLM64" s="366" t="e">
        <f>10/GLI62</f>
        <v>#DIV/0!</v>
      </c>
      <c r="GLN64" s="367">
        <v>15.38</v>
      </c>
      <c r="GLO64" s="367" t="e">
        <f>GLL64*GLM64*GLN64</f>
        <v>#DIV/0!</v>
      </c>
      <c r="GLP64" s="363" t="s">
        <v>153</v>
      </c>
      <c r="GLQ64" s="363"/>
      <c r="GLR64" s="363"/>
      <c r="GLS64" s="364" t="s">
        <v>140</v>
      </c>
      <c r="GLT64" s="365">
        <v>0.5</v>
      </c>
      <c r="GLU64" s="366" t="e">
        <f>10/GLQ62</f>
        <v>#DIV/0!</v>
      </c>
      <c r="GLV64" s="367">
        <v>15.38</v>
      </c>
      <c r="GLW64" s="367" t="e">
        <f>GLT64*GLU64*GLV64</f>
        <v>#DIV/0!</v>
      </c>
      <c r="GLX64" s="363" t="s">
        <v>153</v>
      </c>
      <c r="GLY64" s="363"/>
      <c r="GLZ64" s="363"/>
      <c r="GMA64" s="364" t="s">
        <v>140</v>
      </c>
      <c r="GMB64" s="365">
        <v>0.5</v>
      </c>
      <c r="GMC64" s="366" t="e">
        <f>10/GLY62</f>
        <v>#DIV/0!</v>
      </c>
      <c r="GMD64" s="367">
        <v>15.38</v>
      </c>
      <c r="GME64" s="367" t="e">
        <f>GMB64*GMC64*GMD64</f>
        <v>#DIV/0!</v>
      </c>
      <c r="GMF64" s="363" t="s">
        <v>153</v>
      </c>
      <c r="GMG64" s="363"/>
      <c r="GMH64" s="363"/>
      <c r="GMI64" s="364" t="s">
        <v>140</v>
      </c>
      <c r="GMJ64" s="365">
        <v>0.5</v>
      </c>
      <c r="GMK64" s="366" t="e">
        <f>10/GMG62</f>
        <v>#DIV/0!</v>
      </c>
      <c r="GML64" s="367">
        <v>15.38</v>
      </c>
      <c r="GMM64" s="367" t="e">
        <f>GMJ64*GMK64*GML64</f>
        <v>#DIV/0!</v>
      </c>
      <c r="GMN64" s="363" t="s">
        <v>153</v>
      </c>
      <c r="GMO64" s="363"/>
      <c r="GMP64" s="363"/>
      <c r="GMQ64" s="364" t="s">
        <v>140</v>
      </c>
      <c r="GMR64" s="365">
        <v>0.5</v>
      </c>
      <c r="GMS64" s="366" t="e">
        <f>10/GMO62</f>
        <v>#DIV/0!</v>
      </c>
      <c r="GMT64" s="367">
        <v>15.38</v>
      </c>
      <c r="GMU64" s="367" t="e">
        <f>GMR64*GMS64*GMT64</f>
        <v>#DIV/0!</v>
      </c>
      <c r="GMV64" s="363" t="s">
        <v>153</v>
      </c>
      <c r="GMW64" s="363"/>
      <c r="GMX64" s="363"/>
      <c r="GMY64" s="364" t="s">
        <v>140</v>
      </c>
      <c r="GMZ64" s="365">
        <v>0.5</v>
      </c>
      <c r="GNA64" s="366" t="e">
        <f>10/GMW62</f>
        <v>#DIV/0!</v>
      </c>
      <c r="GNB64" s="367">
        <v>15.38</v>
      </c>
      <c r="GNC64" s="367" t="e">
        <f>GMZ64*GNA64*GNB64</f>
        <v>#DIV/0!</v>
      </c>
      <c r="GND64" s="363" t="s">
        <v>153</v>
      </c>
      <c r="GNE64" s="363"/>
      <c r="GNF64" s="363"/>
      <c r="GNG64" s="364" t="s">
        <v>140</v>
      </c>
      <c r="GNH64" s="365">
        <v>0.5</v>
      </c>
      <c r="GNI64" s="366" t="e">
        <f>10/GNE62</f>
        <v>#DIV/0!</v>
      </c>
      <c r="GNJ64" s="367">
        <v>15.38</v>
      </c>
      <c r="GNK64" s="367" t="e">
        <f>GNH64*GNI64*GNJ64</f>
        <v>#DIV/0!</v>
      </c>
      <c r="GNL64" s="363" t="s">
        <v>153</v>
      </c>
      <c r="GNM64" s="363"/>
      <c r="GNN64" s="363"/>
      <c r="GNO64" s="364" t="s">
        <v>140</v>
      </c>
      <c r="GNP64" s="365">
        <v>0.5</v>
      </c>
      <c r="GNQ64" s="366" t="e">
        <f>10/GNM62</f>
        <v>#DIV/0!</v>
      </c>
      <c r="GNR64" s="367">
        <v>15.38</v>
      </c>
      <c r="GNS64" s="367" t="e">
        <f>GNP64*GNQ64*GNR64</f>
        <v>#DIV/0!</v>
      </c>
      <c r="GNT64" s="363" t="s">
        <v>153</v>
      </c>
      <c r="GNU64" s="363"/>
      <c r="GNV64" s="363"/>
      <c r="GNW64" s="364" t="s">
        <v>140</v>
      </c>
      <c r="GNX64" s="365">
        <v>0.5</v>
      </c>
      <c r="GNY64" s="366" t="e">
        <f>10/GNU62</f>
        <v>#DIV/0!</v>
      </c>
      <c r="GNZ64" s="367">
        <v>15.38</v>
      </c>
      <c r="GOA64" s="367" t="e">
        <f>GNX64*GNY64*GNZ64</f>
        <v>#DIV/0!</v>
      </c>
      <c r="GOB64" s="363" t="s">
        <v>153</v>
      </c>
      <c r="GOC64" s="363"/>
      <c r="GOD64" s="363"/>
      <c r="GOE64" s="364" t="s">
        <v>140</v>
      </c>
      <c r="GOF64" s="365">
        <v>0.5</v>
      </c>
      <c r="GOG64" s="366" t="e">
        <f>10/GOC62</f>
        <v>#DIV/0!</v>
      </c>
      <c r="GOH64" s="367">
        <v>15.38</v>
      </c>
      <c r="GOI64" s="367" t="e">
        <f>GOF64*GOG64*GOH64</f>
        <v>#DIV/0!</v>
      </c>
      <c r="GOJ64" s="363" t="s">
        <v>153</v>
      </c>
      <c r="GOK64" s="363"/>
      <c r="GOL64" s="363"/>
      <c r="GOM64" s="364" t="s">
        <v>140</v>
      </c>
      <c r="GON64" s="365">
        <v>0.5</v>
      </c>
      <c r="GOO64" s="366" t="e">
        <f>10/GOK62</f>
        <v>#DIV/0!</v>
      </c>
      <c r="GOP64" s="367">
        <v>15.38</v>
      </c>
      <c r="GOQ64" s="367" t="e">
        <f>GON64*GOO64*GOP64</f>
        <v>#DIV/0!</v>
      </c>
      <c r="GOR64" s="363" t="s">
        <v>153</v>
      </c>
      <c r="GOS64" s="363"/>
      <c r="GOT64" s="363"/>
      <c r="GOU64" s="364" t="s">
        <v>140</v>
      </c>
      <c r="GOV64" s="365">
        <v>0.5</v>
      </c>
      <c r="GOW64" s="366" t="e">
        <f>10/GOS62</f>
        <v>#DIV/0!</v>
      </c>
      <c r="GOX64" s="367">
        <v>15.38</v>
      </c>
      <c r="GOY64" s="367" t="e">
        <f>GOV64*GOW64*GOX64</f>
        <v>#DIV/0!</v>
      </c>
      <c r="GOZ64" s="363" t="s">
        <v>153</v>
      </c>
      <c r="GPA64" s="363"/>
      <c r="GPB64" s="363"/>
      <c r="GPC64" s="364" t="s">
        <v>140</v>
      </c>
      <c r="GPD64" s="365">
        <v>0.5</v>
      </c>
      <c r="GPE64" s="366" t="e">
        <f>10/GPA62</f>
        <v>#DIV/0!</v>
      </c>
      <c r="GPF64" s="367">
        <v>15.38</v>
      </c>
      <c r="GPG64" s="367" t="e">
        <f>GPD64*GPE64*GPF64</f>
        <v>#DIV/0!</v>
      </c>
      <c r="GPH64" s="363" t="s">
        <v>153</v>
      </c>
      <c r="GPI64" s="363"/>
      <c r="GPJ64" s="363"/>
      <c r="GPK64" s="364" t="s">
        <v>140</v>
      </c>
      <c r="GPL64" s="365">
        <v>0.5</v>
      </c>
      <c r="GPM64" s="366" t="e">
        <f>10/GPI62</f>
        <v>#DIV/0!</v>
      </c>
      <c r="GPN64" s="367">
        <v>15.38</v>
      </c>
      <c r="GPO64" s="367" t="e">
        <f>GPL64*GPM64*GPN64</f>
        <v>#DIV/0!</v>
      </c>
      <c r="GPP64" s="363" t="s">
        <v>153</v>
      </c>
      <c r="GPQ64" s="363"/>
      <c r="GPR64" s="363"/>
      <c r="GPS64" s="364" t="s">
        <v>140</v>
      </c>
      <c r="GPT64" s="365">
        <v>0.5</v>
      </c>
      <c r="GPU64" s="366" t="e">
        <f>10/GPQ62</f>
        <v>#DIV/0!</v>
      </c>
      <c r="GPV64" s="367">
        <v>15.38</v>
      </c>
      <c r="GPW64" s="367" t="e">
        <f>GPT64*GPU64*GPV64</f>
        <v>#DIV/0!</v>
      </c>
      <c r="GPX64" s="363" t="s">
        <v>153</v>
      </c>
      <c r="GPY64" s="363"/>
      <c r="GPZ64" s="363"/>
      <c r="GQA64" s="364" t="s">
        <v>140</v>
      </c>
      <c r="GQB64" s="365">
        <v>0.5</v>
      </c>
      <c r="GQC64" s="366" t="e">
        <f>10/GPY62</f>
        <v>#DIV/0!</v>
      </c>
      <c r="GQD64" s="367">
        <v>15.38</v>
      </c>
      <c r="GQE64" s="367" t="e">
        <f>GQB64*GQC64*GQD64</f>
        <v>#DIV/0!</v>
      </c>
      <c r="GQF64" s="363" t="s">
        <v>153</v>
      </c>
      <c r="GQG64" s="363"/>
      <c r="GQH64" s="363"/>
      <c r="GQI64" s="364" t="s">
        <v>140</v>
      </c>
      <c r="GQJ64" s="365">
        <v>0.5</v>
      </c>
      <c r="GQK64" s="366" t="e">
        <f>10/GQG62</f>
        <v>#DIV/0!</v>
      </c>
      <c r="GQL64" s="367">
        <v>15.38</v>
      </c>
      <c r="GQM64" s="367" t="e">
        <f>GQJ64*GQK64*GQL64</f>
        <v>#DIV/0!</v>
      </c>
      <c r="GQN64" s="363" t="s">
        <v>153</v>
      </c>
      <c r="GQO64" s="363"/>
      <c r="GQP64" s="363"/>
      <c r="GQQ64" s="364" t="s">
        <v>140</v>
      </c>
      <c r="GQR64" s="365">
        <v>0.5</v>
      </c>
      <c r="GQS64" s="366" t="e">
        <f>10/GQO62</f>
        <v>#DIV/0!</v>
      </c>
      <c r="GQT64" s="367">
        <v>15.38</v>
      </c>
      <c r="GQU64" s="367" t="e">
        <f>GQR64*GQS64*GQT64</f>
        <v>#DIV/0!</v>
      </c>
      <c r="GQV64" s="363" t="s">
        <v>153</v>
      </c>
      <c r="GQW64" s="363"/>
      <c r="GQX64" s="363"/>
      <c r="GQY64" s="364" t="s">
        <v>140</v>
      </c>
      <c r="GQZ64" s="365">
        <v>0.5</v>
      </c>
      <c r="GRA64" s="366" t="e">
        <f>10/GQW62</f>
        <v>#DIV/0!</v>
      </c>
      <c r="GRB64" s="367">
        <v>15.38</v>
      </c>
      <c r="GRC64" s="367" t="e">
        <f>GQZ64*GRA64*GRB64</f>
        <v>#DIV/0!</v>
      </c>
      <c r="GRD64" s="363" t="s">
        <v>153</v>
      </c>
      <c r="GRE64" s="363"/>
      <c r="GRF64" s="363"/>
      <c r="GRG64" s="364" t="s">
        <v>140</v>
      </c>
      <c r="GRH64" s="365">
        <v>0.5</v>
      </c>
      <c r="GRI64" s="366" t="e">
        <f>10/GRE62</f>
        <v>#DIV/0!</v>
      </c>
      <c r="GRJ64" s="367">
        <v>15.38</v>
      </c>
      <c r="GRK64" s="367" t="e">
        <f>GRH64*GRI64*GRJ64</f>
        <v>#DIV/0!</v>
      </c>
      <c r="GRL64" s="363" t="s">
        <v>153</v>
      </c>
      <c r="GRM64" s="363"/>
      <c r="GRN64" s="363"/>
      <c r="GRO64" s="364" t="s">
        <v>140</v>
      </c>
      <c r="GRP64" s="365">
        <v>0.5</v>
      </c>
      <c r="GRQ64" s="366" t="e">
        <f>10/GRM62</f>
        <v>#DIV/0!</v>
      </c>
      <c r="GRR64" s="367">
        <v>15.38</v>
      </c>
      <c r="GRS64" s="367" t="e">
        <f>GRP64*GRQ64*GRR64</f>
        <v>#DIV/0!</v>
      </c>
      <c r="GRT64" s="363" t="s">
        <v>153</v>
      </c>
      <c r="GRU64" s="363"/>
      <c r="GRV64" s="363"/>
      <c r="GRW64" s="364" t="s">
        <v>140</v>
      </c>
      <c r="GRX64" s="365">
        <v>0.5</v>
      </c>
      <c r="GRY64" s="366" t="e">
        <f>10/GRU62</f>
        <v>#DIV/0!</v>
      </c>
      <c r="GRZ64" s="367">
        <v>15.38</v>
      </c>
      <c r="GSA64" s="367" t="e">
        <f>GRX64*GRY64*GRZ64</f>
        <v>#DIV/0!</v>
      </c>
      <c r="GSB64" s="363" t="s">
        <v>153</v>
      </c>
      <c r="GSC64" s="363"/>
      <c r="GSD64" s="363"/>
      <c r="GSE64" s="364" t="s">
        <v>140</v>
      </c>
      <c r="GSF64" s="365">
        <v>0.5</v>
      </c>
      <c r="GSG64" s="366" t="e">
        <f>10/GSC62</f>
        <v>#DIV/0!</v>
      </c>
      <c r="GSH64" s="367">
        <v>15.38</v>
      </c>
      <c r="GSI64" s="367" t="e">
        <f>GSF64*GSG64*GSH64</f>
        <v>#DIV/0!</v>
      </c>
      <c r="GSJ64" s="363" t="s">
        <v>153</v>
      </c>
      <c r="GSK64" s="363"/>
      <c r="GSL64" s="363"/>
      <c r="GSM64" s="364" t="s">
        <v>140</v>
      </c>
      <c r="GSN64" s="365">
        <v>0.5</v>
      </c>
      <c r="GSO64" s="366" t="e">
        <f>10/GSK62</f>
        <v>#DIV/0!</v>
      </c>
      <c r="GSP64" s="367">
        <v>15.38</v>
      </c>
      <c r="GSQ64" s="367" t="e">
        <f>GSN64*GSO64*GSP64</f>
        <v>#DIV/0!</v>
      </c>
      <c r="GSR64" s="363" t="s">
        <v>153</v>
      </c>
      <c r="GSS64" s="363"/>
      <c r="GST64" s="363"/>
      <c r="GSU64" s="364" t="s">
        <v>140</v>
      </c>
      <c r="GSV64" s="365">
        <v>0.5</v>
      </c>
      <c r="GSW64" s="366" t="e">
        <f>10/GSS62</f>
        <v>#DIV/0!</v>
      </c>
      <c r="GSX64" s="367">
        <v>15.38</v>
      </c>
      <c r="GSY64" s="367" t="e">
        <f>GSV64*GSW64*GSX64</f>
        <v>#DIV/0!</v>
      </c>
      <c r="GSZ64" s="363" t="s">
        <v>153</v>
      </c>
      <c r="GTA64" s="363"/>
      <c r="GTB64" s="363"/>
      <c r="GTC64" s="364" t="s">
        <v>140</v>
      </c>
      <c r="GTD64" s="365">
        <v>0.5</v>
      </c>
      <c r="GTE64" s="366" t="e">
        <f>10/GTA62</f>
        <v>#DIV/0!</v>
      </c>
      <c r="GTF64" s="367">
        <v>15.38</v>
      </c>
      <c r="GTG64" s="367" t="e">
        <f>GTD64*GTE64*GTF64</f>
        <v>#DIV/0!</v>
      </c>
      <c r="GTH64" s="363" t="s">
        <v>153</v>
      </c>
      <c r="GTI64" s="363"/>
      <c r="GTJ64" s="363"/>
      <c r="GTK64" s="364" t="s">
        <v>140</v>
      </c>
      <c r="GTL64" s="365">
        <v>0.5</v>
      </c>
      <c r="GTM64" s="366" t="e">
        <f>10/GTI62</f>
        <v>#DIV/0!</v>
      </c>
      <c r="GTN64" s="367">
        <v>15.38</v>
      </c>
      <c r="GTO64" s="367" t="e">
        <f>GTL64*GTM64*GTN64</f>
        <v>#DIV/0!</v>
      </c>
      <c r="GTP64" s="363" t="s">
        <v>153</v>
      </c>
      <c r="GTQ64" s="363"/>
      <c r="GTR64" s="363"/>
      <c r="GTS64" s="364" t="s">
        <v>140</v>
      </c>
      <c r="GTT64" s="365">
        <v>0.5</v>
      </c>
      <c r="GTU64" s="366" t="e">
        <f>10/GTQ62</f>
        <v>#DIV/0!</v>
      </c>
      <c r="GTV64" s="367">
        <v>15.38</v>
      </c>
      <c r="GTW64" s="367" t="e">
        <f>GTT64*GTU64*GTV64</f>
        <v>#DIV/0!</v>
      </c>
      <c r="GTX64" s="363" t="s">
        <v>153</v>
      </c>
      <c r="GTY64" s="363"/>
      <c r="GTZ64" s="363"/>
      <c r="GUA64" s="364" t="s">
        <v>140</v>
      </c>
      <c r="GUB64" s="365">
        <v>0.5</v>
      </c>
      <c r="GUC64" s="366" t="e">
        <f>10/GTY62</f>
        <v>#DIV/0!</v>
      </c>
      <c r="GUD64" s="367">
        <v>15.38</v>
      </c>
      <c r="GUE64" s="367" t="e">
        <f>GUB64*GUC64*GUD64</f>
        <v>#DIV/0!</v>
      </c>
      <c r="GUF64" s="363" t="s">
        <v>153</v>
      </c>
      <c r="GUG64" s="363"/>
      <c r="GUH64" s="363"/>
      <c r="GUI64" s="364" t="s">
        <v>140</v>
      </c>
      <c r="GUJ64" s="365">
        <v>0.5</v>
      </c>
      <c r="GUK64" s="366" t="e">
        <f>10/GUG62</f>
        <v>#DIV/0!</v>
      </c>
      <c r="GUL64" s="367">
        <v>15.38</v>
      </c>
      <c r="GUM64" s="367" t="e">
        <f>GUJ64*GUK64*GUL64</f>
        <v>#DIV/0!</v>
      </c>
      <c r="GUN64" s="363" t="s">
        <v>153</v>
      </c>
      <c r="GUO64" s="363"/>
      <c r="GUP64" s="363"/>
      <c r="GUQ64" s="364" t="s">
        <v>140</v>
      </c>
      <c r="GUR64" s="365">
        <v>0.5</v>
      </c>
      <c r="GUS64" s="366" t="e">
        <f>10/GUO62</f>
        <v>#DIV/0!</v>
      </c>
      <c r="GUT64" s="367">
        <v>15.38</v>
      </c>
      <c r="GUU64" s="367" t="e">
        <f>GUR64*GUS64*GUT64</f>
        <v>#DIV/0!</v>
      </c>
      <c r="GUV64" s="363" t="s">
        <v>153</v>
      </c>
      <c r="GUW64" s="363"/>
      <c r="GUX64" s="363"/>
      <c r="GUY64" s="364" t="s">
        <v>140</v>
      </c>
      <c r="GUZ64" s="365">
        <v>0.5</v>
      </c>
      <c r="GVA64" s="366" t="e">
        <f>10/GUW62</f>
        <v>#DIV/0!</v>
      </c>
      <c r="GVB64" s="367">
        <v>15.38</v>
      </c>
      <c r="GVC64" s="367" t="e">
        <f>GUZ64*GVA64*GVB64</f>
        <v>#DIV/0!</v>
      </c>
      <c r="GVD64" s="363" t="s">
        <v>153</v>
      </c>
      <c r="GVE64" s="363"/>
      <c r="GVF64" s="363"/>
      <c r="GVG64" s="364" t="s">
        <v>140</v>
      </c>
      <c r="GVH64" s="365">
        <v>0.5</v>
      </c>
      <c r="GVI64" s="366" t="e">
        <f>10/GVE62</f>
        <v>#DIV/0!</v>
      </c>
      <c r="GVJ64" s="367">
        <v>15.38</v>
      </c>
      <c r="GVK64" s="367" t="e">
        <f>GVH64*GVI64*GVJ64</f>
        <v>#DIV/0!</v>
      </c>
      <c r="GVL64" s="363" t="s">
        <v>153</v>
      </c>
      <c r="GVM64" s="363"/>
      <c r="GVN64" s="363"/>
      <c r="GVO64" s="364" t="s">
        <v>140</v>
      </c>
      <c r="GVP64" s="365">
        <v>0.5</v>
      </c>
      <c r="GVQ64" s="366" t="e">
        <f>10/GVM62</f>
        <v>#DIV/0!</v>
      </c>
      <c r="GVR64" s="367">
        <v>15.38</v>
      </c>
      <c r="GVS64" s="367" t="e">
        <f>GVP64*GVQ64*GVR64</f>
        <v>#DIV/0!</v>
      </c>
      <c r="GVT64" s="363" t="s">
        <v>153</v>
      </c>
      <c r="GVU64" s="363"/>
      <c r="GVV64" s="363"/>
      <c r="GVW64" s="364" t="s">
        <v>140</v>
      </c>
      <c r="GVX64" s="365">
        <v>0.5</v>
      </c>
      <c r="GVY64" s="366" t="e">
        <f>10/GVU62</f>
        <v>#DIV/0!</v>
      </c>
      <c r="GVZ64" s="367">
        <v>15.38</v>
      </c>
      <c r="GWA64" s="367" t="e">
        <f>GVX64*GVY64*GVZ64</f>
        <v>#DIV/0!</v>
      </c>
      <c r="GWB64" s="363" t="s">
        <v>153</v>
      </c>
      <c r="GWC64" s="363"/>
      <c r="GWD64" s="363"/>
      <c r="GWE64" s="364" t="s">
        <v>140</v>
      </c>
      <c r="GWF64" s="365">
        <v>0.5</v>
      </c>
      <c r="GWG64" s="366" t="e">
        <f>10/GWC62</f>
        <v>#DIV/0!</v>
      </c>
      <c r="GWH64" s="367">
        <v>15.38</v>
      </c>
      <c r="GWI64" s="367" t="e">
        <f>GWF64*GWG64*GWH64</f>
        <v>#DIV/0!</v>
      </c>
      <c r="GWJ64" s="363" t="s">
        <v>153</v>
      </c>
      <c r="GWK64" s="363"/>
      <c r="GWL64" s="363"/>
      <c r="GWM64" s="364" t="s">
        <v>140</v>
      </c>
      <c r="GWN64" s="365">
        <v>0.5</v>
      </c>
      <c r="GWO64" s="366" t="e">
        <f>10/GWK62</f>
        <v>#DIV/0!</v>
      </c>
      <c r="GWP64" s="367">
        <v>15.38</v>
      </c>
      <c r="GWQ64" s="367" t="e">
        <f>GWN64*GWO64*GWP64</f>
        <v>#DIV/0!</v>
      </c>
      <c r="GWR64" s="363" t="s">
        <v>153</v>
      </c>
      <c r="GWS64" s="363"/>
      <c r="GWT64" s="363"/>
      <c r="GWU64" s="364" t="s">
        <v>140</v>
      </c>
      <c r="GWV64" s="365">
        <v>0.5</v>
      </c>
      <c r="GWW64" s="366" t="e">
        <f>10/GWS62</f>
        <v>#DIV/0!</v>
      </c>
      <c r="GWX64" s="367">
        <v>15.38</v>
      </c>
      <c r="GWY64" s="367" t="e">
        <f>GWV64*GWW64*GWX64</f>
        <v>#DIV/0!</v>
      </c>
      <c r="GWZ64" s="363" t="s">
        <v>153</v>
      </c>
      <c r="GXA64" s="363"/>
      <c r="GXB64" s="363"/>
      <c r="GXC64" s="364" t="s">
        <v>140</v>
      </c>
      <c r="GXD64" s="365">
        <v>0.5</v>
      </c>
      <c r="GXE64" s="366" t="e">
        <f>10/GXA62</f>
        <v>#DIV/0!</v>
      </c>
      <c r="GXF64" s="367">
        <v>15.38</v>
      </c>
      <c r="GXG64" s="367" t="e">
        <f>GXD64*GXE64*GXF64</f>
        <v>#DIV/0!</v>
      </c>
      <c r="GXH64" s="363" t="s">
        <v>153</v>
      </c>
      <c r="GXI64" s="363"/>
      <c r="GXJ64" s="363"/>
      <c r="GXK64" s="364" t="s">
        <v>140</v>
      </c>
      <c r="GXL64" s="365">
        <v>0.5</v>
      </c>
      <c r="GXM64" s="366" t="e">
        <f>10/GXI62</f>
        <v>#DIV/0!</v>
      </c>
      <c r="GXN64" s="367">
        <v>15.38</v>
      </c>
      <c r="GXO64" s="367" t="e">
        <f>GXL64*GXM64*GXN64</f>
        <v>#DIV/0!</v>
      </c>
      <c r="GXP64" s="363" t="s">
        <v>153</v>
      </c>
      <c r="GXQ64" s="363"/>
      <c r="GXR64" s="363"/>
      <c r="GXS64" s="364" t="s">
        <v>140</v>
      </c>
      <c r="GXT64" s="365">
        <v>0.5</v>
      </c>
      <c r="GXU64" s="366" t="e">
        <f>10/GXQ62</f>
        <v>#DIV/0!</v>
      </c>
      <c r="GXV64" s="367">
        <v>15.38</v>
      </c>
      <c r="GXW64" s="367" t="e">
        <f>GXT64*GXU64*GXV64</f>
        <v>#DIV/0!</v>
      </c>
      <c r="GXX64" s="363" t="s">
        <v>153</v>
      </c>
      <c r="GXY64" s="363"/>
      <c r="GXZ64" s="363"/>
      <c r="GYA64" s="364" t="s">
        <v>140</v>
      </c>
      <c r="GYB64" s="365">
        <v>0.5</v>
      </c>
      <c r="GYC64" s="366" t="e">
        <f>10/GXY62</f>
        <v>#DIV/0!</v>
      </c>
      <c r="GYD64" s="367">
        <v>15.38</v>
      </c>
      <c r="GYE64" s="367" t="e">
        <f>GYB64*GYC64*GYD64</f>
        <v>#DIV/0!</v>
      </c>
      <c r="GYF64" s="363" t="s">
        <v>153</v>
      </c>
      <c r="GYG64" s="363"/>
      <c r="GYH64" s="363"/>
      <c r="GYI64" s="364" t="s">
        <v>140</v>
      </c>
      <c r="GYJ64" s="365">
        <v>0.5</v>
      </c>
      <c r="GYK64" s="366" t="e">
        <f>10/GYG62</f>
        <v>#DIV/0!</v>
      </c>
      <c r="GYL64" s="367">
        <v>15.38</v>
      </c>
      <c r="GYM64" s="367" t="e">
        <f>GYJ64*GYK64*GYL64</f>
        <v>#DIV/0!</v>
      </c>
      <c r="GYN64" s="363" t="s">
        <v>153</v>
      </c>
      <c r="GYO64" s="363"/>
      <c r="GYP64" s="363"/>
      <c r="GYQ64" s="364" t="s">
        <v>140</v>
      </c>
      <c r="GYR64" s="365">
        <v>0.5</v>
      </c>
      <c r="GYS64" s="366" t="e">
        <f>10/GYO62</f>
        <v>#DIV/0!</v>
      </c>
      <c r="GYT64" s="367">
        <v>15.38</v>
      </c>
      <c r="GYU64" s="367" t="e">
        <f>GYR64*GYS64*GYT64</f>
        <v>#DIV/0!</v>
      </c>
      <c r="GYV64" s="363" t="s">
        <v>153</v>
      </c>
      <c r="GYW64" s="363"/>
      <c r="GYX64" s="363"/>
      <c r="GYY64" s="364" t="s">
        <v>140</v>
      </c>
      <c r="GYZ64" s="365">
        <v>0.5</v>
      </c>
      <c r="GZA64" s="366" t="e">
        <f>10/GYW62</f>
        <v>#DIV/0!</v>
      </c>
      <c r="GZB64" s="367">
        <v>15.38</v>
      </c>
      <c r="GZC64" s="367" t="e">
        <f>GYZ64*GZA64*GZB64</f>
        <v>#DIV/0!</v>
      </c>
      <c r="GZD64" s="363" t="s">
        <v>153</v>
      </c>
      <c r="GZE64" s="363"/>
      <c r="GZF64" s="363"/>
      <c r="GZG64" s="364" t="s">
        <v>140</v>
      </c>
      <c r="GZH64" s="365">
        <v>0.5</v>
      </c>
      <c r="GZI64" s="366" t="e">
        <f>10/GZE62</f>
        <v>#DIV/0!</v>
      </c>
      <c r="GZJ64" s="367">
        <v>15.38</v>
      </c>
      <c r="GZK64" s="367" t="e">
        <f>GZH64*GZI64*GZJ64</f>
        <v>#DIV/0!</v>
      </c>
      <c r="GZL64" s="363" t="s">
        <v>153</v>
      </c>
      <c r="GZM64" s="363"/>
      <c r="GZN64" s="363"/>
      <c r="GZO64" s="364" t="s">
        <v>140</v>
      </c>
      <c r="GZP64" s="365">
        <v>0.5</v>
      </c>
      <c r="GZQ64" s="366" t="e">
        <f>10/GZM62</f>
        <v>#DIV/0!</v>
      </c>
      <c r="GZR64" s="367">
        <v>15.38</v>
      </c>
      <c r="GZS64" s="367" t="e">
        <f>GZP64*GZQ64*GZR64</f>
        <v>#DIV/0!</v>
      </c>
      <c r="GZT64" s="363" t="s">
        <v>153</v>
      </c>
      <c r="GZU64" s="363"/>
      <c r="GZV64" s="363"/>
      <c r="GZW64" s="364" t="s">
        <v>140</v>
      </c>
      <c r="GZX64" s="365">
        <v>0.5</v>
      </c>
      <c r="GZY64" s="366" t="e">
        <f>10/GZU62</f>
        <v>#DIV/0!</v>
      </c>
      <c r="GZZ64" s="367">
        <v>15.38</v>
      </c>
      <c r="HAA64" s="367" t="e">
        <f>GZX64*GZY64*GZZ64</f>
        <v>#DIV/0!</v>
      </c>
      <c r="HAB64" s="363" t="s">
        <v>153</v>
      </c>
      <c r="HAC64" s="363"/>
      <c r="HAD64" s="363"/>
      <c r="HAE64" s="364" t="s">
        <v>140</v>
      </c>
      <c r="HAF64" s="365">
        <v>0.5</v>
      </c>
      <c r="HAG64" s="366" t="e">
        <f>10/HAC62</f>
        <v>#DIV/0!</v>
      </c>
      <c r="HAH64" s="367">
        <v>15.38</v>
      </c>
      <c r="HAI64" s="367" t="e">
        <f>HAF64*HAG64*HAH64</f>
        <v>#DIV/0!</v>
      </c>
      <c r="HAJ64" s="363" t="s">
        <v>153</v>
      </c>
      <c r="HAK64" s="363"/>
      <c r="HAL64" s="363"/>
      <c r="HAM64" s="364" t="s">
        <v>140</v>
      </c>
      <c r="HAN64" s="365">
        <v>0.5</v>
      </c>
      <c r="HAO64" s="366" t="e">
        <f>10/HAK62</f>
        <v>#DIV/0!</v>
      </c>
      <c r="HAP64" s="367">
        <v>15.38</v>
      </c>
      <c r="HAQ64" s="367" t="e">
        <f>HAN64*HAO64*HAP64</f>
        <v>#DIV/0!</v>
      </c>
      <c r="HAR64" s="363" t="s">
        <v>153</v>
      </c>
      <c r="HAS64" s="363"/>
      <c r="HAT64" s="363"/>
      <c r="HAU64" s="364" t="s">
        <v>140</v>
      </c>
      <c r="HAV64" s="365">
        <v>0.5</v>
      </c>
      <c r="HAW64" s="366" t="e">
        <f>10/HAS62</f>
        <v>#DIV/0!</v>
      </c>
      <c r="HAX64" s="367">
        <v>15.38</v>
      </c>
      <c r="HAY64" s="367" t="e">
        <f>HAV64*HAW64*HAX64</f>
        <v>#DIV/0!</v>
      </c>
      <c r="HAZ64" s="363" t="s">
        <v>153</v>
      </c>
      <c r="HBA64" s="363"/>
      <c r="HBB64" s="363"/>
      <c r="HBC64" s="364" t="s">
        <v>140</v>
      </c>
      <c r="HBD64" s="365">
        <v>0.5</v>
      </c>
      <c r="HBE64" s="366" t="e">
        <f>10/HBA62</f>
        <v>#DIV/0!</v>
      </c>
      <c r="HBF64" s="367">
        <v>15.38</v>
      </c>
      <c r="HBG64" s="367" t="e">
        <f>HBD64*HBE64*HBF64</f>
        <v>#DIV/0!</v>
      </c>
      <c r="HBH64" s="363" t="s">
        <v>153</v>
      </c>
      <c r="HBI64" s="363"/>
      <c r="HBJ64" s="363"/>
      <c r="HBK64" s="364" t="s">
        <v>140</v>
      </c>
      <c r="HBL64" s="365">
        <v>0.5</v>
      </c>
      <c r="HBM64" s="366" t="e">
        <f>10/HBI62</f>
        <v>#DIV/0!</v>
      </c>
      <c r="HBN64" s="367">
        <v>15.38</v>
      </c>
      <c r="HBO64" s="367" t="e">
        <f>HBL64*HBM64*HBN64</f>
        <v>#DIV/0!</v>
      </c>
      <c r="HBP64" s="363" t="s">
        <v>153</v>
      </c>
      <c r="HBQ64" s="363"/>
      <c r="HBR64" s="363"/>
      <c r="HBS64" s="364" t="s">
        <v>140</v>
      </c>
      <c r="HBT64" s="365">
        <v>0.5</v>
      </c>
      <c r="HBU64" s="366" t="e">
        <f>10/HBQ62</f>
        <v>#DIV/0!</v>
      </c>
      <c r="HBV64" s="367">
        <v>15.38</v>
      </c>
      <c r="HBW64" s="367" t="e">
        <f>HBT64*HBU64*HBV64</f>
        <v>#DIV/0!</v>
      </c>
      <c r="HBX64" s="363" t="s">
        <v>153</v>
      </c>
      <c r="HBY64" s="363"/>
      <c r="HBZ64" s="363"/>
      <c r="HCA64" s="364" t="s">
        <v>140</v>
      </c>
      <c r="HCB64" s="365">
        <v>0.5</v>
      </c>
      <c r="HCC64" s="366" t="e">
        <f>10/HBY62</f>
        <v>#DIV/0!</v>
      </c>
      <c r="HCD64" s="367">
        <v>15.38</v>
      </c>
      <c r="HCE64" s="367" t="e">
        <f>HCB64*HCC64*HCD64</f>
        <v>#DIV/0!</v>
      </c>
      <c r="HCF64" s="363" t="s">
        <v>153</v>
      </c>
      <c r="HCG64" s="363"/>
      <c r="HCH64" s="363"/>
      <c r="HCI64" s="364" t="s">
        <v>140</v>
      </c>
      <c r="HCJ64" s="365">
        <v>0.5</v>
      </c>
      <c r="HCK64" s="366" t="e">
        <f>10/HCG62</f>
        <v>#DIV/0!</v>
      </c>
      <c r="HCL64" s="367">
        <v>15.38</v>
      </c>
      <c r="HCM64" s="367" t="e">
        <f>HCJ64*HCK64*HCL64</f>
        <v>#DIV/0!</v>
      </c>
      <c r="HCN64" s="363" t="s">
        <v>153</v>
      </c>
      <c r="HCO64" s="363"/>
      <c r="HCP64" s="363"/>
      <c r="HCQ64" s="364" t="s">
        <v>140</v>
      </c>
      <c r="HCR64" s="365">
        <v>0.5</v>
      </c>
      <c r="HCS64" s="366" t="e">
        <f>10/HCO62</f>
        <v>#DIV/0!</v>
      </c>
      <c r="HCT64" s="367">
        <v>15.38</v>
      </c>
      <c r="HCU64" s="367" t="e">
        <f>HCR64*HCS64*HCT64</f>
        <v>#DIV/0!</v>
      </c>
      <c r="HCV64" s="363" t="s">
        <v>153</v>
      </c>
      <c r="HCW64" s="363"/>
      <c r="HCX64" s="363"/>
      <c r="HCY64" s="364" t="s">
        <v>140</v>
      </c>
      <c r="HCZ64" s="365">
        <v>0.5</v>
      </c>
      <c r="HDA64" s="366" t="e">
        <f>10/HCW62</f>
        <v>#DIV/0!</v>
      </c>
      <c r="HDB64" s="367">
        <v>15.38</v>
      </c>
      <c r="HDC64" s="367" t="e">
        <f>HCZ64*HDA64*HDB64</f>
        <v>#DIV/0!</v>
      </c>
      <c r="HDD64" s="363" t="s">
        <v>153</v>
      </c>
      <c r="HDE64" s="363"/>
      <c r="HDF64" s="363"/>
      <c r="HDG64" s="364" t="s">
        <v>140</v>
      </c>
      <c r="HDH64" s="365">
        <v>0.5</v>
      </c>
      <c r="HDI64" s="366" t="e">
        <f>10/HDE62</f>
        <v>#DIV/0!</v>
      </c>
      <c r="HDJ64" s="367">
        <v>15.38</v>
      </c>
      <c r="HDK64" s="367" t="e">
        <f>HDH64*HDI64*HDJ64</f>
        <v>#DIV/0!</v>
      </c>
      <c r="HDL64" s="363" t="s">
        <v>153</v>
      </c>
      <c r="HDM64" s="363"/>
      <c r="HDN64" s="363"/>
      <c r="HDO64" s="364" t="s">
        <v>140</v>
      </c>
      <c r="HDP64" s="365">
        <v>0.5</v>
      </c>
      <c r="HDQ64" s="366" t="e">
        <f>10/HDM62</f>
        <v>#DIV/0!</v>
      </c>
      <c r="HDR64" s="367">
        <v>15.38</v>
      </c>
      <c r="HDS64" s="367" t="e">
        <f>HDP64*HDQ64*HDR64</f>
        <v>#DIV/0!</v>
      </c>
      <c r="HDT64" s="363" t="s">
        <v>153</v>
      </c>
      <c r="HDU64" s="363"/>
      <c r="HDV64" s="363"/>
      <c r="HDW64" s="364" t="s">
        <v>140</v>
      </c>
      <c r="HDX64" s="365">
        <v>0.5</v>
      </c>
      <c r="HDY64" s="366" t="e">
        <f>10/HDU62</f>
        <v>#DIV/0!</v>
      </c>
      <c r="HDZ64" s="367">
        <v>15.38</v>
      </c>
      <c r="HEA64" s="367" t="e">
        <f>HDX64*HDY64*HDZ64</f>
        <v>#DIV/0!</v>
      </c>
      <c r="HEB64" s="363" t="s">
        <v>153</v>
      </c>
      <c r="HEC64" s="363"/>
      <c r="HED64" s="363"/>
      <c r="HEE64" s="364" t="s">
        <v>140</v>
      </c>
      <c r="HEF64" s="365">
        <v>0.5</v>
      </c>
      <c r="HEG64" s="366" t="e">
        <f>10/HEC62</f>
        <v>#DIV/0!</v>
      </c>
      <c r="HEH64" s="367">
        <v>15.38</v>
      </c>
      <c r="HEI64" s="367" t="e">
        <f>HEF64*HEG64*HEH64</f>
        <v>#DIV/0!</v>
      </c>
      <c r="HEJ64" s="363" t="s">
        <v>153</v>
      </c>
      <c r="HEK64" s="363"/>
      <c r="HEL64" s="363"/>
      <c r="HEM64" s="364" t="s">
        <v>140</v>
      </c>
      <c r="HEN64" s="365">
        <v>0.5</v>
      </c>
      <c r="HEO64" s="366" t="e">
        <f>10/HEK62</f>
        <v>#DIV/0!</v>
      </c>
      <c r="HEP64" s="367">
        <v>15.38</v>
      </c>
      <c r="HEQ64" s="367" t="e">
        <f>HEN64*HEO64*HEP64</f>
        <v>#DIV/0!</v>
      </c>
      <c r="HER64" s="363" t="s">
        <v>153</v>
      </c>
      <c r="HES64" s="363"/>
      <c r="HET64" s="363"/>
      <c r="HEU64" s="364" t="s">
        <v>140</v>
      </c>
      <c r="HEV64" s="365">
        <v>0.5</v>
      </c>
      <c r="HEW64" s="366" t="e">
        <f>10/HES62</f>
        <v>#DIV/0!</v>
      </c>
      <c r="HEX64" s="367">
        <v>15.38</v>
      </c>
      <c r="HEY64" s="367" t="e">
        <f>HEV64*HEW64*HEX64</f>
        <v>#DIV/0!</v>
      </c>
      <c r="HEZ64" s="363" t="s">
        <v>153</v>
      </c>
      <c r="HFA64" s="363"/>
      <c r="HFB64" s="363"/>
      <c r="HFC64" s="364" t="s">
        <v>140</v>
      </c>
      <c r="HFD64" s="365">
        <v>0.5</v>
      </c>
      <c r="HFE64" s="366" t="e">
        <f>10/HFA62</f>
        <v>#DIV/0!</v>
      </c>
      <c r="HFF64" s="367">
        <v>15.38</v>
      </c>
      <c r="HFG64" s="367" t="e">
        <f>HFD64*HFE64*HFF64</f>
        <v>#DIV/0!</v>
      </c>
      <c r="HFH64" s="363" t="s">
        <v>153</v>
      </c>
      <c r="HFI64" s="363"/>
      <c r="HFJ64" s="363"/>
      <c r="HFK64" s="364" t="s">
        <v>140</v>
      </c>
      <c r="HFL64" s="365">
        <v>0.5</v>
      </c>
      <c r="HFM64" s="366" t="e">
        <f>10/HFI62</f>
        <v>#DIV/0!</v>
      </c>
      <c r="HFN64" s="367">
        <v>15.38</v>
      </c>
      <c r="HFO64" s="367" t="e">
        <f>HFL64*HFM64*HFN64</f>
        <v>#DIV/0!</v>
      </c>
      <c r="HFP64" s="363" t="s">
        <v>153</v>
      </c>
      <c r="HFQ64" s="363"/>
      <c r="HFR64" s="363"/>
      <c r="HFS64" s="364" t="s">
        <v>140</v>
      </c>
      <c r="HFT64" s="365">
        <v>0.5</v>
      </c>
      <c r="HFU64" s="366" t="e">
        <f>10/HFQ62</f>
        <v>#DIV/0!</v>
      </c>
      <c r="HFV64" s="367">
        <v>15.38</v>
      </c>
      <c r="HFW64" s="367" t="e">
        <f>HFT64*HFU64*HFV64</f>
        <v>#DIV/0!</v>
      </c>
      <c r="HFX64" s="363" t="s">
        <v>153</v>
      </c>
      <c r="HFY64" s="363"/>
      <c r="HFZ64" s="363"/>
      <c r="HGA64" s="364" t="s">
        <v>140</v>
      </c>
      <c r="HGB64" s="365">
        <v>0.5</v>
      </c>
      <c r="HGC64" s="366" t="e">
        <f>10/HFY62</f>
        <v>#DIV/0!</v>
      </c>
      <c r="HGD64" s="367">
        <v>15.38</v>
      </c>
      <c r="HGE64" s="367" t="e">
        <f>HGB64*HGC64*HGD64</f>
        <v>#DIV/0!</v>
      </c>
      <c r="HGF64" s="363" t="s">
        <v>153</v>
      </c>
      <c r="HGG64" s="363"/>
      <c r="HGH64" s="363"/>
      <c r="HGI64" s="364" t="s">
        <v>140</v>
      </c>
      <c r="HGJ64" s="365">
        <v>0.5</v>
      </c>
      <c r="HGK64" s="366" t="e">
        <f>10/HGG62</f>
        <v>#DIV/0!</v>
      </c>
      <c r="HGL64" s="367">
        <v>15.38</v>
      </c>
      <c r="HGM64" s="367" t="e">
        <f>HGJ64*HGK64*HGL64</f>
        <v>#DIV/0!</v>
      </c>
      <c r="HGN64" s="363" t="s">
        <v>153</v>
      </c>
      <c r="HGO64" s="363"/>
      <c r="HGP64" s="363"/>
      <c r="HGQ64" s="364" t="s">
        <v>140</v>
      </c>
      <c r="HGR64" s="365">
        <v>0.5</v>
      </c>
      <c r="HGS64" s="366" t="e">
        <f>10/HGO62</f>
        <v>#DIV/0!</v>
      </c>
      <c r="HGT64" s="367">
        <v>15.38</v>
      </c>
      <c r="HGU64" s="367" t="e">
        <f>HGR64*HGS64*HGT64</f>
        <v>#DIV/0!</v>
      </c>
      <c r="HGV64" s="363" t="s">
        <v>153</v>
      </c>
      <c r="HGW64" s="363"/>
      <c r="HGX64" s="363"/>
      <c r="HGY64" s="364" t="s">
        <v>140</v>
      </c>
      <c r="HGZ64" s="365">
        <v>0.5</v>
      </c>
      <c r="HHA64" s="366" t="e">
        <f>10/HGW62</f>
        <v>#DIV/0!</v>
      </c>
      <c r="HHB64" s="367">
        <v>15.38</v>
      </c>
      <c r="HHC64" s="367" t="e">
        <f>HGZ64*HHA64*HHB64</f>
        <v>#DIV/0!</v>
      </c>
      <c r="HHD64" s="363" t="s">
        <v>153</v>
      </c>
      <c r="HHE64" s="363"/>
      <c r="HHF64" s="363"/>
      <c r="HHG64" s="364" t="s">
        <v>140</v>
      </c>
      <c r="HHH64" s="365">
        <v>0.5</v>
      </c>
      <c r="HHI64" s="366" t="e">
        <f>10/HHE62</f>
        <v>#DIV/0!</v>
      </c>
      <c r="HHJ64" s="367">
        <v>15.38</v>
      </c>
      <c r="HHK64" s="367" t="e">
        <f>HHH64*HHI64*HHJ64</f>
        <v>#DIV/0!</v>
      </c>
      <c r="HHL64" s="363" t="s">
        <v>153</v>
      </c>
      <c r="HHM64" s="363"/>
      <c r="HHN64" s="363"/>
      <c r="HHO64" s="364" t="s">
        <v>140</v>
      </c>
      <c r="HHP64" s="365">
        <v>0.5</v>
      </c>
      <c r="HHQ64" s="366" t="e">
        <f>10/HHM62</f>
        <v>#DIV/0!</v>
      </c>
      <c r="HHR64" s="367">
        <v>15.38</v>
      </c>
      <c r="HHS64" s="367" t="e">
        <f>HHP64*HHQ64*HHR64</f>
        <v>#DIV/0!</v>
      </c>
      <c r="HHT64" s="363" t="s">
        <v>153</v>
      </c>
      <c r="HHU64" s="363"/>
      <c r="HHV64" s="363"/>
      <c r="HHW64" s="364" t="s">
        <v>140</v>
      </c>
      <c r="HHX64" s="365">
        <v>0.5</v>
      </c>
      <c r="HHY64" s="366" t="e">
        <f>10/HHU62</f>
        <v>#DIV/0!</v>
      </c>
      <c r="HHZ64" s="367">
        <v>15.38</v>
      </c>
      <c r="HIA64" s="367" t="e">
        <f>HHX64*HHY64*HHZ64</f>
        <v>#DIV/0!</v>
      </c>
      <c r="HIB64" s="363" t="s">
        <v>153</v>
      </c>
      <c r="HIC64" s="363"/>
      <c r="HID64" s="363"/>
      <c r="HIE64" s="364" t="s">
        <v>140</v>
      </c>
      <c r="HIF64" s="365">
        <v>0.5</v>
      </c>
      <c r="HIG64" s="366" t="e">
        <f>10/HIC62</f>
        <v>#DIV/0!</v>
      </c>
      <c r="HIH64" s="367">
        <v>15.38</v>
      </c>
      <c r="HII64" s="367" t="e">
        <f>HIF64*HIG64*HIH64</f>
        <v>#DIV/0!</v>
      </c>
      <c r="HIJ64" s="363" t="s">
        <v>153</v>
      </c>
      <c r="HIK64" s="363"/>
      <c r="HIL64" s="363"/>
      <c r="HIM64" s="364" t="s">
        <v>140</v>
      </c>
      <c r="HIN64" s="365">
        <v>0.5</v>
      </c>
      <c r="HIO64" s="366" t="e">
        <f>10/HIK62</f>
        <v>#DIV/0!</v>
      </c>
      <c r="HIP64" s="367">
        <v>15.38</v>
      </c>
      <c r="HIQ64" s="367" t="e">
        <f>HIN64*HIO64*HIP64</f>
        <v>#DIV/0!</v>
      </c>
      <c r="HIR64" s="363" t="s">
        <v>153</v>
      </c>
      <c r="HIS64" s="363"/>
      <c r="HIT64" s="363"/>
      <c r="HIU64" s="364" t="s">
        <v>140</v>
      </c>
      <c r="HIV64" s="365">
        <v>0.5</v>
      </c>
      <c r="HIW64" s="366" t="e">
        <f>10/HIS62</f>
        <v>#DIV/0!</v>
      </c>
      <c r="HIX64" s="367">
        <v>15.38</v>
      </c>
      <c r="HIY64" s="367" t="e">
        <f>HIV64*HIW64*HIX64</f>
        <v>#DIV/0!</v>
      </c>
      <c r="HIZ64" s="363" t="s">
        <v>153</v>
      </c>
      <c r="HJA64" s="363"/>
      <c r="HJB64" s="363"/>
      <c r="HJC64" s="364" t="s">
        <v>140</v>
      </c>
      <c r="HJD64" s="365">
        <v>0.5</v>
      </c>
      <c r="HJE64" s="366" t="e">
        <f>10/HJA62</f>
        <v>#DIV/0!</v>
      </c>
      <c r="HJF64" s="367">
        <v>15.38</v>
      </c>
      <c r="HJG64" s="367" t="e">
        <f>HJD64*HJE64*HJF64</f>
        <v>#DIV/0!</v>
      </c>
      <c r="HJH64" s="363" t="s">
        <v>153</v>
      </c>
      <c r="HJI64" s="363"/>
      <c r="HJJ64" s="363"/>
      <c r="HJK64" s="364" t="s">
        <v>140</v>
      </c>
      <c r="HJL64" s="365">
        <v>0.5</v>
      </c>
      <c r="HJM64" s="366" t="e">
        <f>10/HJI62</f>
        <v>#DIV/0!</v>
      </c>
      <c r="HJN64" s="367">
        <v>15.38</v>
      </c>
      <c r="HJO64" s="367" t="e">
        <f>HJL64*HJM64*HJN64</f>
        <v>#DIV/0!</v>
      </c>
      <c r="HJP64" s="363" t="s">
        <v>153</v>
      </c>
      <c r="HJQ64" s="363"/>
      <c r="HJR64" s="363"/>
      <c r="HJS64" s="364" t="s">
        <v>140</v>
      </c>
      <c r="HJT64" s="365">
        <v>0.5</v>
      </c>
      <c r="HJU64" s="366" t="e">
        <f>10/HJQ62</f>
        <v>#DIV/0!</v>
      </c>
      <c r="HJV64" s="367">
        <v>15.38</v>
      </c>
      <c r="HJW64" s="367" t="e">
        <f>HJT64*HJU64*HJV64</f>
        <v>#DIV/0!</v>
      </c>
      <c r="HJX64" s="363" t="s">
        <v>153</v>
      </c>
      <c r="HJY64" s="363"/>
      <c r="HJZ64" s="363"/>
      <c r="HKA64" s="364" t="s">
        <v>140</v>
      </c>
      <c r="HKB64" s="365">
        <v>0.5</v>
      </c>
      <c r="HKC64" s="366" t="e">
        <f>10/HJY62</f>
        <v>#DIV/0!</v>
      </c>
      <c r="HKD64" s="367">
        <v>15.38</v>
      </c>
      <c r="HKE64" s="367" t="e">
        <f>HKB64*HKC64*HKD64</f>
        <v>#DIV/0!</v>
      </c>
      <c r="HKF64" s="363" t="s">
        <v>153</v>
      </c>
      <c r="HKG64" s="363"/>
      <c r="HKH64" s="363"/>
      <c r="HKI64" s="364" t="s">
        <v>140</v>
      </c>
      <c r="HKJ64" s="365">
        <v>0.5</v>
      </c>
      <c r="HKK64" s="366" t="e">
        <f>10/HKG62</f>
        <v>#DIV/0!</v>
      </c>
      <c r="HKL64" s="367">
        <v>15.38</v>
      </c>
      <c r="HKM64" s="367" t="e">
        <f>HKJ64*HKK64*HKL64</f>
        <v>#DIV/0!</v>
      </c>
      <c r="HKN64" s="363" t="s">
        <v>153</v>
      </c>
      <c r="HKO64" s="363"/>
      <c r="HKP64" s="363"/>
      <c r="HKQ64" s="364" t="s">
        <v>140</v>
      </c>
      <c r="HKR64" s="365">
        <v>0.5</v>
      </c>
      <c r="HKS64" s="366" t="e">
        <f>10/HKO62</f>
        <v>#DIV/0!</v>
      </c>
      <c r="HKT64" s="367">
        <v>15.38</v>
      </c>
      <c r="HKU64" s="367" t="e">
        <f>HKR64*HKS64*HKT64</f>
        <v>#DIV/0!</v>
      </c>
      <c r="HKV64" s="363" t="s">
        <v>153</v>
      </c>
      <c r="HKW64" s="363"/>
      <c r="HKX64" s="363"/>
      <c r="HKY64" s="364" t="s">
        <v>140</v>
      </c>
      <c r="HKZ64" s="365">
        <v>0.5</v>
      </c>
      <c r="HLA64" s="366" t="e">
        <f>10/HKW62</f>
        <v>#DIV/0!</v>
      </c>
      <c r="HLB64" s="367">
        <v>15.38</v>
      </c>
      <c r="HLC64" s="367" t="e">
        <f>HKZ64*HLA64*HLB64</f>
        <v>#DIV/0!</v>
      </c>
      <c r="HLD64" s="363" t="s">
        <v>153</v>
      </c>
      <c r="HLE64" s="363"/>
      <c r="HLF64" s="363"/>
      <c r="HLG64" s="364" t="s">
        <v>140</v>
      </c>
      <c r="HLH64" s="365">
        <v>0.5</v>
      </c>
      <c r="HLI64" s="366" t="e">
        <f>10/HLE62</f>
        <v>#DIV/0!</v>
      </c>
      <c r="HLJ64" s="367">
        <v>15.38</v>
      </c>
      <c r="HLK64" s="367" t="e">
        <f>HLH64*HLI64*HLJ64</f>
        <v>#DIV/0!</v>
      </c>
      <c r="HLL64" s="363" t="s">
        <v>153</v>
      </c>
      <c r="HLM64" s="363"/>
      <c r="HLN64" s="363"/>
      <c r="HLO64" s="364" t="s">
        <v>140</v>
      </c>
      <c r="HLP64" s="365">
        <v>0.5</v>
      </c>
      <c r="HLQ64" s="366" t="e">
        <f>10/HLM62</f>
        <v>#DIV/0!</v>
      </c>
      <c r="HLR64" s="367">
        <v>15.38</v>
      </c>
      <c r="HLS64" s="367" t="e">
        <f>HLP64*HLQ64*HLR64</f>
        <v>#DIV/0!</v>
      </c>
      <c r="HLT64" s="363" t="s">
        <v>153</v>
      </c>
      <c r="HLU64" s="363"/>
      <c r="HLV64" s="363"/>
      <c r="HLW64" s="364" t="s">
        <v>140</v>
      </c>
      <c r="HLX64" s="365">
        <v>0.5</v>
      </c>
      <c r="HLY64" s="366" t="e">
        <f>10/HLU62</f>
        <v>#DIV/0!</v>
      </c>
      <c r="HLZ64" s="367">
        <v>15.38</v>
      </c>
      <c r="HMA64" s="367" t="e">
        <f>HLX64*HLY64*HLZ64</f>
        <v>#DIV/0!</v>
      </c>
      <c r="HMB64" s="363" t="s">
        <v>153</v>
      </c>
      <c r="HMC64" s="363"/>
      <c r="HMD64" s="363"/>
      <c r="HME64" s="364" t="s">
        <v>140</v>
      </c>
      <c r="HMF64" s="365">
        <v>0.5</v>
      </c>
      <c r="HMG64" s="366" t="e">
        <f>10/HMC62</f>
        <v>#DIV/0!</v>
      </c>
      <c r="HMH64" s="367">
        <v>15.38</v>
      </c>
      <c r="HMI64" s="367" t="e">
        <f>HMF64*HMG64*HMH64</f>
        <v>#DIV/0!</v>
      </c>
      <c r="HMJ64" s="363" t="s">
        <v>153</v>
      </c>
      <c r="HMK64" s="363"/>
      <c r="HML64" s="363"/>
      <c r="HMM64" s="364" t="s">
        <v>140</v>
      </c>
      <c r="HMN64" s="365">
        <v>0.5</v>
      </c>
      <c r="HMO64" s="366" t="e">
        <f>10/HMK62</f>
        <v>#DIV/0!</v>
      </c>
      <c r="HMP64" s="367">
        <v>15.38</v>
      </c>
      <c r="HMQ64" s="367" t="e">
        <f>HMN64*HMO64*HMP64</f>
        <v>#DIV/0!</v>
      </c>
      <c r="HMR64" s="363" t="s">
        <v>153</v>
      </c>
      <c r="HMS64" s="363"/>
      <c r="HMT64" s="363"/>
      <c r="HMU64" s="364" t="s">
        <v>140</v>
      </c>
      <c r="HMV64" s="365">
        <v>0.5</v>
      </c>
      <c r="HMW64" s="366" t="e">
        <f>10/HMS62</f>
        <v>#DIV/0!</v>
      </c>
      <c r="HMX64" s="367">
        <v>15.38</v>
      </c>
      <c r="HMY64" s="367" t="e">
        <f>HMV64*HMW64*HMX64</f>
        <v>#DIV/0!</v>
      </c>
      <c r="HMZ64" s="363" t="s">
        <v>153</v>
      </c>
      <c r="HNA64" s="363"/>
      <c r="HNB64" s="363"/>
      <c r="HNC64" s="364" t="s">
        <v>140</v>
      </c>
      <c r="HND64" s="365">
        <v>0.5</v>
      </c>
      <c r="HNE64" s="366" t="e">
        <f>10/HNA62</f>
        <v>#DIV/0!</v>
      </c>
      <c r="HNF64" s="367">
        <v>15.38</v>
      </c>
      <c r="HNG64" s="367" t="e">
        <f>HND64*HNE64*HNF64</f>
        <v>#DIV/0!</v>
      </c>
      <c r="HNH64" s="363" t="s">
        <v>153</v>
      </c>
      <c r="HNI64" s="363"/>
      <c r="HNJ64" s="363"/>
      <c r="HNK64" s="364" t="s">
        <v>140</v>
      </c>
      <c r="HNL64" s="365">
        <v>0.5</v>
      </c>
      <c r="HNM64" s="366" t="e">
        <f>10/HNI62</f>
        <v>#DIV/0!</v>
      </c>
      <c r="HNN64" s="367">
        <v>15.38</v>
      </c>
      <c r="HNO64" s="367" t="e">
        <f>HNL64*HNM64*HNN64</f>
        <v>#DIV/0!</v>
      </c>
      <c r="HNP64" s="363" t="s">
        <v>153</v>
      </c>
      <c r="HNQ64" s="363"/>
      <c r="HNR64" s="363"/>
      <c r="HNS64" s="364" t="s">
        <v>140</v>
      </c>
      <c r="HNT64" s="365">
        <v>0.5</v>
      </c>
      <c r="HNU64" s="366" t="e">
        <f>10/HNQ62</f>
        <v>#DIV/0!</v>
      </c>
      <c r="HNV64" s="367">
        <v>15.38</v>
      </c>
      <c r="HNW64" s="367" t="e">
        <f>HNT64*HNU64*HNV64</f>
        <v>#DIV/0!</v>
      </c>
      <c r="HNX64" s="363" t="s">
        <v>153</v>
      </c>
      <c r="HNY64" s="363"/>
      <c r="HNZ64" s="363"/>
      <c r="HOA64" s="364" t="s">
        <v>140</v>
      </c>
      <c r="HOB64" s="365">
        <v>0.5</v>
      </c>
      <c r="HOC64" s="366" t="e">
        <f>10/HNY62</f>
        <v>#DIV/0!</v>
      </c>
      <c r="HOD64" s="367">
        <v>15.38</v>
      </c>
      <c r="HOE64" s="367" t="e">
        <f>HOB64*HOC64*HOD64</f>
        <v>#DIV/0!</v>
      </c>
      <c r="HOF64" s="363" t="s">
        <v>153</v>
      </c>
      <c r="HOG64" s="363"/>
      <c r="HOH64" s="363"/>
      <c r="HOI64" s="364" t="s">
        <v>140</v>
      </c>
      <c r="HOJ64" s="365">
        <v>0.5</v>
      </c>
      <c r="HOK64" s="366" t="e">
        <f>10/HOG62</f>
        <v>#DIV/0!</v>
      </c>
      <c r="HOL64" s="367">
        <v>15.38</v>
      </c>
      <c r="HOM64" s="367" t="e">
        <f>HOJ64*HOK64*HOL64</f>
        <v>#DIV/0!</v>
      </c>
      <c r="HON64" s="363" t="s">
        <v>153</v>
      </c>
      <c r="HOO64" s="363"/>
      <c r="HOP64" s="363"/>
      <c r="HOQ64" s="364" t="s">
        <v>140</v>
      </c>
      <c r="HOR64" s="365">
        <v>0.5</v>
      </c>
      <c r="HOS64" s="366" t="e">
        <f>10/HOO62</f>
        <v>#DIV/0!</v>
      </c>
      <c r="HOT64" s="367">
        <v>15.38</v>
      </c>
      <c r="HOU64" s="367" t="e">
        <f>HOR64*HOS64*HOT64</f>
        <v>#DIV/0!</v>
      </c>
      <c r="HOV64" s="363" t="s">
        <v>153</v>
      </c>
      <c r="HOW64" s="363"/>
      <c r="HOX64" s="363"/>
      <c r="HOY64" s="364" t="s">
        <v>140</v>
      </c>
      <c r="HOZ64" s="365">
        <v>0.5</v>
      </c>
      <c r="HPA64" s="366" t="e">
        <f>10/HOW62</f>
        <v>#DIV/0!</v>
      </c>
      <c r="HPB64" s="367">
        <v>15.38</v>
      </c>
      <c r="HPC64" s="367" t="e">
        <f>HOZ64*HPA64*HPB64</f>
        <v>#DIV/0!</v>
      </c>
      <c r="HPD64" s="363" t="s">
        <v>153</v>
      </c>
      <c r="HPE64" s="363"/>
      <c r="HPF64" s="363"/>
      <c r="HPG64" s="364" t="s">
        <v>140</v>
      </c>
      <c r="HPH64" s="365">
        <v>0.5</v>
      </c>
      <c r="HPI64" s="366" t="e">
        <f>10/HPE62</f>
        <v>#DIV/0!</v>
      </c>
      <c r="HPJ64" s="367">
        <v>15.38</v>
      </c>
      <c r="HPK64" s="367" t="e">
        <f>HPH64*HPI64*HPJ64</f>
        <v>#DIV/0!</v>
      </c>
      <c r="HPL64" s="363" t="s">
        <v>153</v>
      </c>
      <c r="HPM64" s="363"/>
      <c r="HPN64" s="363"/>
      <c r="HPO64" s="364" t="s">
        <v>140</v>
      </c>
      <c r="HPP64" s="365">
        <v>0.5</v>
      </c>
      <c r="HPQ64" s="366" t="e">
        <f>10/HPM62</f>
        <v>#DIV/0!</v>
      </c>
      <c r="HPR64" s="367">
        <v>15.38</v>
      </c>
      <c r="HPS64" s="367" t="e">
        <f>HPP64*HPQ64*HPR64</f>
        <v>#DIV/0!</v>
      </c>
      <c r="HPT64" s="363" t="s">
        <v>153</v>
      </c>
      <c r="HPU64" s="363"/>
      <c r="HPV64" s="363"/>
      <c r="HPW64" s="364" t="s">
        <v>140</v>
      </c>
      <c r="HPX64" s="365">
        <v>0.5</v>
      </c>
      <c r="HPY64" s="366" t="e">
        <f>10/HPU62</f>
        <v>#DIV/0!</v>
      </c>
      <c r="HPZ64" s="367">
        <v>15.38</v>
      </c>
      <c r="HQA64" s="367" t="e">
        <f>HPX64*HPY64*HPZ64</f>
        <v>#DIV/0!</v>
      </c>
      <c r="HQB64" s="363" t="s">
        <v>153</v>
      </c>
      <c r="HQC64" s="363"/>
      <c r="HQD64" s="363"/>
      <c r="HQE64" s="364" t="s">
        <v>140</v>
      </c>
      <c r="HQF64" s="365">
        <v>0.5</v>
      </c>
      <c r="HQG64" s="366" t="e">
        <f>10/HQC62</f>
        <v>#DIV/0!</v>
      </c>
      <c r="HQH64" s="367">
        <v>15.38</v>
      </c>
      <c r="HQI64" s="367" t="e">
        <f>HQF64*HQG64*HQH64</f>
        <v>#DIV/0!</v>
      </c>
      <c r="HQJ64" s="363" t="s">
        <v>153</v>
      </c>
      <c r="HQK64" s="363"/>
      <c r="HQL64" s="363"/>
      <c r="HQM64" s="364" t="s">
        <v>140</v>
      </c>
      <c r="HQN64" s="365">
        <v>0.5</v>
      </c>
      <c r="HQO64" s="366" t="e">
        <f>10/HQK62</f>
        <v>#DIV/0!</v>
      </c>
      <c r="HQP64" s="367">
        <v>15.38</v>
      </c>
      <c r="HQQ64" s="367" t="e">
        <f>HQN64*HQO64*HQP64</f>
        <v>#DIV/0!</v>
      </c>
      <c r="HQR64" s="363" t="s">
        <v>153</v>
      </c>
      <c r="HQS64" s="363"/>
      <c r="HQT64" s="363"/>
      <c r="HQU64" s="364" t="s">
        <v>140</v>
      </c>
      <c r="HQV64" s="365">
        <v>0.5</v>
      </c>
      <c r="HQW64" s="366" t="e">
        <f>10/HQS62</f>
        <v>#DIV/0!</v>
      </c>
      <c r="HQX64" s="367">
        <v>15.38</v>
      </c>
      <c r="HQY64" s="367" t="e">
        <f>HQV64*HQW64*HQX64</f>
        <v>#DIV/0!</v>
      </c>
      <c r="HQZ64" s="363" t="s">
        <v>153</v>
      </c>
      <c r="HRA64" s="363"/>
      <c r="HRB64" s="363"/>
      <c r="HRC64" s="364" t="s">
        <v>140</v>
      </c>
      <c r="HRD64" s="365">
        <v>0.5</v>
      </c>
      <c r="HRE64" s="366" t="e">
        <f>10/HRA62</f>
        <v>#DIV/0!</v>
      </c>
      <c r="HRF64" s="367">
        <v>15.38</v>
      </c>
      <c r="HRG64" s="367" t="e">
        <f>HRD64*HRE64*HRF64</f>
        <v>#DIV/0!</v>
      </c>
      <c r="HRH64" s="363" t="s">
        <v>153</v>
      </c>
      <c r="HRI64" s="363"/>
      <c r="HRJ64" s="363"/>
      <c r="HRK64" s="364" t="s">
        <v>140</v>
      </c>
      <c r="HRL64" s="365">
        <v>0.5</v>
      </c>
      <c r="HRM64" s="366" t="e">
        <f>10/HRI62</f>
        <v>#DIV/0!</v>
      </c>
      <c r="HRN64" s="367">
        <v>15.38</v>
      </c>
      <c r="HRO64" s="367" t="e">
        <f>HRL64*HRM64*HRN64</f>
        <v>#DIV/0!</v>
      </c>
      <c r="HRP64" s="363" t="s">
        <v>153</v>
      </c>
      <c r="HRQ64" s="363"/>
      <c r="HRR64" s="363"/>
      <c r="HRS64" s="364" t="s">
        <v>140</v>
      </c>
      <c r="HRT64" s="365">
        <v>0.5</v>
      </c>
      <c r="HRU64" s="366" t="e">
        <f>10/HRQ62</f>
        <v>#DIV/0!</v>
      </c>
      <c r="HRV64" s="367">
        <v>15.38</v>
      </c>
      <c r="HRW64" s="367" t="e">
        <f>HRT64*HRU64*HRV64</f>
        <v>#DIV/0!</v>
      </c>
      <c r="HRX64" s="363" t="s">
        <v>153</v>
      </c>
      <c r="HRY64" s="363"/>
      <c r="HRZ64" s="363"/>
      <c r="HSA64" s="364" t="s">
        <v>140</v>
      </c>
      <c r="HSB64" s="365">
        <v>0.5</v>
      </c>
      <c r="HSC64" s="366" t="e">
        <f>10/HRY62</f>
        <v>#DIV/0!</v>
      </c>
      <c r="HSD64" s="367">
        <v>15.38</v>
      </c>
      <c r="HSE64" s="367" t="e">
        <f>HSB64*HSC64*HSD64</f>
        <v>#DIV/0!</v>
      </c>
      <c r="HSF64" s="363" t="s">
        <v>153</v>
      </c>
      <c r="HSG64" s="363"/>
      <c r="HSH64" s="363"/>
      <c r="HSI64" s="364" t="s">
        <v>140</v>
      </c>
      <c r="HSJ64" s="365">
        <v>0.5</v>
      </c>
      <c r="HSK64" s="366" t="e">
        <f>10/HSG62</f>
        <v>#DIV/0!</v>
      </c>
      <c r="HSL64" s="367">
        <v>15.38</v>
      </c>
      <c r="HSM64" s="367" t="e">
        <f>HSJ64*HSK64*HSL64</f>
        <v>#DIV/0!</v>
      </c>
      <c r="HSN64" s="363" t="s">
        <v>153</v>
      </c>
      <c r="HSO64" s="363"/>
      <c r="HSP64" s="363"/>
      <c r="HSQ64" s="364" t="s">
        <v>140</v>
      </c>
      <c r="HSR64" s="365">
        <v>0.5</v>
      </c>
      <c r="HSS64" s="366" t="e">
        <f>10/HSO62</f>
        <v>#DIV/0!</v>
      </c>
      <c r="HST64" s="367">
        <v>15.38</v>
      </c>
      <c r="HSU64" s="367" t="e">
        <f>HSR64*HSS64*HST64</f>
        <v>#DIV/0!</v>
      </c>
      <c r="HSV64" s="363" t="s">
        <v>153</v>
      </c>
      <c r="HSW64" s="363"/>
      <c r="HSX64" s="363"/>
      <c r="HSY64" s="364" t="s">
        <v>140</v>
      </c>
      <c r="HSZ64" s="365">
        <v>0.5</v>
      </c>
      <c r="HTA64" s="366" t="e">
        <f>10/HSW62</f>
        <v>#DIV/0!</v>
      </c>
      <c r="HTB64" s="367">
        <v>15.38</v>
      </c>
      <c r="HTC64" s="367" t="e">
        <f>HSZ64*HTA64*HTB64</f>
        <v>#DIV/0!</v>
      </c>
      <c r="HTD64" s="363" t="s">
        <v>153</v>
      </c>
      <c r="HTE64" s="363"/>
      <c r="HTF64" s="363"/>
      <c r="HTG64" s="364" t="s">
        <v>140</v>
      </c>
      <c r="HTH64" s="365">
        <v>0.5</v>
      </c>
      <c r="HTI64" s="366" t="e">
        <f>10/HTE62</f>
        <v>#DIV/0!</v>
      </c>
      <c r="HTJ64" s="367">
        <v>15.38</v>
      </c>
      <c r="HTK64" s="367" t="e">
        <f>HTH64*HTI64*HTJ64</f>
        <v>#DIV/0!</v>
      </c>
      <c r="HTL64" s="363" t="s">
        <v>153</v>
      </c>
      <c r="HTM64" s="363"/>
      <c r="HTN64" s="363"/>
      <c r="HTO64" s="364" t="s">
        <v>140</v>
      </c>
      <c r="HTP64" s="365">
        <v>0.5</v>
      </c>
      <c r="HTQ64" s="366" t="e">
        <f>10/HTM62</f>
        <v>#DIV/0!</v>
      </c>
      <c r="HTR64" s="367">
        <v>15.38</v>
      </c>
      <c r="HTS64" s="367" t="e">
        <f>HTP64*HTQ64*HTR64</f>
        <v>#DIV/0!</v>
      </c>
      <c r="HTT64" s="363" t="s">
        <v>153</v>
      </c>
      <c r="HTU64" s="363"/>
      <c r="HTV64" s="363"/>
      <c r="HTW64" s="364" t="s">
        <v>140</v>
      </c>
      <c r="HTX64" s="365">
        <v>0.5</v>
      </c>
      <c r="HTY64" s="366" t="e">
        <f>10/HTU62</f>
        <v>#DIV/0!</v>
      </c>
      <c r="HTZ64" s="367">
        <v>15.38</v>
      </c>
      <c r="HUA64" s="367" t="e">
        <f>HTX64*HTY64*HTZ64</f>
        <v>#DIV/0!</v>
      </c>
      <c r="HUB64" s="363" t="s">
        <v>153</v>
      </c>
      <c r="HUC64" s="363"/>
      <c r="HUD64" s="363"/>
      <c r="HUE64" s="364" t="s">
        <v>140</v>
      </c>
      <c r="HUF64" s="365">
        <v>0.5</v>
      </c>
      <c r="HUG64" s="366" t="e">
        <f>10/HUC62</f>
        <v>#DIV/0!</v>
      </c>
      <c r="HUH64" s="367">
        <v>15.38</v>
      </c>
      <c r="HUI64" s="367" t="e">
        <f>HUF64*HUG64*HUH64</f>
        <v>#DIV/0!</v>
      </c>
      <c r="HUJ64" s="363" t="s">
        <v>153</v>
      </c>
      <c r="HUK64" s="363"/>
      <c r="HUL64" s="363"/>
      <c r="HUM64" s="364" t="s">
        <v>140</v>
      </c>
      <c r="HUN64" s="365">
        <v>0.5</v>
      </c>
      <c r="HUO64" s="366" t="e">
        <f>10/HUK62</f>
        <v>#DIV/0!</v>
      </c>
      <c r="HUP64" s="367">
        <v>15.38</v>
      </c>
      <c r="HUQ64" s="367" t="e">
        <f>HUN64*HUO64*HUP64</f>
        <v>#DIV/0!</v>
      </c>
      <c r="HUR64" s="363" t="s">
        <v>153</v>
      </c>
      <c r="HUS64" s="363"/>
      <c r="HUT64" s="363"/>
      <c r="HUU64" s="364" t="s">
        <v>140</v>
      </c>
      <c r="HUV64" s="365">
        <v>0.5</v>
      </c>
      <c r="HUW64" s="366" t="e">
        <f>10/HUS62</f>
        <v>#DIV/0!</v>
      </c>
      <c r="HUX64" s="367">
        <v>15.38</v>
      </c>
      <c r="HUY64" s="367" t="e">
        <f>HUV64*HUW64*HUX64</f>
        <v>#DIV/0!</v>
      </c>
      <c r="HUZ64" s="363" t="s">
        <v>153</v>
      </c>
      <c r="HVA64" s="363"/>
      <c r="HVB64" s="363"/>
      <c r="HVC64" s="364" t="s">
        <v>140</v>
      </c>
      <c r="HVD64" s="365">
        <v>0.5</v>
      </c>
      <c r="HVE64" s="366" t="e">
        <f>10/HVA62</f>
        <v>#DIV/0!</v>
      </c>
      <c r="HVF64" s="367">
        <v>15.38</v>
      </c>
      <c r="HVG64" s="367" t="e">
        <f>HVD64*HVE64*HVF64</f>
        <v>#DIV/0!</v>
      </c>
      <c r="HVH64" s="363" t="s">
        <v>153</v>
      </c>
      <c r="HVI64" s="363"/>
      <c r="HVJ64" s="363"/>
      <c r="HVK64" s="364" t="s">
        <v>140</v>
      </c>
      <c r="HVL64" s="365">
        <v>0.5</v>
      </c>
      <c r="HVM64" s="366" t="e">
        <f>10/HVI62</f>
        <v>#DIV/0!</v>
      </c>
      <c r="HVN64" s="367">
        <v>15.38</v>
      </c>
      <c r="HVO64" s="367" t="e">
        <f>HVL64*HVM64*HVN64</f>
        <v>#DIV/0!</v>
      </c>
      <c r="HVP64" s="363" t="s">
        <v>153</v>
      </c>
      <c r="HVQ64" s="363"/>
      <c r="HVR64" s="363"/>
      <c r="HVS64" s="364" t="s">
        <v>140</v>
      </c>
      <c r="HVT64" s="365">
        <v>0.5</v>
      </c>
      <c r="HVU64" s="366" t="e">
        <f>10/HVQ62</f>
        <v>#DIV/0!</v>
      </c>
      <c r="HVV64" s="367">
        <v>15.38</v>
      </c>
      <c r="HVW64" s="367" t="e">
        <f>HVT64*HVU64*HVV64</f>
        <v>#DIV/0!</v>
      </c>
      <c r="HVX64" s="363" t="s">
        <v>153</v>
      </c>
      <c r="HVY64" s="363"/>
      <c r="HVZ64" s="363"/>
      <c r="HWA64" s="364" t="s">
        <v>140</v>
      </c>
      <c r="HWB64" s="365">
        <v>0.5</v>
      </c>
      <c r="HWC64" s="366" t="e">
        <f>10/HVY62</f>
        <v>#DIV/0!</v>
      </c>
      <c r="HWD64" s="367">
        <v>15.38</v>
      </c>
      <c r="HWE64" s="367" t="e">
        <f>HWB64*HWC64*HWD64</f>
        <v>#DIV/0!</v>
      </c>
      <c r="HWF64" s="363" t="s">
        <v>153</v>
      </c>
      <c r="HWG64" s="363"/>
      <c r="HWH64" s="363"/>
      <c r="HWI64" s="364" t="s">
        <v>140</v>
      </c>
      <c r="HWJ64" s="365">
        <v>0.5</v>
      </c>
      <c r="HWK64" s="366" t="e">
        <f>10/HWG62</f>
        <v>#DIV/0!</v>
      </c>
      <c r="HWL64" s="367">
        <v>15.38</v>
      </c>
      <c r="HWM64" s="367" t="e">
        <f>HWJ64*HWK64*HWL64</f>
        <v>#DIV/0!</v>
      </c>
      <c r="HWN64" s="363" t="s">
        <v>153</v>
      </c>
      <c r="HWO64" s="363"/>
      <c r="HWP64" s="363"/>
      <c r="HWQ64" s="364" t="s">
        <v>140</v>
      </c>
      <c r="HWR64" s="365">
        <v>0.5</v>
      </c>
      <c r="HWS64" s="366" t="e">
        <f>10/HWO62</f>
        <v>#DIV/0!</v>
      </c>
      <c r="HWT64" s="367">
        <v>15.38</v>
      </c>
      <c r="HWU64" s="367" t="e">
        <f>HWR64*HWS64*HWT64</f>
        <v>#DIV/0!</v>
      </c>
      <c r="HWV64" s="363" t="s">
        <v>153</v>
      </c>
      <c r="HWW64" s="363"/>
      <c r="HWX64" s="363"/>
      <c r="HWY64" s="364" t="s">
        <v>140</v>
      </c>
      <c r="HWZ64" s="365">
        <v>0.5</v>
      </c>
      <c r="HXA64" s="366" t="e">
        <f>10/HWW62</f>
        <v>#DIV/0!</v>
      </c>
      <c r="HXB64" s="367">
        <v>15.38</v>
      </c>
      <c r="HXC64" s="367" t="e">
        <f>HWZ64*HXA64*HXB64</f>
        <v>#DIV/0!</v>
      </c>
      <c r="HXD64" s="363" t="s">
        <v>153</v>
      </c>
      <c r="HXE64" s="363"/>
      <c r="HXF64" s="363"/>
      <c r="HXG64" s="364" t="s">
        <v>140</v>
      </c>
      <c r="HXH64" s="365">
        <v>0.5</v>
      </c>
      <c r="HXI64" s="366" t="e">
        <f>10/HXE62</f>
        <v>#DIV/0!</v>
      </c>
      <c r="HXJ64" s="367">
        <v>15.38</v>
      </c>
      <c r="HXK64" s="367" t="e">
        <f>HXH64*HXI64*HXJ64</f>
        <v>#DIV/0!</v>
      </c>
      <c r="HXL64" s="363" t="s">
        <v>153</v>
      </c>
      <c r="HXM64" s="363"/>
      <c r="HXN64" s="363"/>
      <c r="HXO64" s="364" t="s">
        <v>140</v>
      </c>
      <c r="HXP64" s="365">
        <v>0.5</v>
      </c>
      <c r="HXQ64" s="366" t="e">
        <f>10/HXM62</f>
        <v>#DIV/0!</v>
      </c>
      <c r="HXR64" s="367">
        <v>15.38</v>
      </c>
      <c r="HXS64" s="367" t="e">
        <f>HXP64*HXQ64*HXR64</f>
        <v>#DIV/0!</v>
      </c>
      <c r="HXT64" s="363" t="s">
        <v>153</v>
      </c>
      <c r="HXU64" s="363"/>
      <c r="HXV64" s="363"/>
      <c r="HXW64" s="364" t="s">
        <v>140</v>
      </c>
      <c r="HXX64" s="365">
        <v>0.5</v>
      </c>
      <c r="HXY64" s="366" t="e">
        <f>10/HXU62</f>
        <v>#DIV/0!</v>
      </c>
      <c r="HXZ64" s="367">
        <v>15.38</v>
      </c>
      <c r="HYA64" s="367" t="e">
        <f>HXX64*HXY64*HXZ64</f>
        <v>#DIV/0!</v>
      </c>
      <c r="HYB64" s="363" t="s">
        <v>153</v>
      </c>
      <c r="HYC64" s="363"/>
      <c r="HYD64" s="363"/>
      <c r="HYE64" s="364" t="s">
        <v>140</v>
      </c>
      <c r="HYF64" s="365">
        <v>0.5</v>
      </c>
      <c r="HYG64" s="366" t="e">
        <f>10/HYC62</f>
        <v>#DIV/0!</v>
      </c>
      <c r="HYH64" s="367">
        <v>15.38</v>
      </c>
      <c r="HYI64" s="367" t="e">
        <f>HYF64*HYG64*HYH64</f>
        <v>#DIV/0!</v>
      </c>
      <c r="HYJ64" s="363" t="s">
        <v>153</v>
      </c>
      <c r="HYK64" s="363"/>
      <c r="HYL64" s="363"/>
      <c r="HYM64" s="364" t="s">
        <v>140</v>
      </c>
      <c r="HYN64" s="365">
        <v>0.5</v>
      </c>
      <c r="HYO64" s="366" t="e">
        <f>10/HYK62</f>
        <v>#DIV/0!</v>
      </c>
      <c r="HYP64" s="367">
        <v>15.38</v>
      </c>
      <c r="HYQ64" s="367" t="e">
        <f>HYN64*HYO64*HYP64</f>
        <v>#DIV/0!</v>
      </c>
      <c r="HYR64" s="363" t="s">
        <v>153</v>
      </c>
      <c r="HYS64" s="363"/>
      <c r="HYT64" s="363"/>
      <c r="HYU64" s="364" t="s">
        <v>140</v>
      </c>
      <c r="HYV64" s="365">
        <v>0.5</v>
      </c>
      <c r="HYW64" s="366" t="e">
        <f>10/HYS62</f>
        <v>#DIV/0!</v>
      </c>
      <c r="HYX64" s="367">
        <v>15.38</v>
      </c>
      <c r="HYY64" s="367" t="e">
        <f>HYV64*HYW64*HYX64</f>
        <v>#DIV/0!</v>
      </c>
      <c r="HYZ64" s="363" t="s">
        <v>153</v>
      </c>
      <c r="HZA64" s="363"/>
      <c r="HZB64" s="363"/>
      <c r="HZC64" s="364" t="s">
        <v>140</v>
      </c>
      <c r="HZD64" s="365">
        <v>0.5</v>
      </c>
      <c r="HZE64" s="366" t="e">
        <f>10/HZA62</f>
        <v>#DIV/0!</v>
      </c>
      <c r="HZF64" s="367">
        <v>15.38</v>
      </c>
      <c r="HZG64" s="367" t="e">
        <f>HZD64*HZE64*HZF64</f>
        <v>#DIV/0!</v>
      </c>
      <c r="HZH64" s="363" t="s">
        <v>153</v>
      </c>
      <c r="HZI64" s="363"/>
      <c r="HZJ64" s="363"/>
      <c r="HZK64" s="364" t="s">
        <v>140</v>
      </c>
      <c r="HZL64" s="365">
        <v>0.5</v>
      </c>
      <c r="HZM64" s="366" t="e">
        <f>10/HZI62</f>
        <v>#DIV/0!</v>
      </c>
      <c r="HZN64" s="367">
        <v>15.38</v>
      </c>
      <c r="HZO64" s="367" t="e">
        <f>HZL64*HZM64*HZN64</f>
        <v>#DIV/0!</v>
      </c>
      <c r="HZP64" s="363" t="s">
        <v>153</v>
      </c>
      <c r="HZQ64" s="363"/>
      <c r="HZR64" s="363"/>
      <c r="HZS64" s="364" t="s">
        <v>140</v>
      </c>
      <c r="HZT64" s="365">
        <v>0.5</v>
      </c>
      <c r="HZU64" s="366" t="e">
        <f>10/HZQ62</f>
        <v>#DIV/0!</v>
      </c>
      <c r="HZV64" s="367">
        <v>15.38</v>
      </c>
      <c r="HZW64" s="367" t="e">
        <f>HZT64*HZU64*HZV64</f>
        <v>#DIV/0!</v>
      </c>
      <c r="HZX64" s="363" t="s">
        <v>153</v>
      </c>
      <c r="HZY64" s="363"/>
      <c r="HZZ64" s="363"/>
      <c r="IAA64" s="364" t="s">
        <v>140</v>
      </c>
      <c r="IAB64" s="365">
        <v>0.5</v>
      </c>
      <c r="IAC64" s="366" t="e">
        <f>10/HZY62</f>
        <v>#DIV/0!</v>
      </c>
      <c r="IAD64" s="367">
        <v>15.38</v>
      </c>
      <c r="IAE64" s="367" t="e">
        <f>IAB64*IAC64*IAD64</f>
        <v>#DIV/0!</v>
      </c>
      <c r="IAF64" s="363" t="s">
        <v>153</v>
      </c>
      <c r="IAG64" s="363"/>
      <c r="IAH64" s="363"/>
      <c r="IAI64" s="364" t="s">
        <v>140</v>
      </c>
      <c r="IAJ64" s="365">
        <v>0.5</v>
      </c>
      <c r="IAK64" s="366" t="e">
        <f>10/IAG62</f>
        <v>#DIV/0!</v>
      </c>
      <c r="IAL64" s="367">
        <v>15.38</v>
      </c>
      <c r="IAM64" s="367" t="e">
        <f>IAJ64*IAK64*IAL64</f>
        <v>#DIV/0!</v>
      </c>
      <c r="IAN64" s="363" t="s">
        <v>153</v>
      </c>
      <c r="IAO64" s="363"/>
      <c r="IAP64" s="363"/>
      <c r="IAQ64" s="364" t="s">
        <v>140</v>
      </c>
      <c r="IAR64" s="365">
        <v>0.5</v>
      </c>
      <c r="IAS64" s="366" t="e">
        <f>10/IAO62</f>
        <v>#DIV/0!</v>
      </c>
      <c r="IAT64" s="367">
        <v>15.38</v>
      </c>
      <c r="IAU64" s="367" t="e">
        <f>IAR64*IAS64*IAT64</f>
        <v>#DIV/0!</v>
      </c>
      <c r="IAV64" s="363" t="s">
        <v>153</v>
      </c>
      <c r="IAW64" s="363"/>
      <c r="IAX64" s="363"/>
      <c r="IAY64" s="364" t="s">
        <v>140</v>
      </c>
      <c r="IAZ64" s="365">
        <v>0.5</v>
      </c>
      <c r="IBA64" s="366" t="e">
        <f>10/IAW62</f>
        <v>#DIV/0!</v>
      </c>
      <c r="IBB64" s="367">
        <v>15.38</v>
      </c>
      <c r="IBC64" s="367" t="e">
        <f>IAZ64*IBA64*IBB64</f>
        <v>#DIV/0!</v>
      </c>
      <c r="IBD64" s="363" t="s">
        <v>153</v>
      </c>
      <c r="IBE64" s="363"/>
      <c r="IBF64" s="363"/>
      <c r="IBG64" s="364" t="s">
        <v>140</v>
      </c>
      <c r="IBH64" s="365">
        <v>0.5</v>
      </c>
      <c r="IBI64" s="366" t="e">
        <f>10/IBE62</f>
        <v>#DIV/0!</v>
      </c>
      <c r="IBJ64" s="367">
        <v>15.38</v>
      </c>
      <c r="IBK64" s="367" t="e">
        <f>IBH64*IBI64*IBJ64</f>
        <v>#DIV/0!</v>
      </c>
      <c r="IBL64" s="363" t="s">
        <v>153</v>
      </c>
      <c r="IBM64" s="363"/>
      <c r="IBN64" s="363"/>
      <c r="IBO64" s="364" t="s">
        <v>140</v>
      </c>
      <c r="IBP64" s="365">
        <v>0.5</v>
      </c>
      <c r="IBQ64" s="366" t="e">
        <f>10/IBM62</f>
        <v>#DIV/0!</v>
      </c>
      <c r="IBR64" s="367">
        <v>15.38</v>
      </c>
      <c r="IBS64" s="367" t="e">
        <f>IBP64*IBQ64*IBR64</f>
        <v>#DIV/0!</v>
      </c>
      <c r="IBT64" s="363" t="s">
        <v>153</v>
      </c>
      <c r="IBU64" s="363"/>
      <c r="IBV64" s="363"/>
      <c r="IBW64" s="364" t="s">
        <v>140</v>
      </c>
      <c r="IBX64" s="365">
        <v>0.5</v>
      </c>
      <c r="IBY64" s="366" t="e">
        <f>10/IBU62</f>
        <v>#DIV/0!</v>
      </c>
      <c r="IBZ64" s="367">
        <v>15.38</v>
      </c>
      <c r="ICA64" s="367" t="e">
        <f>IBX64*IBY64*IBZ64</f>
        <v>#DIV/0!</v>
      </c>
      <c r="ICB64" s="363" t="s">
        <v>153</v>
      </c>
      <c r="ICC64" s="363"/>
      <c r="ICD64" s="363"/>
      <c r="ICE64" s="364" t="s">
        <v>140</v>
      </c>
      <c r="ICF64" s="365">
        <v>0.5</v>
      </c>
      <c r="ICG64" s="366" t="e">
        <f>10/ICC62</f>
        <v>#DIV/0!</v>
      </c>
      <c r="ICH64" s="367">
        <v>15.38</v>
      </c>
      <c r="ICI64" s="367" t="e">
        <f>ICF64*ICG64*ICH64</f>
        <v>#DIV/0!</v>
      </c>
      <c r="ICJ64" s="363" t="s">
        <v>153</v>
      </c>
      <c r="ICK64" s="363"/>
      <c r="ICL64" s="363"/>
      <c r="ICM64" s="364" t="s">
        <v>140</v>
      </c>
      <c r="ICN64" s="365">
        <v>0.5</v>
      </c>
      <c r="ICO64" s="366" t="e">
        <f>10/ICK62</f>
        <v>#DIV/0!</v>
      </c>
      <c r="ICP64" s="367">
        <v>15.38</v>
      </c>
      <c r="ICQ64" s="367" t="e">
        <f>ICN64*ICO64*ICP64</f>
        <v>#DIV/0!</v>
      </c>
      <c r="ICR64" s="363" t="s">
        <v>153</v>
      </c>
      <c r="ICS64" s="363"/>
      <c r="ICT64" s="363"/>
      <c r="ICU64" s="364" t="s">
        <v>140</v>
      </c>
      <c r="ICV64" s="365">
        <v>0.5</v>
      </c>
      <c r="ICW64" s="366" t="e">
        <f>10/ICS62</f>
        <v>#DIV/0!</v>
      </c>
      <c r="ICX64" s="367">
        <v>15.38</v>
      </c>
      <c r="ICY64" s="367" t="e">
        <f>ICV64*ICW64*ICX64</f>
        <v>#DIV/0!</v>
      </c>
      <c r="ICZ64" s="363" t="s">
        <v>153</v>
      </c>
      <c r="IDA64" s="363"/>
      <c r="IDB64" s="363"/>
      <c r="IDC64" s="364" t="s">
        <v>140</v>
      </c>
      <c r="IDD64" s="365">
        <v>0.5</v>
      </c>
      <c r="IDE64" s="366" t="e">
        <f>10/IDA62</f>
        <v>#DIV/0!</v>
      </c>
      <c r="IDF64" s="367">
        <v>15.38</v>
      </c>
      <c r="IDG64" s="367" t="e">
        <f>IDD64*IDE64*IDF64</f>
        <v>#DIV/0!</v>
      </c>
      <c r="IDH64" s="363" t="s">
        <v>153</v>
      </c>
      <c r="IDI64" s="363"/>
      <c r="IDJ64" s="363"/>
      <c r="IDK64" s="364" t="s">
        <v>140</v>
      </c>
      <c r="IDL64" s="365">
        <v>0.5</v>
      </c>
      <c r="IDM64" s="366" t="e">
        <f>10/IDI62</f>
        <v>#DIV/0!</v>
      </c>
      <c r="IDN64" s="367">
        <v>15.38</v>
      </c>
      <c r="IDO64" s="367" t="e">
        <f>IDL64*IDM64*IDN64</f>
        <v>#DIV/0!</v>
      </c>
      <c r="IDP64" s="363" t="s">
        <v>153</v>
      </c>
      <c r="IDQ64" s="363"/>
      <c r="IDR64" s="363"/>
      <c r="IDS64" s="364" t="s">
        <v>140</v>
      </c>
      <c r="IDT64" s="365">
        <v>0.5</v>
      </c>
      <c r="IDU64" s="366" t="e">
        <f>10/IDQ62</f>
        <v>#DIV/0!</v>
      </c>
      <c r="IDV64" s="367">
        <v>15.38</v>
      </c>
      <c r="IDW64" s="367" t="e">
        <f>IDT64*IDU64*IDV64</f>
        <v>#DIV/0!</v>
      </c>
      <c r="IDX64" s="363" t="s">
        <v>153</v>
      </c>
      <c r="IDY64" s="363"/>
      <c r="IDZ64" s="363"/>
      <c r="IEA64" s="364" t="s">
        <v>140</v>
      </c>
      <c r="IEB64" s="365">
        <v>0.5</v>
      </c>
      <c r="IEC64" s="366" t="e">
        <f>10/IDY62</f>
        <v>#DIV/0!</v>
      </c>
      <c r="IED64" s="367">
        <v>15.38</v>
      </c>
      <c r="IEE64" s="367" t="e">
        <f>IEB64*IEC64*IED64</f>
        <v>#DIV/0!</v>
      </c>
      <c r="IEF64" s="363" t="s">
        <v>153</v>
      </c>
      <c r="IEG64" s="363"/>
      <c r="IEH64" s="363"/>
      <c r="IEI64" s="364" t="s">
        <v>140</v>
      </c>
      <c r="IEJ64" s="365">
        <v>0.5</v>
      </c>
      <c r="IEK64" s="366" t="e">
        <f>10/IEG62</f>
        <v>#DIV/0!</v>
      </c>
      <c r="IEL64" s="367">
        <v>15.38</v>
      </c>
      <c r="IEM64" s="367" t="e">
        <f>IEJ64*IEK64*IEL64</f>
        <v>#DIV/0!</v>
      </c>
      <c r="IEN64" s="363" t="s">
        <v>153</v>
      </c>
      <c r="IEO64" s="363"/>
      <c r="IEP64" s="363"/>
      <c r="IEQ64" s="364" t="s">
        <v>140</v>
      </c>
      <c r="IER64" s="365">
        <v>0.5</v>
      </c>
      <c r="IES64" s="366" t="e">
        <f>10/IEO62</f>
        <v>#DIV/0!</v>
      </c>
      <c r="IET64" s="367">
        <v>15.38</v>
      </c>
      <c r="IEU64" s="367" t="e">
        <f>IER64*IES64*IET64</f>
        <v>#DIV/0!</v>
      </c>
      <c r="IEV64" s="363" t="s">
        <v>153</v>
      </c>
      <c r="IEW64" s="363"/>
      <c r="IEX64" s="363"/>
      <c r="IEY64" s="364" t="s">
        <v>140</v>
      </c>
      <c r="IEZ64" s="365">
        <v>0.5</v>
      </c>
      <c r="IFA64" s="366" t="e">
        <f>10/IEW62</f>
        <v>#DIV/0!</v>
      </c>
      <c r="IFB64" s="367">
        <v>15.38</v>
      </c>
      <c r="IFC64" s="367" t="e">
        <f>IEZ64*IFA64*IFB64</f>
        <v>#DIV/0!</v>
      </c>
      <c r="IFD64" s="363" t="s">
        <v>153</v>
      </c>
      <c r="IFE64" s="363"/>
      <c r="IFF64" s="363"/>
      <c r="IFG64" s="364" t="s">
        <v>140</v>
      </c>
      <c r="IFH64" s="365">
        <v>0.5</v>
      </c>
      <c r="IFI64" s="366" t="e">
        <f>10/IFE62</f>
        <v>#DIV/0!</v>
      </c>
      <c r="IFJ64" s="367">
        <v>15.38</v>
      </c>
      <c r="IFK64" s="367" t="e">
        <f>IFH64*IFI64*IFJ64</f>
        <v>#DIV/0!</v>
      </c>
      <c r="IFL64" s="363" t="s">
        <v>153</v>
      </c>
      <c r="IFM64" s="363"/>
      <c r="IFN64" s="363"/>
      <c r="IFO64" s="364" t="s">
        <v>140</v>
      </c>
      <c r="IFP64" s="365">
        <v>0.5</v>
      </c>
      <c r="IFQ64" s="366" t="e">
        <f>10/IFM62</f>
        <v>#DIV/0!</v>
      </c>
      <c r="IFR64" s="367">
        <v>15.38</v>
      </c>
      <c r="IFS64" s="367" t="e">
        <f>IFP64*IFQ64*IFR64</f>
        <v>#DIV/0!</v>
      </c>
      <c r="IFT64" s="363" t="s">
        <v>153</v>
      </c>
      <c r="IFU64" s="363"/>
      <c r="IFV64" s="363"/>
      <c r="IFW64" s="364" t="s">
        <v>140</v>
      </c>
      <c r="IFX64" s="365">
        <v>0.5</v>
      </c>
      <c r="IFY64" s="366" t="e">
        <f>10/IFU62</f>
        <v>#DIV/0!</v>
      </c>
      <c r="IFZ64" s="367">
        <v>15.38</v>
      </c>
      <c r="IGA64" s="367" t="e">
        <f>IFX64*IFY64*IFZ64</f>
        <v>#DIV/0!</v>
      </c>
      <c r="IGB64" s="363" t="s">
        <v>153</v>
      </c>
      <c r="IGC64" s="363"/>
      <c r="IGD64" s="363"/>
      <c r="IGE64" s="364" t="s">
        <v>140</v>
      </c>
      <c r="IGF64" s="365">
        <v>0.5</v>
      </c>
      <c r="IGG64" s="366" t="e">
        <f>10/IGC62</f>
        <v>#DIV/0!</v>
      </c>
      <c r="IGH64" s="367">
        <v>15.38</v>
      </c>
      <c r="IGI64" s="367" t="e">
        <f>IGF64*IGG64*IGH64</f>
        <v>#DIV/0!</v>
      </c>
      <c r="IGJ64" s="363" t="s">
        <v>153</v>
      </c>
      <c r="IGK64" s="363"/>
      <c r="IGL64" s="363"/>
      <c r="IGM64" s="364" t="s">
        <v>140</v>
      </c>
      <c r="IGN64" s="365">
        <v>0.5</v>
      </c>
      <c r="IGO64" s="366" t="e">
        <f>10/IGK62</f>
        <v>#DIV/0!</v>
      </c>
      <c r="IGP64" s="367">
        <v>15.38</v>
      </c>
      <c r="IGQ64" s="367" t="e">
        <f>IGN64*IGO64*IGP64</f>
        <v>#DIV/0!</v>
      </c>
      <c r="IGR64" s="363" t="s">
        <v>153</v>
      </c>
      <c r="IGS64" s="363"/>
      <c r="IGT64" s="363"/>
      <c r="IGU64" s="364" t="s">
        <v>140</v>
      </c>
      <c r="IGV64" s="365">
        <v>0.5</v>
      </c>
      <c r="IGW64" s="366" t="e">
        <f>10/IGS62</f>
        <v>#DIV/0!</v>
      </c>
      <c r="IGX64" s="367">
        <v>15.38</v>
      </c>
      <c r="IGY64" s="367" t="e">
        <f>IGV64*IGW64*IGX64</f>
        <v>#DIV/0!</v>
      </c>
      <c r="IGZ64" s="363" t="s">
        <v>153</v>
      </c>
      <c r="IHA64" s="363"/>
      <c r="IHB64" s="363"/>
      <c r="IHC64" s="364" t="s">
        <v>140</v>
      </c>
      <c r="IHD64" s="365">
        <v>0.5</v>
      </c>
      <c r="IHE64" s="366" t="e">
        <f>10/IHA62</f>
        <v>#DIV/0!</v>
      </c>
      <c r="IHF64" s="367">
        <v>15.38</v>
      </c>
      <c r="IHG64" s="367" t="e">
        <f>IHD64*IHE64*IHF64</f>
        <v>#DIV/0!</v>
      </c>
      <c r="IHH64" s="363" t="s">
        <v>153</v>
      </c>
      <c r="IHI64" s="363"/>
      <c r="IHJ64" s="363"/>
      <c r="IHK64" s="364" t="s">
        <v>140</v>
      </c>
      <c r="IHL64" s="365">
        <v>0.5</v>
      </c>
      <c r="IHM64" s="366" t="e">
        <f>10/IHI62</f>
        <v>#DIV/0!</v>
      </c>
      <c r="IHN64" s="367">
        <v>15.38</v>
      </c>
      <c r="IHO64" s="367" t="e">
        <f>IHL64*IHM64*IHN64</f>
        <v>#DIV/0!</v>
      </c>
      <c r="IHP64" s="363" t="s">
        <v>153</v>
      </c>
      <c r="IHQ64" s="363"/>
      <c r="IHR64" s="363"/>
      <c r="IHS64" s="364" t="s">
        <v>140</v>
      </c>
      <c r="IHT64" s="365">
        <v>0.5</v>
      </c>
      <c r="IHU64" s="366" t="e">
        <f>10/IHQ62</f>
        <v>#DIV/0!</v>
      </c>
      <c r="IHV64" s="367">
        <v>15.38</v>
      </c>
      <c r="IHW64" s="367" t="e">
        <f>IHT64*IHU64*IHV64</f>
        <v>#DIV/0!</v>
      </c>
      <c r="IHX64" s="363" t="s">
        <v>153</v>
      </c>
      <c r="IHY64" s="363"/>
      <c r="IHZ64" s="363"/>
      <c r="IIA64" s="364" t="s">
        <v>140</v>
      </c>
      <c r="IIB64" s="365">
        <v>0.5</v>
      </c>
      <c r="IIC64" s="366" t="e">
        <f>10/IHY62</f>
        <v>#DIV/0!</v>
      </c>
      <c r="IID64" s="367">
        <v>15.38</v>
      </c>
      <c r="IIE64" s="367" t="e">
        <f>IIB64*IIC64*IID64</f>
        <v>#DIV/0!</v>
      </c>
      <c r="IIF64" s="363" t="s">
        <v>153</v>
      </c>
      <c r="IIG64" s="363"/>
      <c r="IIH64" s="363"/>
      <c r="III64" s="364" t="s">
        <v>140</v>
      </c>
      <c r="IIJ64" s="365">
        <v>0.5</v>
      </c>
      <c r="IIK64" s="366" t="e">
        <f>10/IIG62</f>
        <v>#DIV/0!</v>
      </c>
      <c r="IIL64" s="367">
        <v>15.38</v>
      </c>
      <c r="IIM64" s="367" t="e">
        <f>IIJ64*IIK64*IIL64</f>
        <v>#DIV/0!</v>
      </c>
      <c r="IIN64" s="363" t="s">
        <v>153</v>
      </c>
      <c r="IIO64" s="363"/>
      <c r="IIP64" s="363"/>
      <c r="IIQ64" s="364" t="s">
        <v>140</v>
      </c>
      <c r="IIR64" s="365">
        <v>0.5</v>
      </c>
      <c r="IIS64" s="366" t="e">
        <f>10/IIO62</f>
        <v>#DIV/0!</v>
      </c>
      <c r="IIT64" s="367">
        <v>15.38</v>
      </c>
      <c r="IIU64" s="367" t="e">
        <f>IIR64*IIS64*IIT64</f>
        <v>#DIV/0!</v>
      </c>
      <c r="IIV64" s="363" t="s">
        <v>153</v>
      </c>
      <c r="IIW64" s="363"/>
      <c r="IIX64" s="363"/>
      <c r="IIY64" s="364" t="s">
        <v>140</v>
      </c>
      <c r="IIZ64" s="365">
        <v>0.5</v>
      </c>
      <c r="IJA64" s="366" t="e">
        <f>10/IIW62</f>
        <v>#DIV/0!</v>
      </c>
      <c r="IJB64" s="367">
        <v>15.38</v>
      </c>
      <c r="IJC64" s="367" t="e">
        <f>IIZ64*IJA64*IJB64</f>
        <v>#DIV/0!</v>
      </c>
      <c r="IJD64" s="363" t="s">
        <v>153</v>
      </c>
      <c r="IJE64" s="363"/>
      <c r="IJF64" s="363"/>
      <c r="IJG64" s="364" t="s">
        <v>140</v>
      </c>
      <c r="IJH64" s="365">
        <v>0.5</v>
      </c>
      <c r="IJI64" s="366" t="e">
        <f>10/IJE62</f>
        <v>#DIV/0!</v>
      </c>
      <c r="IJJ64" s="367">
        <v>15.38</v>
      </c>
      <c r="IJK64" s="367" t="e">
        <f>IJH64*IJI64*IJJ64</f>
        <v>#DIV/0!</v>
      </c>
      <c r="IJL64" s="363" t="s">
        <v>153</v>
      </c>
      <c r="IJM64" s="363"/>
      <c r="IJN64" s="363"/>
      <c r="IJO64" s="364" t="s">
        <v>140</v>
      </c>
      <c r="IJP64" s="365">
        <v>0.5</v>
      </c>
      <c r="IJQ64" s="366" t="e">
        <f>10/IJM62</f>
        <v>#DIV/0!</v>
      </c>
      <c r="IJR64" s="367">
        <v>15.38</v>
      </c>
      <c r="IJS64" s="367" t="e">
        <f>IJP64*IJQ64*IJR64</f>
        <v>#DIV/0!</v>
      </c>
      <c r="IJT64" s="363" t="s">
        <v>153</v>
      </c>
      <c r="IJU64" s="363"/>
      <c r="IJV64" s="363"/>
      <c r="IJW64" s="364" t="s">
        <v>140</v>
      </c>
      <c r="IJX64" s="365">
        <v>0.5</v>
      </c>
      <c r="IJY64" s="366" t="e">
        <f>10/IJU62</f>
        <v>#DIV/0!</v>
      </c>
      <c r="IJZ64" s="367">
        <v>15.38</v>
      </c>
      <c r="IKA64" s="367" t="e">
        <f>IJX64*IJY64*IJZ64</f>
        <v>#DIV/0!</v>
      </c>
      <c r="IKB64" s="363" t="s">
        <v>153</v>
      </c>
      <c r="IKC64" s="363"/>
      <c r="IKD64" s="363"/>
      <c r="IKE64" s="364" t="s">
        <v>140</v>
      </c>
      <c r="IKF64" s="365">
        <v>0.5</v>
      </c>
      <c r="IKG64" s="366" t="e">
        <f>10/IKC62</f>
        <v>#DIV/0!</v>
      </c>
      <c r="IKH64" s="367">
        <v>15.38</v>
      </c>
      <c r="IKI64" s="367" t="e">
        <f>IKF64*IKG64*IKH64</f>
        <v>#DIV/0!</v>
      </c>
      <c r="IKJ64" s="363" t="s">
        <v>153</v>
      </c>
      <c r="IKK64" s="363"/>
      <c r="IKL64" s="363"/>
      <c r="IKM64" s="364" t="s">
        <v>140</v>
      </c>
      <c r="IKN64" s="365">
        <v>0.5</v>
      </c>
      <c r="IKO64" s="366" t="e">
        <f>10/IKK62</f>
        <v>#DIV/0!</v>
      </c>
      <c r="IKP64" s="367">
        <v>15.38</v>
      </c>
      <c r="IKQ64" s="367" t="e">
        <f>IKN64*IKO64*IKP64</f>
        <v>#DIV/0!</v>
      </c>
      <c r="IKR64" s="363" t="s">
        <v>153</v>
      </c>
      <c r="IKS64" s="363"/>
      <c r="IKT64" s="363"/>
      <c r="IKU64" s="364" t="s">
        <v>140</v>
      </c>
      <c r="IKV64" s="365">
        <v>0.5</v>
      </c>
      <c r="IKW64" s="366" t="e">
        <f>10/IKS62</f>
        <v>#DIV/0!</v>
      </c>
      <c r="IKX64" s="367">
        <v>15.38</v>
      </c>
      <c r="IKY64" s="367" t="e">
        <f>IKV64*IKW64*IKX64</f>
        <v>#DIV/0!</v>
      </c>
      <c r="IKZ64" s="363" t="s">
        <v>153</v>
      </c>
      <c r="ILA64" s="363"/>
      <c r="ILB64" s="363"/>
      <c r="ILC64" s="364" t="s">
        <v>140</v>
      </c>
      <c r="ILD64" s="365">
        <v>0.5</v>
      </c>
      <c r="ILE64" s="366" t="e">
        <f>10/ILA62</f>
        <v>#DIV/0!</v>
      </c>
      <c r="ILF64" s="367">
        <v>15.38</v>
      </c>
      <c r="ILG64" s="367" t="e">
        <f>ILD64*ILE64*ILF64</f>
        <v>#DIV/0!</v>
      </c>
      <c r="ILH64" s="363" t="s">
        <v>153</v>
      </c>
      <c r="ILI64" s="363"/>
      <c r="ILJ64" s="363"/>
      <c r="ILK64" s="364" t="s">
        <v>140</v>
      </c>
      <c r="ILL64" s="365">
        <v>0.5</v>
      </c>
      <c r="ILM64" s="366" t="e">
        <f>10/ILI62</f>
        <v>#DIV/0!</v>
      </c>
      <c r="ILN64" s="367">
        <v>15.38</v>
      </c>
      <c r="ILO64" s="367" t="e">
        <f>ILL64*ILM64*ILN64</f>
        <v>#DIV/0!</v>
      </c>
      <c r="ILP64" s="363" t="s">
        <v>153</v>
      </c>
      <c r="ILQ64" s="363"/>
      <c r="ILR64" s="363"/>
      <c r="ILS64" s="364" t="s">
        <v>140</v>
      </c>
      <c r="ILT64" s="365">
        <v>0.5</v>
      </c>
      <c r="ILU64" s="366" t="e">
        <f>10/ILQ62</f>
        <v>#DIV/0!</v>
      </c>
      <c r="ILV64" s="367">
        <v>15.38</v>
      </c>
      <c r="ILW64" s="367" t="e">
        <f>ILT64*ILU64*ILV64</f>
        <v>#DIV/0!</v>
      </c>
      <c r="ILX64" s="363" t="s">
        <v>153</v>
      </c>
      <c r="ILY64" s="363"/>
      <c r="ILZ64" s="363"/>
      <c r="IMA64" s="364" t="s">
        <v>140</v>
      </c>
      <c r="IMB64" s="365">
        <v>0.5</v>
      </c>
      <c r="IMC64" s="366" t="e">
        <f>10/ILY62</f>
        <v>#DIV/0!</v>
      </c>
      <c r="IMD64" s="367">
        <v>15.38</v>
      </c>
      <c r="IME64" s="367" t="e">
        <f>IMB64*IMC64*IMD64</f>
        <v>#DIV/0!</v>
      </c>
      <c r="IMF64" s="363" t="s">
        <v>153</v>
      </c>
      <c r="IMG64" s="363"/>
      <c r="IMH64" s="363"/>
      <c r="IMI64" s="364" t="s">
        <v>140</v>
      </c>
      <c r="IMJ64" s="365">
        <v>0.5</v>
      </c>
      <c r="IMK64" s="366" t="e">
        <f>10/IMG62</f>
        <v>#DIV/0!</v>
      </c>
      <c r="IML64" s="367">
        <v>15.38</v>
      </c>
      <c r="IMM64" s="367" t="e">
        <f>IMJ64*IMK64*IML64</f>
        <v>#DIV/0!</v>
      </c>
      <c r="IMN64" s="363" t="s">
        <v>153</v>
      </c>
      <c r="IMO64" s="363"/>
      <c r="IMP64" s="363"/>
      <c r="IMQ64" s="364" t="s">
        <v>140</v>
      </c>
      <c r="IMR64" s="365">
        <v>0.5</v>
      </c>
      <c r="IMS64" s="366" t="e">
        <f>10/IMO62</f>
        <v>#DIV/0!</v>
      </c>
      <c r="IMT64" s="367">
        <v>15.38</v>
      </c>
      <c r="IMU64" s="367" t="e">
        <f>IMR64*IMS64*IMT64</f>
        <v>#DIV/0!</v>
      </c>
      <c r="IMV64" s="363" t="s">
        <v>153</v>
      </c>
      <c r="IMW64" s="363"/>
      <c r="IMX64" s="363"/>
      <c r="IMY64" s="364" t="s">
        <v>140</v>
      </c>
      <c r="IMZ64" s="365">
        <v>0.5</v>
      </c>
      <c r="INA64" s="366" t="e">
        <f>10/IMW62</f>
        <v>#DIV/0!</v>
      </c>
      <c r="INB64" s="367">
        <v>15.38</v>
      </c>
      <c r="INC64" s="367" t="e">
        <f>IMZ64*INA64*INB64</f>
        <v>#DIV/0!</v>
      </c>
      <c r="IND64" s="363" t="s">
        <v>153</v>
      </c>
      <c r="INE64" s="363"/>
      <c r="INF64" s="363"/>
      <c r="ING64" s="364" t="s">
        <v>140</v>
      </c>
      <c r="INH64" s="365">
        <v>0.5</v>
      </c>
      <c r="INI64" s="366" t="e">
        <f>10/INE62</f>
        <v>#DIV/0!</v>
      </c>
      <c r="INJ64" s="367">
        <v>15.38</v>
      </c>
      <c r="INK64" s="367" t="e">
        <f>INH64*INI64*INJ64</f>
        <v>#DIV/0!</v>
      </c>
      <c r="INL64" s="363" t="s">
        <v>153</v>
      </c>
      <c r="INM64" s="363"/>
      <c r="INN64" s="363"/>
      <c r="INO64" s="364" t="s">
        <v>140</v>
      </c>
      <c r="INP64" s="365">
        <v>0.5</v>
      </c>
      <c r="INQ64" s="366" t="e">
        <f>10/INM62</f>
        <v>#DIV/0!</v>
      </c>
      <c r="INR64" s="367">
        <v>15.38</v>
      </c>
      <c r="INS64" s="367" t="e">
        <f>INP64*INQ64*INR64</f>
        <v>#DIV/0!</v>
      </c>
      <c r="INT64" s="363" t="s">
        <v>153</v>
      </c>
      <c r="INU64" s="363"/>
      <c r="INV64" s="363"/>
      <c r="INW64" s="364" t="s">
        <v>140</v>
      </c>
      <c r="INX64" s="365">
        <v>0.5</v>
      </c>
      <c r="INY64" s="366" t="e">
        <f>10/INU62</f>
        <v>#DIV/0!</v>
      </c>
      <c r="INZ64" s="367">
        <v>15.38</v>
      </c>
      <c r="IOA64" s="367" t="e">
        <f>INX64*INY64*INZ64</f>
        <v>#DIV/0!</v>
      </c>
      <c r="IOB64" s="363" t="s">
        <v>153</v>
      </c>
      <c r="IOC64" s="363"/>
      <c r="IOD64" s="363"/>
      <c r="IOE64" s="364" t="s">
        <v>140</v>
      </c>
      <c r="IOF64" s="365">
        <v>0.5</v>
      </c>
      <c r="IOG64" s="366" t="e">
        <f>10/IOC62</f>
        <v>#DIV/0!</v>
      </c>
      <c r="IOH64" s="367">
        <v>15.38</v>
      </c>
      <c r="IOI64" s="367" t="e">
        <f>IOF64*IOG64*IOH64</f>
        <v>#DIV/0!</v>
      </c>
      <c r="IOJ64" s="363" t="s">
        <v>153</v>
      </c>
      <c r="IOK64" s="363"/>
      <c r="IOL64" s="363"/>
      <c r="IOM64" s="364" t="s">
        <v>140</v>
      </c>
      <c r="ION64" s="365">
        <v>0.5</v>
      </c>
      <c r="IOO64" s="366" t="e">
        <f>10/IOK62</f>
        <v>#DIV/0!</v>
      </c>
      <c r="IOP64" s="367">
        <v>15.38</v>
      </c>
      <c r="IOQ64" s="367" t="e">
        <f>ION64*IOO64*IOP64</f>
        <v>#DIV/0!</v>
      </c>
      <c r="IOR64" s="363" t="s">
        <v>153</v>
      </c>
      <c r="IOS64" s="363"/>
      <c r="IOT64" s="363"/>
      <c r="IOU64" s="364" t="s">
        <v>140</v>
      </c>
      <c r="IOV64" s="365">
        <v>0.5</v>
      </c>
      <c r="IOW64" s="366" t="e">
        <f>10/IOS62</f>
        <v>#DIV/0!</v>
      </c>
      <c r="IOX64" s="367">
        <v>15.38</v>
      </c>
      <c r="IOY64" s="367" t="e">
        <f>IOV64*IOW64*IOX64</f>
        <v>#DIV/0!</v>
      </c>
      <c r="IOZ64" s="363" t="s">
        <v>153</v>
      </c>
      <c r="IPA64" s="363"/>
      <c r="IPB64" s="363"/>
      <c r="IPC64" s="364" t="s">
        <v>140</v>
      </c>
      <c r="IPD64" s="365">
        <v>0.5</v>
      </c>
      <c r="IPE64" s="366" t="e">
        <f>10/IPA62</f>
        <v>#DIV/0!</v>
      </c>
      <c r="IPF64" s="367">
        <v>15.38</v>
      </c>
      <c r="IPG64" s="367" t="e">
        <f>IPD64*IPE64*IPF64</f>
        <v>#DIV/0!</v>
      </c>
      <c r="IPH64" s="363" t="s">
        <v>153</v>
      </c>
      <c r="IPI64" s="363"/>
      <c r="IPJ64" s="363"/>
      <c r="IPK64" s="364" t="s">
        <v>140</v>
      </c>
      <c r="IPL64" s="365">
        <v>0.5</v>
      </c>
      <c r="IPM64" s="366" t="e">
        <f>10/IPI62</f>
        <v>#DIV/0!</v>
      </c>
      <c r="IPN64" s="367">
        <v>15.38</v>
      </c>
      <c r="IPO64" s="367" t="e">
        <f>IPL64*IPM64*IPN64</f>
        <v>#DIV/0!</v>
      </c>
      <c r="IPP64" s="363" t="s">
        <v>153</v>
      </c>
      <c r="IPQ64" s="363"/>
      <c r="IPR64" s="363"/>
      <c r="IPS64" s="364" t="s">
        <v>140</v>
      </c>
      <c r="IPT64" s="365">
        <v>0.5</v>
      </c>
      <c r="IPU64" s="366" t="e">
        <f>10/IPQ62</f>
        <v>#DIV/0!</v>
      </c>
      <c r="IPV64" s="367">
        <v>15.38</v>
      </c>
      <c r="IPW64" s="367" t="e">
        <f>IPT64*IPU64*IPV64</f>
        <v>#DIV/0!</v>
      </c>
      <c r="IPX64" s="363" t="s">
        <v>153</v>
      </c>
      <c r="IPY64" s="363"/>
      <c r="IPZ64" s="363"/>
      <c r="IQA64" s="364" t="s">
        <v>140</v>
      </c>
      <c r="IQB64" s="365">
        <v>0.5</v>
      </c>
      <c r="IQC64" s="366" t="e">
        <f>10/IPY62</f>
        <v>#DIV/0!</v>
      </c>
      <c r="IQD64" s="367">
        <v>15.38</v>
      </c>
      <c r="IQE64" s="367" t="e">
        <f>IQB64*IQC64*IQD64</f>
        <v>#DIV/0!</v>
      </c>
      <c r="IQF64" s="363" t="s">
        <v>153</v>
      </c>
      <c r="IQG64" s="363"/>
      <c r="IQH64" s="363"/>
      <c r="IQI64" s="364" t="s">
        <v>140</v>
      </c>
      <c r="IQJ64" s="365">
        <v>0.5</v>
      </c>
      <c r="IQK64" s="366" t="e">
        <f>10/IQG62</f>
        <v>#DIV/0!</v>
      </c>
      <c r="IQL64" s="367">
        <v>15.38</v>
      </c>
      <c r="IQM64" s="367" t="e">
        <f>IQJ64*IQK64*IQL64</f>
        <v>#DIV/0!</v>
      </c>
      <c r="IQN64" s="363" t="s">
        <v>153</v>
      </c>
      <c r="IQO64" s="363"/>
      <c r="IQP64" s="363"/>
      <c r="IQQ64" s="364" t="s">
        <v>140</v>
      </c>
      <c r="IQR64" s="365">
        <v>0.5</v>
      </c>
      <c r="IQS64" s="366" t="e">
        <f>10/IQO62</f>
        <v>#DIV/0!</v>
      </c>
      <c r="IQT64" s="367">
        <v>15.38</v>
      </c>
      <c r="IQU64" s="367" t="e">
        <f>IQR64*IQS64*IQT64</f>
        <v>#DIV/0!</v>
      </c>
      <c r="IQV64" s="363" t="s">
        <v>153</v>
      </c>
      <c r="IQW64" s="363"/>
      <c r="IQX64" s="363"/>
      <c r="IQY64" s="364" t="s">
        <v>140</v>
      </c>
      <c r="IQZ64" s="365">
        <v>0.5</v>
      </c>
      <c r="IRA64" s="366" t="e">
        <f>10/IQW62</f>
        <v>#DIV/0!</v>
      </c>
      <c r="IRB64" s="367">
        <v>15.38</v>
      </c>
      <c r="IRC64" s="367" t="e">
        <f>IQZ64*IRA64*IRB64</f>
        <v>#DIV/0!</v>
      </c>
      <c r="IRD64" s="363" t="s">
        <v>153</v>
      </c>
      <c r="IRE64" s="363"/>
      <c r="IRF64" s="363"/>
      <c r="IRG64" s="364" t="s">
        <v>140</v>
      </c>
      <c r="IRH64" s="365">
        <v>0.5</v>
      </c>
      <c r="IRI64" s="366" t="e">
        <f>10/IRE62</f>
        <v>#DIV/0!</v>
      </c>
      <c r="IRJ64" s="367">
        <v>15.38</v>
      </c>
      <c r="IRK64" s="367" t="e">
        <f>IRH64*IRI64*IRJ64</f>
        <v>#DIV/0!</v>
      </c>
      <c r="IRL64" s="363" t="s">
        <v>153</v>
      </c>
      <c r="IRM64" s="363"/>
      <c r="IRN64" s="363"/>
      <c r="IRO64" s="364" t="s">
        <v>140</v>
      </c>
      <c r="IRP64" s="365">
        <v>0.5</v>
      </c>
      <c r="IRQ64" s="366" t="e">
        <f>10/IRM62</f>
        <v>#DIV/0!</v>
      </c>
      <c r="IRR64" s="367">
        <v>15.38</v>
      </c>
      <c r="IRS64" s="367" t="e">
        <f>IRP64*IRQ64*IRR64</f>
        <v>#DIV/0!</v>
      </c>
      <c r="IRT64" s="363" t="s">
        <v>153</v>
      </c>
      <c r="IRU64" s="363"/>
      <c r="IRV64" s="363"/>
      <c r="IRW64" s="364" t="s">
        <v>140</v>
      </c>
      <c r="IRX64" s="365">
        <v>0.5</v>
      </c>
      <c r="IRY64" s="366" t="e">
        <f>10/IRU62</f>
        <v>#DIV/0!</v>
      </c>
      <c r="IRZ64" s="367">
        <v>15.38</v>
      </c>
      <c r="ISA64" s="367" t="e">
        <f>IRX64*IRY64*IRZ64</f>
        <v>#DIV/0!</v>
      </c>
      <c r="ISB64" s="363" t="s">
        <v>153</v>
      </c>
      <c r="ISC64" s="363"/>
      <c r="ISD64" s="363"/>
      <c r="ISE64" s="364" t="s">
        <v>140</v>
      </c>
      <c r="ISF64" s="365">
        <v>0.5</v>
      </c>
      <c r="ISG64" s="366" t="e">
        <f>10/ISC62</f>
        <v>#DIV/0!</v>
      </c>
      <c r="ISH64" s="367">
        <v>15.38</v>
      </c>
      <c r="ISI64" s="367" t="e">
        <f>ISF64*ISG64*ISH64</f>
        <v>#DIV/0!</v>
      </c>
      <c r="ISJ64" s="363" t="s">
        <v>153</v>
      </c>
      <c r="ISK64" s="363"/>
      <c r="ISL64" s="363"/>
      <c r="ISM64" s="364" t="s">
        <v>140</v>
      </c>
      <c r="ISN64" s="365">
        <v>0.5</v>
      </c>
      <c r="ISO64" s="366" t="e">
        <f>10/ISK62</f>
        <v>#DIV/0!</v>
      </c>
      <c r="ISP64" s="367">
        <v>15.38</v>
      </c>
      <c r="ISQ64" s="367" t="e">
        <f>ISN64*ISO64*ISP64</f>
        <v>#DIV/0!</v>
      </c>
      <c r="ISR64" s="363" t="s">
        <v>153</v>
      </c>
      <c r="ISS64" s="363"/>
      <c r="IST64" s="363"/>
      <c r="ISU64" s="364" t="s">
        <v>140</v>
      </c>
      <c r="ISV64" s="365">
        <v>0.5</v>
      </c>
      <c r="ISW64" s="366" t="e">
        <f>10/ISS62</f>
        <v>#DIV/0!</v>
      </c>
      <c r="ISX64" s="367">
        <v>15.38</v>
      </c>
      <c r="ISY64" s="367" t="e">
        <f>ISV64*ISW64*ISX64</f>
        <v>#DIV/0!</v>
      </c>
      <c r="ISZ64" s="363" t="s">
        <v>153</v>
      </c>
      <c r="ITA64" s="363"/>
      <c r="ITB64" s="363"/>
      <c r="ITC64" s="364" t="s">
        <v>140</v>
      </c>
      <c r="ITD64" s="365">
        <v>0.5</v>
      </c>
      <c r="ITE64" s="366" t="e">
        <f>10/ITA62</f>
        <v>#DIV/0!</v>
      </c>
      <c r="ITF64" s="367">
        <v>15.38</v>
      </c>
      <c r="ITG64" s="367" t="e">
        <f>ITD64*ITE64*ITF64</f>
        <v>#DIV/0!</v>
      </c>
      <c r="ITH64" s="363" t="s">
        <v>153</v>
      </c>
      <c r="ITI64" s="363"/>
      <c r="ITJ64" s="363"/>
      <c r="ITK64" s="364" t="s">
        <v>140</v>
      </c>
      <c r="ITL64" s="365">
        <v>0.5</v>
      </c>
      <c r="ITM64" s="366" t="e">
        <f>10/ITI62</f>
        <v>#DIV/0!</v>
      </c>
      <c r="ITN64" s="367">
        <v>15.38</v>
      </c>
      <c r="ITO64" s="367" t="e">
        <f>ITL64*ITM64*ITN64</f>
        <v>#DIV/0!</v>
      </c>
      <c r="ITP64" s="363" t="s">
        <v>153</v>
      </c>
      <c r="ITQ64" s="363"/>
      <c r="ITR64" s="363"/>
      <c r="ITS64" s="364" t="s">
        <v>140</v>
      </c>
      <c r="ITT64" s="365">
        <v>0.5</v>
      </c>
      <c r="ITU64" s="366" t="e">
        <f>10/ITQ62</f>
        <v>#DIV/0!</v>
      </c>
      <c r="ITV64" s="367">
        <v>15.38</v>
      </c>
      <c r="ITW64" s="367" t="e">
        <f>ITT64*ITU64*ITV64</f>
        <v>#DIV/0!</v>
      </c>
      <c r="ITX64" s="363" t="s">
        <v>153</v>
      </c>
      <c r="ITY64" s="363"/>
      <c r="ITZ64" s="363"/>
      <c r="IUA64" s="364" t="s">
        <v>140</v>
      </c>
      <c r="IUB64" s="365">
        <v>0.5</v>
      </c>
      <c r="IUC64" s="366" t="e">
        <f>10/ITY62</f>
        <v>#DIV/0!</v>
      </c>
      <c r="IUD64" s="367">
        <v>15.38</v>
      </c>
      <c r="IUE64" s="367" t="e">
        <f>IUB64*IUC64*IUD64</f>
        <v>#DIV/0!</v>
      </c>
      <c r="IUF64" s="363" t="s">
        <v>153</v>
      </c>
      <c r="IUG64" s="363"/>
      <c r="IUH64" s="363"/>
      <c r="IUI64" s="364" t="s">
        <v>140</v>
      </c>
      <c r="IUJ64" s="365">
        <v>0.5</v>
      </c>
      <c r="IUK64" s="366" t="e">
        <f>10/IUG62</f>
        <v>#DIV/0!</v>
      </c>
      <c r="IUL64" s="367">
        <v>15.38</v>
      </c>
      <c r="IUM64" s="367" t="e">
        <f>IUJ64*IUK64*IUL64</f>
        <v>#DIV/0!</v>
      </c>
      <c r="IUN64" s="363" t="s">
        <v>153</v>
      </c>
      <c r="IUO64" s="363"/>
      <c r="IUP64" s="363"/>
      <c r="IUQ64" s="364" t="s">
        <v>140</v>
      </c>
      <c r="IUR64" s="365">
        <v>0.5</v>
      </c>
      <c r="IUS64" s="366" t="e">
        <f>10/IUO62</f>
        <v>#DIV/0!</v>
      </c>
      <c r="IUT64" s="367">
        <v>15.38</v>
      </c>
      <c r="IUU64" s="367" t="e">
        <f>IUR64*IUS64*IUT64</f>
        <v>#DIV/0!</v>
      </c>
      <c r="IUV64" s="363" t="s">
        <v>153</v>
      </c>
      <c r="IUW64" s="363"/>
      <c r="IUX64" s="363"/>
      <c r="IUY64" s="364" t="s">
        <v>140</v>
      </c>
      <c r="IUZ64" s="365">
        <v>0.5</v>
      </c>
      <c r="IVA64" s="366" t="e">
        <f>10/IUW62</f>
        <v>#DIV/0!</v>
      </c>
      <c r="IVB64" s="367">
        <v>15.38</v>
      </c>
      <c r="IVC64" s="367" t="e">
        <f>IUZ64*IVA64*IVB64</f>
        <v>#DIV/0!</v>
      </c>
      <c r="IVD64" s="363" t="s">
        <v>153</v>
      </c>
      <c r="IVE64" s="363"/>
      <c r="IVF64" s="363"/>
      <c r="IVG64" s="364" t="s">
        <v>140</v>
      </c>
      <c r="IVH64" s="365">
        <v>0.5</v>
      </c>
      <c r="IVI64" s="366" t="e">
        <f>10/IVE62</f>
        <v>#DIV/0!</v>
      </c>
      <c r="IVJ64" s="367">
        <v>15.38</v>
      </c>
      <c r="IVK64" s="367" t="e">
        <f>IVH64*IVI64*IVJ64</f>
        <v>#DIV/0!</v>
      </c>
      <c r="IVL64" s="363" t="s">
        <v>153</v>
      </c>
      <c r="IVM64" s="363"/>
      <c r="IVN64" s="363"/>
      <c r="IVO64" s="364" t="s">
        <v>140</v>
      </c>
      <c r="IVP64" s="365">
        <v>0.5</v>
      </c>
      <c r="IVQ64" s="366" t="e">
        <f>10/IVM62</f>
        <v>#DIV/0!</v>
      </c>
      <c r="IVR64" s="367">
        <v>15.38</v>
      </c>
      <c r="IVS64" s="367" t="e">
        <f>IVP64*IVQ64*IVR64</f>
        <v>#DIV/0!</v>
      </c>
      <c r="IVT64" s="363" t="s">
        <v>153</v>
      </c>
      <c r="IVU64" s="363"/>
      <c r="IVV64" s="363"/>
      <c r="IVW64" s="364" t="s">
        <v>140</v>
      </c>
      <c r="IVX64" s="365">
        <v>0.5</v>
      </c>
      <c r="IVY64" s="366" t="e">
        <f>10/IVU62</f>
        <v>#DIV/0!</v>
      </c>
      <c r="IVZ64" s="367">
        <v>15.38</v>
      </c>
      <c r="IWA64" s="367" t="e">
        <f>IVX64*IVY64*IVZ64</f>
        <v>#DIV/0!</v>
      </c>
      <c r="IWB64" s="363" t="s">
        <v>153</v>
      </c>
      <c r="IWC64" s="363"/>
      <c r="IWD64" s="363"/>
      <c r="IWE64" s="364" t="s">
        <v>140</v>
      </c>
      <c r="IWF64" s="365">
        <v>0.5</v>
      </c>
      <c r="IWG64" s="366" t="e">
        <f>10/IWC62</f>
        <v>#DIV/0!</v>
      </c>
      <c r="IWH64" s="367">
        <v>15.38</v>
      </c>
      <c r="IWI64" s="367" t="e">
        <f>IWF64*IWG64*IWH64</f>
        <v>#DIV/0!</v>
      </c>
      <c r="IWJ64" s="363" t="s">
        <v>153</v>
      </c>
      <c r="IWK64" s="363"/>
      <c r="IWL64" s="363"/>
      <c r="IWM64" s="364" t="s">
        <v>140</v>
      </c>
      <c r="IWN64" s="365">
        <v>0.5</v>
      </c>
      <c r="IWO64" s="366" t="e">
        <f>10/IWK62</f>
        <v>#DIV/0!</v>
      </c>
      <c r="IWP64" s="367">
        <v>15.38</v>
      </c>
      <c r="IWQ64" s="367" t="e">
        <f>IWN64*IWO64*IWP64</f>
        <v>#DIV/0!</v>
      </c>
      <c r="IWR64" s="363" t="s">
        <v>153</v>
      </c>
      <c r="IWS64" s="363"/>
      <c r="IWT64" s="363"/>
      <c r="IWU64" s="364" t="s">
        <v>140</v>
      </c>
      <c r="IWV64" s="365">
        <v>0.5</v>
      </c>
      <c r="IWW64" s="366" t="e">
        <f>10/IWS62</f>
        <v>#DIV/0!</v>
      </c>
      <c r="IWX64" s="367">
        <v>15.38</v>
      </c>
      <c r="IWY64" s="367" t="e">
        <f>IWV64*IWW64*IWX64</f>
        <v>#DIV/0!</v>
      </c>
      <c r="IWZ64" s="363" t="s">
        <v>153</v>
      </c>
      <c r="IXA64" s="363"/>
      <c r="IXB64" s="363"/>
      <c r="IXC64" s="364" t="s">
        <v>140</v>
      </c>
      <c r="IXD64" s="365">
        <v>0.5</v>
      </c>
      <c r="IXE64" s="366" t="e">
        <f>10/IXA62</f>
        <v>#DIV/0!</v>
      </c>
      <c r="IXF64" s="367">
        <v>15.38</v>
      </c>
      <c r="IXG64" s="367" t="e">
        <f>IXD64*IXE64*IXF64</f>
        <v>#DIV/0!</v>
      </c>
      <c r="IXH64" s="363" t="s">
        <v>153</v>
      </c>
      <c r="IXI64" s="363"/>
      <c r="IXJ64" s="363"/>
      <c r="IXK64" s="364" t="s">
        <v>140</v>
      </c>
      <c r="IXL64" s="365">
        <v>0.5</v>
      </c>
      <c r="IXM64" s="366" t="e">
        <f>10/IXI62</f>
        <v>#DIV/0!</v>
      </c>
      <c r="IXN64" s="367">
        <v>15.38</v>
      </c>
      <c r="IXO64" s="367" t="e">
        <f>IXL64*IXM64*IXN64</f>
        <v>#DIV/0!</v>
      </c>
      <c r="IXP64" s="363" t="s">
        <v>153</v>
      </c>
      <c r="IXQ64" s="363"/>
      <c r="IXR64" s="363"/>
      <c r="IXS64" s="364" t="s">
        <v>140</v>
      </c>
      <c r="IXT64" s="365">
        <v>0.5</v>
      </c>
      <c r="IXU64" s="366" t="e">
        <f>10/IXQ62</f>
        <v>#DIV/0!</v>
      </c>
      <c r="IXV64" s="367">
        <v>15.38</v>
      </c>
      <c r="IXW64" s="367" t="e">
        <f>IXT64*IXU64*IXV64</f>
        <v>#DIV/0!</v>
      </c>
      <c r="IXX64" s="363" t="s">
        <v>153</v>
      </c>
      <c r="IXY64" s="363"/>
      <c r="IXZ64" s="363"/>
      <c r="IYA64" s="364" t="s">
        <v>140</v>
      </c>
      <c r="IYB64" s="365">
        <v>0.5</v>
      </c>
      <c r="IYC64" s="366" t="e">
        <f>10/IXY62</f>
        <v>#DIV/0!</v>
      </c>
      <c r="IYD64" s="367">
        <v>15.38</v>
      </c>
      <c r="IYE64" s="367" t="e">
        <f>IYB64*IYC64*IYD64</f>
        <v>#DIV/0!</v>
      </c>
      <c r="IYF64" s="363" t="s">
        <v>153</v>
      </c>
      <c r="IYG64" s="363"/>
      <c r="IYH64" s="363"/>
      <c r="IYI64" s="364" t="s">
        <v>140</v>
      </c>
      <c r="IYJ64" s="365">
        <v>0.5</v>
      </c>
      <c r="IYK64" s="366" t="e">
        <f>10/IYG62</f>
        <v>#DIV/0!</v>
      </c>
      <c r="IYL64" s="367">
        <v>15.38</v>
      </c>
      <c r="IYM64" s="367" t="e">
        <f>IYJ64*IYK64*IYL64</f>
        <v>#DIV/0!</v>
      </c>
      <c r="IYN64" s="363" t="s">
        <v>153</v>
      </c>
      <c r="IYO64" s="363"/>
      <c r="IYP64" s="363"/>
      <c r="IYQ64" s="364" t="s">
        <v>140</v>
      </c>
      <c r="IYR64" s="365">
        <v>0.5</v>
      </c>
      <c r="IYS64" s="366" t="e">
        <f>10/IYO62</f>
        <v>#DIV/0!</v>
      </c>
      <c r="IYT64" s="367">
        <v>15.38</v>
      </c>
      <c r="IYU64" s="367" t="e">
        <f>IYR64*IYS64*IYT64</f>
        <v>#DIV/0!</v>
      </c>
      <c r="IYV64" s="363" t="s">
        <v>153</v>
      </c>
      <c r="IYW64" s="363"/>
      <c r="IYX64" s="363"/>
      <c r="IYY64" s="364" t="s">
        <v>140</v>
      </c>
      <c r="IYZ64" s="365">
        <v>0.5</v>
      </c>
      <c r="IZA64" s="366" t="e">
        <f>10/IYW62</f>
        <v>#DIV/0!</v>
      </c>
      <c r="IZB64" s="367">
        <v>15.38</v>
      </c>
      <c r="IZC64" s="367" t="e">
        <f>IYZ64*IZA64*IZB64</f>
        <v>#DIV/0!</v>
      </c>
      <c r="IZD64" s="363" t="s">
        <v>153</v>
      </c>
      <c r="IZE64" s="363"/>
      <c r="IZF64" s="363"/>
      <c r="IZG64" s="364" t="s">
        <v>140</v>
      </c>
      <c r="IZH64" s="365">
        <v>0.5</v>
      </c>
      <c r="IZI64" s="366" t="e">
        <f>10/IZE62</f>
        <v>#DIV/0!</v>
      </c>
      <c r="IZJ64" s="367">
        <v>15.38</v>
      </c>
      <c r="IZK64" s="367" t="e">
        <f>IZH64*IZI64*IZJ64</f>
        <v>#DIV/0!</v>
      </c>
      <c r="IZL64" s="363" t="s">
        <v>153</v>
      </c>
      <c r="IZM64" s="363"/>
      <c r="IZN64" s="363"/>
      <c r="IZO64" s="364" t="s">
        <v>140</v>
      </c>
      <c r="IZP64" s="365">
        <v>0.5</v>
      </c>
      <c r="IZQ64" s="366" t="e">
        <f>10/IZM62</f>
        <v>#DIV/0!</v>
      </c>
      <c r="IZR64" s="367">
        <v>15.38</v>
      </c>
      <c r="IZS64" s="367" t="e">
        <f>IZP64*IZQ64*IZR64</f>
        <v>#DIV/0!</v>
      </c>
      <c r="IZT64" s="363" t="s">
        <v>153</v>
      </c>
      <c r="IZU64" s="363"/>
      <c r="IZV64" s="363"/>
      <c r="IZW64" s="364" t="s">
        <v>140</v>
      </c>
      <c r="IZX64" s="365">
        <v>0.5</v>
      </c>
      <c r="IZY64" s="366" t="e">
        <f>10/IZU62</f>
        <v>#DIV/0!</v>
      </c>
      <c r="IZZ64" s="367">
        <v>15.38</v>
      </c>
      <c r="JAA64" s="367" t="e">
        <f>IZX64*IZY64*IZZ64</f>
        <v>#DIV/0!</v>
      </c>
      <c r="JAB64" s="363" t="s">
        <v>153</v>
      </c>
      <c r="JAC64" s="363"/>
      <c r="JAD64" s="363"/>
      <c r="JAE64" s="364" t="s">
        <v>140</v>
      </c>
      <c r="JAF64" s="365">
        <v>0.5</v>
      </c>
      <c r="JAG64" s="366" t="e">
        <f>10/JAC62</f>
        <v>#DIV/0!</v>
      </c>
      <c r="JAH64" s="367">
        <v>15.38</v>
      </c>
      <c r="JAI64" s="367" t="e">
        <f>JAF64*JAG64*JAH64</f>
        <v>#DIV/0!</v>
      </c>
      <c r="JAJ64" s="363" t="s">
        <v>153</v>
      </c>
      <c r="JAK64" s="363"/>
      <c r="JAL64" s="363"/>
      <c r="JAM64" s="364" t="s">
        <v>140</v>
      </c>
      <c r="JAN64" s="365">
        <v>0.5</v>
      </c>
      <c r="JAO64" s="366" t="e">
        <f>10/JAK62</f>
        <v>#DIV/0!</v>
      </c>
      <c r="JAP64" s="367">
        <v>15.38</v>
      </c>
      <c r="JAQ64" s="367" t="e">
        <f>JAN64*JAO64*JAP64</f>
        <v>#DIV/0!</v>
      </c>
      <c r="JAR64" s="363" t="s">
        <v>153</v>
      </c>
      <c r="JAS64" s="363"/>
      <c r="JAT64" s="363"/>
      <c r="JAU64" s="364" t="s">
        <v>140</v>
      </c>
      <c r="JAV64" s="365">
        <v>0.5</v>
      </c>
      <c r="JAW64" s="366" t="e">
        <f>10/JAS62</f>
        <v>#DIV/0!</v>
      </c>
      <c r="JAX64" s="367">
        <v>15.38</v>
      </c>
      <c r="JAY64" s="367" t="e">
        <f>JAV64*JAW64*JAX64</f>
        <v>#DIV/0!</v>
      </c>
      <c r="JAZ64" s="363" t="s">
        <v>153</v>
      </c>
      <c r="JBA64" s="363"/>
      <c r="JBB64" s="363"/>
      <c r="JBC64" s="364" t="s">
        <v>140</v>
      </c>
      <c r="JBD64" s="365">
        <v>0.5</v>
      </c>
      <c r="JBE64" s="366" t="e">
        <f>10/JBA62</f>
        <v>#DIV/0!</v>
      </c>
      <c r="JBF64" s="367">
        <v>15.38</v>
      </c>
      <c r="JBG64" s="367" t="e">
        <f>JBD64*JBE64*JBF64</f>
        <v>#DIV/0!</v>
      </c>
      <c r="JBH64" s="363" t="s">
        <v>153</v>
      </c>
      <c r="JBI64" s="363"/>
      <c r="JBJ64" s="363"/>
      <c r="JBK64" s="364" t="s">
        <v>140</v>
      </c>
      <c r="JBL64" s="365">
        <v>0.5</v>
      </c>
      <c r="JBM64" s="366" t="e">
        <f>10/JBI62</f>
        <v>#DIV/0!</v>
      </c>
      <c r="JBN64" s="367">
        <v>15.38</v>
      </c>
      <c r="JBO64" s="367" t="e">
        <f>JBL64*JBM64*JBN64</f>
        <v>#DIV/0!</v>
      </c>
      <c r="JBP64" s="363" t="s">
        <v>153</v>
      </c>
      <c r="JBQ64" s="363"/>
      <c r="JBR64" s="363"/>
      <c r="JBS64" s="364" t="s">
        <v>140</v>
      </c>
      <c r="JBT64" s="365">
        <v>0.5</v>
      </c>
      <c r="JBU64" s="366" t="e">
        <f>10/JBQ62</f>
        <v>#DIV/0!</v>
      </c>
      <c r="JBV64" s="367">
        <v>15.38</v>
      </c>
      <c r="JBW64" s="367" t="e">
        <f>JBT64*JBU64*JBV64</f>
        <v>#DIV/0!</v>
      </c>
      <c r="JBX64" s="363" t="s">
        <v>153</v>
      </c>
      <c r="JBY64" s="363"/>
      <c r="JBZ64" s="363"/>
      <c r="JCA64" s="364" t="s">
        <v>140</v>
      </c>
      <c r="JCB64" s="365">
        <v>0.5</v>
      </c>
      <c r="JCC64" s="366" t="e">
        <f>10/JBY62</f>
        <v>#DIV/0!</v>
      </c>
      <c r="JCD64" s="367">
        <v>15.38</v>
      </c>
      <c r="JCE64" s="367" t="e">
        <f>JCB64*JCC64*JCD64</f>
        <v>#DIV/0!</v>
      </c>
      <c r="JCF64" s="363" t="s">
        <v>153</v>
      </c>
      <c r="JCG64" s="363"/>
      <c r="JCH64" s="363"/>
      <c r="JCI64" s="364" t="s">
        <v>140</v>
      </c>
      <c r="JCJ64" s="365">
        <v>0.5</v>
      </c>
      <c r="JCK64" s="366" t="e">
        <f>10/JCG62</f>
        <v>#DIV/0!</v>
      </c>
      <c r="JCL64" s="367">
        <v>15.38</v>
      </c>
      <c r="JCM64" s="367" t="e">
        <f>JCJ64*JCK64*JCL64</f>
        <v>#DIV/0!</v>
      </c>
      <c r="JCN64" s="363" t="s">
        <v>153</v>
      </c>
      <c r="JCO64" s="363"/>
      <c r="JCP64" s="363"/>
      <c r="JCQ64" s="364" t="s">
        <v>140</v>
      </c>
      <c r="JCR64" s="365">
        <v>0.5</v>
      </c>
      <c r="JCS64" s="366" t="e">
        <f>10/JCO62</f>
        <v>#DIV/0!</v>
      </c>
      <c r="JCT64" s="367">
        <v>15.38</v>
      </c>
      <c r="JCU64" s="367" t="e">
        <f>JCR64*JCS64*JCT64</f>
        <v>#DIV/0!</v>
      </c>
      <c r="JCV64" s="363" t="s">
        <v>153</v>
      </c>
      <c r="JCW64" s="363"/>
      <c r="JCX64" s="363"/>
      <c r="JCY64" s="364" t="s">
        <v>140</v>
      </c>
      <c r="JCZ64" s="365">
        <v>0.5</v>
      </c>
      <c r="JDA64" s="366" t="e">
        <f>10/JCW62</f>
        <v>#DIV/0!</v>
      </c>
      <c r="JDB64" s="367">
        <v>15.38</v>
      </c>
      <c r="JDC64" s="367" t="e">
        <f>JCZ64*JDA64*JDB64</f>
        <v>#DIV/0!</v>
      </c>
      <c r="JDD64" s="363" t="s">
        <v>153</v>
      </c>
      <c r="JDE64" s="363"/>
      <c r="JDF64" s="363"/>
      <c r="JDG64" s="364" t="s">
        <v>140</v>
      </c>
      <c r="JDH64" s="365">
        <v>0.5</v>
      </c>
      <c r="JDI64" s="366" t="e">
        <f>10/JDE62</f>
        <v>#DIV/0!</v>
      </c>
      <c r="JDJ64" s="367">
        <v>15.38</v>
      </c>
      <c r="JDK64" s="367" t="e">
        <f>JDH64*JDI64*JDJ64</f>
        <v>#DIV/0!</v>
      </c>
      <c r="JDL64" s="363" t="s">
        <v>153</v>
      </c>
      <c r="JDM64" s="363"/>
      <c r="JDN64" s="363"/>
      <c r="JDO64" s="364" t="s">
        <v>140</v>
      </c>
      <c r="JDP64" s="365">
        <v>0.5</v>
      </c>
      <c r="JDQ64" s="366" t="e">
        <f>10/JDM62</f>
        <v>#DIV/0!</v>
      </c>
      <c r="JDR64" s="367">
        <v>15.38</v>
      </c>
      <c r="JDS64" s="367" t="e">
        <f>JDP64*JDQ64*JDR64</f>
        <v>#DIV/0!</v>
      </c>
      <c r="JDT64" s="363" t="s">
        <v>153</v>
      </c>
      <c r="JDU64" s="363"/>
      <c r="JDV64" s="363"/>
      <c r="JDW64" s="364" t="s">
        <v>140</v>
      </c>
      <c r="JDX64" s="365">
        <v>0.5</v>
      </c>
      <c r="JDY64" s="366" t="e">
        <f>10/JDU62</f>
        <v>#DIV/0!</v>
      </c>
      <c r="JDZ64" s="367">
        <v>15.38</v>
      </c>
      <c r="JEA64" s="367" t="e">
        <f>JDX64*JDY64*JDZ64</f>
        <v>#DIV/0!</v>
      </c>
      <c r="JEB64" s="363" t="s">
        <v>153</v>
      </c>
      <c r="JEC64" s="363"/>
      <c r="JED64" s="363"/>
      <c r="JEE64" s="364" t="s">
        <v>140</v>
      </c>
      <c r="JEF64" s="365">
        <v>0.5</v>
      </c>
      <c r="JEG64" s="366" t="e">
        <f>10/JEC62</f>
        <v>#DIV/0!</v>
      </c>
      <c r="JEH64" s="367">
        <v>15.38</v>
      </c>
      <c r="JEI64" s="367" t="e">
        <f>JEF64*JEG64*JEH64</f>
        <v>#DIV/0!</v>
      </c>
      <c r="JEJ64" s="363" t="s">
        <v>153</v>
      </c>
      <c r="JEK64" s="363"/>
      <c r="JEL64" s="363"/>
      <c r="JEM64" s="364" t="s">
        <v>140</v>
      </c>
      <c r="JEN64" s="365">
        <v>0.5</v>
      </c>
      <c r="JEO64" s="366" t="e">
        <f>10/JEK62</f>
        <v>#DIV/0!</v>
      </c>
      <c r="JEP64" s="367">
        <v>15.38</v>
      </c>
      <c r="JEQ64" s="367" t="e">
        <f>JEN64*JEO64*JEP64</f>
        <v>#DIV/0!</v>
      </c>
      <c r="JER64" s="363" t="s">
        <v>153</v>
      </c>
      <c r="JES64" s="363"/>
      <c r="JET64" s="363"/>
      <c r="JEU64" s="364" t="s">
        <v>140</v>
      </c>
      <c r="JEV64" s="365">
        <v>0.5</v>
      </c>
      <c r="JEW64" s="366" t="e">
        <f>10/JES62</f>
        <v>#DIV/0!</v>
      </c>
      <c r="JEX64" s="367">
        <v>15.38</v>
      </c>
      <c r="JEY64" s="367" t="e">
        <f>JEV64*JEW64*JEX64</f>
        <v>#DIV/0!</v>
      </c>
      <c r="JEZ64" s="363" t="s">
        <v>153</v>
      </c>
      <c r="JFA64" s="363"/>
      <c r="JFB64" s="363"/>
      <c r="JFC64" s="364" t="s">
        <v>140</v>
      </c>
      <c r="JFD64" s="365">
        <v>0.5</v>
      </c>
      <c r="JFE64" s="366" t="e">
        <f>10/JFA62</f>
        <v>#DIV/0!</v>
      </c>
      <c r="JFF64" s="367">
        <v>15.38</v>
      </c>
      <c r="JFG64" s="367" t="e">
        <f>JFD64*JFE64*JFF64</f>
        <v>#DIV/0!</v>
      </c>
      <c r="JFH64" s="363" t="s">
        <v>153</v>
      </c>
      <c r="JFI64" s="363"/>
      <c r="JFJ64" s="363"/>
      <c r="JFK64" s="364" t="s">
        <v>140</v>
      </c>
      <c r="JFL64" s="365">
        <v>0.5</v>
      </c>
      <c r="JFM64" s="366" t="e">
        <f>10/JFI62</f>
        <v>#DIV/0!</v>
      </c>
      <c r="JFN64" s="367">
        <v>15.38</v>
      </c>
      <c r="JFO64" s="367" t="e">
        <f>JFL64*JFM64*JFN64</f>
        <v>#DIV/0!</v>
      </c>
      <c r="JFP64" s="363" t="s">
        <v>153</v>
      </c>
      <c r="JFQ64" s="363"/>
      <c r="JFR64" s="363"/>
      <c r="JFS64" s="364" t="s">
        <v>140</v>
      </c>
      <c r="JFT64" s="365">
        <v>0.5</v>
      </c>
      <c r="JFU64" s="366" t="e">
        <f>10/JFQ62</f>
        <v>#DIV/0!</v>
      </c>
      <c r="JFV64" s="367">
        <v>15.38</v>
      </c>
      <c r="JFW64" s="367" t="e">
        <f>JFT64*JFU64*JFV64</f>
        <v>#DIV/0!</v>
      </c>
      <c r="JFX64" s="363" t="s">
        <v>153</v>
      </c>
      <c r="JFY64" s="363"/>
      <c r="JFZ64" s="363"/>
      <c r="JGA64" s="364" t="s">
        <v>140</v>
      </c>
      <c r="JGB64" s="365">
        <v>0.5</v>
      </c>
      <c r="JGC64" s="366" t="e">
        <f>10/JFY62</f>
        <v>#DIV/0!</v>
      </c>
      <c r="JGD64" s="367">
        <v>15.38</v>
      </c>
      <c r="JGE64" s="367" t="e">
        <f>JGB64*JGC64*JGD64</f>
        <v>#DIV/0!</v>
      </c>
      <c r="JGF64" s="363" t="s">
        <v>153</v>
      </c>
      <c r="JGG64" s="363"/>
      <c r="JGH64" s="363"/>
      <c r="JGI64" s="364" t="s">
        <v>140</v>
      </c>
      <c r="JGJ64" s="365">
        <v>0.5</v>
      </c>
      <c r="JGK64" s="366" t="e">
        <f>10/JGG62</f>
        <v>#DIV/0!</v>
      </c>
      <c r="JGL64" s="367">
        <v>15.38</v>
      </c>
      <c r="JGM64" s="367" t="e">
        <f>JGJ64*JGK64*JGL64</f>
        <v>#DIV/0!</v>
      </c>
      <c r="JGN64" s="363" t="s">
        <v>153</v>
      </c>
      <c r="JGO64" s="363"/>
      <c r="JGP64" s="363"/>
      <c r="JGQ64" s="364" t="s">
        <v>140</v>
      </c>
      <c r="JGR64" s="365">
        <v>0.5</v>
      </c>
      <c r="JGS64" s="366" t="e">
        <f>10/JGO62</f>
        <v>#DIV/0!</v>
      </c>
      <c r="JGT64" s="367">
        <v>15.38</v>
      </c>
      <c r="JGU64" s="367" t="e">
        <f>JGR64*JGS64*JGT64</f>
        <v>#DIV/0!</v>
      </c>
      <c r="JGV64" s="363" t="s">
        <v>153</v>
      </c>
      <c r="JGW64" s="363"/>
      <c r="JGX64" s="363"/>
      <c r="JGY64" s="364" t="s">
        <v>140</v>
      </c>
      <c r="JGZ64" s="365">
        <v>0.5</v>
      </c>
      <c r="JHA64" s="366" t="e">
        <f>10/JGW62</f>
        <v>#DIV/0!</v>
      </c>
      <c r="JHB64" s="367">
        <v>15.38</v>
      </c>
      <c r="JHC64" s="367" t="e">
        <f>JGZ64*JHA64*JHB64</f>
        <v>#DIV/0!</v>
      </c>
      <c r="JHD64" s="363" t="s">
        <v>153</v>
      </c>
      <c r="JHE64" s="363"/>
      <c r="JHF64" s="363"/>
      <c r="JHG64" s="364" t="s">
        <v>140</v>
      </c>
      <c r="JHH64" s="365">
        <v>0.5</v>
      </c>
      <c r="JHI64" s="366" t="e">
        <f>10/JHE62</f>
        <v>#DIV/0!</v>
      </c>
      <c r="JHJ64" s="367">
        <v>15.38</v>
      </c>
      <c r="JHK64" s="367" t="e">
        <f>JHH64*JHI64*JHJ64</f>
        <v>#DIV/0!</v>
      </c>
      <c r="JHL64" s="363" t="s">
        <v>153</v>
      </c>
      <c r="JHM64" s="363"/>
      <c r="JHN64" s="363"/>
      <c r="JHO64" s="364" t="s">
        <v>140</v>
      </c>
      <c r="JHP64" s="365">
        <v>0.5</v>
      </c>
      <c r="JHQ64" s="366" t="e">
        <f>10/JHM62</f>
        <v>#DIV/0!</v>
      </c>
      <c r="JHR64" s="367">
        <v>15.38</v>
      </c>
      <c r="JHS64" s="367" t="e">
        <f>JHP64*JHQ64*JHR64</f>
        <v>#DIV/0!</v>
      </c>
      <c r="JHT64" s="363" t="s">
        <v>153</v>
      </c>
      <c r="JHU64" s="363"/>
      <c r="JHV64" s="363"/>
      <c r="JHW64" s="364" t="s">
        <v>140</v>
      </c>
      <c r="JHX64" s="365">
        <v>0.5</v>
      </c>
      <c r="JHY64" s="366" t="e">
        <f>10/JHU62</f>
        <v>#DIV/0!</v>
      </c>
      <c r="JHZ64" s="367">
        <v>15.38</v>
      </c>
      <c r="JIA64" s="367" t="e">
        <f>JHX64*JHY64*JHZ64</f>
        <v>#DIV/0!</v>
      </c>
      <c r="JIB64" s="363" t="s">
        <v>153</v>
      </c>
      <c r="JIC64" s="363"/>
      <c r="JID64" s="363"/>
      <c r="JIE64" s="364" t="s">
        <v>140</v>
      </c>
      <c r="JIF64" s="365">
        <v>0.5</v>
      </c>
      <c r="JIG64" s="366" t="e">
        <f>10/JIC62</f>
        <v>#DIV/0!</v>
      </c>
      <c r="JIH64" s="367">
        <v>15.38</v>
      </c>
      <c r="JII64" s="367" t="e">
        <f>JIF64*JIG64*JIH64</f>
        <v>#DIV/0!</v>
      </c>
      <c r="JIJ64" s="363" t="s">
        <v>153</v>
      </c>
      <c r="JIK64" s="363"/>
      <c r="JIL64" s="363"/>
      <c r="JIM64" s="364" t="s">
        <v>140</v>
      </c>
      <c r="JIN64" s="365">
        <v>0.5</v>
      </c>
      <c r="JIO64" s="366" t="e">
        <f>10/JIK62</f>
        <v>#DIV/0!</v>
      </c>
      <c r="JIP64" s="367">
        <v>15.38</v>
      </c>
      <c r="JIQ64" s="367" t="e">
        <f>JIN64*JIO64*JIP64</f>
        <v>#DIV/0!</v>
      </c>
      <c r="JIR64" s="363" t="s">
        <v>153</v>
      </c>
      <c r="JIS64" s="363"/>
      <c r="JIT64" s="363"/>
      <c r="JIU64" s="364" t="s">
        <v>140</v>
      </c>
      <c r="JIV64" s="365">
        <v>0.5</v>
      </c>
      <c r="JIW64" s="366" t="e">
        <f>10/JIS62</f>
        <v>#DIV/0!</v>
      </c>
      <c r="JIX64" s="367">
        <v>15.38</v>
      </c>
      <c r="JIY64" s="367" t="e">
        <f>JIV64*JIW64*JIX64</f>
        <v>#DIV/0!</v>
      </c>
      <c r="JIZ64" s="363" t="s">
        <v>153</v>
      </c>
      <c r="JJA64" s="363"/>
      <c r="JJB64" s="363"/>
      <c r="JJC64" s="364" t="s">
        <v>140</v>
      </c>
      <c r="JJD64" s="365">
        <v>0.5</v>
      </c>
      <c r="JJE64" s="366" t="e">
        <f>10/JJA62</f>
        <v>#DIV/0!</v>
      </c>
      <c r="JJF64" s="367">
        <v>15.38</v>
      </c>
      <c r="JJG64" s="367" t="e">
        <f>JJD64*JJE64*JJF64</f>
        <v>#DIV/0!</v>
      </c>
      <c r="JJH64" s="363" t="s">
        <v>153</v>
      </c>
      <c r="JJI64" s="363"/>
      <c r="JJJ64" s="363"/>
      <c r="JJK64" s="364" t="s">
        <v>140</v>
      </c>
      <c r="JJL64" s="365">
        <v>0.5</v>
      </c>
      <c r="JJM64" s="366" t="e">
        <f>10/JJI62</f>
        <v>#DIV/0!</v>
      </c>
      <c r="JJN64" s="367">
        <v>15.38</v>
      </c>
      <c r="JJO64" s="367" t="e">
        <f>JJL64*JJM64*JJN64</f>
        <v>#DIV/0!</v>
      </c>
      <c r="JJP64" s="363" t="s">
        <v>153</v>
      </c>
      <c r="JJQ64" s="363"/>
      <c r="JJR64" s="363"/>
      <c r="JJS64" s="364" t="s">
        <v>140</v>
      </c>
      <c r="JJT64" s="365">
        <v>0.5</v>
      </c>
      <c r="JJU64" s="366" t="e">
        <f>10/JJQ62</f>
        <v>#DIV/0!</v>
      </c>
      <c r="JJV64" s="367">
        <v>15.38</v>
      </c>
      <c r="JJW64" s="367" t="e">
        <f>JJT64*JJU64*JJV64</f>
        <v>#DIV/0!</v>
      </c>
      <c r="JJX64" s="363" t="s">
        <v>153</v>
      </c>
      <c r="JJY64" s="363"/>
      <c r="JJZ64" s="363"/>
      <c r="JKA64" s="364" t="s">
        <v>140</v>
      </c>
      <c r="JKB64" s="365">
        <v>0.5</v>
      </c>
      <c r="JKC64" s="366" t="e">
        <f>10/JJY62</f>
        <v>#DIV/0!</v>
      </c>
      <c r="JKD64" s="367">
        <v>15.38</v>
      </c>
      <c r="JKE64" s="367" t="e">
        <f>JKB64*JKC64*JKD64</f>
        <v>#DIV/0!</v>
      </c>
      <c r="JKF64" s="363" t="s">
        <v>153</v>
      </c>
      <c r="JKG64" s="363"/>
      <c r="JKH64" s="363"/>
      <c r="JKI64" s="364" t="s">
        <v>140</v>
      </c>
      <c r="JKJ64" s="365">
        <v>0.5</v>
      </c>
      <c r="JKK64" s="366" t="e">
        <f>10/JKG62</f>
        <v>#DIV/0!</v>
      </c>
      <c r="JKL64" s="367">
        <v>15.38</v>
      </c>
      <c r="JKM64" s="367" t="e">
        <f>JKJ64*JKK64*JKL64</f>
        <v>#DIV/0!</v>
      </c>
      <c r="JKN64" s="363" t="s">
        <v>153</v>
      </c>
      <c r="JKO64" s="363"/>
      <c r="JKP64" s="363"/>
      <c r="JKQ64" s="364" t="s">
        <v>140</v>
      </c>
      <c r="JKR64" s="365">
        <v>0.5</v>
      </c>
      <c r="JKS64" s="366" t="e">
        <f>10/JKO62</f>
        <v>#DIV/0!</v>
      </c>
      <c r="JKT64" s="367">
        <v>15.38</v>
      </c>
      <c r="JKU64" s="367" t="e">
        <f>JKR64*JKS64*JKT64</f>
        <v>#DIV/0!</v>
      </c>
      <c r="JKV64" s="363" t="s">
        <v>153</v>
      </c>
      <c r="JKW64" s="363"/>
      <c r="JKX64" s="363"/>
      <c r="JKY64" s="364" t="s">
        <v>140</v>
      </c>
      <c r="JKZ64" s="365">
        <v>0.5</v>
      </c>
      <c r="JLA64" s="366" t="e">
        <f>10/JKW62</f>
        <v>#DIV/0!</v>
      </c>
      <c r="JLB64" s="367">
        <v>15.38</v>
      </c>
      <c r="JLC64" s="367" t="e">
        <f>JKZ64*JLA64*JLB64</f>
        <v>#DIV/0!</v>
      </c>
      <c r="JLD64" s="363" t="s">
        <v>153</v>
      </c>
      <c r="JLE64" s="363"/>
      <c r="JLF64" s="363"/>
      <c r="JLG64" s="364" t="s">
        <v>140</v>
      </c>
      <c r="JLH64" s="365">
        <v>0.5</v>
      </c>
      <c r="JLI64" s="366" t="e">
        <f>10/JLE62</f>
        <v>#DIV/0!</v>
      </c>
      <c r="JLJ64" s="367">
        <v>15.38</v>
      </c>
      <c r="JLK64" s="367" t="e">
        <f>JLH64*JLI64*JLJ64</f>
        <v>#DIV/0!</v>
      </c>
      <c r="JLL64" s="363" t="s">
        <v>153</v>
      </c>
      <c r="JLM64" s="363"/>
      <c r="JLN64" s="363"/>
      <c r="JLO64" s="364" t="s">
        <v>140</v>
      </c>
      <c r="JLP64" s="365">
        <v>0.5</v>
      </c>
      <c r="JLQ64" s="366" t="e">
        <f>10/JLM62</f>
        <v>#DIV/0!</v>
      </c>
      <c r="JLR64" s="367">
        <v>15.38</v>
      </c>
      <c r="JLS64" s="367" t="e">
        <f>JLP64*JLQ64*JLR64</f>
        <v>#DIV/0!</v>
      </c>
      <c r="JLT64" s="363" t="s">
        <v>153</v>
      </c>
      <c r="JLU64" s="363"/>
      <c r="JLV64" s="363"/>
      <c r="JLW64" s="364" t="s">
        <v>140</v>
      </c>
      <c r="JLX64" s="365">
        <v>0.5</v>
      </c>
      <c r="JLY64" s="366" t="e">
        <f>10/JLU62</f>
        <v>#DIV/0!</v>
      </c>
      <c r="JLZ64" s="367">
        <v>15.38</v>
      </c>
      <c r="JMA64" s="367" t="e">
        <f>JLX64*JLY64*JLZ64</f>
        <v>#DIV/0!</v>
      </c>
      <c r="JMB64" s="363" t="s">
        <v>153</v>
      </c>
      <c r="JMC64" s="363"/>
      <c r="JMD64" s="363"/>
      <c r="JME64" s="364" t="s">
        <v>140</v>
      </c>
      <c r="JMF64" s="365">
        <v>0.5</v>
      </c>
      <c r="JMG64" s="366" t="e">
        <f>10/JMC62</f>
        <v>#DIV/0!</v>
      </c>
      <c r="JMH64" s="367">
        <v>15.38</v>
      </c>
      <c r="JMI64" s="367" t="e">
        <f>JMF64*JMG64*JMH64</f>
        <v>#DIV/0!</v>
      </c>
      <c r="JMJ64" s="363" t="s">
        <v>153</v>
      </c>
      <c r="JMK64" s="363"/>
      <c r="JML64" s="363"/>
      <c r="JMM64" s="364" t="s">
        <v>140</v>
      </c>
      <c r="JMN64" s="365">
        <v>0.5</v>
      </c>
      <c r="JMO64" s="366" t="e">
        <f>10/JMK62</f>
        <v>#DIV/0!</v>
      </c>
      <c r="JMP64" s="367">
        <v>15.38</v>
      </c>
      <c r="JMQ64" s="367" t="e">
        <f>JMN64*JMO64*JMP64</f>
        <v>#DIV/0!</v>
      </c>
      <c r="JMR64" s="363" t="s">
        <v>153</v>
      </c>
      <c r="JMS64" s="363"/>
      <c r="JMT64" s="363"/>
      <c r="JMU64" s="364" t="s">
        <v>140</v>
      </c>
      <c r="JMV64" s="365">
        <v>0.5</v>
      </c>
      <c r="JMW64" s="366" t="e">
        <f>10/JMS62</f>
        <v>#DIV/0!</v>
      </c>
      <c r="JMX64" s="367">
        <v>15.38</v>
      </c>
      <c r="JMY64" s="367" t="e">
        <f>JMV64*JMW64*JMX64</f>
        <v>#DIV/0!</v>
      </c>
      <c r="JMZ64" s="363" t="s">
        <v>153</v>
      </c>
      <c r="JNA64" s="363"/>
      <c r="JNB64" s="363"/>
      <c r="JNC64" s="364" t="s">
        <v>140</v>
      </c>
      <c r="JND64" s="365">
        <v>0.5</v>
      </c>
      <c r="JNE64" s="366" t="e">
        <f>10/JNA62</f>
        <v>#DIV/0!</v>
      </c>
      <c r="JNF64" s="367">
        <v>15.38</v>
      </c>
      <c r="JNG64" s="367" t="e">
        <f>JND64*JNE64*JNF64</f>
        <v>#DIV/0!</v>
      </c>
      <c r="JNH64" s="363" t="s">
        <v>153</v>
      </c>
      <c r="JNI64" s="363"/>
      <c r="JNJ64" s="363"/>
      <c r="JNK64" s="364" t="s">
        <v>140</v>
      </c>
      <c r="JNL64" s="365">
        <v>0.5</v>
      </c>
      <c r="JNM64" s="366" t="e">
        <f>10/JNI62</f>
        <v>#DIV/0!</v>
      </c>
      <c r="JNN64" s="367">
        <v>15.38</v>
      </c>
      <c r="JNO64" s="367" t="e">
        <f>JNL64*JNM64*JNN64</f>
        <v>#DIV/0!</v>
      </c>
      <c r="JNP64" s="363" t="s">
        <v>153</v>
      </c>
      <c r="JNQ64" s="363"/>
      <c r="JNR64" s="363"/>
      <c r="JNS64" s="364" t="s">
        <v>140</v>
      </c>
      <c r="JNT64" s="365">
        <v>0.5</v>
      </c>
      <c r="JNU64" s="366" t="e">
        <f>10/JNQ62</f>
        <v>#DIV/0!</v>
      </c>
      <c r="JNV64" s="367">
        <v>15.38</v>
      </c>
      <c r="JNW64" s="367" t="e">
        <f>JNT64*JNU64*JNV64</f>
        <v>#DIV/0!</v>
      </c>
      <c r="JNX64" s="363" t="s">
        <v>153</v>
      </c>
      <c r="JNY64" s="363"/>
      <c r="JNZ64" s="363"/>
      <c r="JOA64" s="364" t="s">
        <v>140</v>
      </c>
      <c r="JOB64" s="365">
        <v>0.5</v>
      </c>
      <c r="JOC64" s="366" t="e">
        <f>10/JNY62</f>
        <v>#DIV/0!</v>
      </c>
      <c r="JOD64" s="367">
        <v>15.38</v>
      </c>
      <c r="JOE64" s="367" t="e">
        <f>JOB64*JOC64*JOD64</f>
        <v>#DIV/0!</v>
      </c>
      <c r="JOF64" s="363" t="s">
        <v>153</v>
      </c>
      <c r="JOG64" s="363"/>
      <c r="JOH64" s="363"/>
      <c r="JOI64" s="364" t="s">
        <v>140</v>
      </c>
      <c r="JOJ64" s="365">
        <v>0.5</v>
      </c>
      <c r="JOK64" s="366" t="e">
        <f>10/JOG62</f>
        <v>#DIV/0!</v>
      </c>
      <c r="JOL64" s="367">
        <v>15.38</v>
      </c>
      <c r="JOM64" s="367" t="e">
        <f>JOJ64*JOK64*JOL64</f>
        <v>#DIV/0!</v>
      </c>
      <c r="JON64" s="363" t="s">
        <v>153</v>
      </c>
      <c r="JOO64" s="363"/>
      <c r="JOP64" s="363"/>
      <c r="JOQ64" s="364" t="s">
        <v>140</v>
      </c>
      <c r="JOR64" s="365">
        <v>0.5</v>
      </c>
      <c r="JOS64" s="366" t="e">
        <f>10/JOO62</f>
        <v>#DIV/0!</v>
      </c>
      <c r="JOT64" s="367">
        <v>15.38</v>
      </c>
      <c r="JOU64" s="367" t="e">
        <f>JOR64*JOS64*JOT64</f>
        <v>#DIV/0!</v>
      </c>
      <c r="JOV64" s="363" t="s">
        <v>153</v>
      </c>
      <c r="JOW64" s="363"/>
      <c r="JOX64" s="363"/>
      <c r="JOY64" s="364" t="s">
        <v>140</v>
      </c>
      <c r="JOZ64" s="365">
        <v>0.5</v>
      </c>
      <c r="JPA64" s="366" t="e">
        <f>10/JOW62</f>
        <v>#DIV/0!</v>
      </c>
      <c r="JPB64" s="367">
        <v>15.38</v>
      </c>
      <c r="JPC64" s="367" t="e">
        <f>JOZ64*JPA64*JPB64</f>
        <v>#DIV/0!</v>
      </c>
      <c r="JPD64" s="363" t="s">
        <v>153</v>
      </c>
      <c r="JPE64" s="363"/>
      <c r="JPF64" s="363"/>
      <c r="JPG64" s="364" t="s">
        <v>140</v>
      </c>
      <c r="JPH64" s="365">
        <v>0.5</v>
      </c>
      <c r="JPI64" s="366" t="e">
        <f>10/JPE62</f>
        <v>#DIV/0!</v>
      </c>
      <c r="JPJ64" s="367">
        <v>15.38</v>
      </c>
      <c r="JPK64" s="367" t="e">
        <f>JPH64*JPI64*JPJ64</f>
        <v>#DIV/0!</v>
      </c>
      <c r="JPL64" s="363" t="s">
        <v>153</v>
      </c>
      <c r="JPM64" s="363"/>
      <c r="JPN64" s="363"/>
      <c r="JPO64" s="364" t="s">
        <v>140</v>
      </c>
      <c r="JPP64" s="365">
        <v>0.5</v>
      </c>
      <c r="JPQ64" s="366" t="e">
        <f>10/JPM62</f>
        <v>#DIV/0!</v>
      </c>
      <c r="JPR64" s="367">
        <v>15.38</v>
      </c>
      <c r="JPS64" s="367" t="e">
        <f>JPP64*JPQ64*JPR64</f>
        <v>#DIV/0!</v>
      </c>
      <c r="JPT64" s="363" t="s">
        <v>153</v>
      </c>
      <c r="JPU64" s="363"/>
      <c r="JPV64" s="363"/>
      <c r="JPW64" s="364" t="s">
        <v>140</v>
      </c>
      <c r="JPX64" s="365">
        <v>0.5</v>
      </c>
      <c r="JPY64" s="366" t="e">
        <f>10/JPU62</f>
        <v>#DIV/0!</v>
      </c>
      <c r="JPZ64" s="367">
        <v>15.38</v>
      </c>
      <c r="JQA64" s="367" t="e">
        <f>JPX64*JPY64*JPZ64</f>
        <v>#DIV/0!</v>
      </c>
      <c r="JQB64" s="363" t="s">
        <v>153</v>
      </c>
      <c r="JQC64" s="363"/>
      <c r="JQD64" s="363"/>
      <c r="JQE64" s="364" t="s">
        <v>140</v>
      </c>
      <c r="JQF64" s="365">
        <v>0.5</v>
      </c>
      <c r="JQG64" s="366" t="e">
        <f>10/JQC62</f>
        <v>#DIV/0!</v>
      </c>
      <c r="JQH64" s="367">
        <v>15.38</v>
      </c>
      <c r="JQI64" s="367" t="e">
        <f>JQF64*JQG64*JQH64</f>
        <v>#DIV/0!</v>
      </c>
      <c r="JQJ64" s="363" t="s">
        <v>153</v>
      </c>
      <c r="JQK64" s="363"/>
      <c r="JQL64" s="363"/>
      <c r="JQM64" s="364" t="s">
        <v>140</v>
      </c>
      <c r="JQN64" s="365">
        <v>0.5</v>
      </c>
      <c r="JQO64" s="366" t="e">
        <f>10/JQK62</f>
        <v>#DIV/0!</v>
      </c>
      <c r="JQP64" s="367">
        <v>15.38</v>
      </c>
      <c r="JQQ64" s="367" t="e">
        <f>JQN64*JQO64*JQP64</f>
        <v>#DIV/0!</v>
      </c>
      <c r="JQR64" s="363" t="s">
        <v>153</v>
      </c>
      <c r="JQS64" s="363"/>
      <c r="JQT64" s="363"/>
      <c r="JQU64" s="364" t="s">
        <v>140</v>
      </c>
      <c r="JQV64" s="365">
        <v>0.5</v>
      </c>
      <c r="JQW64" s="366" t="e">
        <f>10/JQS62</f>
        <v>#DIV/0!</v>
      </c>
      <c r="JQX64" s="367">
        <v>15.38</v>
      </c>
      <c r="JQY64" s="367" t="e">
        <f>JQV64*JQW64*JQX64</f>
        <v>#DIV/0!</v>
      </c>
      <c r="JQZ64" s="363" t="s">
        <v>153</v>
      </c>
      <c r="JRA64" s="363"/>
      <c r="JRB64" s="363"/>
      <c r="JRC64" s="364" t="s">
        <v>140</v>
      </c>
      <c r="JRD64" s="365">
        <v>0.5</v>
      </c>
      <c r="JRE64" s="366" t="e">
        <f>10/JRA62</f>
        <v>#DIV/0!</v>
      </c>
      <c r="JRF64" s="367">
        <v>15.38</v>
      </c>
      <c r="JRG64" s="367" t="e">
        <f>JRD64*JRE64*JRF64</f>
        <v>#DIV/0!</v>
      </c>
      <c r="JRH64" s="363" t="s">
        <v>153</v>
      </c>
      <c r="JRI64" s="363"/>
      <c r="JRJ64" s="363"/>
      <c r="JRK64" s="364" t="s">
        <v>140</v>
      </c>
      <c r="JRL64" s="365">
        <v>0.5</v>
      </c>
      <c r="JRM64" s="366" t="e">
        <f>10/JRI62</f>
        <v>#DIV/0!</v>
      </c>
      <c r="JRN64" s="367">
        <v>15.38</v>
      </c>
      <c r="JRO64" s="367" t="e">
        <f>JRL64*JRM64*JRN64</f>
        <v>#DIV/0!</v>
      </c>
      <c r="JRP64" s="363" t="s">
        <v>153</v>
      </c>
      <c r="JRQ64" s="363"/>
      <c r="JRR64" s="363"/>
      <c r="JRS64" s="364" t="s">
        <v>140</v>
      </c>
      <c r="JRT64" s="365">
        <v>0.5</v>
      </c>
      <c r="JRU64" s="366" t="e">
        <f>10/JRQ62</f>
        <v>#DIV/0!</v>
      </c>
      <c r="JRV64" s="367">
        <v>15.38</v>
      </c>
      <c r="JRW64" s="367" t="e">
        <f>JRT64*JRU64*JRV64</f>
        <v>#DIV/0!</v>
      </c>
      <c r="JRX64" s="363" t="s">
        <v>153</v>
      </c>
      <c r="JRY64" s="363"/>
      <c r="JRZ64" s="363"/>
      <c r="JSA64" s="364" t="s">
        <v>140</v>
      </c>
      <c r="JSB64" s="365">
        <v>0.5</v>
      </c>
      <c r="JSC64" s="366" t="e">
        <f>10/JRY62</f>
        <v>#DIV/0!</v>
      </c>
      <c r="JSD64" s="367">
        <v>15.38</v>
      </c>
      <c r="JSE64" s="367" t="e">
        <f>JSB64*JSC64*JSD64</f>
        <v>#DIV/0!</v>
      </c>
      <c r="JSF64" s="363" t="s">
        <v>153</v>
      </c>
      <c r="JSG64" s="363"/>
      <c r="JSH64" s="363"/>
      <c r="JSI64" s="364" t="s">
        <v>140</v>
      </c>
      <c r="JSJ64" s="365">
        <v>0.5</v>
      </c>
      <c r="JSK64" s="366" t="e">
        <f>10/JSG62</f>
        <v>#DIV/0!</v>
      </c>
      <c r="JSL64" s="367">
        <v>15.38</v>
      </c>
      <c r="JSM64" s="367" t="e">
        <f>JSJ64*JSK64*JSL64</f>
        <v>#DIV/0!</v>
      </c>
      <c r="JSN64" s="363" t="s">
        <v>153</v>
      </c>
      <c r="JSO64" s="363"/>
      <c r="JSP64" s="363"/>
      <c r="JSQ64" s="364" t="s">
        <v>140</v>
      </c>
      <c r="JSR64" s="365">
        <v>0.5</v>
      </c>
      <c r="JSS64" s="366" t="e">
        <f>10/JSO62</f>
        <v>#DIV/0!</v>
      </c>
      <c r="JST64" s="367">
        <v>15.38</v>
      </c>
      <c r="JSU64" s="367" t="e">
        <f>JSR64*JSS64*JST64</f>
        <v>#DIV/0!</v>
      </c>
      <c r="JSV64" s="363" t="s">
        <v>153</v>
      </c>
      <c r="JSW64" s="363"/>
      <c r="JSX64" s="363"/>
      <c r="JSY64" s="364" t="s">
        <v>140</v>
      </c>
      <c r="JSZ64" s="365">
        <v>0.5</v>
      </c>
      <c r="JTA64" s="366" t="e">
        <f>10/JSW62</f>
        <v>#DIV/0!</v>
      </c>
      <c r="JTB64" s="367">
        <v>15.38</v>
      </c>
      <c r="JTC64" s="367" t="e">
        <f>JSZ64*JTA64*JTB64</f>
        <v>#DIV/0!</v>
      </c>
      <c r="JTD64" s="363" t="s">
        <v>153</v>
      </c>
      <c r="JTE64" s="363"/>
      <c r="JTF64" s="363"/>
      <c r="JTG64" s="364" t="s">
        <v>140</v>
      </c>
      <c r="JTH64" s="365">
        <v>0.5</v>
      </c>
      <c r="JTI64" s="366" t="e">
        <f>10/JTE62</f>
        <v>#DIV/0!</v>
      </c>
      <c r="JTJ64" s="367">
        <v>15.38</v>
      </c>
      <c r="JTK64" s="367" t="e">
        <f>JTH64*JTI64*JTJ64</f>
        <v>#DIV/0!</v>
      </c>
      <c r="JTL64" s="363" t="s">
        <v>153</v>
      </c>
      <c r="JTM64" s="363"/>
      <c r="JTN64" s="363"/>
      <c r="JTO64" s="364" t="s">
        <v>140</v>
      </c>
      <c r="JTP64" s="365">
        <v>0.5</v>
      </c>
      <c r="JTQ64" s="366" t="e">
        <f>10/JTM62</f>
        <v>#DIV/0!</v>
      </c>
      <c r="JTR64" s="367">
        <v>15.38</v>
      </c>
      <c r="JTS64" s="367" t="e">
        <f>JTP64*JTQ64*JTR64</f>
        <v>#DIV/0!</v>
      </c>
      <c r="JTT64" s="363" t="s">
        <v>153</v>
      </c>
      <c r="JTU64" s="363"/>
      <c r="JTV64" s="363"/>
      <c r="JTW64" s="364" t="s">
        <v>140</v>
      </c>
      <c r="JTX64" s="365">
        <v>0.5</v>
      </c>
      <c r="JTY64" s="366" t="e">
        <f>10/JTU62</f>
        <v>#DIV/0!</v>
      </c>
      <c r="JTZ64" s="367">
        <v>15.38</v>
      </c>
      <c r="JUA64" s="367" t="e">
        <f>JTX64*JTY64*JTZ64</f>
        <v>#DIV/0!</v>
      </c>
      <c r="JUB64" s="363" t="s">
        <v>153</v>
      </c>
      <c r="JUC64" s="363"/>
      <c r="JUD64" s="363"/>
      <c r="JUE64" s="364" t="s">
        <v>140</v>
      </c>
      <c r="JUF64" s="365">
        <v>0.5</v>
      </c>
      <c r="JUG64" s="366" t="e">
        <f>10/JUC62</f>
        <v>#DIV/0!</v>
      </c>
      <c r="JUH64" s="367">
        <v>15.38</v>
      </c>
      <c r="JUI64" s="367" t="e">
        <f>JUF64*JUG64*JUH64</f>
        <v>#DIV/0!</v>
      </c>
      <c r="JUJ64" s="363" t="s">
        <v>153</v>
      </c>
      <c r="JUK64" s="363"/>
      <c r="JUL64" s="363"/>
      <c r="JUM64" s="364" t="s">
        <v>140</v>
      </c>
      <c r="JUN64" s="365">
        <v>0.5</v>
      </c>
      <c r="JUO64" s="366" t="e">
        <f>10/JUK62</f>
        <v>#DIV/0!</v>
      </c>
      <c r="JUP64" s="367">
        <v>15.38</v>
      </c>
      <c r="JUQ64" s="367" t="e">
        <f>JUN64*JUO64*JUP64</f>
        <v>#DIV/0!</v>
      </c>
      <c r="JUR64" s="363" t="s">
        <v>153</v>
      </c>
      <c r="JUS64" s="363"/>
      <c r="JUT64" s="363"/>
      <c r="JUU64" s="364" t="s">
        <v>140</v>
      </c>
      <c r="JUV64" s="365">
        <v>0.5</v>
      </c>
      <c r="JUW64" s="366" t="e">
        <f>10/JUS62</f>
        <v>#DIV/0!</v>
      </c>
      <c r="JUX64" s="367">
        <v>15.38</v>
      </c>
      <c r="JUY64" s="367" t="e">
        <f>JUV64*JUW64*JUX64</f>
        <v>#DIV/0!</v>
      </c>
      <c r="JUZ64" s="363" t="s">
        <v>153</v>
      </c>
      <c r="JVA64" s="363"/>
      <c r="JVB64" s="363"/>
      <c r="JVC64" s="364" t="s">
        <v>140</v>
      </c>
      <c r="JVD64" s="365">
        <v>0.5</v>
      </c>
      <c r="JVE64" s="366" t="e">
        <f>10/JVA62</f>
        <v>#DIV/0!</v>
      </c>
      <c r="JVF64" s="367">
        <v>15.38</v>
      </c>
      <c r="JVG64" s="367" t="e">
        <f>JVD64*JVE64*JVF64</f>
        <v>#DIV/0!</v>
      </c>
      <c r="JVH64" s="363" t="s">
        <v>153</v>
      </c>
      <c r="JVI64" s="363"/>
      <c r="JVJ64" s="363"/>
      <c r="JVK64" s="364" t="s">
        <v>140</v>
      </c>
      <c r="JVL64" s="365">
        <v>0.5</v>
      </c>
      <c r="JVM64" s="366" t="e">
        <f>10/JVI62</f>
        <v>#DIV/0!</v>
      </c>
      <c r="JVN64" s="367">
        <v>15.38</v>
      </c>
      <c r="JVO64" s="367" t="e">
        <f>JVL64*JVM64*JVN64</f>
        <v>#DIV/0!</v>
      </c>
      <c r="JVP64" s="363" t="s">
        <v>153</v>
      </c>
      <c r="JVQ64" s="363"/>
      <c r="JVR64" s="363"/>
      <c r="JVS64" s="364" t="s">
        <v>140</v>
      </c>
      <c r="JVT64" s="365">
        <v>0.5</v>
      </c>
      <c r="JVU64" s="366" t="e">
        <f>10/JVQ62</f>
        <v>#DIV/0!</v>
      </c>
      <c r="JVV64" s="367">
        <v>15.38</v>
      </c>
      <c r="JVW64" s="367" t="e">
        <f>JVT64*JVU64*JVV64</f>
        <v>#DIV/0!</v>
      </c>
      <c r="JVX64" s="363" t="s">
        <v>153</v>
      </c>
      <c r="JVY64" s="363"/>
      <c r="JVZ64" s="363"/>
      <c r="JWA64" s="364" t="s">
        <v>140</v>
      </c>
      <c r="JWB64" s="365">
        <v>0.5</v>
      </c>
      <c r="JWC64" s="366" t="e">
        <f>10/JVY62</f>
        <v>#DIV/0!</v>
      </c>
      <c r="JWD64" s="367">
        <v>15.38</v>
      </c>
      <c r="JWE64" s="367" t="e">
        <f>JWB64*JWC64*JWD64</f>
        <v>#DIV/0!</v>
      </c>
      <c r="JWF64" s="363" t="s">
        <v>153</v>
      </c>
      <c r="JWG64" s="363"/>
      <c r="JWH64" s="363"/>
      <c r="JWI64" s="364" t="s">
        <v>140</v>
      </c>
      <c r="JWJ64" s="365">
        <v>0.5</v>
      </c>
      <c r="JWK64" s="366" t="e">
        <f>10/JWG62</f>
        <v>#DIV/0!</v>
      </c>
      <c r="JWL64" s="367">
        <v>15.38</v>
      </c>
      <c r="JWM64" s="367" t="e">
        <f>JWJ64*JWK64*JWL64</f>
        <v>#DIV/0!</v>
      </c>
      <c r="JWN64" s="363" t="s">
        <v>153</v>
      </c>
      <c r="JWO64" s="363"/>
      <c r="JWP64" s="363"/>
      <c r="JWQ64" s="364" t="s">
        <v>140</v>
      </c>
      <c r="JWR64" s="365">
        <v>0.5</v>
      </c>
      <c r="JWS64" s="366" t="e">
        <f>10/JWO62</f>
        <v>#DIV/0!</v>
      </c>
      <c r="JWT64" s="367">
        <v>15.38</v>
      </c>
      <c r="JWU64" s="367" t="e">
        <f>JWR64*JWS64*JWT64</f>
        <v>#DIV/0!</v>
      </c>
      <c r="JWV64" s="363" t="s">
        <v>153</v>
      </c>
      <c r="JWW64" s="363"/>
      <c r="JWX64" s="363"/>
      <c r="JWY64" s="364" t="s">
        <v>140</v>
      </c>
      <c r="JWZ64" s="365">
        <v>0.5</v>
      </c>
      <c r="JXA64" s="366" t="e">
        <f>10/JWW62</f>
        <v>#DIV/0!</v>
      </c>
      <c r="JXB64" s="367">
        <v>15.38</v>
      </c>
      <c r="JXC64" s="367" t="e">
        <f>JWZ64*JXA64*JXB64</f>
        <v>#DIV/0!</v>
      </c>
      <c r="JXD64" s="363" t="s">
        <v>153</v>
      </c>
      <c r="JXE64" s="363"/>
      <c r="JXF64" s="363"/>
      <c r="JXG64" s="364" t="s">
        <v>140</v>
      </c>
      <c r="JXH64" s="365">
        <v>0.5</v>
      </c>
      <c r="JXI64" s="366" t="e">
        <f>10/JXE62</f>
        <v>#DIV/0!</v>
      </c>
      <c r="JXJ64" s="367">
        <v>15.38</v>
      </c>
      <c r="JXK64" s="367" t="e">
        <f>JXH64*JXI64*JXJ64</f>
        <v>#DIV/0!</v>
      </c>
      <c r="JXL64" s="363" t="s">
        <v>153</v>
      </c>
      <c r="JXM64" s="363"/>
      <c r="JXN64" s="363"/>
      <c r="JXO64" s="364" t="s">
        <v>140</v>
      </c>
      <c r="JXP64" s="365">
        <v>0.5</v>
      </c>
      <c r="JXQ64" s="366" t="e">
        <f>10/JXM62</f>
        <v>#DIV/0!</v>
      </c>
      <c r="JXR64" s="367">
        <v>15.38</v>
      </c>
      <c r="JXS64" s="367" t="e">
        <f>JXP64*JXQ64*JXR64</f>
        <v>#DIV/0!</v>
      </c>
      <c r="JXT64" s="363" t="s">
        <v>153</v>
      </c>
      <c r="JXU64" s="363"/>
      <c r="JXV64" s="363"/>
      <c r="JXW64" s="364" t="s">
        <v>140</v>
      </c>
      <c r="JXX64" s="365">
        <v>0.5</v>
      </c>
      <c r="JXY64" s="366" t="e">
        <f>10/JXU62</f>
        <v>#DIV/0!</v>
      </c>
      <c r="JXZ64" s="367">
        <v>15.38</v>
      </c>
      <c r="JYA64" s="367" t="e">
        <f>JXX64*JXY64*JXZ64</f>
        <v>#DIV/0!</v>
      </c>
      <c r="JYB64" s="363" t="s">
        <v>153</v>
      </c>
      <c r="JYC64" s="363"/>
      <c r="JYD64" s="363"/>
      <c r="JYE64" s="364" t="s">
        <v>140</v>
      </c>
      <c r="JYF64" s="365">
        <v>0.5</v>
      </c>
      <c r="JYG64" s="366" t="e">
        <f>10/JYC62</f>
        <v>#DIV/0!</v>
      </c>
      <c r="JYH64" s="367">
        <v>15.38</v>
      </c>
      <c r="JYI64" s="367" t="e">
        <f>JYF64*JYG64*JYH64</f>
        <v>#DIV/0!</v>
      </c>
      <c r="JYJ64" s="363" t="s">
        <v>153</v>
      </c>
      <c r="JYK64" s="363"/>
      <c r="JYL64" s="363"/>
      <c r="JYM64" s="364" t="s">
        <v>140</v>
      </c>
      <c r="JYN64" s="365">
        <v>0.5</v>
      </c>
      <c r="JYO64" s="366" t="e">
        <f>10/JYK62</f>
        <v>#DIV/0!</v>
      </c>
      <c r="JYP64" s="367">
        <v>15.38</v>
      </c>
      <c r="JYQ64" s="367" t="e">
        <f>JYN64*JYO64*JYP64</f>
        <v>#DIV/0!</v>
      </c>
      <c r="JYR64" s="363" t="s">
        <v>153</v>
      </c>
      <c r="JYS64" s="363"/>
      <c r="JYT64" s="363"/>
      <c r="JYU64" s="364" t="s">
        <v>140</v>
      </c>
      <c r="JYV64" s="365">
        <v>0.5</v>
      </c>
      <c r="JYW64" s="366" t="e">
        <f>10/JYS62</f>
        <v>#DIV/0!</v>
      </c>
      <c r="JYX64" s="367">
        <v>15.38</v>
      </c>
      <c r="JYY64" s="367" t="e">
        <f>JYV64*JYW64*JYX64</f>
        <v>#DIV/0!</v>
      </c>
      <c r="JYZ64" s="363" t="s">
        <v>153</v>
      </c>
      <c r="JZA64" s="363"/>
      <c r="JZB64" s="363"/>
      <c r="JZC64" s="364" t="s">
        <v>140</v>
      </c>
      <c r="JZD64" s="365">
        <v>0.5</v>
      </c>
      <c r="JZE64" s="366" t="e">
        <f>10/JZA62</f>
        <v>#DIV/0!</v>
      </c>
      <c r="JZF64" s="367">
        <v>15.38</v>
      </c>
      <c r="JZG64" s="367" t="e">
        <f>JZD64*JZE64*JZF64</f>
        <v>#DIV/0!</v>
      </c>
      <c r="JZH64" s="363" t="s">
        <v>153</v>
      </c>
      <c r="JZI64" s="363"/>
      <c r="JZJ64" s="363"/>
      <c r="JZK64" s="364" t="s">
        <v>140</v>
      </c>
      <c r="JZL64" s="365">
        <v>0.5</v>
      </c>
      <c r="JZM64" s="366" t="e">
        <f>10/JZI62</f>
        <v>#DIV/0!</v>
      </c>
      <c r="JZN64" s="367">
        <v>15.38</v>
      </c>
      <c r="JZO64" s="367" t="e">
        <f>JZL64*JZM64*JZN64</f>
        <v>#DIV/0!</v>
      </c>
      <c r="JZP64" s="363" t="s">
        <v>153</v>
      </c>
      <c r="JZQ64" s="363"/>
      <c r="JZR64" s="363"/>
      <c r="JZS64" s="364" t="s">
        <v>140</v>
      </c>
      <c r="JZT64" s="365">
        <v>0.5</v>
      </c>
      <c r="JZU64" s="366" t="e">
        <f>10/JZQ62</f>
        <v>#DIV/0!</v>
      </c>
      <c r="JZV64" s="367">
        <v>15.38</v>
      </c>
      <c r="JZW64" s="367" t="e">
        <f>JZT64*JZU64*JZV64</f>
        <v>#DIV/0!</v>
      </c>
      <c r="JZX64" s="363" t="s">
        <v>153</v>
      </c>
      <c r="JZY64" s="363"/>
      <c r="JZZ64" s="363"/>
      <c r="KAA64" s="364" t="s">
        <v>140</v>
      </c>
      <c r="KAB64" s="365">
        <v>0.5</v>
      </c>
      <c r="KAC64" s="366" t="e">
        <f>10/JZY62</f>
        <v>#DIV/0!</v>
      </c>
      <c r="KAD64" s="367">
        <v>15.38</v>
      </c>
      <c r="KAE64" s="367" t="e">
        <f>KAB64*KAC64*KAD64</f>
        <v>#DIV/0!</v>
      </c>
      <c r="KAF64" s="363" t="s">
        <v>153</v>
      </c>
      <c r="KAG64" s="363"/>
      <c r="KAH64" s="363"/>
      <c r="KAI64" s="364" t="s">
        <v>140</v>
      </c>
      <c r="KAJ64" s="365">
        <v>0.5</v>
      </c>
      <c r="KAK64" s="366" t="e">
        <f>10/KAG62</f>
        <v>#DIV/0!</v>
      </c>
      <c r="KAL64" s="367">
        <v>15.38</v>
      </c>
      <c r="KAM64" s="367" t="e">
        <f>KAJ64*KAK64*KAL64</f>
        <v>#DIV/0!</v>
      </c>
      <c r="KAN64" s="363" t="s">
        <v>153</v>
      </c>
      <c r="KAO64" s="363"/>
      <c r="KAP64" s="363"/>
      <c r="KAQ64" s="364" t="s">
        <v>140</v>
      </c>
      <c r="KAR64" s="365">
        <v>0.5</v>
      </c>
      <c r="KAS64" s="366" t="e">
        <f>10/KAO62</f>
        <v>#DIV/0!</v>
      </c>
      <c r="KAT64" s="367">
        <v>15.38</v>
      </c>
      <c r="KAU64" s="367" t="e">
        <f>KAR64*KAS64*KAT64</f>
        <v>#DIV/0!</v>
      </c>
      <c r="KAV64" s="363" t="s">
        <v>153</v>
      </c>
      <c r="KAW64" s="363"/>
      <c r="KAX64" s="363"/>
      <c r="KAY64" s="364" t="s">
        <v>140</v>
      </c>
      <c r="KAZ64" s="365">
        <v>0.5</v>
      </c>
      <c r="KBA64" s="366" t="e">
        <f>10/KAW62</f>
        <v>#DIV/0!</v>
      </c>
      <c r="KBB64" s="367">
        <v>15.38</v>
      </c>
      <c r="KBC64" s="367" t="e">
        <f>KAZ64*KBA64*KBB64</f>
        <v>#DIV/0!</v>
      </c>
      <c r="KBD64" s="363" t="s">
        <v>153</v>
      </c>
      <c r="KBE64" s="363"/>
      <c r="KBF64" s="363"/>
      <c r="KBG64" s="364" t="s">
        <v>140</v>
      </c>
      <c r="KBH64" s="365">
        <v>0.5</v>
      </c>
      <c r="KBI64" s="366" t="e">
        <f>10/KBE62</f>
        <v>#DIV/0!</v>
      </c>
      <c r="KBJ64" s="367">
        <v>15.38</v>
      </c>
      <c r="KBK64" s="367" t="e">
        <f>KBH64*KBI64*KBJ64</f>
        <v>#DIV/0!</v>
      </c>
      <c r="KBL64" s="363" t="s">
        <v>153</v>
      </c>
      <c r="KBM64" s="363"/>
      <c r="KBN64" s="363"/>
      <c r="KBO64" s="364" t="s">
        <v>140</v>
      </c>
      <c r="KBP64" s="365">
        <v>0.5</v>
      </c>
      <c r="KBQ64" s="366" t="e">
        <f>10/KBM62</f>
        <v>#DIV/0!</v>
      </c>
      <c r="KBR64" s="367">
        <v>15.38</v>
      </c>
      <c r="KBS64" s="367" t="e">
        <f>KBP64*KBQ64*KBR64</f>
        <v>#DIV/0!</v>
      </c>
      <c r="KBT64" s="363" t="s">
        <v>153</v>
      </c>
      <c r="KBU64" s="363"/>
      <c r="KBV64" s="363"/>
      <c r="KBW64" s="364" t="s">
        <v>140</v>
      </c>
      <c r="KBX64" s="365">
        <v>0.5</v>
      </c>
      <c r="KBY64" s="366" t="e">
        <f>10/KBU62</f>
        <v>#DIV/0!</v>
      </c>
      <c r="KBZ64" s="367">
        <v>15.38</v>
      </c>
      <c r="KCA64" s="367" t="e">
        <f>KBX64*KBY64*KBZ64</f>
        <v>#DIV/0!</v>
      </c>
      <c r="KCB64" s="363" t="s">
        <v>153</v>
      </c>
      <c r="KCC64" s="363"/>
      <c r="KCD64" s="363"/>
      <c r="KCE64" s="364" t="s">
        <v>140</v>
      </c>
      <c r="KCF64" s="365">
        <v>0.5</v>
      </c>
      <c r="KCG64" s="366" t="e">
        <f>10/KCC62</f>
        <v>#DIV/0!</v>
      </c>
      <c r="KCH64" s="367">
        <v>15.38</v>
      </c>
      <c r="KCI64" s="367" t="e">
        <f>KCF64*KCG64*KCH64</f>
        <v>#DIV/0!</v>
      </c>
      <c r="KCJ64" s="363" t="s">
        <v>153</v>
      </c>
      <c r="KCK64" s="363"/>
      <c r="KCL64" s="363"/>
      <c r="KCM64" s="364" t="s">
        <v>140</v>
      </c>
      <c r="KCN64" s="365">
        <v>0.5</v>
      </c>
      <c r="KCO64" s="366" t="e">
        <f>10/KCK62</f>
        <v>#DIV/0!</v>
      </c>
      <c r="KCP64" s="367">
        <v>15.38</v>
      </c>
      <c r="KCQ64" s="367" t="e">
        <f>KCN64*KCO64*KCP64</f>
        <v>#DIV/0!</v>
      </c>
      <c r="KCR64" s="363" t="s">
        <v>153</v>
      </c>
      <c r="KCS64" s="363"/>
      <c r="KCT64" s="363"/>
      <c r="KCU64" s="364" t="s">
        <v>140</v>
      </c>
      <c r="KCV64" s="365">
        <v>0.5</v>
      </c>
      <c r="KCW64" s="366" t="e">
        <f>10/KCS62</f>
        <v>#DIV/0!</v>
      </c>
      <c r="KCX64" s="367">
        <v>15.38</v>
      </c>
      <c r="KCY64" s="367" t="e">
        <f>KCV64*KCW64*KCX64</f>
        <v>#DIV/0!</v>
      </c>
      <c r="KCZ64" s="363" t="s">
        <v>153</v>
      </c>
      <c r="KDA64" s="363"/>
      <c r="KDB64" s="363"/>
      <c r="KDC64" s="364" t="s">
        <v>140</v>
      </c>
      <c r="KDD64" s="365">
        <v>0.5</v>
      </c>
      <c r="KDE64" s="366" t="e">
        <f>10/KDA62</f>
        <v>#DIV/0!</v>
      </c>
      <c r="KDF64" s="367">
        <v>15.38</v>
      </c>
      <c r="KDG64" s="367" t="e">
        <f>KDD64*KDE64*KDF64</f>
        <v>#DIV/0!</v>
      </c>
      <c r="KDH64" s="363" t="s">
        <v>153</v>
      </c>
      <c r="KDI64" s="363"/>
      <c r="KDJ64" s="363"/>
      <c r="KDK64" s="364" t="s">
        <v>140</v>
      </c>
      <c r="KDL64" s="365">
        <v>0.5</v>
      </c>
      <c r="KDM64" s="366" t="e">
        <f>10/KDI62</f>
        <v>#DIV/0!</v>
      </c>
      <c r="KDN64" s="367">
        <v>15.38</v>
      </c>
      <c r="KDO64" s="367" t="e">
        <f>KDL64*KDM64*KDN64</f>
        <v>#DIV/0!</v>
      </c>
      <c r="KDP64" s="363" t="s">
        <v>153</v>
      </c>
      <c r="KDQ64" s="363"/>
      <c r="KDR64" s="363"/>
      <c r="KDS64" s="364" t="s">
        <v>140</v>
      </c>
      <c r="KDT64" s="365">
        <v>0.5</v>
      </c>
      <c r="KDU64" s="366" t="e">
        <f>10/KDQ62</f>
        <v>#DIV/0!</v>
      </c>
      <c r="KDV64" s="367">
        <v>15.38</v>
      </c>
      <c r="KDW64" s="367" t="e">
        <f>KDT64*KDU64*KDV64</f>
        <v>#DIV/0!</v>
      </c>
      <c r="KDX64" s="363" t="s">
        <v>153</v>
      </c>
      <c r="KDY64" s="363"/>
      <c r="KDZ64" s="363"/>
      <c r="KEA64" s="364" t="s">
        <v>140</v>
      </c>
      <c r="KEB64" s="365">
        <v>0.5</v>
      </c>
      <c r="KEC64" s="366" t="e">
        <f>10/KDY62</f>
        <v>#DIV/0!</v>
      </c>
      <c r="KED64" s="367">
        <v>15.38</v>
      </c>
      <c r="KEE64" s="367" t="e">
        <f>KEB64*KEC64*KED64</f>
        <v>#DIV/0!</v>
      </c>
      <c r="KEF64" s="363" t="s">
        <v>153</v>
      </c>
      <c r="KEG64" s="363"/>
      <c r="KEH64" s="363"/>
      <c r="KEI64" s="364" t="s">
        <v>140</v>
      </c>
      <c r="KEJ64" s="365">
        <v>0.5</v>
      </c>
      <c r="KEK64" s="366" t="e">
        <f>10/KEG62</f>
        <v>#DIV/0!</v>
      </c>
      <c r="KEL64" s="367">
        <v>15.38</v>
      </c>
      <c r="KEM64" s="367" t="e">
        <f>KEJ64*KEK64*KEL64</f>
        <v>#DIV/0!</v>
      </c>
      <c r="KEN64" s="363" t="s">
        <v>153</v>
      </c>
      <c r="KEO64" s="363"/>
      <c r="KEP64" s="363"/>
      <c r="KEQ64" s="364" t="s">
        <v>140</v>
      </c>
      <c r="KER64" s="365">
        <v>0.5</v>
      </c>
      <c r="KES64" s="366" t="e">
        <f>10/KEO62</f>
        <v>#DIV/0!</v>
      </c>
      <c r="KET64" s="367">
        <v>15.38</v>
      </c>
      <c r="KEU64" s="367" t="e">
        <f>KER64*KES64*KET64</f>
        <v>#DIV/0!</v>
      </c>
      <c r="KEV64" s="363" t="s">
        <v>153</v>
      </c>
      <c r="KEW64" s="363"/>
      <c r="KEX64" s="363"/>
      <c r="KEY64" s="364" t="s">
        <v>140</v>
      </c>
      <c r="KEZ64" s="365">
        <v>0.5</v>
      </c>
      <c r="KFA64" s="366" t="e">
        <f>10/KEW62</f>
        <v>#DIV/0!</v>
      </c>
      <c r="KFB64" s="367">
        <v>15.38</v>
      </c>
      <c r="KFC64" s="367" t="e">
        <f>KEZ64*KFA64*KFB64</f>
        <v>#DIV/0!</v>
      </c>
      <c r="KFD64" s="363" t="s">
        <v>153</v>
      </c>
      <c r="KFE64" s="363"/>
      <c r="KFF64" s="363"/>
      <c r="KFG64" s="364" t="s">
        <v>140</v>
      </c>
      <c r="KFH64" s="365">
        <v>0.5</v>
      </c>
      <c r="KFI64" s="366" t="e">
        <f>10/KFE62</f>
        <v>#DIV/0!</v>
      </c>
      <c r="KFJ64" s="367">
        <v>15.38</v>
      </c>
      <c r="KFK64" s="367" t="e">
        <f>KFH64*KFI64*KFJ64</f>
        <v>#DIV/0!</v>
      </c>
      <c r="KFL64" s="363" t="s">
        <v>153</v>
      </c>
      <c r="KFM64" s="363"/>
      <c r="KFN64" s="363"/>
      <c r="KFO64" s="364" t="s">
        <v>140</v>
      </c>
      <c r="KFP64" s="365">
        <v>0.5</v>
      </c>
      <c r="KFQ64" s="366" t="e">
        <f>10/KFM62</f>
        <v>#DIV/0!</v>
      </c>
      <c r="KFR64" s="367">
        <v>15.38</v>
      </c>
      <c r="KFS64" s="367" t="e">
        <f>KFP64*KFQ64*KFR64</f>
        <v>#DIV/0!</v>
      </c>
      <c r="KFT64" s="363" t="s">
        <v>153</v>
      </c>
      <c r="KFU64" s="363"/>
      <c r="KFV64" s="363"/>
      <c r="KFW64" s="364" t="s">
        <v>140</v>
      </c>
      <c r="KFX64" s="365">
        <v>0.5</v>
      </c>
      <c r="KFY64" s="366" t="e">
        <f>10/KFU62</f>
        <v>#DIV/0!</v>
      </c>
      <c r="KFZ64" s="367">
        <v>15.38</v>
      </c>
      <c r="KGA64" s="367" t="e">
        <f>KFX64*KFY64*KFZ64</f>
        <v>#DIV/0!</v>
      </c>
      <c r="KGB64" s="363" t="s">
        <v>153</v>
      </c>
      <c r="KGC64" s="363"/>
      <c r="KGD64" s="363"/>
      <c r="KGE64" s="364" t="s">
        <v>140</v>
      </c>
      <c r="KGF64" s="365">
        <v>0.5</v>
      </c>
      <c r="KGG64" s="366" t="e">
        <f>10/KGC62</f>
        <v>#DIV/0!</v>
      </c>
      <c r="KGH64" s="367">
        <v>15.38</v>
      </c>
      <c r="KGI64" s="367" t="e">
        <f>KGF64*KGG64*KGH64</f>
        <v>#DIV/0!</v>
      </c>
      <c r="KGJ64" s="363" t="s">
        <v>153</v>
      </c>
      <c r="KGK64" s="363"/>
      <c r="KGL64" s="363"/>
      <c r="KGM64" s="364" t="s">
        <v>140</v>
      </c>
      <c r="KGN64" s="365">
        <v>0.5</v>
      </c>
      <c r="KGO64" s="366" t="e">
        <f>10/KGK62</f>
        <v>#DIV/0!</v>
      </c>
      <c r="KGP64" s="367">
        <v>15.38</v>
      </c>
      <c r="KGQ64" s="367" t="e">
        <f>KGN64*KGO64*KGP64</f>
        <v>#DIV/0!</v>
      </c>
      <c r="KGR64" s="363" t="s">
        <v>153</v>
      </c>
      <c r="KGS64" s="363"/>
      <c r="KGT64" s="363"/>
      <c r="KGU64" s="364" t="s">
        <v>140</v>
      </c>
      <c r="KGV64" s="365">
        <v>0.5</v>
      </c>
      <c r="KGW64" s="366" t="e">
        <f>10/KGS62</f>
        <v>#DIV/0!</v>
      </c>
      <c r="KGX64" s="367">
        <v>15.38</v>
      </c>
      <c r="KGY64" s="367" t="e">
        <f>KGV64*KGW64*KGX64</f>
        <v>#DIV/0!</v>
      </c>
      <c r="KGZ64" s="363" t="s">
        <v>153</v>
      </c>
      <c r="KHA64" s="363"/>
      <c r="KHB64" s="363"/>
      <c r="KHC64" s="364" t="s">
        <v>140</v>
      </c>
      <c r="KHD64" s="365">
        <v>0.5</v>
      </c>
      <c r="KHE64" s="366" t="e">
        <f>10/KHA62</f>
        <v>#DIV/0!</v>
      </c>
      <c r="KHF64" s="367">
        <v>15.38</v>
      </c>
      <c r="KHG64" s="367" t="e">
        <f>KHD64*KHE64*KHF64</f>
        <v>#DIV/0!</v>
      </c>
      <c r="KHH64" s="363" t="s">
        <v>153</v>
      </c>
      <c r="KHI64" s="363"/>
      <c r="KHJ64" s="363"/>
      <c r="KHK64" s="364" t="s">
        <v>140</v>
      </c>
      <c r="KHL64" s="365">
        <v>0.5</v>
      </c>
      <c r="KHM64" s="366" t="e">
        <f>10/KHI62</f>
        <v>#DIV/0!</v>
      </c>
      <c r="KHN64" s="367">
        <v>15.38</v>
      </c>
      <c r="KHO64" s="367" t="e">
        <f>KHL64*KHM64*KHN64</f>
        <v>#DIV/0!</v>
      </c>
      <c r="KHP64" s="363" t="s">
        <v>153</v>
      </c>
      <c r="KHQ64" s="363"/>
      <c r="KHR64" s="363"/>
      <c r="KHS64" s="364" t="s">
        <v>140</v>
      </c>
      <c r="KHT64" s="365">
        <v>0.5</v>
      </c>
      <c r="KHU64" s="366" t="e">
        <f>10/KHQ62</f>
        <v>#DIV/0!</v>
      </c>
      <c r="KHV64" s="367">
        <v>15.38</v>
      </c>
      <c r="KHW64" s="367" t="e">
        <f>KHT64*KHU64*KHV64</f>
        <v>#DIV/0!</v>
      </c>
      <c r="KHX64" s="363" t="s">
        <v>153</v>
      </c>
      <c r="KHY64" s="363"/>
      <c r="KHZ64" s="363"/>
      <c r="KIA64" s="364" t="s">
        <v>140</v>
      </c>
      <c r="KIB64" s="365">
        <v>0.5</v>
      </c>
      <c r="KIC64" s="366" t="e">
        <f>10/KHY62</f>
        <v>#DIV/0!</v>
      </c>
      <c r="KID64" s="367">
        <v>15.38</v>
      </c>
      <c r="KIE64" s="367" t="e">
        <f>KIB64*KIC64*KID64</f>
        <v>#DIV/0!</v>
      </c>
      <c r="KIF64" s="363" t="s">
        <v>153</v>
      </c>
      <c r="KIG64" s="363"/>
      <c r="KIH64" s="363"/>
      <c r="KII64" s="364" t="s">
        <v>140</v>
      </c>
      <c r="KIJ64" s="365">
        <v>0.5</v>
      </c>
      <c r="KIK64" s="366" t="e">
        <f>10/KIG62</f>
        <v>#DIV/0!</v>
      </c>
      <c r="KIL64" s="367">
        <v>15.38</v>
      </c>
      <c r="KIM64" s="367" t="e">
        <f>KIJ64*KIK64*KIL64</f>
        <v>#DIV/0!</v>
      </c>
      <c r="KIN64" s="363" t="s">
        <v>153</v>
      </c>
      <c r="KIO64" s="363"/>
      <c r="KIP64" s="363"/>
      <c r="KIQ64" s="364" t="s">
        <v>140</v>
      </c>
      <c r="KIR64" s="365">
        <v>0.5</v>
      </c>
      <c r="KIS64" s="366" t="e">
        <f>10/KIO62</f>
        <v>#DIV/0!</v>
      </c>
      <c r="KIT64" s="367">
        <v>15.38</v>
      </c>
      <c r="KIU64" s="367" t="e">
        <f>KIR64*KIS64*KIT64</f>
        <v>#DIV/0!</v>
      </c>
      <c r="KIV64" s="363" t="s">
        <v>153</v>
      </c>
      <c r="KIW64" s="363"/>
      <c r="KIX64" s="363"/>
      <c r="KIY64" s="364" t="s">
        <v>140</v>
      </c>
      <c r="KIZ64" s="365">
        <v>0.5</v>
      </c>
      <c r="KJA64" s="366" t="e">
        <f>10/KIW62</f>
        <v>#DIV/0!</v>
      </c>
      <c r="KJB64" s="367">
        <v>15.38</v>
      </c>
      <c r="KJC64" s="367" t="e">
        <f>KIZ64*KJA64*KJB64</f>
        <v>#DIV/0!</v>
      </c>
      <c r="KJD64" s="363" t="s">
        <v>153</v>
      </c>
      <c r="KJE64" s="363"/>
      <c r="KJF64" s="363"/>
      <c r="KJG64" s="364" t="s">
        <v>140</v>
      </c>
      <c r="KJH64" s="365">
        <v>0.5</v>
      </c>
      <c r="KJI64" s="366" t="e">
        <f>10/KJE62</f>
        <v>#DIV/0!</v>
      </c>
      <c r="KJJ64" s="367">
        <v>15.38</v>
      </c>
      <c r="KJK64" s="367" t="e">
        <f>KJH64*KJI64*KJJ64</f>
        <v>#DIV/0!</v>
      </c>
      <c r="KJL64" s="363" t="s">
        <v>153</v>
      </c>
      <c r="KJM64" s="363"/>
      <c r="KJN64" s="363"/>
      <c r="KJO64" s="364" t="s">
        <v>140</v>
      </c>
      <c r="KJP64" s="365">
        <v>0.5</v>
      </c>
      <c r="KJQ64" s="366" t="e">
        <f>10/KJM62</f>
        <v>#DIV/0!</v>
      </c>
      <c r="KJR64" s="367">
        <v>15.38</v>
      </c>
      <c r="KJS64" s="367" t="e">
        <f>KJP64*KJQ64*KJR64</f>
        <v>#DIV/0!</v>
      </c>
      <c r="KJT64" s="363" t="s">
        <v>153</v>
      </c>
      <c r="KJU64" s="363"/>
      <c r="KJV64" s="363"/>
      <c r="KJW64" s="364" t="s">
        <v>140</v>
      </c>
      <c r="KJX64" s="365">
        <v>0.5</v>
      </c>
      <c r="KJY64" s="366" t="e">
        <f>10/KJU62</f>
        <v>#DIV/0!</v>
      </c>
      <c r="KJZ64" s="367">
        <v>15.38</v>
      </c>
      <c r="KKA64" s="367" t="e">
        <f>KJX64*KJY64*KJZ64</f>
        <v>#DIV/0!</v>
      </c>
      <c r="KKB64" s="363" t="s">
        <v>153</v>
      </c>
      <c r="KKC64" s="363"/>
      <c r="KKD64" s="363"/>
      <c r="KKE64" s="364" t="s">
        <v>140</v>
      </c>
      <c r="KKF64" s="365">
        <v>0.5</v>
      </c>
      <c r="KKG64" s="366" t="e">
        <f>10/KKC62</f>
        <v>#DIV/0!</v>
      </c>
      <c r="KKH64" s="367">
        <v>15.38</v>
      </c>
      <c r="KKI64" s="367" t="e">
        <f>KKF64*KKG64*KKH64</f>
        <v>#DIV/0!</v>
      </c>
      <c r="KKJ64" s="363" t="s">
        <v>153</v>
      </c>
      <c r="KKK64" s="363"/>
      <c r="KKL64" s="363"/>
      <c r="KKM64" s="364" t="s">
        <v>140</v>
      </c>
      <c r="KKN64" s="365">
        <v>0.5</v>
      </c>
      <c r="KKO64" s="366" t="e">
        <f>10/KKK62</f>
        <v>#DIV/0!</v>
      </c>
      <c r="KKP64" s="367">
        <v>15.38</v>
      </c>
      <c r="KKQ64" s="367" t="e">
        <f>KKN64*KKO64*KKP64</f>
        <v>#DIV/0!</v>
      </c>
      <c r="KKR64" s="363" t="s">
        <v>153</v>
      </c>
      <c r="KKS64" s="363"/>
      <c r="KKT64" s="363"/>
      <c r="KKU64" s="364" t="s">
        <v>140</v>
      </c>
      <c r="KKV64" s="365">
        <v>0.5</v>
      </c>
      <c r="KKW64" s="366" t="e">
        <f>10/KKS62</f>
        <v>#DIV/0!</v>
      </c>
      <c r="KKX64" s="367">
        <v>15.38</v>
      </c>
      <c r="KKY64" s="367" t="e">
        <f>KKV64*KKW64*KKX64</f>
        <v>#DIV/0!</v>
      </c>
      <c r="KKZ64" s="363" t="s">
        <v>153</v>
      </c>
      <c r="KLA64" s="363"/>
      <c r="KLB64" s="363"/>
      <c r="KLC64" s="364" t="s">
        <v>140</v>
      </c>
      <c r="KLD64" s="365">
        <v>0.5</v>
      </c>
      <c r="KLE64" s="366" t="e">
        <f>10/KLA62</f>
        <v>#DIV/0!</v>
      </c>
      <c r="KLF64" s="367">
        <v>15.38</v>
      </c>
      <c r="KLG64" s="367" t="e">
        <f>KLD64*KLE64*KLF64</f>
        <v>#DIV/0!</v>
      </c>
      <c r="KLH64" s="363" t="s">
        <v>153</v>
      </c>
      <c r="KLI64" s="363"/>
      <c r="KLJ64" s="363"/>
      <c r="KLK64" s="364" t="s">
        <v>140</v>
      </c>
      <c r="KLL64" s="365">
        <v>0.5</v>
      </c>
      <c r="KLM64" s="366" t="e">
        <f>10/KLI62</f>
        <v>#DIV/0!</v>
      </c>
      <c r="KLN64" s="367">
        <v>15.38</v>
      </c>
      <c r="KLO64" s="367" t="e">
        <f>KLL64*KLM64*KLN64</f>
        <v>#DIV/0!</v>
      </c>
      <c r="KLP64" s="363" t="s">
        <v>153</v>
      </c>
      <c r="KLQ64" s="363"/>
      <c r="KLR64" s="363"/>
      <c r="KLS64" s="364" t="s">
        <v>140</v>
      </c>
      <c r="KLT64" s="365">
        <v>0.5</v>
      </c>
      <c r="KLU64" s="366" t="e">
        <f>10/KLQ62</f>
        <v>#DIV/0!</v>
      </c>
      <c r="KLV64" s="367">
        <v>15.38</v>
      </c>
      <c r="KLW64" s="367" t="e">
        <f>KLT64*KLU64*KLV64</f>
        <v>#DIV/0!</v>
      </c>
      <c r="KLX64" s="363" t="s">
        <v>153</v>
      </c>
      <c r="KLY64" s="363"/>
      <c r="KLZ64" s="363"/>
      <c r="KMA64" s="364" t="s">
        <v>140</v>
      </c>
      <c r="KMB64" s="365">
        <v>0.5</v>
      </c>
      <c r="KMC64" s="366" t="e">
        <f>10/KLY62</f>
        <v>#DIV/0!</v>
      </c>
      <c r="KMD64" s="367">
        <v>15.38</v>
      </c>
      <c r="KME64" s="367" t="e">
        <f>KMB64*KMC64*KMD64</f>
        <v>#DIV/0!</v>
      </c>
      <c r="KMF64" s="363" t="s">
        <v>153</v>
      </c>
      <c r="KMG64" s="363"/>
      <c r="KMH64" s="363"/>
      <c r="KMI64" s="364" t="s">
        <v>140</v>
      </c>
      <c r="KMJ64" s="365">
        <v>0.5</v>
      </c>
      <c r="KMK64" s="366" t="e">
        <f>10/KMG62</f>
        <v>#DIV/0!</v>
      </c>
      <c r="KML64" s="367">
        <v>15.38</v>
      </c>
      <c r="KMM64" s="367" t="e">
        <f>KMJ64*KMK64*KML64</f>
        <v>#DIV/0!</v>
      </c>
      <c r="KMN64" s="363" t="s">
        <v>153</v>
      </c>
      <c r="KMO64" s="363"/>
      <c r="KMP64" s="363"/>
      <c r="KMQ64" s="364" t="s">
        <v>140</v>
      </c>
      <c r="KMR64" s="365">
        <v>0.5</v>
      </c>
      <c r="KMS64" s="366" t="e">
        <f>10/KMO62</f>
        <v>#DIV/0!</v>
      </c>
      <c r="KMT64" s="367">
        <v>15.38</v>
      </c>
      <c r="KMU64" s="367" t="e">
        <f>KMR64*KMS64*KMT64</f>
        <v>#DIV/0!</v>
      </c>
      <c r="KMV64" s="363" t="s">
        <v>153</v>
      </c>
      <c r="KMW64" s="363"/>
      <c r="KMX64" s="363"/>
      <c r="KMY64" s="364" t="s">
        <v>140</v>
      </c>
      <c r="KMZ64" s="365">
        <v>0.5</v>
      </c>
      <c r="KNA64" s="366" t="e">
        <f>10/KMW62</f>
        <v>#DIV/0!</v>
      </c>
      <c r="KNB64" s="367">
        <v>15.38</v>
      </c>
      <c r="KNC64" s="367" t="e">
        <f>KMZ64*KNA64*KNB64</f>
        <v>#DIV/0!</v>
      </c>
      <c r="KND64" s="363" t="s">
        <v>153</v>
      </c>
      <c r="KNE64" s="363"/>
      <c r="KNF64" s="363"/>
      <c r="KNG64" s="364" t="s">
        <v>140</v>
      </c>
      <c r="KNH64" s="365">
        <v>0.5</v>
      </c>
      <c r="KNI64" s="366" t="e">
        <f>10/KNE62</f>
        <v>#DIV/0!</v>
      </c>
      <c r="KNJ64" s="367">
        <v>15.38</v>
      </c>
      <c r="KNK64" s="367" t="e">
        <f>KNH64*KNI64*KNJ64</f>
        <v>#DIV/0!</v>
      </c>
      <c r="KNL64" s="363" t="s">
        <v>153</v>
      </c>
      <c r="KNM64" s="363"/>
      <c r="KNN64" s="363"/>
      <c r="KNO64" s="364" t="s">
        <v>140</v>
      </c>
      <c r="KNP64" s="365">
        <v>0.5</v>
      </c>
      <c r="KNQ64" s="366" t="e">
        <f>10/KNM62</f>
        <v>#DIV/0!</v>
      </c>
      <c r="KNR64" s="367">
        <v>15.38</v>
      </c>
      <c r="KNS64" s="367" t="e">
        <f>KNP64*KNQ64*KNR64</f>
        <v>#DIV/0!</v>
      </c>
      <c r="KNT64" s="363" t="s">
        <v>153</v>
      </c>
      <c r="KNU64" s="363"/>
      <c r="KNV64" s="363"/>
      <c r="KNW64" s="364" t="s">
        <v>140</v>
      </c>
      <c r="KNX64" s="365">
        <v>0.5</v>
      </c>
      <c r="KNY64" s="366" t="e">
        <f>10/KNU62</f>
        <v>#DIV/0!</v>
      </c>
      <c r="KNZ64" s="367">
        <v>15.38</v>
      </c>
      <c r="KOA64" s="367" t="e">
        <f>KNX64*KNY64*KNZ64</f>
        <v>#DIV/0!</v>
      </c>
      <c r="KOB64" s="363" t="s">
        <v>153</v>
      </c>
      <c r="KOC64" s="363"/>
      <c r="KOD64" s="363"/>
      <c r="KOE64" s="364" t="s">
        <v>140</v>
      </c>
      <c r="KOF64" s="365">
        <v>0.5</v>
      </c>
      <c r="KOG64" s="366" t="e">
        <f>10/KOC62</f>
        <v>#DIV/0!</v>
      </c>
      <c r="KOH64" s="367">
        <v>15.38</v>
      </c>
      <c r="KOI64" s="367" t="e">
        <f>KOF64*KOG64*KOH64</f>
        <v>#DIV/0!</v>
      </c>
      <c r="KOJ64" s="363" t="s">
        <v>153</v>
      </c>
      <c r="KOK64" s="363"/>
      <c r="KOL64" s="363"/>
      <c r="KOM64" s="364" t="s">
        <v>140</v>
      </c>
      <c r="KON64" s="365">
        <v>0.5</v>
      </c>
      <c r="KOO64" s="366" t="e">
        <f>10/KOK62</f>
        <v>#DIV/0!</v>
      </c>
      <c r="KOP64" s="367">
        <v>15.38</v>
      </c>
      <c r="KOQ64" s="367" t="e">
        <f>KON64*KOO64*KOP64</f>
        <v>#DIV/0!</v>
      </c>
      <c r="KOR64" s="363" t="s">
        <v>153</v>
      </c>
      <c r="KOS64" s="363"/>
      <c r="KOT64" s="363"/>
      <c r="KOU64" s="364" t="s">
        <v>140</v>
      </c>
      <c r="KOV64" s="365">
        <v>0.5</v>
      </c>
      <c r="KOW64" s="366" t="e">
        <f>10/KOS62</f>
        <v>#DIV/0!</v>
      </c>
      <c r="KOX64" s="367">
        <v>15.38</v>
      </c>
      <c r="KOY64" s="367" t="e">
        <f>KOV64*KOW64*KOX64</f>
        <v>#DIV/0!</v>
      </c>
      <c r="KOZ64" s="363" t="s">
        <v>153</v>
      </c>
      <c r="KPA64" s="363"/>
      <c r="KPB64" s="363"/>
      <c r="KPC64" s="364" t="s">
        <v>140</v>
      </c>
      <c r="KPD64" s="365">
        <v>0.5</v>
      </c>
      <c r="KPE64" s="366" t="e">
        <f>10/KPA62</f>
        <v>#DIV/0!</v>
      </c>
      <c r="KPF64" s="367">
        <v>15.38</v>
      </c>
      <c r="KPG64" s="367" t="e">
        <f>KPD64*KPE64*KPF64</f>
        <v>#DIV/0!</v>
      </c>
      <c r="KPH64" s="363" t="s">
        <v>153</v>
      </c>
      <c r="KPI64" s="363"/>
      <c r="KPJ64" s="363"/>
      <c r="KPK64" s="364" t="s">
        <v>140</v>
      </c>
      <c r="KPL64" s="365">
        <v>0.5</v>
      </c>
      <c r="KPM64" s="366" t="e">
        <f>10/KPI62</f>
        <v>#DIV/0!</v>
      </c>
      <c r="KPN64" s="367">
        <v>15.38</v>
      </c>
      <c r="KPO64" s="367" t="e">
        <f>KPL64*KPM64*KPN64</f>
        <v>#DIV/0!</v>
      </c>
      <c r="KPP64" s="363" t="s">
        <v>153</v>
      </c>
      <c r="KPQ64" s="363"/>
      <c r="KPR64" s="363"/>
      <c r="KPS64" s="364" t="s">
        <v>140</v>
      </c>
      <c r="KPT64" s="365">
        <v>0.5</v>
      </c>
      <c r="KPU64" s="366" t="e">
        <f>10/KPQ62</f>
        <v>#DIV/0!</v>
      </c>
      <c r="KPV64" s="367">
        <v>15.38</v>
      </c>
      <c r="KPW64" s="367" t="e">
        <f>KPT64*KPU64*KPV64</f>
        <v>#DIV/0!</v>
      </c>
      <c r="KPX64" s="363" t="s">
        <v>153</v>
      </c>
      <c r="KPY64" s="363"/>
      <c r="KPZ64" s="363"/>
      <c r="KQA64" s="364" t="s">
        <v>140</v>
      </c>
      <c r="KQB64" s="365">
        <v>0.5</v>
      </c>
      <c r="KQC64" s="366" t="e">
        <f>10/KPY62</f>
        <v>#DIV/0!</v>
      </c>
      <c r="KQD64" s="367">
        <v>15.38</v>
      </c>
      <c r="KQE64" s="367" t="e">
        <f>KQB64*KQC64*KQD64</f>
        <v>#DIV/0!</v>
      </c>
      <c r="KQF64" s="363" t="s">
        <v>153</v>
      </c>
      <c r="KQG64" s="363"/>
      <c r="KQH64" s="363"/>
      <c r="KQI64" s="364" t="s">
        <v>140</v>
      </c>
      <c r="KQJ64" s="365">
        <v>0.5</v>
      </c>
      <c r="KQK64" s="366" t="e">
        <f>10/KQG62</f>
        <v>#DIV/0!</v>
      </c>
      <c r="KQL64" s="367">
        <v>15.38</v>
      </c>
      <c r="KQM64" s="367" t="e">
        <f>KQJ64*KQK64*KQL64</f>
        <v>#DIV/0!</v>
      </c>
      <c r="KQN64" s="363" t="s">
        <v>153</v>
      </c>
      <c r="KQO64" s="363"/>
      <c r="KQP64" s="363"/>
      <c r="KQQ64" s="364" t="s">
        <v>140</v>
      </c>
      <c r="KQR64" s="365">
        <v>0.5</v>
      </c>
      <c r="KQS64" s="366" t="e">
        <f>10/KQO62</f>
        <v>#DIV/0!</v>
      </c>
      <c r="KQT64" s="367">
        <v>15.38</v>
      </c>
      <c r="KQU64" s="367" t="e">
        <f>KQR64*KQS64*KQT64</f>
        <v>#DIV/0!</v>
      </c>
      <c r="KQV64" s="363" t="s">
        <v>153</v>
      </c>
      <c r="KQW64" s="363"/>
      <c r="KQX64" s="363"/>
      <c r="KQY64" s="364" t="s">
        <v>140</v>
      </c>
      <c r="KQZ64" s="365">
        <v>0.5</v>
      </c>
      <c r="KRA64" s="366" t="e">
        <f>10/KQW62</f>
        <v>#DIV/0!</v>
      </c>
      <c r="KRB64" s="367">
        <v>15.38</v>
      </c>
      <c r="KRC64" s="367" t="e">
        <f>KQZ64*KRA64*KRB64</f>
        <v>#DIV/0!</v>
      </c>
      <c r="KRD64" s="363" t="s">
        <v>153</v>
      </c>
      <c r="KRE64" s="363"/>
      <c r="KRF64" s="363"/>
      <c r="KRG64" s="364" t="s">
        <v>140</v>
      </c>
      <c r="KRH64" s="365">
        <v>0.5</v>
      </c>
      <c r="KRI64" s="366" t="e">
        <f>10/KRE62</f>
        <v>#DIV/0!</v>
      </c>
      <c r="KRJ64" s="367">
        <v>15.38</v>
      </c>
      <c r="KRK64" s="367" t="e">
        <f>KRH64*KRI64*KRJ64</f>
        <v>#DIV/0!</v>
      </c>
      <c r="KRL64" s="363" t="s">
        <v>153</v>
      </c>
      <c r="KRM64" s="363"/>
      <c r="KRN64" s="363"/>
      <c r="KRO64" s="364" t="s">
        <v>140</v>
      </c>
      <c r="KRP64" s="365">
        <v>0.5</v>
      </c>
      <c r="KRQ64" s="366" t="e">
        <f>10/KRM62</f>
        <v>#DIV/0!</v>
      </c>
      <c r="KRR64" s="367">
        <v>15.38</v>
      </c>
      <c r="KRS64" s="367" t="e">
        <f>KRP64*KRQ64*KRR64</f>
        <v>#DIV/0!</v>
      </c>
      <c r="KRT64" s="363" t="s">
        <v>153</v>
      </c>
      <c r="KRU64" s="363"/>
      <c r="KRV64" s="363"/>
      <c r="KRW64" s="364" t="s">
        <v>140</v>
      </c>
      <c r="KRX64" s="365">
        <v>0.5</v>
      </c>
      <c r="KRY64" s="366" t="e">
        <f>10/KRU62</f>
        <v>#DIV/0!</v>
      </c>
      <c r="KRZ64" s="367">
        <v>15.38</v>
      </c>
      <c r="KSA64" s="367" t="e">
        <f>KRX64*KRY64*KRZ64</f>
        <v>#DIV/0!</v>
      </c>
      <c r="KSB64" s="363" t="s">
        <v>153</v>
      </c>
      <c r="KSC64" s="363"/>
      <c r="KSD64" s="363"/>
      <c r="KSE64" s="364" t="s">
        <v>140</v>
      </c>
      <c r="KSF64" s="365">
        <v>0.5</v>
      </c>
      <c r="KSG64" s="366" t="e">
        <f>10/KSC62</f>
        <v>#DIV/0!</v>
      </c>
      <c r="KSH64" s="367">
        <v>15.38</v>
      </c>
      <c r="KSI64" s="367" t="e">
        <f>KSF64*KSG64*KSH64</f>
        <v>#DIV/0!</v>
      </c>
      <c r="KSJ64" s="363" t="s">
        <v>153</v>
      </c>
      <c r="KSK64" s="363"/>
      <c r="KSL64" s="363"/>
      <c r="KSM64" s="364" t="s">
        <v>140</v>
      </c>
      <c r="KSN64" s="365">
        <v>0.5</v>
      </c>
      <c r="KSO64" s="366" t="e">
        <f>10/KSK62</f>
        <v>#DIV/0!</v>
      </c>
      <c r="KSP64" s="367">
        <v>15.38</v>
      </c>
      <c r="KSQ64" s="367" t="e">
        <f>KSN64*KSO64*KSP64</f>
        <v>#DIV/0!</v>
      </c>
      <c r="KSR64" s="363" t="s">
        <v>153</v>
      </c>
      <c r="KSS64" s="363"/>
      <c r="KST64" s="363"/>
      <c r="KSU64" s="364" t="s">
        <v>140</v>
      </c>
      <c r="KSV64" s="365">
        <v>0.5</v>
      </c>
      <c r="KSW64" s="366" t="e">
        <f>10/KSS62</f>
        <v>#DIV/0!</v>
      </c>
      <c r="KSX64" s="367">
        <v>15.38</v>
      </c>
      <c r="KSY64" s="367" t="e">
        <f>KSV64*KSW64*KSX64</f>
        <v>#DIV/0!</v>
      </c>
      <c r="KSZ64" s="363" t="s">
        <v>153</v>
      </c>
      <c r="KTA64" s="363"/>
      <c r="KTB64" s="363"/>
      <c r="KTC64" s="364" t="s">
        <v>140</v>
      </c>
      <c r="KTD64" s="365">
        <v>0.5</v>
      </c>
      <c r="KTE64" s="366" t="e">
        <f>10/KTA62</f>
        <v>#DIV/0!</v>
      </c>
      <c r="KTF64" s="367">
        <v>15.38</v>
      </c>
      <c r="KTG64" s="367" t="e">
        <f>KTD64*KTE64*KTF64</f>
        <v>#DIV/0!</v>
      </c>
      <c r="KTH64" s="363" t="s">
        <v>153</v>
      </c>
      <c r="KTI64" s="363"/>
      <c r="KTJ64" s="363"/>
      <c r="KTK64" s="364" t="s">
        <v>140</v>
      </c>
      <c r="KTL64" s="365">
        <v>0.5</v>
      </c>
      <c r="KTM64" s="366" t="e">
        <f>10/KTI62</f>
        <v>#DIV/0!</v>
      </c>
      <c r="KTN64" s="367">
        <v>15.38</v>
      </c>
      <c r="KTO64" s="367" t="e">
        <f>KTL64*KTM64*KTN64</f>
        <v>#DIV/0!</v>
      </c>
      <c r="KTP64" s="363" t="s">
        <v>153</v>
      </c>
      <c r="KTQ64" s="363"/>
      <c r="KTR64" s="363"/>
      <c r="KTS64" s="364" t="s">
        <v>140</v>
      </c>
      <c r="KTT64" s="365">
        <v>0.5</v>
      </c>
      <c r="KTU64" s="366" t="e">
        <f>10/KTQ62</f>
        <v>#DIV/0!</v>
      </c>
      <c r="KTV64" s="367">
        <v>15.38</v>
      </c>
      <c r="KTW64" s="367" t="e">
        <f>KTT64*KTU64*KTV64</f>
        <v>#DIV/0!</v>
      </c>
      <c r="KTX64" s="363" t="s">
        <v>153</v>
      </c>
      <c r="KTY64" s="363"/>
      <c r="KTZ64" s="363"/>
      <c r="KUA64" s="364" t="s">
        <v>140</v>
      </c>
      <c r="KUB64" s="365">
        <v>0.5</v>
      </c>
      <c r="KUC64" s="366" t="e">
        <f>10/KTY62</f>
        <v>#DIV/0!</v>
      </c>
      <c r="KUD64" s="367">
        <v>15.38</v>
      </c>
      <c r="KUE64" s="367" t="e">
        <f>KUB64*KUC64*KUD64</f>
        <v>#DIV/0!</v>
      </c>
      <c r="KUF64" s="363" t="s">
        <v>153</v>
      </c>
      <c r="KUG64" s="363"/>
      <c r="KUH64" s="363"/>
      <c r="KUI64" s="364" t="s">
        <v>140</v>
      </c>
      <c r="KUJ64" s="365">
        <v>0.5</v>
      </c>
      <c r="KUK64" s="366" t="e">
        <f>10/KUG62</f>
        <v>#DIV/0!</v>
      </c>
      <c r="KUL64" s="367">
        <v>15.38</v>
      </c>
      <c r="KUM64" s="367" t="e">
        <f>KUJ64*KUK64*KUL64</f>
        <v>#DIV/0!</v>
      </c>
      <c r="KUN64" s="363" t="s">
        <v>153</v>
      </c>
      <c r="KUO64" s="363"/>
      <c r="KUP64" s="363"/>
      <c r="KUQ64" s="364" t="s">
        <v>140</v>
      </c>
      <c r="KUR64" s="365">
        <v>0.5</v>
      </c>
      <c r="KUS64" s="366" t="e">
        <f>10/KUO62</f>
        <v>#DIV/0!</v>
      </c>
      <c r="KUT64" s="367">
        <v>15.38</v>
      </c>
      <c r="KUU64" s="367" t="e">
        <f>KUR64*KUS64*KUT64</f>
        <v>#DIV/0!</v>
      </c>
      <c r="KUV64" s="363" t="s">
        <v>153</v>
      </c>
      <c r="KUW64" s="363"/>
      <c r="KUX64" s="363"/>
      <c r="KUY64" s="364" t="s">
        <v>140</v>
      </c>
      <c r="KUZ64" s="365">
        <v>0.5</v>
      </c>
      <c r="KVA64" s="366" t="e">
        <f>10/KUW62</f>
        <v>#DIV/0!</v>
      </c>
      <c r="KVB64" s="367">
        <v>15.38</v>
      </c>
      <c r="KVC64" s="367" t="e">
        <f>KUZ64*KVA64*KVB64</f>
        <v>#DIV/0!</v>
      </c>
      <c r="KVD64" s="363" t="s">
        <v>153</v>
      </c>
      <c r="KVE64" s="363"/>
      <c r="KVF64" s="363"/>
      <c r="KVG64" s="364" t="s">
        <v>140</v>
      </c>
      <c r="KVH64" s="365">
        <v>0.5</v>
      </c>
      <c r="KVI64" s="366" t="e">
        <f>10/KVE62</f>
        <v>#DIV/0!</v>
      </c>
      <c r="KVJ64" s="367">
        <v>15.38</v>
      </c>
      <c r="KVK64" s="367" t="e">
        <f>KVH64*KVI64*KVJ64</f>
        <v>#DIV/0!</v>
      </c>
      <c r="KVL64" s="363" t="s">
        <v>153</v>
      </c>
      <c r="KVM64" s="363"/>
      <c r="KVN64" s="363"/>
      <c r="KVO64" s="364" t="s">
        <v>140</v>
      </c>
      <c r="KVP64" s="365">
        <v>0.5</v>
      </c>
      <c r="KVQ64" s="366" t="e">
        <f>10/KVM62</f>
        <v>#DIV/0!</v>
      </c>
      <c r="KVR64" s="367">
        <v>15.38</v>
      </c>
      <c r="KVS64" s="367" t="e">
        <f>KVP64*KVQ64*KVR64</f>
        <v>#DIV/0!</v>
      </c>
      <c r="KVT64" s="363" t="s">
        <v>153</v>
      </c>
      <c r="KVU64" s="363"/>
      <c r="KVV64" s="363"/>
      <c r="KVW64" s="364" t="s">
        <v>140</v>
      </c>
      <c r="KVX64" s="365">
        <v>0.5</v>
      </c>
      <c r="KVY64" s="366" t="e">
        <f>10/KVU62</f>
        <v>#DIV/0!</v>
      </c>
      <c r="KVZ64" s="367">
        <v>15.38</v>
      </c>
      <c r="KWA64" s="367" t="e">
        <f>KVX64*KVY64*KVZ64</f>
        <v>#DIV/0!</v>
      </c>
      <c r="KWB64" s="363" t="s">
        <v>153</v>
      </c>
      <c r="KWC64" s="363"/>
      <c r="KWD64" s="363"/>
      <c r="KWE64" s="364" t="s">
        <v>140</v>
      </c>
      <c r="KWF64" s="365">
        <v>0.5</v>
      </c>
      <c r="KWG64" s="366" t="e">
        <f>10/KWC62</f>
        <v>#DIV/0!</v>
      </c>
      <c r="KWH64" s="367">
        <v>15.38</v>
      </c>
      <c r="KWI64" s="367" t="e">
        <f>KWF64*KWG64*KWH64</f>
        <v>#DIV/0!</v>
      </c>
      <c r="KWJ64" s="363" t="s">
        <v>153</v>
      </c>
      <c r="KWK64" s="363"/>
      <c r="KWL64" s="363"/>
      <c r="KWM64" s="364" t="s">
        <v>140</v>
      </c>
      <c r="KWN64" s="365">
        <v>0.5</v>
      </c>
      <c r="KWO64" s="366" t="e">
        <f>10/KWK62</f>
        <v>#DIV/0!</v>
      </c>
      <c r="KWP64" s="367">
        <v>15.38</v>
      </c>
      <c r="KWQ64" s="367" t="e">
        <f>KWN64*KWO64*KWP64</f>
        <v>#DIV/0!</v>
      </c>
      <c r="KWR64" s="363" t="s">
        <v>153</v>
      </c>
      <c r="KWS64" s="363"/>
      <c r="KWT64" s="363"/>
      <c r="KWU64" s="364" t="s">
        <v>140</v>
      </c>
      <c r="KWV64" s="365">
        <v>0.5</v>
      </c>
      <c r="KWW64" s="366" t="e">
        <f>10/KWS62</f>
        <v>#DIV/0!</v>
      </c>
      <c r="KWX64" s="367">
        <v>15.38</v>
      </c>
      <c r="KWY64" s="367" t="e">
        <f>KWV64*KWW64*KWX64</f>
        <v>#DIV/0!</v>
      </c>
      <c r="KWZ64" s="363" t="s">
        <v>153</v>
      </c>
      <c r="KXA64" s="363"/>
      <c r="KXB64" s="363"/>
      <c r="KXC64" s="364" t="s">
        <v>140</v>
      </c>
      <c r="KXD64" s="365">
        <v>0.5</v>
      </c>
      <c r="KXE64" s="366" t="e">
        <f>10/KXA62</f>
        <v>#DIV/0!</v>
      </c>
      <c r="KXF64" s="367">
        <v>15.38</v>
      </c>
      <c r="KXG64" s="367" t="e">
        <f>KXD64*KXE64*KXF64</f>
        <v>#DIV/0!</v>
      </c>
      <c r="KXH64" s="363" t="s">
        <v>153</v>
      </c>
      <c r="KXI64" s="363"/>
      <c r="KXJ64" s="363"/>
      <c r="KXK64" s="364" t="s">
        <v>140</v>
      </c>
      <c r="KXL64" s="365">
        <v>0.5</v>
      </c>
      <c r="KXM64" s="366" t="e">
        <f>10/KXI62</f>
        <v>#DIV/0!</v>
      </c>
      <c r="KXN64" s="367">
        <v>15.38</v>
      </c>
      <c r="KXO64" s="367" t="e">
        <f>KXL64*KXM64*KXN64</f>
        <v>#DIV/0!</v>
      </c>
      <c r="KXP64" s="363" t="s">
        <v>153</v>
      </c>
      <c r="KXQ64" s="363"/>
      <c r="KXR64" s="363"/>
      <c r="KXS64" s="364" t="s">
        <v>140</v>
      </c>
      <c r="KXT64" s="365">
        <v>0.5</v>
      </c>
      <c r="KXU64" s="366" t="e">
        <f>10/KXQ62</f>
        <v>#DIV/0!</v>
      </c>
      <c r="KXV64" s="367">
        <v>15.38</v>
      </c>
      <c r="KXW64" s="367" t="e">
        <f>KXT64*KXU64*KXV64</f>
        <v>#DIV/0!</v>
      </c>
      <c r="KXX64" s="363" t="s">
        <v>153</v>
      </c>
      <c r="KXY64" s="363"/>
      <c r="KXZ64" s="363"/>
      <c r="KYA64" s="364" t="s">
        <v>140</v>
      </c>
      <c r="KYB64" s="365">
        <v>0.5</v>
      </c>
      <c r="KYC64" s="366" t="e">
        <f>10/KXY62</f>
        <v>#DIV/0!</v>
      </c>
      <c r="KYD64" s="367">
        <v>15.38</v>
      </c>
      <c r="KYE64" s="367" t="e">
        <f>KYB64*KYC64*KYD64</f>
        <v>#DIV/0!</v>
      </c>
      <c r="KYF64" s="363" t="s">
        <v>153</v>
      </c>
      <c r="KYG64" s="363"/>
      <c r="KYH64" s="363"/>
      <c r="KYI64" s="364" t="s">
        <v>140</v>
      </c>
      <c r="KYJ64" s="365">
        <v>0.5</v>
      </c>
      <c r="KYK64" s="366" t="e">
        <f>10/KYG62</f>
        <v>#DIV/0!</v>
      </c>
      <c r="KYL64" s="367">
        <v>15.38</v>
      </c>
      <c r="KYM64" s="367" t="e">
        <f>KYJ64*KYK64*KYL64</f>
        <v>#DIV/0!</v>
      </c>
      <c r="KYN64" s="363" t="s">
        <v>153</v>
      </c>
      <c r="KYO64" s="363"/>
      <c r="KYP64" s="363"/>
      <c r="KYQ64" s="364" t="s">
        <v>140</v>
      </c>
      <c r="KYR64" s="365">
        <v>0.5</v>
      </c>
      <c r="KYS64" s="366" t="e">
        <f>10/KYO62</f>
        <v>#DIV/0!</v>
      </c>
      <c r="KYT64" s="367">
        <v>15.38</v>
      </c>
      <c r="KYU64" s="367" t="e">
        <f>KYR64*KYS64*KYT64</f>
        <v>#DIV/0!</v>
      </c>
      <c r="KYV64" s="363" t="s">
        <v>153</v>
      </c>
      <c r="KYW64" s="363"/>
      <c r="KYX64" s="363"/>
      <c r="KYY64" s="364" t="s">
        <v>140</v>
      </c>
      <c r="KYZ64" s="365">
        <v>0.5</v>
      </c>
      <c r="KZA64" s="366" t="e">
        <f>10/KYW62</f>
        <v>#DIV/0!</v>
      </c>
      <c r="KZB64" s="367">
        <v>15.38</v>
      </c>
      <c r="KZC64" s="367" t="e">
        <f>KYZ64*KZA64*KZB64</f>
        <v>#DIV/0!</v>
      </c>
      <c r="KZD64" s="363" t="s">
        <v>153</v>
      </c>
      <c r="KZE64" s="363"/>
      <c r="KZF64" s="363"/>
      <c r="KZG64" s="364" t="s">
        <v>140</v>
      </c>
      <c r="KZH64" s="365">
        <v>0.5</v>
      </c>
      <c r="KZI64" s="366" t="e">
        <f>10/KZE62</f>
        <v>#DIV/0!</v>
      </c>
      <c r="KZJ64" s="367">
        <v>15.38</v>
      </c>
      <c r="KZK64" s="367" t="e">
        <f>KZH64*KZI64*KZJ64</f>
        <v>#DIV/0!</v>
      </c>
      <c r="KZL64" s="363" t="s">
        <v>153</v>
      </c>
      <c r="KZM64" s="363"/>
      <c r="KZN64" s="363"/>
      <c r="KZO64" s="364" t="s">
        <v>140</v>
      </c>
      <c r="KZP64" s="365">
        <v>0.5</v>
      </c>
      <c r="KZQ64" s="366" t="e">
        <f>10/KZM62</f>
        <v>#DIV/0!</v>
      </c>
      <c r="KZR64" s="367">
        <v>15.38</v>
      </c>
      <c r="KZS64" s="367" t="e">
        <f>KZP64*KZQ64*KZR64</f>
        <v>#DIV/0!</v>
      </c>
      <c r="KZT64" s="363" t="s">
        <v>153</v>
      </c>
      <c r="KZU64" s="363"/>
      <c r="KZV64" s="363"/>
      <c r="KZW64" s="364" t="s">
        <v>140</v>
      </c>
      <c r="KZX64" s="365">
        <v>0.5</v>
      </c>
      <c r="KZY64" s="366" t="e">
        <f>10/KZU62</f>
        <v>#DIV/0!</v>
      </c>
      <c r="KZZ64" s="367">
        <v>15.38</v>
      </c>
      <c r="LAA64" s="367" t="e">
        <f>KZX64*KZY64*KZZ64</f>
        <v>#DIV/0!</v>
      </c>
      <c r="LAB64" s="363" t="s">
        <v>153</v>
      </c>
      <c r="LAC64" s="363"/>
      <c r="LAD64" s="363"/>
      <c r="LAE64" s="364" t="s">
        <v>140</v>
      </c>
      <c r="LAF64" s="365">
        <v>0.5</v>
      </c>
      <c r="LAG64" s="366" t="e">
        <f>10/LAC62</f>
        <v>#DIV/0!</v>
      </c>
      <c r="LAH64" s="367">
        <v>15.38</v>
      </c>
      <c r="LAI64" s="367" t="e">
        <f>LAF64*LAG64*LAH64</f>
        <v>#DIV/0!</v>
      </c>
      <c r="LAJ64" s="363" t="s">
        <v>153</v>
      </c>
      <c r="LAK64" s="363"/>
      <c r="LAL64" s="363"/>
      <c r="LAM64" s="364" t="s">
        <v>140</v>
      </c>
      <c r="LAN64" s="365">
        <v>0.5</v>
      </c>
      <c r="LAO64" s="366" t="e">
        <f>10/LAK62</f>
        <v>#DIV/0!</v>
      </c>
      <c r="LAP64" s="367">
        <v>15.38</v>
      </c>
      <c r="LAQ64" s="367" t="e">
        <f>LAN64*LAO64*LAP64</f>
        <v>#DIV/0!</v>
      </c>
      <c r="LAR64" s="363" t="s">
        <v>153</v>
      </c>
      <c r="LAS64" s="363"/>
      <c r="LAT64" s="363"/>
      <c r="LAU64" s="364" t="s">
        <v>140</v>
      </c>
      <c r="LAV64" s="365">
        <v>0.5</v>
      </c>
      <c r="LAW64" s="366" t="e">
        <f>10/LAS62</f>
        <v>#DIV/0!</v>
      </c>
      <c r="LAX64" s="367">
        <v>15.38</v>
      </c>
      <c r="LAY64" s="367" t="e">
        <f>LAV64*LAW64*LAX64</f>
        <v>#DIV/0!</v>
      </c>
      <c r="LAZ64" s="363" t="s">
        <v>153</v>
      </c>
      <c r="LBA64" s="363"/>
      <c r="LBB64" s="363"/>
      <c r="LBC64" s="364" t="s">
        <v>140</v>
      </c>
      <c r="LBD64" s="365">
        <v>0.5</v>
      </c>
      <c r="LBE64" s="366" t="e">
        <f>10/LBA62</f>
        <v>#DIV/0!</v>
      </c>
      <c r="LBF64" s="367">
        <v>15.38</v>
      </c>
      <c r="LBG64" s="367" t="e">
        <f>LBD64*LBE64*LBF64</f>
        <v>#DIV/0!</v>
      </c>
      <c r="LBH64" s="363" t="s">
        <v>153</v>
      </c>
      <c r="LBI64" s="363"/>
      <c r="LBJ64" s="363"/>
      <c r="LBK64" s="364" t="s">
        <v>140</v>
      </c>
      <c r="LBL64" s="365">
        <v>0.5</v>
      </c>
      <c r="LBM64" s="366" t="e">
        <f>10/LBI62</f>
        <v>#DIV/0!</v>
      </c>
      <c r="LBN64" s="367">
        <v>15.38</v>
      </c>
      <c r="LBO64" s="367" t="e">
        <f>LBL64*LBM64*LBN64</f>
        <v>#DIV/0!</v>
      </c>
      <c r="LBP64" s="363" t="s">
        <v>153</v>
      </c>
      <c r="LBQ64" s="363"/>
      <c r="LBR64" s="363"/>
      <c r="LBS64" s="364" t="s">
        <v>140</v>
      </c>
      <c r="LBT64" s="365">
        <v>0.5</v>
      </c>
      <c r="LBU64" s="366" t="e">
        <f>10/LBQ62</f>
        <v>#DIV/0!</v>
      </c>
      <c r="LBV64" s="367">
        <v>15.38</v>
      </c>
      <c r="LBW64" s="367" t="e">
        <f>LBT64*LBU64*LBV64</f>
        <v>#DIV/0!</v>
      </c>
      <c r="LBX64" s="363" t="s">
        <v>153</v>
      </c>
      <c r="LBY64" s="363"/>
      <c r="LBZ64" s="363"/>
      <c r="LCA64" s="364" t="s">
        <v>140</v>
      </c>
      <c r="LCB64" s="365">
        <v>0.5</v>
      </c>
      <c r="LCC64" s="366" t="e">
        <f>10/LBY62</f>
        <v>#DIV/0!</v>
      </c>
      <c r="LCD64" s="367">
        <v>15.38</v>
      </c>
      <c r="LCE64" s="367" t="e">
        <f>LCB64*LCC64*LCD64</f>
        <v>#DIV/0!</v>
      </c>
      <c r="LCF64" s="363" t="s">
        <v>153</v>
      </c>
      <c r="LCG64" s="363"/>
      <c r="LCH64" s="363"/>
      <c r="LCI64" s="364" t="s">
        <v>140</v>
      </c>
      <c r="LCJ64" s="365">
        <v>0.5</v>
      </c>
      <c r="LCK64" s="366" t="e">
        <f>10/LCG62</f>
        <v>#DIV/0!</v>
      </c>
      <c r="LCL64" s="367">
        <v>15.38</v>
      </c>
      <c r="LCM64" s="367" t="e">
        <f>LCJ64*LCK64*LCL64</f>
        <v>#DIV/0!</v>
      </c>
      <c r="LCN64" s="363" t="s">
        <v>153</v>
      </c>
      <c r="LCO64" s="363"/>
      <c r="LCP64" s="363"/>
      <c r="LCQ64" s="364" t="s">
        <v>140</v>
      </c>
      <c r="LCR64" s="365">
        <v>0.5</v>
      </c>
      <c r="LCS64" s="366" t="e">
        <f>10/LCO62</f>
        <v>#DIV/0!</v>
      </c>
      <c r="LCT64" s="367">
        <v>15.38</v>
      </c>
      <c r="LCU64" s="367" t="e">
        <f>LCR64*LCS64*LCT64</f>
        <v>#DIV/0!</v>
      </c>
      <c r="LCV64" s="363" t="s">
        <v>153</v>
      </c>
      <c r="LCW64" s="363"/>
      <c r="LCX64" s="363"/>
      <c r="LCY64" s="364" t="s">
        <v>140</v>
      </c>
      <c r="LCZ64" s="365">
        <v>0.5</v>
      </c>
      <c r="LDA64" s="366" t="e">
        <f>10/LCW62</f>
        <v>#DIV/0!</v>
      </c>
      <c r="LDB64" s="367">
        <v>15.38</v>
      </c>
      <c r="LDC64" s="367" t="e">
        <f>LCZ64*LDA64*LDB64</f>
        <v>#DIV/0!</v>
      </c>
      <c r="LDD64" s="363" t="s">
        <v>153</v>
      </c>
      <c r="LDE64" s="363"/>
      <c r="LDF64" s="363"/>
      <c r="LDG64" s="364" t="s">
        <v>140</v>
      </c>
      <c r="LDH64" s="365">
        <v>0.5</v>
      </c>
      <c r="LDI64" s="366" t="e">
        <f>10/LDE62</f>
        <v>#DIV/0!</v>
      </c>
      <c r="LDJ64" s="367">
        <v>15.38</v>
      </c>
      <c r="LDK64" s="367" t="e">
        <f>LDH64*LDI64*LDJ64</f>
        <v>#DIV/0!</v>
      </c>
      <c r="LDL64" s="363" t="s">
        <v>153</v>
      </c>
      <c r="LDM64" s="363"/>
      <c r="LDN64" s="363"/>
      <c r="LDO64" s="364" t="s">
        <v>140</v>
      </c>
      <c r="LDP64" s="365">
        <v>0.5</v>
      </c>
      <c r="LDQ64" s="366" t="e">
        <f>10/LDM62</f>
        <v>#DIV/0!</v>
      </c>
      <c r="LDR64" s="367">
        <v>15.38</v>
      </c>
      <c r="LDS64" s="367" t="e">
        <f>LDP64*LDQ64*LDR64</f>
        <v>#DIV/0!</v>
      </c>
      <c r="LDT64" s="363" t="s">
        <v>153</v>
      </c>
      <c r="LDU64" s="363"/>
      <c r="LDV64" s="363"/>
      <c r="LDW64" s="364" t="s">
        <v>140</v>
      </c>
      <c r="LDX64" s="365">
        <v>0.5</v>
      </c>
      <c r="LDY64" s="366" t="e">
        <f>10/LDU62</f>
        <v>#DIV/0!</v>
      </c>
      <c r="LDZ64" s="367">
        <v>15.38</v>
      </c>
      <c r="LEA64" s="367" t="e">
        <f>LDX64*LDY64*LDZ64</f>
        <v>#DIV/0!</v>
      </c>
      <c r="LEB64" s="363" t="s">
        <v>153</v>
      </c>
      <c r="LEC64" s="363"/>
      <c r="LED64" s="363"/>
      <c r="LEE64" s="364" t="s">
        <v>140</v>
      </c>
      <c r="LEF64" s="365">
        <v>0.5</v>
      </c>
      <c r="LEG64" s="366" t="e">
        <f>10/LEC62</f>
        <v>#DIV/0!</v>
      </c>
      <c r="LEH64" s="367">
        <v>15.38</v>
      </c>
      <c r="LEI64" s="367" t="e">
        <f>LEF64*LEG64*LEH64</f>
        <v>#DIV/0!</v>
      </c>
      <c r="LEJ64" s="363" t="s">
        <v>153</v>
      </c>
      <c r="LEK64" s="363"/>
      <c r="LEL64" s="363"/>
      <c r="LEM64" s="364" t="s">
        <v>140</v>
      </c>
      <c r="LEN64" s="365">
        <v>0.5</v>
      </c>
      <c r="LEO64" s="366" t="e">
        <f>10/LEK62</f>
        <v>#DIV/0!</v>
      </c>
      <c r="LEP64" s="367">
        <v>15.38</v>
      </c>
      <c r="LEQ64" s="367" t="e">
        <f>LEN64*LEO64*LEP64</f>
        <v>#DIV/0!</v>
      </c>
      <c r="LER64" s="363" t="s">
        <v>153</v>
      </c>
      <c r="LES64" s="363"/>
      <c r="LET64" s="363"/>
      <c r="LEU64" s="364" t="s">
        <v>140</v>
      </c>
      <c r="LEV64" s="365">
        <v>0.5</v>
      </c>
      <c r="LEW64" s="366" t="e">
        <f>10/LES62</f>
        <v>#DIV/0!</v>
      </c>
      <c r="LEX64" s="367">
        <v>15.38</v>
      </c>
      <c r="LEY64" s="367" t="e">
        <f>LEV64*LEW64*LEX64</f>
        <v>#DIV/0!</v>
      </c>
      <c r="LEZ64" s="363" t="s">
        <v>153</v>
      </c>
      <c r="LFA64" s="363"/>
      <c r="LFB64" s="363"/>
      <c r="LFC64" s="364" t="s">
        <v>140</v>
      </c>
      <c r="LFD64" s="365">
        <v>0.5</v>
      </c>
      <c r="LFE64" s="366" t="e">
        <f>10/LFA62</f>
        <v>#DIV/0!</v>
      </c>
      <c r="LFF64" s="367">
        <v>15.38</v>
      </c>
      <c r="LFG64" s="367" t="e">
        <f>LFD64*LFE64*LFF64</f>
        <v>#DIV/0!</v>
      </c>
      <c r="LFH64" s="363" t="s">
        <v>153</v>
      </c>
      <c r="LFI64" s="363"/>
      <c r="LFJ64" s="363"/>
      <c r="LFK64" s="364" t="s">
        <v>140</v>
      </c>
      <c r="LFL64" s="365">
        <v>0.5</v>
      </c>
      <c r="LFM64" s="366" t="e">
        <f>10/LFI62</f>
        <v>#DIV/0!</v>
      </c>
      <c r="LFN64" s="367">
        <v>15.38</v>
      </c>
      <c r="LFO64" s="367" t="e">
        <f>LFL64*LFM64*LFN64</f>
        <v>#DIV/0!</v>
      </c>
      <c r="LFP64" s="363" t="s">
        <v>153</v>
      </c>
      <c r="LFQ64" s="363"/>
      <c r="LFR64" s="363"/>
      <c r="LFS64" s="364" t="s">
        <v>140</v>
      </c>
      <c r="LFT64" s="365">
        <v>0.5</v>
      </c>
      <c r="LFU64" s="366" t="e">
        <f>10/LFQ62</f>
        <v>#DIV/0!</v>
      </c>
      <c r="LFV64" s="367">
        <v>15.38</v>
      </c>
      <c r="LFW64" s="367" t="e">
        <f>LFT64*LFU64*LFV64</f>
        <v>#DIV/0!</v>
      </c>
      <c r="LFX64" s="363" t="s">
        <v>153</v>
      </c>
      <c r="LFY64" s="363"/>
      <c r="LFZ64" s="363"/>
      <c r="LGA64" s="364" t="s">
        <v>140</v>
      </c>
      <c r="LGB64" s="365">
        <v>0.5</v>
      </c>
      <c r="LGC64" s="366" t="e">
        <f>10/LFY62</f>
        <v>#DIV/0!</v>
      </c>
      <c r="LGD64" s="367">
        <v>15.38</v>
      </c>
      <c r="LGE64" s="367" t="e">
        <f>LGB64*LGC64*LGD64</f>
        <v>#DIV/0!</v>
      </c>
      <c r="LGF64" s="363" t="s">
        <v>153</v>
      </c>
      <c r="LGG64" s="363"/>
      <c r="LGH64" s="363"/>
      <c r="LGI64" s="364" t="s">
        <v>140</v>
      </c>
      <c r="LGJ64" s="365">
        <v>0.5</v>
      </c>
      <c r="LGK64" s="366" t="e">
        <f>10/LGG62</f>
        <v>#DIV/0!</v>
      </c>
      <c r="LGL64" s="367">
        <v>15.38</v>
      </c>
      <c r="LGM64" s="367" t="e">
        <f>LGJ64*LGK64*LGL64</f>
        <v>#DIV/0!</v>
      </c>
      <c r="LGN64" s="363" t="s">
        <v>153</v>
      </c>
      <c r="LGO64" s="363"/>
      <c r="LGP64" s="363"/>
      <c r="LGQ64" s="364" t="s">
        <v>140</v>
      </c>
      <c r="LGR64" s="365">
        <v>0.5</v>
      </c>
      <c r="LGS64" s="366" t="e">
        <f>10/LGO62</f>
        <v>#DIV/0!</v>
      </c>
      <c r="LGT64" s="367">
        <v>15.38</v>
      </c>
      <c r="LGU64" s="367" t="e">
        <f>LGR64*LGS64*LGT64</f>
        <v>#DIV/0!</v>
      </c>
      <c r="LGV64" s="363" t="s">
        <v>153</v>
      </c>
      <c r="LGW64" s="363"/>
      <c r="LGX64" s="363"/>
      <c r="LGY64" s="364" t="s">
        <v>140</v>
      </c>
      <c r="LGZ64" s="365">
        <v>0.5</v>
      </c>
      <c r="LHA64" s="366" t="e">
        <f>10/LGW62</f>
        <v>#DIV/0!</v>
      </c>
      <c r="LHB64" s="367">
        <v>15.38</v>
      </c>
      <c r="LHC64" s="367" t="e">
        <f>LGZ64*LHA64*LHB64</f>
        <v>#DIV/0!</v>
      </c>
      <c r="LHD64" s="363" t="s">
        <v>153</v>
      </c>
      <c r="LHE64" s="363"/>
      <c r="LHF64" s="363"/>
      <c r="LHG64" s="364" t="s">
        <v>140</v>
      </c>
      <c r="LHH64" s="365">
        <v>0.5</v>
      </c>
      <c r="LHI64" s="366" t="e">
        <f>10/LHE62</f>
        <v>#DIV/0!</v>
      </c>
      <c r="LHJ64" s="367">
        <v>15.38</v>
      </c>
      <c r="LHK64" s="367" t="e">
        <f>LHH64*LHI64*LHJ64</f>
        <v>#DIV/0!</v>
      </c>
      <c r="LHL64" s="363" t="s">
        <v>153</v>
      </c>
      <c r="LHM64" s="363"/>
      <c r="LHN64" s="363"/>
      <c r="LHO64" s="364" t="s">
        <v>140</v>
      </c>
      <c r="LHP64" s="365">
        <v>0.5</v>
      </c>
      <c r="LHQ64" s="366" t="e">
        <f>10/LHM62</f>
        <v>#DIV/0!</v>
      </c>
      <c r="LHR64" s="367">
        <v>15.38</v>
      </c>
      <c r="LHS64" s="367" t="e">
        <f>LHP64*LHQ64*LHR64</f>
        <v>#DIV/0!</v>
      </c>
      <c r="LHT64" s="363" t="s">
        <v>153</v>
      </c>
      <c r="LHU64" s="363"/>
      <c r="LHV64" s="363"/>
      <c r="LHW64" s="364" t="s">
        <v>140</v>
      </c>
      <c r="LHX64" s="365">
        <v>0.5</v>
      </c>
      <c r="LHY64" s="366" t="e">
        <f>10/LHU62</f>
        <v>#DIV/0!</v>
      </c>
      <c r="LHZ64" s="367">
        <v>15.38</v>
      </c>
      <c r="LIA64" s="367" t="e">
        <f>LHX64*LHY64*LHZ64</f>
        <v>#DIV/0!</v>
      </c>
      <c r="LIB64" s="363" t="s">
        <v>153</v>
      </c>
      <c r="LIC64" s="363"/>
      <c r="LID64" s="363"/>
      <c r="LIE64" s="364" t="s">
        <v>140</v>
      </c>
      <c r="LIF64" s="365">
        <v>0.5</v>
      </c>
      <c r="LIG64" s="366" t="e">
        <f>10/LIC62</f>
        <v>#DIV/0!</v>
      </c>
      <c r="LIH64" s="367">
        <v>15.38</v>
      </c>
      <c r="LII64" s="367" t="e">
        <f>LIF64*LIG64*LIH64</f>
        <v>#DIV/0!</v>
      </c>
      <c r="LIJ64" s="363" t="s">
        <v>153</v>
      </c>
      <c r="LIK64" s="363"/>
      <c r="LIL64" s="363"/>
      <c r="LIM64" s="364" t="s">
        <v>140</v>
      </c>
      <c r="LIN64" s="365">
        <v>0.5</v>
      </c>
      <c r="LIO64" s="366" t="e">
        <f>10/LIK62</f>
        <v>#DIV/0!</v>
      </c>
      <c r="LIP64" s="367">
        <v>15.38</v>
      </c>
      <c r="LIQ64" s="367" t="e">
        <f>LIN64*LIO64*LIP64</f>
        <v>#DIV/0!</v>
      </c>
      <c r="LIR64" s="363" t="s">
        <v>153</v>
      </c>
      <c r="LIS64" s="363"/>
      <c r="LIT64" s="363"/>
      <c r="LIU64" s="364" t="s">
        <v>140</v>
      </c>
      <c r="LIV64" s="365">
        <v>0.5</v>
      </c>
      <c r="LIW64" s="366" t="e">
        <f>10/LIS62</f>
        <v>#DIV/0!</v>
      </c>
      <c r="LIX64" s="367">
        <v>15.38</v>
      </c>
      <c r="LIY64" s="367" t="e">
        <f>LIV64*LIW64*LIX64</f>
        <v>#DIV/0!</v>
      </c>
      <c r="LIZ64" s="363" t="s">
        <v>153</v>
      </c>
      <c r="LJA64" s="363"/>
      <c r="LJB64" s="363"/>
      <c r="LJC64" s="364" t="s">
        <v>140</v>
      </c>
      <c r="LJD64" s="365">
        <v>0.5</v>
      </c>
      <c r="LJE64" s="366" t="e">
        <f>10/LJA62</f>
        <v>#DIV/0!</v>
      </c>
      <c r="LJF64" s="367">
        <v>15.38</v>
      </c>
      <c r="LJG64" s="367" t="e">
        <f>LJD64*LJE64*LJF64</f>
        <v>#DIV/0!</v>
      </c>
      <c r="LJH64" s="363" t="s">
        <v>153</v>
      </c>
      <c r="LJI64" s="363"/>
      <c r="LJJ64" s="363"/>
      <c r="LJK64" s="364" t="s">
        <v>140</v>
      </c>
      <c r="LJL64" s="365">
        <v>0.5</v>
      </c>
      <c r="LJM64" s="366" t="e">
        <f>10/LJI62</f>
        <v>#DIV/0!</v>
      </c>
      <c r="LJN64" s="367">
        <v>15.38</v>
      </c>
      <c r="LJO64" s="367" t="e">
        <f>LJL64*LJM64*LJN64</f>
        <v>#DIV/0!</v>
      </c>
      <c r="LJP64" s="363" t="s">
        <v>153</v>
      </c>
      <c r="LJQ64" s="363"/>
      <c r="LJR64" s="363"/>
      <c r="LJS64" s="364" t="s">
        <v>140</v>
      </c>
      <c r="LJT64" s="365">
        <v>0.5</v>
      </c>
      <c r="LJU64" s="366" t="e">
        <f>10/LJQ62</f>
        <v>#DIV/0!</v>
      </c>
      <c r="LJV64" s="367">
        <v>15.38</v>
      </c>
      <c r="LJW64" s="367" t="e">
        <f>LJT64*LJU64*LJV64</f>
        <v>#DIV/0!</v>
      </c>
      <c r="LJX64" s="363" t="s">
        <v>153</v>
      </c>
      <c r="LJY64" s="363"/>
      <c r="LJZ64" s="363"/>
      <c r="LKA64" s="364" t="s">
        <v>140</v>
      </c>
      <c r="LKB64" s="365">
        <v>0.5</v>
      </c>
      <c r="LKC64" s="366" t="e">
        <f>10/LJY62</f>
        <v>#DIV/0!</v>
      </c>
      <c r="LKD64" s="367">
        <v>15.38</v>
      </c>
      <c r="LKE64" s="367" t="e">
        <f>LKB64*LKC64*LKD64</f>
        <v>#DIV/0!</v>
      </c>
      <c r="LKF64" s="363" t="s">
        <v>153</v>
      </c>
      <c r="LKG64" s="363"/>
      <c r="LKH64" s="363"/>
      <c r="LKI64" s="364" t="s">
        <v>140</v>
      </c>
      <c r="LKJ64" s="365">
        <v>0.5</v>
      </c>
      <c r="LKK64" s="366" t="e">
        <f>10/LKG62</f>
        <v>#DIV/0!</v>
      </c>
      <c r="LKL64" s="367">
        <v>15.38</v>
      </c>
      <c r="LKM64" s="367" t="e">
        <f>LKJ64*LKK64*LKL64</f>
        <v>#DIV/0!</v>
      </c>
      <c r="LKN64" s="363" t="s">
        <v>153</v>
      </c>
      <c r="LKO64" s="363"/>
      <c r="LKP64" s="363"/>
      <c r="LKQ64" s="364" t="s">
        <v>140</v>
      </c>
      <c r="LKR64" s="365">
        <v>0.5</v>
      </c>
      <c r="LKS64" s="366" t="e">
        <f>10/LKO62</f>
        <v>#DIV/0!</v>
      </c>
      <c r="LKT64" s="367">
        <v>15.38</v>
      </c>
      <c r="LKU64" s="367" t="e">
        <f>LKR64*LKS64*LKT64</f>
        <v>#DIV/0!</v>
      </c>
      <c r="LKV64" s="363" t="s">
        <v>153</v>
      </c>
      <c r="LKW64" s="363"/>
      <c r="LKX64" s="363"/>
      <c r="LKY64" s="364" t="s">
        <v>140</v>
      </c>
      <c r="LKZ64" s="365">
        <v>0.5</v>
      </c>
      <c r="LLA64" s="366" t="e">
        <f>10/LKW62</f>
        <v>#DIV/0!</v>
      </c>
      <c r="LLB64" s="367">
        <v>15.38</v>
      </c>
      <c r="LLC64" s="367" t="e">
        <f>LKZ64*LLA64*LLB64</f>
        <v>#DIV/0!</v>
      </c>
      <c r="LLD64" s="363" t="s">
        <v>153</v>
      </c>
      <c r="LLE64" s="363"/>
      <c r="LLF64" s="363"/>
      <c r="LLG64" s="364" t="s">
        <v>140</v>
      </c>
      <c r="LLH64" s="365">
        <v>0.5</v>
      </c>
      <c r="LLI64" s="366" t="e">
        <f>10/LLE62</f>
        <v>#DIV/0!</v>
      </c>
      <c r="LLJ64" s="367">
        <v>15.38</v>
      </c>
      <c r="LLK64" s="367" t="e">
        <f>LLH64*LLI64*LLJ64</f>
        <v>#DIV/0!</v>
      </c>
      <c r="LLL64" s="363" t="s">
        <v>153</v>
      </c>
      <c r="LLM64" s="363"/>
      <c r="LLN64" s="363"/>
      <c r="LLO64" s="364" t="s">
        <v>140</v>
      </c>
      <c r="LLP64" s="365">
        <v>0.5</v>
      </c>
      <c r="LLQ64" s="366" t="e">
        <f>10/LLM62</f>
        <v>#DIV/0!</v>
      </c>
      <c r="LLR64" s="367">
        <v>15.38</v>
      </c>
      <c r="LLS64" s="367" t="e">
        <f>LLP64*LLQ64*LLR64</f>
        <v>#DIV/0!</v>
      </c>
      <c r="LLT64" s="363" t="s">
        <v>153</v>
      </c>
      <c r="LLU64" s="363"/>
      <c r="LLV64" s="363"/>
      <c r="LLW64" s="364" t="s">
        <v>140</v>
      </c>
      <c r="LLX64" s="365">
        <v>0.5</v>
      </c>
      <c r="LLY64" s="366" t="e">
        <f>10/LLU62</f>
        <v>#DIV/0!</v>
      </c>
      <c r="LLZ64" s="367">
        <v>15.38</v>
      </c>
      <c r="LMA64" s="367" t="e">
        <f>LLX64*LLY64*LLZ64</f>
        <v>#DIV/0!</v>
      </c>
      <c r="LMB64" s="363" t="s">
        <v>153</v>
      </c>
      <c r="LMC64" s="363"/>
      <c r="LMD64" s="363"/>
      <c r="LME64" s="364" t="s">
        <v>140</v>
      </c>
      <c r="LMF64" s="365">
        <v>0.5</v>
      </c>
      <c r="LMG64" s="366" t="e">
        <f>10/LMC62</f>
        <v>#DIV/0!</v>
      </c>
      <c r="LMH64" s="367">
        <v>15.38</v>
      </c>
      <c r="LMI64" s="367" t="e">
        <f>LMF64*LMG64*LMH64</f>
        <v>#DIV/0!</v>
      </c>
      <c r="LMJ64" s="363" t="s">
        <v>153</v>
      </c>
      <c r="LMK64" s="363"/>
      <c r="LML64" s="363"/>
      <c r="LMM64" s="364" t="s">
        <v>140</v>
      </c>
      <c r="LMN64" s="365">
        <v>0.5</v>
      </c>
      <c r="LMO64" s="366" t="e">
        <f>10/LMK62</f>
        <v>#DIV/0!</v>
      </c>
      <c r="LMP64" s="367">
        <v>15.38</v>
      </c>
      <c r="LMQ64" s="367" t="e">
        <f>LMN64*LMO64*LMP64</f>
        <v>#DIV/0!</v>
      </c>
      <c r="LMR64" s="363" t="s">
        <v>153</v>
      </c>
      <c r="LMS64" s="363"/>
      <c r="LMT64" s="363"/>
      <c r="LMU64" s="364" t="s">
        <v>140</v>
      </c>
      <c r="LMV64" s="365">
        <v>0.5</v>
      </c>
      <c r="LMW64" s="366" t="e">
        <f>10/LMS62</f>
        <v>#DIV/0!</v>
      </c>
      <c r="LMX64" s="367">
        <v>15.38</v>
      </c>
      <c r="LMY64" s="367" t="e">
        <f>LMV64*LMW64*LMX64</f>
        <v>#DIV/0!</v>
      </c>
      <c r="LMZ64" s="363" t="s">
        <v>153</v>
      </c>
      <c r="LNA64" s="363"/>
      <c r="LNB64" s="363"/>
      <c r="LNC64" s="364" t="s">
        <v>140</v>
      </c>
      <c r="LND64" s="365">
        <v>0.5</v>
      </c>
      <c r="LNE64" s="366" t="e">
        <f>10/LNA62</f>
        <v>#DIV/0!</v>
      </c>
      <c r="LNF64" s="367">
        <v>15.38</v>
      </c>
      <c r="LNG64" s="367" t="e">
        <f>LND64*LNE64*LNF64</f>
        <v>#DIV/0!</v>
      </c>
      <c r="LNH64" s="363" t="s">
        <v>153</v>
      </c>
      <c r="LNI64" s="363"/>
      <c r="LNJ64" s="363"/>
      <c r="LNK64" s="364" t="s">
        <v>140</v>
      </c>
      <c r="LNL64" s="365">
        <v>0.5</v>
      </c>
      <c r="LNM64" s="366" t="e">
        <f>10/LNI62</f>
        <v>#DIV/0!</v>
      </c>
      <c r="LNN64" s="367">
        <v>15.38</v>
      </c>
      <c r="LNO64" s="367" t="e">
        <f>LNL64*LNM64*LNN64</f>
        <v>#DIV/0!</v>
      </c>
      <c r="LNP64" s="363" t="s">
        <v>153</v>
      </c>
      <c r="LNQ64" s="363"/>
      <c r="LNR64" s="363"/>
      <c r="LNS64" s="364" t="s">
        <v>140</v>
      </c>
      <c r="LNT64" s="365">
        <v>0.5</v>
      </c>
      <c r="LNU64" s="366" t="e">
        <f>10/LNQ62</f>
        <v>#DIV/0!</v>
      </c>
      <c r="LNV64" s="367">
        <v>15.38</v>
      </c>
      <c r="LNW64" s="367" t="e">
        <f>LNT64*LNU64*LNV64</f>
        <v>#DIV/0!</v>
      </c>
      <c r="LNX64" s="363" t="s">
        <v>153</v>
      </c>
      <c r="LNY64" s="363"/>
      <c r="LNZ64" s="363"/>
      <c r="LOA64" s="364" t="s">
        <v>140</v>
      </c>
      <c r="LOB64" s="365">
        <v>0.5</v>
      </c>
      <c r="LOC64" s="366" t="e">
        <f>10/LNY62</f>
        <v>#DIV/0!</v>
      </c>
      <c r="LOD64" s="367">
        <v>15.38</v>
      </c>
      <c r="LOE64" s="367" t="e">
        <f>LOB64*LOC64*LOD64</f>
        <v>#DIV/0!</v>
      </c>
      <c r="LOF64" s="363" t="s">
        <v>153</v>
      </c>
      <c r="LOG64" s="363"/>
      <c r="LOH64" s="363"/>
      <c r="LOI64" s="364" t="s">
        <v>140</v>
      </c>
      <c r="LOJ64" s="365">
        <v>0.5</v>
      </c>
      <c r="LOK64" s="366" t="e">
        <f>10/LOG62</f>
        <v>#DIV/0!</v>
      </c>
      <c r="LOL64" s="367">
        <v>15.38</v>
      </c>
      <c r="LOM64" s="367" t="e">
        <f>LOJ64*LOK64*LOL64</f>
        <v>#DIV/0!</v>
      </c>
      <c r="LON64" s="363" t="s">
        <v>153</v>
      </c>
      <c r="LOO64" s="363"/>
      <c r="LOP64" s="363"/>
      <c r="LOQ64" s="364" t="s">
        <v>140</v>
      </c>
      <c r="LOR64" s="365">
        <v>0.5</v>
      </c>
      <c r="LOS64" s="366" t="e">
        <f>10/LOO62</f>
        <v>#DIV/0!</v>
      </c>
      <c r="LOT64" s="367">
        <v>15.38</v>
      </c>
      <c r="LOU64" s="367" t="e">
        <f>LOR64*LOS64*LOT64</f>
        <v>#DIV/0!</v>
      </c>
      <c r="LOV64" s="363" t="s">
        <v>153</v>
      </c>
      <c r="LOW64" s="363"/>
      <c r="LOX64" s="363"/>
      <c r="LOY64" s="364" t="s">
        <v>140</v>
      </c>
      <c r="LOZ64" s="365">
        <v>0.5</v>
      </c>
      <c r="LPA64" s="366" t="e">
        <f>10/LOW62</f>
        <v>#DIV/0!</v>
      </c>
      <c r="LPB64" s="367">
        <v>15.38</v>
      </c>
      <c r="LPC64" s="367" t="e">
        <f>LOZ64*LPA64*LPB64</f>
        <v>#DIV/0!</v>
      </c>
      <c r="LPD64" s="363" t="s">
        <v>153</v>
      </c>
      <c r="LPE64" s="363"/>
      <c r="LPF64" s="363"/>
      <c r="LPG64" s="364" t="s">
        <v>140</v>
      </c>
      <c r="LPH64" s="365">
        <v>0.5</v>
      </c>
      <c r="LPI64" s="366" t="e">
        <f>10/LPE62</f>
        <v>#DIV/0!</v>
      </c>
      <c r="LPJ64" s="367">
        <v>15.38</v>
      </c>
      <c r="LPK64" s="367" t="e">
        <f>LPH64*LPI64*LPJ64</f>
        <v>#DIV/0!</v>
      </c>
      <c r="LPL64" s="363" t="s">
        <v>153</v>
      </c>
      <c r="LPM64" s="363"/>
      <c r="LPN64" s="363"/>
      <c r="LPO64" s="364" t="s">
        <v>140</v>
      </c>
      <c r="LPP64" s="365">
        <v>0.5</v>
      </c>
      <c r="LPQ64" s="366" t="e">
        <f>10/LPM62</f>
        <v>#DIV/0!</v>
      </c>
      <c r="LPR64" s="367">
        <v>15.38</v>
      </c>
      <c r="LPS64" s="367" t="e">
        <f>LPP64*LPQ64*LPR64</f>
        <v>#DIV/0!</v>
      </c>
      <c r="LPT64" s="363" t="s">
        <v>153</v>
      </c>
      <c r="LPU64" s="363"/>
      <c r="LPV64" s="363"/>
      <c r="LPW64" s="364" t="s">
        <v>140</v>
      </c>
      <c r="LPX64" s="365">
        <v>0.5</v>
      </c>
      <c r="LPY64" s="366" t="e">
        <f>10/LPU62</f>
        <v>#DIV/0!</v>
      </c>
      <c r="LPZ64" s="367">
        <v>15.38</v>
      </c>
      <c r="LQA64" s="367" t="e">
        <f>LPX64*LPY64*LPZ64</f>
        <v>#DIV/0!</v>
      </c>
      <c r="LQB64" s="363" t="s">
        <v>153</v>
      </c>
      <c r="LQC64" s="363"/>
      <c r="LQD64" s="363"/>
      <c r="LQE64" s="364" t="s">
        <v>140</v>
      </c>
      <c r="LQF64" s="365">
        <v>0.5</v>
      </c>
      <c r="LQG64" s="366" t="e">
        <f>10/LQC62</f>
        <v>#DIV/0!</v>
      </c>
      <c r="LQH64" s="367">
        <v>15.38</v>
      </c>
      <c r="LQI64" s="367" t="e">
        <f>LQF64*LQG64*LQH64</f>
        <v>#DIV/0!</v>
      </c>
      <c r="LQJ64" s="363" t="s">
        <v>153</v>
      </c>
      <c r="LQK64" s="363"/>
      <c r="LQL64" s="363"/>
      <c r="LQM64" s="364" t="s">
        <v>140</v>
      </c>
      <c r="LQN64" s="365">
        <v>0.5</v>
      </c>
      <c r="LQO64" s="366" t="e">
        <f>10/LQK62</f>
        <v>#DIV/0!</v>
      </c>
      <c r="LQP64" s="367">
        <v>15.38</v>
      </c>
      <c r="LQQ64" s="367" t="e">
        <f>LQN64*LQO64*LQP64</f>
        <v>#DIV/0!</v>
      </c>
      <c r="LQR64" s="363" t="s">
        <v>153</v>
      </c>
      <c r="LQS64" s="363"/>
      <c r="LQT64" s="363"/>
      <c r="LQU64" s="364" t="s">
        <v>140</v>
      </c>
      <c r="LQV64" s="365">
        <v>0.5</v>
      </c>
      <c r="LQW64" s="366" t="e">
        <f>10/LQS62</f>
        <v>#DIV/0!</v>
      </c>
      <c r="LQX64" s="367">
        <v>15.38</v>
      </c>
      <c r="LQY64" s="367" t="e">
        <f>LQV64*LQW64*LQX64</f>
        <v>#DIV/0!</v>
      </c>
      <c r="LQZ64" s="363" t="s">
        <v>153</v>
      </c>
      <c r="LRA64" s="363"/>
      <c r="LRB64" s="363"/>
      <c r="LRC64" s="364" t="s">
        <v>140</v>
      </c>
      <c r="LRD64" s="365">
        <v>0.5</v>
      </c>
      <c r="LRE64" s="366" t="e">
        <f>10/LRA62</f>
        <v>#DIV/0!</v>
      </c>
      <c r="LRF64" s="367">
        <v>15.38</v>
      </c>
      <c r="LRG64" s="367" t="e">
        <f>LRD64*LRE64*LRF64</f>
        <v>#DIV/0!</v>
      </c>
      <c r="LRH64" s="363" t="s">
        <v>153</v>
      </c>
      <c r="LRI64" s="363"/>
      <c r="LRJ64" s="363"/>
      <c r="LRK64" s="364" t="s">
        <v>140</v>
      </c>
      <c r="LRL64" s="365">
        <v>0.5</v>
      </c>
      <c r="LRM64" s="366" t="e">
        <f>10/LRI62</f>
        <v>#DIV/0!</v>
      </c>
      <c r="LRN64" s="367">
        <v>15.38</v>
      </c>
      <c r="LRO64" s="367" t="e">
        <f>LRL64*LRM64*LRN64</f>
        <v>#DIV/0!</v>
      </c>
      <c r="LRP64" s="363" t="s">
        <v>153</v>
      </c>
      <c r="LRQ64" s="363"/>
      <c r="LRR64" s="363"/>
      <c r="LRS64" s="364" t="s">
        <v>140</v>
      </c>
      <c r="LRT64" s="365">
        <v>0.5</v>
      </c>
      <c r="LRU64" s="366" t="e">
        <f>10/LRQ62</f>
        <v>#DIV/0!</v>
      </c>
      <c r="LRV64" s="367">
        <v>15.38</v>
      </c>
      <c r="LRW64" s="367" t="e">
        <f>LRT64*LRU64*LRV64</f>
        <v>#DIV/0!</v>
      </c>
      <c r="LRX64" s="363" t="s">
        <v>153</v>
      </c>
      <c r="LRY64" s="363"/>
      <c r="LRZ64" s="363"/>
      <c r="LSA64" s="364" t="s">
        <v>140</v>
      </c>
      <c r="LSB64" s="365">
        <v>0.5</v>
      </c>
      <c r="LSC64" s="366" t="e">
        <f>10/LRY62</f>
        <v>#DIV/0!</v>
      </c>
      <c r="LSD64" s="367">
        <v>15.38</v>
      </c>
      <c r="LSE64" s="367" t="e">
        <f>LSB64*LSC64*LSD64</f>
        <v>#DIV/0!</v>
      </c>
      <c r="LSF64" s="363" t="s">
        <v>153</v>
      </c>
      <c r="LSG64" s="363"/>
      <c r="LSH64" s="363"/>
      <c r="LSI64" s="364" t="s">
        <v>140</v>
      </c>
      <c r="LSJ64" s="365">
        <v>0.5</v>
      </c>
      <c r="LSK64" s="366" t="e">
        <f>10/LSG62</f>
        <v>#DIV/0!</v>
      </c>
      <c r="LSL64" s="367">
        <v>15.38</v>
      </c>
      <c r="LSM64" s="367" t="e">
        <f>LSJ64*LSK64*LSL64</f>
        <v>#DIV/0!</v>
      </c>
      <c r="LSN64" s="363" t="s">
        <v>153</v>
      </c>
      <c r="LSO64" s="363"/>
      <c r="LSP64" s="363"/>
      <c r="LSQ64" s="364" t="s">
        <v>140</v>
      </c>
      <c r="LSR64" s="365">
        <v>0.5</v>
      </c>
      <c r="LSS64" s="366" t="e">
        <f>10/LSO62</f>
        <v>#DIV/0!</v>
      </c>
      <c r="LST64" s="367">
        <v>15.38</v>
      </c>
      <c r="LSU64" s="367" t="e">
        <f>LSR64*LSS64*LST64</f>
        <v>#DIV/0!</v>
      </c>
      <c r="LSV64" s="363" t="s">
        <v>153</v>
      </c>
      <c r="LSW64" s="363"/>
      <c r="LSX64" s="363"/>
      <c r="LSY64" s="364" t="s">
        <v>140</v>
      </c>
      <c r="LSZ64" s="365">
        <v>0.5</v>
      </c>
      <c r="LTA64" s="366" t="e">
        <f>10/LSW62</f>
        <v>#DIV/0!</v>
      </c>
      <c r="LTB64" s="367">
        <v>15.38</v>
      </c>
      <c r="LTC64" s="367" t="e">
        <f>LSZ64*LTA64*LTB64</f>
        <v>#DIV/0!</v>
      </c>
      <c r="LTD64" s="363" t="s">
        <v>153</v>
      </c>
      <c r="LTE64" s="363"/>
      <c r="LTF64" s="363"/>
      <c r="LTG64" s="364" t="s">
        <v>140</v>
      </c>
      <c r="LTH64" s="365">
        <v>0.5</v>
      </c>
      <c r="LTI64" s="366" t="e">
        <f>10/LTE62</f>
        <v>#DIV/0!</v>
      </c>
      <c r="LTJ64" s="367">
        <v>15.38</v>
      </c>
      <c r="LTK64" s="367" t="e">
        <f>LTH64*LTI64*LTJ64</f>
        <v>#DIV/0!</v>
      </c>
      <c r="LTL64" s="363" t="s">
        <v>153</v>
      </c>
      <c r="LTM64" s="363"/>
      <c r="LTN64" s="363"/>
      <c r="LTO64" s="364" t="s">
        <v>140</v>
      </c>
      <c r="LTP64" s="365">
        <v>0.5</v>
      </c>
      <c r="LTQ64" s="366" t="e">
        <f>10/LTM62</f>
        <v>#DIV/0!</v>
      </c>
      <c r="LTR64" s="367">
        <v>15.38</v>
      </c>
      <c r="LTS64" s="367" t="e">
        <f>LTP64*LTQ64*LTR64</f>
        <v>#DIV/0!</v>
      </c>
      <c r="LTT64" s="363" t="s">
        <v>153</v>
      </c>
      <c r="LTU64" s="363"/>
      <c r="LTV64" s="363"/>
      <c r="LTW64" s="364" t="s">
        <v>140</v>
      </c>
      <c r="LTX64" s="365">
        <v>0.5</v>
      </c>
      <c r="LTY64" s="366" t="e">
        <f>10/LTU62</f>
        <v>#DIV/0!</v>
      </c>
      <c r="LTZ64" s="367">
        <v>15.38</v>
      </c>
      <c r="LUA64" s="367" t="e">
        <f>LTX64*LTY64*LTZ64</f>
        <v>#DIV/0!</v>
      </c>
      <c r="LUB64" s="363" t="s">
        <v>153</v>
      </c>
      <c r="LUC64" s="363"/>
      <c r="LUD64" s="363"/>
      <c r="LUE64" s="364" t="s">
        <v>140</v>
      </c>
      <c r="LUF64" s="365">
        <v>0.5</v>
      </c>
      <c r="LUG64" s="366" t="e">
        <f>10/LUC62</f>
        <v>#DIV/0!</v>
      </c>
      <c r="LUH64" s="367">
        <v>15.38</v>
      </c>
      <c r="LUI64" s="367" t="e">
        <f>LUF64*LUG64*LUH64</f>
        <v>#DIV/0!</v>
      </c>
      <c r="LUJ64" s="363" t="s">
        <v>153</v>
      </c>
      <c r="LUK64" s="363"/>
      <c r="LUL64" s="363"/>
      <c r="LUM64" s="364" t="s">
        <v>140</v>
      </c>
      <c r="LUN64" s="365">
        <v>0.5</v>
      </c>
      <c r="LUO64" s="366" t="e">
        <f>10/LUK62</f>
        <v>#DIV/0!</v>
      </c>
      <c r="LUP64" s="367">
        <v>15.38</v>
      </c>
      <c r="LUQ64" s="367" t="e">
        <f>LUN64*LUO64*LUP64</f>
        <v>#DIV/0!</v>
      </c>
      <c r="LUR64" s="363" t="s">
        <v>153</v>
      </c>
      <c r="LUS64" s="363"/>
      <c r="LUT64" s="363"/>
      <c r="LUU64" s="364" t="s">
        <v>140</v>
      </c>
      <c r="LUV64" s="365">
        <v>0.5</v>
      </c>
      <c r="LUW64" s="366" t="e">
        <f>10/LUS62</f>
        <v>#DIV/0!</v>
      </c>
      <c r="LUX64" s="367">
        <v>15.38</v>
      </c>
      <c r="LUY64" s="367" t="e">
        <f>LUV64*LUW64*LUX64</f>
        <v>#DIV/0!</v>
      </c>
      <c r="LUZ64" s="363" t="s">
        <v>153</v>
      </c>
      <c r="LVA64" s="363"/>
      <c r="LVB64" s="363"/>
      <c r="LVC64" s="364" t="s">
        <v>140</v>
      </c>
      <c r="LVD64" s="365">
        <v>0.5</v>
      </c>
      <c r="LVE64" s="366" t="e">
        <f>10/LVA62</f>
        <v>#DIV/0!</v>
      </c>
      <c r="LVF64" s="367">
        <v>15.38</v>
      </c>
      <c r="LVG64" s="367" t="e">
        <f>LVD64*LVE64*LVF64</f>
        <v>#DIV/0!</v>
      </c>
      <c r="LVH64" s="363" t="s">
        <v>153</v>
      </c>
      <c r="LVI64" s="363"/>
      <c r="LVJ64" s="363"/>
      <c r="LVK64" s="364" t="s">
        <v>140</v>
      </c>
      <c r="LVL64" s="365">
        <v>0.5</v>
      </c>
      <c r="LVM64" s="366" t="e">
        <f>10/LVI62</f>
        <v>#DIV/0!</v>
      </c>
      <c r="LVN64" s="367">
        <v>15.38</v>
      </c>
      <c r="LVO64" s="367" t="e">
        <f>LVL64*LVM64*LVN64</f>
        <v>#DIV/0!</v>
      </c>
      <c r="LVP64" s="363" t="s">
        <v>153</v>
      </c>
      <c r="LVQ64" s="363"/>
      <c r="LVR64" s="363"/>
      <c r="LVS64" s="364" t="s">
        <v>140</v>
      </c>
      <c r="LVT64" s="365">
        <v>0.5</v>
      </c>
      <c r="LVU64" s="366" t="e">
        <f>10/LVQ62</f>
        <v>#DIV/0!</v>
      </c>
      <c r="LVV64" s="367">
        <v>15.38</v>
      </c>
      <c r="LVW64" s="367" t="e">
        <f>LVT64*LVU64*LVV64</f>
        <v>#DIV/0!</v>
      </c>
      <c r="LVX64" s="363" t="s">
        <v>153</v>
      </c>
      <c r="LVY64" s="363"/>
      <c r="LVZ64" s="363"/>
      <c r="LWA64" s="364" t="s">
        <v>140</v>
      </c>
      <c r="LWB64" s="365">
        <v>0.5</v>
      </c>
      <c r="LWC64" s="366" t="e">
        <f>10/LVY62</f>
        <v>#DIV/0!</v>
      </c>
      <c r="LWD64" s="367">
        <v>15.38</v>
      </c>
      <c r="LWE64" s="367" t="e">
        <f>LWB64*LWC64*LWD64</f>
        <v>#DIV/0!</v>
      </c>
      <c r="LWF64" s="363" t="s">
        <v>153</v>
      </c>
      <c r="LWG64" s="363"/>
      <c r="LWH64" s="363"/>
      <c r="LWI64" s="364" t="s">
        <v>140</v>
      </c>
      <c r="LWJ64" s="365">
        <v>0.5</v>
      </c>
      <c r="LWK64" s="366" t="e">
        <f>10/LWG62</f>
        <v>#DIV/0!</v>
      </c>
      <c r="LWL64" s="367">
        <v>15.38</v>
      </c>
      <c r="LWM64" s="367" t="e">
        <f>LWJ64*LWK64*LWL64</f>
        <v>#DIV/0!</v>
      </c>
      <c r="LWN64" s="363" t="s">
        <v>153</v>
      </c>
      <c r="LWO64" s="363"/>
      <c r="LWP64" s="363"/>
      <c r="LWQ64" s="364" t="s">
        <v>140</v>
      </c>
      <c r="LWR64" s="365">
        <v>0.5</v>
      </c>
      <c r="LWS64" s="366" t="e">
        <f>10/LWO62</f>
        <v>#DIV/0!</v>
      </c>
      <c r="LWT64" s="367">
        <v>15.38</v>
      </c>
      <c r="LWU64" s="367" t="e">
        <f>LWR64*LWS64*LWT64</f>
        <v>#DIV/0!</v>
      </c>
      <c r="LWV64" s="363" t="s">
        <v>153</v>
      </c>
      <c r="LWW64" s="363"/>
      <c r="LWX64" s="363"/>
      <c r="LWY64" s="364" t="s">
        <v>140</v>
      </c>
      <c r="LWZ64" s="365">
        <v>0.5</v>
      </c>
      <c r="LXA64" s="366" t="e">
        <f>10/LWW62</f>
        <v>#DIV/0!</v>
      </c>
      <c r="LXB64" s="367">
        <v>15.38</v>
      </c>
      <c r="LXC64" s="367" t="e">
        <f>LWZ64*LXA64*LXB64</f>
        <v>#DIV/0!</v>
      </c>
      <c r="LXD64" s="363" t="s">
        <v>153</v>
      </c>
      <c r="LXE64" s="363"/>
      <c r="LXF64" s="363"/>
      <c r="LXG64" s="364" t="s">
        <v>140</v>
      </c>
      <c r="LXH64" s="365">
        <v>0.5</v>
      </c>
      <c r="LXI64" s="366" t="e">
        <f>10/LXE62</f>
        <v>#DIV/0!</v>
      </c>
      <c r="LXJ64" s="367">
        <v>15.38</v>
      </c>
      <c r="LXK64" s="367" t="e">
        <f>LXH64*LXI64*LXJ64</f>
        <v>#DIV/0!</v>
      </c>
      <c r="LXL64" s="363" t="s">
        <v>153</v>
      </c>
      <c r="LXM64" s="363"/>
      <c r="LXN64" s="363"/>
      <c r="LXO64" s="364" t="s">
        <v>140</v>
      </c>
      <c r="LXP64" s="365">
        <v>0.5</v>
      </c>
      <c r="LXQ64" s="366" t="e">
        <f>10/LXM62</f>
        <v>#DIV/0!</v>
      </c>
      <c r="LXR64" s="367">
        <v>15.38</v>
      </c>
      <c r="LXS64" s="367" t="e">
        <f>LXP64*LXQ64*LXR64</f>
        <v>#DIV/0!</v>
      </c>
      <c r="LXT64" s="363" t="s">
        <v>153</v>
      </c>
      <c r="LXU64" s="363"/>
      <c r="LXV64" s="363"/>
      <c r="LXW64" s="364" t="s">
        <v>140</v>
      </c>
      <c r="LXX64" s="365">
        <v>0.5</v>
      </c>
      <c r="LXY64" s="366" t="e">
        <f>10/LXU62</f>
        <v>#DIV/0!</v>
      </c>
      <c r="LXZ64" s="367">
        <v>15.38</v>
      </c>
      <c r="LYA64" s="367" t="e">
        <f>LXX64*LXY64*LXZ64</f>
        <v>#DIV/0!</v>
      </c>
      <c r="LYB64" s="363" t="s">
        <v>153</v>
      </c>
      <c r="LYC64" s="363"/>
      <c r="LYD64" s="363"/>
      <c r="LYE64" s="364" t="s">
        <v>140</v>
      </c>
      <c r="LYF64" s="365">
        <v>0.5</v>
      </c>
      <c r="LYG64" s="366" t="e">
        <f>10/LYC62</f>
        <v>#DIV/0!</v>
      </c>
      <c r="LYH64" s="367">
        <v>15.38</v>
      </c>
      <c r="LYI64" s="367" t="e">
        <f>LYF64*LYG64*LYH64</f>
        <v>#DIV/0!</v>
      </c>
      <c r="LYJ64" s="363" t="s">
        <v>153</v>
      </c>
      <c r="LYK64" s="363"/>
      <c r="LYL64" s="363"/>
      <c r="LYM64" s="364" t="s">
        <v>140</v>
      </c>
      <c r="LYN64" s="365">
        <v>0.5</v>
      </c>
      <c r="LYO64" s="366" t="e">
        <f>10/LYK62</f>
        <v>#DIV/0!</v>
      </c>
      <c r="LYP64" s="367">
        <v>15.38</v>
      </c>
      <c r="LYQ64" s="367" t="e">
        <f>LYN64*LYO64*LYP64</f>
        <v>#DIV/0!</v>
      </c>
      <c r="LYR64" s="363" t="s">
        <v>153</v>
      </c>
      <c r="LYS64" s="363"/>
      <c r="LYT64" s="363"/>
      <c r="LYU64" s="364" t="s">
        <v>140</v>
      </c>
      <c r="LYV64" s="365">
        <v>0.5</v>
      </c>
      <c r="LYW64" s="366" t="e">
        <f>10/LYS62</f>
        <v>#DIV/0!</v>
      </c>
      <c r="LYX64" s="367">
        <v>15.38</v>
      </c>
      <c r="LYY64" s="367" t="e">
        <f>LYV64*LYW64*LYX64</f>
        <v>#DIV/0!</v>
      </c>
      <c r="LYZ64" s="363" t="s">
        <v>153</v>
      </c>
      <c r="LZA64" s="363"/>
      <c r="LZB64" s="363"/>
      <c r="LZC64" s="364" t="s">
        <v>140</v>
      </c>
      <c r="LZD64" s="365">
        <v>0.5</v>
      </c>
      <c r="LZE64" s="366" t="e">
        <f>10/LZA62</f>
        <v>#DIV/0!</v>
      </c>
      <c r="LZF64" s="367">
        <v>15.38</v>
      </c>
      <c r="LZG64" s="367" t="e">
        <f>LZD64*LZE64*LZF64</f>
        <v>#DIV/0!</v>
      </c>
      <c r="LZH64" s="363" t="s">
        <v>153</v>
      </c>
      <c r="LZI64" s="363"/>
      <c r="LZJ64" s="363"/>
      <c r="LZK64" s="364" t="s">
        <v>140</v>
      </c>
      <c r="LZL64" s="365">
        <v>0.5</v>
      </c>
      <c r="LZM64" s="366" t="e">
        <f>10/LZI62</f>
        <v>#DIV/0!</v>
      </c>
      <c r="LZN64" s="367">
        <v>15.38</v>
      </c>
      <c r="LZO64" s="367" t="e">
        <f>LZL64*LZM64*LZN64</f>
        <v>#DIV/0!</v>
      </c>
      <c r="LZP64" s="363" t="s">
        <v>153</v>
      </c>
      <c r="LZQ64" s="363"/>
      <c r="LZR64" s="363"/>
      <c r="LZS64" s="364" t="s">
        <v>140</v>
      </c>
      <c r="LZT64" s="365">
        <v>0.5</v>
      </c>
      <c r="LZU64" s="366" t="e">
        <f>10/LZQ62</f>
        <v>#DIV/0!</v>
      </c>
      <c r="LZV64" s="367">
        <v>15.38</v>
      </c>
      <c r="LZW64" s="367" t="e">
        <f>LZT64*LZU64*LZV64</f>
        <v>#DIV/0!</v>
      </c>
      <c r="LZX64" s="363" t="s">
        <v>153</v>
      </c>
      <c r="LZY64" s="363"/>
      <c r="LZZ64" s="363"/>
      <c r="MAA64" s="364" t="s">
        <v>140</v>
      </c>
      <c r="MAB64" s="365">
        <v>0.5</v>
      </c>
      <c r="MAC64" s="366" t="e">
        <f>10/LZY62</f>
        <v>#DIV/0!</v>
      </c>
      <c r="MAD64" s="367">
        <v>15.38</v>
      </c>
      <c r="MAE64" s="367" t="e">
        <f>MAB64*MAC64*MAD64</f>
        <v>#DIV/0!</v>
      </c>
      <c r="MAF64" s="363" t="s">
        <v>153</v>
      </c>
      <c r="MAG64" s="363"/>
      <c r="MAH64" s="363"/>
      <c r="MAI64" s="364" t="s">
        <v>140</v>
      </c>
      <c r="MAJ64" s="365">
        <v>0.5</v>
      </c>
      <c r="MAK64" s="366" t="e">
        <f>10/MAG62</f>
        <v>#DIV/0!</v>
      </c>
      <c r="MAL64" s="367">
        <v>15.38</v>
      </c>
      <c r="MAM64" s="367" t="e">
        <f>MAJ64*MAK64*MAL64</f>
        <v>#DIV/0!</v>
      </c>
      <c r="MAN64" s="363" t="s">
        <v>153</v>
      </c>
      <c r="MAO64" s="363"/>
      <c r="MAP64" s="363"/>
      <c r="MAQ64" s="364" t="s">
        <v>140</v>
      </c>
      <c r="MAR64" s="365">
        <v>0.5</v>
      </c>
      <c r="MAS64" s="366" t="e">
        <f>10/MAO62</f>
        <v>#DIV/0!</v>
      </c>
      <c r="MAT64" s="367">
        <v>15.38</v>
      </c>
      <c r="MAU64" s="367" t="e">
        <f>MAR64*MAS64*MAT64</f>
        <v>#DIV/0!</v>
      </c>
      <c r="MAV64" s="363" t="s">
        <v>153</v>
      </c>
      <c r="MAW64" s="363"/>
      <c r="MAX64" s="363"/>
      <c r="MAY64" s="364" t="s">
        <v>140</v>
      </c>
      <c r="MAZ64" s="365">
        <v>0.5</v>
      </c>
      <c r="MBA64" s="366" t="e">
        <f>10/MAW62</f>
        <v>#DIV/0!</v>
      </c>
      <c r="MBB64" s="367">
        <v>15.38</v>
      </c>
      <c r="MBC64" s="367" t="e">
        <f>MAZ64*MBA64*MBB64</f>
        <v>#DIV/0!</v>
      </c>
      <c r="MBD64" s="363" t="s">
        <v>153</v>
      </c>
      <c r="MBE64" s="363"/>
      <c r="MBF64" s="363"/>
      <c r="MBG64" s="364" t="s">
        <v>140</v>
      </c>
      <c r="MBH64" s="365">
        <v>0.5</v>
      </c>
      <c r="MBI64" s="366" t="e">
        <f>10/MBE62</f>
        <v>#DIV/0!</v>
      </c>
      <c r="MBJ64" s="367">
        <v>15.38</v>
      </c>
      <c r="MBK64" s="367" t="e">
        <f>MBH64*MBI64*MBJ64</f>
        <v>#DIV/0!</v>
      </c>
      <c r="MBL64" s="363" t="s">
        <v>153</v>
      </c>
      <c r="MBM64" s="363"/>
      <c r="MBN64" s="363"/>
      <c r="MBO64" s="364" t="s">
        <v>140</v>
      </c>
      <c r="MBP64" s="365">
        <v>0.5</v>
      </c>
      <c r="MBQ64" s="366" t="e">
        <f>10/MBM62</f>
        <v>#DIV/0!</v>
      </c>
      <c r="MBR64" s="367">
        <v>15.38</v>
      </c>
      <c r="MBS64" s="367" t="e">
        <f>MBP64*MBQ64*MBR64</f>
        <v>#DIV/0!</v>
      </c>
      <c r="MBT64" s="363" t="s">
        <v>153</v>
      </c>
      <c r="MBU64" s="363"/>
      <c r="MBV64" s="363"/>
      <c r="MBW64" s="364" t="s">
        <v>140</v>
      </c>
      <c r="MBX64" s="365">
        <v>0.5</v>
      </c>
      <c r="MBY64" s="366" t="e">
        <f>10/MBU62</f>
        <v>#DIV/0!</v>
      </c>
      <c r="MBZ64" s="367">
        <v>15.38</v>
      </c>
      <c r="MCA64" s="367" t="e">
        <f>MBX64*MBY64*MBZ64</f>
        <v>#DIV/0!</v>
      </c>
      <c r="MCB64" s="363" t="s">
        <v>153</v>
      </c>
      <c r="MCC64" s="363"/>
      <c r="MCD64" s="363"/>
      <c r="MCE64" s="364" t="s">
        <v>140</v>
      </c>
      <c r="MCF64" s="365">
        <v>0.5</v>
      </c>
      <c r="MCG64" s="366" t="e">
        <f>10/MCC62</f>
        <v>#DIV/0!</v>
      </c>
      <c r="MCH64" s="367">
        <v>15.38</v>
      </c>
      <c r="MCI64" s="367" t="e">
        <f>MCF64*MCG64*MCH64</f>
        <v>#DIV/0!</v>
      </c>
      <c r="MCJ64" s="363" t="s">
        <v>153</v>
      </c>
      <c r="MCK64" s="363"/>
      <c r="MCL64" s="363"/>
      <c r="MCM64" s="364" t="s">
        <v>140</v>
      </c>
      <c r="MCN64" s="365">
        <v>0.5</v>
      </c>
      <c r="MCO64" s="366" t="e">
        <f>10/MCK62</f>
        <v>#DIV/0!</v>
      </c>
      <c r="MCP64" s="367">
        <v>15.38</v>
      </c>
      <c r="MCQ64" s="367" t="e">
        <f>MCN64*MCO64*MCP64</f>
        <v>#DIV/0!</v>
      </c>
      <c r="MCR64" s="363" t="s">
        <v>153</v>
      </c>
      <c r="MCS64" s="363"/>
      <c r="MCT64" s="363"/>
      <c r="MCU64" s="364" t="s">
        <v>140</v>
      </c>
      <c r="MCV64" s="365">
        <v>0.5</v>
      </c>
      <c r="MCW64" s="366" t="e">
        <f>10/MCS62</f>
        <v>#DIV/0!</v>
      </c>
      <c r="MCX64" s="367">
        <v>15.38</v>
      </c>
      <c r="MCY64" s="367" t="e">
        <f>MCV64*MCW64*MCX64</f>
        <v>#DIV/0!</v>
      </c>
      <c r="MCZ64" s="363" t="s">
        <v>153</v>
      </c>
      <c r="MDA64" s="363"/>
      <c r="MDB64" s="363"/>
      <c r="MDC64" s="364" t="s">
        <v>140</v>
      </c>
      <c r="MDD64" s="365">
        <v>0.5</v>
      </c>
      <c r="MDE64" s="366" t="e">
        <f>10/MDA62</f>
        <v>#DIV/0!</v>
      </c>
      <c r="MDF64" s="367">
        <v>15.38</v>
      </c>
      <c r="MDG64" s="367" t="e">
        <f>MDD64*MDE64*MDF64</f>
        <v>#DIV/0!</v>
      </c>
      <c r="MDH64" s="363" t="s">
        <v>153</v>
      </c>
      <c r="MDI64" s="363"/>
      <c r="MDJ64" s="363"/>
      <c r="MDK64" s="364" t="s">
        <v>140</v>
      </c>
      <c r="MDL64" s="365">
        <v>0.5</v>
      </c>
      <c r="MDM64" s="366" t="e">
        <f>10/MDI62</f>
        <v>#DIV/0!</v>
      </c>
      <c r="MDN64" s="367">
        <v>15.38</v>
      </c>
      <c r="MDO64" s="367" t="e">
        <f>MDL64*MDM64*MDN64</f>
        <v>#DIV/0!</v>
      </c>
      <c r="MDP64" s="363" t="s">
        <v>153</v>
      </c>
      <c r="MDQ64" s="363"/>
      <c r="MDR64" s="363"/>
      <c r="MDS64" s="364" t="s">
        <v>140</v>
      </c>
      <c r="MDT64" s="365">
        <v>0.5</v>
      </c>
      <c r="MDU64" s="366" t="e">
        <f>10/MDQ62</f>
        <v>#DIV/0!</v>
      </c>
      <c r="MDV64" s="367">
        <v>15.38</v>
      </c>
      <c r="MDW64" s="367" t="e">
        <f>MDT64*MDU64*MDV64</f>
        <v>#DIV/0!</v>
      </c>
      <c r="MDX64" s="363" t="s">
        <v>153</v>
      </c>
      <c r="MDY64" s="363"/>
      <c r="MDZ64" s="363"/>
      <c r="MEA64" s="364" t="s">
        <v>140</v>
      </c>
      <c r="MEB64" s="365">
        <v>0.5</v>
      </c>
      <c r="MEC64" s="366" t="e">
        <f>10/MDY62</f>
        <v>#DIV/0!</v>
      </c>
      <c r="MED64" s="367">
        <v>15.38</v>
      </c>
      <c r="MEE64" s="367" t="e">
        <f>MEB64*MEC64*MED64</f>
        <v>#DIV/0!</v>
      </c>
      <c r="MEF64" s="363" t="s">
        <v>153</v>
      </c>
      <c r="MEG64" s="363"/>
      <c r="MEH64" s="363"/>
      <c r="MEI64" s="364" t="s">
        <v>140</v>
      </c>
      <c r="MEJ64" s="365">
        <v>0.5</v>
      </c>
      <c r="MEK64" s="366" t="e">
        <f>10/MEG62</f>
        <v>#DIV/0!</v>
      </c>
      <c r="MEL64" s="367">
        <v>15.38</v>
      </c>
      <c r="MEM64" s="367" t="e">
        <f>MEJ64*MEK64*MEL64</f>
        <v>#DIV/0!</v>
      </c>
      <c r="MEN64" s="363" t="s">
        <v>153</v>
      </c>
      <c r="MEO64" s="363"/>
      <c r="MEP64" s="363"/>
      <c r="MEQ64" s="364" t="s">
        <v>140</v>
      </c>
      <c r="MER64" s="365">
        <v>0.5</v>
      </c>
      <c r="MES64" s="366" t="e">
        <f>10/MEO62</f>
        <v>#DIV/0!</v>
      </c>
      <c r="MET64" s="367">
        <v>15.38</v>
      </c>
      <c r="MEU64" s="367" t="e">
        <f>MER64*MES64*MET64</f>
        <v>#DIV/0!</v>
      </c>
      <c r="MEV64" s="363" t="s">
        <v>153</v>
      </c>
      <c r="MEW64" s="363"/>
      <c r="MEX64" s="363"/>
      <c r="MEY64" s="364" t="s">
        <v>140</v>
      </c>
      <c r="MEZ64" s="365">
        <v>0.5</v>
      </c>
      <c r="MFA64" s="366" t="e">
        <f>10/MEW62</f>
        <v>#DIV/0!</v>
      </c>
      <c r="MFB64" s="367">
        <v>15.38</v>
      </c>
      <c r="MFC64" s="367" t="e">
        <f>MEZ64*MFA64*MFB64</f>
        <v>#DIV/0!</v>
      </c>
      <c r="MFD64" s="363" t="s">
        <v>153</v>
      </c>
      <c r="MFE64" s="363"/>
      <c r="MFF64" s="363"/>
      <c r="MFG64" s="364" t="s">
        <v>140</v>
      </c>
      <c r="MFH64" s="365">
        <v>0.5</v>
      </c>
      <c r="MFI64" s="366" t="e">
        <f>10/MFE62</f>
        <v>#DIV/0!</v>
      </c>
      <c r="MFJ64" s="367">
        <v>15.38</v>
      </c>
      <c r="MFK64" s="367" t="e">
        <f>MFH64*MFI64*MFJ64</f>
        <v>#DIV/0!</v>
      </c>
      <c r="MFL64" s="363" t="s">
        <v>153</v>
      </c>
      <c r="MFM64" s="363"/>
      <c r="MFN64" s="363"/>
      <c r="MFO64" s="364" t="s">
        <v>140</v>
      </c>
      <c r="MFP64" s="365">
        <v>0.5</v>
      </c>
      <c r="MFQ64" s="366" t="e">
        <f>10/MFM62</f>
        <v>#DIV/0!</v>
      </c>
      <c r="MFR64" s="367">
        <v>15.38</v>
      </c>
      <c r="MFS64" s="367" t="e">
        <f>MFP64*MFQ64*MFR64</f>
        <v>#DIV/0!</v>
      </c>
      <c r="MFT64" s="363" t="s">
        <v>153</v>
      </c>
      <c r="MFU64" s="363"/>
      <c r="MFV64" s="363"/>
      <c r="MFW64" s="364" t="s">
        <v>140</v>
      </c>
      <c r="MFX64" s="365">
        <v>0.5</v>
      </c>
      <c r="MFY64" s="366" t="e">
        <f>10/MFU62</f>
        <v>#DIV/0!</v>
      </c>
      <c r="MFZ64" s="367">
        <v>15.38</v>
      </c>
      <c r="MGA64" s="367" t="e">
        <f>MFX64*MFY64*MFZ64</f>
        <v>#DIV/0!</v>
      </c>
      <c r="MGB64" s="363" t="s">
        <v>153</v>
      </c>
      <c r="MGC64" s="363"/>
      <c r="MGD64" s="363"/>
      <c r="MGE64" s="364" t="s">
        <v>140</v>
      </c>
      <c r="MGF64" s="365">
        <v>0.5</v>
      </c>
      <c r="MGG64" s="366" t="e">
        <f>10/MGC62</f>
        <v>#DIV/0!</v>
      </c>
      <c r="MGH64" s="367">
        <v>15.38</v>
      </c>
      <c r="MGI64" s="367" t="e">
        <f>MGF64*MGG64*MGH64</f>
        <v>#DIV/0!</v>
      </c>
      <c r="MGJ64" s="363" t="s">
        <v>153</v>
      </c>
      <c r="MGK64" s="363"/>
      <c r="MGL64" s="363"/>
      <c r="MGM64" s="364" t="s">
        <v>140</v>
      </c>
      <c r="MGN64" s="365">
        <v>0.5</v>
      </c>
      <c r="MGO64" s="366" t="e">
        <f>10/MGK62</f>
        <v>#DIV/0!</v>
      </c>
      <c r="MGP64" s="367">
        <v>15.38</v>
      </c>
      <c r="MGQ64" s="367" t="e">
        <f>MGN64*MGO64*MGP64</f>
        <v>#DIV/0!</v>
      </c>
      <c r="MGR64" s="363" t="s">
        <v>153</v>
      </c>
      <c r="MGS64" s="363"/>
      <c r="MGT64" s="363"/>
      <c r="MGU64" s="364" t="s">
        <v>140</v>
      </c>
      <c r="MGV64" s="365">
        <v>0.5</v>
      </c>
      <c r="MGW64" s="366" t="e">
        <f>10/MGS62</f>
        <v>#DIV/0!</v>
      </c>
      <c r="MGX64" s="367">
        <v>15.38</v>
      </c>
      <c r="MGY64" s="367" t="e">
        <f>MGV64*MGW64*MGX64</f>
        <v>#DIV/0!</v>
      </c>
      <c r="MGZ64" s="363" t="s">
        <v>153</v>
      </c>
      <c r="MHA64" s="363"/>
      <c r="MHB64" s="363"/>
      <c r="MHC64" s="364" t="s">
        <v>140</v>
      </c>
      <c r="MHD64" s="365">
        <v>0.5</v>
      </c>
      <c r="MHE64" s="366" t="e">
        <f>10/MHA62</f>
        <v>#DIV/0!</v>
      </c>
      <c r="MHF64" s="367">
        <v>15.38</v>
      </c>
      <c r="MHG64" s="367" t="e">
        <f>MHD64*MHE64*MHF64</f>
        <v>#DIV/0!</v>
      </c>
      <c r="MHH64" s="363" t="s">
        <v>153</v>
      </c>
      <c r="MHI64" s="363"/>
      <c r="MHJ64" s="363"/>
      <c r="MHK64" s="364" t="s">
        <v>140</v>
      </c>
      <c r="MHL64" s="365">
        <v>0.5</v>
      </c>
      <c r="MHM64" s="366" t="e">
        <f>10/MHI62</f>
        <v>#DIV/0!</v>
      </c>
      <c r="MHN64" s="367">
        <v>15.38</v>
      </c>
      <c r="MHO64" s="367" t="e">
        <f>MHL64*MHM64*MHN64</f>
        <v>#DIV/0!</v>
      </c>
      <c r="MHP64" s="363" t="s">
        <v>153</v>
      </c>
      <c r="MHQ64" s="363"/>
      <c r="MHR64" s="363"/>
      <c r="MHS64" s="364" t="s">
        <v>140</v>
      </c>
      <c r="MHT64" s="365">
        <v>0.5</v>
      </c>
      <c r="MHU64" s="366" t="e">
        <f>10/MHQ62</f>
        <v>#DIV/0!</v>
      </c>
      <c r="MHV64" s="367">
        <v>15.38</v>
      </c>
      <c r="MHW64" s="367" t="e">
        <f>MHT64*MHU64*MHV64</f>
        <v>#DIV/0!</v>
      </c>
      <c r="MHX64" s="363" t="s">
        <v>153</v>
      </c>
      <c r="MHY64" s="363"/>
      <c r="MHZ64" s="363"/>
      <c r="MIA64" s="364" t="s">
        <v>140</v>
      </c>
      <c r="MIB64" s="365">
        <v>0.5</v>
      </c>
      <c r="MIC64" s="366" t="e">
        <f>10/MHY62</f>
        <v>#DIV/0!</v>
      </c>
      <c r="MID64" s="367">
        <v>15.38</v>
      </c>
      <c r="MIE64" s="367" t="e">
        <f>MIB64*MIC64*MID64</f>
        <v>#DIV/0!</v>
      </c>
      <c r="MIF64" s="363" t="s">
        <v>153</v>
      </c>
      <c r="MIG64" s="363"/>
      <c r="MIH64" s="363"/>
      <c r="MII64" s="364" t="s">
        <v>140</v>
      </c>
      <c r="MIJ64" s="365">
        <v>0.5</v>
      </c>
      <c r="MIK64" s="366" t="e">
        <f>10/MIG62</f>
        <v>#DIV/0!</v>
      </c>
      <c r="MIL64" s="367">
        <v>15.38</v>
      </c>
      <c r="MIM64" s="367" t="e">
        <f>MIJ64*MIK64*MIL64</f>
        <v>#DIV/0!</v>
      </c>
      <c r="MIN64" s="363" t="s">
        <v>153</v>
      </c>
      <c r="MIO64" s="363"/>
      <c r="MIP64" s="363"/>
      <c r="MIQ64" s="364" t="s">
        <v>140</v>
      </c>
      <c r="MIR64" s="365">
        <v>0.5</v>
      </c>
      <c r="MIS64" s="366" t="e">
        <f>10/MIO62</f>
        <v>#DIV/0!</v>
      </c>
      <c r="MIT64" s="367">
        <v>15.38</v>
      </c>
      <c r="MIU64" s="367" t="e">
        <f>MIR64*MIS64*MIT64</f>
        <v>#DIV/0!</v>
      </c>
      <c r="MIV64" s="363" t="s">
        <v>153</v>
      </c>
      <c r="MIW64" s="363"/>
      <c r="MIX64" s="363"/>
      <c r="MIY64" s="364" t="s">
        <v>140</v>
      </c>
      <c r="MIZ64" s="365">
        <v>0.5</v>
      </c>
      <c r="MJA64" s="366" t="e">
        <f>10/MIW62</f>
        <v>#DIV/0!</v>
      </c>
      <c r="MJB64" s="367">
        <v>15.38</v>
      </c>
      <c r="MJC64" s="367" t="e">
        <f>MIZ64*MJA64*MJB64</f>
        <v>#DIV/0!</v>
      </c>
      <c r="MJD64" s="363" t="s">
        <v>153</v>
      </c>
      <c r="MJE64" s="363"/>
      <c r="MJF64" s="363"/>
      <c r="MJG64" s="364" t="s">
        <v>140</v>
      </c>
      <c r="MJH64" s="365">
        <v>0.5</v>
      </c>
      <c r="MJI64" s="366" t="e">
        <f>10/MJE62</f>
        <v>#DIV/0!</v>
      </c>
      <c r="MJJ64" s="367">
        <v>15.38</v>
      </c>
      <c r="MJK64" s="367" t="e">
        <f>MJH64*MJI64*MJJ64</f>
        <v>#DIV/0!</v>
      </c>
      <c r="MJL64" s="363" t="s">
        <v>153</v>
      </c>
      <c r="MJM64" s="363"/>
      <c r="MJN64" s="363"/>
      <c r="MJO64" s="364" t="s">
        <v>140</v>
      </c>
      <c r="MJP64" s="365">
        <v>0.5</v>
      </c>
      <c r="MJQ64" s="366" t="e">
        <f>10/MJM62</f>
        <v>#DIV/0!</v>
      </c>
      <c r="MJR64" s="367">
        <v>15.38</v>
      </c>
      <c r="MJS64" s="367" t="e">
        <f>MJP64*MJQ64*MJR64</f>
        <v>#DIV/0!</v>
      </c>
      <c r="MJT64" s="363" t="s">
        <v>153</v>
      </c>
      <c r="MJU64" s="363"/>
      <c r="MJV64" s="363"/>
      <c r="MJW64" s="364" t="s">
        <v>140</v>
      </c>
      <c r="MJX64" s="365">
        <v>0.5</v>
      </c>
      <c r="MJY64" s="366" t="e">
        <f>10/MJU62</f>
        <v>#DIV/0!</v>
      </c>
      <c r="MJZ64" s="367">
        <v>15.38</v>
      </c>
      <c r="MKA64" s="367" t="e">
        <f>MJX64*MJY64*MJZ64</f>
        <v>#DIV/0!</v>
      </c>
      <c r="MKB64" s="363" t="s">
        <v>153</v>
      </c>
      <c r="MKC64" s="363"/>
      <c r="MKD64" s="363"/>
      <c r="MKE64" s="364" t="s">
        <v>140</v>
      </c>
      <c r="MKF64" s="365">
        <v>0.5</v>
      </c>
      <c r="MKG64" s="366" t="e">
        <f>10/MKC62</f>
        <v>#DIV/0!</v>
      </c>
      <c r="MKH64" s="367">
        <v>15.38</v>
      </c>
      <c r="MKI64" s="367" t="e">
        <f>MKF64*MKG64*MKH64</f>
        <v>#DIV/0!</v>
      </c>
      <c r="MKJ64" s="363" t="s">
        <v>153</v>
      </c>
      <c r="MKK64" s="363"/>
      <c r="MKL64" s="363"/>
      <c r="MKM64" s="364" t="s">
        <v>140</v>
      </c>
      <c r="MKN64" s="365">
        <v>0.5</v>
      </c>
      <c r="MKO64" s="366" t="e">
        <f>10/MKK62</f>
        <v>#DIV/0!</v>
      </c>
      <c r="MKP64" s="367">
        <v>15.38</v>
      </c>
      <c r="MKQ64" s="367" t="e">
        <f>MKN64*MKO64*MKP64</f>
        <v>#DIV/0!</v>
      </c>
      <c r="MKR64" s="363" t="s">
        <v>153</v>
      </c>
      <c r="MKS64" s="363"/>
      <c r="MKT64" s="363"/>
      <c r="MKU64" s="364" t="s">
        <v>140</v>
      </c>
      <c r="MKV64" s="365">
        <v>0.5</v>
      </c>
      <c r="MKW64" s="366" t="e">
        <f>10/MKS62</f>
        <v>#DIV/0!</v>
      </c>
      <c r="MKX64" s="367">
        <v>15.38</v>
      </c>
      <c r="MKY64" s="367" t="e">
        <f>MKV64*MKW64*MKX64</f>
        <v>#DIV/0!</v>
      </c>
      <c r="MKZ64" s="363" t="s">
        <v>153</v>
      </c>
      <c r="MLA64" s="363"/>
      <c r="MLB64" s="363"/>
      <c r="MLC64" s="364" t="s">
        <v>140</v>
      </c>
      <c r="MLD64" s="365">
        <v>0.5</v>
      </c>
      <c r="MLE64" s="366" t="e">
        <f>10/MLA62</f>
        <v>#DIV/0!</v>
      </c>
      <c r="MLF64" s="367">
        <v>15.38</v>
      </c>
      <c r="MLG64" s="367" t="e">
        <f>MLD64*MLE64*MLF64</f>
        <v>#DIV/0!</v>
      </c>
      <c r="MLH64" s="363" t="s">
        <v>153</v>
      </c>
      <c r="MLI64" s="363"/>
      <c r="MLJ64" s="363"/>
      <c r="MLK64" s="364" t="s">
        <v>140</v>
      </c>
      <c r="MLL64" s="365">
        <v>0.5</v>
      </c>
      <c r="MLM64" s="366" t="e">
        <f>10/MLI62</f>
        <v>#DIV/0!</v>
      </c>
      <c r="MLN64" s="367">
        <v>15.38</v>
      </c>
      <c r="MLO64" s="367" t="e">
        <f>MLL64*MLM64*MLN64</f>
        <v>#DIV/0!</v>
      </c>
      <c r="MLP64" s="363" t="s">
        <v>153</v>
      </c>
      <c r="MLQ64" s="363"/>
      <c r="MLR64" s="363"/>
      <c r="MLS64" s="364" t="s">
        <v>140</v>
      </c>
      <c r="MLT64" s="365">
        <v>0.5</v>
      </c>
      <c r="MLU64" s="366" t="e">
        <f>10/MLQ62</f>
        <v>#DIV/0!</v>
      </c>
      <c r="MLV64" s="367">
        <v>15.38</v>
      </c>
      <c r="MLW64" s="367" t="e">
        <f>MLT64*MLU64*MLV64</f>
        <v>#DIV/0!</v>
      </c>
      <c r="MLX64" s="363" t="s">
        <v>153</v>
      </c>
      <c r="MLY64" s="363"/>
      <c r="MLZ64" s="363"/>
      <c r="MMA64" s="364" t="s">
        <v>140</v>
      </c>
      <c r="MMB64" s="365">
        <v>0.5</v>
      </c>
      <c r="MMC64" s="366" t="e">
        <f>10/MLY62</f>
        <v>#DIV/0!</v>
      </c>
      <c r="MMD64" s="367">
        <v>15.38</v>
      </c>
      <c r="MME64" s="367" t="e">
        <f>MMB64*MMC64*MMD64</f>
        <v>#DIV/0!</v>
      </c>
      <c r="MMF64" s="363" t="s">
        <v>153</v>
      </c>
      <c r="MMG64" s="363"/>
      <c r="MMH64" s="363"/>
      <c r="MMI64" s="364" t="s">
        <v>140</v>
      </c>
      <c r="MMJ64" s="365">
        <v>0.5</v>
      </c>
      <c r="MMK64" s="366" t="e">
        <f>10/MMG62</f>
        <v>#DIV/0!</v>
      </c>
      <c r="MML64" s="367">
        <v>15.38</v>
      </c>
      <c r="MMM64" s="367" t="e">
        <f>MMJ64*MMK64*MML64</f>
        <v>#DIV/0!</v>
      </c>
      <c r="MMN64" s="363" t="s">
        <v>153</v>
      </c>
      <c r="MMO64" s="363"/>
      <c r="MMP64" s="363"/>
      <c r="MMQ64" s="364" t="s">
        <v>140</v>
      </c>
      <c r="MMR64" s="365">
        <v>0.5</v>
      </c>
      <c r="MMS64" s="366" t="e">
        <f>10/MMO62</f>
        <v>#DIV/0!</v>
      </c>
      <c r="MMT64" s="367">
        <v>15.38</v>
      </c>
      <c r="MMU64" s="367" t="e">
        <f>MMR64*MMS64*MMT64</f>
        <v>#DIV/0!</v>
      </c>
      <c r="MMV64" s="363" t="s">
        <v>153</v>
      </c>
      <c r="MMW64" s="363"/>
      <c r="MMX64" s="363"/>
      <c r="MMY64" s="364" t="s">
        <v>140</v>
      </c>
      <c r="MMZ64" s="365">
        <v>0.5</v>
      </c>
      <c r="MNA64" s="366" t="e">
        <f>10/MMW62</f>
        <v>#DIV/0!</v>
      </c>
      <c r="MNB64" s="367">
        <v>15.38</v>
      </c>
      <c r="MNC64" s="367" t="e">
        <f>MMZ64*MNA64*MNB64</f>
        <v>#DIV/0!</v>
      </c>
      <c r="MND64" s="363" t="s">
        <v>153</v>
      </c>
      <c r="MNE64" s="363"/>
      <c r="MNF64" s="363"/>
      <c r="MNG64" s="364" t="s">
        <v>140</v>
      </c>
      <c r="MNH64" s="365">
        <v>0.5</v>
      </c>
      <c r="MNI64" s="366" t="e">
        <f>10/MNE62</f>
        <v>#DIV/0!</v>
      </c>
      <c r="MNJ64" s="367">
        <v>15.38</v>
      </c>
      <c r="MNK64" s="367" t="e">
        <f>MNH64*MNI64*MNJ64</f>
        <v>#DIV/0!</v>
      </c>
      <c r="MNL64" s="363" t="s">
        <v>153</v>
      </c>
      <c r="MNM64" s="363"/>
      <c r="MNN64" s="363"/>
      <c r="MNO64" s="364" t="s">
        <v>140</v>
      </c>
      <c r="MNP64" s="365">
        <v>0.5</v>
      </c>
      <c r="MNQ64" s="366" t="e">
        <f>10/MNM62</f>
        <v>#DIV/0!</v>
      </c>
      <c r="MNR64" s="367">
        <v>15.38</v>
      </c>
      <c r="MNS64" s="367" t="e">
        <f>MNP64*MNQ64*MNR64</f>
        <v>#DIV/0!</v>
      </c>
      <c r="MNT64" s="363" t="s">
        <v>153</v>
      </c>
      <c r="MNU64" s="363"/>
      <c r="MNV64" s="363"/>
      <c r="MNW64" s="364" t="s">
        <v>140</v>
      </c>
      <c r="MNX64" s="365">
        <v>0.5</v>
      </c>
      <c r="MNY64" s="366" t="e">
        <f>10/MNU62</f>
        <v>#DIV/0!</v>
      </c>
      <c r="MNZ64" s="367">
        <v>15.38</v>
      </c>
      <c r="MOA64" s="367" t="e">
        <f>MNX64*MNY64*MNZ64</f>
        <v>#DIV/0!</v>
      </c>
      <c r="MOB64" s="363" t="s">
        <v>153</v>
      </c>
      <c r="MOC64" s="363"/>
      <c r="MOD64" s="363"/>
      <c r="MOE64" s="364" t="s">
        <v>140</v>
      </c>
      <c r="MOF64" s="365">
        <v>0.5</v>
      </c>
      <c r="MOG64" s="366" t="e">
        <f>10/MOC62</f>
        <v>#DIV/0!</v>
      </c>
      <c r="MOH64" s="367">
        <v>15.38</v>
      </c>
      <c r="MOI64" s="367" t="e">
        <f>MOF64*MOG64*MOH64</f>
        <v>#DIV/0!</v>
      </c>
      <c r="MOJ64" s="363" t="s">
        <v>153</v>
      </c>
      <c r="MOK64" s="363"/>
      <c r="MOL64" s="363"/>
      <c r="MOM64" s="364" t="s">
        <v>140</v>
      </c>
      <c r="MON64" s="365">
        <v>0.5</v>
      </c>
      <c r="MOO64" s="366" t="e">
        <f>10/MOK62</f>
        <v>#DIV/0!</v>
      </c>
      <c r="MOP64" s="367">
        <v>15.38</v>
      </c>
      <c r="MOQ64" s="367" t="e">
        <f>MON64*MOO64*MOP64</f>
        <v>#DIV/0!</v>
      </c>
      <c r="MOR64" s="363" t="s">
        <v>153</v>
      </c>
      <c r="MOS64" s="363"/>
      <c r="MOT64" s="363"/>
      <c r="MOU64" s="364" t="s">
        <v>140</v>
      </c>
      <c r="MOV64" s="365">
        <v>0.5</v>
      </c>
      <c r="MOW64" s="366" t="e">
        <f>10/MOS62</f>
        <v>#DIV/0!</v>
      </c>
      <c r="MOX64" s="367">
        <v>15.38</v>
      </c>
      <c r="MOY64" s="367" t="e">
        <f>MOV64*MOW64*MOX64</f>
        <v>#DIV/0!</v>
      </c>
      <c r="MOZ64" s="363" t="s">
        <v>153</v>
      </c>
      <c r="MPA64" s="363"/>
      <c r="MPB64" s="363"/>
      <c r="MPC64" s="364" t="s">
        <v>140</v>
      </c>
      <c r="MPD64" s="365">
        <v>0.5</v>
      </c>
      <c r="MPE64" s="366" t="e">
        <f>10/MPA62</f>
        <v>#DIV/0!</v>
      </c>
      <c r="MPF64" s="367">
        <v>15.38</v>
      </c>
      <c r="MPG64" s="367" t="e">
        <f>MPD64*MPE64*MPF64</f>
        <v>#DIV/0!</v>
      </c>
      <c r="MPH64" s="363" t="s">
        <v>153</v>
      </c>
      <c r="MPI64" s="363"/>
      <c r="MPJ64" s="363"/>
      <c r="MPK64" s="364" t="s">
        <v>140</v>
      </c>
      <c r="MPL64" s="365">
        <v>0.5</v>
      </c>
      <c r="MPM64" s="366" t="e">
        <f>10/MPI62</f>
        <v>#DIV/0!</v>
      </c>
      <c r="MPN64" s="367">
        <v>15.38</v>
      </c>
      <c r="MPO64" s="367" t="e">
        <f>MPL64*MPM64*MPN64</f>
        <v>#DIV/0!</v>
      </c>
      <c r="MPP64" s="363" t="s">
        <v>153</v>
      </c>
      <c r="MPQ64" s="363"/>
      <c r="MPR64" s="363"/>
      <c r="MPS64" s="364" t="s">
        <v>140</v>
      </c>
      <c r="MPT64" s="365">
        <v>0.5</v>
      </c>
      <c r="MPU64" s="366" t="e">
        <f>10/MPQ62</f>
        <v>#DIV/0!</v>
      </c>
      <c r="MPV64" s="367">
        <v>15.38</v>
      </c>
      <c r="MPW64" s="367" t="e">
        <f>MPT64*MPU64*MPV64</f>
        <v>#DIV/0!</v>
      </c>
      <c r="MPX64" s="363" t="s">
        <v>153</v>
      </c>
      <c r="MPY64" s="363"/>
      <c r="MPZ64" s="363"/>
      <c r="MQA64" s="364" t="s">
        <v>140</v>
      </c>
      <c r="MQB64" s="365">
        <v>0.5</v>
      </c>
      <c r="MQC64" s="366" t="e">
        <f>10/MPY62</f>
        <v>#DIV/0!</v>
      </c>
      <c r="MQD64" s="367">
        <v>15.38</v>
      </c>
      <c r="MQE64" s="367" t="e">
        <f>MQB64*MQC64*MQD64</f>
        <v>#DIV/0!</v>
      </c>
      <c r="MQF64" s="363" t="s">
        <v>153</v>
      </c>
      <c r="MQG64" s="363"/>
      <c r="MQH64" s="363"/>
      <c r="MQI64" s="364" t="s">
        <v>140</v>
      </c>
      <c r="MQJ64" s="365">
        <v>0.5</v>
      </c>
      <c r="MQK64" s="366" t="e">
        <f>10/MQG62</f>
        <v>#DIV/0!</v>
      </c>
      <c r="MQL64" s="367">
        <v>15.38</v>
      </c>
      <c r="MQM64" s="367" t="e">
        <f>MQJ64*MQK64*MQL64</f>
        <v>#DIV/0!</v>
      </c>
      <c r="MQN64" s="363" t="s">
        <v>153</v>
      </c>
      <c r="MQO64" s="363"/>
      <c r="MQP64" s="363"/>
      <c r="MQQ64" s="364" t="s">
        <v>140</v>
      </c>
      <c r="MQR64" s="365">
        <v>0.5</v>
      </c>
      <c r="MQS64" s="366" t="e">
        <f>10/MQO62</f>
        <v>#DIV/0!</v>
      </c>
      <c r="MQT64" s="367">
        <v>15.38</v>
      </c>
      <c r="MQU64" s="367" t="e">
        <f>MQR64*MQS64*MQT64</f>
        <v>#DIV/0!</v>
      </c>
      <c r="MQV64" s="363" t="s">
        <v>153</v>
      </c>
      <c r="MQW64" s="363"/>
      <c r="MQX64" s="363"/>
      <c r="MQY64" s="364" t="s">
        <v>140</v>
      </c>
      <c r="MQZ64" s="365">
        <v>0.5</v>
      </c>
      <c r="MRA64" s="366" t="e">
        <f>10/MQW62</f>
        <v>#DIV/0!</v>
      </c>
      <c r="MRB64" s="367">
        <v>15.38</v>
      </c>
      <c r="MRC64" s="367" t="e">
        <f>MQZ64*MRA64*MRB64</f>
        <v>#DIV/0!</v>
      </c>
      <c r="MRD64" s="363" t="s">
        <v>153</v>
      </c>
      <c r="MRE64" s="363"/>
      <c r="MRF64" s="363"/>
      <c r="MRG64" s="364" t="s">
        <v>140</v>
      </c>
      <c r="MRH64" s="365">
        <v>0.5</v>
      </c>
      <c r="MRI64" s="366" t="e">
        <f>10/MRE62</f>
        <v>#DIV/0!</v>
      </c>
      <c r="MRJ64" s="367">
        <v>15.38</v>
      </c>
      <c r="MRK64" s="367" t="e">
        <f>MRH64*MRI64*MRJ64</f>
        <v>#DIV/0!</v>
      </c>
      <c r="MRL64" s="363" t="s">
        <v>153</v>
      </c>
      <c r="MRM64" s="363"/>
      <c r="MRN64" s="363"/>
      <c r="MRO64" s="364" t="s">
        <v>140</v>
      </c>
      <c r="MRP64" s="365">
        <v>0.5</v>
      </c>
      <c r="MRQ64" s="366" t="e">
        <f>10/MRM62</f>
        <v>#DIV/0!</v>
      </c>
      <c r="MRR64" s="367">
        <v>15.38</v>
      </c>
      <c r="MRS64" s="367" t="e">
        <f>MRP64*MRQ64*MRR64</f>
        <v>#DIV/0!</v>
      </c>
      <c r="MRT64" s="363" t="s">
        <v>153</v>
      </c>
      <c r="MRU64" s="363"/>
      <c r="MRV64" s="363"/>
      <c r="MRW64" s="364" t="s">
        <v>140</v>
      </c>
      <c r="MRX64" s="365">
        <v>0.5</v>
      </c>
      <c r="MRY64" s="366" t="e">
        <f>10/MRU62</f>
        <v>#DIV/0!</v>
      </c>
      <c r="MRZ64" s="367">
        <v>15.38</v>
      </c>
      <c r="MSA64" s="367" t="e">
        <f>MRX64*MRY64*MRZ64</f>
        <v>#DIV/0!</v>
      </c>
      <c r="MSB64" s="363" t="s">
        <v>153</v>
      </c>
      <c r="MSC64" s="363"/>
      <c r="MSD64" s="363"/>
      <c r="MSE64" s="364" t="s">
        <v>140</v>
      </c>
      <c r="MSF64" s="365">
        <v>0.5</v>
      </c>
      <c r="MSG64" s="366" t="e">
        <f>10/MSC62</f>
        <v>#DIV/0!</v>
      </c>
      <c r="MSH64" s="367">
        <v>15.38</v>
      </c>
      <c r="MSI64" s="367" t="e">
        <f>MSF64*MSG64*MSH64</f>
        <v>#DIV/0!</v>
      </c>
      <c r="MSJ64" s="363" t="s">
        <v>153</v>
      </c>
      <c r="MSK64" s="363"/>
      <c r="MSL64" s="363"/>
      <c r="MSM64" s="364" t="s">
        <v>140</v>
      </c>
      <c r="MSN64" s="365">
        <v>0.5</v>
      </c>
      <c r="MSO64" s="366" t="e">
        <f>10/MSK62</f>
        <v>#DIV/0!</v>
      </c>
      <c r="MSP64" s="367">
        <v>15.38</v>
      </c>
      <c r="MSQ64" s="367" t="e">
        <f>MSN64*MSO64*MSP64</f>
        <v>#DIV/0!</v>
      </c>
      <c r="MSR64" s="363" t="s">
        <v>153</v>
      </c>
      <c r="MSS64" s="363"/>
      <c r="MST64" s="363"/>
      <c r="MSU64" s="364" t="s">
        <v>140</v>
      </c>
      <c r="MSV64" s="365">
        <v>0.5</v>
      </c>
      <c r="MSW64" s="366" t="e">
        <f>10/MSS62</f>
        <v>#DIV/0!</v>
      </c>
      <c r="MSX64" s="367">
        <v>15.38</v>
      </c>
      <c r="MSY64" s="367" t="e">
        <f>MSV64*MSW64*MSX64</f>
        <v>#DIV/0!</v>
      </c>
      <c r="MSZ64" s="363" t="s">
        <v>153</v>
      </c>
      <c r="MTA64" s="363"/>
      <c r="MTB64" s="363"/>
      <c r="MTC64" s="364" t="s">
        <v>140</v>
      </c>
      <c r="MTD64" s="365">
        <v>0.5</v>
      </c>
      <c r="MTE64" s="366" t="e">
        <f>10/MTA62</f>
        <v>#DIV/0!</v>
      </c>
      <c r="MTF64" s="367">
        <v>15.38</v>
      </c>
      <c r="MTG64" s="367" t="e">
        <f>MTD64*MTE64*MTF64</f>
        <v>#DIV/0!</v>
      </c>
      <c r="MTH64" s="363" t="s">
        <v>153</v>
      </c>
      <c r="MTI64" s="363"/>
      <c r="MTJ64" s="363"/>
      <c r="MTK64" s="364" t="s">
        <v>140</v>
      </c>
      <c r="MTL64" s="365">
        <v>0.5</v>
      </c>
      <c r="MTM64" s="366" t="e">
        <f>10/MTI62</f>
        <v>#DIV/0!</v>
      </c>
      <c r="MTN64" s="367">
        <v>15.38</v>
      </c>
      <c r="MTO64" s="367" t="e">
        <f>MTL64*MTM64*MTN64</f>
        <v>#DIV/0!</v>
      </c>
      <c r="MTP64" s="363" t="s">
        <v>153</v>
      </c>
      <c r="MTQ64" s="363"/>
      <c r="MTR64" s="363"/>
      <c r="MTS64" s="364" t="s">
        <v>140</v>
      </c>
      <c r="MTT64" s="365">
        <v>0.5</v>
      </c>
      <c r="MTU64" s="366" t="e">
        <f>10/MTQ62</f>
        <v>#DIV/0!</v>
      </c>
      <c r="MTV64" s="367">
        <v>15.38</v>
      </c>
      <c r="MTW64" s="367" t="e">
        <f>MTT64*MTU64*MTV64</f>
        <v>#DIV/0!</v>
      </c>
      <c r="MTX64" s="363" t="s">
        <v>153</v>
      </c>
      <c r="MTY64" s="363"/>
      <c r="MTZ64" s="363"/>
      <c r="MUA64" s="364" t="s">
        <v>140</v>
      </c>
      <c r="MUB64" s="365">
        <v>0.5</v>
      </c>
      <c r="MUC64" s="366" t="e">
        <f>10/MTY62</f>
        <v>#DIV/0!</v>
      </c>
      <c r="MUD64" s="367">
        <v>15.38</v>
      </c>
      <c r="MUE64" s="367" t="e">
        <f>MUB64*MUC64*MUD64</f>
        <v>#DIV/0!</v>
      </c>
      <c r="MUF64" s="363" t="s">
        <v>153</v>
      </c>
      <c r="MUG64" s="363"/>
      <c r="MUH64" s="363"/>
      <c r="MUI64" s="364" t="s">
        <v>140</v>
      </c>
      <c r="MUJ64" s="365">
        <v>0.5</v>
      </c>
      <c r="MUK64" s="366" t="e">
        <f>10/MUG62</f>
        <v>#DIV/0!</v>
      </c>
      <c r="MUL64" s="367">
        <v>15.38</v>
      </c>
      <c r="MUM64" s="367" t="e">
        <f>MUJ64*MUK64*MUL64</f>
        <v>#DIV/0!</v>
      </c>
      <c r="MUN64" s="363" t="s">
        <v>153</v>
      </c>
      <c r="MUO64" s="363"/>
      <c r="MUP64" s="363"/>
      <c r="MUQ64" s="364" t="s">
        <v>140</v>
      </c>
      <c r="MUR64" s="365">
        <v>0.5</v>
      </c>
      <c r="MUS64" s="366" t="e">
        <f>10/MUO62</f>
        <v>#DIV/0!</v>
      </c>
      <c r="MUT64" s="367">
        <v>15.38</v>
      </c>
      <c r="MUU64" s="367" t="e">
        <f>MUR64*MUS64*MUT64</f>
        <v>#DIV/0!</v>
      </c>
      <c r="MUV64" s="363" t="s">
        <v>153</v>
      </c>
      <c r="MUW64" s="363"/>
      <c r="MUX64" s="363"/>
      <c r="MUY64" s="364" t="s">
        <v>140</v>
      </c>
      <c r="MUZ64" s="365">
        <v>0.5</v>
      </c>
      <c r="MVA64" s="366" t="e">
        <f>10/MUW62</f>
        <v>#DIV/0!</v>
      </c>
      <c r="MVB64" s="367">
        <v>15.38</v>
      </c>
      <c r="MVC64" s="367" t="e">
        <f>MUZ64*MVA64*MVB64</f>
        <v>#DIV/0!</v>
      </c>
      <c r="MVD64" s="363" t="s">
        <v>153</v>
      </c>
      <c r="MVE64" s="363"/>
      <c r="MVF64" s="363"/>
      <c r="MVG64" s="364" t="s">
        <v>140</v>
      </c>
      <c r="MVH64" s="365">
        <v>0.5</v>
      </c>
      <c r="MVI64" s="366" t="e">
        <f>10/MVE62</f>
        <v>#DIV/0!</v>
      </c>
      <c r="MVJ64" s="367">
        <v>15.38</v>
      </c>
      <c r="MVK64" s="367" t="e">
        <f>MVH64*MVI64*MVJ64</f>
        <v>#DIV/0!</v>
      </c>
      <c r="MVL64" s="363" t="s">
        <v>153</v>
      </c>
      <c r="MVM64" s="363"/>
      <c r="MVN64" s="363"/>
      <c r="MVO64" s="364" t="s">
        <v>140</v>
      </c>
      <c r="MVP64" s="365">
        <v>0.5</v>
      </c>
      <c r="MVQ64" s="366" t="e">
        <f>10/MVM62</f>
        <v>#DIV/0!</v>
      </c>
      <c r="MVR64" s="367">
        <v>15.38</v>
      </c>
      <c r="MVS64" s="367" t="e">
        <f>MVP64*MVQ64*MVR64</f>
        <v>#DIV/0!</v>
      </c>
      <c r="MVT64" s="363" t="s">
        <v>153</v>
      </c>
      <c r="MVU64" s="363"/>
      <c r="MVV64" s="363"/>
      <c r="MVW64" s="364" t="s">
        <v>140</v>
      </c>
      <c r="MVX64" s="365">
        <v>0.5</v>
      </c>
      <c r="MVY64" s="366" t="e">
        <f>10/MVU62</f>
        <v>#DIV/0!</v>
      </c>
      <c r="MVZ64" s="367">
        <v>15.38</v>
      </c>
      <c r="MWA64" s="367" t="e">
        <f>MVX64*MVY64*MVZ64</f>
        <v>#DIV/0!</v>
      </c>
      <c r="MWB64" s="363" t="s">
        <v>153</v>
      </c>
      <c r="MWC64" s="363"/>
      <c r="MWD64" s="363"/>
      <c r="MWE64" s="364" t="s">
        <v>140</v>
      </c>
      <c r="MWF64" s="365">
        <v>0.5</v>
      </c>
      <c r="MWG64" s="366" t="e">
        <f>10/MWC62</f>
        <v>#DIV/0!</v>
      </c>
      <c r="MWH64" s="367">
        <v>15.38</v>
      </c>
      <c r="MWI64" s="367" t="e">
        <f>MWF64*MWG64*MWH64</f>
        <v>#DIV/0!</v>
      </c>
      <c r="MWJ64" s="363" t="s">
        <v>153</v>
      </c>
      <c r="MWK64" s="363"/>
      <c r="MWL64" s="363"/>
      <c r="MWM64" s="364" t="s">
        <v>140</v>
      </c>
      <c r="MWN64" s="365">
        <v>0.5</v>
      </c>
      <c r="MWO64" s="366" t="e">
        <f>10/MWK62</f>
        <v>#DIV/0!</v>
      </c>
      <c r="MWP64" s="367">
        <v>15.38</v>
      </c>
      <c r="MWQ64" s="367" t="e">
        <f>MWN64*MWO64*MWP64</f>
        <v>#DIV/0!</v>
      </c>
      <c r="MWR64" s="363" t="s">
        <v>153</v>
      </c>
      <c r="MWS64" s="363"/>
      <c r="MWT64" s="363"/>
      <c r="MWU64" s="364" t="s">
        <v>140</v>
      </c>
      <c r="MWV64" s="365">
        <v>0.5</v>
      </c>
      <c r="MWW64" s="366" t="e">
        <f>10/MWS62</f>
        <v>#DIV/0!</v>
      </c>
      <c r="MWX64" s="367">
        <v>15.38</v>
      </c>
      <c r="MWY64" s="367" t="e">
        <f>MWV64*MWW64*MWX64</f>
        <v>#DIV/0!</v>
      </c>
      <c r="MWZ64" s="363" t="s">
        <v>153</v>
      </c>
      <c r="MXA64" s="363"/>
      <c r="MXB64" s="363"/>
      <c r="MXC64" s="364" t="s">
        <v>140</v>
      </c>
      <c r="MXD64" s="365">
        <v>0.5</v>
      </c>
      <c r="MXE64" s="366" t="e">
        <f>10/MXA62</f>
        <v>#DIV/0!</v>
      </c>
      <c r="MXF64" s="367">
        <v>15.38</v>
      </c>
      <c r="MXG64" s="367" t="e">
        <f>MXD64*MXE64*MXF64</f>
        <v>#DIV/0!</v>
      </c>
      <c r="MXH64" s="363" t="s">
        <v>153</v>
      </c>
      <c r="MXI64" s="363"/>
      <c r="MXJ64" s="363"/>
      <c r="MXK64" s="364" t="s">
        <v>140</v>
      </c>
      <c r="MXL64" s="365">
        <v>0.5</v>
      </c>
      <c r="MXM64" s="366" t="e">
        <f>10/MXI62</f>
        <v>#DIV/0!</v>
      </c>
      <c r="MXN64" s="367">
        <v>15.38</v>
      </c>
      <c r="MXO64" s="367" t="e">
        <f>MXL64*MXM64*MXN64</f>
        <v>#DIV/0!</v>
      </c>
      <c r="MXP64" s="363" t="s">
        <v>153</v>
      </c>
      <c r="MXQ64" s="363"/>
      <c r="MXR64" s="363"/>
      <c r="MXS64" s="364" t="s">
        <v>140</v>
      </c>
      <c r="MXT64" s="365">
        <v>0.5</v>
      </c>
      <c r="MXU64" s="366" t="e">
        <f>10/MXQ62</f>
        <v>#DIV/0!</v>
      </c>
      <c r="MXV64" s="367">
        <v>15.38</v>
      </c>
      <c r="MXW64" s="367" t="e">
        <f>MXT64*MXU64*MXV64</f>
        <v>#DIV/0!</v>
      </c>
      <c r="MXX64" s="363" t="s">
        <v>153</v>
      </c>
      <c r="MXY64" s="363"/>
      <c r="MXZ64" s="363"/>
      <c r="MYA64" s="364" t="s">
        <v>140</v>
      </c>
      <c r="MYB64" s="365">
        <v>0.5</v>
      </c>
      <c r="MYC64" s="366" t="e">
        <f>10/MXY62</f>
        <v>#DIV/0!</v>
      </c>
      <c r="MYD64" s="367">
        <v>15.38</v>
      </c>
      <c r="MYE64" s="367" t="e">
        <f>MYB64*MYC64*MYD64</f>
        <v>#DIV/0!</v>
      </c>
      <c r="MYF64" s="363" t="s">
        <v>153</v>
      </c>
      <c r="MYG64" s="363"/>
      <c r="MYH64" s="363"/>
      <c r="MYI64" s="364" t="s">
        <v>140</v>
      </c>
      <c r="MYJ64" s="365">
        <v>0.5</v>
      </c>
      <c r="MYK64" s="366" t="e">
        <f>10/MYG62</f>
        <v>#DIV/0!</v>
      </c>
      <c r="MYL64" s="367">
        <v>15.38</v>
      </c>
      <c r="MYM64" s="367" t="e">
        <f>MYJ64*MYK64*MYL64</f>
        <v>#DIV/0!</v>
      </c>
      <c r="MYN64" s="363" t="s">
        <v>153</v>
      </c>
      <c r="MYO64" s="363"/>
      <c r="MYP64" s="363"/>
      <c r="MYQ64" s="364" t="s">
        <v>140</v>
      </c>
      <c r="MYR64" s="365">
        <v>0.5</v>
      </c>
      <c r="MYS64" s="366" t="e">
        <f>10/MYO62</f>
        <v>#DIV/0!</v>
      </c>
      <c r="MYT64" s="367">
        <v>15.38</v>
      </c>
      <c r="MYU64" s="367" t="e">
        <f>MYR64*MYS64*MYT64</f>
        <v>#DIV/0!</v>
      </c>
      <c r="MYV64" s="363" t="s">
        <v>153</v>
      </c>
      <c r="MYW64" s="363"/>
      <c r="MYX64" s="363"/>
      <c r="MYY64" s="364" t="s">
        <v>140</v>
      </c>
      <c r="MYZ64" s="365">
        <v>0.5</v>
      </c>
      <c r="MZA64" s="366" t="e">
        <f>10/MYW62</f>
        <v>#DIV/0!</v>
      </c>
      <c r="MZB64" s="367">
        <v>15.38</v>
      </c>
      <c r="MZC64" s="367" t="e">
        <f>MYZ64*MZA64*MZB64</f>
        <v>#DIV/0!</v>
      </c>
      <c r="MZD64" s="363" t="s">
        <v>153</v>
      </c>
      <c r="MZE64" s="363"/>
      <c r="MZF64" s="363"/>
      <c r="MZG64" s="364" t="s">
        <v>140</v>
      </c>
      <c r="MZH64" s="365">
        <v>0.5</v>
      </c>
      <c r="MZI64" s="366" t="e">
        <f>10/MZE62</f>
        <v>#DIV/0!</v>
      </c>
      <c r="MZJ64" s="367">
        <v>15.38</v>
      </c>
      <c r="MZK64" s="367" t="e">
        <f>MZH64*MZI64*MZJ64</f>
        <v>#DIV/0!</v>
      </c>
      <c r="MZL64" s="363" t="s">
        <v>153</v>
      </c>
      <c r="MZM64" s="363"/>
      <c r="MZN64" s="363"/>
      <c r="MZO64" s="364" t="s">
        <v>140</v>
      </c>
      <c r="MZP64" s="365">
        <v>0.5</v>
      </c>
      <c r="MZQ64" s="366" t="e">
        <f>10/MZM62</f>
        <v>#DIV/0!</v>
      </c>
      <c r="MZR64" s="367">
        <v>15.38</v>
      </c>
      <c r="MZS64" s="367" t="e">
        <f>MZP64*MZQ64*MZR64</f>
        <v>#DIV/0!</v>
      </c>
      <c r="MZT64" s="363" t="s">
        <v>153</v>
      </c>
      <c r="MZU64" s="363"/>
      <c r="MZV64" s="363"/>
      <c r="MZW64" s="364" t="s">
        <v>140</v>
      </c>
      <c r="MZX64" s="365">
        <v>0.5</v>
      </c>
      <c r="MZY64" s="366" t="e">
        <f>10/MZU62</f>
        <v>#DIV/0!</v>
      </c>
      <c r="MZZ64" s="367">
        <v>15.38</v>
      </c>
      <c r="NAA64" s="367" t="e">
        <f>MZX64*MZY64*MZZ64</f>
        <v>#DIV/0!</v>
      </c>
      <c r="NAB64" s="363" t="s">
        <v>153</v>
      </c>
      <c r="NAC64" s="363"/>
      <c r="NAD64" s="363"/>
      <c r="NAE64" s="364" t="s">
        <v>140</v>
      </c>
      <c r="NAF64" s="365">
        <v>0.5</v>
      </c>
      <c r="NAG64" s="366" t="e">
        <f>10/NAC62</f>
        <v>#DIV/0!</v>
      </c>
      <c r="NAH64" s="367">
        <v>15.38</v>
      </c>
      <c r="NAI64" s="367" t="e">
        <f>NAF64*NAG64*NAH64</f>
        <v>#DIV/0!</v>
      </c>
      <c r="NAJ64" s="363" t="s">
        <v>153</v>
      </c>
      <c r="NAK64" s="363"/>
      <c r="NAL64" s="363"/>
      <c r="NAM64" s="364" t="s">
        <v>140</v>
      </c>
      <c r="NAN64" s="365">
        <v>0.5</v>
      </c>
      <c r="NAO64" s="366" t="e">
        <f>10/NAK62</f>
        <v>#DIV/0!</v>
      </c>
      <c r="NAP64" s="367">
        <v>15.38</v>
      </c>
      <c r="NAQ64" s="367" t="e">
        <f>NAN64*NAO64*NAP64</f>
        <v>#DIV/0!</v>
      </c>
      <c r="NAR64" s="363" t="s">
        <v>153</v>
      </c>
      <c r="NAS64" s="363"/>
      <c r="NAT64" s="363"/>
      <c r="NAU64" s="364" t="s">
        <v>140</v>
      </c>
      <c r="NAV64" s="365">
        <v>0.5</v>
      </c>
      <c r="NAW64" s="366" t="e">
        <f>10/NAS62</f>
        <v>#DIV/0!</v>
      </c>
      <c r="NAX64" s="367">
        <v>15.38</v>
      </c>
      <c r="NAY64" s="367" t="e">
        <f>NAV64*NAW64*NAX64</f>
        <v>#DIV/0!</v>
      </c>
      <c r="NAZ64" s="363" t="s">
        <v>153</v>
      </c>
      <c r="NBA64" s="363"/>
      <c r="NBB64" s="363"/>
      <c r="NBC64" s="364" t="s">
        <v>140</v>
      </c>
      <c r="NBD64" s="365">
        <v>0.5</v>
      </c>
      <c r="NBE64" s="366" t="e">
        <f>10/NBA62</f>
        <v>#DIV/0!</v>
      </c>
      <c r="NBF64" s="367">
        <v>15.38</v>
      </c>
      <c r="NBG64" s="367" t="e">
        <f>NBD64*NBE64*NBF64</f>
        <v>#DIV/0!</v>
      </c>
      <c r="NBH64" s="363" t="s">
        <v>153</v>
      </c>
      <c r="NBI64" s="363"/>
      <c r="NBJ64" s="363"/>
      <c r="NBK64" s="364" t="s">
        <v>140</v>
      </c>
      <c r="NBL64" s="365">
        <v>0.5</v>
      </c>
      <c r="NBM64" s="366" t="e">
        <f>10/NBI62</f>
        <v>#DIV/0!</v>
      </c>
      <c r="NBN64" s="367">
        <v>15.38</v>
      </c>
      <c r="NBO64" s="367" t="e">
        <f>NBL64*NBM64*NBN64</f>
        <v>#DIV/0!</v>
      </c>
      <c r="NBP64" s="363" t="s">
        <v>153</v>
      </c>
      <c r="NBQ64" s="363"/>
      <c r="NBR64" s="363"/>
      <c r="NBS64" s="364" t="s">
        <v>140</v>
      </c>
      <c r="NBT64" s="365">
        <v>0.5</v>
      </c>
      <c r="NBU64" s="366" t="e">
        <f>10/NBQ62</f>
        <v>#DIV/0!</v>
      </c>
      <c r="NBV64" s="367">
        <v>15.38</v>
      </c>
      <c r="NBW64" s="367" t="e">
        <f>NBT64*NBU64*NBV64</f>
        <v>#DIV/0!</v>
      </c>
      <c r="NBX64" s="363" t="s">
        <v>153</v>
      </c>
      <c r="NBY64" s="363"/>
      <c r="NBZ64" s="363"/>
      <c r="NCA64" s="364" t="s">
        <v>140</v>
      </c>
      <c r="NCB64" s="365">
        <v>0.5</v>
      </c>
      <c r="NCC64" s="366" t="e">
        <f>10/NBY62</f>
        <v>#DIV/0!</v>
      </c>
      <c r="NCD64" s="367">
        <v>15.38</v>
      </c>
      <c r="NCE64" s="367" t="e">
        <f>NCB64*NCC64*NCD64</f>
        <v>#DIV/0!</v>
      </c>
      <c r="NCF64" s="363" t="s">
        <v>153</v>
      </c>
      <c r="NCG64" s="363"/>
      <c r="NCH64" s="363"/>
      <c r="NCI64" s="364" t="s">
        <v>140</v>
      </c>
      <c r="NCJ64" s="365">
        <v>0.5</v>
      </c>
      <c r="NCK64" s="366" t="e">
        <f>10/NCG62</f>
        <v>#DIV/0!</v>
      </c>
      <c r="NCL64" s="367">
        <v>15.38</v>
      </c>
      <c r="NCM64" s="367" t="e">
        <f>NCJ64*NCK64*NCL64</f>
        <v>#DIV/0!</v>
      </c>
      <c r="NCN64" s="363" t="s">
        <v>153</v>
      </c>
      <c r="NCO64" s="363"/>
      <c r="NCP64" s="363"/>
      <c r="NCQ64" s="364" t="s">
        <v>140</v>
      </c>
      <c r="NCR64" s="365">
        <v>0.5</v>
      </c>
      <c r="NCS64" s="366" t="e">
        <f>10/NCO62</f>
        <v>#DIV/0!</v>
      </c>
      <c r="NCT64" s="367">
        <v>15.38</v>
      </c>
      <c r="NCU64" s="367" t="e">
        <f>NCR64*NCS64*NCT64</f>
        <v>#DIV/0!</v>
      </c>
      <c r="NCV64" s="363" t="s">
        <v>153</v>
      </c>
      <c r="NCW64" s="363"/>
      <c r="NCX64" s="363"/>
      <c r="NCY64" s="364" t="s">
        <v>140</v>
      </c>
      <c r="NCZ64" s="365">
        <v>0.5</v>
      </c>
      <c r="NDA64" s="366" t="e">
        <f>10/NCW62</f>
        <v>#DIV/0!</v>
      </c>
      <c r="NDB64" s="367">
        <v>15.38</v>
      </c>
      <c r="NDC64" s="367" t="e">
        <f>NCZ64*NDA64*NDB64</f>
        <v>#DIV/0!</v>
      </c>
      <c r="NDD64" s="363" t="s">
        <v>153</v>
      </c>
      <c r="NDE64" s="363"/>
      <c r="NDF64" s="363"/>
      <c r="NDG64" s="364" t="s">
        <v>140</v>
      </c>
      <c r="NDH64" s="365">
        <v>0.5</v>
      </c>
      <c r="NDI64" s="366" t="e">
        <f>10/NDE62</f>
        <v>#DIV/0!</v>
      </c>
      <c r="NDJ64" s="367">
        <v>15.38</v>
      </c>
      <c r="NDK64" s="367" t="e">
        <f>NDH64*NDI64*NDJ64</f>
        <v>#DIV/0!</v>
      </c>
      <c r="NDL64" s="363" t="s">
        <v>153</v>
      </c>
      <c r="NDM64" s="363"/>
      <c r="NDN64" s="363"/>
      <c r="NDO64" s="364" t="s">
        <v>140</v>
      </c>
      <c r="NDP64" s="365">
        <v>0.5</v>
      </c>
      <c r="NDQ64" s="366" t="e">
        <f>10/NDM62</f>
        <v>#DIV/0!</v>
      </c>
      <c r="NDR64" s="367">
        <v>15.38</v>
      </c>
      <c r="NDS64" s="367" t="e">
        <f>NDP64*NDQ64*NDR64</f>
        <v>#DIV/0!</v>
      </c>
      <c r="NDT64" s="363" t="s">
        <v>153</v>
      </c>
      <c r="NDU64" s="363"/>
      <c r="NDV64" s="363"/>
      <c r="NDW64" s="364" t="s">
        <v>140</v>
      </c>
      <c r="NDX64" s="365">
        <v>0.5</v>
      </c>
      <c r="NDY64" s="366" t="e">
        <f>10/NDU62</f>
        <v>#DIV/0!</v>
      </c>
      <c r="NDZ64" s="367">
        <v>15.38</v>
      </c>
      <c r="NEA64" s="367" t="e">
        <f>NDX64*NDY64*NDZ64</f>
        <v>#DIV/0!</v>
      </c>
      <c r="NEB64" s="363" t="s">
        <v>153</v>
      </c>
      <c r="NEC64" s="363"/>
      <c r="NED64" s="363"/>
      <c r="NEE64" s="364" t="s">
        <v>140</v>
      </c>
      <c r="NEF64" s="365">
        <v>0.5</v>
      </c>
      <c r="NEG64" s="366" t="e">
        <f>10/NEC62</f>
        <v>#DIV/0!</v>
      </c>
      <c r="NEH64" s="367">
        <v>15.38</v>
      </c>
      <c r="NEI64" s="367" t="e">
        <f>NEF64*NEG64*NEH64</f>
        <v>#DIV/0!</v>
      </c>
      <c r="NEJ64" s="363" t="s">
        <v>153</v>
      </c>
      <c r="NEK64" s="363"/>
      <c r="NEL64" s="363"/>
      <c r="NEM64" s="364" t="s">
        <v>140</v>
      </c>
      <c r="NEN64" s="365">
        <v>0.5</v>
      </c>
      <c r="NEO64" s="366" t="e">
        <f>10/NEK62</f>
        <v>#DIV/0!</v>
      </c>
      <c r="NEP64" s="367">
        <v>15.38</v>
      </c>
      <c r="NEQ64" s="367" t="e">
        <f>NEN64*NEO64*NEP64</f>
        <v>#DIV/0!</v>
      </c>
      <c r="NER64" s="363" t="s">
        <v>153</v>
      </c>
      <c r="NES64" s="363"/>
      <c r="NET64" s="363"/>
      <c r="NEU64" s="364" t="s">
        <v>140</v>
      </c>
      <c r="NEV64" s="365">
        <v>0.5</v>
      </c>
      <c r="NEW64" s="366" t="e">
        <f>10/NES62</f>
        <v>#DIV/0!</v>
      </c>
      <c r="NEX64" s="367">
        <v>15.38</v>
      </c>
      <c r="NEY64" s="367" t="e">
        <f>NEV64*NEW64*NEX64</f>
        <v>#DIV/0!</v>
      </c>
      <c r="NEZ64" s="363" t="s">
        <v>153</v>
      </c>
      <c r="NFA64" s="363"/>
      <c r="NFB64" s="363"/>
      <c r="NFC64" s="364" t="s">
        <v>140</v>
      </c>
      <c r="NFD64" s="365">
        <v>0.5</v>
      </c>
      <c r="NFE64" s="366" t="e">
        <f>10/NFA62</f>
        <v>#DIV/0!</v>
      </c>
      <c r="NFF64" s="367">
        <v>15.38</v>
      </c>
      <c r="NFG64" s="367" t="e">
        <f>NFD64*NFE64*NFF64</f>
        <v>#DIV/0!</v>
      </c>
      <c r="NFH64" s="363" t="s">
        <v>153</v>
      </c>
      <c r="NFI64" s="363"/>
      <c r="NFJ64" s="363"/>
      <c r="NFK64" s="364" t="s">
        <v>140</v>
      </c>
      <c r="NFL64" s="365">
        <v>0.5</v>
      </c>
      <c r="NFM64" s="366" t="e">
        <f>10/NFI62</f>
        <v>#DIV/0!</v>
      </c>
      <c r="NFN64" s="367">
        <v>15.38</v>
      </c>
      <c r="NFO64" s="367" t="e">
        <f>NFL64*NFM64*NFN64</f>
        <v>#DIV/0!</v>
      </c>
      <c r="NFP64" s="363" t="s">
        <v>153</v>
      </c>
      <c r="NFQ64" s="363"/>
      <c r="NFR64" s="363"/>
      <c r="NFS64" s="364" t="s">
        <v>140</v>
      </c>
      <c r="NFT64" s="365">
        <v>0.5</v>
      </c>
      <c r="NFU64" s="366" t="e">
        <f>10/NFQ62</f>
        <v>#DIV/0!</v>
      </c>
      <c r="NFV64" s="367">
        <v>15.38</v>
      </c>
      <c r="NFW64" s="367" t="e">
        <f>NFT64*NFU64*NFV64</f>
        <v>#DIV/0!</v>
      </c>
      <c r="NFX64" s="363" t="s">
        <v>153</v>
      </c>
      <c r="NFY64" s="363"/>
      <c r="NFZ64" s="363"/>
      <c r="NGA64" s="364" t="s">
        <v>140</v>
      </c>
      <c r="NGB64" s="365">
        <v>0.5</v>
      </c>
      <c r="NGC64" s="366" t="e">
        <f>10/NFY62</f>
        <v>#DIV/0!</v>
      </c>
      <c r="NGD64" s="367">
        <v>15.38</v>
      </c>
      <c r="NGE64" s="367" t="e">
        <f>NGB64*NGC64*NGD64</f>
        <v>#DIV/0!</v>
      </c>
      <c r="NGF64" s="363" t="s">
        <v>153</v>
      </c>
      <c r="NGG64" s="363"/>
      <c r="NGH64" s="363"/>
      <c r="NGI64" s="364" t="s">
        <v>140</v>
      </c>
      <c r="NGJ64" s="365">
        <v>0.5</v>
      </c>
      <c r="NGK64" s="366" t="e">
        <f>10/NGG62</f>
        <v>#DIV/0!</v>
      </c>
      <c r="NGL64" s="367">
        <v>15.38</v>
      </c>
      <c r="NGM64" s="367" t="e">
        <f>NGJ64*NGK64*NGL64</f>
        <v>#DIV/0!</v>
      </c>
      <c r="NGN64" s="363" t="s">
        <v>153</v>
      </c>
      <c r="NGO64" s="363"/>
      <c r="NGP64" s="363"/>
      <c r="NGQ64" s="364" t="s">
        <v>140</v>
      </c>
      <c r="NGR64" s="365">
        <v>0.5</v>
      </c>
      <c r="NGS64" s="366" t="e">
        <f>10/NGO62</f>
        <v>#DIV/0!</v>
      </c>
      <c r="NGT64" s="367">
        <v>15.38</v>
      </c>
      <c r="NGU64" s="367" t="e">
        <f>NGR64*NGS64*NGT64</f>
        <v>#DIV/0!</v>
      </c>
      <c r="NGV64" s="363" t="s">
        <v>153</v>
      </c>
      <c r="NGW64" s="363"/>
      <c r="NGX64" s="363"/>
      <c r="NGY64" s="364" t="s">
        <v>140</v>
      </c>
      <c r="NGZ64" s="365">
        <v>0.5</v>
      </c>
      <c r="NHA64" s="366" t="e">
        <f>10/NGW62</f>
        <v>#DIV/0!</v>
      </c>
      <c r="NHB64" s="367">
        <v>15.38</v>
      </c>
      <c r="NHC64" s="367" t="e">
        <f>NGZ64*NHA64*NHB64</f>
        <v>#DIV/0!</v>
      </c>
      <c r="NHD64" s="363" t="s">
        <v>153</v>
      </c>
      <c r="NHE64" s="363"/>
      <c r="NHF64" s="363"/>
      <c r="NHG64" s="364" t="s">
        <v>140</v>
      </c>
      <c r="NHH64" s="365">
        <v>0.5</v>
      </c>
      <c r="NHI64" s="366" t="e">
        <f>10/NHE62</f>
        <v>#DIV/0!</v>
      </c>
      <c r="NHJ64" s="367">
        <v>15.38</v>
      </c>
      <c r="NHK64" s="367" t="e">
        <f>NHH64*NHI64*NHJ64</f>
        <v>#DIV/0!</v>
      </c>
      <c r="NHL64" s="363" t="s">
        <v>153</v>
      </c>
      <c r="NHM64" s="363"/>
      <c r="NHN64" s="363"/>
      <c r="NHO64" s="364" t="s">
        <v>140</v>
      </c>
      <c r="NHP64" s="365">
        <v>0.5</v>
      </c>
      <c r="NHQ64" s="366" t="e">
        <f>10/NHM62</f>
        <v>#DIV/0!</v>
      </c>
      <c r="NHR64" s="367">
        <v>15.38</v>
      </c>
      <c r="NHS64" s="367" t="e">
        <f>NHP64*NHQ64*NHR64</f>
        <v>#DIV/0!</v>
      </c>
      <c r="NHT64" s="363" t="s">
        <v>153</v>
      </c>
      <c r="NHU64" s="363"/>
      <c r="NHV64" s="363"/>
      <c r="NHW64" s="364" t="s">
        <v>140</v>
      </c>
      <c r="NHX64" s="365">
        <v>0.5</v>
      </c>
      <c r="NHY64" s="366" t="e">
        <f>10/NHU62</f>
        <v>#DIV/0!</v>
      </c>
      <c r="NHZ64" s="367">
        <v>15.38</v>
      </c>
      <c r="NIA64" s="367" t="e">
        <f>NHX64*NHY64*NHZ64</f>
        <v>#DIV/0!</v>
      </c>
      <c r="NIB64" s="363" t="s">
        <v>153</v>
      </c>
      <c r="NIC64" s="363"/>
      <c r="NID64" s="363"/>
      <c r="NIE64" s="364" t="s">
        <v>140</v>
      </c>
      <c r="NIF64" s="365">
        <v>0.5</v>
      </c>
      <c r="NIG64" s="366" t="e">
        <f>10/NIC62</f>
        <v>#DIV/0!</v>
      </c>
      <c r="NIH64" s="367">
        <v>15.38</v>
      </c>
      <c r="NII64" s="367" t="e">
        <f>NIF64*NIG64*NIH64</f>
        <v>#DIV/0!</v>
      </c>
      <c r="NIJ64" s="363" t="s">
        <v>153</v>
      </c>
      <c r="NIK64" s="363"/>
      <c r="NIL64" s="363"/>
      <c r="NIM64" s="364" t="s">
        <v>140</v>
      </c>
      <c r="NIN64" s="365">
        <v>0.5</v>
      </c>
      <c r="NIO64" s="366" t="e">
        <f>10/NIK62</f>
        <v>#DIV/0!</v>
      </c>
      <c r="NIP64" s="367">
        <v>15.38</v>
      </c>
      <c r="NIQ64" s="367" t="e">
        <f>NIN64*NIO64*NIP64</f>
        <v>#DIV/0!</v>
      </c>
      <c r="NIR64" s="363" t="s">
        <v>153</v>
      </c>
      <c r="NIS64" s="363"/>
      <c r="NIT64" s="363"/>
      <c r="NIU64" s="364" t="s">
        <v>140</v>
      </c>
      <c r="NIV64" s="365">
        <v>0.5</v>
      </c>
      <c r="NIW64" s="366" t="e">
        <f>10/NIS62</f>
        <v>#DIV/0!</v>
      </c>
      <c r="NIX64" s="367">
        <v>15.38</v>
      </c>
      <c r="NIY64" s="367" t="e">
        <f>NIV64*NIW64*NIX64</f>
        <v>#DIV/0!</v>
      </c>
      <c r="NIZ64" s="363" t="s">
        <v>153</v>
      </c>
      <c r="NJA64" s="363"/>
      <c r="NJB64" s="363"/>
      <c r="NJC64" s="364" t="s">
        <v>140</v>
      </c>
      <c r="NJD64" s="365">
        <v>0.5</v>
      </c>
      <c r="NJE64" s="366" t="e">
        <f>10/NJA62</f>
        <v>#DIV/0!</v>
      </c>
      <c r="NJF64" s="367">
        <v>15.38</v>
      </c>
      <c r="NJG64" s="367" t="e">
        <f>NJD64*NJE64*NJF64</f>
        <v>#DIV/0!</v>
      </c>
      <c r="NJH64" s="363" t="s">
        <v>153</v>
      </c>
      <c r="NJI64" s="363"/>
      <c r="NJJ64" s="363"/>
      <c r="NJK64" s="364" t="s">
        <v>140</v>
      </c>
      <c r="NJL64" s="365">
        <v>0.5</v>
      </c>
      <c r="NJM64" s="366" t="e">
        <f>10/NJI62</f>
        <v>#DIV/0!</v>
      </c>
      <c r="NJN64" s="367">
        <v>15.38</v>
      </c>
      <c r="NJO64" s="367" t="e">
        <f>NJL64*NJM64*NJN64</f>
        <v>#DIV/0!</v>
      </c>
      <c r="NJP64" s="363" t="s">
        <v>153</v>
      </c>
      <c r="NJQ64" s="363"/>
      <c r="NJR64" s="363"/>
      <c r="NJS64" s="364" t="s">
        <v>140</v>
      </c>
      <c r="NJT64" s="365">
        <v>0.5</v>
      </c>
      <c r="NJU64" s="366" t="e">
        <f>10/NJQ62</f>
        <v>#DIV/0!</v>
      </c>
      <c r="NJV64" s="367">
        <v>15.38</v>
      </c>
      <c r="NJW64" s="367" t="e">
        <f>NJT64*NJU64*NJV64</f>
        <v>#DIV/0!</v>
      </c>
      <c r="NJX64" s="363" t="s">
        <v>153</v>
      </c>
      <c r="NJY64" s="363"/>
      <c r="NJZ64" s="363"/>
      <c r="NKA64" s="364" t="s">
        <v>140</v>
      </c>
      <c r="NKB64" s="365">
        <v>0.5</v>
      </c>
      <c r="NKC64" s="366" t="e">
        <f>10/NJY62</f>
        <v>#DIV/0!</v>
      </c>
      <c r="NKD64" s="367">
        <v>15.38</v>
      </c>
      <c r="NKE64" s="367" t="e">
        <f>NKB64*NKC64*NKD64</f>
        <v>#DIV/0!</v>
      </c>
      <c r="NKF64" s="363" t="s">
        <v>153</v>
      </c>
      <c r="NKG64" s="363"/>
      <c r="NKH64" s="363"/>
      <c r="NKI64" s="364" t="s">
        <v>140</v>
      </c>
      <c r="NKJ64" s="365">
        <v>0.5</v>
      </c>
      <c r="NKK64" s="366" t="e">
        <f>10/NKG62</f>
        <v>#DIV/0!</v>
      </c>
      <c r="NKL64" s="367">
        <v>15.38</v>
      </c>
      <c r="NKM64" s="367" t="e">
        <f>NKJ64*NKK64*NKL64</f>
        <v>#DIV/0!</v>
      </c>
      <c r="NKN64" s="363" t="s">
        <v>153</v>
      </c>
      <c r="NKO64" s="363"/>
      <c r="NKP64" s="363"/>
      <c r="NKQ64" s="364" t="s">
        <v>140</v>
      </c>
      <c r="NKR64" s="365">
        <v>0.5</v>
      </c>
      <c r="NKS64" s="366" t="e">
        <f>10/NKO62</f>
        <v>#DIV/0!</v>
      </c>
      <c r="NKT64" s="367">
        <v>15.38</v>
      </c>
      <c r="NKU64" s="367" t="e">
        <f>NKR64*NKS64*NKT64</f>
        <v>#DIV/0!</v>
      </c>
      <c r="NKV64" s="363" t="s">
        <v>153</v>
      </c>
      <c r="NKW64" s="363"/>
      <c r="NKX64" s="363"/>
      <c r="NKY64" s="364" t="s">
        <v>140</v>
      </c>
      <c r="NKZ64" s="365">
        <v>0.5</v>
      </c>
      <c r="NLA64" s="366" t="e">
        <f>10/NKW62</f>
        <v>#DIV/0!</v>
      </c>
      <c r="NLB64" s="367">
        <v>15.38</v>
      </c>
      <c r="NLC64" s="367" t="e">
        <f>NKZ64*NLA64*NLB64</f>
        <v>#DIV/0!</v>
      </c>
      <c r="NLD64" s="363" t="s">
        <v>153</v>
      </c>
      <c r="NLE64" s="363"/>
      <c r="NLF64" s="363"/>
      <c r="NLG64" s="364" t="s">
        <v>140</v>
      </c>
      <c r="NLH64" s="365">
        <v>0.5</v>
      </c>
      <c r="NLI64" s="366" t="e">
        <f>10/NLE62</f>
        <v>#DIV/0!</v>
      </c>
      <c r="NLJ64" s="367">
        <v>15.38</v>
      </c>
      <c r="NLK64" s="367" t="e">
        <f>NLH64*NLI64*NLJ64</f>
        <v>#DIV/0!</v>
      </c>
      <c r="NLL64" s="363" t="s">
        <v>153</v>
      </c>
      <c r="NLM64" s="363"/>
      <c r="NLN64" s="363"/>
      <c r="NLO64" s="364" t="s">
        <v>140</v>
      </c>
      <c r="NLP64" s="365">
        <v>0.5</v>
      </c>
      <c r="NLQ64" s="366" t="e">
        <f>10/NLM62</f>
        <v>#DIV/0!</v>
      </c>
      <c r="NLR64" s="367">
        <v>15.38</v>
      </c>
      <c r="NLS64" s="367" t="e">
        <f>NLP64*NLQ64*NLR64</f>
        <v>#DIV/0!</v>
      </c>
      <c r="NLT64" s="363" t="s">
        <v>153</v>
      </c>
      <c r="NLU64" s="363"/>
      <c r="NLV64" s="363"/>
      <c r="NLW64" s="364" t="s">
        <v>140</v>
      </c>
      <c r="NLX64" s="365">
        <v>0.5</v>
      </c>
      <c r="NLY64" s="366" t="e">
        <f>10/NLU62</f>
        <v>#DIV/0!</v>
      </c>
      <c r="NLZ64" s="367">
        <v>15.38</v>
      </c>
      <c r="NMA64" s="367" t="e">
        <f>NLX64*NLY64*NLZ64</f>
        <v>#DIV/0!</v>
      </c>
      <c r="NMB64" s="363" t="s">
        <v>153</v>
      </c>
      <c r="NMC64" s="363"/>
      <c r="NMD64" s="363"/>
      <c r="NME64" s="364" t="s">
        <v>140</v>
      </c>
      <c r="NMF64" s="365">
        <v>0.5</v>
      </c>
      <c r="NMG64" s="366" t="e">
        <f>10/NMC62</f>
        <v>#DIV/0!</v>
      </c>
      <c r="NMH64" s="367">
        <v>15.38</v>
      </c>
      <c r="NMI64" s="367" t="e">
        <f>NMF64*NMG64*NMH64</f>
        <v>#DIV/0!</v>
      </c>
      <c r="NMJ64" s="363" t="s">
        <v>153</v>
      </c>
      <c r="NMK64" s="363"/>
      <c r="NML64" s="363"/>
      <c r="NMM64" s="364" t="s">
        <v>140</v>
      </c>
      <c r="NMN64" s="365">
        <v>0.5</v>
      </c>
      <c r="NMO64" s="366" t="e">
        <f>10/NMK62</f>
        <v>#DIV/0!</v>
      </c>
      <c r="NMP64" s="367">
        <v>15.38</v>
      </c>
      <c r="NMQ64" s="367" t="e">
        <f>NMN64*NMO64*NMP64</f>
        <v>#DIV/0!</v>
      </c>
      <c r="NMR64" s="363" t="s">
        <v>153</v>
      </c>
      <c r="NMS64" s="363"/>
      <c r="NMT64" s="363"/>
      <c r="NMU64" s="364" t="s">
        <v>140</v>
      </c>
      <c r="NMV64" s="365">
        <v>0.5</v>
      </c>
      <c r="NMW64" s="366" t="e">
        <f>10/NMS62</f>
        <v>#DIV/0!</v>
      </c>
      <c r="NMX64" s="367">
        <v>15.38</v>
      </c>
      <c r="NMY64" s="367" t="e">
        <f>NMV64*NMW64*NMX64</f>
        <v>#DIV/0!</v>
      </c>
      <c r="NMZ64" s="363" t="s">
        <v>153</v>
      </c>
      <c r="NNA64" s="363"/>
      <c r="NNB64" s="363"/>
      <c r="NNC64" s="364" t="s">
        <v>140</v>
      </c>
      <c r="NND64" s="365">
        <v>0.5</v>
      </c>
      <c r="NNE64" s="366" t="e">
        <f>10/NNA62</f>
        <v>#DIV/0!</v>
      </c>
      <c r="NNF64" s="367">
        <v>15.38</v>
      </c>
      <c r="NNG64" s="367" t="e">
        <f>NND64*NNE64*NNF64</f>
        <v>#DIV/0!</v>
      </c>
      <c r="NNH64" s="363" t="s">
        <v>153</v>
      </c>
      <c r="NNI64" s="363"/>
      <c r="NNJ64" s="363"/>
      <c r="NNK64" s="364" t="s">
        <v>140</v>
      </c>
      <c r="NNL64" s="365">
        <v>0.5</v>
      </c>
      <c r="NNM64" s="366" t="e">
        <f>10/NNI62</f>
        <v>#DIV/0!</v>
      </c>
      <c r="NNN64" s="367">
        <v>15.38</v>
      </c>
      <c r="NNO64" s="367" t="e">
        <f>NNL64*NNM64*NNN64</f>
        <v>#DIV/0!</v>
      </c>
      <c r="NNP64" s="363" t="s">
        <v>153</v>
      </c>
      <c r="NNQ64" s="363"/>
      <c r="NNR64" s="363"/>
      <c r="NNS64" s="364" t="s">
        <v>140</v>
      </c>
      <c r="NNT64" s="365">
        <v>0.5</v>
      </c>
      <c r="NNU64" s="366" t="e">
        <f>10/NNQ62</f>
        <v>#DIV/0!</v>
      </c>
      <c r="NNV64" s="367">
        <v>15.38</v>
      </c>
      <c r="NNW64" s="367" t="e">
        <f>NNT64*NNU64*NNV64</f>
        <v>#DIV/0!</v>
      </c>
      <c r="NNX64" s="363" t="s">
        <v>153</v>
      </c>
      <c r="NNY64" s="363"/>
      <c r="NNZ64" s="363"/>
      <c r="NOA64" s="364" t="s">
        <v>140</v>
      </c>
      <c r="NOB64" s="365">
        <v>0.5</v>
      </c>
      <c r="NOC64" s="366" t="e">
        <f>10/NNY62</f>
        <v>#DIV/0!</v>
      </c>
      <c r="NOD64" s="367">
        <v>15.38</v>
      </c>
      <c r="NOE64" s="367" t="e">
        <f>NOB64*NOC64*NOD64</f>
        <v>#DIV/0!</v>
      </c>
      <c r="NOF64" s="363" t="s">
        <v>153</v>
      </c>
      <c r="NOG64" s="363"/>
      <c r="NOH64" s="363"/>
      <c r="NOI64" s="364" t="s">
        <v>140</v>
      </c>
      <c r="NOJ64" s="365">
        <v>0.5</v>
      </c>
      <c r="NOK64" s="366" t="e">
        <f>10/NOG62</f>
        <v>#DIV/0!</v>
      </c>
      <c r="NOL64" s="367">
        <v>15.38</v>
      </c>
      <c r="NOM64" s="367" t="e">
        <f>NOJ64*NOK64*NOL64</f>
        <v>#DIV/0!</v>
      </c>
      <c r="NON64" s="363" t="s">
        <v>153</v>
      </c>
      <c r="NOO64" s="363"/>
      <c r="NOP64" s="363"/>
      <c r="NOQ64" s="364" t="s">
        <v>140</v>
      </c>
      <c r="NOR64" s="365">
        <v>0.5</v>
      </c>
      <c r="NOS64" s="366" t="e">
        <f>10/NOO62</f>
        <v>#DIV/0!</v>
      </c>
      <c r="NOT64" s="367">
        <v>15.38</v>
      </c>
      <c r="NOU64" s="367" t="e">
        <f>NOR64*NOS64*NOT64</f>
        <v>#DIV/0!</v>
      </c>
      <c r="NOV64" s="363" t="s">
        <v>153</v>
      </c>
      <c r="NOW64" s="363"/>
      <c r="NOX64" s="363"/>
      <c r="NOY64" s="364" t="s">
        <v>140</v>
      </c>
      <c r="NOZ64" s="365">
        <v>0.5</v>
      </c>
      <c r="NPA64" s="366" t="e">
        <f>10/NOW62</f>
        <v>#DIV/0!</v>
      </c>
      <c r="NPB64" s="367">
        <v>15.38</v>
      </c>
      <c r="NPC64" s="367" t="e">
        <f>NOZ64*NPA64*NPB64</f>
        <v>#DIV/0!</v>
      </c>
      <c r="NPD64" s="363" t="s">
        <v>153</v>
      </c>
      <c r="NPE64" s="363"/>
      <c r="NPF64" s="363"/>
      <c r="NPG64" s="364" t="s">
        <v>140</v>
      </c>
      <c r="NPH64" s="365">
        <v>0.5</v>
      </c>
      <c r="NPI64" s="366" t="e">
        <f>10/NPE62</f>
        <v>#DIV/0!</v>
      </c>
      <c r="NPJ64" s="367">
        <v>15.38</v>
      </c>
      <c r="NPK64" s="367" t="e">
        <f>NPH64*NPI64*NPJ64</f>
        <v>#DIV/0!</v>
      </c>
      <c r="NPL64" s="363" t="s">
        <v>153</v>
      </c>
      <c r="NPM64" s="363"/>
      <c r="NPN64" s="363"/>
      <c r="NPO64" s="364" t="s">
        <v>140</v>
      </c>
      <c r="NPP64" s="365">
        <v>0.5</v>
      </c>
      <c r="NPQ64" s="366" t="e">
        <f>10/NPM62</f>
        <v>#DIV/0!</v>
      </c>
      <c r="NPR64" s="367">
        <v>15.38</v>
      </c>
      <c r="NPS64" s="367" t="e">
        <f>NPP64*NPQ64*NPR64</f>
        <v>#DIV/0!</v>
      </c>
      <c r="NPT64" s="363" t="s">
        <v>153</v>
      </c>
      <c r="NPU64" s="363"/>
      <c r="NPV64" s="363"/>
      <c r="NPW64" s="364" t="s">
        <v>140</v>
      </c>
      <c r="NPX64" s="365">
        <v>0.5</v>
      </c>
      <c r="NPY64" s="366" t="e">
        <f>10/NPU62</f>
        <v>#DIV/0!</v>
      </c>
      <c r="NPZ64" s="367">
        <v>15.38</v>
      </c>
      <c r="NQA64" s="367" t="e">
        <f>NPX64*NPY64*NPZ64</f>
        <v>#DIV/0!</v>
      </c>
      <c r="NQB64" s="363" t="s">
        <v>153</v>
      </c>
      <c r="NQC64" s="363"/>
      <c r="NQD64" s="363"/>
      <c r="NQE64" s="364" t="s">
        <v>140</v>
      </c>
      <c r="NQF64" s="365">
        <v>0.5</v>
      </c>
      <c r="NQG64" s="366" t="e">
        <f>10/NQC62</f>
        <v>#DIV/0!</v>
      </c>
      <c r="NQH64" s="367">
        <v>15.38</v>
      </c>
      <c r="NQI64" s="367" t="e">
        <f>NQF64*NQG64*NQH64</f>
        <v>#DIV/0!</v>
      </c>
      <c r="NQJ64" s="363" t="s">
        <v>153</v>
      </c>
      <c r="NQK64" s="363"/>
      <c r="NQL64" s="363"/>
      <c r="NQM64" s="364" t="s">
        <v>140</v>
      </c>
      <c r="NQN64" s="365">
        <v>0.5</v>
      </c>
      <c r="NQO64" s="366" t="e">
        <f>10/NQK62</f>
        <v>#DIV/0!</v>
      </c>
      <c r="NQP64" s="367">
        <v>15.38</v>
      </c>
      <c r="NQQ64" s="367" t="e">
        <f>NQN64*NQO64*NQP64</f>
        <v>#DIV/0!</v>
      </c>
      <c r="NQR64" s="363" t="s">
        <v>153</v>
      </c>
      <c r="NQS64" s="363"/>
      <c r="NQT64" s="363"/>
      <c r="NQU64" s="364" t="s">
        <v>140</v>
      </c>
      <c r="NQV64" s="365">
        <v>0.5</v>
      </c>
      <c r="NQW64" s="366" t="e">
        <f>10/NQS62</f>
        <v>#DIV/0!</v>
      </c>
      <c r="NQX64" s="367">
        <v>15.38</v>
      </c>
      <c r="NQY64" s="367" t="e">
        <f>NQV64*NQW64*NQX64</f>
        <v>#DIV/0!</v>
      </c>
      <c r="NQZ64" s="363" t="s">
        <v>153</v>
      </c>
      <c r="NRA64" s="363"/>
      <c r="NRB64" s="363"/>
      <c r="NRC64" s="364" t="s">
        <v>140</v>
      </c>
      <c r="NRD64" s="365">
        <v>0.5</v>
      </c>
      <c r="NRE64" s="366" t="e">
        <f>10/NRA62</f>
        <v>#DIV/0!</v>
      </c>
      <c r="NRF64" s="367">
        <v>15.38</v>
      </c>
      <c r="NRG64" s="367" t="e">
        <f>NRD64*NRE64*NRF64</f>
        <v>#DIV/0!</v>
      </c>
      <c r="NRH64" s="363" t="s">
        <v>153</v>
      </c>
      <c r="NRI64" s="363"/>
      <c r="NRJ64" s="363"/>
      <c r="NRK64" s="364" t="s">
        <v>140</v>
      </c>
      <c r="NRL64" s="365">
        <v>0.5</v>
      </c>
      <c r="NRM64" s="366" t="e">
        <f>10/NRI62</f>
        <v>#DIV/0!</v>
      </c>
      <c r="NRN64" s="367">
        <v>15.38</v>
      </c>
      <c r="NRO64" s="367" t="e">
        <f>NRL64*NRM64*NRN64</f>
        <v>#DIV/0!</v>
      </c>
      <c r="NRP64" s="363" t="s">
        <v>153</v>
      </c>
      <c r="NRQ64" s="363"/>
      <c r="NRR64" s="363"/>
      <c r="NRS64" s="364" t="s">
        <v>140</v>
      </c>
      <c r="NRT64" s="365">
        <v>0.5</v>
      </c>
      <c r="NRU64" s="366" t="e">
        <f>10/NRQ62</f>
        <v>#DIV/0!</v>
      </c>
      <c r="NRV64" s="367">
        <v>15.38</v>
      </c>
      <c r="NRW64" s="367" t="e">
        <f>NRT64*NRU64*NRV64</f>
        <v>#DIV/0!</v>
      </c>
      <c r="NRX64" s="363" t="s">
        <v>153</v>
      </c>
      <c r="NRY64" s="363"/>
      <c r="NRZ64" s="363"/>
      <c r="NSA64" s="364" t="s">
        <v>140</v>
      </c>
      <c r="NSB64" s="365">
        <v>0.5</v>
      </c>
      <c r="NSC64" s="366" t="e">
        <f>10/NRY62</f>
        <v>#DIV/0!</v>
      </c>
      <c r="NSD64" s="367">
        <v>15.38</v>
      </c>
      <c r="NSE64" s="367" t="e">
        <f>NSB64*NSC64*NSD64</f>
        <v>#DIV/0!</v>
      </c>
      <c r="NSF64" s="363" t="s">
        <v>153</v>
      </c>
      <c r="NSG64" s="363"/>
      <c r="NSH64" s="363"/>
      <c r="NSI64" s="364" t="s">
        <v>140</v>
      </c>
      <c r="NSJ64" s="365">
        <v>0.5</v>
      </c>
      <c r="NSK64" s="366" t="e">
        <f>10/NSG62</f>
        <v>#DIV/0!</v>
      </c>
      <c r="NSL64" s="367">
        <v>15.38</v>
      </c>
      <c r="NSM64" s="367" t="e">
        <f>NSJ64*NSK64*NSL64</f>
        <v>#DIV/0!</v>
      </c>
      <c r="NSN64" s="363" t="s">
        <v>153</v>
      </c>
      <c r="NSO64" s="363"/>
      <c r="NSP64" s="363"/>
      <c r="NSQ64" s="364" t="s">
        <v>140</v>
      </c>
      <c r="NSR64" s="365">
        <v>0.5</v>
      </c>
      <c r="NSS64" s="366" t="e">
        <f>10/NSO62</f>
        <v>#DIV/0!</v>
      </c>
      <c r="NST64" s="367">
        <v>15.38</v>
      </c>
      <c r="NSU64" s="367" t="e">
        <f>NSR64*NSS64*NST64</f>
        <v>#DIV/0!</v>
      </c>
      <c r="NSV64" s="363" t="s">
        <v>153</v>
      </c>
      <c r="NSW64" s="363"/>
      <c r="NSX64" s="363"/>
      <c r="NSY64" s="364" t="s">
        <v>140</v>
      </c>
      <c r="NSZ64" s="365">
        <v>0.5</v>
      </c>
      <c r="NTA64" s="366" t="e">
        <f>10/NSW62</f>
        <v>#DIV/0!</v>
      </c>
      <c r="NTB64" s="367">
        <v>15.38</v>
      </c>
      <c r="NTC64" s="367" t="e">
        <f>NSZ64*NTA64*NTB64</f>
        <v>#DIV/0!</v>
      </c>
      <c r="NTD64" s="363" t="s">
        <v>153</v>
      </c>
      <c r="NTE64" s="363"/>
      <c r="NTF64" s="363"/>
      <c r="NTG64" s="364" t="s">
        <v>140</v>
      </c>
      <c r="NTH64" s="365">
        <v>0.5</v>
      </c>
      <c r="NTI64" s="366" t="e">
        <f>10/NTE62</f>
        <v>#DIV/0!</v>
      </c>
      <c r="NTJ64" s="367">
        <v>15.38</v>
      </c>
      <c r="NTK64" s="367" t="e">
        <f>NTH64*NTI64*NTJ64</f>
        <v>#DIV/0!</v>
      </c>
      <c r="NTL64" s="363" t="s">
        <v>153</v>
      </c>
      <c r="NTM64" s="363"/>
      <c r="NTN64" s="363"/>
      <c r="NTO64" s="364" t="s">
        <v>140</v>
      </c>
      <c r="NTP64" s="365">
        <v>0.5</v>
      </c>
      <c r="NTQ64" s="366" t="e">
        <f>10/NTM62</f>
        <v>#DIV/0!</v>
      </c>
      <c r="NTR64" s="367">
        <v>15.38</v>
      </c>
      <c r="NTS64" s="367" t="e">
        <f>NTP64*NTQ64*NTR64</f>
        <v>#DIV/0!</v>
      </c>
      <c r="NTT64" s="363" t="s">
        <v>153</v>
      </c>
      <c r="NTU64" s="363"/>
      <c r="NTV64" s="363"/>
      <c r="NTW64" s="364" t="s">
        <v>140</v>
      </c>
      <c r="NTX64" s="365">
        <v>0.5</v>
      </c>
      <c r="NTY64" s="366" t="e">
        <f>10/NTU62</f>
        <v>#DIV/0!</v>
      </c>
      <c r="NTZ64" s="367">
        <v>15.38</v>
      </c>
      <c r="NUA64" s="367" t="e">
        <f>NTX64*NTY64*NTZ64</f>
        <v>#DIV/0!</v>
      </c>
      <c r="NUB64" s="363" t="s">
        <v>153</v>
      </c>
      <c r="NUC64" s="363"/>
      <c r="NUD64" s="363"/>
      <c r="NUE64" s="364" t="s">
        <v>140</v>
      </c>
      <c r="NUF64" s="365">
        <v>0.5</v>
      </c>
      <c r="NUG64" s="366" t="e">
        <f>10/NUC62</f>
        <v>#DIV/0!</v>
      </c>
      <c r="NUH64" s="367">
        <v>15.38</v>
      </c>
      <c r="NUI64" s="367" t="e">
        <f>NUF64*NUG64*NUH64</f>
        <v>#DIV/0!</v>
      </c>
      <c r="NUJ64" s="363" t="s">
        <v>153</v>
      </c>
      <c r="NUK64" s="363"/>
      <c r="NUL64" s="363"/>
      <c r="NUM64" s="364" t="s">
        <v>140</v>
      </c>
      <c r="NUN64" s="365">
        <v>0.5</v>
      </c>
      <c r="NUO64" s="366" t="e">
        <f>10/NUK62</f>
        <v>#DIV/0!</v>
      </c>
      <c r="NUP64" s="367">
        <v>15.38</v>
      </c>
      <c r="NUQ64" s="367" t="e">
        <f>NUN64*NUO64*NUP64</f>
        <v>#DIV/0!</v>
      </c>
      <c r="NUR64" s="363" t="s">
        <v>153</v>
      </c>
      <c r="NUS64" s="363"/>
      <c r="NUT64" s="363"/>
      <c r="NUU64" s="364" t="s">
        <v>140</v>
      </c>
      <c r="NUV64" s="365">
        <v>0.5</v>
      </c>
      <c r="NUW64" s="366" t="e">
        <f>10/NUS62</f>
        <v>#DIV/0!</v>
      </c>
      <c r="NUX64" s="367">
        <v>15.38</v>
      </c>
      <c r="NUY64" s="367" t="e">
        <f>NUV64*NUW64*NUX64</f>
        <v>#DIV/0!</v>
      </c>
      <c r="NUZ64" s="363" t="s">
        <v>153</v>
      </c>
      <c r="NVA64" s="363"/>
      <c r="NVB64" s="363"/>
      <c r="NVC64" s="364" t="s">
        <v>140</v>
      </c>
      <c r="NVD64" s="365">
        <v>0.5</v>
      </c>
      <c r="NVE64" s="366" t="e">
        <f>10/NVA62</f>
        <v>#DIV/0!</v>
      </c>
      <c r="NVF64" s="367">
        <v>15.38</v>
      </c>
      <c r="NVG64" s="367" t="e">
        <f>NVD64*NVE64*NVF64</f>
        <v>#DIV/0!</v>
      </c>
      <c r="NVH64" s="363" t="s">
        <v>153</v>
      </c>
      <c r="NVI64" s="363"/>
      <c r="NVJ64" s="363"/>
      <c r="NVK64" s="364" t="s">
        <v>140</v>
      </c>
      <c r="NVL64" s="365">
        <v>0.5</v>
      </c>
      <c r="NVM64" s="366" t="e">
        <f>10/NVI62</f>
        <v>#DIV/0!</v>
      </c>
      <c r="NVN64" s="367">
        <v>15.38</v>
      </c>
      <c r="NVO64" s="367" t="e">
        <f>NVL64*NVM64*NVN64</f>
        <v>#DIV/0!</v>
      </c>
      <c r="NVP64" s="363" t="s">
        <v>153</v>
      </c>
      <c r="NVQ64" s="363"/>
      <c r="NVR64" s="363"/>
      <c r="NVS64" s="364" t="s">
        <v>140</v>
      </c>
      <c r="NVT64" s="365">
        <v>0.5</v>
      </c>
      <c r="NVU64" s="366" t="e">
        <f>10/NVQ62</f>
        <v>#DIV/0!</v>
      </c>
      <c r="NVV64" s="367">
        <v>15.38</v>
      </c>
      <c r="NVW64" s="367" t="e">
        <f>NVT64*NVU64*NVV64</f>
        <v>#DIV/0!</v>
      </c>
      <c r="NVX64" s="363" t="s">
        <v>153</v>
      </c>
      <c r="NVY64" s="363"/>
      <c r="NVZ64" s="363"/>
      <c r="NWA64" s="364" t="s">
        <v>140</v>
      </c>
      <c r="NWB64" s="365">
        <v>0.5</v>
      </c>
      <c r="NWC64" s="366" t="e">
        <f>10/NVY62</f>
        <v>#DIV/0!</v>
      </c>
      <c r="NWD64" s="367">
        <v>15.38</v>
      </c>
      <c r="NWE64" s="367" t="e">
        <f>NWB64*NWC64*NWD64</f>
        <v>#DIV/0!</v>
      </c>
      <c r="NWF64" s="363" t="s">
        <v>153</v>
      </c>
      <c r="NWG64" s="363"/>
      <c r="NWH64" s="363"/>
      <c r="NWI64" s="364" t="s">
        <v>140</v>
      </c>
      <c r="NWJ64" s="365">
        <v>0.5</v>
      </c>
      <c r="NWK64" s="366" t="e">
        <f>10/NWG62</f>
        <v>#DIV/0!</v>
      </c>
      <c r="NWL64" s="367">
        <v>15.38</v>
      </c>
      <c r="NWM64" s="367" t="e">
        <f>NWJ64*NWK64*NWL64</f>
        <v>#DIV/0!</v>
      </c>
      <c r="NWN64" s="363" t="s">
        <v>153</v>
      </c>
      <c r="NWO64" s="363"/>
      <c r="NWP64" s="363"/>
      <c r="NWQ64" s="364" t="s">
        <v>140</v>
      </c>
      <c r="NWR64" s="365">
        <v>0.5</v>
      </c>
      <c r="NWS64" s="366" t="e">
        <f>10/NWO62</f>
        <v>#DIV/0!</v>
      </c>
      <c r="NWT64" s="367">
        <v>15.38</v>
      </c>
      <c r="NWU64" s="367" t="e">
        <f>NWR64*NWS64*NWT64</f>
        <v>#DIV/0!</v>
      </c>
      <c r="NWV64" s="363" t="s">
        <v>153</v>
      </c>
      <c r="NWW64" s="363"/>
      <c r="NWX64" s="363"/>
      <c r="NWY64" s="364" t="s">
        <v>140</v>
      </c>
      <c r="NWZ64" s="365">
        <v>0.5</v>
      </c>
      <c r="NXA64" s="366" t="e">
        <f>10/NWW62</f>
        <v>#DIV/0!</v>
      </c>
      <c r="NXB64" s="367">
        <v>15.38</v>
      </c>
      <c r="NXC64" s="367" t="e">
        <f>NWZ64*NXA64*NXB64</f>
        <v>#DIV/0!</v>
      </c>
      <c r="NXD64" s="363" t="s">
        <v>153</v>
      </c>
      <c r="NXE64" s="363"/>
      <c r="NXF64" s="363"/>
      <c r="NXG64" s="364" t="s">
        <v>140</v>
      </c>
      <c r="NXH64" s="365">
        <v>0.5</v>
      </c>
      <c r="NXI64" s="366" t="e">
        <f>10/NXE62</f>
        <v>#DIV/0!</v>
      </c>
      <c r="NXJ64" s="367">
        <v>15.38</v>
      </c>
      <c r="NXK64" s="367" t="e">
        <f>NXH64*NXI64*NXJ64</f>
        <v>#DIV/0!</v>
      </c>
      <c r="NXL64" s="363" t="s">
        <v>153</v>
      </c>
      <c r="NXM64" s="363"/>
      <c r="NXN64" s="363"/>
      <c r="NXO64" s="364" t="s">
        <v>140</v>
      </c>
      <c r="NXP64" s="365">
        <v>0.5</v>
      </c>
      <c r="NXQ64" s="366" t="e">
        <f>10/NXM62</f>
        <v>#DIV/0!</v>
      </c>
      <c r="NXR64" s="367">
        <v>15.38</v>
      </c>
      <c r="NXS64" s="367" t="e">
        <f>NXP64*NXQ64*NXR64</f>
        <v>#DIV/0!</v>
      </c>
      <c r="NXT64" s="363" t="s">
        <v>153</v>
      </c>
      <c r="NXU64" s="363"/>
      <c r="NXV64" s="363"/>
      <c r="NXW64" s="364" t="s">
        <v>140</v>
      </c>
      <c r="NXX64" s="365">
        <v>0.5</v>
      </c>
      <c r="NXY64" s="366" t="e">
        <f>10/NXU62</f>
        <v>#DIV/0!</v>
      </c>
      <c r="NXZ64" s="367">
        <v>15.38</v>
      </c>
      <c r="NYA64" s="367" t="e">
        <f>NXX64*NXY64*NXZ64</f>
        <v>#DIV/0!</v>
      </c>
      <c r="NYB64" s="363" t="s">
        <v>153</v>
      </c>
      <c r="NYC64" s="363"/>
      <c r="NYD64" s="363"/>
      <c r="NYE64" s="364" t="s">
        <v>140</v>
      </c>
      <c r="NYF64" s="365">
        <v>0.5</v>
      </c>
      <c r="NYG64" s="366" t="e">
        <f>10/NYC62</f>
        <v>#DIV/0!</v>
      </c>
      <c r="NYH64" s="367">
        <v>15.38</v>
      </c>
      <c r="NYI64" s="367" t="e">
        <f>NYF64*NYG64*NYH64</f>
        <v>#DIV/0!</v>
      </c>
      <c r="NYJ64" s="363" t="s">
        <v>153</v>
      </c>
      <c r="NYK64" s="363"/>
      <c r="NYL64" s="363"/>
      <c r="NYM64" s="364" t="s">
        <v>140</v>
      </c>
      <c r="NYN64" s="365">
        <v>0.5</v>
      </c>
      <c r="NYO64" s="366" t="e">
        <f>10/NYK62</f>
        <v>#DIV/0!</v>
      </c>
      <c r="NYP64" s="367">
        <v>15.38</v>
      </c>
      <c r="NYQ64" s="367" t="e">
        <f>NYN64*NYO64*NYP64</f>
        <v>#DIV/0!</v>
      </c>
      <c r="NYR64" s="363" t="s">
        <v>153</v>
      </c>
      <c r="NYS64" s="363"/>
      <c r="NYT64" s="363"/>
      <c r="NYU64" s="364" t="s">
        <v>140</v>
      </c>
      <c r="NYV64" s="365">
        <v>0.5</v>
      </c>
      <c r="NYW64" s="366" t="e">
        <f>10/NYS62</f>
        <v>#DIV/0!</v>
      </c>
      <c r="NYX64" s="367">
        <v>15.38</v>
      </c>
      <c r="NYY64" s="367" t="e">
        <f>NYV64*NYW64*NYX64</f>
        <v>#DIV/0!</v>
      </c>
      <c r="NYZ64" s="363" t="s">
        <v>153</v>
      </c>
      <c r="NZA64" s="363"/>
      <c r="NZB64" s="363"/>
      <c r="NZC64" s="364" t="s">
        <v>140</v>
      </c>
      <c r="NZD64" s="365">
        <v>0.5</v>
      </c>
      <c r="NZE64" s="366" t="e">
        <f>10/NZA62</f>
        <v>#DIV/0!</v>
      </c>
      <c r="NZF64" s="367">
        <v>15.38</v>
      </c>
      <c r="NZG64" s="367" t="e">
        <f>NZD64*NZE64*NZF64</f>
        <v>#DIV/0!</v>
      </c>
      <c r="NZH64" s="363" t="s">
        <v>153</v>
      </c>
      <c r="NZI64" s="363"/>
      <c r="NZJ64" s="363"/>
      <c r="NZK64" s="364" t="s">
        <v>140</v>
      </c>
      <c r="NZL64" s="365">
        <v>0.5</v>
      </c>
      <c r="NZM64" s="366" t="e">
        <f>10/NZI62</f>
        <v>#DIV/0!</v>
      </c>
      <c r="NZN64" s="367">
        <v>15.38</v>
      </c>
      <c r="NZO64" s="367" t="e">
        <f>NZL64*NZM64*NZN64</f>
        <v>#DIV/0!</v>
      </c>
      <c r="NZP64" s="363" t="s">
        <v>153</v>
      </c>
      <c r="NZQ64" s="363"/>
      <c r="NZR64" s="363"/>
      <c r="NZS64" s="364" t="s">
        <v>140</v>
      </c>
      <c r="NZT64" s="365">
        <v>0.5</v>
      </c>
      <c r="NZU64" s="366" t="e">
        <f>10/NZQ62</f>
        <v>#DIV/0!</v>
      </c>
      <c r="NZV64" s="367">
        <v>15.38</v>
      </c>
      <c r="NZW64" s="367" t="e">
        <f>NZT64*NZU64*NZV64</f>
        <v>#DIV/0!</v>
      </c>
      <c r="NZX64" s="363" t="s">
        <v>153</v>
      </c>
      <c r="NZY64" s="363"/>
      <c r="NZZ64" s="363"/>
      <c r="OAA64" s="364" t="s">
        <v>140</v>
      </c>
      <c r="OAB64" s="365">
        <v>0.5</v>
      </c>
      <c r="OAC64" s="366" t="e">
        <f>10/NZY62</f>
        <v>#DIV/0!</v>
      </c>
      <c r="OAD64" s="367">
        <v>15.38</v>
      </c>
      <c r="OAE64" s="367" t="e">
        <f>OAB64*OAC64*OAD64</f>
        <v>#DIV/0!</v>
      </c>
      <c r="OAF64" s="363" t="s">
        <v>153</v>
      </c>
      <c r="OAG64" s="363"/>
      <c r="OAH64" s="363"/>
      <c r="OAI64" s="364" t="s">
        <v>140</v>
      </c>
      <c r="OAJ64" s="365">
        <v>0.5</v>
      </c>
      <c r="OAK64" s="366" t="e">
        <f>10/OAG62</f>
        <v>#DIV/0!</v>
      </c>
      <c r="OAL64" s="367">
        <v>15.38</v>
      </c>
      <c r="OAM64" s="367" t="e">
        <f>OAJ64*OAK64*OAL64</f>
        <v>#DIV/0!</v>
      </c>
      <c r="OAN64" s="363" t="s">
        <v>153</v>
      </c>
      <c r="OAO64" s="363"/>
      <c r="OAP64" s="363"/>
      <c r="OAQ64" s="364" t="s">
        <v>140</v>
      </c>
      <c r="OAR64" s="365">
        <v>0.5</v>
      </c>
      <c r="OAS64" s="366" t="e">
        <f>10/OAO62</f>
        <v>#DIV/0!</v>
      </c>
      <c r="OAT64" s="367">
        <v>15.38</v>
      </c>
      <c r="OAU64" s="367" t="e">
        <f>OAR64*OAS64*OAT64</f>
        <v>#DIV/0!</v>
      </c>
      <c r="OAV64" s="363" t="s">
        <v>153</v>
      </c>
      <c r="OAW64" s="363"/>
      <c r="OAX64" s="363"/>
      <c r="OAY64" s="364" t="s">
        <v>140</v>
      </c>
      <c r="OAZ64" s="365">
        <v>0.5</v>
      </c>
      <c r="OBA64" s="366" t="e">
        <f>10/OAW62</f>
        <v>#DIV/0!</v>
      </c>
      <c r="OBB64" s="367">
        <v>15.38</v>
      </c>
      <c r="OBC64" s="367" t="e">
        <f>OAZ64*OBA64*OBB64</f>
        <v>#DIV/0!</v>
      </c>
      <c r="OBD64" s="363" t="s">
        <v>153</v>
      </c>
      <c r="OBE64" s="363"/>
      <c r="OBF64" s="363"/>
      <c r="OBG64" s="364" t="s">
        <v>140</v>
      </c>
      <c r="OBH64" s="365">
        <v>0.5</v>
      </c>
      <c r="OBI64" s="366" t="e">
        <f>10/OBE62</f>
        <v>#DIV/0!</v>
      </c>
      <c r="OBJ64" s="367">
        <v>15.38</v>
      </c>
      <c r="OBK64" s="367" t="e">
        <f>OBH64*OBI64*OBJ64</f>
        <v>#DIV/0!</v>
      </c>
      <c r="OBL64" s="363" t="s">
        <v>153</v>
      </c>
      <c r="OBM64" s="363"/>
      <c r="OBN64" s="363"/>
      <c r="OBO64" s="364" t="s">
        <v>140</v>
      </c>
      <c r="OBP64" s="365">
        <v>0.5</v>
      </c>
      <c r="OBQ64" s="366" t="e">
        <f>10/OBM62</f>
        <v>#DIV/0!</v>
      </c>
      <c r="OBR64" s="367">
        <v>15.38</v>
      </c>
      <c r="OBS64" s="367" t="e">
        <f>OBP64*OBQ64*OBR64</f>
        <v>#DIV/0!</v>
      </c>
      <c r="OBT64" s="363" t="s">
        <v>153</v>
      </c>
      <c r="OBU64" s="363"/>
      <c r="OBV64" s="363"/>
      <c r="OBW64" s="364" t="s">
        <v>140</v>
      </c>
      <c r="OBX64" s="365">
        <v>0.5</v>
      </c>
      <c r="OBY64" s="366" t="e">
        <f>10/OBU62</f>
        <v>#DIV/0!</v>
      </c>
      <c r="OBZ64" s="367">
        <v>15.38</v>
      </c>
      <c r="OCA64" s="367" t="e">
        <f>OBX64*OBY64*OBZ64</f>
        <v>#DIV/0!</v>
      </c>
      <c r="OCB64" s="363" t="s">
        <v>153</v>
      </c>
      <c r="OCC64" s="363"/>
      <c r="OCD64" s="363"/>
      <c r="OCE64" s="364" t="s">
        <v>140</v>
      </c>
      <c r="OCF64" s="365">
        <v>0.5</v>
      </c>
      <c r="OCG64" s="366" t="e">
        <f>10/OCC62</f>
        <v>#DIV/0!</v>
      </c>
      <c r="OCH64" s="367">
        <v>15.38</v>
      </c>
      <c r="OCI64" s="367" t="e">
        <f>OCF64*OCG64*OCH64</f>
        <v>#DIV/0!</v>
      </c>
      <c r="OCJ64" s="363" t="s">
        <v>153</v>
      </c>
      <c r="OCK64" s="363"/>
      <c r="OCL64" s="363"/>
      <c r="OCM64" s="364" t="s">
        <v>140</v>
      </c>
      <c r="OCN64" s="365">
        <v>0.5</v>
      </c>
      <c r="OCO64" s="366" t="e">
        <f>10/OCK62</f>
        <v>#DIV/0!</v>
      </c>
      <c r="OCP64" s="367">
        <v>15.38</v>
      </c>
      <c r="OCQ64" s="367" t="e">
        <f>OCN64*OCO64*OCP64</f>
        <v>#DIV/0!</v>
      </c>
      <c r="OCR64" s="363" t="s">
        <v>153</v>
      </c>
      <c r="OCS64" s="363"/>
      <c r="OCT64" s="363"/>
      <c r="OCU64" s="364" t="s">
        <v>140</v>
      </c>
      <c r="OCV64" s="365">
        <v>0.5</v>
      </c>
      <c r="OCW64" s="366" t="e">
        <f>10/OCS62</f>
        <v>#DIV/0!</v>
      </c>
      <c r="OCX64" s="367">
        <v>15.38</v>
      </c>
      <c r="OCY64" s="367" t="e">
        <f>OCV64*OCW64*OCX64</f>
        <v>#DIV/0!</v>
      </c>
      <c r="OCZ64" s="363" t="s">
        <v>153</v>
      </c>
      <c r="ODA64" s="363"/>
      <c r="ODB64" s="363"/>
      <c r="ODC64" s="364" t="s">
        <v>140</v>
      </c>
      <c r="ODD64" s="365">
        <v>0.5</v>
      </c>
      <c r="ODE64" s="366" t="e">
        <f>10/ODA62</f>
        <v>#DIV/0!</v>
      </c>
      <c r="ODF64" s="367">
        <v>15.38</v>
      </c>
      <c r="ODG64" s="367" t="e">
        <f>ODD64*ODE64*ODF64</f>
        <v>#DIV/0!</v>
      </c>
      <c r="ODH64" s="363" t="s">
        <v>153</v>
      </c>
      <c r="ODI64" s="363"/>
      <c r="ODJ64" s="363"/>
      <c r="ODK64" s="364" t="s">
        <v>140</v>
      </c>
      <c r="ODL64" s="365">
        <v>0.5</v>
      </c>
      <c r="ODM64" s="366" t="e">
        <f>10/ODI62</f>
        <v>#DIV/0!</v>
      </c>
      <c r="ODN64" s="367">
        <v>15.38</v>
      </c>
      <c r="ODO64" s="367" t="e">
        <f>ODL64*ODM64*ODN64</f>
        <v>#DIV/0!</v>
      </c>
      <c r="ODP64" s="363" t="s">
        <v>153</v>
      </c>
      <c r="ODQ64" s="363"/>
      <c r="ODR64" s="363"/>
      <c r="ODS64" s="364" t="s">
        <v>140</v>
      </c>
      <c r="ODT64" s="365">
        <v>0.5</v>
      </c>
      <c r="ODU64" s="366" t="e">
        <f>10/ODQ62</f>
        <v>#DIV/0!</v>
      </c>
      <c r="ODV64" s="367">
        <v>15.38</v>
      </c>
      <c r="ODW64" s="367" t="e">
        <f>ODT64*ODU64*ODV64</f>
        <v>#DIV/0!</v>
      </c>
      <c r="ODX64" s="363" t="s">
        <v>153</v>
      </c>
      <c r="ODY64" s="363"/>
      <c r="ODZ64" s="363"/>
      <c r="OEA64" s="364" t="s">
        <v>140</v>
      </c>
      <c r="OEB64" s="365">
        <v>0.5</v>
      </c>
      <c r="OEC64" s="366" t="e">
        <f>10/ODY62</f>
        <v>#DIV/0!</v>
      </c>
      <c r="OED64" s="367">
        <v>15.38</v>
      </c>
      <c r="OEE64" s="367" t="e">
        <f>OEB64*OEC64*OED64</f>
        <v>#DIV/0!</v>
      </c>
      <c r="OEF64" s="363" t="s">
        <v>153</v>
      </c>
      <c r="OEG64" s="363"/>
      <c r="OEH64" s="363"/>
      <c r="OEI64" s="364" t="s">
        <v>140</v>
      </c>
      <c r="OEJ64" s="365">
        <v>0.5</v>
      </c>
      <c r="OEK64" s="366" t="e">
        <f>10/OEG62</f>
        <v>#DIV/0!</v>
      </c>
      <c r="OEL64" s="367">
        <v>15.38</v>
      </c>
      <c r="OEM64" s="367" t="e">
        <f>OEJ64*OEK64*OEL64</f>
        <v>#DIV/0!</v>
      </c>
      <c r="OEN64" s="363" t="s">
        <v>153</v>
      </c>
      <c r="OEO64" s="363"/>
      <c r="OEP64" s="363"/>
      <c r="OEQ64" s="364" t="s">
        <v>140</v>
      </c>
      <c r="OER64" s="365">
        <v>0.5</v>
      </c>
      <c r="OES64" s="366" t="e">
        <f>10/OEO62</f>
        <v>#DIV/0!</v>
      </c>
      <c r="OET64" s="367">
        <v>15.38</v>
      </c>
      <c r="OEU64" s="367" t="e">
        <f>OER64*OES64*OET64</f>
        <v>#DIV/0!</v>
      </c>
      <c r="OEV64" s="363" t="s">
        <v>153</v>
      </c>
      <c r="OEW64" s="363"/>
      <c r="OEX64" s="363"/>
      <c r="OEY64" s="364" t="s">
        <v>140</v>
      </c>
      <c r="OEZ64" s="365">
        <v>0.5</v>
      </c>
      <c r="OFA64" s="366" t="e">
        <f>10/OEW62</f>
        <v>#DIV/0!</v>
      </c>
      <c r="OFB64" s="367">
        <v>15.38</v>
      </c>
      <c r="OFC64" s="367" t="e">
        <f>OEZ64*OFA64*OFB64</f>
        <v>#DIV/0!</v>
      </c>
      <c r="OFD64" s="363" t="s">
        <v>153</v>
      </c>
      <c r="OFE64" s="363"/>
      <c r="OFF64" s="363"/>
      <c r="OFG64" s="364" t="s">
        <v>140</v>
      </c>
      <c r="OFH64" s="365">
        <v>0.5</v>
      </c>
      <c r="OFI64" s="366" t="e">
        <f>10/OFE62</f>
        <v>#DIV/0!</v>
      </c>
      <c r="OFJ64" s="367">
        <v>15.38</v>
      </c>
      <c r="OFK64" s="367" t="e">
        <f>OFH64*OFI64*OFJ64</f>
        <v>#DIV/0!</v>
      </c>
      <c r="OFL64" s="363" t="s">
        <v>153</v>
      </c>
      <c r="OFM64" s="363"/>
      <c r="OFN64" s="363"/>
      <c r="OFO64" s="364" t="s">
        <v>140</v>
      </c>
      <c r="OFP64" s="365">
        <v>0.5</v>
      </c>
      <c r="OFQ64" s="366" t="e">
        <f>10/OFM62</f>
        <v>#DIV/0!</v>
      </c>
      <c r="OFR64" s="367">
        <v>15.38</v>
      </c>
      <c r="OFS64" s="367" t="e">
        <f>OFP64*OFQ64*OFR64</f>
        <v>#DIV/0!</v>
      </c>
      <c r="OFT64" s="363" t="s">
        <v>153</v>
      </c>
      <c r="OFU64" s="363"/>
      <c r="OFV64" s="363"/>
      <c r="OFW64" s="364" t="s">
        <v>140</v>
      </c>
      <c r="OFX64" s="365">
        <v>0.5</v>
      </c>
      <c r="OFY64" s="366" t="e">
        <f>10/OFU62</f>
        <v>#DIV/0!</v>
      </c>
      <c r="OFZ64" s="367">
        <v>15.38</v>
      </c>
      <c r="OGA64" s="367" t="e">
        <f>OFX64*OFY64*OFZ64</f>
        <v>#DIV/0!</v>
      </c>
      <c r="OGB64" s="363" t="s">
        <v>153</v>
      </c>
      <c r="OGC64" s="363"/>
      <c r="OGD64" s="363"/>
      <c r="OGE64" s="364" t="s">
        <v>140</v>
      </c>
      <c r="OGF64" s="365">
        <v>0.5</v>
      </c>
      <c r="OGG64" s="366" t="e">
        <f>10/OGC62</f>
        <v>#DIV/0!</v>
      </c>
      <c r="OGH64" s="367">
        <v>15.38</v>
      </c>
      <c r="OGI64" s="367" t="e">
        <f>OGF64*OGG64*OGH64</f>
        <v>#DIV/0!</v>
      </c>
      <c r="OGJ64" s="363" t="s">
        <v>153</v>
      </c>
      <c r="OGK64" s="363"/>
      <c r="OGL64" s="363"/>
      <c r="OGM64" s="364" t="s">
        <v>140</v>
      </c>
      <c r="OGN64" s="365">
        <v>0.5</v>
      </c>
      <c r="OGO64" s="366" t="e">
        <f>10/OGK62</f>
        <v>#DIV/0!</v>
      </c>
      <c r="OGP64" s="367">
        <v>15.38</v>
      </c>
      <c r="OGQ64" s="367" t="e">
        <f>OGN64*OGO64*OGP64</f>
        <v>#DIV/0!</v>
      </c>
      <c r="OGR64" s="363" t="s">
        <v>153</v>
      </c>
      <c r="OGS64" s="363"/>
      <c r="OGT64" s="363"/>
      <c r="OGU64" s="364" t="s">
        <v>140</v>
      </c>
      <c r="OGV64" s="365">
        <v>0.5</v>
      </c>
      <c r="OGW64" s="366" t="e">
        <f>10/OGS62</f>
        <v>#DIV/0!</v>
      </c>
      <c r="OGX64" s="367">
        <v>15.38</v>
      </c>
      <c r="OGY64" s="367" t="e">
        <f>OGV64*OGW64*OGX64</f>
        <v>#DIV/0!</v>
      </c>
      <c r="OGZ64" s="363" t="s">
        <v>153</v>
      </c>
      <c r="OHA64" s="363"/>
      <c r="OHB64" s="363"/>
      <c r="OHC64" s="364" t="s">
        <v>140</v>
      </c>
      <c r="OHD64" s="365">
        <v>0.5</v>
      </c>
      <c r="OHE64" s="366" t="e">
        <f>10/OHA62</f>
        <v>#DIV/0!</v>
      </c>
      <c r="OHF64" s="367">
        <v>15.38</v>
      </c>
      <c r="OHG64" s="367" t="e">
        <f>OHD64*OHE64*OHF64</f>
        <v>#DIV/0!</v>
      </c>
      <c r="OHH64" s="363" t="s">
        <v>153</v>
      </c>
      <c r="OHI64" s="363"/>
      <c r="OHJ64" s="363"/>
      <c r="OHK64" s="364" t="s">
        <v>140</v>
      </c>
      <c r="OHL64" s="365">
        <v>0.5</v>
      </c>
      <c r="OHM64" s="366" t="e">
        <f>10/OHI62</f>
        <v>#DIV/0!</v>
      </c>
      <c r="OHN64" s="367">
        <v>15.38</v>
      </c>
      <c r="OHO64" s="367" t="e">
        <f>OHL64*OHM64*OHN64</f>
        <v>#DIV/0!</v>
      </c>
      <c r="OHP64" s="363" t="s">
        <v>153</v>
      </c>
      <c r="OHQ64" s="363"/>
      <c r="OHR64" s="363"/>
      <c r="OHS64" s="364" t="s">
        <v>140</v>
      </c>
      <c r="OHT64" s="365">
        <v>0.5</v>
      </c>
      <c r="OHU64" s="366" t="e">
        <f>10/OHQ62</f>
        <v>#DIV/0!</v>
      </c>
      <c r="OHV64" s="367">
        <v>15.38</v>
      </c>
      <c r="OHW64" s="367" t="e">
        <f>OHT64*OHU64*OHV64</f>
        <v>#DIV/0!</v>
      </c>
      <c r="OHX64" s="363" t="s">
        <v>153</v>
      </c>
      <c r="OHY64" s="363"/>
      <c r="OHZ64" s="363"/>
      <c r="OIA64" s="364" t="s">
        <v>140</v>
      </c>
      <c r="OIB64" s="365">
        <v>0.5</v>
      </c>
      <c r="OIC64" s="366" t="e">
        <f>10/OHY62</f>
        <v>#DIV/0!</v>
      </c>
      <c r="OID64" s="367">
        <v>15.38</v>
      </c>
      <c r="OIE64" s="367" t="e">
        <f>OIB64*OIC64*OID64</f>
        <v>#DIV/0!</v>
      </c>
      <c r="OIF64" s="363" t="s">
        <v>153</v>
      </c>
      <c r="OIG64" s="363"/>
      <c r="OIH64" s="363"/>
      <c r="OII64" s="364" t="s">
        <v>140</v>
      </c>
      <c r="OIJ64" s="365">
        <v>0.5</v>
      </c>
      <c r="OIK64" s="366" t="e">
        <f>10/OIG62</f>
        <v>#DIV/0!</v>
      </c>
      <c r="OIL64" s="367">
        <v>15.38</v>
      </c>
      <c r="OIM64" s="367" t="e">
        <f>OIJ64*OIK64*OIL64</f>
        <v>#DIV/0!</v>
      </c>
      <c r="OIN64" s="363" t="s">
        <v>153</v>
      </c>
      <c r="OIO64" s="363"/>
      <c r="OIP64" s="363"/>
      <c r="OIQ64" s="364" t="s">
        <v>140</v>
      </c>
      <c r="OIR64" s="365">
        <v>0.5</v>
      </c>
      <c r="OIS64" s="366" t="e">
        <f>10/OIO62</f>
        <v>#DIV/0!</v>
      </c>
      <c r="OIT64" s="367">
        <v>15.38</v>
      </c>
      <c r="OIU64" s="367" t="e">
        <f>OIR64*OIS64*OIT64</f>
        <v>#DIV/0!</v>
      </c>
      <c r="OIV64" s="363" t="s">
        <v>153</v>
      </c>
      <c r="OIW64" s="363"/>
      <c r="OIX64" s="363"/>
      <c r="OIY64" s="364" t="s">
        <v>140</v>
      </c>
      <c r="OIZ64" s="365">
        <v>0.5</v>
      </c>
      <c r="OJA64" s="366" t="e">
        <f>10/OIW62</f>
        <v>#DIV/0!</v>
      </c>
      <c r="OJB64" s="367">
        <v>15.38</v>
      </c>
      <c r="OJC64" s="367" t="e">
        <f>OIZ64*OJA64*OJB64</f>
        <v>#DIV/0!</v>
      </c>
      <c r="OJD64" s="363" t="s">
        <v>153</v>
      </c>
      <c r="OJE64" s="363"/>
      <c r="OJF64" s="363"/>
      <c r="OJG64" s="364" t="s">
        <v>140</v>
      </c>
      <c r="OJH64" s="365">
        <v>0.5</v>
      </c>
      <c r="OJI64" s="366" t="e">
        <f>10/OJE62</f>
        <v>#DIV/0!</v>
      </c>
      <c r="OJJ64" s="367">
        <v>15.38</v>
      </c>
      <c r="OJK64" s="367" t="e">
        <f>OJH64*OJI64*OJJ64</f>
        <v>#DIV/0!</v>
      </c>
      <c r="OJL64" s="363" t="s">
        <v>153</v>
      </c>
      <c r="OJM64" s="363"/>
      <c r="OJN64" s="363"/>
      <c r="OJO64" s="364" t="s">
        <v>140</v>
      </c>
      <c r="OJP64" s="365">
        <v>0.5</v>
      </c>
      <c r="OJQ64" s="366" t="e">
        <f>10/OJM62</f>
        <v>#DIV/0!</v>
      </c>
      <c r="OJR64" s="367">
        <v>15.38</v>
      </c>
      <c r="OJS64" s="367" t="e">
        <f>OJP64*OJQ64*OJR64</f>
        <v>#DIV/0!</v>
      </c>
      <c r="OJT64" s="363" t="s">
        <v>153</v>
      </c>
      <c r="OJU64" s="363"/>
      <c r="OJV64" s="363"/>
      <c r="OJW64" s="364" t="s">
        <v>140</v>
      </c>
      <c r="OJX64" s="365">
        <v>0.5</v>
      </c>
      <c r="OJY64" s="366" t="e">
        <f>10/OJU62</f>
        <v>#DIV/0!</v>
      </c>
      <c r="OJZ64" s="367">
        <v>15.38</v>
      </c>
      <c r="OKA64" s="367" t="e">
        <f>OJX64*OJY64*OJZ64</f>
        <v>#DIV/0!</v>
      </c>
      <c r="OKB64" s="363" t="s">
        <v>153</v>
      </c>
      <c r="OKC64" s="363"/>
      <c r="OKD64" s="363"/>
      <c r="OKE64" s="364" t="s">
        <v>140</v>
      </c>
      <c r="OKF64" s="365">
        <v>0.5</v>
      </c>
      <c r="OKG64" s="366" t="e">
        <f>10/OKC62</f>
        <v>#DIV/0!</v>
      </c>
      <c r="OKH64" s="367">
        <v>15.38</v>
      </c>
      <c r="OKI64" s="367" t="e">
        <f>OKF64*OKG64*OKH64</f>
        <v>#DIV/0!</v>
      </c>
      <c r="OKJ64" s="363" t="s">
        <v>153</v>
      </c>
      <c r="OKK64" s="363"/>
      <c r="OKL64" s="363"/>
      <c r="OKM64" s="364" t="s">
        <v>140</v>
      </c>
      <c r="OKN64" s="365">
        <v>0.5</v>
      </c>
      <c r="OKO64" s="366" t="e">
        <f>10/OKK62</f>
        <v>#DIV/0!</v>
      </c>
      <c r="OKP64" s="367">
        <v>15.38</v>
      </c>
      <c r="OKQ64" s="367" t="e">
        <f>OKN64*OKO64*OKP64</f>
        <v>#DIV/0!</v>
      </c>
      <c r="OKR64" s="363" t="s">
        <v>153</v>
      </c>
      <c r="OKS64" s="363"/>
      <c r="OKT64" s="363"/>
      <c r="OKU64" s="364" t="s">
        <v>140</v>
      </c>
      <c r="OKV64" s="365">
        <v>0.5</v>
      </c>
      <c r="OKW64" s="366" t="e">
        <f>10/OKS62</f>
        <v>#DIV/0!</v>
      </c>
      <c r="OKX64" s="367">
        <v>15.38</v>
      </c>
      <c r="OKY64" s="367" t="e">
        <f>OKV64*OKW64*OKX64</f>
        <v>#DIV/0!</v>
      </c>
      <c r="OKZ64" s="363" t="s">
        <v>153</v>
      </c>
      <c r="OLA64" s="363"/>
      <c r="OLB64" s="363"/>
      <c r="OLC64" s="364" t="s">
        <v>140</v>
      </c>
      <c r="OLD64" s="365">
        <v>0.5</v>
      </c>
      <c r="OLE64" s="366" t="e">
        <f>10/OLA62</f>
        <v>#DIV/0!</v>
      </c>
      <c r="OLF64" s="367">
        <v>15.38</v>
      </c>
      <c r="OLG64" s="367" t="e">
        <f>OLD64*OLE64*OLF64</f>
        <v>#DIV/0!</v>
      </c>
      <c r="OLH64" s="363" t="s">
        <v>153</v>
      </c>
      <c r="OLI64" s="363"/>
      <c r="OLJ64" s="363"/>
      <c r="OLK64" s="364" t="s">
        <v>140</v>
      </c>
      <c r="OLL64" s="365">
        <v>0.5</v>
      </c>
      <c r="OLM64" s="366" t="e">
        <f>10/OLI62</f>
        <v>#DIV/0!</v>
      </c>
      <c r="OLN64" s="367">
        <v>15.38</v>
      </c>
      <c r="OLO64" s="367" t="e">
        <f>OLL64*OLM64*OLN64</f>
        <v>#DIV/0!</v>
      </c>
      <c r="OLP64" s="363" t="s">
        <v>153</v>
      </c>
      <c r="OLQ64" s="363"/>
      <c r="OLR64" s="363"/>
      <c r="OLS64" s="364" t="s">
        <v>140</v>
      </c>
      <c r="OLT64" s="365">
        <v>0.5</v>
      </c>
      <c r="OLU64" s="366" t="e">
        <f>10/OLQ62</f>
        <v>#DIV/0!</v>
      </c>
      <c r="OLV64" s="367">
        <v>15.38</v>
      </c>
      <c r="OLW64" s="367" t="e">
        <f>OLT64*OLU64*OLV64</f>
        <v>#DIV/0!</v>
      </c>
      <c r="OLX64" s="363" t="s">
        <v>153</v>
      </c>
      <c r="OLY64" s="363"/>
      <c r="OLZ64" s="363"/>
      <c r="OMA64" s="364" t="s">
        <v>140</v>
      </c>
      <c r="OMB64" s="365">
        <v>0.5</v>
      </c>
      <c r="OMC64" s="366" t="e">
        <f>10/OLY62</f>
        <v>#DIV/0!</v>
      </c>
      <c r="OMD64" s="367">
        <v>15.38</v>
      </c>
      <c r="OME64" s="367" t="e">
        <f>OMB64*OMC64*OMD64</f>
        <v>#DIV/0!</v>
      </c>
      <c r="OMF64" s="363" t="s">
        <v>153</v>
      </c>
      <c r="OMG64" s="363"/>
      <c r="OMH64" s="363"/>
      <c r="OMI64" s="364" t="s">
        <v>140</v>
      </c>
      <c r="OMJ64" s="365">
        <v>0.5</v>
      </c>
      <c r="OMK64" s="366" t="e">
        <f>10/OMG62</f>
        <v>#DIV/0!</v>
      </c>
      <c r="OML64" s="367">
        <v>15.38</v>
      </c>
      <c r="OMM64" s="367" t="e">
        <f>OMJ64*OMK64*OML64</f>
        <v>#DIV/0!</v>
      </c>
      <c r="OMN64" s="363" t="s">
        <v>153</v>
      </c>
      <c r="OMO64" s="363"/>
      <c r="OMP64" s="363"/>
      <c r="OMQ64" s="364" t="s">
        <v>140</v>
      </c>
      <c r="OMR64" s="365">
        <v>0.5</v>
      </c>
      <c r="OMS64" s="366" t="e">
        <f>10/OMO62</f>
        <v>#DIV/0!</v>
      </c>
      <c r="OMT64" s="367">
        <v>15.38</v>
      </c>
      <c r="OMU64" s="367" t="e">
        <f>OMR64*OMS64*OMT64</f>
        <v>#DIV/0!</v>
      </c>
      <c r="OMV64" s="363" t="s">
        <v>153</v>
      </c>
      <c r="OMW64" s="363"/>
      <c r="OMX64" s="363"/>
      <c r="OMY64" s="364" t="s">
        <v>140</v>
      </c>
      <c r="OMZ64" s="365">
        <v>0.5</v>
      </c>
      <c r="ONA64" s="366" t="e">
        <f>10/OMW62</f>
        <v>#DIV/0!</v>
      </c>
      <c r="ONB64" s="367">
        <v>15.38</v>
      </c>
      <c r="ONC64" s="367" t="e">
        <f>OMZ64*ONA64*ONB64</f>
        <v>#DIV/0!</v>
      </c>
      <c r="OND64" s="363" t="s">
        <v>153</v>
      </c>
      <c r="ONE64" s="363"/>
      <c r="ONF64" s="363"/>
      <c r="ONG64" s="364" t="s">
        <v>140</v>
      </c>
      <c r="ONH64" s="365">
        <v>0.5</v>
      </c>
      <c r="ONI64" s="366" t="e">
        <f>10/ONE62</f>
        <v>#DIV/0!</v>
      </c>
      <c r="ONJ64" s="367">
        <v>15.38</v>
      </c>
      <c r="ONK64" s="367" t="e">
        <f>ONH64*ONI64*ONJ64</f>
        <v>#DIV/0!</v>
      </c>
      <c r="ONL64" s="363" t="s">
        <v>153</v>
      </c>
      <c r="ONM64" s="363"/>
      <c r="ONN64" s="363"/>
      <c r="ONO64" s="364" t="s">
        <v>140</v>
      </c>
      <c r="ONP64" s="365">
        <v>0.5</v>
      </c>
      <c r="ONQ64" s="366" t="e">
        <f>10/ONM62</f>
        <v>#DIV/0!</v>
      </c>
      <c r="ONR64" s="367">
        <v>15.38</v>
      </c>
      <c r="ONS64" s="367" t="e">
        <f>ONP64*ONQ64*ONR64</f>
        <v>#DIV/0!</v>
      </c>
      <c r="ONT64" s="363" t="s">
        <v>153</v>
      </c>
      <c r="ONU64" s="363"/>
      <c r="ONV64" s="363"/>
      <c r="ONW64" s="364" t="s">
        <v>140</v>
      </c>
      <c r="ONX64" s="365">
        <v>0.5</v>
      </c>
      <c r="ONY64" s="366" t="e">
        <f>10/ONU62</f>
        <v>#DIV/0!</v>
      </c>
      <c r="ONZ64" s="367">
        <v>15.38</v>
      </c>
      <c r="OOA64" s="367" t="e">
        <f>ONX64*ONY64*ONZ64</f>
        <v>#DIV/0!</v>
      </c>
      <c r="OOB64" s="363" t="s">
        <v>153</v>
      </c>
      <c r="OOC64" s="363"/>
      <c r="OOD64" s="363"/>
      <c r="OOE64" s="364" t="s">
        <v>140</v>
      </c>
      <c r="OOF64" s="365">
        <v>0.5</v>
      </c>
      <c r="OOG64" s="366" t="e">
        <f>10/OOC62</f>
        <v>#DIV/0!</v>
      </c>
      <c r="OOH64" s="367">
        <v>15.38</v>
      </c>
      <c r="OOI64" s="367" t="e">
        <f>OOF64*OOG64*OOH64</f>
        <v>#DIV/0!</v>
      </c>
      <c r="OOJ64" s="363" t="s">
        <v>153</v>
      </c>
      <c r="OOK64" s="363"/>
      <c r="OOL64" s="363"/>
      <c r="OOM64" s="364" t="s">
        <v>140</v>
      </c>
      <c r="OON64" s="365">
        <v>0.5</v>
      </c>
      <c r="OOO64" s="366" t="e">
        <f>10/OOK62</f>
        <v>#DIV/0!</v>
      </c>
      <c r="OOP64" s="367">
        <v>15.38</v>
      </c>
      <c r="OOQ64" s="367" t="e">
        <f>OON64*OOO64*OOP64</f>
        <v>#DIV/0!</v>
      </c>
      <c r="OOR64" s="363" t="s">
        <v>153</v>
      </c>
      <c r="OOS64" s="363"/>
      <c r="OOT64" s="363"/>
      <c r="OOU64" s="364" t="s">
        <v>140</v>
      </c>
      <c r="OOV64" s="365">
        <v>0.5</v>
      </c>
      <c r="OOW64" s="366" t="e">
        <f>10/OOS62</f>
        <v>#DIV/0!</v>
      </c>
      <c r="OOX64" s="367">
        <v>15.38</v>
      </c>
      <c r="OOY64" s="367" t="e">
        <f>OOV64*OOW64*OOX64</f>
        <v>#DIV/0!</v>
      </c>
      <c r="OOZ64" s="363" t="s">
        <v>153</v>
      </c>
      <c r="OPA64" s="363"/>
      <c r="OPB64" s="363"/>
      <c r="OPC64" s="364" t="s">
        <v>140</v>
      </c>
      <c r="OPD64" s="365">
        <v>0.5</v>
      </c>
      <c r="OPE64" s="366" t="e">
        <f>10/OPA62</f>
        <v>#DIV/0!</v>
      </c>
      <c r="OPF64" s="367">
        <v>15.38</v>
      </c>
      <c r="OPG64" s="367" t="e">
        <f>OPD64*OPE64*OPF64</f>
        <v>#DIV/0!</v>
      </c>
      <c r="OPH64" s="363" t="s">
        <v>153</v>
      </c>
      <c r="OPI64" s="363"/>
      <c r="OPJ64" s="363"/>
      <c r="OPK64" s="364" t="s">
        <v>140</v>
      </c>
      <c r="OPL64" s="365">
        <v>0.5</v>
      </c>
      <c r="OPM64" s="366" t="e">
        <f>10/OPI62</f>
        <v>#DIV/0!</v>
      </c>
      <c r="OPN64" s="367">
        <v>15.38</v>
      </c>
      <c r="OPO64" s="367" t="e">
        <f>OPL64*OPM64*OPN64</f>
        <v>#DIV/0!</v>
      </c>
      <c r="OPP64" s="363" t="s">
        <v>153</v>
      </c>
      <c r="OPQ64" s="363"/>
      <c r="OPR64" s="363"/>
      <c r="OPS64" s="364" t="s">
        <v>140</v>
      </c>
      <c r="OPT64" s="365">
        <v>0.5</v>
      </c>
      <c r="OPU64" s="366" t="e">
        <f>10/OPQ62</f>
        <v>#DIV/0!</v>
      </c>
      <c r="OPV64" s="367">
        <v>15.38</v>
      </c>
      <c r="OPW64" s="367" t="e">
        <f>OPT64*OPU64*OPV64</f>
        <v>#DIV/0!</v>
      </c>
      <c r="OPX64" s="363" t="s">
        <v>153</v>
      </c>
      <c r="OPY64" s="363"/>
      <c r="OPZ64" s="363"/>
      <c r="OQA64" s="364" t="s">
        <v>140</v>
      </c>
      <c r="OQB64" s="365">
        <v>0.5</v>
      </c>
      <c r="OQC64" s="366" t="e">
        <f>10/OPY62</f>
        <v>#DIV/0!</v>
      </c>
      <c r="OQD64" s="367">
        <v>15.38</v>
      </c>
      <c r="OQE64" s="367" t="e">
        <f>OQB64*OQC64*OQD64</f>
        <v>#DIV/0!</v>
      </c>
      <c r="OQF64" s="363" t="s">
        <v>153</v>
      </c>
      <c r="OQG64" s="363"/>
      <c r="OQH64" s="363"/>
      <c r="OQI64" s="364" t="s">
        <v>140</v>
      </c>
      <c r="OQJ64" s="365">
        <v>0.5</v>
      </c>
      <c r="OQK64" s="366" t="e">
        <f>10/OQG62</f>
        <v>#DIV/0!</v>
      </c>
      <c r="OQL64" s="367">
        <v>15.38</v>
      </c>
      <c r="OQM64" s="367" t="e">
        <f>OQJ64*OQK64*OQL64</f>
        <v>#DIV/0!</v>
      </c>
      <c r="OQN64" s="363" t="s">
        <v>153</v>
      </c>
      <c r="OQO64" s="363"/>
      <c r="OQP64" s="363"/>
      <c r="OQQ64" s="364" t="s">
        <v>140</v>
      </c>
      <c r="OQR64" s="365">
        <v>0.5</v>
      </c>
      <c r="OQS64" s="366" t="e">
        <f>10/OQO62</f>
        <v>#DIV/0!</v>
      </c>
      <c r="OQT64" s="367">
        <v>15.38</v>
      </c>
      <c r="OQU64" s="367" t="e">
        <f>OQR64*OQS64*OQT64</f>
        <v>#DIV/0!</v>
      </c>
      <c r="OQV64" s="363" t="s">
        <v>153</v>
      </c>
      <c r="OQW64" s="363"/>
      <c r="OQX64" s="363"/>
      <c r="OQY64" s="364" t="s">
        <v>140</v>
      </c>
      <c r="OQZ64" s="365">
        <v>0.5</v>
      </c>
      <c r="ORA64" s="366" t="e">
        <f>10/OQW62</f>
        <v>#DIV/0!</v>
      </c>
      <c r="ORB64" s="367">
        <v>15.38</v>
      </c>
      <c r="ORC64" s="367" t="e">
        <f>OQZ64*ORA64*ORB64</f>
        <v>#DIV/0!</v>
      </c>
      <c r="ORD64" s="363" t="s">
        <v>153</v>
      </c>
      <c r="ORE64" s="363"/>
      <c r="ORF64" s="363"/>
      <c r="ORG64" s="364" t="s">
        <v>140</v>
      </c>
      <c r="ORH64" s="365">
        <v>0.5</v>
      </c>
      <c r="ORI64" s="366" t="e">
        <f>10/ORE62</f>
        <v>#DIV/0!</v>
      </c>
      <c r="ORJ64" s="367">
        <v>15.38</v>
      </c>
      <c r="ORK64" s="367" t="e">
        <f>ORH64*ORI64*ORJ64</f>
        <v>#DIV/0!</v>
      </c>
      <c r="ORL64" s="363" t="s">
        <v>153</v>
      </c>
      <c r="ORM64" s="363"/>
      <c r="ORN64" s="363"/>
      <c r="ORO64" s="364" t="s">
        <v>140</v>
      </c>
      <c r="ORP64" s="365">
        <v>0.5</v>
      </c>
      <c r="ORQ64" s="366" t="e">
        <f>10/ORM62</f>
        <v>#DIV/0!</v>
      </c>
      <c r="ORR64" s="367">
        <v>15.38</v>
      </c>
      <c r="ORS64" s="367" t="e">
        <f>ORP64*ORQ64*ORR64</f>
        <v>#DIV/0!</v>
      </c>
      <c r="ORT64" s="363" t="s">
        <v>153</v>
      </c>
      <c r="ORU64" s="363"/>
      <c r="ORV64" s="363"/>
      <c r="ORW64" s="364" t="s">
        <v>140</v>
      </c>
      <c r="ORX64" s="365">
        <v>0.5</v>
      </c>
      <c r="ORY64" s="366" t="e">
        <f>10/ORU62</f>
        <v>#DIV/0!</v>
      </c>
      <c r="ORZ64" s="367">
        <v>15.38</v>
      </c>
      <c r="OSA64" s="367" t="e">
        <f>ORX64*ORY64*ORZ64</f>
        <v>#DIV/0!</v>
      </c>
      <c r="OSB64" s="363" t="s">
        <v>153</v>
      </c>
      <c r="OSC64" s="363"/>
      <c r="OSD64" s="363"/>
      <c r="OSE64" s="364" t="s">
        <v>140</v>
      </c>
      <c r="OSF64" s="365">
        <v>0.5</v>
      </c>
      <c r="OSG64" s="366" t="e">
        <f>10/OSC62</f>
        <v>#DIV/0!</v>
      </c>
      <c r="OSH64" s="367">
        <v>15.38</v>
      </c>
      <c r="OSI64" s="367" t="e">
        <f>OSF64*OSG64*OSH64</f>
        <v>#DIV/0!</v>
      </c>
      <c r="OSJ64" s="363" t="s">
        <v>153</v>
      </c>
      <c r="OSK64" s="363"/>
      <c r="OSL64" s="363"/>
      <c r="OSM64" s="364" t="s">
        <v>140</v>
      </c>
      <c r="OSN64" s="365">
        <v>0.5</v>
      </c>
      <c r="OSO64" s="366" t="e">
        <f>10/OSK62</f>
        <v>#DIV/0!</v>
      </c>
      <c r="OSP64" s="367">
        <v>15.38</v>
      </c>
      <c r="OSQ64" s="367" t="e">
        <f>OSN64*OSO64*OSP64</f>
        <v>#DIV/0!</v>
      </c>
      <c r="OSR64" s="363" t="s">
        <v>153</v>
      </c>
      <c r="OSS64" s="363"/>
      <c r="OST64" s="363"/>
      <c r="OSU64" s="364" t="s">
        <v>140</v>
      </c>
      <c r="OSV64" s="365">
        <v>0.5</v>
      </c>
      <c r="OSW64" s="366" t="e">
        <f>10/OSS62</f>
        <v>#DIV/0!</v>
      </c>
      <c r="OSX64" s="367">
        <v>15.38</v>
      </c>
      <c r="OSY64" s="367" t="e">
        <f>OSV64*OSW64*OSX64</f>
        <v>#DIV/0!</v>
      </c>
      <c r="OSZ64" s="363" t="s">
        <v>153</v>
      </c>
      <c r="OTA64" s="363"/>
      <c r="OTB64" s="363"/>
      <c r="OTC64" s="364" t="s">
        <v>140</v>
      </c>
      <c r="OTD64" s="365">
        <v>0.5</v>
      </c>
      <c r="OTE64" s="366" t="e">
        <f>10/OTA62</f>
        <v>#DIV/0!</v>
      </c>
      <c r="OTF64" s="367">
        <v>15.38</v>
      </c>
      <c r="OTG64" s="367" t="e">
        <f>OTD64*OTE64*OTF64</f>
        <v>#DIV/0!</v>
      </c>
      <c r="OTH64" s="363" t="s">
        <v>153</v>
      </c>
      <c r="OTI64" s="363"/>
      <c r="OTJ64" s="363"/>
      <c r="OTK64" s="364" t="s">
        <v>140</v>
      </c>
      <c r="OTL64" s="365">
        <v>0.5</v>
      </c>
      <c r="OTM64" s="366" t="e">
        <f>10/OTI62</f>
        <v>#DIV/0!</v>
      </c>
      <c r="OTN64" s="367">
        <v>15.38</v>
      </c>
      <c r="OTO64" s="367" t="e">
        <f>OTL64*OTM64*OTN64</f>
        <v>#DIV/0!</v>
      </c>
      <c r="OTP64" s="363" t="s">
        <v>153</v>
      </c>
      <c r="OTQ64" s="363"/>
      <c r="OTR64" s="363"/>
      <c r="OTS64" s="364" t="s">
        <v>140</v>
      </c>
      <c r="OTT64" s="365">
        <v>0.5</v>
      </c>
      <c r="OTU64" s="366" t="e">
        <f>10/OTQ62</f>
        <v>#DIV/0!</v>
      </c>
      <c r="OTV64" s="367">
        <v>15.38</v>
      </c>
      <c r="OTW64" s="367" t="e">
        <f>OTT64*OTU64*OTV64</f>
        <v>#DIV/0!</v>
      </c>
      <c r="OTX64" s="363" t="s">
        <v>153</v>
      </c>
      <c r="OTY64" s="363"/>
      <c r="OTZ64" s="363"/>
      <c r="OUA64" s="364" t="s">
        <v>140</v>
      </c>
      <c r="OUB64" s="365">
        <v>0.5</v>
      </c>
      <c r="OUC64" s="366" t="e">
        <f>10/OTY62</f>
        <v>#DIV/0!</v>
      </c>
      <c r="OUD64" s="367">
        <v>15.38</v>
      </c>
      <c r="OUE64" s="367" t="e">
        <f>OUB64*OUC64*OUD64</f>
        <v>#DIV/0!</v>
      </c>
      <c r="OUF64" s="363" t="s">
        <v>153</v>
      </c>
      <c r="OUG64" s="363"/>
      <c r="OUH64" s="363"/>
      <c r="OUI64" s="364" t="s">
        <v>140</v>
      </c>
      <c r="OUJ64" s="365">
        <v>0.5</v>
      </c>
      <c r="OUK64" s="366" t="e">
        <f>10/OUG62</f>
        <v>#DIV/0!</v>
      </c>
      <c r="OUL64" s="367">
        <v>15.38</v>
      </c>
      <c r="OUM64" s="367" t="e">
        <f>OUJ64*OUK64*OUL64</f>
        <v>#DIV/0!</v>
      </c>
      <c r="OUN64" s="363" t="s">
        <v>153</v>
      </c>
      <c r="OUO64" s="363"/>
      <c r="OUP64" s="363"/>
      <c r="OUQ64" s="364" t="s">
        <v>140</v>
      </c>
      <c r="OUR64" s="365">
        <v>0.5</v>
      </c>
      <c r="OUS64" s="366" t="e">
        <f>10/OUO62</f>
        <v>#DIV/0!</v>
      </c>
      <c r="OUT64" s="367">
        <v>15.38</v>
      </c>
      <c r="OUU64" s="367" t="e">
        <f>OUR64*OUS64*OUT64</f>
        <v>#DIV/0!</v>
      </c>
      <c r="OUV64" s="363" t="s">
        <v>153</v>
      </c>
      <c r="OUW64" s="363"/>
      <c r="OUX64" s="363"/>
      <c r="OUY64" s="364" t="s">
        <v>140</v>
      </c>
      <c r="OUZ64" s="365">
        <v>0.5</v>
      </c>
      <c r="OVA64" s="366" t="e">
        <f>10/OUW62</f>
        <v>#DIV/0!</v>
      </c>
      <c r="OVB64" s="367">
        <v>15.38</v>
      </c>
      <c r="OVC64" s="367" t="e">
        <f>OUZ64*OVA64*OVB64</f>
        <v>#DIV/0!</v>
      </c>
      <c r="OVD64" s="363" t="s">
        <v>153</v>
      </c>
      <c r="OVE64" s="363"/>
      <c r="OVF64" s="363"/>
      <c r="OVG64" s="364" t="s">
        <v>140</v>
      </c>
      <c r="OVH64" s="365">
        <v>0.5</v>
      </c>
      <c r="OVI64" s="366" t="e">
        <f>10/OVE62</f>
        <v>#DIV/0!</v>
      </c>
      <c r="OVJ64" s="367">
        <v>15.38</v>
      </c>
      <c r="OVK64" s="367" t="e">
        <f>OVH64*OVI64*OVJ64</f>
        <v>#DIV/0!</v>
      </c>
      <c r="OVL64" s="363" t="s">
        <v>153</v>
      </c>
      <c r="OVM64" s="363"/>
      <c r="OVN64" s="363"/>
      <c r="OVO64" s="364" t="s">
        <v>140</v>
      </c>
      <c r="OVP64" s="365">
        <v>0.5</v>
      </c>
      <c r="OVQ64" s="366" t="e">
        <f>10/OVM62</f>
        <v>#DIV/0!</v>
      </c>
      <c r="OVR64" s="367">
        <v>15.38</v>
      </c>
      <c r="OVS64" s="367" t="e">
        <f>OVP64*OVQ64*OVR64</f>
        <v>#DIV/0!</v>
      </c>
      <c r="OVT64" s="363" t="s">
        <v>153</v>
      </c>
      <c r="OVU64" s="363"/>
      <c r="OVV64" s="363"/>
      <c r="OVW64" s="364" t="s">
        <v>140</v>
      </c>
      <c r="OVX64" s="365">
        <v>0.5</v>
      </c>
      <c r="OVY64" s="366" t="e">
        <f>10/OVU62</f>
        <v>#DIV/0!</v>
      </c>
      <c r="OVZ64" s="367">
        <v>15.38</v>
      </c>
      <c r="OWA64" s="367" t="e">
        <f>OVX64*OVY64*OVZ64</f>
        <v>#DIV/0!</v>
      </c>
      <c r="OWB64" s="363" t="s">
        <v>153</v>
      </c>
      <c r="OWC64" s="363"/>
      <c r="OWD64" s="363"/>
      <c r="OWE64" s="364" t="s">
        <v>140</v>
      </c>
      <c r="OWF64" s="365">
        <v>0.5</v>
      </c>
      <c r="OWG64" s="366" t="e">
        <f>10/OWC62</f>
        <v>#DIV/0!</v>
      </c>
      <c r="OWH64" s="367">
        <v>15.38</v>
      </c>
      <c r="OWI64" s="367" t="e">
        <f>OWF64*OWG64*OWH64</f>
        <v>#DIV/0!</v>
      </c>
      <c r="OWJ64" s="363" t="s">
        <v>153</v>
      </c>
      <c r="OWK64" s="363"/>
      <c r="OWL64" s="363"/>
      <c r="OWM64" s="364" t="s">
        <v>140</v>
      </c>
      <c r="OWN64" s="365">
        <v>0.5</v>
      </c>
      <c r="OWO64" s="366" t="e">
        <f>10/OWK62</f>
        <v>#DIV/0!</v>
      </c>
      <c r="OWP64" s="367">
        <v>15.38</v>
      </c>
      <c r="OWQ64" s="367" t="e">
        <f>OWN64*OWO64*OWP64</f>
        <v>#DIV/0!</v>
      </c>
      <c r="OWR64" s="363" t="s">
        <v>153</v>
      </c>
      <c r="OWS64" s="363"/>
      <c r="OWT64" s="363"/>
      <c r="OWU64" s="364" t="s">
        <v>140</v>
      </c>
      <c r="OWV64" s="365">
        <v>0.5</v>
      </c>
      <c r="OWW64" s="366" t="e">
        <f>10/OWS62</f>
        <v>#DIV/0!</v>
      </c>
      <c r="OWX64" s="367">
        <v>15.38</v>
      </c>
      <c r="OWY64" s="367" t="e">
        <f>OWV64*OWW64*OWX64</f>
        <v>#DIV/0!</v>
      </c>
      <c r="OWZ64" s="363" t="s">
        <v>153</v>
      </c>
      <c r="OXA64" s="363"/>
      <c r="OXB64" s="363"/>
      <c r="OXC64" s="364" t="s">
        <v>140</v>
      </c>
      <c r="OXD64" s="365">
        <v>0.5</v>
      </c>
      <c r="OXE64" s="366" t="e">
        <f>10/OXA62</f>
        <v>#DIV/0!</v>
      </c>
      <c r="OXF64" s="367">
        <v>15.38</v>
      </c>
      <c r="OXG64" s="367" t="e">
        <f>OXD64*OXE64*OXF64</f>
        <v>#DIV/0!</v>
      </c>
      <c r="OXH64" s="363" t="s">
        <v>153</v>
      </c>
      <c r="OXI64" s="363"/>
      <c r="OXJ64" s="363"/>
      <c r="OXK64" s="364" t="s">
        <v>140</v>
      </c>
      <c r="OXL64" s="365">
        <v>0.5</v>
      </c>
      <c r="OXM64" s="366" t="e">
        <f>10/OXI62</f>
        <v>#DIV/0!</v>
      </c>
      <c r="OXN64" s="367">
        <v>15.38</v>
      </c>
      <c r="OXO64" s="367" t="e">
        <f>OXL64*OXM64*OXN64</f>
        <v>#DIV/0!</v>
      </c>
      <c r="OXP64" s="363" t="s">
        <v>153</v>
      </c>
      <c r="OXQ64" s="363"/>
      <c r="OXR64" s="363"/>
      <c r="OXS64" s="364" t="s">
        <v>140</v>
      </c>
      <c r="OXT64" s="365">
        <v>0.5</v>
      </c>
      <c r="OXU64" s="366" t="e">
        <f>10/OXQ62</f>
        <v>#DIV/0!</v>
      </c>
      <c r="OXV64" s="367">
        <v>15.38</v>
      </c>
      <c r="OXW64" s="367" t="e">
        <f>OXT64*OXU64*OXV64</f>
        <v>#DIV/0!</v>
      </c>
      <c r="OXX64" s="363" t="s">
        <v>153</v>
      </c>
      <c r="OXY64" s="363"/>
      <c r="OXZ64" s="363"/>
      <c r="OYA64" s="364" t="s">
        <v>140</v>
      </c>
      <c r="OYB64" s="365">
        <v>0.5</v>
      </c>
      <c r="OYC64" s="366" t="e">
        <f>10/OXY62</f>
        <v>#DIV/0!</v>
      </c>
      <c r="OYD64" s="367">
        <v>15.38</v>
      </c>
      <c r="OYE64" s="367" t="e">
        <f>OYB64*OYC64*OYD64</f>
        <v>#DIV/0!</v>
      </c>
      <c r="OYF64" s="363" t="s">
        <v>153</v>
      </c>
      <c r="OYG64" s="363"/>
      <c r="OYH64" s="363"/>
      <c r="OYI64" s="364" t="s">
        <v>140</v>
      </c>
      <c r="OYJ64" s="365">
        <v>0.5</v>
      </c>
      <c r="OYK64" s="366" t="e">
        <f>10/OYG62</f>
        <v>#DIV/0!</v>
      </c>
      <c r="OYL64" s="367">
        <v>15.38</v>
      </c>
      <c r="OYM64" s="367" t="e">
        <f>OYJ64*OYK64*OYL64</f>
        <v>#DIV/0!</v>
      </c>
      <c r="OYN64" s="363" t="s">
        <v>153</v>
      </c>
      <c r="OYO64" s="363"/>
      <c r="OYP64" s="363"/>
      <c r="OYQ64" s="364" t="s">
        <v>140</v>
      </c>
      <c r="OYR64" s="365">
        <v>0.5</v>
      </c>
      <c r="OYS64" s="366" t="e">
        <f>10/OYO62</f>
        <v>#DIV/0!</v>
      </c>
      <c r="OYT64" s="367">
        <v>15.38</v>
      </c>
      <c r="OYU64" s="367" t="e">
        <f>OYR64*OYS64*OYT64</f>
        <v>#DIV/0!</v>
      </c>
      <c r="OYV64" s="363" t="s">
        <v>153</v>
      </c>
      <c r="OYW64" s="363"/>
      <c r="OYX64" s="363"/>
      <c r="OYY64" s="364" t="s">
        <v>140</v>
      </c>
      <c r="OYZ64" s="365">
        <v>0.5</v>
      </c>
      <c r="OZA64" s="366" t="e">
        <f>10/OYW62</f>
        <v>#DIV/0!</v>
      </c>
      <c r="OZB64" s="367">
        <v>15.38</v>
      </c>
      <c r="OZC64" s="367" t="e">
        <f>OYZ64*OZA64*OZB64</f>
        <v>#DIV/0!</v>
      </c>
      <c r="OZD64" s="363" t="s">
        <v>153</v>
      </c>
      <c r="OZE64" s="363"/>
      <c r="OZF64" s="363"/>
      <c r="OZG64" s="364" t="s">
        <v>140</v>
      </c>
      <c r="OZH64" s="365">
        <v>0.5</v>
      </c>
      <c r="OZI64" s="366" t="e">
        <f>10/OZE62</f>
        <v>#DIV/0!</v>
      </c>
      <c r="OZJ64" s="367">
        <v>15.38</v>
      </c>
      <c r="OZK64" s="367" t="e">
        <f>OZH64*OZI64*OZJ64</f>
        <v>#DIV/0!</v>
      </c>
      <c r="OZL64" s="363" t="s">
        <v>153</v>
      </c>
      <c r="OZM64" s="363"/>
      <c r="OZN64" s="363"/>
      <c r="OZO64" s="364" t="s">
        <v>140</v>
      </c>
      <c r="OZP64" s="365">
        <v>0.5</v>
      </c>
      <c r="OZQ64" s="366" t="e">
        <f>10/OZM62</f>
        <v>#DIV/0!</v>
      </c>
      <c r="OZR64" s="367">
        <v>15.38</v>
      </c>
      <c r="OZS64" s="367" t="e">
        <f>OZP64*OZQ64*OZR64</f>
        <v>#DIV/0!</v>
      </c>
      <c r="OZT64" s="363" t="s">
        <v>153</v>
      </c>
      <c r="OZU64" s="363"/>
      <c r="OZV64" s="363"/>
      <c r="OZW64" s="364" t="s">
        <v>140</v>
      </c>
      <c r="OZX64" s="365">
        <v>0.5</v>
      </c>
      <c r="OZY64" s="366" t="e">
        <f>10/OZU62</f>
        <v>#DIV/0!</v>
      </c>
      <c r="OZZ64" s="367">
        <v>15.38</v>
      </c>
      <c r="PAA64" s="367" t="e">
        <f>OZX64*OZY64*OZZ64</f>
        <v>#DIV/0!</v>
      </c>
      <c r="PAB64" s="363" t="s">
        <v>153</v>
      </c>
      <c r="PAC64" s="363"/>
      <c r="PAD64" s="363"/>
      <c r="PAE64" s="364" t="s">
        <v>140</v>
      </c>
      <c r="PAF64" s="365">
        <v>0.5</v>
      </c>
      <c r="PAG64" s="366" t="e">
        <f>10/PAC62</f>
        <v>#DIV/0!</v>
      </c>
      <c r="PAH64" s="367">
        <v>15.38</v>
      </c>
      <c r="PAI64" s="367" t="e">
        <f>PAF64*PAG64*PAH64</f>
        <v>#DIV/0!</v>
      </c>
      <c r="PAJ64" s="363" t="s">
        <v>153</v>
      </c>
      <c r="PAK64" s="363"/>
      <c r="PAL64" s="363"/>
      <c r="PAM64" s="364" t="s">
        <v>140</v>
      </c>
      <c r="PAN64" s="365">
        <v>0.5</v>
      </c>
      <c r="PAO64" s="366" t="e">
        <f>10/PAK62</f>
        <v>#DIV/0!</v>
      </c>
      <c r="PAP64" s="367">
        <v>15.38</v>
      </c>
      <c r="PAQ64" s="367" t="e">
        <f>PAN64*PAO64*PAP64</f>
        <v>#DIV/0!</v>
      </c>
      <c r="PAR64" s="363" t="s">
        <v>153</v>
      </c>
      <c r="PAS64" s="363"/>
      <c r="PAT64" s="363"/>
      <c r="PAU64" s="364" t="s">
        <v>140</v>
      </c>
      <c r="PAV64" s="365">
        <v>0.5</v>
      </c>
      <c r="PAW64" s="366" t="e">
        <f>10/PAS62</f>
        <v>#DIV/0!</v>
      </c>
      <c r="PAX64" s="367">
        <v>15.38</v>
      </c>
      <c r="PAY64" s="367" t="e">
        <f>PAV64*PAW64*PAX64</f>
        <v>#DIV/0!</v>
      </c>
      <c r="PAZ64" s="363" t="s">
        <v>153</v>
      </c>
      <c r="PBA64" s="363"/>
      <c r="PBB64" s="363"/>
      <c r="PBC64" s="364" t="s">
        <v>140</v>
      </c>
      <c r="PBD64" s="365">
        <v>0.5</v>
      </c>
      <c r="PBE64" s="366" t="e">
        <f>10/PBA62</f>
        <v>#DIV/0!</v>
      </c>
      <c r="PBF64" s="367">
        <v>15.38</v>
      </c>
      <c r="PBG64" s="367" t="e">
        <f>PBD64*PBE64*PBF64</f>
        <v>#DIV/0!</v>
      </c>
      <c r="PBH64" s="363" t="s">
        <v>153</v>
      </c>
      <c r="PBI64" s="363"/>
      <c r="PBJ64" s="363"/>
      <c r="PBK64" s="364" t="s">
        <v>140</v>
      </c>
      <c r="PBL64" s="365">
        <v>0.5</v>
      </c>
      <c r="PBM64" s="366" t="e">
        <f>10/PBI62</f>
        <v>#DIV/0!</v>
      </c>
      <c r="PBN64" s="367">
        <v>15.38</v>
      </c>
      <c r="PBO64" s="367" t="e">
        <f>PBL64*PBM64*PBN64</f>
        <v>#DIV/0!</v>
      </c>
      <c r="PBP64" s="363" t="s">
        <v>153</v>
      </c>
      <c r="PBQ64" s="363"/>
      <c r="PBR64" s="363"/>
      <c r="PBS64" s="364" t="s">
        <v>140</v>
      </c>
      <c r="PBT64" s="365">
        <v>0.5</v>
      </c>
      <c r="PBU64" s="366" t="e">
        <f>10/PBQ62</f>
        <v>#DIV/0!</v>
      </c>
      <c r="PBV64" s="367">
        <v>15.38</v>
      </c>
      <c r="PBW64" s="367" t="e">
        <f>PBT64*PBU64*PBV64</f>
        <v>#DIV/0!</v>
      </c>
      <c r="PBX64" s="363" t="s">
        <v>153</v>
      </c>
      <c r="PBY64" s="363"/>
      <c r="PBZ64" s="363"/>
      <c r="PCA64" s="364" t="s">
        <v>140</v>
      </c>
      <c r="PCB64" s="365">
        <v>0.5</v>
      </c>
      <c r="PCC64" s="366" t="e">
        <f>10/PBY62</f>
        <v>#DIV/0!</v>
      </c>
      <c r="PCD64" s="367">
        <v>15.38</v>
      </c>
      <c r="PCE64" s="367" t="e">
        <f>PCB64*PCC64*PCD64</f>
        <v>#DIV/0!</v>
      </c>
      <c r="PCF64" s="363" t="s">
        <v>153</v>
      </c>
      <c r="PCG64" s="363"/>
      <c r="PCH64" s="363"/>
      <c r="PCI64" s="364" t="s">
        <v>140</v>
      </c>
      <c r="PCJ64" s="365">
        <v>0.5</v>
      </c>
      <c r="PCK64" s="366" t="e">
        <f>10/PCG62</f>
        <v>#DIV/0!</v>
      </c>
      <c r="PCL64" s="367">
        <v>15.38</v>
      </c>
      <c r="PCM64" s="367" t="e">
        <f>PCJ64*PCK64*PCL64</f>
        <v>#DIV/0!</v>
      </c>
      <c r="PCN64" s="363" t="s">
        <v>153</v>
      </c>
      <c r="PCO64" s="363"/>
      <c r="PCP64" s="363"/>
      <c r="PCQ64" s="364" t="s">
        <v>140</v>
      </c>
      <c r="PCR64" s="365">
        <v>0.5</v>
      </c>
      <c r="PCS64" s="366" t="e">
        <f>10/PCO62</f>
        <v>#DIV/0!</v>
      </c>
      <c r="PCT64" s="367">
        <v>15.38</v>
      </c>
      <c r="PCU64" s="367" t="e">
        <f>PCR64*PCS64*PCT64</f>
        <v>#DIV/0!</v>
      </c>
      <c r="PCV64" s="363" t="s">
        <v>153</v>
      </c>
      <c r="PCW64" s="363"/>
      <c r="PCX64" s="363"/>
      <c r="PCY64" s="364" t="s">
        <v>140</v>
      </c>
      <c r="PCZ64" s="365">
        <v>0.5</v>
      </c>
      <c r="PDA64" s="366" t="e">
        <f>10/PCW62</f>
        <v>#DIV/0!</v>
      </c>
      <c r="PDB64" s="367">
        <v>15.38</v>
      </c>
      <c r="PDC64" s="367" t="e">
        <f>PCZ64*PDA64*PDB64</f>
        <v>#DIV/0!</v>
      </c>
      <c r="PDD64" s="363" t="s">
        <v>153</v>
      </c>
      <c r="PDE64" s="363"/>
      <c r="PDF64" s="363"/>
      <c r="PDG64" s="364" t="s">
        <v>140</v>
      </c>
      <c r="PDH64" s="365">
        <v>0.5</v>
      </c>
      <c r="PDI64" s="366" t="e">
        <f>10/PDE62</f>
        <v>#DIV/0!</v>
      </c>
      <c r="PDJ64" s="367">
        <v>15.38</v>
      </c>
      <c r="PDK64" s="367" t="e">
        <f>PDH64*PDI64*PDJ64</f>
        <v>#DIV/0!</v>
      </c>
      <c r="PDL64" s="363" t="s">
        <v>153</v>
      </c>
      <c r="PDM64" s="363"/>
      <c r="PDN64" s="363"/>
      <c r="PDO64" s="364" t="s">
        <v>140</v>
      </c>
      <c r="PDP64" s="365">
        <v>0.5</v>
      </c>
      <c r="PDQ64" s="366" t="e">
        <f>10/PDM62</f>
        <v>#DIV/0!</v>
      </c>
      <c r="PDR64" s="367">
        <v>15.38</v>
      </c>
      <c r="PDS64" s="367" t="e">
        <f>PDP64*PDQ64*PDR64</f>
        <v>#DIV/0!</v>
      </c>
      <c r="PDT64" s="363" t="s">
        <v>153</v>
      </c>
      <c r="PDU64" s="363"/>
      <c r="PDV64" s="363"/>
      <c r="PDW64" s="364" t="s">
        <v>140</v>
      </c>
      <c r="PDX64" s="365">
        <v>0.5</v>
      </c>
      <c r="PDY64" s="366" t="e">
        <f>10/PDU62</f>
        <v>#DIV/0!</v>
      </c>
      <c r="PDZ64" s="367">
        <v>15.38</v>
      </c>
      <c r="PEA64" s="367" t="e">
        <f>PDX64*PDY64*PDZ64</f>
        <v>#DIV/0!</v>
      </c>
      <c r="PEB64" s="363" t="s">
        <v>153</v>
      </c>
      <c r="PEC64" s="363"/>
      <c r="PED64" s="363"/>
      <c r="PEE64" s="364" t="s">
        <v>140</v>
      </c>
      <c r="PEF64" s="365">
        <v>0.5</v>
      </c>
      <c r="PEG64" s="366" t="e">
        <f>10/PEC62</f>
        <v>#DIV/0!</v>
      </c>
      <c r="PEH64" s="367">
        <v>15.38</v>
      </c>
      <c r="PEI64" s="367" t="e">
        <f>PEF64*PEG64*PEH64</f>
        <v>#DIV/0!</v>
      </c>
      <c r="PEJ64" s="363" t="s">
        <v>153</v>
      </c>
      <c r="PEK64" s="363"/>
      <c r="PEL64" s="363"/>
      <c r="PEM64" s="364" t="s">
        <v>140</v>
      </c>
      <c r="PEN64" s="365">
        <v>0.5</v>
      </c>
      <c r="PEO64" s="366" t="e">
        <f>10/PEK62</f>
        <v>#DIV/0!</v>
      </c>
      <c r="PEP64" s="367">
        <v>15.38</v>
      </c>
      <c r="PEQ64" s="367" t="e">
        <f>PEN64*PEO64*PEP64</f>
        <v>#DIV/0!</v>
      </c>
      <c r="PER64" s="363" t="s">
        <v>153</v>
      </c>
      <c r="PES64" s="363"/>
      <c r="PET64" s="363"/>
      <c r="PEU64" s="364" t="s">
        <v>140</v>
      </c>
      <c r="PEV64" s="365">
        <v>0.5</v>
      </c>
      <c r="PEW64" s="366" t="e">
        <f>10/PES62</f>
        <v>#DIV/0!</v>
      </c>
      <c r="PEX64" s="367">
        <v>15.38</v>
      </c>
      <c r="PEY64" s="367" t="e">
        <f>PEV64*PEW64*PEX64</f>
        <v>#DIV/0!</v>
      </c>
      <c r="PEZ64" s="363" t="s">
        <v>153</v>
      </c>
      <c r="PFA64" s="363"/>
      <c r="PFB64" s="363"/>
      <c r="PFC64" s="364" t="s">
        <v>140</v>
      </c>
      <c r="PFD64" s="365">
        <v>0.5</v>
      </c>
      <c r="PFE64" s="366" t="e">
        <f>10/PFA62</f>
        <v>#DIV/0!</v>
      </c>
      <c r="PFF64" s="367">
        <v>15.38</v>
      </c>
      <c r="PFG64" s="367" t="e">
        <f>PFD64*PFE64*PFF64</f>
        <v>#DIV/0!</v>
      </c>
      <c r="PFH64" s="363" t="s">
        <v>153</v>
      </c>
      <c r="PFI64" s="363"/>
      <c r="PFJ64" s="363"/>
      <c r="PFK64" s="364" t="s">
        <v>140</v>
      </c>
      <c r="PFL64" s="365">
        <v>0.5</v>
      </c>
      <c r="PFM64" s="366" t="e">
        <f>10/PFI62</f>
        <v>#DIV/0!</v>
      </c>
      <c r="PFN64" s="367">
        <v>15.38</v>
      </c>
      <c r="PFO64" s="367" t="e">
        <f>PFL64*PFM64*PFN64</f>
        <v>#DIV/0!</v>
      </c>
      <c r="PFP64" s="363" t="s">
        <v>153</v>
      </c>
      <c r="PFQ64" s="363"/>
      <c r="PFR64" s="363"/>
      <c r="PFS64" s="364" t="s">
        <v>140</v>
      </c>
      <c r="PFT64" s="365">
        <v>0.5</v>
      </c>
      <c r="PFU64" s="366" t="e">
        <f>10/PFQ62</f>
        <v>#DIV/0!</v>
      </c>
      <c r="PFV64" s="367">
        <v>15.38</v>
      </c>
      <c r="PFW64" s="367" t="e">
        <f>PFT64*PFU64*PFV64</f>
        <v>#DIV/0!</v>
      </c>
      <c r="PFX64" s="363" t="s">
        <v>153</v>
      </c>
      <c r="PFY64" s="363"/>
      <c r="PFZ64" s="363"/>
      <c r="PGA64" s="364" t="s">
        <v>140</v>
      </c>
      <c r="PGB64" s="365">
        <v>0.5</v>
      </c>
      <c r="PGC64" s="366" t="e">
        <f>10/PFY62</f>
        <v>#DIV/0!</v>
      </c>
      <c r="PGD64" s="367">
        <v>15.38</v>
      </c>
      <c r="PGE64" s="367" t="e">
        <f>PGB64*PGC64*PGD64</f>
        <v>#DIV/0!</v>
      </c>
      <c r="PGF64" s="363" t="s">
        <v>153</v>
      </c>
      <c r="PGG64" s="363"/>
      <c r="PGH64" s="363"/>
      <c r="PGI64" s="364" t="s">
        <v>140</v>
      </c>
      <c r="PGJ64" s="365">
        <v>0.5</v>
      </c>
      <c r="PGK64" s="366" t="e">
        <f>10/PGG62</f>
        <v>#DIV/0!</v>
      </c>
      <c r="PGL64" s="367">
        <v>15.38</v>
      </c>
      <c r="PGM64" s="367" t="e">
        <f>PGJ64*PGK64*PGL64</f>
        <v>#DIV/0!</v>
      </c>
      <c r="PGN64" s="363" t="s">
        <v>153</v>
      </c>
      <c r="PGO64" s="363"/>
      <c r="PGP64" s="363"/>
      <c r="PGQ64" s="364" t="s">
        <v>140</v>
      </c>
      <c r="PGR64" s="365">
        <v>0.5</v>
      </c>
      <c r="PGS64" s="366" t="e">
        <f>10/PGO62</f>
        <v>#DIV/0!</v>
      </c>
      <c r="PGT64" s="367">
        <v>15.38</v>
      </c>
      <c r="PGU64" s="367" t="e">
        <f>PGR64*PGS64*PGT64</f>
        <v>#DIV/0!</v>
      </c>
      <c r="PGV64" s="363" t="s">
        <v>153</v>
      </c>
      <c r="PGW64" s="363"/>
      <c r="PGX64" s="363"/>
      <c r="PGY64" s="364" t="s">
        <v>140</v>
      </c>
      <c r="PGZ64" s="365">
        <v>0.5</v>
      </c>
      <c r="PHA64" s="366" t="e">
        <f>10/PGW62</f>
        <v>#DIV/0!</v>
      </c>
      <c r="PHB64" s="367">
        <v>15.38</v>
      </c>
      <c r="PHC64" s="367" t="e">
        <f>PGZ64*PHA64*PHB64</f>
        <v>#DIV/0!</v>
      </c>
      <c r="PHD64" s="363" t="s">
        <v>153</v>
      </c>
      <c r="PHE64" s="363"/>
      <c r="PHF64" s="363"/>
      <c r="PHG64" s="364" t="s">
        <v>140</v>
      </c>
      <c r="PHH64" s="365">
        <v>0.5</v>
      </c>
      <c r="PHI64" s="366" t="e">
        <f>10/PHE62</f>
        <v>#DIV/0!</v>
      </c>
      <c r="PHJ64" s="367">
        <v>15.38</v>
      </c>
      <c r="PHK64" s="367" t="e">
        <f>PHH64*PHI64*PHJ64</f>
        <v>#DIV/0!</v>
      </c>
      <c r="PHL64" s="363" t="s">
        <v>153</v>
      </c>
      <c r="PHM64" s="363"/>
      <c r="PHN64" s="363"/>
      <c r="PHO64" s="364" t="s">
        <v>140</v>
      </c>
      <c r="PHP64" s="365">
        <v>0.5</v>
      </c>
      <c r="PHQ64" s="366" t="e">
        <f>10/PHM62</f>
        <v>#DIV/0!</v>
      </c>
      <c r="PHR64" s="367">
        <v>15.38</v>
      </c>
      <c r="PHS64" s="367" t="e">
        <f>PHP64*PHQ64*PHR64</f>
        <v>#DIV/0!</v>
      </c>
      <c r="PHT64" s="363" t="s">
        <v>153</v>
      </c>
      <c r="PHU64" s="363"/>
      <c r="PHV64" s="363"/>
      <c r="PHW64" s="364" t="s">
        <v>140</v>
      </c>
      <c r="PHX64" s="365">
        <v>0.5</v>
      </c>
      <c r="PHY64" s="366" t="e">
        <f>10/PHU62</f>
        <v>#DIV/0!</v>
      </c>
      <c r="PHZ64" s="367">
        <v>15.38</v>
      </c>
      <c r="PIA64" s="367" t="e">
        <f>PHX64*PHY64*PHZ64</f>
        <v>#DIV/0!</v>
      </c>
      <c r="PIB64" s="363" t="s">
        <v>153</v>
      </c>
      <c r="PIC64" s="363"/>
      <c r="PID64" s="363"/>
      <c r="PIE64" s="364" t="s">
        <v>140</v>
      </c>
      <c r="PIF64" s="365">
        <v>0.5</v>
      </c>
      <c r="PIG64" s="366" t="e">
        <f>10/PIC62</f>
        <v>#DIV/0!</v>
      </c>
      <c r="PIH64" s="367">
        <v>15.38</v>
      </c>
      <c r="PII64" s="367" t="e">
        <f>PIF64*PIG64*PIH64</f>
        <v>#DIV/0!</v>
      </c>
      <c r="PIJ64" s="363" t="s">
        <v>153</v>
      </c>
      <c r="PIK64" s="363"/>
      <c r="PIL64" s="363"/>
      <c r="PIM64" s="364" t="s">
        <v>140</v>
      </c>
      <c r="PIN64" s="365">
        <v>0.5</v>
      </c>
      <c r="PIO64" s="366" t="e">
        <f>10/PIK62</f>
        <v>#DIV/0!</v>
      </c>
      <c r="PIP64" s="367">
        <v>15.38</v>
      </c>
      <c r="PIQ64" s="367" t="e">
        <f>PIN64*PIO64*PIP64</f>
        <v>#DIV/0!</v>
      </c>
      <c r="PIR64" s="363" t="s">
        <v>153</v>
      </c>
      <c r="PIS64" s="363"/>
      <c r="PIT64" s="363"/>
      <c r="PIU64" s="364" t="s">
        <v>140</v>
      </c>
      <c r="PIV64" s="365">
        <v>0.5</v>
      </c>
      <c r="PIW64" s="366" t="e">
        <f>10/PIS62</f>
        <v>#DIV/0!</v>
      </c>
      <c r="PIX64" s="367">
        <v>15.38</v>
      </c>
      <c r="PIY64" s="367" t="e">
        <f>PIV64*PIW64*PIX64</f>
        <v>#DIV/0!</v>
      </c>
      <c r="PIZ64" s="363" t="s">
        <v>153</v>
      </c>
      <c r="PJA64" s="363"/>
      <c r="PJB64" s="363"/>
      <c r="PJC64" s="364" t="s">
        <v>140</v>
      </c>
      <c r="PJD64" s="365">
        <v>0.5</v>
      </c>
      <c r="PJE64" s="366" t="e">
        <f>10/PJA62</f>
        <v>#DIV/0!</v>
      </c>
      <c r="PJF64" s="367">
        <v>15.38</v>
      </c>
      <c r="PJG64" s="367" t="e">
        <f>PJD64*PJE64*PJF64</f>
        <v>#DIV/0!</v>
      </c>
      <c r="PJH64" s="363" t="s">
        <v>153</v>
      </c>
      <c r="PJI64" s="363"/>
      <c r="PJJ64" s="363"/>
      <c r="PJK64" s="364" t="s">
        <v>140</v>
      </c>
      <c r="PJL64" s="365">
        <v>0.5</v>
      </c>
      <c r="PJM64" s="366" t="e">
        <f>10/PJI62</f>
        <v>#DIV/0!</v>
      </c>
      <c r="PJN64" s="367">
        <v>15.38</v>
      </c>
      <c r="PJO64" s="367" t="e">
        <f>PJL64*PJM64*PJN64</f>
        <v>#DIV/0!</v>
      </c>
      <c r="PJP64" s="363" t="s">
        <v>153</v>
      </c>
      <c r="PJQ64" s="363"/>
      <c r="PJR64" s="363"/>
      <c r="PJS64" s="364" t="s">
        <v>140</v>
      </c>
      <c r="PJT64" s="365">
        <v>0.5</v>
      </c>
      <c r="PJU64" s="366" t="e">
        <f>10/PJQ62</f>
        <v>#DIV/0!</v>
      </c>
      <c r="PJV64" s="367">
        <v>15.38</v>
      </c>
      <c r="PJW64" s="367" t="e">
        <f>PJT64*PJU64*PJV64</f>
        <v>#DIV/0!</v>
      </c>
      <c r="PJX64" s="363" t="s">
        <v>153</v>
      </c>
      <c r="PJY64" s="363"/>
      <c r="PJZ64" s="363"/>
      <c r="PKA64" s="364" t="s">
        <v>140</v>
      </c>
      <c r="PKB64" s="365">
        <v>0.5</v>
      </c>
      <c r="PKC64" s="366" t="e">
        <f>10/PJY62</f>
        <v>#DIV/0!</v>
      </c>
      <c r="PKD64" s="367">
        <v>15.38</v>
      </c>
      <c r="PKE64" s="367" t="e">
        <f>PKB64*PKC64*PKD64</f>
        <v>#DIV/0!</v>
      </c>
      <c r="PKF64" s="363" t="s">
        <v>153</v>
      </c>
      <c r="PKG64" s="363"/>
      <c r="PKH64" s="363"/>
      <c r="PKI64" s="364" t="s">
        <v>140</v>
      </c>
      <c r="PKJ64" s="365">
        <v>0.5</v>
      </c>
      <c r="PKK64" s="366" t="e">
        <f>10/PKG62</f>
        <v>#DIV/0!</v>
      </c>
      <c r="PKL64" s="367">
        <v>15.38</v>
      </c>
      <c r="PKM64" s="367" t="e">
        <f>PKJ64*PKK64*PKL64</f>
        <v>#DIV/0!</v>
      </c>
      <c r="PKN64" s="363" t="s">
        <v>153</v>
      </c>
      <c r="PKO64" s="363"/>
      <c r="PKP64" s="363"/>
      <c r="PKQ64" s="364" t="s">
        <v>140</v>
      </c>
      <c r="PKR64" s="365">
        <v>0.5</v>
      </c>
      <c r="PKS64" s="366" t="e">
        <f>10/PKO62</f>
        <v>#DIV/0!</v>
      </c>
      <c r="PKT64" s="367">
        <v>15.38</v>
      </c>
      <c r="PKU64" s="367" t="e">
        <f>PKR64*PKS64*PKT64</f>
        <v>#DIV/0!</v>
      </c>
      <c r="PKV64" s="363" t="s">
        <v>153</v>
      </c>
      <c r="PKW64" s="363"/>
      <c r="PKX64" s="363"/>
      <c r="PKY64" s="364" t="s">
        <v>140</v>
      </c>
      <c r="PKZ64" s="365">
        <v>0.5</v>
      </c>
      <c r="PLA64" s="366" t="e">
        <f>10/PKW62</f>
        <v>#DIV/0!</v>
      </c>
      <c r="PLB64" s="367">
        <v>15.38</v>
      </c>
      <c r="PLC64" s="367" t="e">
        <f>PKZ64*PLA64*PLB64</f>
        <v>#DIV/0!</v>
      </c>
      <c r="PLD64" s="363" t="s">
        <v>153</v>
      </c>
      <c r="PLE64" s="363"/>
      <c r="PLF64" s="363"/>
      <c r="PLG64" s="364" t="s">
        <v>140</v>
      </c>
      <c r="PLH64" s="365">
        <v>0.5</v>
      </c>
      <c r="PLI64" s="366" t="e">
        <f>10/PLE62</f>
        <v>#DIV/0!</v>
      </c>
      <c r="PLJ64" s="367">
        <v>15.38</v>
      </c>
      <c r="PLK64" s="367" t="e">
        <f>PLH64*PLI64*PLJ64</f>
        <v>#DIV/0!</v>
      </c>
      <c r="PLL64" s="363" t="s">
        <v>153</v>
      </c>
      <c r="PLM64" s="363"/>
      <c r="PLN64" s="363"/>
      <c r="PLO64" s="364" t="s">
        <v>140</v>
      </c>
      <c r="PLP64" s="365">
        <v>0.5</v>
      </c>
      <c r="PLQ64" s="366" t="e">
        <f>10/PLM62</f>
        <v>#DIV/0!</v>
      </c>
      <c r="PLR64" s="367">
        <v>15.38</v>
      </c>
      <c r="PLS64" s="367" t="e">
        <f>PLP64*PLQ64*PLR64</f>
        <v>#DIV/0!</v>
      </c>
      <c r="PLT64" s="363" t="s">
        <v>153</v>
      </c>
      <c r="PLU64" s="363"/>
      <c r="PLV64" s="363"/>
      <c r="PLW64" s="364" t="s">
        <v>140</v>
      </c>
      <c r="PLX64" s="365">
        <v>0.5</v>
      </c>
      <c r="PLY64" s="366" t="e">
        <f>10/PLU62</f>
        <v>#DIV/0!</v>
      </c>
      <c r="PLZ64" s="367">
        <v>15.38</v>
      </c>
      <c r="PMA64" s="367" t="e">
        <f>PLX64*PLY64*PLZ64</f>
        <v>#DIV/0!</v>
      </c>
      <c r="PMB64" s="363" t="s">
        <v>153</v>
      </c>
      <c r="PMC64" s="363"/>
      <c r="PMD64" s="363"/>
      <c r="PME64" s="364" t="s">
        <v>140</v>
      </c>
      <c r="PMF64" s="365">
        <v>0.5</v>
      </c>
      <c r="PMG64" s="366" t="e">
        <f>10/PMC62</f>
        <v>#DIV/0!</v>
      </c>
      <c r="PMH64" s="367">
        <v>15.38</v>
      </c>
      <c r="PMI64" s="367" t="e">
        <f>PMF64*PMG64*PMH64</f>
        <v>#DIV/0!</v>
      </c>
      <c r="PMJ64" s="363" t="s">
        <v>153</v>
      </c>
      <c r="PMK64" s="363"/>
      <c r="PML64" s="363"/>
      <c r="PMM64" s="364" t="s">
        <v>140</v>
      </c>
      <c r="PMN64" s="365">
        <v>0.5</v>
      </c>
      <c r="PMO64" s="366" t="e">
        <f>10/PMK62</f>
        <v>#DIV/0!</v>
      </c>
      <c r="PMP64" s="367">
        <v>15.38</v>
      </c>
      <c r="PMQ64" s="367" t="e">
        <f>PMN64*PMO64*PMP64</f>
        <v>#DIV/0!</v>
      </c>
      <c r="PMR64" s="363" t="s">
        <v>153</v>
      </c>
      <c r="PMS64" s="363"/>
      <c r="PMT64" s="363"/>
      <c r="PMU64" s="364" t="s">
        <v>140</v>
      </c>
      <c r="PMV64" s="365">
        <v>0.5</v>
      </c>
      <c r="PMW64" s="366" t="e">
        <f>10/PMS62</f>
        <v>#DIV/0!</v>
      </c>
      <c r="PMX64" s="367">
        <v>15.38</v>
      </c>
      <c r="PMY64" s="367" t="e">
        <f>PMV64*PMW64*PMX64</f>
        <v>#DIV/0!</v>
      </c>
      <c r="PMZ64" s="363" t="s">
        <v>153</v>
      </c>
      <c r="PNA64" s="363"/>
      <c r="PNB64" s="363"/>
      <c r="PNC64" s="364" t="s">
        <v>140</v>
      </c>
      <c r="PND64" s="365">
        <v>0.5</v>
      </c>
      <c r="PNE64" s="366" t="e">
        <f>10/PNA62</f>
        <v>#DIV/0!</v>
      </c>
      <c r="PNF64" s="367">
        <v>15.38</v>
      </c>
      <c r="PNG64" s="367" t="e">
        <f>PND64*PNE64*PNF64</f>
        <v>#DIV/0!</v>
      </c>
      <c r="PNH64" s="363" t="s">
        <v>153</v>
      </c>
      <c r="PNI64" s="363"/>
      <c r="PNJ64" s="363"/>
      <c r="PNK64" s="364" t="s">
        <v>140</v>
      </c>
      <c r="PNL64" s="365">
        <v>0.5</v>
      </c>
      <c r="PNM64" s="366" t="e">
        <f>10/PNI62</f>
        <v>#DIV/0!</v>
      </c>
      <c r="PNN64" s="367">
        <v>15.38</v>
      </c>
      <c r="PNO64" s="367" t="e">
        <f>PNL64*PNM64*PNN64</f>
        <v>#DIV/0!</v>
      </c>
      <c r="PNP64" s="363" t="s">
        <v>153</v>
      </c>
      <c r="PNQ64" s="363"/>
      <c r="PNR64" s="363"/>
      <c r="PNS64" s="364" t="s">
        <v>140</v>
      </c>
      <c r="PNT64" s="365">
        <v>0.5</v>
      </c>
      <c r="PNU64" s="366" t="e">
        <f>10/PNQ62</f>
        <v>#DIV/0!</v>
      </c>
      <c r="PNV64" s="367">
        <v>15.38</v>
      </c>
      <c r="PNW64" s="367" t="e">
        <f>PNT64*PNU64*PNV64</f>
        <v>#DIV/0!</v>
      </c>
      <c r="PNX64" s="363" t="s">
        <v>153</v>
      </c>
      <c r="PNY64" s="363"/>
      <c r="PNZ64" s="363"/>
      <c r="POA64" s="364" t="s">
        <v>140</v>
      </c>
      <c r="POB64" s="365">
        <v>0.5</v>
      </c>
      <c r="POC64" s="366" t="e">
        <f>10/PNY62</f>
        <v>#DIV/0!</v>
      </c>
      <c r="POD64" s="367">
        <v>15.38</v>
      </c>
      <c r="POE64" s="367" t="e">
        <f>POB64*POC64*POD64</f>
        <v>#DIV/0!</v>
      </c>
      <c r="POF64" s="363" t="s">
        <v>153</v>
      </c>
      <c r="POG64" s="363"/>
      <c r="POH64" s="363"/>
      <c r="POI64" s="364" t="s">
        <v>140</v>
      </c>
      <c r="POJ64" s="365">
        <v>0.5</v>
      </c>
      <c r="POK64" s="366" t="e">
        <f>10/POG62</f>
        <v>#DIV/0!</v>
      </c>
      <c r="POL64" s="367">
        <v>15.38</v>
      </c>
      <c r="POM64" s="367" t="e">
        <f>POJ64*POK64*POL64</f>
        <v>#DIV/0!</v>
      </c>
      <c r="PON64" s="363" t="s">
        <v>153</v>
      </c>
      <c r="POO64" s="363"/>
      <c r="POP64" s="363"/>
      <c r="POQ64" s="364" t="s">
        <v>140</v>
      </c>
      <c r="POR64" s="365">
        <v>0.5</v>
      </c>
      <c r="POS64" s="366" t="e">
        <f>10/POO62</f>
        <v>#DIV/0!</v>
      </c>
      <c r="POT64" s="367">
        <v>15.38</v>
      </c>
      <c r="POU64" s="367" t="e">
        <f>POR64*POS64*POT64</f>
        <v>#DIV/0!</v>
      </c>
      <c r="POV64" s="363" t="s">
        <v>153</v>
      </c>
      <c r="POW64" s="363"/>
      <c r="POX64" s="363"/>
      <c r="POY64" s="364" t="s">
        <v>140</v>
      </c>
      <c r="POZ64" s="365">
        <v>0.5</v>
      </c>
      <c r="PPA64" s="366" t="e">
        <f>10/POW62</f>
        <v>#DIV/0!</v>
      </c>
      <c r="PPB64" s="367">
        <v>15.38</v>
      </c>
      <c r="PPC64" s="367" t="e">
        <f>POZ64*PPA64*PPB64</f>
        <v>#DIV/0!</v>
      </c>
      <c r="PPD64" s="363" t="s">
        <v>153</v>
      </c>
      <c r="PPE64" s="363"/>
      <c r="PPF64" s="363"/>
      <c r="PPG64" s="364" t="s">
        <v>140</v>
      </c>
      <c r="PPH64" s="365">
        <v>0.5</v>
      </c>
      <c r="PPI64" s="366" t="e">
        <f>10/PPE62</f>
        <v>#DIV/0!</v>
      </c>
      <c r="PPJ64" s="367">
        <v>15.38</v>
      </c>
      <c r="PPK64" s="367" t="e">
        <f>PPH64*PPI64*PPJ64</f>
        <v>#DIV/0!</v>
      </c>
      <c r="PPL64" s="363" t="s">
        <v>153</v>
      </c>
      <c r="PPM64" s="363"/>
      <c r="PPN64" s="363"/>
      <c r="PPO64" s="364" t="s">
        <v>140</v>
      </c>
      <c r="PPP64" s="365">
        <v>0.5</v>
      </c>
      <c r="PPQ64" s="366" t="e">
        <f>10/PPM62</f>
        <v>#DIV/0!</v>
      </c>
      <c r="PPR64" s="367">
        <v>15.38</v>
      </c>
      <c r="PPS64" s="367" t="e">
        <f>PPP64*PPQ64*PPR64</f>
        <v>#DIV/0!</v>
      </c>
      <c r="PPT64" s="363" t="s">
        <v>153</v>
      </c>
      <c r="PPU64" s="363"/>
      <c r="PPV64" s="363"/>
      <c r="PPW64" s="364" t="s">
        <v>140</v>
      </c>
      <c r="PPX64" s="365">
        <v>0.5</v>
      </c>
      <c r="PPY64" s="366" t="e">
        <f>10/PPU62</f>
        <v>#DIV/0!</v>
      </c>
      <c r="PPZ64" s="367">
        <v>15.38</v>
      </c>
      <c r="PQA64" s="367" t="e">
        <f>PPX64*PPY64*PPZ64</f>
        <v>#DIV/0!</v>
      </c>
      <c r="PQB64" s="363" t="s">
        <v>153</v>
      </c>
      <c r="PQC64" s="363"/>
      <c r="PQD64" s="363"/>
      <c r="PQE64" s="364" t="s">
        <v>140</v>
      </c>
      <c r="PQF64" s="365">
        <v>0.5</v>
      </c>
      <c r="PQG64" s="366" t="e">
        <f>10/PQC62</f>
        <v>#DIV/0!</v>
      </c>
      <c r="PQH64" s="367">
        <v>15.38</v>
      </c>
      <c r="PQI64" s="367" t="e">
        <f>PQF64*PQG64*PQH64</f>
        <v>#DIV/0!</v>
      </c>
      <c r="PQJ64" s="363" t="s">
        <v>153</v>
      </c>
      <c r="PQK64" s="363"/>
      <c r="PQL64" s="363"/>
      <c r="PQM64" s="364" t="s">
        <v>140</v>
      </c>
      <c r="PQN64" s="365">
        <v>0.5</v>
      </c>
      <c r="PQO64" s="366" t="e">
        <f>10/PQK62</f>
        <v>#DIV/0!</v>
      </c>
      <c r="PQP64" s="367">
        <v>15.38</v>
      </c>
      <c r="PQQ64" s="367" t="e">
        <f>PQN64*PQO64*PQP64</f>
        <v>#DIV/0!</v>
      </c>
      <c r="PQR64" s="363" t="s">
        <v>153</v>
      </c>
      <c r="PQS64" s="363"/>
      <c r="PQT64" s="363"/>
      <c r="PQU64" s="364" t="s">
        <v>140</v>
      </c>
      <c r="PQV64" s="365">
        <v>0.5</v>
      </c>
      <c r="PQW64" s="366" t="e">
        <f>10/PQS62</f>
        <v>#DIV/0!</v>
      </c>
      <c r="PQX64" s="367">
        <v>15.38</v>
      </c>
      <c r="PQY64" s="367" t="e">
        <f>PQV64*PQW64*PQX64</f>
        <v>#DIV/0!</v>
      </c>
      <c r="PQZ64" s="363" t="s">
        <v>153</v>
      </c>
      <c r="PRA64" s="363"/>
      <c r="PRB64" s="363"/>
      <c r="PRC64" s="364" t="s">
        <v>140</v>
      </c>
      <c r="PRD64" s="365">
        <v>0.5</v>
      </c>
      <c r="PRE64" s="366" t="e">
        <f>10/PRA62</f>
        <v>#DIV/0!</v>
      </c>
      <c r="PRF64" s="367">
        <v>15.38</v>
      </c>
      <c r="PRG64" s="367" t="e">
        <f>PRD64*PRE64*PRF64</f>
        <v>#DIV/0!</v>
      </c>
      <c r="PRH64" s="363" t="s">
        <v>153</v>
      </c>
      <c r="PRI64" s="363"/>
      <c r="PRJ64" s="363"/>
      <c r="PRK64" s="364" t="s">
        <v>140</v>
      </c>
      <c r="PRL64" s="365">
        <v>0.5</v>
      </c>
      <c r="PRM64" s="366" t="e">
        <f>10/PRI62</f>
        <v>#DIV/0!</v>
      </c>
      <c r="PRN64" s="367">
        <v>15.38</v>
      </c>
      <c r="PRO64" s="367" t="e">
        <f>PRL64*PRM64*PRN64</f>
        <v>#DIV/0!</v>
      </c>
      <c r="PRP64" s="363" t="s">
        <v>153</v>
      </c>
      <c r="PRQ64" s="363"/>
      <c r="PRR64" s="363"/>
      <c r="PRS64" s="364" t="s">
        <v>140</v>
      </c>
      <c r="PRT64" s="365">
        <v>0.5</v>
      </c>
      <c r="PRU64" s="366" t="e">
        <f>10/PRQ62</f>
        <v>#DIV/0!</v>
      </c>
      <c r="PRV64" s="367">
        <v>15.38</v>
      </c>
      <c r="PRW64" s="367" t="e">
        <f>PRT64*PRU64*PRV64</f>
        <v>#DIV/0!</v>
      </c>
      <c r="PRX64" s="363" t="s">
        <v>153</v>
      </c>
      <c r="PRY64" s="363"/>
      <c r="PRZ64" s="363"/>
      <c r="PSA64" s="364" t="s">
        <v>140</v>
      </c>
      <c r="PSB64" s="365">
        <v>0.5</v>
      </c>
      <c r="PSC64" s="366" t="e">
        <f>10/PRY62</f>
        <v>#DIV/0!</v>
      </c>
      <c r="PSD64" s="367">
        <v>15.38</v>
      </c>
      <c r="PSE64" s="367" t="e">
        <f>PSB64*PSC64*PSD64</f>
        <v>#DIV/0!</v>
      </c>
      <c r="PSF64" s="363" t="s">
        <v>153</v>
      </c>
      <c r="PSG64" s="363"/>
      <c r="PSH64" s="363"/>
      <c r="PSI64" s="364" t="s">
        <v>140</v>
      </c>
      <c r="PSJ64" s="365">
        <v>0.5</v>
      </c>
      <c r="PSK64" s="366" t="e">
        <f>10/PSG62</f>
        <v>#DIV/0!</v>
      </c>
      <c r="PSL64" s="367">
        <v>15.38</v>
      </c>
      <c r="PSM64" s="367" t="e">
        <f>PSJ64*PSK64*PSL64</f>
        <v>#DIV/0!</v>
      </c>
      <c r="PSN64" s="363" t="s">
        <v>153</v>
      </c>
      <c r="PSO64" s="363"/>
      <c r="PSP64" s="363"/>
      <c r="PSQ64" s="364" t="s">
        <v>140</v>
      </c>
      <c r="PSR64" s="365">
        <v>0.5</v>
      </c>
      <c r="PSS64" s="366" t="e">
        <f>10/PSO62</f>
        <v>#DIV/0!</v>
      </c>
      <c r="PST64" s="367">
        <v>15.38</v>
      </c>
      <c r="PSU64" s="367" t="e">
        <f>PSR64*PSS64*PST64</f>
        <v>#DIV/0!</v>
      </c>
      <c r="PSV64" s="363" t="s">
        <v>153</v>
      </c>
      <c r="PSW64" s="363"/>
      <c r="PSX64" s="363"/>
      <c r="PSY64" s="364" t="s">
        <v>140</v>
      </c>
      <c r="PSZ64" s="365">
        <v>0.5</v>
      </c>
      <c r="PTA64" s="366" t="e">
        <f>10/PSW62</f>
        <v>#DIV/0!</v>
      </c>
      <c r="PTB64" s="367">
        <v>15.38</v>
      </c>
      <c r="PTC64" s="367" t="e">
        <f>PSZ64*PTA64*PTB64</f>
        <v>#DIV/0!</v>
      </c>
      <c r="PTD64" s="363" t="s">
        <v>153</v>
      </c>
      <c r="PTE64" s="363"/>
      <c r="PTF64" s="363"/>
      <c r="PTG64" s="364" t="s">
        <v>140</v>
      </c>
      <c r="PTH64" s="365">
        <v>0.5</v>
      </c>
      <c r="PTI64" s="366" t="e">
        <f>10/PTE62</f>
        <v>#DIV/0!</v>
      </c>
      <c r="PTJ64" s="367">
        <v>15.38</v>
      </c>
      <c r="PTK64" s="367" t="e">
        <f>PTH64*PTI64*PTJ64</f>
        <v>#DIV/0!</v>
      </c>
      <c r="PTL64" s="363" t="s">
        <v>153</v>
      </c>
      <c r="PTM64" s="363"/>
      <c r="PTN64" s="363"/>
      <c r="PTO64" s="364" t="s">
        <v>140</v>
      </c>
      <c r="PTP64" s="365">
        <v>0.5</v>
      </c>
      <c r="PTQ64" s="366" t="e">
        <f>10/PTM62</f>
        <v>#DIV/0!</v>
      </c>
      <c r="PTR64" s="367">
        <v>15.38</v>
      </c>
      <c r="PTS64" s="367" t="e">
        <f>PTP64*PTQ64*PTR64</f>
        <v>#DIV/0!</v>
      </c>
      <c r="PTT64" s="363" t="s">
        <v>153</v>
      </c>
      <c r="PTU64" s="363"/>
      <c r="PTV64" s="363"/>
      <c r="PTW64" s="364" t="s">
        <v>140</v>
      </c>
      <c r="PTX64" s="365">
        <v>0.5</v>
      </c>
      <c r="PTY64" s="366" t="e">
        <f>10/PTU62</f>
        <v>#DIV/0!</v>
      </c>
      <c r="PTZ64" s="367">
        <v>15.38</v>
      </c>
      <c r="PUA64" s="367" t="e">
        <f>PTX64*PTY64*PTZ64</f>
        <v>#DIV/0!</v>
      </c>
      <c r="PUB64" s="363" t="s">
        <v>153</v>
      </c>
      <c r="PUC64" s="363"/>
      <c r="PUD64" s="363"/>
      <c r="PUE64" s="364" t="s">
        <v>140</v>
      </c>
      <c r="PUF64" s="365">
        <v>0.5</v>
      </c>
      <c r="PUG64" s="366" t="e">
        <f>10/PUC62</f>
        <v>#DIV/0!</v>
      </c>
      <c r="PUH64" s="367">
        <v>15.38</v>
      </c>
      <c r="PUI64" s="367" t="e">
        <f>PUF64*PUG64*PUH64</f>
        <v>#DIV/0!</v>
      </c>
      <c r="PUJ64" s="363" t="s">
        <v>153</v>
      </c>
      <c r="PUK64" s="363"/>
      <c r="PUL64" s="363"/>
      <c r="PUM64" s="364" t="s">
        <v>140</v>
      </c>
      <c r="PUN64" s="365">
        <v>0.5</v>
      </c>
      <c r="PUO64" s="366" t="e">
        <f>10/PUK62</f>
        <v>#DIV/0!</v>
      </c>
      <c r="PUP64" s="367">
        <v>15.38</v>
      </c>
      <c r="PUQ64" s="367" t="e">
        <f>PUN64*PUO64*PUP64</f>
        <v>#DIV/0!</v>
      </c>
      <c r="PUR64" s="363" t="s">
        <v>153</v>
      </c>
      <c r="PUS64" s="363"/>
      <c r="PUT64" s="363"/>
      <c r="PUU64" s="364" t="s">
        <v>140</v>
      </c>
      <c r="PUV64" s="365">
        <v>0.5</v>
      </c>
      <c r="PUW64" s="366" t="e">
        <f>10/PUS62</f>
        <v>#DIV/0!</v>
      </c>
      <c r="PUX64" s="367">
        <v>15.38</v>
      </c>
      <c r="PUY64" s="367" t="e">
        <f>PUV64*PUW64*PUX64</f>
        <v>#DIV/0!</v>
      </c>
      <c r="PUZ64" s="363" t="s">
        <v>153</v>
      </c>
      <c r="PVA64" s="363"/>
      <c r="PVB64" s="363"/>
      <c r="PVC64" s="364" t="s">
        <v>140</v>
      </c>
      <c r="PVD64" s="365">
        <v>0.5</v>
      </c>
      <c r="PVE64" s="366" t="e">
        <f>10/PVA62</f>
        <v>#DIV/0!</v>
      </c>
      <c r="PVF64" s="367">
        <v>15.38</v>
      </c>
      <c r="PVG64" s="367" t="e">
        <f>PVD64*PVE64*PVF64</f>
        <v>#DIV/0!</v>
      </c>
      <c r="PVH64" s="363" t="s">
        <v>153</v>
      </c>
      <c r="PVI64" s="363"/>
      <c r="PVJ64" s="363"/>
      <c r="PVK64" s="364" t="s">
        <v>140</v>
      </c>
      <c r="PVL64" s="365">
        <v>0.5</v>
      </c>
      <c r="PVM64" s="366" t="e">
        <f>10/PVI62</f>
        <v>#DIV/0!</v>
      </c>
      <c r="PVN64" s="367">
        <v>15.38</v>
      </c>
      <c r="PVO64" s="367" t="e">
        <f>PVL64*PVM64*PVN64</f>
        <v>#DIV/0!</v>
      </c>
      <c r="PVP64" s="363" t="s">
        <v>153</v>
      </c>
      <c r="PVQ64" s="363"/>
      <c r="PVR64" s="363"/>
      <c r="PVS64" s="364" t="s">
        <v>140</v>
      </c>
      <c r="PVT64" s="365">
        <v>0.5</v>
      </c>
      <c r="PVU64" s="366" t="e">
        <f>10/PVQ62</f>
        <v>#DIV/0!</v>
      </c>
      <c r="PVV64" s="367">
        <v>15.38</v>
      </c>
      <c r="PVW64" s="367" t="e">
        <f>PVT64*PVU64*PVV64</f>
        <v>#DIV/0!</v>
      </c>
      <c r="PVX64" s="363" t="s">
        <v>153</v>
      </c>
      <c r="PVY64" s="363"/>
      <c r="PVZ64" s="363"/>
      <c r="PWA64" s="364" t="s">
        <v>140</v>
      </c>
      <c r="PWB64" s="365">
        <v>0.5</v>
      </c>
      <c r="PWC64" s="366" t="e">
        <f>10/PVY62</f>
        <v>#DIV/0!</v>
      </c>
      <c r="PWD64" s="367">
        <v>15.38</v>
      </c>
      <c r="PWE64" s="367" t="e">
        <f>PWB64*PWC64*PWD64</f>
        <v>#DIV/0!</v>
      </c>
      <c r="PWF64" s="363" t="s">
        <v>153</v>
      </c>
      <c r="PWG64" s="363"/>
      <c r="PWH64" s="363"/>
      <c r="PWI64" s="364" t="s">
        <v>140</v>
      </c>
      <c r="PWJ64" s="365">
        <v>0.5</v>
      </c>
      <c r="PWK64" s="366" t="e">
        <f>10/PWG62</f>
        <v>#DIV/0!</v>
      </c>
      <c r="PWL64" s="367">
        <v>15.38</v>
      </c>
      <c r="PWM64" s="367" t="e">
        <f>PWJ64*PWK64*PWL64</f>
        <v>#DIV/0!</v>
      </c>
      <c r="PWN64" s="363" t="s">
        <v>153</v>
      </c>
      <c r="PWO64" s="363"/>
      <c r="PWP64" s="363"/>
      <c r="PWQ64" s="364" t="s">
        <v>140</v>
      </c>
      <c r="PWR64" s="365">
        <v>0.5</v>
      </c>
      <c r="PWS64" s="366" t="e">
        <f>10/PWO62</f>
        <v>#DIV/0!</v>
      </c>
      <c r="PWT64" s="367">
        <v>15.38</v>
      </c>
      <c r="PWU64" s="367" t="e">
        <f>PWR64*PWS64*PWT64</f>
        <v>#DIV/0!</v>
      </c>
      <c r="PWV64" s="363" t="s">
        <v>153</v>
      </c>
      <c r="PWW64" s="363"/>
      <c r="PWX64" s="363"/>
      <c r="PWY64" s="364" t="s">
        <v>140</v>
      </c>
      <c r="PWZ64" s="365">
        <v>0.5</v>
      </c>
      <c r="PXA64" s="366" t="e">
        <f>10/PWW62</f>
        <v>#DIV/0!</v>
      </c>
      <c r="PXB64" s="367">
        <v>15.38</v>
      </c>
      <c r="PXC64" s="367" t="e">
        <f>PWZ64*PXA64*PXB64</f>
        <v>#DIV/0!</v>
      </c>
      <c r="PXD64" s="363" t="s">
        <v>153</v>
      </c>
      <c r="PXE64" s="363"/>
      <c r="PXF64" s="363"/>
      <c r="PXG64" s="364" t="s">
        <v>140</v>
      </c>
      <c r="PXH64" s="365">
        <v>0.5</v>
      </c>
      <c r="PXI64" s="366" t="e">
        <f>10/PXE62</f>
        <v>#DIV/0!</v>
      </c>
      <c r="PXJ64" s="367">
        <v>15.38</v>
      </c>
      <c r="PXK64" s="367" t="e">
        <f>PXH64*PXI64*PXJ64</f>
        <v>#DIV/0!</v>
      </c>
      <c r="PXL64" s="363" t="s">
        <v>153</v>
      </c>
      <c r="PXM64" s="363"/>
      <c r="PXN64" s="363"/>
      <c r="PXO64" s="364" t="s">
        <v>140</v>
      </c>
      <c r="PXP64" s="365">
        <v>0.5</v>
      </c>
      <c r="PXQ64" s="366" t="e">
        <f>10/PXM62</f>
        <v>#DIV/0!</v>
      </c>
      <c r="PXR64" s="367">
        <v>15.38</v>
      </c>
      <c r="PXS64" s="367" t="e">
        <f>PXP64*PXQ64*PXR64</f>
        <v>#DIV/0!</v>
      </c>
      <c r="PXT64" s="363" t="s">
        <v>153</v>
      </c>
      <c r="PXU64" s="363"/>
      <c r="PXV64" s="363"/>
      <c r="PXW64" s="364" t="s">
        <v>140</v>
      </c>
      <c r="PXX64" s="365">
        <v>0.5</v>
      </c>
      <c r="PXY64" s="366" t="e">
        <f>10/PXU62</f>
        <v>#DIV/0!</v>
      </c>
      <c r="PXZ64" s="367">
        <v>15.38</v>
      </c>
      <c r="PYA64" s="367" t="e">
        <f>PXX64*PXY64*PXZ64</f>
        <v>#DIV/0!</v>
      </c>
      <c r="PYB64" s="363" t="s">
        <v>153</v>
      </c>
      <c r="PYC64" s="363"/>
      <c r="PYD64" s="363"/>
      <c r="PYE64" s="364" t="s">
        <v>140</v>
      </c>
      <c r="PYF64" s="365">
        <v>0.5</v>
      </c>
      <c r="PYG64" s="366" t="e">
        <f>10/PYC62</f>
        <v>#DIV/0!</v>
      </c>
      <c r="PYH64" s="367">
        <v>15.38</v>
      </c>
      <c r="PYI64" s="367" t="e">
        <f>PYF64*PYG64*PYH64</f>
        <v>#DIV/0!</v>
      </c>
      <c r="PYJ64" s="363" t="s">
        <v>153</v>
      </c>
      <c r="PYK64" s="363"/>
      <c r="PYL64" s="363"/>
      <c r="PYM64" s="364" t="s">
        <v>140</v>
      </c>
      <c r="PYN64" s="365">
        <v>0.5</v>
      </c>
      <c r="PYO64" s="366" t="e">
        <f>10/PYK62</f>
        <v>#DIV/0!</v>
      </c>
      <c r="PYP64" s="367">
        <v>15.38</v>
      </c>
      <c r="PYQ64" s="367" t="e">
        <f>PYN64*PYO64*PYP64</f>
        <v>#DIV/0!</v>
      </c>
      <c r="PYR64" s="363" t="s">
        <v>153</v>
      </c>
      <c r="PYS64" s="363"/>
      <c r="PYT64" s="363"/>
      <c r="PYU64" s="364" t="s">
        <v>140</v>
      </c>
      <c r="PYV64" s="365">
        <v>0.5</v>
      </c>
      <c r="PYW64" s="366" t="e">
        <f>10/PYS62</f>
        <v>#DIV/0!</v>
      </c>
      <c r="PYX64" s="367">
        <v>15.38</v>
      </c>
      <c r="PYY64" s="367" t="e">
        <f>PYV64*PYW64*PYX64</f>
        <v>#DIV/0!</v>
      </c>
      <c r="PYZ64" s="363" t="s">
        <v>153</v>
      </c>
      <c r="PZA64" s="363"/>
      <c r="PZB64" s="363"/>
      <c r="PZC64" s="364" t="s">
        <v>140</v>
      </c>
      <c r="PZD64" s="365">
        <v>0.5</v>
      </c>
      <c r="PZE64" s="366" t="e">
        <f>10/PZA62</f>
        <v>#DIV/0!</v>
      </c>
      <c r="PZF64" s="367">
        <v>15.38</v>
      </c>
      <c r="PZG64" s="367" t="e">
        <f>PZD64*PZE64*PZF64</f>
        <v>#DIV/0!</v>
      </c>
      <c r="PZH64" s="363" t="s">
        <v>153</v>
      </c>
      <c r="PZI64" s="363"/>
      <c r="PZJ64" s="363"/>
      <c r="PZK64" s="364" t="s">
        <v>140</v>
      </c>
      <c r="PZL64" s="365">
        <v>0.5</v>
      </c>
      <c r="PZM64" s="366" t="e">
        <f>10/PZI62</f>
        <v>#DIV/0!</v>
      </c>
      <c r="PZN64" s="367">
        <v>15.38</v>
      </c>
      <c r="PZO64" s="367" t="e">
        <f>PZL64*PZM64*PZN64</f>
        <v>#DIV/0!</v>
      </c>
      <c r="PZP64" s="363" t="s">
        <v>153</v>
      </c>
      <c r="PZQ64" s="363"/>
      <c r="PZR64" s="363"/>
      <c r="PZS64" s="364" t="s">
        <v>140</v>
      </c>
      <c r="PZT64" s="365">
        <v>0.5</v>
      </c>
      <c r="PZU64" s="366" t="e">
        <f>10/PZQ62</f>
        <v>#DIV/0!</v>
      </c>
      <c r="PZV64" s="367">
        <v>15.38</v>
      </c>
      <c r="PZW64" s="367" t="e">
        <f>PZT64*PZU64*PZV64</f>
        <v>#DIV/0!</v>
      </c>
      <c r="PZX64" s="363" t="s">
        <v>153</v>
      </c>
      <c r="PZY64" s="363"/>
      <c r="PZZ64" s="363"/>
      <c r="QAA64" s="364" t="s">
        <v>140</v>
      </c>
      <c r="QAB64" s="365">
        <v>0.5</v>
      </c>
      <c r="QAC64" s="366" t="e">
        <f>10/PZY62</f>
        <v>#DIV/0!</v>
      </c>
      <c r="QAD64" s="367">
        <v>15.38</v>
      </c>
      <c r="QAE64" s="367" t="e">
        <f>QAB64*QAC64*QAD64</f>
        <v>#DIV/0!</v>
      </c>
      <c r="QAF64" s="363" t="s">
        <v>153</v>
      </c>
      <c r="QAG64" s="363"/>
      <c r="QAH64" s="363"/>
      <c r="QAI64" s="364" t="s">
        <v>140</v>
      </c>
      <c r="QAJ64" s="365">
        <v>0.5</v>
      </c>
      <c r="QAK64" s="366" t="e">
        <f>10/QAG62</f>
        <v>#DIV/0!</v>
      </c>
      <c r="QAL64" s="367">
        <v>15.38</v>
      </c>
      <c r="QAM64" s="367" t="e">
        <f>QAJ64*QAK64*QAL64</f>
        <v>#DIV/0!</v>
      </c>
      <c r="QAN64" s="363" t="s">
        <v>153</v>
      </c>
      <c r="QAO64" s="363"/>
      <c r="QAP64" s="363"/>
      <c r="QAQ64" s="364" t="s">
        <v>140</v>
      </c>
      <c r="QAR64" s="365">
        <v>0.5</v>
      </c>
      <c r="QAS64" s="366" t="e">
        <f>10/QAO62</f>
        <v>#DIV/0!</v>
      </c>
      <c r="QAT64" s="367">
        <v>15.38</v>
      </c>
      <c r="QAU64" s="367" t="e">
        <f>QAR64*QAS64*QAT64</f>
        <v>#DIV/0!</v>
      </c>
      <c r="QAV64" s="363" t="s">
        <v>153</v>
      </c>
      <c r="QAW64" s="363"/>
      <c r="QAX64" s="363"/>
      <c r="QAY64" s="364" t="s">
        <v>140</v>
      </c>
      <c r="QAZ64" s="365">
        <v>0.5</v>
      </c>
      <c r="QBA64" s="366" t="e">
        <f>10/QAW62</f>
        <v>#DIV/0!</v>
      </c>
      <c r="QBB64" s="367">
        <v>15.38</v>
      </c>
      <c r="QBC64" s="367" t="e">
        <f>QAZ64*QBA64*QBB64</f>
        <v>#DIV/0!</v>
      </c>
      <c r="QBD64" s="363" t="s">
        <v>153</v>
      </c>
      <c r="QBE64" s="363"/>
      <c r="QBF64" s="363"/>
      <c r="QBG64" s="364" t="s">
        <v>140</v>
      </c>
      <c r="QBH64" s="365">
        <v>0.5</v>
      </c>
      <c r="QBI64" s="366" t="e">
        <f>10/QBE62</f>
        <v>#DIV/0!</v>
      </c>
      <c r="QBJ64" s="367">
        <v>15.38</v>
      </c>
      <c r="QBK64" s="367" t="e">
        <f>QBH64*QBI64*QBJ64</f>
        <v>#DIV/0!</v>
      </c>
      <c r="QBL64" s="363" t="s">
        <v>153</v>
      </c>
      <c r="QBM64" s="363"/>
      <c r="QBN64" s="363"/>
      <c r="QBO64" s="364" t="s">
        <v>140</v>
      </c>
      <c r="QBP64" s="365">
        <v>0.5</v>
      </c>
      <c r="QBQ64" s="366" t="e">
        <f>10/QBM62</f>
        <v>#DIV/0!</v>
      </c>
      <c r="QBR64" s="367">
        <v>15.38</v>
      </c>
      <c r="QBS64" s="367" t="e">
        <f>QBP64*QBQ64*QBR64</f>
        <v>#DIV/0!</v>
      </c>
      <c r="QBT64" s="363" t="s">
        <v>153</v>
      </c>
      <c r="QBU64" s="363"/>
      <c r="QBV64" s="363"/>
      <c r="QBW64" s="364" t="s">
        <v>140</v>
      </c>
      <c r="QBX64" s="365">
        <v>0.5</v>
      </c>
      <c r="QBY64" s="366" t="e">
        <f>10/QBU62</f>
        <v>#DIV/0!</v>
      </c>
      <c r="QBZ64" s="367">
        <v>15.38</v>
      </c>
      <c r="QCA64" s="367" t="e">
        <f>QBX64*QBY64*QBZ64</f>
        <v>#DIV/0!</v>
      </c>
      <c r="QCB64" s="363" t="s">
        <v>153</v>
      </c>
      <c r="QCC64" s="363"/>
      <c r="QCD64" s="363"/>
      <c r="QCE64" s="364" t="s">
        <v>140</v>
      </c>
      <c r="QCF64" s="365">
        <v>0.5</v>
      </c>
      <c r="QCG64" s="366" t="e">
        <f>10/QCC62</f>
        <v>#DIV/0!</v>
      </c>
      <c r="QCH64" s="367">
        <v>15.38</v>
      </c>
      <c r="QCI64" s="367" t="e">
        <f>QCF64*QCG64*QCH64</f>
        <v>#DIV/0!</v>
      </c>
      <c r="QCJ64" s="363" t="s">
        <v>153</v>
      </c>
      <c r="QCK64" s="363"/>
      <c r="QCL64" s="363"/>
      <c r="QCM64" s="364" t="s">
        <v>140</v>
      </c>
      <c r="QCN64" s="365">
        <v>0.5</v>
      </c>
      <c r="QCO64" s="366" t="e">
        <f>10/QCK62</f>
        <v>#DIV/0!</v>
      </c>
      <c r="QCP64" s="367">
        <v>15.38</v>
      </c>
      <c r="QCQ64" s="367" t="e">
        <f>QCN64*QCO64*QCP64</f>
        <v>#DIV/0!</v>
      </c>
      <c r="QCR64" s="363" t="s">
        <v>153</v>
      </c>
      <c r="QCS64" s="363"/>
      <c r="QCT64" s="363"/>
      <c r="QCU64" s="364" t="s">
        <v>140</v>
      </c>
      <c r="QCV64" s="365">
        <v>0.5</v>
      </c>
      <c r="QCW64" s="366" t="e">
        <f>10/QCS62</f>
        <v>#DIV/0!</v>
      </c>
      <c r="QCX64" s="367">
        <v>15.38</v>
      </c>
      <c r="QCY64" s="367" t="e">
        <f>QCV64*QCW64*QCX64</f>
        <v>#DIV/0!</v>
      </c>
      <c r="QCZ64" s="363" t="s">
        <v>153</v>
      </c>
      <c r="QDA64" s="363"/>
      <c r="QDB64" s="363"/>
      <c r="QDC64" s="364" t="s">
        <v>140</v>
      </c>
      <c r="QDD64" s="365">
        <v>0.5</v>
      </c>
      <c r="QDE64" s="366" t="e">
        <f>10/QDA62</f>
        <v>#DIV/0!</v>
      </c>
      <c r="QDF64" s="367">
        <v>15.38</v>
      </c>
      <c r="QDG64" s="367" t="e">
        <f>QDD64*QDE64*QDF64</f>
        <v>#DIV/0!</v>
      </c>
      <c r="QDH64" s="363" t="s">
        <v>153</v>
      </c>
      <c r="QDI64" s="363"/>
      <c r="QDJ64" s="363"/>
      <c r="QDK64" s="364" t="s">
        <v>140</v>
      </c>
      <c r="QDL64" s="365">
        <v>0.5</v>
      </c>
      <c r="QDM64" s="366" t="e">
        <f>10/QDI62</f>
        <v>#DIV/0!</v>
      </c>
      <c r="QDN64" s="367">
        <v>15.38</v>
      </c>
      <c r="QDO64" s="367" t="e">
        <f>QDL64*QDM64*QDN64</f>
        <v>#DIV/0!</v>
      </c>
      <c r="QDP64" s="363" t="s">
        <v>153</v>
      </c>
      <c r="QDQ64" s="363"/>
      <c r="QDR64" s="363"/>
      <c r="QDS64" s="364" t="s">
        <v>140</v>
      </c>
      <c r="QDT64" s="365">
        <v>0.5</v>
      </c>
      <c r="QDU64" s="366" t="e">
        <f>10/QDQ62</f>
        <v>#DIV/0!</v>
      </c>
      <c r="QDV64" s="367">
        <v>15.38</v>
      </c>
      <c r="QDW64" s="367" t="e">
        <f>QDT64*QDU64*QDV64</f>
        <v>#DIV/0!</v>
      </c>
      <c r="QDX64" s="363" t="s">
        <v>153</v>
      </c>
      <c r="QDY64" s="363"/>
      <c r="QDZ64" s="363"/>
      <c r="QEA64" s="364" t="s">
        <v>140</v>
      </c>
      <c r="QEB64" s="365">
        <v>0.5</v>
      </c>
      <c r="QEC64" s="366" t="e">
        <f>10/QDY62</f>
        <v>#DIV/0!</v>
      </c>
      <c r="QED64" s="367">
        <v>15.38</v>
      </c>
      <c r="QEE64" s="367" t="e">
        <f>QEB64*QEC64*QED64</f>
        <v>#DIV/0!</v>
      </c>
      <c r="QEF64" s="363" t="s">
        <v>153</v>
      </c>
      <c r="QEG64" s="363"/>
      <c r="QEH64" s="363"/>
      <c r="QEI64" s="364" t="s">
        <v>140</v>
      </c>
      <c r="QEJ64" s="365">
        <v>0.5</v>
      </c>
      <c r="QEK64" s="366" t="e">
        <f>10/QEG62</f>
        <v>#DIV/0!</v>
      </c>
      <c r="QEL64" s="367">
        <v>15.38</v>
      </c>
      <c r="QEM64" s="367" t="e">
        <f>QEJ64*QEK64*QEL64</f>
        <v>#DIV/0!</v>
      </c>
      <c r="QEN64" s="363" t="s">
        <v>153</v>
      </c>
      <c r="QEO64" s="363"/>
      <c r="QEP64" s="363"/>
      <c r="QEQ64" s="364" t="s">
        <v>140</v>
      </c>
      <c r="QER64" s="365">
        <v>0.5</v>
      </c>
      <c r="QES64" s="366" t="e">
        <f>10/QEO62</f>
        <v>#DIV/0!</v>
      </c>
      <c r="QET64" s="367">
        <v>15.38</v>
      </c>
      <c r="QEU64" s="367" t="e">
        <f>QER64*QES64*QET64</f>
        <v>#DIV/0!</v>
      </c>
      <c r="QEV64" s="363" t="s">
        <v>153</v>
      </c>
      <c r="QEW64" s="363"/>
      <c r="QEX64" s="363"/>
      <c r="QEY64" s="364" t="s">
        <v>140</v>
      </c>
      <c r="QEZ64" s="365">
        <v>0.5</v>
      </c>
      <c r="QFA64" s="366" t="e">
        <f>10/QEW62</f>
        <v>#DIV/0!</v>
      </c>
      <c r="QFB64" s="367">
        <v>15.38</v>
      </c>
      <c r="QFC64" s="367" t="e">
        <f>QEZ64*QFA64*QFB64</f>
        <v>#DIV/0!</v>
      </c>
      <c r="QFD64" s="363" t="s">
        <v>153</v>
      </c>
      <c r="QFE64" s="363"/>
      <c r="QFF64" s="363"/>
      <c r="QFG64" s="364" t="s">
        <v>140</v>
      </c>
      <c r="QFH64" s="365">
        <v>0.5</v>
      </c>
      <c r="QFI64" s="366" t="e">
        <f>10/QFE62</f>
        <v>#DIV/0!</v>
      </c>
      <c r="QFJ64" s="367">
        <v>15.38</v>
      </c>
      <c r="QFK64" s="367" t="e">
        <f>QFH64*QFI64*QFJ64</f>
        <v>#DIV/0!</v>
      </c>
      <c r="QFL64" s="363" t="s">
        <v>153</v>
      </c>
      <c r="QFM64" s="363"/>
      <c r="QFN64" s="363"/>
      <c r="QFO64" s="364" t="s">
        <v>140</v>
      </c>
      <c r="QFP64" s="365">
        <v>0.5</v>
      </c>
      <c r="QFQ64" s="366" t="e">
        <f>10/QFM62</f>
        <v>#DIV/0!</v>
      </c>
      <c r="QFR64" s="367">
        <v>15.38</v>
      </c>
      <c r="QFS64" s="367" t="e">
        <f>QFP64*QFQ64*QFR64</f>
        <v>#DIV/0!</v>
      </c>
      <c r="QFT64" s="363" t="s">
        <v>153</v>
      </c>
      <c r="QFU64" s="363"/>
      <c r="QFV64" s="363"/>
      <c r="QFW64" s="364" t="s">
        <v>140</v>
      </c>
      <c r="QFX64" s="365">
        <v>0.5</v>
      </c>
      <c r="QFY64" s="366" t="e">
        <f>10/QFU62</f>
        <v>#DIV/0!</v>
      </c>
      <c r="QFZ64" s="367">
        <v>15.38</v>
      </c>
      <c r="QGA64" s="367" t="e">
        <f>QFX64*QFY64*QFZ64</f>
        <v>#DIV/0!</v>
      </c>
      <c r="QGB64" s="363" t="s">
        <v>153</v>
      </c>
      <c r="QGC64" s="363"/>
      <c r="QGD64" s="363"/>
      <c r="QGE64" s="364" t="s">
        <v>140</v>
      </c>
      <c r="QGF64" s="365">
        <v>0.5</v>
      </c>
      <c r="QGG64" s="366" t="e">
        <f>10/QGC62</f>
        <v>#DIV/0!</v>
      </c>
      <c r="QGH64" s="367">
        <v>15.38</v>
      </c>
      <c r="QGI64" s="367" t="e">
        <f>QGF64*QGG64*QGH64</f>
        <v>#DIV/0!</v>
      </c>
      <c r="QGJ64" s="363" t="s">
        <v>153</v>
      </c>
      <c r="QGK64" s="363"/>
      <c r="QGL64" s="363"/>
      <c r="QGM64" s="364" t="s">
        <v>140</v>
      </c>
      <c r="QGN64" s="365">
        <v>0.5</v>
      </c>
      <c r="QGO64" s="366" t="e">
        <f>10/QGK62</f>
        <v>#DIV/0!</v>
      </c>
      <c r="QGP64" s="367">
        <v>15.38</v>
      </c>
      <c r="QGQ64" s="367" t="e">
        <f>QGN64*QGO64*QGP64</f>
        <v>#DIV/0!</v>
      </c>
      <c r="QGR64" s="363" t="s">
        <v>153</v>
      </c>
      <c r="QGS64" s="363"/>
      <c r="QGT64" s="363"/>
      <c r="QGU64" s="364" t="s">
        <v>140</v>
      </c>
      <c r="QGV64" s="365">
        <v>0.5</v>
      </c>
      <c r="QGW64" s="366" t="e">
        <f>10/QGS62</f>
        <v>#DIV/0!</v>
      </c>
      <c r="QGX64" s="367">
        <v>15.38</v>
      </c>
      <c r="QGY64" s="367" t="e">
        <f>QGV64*QGW64*QGX64</f>
        <v>#DIV/0!</v>
      </c>
      <c r="QGZ64" s="363" t="s">
        <v>153</v>
      </c>
      <c r="QHA64" s="363"/>
      <c r="QHB64" s="363"/>
      <c r="QHC64" s="364" t="s">
        <v>140</v>
      </c>
      <c r="QHD64" s="365">
        <v>0.5</v>
      </c>
      <c r="QHE64" s="366" t="e">
        <f>10/QHA62</f>
        <v>#DIV/0!</v>
      </c>
      <c r="QHF64" s="367">
        <v>15.38</v>
      </c>
      <c r="QHG64" s="367" t="e">
        <f>QHD64*QHE64*QHF64</f>
        <v>#DIV/0!</v>
      </c>
      <c r="QHH64" s="363" t="s">
        <v>153</v>
      </c>
      <c r="QHI64" s="363"/>
      <c r="QHJ64" s="363"/>
      <c r="QHK64" s="364" t="s">
        <v>140</v>
      </c>
      <c r="QHL64" s="365">
        <v>0.5</v>
      </c>
      <c r="QHM64" s="366" t="e">
        <f>10/QHI62</f>
        <v>#DIV/0!</v>
      </c>
      <c r="QHN64" s="367">
        <v>15.38</v>
      </c>
      <c r="QHO64" s="367" t="e">
        <f>QHL64*QHM64*QHN64</f>
        <v>#DIV/0!</v>
      </c>
      <c r="QHP64" s="363" t="s">
        <v>153</v>
      </c>
      <c r="QHQ64" s="363"/>
      <c r="QHR64" s="363"/>
      <c r="QHS64" s="364" t="s">
        <v>140</v>
      </c>
      <c r="QHT64" s="365">
        <v>0.5</v>
      </c>
      <c r="QHU64" s="366" t="e">
        <f>10/QHQ62</f>
        <v>#DIV/0!</v>
      </c>
      <c r="QHV64" s="367">
        <v>15.38</v>
      </c>
      <c r="QHW64" s="367" t="e">
        <f>QHT64*QHU64*QHV64</f>
        <v>#DIV/0!</v>
      </c>
      <c r="QHX64" s="363" t="s">
        <v>153</v>
      </c>
      <c r="QHY64" s="363"/>
      <c r="QHZ64" s="363"/>
      <c r="QIA64" s="364" t="s">
        <v>140</v>
      </c>
      <c r="QIB64" s="365">
        <v>0.5</v>
      </c>
      <c r="QIC64" s="366" t="e">
        <f>10/QHY62</f>
        <v>#DIV/0!</v>
      </c>
      <c r="QID64" s="367">
        <v>15.38</v>
      </c>
      <c r="QIE64" s="367" t="e">
        <f>QIB64*QIC64*QID64</f>
        <v>#DIV/0!</v>
      </c>
      <c r="QIF64" s="363" t="s">
        <v>153</v>
      </c>
      <c r="QIG64" s="363"/>
      <c r="QIH64" s="363"/>
      <c r="QII64" s="364" t="s">
        <v>140</v>
      </c>
      <c r="QIJ64" s="365">
        <v>0.5</v>
      </c>
      <c r="QIK64" s="366" t="e">
        <f>10/QIG62</f>
        <v>#DIV/0!</v>
      </c>
      <c r="QIL64" s="367">
        <v>15.38</v>
      </c>
      <c r="QIM64" s="367" t="e">
        <f>QIJ64*QIK64*QIL64</f>
        <v>#DIV/0!</v>
      </c>
      <c r="QIN64" s="363" t="s">
        <v>153</v>
      </c>
      <c r="QIO64" s="363"/>
      <c r="QIP64" s="363"/>
      <c r="QIQ64" s="364" t="s">
        <v>140</v>
      </c>
      <c r="QIR64" s="365">
        <v>0.5</v>
      </c>
      <c r="QIS64" s="366" t="e">
        <f>10/QIO62</f>
        <v>#DIV/0!</v>
      </c>
      <c r="QIT64" s="367">
        <v>15.38</v>
      </c>
      <c r="QIU64" s="367" t="e">
        <f>QIR64*QIS64*QIT64</f>
        <v>#DIV/0!</v>
      </c>
      <c r="QIV64" s="363" t="s">
        <v>153</v>
      </c>
      <c r="QIW64" s="363"/>
      <c r="QIX64" s="363"/>
      <c r="QIY64" s="364" t="s">
        <v>140</v>
      </c>
      <c r="QIZ64" s="365">
        <v>0.5</v>
      </c>
      <c r="QJA64" s="366" t="e">
        <f>10/QIW62</f>
        <v>#DIV/0!</v>
      </c>
      <c r="QJB64" s="367">
        <v>15.38</v>
      </c>
      <c r="QJC64" s="367" t="e">
        <f>QIZ64*QJA64*QJB64</f>
        <v>#DIV/0!</v>
      </c>
      <c r="QJD64" s="363" t="s">
        <v>153</v>
      </c>
      <c r="QJE64" s="363"/>
      <c r="QJF64" s="363"/>
      <c r="QJG64" s="364" t="s">
        <v>140</v>
      </c>
      <c r="QJH64" s="365">
        <v>0.5</v>
      </c>
      <c r="QJI64" s="366" t="e">
        <f>10/QJE62</f>
        <v>#DIV/0!</v>
      </c>
      <c r="QJJ64" s="367">
        <v>15.38</v>
      </c>
      <c r="QJK64" s="367" t="e">
        <f>QJH64*QJI64*QJJ64</f>
        <v>#DIV/0!</v>
      </c>
      <c r="QJL64" s="363" t="s">
        <v>153</v>
      </c>
      <c r="QJM64" s="363"/>
      <c r="QJN64" s="363"/>
      <c r="QJO64" s="364" t="s">
        <v>140</v>
      </c>
      <c r="QJP64" s="365">
        <v>0.5</v>
      </c>
      <c r="QJQ64" s="366" t="e">
        <f>10/QJM62</f>
        <v>#DIV/0!</v>
      </c>
      <c r="QJR64" s="367">
        <v>15.38</v>
      </c>
      <c r="QJS64" s="367" t="e">
        <f>QJP64*QJQ64*QJR64</f>
        <v>#DIV/0!</v>
      </c>
      <c r="QJT64" s="363" t="s">
        <v>153</v>
      </c>
      <c r="QJU64" s="363"/>
      <c r="QJV64" s="363"/>
      <c r="QJW64" s="364" t="s">
        <v>140</v>
      </c>
      <c r="QJX64" s="365">
        <v>0.5</v>
      </c>
      <c r="QJY64" s="366" t="e">
        <f>10/QJU62</f>
        <v>#DIV/0!</v>
      </c>
      <c r="QJZ64" s="367">
        <v>15.38</v>
      </c>
      <c r="QKA64" s="367" t="e">
        <f>QJX64*QJY64*QJZ64</f>
        <v>#DIV/0!</v>
      </c>
      <c r="QKB64" s="363" t="s">
        <v>153</v>
      </c>
      <c r="QKC64" s="363"/>
      <c r="QKD64" s="363"/>
      <c r="QKE64" s="364" t="s">
        <v>140</v>
      </c>
      <c r="QKF64" s="365">
        <v>0.5</v>
      </c>
      <c r="QKG64" s="366" t="e">
        <f>10/QKC62</f>
        <v>#DIV/0!</v>
      </c>
      <c r="QKH64" s="367">
        <v>15.38</v>
      </c>
      <c r="QKI64" s="367" t="e">
        <f>QKF64*QKG64*QKH64</f>
        <v>#DIV/0!</v>
      </c>
      <c r="QKJ64" s="363" t="s">
        <v>153</v>
      </c>
      <c r="QKK64" s="363"/>
      <c r="QKL64" s="363"/>
      <c r="QKM64" s="364" t="s">
        <v>140</v>
      </c>
      <c r="QKN64" s="365">
        <v>0.5</v>
      </c>
      <c r="QKO64" s="366" t="e">
        <f>10/QKK62</f>
        <v>#DIV/0!</v>
      </c>
      <c r="QKP64" s="367">
        <v>15.38</v>
      </c>
      <c r="QKQ64" s="367" t="e">
        <f>QKN64*QKO64*QKP64</f>
        <v>#DIV/0!</v>
      </c>
      <c r="QKR64" s="363" t="s">
        <v>153</v>
      </c>
      <c r="QKS64" s="363"/>
      <c r="QKT64" s="363"/>
      <c r="QKU64" s="364" t="s">
        <v>140</v>
      </c>
      <c r="QKV64" s="365">
        <v>0.5</v>
      </c>
      <c r="QKW64" s="366" t="e">
        <f>10/QKS62</f>
        <v>#DIV/0!</v>
      </c>
      <c r="QKX64" s="367">
        <v>15.38</v>
      </c>
      <c r="QKY64" s="367" t="e">
        <f>QKV64*QKW64*QKX64</f>
        <v>#DIV/0!</v>
      </c>
      <c r="QKZ64" s="363" t="s">
        <v>153</v>
      </c>
      <c r="QLA64" s="363"/>
      <c r="QLB64" s="363"/>
      <c r="QLC64" s="364" t="s">
        <v>140</v>
      </c>
      <c r="QLD64" s="365">
        <v>0.5</v>
      </c>
      <c r="QLE64" s="366" t="e">
        <f>10/QLA62</f>
        <v>#DIV/0!</v>
      </c>
      <c r="QLF64" s="367">
        <v>15.38</v>
      </c>
      <c r="QLG64" s="367" t="e">
        <f>QLD64*QLE64*QLF64</f>
        <v>#DIV/0!</v>
      </c>
      <c r="QLH64" s="363" t="s">
        <v>153</v>
      </c>
      <c r="QLI64" s="363"/>
      <c r="QLJ64" s="363"/>
      <c r="QLK64" s="364" t="s">
        <v>140</v>
      </c>
      <c r="QLL64" s="365">
        <v>0.5</v>
      </c>
      <c r="QLM64" s="366" t="e">
        <f>10/QLI62</f>
        <v>#DIV/0!</v>
      </c>
      <c r="QLN64" s="367">
        <v>15.38</v>
      </c>
      <c r="QLO64" s="367" t="e">
        <f>QLL64*QLM64*QLN64</f>
        <v>#DIV/0!</v>
      </c>
      <c r="QLP64" s="363" t="s">
        <v>153</v>
      </c>
      <c r="QLQ64" s="363"/>
      <c r="QLR64" s="363"/>
      <c r="QLS64" s="364" t="s">
        <v>140</v>
      </c>
      <c r="QLT64" s="365">
        <v>0.5</v>
      </c>
      <c r="QLU64" s="366" t="e">
        <f>10/QLQ62</f>
        <v>#DIV/0!</v>
      </c>
      <c r="QLV64" s="367">
        <v>15.38</v>
      </c>
      <c r="QLW64" s="367" t="e">
        <f>QLT64*QLU64*QLV64</f>
        <v>#DIV/0!</v>
      </c>
      <c r="QLX64" s="363" t="s">
        <v>153</v>
      </c>
      <c r="QLY64" s="363"/>
      <c r="QLZ64" s="363"/>
      <c r="QMA64" s="364" t="s">
        <v>140</v>
      </c>
      <c r="QMB64" s="365">
        <v>0.5</v>
      </c>
      <c r="QMC64" s="366" t="e">
        <f>10/QLY62</f>
        <v>#DIV/0!</v>
      </c>
      <c r="QMD64" s="367">
        <v>15.38</v>
      </c>
      <c r="QME64" s="367" t="e">
        <f>QMB64*QMC64*QMD64</f>
        <v>#DIV/0!</v>
      </c>
      <c r="QMF64" s="363" t="s">
        <v>153</v>
      </c>
      <c r="QMG64" s="363"/>
      <c r="QMH64" s="363"/>
      <c r="QMI64" s="364" t="s">
        <v>140</v>
      </c>
      <c r="QMJ64" s="365">
        <v>0.5</v>
      </c>
      <c r="QMK64" s="366" t="e">
        <f>10/QMG62</f>
        <v>#DIV/0!</v>
      </c>
      <c r="QML64" s="367">
        <v>15.38</v>
      </c>
      <c r="QMM64" s="367" t="e">
        <f>QMJ64*QMK64*QML64</f>
        <v>#DIV/0!</v>
      </c>
      <c r="QMN64" s="363" t="s">
        <v>153</v>
      </c>
      <c r="QMO64" s="363"/>
      <c r="QMP64" s="363"/>
      <c r="QMQ64" s="364" t="s">
        <v>140</v>
      </c>
      <c r="QMR64" s="365">
        <v>0.5</v>
      </c>
      <c r="QMS64" s="366" t="e">
        <f>10/QMO62</f>
        <v>#DIV/0!</v>
      </c>
      <c r="QMT64" s="367">
        <v>15.38</v>
      </c>
      <c r="QMU64" s="367" t="e">
        <f>QMR64*QMS64*QMT64</f>
        <v>#DIV/0!</v>
      </c>
      <c r="QMV64" s="363" t="s">
        <v>153</v>
      </c>
      <c r="QMW64" s="363"/>
      <c r="QMX64" s="363"/>
      <c r="QMY64" s="364" t="s">
        <v>140</v>
      </c>
      <c r="QMZ64" s="365">
        <v>0.5</v>
      </c>
      <c r="QNA64" s="366" t="e">
        <f>10/QMW62</f>
        <v>#DIV/0!</v>
      </c>
      <c r="QNB64" s="367">
        <v>15.38</v>
      </c>
      <c r="QNC64" s="367" t="e">
        <f>QMZ64*QNA64*QNB64</f>
        <v>#DIV/0!</v>
      </c>
      <c r="QND64" s="363" t="s">
        <v>153</v>
      </c>
      <c r="QNE64" s="363"/>
      <c r="QNF64" s="363"/>
      <c r="QNG64" s="364" t="s">
        <v>140</v>
      </c>
      <c r="QNH64" s="365">
        <v>0.5</v>
      </c>
      <c r="QNI64" s="366" t="e">
        <f>10/QNE62</f>
        <v>#DIV/0!</v>
      </c>
      <c r="QNJ64" s="367">
        <v>15.38</v>
      </c>
      <c r="QNK64" s="367" t="e">
        <f>QNH64*QNI64*QNJ64</f>
        <v>#DIV/0!</v>
      </c>
      <c r="QNL64" s="363" t="s">
        <v>153</v>
      </c>
      <c r="QNM64" s="363"/>
      <c r="QNN64" s="363"/>
      <c r="QNO64" s="364" t="s">
        <v>140</v>
      </c>
      <c r="QNP64" s="365">
        <v>0.5</v>
      </c>
      <c r="QNQ64" s="366" t="e">
        <f>10/QNM62</f>
        <v>#DIV/0!</v>
      </c>
      <c r="QNR64" s="367">
        <v>15.38</v>
      </c>
      <c r="QNS64" s="367" t="e">
        <f>QNP64*QNQ64*QNR64</f>
        <v>#DIV/0!</v>
      </c>
      <c r="QNT64" s="363" t="s">
        <v>153</v>
      </c>
      <c r="QNU64" s="363"/>
      <c r="QNV64" s="363"/>
      <c r="QNW64" s="364" t="s">
        <v>140</v>
      </c>
      <c r="QNX64" s="365">
        <v>0.5</v>
      </c>
      <c r="QNY64" s="366" t="e">
        <f>10/QNU62</f>
        <v>#DIV/0!</v>
      </c>
      <c r="QNZ64" s="367">
        <v>15.38</v>
      </c>
      <c r="QOA64" s="367" t="e">
        <f>QNX64*QNY64*QNZ64</f>
        <v>#DIV/0!</v>
      </c>
      <c r="QOB64" s="363" t="s">
        <v>153</v>
      </c>
      <c r="QOC64" s="363"/>
      <c r="QOD64" s="363"/>
      <c r="QOE64" s="364" t="s">
        <v>140</v>
      </c>
      <c r="QOF64" s="365">
        <v>0.5</v>
      </c>
      <c r="QOG64" s="366" t="e">
        <f>10/QOC62</f>
        <v>#DIV/0!</v>
      </c>
      <c r="QOH64" s="367">
        <v>15.38</v>
      </c>
      <c r="QOI64" s="367" t="e">
        <f>QOF64*QOG64*QOH64</f>
        <v>#DIV/0!</v>
      </c>
      <c r="QOJ64" s="363" t="s">
        <v>153</v>
      </c>
      <c r="QOK64" s="363"/>
      <c r="QOL64" s="363"/>
      <c r="QOM64" s="364" t="s">
        <v>140</v>
      </c>
      <c r="QON64" s="365">
        <v>0.5</v>
      </c>
      <c r="QOO64" s="366" t="e">
        <f>10/QOK62</f>
        <v>#DIV/0!</v>
      </c>
      <c r="QOP64" s="367">
        <v>15.38</v>
      </c>
      <c r="QOQ64" s="367" t="e">
        <f>QON64*QOO64*QOP64</f>
        <v>#DIV/0!</v>
      </c>
      <c r="QOR64" s="363" t="s">
        <v>153</v>
      </c>
      <c r="QOS64" s="363"/>
      <c r="QOT64" s="363"/>
      <c r="QOU64" s="364" t="s">
        <v>140</v>
      </c>
      <c r="QOV64" s="365">
        <v>0.5</v>
      </c>
      <c r="QOW64" s="366" t="e">
        <f>10/QOS62</f>
        <v>#DIV/0!</v>
      </c>
      <c r="QOX64" s="367">
        <v>15.38</v>
      </c>
      <c r="QOY64" s="367" t="e">
        <f>QOV64*QOW64*QOX64</f>
        <v>#DIV/0!</v>
      </c>
      <c r="QOZ64" s="363" t="s">
        <v>153</v>
      </c>
      <c r="QPA64" s="363"/>
      <c r="QPB64" s="363"/>
      <c r="QPC64" s="364" t="s">
        <v>140</v>
      </c>
      <c r="QPD64" s="365">
        <v>0.5</v>
      </c>
      <c r="QPE64" s="366" t="e">
        <f>10/QPA62</f>
        <v>#DIV/0!</v>
      </c>
      <c r="QPF64" s="367">
        <v>15.38</v>
      </c>
      <c r="QPG64" s="367" t="e">
        <f>QPD64*QPE64*QPF64</f>
        <v>#DIV/0!</v>
      </c>
      <c r="QPH64" s="363" t="s">
        <v>153</v>
      </c>
      <c r="QPI64" s="363"/>
      <c r="QPJ64" s="363"/>
      <c r="QPK64" s="364" t="s">
        <v>140</v>
      </c>
      <c r="QPL64" s="365">
        <v>0.5</v>
      </c>
      <c r="QPM64" s="366" t="e">
        <f>10/QPI62</f>
        <v>#DIV/0!</v>
      </c>
      <c r="QPN64" s="367">
        <v>15.38</v>
      </c>
      <c r="QPO64" s="367" t="e">
        <f>QPL64*QPM64*QPN64</f>
        <v>#DIV/0!</v>
      </c>
      <c r="QPP64" s="363" t="s">
        <v>153</v>
      </c>
      <c r="QPQ64" s="363"/>
      <c r="QPR64" s="363"/>
      <c r="QPS64" s="364" t="s">
        <v>140</v>
      </c>
      <c r="QPT64" s="365">
        <v>0.5</v>
      </c>
      <c r="QPU64" s="366" t="e">
        <f>10/QPQ62</f>
        <v>#DIV/0!</v>
      </c>
      <c r="QPV64" s="367">
        <v>15.38</v>
      </c>
      <c r="QPW64" s="367" t="e">
        <f>QPT64*QPU64*QPV64</f>
        <v>#DIV/0!</v>
      </c>
      <c r="QPX64" s="363" t="s">
        <v>153</v>
      </c>
      <c r="QPY64" s="363"/>
      <c r="QPZ64" s="363"/>
      <c r="QQA64" s="364" t="s">
        <v>140</v>
      </c>
      <c r="QQB64" s="365">
        <v>0.5</v>
      </c>
      <c r="QQC64" s="366" t="e">
        <f>10/QPY62</f>
        <v>#DIV/0!</v>
      </c>
      <c r="QQD64" s="367">
        <v>15.38</v>
      </c>
      <c r="QQE64" s="367" t="e">
        <f>QQB64*QQC64*QQD64</f>
        <v>#DIV/0!</v>
      </c>
      <c r="QQF64" s="363" t="s">
        <v>153</v>
      </c>
      <c r="QQG64" s="363"/>
      <c r="QQH64" s="363"/>
      <c r="QQI64" s="364" t="s">
        <v>140</v>
      </c>
      <c r="QQJ64" s="365">
        <v>0.5</v>
      </c>
      <c r="QQK64" s="366" t="e">
        <f>10/QQG62</f>
        <v>#DIV/0!</v>
      </c>
      <c r="QQL64" s="367">
        <v>15.38</v>
      </c>
      <c r="QQM64" s="367" t="e">
        <f>QQJ64*QQK64*QQL64</f>
        <v>#DIV/0!</v>
      </c>
      <c r="QQN64" s="363" t="s">
        <v>153</v>
      </c>
      <c r="QQO64" s="363"/>
      <c r="QQP64" s="363"/>
      <c r="QQQ64" s="364" t="s">
        <v>140</v>
      </c>
      <c r="QQR64" s="365">
        <v>0.5</v>
      </c>
      <c r="QQS64" s="366" t="e">
        <f>10/QQO62</f>
        <v>#DIV/0!</v>
      </c>
      <c r="QQT64" s="367">
        <v>15.38</v>
      </c>
      <c r="QQU64" s="367" t="e">
        <f>QQR64*QQS64*QQT64</f>
        <v>#DIV/0!</v>
      </c>
      <c r="QQV64" s="363" t="s">
        <v>153</v>
      </c>
      <c r="QQW64" s="363"/>
      <c r="QQX64" s="363"/>
      <c r="QQY64" s="364" t="s">
        <v>140</v>
      </c>
      <c r="QQZ64" s="365">
        <v>0.5</v>
      </c>
      <c r="QRA64" s="366" t="e">
        <f>10/QQW62</f>
        <v>#DIV/0!</v>
      </c>
      <c r="QRB64" s="367">
        <v>15.38</v>
      </c>
      <c r="QRC64" s="367" t="e">
        <f>QQZ64*QRA64*QRB64</f>
        <v>#DIV/0!</v>
      </c>
      <c r="QRD64" s="363" t="s">
        <v>153</v>
      </c>
      <c r="QRE64" s="363"/>
      <c r="QRF64" s="363"/>
      <c r="QRG64" s="364" t="s">
        <v>140</v>
      </c>
      <c r="QRH64" s="365">
        <v>0.5</v>
      </c>
      <c r="QRI64" s="366" t="e">
        <f>10/QRE62</f>
        <v>#DIV/0!</v>
      </c>
      <c r="QRJ64" s="367">
        <v>15.38</v>
      </c>
      <c r="QRK64" s="367" t="e">
        <f>QRH64*QRI64*QRJ64</f>
        <v>#DIV/0!</v>
      </c>
      <c r="QRL64" s="363" t="s">
        <v>153</v>
      </c>
      <c r="QRM64" s="363"/>
      <c r="QRN64" s="363"/>
      <c r="QRO64" s="364" t="s">
        <v>140</v>
      </c>
      <c r="QRP64" s="365">
        <v>0.5</v>
      </c>
      <c r="QRQ64" s="366" t="e">
        <f>10/QRM62</f>
        <v>#DIV/0!</v>
      </c>
      <c r="QRR64" s="367">
        <v>15.38</v>
      </c>
      <c r="QRS64" s="367" t="e">
        <f>QRP64*QRQ64*QRR64</f>
        <v>#DIV/0!</v>
      </c>
      <c r="QRT64" s="363" t="s">
        <v>153</v>
      </c>
      <c r="QRU64" s="363"/>
      <c r="QRV64" s="363"/>
      <c r="QRW64" s="364" t="s">
        <v>140</v>
      </c>
      <c r="QRX64" s="365">
        <v>0.5</v>
      </c>
      <c r="QRY64" s="366" t="e">
        <f>10/QRU62</f>
        <v>#DIV/0!</v>
      </c>
      <c r="QRZ64" s="367">
        <v>15.38</v>
      </c>
      <c r="QSA64" s="367" t="e">
        <f>QRX64*QRY64*QRZ64</f>
        <v>#DIV/0!</v>
      </c>
      <c r="QSB64" s="363" t="s">
        <v>153</v>
      </c>
      <c r="QSC64" s="363"/>
      <c r="QSD64" s="363"/>
      <c r="QSE64" s="364" t="s">
        <v>140</v>
      </c>
      <c r="QSF64" s="365">
        <v>0.5</v>
      </c>
      <c r="QSG64" s="366" t="e">
        <f>10/QSC62</f>
        <v>#DIV/0!</v>
      </c>
      <c r="QSH64" s="367">
        <v>15.38</v>
      </c>
      <c r="QSI64" s="367" t="e">
        <f>QSF64*QSG64*QSH64</f>
        <v>#DIV/0!</v>
      </c>
      <c r="QSJ64" s="363" t="s">
        <v>153</v>
      </c>
      <c r="QSK64" s="363"/>
      <c r="QSL64" s="363"/>
      <c r="QSM64" s="364" t="s">
        <v>140</v>
      </c>
      <c r="QSN64" s="365">
        <v>0.5</v>
      </c>
      <c r="QSO64" s="366" t="e">
        <f>10/QSK62</f>
        <v>#DIV/0!</v>
      </c>
      <c r="QSP64" s="367">
        <v>15.38</v>
      </c>
      <c r="QSQ64" s="367" t="e">
        <f>QSN64*QSO64*QSP64</f>
        <v>#DIV/0!</v>
      </c>
      <c r="QSR64" s="363" t="s">
        <v>153</v>
      </c>
      <c r="QSS64" s="363"/>
      <c r="QST64" s="363"/>
      <c r="QSU64" s="364" t="s">
        <v>140</v>
      </c>
      <c r="QSV64" s="365">
        <v>0.5</v>
      </c>
      <c r="QSW64" s="366" t="e">
        <f>10/QSS62</f>
        <v>#DIV/0!</v>
      </c>
      <c r="QSX64" s="367">
        <v>15.38</v>
      </c>
      <c r="QSY64" s="367" t="e">
        <f>QSV64*QSW64*QSX64</f>
        <v>#DIV/0!</v>
      </c>
      <c r="QSZ64" s="363" t="s">
        <v>153</v>
      </c>
      <c r="QTA64" s="363"/>
      <c r="QTB64" s="363"/>
      <c r="QTC64" s="364" t="s">
        <v>140</v>
      </c>
      <c r="QTD64" s="365">
        <v>0.5</v>
      </c>
      <c r="QTE64" s="366" t="e">
        <f>10/QTA62</f>
        <v>#DIV/0!</v>
      </c>
      <c r="QTF64" s="367">
        <v>15.38</v>
      </c>
      <c r="QTG64" s="367" t="e">
        <f>QTD64*QTE64*QTF64</f>
        <v>#DIV/0!</v>
      </c>
      <c r="QTH64" s="363" t="s">
        <v>153</v>
      </c>
      <c r="QTI64" s="363"/>
      <c r="QTJ64" s="363"/>
      <c r="QTK64" s="364" t="s">
        <v>140</v>
      </c>
      <c r="QTL64" s="365">
        <v>0.5</v>
      </c>
      <c r="QTM64" s="366" t="e">
        <f>10/QTI62</f>
        <v>#DIV/0!</v>
      </c>
      <c r="QTN64" s="367">
        <v>15.38</v>
      </c>
      <c r="QTO64" s="367" t="e">
        <f>QTL64*QTM64*QTN64</f>
        <v>#DIV/0!</v>
      </c>
      <c r="QTP64" s="363" t="s">
        <v>153</v>
      </c>
      <c r="QTQ64" s="363"/>
      <c r="QTR64" s="363"/>
      <c r="QTS64" s="364" t="s">
        <v>140</v>
      </c>
      <c r="QTT64" s="365">
        <v>0.5</v>
      </c>
      <c r="QTU64" s="366" t="e">
        <f>10/QTQ62</f>
        <v>#DIV/0!</v>
      </c>
      <c r="QTV64" s="367">
        <v>15.38</v>
      </c>
      <c r="QTW64" s="367" t="e">
        <f>QTT64*QTU64*QTV64</f>
        <v>#DIV/0!</v>
      </c>
      <c r="QTX64" s="363" t="s">
        <v>153</v>
      </c>
      <c r="QTY64" s="363"/>
      <c r="QTZ64" s="363"/>
      <c r="QUA64" s="364" t="s">
        <v>140</v>
      </c>
      <c r="QUB64" s="365">
        <v>0.5</v>
      </c>
      <c r="QUC64" s="366" t="e">
        <f>10/QTY62</f>
        <v>#DIV/0!</v>
      </c>
      <c r="QUD64" s="367">
        <v>15.38</v>
      </c>
      <c r="QUE64" s="367" t="e">
        <f>QUB64*QUC64*QUD64</f>
        <v>#DIV/0!</v>
      </c>
      <c r="QUF64" s="363" t="s">
        <v>153</v>
      </c>
      <c r="QUG64" s="363"/>
      <c r="QUH64" s="363"/>
      <c r="QUI64" s="364" t="s">
        <v>140</v>
      </c>
      <c r="QUJ64" s="365">
        <v>0.5</v>
      </c>
      <c r="QUK64" s="366" t="e">
        <f>10/QUG62</f>
        <v>#DIV/0!</v>
      </c>
      <c r="QUL64" s="367">
        <v>15.38</v>
      </c>
      <c r="QUM64" s="367" t="e">
        <f>QUJ64*QUK64*QUL64</f>
        <v>#DIV/0!</v>
      </c>
      <c r="QUN64" s="363" t="s">
        <v>153</v>
      </c>
      <c r="QUO64" s="363"/>
      <c r="QUP64" s="363"/>
      <c r="QUQ64" s="364" t="s">
        <v>140</v>
      </c>
      <c r="QUR64" s="365">
        <v>0.5</v>
      </c>
      <c r="QUS64" s="366" t="e">
        <f>10/QUO62</f>
        <v>#DIV/0!</v>
      </c>
      <c r="QUT64" s="367">
        <v>15.38</v>
      </c>
      <c r="QUU64" s="367" t="e">
        <f>QUR64*QUS64*QUT64</f>
        <v>#DIV/0!</v>
      </c>
      <c r="QUV64" s="363" t="s">
        <v>153</v>
      </c>
      <c r="QUW64" s="363"/>
      <c r="QUX64" s="363"/>
      <c r="QUY64" s="364" t="s">
        <v>140</v>
      </c>
      <c r="QUZ64" s="365">
        <v>0.5</v>
      </c>
      <c r="QVA64" s="366" t="e">
        <f>10/QUW62</f>
        <v>#DIV/0!</v>
      </c>
      <c r="QVB64" s="367">
        <v>15.38</v>
      </c>
      <c r="QVC64" s="367" t="e">
        <f>QUZ64*QVA64*QVB64</f>
        <v>#DIV/0!</v>
      </c>
      <c r="QVD64" s="363" t="s">
        <v>153</v>
      </c>
      <c r="QVE64" s="363"/>
      <c r="QVF64" s="363"/>
      <c r="QVG64" s="364" t="s">
        <v>140</v>
      </c>
      <c r="QVH64" s="365">
        <v>0.5</v>
      </c>
      <c r="QVI64" s="366" t="e">
        <f>10/QVE62</f>
        <v>#DIV/0!</v>
      </c>
      <c r="QVJ64" s="367">
        <v>15.38</v>
      </c>
      <c r="QVK64" s="367" t="e">
        <f>QVH64*QVI64*QVJ64</f>
        <v>#DIV/0!</v>
      </c>
      <c r="QVL64" s="363" t="s">
        <v>153</v>
      </c>
      <c r="QVM64" s="363"/>
      <c r="QVN64" s="363"/>
      <c r="QVO64" s="364" t="s">
        <v>140</v>
      </c>
      <c r="QVP64" s="365">
        <v>0.5</v>
      </c>
      <c r="QVQ64" s="366" t="e">
        <f>10/QVM62</f>
        <v>#DIV/0!</v>
      </c>
      <c r="QVR64" s="367">
        <v>15.38</v>
      </c>
      <c r="QVS64" s="367" t="e">
        <f>QVP64*QVQ64*QVR64</f>
        <v>#DIV/0!</v>
      </c>
      <c r="QVT64" s="363" t="s">
        <v>153</v>
      </c>
      <c r="QVU64" s="363"/>
      <c r="QVV64" s="363"/>
      <c r="QVW64" s="364" t="s">
        <v>140</v>
      </c>
      <c r="QVX64" s="365">
        <v>0.5</v>
      </c>
      <c r="QVY64" s="366" t="e">
        <f>10/QVU62</f>
        <v>#DIV/0!</v>
      </c>
      <c r="QVZ64" s="367">
        <v>15.38</v>
      </c>
      <c r="QWA64" s="367" t="e">
        <f>QVX64*QVY64*QVZ64</f>
        <v>#DIV/0!</v>
      </c>
      <c r="QWB64" s="363" t="s">
        <v>153</v>
      </c>
      <c r="QWC64" s="363"/>
      <c r="QWD64" s="363"/>
      <c r="QWE64" s="364" t="s">
        <v>140</v>
      </c>
      <c r="QWF64" s="365">
        <v>0.5</v>
      </c>
      <c r="QWG64" s="366" t="e">
        <f>10/QWC62</f>
        <v>#DIV/0!</v>
      </c>
      <c r="QWH64" s="367">
        <v>15.38</v>
      </c>
      <c r="QWI64" s="367" t="e">
        <f>QWF64*QWG64*QWH64</f>
        <v>#DIV/0!</v>
      </c>
      <c r="QWJ64" s="363" t="s">
        <v>153</v>
      </c>
      <c r="QWK64" s="363"/>
      <c r="QWL64" s="363"/>
      <c r="QWM64" s="364" t="s">
        <v>140</v>
      </c>
      <c r="QWN64" s="365">
        <v>0.5</v>
      </c>
      <c r="QWO64" s="366" t="e">
        <f>10/QWK62</f>
        <v>#DIV/0!</v>
      </c>
      <c r="QWP64" s="367">
        <v>15.38</v>
      </c>
      <c r="QWQ64" s="367" t="e">
        <f>QWN64*QWO64*QWP64</f>
        <v>#DIV/0!</v>
      </c>
      <c r="QWR64" s="363" t="s">
        <v>153</v>
      </c>
      <c r="QWS64" s="363"/>
      <c r="QWT64" s="363"/>
      <c r="QWU64" s="364" t="s">
        <v>140</v>
      </c>
      <c r="QWV64" s="365">
        <v>0.5</v>
      </c>
      <c r="QWW64" s="366" t="e">
        <f>10/QWS62</f>
        <v>#DIV/0!</v>
      </c>
      <c r="QWX64" s="367">
        <v>15.38</v>
      </c>
      <c r="QWY64" s="367" t="e">
        <f>QWV64*QWW64*QWX64</f>
        <v>#DIV/0!</v>
      </c>
      <c r="QWZ64" s="363" t="s">
        <v>153</v>
      </c>
      <c r="QXA64" s="363"/>
      <c r="QXB64" s="363"/>
      <c r="QXC64" s="364" t="s">
        <v>140</v>
      </c>
      <c r="QXD64" s="365">
        <v>0.5</v>
      </c>
      <c r="QXE64" s="366" t="e">
        <f>10/QXA62</f>
        <v>#DIV/0!</v>
      </c>
      <c r="QXF64" s="367">
        <v>15.38</v>
      </c>
      <c r="QXG64" s="367" t="e">
        <f>QXD64*QXE64*QXF64</f>
        <v>#DIV/0!</v>
      </c>
      <c r="QXH64" s="363" t="s">
        <v>153</v>
      </c>
      <c r="QXI64" s="363"/>
      <c r="QXJ64" s="363"/>
      <c r="QXK64" s="364" t="s">
        <v>140</v>
      </c>
      <c r="QXL64" s="365">
        <v>0.5</v>
      </c>
      <c r="QXM64" s="366" t="e">
        <f>10/QXI62</f>
        <v>#DIV/0!</v>
      </c>
      <c r="QXN64" s="367">
        <v>15.38</v>
      </c>
      <c r="QXO64" s="367" t="e">
        <f>QXL64*QXM64*QXN64</f>
        <v>#DIV/0!</v>
      </c>
      <c r="QXP64" s="363" t="s">
        <v>153</v>
      </c>
      <c r="QXQ64" s="363"/>
      <c r="QXR64" s="363"/>
      <c r="QXS64" s="364" t="s">
        <v>140</v>
      </c>
      <c r="QXT64" s="365">
        <v>0.5</v>
      </c>
      <c r="QXU64" s="366" t="e">
        <f>10/QXQ62</f>
        <v>#DIV/0!</v>
      </c>
      <c r="QXV64" s="367">
        <v>15.38</v>
      </c>
      <c r="QXW64" s="367" t="e">
        <f>QXT64*QXU64*QXV64</f>
        <v>#DIV/0!</v>
      </c>
      <c r="QXX64" s="363" t="s">
        <v>153</v>
      </c>
      <c r="QXY64" s="363"/>
      <c r="QXZ64" s="363"/>
      <c r="QYA64" s="364" t="s">
        <v>140</v>
      </c>
      <c r="QYB64" s="365">
        <v>0.5</v>
      </c>
      <c r="QYC64" s="366" t="e">
        <f>10/QXY62</f>
        <v>#DIV/0!</v>
      </c>
      <c r="QYD64" s="367">
        <v>15.38</v>
      </c>
      <c r="QYE64" s="367" t="e">
        <f>QYB64*QYC64*QYD64</f>
        <v>#DIV/0!</v>
      </c>
      <c r="QYF64" s="363" t="s">
        <v>153</v>
      </c>
      <c r="QYG64" s="363"/>
      <c r="QYH64" s="363"/>
      <c r="QYI64" s="364" t="s">
        <v>140</v>
      </c>
      <c r="QYJ64" s="365">
        <v>0.5</v>
      </c>
      <c r="QYK64" s="366" t="e">
        <f>10/QYG62</f>
        <v>#DIV/0!</v>
      </c>
      <c r="QYL64" s="367">
        <v>15.38</v>
      </c>
      <c r="QYM64" s="367" t="e">
        <f>QYJ64*QYK64*QYL64</f>
        <v>#DIV/0!</v>
      </c>
      <c r="QYN64" s="363" t="s">
        <v>153</v>
      </c>
      <c r="QYO64" s="363"/>
      <c r="QYP64" s="363"/>
      <c r="QYQ64" s="364" t="s">
        <v>140</v>
      </c>
      <c r="QYR64" s="365">
        <v>0.5</v>
      </c>
      <c r="QYS64" s="366" t="e">
        <f>10/QYO62</f>
        <v>#DIV/0!</v>
      </c>
      <c r="QYT64" s="367">
        <v>15.38</v>
      </c>
      <c r="QYU64" s="367" t="e">
        <f>QYR64*QYS64*QYT64</f>
        <v>#DIV/0!</v>
      </c>
      <c r="QYV64" s="363" t="s">
        <v>153</v>
      </c>
      <c r="QYW64" s="363"/>
      <c r="QYX64" s="363"/>
      <c r="QYY64" s="364" t="s">
        <v>140</v>
      </c>
      <c r="QYZ64" s="365">
        <v>0.5</v>
      </c>
      <c r="QZA64" s="366" t="e">
        <f>10/QYW62</f>
        <v>#DIV/0!</v>
      </c>
      <c r="QZB64" s="367">
        <v>15.38</v>
      </c>
      <c r="QZC64" s="367" t="e">
        <f>QYZ64*QZA64*QZB64</f>
        <v>#DIV/0!</v>
      </c>
      <c r="QZD64" s="363" t="s">
        <v>153</v>
      </c>
      <c r="QZE64" s="363"/>
      <c r="QZF64" s="363"/>
      <c r="QZG64" s="364" t="s">
        <v>140</v>
      </c>
      <c r="QZH64" s="365">
        <v>0.5</v>
      </c>
      <c r="QZI64" s="366" t="e">
        <f>10/QZE62</f>
        <v>#DIV/0!</v>
      </c>
      <c r="QZJ64" s="367">
        <v>15.38</v>
      </c>
      <c r="QZK64" s="367" t="e">
        <f>QZH64*QZI64*QZJ64</f>
        <v>#DIV/0!</v>
      </c>
      <c r="QZL64" s="363" t="s">
        <v>153</v>
      </c>
      <c r="QZM64" s="363"/>
      <c r="QZN64" s="363"/>
      <c r="QZO64" s="364" t="s">
        <v>140</v>
      </c>
      <c r="QZP64" s="365">
        <v>0.5</v>
      </c>
      <c r="QZQ64" s="366" t="e">
        <f>10/QZM62</f>
        <v>#DIV/0!</v>
      </c>
      <c r="QZR64" s="367">
        <v>15.38</v>
      </c>
      <c r="QZS64" s="367" t="e">
        <f>QZP64*QZQ64*QZR64</f>
        <v>#DIV/0!</v>
      </c>
      <c r="QZT64" s="363" t="s">
        <v>153</v>
      </c>
      <c r="QZU64" s="363"/>
      <c r="QZV64" s="363"/>
      <c r="QZW64" s="364" t="s">
        <v>140</v>
      </c>
      <c r="QZX64" s="365">
        <v>0.5</v>
      </c>
      <c r="QZY64" s="366" t="e">
        <f>10/QZU62</f>
        <v>#DIV/0!</v>
      </c>
      <c r="QZZ64" s="367">
        <v>15.38</v>
      </c>
      <c r="RAA64" s="367" t="e">
        <f>QZX64*QZY64*QZZ64</f>
        <v>#DIV/0!</v>
      </c>
      <c r="RAB64" s="363" t="s">
        <v>153</v>
      </c>
      <c r="RAC64" s="363"/>
      <c r="RAD64" s="363"/>
      <c r="RAE64" s="364" t="s">
        <v>140</v>
      </c>
      <c r="RAF64" s="365">
        <v>0.5</v>
      </c>
      <c r="RAG64" s="366" t="e">
        <f>10/RAC62</f>
        <v>#DIV/0!</v>
      </c>
      <c r="RAH64" s="367">
        <v>15.38</v>
      </c>
      <c r="RAI64" s="367" t="e">
        <f>RAF64*RAG64*RAH64</f>
        <v>#DIV/0!</v>
      </c>
      <c r="RAJ64" s="363" t="s">
        <v>153</v>
      </c>
      <c r="RAK64" s="363"/>
      <c r="RAL64" s="363"/>
      <c r="RAM64" s="364" t="s">
        <v>140</v>
      </c>
      <c r="RAN64" s="365">
        <v>0.5</v>
      </c>
      <c r="RAO64" s="366" t="e">
        <f>10/RAK62</f>
        <v>#DIV/0!</v>
      </c>
      <c r="RAP64" s="367">
        <v>15.38</v>
      </c>
      <c r="RAQ64" s="367" t="e">
        <f>RAN64*RAO64*RAP64</f>
        <v>#DIV/0!</v>
      </c>
      <c r="RAR64" s="363" t="s">
        <v>153</v>
      </c>
      <c r="RAS64" s="363"/>
      <c r="RAT64" s="363"/>
      <c r="RAU64" s="364" t="s">
        <v>140</v>
      </c>
      <c r="RAV64" s="365">
        <v>0.5</v>
      </c>
      <c r="RAW64" s="366" t="e">
        <f>10/RAS62</f>
        <v>#DIV/0!</v>
      </c>
      <c r="RAX64" s="367">
        <v>15.38</v>
      </c>
      <c r="RAY64" s="367" t="e">
        <f>RAV64*RAW64*RAX64</f>
        <v>#DIV/0!</v>
      </c>
      <c r="RAZ64" s="363" t="s">
        <v>153</v>
      </c>
      <c r="RBA64" s="363"/>
      <c r="RBB64" s="363"/>
      <c r="RBC64" s="364" t="s">
        <v>140</v>
      </c>
      <c r="RBD64" s="365">
        <v>0.5</v>
      </c>
      <c r="RBE64" s="366" t="e">
        <f>10/RBA62</f>
        <v>#DIV/0!</v>
      </c>
      <c r="RBF64" s="367">
        <v>15.38</v>
      </c>
      <c r="RBG64" s="367" t="e">
        <f>RBD64*RBE64*RBF64</f>
        <v>#DIV/0!</v>
      </c>
      <c r="RBH64" s="363" t="s">
        <v>153</v>
      </c>
      <c r="RBI64" s="363"/>
      <c r="RBJ64" s="363"/>
      <c r="RBK64" s="364" t="s">
        <v>140</v>
      </c>
      <c r="RBL64" s="365">
        <v>0.5</v>
      </c>
      <c r="RBM64" s="366" t="e">
        <f>10/RBI62</f>
        <v>#DIV/0!</v>
      </c>
      <c r="RBN64" s="367">
        <v>15.38</v>
      </c>
      <c r="RBO64" s="367" t="e">
        <f>RBL64*RBM64*RBN64</f>
        <v>#DIV/0!</v>
      </c>
      <c r="RBP64" s="363" t="s">
        <v>153</v>
      </c>
      <c r="RBQ64" s="363"/>
      <c r="RBR64" s="363"/>
      <c r="RBS64" s="364" t="s">
        <v>140</v>
      </c>
      <c r="RBT64" s="365">
        <v>0.5</v>
      </c>
      <c r="RBU64" s="366" t="e">
        <f>10/RBQ62</f>
        <v>#DIV/0!</v>
      </c>
      <c r="RBV64" s="367">
        <v>15.38</v>
      </c>
      <c r="RBW64" s="367" t="e">
        <f>RBT64*RBU64*RBV64</f>
        <v>#DIV/0!</v>
      </c>
      <c r="RBX64" s="363" t="s">
        <v>153</v>
      </c>
      <c r="RBY64" s="363"/>
      <c r="RBZ64" s="363"/>
      <c r="RCA64" s="364" t="s">
        <v>140</v>
      </c>
      <c r="RCB64" s="365">
        <v>0.5</v>
      </c>
      <c r="RCC64" s="366" t="e">
        <f>10/RBY62</f>
        <v>#DIV/0!</v>
      </c>
      <c r="RCD64" s="367">
        <v>15.38</v>
      </c>
      <c r="RCE64" s="367" t="e">
        <f>RCB64*RCC64*RCD64</f>
        <v>#DIV/0!</v>
      </c>
      <c r="RCF64" s="363" t="s">
        <v>153</v>
      </c>
      <c r="RCG64" s="363"/>
      <c r="RCH64" s="363"/>
      <c r="RCI64" s="364" t="s">
        <v>140</v>
      </c>
      <c r="RCJ64" s="365">
        <v>0.5</v>
      </c>
      <c r="RCK64" s="366" t="e">
        <f>10/RCG62</f>
        <v>#DIV/0!</v>
      </c>
      <c r="RCL64" s="367">
        <v>15.38</v>
      </c>
      <c r="RCM64" s="367" t="e">
        <f>RCJ64*RCK64*RCL64</f>
        <v>#DIV/0!</v>
      </c>
      <c r="RCN64" s="363" t="s">
        <v>153</v>
      </c>
      <c r="RCO64" s="363"/>
      <c r="RCP64" s="363"/>
      <c r="RCQ64" s="364" t="s">
        <v>140</v>
      </c>
      <c r="RCR64" s="365">
        <v>0.5</v>
      </c>
      <c r="RCS64" s="366" t="e">
        <f>10/RCO62</f>
        <v>#DIV/0!</v>
      </c>
      <c r="RCT64" s="367">
        <v>15.38</v>
      </c>
      <c r="RCU64" s="367" t="e">
        <f>RCR64*RCS64*RCT64</f>
        <v>#DIV/0!</v>
      </c>
      <c r="RCV64" s="363" t="s">
        <v>153</v>
      </c>
      <c r="RCW64" s="363"/>
      <c r="RCX64" s="363"/>
      <c r="RCY64" s="364" t="s">
        <v>140</v>
      </c>
      <c r="RCZ64" s="365">
        <v>0.5</v>
      </c>
      <c r="RDA64" s="366" t="e">
        <f>10/RCW62</f>
        <v>#DIV/0!</v>
      </c>
      <c r="RDB64" s="367">
        <v>15.38</v>
      </c>
      <c r="RDC64" s="367" t="e">
        <f>RCZ64*RDA64*RDB64</f>
        <v>#DIV/0!</v>
      </c>
      <c r="RDD64" s="363" t="s">
        <v>153</v>
      </c>
      <c r="RDE64" s="363"/>
      <c r="RDF64" s="363"/>
      <c r="RDG64" s="364" t="s">
        <v>140</v>
      </c>
      <c r="RDH64" s="365">
        <v>0.5</v>
      </c>
      <c r="RDI64" s="366" t="e">
        <f>10/RDE62</f>
        <v>#DIV/0!</v>
      </c>
      <c r="RDJ64" s="367">
        <v>15.38</v>
      </c>
      <c r="RDK64" s="367" t="e">
        <f>RDH64*RDI64*RDJ64</f>
        <v>#DIV/0!</v>
      </c>
      <c r="RDL64" s="363" t="s">
        <v>153</v>
      </c>
      <c r="RDM64" s="363"/>
      <c r="RDN64" s="363"/>
      <c r="RDO64" s="364" t="s">
        <v>140</v>
      </c>
      <c r="RDP64" s="365">
        <v>0.5</v>
      </c>
      <c r="RDQ64" s="366" t="e">
        <f>10/RDM62</f>
        <v>#DIV/0!</v>
      </c>
      <c r="RDR64" s="367">
        <v>15.38</v>
      </c>
      <c r="RDS64" s="367" t="e">
        <f>RDP64*RDQ64*RDR64</f>
        <v>#DIV/0!</v>
      </c>
      <c r="RDT64" s="363" t="s">
        <v>153</v>
      </c>
      <c r="RDU64" s="363"/>
      <c r="RDV64" s="363"/>
      <c r="RDW64" s="364" t="s">
        <v>140</v>
      </c>
      <c r="RDX64" s="365">
        <v>0.5</v>
      </c>
      <c r="RDY64" s="366" t="e">
        <f>10/RDU62</f>
        <v>#DIV/0!</v>
      </c>
      <c r="RDZ64" s="367">
        <v>15.38</v>
      </c>
      <c r="REA64" s="367" t="e">
        <f>RDX64*RDY64*RDZ64</f>
        <v>#DIV/0!</v>
      </c>
      <c r="REB64" s="363" t="s">
        <v>153</v>
      </c>
      <c r="REC64" s="363"/>
      <c r="RED64" s="363"/>
      <c r="REE64" s="364" t="s">
        <v>140</v>
      </c>
      <c r="REF64" s="365">
        <v>0.5</v>
      </c>
      <c r="REG64" s="366" t="e">
        <f>10/REC62</f>
        <v>#DIV/0!</v>
      </c>
      <c r="REH64" s="367">
        <v>15.38</v>
      </c>
      <c r="REI64" s="367" t="e">
        <f>REF64*REG64*REH64</f>
        <v>#DIV/0!</v>
      </c>
      <c r="REJ64" s="363" t="s">
        <v>153</v>
      </c>
      <c r="REK64" s="363"/>
      <c r="REL64" s="363"/>
      <c r="REM64" s="364" t="s">
        <v>140</v>
      </c>
      <c r="REN64" s="365">
        <v>0.5</v>
      </c>
      <c r="REO64" s="366" t="e">
        <f>10/REK62</f>
        <v>#DIV/0!</v>
      </c>
      <c r="REP64" s="367">
        <v>15.38</v>
      </c>
      <c r="REQ64" s="367" t="e">
        <f>REN64*REO64*REP64</f>
        <v>#DIV/0!</v>
      </c>
      <c r="RER64" s="363" t="s">
        <v>153</v>
      </c>
      <c r="RES64" s="363"/>
      <c r="RET64" s="363"/>
      <c r="REU64" s="364" t="s">
        <v>140</v>
      </c>
      <c r="REV64" s="365">
        <v>0.5</v>
      </c>
      <c r="REW64" s="366" t="e">
        <f>10/RES62</f>
        <v>#DIV/0!</v>
      </c>
      <c r="REX64" s="367">
        <v>15.38</v>
      </c>
      <c r="REY64" s="367" t="e">
        <f>REV64*REW64*REX64</f>
        <v>#DIV/0!</v>
      </c>
      <c r="REZ64" s="363" t="s">
        <v>153</v>
      </c>
      <c r="RFA64" s="363"/>
      <c r="RFB64" s="363"/>
      <c r="RFC64" s="364" t="s">
        <v>140</v>
      </c>
      <c r="RFD64" s="365">
        <v>0.5</v>
      </c>
      <c r="RFE64" s="366" t="e">
        <f>10/RFA62</f>
        <v>#DIV/0!</v>
      </c>
      <c r="RFF64" s="367">
        <v>15.38</v>
      </c>
      <c r="RFG64" s="367" t="e">
        <f>RFD64*RFE64*RFF64</f>
        <v>#DIV/0!</v>
      </c>
      <c r="RFH64" s="363" t="s">
        <v>153</v>
      </c>
      <c r="RFI64" s="363"/>
      <c r="RFJ64" s="363"/>
      <c r="RFK64" s="364" t="s">
        <v>140</v>
      </c>
      <c r="RFL64" s="365">
        <v>0.5</v>
      </c>
      <c r="RFM64" s="366" t="e">
        <f>10/RFI62</f>
        <v>#DIV/0!</v>
      </c>
      <c r="RFN64" s="367">
        <v>15.38</v>
      </c>
      <c r="RFO64" s="367" t="e">
        <f>RFL64*RFM64*RFN64</f>
        <v>#DIV/0!</v>
      </c>
      <c r="RFP64" s="363" t="s">
        <v>153</v>
      </c>
      <c r="RFQ64" s="363"/>
      <c r="RFR64" s="363"/>
      <c r="RFS64" s="364" t="s">
        <v>140</v>
      </c>
      <c r="RFT64" s="365">
        <v>0.5</v>
      </c>
      <c r="RFU64" s="366" t="e">
        <f>10/RFQ62</f>
        <v>#DIV/0!</v>
      </c>
      <c r="RFV64" s="367">
        <v>15.38</v>
      </c>
      <c r="RFW64" s="367" t="e">
        <f>RFT64*RFU64*RFV64</f>
        <v>#DIV/0!</v>
      </c>
      <c r="RFX64" s="363" t="s">
        <v>153</v>
      </c>
      <c r="RFY64" s="363"/>
      <c r="RFZ64" s="363"/>
      <c r="RGA64" s="364" t="s">
        <v>140</v>
      </c>
      <c r="RGB64" s="365">
        <v>0.5</v>
      </c>
      <c r="RGC64" s="366" t="e">
        <f>10/RFY62</f>
        <v>#DIV/0!</v>
      </c>
      <c r="RGD64" s="367">
        <v>15.38</v>
      </c>
      <c r="RGE64" s="367" t="e">
        <f>RGB64*RGC64*RGD64</f>
        <v>#DIV/0!</v>
      </c>
      <c r="RGF64" s="363" t="s">
        <v>153</v>
      </c>
      <c r="RGG64" s="363"/>
      <c r="RGH64" s="363"/>
      <c r="RGI64" s="364" t="s">
        <v>140</v>
      </c>
      <c r="RGJ64" s="365">
        <v>0.5</v>
      </c>
      <c r="RGK64" s="366" t="e">
        <f>10/RGG62</f>
        <v>#DIV/0!</v>
      </c>
      <c r="RGL64" s="367">
        <v>15.38</v>
      </c>
      <c r="RGM64" s="367" t="e">
        <f>RGJ64*RGK64*RGL64</f>
        <v>#DIV/0!</v>
      </c>
      <c r="RGN64" s="363" t="s">
        <v>153</v>
      </c>
      <c r="RGO64" s="363"/>
      <c r="RGP64" s="363"/>
      <c r="RGQ64" s="364" t="s">
        <v>140</v>
      </c>
      <c r="RGR64" s="365">
        <v>0.5</v>
      </c>
      <c r="RGS64" s="366" t="e">
        <f>10/RGO62</f>
        <v>#DIV/0!</v>
      </c>
      <c r="RGT64" s="367">
        <v>15.38</v>
      </c>
      <c r="RGU64" s="367" t="e">
        <f>RGR64*RGS64*RGT64</f>
        <v>#DIV/0!</v>
      </c>
      <c r="RGV64" s="363" t="s">
        <v>153</v>
      </c>
      <c r="RGW64" s="363"/>
      <c r="RGX64" s="363"/>
      <c r="RGY64" s="364" t="s">
        <v>140</v>
      </c>
      <c r="RGZ64" s="365">
        <v>0.5</v>
      </c>
      <c r="RHA64" s="366" t="e">
        <f>10/RGW62</f>
        <v>#DIV/0!</v>
      </c>
      <c r="RHB64" s="367">
        <v>15.38</v>
      </c>
      <c r="RHC64" s="367" t="e">
        <f>RGZ64*RHA64*RHB64</f>
        <v>#DIV/0!</v>
      </c>
      <c r="RHD64" s="363" t="s">
        <v>153</v>
      </c>
      <c r="RHE64" s="363"/>
      <c r="RHF64" s="363"/>
      <c r="RHG64" s="364" t="s">
        <v>140</v>
      </c>
      <c r="RHH64" s="365">
        <v>0.5</v>
      </c>
      <c r="RHI64" s="366" t="e">
        <f>10/RHE62</f>
        <v>#DIV/0!</v>
      </c>
      <c r="RHJ64" s="367">
        <v>15.38</v>
      </c>
      <c r="RHK64" s="367" t="e">
        <f>RHH64*RHI64*RHJ64</f>
        <v>#DIV/0!</v>
      </c>
      <c r="RHL64" s="363" t="s">
        <v>153</v>
      </c>
      <c r="RHM64" s="363"/>
      <c r="RHN64" s="363"/>
      <c r="RHO64" s="364" t="s">
        <v>140</v>
      </c>
      <c r="RHP64" s="365">
        <v>0.5</v>
      </c>
      <c r="RHQ64" s="366" t="e">
        <f>10/RHM62</f>
        <v>#DIV/0!</v>
      </c>
      <c r="RHR64" s="367">
        <v>15.38</v>
      </c>
      <c r="RHS64" s="367" t="e">
        <f>RHP64*RHQ64*RHR64</f>
        <v>#DIV/0!</v>
      </c>
      <c r="RHT64" s="363" t="s">
        <v>153</v>
      </c>
      <c r="RHU64" s="363"/>
      <c r="RHV64" s="363"/>
      <c r="RHW64" s="364" t="s">
        <v>140</v>
      </c>
      <c r="RHX64" s="365">
        <v>0.5</v>
      </c>
      <c r="RHY64" s="366" t="e">
        <f>10/RHU62</f>
        <v>#DIV/0!</v>
      </c>
      <c r="RHZ64" s="367">
        <v>15.38</v>
      </c>
      <c r="RIA64" s="367" t="e">
        <f>RHX64*RHY64*RHZ64</f>
        <v>#DIV/0!</v>
      </c>
      <c r="RIB64" s="363" t="s">
        <v>153</v>
      </c>
      <c r="RIC64" s="363"/>
      <c r="RID64" s="363"/>
      <c r="RIE64" s="364" t="s">
        <v>140</v>
      </c>
      <c r="RIF64" s="365">
        <v>0.5</v>
      </c>
      <c r="RIG64" s="366" t="e">
        <f>10/RIC62</f>
        <v>#DIV/0!</v>
      </c>
      <c r="RIH64" s="367">
        <v>15.38</v>
      </c>
      <c r="RII64" s="367" t="e">
        <f>RIF64*RIG64*RIH64</f>
        <v>#DIV/0!</v>
      </c>
      <c r="RIJ64" s="363" t="s">
        <v>153</v>
      </c>
      <c r="RIK64" s="363"/>
      <c r="RIL64" s="363"/>
      <c r="RIM64" s="364" t="s">
        <v>140</v>
      </c>
      <c r="RIN64" s="365">
        <v>0.5</v>
      </c>
      <c r="RIO64" s="366" t="e">
        <f>10/RIK62</f>
        <v>#DIV/0!</v>
      </c>
      <c r="RIP64" s="367">
        <v>15.38</v>
      </c>
      <c r="RIQ64" s="367" t="e">
        <f>RIN64*RIO64*RIP64</f>
        <v>#DIV/0!</v>
      </c>
      <c r="RIR64" s="363" t="s">
        <v>153</v>
      </c>
      <c r="RIS64" s="363"/>
      <c r="RIT64" s="363"/>
      <c r="RIU64" s="364" t="s">
        <v>140</v>
      </c>
      <c r="RIV64" s="365">
        <v>0.5</v>
      </c>
      <c r="RIW64" s="366" t="e">
        <f>10/RIS62</f>
        <v>#DIV/0!</v>
      </c>
      <c r="RIX64" s="367">
        <v>15.38</v>
      </c>
      <c r="RIY64" s="367" t="e">
        <f>RIV64*RIW64*RIX64</f>
        <v>#DIV/0!</v>
      </c>
      <c r="RIZ64" s="363" t="s">
        <v>153</v>
      </c>
      <c r="RJA64" s="363"/>
      <c r="RJB64" s="363"/>
      <c r="RJC64" s="364" t="s">
        <v>140</v>
      </c>
      <c r="RJD64" s="365">
        <v>0.5</v>
      </c>
      <c r="RJE64" s="366" t="e">
        <f>10/RJA62</f>
        <v>#DIV/0!</v>
      </c>
      <c r="RJF64" s="367">
        <v>15.38</v>
      </c>
      <c r="RJG64" s="367" t="e">
        <f>RJD64*RJE64*RJF64</f>
        <v>#DIV/0!</v>
      </c>
      <c r="RJH64" s="363" t="s">
        <v>153</v>
      </c>
      <c r="RJI64" s="363"/>
      <c r="RJJ64" s="363"/>
      <c r="RJK64" s="364" t="s">
        <v>140</v>
      </c>
      <c r="RJL64" s="365">
        <v>0.5</v>
      </c>
      <c r="RJM64" s="366" t="e">
        <f>10/RJI62</f>
        <v>#DIV/0!</v>
      </c>
      <c r="RJN64" s="367">
        <v>15.38</v>
      </c>
      <c r="RJO64" s="367" t="e">
        <f>RJL64*RJM64*RJN64</f>
        <v>#DIV/0!</v>
      </c>
      <c r="RJP64" s="363" t="s">
        <v>153</v>
      </c>
      <c r="RJQ64" s="363"/>
      <c r="RJR64" s="363"/>
      <c r="RJS64" s="364" t="s">
        <v>140</v>
      </c>
      <c r="RJT64" s="365">
        <v>0.5</v>
      </c>
      <c r="RJU64" s="366" t="e">
        <f>10/RJQ62</f>
        <v>#DIV/0!</v>
      </c>
      <c r="RJV64" s="367">
        <v>15.38</v>
      </c>
      <c r="RJW64" s="367" t="e">
        <f>RJT64*RJU64*RJV64</f>
        <v>#DIV/0!</v>
      </c>
      <c r="RJX64" s="363" t="s">
        <v>153</v>
      </c>
      <c r="RJY64" s="363"/>
      <c r="RJZ64" s="363"/>
      <c r="RKA64" s="364" t="s">
        <v>140</v>
      </c>
      <c r="RKB64" s="365">
        <v>0.5</v>
      </c>
      <c r="RKC64" s="366" t="e">
        <f>10/RJY62</f>
        <v>#DIV/0!</v>
      </c>
      <c r="RKD64" s="367">
        <v>15.38</v>
      </c>
      <c r="RKE64" s="367" t="e">
        <f>RKB64*RKC64*RKD64</f>
        <v>#DIV/0!</v>
      </c>
      <c r="RKF64" s="363" t="s">
        <v>153</v>
      </c>
      <c r="RKG64" s="363"/>
      <c r="RKH64" s="363"/>
      <c r="RKI64" s="364" t="s">
        <v>140</v>
      </c>
      <c r="RKJ64" s="365">
        <v>0.5</v>
      </c>
      <c r="RKK64" s="366" t="e">
        <f>10/RKG62</f>
        <v>#DIV/0!</v>
      </c>
      <c r="RKL64" s="367">
        <v>15.38</v>
      </c>
      <c r="RKM64" s="367" t="e">
        <f>RKJ64*RKK64*RKL64</f>
        <v>#DIV/0!</v>
      </c>
      <c r="RKN64" s="363" t="s">
        <v>153</v>
      </c>
      <c r="RKO64" s="363"/>
      <c r="RKP64" s="363"/>
      <c r="RKQ64" s="364" t="s">
        <v>140</v>
      </c>
      <c r="RKR64" s="365">
        <v>0.5</v>
      </c>
      <c r="RKS64" s="366" t="e">
        <f>10/RKO62</f>
        <v>#DIV/0!</v>
      </c>
      <c r="RKT64" s="367">
        <v>15.38</v>
      </c>
      <c r="RKU64" s="367" t="e">
        <f>RKR64*RKS64*RKT64</f>
        <v>#DIV/0!</v>
      </c>
      <c r="RKV64" s="363" t="s">
        <v>153</v>
      </c>
      <c r="RKW64" s="363"/>
      <c r="RKX64" s="363"/>
      <c r="RKY64" s="364" t="s">
        <v>140</v>
      </c>
      <c r="RKZ64" s="365">
        <v>0.5</v>
      </c>
      <c r="RLA64" s="366" t="e">
        <f>10/RKW62</f>
        <v>#DIV/0!</v>
      </c>
      <c r="RLB64" s="367">
        <v>15.38</v>
      </c>
      <c r="RLC64" s="367" t="e">
        <f>RKZ64*RLA64*RLB64</f>
        <v>#DIV/0!</v>
      </c>
      <c r="RLD64" s="363" t="s">
        <v>153</v>
      </c>
      <c r="RLE64" s="363"/>
      <c r="RLF64" s="363"/>
      <c r="RLG64" s="364" t="s">
        <v>140</v>
      </c>
      <c r="RLH64" s="365">
        <v>0.5</v>
      </c>
      <c r="RLI64" s="366" t="e">
        <f>10/RLE62</f>
        <v>#DIV/0!</v>
      </c>
      <c r="RLJ64" s="367">
        <v>15.38</v>
      </c>
      <c r="RLK64" s="367" t="e">
        <f>RLH64*RLI64*RLJ64</f>
        <v>#DIV/0!</v>
      </c>
      <c r="RLL64" s="363" t="s">
        <v>153</v>
      </c>
      <c r="RLM64" s="363"/>
      <c r="RLN64" s="363"/>
      <c r="RLO64" s="364" t="s">
        <v>140</v>
      </c>
      <c r="RLP64" s="365">
        <v>0.5</v>
      </c>
      <c r="RLQ64" s="366" t="e">
        <f>10/RLM62</f>
        <v>#DIV/0!</v>
      </c>
      <c r="RLR64" s="367">
        <v>15.38</v>
      </c>
      <c r="RLS64" s="367" t="e">
        <f>RLP64*RLQ64*RLR64</f>
        <v>#DIV/0!</v>
      </c>
      <c r="RLT64" s="363" t="s">
        <v>153</v>
      </c>
      <c r="RLU64" s="363"/>
      <c r="RLV64" s="363"/>
      <c r="RLW64" s="364" t="s">
        <v>140</v>
      </c>
      <c r="RLX64" s="365">
        <v>0.5</v>
      </c>
      <c r="RLY64" s="366" t="e">
        <f>10/RLU62</f>
        <v>#DIV/0!</v>
      </c>
      <c r="RLZ64" s="367">
        <v>15.38</v>
      </c>
      <c r="RMA64" s="367" t="e">
        <f>RLX64*RLY64*RLZ64</f>
        <v>#DIV/0!</v>
      </c>
      <c r="RMB64" s="363" t="s">
        <v>153</v>
      </c>
      <c r="RMC64" s="363"/>
      <c r="RMD64" s="363"/>
      <c r="RME64" s="364" t="s">
        <v>140</v>
      </c>
      <c r="RMF64" s="365">
        <v>0.5</v>
      </c>
      <c r="RMG64" s="366" t="e">
        <f>10/RMC62</f>
        <v>#DIV/0!</v>
      </c>
      <c r="RMH64" s="367">
        <v>15.38</v>
      </c>
      <c r="RMI64" s="367" t="e">
        <f>RMF64*RMG64*RMH64</f>
        <v>#DIV/0!</v>
      </c>
      <c r="RMJ64" s="363" t="s">
        <v>153</v>
      </c>
      <c r="RMK64" s="363"/>
      <c r="RML64" s="363"/>
      <c r="RMM64" s="364" t="s">
        <v>140</v>
      </c>
      <c r="RMN64" s="365">
        <v>0.5</v>
      </c>
      <c r="RMO64" s="366" t="e">
        <f>10/RMK62</f>
        <v>#DIV/0!</v>
      </c>
      <c r="RMP64" s="367">
        <v>15.38</v>
      </c>
      <c r="RMQ64" s="367" t="e">
        <f>RMN64*RMO64*RMP64</f>
        <v>#DIV/0!</v>
      </c>
      <c r="RMR64" s="363" t="s">
        <v>153</v>
      </c>
      <c r="RMS64" s="363"/>
      <c r="RMT64" s="363"/>
      <c r="RMU64" s="364" t="s">
        <v>140</v>
      </c>
      <c r="RMV64" s="365">
        <v>0.5</v>
      </c>
      <c r="RMW64" s="366" t="e">
        <f>10/RMS62</f>
        <v>#DIV/0!</v>
      </c>
      <c r="RMX64" s="367">
        <v>15.38</v>
      </c>
      <c r="RMY64" s="367" t="e">
        <f>RMV64*RMW64*RMX64</f>
        <v>#DIV/0!</v>
      </c>
      <c r="RMZ64" s="363" t="s">
        <v>153</v>
      </c>
      <c r="RNA64" s="363"/>
      <c r="RNB64" s="363"/>
      <c r="RNC64" s="364" t="s">
        <v>140</v>
      </c>
      <c r="RND64" s="365">
        <v>0.5</v>
      </c>
      <c r="RNE64" s="366" t="e">
        <f>10/RNA62</f>
        <v>#DIV/0!</v>
      </c>
      <c r="RNF64" s="367">
        <v>15.38</v>
      </c>
      <c r="RNG64" s="367" t="e">
        <f>RND64*RNE64*RNF64</f>
        <v>#DIV/0!</v>
      </c>
      <c r="RNH64" s="363" t="s">
        <v>153</v>
      </c>
      <c r="RNI64" s="363"/>
      <c r="RNJ64" s="363"/>
      <c r="RNK64" s="364" t="s">
        <v>140</v>
      </c>
      <c r="RNL64" s="365">
        <v>0.5</v>
      </c>
      <c r="RNM64" s="366" t="e">
        <f>10/RNI62</f>
        <v>#DIV/0!</v>
      </c>
      <c r="RNN64" s="367">
        <v>15.38</v>
      </c>
      <c r="RNO64" s="367" t="e">
        <f>RNL64*RNM64*RNN64</f>
        <v>#DIV/0!</v>
      </c>
      <c r="RNP64" s="363" t="s">
        <v>153</v>
      </c>
      <c r="RNQ64" s="363"/>
      <c r="RNR64" s="363"/>
      <c r="RNS64" s="364" t="s">
        <v>140</v>
      </c>
      <c r="RNT64" s="365">
        <v>0.5</v>
      </c>
      <c r="RNU64" s="366" t="e">
        <f>10/RNQ62</f>
        <v>#DIV/0!</v>
      </c>
      <c r="RNV64" s="367">
        <v>15.38</v>
      </c>
      <c r="RNW64" s="367" t="e">
        <f>RNT64*RNU64*RNV64</f>
        <v>#DIV/0!</v>
      </c>
      <c r="RNX64" s="363" t="s">
        <v>153</v>
      </c>
      <c r="RNY64" s="363"/>
      <c r="RNZ64" s="363"/>
      <c r="ROA64" s="364" t="s">
        <v>140</v>
      </c>
      <c r="ROB64" s="365">
        <v>0.5</v>
      </c>
      <c r="ROC64" s="366" t="e">
        <f>10/RNY62</f>
        <v>#DIV/0!</v>
      </c>
      <c r="ROD64" s="367">
        <v>15.38</v>
      </c>
      <c r="ROE64" s="367" t="e">
        <f>ROB64*ROC64*ROD64</f>
        <v>#DIV/0!</v>
      </c>
      <c r="ROF64" s="363" t="s">
        <v>153</v>
      </c>
      <c r="ROG64" s="363"/>
      <c r="ROH64" s="363"/>
      <c r="ROI64" s="364" t="s">
        <v>140</v>
      </c>
      <c r="ROJ64" s="365">
        <v>0.5</v>
      </c>
      <c r="ROK64" s="366" t="e">
        <f>10/ROG62</f>
        <v>#DIV/0!</v>
      </c>
      <c r="ROL64" s="367">
        <v>15.38</v>
      </c>
      <c r="ROM64" s="367" t="e">
        <f>ROJ64*ROK64*ROL64</f>
        <v>#DIV/0!</v>
      </c>
      <c r="RON64" s="363" t="s">
        <v>153</v>
      </c>
      <c r="ROO64" s="363"/>
      <c r="ROP64" s="363"/>
      <c r="ROQ64" s="364" t="s">
        <v>140</v>
      </c>
      <c r="ROR64" s="365">
        <v>0.5</v>
      </c>
      <c r="ROS64" s="366" t="e">
        <f>10/ROO62</f>
        <v>#DIV/0!</v>
      </c>
      <c r="ROT64" s="367">
        <v>15.38</v>
      </c>
      <c r="ROU64" s="367" t="e">
        <f>ROR64*ROS64*ROT64</f>
        <v>#DIV/0!</v>
      </c>
      <c r="ROV64" s="363" t="s">
        <v>153</v>
      </c>
      <c r="ROW64" s="363"/>
      <c r="ROX64" s="363"/>
      <c r="ROY64" s="364" t="s">
        <v>140</v>
      </c>
      <c r="ROZ64" s="365">
        <v>0.5</v>
      </c>
      <c r="RPA64" s="366" t="e">
        <f>10/ROW62</f>
        <v>#DIV/0!</v>
      </c>
      <c r="RPB64" s="367">
        <v>15.38</v>
      </c>
      <c r="RPC64" s="367" t="e">
        <f>ROZ64*RPA64*RPB64</f>
        <v>#DIV/0!</v>
      </c>
      <c r="RPD64" s="363" t="s">
        <v>153</v>
      </c>
      <c r="RPE64" s="363"/>
      <c r="RPF64" s="363"/>
      <c r="RPG64" s="364" t="s">
        <v>140</v>
      </c>
      <c r="RPH64" s="365">
        <v>0.5</v>
      </c>
      <c r="RPI64" s="366" t="e">
        <f>10/RPE62</f>
        <v>#DIV/0!</v>
      </c>
      <c r="RPJ64" s="367">
        <v>15.38</v>
      </c>
      <c r="RPK64" s="367" t="e">
        <f>RPH64*RPI64*RPJ64</f>
        <v>#DIV/0!</v>
      </c>
      <c r="RPL64" s="363" t="s">
        <v>153</v>
      </c>
      <c r="RPM64" s="363"/>
      <c r="RPN64" s="363"/>
      <c r="RPO64" s="364" t="s">
        <v>140</v>
      </c>
      <c r="RPP64" s="365">
        <v>0.5</v>
      </c>
      <c r="RPQ64" s="366" t="e">
        <f>10/RPM62</f>
        <v>#DIV/0!</v>
      </c>
      <c r="RPR64" s="367">
        <v>15.38</v>
      </c>
      <c r="RPS64" s="367" t="e">
        <f>RPP64*RPQ64*RPR64</f>
        <v>#DIV/0!</v>
      </c>
      <c r="RPT64" s="363" t="s">
        <v>153</v>
      </c>
      <c r="RPU64" s="363"/>
      <c r="RPV64" s="363"/>
      <c r="RPW64" s="364" t="s">
        <v>140</v>
      </c>
      <c r="RPX64" s="365">
        <v>0.5</v>
      </c>
      <c r="RPY64" s="366" t="e">
        <f>10/RPU62</f>
        <v>#DIV/0!</v>
      </c>
      <c r="RPZ64" s="367">
        <v>15.38</v>
      </c>
      <c r="RQA64" s="367" t="e">
        <f>RPX64*RPY64*RPZ64</f>
        <v>#DIV/0!</v>
      </c>
      <c r="RQB64" s="363" t="s">
        <v>153</v>
      </c>
      <c r="RQC64" s="363"/>
      <c r="RQD64" s="363"/>
      <c r="RQE64" s="364" t="s">
        <v>140</v>
      </c>
      <c r="RQF64" s="365">
        <v>0.5</v>
      </c>
      <c r="RQG64" s="366" t="e">
        <f>10/RQC62</f>
        <v>#DIV/0!</v>
      </c>
      <c r="RQH64" s="367">
        <v>15.38</v>
      </c>
      <c r="RQI64" s="367" t="e">
        <f>RQF64*RQG64*RQH64</f>
        <v>#DIV/0!</v>
      </c>
      <c r="RQJ64" s="363" t="s">
        <v>153</v>
      </c>
      <c r="RQK64" s="363"/>
      <c r="RQL64" s="363"/>
      <c r="RQM64" s="364" t="s">
        <v>140</v>
      </c>
      <c r="RQN64" s="365">
        <v>0.5</v>
      </c>
      <c r="RQO64" s="366" t="e">
        <f>10/RQK62</f>
        <v>#DIV/0!</v>
      </c>
      <c r="RQP64" s="367">
        <v>15.38</v>
      </c>
      <c r="RQQ64" s="367" t="e">
        <f>RQN64*RQO64*RQP64</f>
        <v>#DIV/0!</v>
      </c>
      <c r="RQR64" s="363" t="s">
        <v>153</v>
      </c>
      <c r="RQS64" s="363"/>
      <c r="RQT64" s="363"/>
      <c r="RQU64" s="364" t="s">
        <v>140</v>
      </c>
      <c r="RQV64" s="365">
        <v>0.5</v>
      </c>
      <c r="RQW64" s="366" t="e">
        <f>10/RQS62</f>
        <v>#DIV/0!</v>
      </c>
      <c r="RQX64" s="367">
        <v>15.38</v>
      </c>
      <c r="RQY64" s="367" t="e">
        <f>RQV64*RQW64*RQX64</f>
        <v>#DIV/0!</v>
      </c>
      <c r="RQZ64" s="363" t="s">
        <v>153</v>
      </c>
      <c r="RRA64" s="363"/>
      <c r="RRB64" s="363"/>
      <c r="RRC64" s="364" t="s">
        <v>140</v>
      </c>
      <c r="RRD64" s="365">
        <v>0.5</v>
      </c>
      <c r="RRE64" s="366" t="e">
        <f>10/RRA62</f>
        <v>#DIV/0!</v>
      </c>
      <c r="RRF64" s="367">
        <v>15.38</v>
      </c>
      <c r="RRG64" s="367" t="e">
        <f>RRD64*RRE64*RRF64</f>
        <v>#DIV/0!</v>
      </c>
      <c r="RRH64" s="363" t="s">
        <v>153</v>
      </c>
      <c r="RRI64" s="363"/>
      <c r="RRJ64" s="363"/>
      <c r="RRK64" s="364" t="s">
        <v>140</v>
      </c>
      <c r="RRL64" s="365">
        <v>0.5</v>
      </c>
      <c r="RRM64" s="366" t="e">
        <f>10/RRI62</f>
        <v>#DIV/0!</v>
      </c>
      <c r="RRN64" s="367">
        <v>15.38</v>
      </c>
      <c r="RRO64" s="367" t="e">
        <f>RRL64*RRM64*RRN64</f>
        <v>#DIV/0!</v>
      </c>
      <c r="RRP64" s="363" t="s">
        <v>153</v>
      </c>
      <c r="RRQ64" s="363"/>
      <c r="RRR64" s="363"/>
      <c r="RRS64" s="364" t="s">
        <v>140</v>
      </c>
      <c r="RRT64" s="365">
        <v>0.5</v>
      </c>
      <c r="RRU64" s="366" t="e">
        <f>10/RRQ62</f>
        <v>#DIV/0!</v>
      </c>
      <c r="RRV64" s="367">
        <v>15.38</v>
      </c>
      <c r="RRW64" s="367" t="e">
        <f>RRT64*RRU64*RRV64</f>
        <v>#DIV/0!</v>
      </c>
      <c r="RRX64" s="363" t="s">
        <v>153</v>
      </c>
      <c r="RRY64" s="363"/>
      <c r="RRZ64" s="363"/>
      <c r="RSA64" s="364" t="s">
        <v>140</v>
      </c>
      <c r="RSB64" s="365">
        <v>0.5</v>
      </c>
      <c r="RSC64" s="366" t="e">
        <f>10/RRY62</f>
        <v>#DIV/0!</v>
      </c>
      <c r="RSD64" s="367">
        <v>15.38</v>
      </c>
      <c r="RSE64" s="367" t="e">
        <f>RSB64*RSC64*RSD64</f>
        <v>#DIV/0!</v>
      </c>
      <c r="RSF64" s="363" t="s">
        <v>153</v>
      </c>
      <c r="RSG64" s="363"/>
      <c r="RSH64" s="363"/>
      <c r="RSI64" s="364" t="s">
        <v>140</v>
      </c>
      <c r="RSJ64" s="365">
        <v>0.5</v>
      </c>
      <c r="RSK64" s="366" t="e">
        <f>10/RSG62</f>
        <v>#DIV/0!</v>
      </c>
      <c r="RSL64" s="367">
        <v>15.38</v>
      </c>
      <c r="RSM64" s="367" t="e">
        <f>RSJ64*RSK64*RSL64</f>
        <v>#DIV/0!</v>
      </c>
      <c r="RSN64" s="363" t="s">
        <v>153</v>
      </c>
      <c r="RSO64" s="363"/>
      <c r="RSP64" s="363"/>
      <c r="RSQ64" s="364" t="s">
        <v>140</v>
      </c>
      <c r="RSR64" s="365">
        <v>0.5</v>
      </c>
      <c r="RSS64" s="366" t="e">
        <f>10/RSO62</f>
        <v>#DIV/0!</v>
      </c>
      <c r="RST64" s="367">
        <v>15.38</v>
      </c>
      <c r="RSU64" s="367" t="e">
        <f>RSR64*RSS64*RST64</f>
        <v>#DIV/0!</v>
      </c>
      <c r="RSV64" s="363" t="s">
        <v>153</v>
      </c>
      <c r="RSW64" s="363"/>
      <c r="RSX64" s="363"/>
      <c r="RSY64" s="364" t="s">
        <v>140</v>
      </c>
      <c r="RSZ64" s="365">
        <v>0.5</v>
      </c>
      <c r="RTA64" s="366" t="e">
        <f>10/RSW62</f>
        <v>#DIV/0!</v>
      </c>
      <c r="RTB64" s="367">
        <v>15.38</v>
      </c>
      <c r="RTC64" s="367" t="e">
        <f>RSZ64*RTA64*RTB64</f>
        <v>#DIV/0!</v>
      </c>
      <c r="RTD64" s="363" t="s">
        <v>153</v>
      </c>
      <c r="RTE64" s="363"/>
      <c r="RTF64" s="363"/>
      <c r="RTG64" s="364" t="s">
        <v>140</v>
      </c>
      <c r="RTH64" s="365">
        <v>0.5</v>
      </c>
      <c r="RTI64" s="366" t="e">
        <f>10/RTE62</f>
        <v>#DIV/0!</v>
      </c>
      <c r="RTJ64" s="367">
        <v>15.38</v>
      </c>
      <c r="RTK64" s="367" t="e">
        <f>RTH64*RTI64*RTJ64</f>
        <v>#DIV/0!</v>
      </c>
      <c r="RTL64" s="363" t="s">
        <v>153</v>
      </c>
      <c r="RTM64" s="363"/>
      <c r="RTN64" s="363"/>
      <c r="RTO64" s="364" t="s">
        <v>140</v>
      </c>
      <c r="RTP64" s="365">
        <v>0.5</v>
      </c>
      <c r="RTQ64" s="366" t="e">
        <f>10/RTM62</f>
        <v>#DIV/0!</v>
      </c>
      <c r="RTR64" s="367">
        <v>15.38</v>
      </c>
      <c r="RTS64" s="367" t="e">
        <f>RTP64*RTQ64*RTR64</f>
        <v>#DIV/0!</v>
      </c>
      <c r="RTT64" s="363" t="s">
        <v>153</v>
      </c>
      <c r="RTU64" s="363"/>
      <c r="RTV64" s="363"/>
      <c r="RTW64" s="364" t="s">
        <v>140</v>
      </c>
      <c r="RTX64" s="365">
        <v>0.5</v>
      </c>
      <c r="RTY64" s="366" t="e">
        <f>10/RTU62</f>
        <v>#DIV/0!</v>
      </c>
      <c r="RTZ64" s="367">
        <v>15.38</v>
      </c>
      <c r="RUA64" s="367" t="e">
        <f>RTX64*RTY64*RTZ64</f>
        <v>#DIV/0!</v>
      </c>
      <c r="RUB64" s="363" t="s">
        <v>153</v>
      </c>
      <c r="RUC64" s="363"/>
      <c r="RUD64" s="363"/>
      <c r="RUE64" s="364" t="s">
        <v>140</v>
      </c>
      <c r="RUF64" s="365">
        <v>0.5</v>
      </c>
      <c r="RUG64" s="366" t="e">
        <f>10/RUC62</f>
        <v>#DIV/0!</v>
      </c>
      <c r="RUH64" s="367">
        <v>15.38</v>
      </c>
      <c r="RUI64" s="367" t="e">
        <f>RUF64*RUG64*RUH64</f>
        <v>#DIV/0!</v>
      </c>
      <c r="RUJ64" s="363" t="s">
        <v>153</v>
      </c>
      <c r="RUK64" s="363"/>
      <c r="RUL64" s="363"/>
      <c r="RUM64" s="364" t="s">
        <v>140</v>
      </c>
      <c r="RUN64" s="365">
        <v>0.5</v>
      </c>
      <c r="RUO64" s="366" t="e">
        <f>10/RUK62</f>
        <v>#DIV/0!</v>
      </c>
      <c r="RUP64" s="367">
        <v>15.38</v>
      </c>
      <c r="RUQ64" s="367" t="e">
        <f>RUN64*RUO64*RUP64</f>
        <v>#DIV/0!</v>
      </c>
      <c r="RUR64" s="363" t="s">
        <v>153</v>
      </c>
      <c r="RUS64" s="363"/>
      <c r="RUT64" s="363"/>
      <c r="RUU64" s="364" t="s">
        <v>140</v>
      </c>
      <c r="RUV64" s="365">
        <v>0.5</v>
      </c>
      <c r="RUW64" s="366" t="e">
        <f>10/RUS62</f>
        <v>#DIV/0!</v>
      </c>
      <c r="RUX64" s="367">
        <v>15.38</v>
      </c>
      <c r="RUY64" s="367" t="e">
        <f>RUV64*RUW64*RUX64</f>
        <v>#DIV/0!</v>
      </c>
      <c r="RUZ64" s="363" t="s">
        <v>153</v>
      </c>
      <c r="RVA64" s="363"/>
      <c r="RVB64" s="363"/>
      <c r="RVC64" s="364" t="s">
        <v>140</v>
      </c>
      <c r="RVD64" s="365">
        <v>0.5</v>
      </c>
      <c r="RVE64" s="366" t="e">
        <f>10/RVA62</f>
        <v>#DIV/0!</v>
      </c>
      <c r="RVF64" s="367">
        <v>15.38</v>
      </c>
      <c r="RVG64" s="367" t="e">
        <f>RVD64*RVE64*RVF64</f>
        <v>#DIV/0!</v>
      </c>
      <c r="RVH64" s="363" t="s">
        <v>153</v>
      </c>
      <c r="RVI64" s="363"/>
      <c r="RVJ64" s="363"/>
      <c r="RVK64" s="364" t="s">
        <v>140</v>
      </c>
      <c r="RVL64" s="365">
        <v>0.5</v>
      </c>
      <c r="RVM64" s="366" t="e">
        <f>10/RVI62</f>
        <v>#DIV/0!</v>
      </c>
      <c r="RVN64" s="367">
        <v>15.38</v>
      </c>
      <c r="RVO64" s="367" t="e">
        <f>RVL64*RVM64*RVN64</f>
        <v>#DIV/0!</v>
      </c>
      <c r="RVP64" s="363" t="s">
        <v>153</v>
      </c>
      <c r="RVQ64" s="363"/>
      <c r="RVR64" s="363"/>
      <c r="RVS64" s="364" t="s">
        <v>140</v>
      </c>
      <c r="RVT64" s="365">
        <v>0.5</v>
      </c>
      <c r="RVU64" s="366" t="e">
        <f>10/RVQ62</f>
        <v>#DIV/0!</v>
      </c>
      <c r="RVV64" s="367">
        <v>15.38</v>
      </c>
      <c r="RVW64" s="367" t="e">
        <f>RVT64*RVU64*RVV64</f>
        <v>#DIV/0!</v>
      </c>
      <c r="RVX64" s="363" t="s">
        <v>153</v>
      </c>
      <c r="RVY64" s="363"/>
      <c r="RVZ64" s="363"/>
      <c r="RWA64" s="364" t="s">
        <v>140</v>
      </c>
      <c r="RWB64" s="365">
        <v>0.5</v>
      </c>
      <c r="RWC64" s="366" t="e">
        <f>10/RVY62</f>
        <v>#DIV/0!</v>
      </c>
      <c r="RWD64" s="367">
        <v>15.38</v>
      </c>
      <c r="RWE64" s="367" t="e">
        <f>RWB64*RWC64*RWD64</f>
        <v>#DIV/0!</v>
      </c>
      <c r="RWF64" s="363" t="s">
        <v>153</v>
      </c>
      <c r="RWG64" s="363"/>
      <c r="RWH64" s="363"/>
      <c r="RWI64" s="364" t="s">
        <v>140</v>
      </c>
      <c r="RWJ64" s="365">
        <v>0.5</v>
      </c>
      <c r="RWK64" s="366" t="e">
        <f>10/RWG62</f>
        <v>#DIV/0!</v>
      </c>
      <c r="RWL64" s="367">
        <v>15.38</v>
      </c>
      <c r="RWM64" s="367" t="e">
        <f>RWJ64*RWK64*RWL64</f>
        <v>#DIV/0!</v>
      </c>
      <c r="RWN64" s="363" t="s">
        <v>153</v>
      </c>
      <c r="RWO64" s="363"/>
      <c r="RWP64" s="363"/>
      <c r="RWQ64" s="364" t="s">
        <v>140</v>
      </c>
      <c r="RWR64" s="365">
        <v>0.5</v>
      </c>
      <c r="RWS64" s="366" t="e">
        <f>10/RWO62</f>
        <v>#DIV/0!</v>
      </c>
      <c r="RWT64" s="367">
        <v>15.38</v>
      </c>
      <c r="RWU64" s="367" t="e">
        <f>RWR64*RWS64*RWT64</f>
        <v>#DIV/0!</v>
      </c>
      <c r="RWV64" s="363" t="s">
        <v>153</v>
      </c>
      <c r="RWW64" s="363"/>
      <c r="RWX64" s="363"/>
      <c r="RWY64" s="364" t="s">
        <v>140</v>
      </c>
      <c r="RWZ64" s="365">
        <v>0.5</v>
      </c>
      <c r="RXA64" s="366" t="e">
        <f>10/RWW62</f>
        <v>#DIV/0!</v>
      </c>
      <c r="RXB64" s="367">
        <v>15.38</v>
      </c>
      <c r="RXC64" s="367" t="e">
        <f>RWZ64*RXA64*RXB64</f>
        <v>#DIV/0!</v>
      </c>
      <c r="RXD64" s="363" t="s">
        <v>153</v>
      </c>
      <c r="RXE64" s="363"/>
      <c r="RXF64" s="363"/>
      <c r="RXG64" s="364" t="s">
        <v>140</v>
      </c>
      <c r="RXH64" s="365">
        <v>0.5</v>
      </c>
      <c r="RXI64" s="366" t="e">
        <f>10/RXE62</f>
        <v>#DIV/0!</v>
      </c>
      <c r="RXJ64" s="367">
        <v>15.38</v>
      </c>
      <c r="RXK64" s="367" t="e">
        <f>RXH64*RXI64*RXJ64</f>
        <v>#DIV/0!</v>
      </c>
      <c r="RXL64" s="363" t="s">
        <v>153</v>
      </c>
      <c r="RXM64" s="363"/>
      <c r="RXN64" s="363"/>
      <c r="RXO64" s="364" t="s">
        <v>140</v>
      </c>
      <c r="RXP64" s="365">
        <v>0.5</v>
      </c>
      <c r="RXQ64" s="366" t="e">
        <f>10/RXM62</f>
        <v>#DIV/0!</v>
      </c>
      <c r="RXR64" s="367">
        <v>15.38</v>
      </c>
      <c r="RXS64" s="367" t="e">
        <f>RXP64*RXQ64*RXR64</f>
        <v>#DIV/0!</v>
      </c>
      <c r="RXT64" s="363" t="s">
        <v>153</v>
      </c>
      <c r="RXU64" s="363"/>
      <c r="RXV64" s="363"/>
      <c r="RXW64" s="364" t="s">
        <v>140</v>
      </c>
      <c r="RXX64" s="365">
        <v>0.5</v>
      </c>
      <c r="RXY64" s="366" t="e">
        <f>10/RXU62</f>
        <v>#DIV/0!</v>
      </c>
      <c r="RXZ64" s="367">
        <v>15.38</v>
      </c>
      <c r="RYA64" s="367" t="e">
        <f>RXX64*RXY64*RXZ64</f>
        <v>#DIV/0!</v>
      </c>
      <c r="RYB64" s="363" t="s">
        <v>153</v>
      </c>
      <c r="RYC64" s="363"/>
      <c r="RYD64" s="363"/>
      <c r="RYE64" s="364" t="s">
        <v>140</v>
      </c>
      <c r="RYF64" s="365">
        <v>0.5</v>
      </c>
      <c r="RYG64" s="366" t="e">
        <f>10/RYC62</f>
        <v>#DIV/0!</v>
      </c>
      <c r="RYH64" s="367">
        <v>15.38</v>
      </c>
      <c r="RYI64" s="367" t="e">
        <f>RYF64*RYG64*RYH64</f>
        <v>#DIV/0!</v>
      </c>
      <c r="RYJ64" s="363" t="s">
        <v>153</v>
      </c>
      <c r="RYK64" s="363"/>
      <c r="RYL64" s="363"/>
      <c r="RYM64" s="364" t="s">
        <v>140</v>
      </c>
      <c r="RYN64" s="365">
        <v>0.5</v>
      </c>
      <c r="RYO64" s="366" t="e">
        <f>10/RYK62</f>
        <v>#DIV/0!</v>
      </c>
      <c r="RYP64" s="367">
        <v>15.38</v>
      </c>
      <c r="RYQ64" s="367" t="e">
        <f>RYN64*RYO64*RYP64</f>
        <v>#DIV/0!</v>
      </c>
      <c r="RYR64" s="363" t="s">
        <v>153</v>
      </c>
      <c r="RYS64" s="363"/>
      <c r="RYT64" s="363"/>
      <c r="RYU64" s="364" t="s">
        <v>140</v>
      </c>
      <c r="RYV64" s="365">
        <v>0.5</v>
      </c>
      <c r="RYW64" s="366" t="e">
        <f>10/RYS62</f>
        <v>#DIV/0!</v>
      </c>
      <c r="RYX64" s="367">
        <v>15.38</v>
      </c>
      <c r="RYY64" s="367" t="e">
        <f>RYV64*RYW64*RYX64</f>
        <v>#DIV/0!</v>
      </c>
      <c r="RYZ64" s="363" t="s">
        <v>153</v>
      </c>
      <c r="RZA64" s="363"/>
      <c r="RZB64" s="363"/>
      <c r="RZC64" s="364" t="s">
        <v>140</v>
      </c>
      <c r="RZD64" s="365">
        <v>0.5</v>
      </c>
      <c r="RZE64" s="366" t="e">
        <f>10/RZA62</f>
        <v>#DIV/0!</v>
      </c>
      <c r="RZF64" s="367">
        <v>15.38</v>
      </c>
      <c r="RZG64" s="367" t="e">
        <f>RZD64*RZE64*RZF64</f>
        <v>#DIV/0!</v>
      </c>
      <c r="RZH64" s="363" t="s">
        <v>153</v>
      </c>
      <c r="RZI64" s="363"/>
      <c r="RZJ64" s="363"/>
      <c r="RZK64" s="364" t="s">
        <v>140</v>
      </c>
      <c r="RZL64" s="365">
        <v>0.5</v>
      </c>
      <c r="RZM64" s="366" t="e">
        <f>10/RZI62</f>
        <v>#DIV/0!</v>
      </c>
      <c r="RZN64" s="367">
        <v>15.38</v>
      </c>
      <c r="RZO64" s="367" t="e">
        <f>RZL64*RZM64*RZN64</f>
        <v>#DIV/0!</v>
      </c>
      <c r="RZP64" s="363" t="s">
        <v>153</v>
      </c>
      <c r="RZQ64" s="363"/>
      <c r="RZR64" s="363"/>
      <c r="RZS64" s="364" t="s">
        <v>140</v>
      </c>
      <c r="RZT64" s="365">
        <v>0.5</v>
      </c>
      <c r="RZU64" s="366" t="e">
        <f>10/RZQ62</f>
        <v>#DIV/0!</v>
      </c>
      <c r="RZV64" s="367">
        <v>15.38</v>
      </c>
      <c r="RZW64" s="367" t="e">
        <f>RZT64*RZU64*RZV64</f>
        <v>#DIV/0!</v>
      </c>
      <c r="RZX64" s="363" t="s">
        <v>153</v>
      </c>
      <c r="RZY64" s="363"/>
      <c r="RZZ64" s="363"/>
      <c r="SAA64" s="364" t="s">
        <v>140</v>
      </c>
      <c r="SAB64" s="365">
        <v>0.5</v>
      </c>
      <c r="SAC64" s="366" t="e">
        <f>10/RZY62</f>
        <v>#DIV/0!</v>
      </c>
      <c r="SAD64" s="367">
        <v>15.38</v>
      </c>
      <c r="SAE64" s="367" t="e">
        <f>SAB64*SAC64*SAD64</f>
        <v>#DIV/0!</v>
      </c>
      <c r="SAF64" s="363" t="s">
        <v>153</v>
      </c>
      <c r="SAG64" s="363"/>
      <c r="SAH64" s="363"/>
      <c r="SAI64" s="364" t="s">
        <v>140</v>
      </c>
      <c r="SAJ64" s="365">
        <v>0.5</v>
      </c>
      <c r="SAK64" s="366" t="e">
        <f>10/SAG62</f>
        <v>#DIV/0!</v>
      </c>
      <c r="SAL64" s="367">
        <v>15.38</v>
      </c>
      <c r="SAM64" s="367" t="e">
        <f>SAJ64*SAK64*SAL64</f>
        <v>#DIV/0!</v>
      </c>
      <c r="SAN64" s="363" t="s">
        <v>153</v>
      </c>
      <c r="SAO64" s="363"/>
      <c r="SAP64" s="363"/>
      <c r="SAQ64" s="364" t="s">
        <v>140</v>
      </c>
      <c r="SAR64" s="365">
        <v>0.5</v>
      </c>
      <c r="SAS64" s="366" t="e">
        <f>10/SAO62</f>
        <v>#DIV/0!</v>
      </c>
      <c r="SAT64" s="367">
        <v>15.38</v>
      </c>
      <c r="SAU64" s="367" t="e">
        <f>SAR64*SAS64*SAT64</f>
        <v>#DIV/0!</v>
      </c>
      <c r="SAV64" s="363" t="s">
        <v>153</v>
      </c>
      <c r="SAW64" s="363"/>
      <c r="SAX64" s="363"/>
      <c r="SAY64" s="364" t="s">
        <v>140</v>
      </c>
      <c r="SAZ64" s="365">
        <v>0.5</v>
      </c>
      <c r="SBA64" s="366" t="e">
        <f>10/SAW62</f>
        <v>#DIV/0!</v>
      </c>
      <c r="SBB64" s="367">
        <v>15.38</v>
      </c>
      <c r="SBC64" s="367" t="e">
        <f>SAZ64*SBA64*SBB64</f>
        <v>#DIV/0!</v>
      </c>
      <c r="SBD64" s="363" t="s">
        <v>153</v>
      </c>
      <c r="SBE64" s="363"/>
      <c r="SBF64" s="363"/>
      <c r="SBG64" s="364" t="s">
        <v>140</v>
      </c>
      <c r="SBH64" s="365">
        <v>0.5</v>
      </c>
      <c r="SBI64" s="366" t="e">
        <f>10/SBE62</f>
        <v>#DIV/0!</v>
      </c>
      <c r="SBJ64" s="367">
        <v>15.38</v>
      </c>
      <c r="SBK64" s="367" t="e">
        <f>SBH64*SBI64*SBJ64</f>
        <v>#DIV/0!</v>
      </c>
      <c r="SBL64" s="363" t="s">
        <v>153</v>
      </c>
      <c r="SBM64" s="363"/>
      <c r="SBN64" s="363"/>
      <c r="SBO64" s="364" t="s">
        <v>140</v>
      </c>
      <c r="SBP64" s="365">
        <v>0.5</v>
      </c>
      <c r="SBQ64" s="366" t="e">
        <f>10/SBM62</f>
        <v>#DIV/0!</v>
      </c>
      <c r="SBR64" s="367">
        <v>15.38</v>
      </c>
      <c r="SBS64" s="367" t="e">
        <f>SBP64*SBQ64*SBR64</f>
        <v>#DIV/0!</v>
      </c>
      <c r="SBT64" s="363" t="s">
        <v>153</v>
      </c>
      <c r="SBU64" s="363"/>
      <c r="SBV64" s="363"/>
      <c r="SBW64" s="364" t="s">
        <v>140</v>
      </c>
      <c r="SBX64" s="365">
        <v>0.5</v>
      </c>
      <c r="SBY64" s="366" t="e">
        <f>10/SBU62</f>
        <v>#DIV/0!</v>
      </c>
      <c r="SBZ64" s="367">
        <v>15.38</v>
      </c>
      <c r="SCA64" s="367" t="e">
        <f>SBX64*SBY64*SBZ64</f>
        <v>#DIV/0!</v>
      </c>
      <c r="SCB64" s="363" t="s">
        <v>153</v>
      </c>
      <c r="SCC64" s="363"/>
      <c r="SCD64" s="363"/>
      <c r="SCE64" s="364" t="s">
        <v>140</v>
      </c>
      <c r="SCF64" s="365">
        <v>0.5</v>
      </c>
      <c r="SCG64" s="366" t="e">
        <f>10/SCC62</f>
        <v>#DIV/0!</v>
      </c>
      <c r="SCH64" s="367">
        <v>15.38</v>
      </c>
      <c r="SCI64" s="367" t="e">
        <f>SCF64*SCG64*SCH64</f>
        <v>#DIV/0!</v>
      </c>
      <c r="SCJ64" s="363" t="s">
        <v>153</v>
      </c>
      <c r="SCK64" s="363"/>
      <c r="SCL64" s="363"/>
      <c r="SCM64" s="364" t="s">
        <v>140</v>
      </c>
      <c r="SCN64" s="365">
        <v>0.5</v>
      </c>
      <c r="SCO64" s="366" t="e">
        <f>10/SCK62</f>
        <v>#DIV/0!</v>
      </c>
      <c r="SCP64" s="367">
        <v>15.38</v>
      </c>
      <c r="SCQ64" s="367" t="e">
        <f>SCN64*SCO64*SCP64</f>
        <v>#DIV/0!</v>
      </c>
      <c r="SCR64" s="363" t="s">
        <v>153</v>
      </c>
      <c r="SCS64" s="363"/>
      <c r="SCT64" s="363"/>
      <c r="SCU64" s="364" t="s">
        <v>140</v>
      </c>
      <c r="SCV64" s="365">
        <v>0.5</v>
      </c>
      <c r="SCW64" s="366" t="e">
        <f>10/SCS62</f>
        <v>#DIV/0!</v>
      </c>
      <c r="SCX64" s="367">
        <v>15.38</v>
      </c>
      <c r="SCY64" s="367" t="e">
        <f>SCV64*SCW64*SCX64</f>
        <v>#DIV/0!</v>
      </c>
      <c r="SCZ64" s="363" t="s">
        <v>153</v>
      </c>
      <c r="SDA64" s="363"/>
      <c r="SDB64" s="363"/>
      <c r="SDC64" s="364" t="s">
        <v>140</v>
      </c>
      <c r="SDD64" s="365">
        <v>0.5</v>
      </c>
      <c r="SDE64" s="366" t="e">
        <f>10/SDA62</f>
        <v>#DIV/0!</v>
      </c>
      <c r="SDF64" s="367">
        <v>15.38</v>
      </c>
      <c r="SDG64" s="367" t="e">
        <f>SDD64*SDE64*SDF64</f>
        <v>#DIV/0!</v>
      </c>
      <c r="SDH64" s="363" t="s">
        <v>153</v>
      </c>
      <c r="SDI64" s="363"/>
      <c r="SDJ64" s="363"/>
      <c r="SDK64" s="364" t="s">
        <v>140</v>
      </c>
      <c r="SDL64" s="365">
        <v>0.5</v>
      </c>
      <c r="SDM64" s="366" t="e">
        <f>10/SDI62</f>
        <v>#DIV/0!</v>
      </c>
      <c r="SDN64" s="367">
        <v>15.38</v>
      </c>
      <c r="SDO64" s="367" t="e">
        <f>SDL64*SDM64*SDN64</f>
        <v>#DIV/0!</v>
      </c>
      <c r="SDP64" s="363" t="s">
        <v>153</v>
      </c>
      <c r="SDQ64" s="363"/>
      <c r="SDR64" s="363"/>
      <c r="SDS64" s="364" t="s">
        <v>140</v>
      </c>
      <c r="SDT64" s="365">
        <v>0.5</v>
      </c>
      <c r="SDU64" s="366" t="e">
        <f>10/SDQ62</f>
        <v>#DIV/0!</v>
      </c>
      <c r="SDV64" s="367">
        <v>15.38</v>
      </c>
      <c r="SDW64" s="367" t="e">
        <f>SDT64*SDU64*SDV64</f>
        <v>#DIV/0!</v>
      </c>
      <c r="SDX64" s="363" t="s">
        <v>153</v>
      </c>
      <c r="SDY64" s="363"/>
      <c r="SDZ64" s="363"/>
      <c r="SEA64" s="364" t="s">
        <v>140</v>
      </c>
      <c r="SEB64" s="365">
        <v>0.5</v>
      </c>
      <c r="SEC64" s="366" t="e">
        <f>10/SDY62</f>
        <v>#DIV/0!</v>
      </c>
      <c r="SED64" s="367">
        <v>15.38</v>
      </c>
      <c r="SEE64" s="367" t="e">
        <f>SEB64*SEC64*SED64</f>
        <v>#DIV/0!</v>
      </c>
      <c r="SEF64" s="363" t="s">
        <v>153</v>
      </c>
      <c r="SEG64" s="363"/>
      <c r="SEH64" s="363"/>
      <c r="SEI64" s="364" t="s">
        <v>140</v>
      </c>
      <c r="SEJ64" s="365">
        <v>0.5</v>
      </c>
      <c r="SEK64" s="366" t="e">
        <f>10/SEG62</f>
        <v>#DIV/0!</v>
      </c>
      <c r="SEL64" s="367">
        <v>15.38</v>
      </c>
      <c r="SEM64" s="367" t="e">
        <f>SEJ64*SEK64*SEL64</f>
        <v>#DIV/0!</v>
      </c>
      <c r="SEN64" s="363" t="s">
        <v>153</v>
      </c>
      <c r="SEO64" s="363"/>
      <c r="SEP64" s="363"/>
      <c r="SEQ64" s="364" t="s">
        <v>140</v>
      </c>
      <c r="SER64" s="365">
        <v>0.5</v>
      </c>
      <c r="SES64" s="366" t="e">
        <f>10/SEO62</f>
        <v>#DIV/0!</v>
      </c>
      <c r="SET64" s="367">
        <v>15.38</v>
      </c>
      <c r="SEU64" s="367" t="e">
        <f>SER64*SES64*SET64</f>
        <v>#DIV/0!</v>
      </c>
      <c r="SEV64" s="363" t="s">
        <v>153</v>
      </c>
      <c r="SEW64" s="363"/>
      <c r="SEX64" s="363"/>
      <c r="SEY64" s="364" t="s">
        <v>140</v>
      </c>
      <c r="SEZ64" s="365">
        <v>0.5</v>
      </c>
      <c r="SFA64" s="366" t="e">
        <f>10/SEW62</f>
        <v>#DIV/0!</v>
      </c>
      <c r="SFB64" s="367">
        <v>15.38</v>
      </c>
      <c r="SFC64" s="367" t="e">
        <f>SEZ64*SFA64*SFB64</f>
        <v>#DIV/0!</v>
      </c>
      <c r="SFD64" s="363" t="s">
        <v>153</v>
      </c>
      <c r="SFE64" s="363"/>
      <c r="SFF64" s="363"/>
      <c r="SFG64" s="364" t="s">
        <v>140</v>
      </c>
      <c r="SFH64" s="365">
        <v>0.5</v>
      </c>
      <c r="SFI64" s="366" t="e">
        <f>10/SFE62</f>
        <v>#DIV/0!</v>
      </c>
      <c r="SFJ64" s="367">
        <v>15.38</v>
      </c>
      <c r="SFK64" s="367" t="e">
        <f>SFH64*SFI64*SFJ64</f>
        <v>#DIV/0!</v>
      </c>
      <c r="SFL64" s="363" t="s">
        <v>153</v>
      </c>
      <c r="SFM64" s="363"/>
      <c r="SFN64" s="363"/>
      <c r="SFO64" s="364" t="s">
        <v>140</v>
      </c>
      <c r="SFP64" s="365">
        <v>0.5</v>
      </c>
      <c r="SFQ64" s="366" t="e">
        <f>10/SFM62</f>
        <v>#DIV/0!</v>
      </c>
      <c r="SFR64" s="367">
        <v>15.38</v>
      </c>
      <c r="SFS64" s="367" t="e">
        <f>SFP64*SFQ64*SFR64</f>
        <v>#DIV/0!</v>
      </c>
      <c r="SFT64" s="363" t="s">
        <v>153</v>
      </c>
      <c r="SFU64" s="363"/>
      <c r="SFV64" s="363"/>
      <c r="SFW64" s="364" t="s">
        <v>140</v>
      </c>
      <c r="SFX64" s="365">
        <v>0.5</v>
      </c>
      <c r="SFY64" s="366" t="e">
        <f>10/SFU62</f>
        <v>#DIV/0!</v>
      </c>
      <c r="SFZ64" s="367">
        <v>15.38</v>
      </c>
      <c r="SGA64" s="367" t="e">
        <f>SFX64*SFY64*SFZ64</f>
        <v>#DIV/0!</v>
      </c>
      <c r="SGB64" s="363" t="s">
        <v>153</v>
      </c>
      <c r="SGC64" s="363"/>
      <c r="SGD64" s="363"/>
      <c r="SGE64" s="364" t="s">
        <v>140</v>
      </c>
      <c r="SGF64" s="365">
        <v>0.5</v>
      </c>
      <c r="SGG64" s="366" t="e">
        <f>10/SGC62</f>
        <v>#DIV/0!</v>
      </c>
      <c r="SGH64" s="367">
        <v>15.38</v>
      </c>
      <c r="SGI64" s="367" t="e">
        <f>SGF64*SGG64*SGH64</f>
        <v>#DIV/0!</v>
      </c>
      <c r="SGJ64" s="363" t="s">
        <v>153</v>
      </c>
      <c r="SGK64" s="363"/>
      <c r="SGL64" s="363"/>
      <c r="SGM64" s="364" t="s">
        <v>140</v>
      </c>
      <c r="SGN64" s="365">
        <v>0.5</v>
      </c>
      <c r="SGO64" s="366" t="e">
        <f>10/SGK62</f>
        <v>#DIV/0!</v>
      </c>
      <c r="SGP64" s="367">
        <v>15.38</v>
      </c>
      <c r="SGQ64" s="367" t="e">
        <f>SGN64*SGO64*SGP64</f>
        <v>#DIV/0!</v>
      </c>
      <c r="SGR64" s="363" t="s">
        <v>153</v>
      </c>
      <c r="SGS64" s="363"/>
      <c r="SGT64" s="363"/>
      <c r="SGU64" s="364" t="s">
        <v>140</v>
      </c>
      <c r="SGV64" s="365">
        <v>0.5</v>
      </c>
      <c r="SGW64" s="366" t="e">
        <f>10/SGS62</f>
        <v>#DIV/0!</v>
      </c>
      <c r="SGX64" s="367">
        <v>15.38</v>
      </c>
      <c r="SGY64" s="367" t="e">
        <f>SGV64*SGW64*SGX64</f>
        <v>#DIV/0!</v>
      </c>
      <c r="SGZ64" s="363" t="s">
        <v>153</v>
      </c>
      <c r="SHA64" s="363"/>
      <c r="SHB64" s="363"/>
      <c r="SHC64" s="364" t="s">
        <v>140</v>
      </c>
      <c r="SHD64" s="365">
        <v>0.5</v>
      </c>
      <c r="SHE64" s="366" t="e">
        <f>10/SHA62</f>
        <v>#DIV/0!</v>
      </c>
      <c r="SHF64" s="367">
        <v>15.38</v>
      </c>
      <c r="SHG64" s="367" t="e">
        <f>SHD64*SHE64*SHF64</f>
        <v>#DIV/0!</v>
      </c>
      <c r="SHH64" s="363" t="s">
        <v>153</v>
      </c>
      <c r="SHI64" s="363"/>
      <c r="SHJ64" s="363"/>
      <c r="SHK64" s="364" t="s">
        <v>140</v>
      </c>
      <c r="SHL64" s="365">
        <v>0.5</v>
      </c>
      <c r="SHM64" s="366" t="e">
        <f>10/SHI62</f>
        <v>#DIV/0!</v>
      </c>
      <c r="SHN64" s="367">
        <v>15.38</v>
      </c>
      <c r="SHO64" s="367" t="e">
        <f>SHL64*SHM64*SHN64</f>
        <v>#DIV/0!</v>
      </c>
      <c r="SHP64" s="363" t="s">
        <v>153</v>
      </c>
      <c r="SHQ64" s="363"/>
      <c r="SHR64" s="363"/>
      <c r="SHS64" s="364" t="s">
        <v>140</v>
      </c>
      <c r="SHT64" s="365">
        <v>0.5</v>
      </c>
      <c r="SHU64" s="366" t="e">
        <f>10/SHQ62</f>
        <v>#DIV/0!</v>
      </c>
      <c r="SHV64" s="367">
        <v>15.38</v>
      </c>
      <c r="SHW64" s="367" t="e">
        <f>SHT64*SHU64*SHV64</f>
        <v>#DIV/0!</v>
      </c>
      <c r="SHX64" s="363" t="s">
        <v>153</v>
      </c>
      <c r="SHY64" s="363"/>
      <c r="SHZ64" s="363"/>
      <c r="SIA64" s="364" t="s">
        <v>140</v>
      </c>
      <c r="SIB64" s="365">
        <v>0.5</v>
      </c>
      <c r="SIC64" s="366" t="e">
        <f>10/SHY62</f>
        <v>#DIV/0!</v>
      </c>
      <c r="SID64" s="367">
        <v>15.38</v>
      </c>
      <c r="SIE64" s="367" t="e">
        <f>SIB64*SIC64*SID64</f>
        <v>#DIV/0!</v>
      </c>
      <c r="SIF64" s="363" t="s">
        <v>153</v>
      </c>
      <c r="SIG64" s="363"/>
      <c r="SIH64" s="363"/>
      <c r="SII64" s="364" t="s">
        <v>140</v>
      </c>
      <c r="SIJ64" s="365">
        <v>0.5</v>
      </c>
      <c r="SIK64" s="366" t="e">
        <f>10/SIG62</f>
        <v>#DIV/0!</v>
      </c>
      <c r="SIL64" s="367">
        <v>15.38</v>
      </c>
      <c r="SIM64" s="367" t="e">
        <f>SIJ64*SIK64*SIL64</f>
        <v>#DIV/0!</v>
      </c>
      <c r="SIN64" s="363" t="s">
        <v>153</v>
      </c>
      <c r="SIO64" s="363"/>
      <c r="SIP64" s="363"/>
      <c r="SIQ64" s="364" t="s">
        <v>140</v>
      </c>
      <c r="SIR64" s="365">
        <v>0.5</v>
      </c>
      <c r="SIS64" s="366" t="e">
        <f>10/SIO62</f>
        <v>#DIV/0!</v>
      </c>
      <c r="SIT64" s="367">
        <v>15.38</v>
      </c>
      <c r="SIU64" s="367" t="e">
        <f>SIR64*SIS64*SIT64</f>
        <v>#DIV/0!</v>
      </c>
      <c r="SIV64" s="363" t="s">
        <v>153</v>
      </c>
      <c r="SIW64" s="363"/>
      <c r="SIX64" s="363"/>
      <c r="SIY64" s="364" t="s">
        <v>140</v>
      </c>
      <c r="SIZ64" s="365">
        <v>0.5</v>
      </c>
      <c r="SJA64" s="366" t="e">
        <f>10/SIW62</f>
        <v>#DIV/0!</v>
      </c>
      <c r="SJB64" s="367">
        <v>15.38</v>
      </c>
      <c r="SJC64" s="367" t="e">
        <f>SIZ64*SJA64*SJB64</f>
        <v>#DIV/0!</v>
      </c>
      <c r="SJD64" s="363" t="s">
        <v>153</v>
      </c>
      <c r="SJE64" s="363"/>
      <c r="SJF64" s="363"/>
      <c r="SJG64" s="364" t="s">
        <v>140</v>
      </c>
      <c r="SJH64" s="365">
        <v>0.5</v>
      </c>
      <c r="SJI64" s="366" t="e">
        <f>10/SJE62</f>
        <v>#DIV/0!</v>
      </c>
      <c r="SJJ64" s="367">
        <v>15.38</v>
      </c>
      <c r="SJK64" s="367" t="e">
        <f>SJH64*SJI64*SJJ64</f>
        <v>#DIV/0!</v>
      </c>
      <c r="SJL64" s="363" t="s">
        <v>153</v>
      </c>
      <c r="SJM64" s="363"/>
      <c r="SJN64" s="363"/>
      <c r="SJO64" s="364" t="s">
        <v>140</v>
      </c>
      <c r="SJP64" s="365">
        <v>0.5</v>
      </c>
      <c r="SJQ64" s="366" t="e">
        <f>10/SJM62</f>
        <v>#DIV/0!</v>
      </c>
      <c r="SJR64" s="367">
        <v>15.38</v>
      </c>
      <c r="SJS64" s="367" t="e">
        <f>SJP64*SJQ64*SJR64</f>
        <v>#DIV/0!</v>
      </c>
      <c r="SJT64" s="363" t="s">
        <v>153</v>
      </c>
      <c r="SJU64" s="363"/>
      <c r="SJV64" s="363"/>
      <c r="SJW64" s="364" t="s">
        <v>140</v>
      </c>
      <c r="SJX64" s="365">
        <v>0.5</v>
      </c>
      <c r="SJY64" s="366" t="e">
        <f>10/SJU62</f>
        <v>#DIV/0!</v>
      </c>
      <c r="SJZ64" s="367">
        <v>15.38</v>
      </c>
      <c r="SKA64" s="367" t="e">
        <f>SJX64*SJY64*SJZ64</f>
        <v>#DIV/0!</v>
      </c>
      <c r="SKB64" s="363" t="s">
        <v>153</v>
      </c>
      <c r="SKC64" s="363"/>
      <c r="SKD64" s="363"/>
      <c r="SKE64" s="364" t="s">
        <v>140</v>
      </c>
      <c r="SKF64" s="365">
        <v>0.5</v>
      </c>
      <c r="SKG64" s="366" t="e">
        <f>10/SKC62</f>
        <v>#DIV/0!</v>
      </c>
      <c r="SKH64" s="367">
        <v>15.38</v>
      </c>
      <c r="SKI64" s="367" t="e">
        <f>SKF64*SKG64*SKH64</f>
        <v>#DIV/0!</v>
      </c>
      <c r="SKJ64" s="363" t="s">
        <v>153</v>
      </c>
      <c r="SKK64" s="363"/>
      <c r="SKL64" s="363"/>
      <c r="SKM64" s="364" t="s">
        <v>140</v>
      </c>
      <c r="SKN64" s="365">
        <v>0.5</v>
      </c>
      <c r="SKO64" s="366" t="e">
        <f>10/SKK62</f>
        <v>#DIV/0!</v>
      </c>
      <c r="SKP64" s="367">
        <v>15.38</v>
      </c>
      <c r="SKQ64" s="367" t="e">
        <f>SKN64*SKO64*SKP64</f>
        <v>#DIV/0!</v>
      </c>
      <c r="SKR64" s="363" t="s">
        <v>153</v>
      </c>
      <c r="SKS64" s="363"/>
      <c r="SKT64" s="363"/>
      <c r="SKU64" s="364" t="s">
        <v>140</v>
      </c>
      <c r="SKV64" s="365">
        <v>0.5</v>
      </c>
      <c r="SKW64" s="366" t="e">
        <f>10/SKS62</f>
        <v>#DIV/0!</v>
      </c>
      <c r="SKX64" s="367">
        <v>15.38</v>
      </c>
      <c r="SKY64" s="367" t="e">
        <f>SKV64*SKW64*SKX64</f>
        <v>#DIV/0!</v>
      </c>
      <c r="SKZ64" s="363" t="s">
        <v>153</v>
      </c>
      <c r="SLA64" s="363"/>
      <c r="SLB64" s="363"/>
      <c r="SLC64" s="364" t="s">
        <v>140</v>
      </c>
      <c r="SLD64" s="365">
        <v>0.5</v>
      </c>
      <c r="SLE64" s="366" t="e">
        <f>10/SLA62</f>
        <v>#DIV/0!</v>
      </c>
      <c r="SLF64" s="367">
        <v>15.38</v>
      </c>
      <c r="SLG64" s="367" t="e">
        <f>SLD64*SLE64*SLF64</f>
        <v>#DIV/0!</v>
      </c>
      <c r="SLH64" s="363" t="s">
        <v>153</v>
      </c>
      <c r="SLI64" s="363"/>
      <c r="SLJ64" s="363"/>
      <c r="SLK64" s="364" t="s">
        <v>140</v>
      </c>
      <c r="SLL64" s="365">
        <v>0.5</v>
      </c>
      <c r="SLM64" s="366" t="e">
        <f>10/SLI62</f>
        <v>#DIV/0!</v>
      </c>
      <c r="SLN64" s="367">
        <v>15.38</v>
      </c>
      <c r="SLO64" s="367" t="e">
        <f>SLL64*SLM64*SLN64</f>
        <v>#DIV/0!</v>
      </c>
      <c r="SLP64" s="363" t="s">
        <v>153</v>
      </c>
      <c r="SLQ64" s="363"/>
      <c r="SLR64" s="363"/>
      <c r="SLS64" s="364" t="s">
        <v>140</v>
      </c>
      <c r="SLT64" s="365">
        <v>0.5</v>
      </c>
      <c r="SLU64" s="366" t="e">
        <f>10/SLQ62</f>
        <v>#DIV/0!</v>
      </c>
      <c r="SLV64" s="367">
        <v>15.38</v>
      </c>
      <c r="SLW64" s="367" t="e">
        <f>SLT64*SLU64*SLV64</f>
        <v>#DIV/0!</v>
      </c>
      <c r="SLX64" s="363" t="s">
        <v>153</v>
      </c>
      <c r="SLY64" s="363"/>
      <c r="SLZ64" s="363"/>
      <c r="SMA64" s="364" t="s">
        <v>140</v>
      </c>
      <c r="SMB64" s="365">
        <v>0.5</v>
      </c>
      <c r="SMC64" s="366" t="e">
        <f>10/SLY62</f>
        <v>#DIV/0!</v>
      </c>
      <c r="SMD64" s="367">
        <v>15.38</v>
      </c>
      <c r="SME64" s="367" t="e">
        <f>SMB64*SMC64*SMD64</f>
        <v>#DIV/0!</v>
      </c>
      <c r="SMF64" s="363" t="s">
        <v>153</v>
      </c>
      <c r="SMG64" s="363"/>
      <c r="SMH64" s="363"/>
      <c r="SMI64" s="364" t="s">
        <v>140</v>
      </c>
      <c r="SMJ64" s="365">
        <v>0.5</v>
      </c>
      <c r="SMK64" s="366" t="e">
        <f>10/SMG62</f>
        <v>#DIV/0!</v>
      </c>
      <c r="SML64" s="367">
        <v>15.38</v>
      </c>
      <c r="SMM64" s="367" t="e">
        <f>SMJ64*SMK64*SML64</f>
        <v>#DIV/0!</v>
      </c>
      <c r="SMN64" s="363" t="s">
        <v>153</v>
      </c>
      <c r="SMO64" s="363"/>
      <c r="SMP64" s="363"/>
      <c r="SMQ64" s="364" t="s">
        <v>140</v>
      </c>
      <c r="SMR64" s="365">
        <v>0.5</v>
      </c>
      <c r="SMS64" s="366" t="e">
        <f>10/SMO62</f>
        <v>#DIV/0!</v>
      </c>
      <c r="SMT64" s="367">
        <v>15.38</v>
      </c>
      <c r="SMU64" s="367" t="e">
        <f>SMR64*SMS64*SMT64</f>
        <v>#DIV/0!</v>
      </c>
      <c r="SMV64" s="363" t="s">
        <v>153</v>
      </c>
      <c r="SMW64" s="363"/>
      <c r="SMX64" s="363"/>
      <c r="SMY64" s="364" t="s">
        <v>140</v>
      </c>
      <c r="SMZ64" s="365">
        <v>0.5</v>
      </c>
      <c r="SNA64" s="366" t="e">
        <f>10/SMW62</f>
        <v>#DIV/0!</v>
      </c>
      <c r="SNB64" s="367">
        <v>15.38</v>
      </c>
      <c r="SNC64" s="367" t="e">
        <f>SMZ64*SNA64*SNB64</f>
        <v>#DIV/0!</v>
      </c>
      <c r="SND64" s="363" t="s">
        <v>153</v>
      </c>
      <c r="SNE64" s="363"/>
      <c r="SNF64" s="363"/>
      <c r="SNG64" s="364" t="s">
        <v>140</v>
      </c>
      <c r="SNH64" s="365">
        <v>0.5</v>
      </c>
      <c r="SNI64" s="366" t="e">
        <f>10/SNE62</f>
        <v>#DIV/0!</v>
      </c>
      <c r="SNJ64" s="367">
        <v>15.38</v>
      </c>
      <c r="SNK64" s="367" t="e">
        <f>SNH64*SNI64*SNJ64</f>
        <v>#DIV/0!</v>
      </c>
      <c r="SNL64" s="363" t="s">
        <v>153</v>
      </c>
      <c r="SNM64" s="363"/>
      <c r="SNN64" s="363"/>
      <c r="SNO64" s="364" t="s">
        <v>140</v>
      </c>
      <c r="SNP64" s="365">
        <v>0.5</v>
      </c>
      <c r="SNQ64" s="366" t="e">
        <f>10/SNM62</f>
        <v>#DIV/0!</v>
      </c>
      <c r="SNR64" s="367">
        <v>15.38</v>
      </c>
      <c r="SNS64" s="367" t="e">
        <f>SNP64*SNQ64*SNR64</f>
        <v>#DIV/0!</v>
      </c>
      <c r="SNT64" s="363" t="s">
        <v>153</v>
      </c>
      <c r="SNU64" s="363"/>
      <c r="SNV64" s="363"/>
      <c r="SNW64" s="364" t="s">
        <v>140</v>
      </c>
      <c r="SNX64" s="365">
        <v>0.5</v>
      </c>
      <c r="SNY64" s="366" t="e">
        <f>10/SNU62</f>
        <v>#DIV/0!</v>
      </c>
      <c r="SNZ64" s="367">
        <v>15.38</v>
      </c>
      <c r="SOA64" s="367" t="e">
        <f>SNX64*SNY64*SNZ64</f>
        <v>#DIV/0!</v>
      </c>
      <c r="SOB64" s="363" t="s">
        <v>153</v>
      </c>
      <c r="SOC64" s="363"/>
      <c r="SOD64" s="363"/>
      <c r="SOE64" s="364" t="s">
        <v>140</v>
      </c>
      <c r="SOF64" s="365">
        <v>0.5</v>
      </c>
      <c r="SOG64" s="366" t="e">
        <f>10/SOC62</f>
        <v>#DIV/0!</v>
      </c>
      <c r="SOH64" s="367">
        <v>15.38</v>
      </c>
      <c r="SOI64" s="367" t="e">
        <f>SOF64*SOG64*SOH64</f>
        <v>#DIV/0!</v>
      </c>
      <c r="SOJ64" s="363" t="s">
        <v>153</v>
      </c>
      <c r="SOK64" s="363"/>
      <c r="SOL64" s="363"/>
      <c r="SOM64" s="364" t="s">
        <v>140</v>
      </c>
      <c r="SON64" s="365">
        <v>0.5</v>
      </c>
      <c r="SOO64" s="366" t="e">
        <f>10/SOK62</f>
        <v>#DIV/0!</v>
      </c>
      <c r="SOP64" s="367">
        <v>15.38</v>
      </c>
      <c r="SOQ64" s="367" t="e">
        <f>SON64*SOO64*SOP64</f>
        <v>#DIV/0!</v>
      </c>
      <c r="SOR64" s="363" t="s">
        <v>153</v>
      </c>
      <c r="SOS64" s="363"/>
      <c r="SOT64" s="363"/>
      <c r="SOU64" s="364" t="s">
        <v>140</v>
      </c>
      <c r="SOV64" s="365">
        <v>0.5</v>
      </c>
      <c r="SOW64" s="366" t="e">
        <f>10/SOS62</f>
        <v>#DIV/0!</v>
      </c>
      <c r="SOX64" s="367">
        <v>15.38</v>
      </c>
      <c r="SOY64" s="367" t="e">
        <f>SOV64*SOW64*SOX64</f>
        <v>#DIV/0!</v>
      </c>
      <c r="SOZ64" s="363" t="s">
        <v>153</v>
      </c>
      <c r="SPA64" s="363"/>
      <c r="SPB64" s="363"/>
      <c r="SPC64" s="364" t="s">
        <v>140</v>
      </c>
      <c r="SPD64" s="365">
        <v>0.5</v>
      </c>
      <c r="SPE64" s="366" t="e">
        <f>10/SPA62</f>
        <v>#DIV/0!</v>
      </c>
      <c r="SPF64" s="367">
        <v>15.38</v>
      </c>
      <c r="SPG64" s="367" t="e">
        <f>SPD64*SPE64*SPF64</f>
        <v>#DIV/0!</v>
      </c>
      <c r="SPH64" s="363" t="s">
        <v>153</v>
      </c>
      <c r="SPI64" s="363"/>
      <c r="SPJ64" s="363"/>
      <c r="SPK64" s="364" t="s">
        <v>140</v>
      </c>
      <c r="SPL64" s="365">
        <v>0.5</v>
      </c>
      <c r="SPM64" s="366" t="e">
        <f>10/SPI62</f>
        <v>#DIV/0!</v>
      </c>
      <c r="SPN64" s="367">
        <v>15.38</v>
      </c>
      <c r="SPO64" s="367" t="e">
        <f>SPL64*SPM64*SPN64</f>
        <v>#DIV/0!</v>
      </c>
      <c r="SPP64" s="363" t="s">
        <v>153</v>
      </c>
      <c r="SPQ64" s="363"/>
      <c r="SPR64" s="363"/>
      <c r="SPS64" s="364" t="s">
        <v>140</v>
      </c>
      <c r="SPT64" s="365">
        <v>0.5</v>
      </c>
      <c r="SPU64" s="366" t="e">
        <f>10/SPQ62</f>
        <v>#DIV/0!</v>
      </c>
      <c r="SPV64" s="367">
        <v>15.38</v>
      </c>
      <c r="SPW64" s="367" t="e">
        <f>SPT64*SPU64*SPV64</f>
        <v>#DIV/0!</v>
      </c>
      <c r="SPX64" s="363" t="s">
        <v>153</v>
      </c>
      <c r="SPY64" s="363"/>
      <c r="SPZ64" s="363"/>
      <c r="SQA64" s="364" t="s">
        <v>140</v>
      </c>
      <c r="SQB64" s="365">
        <v>0.5</v>
      </c>
      <c r="SQC64" s="366" t="e">
        <f>10/SPY62</f>
        <v>#DIV/0!</v>
      </c>
      <c r="SQD64" s="367">
        <v>15.38</v>
      </c>
      <c r="SQE64" s="367" t="e">
        <f>SQB64*SQC64*SQD64</f>
        <v>#DIV/0!</v>
      </c>
      <c r="SQF64" s="363" t="s">
        <v>153</v>
      </c>
      <c r="SQG64" s="363"/>
      <c r="SQH64" s="363"/>
      <c r="SQI64" s="364" t="s">
        <v>140</v>
      </c>
      <c r="SQJ64" s="365">
        <v>0.5</v>
      </c>
      <c r="SQK64" s="366" t="e">
        <f>10/SQG62</f>
        <v>#DIV/0!</v>
      </c>
      <c r="SQL64" s="367">
        <v>15.38</v>
      </c>
      <c r="SQM64" s="367" t="e">
        <f>SQJ64*SQK64*SQL64</f>
        <v>#DIV/0!</v>
      </c>
      <c r="SQN64" s="363" t="s">
        <v>153</v>
      </c>
      <c r="SQO64" s="363"/>
      <c r="SQP64" s="363"/>
      <c r="SQQ64" s="364" t="s">
        <v>140</v>
      </c>
      <c r="SQR64" s="365">
        <v>0.5</v>
      </c>
      <c r="SQS64" s="366" t="e">
        <f>10/SQO62</f>
        <v>#DIV/0!</v>
      </c>
      <c r="SQT64" s="367">
        <v>15.38</v>
      </c>
      <c r="SQU64" s="367" t="e">
        <f>SQR64*SQS64*SQT64</f>
        <v>#DIV/0!</v>
      </c>
      <c r="SQV64" s="363" t="s">
        <v>153</v>
      </c>
      <c r="SQW64" s="363"/>
      <c r="SQX64" s="363"/>
      <c r="SQY64" s="364" t="s">
        <v>140</v>
      </c>
      <c r="SQZ64" s="365">
        <v>0.5</v>
      </c>
      <c r="SRA64" s="366" t="e">
        <f>10/SQW62</f>
        <v>#DIV/0!</v>
      </c>
      <c r="SRB64" s="367">
        <v>15.38</v>
      </c>
      <c r="SRC64" s="367" t="e">
        <f>SQZ64*SRA64*SRB64</f>
        <v>#DIV/0!</v>
      </c>
      <c r="SRD64" s="363" t="s">
        <v>153</v>
      </c>
      <c r="SRE64" s="363"/>
      <c r="SRF64" s="363"/>
      <c r="SRG64" s="364" t="s">
        <v>140</v>
      </c>
      <c r="SRH64" s="365">
        <v>0.5</v>
      </c>
      <c r="SRI64" s="366" t="e">
        <f>10/SRE62</f>
        <v>#DIV/0!</v>
      </c>
      <c r="SRJ64" s="367">
        <v>15.38</v>
      </c>
      <c r="SRK64" s="367" t="e">
        <f>SRH64*SRI64*SRJ64</f>
        <v>#DIV/0!</v>
      </c>
      <c r="SRL64" s="363" t="s">
        <v>153</v>
      </c>
      <c r="SRM64" s="363"/>
      <c r="SRN64" s="363"/>
      <c r="SRO64" s="364" t="s">
        <v>140</v>
      </c>
      <c r="SRP64" s="365">
        <v>0.5</v>
      </c>
      <c r="SRQ64" s="366" t="e">
        <f>10/SRM62</f>
        <v>#DIV/0!</v>
      </c>
      <c r="SRR64" s="367">
        <v>15.38</v>
      </c>
      <c r="SRS64" s="367" t="e">
        <f>SRP64*SRQ64*SRR64</f>
        <v>#DIV/0!</v>
      </c>
      <c r="SRT64" s="363" t="s">
        <v>153</v>
      </c>
      <c r="SRU64" s="363"/>
      <c r="SRV64" s="363"/>
      <c r="SRW64" s="364" t="s">
        <v>140</v>
      </c>
      <c r="SRX64" s="365">
        <v>0.5</v>
      </c>
      <c r="SRY64" s="366" t="e">
        <f>10/SRU62</f>
        <v>#DIV/0!</v>
      </c>
      <c r="SRZ64" s="367">
        <v>15.38</v>
      </c>
      <c r="SSA64" s="367" t="e">
        <f>SRX64*SRY64*SRZ64</f>
        <v>#DIV/0!</v>
      </c>
      <c r="SSB64" s="363" t="s">
        <v>153</v>
      </c>
      <c r="SSC64" s="363"/>
      <c r="SSD64" s="363"/>
      <c r="SSE64" s="364" t="s">
        <v>140</v>
      </c>
      <c r="SSF64" s="365">
        <v>0.5</v>
      </c>
      <c r="SSG64" s="366" t="e">
        <f>10/SSC62</f>
        <v>#DIV/0!</v>
      </c>
      <c r="SSH64" s="367">
        <v>15.38</v>
      </c>
      <c r="SSI64" s="367" t="e">
        <f>SSF64*SSG64*SSH64</f>
        <v>#DIV/0!</v>
      </c>
      <c r="SSJ64" s="363" t="s">
        <v>153</v>
      </c>
      <c r="SSK64" s="363"/>
      <c r="SSL64" s="363"/>
      <c r="SSM64" s="364" t="s">
        <v>140</v>
      </c>
      <c r="SSN64" s="365">
        <v>0.5</v>
      </c>
      <c r="SSO64" s="366" t="e">
        <f>10/SSK62</f>
        <v>#DIV/0!</v>
      </c>
      <c r="SSP64" s="367">
        <v>15.38</v>
      </c>
      <c r="SSQ64" s="367" t="e">
        <f>SSN64*SSO64*SSP64</f>
        <v>#DIV/0!</v>
      </c>
      <c r="SSR64" s="363" t="s">
        <v>153</v>
      </c>
      <c r="SSS64" s="363"/>
      <c r="SST64" s="363"/>
      <c r="SSU64" s="364" t="s">
        <v>140</v>
      </c>
      <c r="SSV64" s="365">
        <v>0.5</v>
      </c>
      <c r="SSW64" s="366" t="e">
        <f>10/SSS62</f>
        <v>#DIV/0!</v>
      </c>
      <c r="SSX64" s="367">
        <v>15.38</v>
      </c>
      <c r="SSY64" s="367" t="e">
        <f>SSV64*SSW64*SSX64</f>
        <v>#DIV/0!</v>
      </c>
      <c r="SSZ64" s="363" t="s">
        <v>153</v>
      </c>
      <c r="STA64" s="363"/>
      <c r="STB64" s="363"/>
      <c r="STC64" s="364" t="s">
        <v>140</v>
      </c>
      <c r="STD64" s="365">
        <v>0.5</v>
      </c>
      <c r="STE64" s="366" t="e">
        <f>10/STA62</f>
        <v>#DIV/0!</v>
      </c>
      <c r="STF64" s="367">
        <v>15.38</v>
      </c>
      <c r="STG64" s="367" t="e">
        <f>STD64*STE64*STF64</f>
        <v>#DIV/0!</v>
      </c>
      <c r="STH64" s="363" t="s">
        <v>153</v>
      </c>
      <c r="STI64" s="363"/>
      <c r="STJ64" s="363"/>
      <c r="STK64" s="364" t="s">
        <v>140</v>
      </c>
      <c r="STL64" s="365">
        <v>0.5</v>
      </c>
      <c r="STM64" s="366" t="e">
        <f>10/STI62</f>
        <v>#DIV/0!</v>
      </c>
      <c r="STN64" s="367">
        <v>15.38</v>
      </c>
      <c r="STO64" s="367" t="e">
        <f>STL64*STM64*STN64</f>
        <v>#DIV/0!</v>
      </c>
      <c r="STP64" s="363" t="s">
        <v>153</v>
      </c>
      <c r="STQ64" s="363"/>
      <c r="STR64" s="363"/>
      <c r="STS64" s="364" t="s">
        <v>140</v>
      </c>
      <c r="STT64" s="365">
        <v>0.5</v>
      </c>
      <c r="STU64" s="366" t="e">
        <f>10/STQ62</f>
        <v>#DIV/0!</v>
      </c>
      <c r="STV64" s="367">
        <v>15.38</v>
      </c>
      <c r="STW64" s="367" t="e">
        <f>STT64*STU64*STV64</f>
        <v>#DIV/0!</v>
      </c>
      <c r="STX64" s="363" t="s">
        <v>153</v>
      </c>
      <c r="STY64" s="363"/>
      <c r="STZ64" s="363"/>
      <c r="SUA64" s="364" t="s">
        <v>140</v>
      </c>
      <c r="SUB64" s="365">
        <v>0.5</v>
      </c>
      <c r="SUC64" s="366" t="e">
        <f>10/STY62</f>
        <v>#DIV/0!</v>
      </c>
      <c r="SUD64" s="367">
        <v>15.38</v>
      </c>
      <c r="SUE64" s="367" t="e">
        <f>SUB64*SUC64*SUD64</f>
        <v>#DIV/0!</v>
      </c>
      <c r="SUF64" s="363" t="s">
        <v>153</v>
      </c>
      <c r="SUG64" s="363"/>
      <c r="SUH64" s="363"/>
      <c r="SUI64" s="364" t="s">
        <v>140</v>
      </c>
      <c r="SUJ64" s="365">
        <v>0.5</v>
      </c>
      <c r="SUK64" s="366" t="e">
        <f>10/SUG62</f>
        <v>#DIV/0!</v>
      </c>
      <c r="SUL64" s="367">
        <v>15.38</v>
      </c>
      <c r="SUM64" s="367" t="e">
        <f>SUJ64*SUK64*SUL64</f>
        <v>#DIV/0!</v>
      </c>
      <c r="SUN64" s="363" t="s">
        <v>153</v>
      </c>
      <c r="SUO64" s="363"/>
      <c r="SUP64" s="363"/>
      <c r="SUQ64" s="364" t="s">
        <v>140</v>
      </c>
      <c r="SUR64" s="365">
        <v>0.5</v>
      </c>
      <c r="SUS64" s="366" t="e">
        <f>10/SUO62</f>
        <v>#DIV/0!</v>
      </c>
      <c r="SUT64" s="367">
        <v>15.38</v>
      </c>
      <c r="SUU64" s="367" t="e">
        <f>SUR64*SUS64*SUT64</f>
        <v>#DIV/0!</v>
      </c>
      <c r="SUV64" s="363" t="s">
        <v>153</v>
      </c>
      <c r="SUW64" s="363"/>
      <c r="SUX64" s="363"/>
      <c r="SUY64" s="364" t="s">
        <v>140</v>
      </c>
      <c r="SUZ64" s="365">
        <v>0.5</v>
      </c>
      <c r="SVA64" s="366" t="e">
        <f>10/SUW62</f>
        <v>#DIV/0!</v>
      </c>
      <c r="SVB64" s="367">
        <v>15.38</v>
      </c>
      <c r="SVC64" s="367" t="e">
        <f>SUZ64*SVA64*SVB64</f>
        <v>#DIV/0!</v>
      </c>
      <c r="SVD64" s="363" t="s">
        <v>153</v>
      </c>
      <c r="SVE64" s="363"/>
      <c r="SVF64" s="363"/>
      <c r="SVG64" s="364" t="s">
        <v>140</v>
      </c>
      <c r="SVH64" s="365">
        <v>0.5</v>
      </c>
      <c r="SVI64" s="366" t="e">
        <f>10/SVE62</f>
        <v>#DIV/0!</v>
      </c>
      <c r="SVJ64" s="367">
        <v>15.38</v>
      </c>
      <c r="SVK64" s="367" t="e">
        <f>SVH64*SVI64*SVJ64</f>
        <v>#DIV/0!</v>
      </c>
      <c r="SVL64" s="363" t="s">
        <v>153</v>
      </c>
      <c r="SVM64" s="363"/>
      <c r="SVN64" s="363"/>
      <c r="SVO64" s="364" t="s">
        <v>140</v>
      </c>
      <c r="SVP64" s="365">
        <v>0.5</v>
      </c>
      <c r="SVQ64" s="366" t="e">
        <f>10/SVM62</f>
        <v>#DIV/0!</v>
      </c>
      <c r="SVR64" s="367">
        <v>15.38</v>
      </c>
      <c r="SVS64" s="367" t="e">
        <f>SVP64*SVQ64*SVR64</f>
        <v>#DIV/0!</v>
      </c>
      <c r="SVT64" s="363" t="s">
        <v>153</v>
      </c>
      <c r="SVU64" s="363"/>
      <c r="SVV64" s="363"/>
      <c r="SVW64" s="364" t="s">
        <v>140</v>
      </c>
      <c r="SVX64" s="365">
        <v>0.5</v>
      </c>
      <c r="SVY64" s="366" t="e">
        <f>10/SVU62</f>
        <v>#DIV/0!</v>
      </c>
      <c r="SVZ64" s="367">
        <v>15.38</v>
      </c>
      <c r="SWA64" s="367" t="e">
        <f>SVX64*SVY64*SVZ64</f>
        <v>#DIV/0!</v>
      </c>
      <c r="SWB64" s="363" t="s">
        <v>153</v>
      </c>
      <c r="SWC64" s="363"/>
      <c r="SWD64" s="363"/>
      <c r="SWE64" s="364" t="s">
        <v>140</v>
      </c>
      <c r="SWF64" s="365">
        <v>0.5</v>
      </c>
      <c r="SWG64" s="366" t="e">
        <f>10/SWC62</f>
        <v>#DIV/0!</v>
      </c>
      <c r="SWH64" s="367">
        <v>15.38</v>
      </c>
      <c r="SWI64" s="367" t="e">
        <f>SWF64*SWG64*SWH64</f>
        <v>#DIV/0!</v>
      </c>
      <c r="SWJ64" s="363" t="s">
        <v>153</v>
      </c>
      <c r="SWK64" s="363"/>
      <c r="SWL64" s="363"/>
      <c r="SWM64" s="364" t="s">
        <v>140</v>
      </c>
      <c r="SWN64" s="365">
        <v>0.5</v>
      </c>
      <c r="SWO64" s="366" t="e">
        <f>10/SWK62</f>
        <v>#DIV/0!</v>
      </c>
      <c r="SWP64" s="367">
        <v>15.38</v>
      </c>
      <c r="SWQ64" s="367" t="e">
        <f>SWN64*SWO64*SWP64</f>
        <v>#DIV/0!</v>
      </c>
      <c r="SWR64" s="363" t="s">
        <v>153</v>
      </c>
      <c r="SWS64" s="363"/>
      <c r="SWT64" s="363"/>
      <c r="SWU64" s="364" t="s">
        <v>140</v>
      </c>
      <c r="SWV64" s="365">
        <v>0.5</v>
      </c>
      <c r="SWW64" s="366" t="e">
        <f>10/SWS62</f>
        <v>#DIV/0!</v>
      </c>
      <c r="SWX64" s="367">
        <v>15.38</v>
      </c>
      <c r="SWY64" s="367" t="e">
        <f>SWV64*SWW64*SWX64</f>
        <v>#DIV/0!</v>
      </c>
      <c r="SWZ64" s="363" t="s">
        <v>153</v>
      </c>
      <c r="SXA64" s="363"/>
      <c r="SXB64" s="363"/>
      <c r="SXC64" s="364" t="s">
        <v>140</v>
      </c>
      <c r="SXD64" s="365">
        <v>0.5</v>
      </c>
      <c r="SXE64" s="366" t="e">
        <f>10/SXA62</f>
        <v>#DIV/0!</v>
      </c>
      <c r="SXF64" s="367">
        <v>15.38</v>
      </c>
      <c r="SXG64" s="367" t="e">
        <f>SXD64*SXE64*SXF64</f>
        <v>#DIV/0!</v>
      </c>
      <c r="SXH64" s="363" t="s">
        <v>153</v>
      </c>
      <c r="SXI64" s="363"/>
      <c r="SXJ64" s="363"/>
      <c r="SXK64" s="364" t="s">
        <v>140</v>
      </c>
      <c r="SXL64" s="365">
        <v>0.5</v>
      </c>
      <c r="SXM64" s="366" t="e">
        <f>10/SXI62</f>
        <v>#DIV/0!</v>
      </c>
      <c r="SXN64" s="367">
        <v>15.38</v>
      </c>
      <c r="SXO64" s="367" t="e">
        <f>SXL64*SXM64*SXN64</f>
        <v>#DIV/0!</v>
      </c>
      <c r="SXP64" s="363" t="s">
        <v>153</v>
      </c>
      <c r="SXQ64" s="363"/>
      <c r="SXR64" s="363"/>
      <c r="SXS64" s="364" t="s">
        <v>140</v>
      </c>
      <c r="SXT64" s="365">
        <v>0.5</v>
      </c>
      <c r="SXU64" s="366" t="e">
        <f>10/SXQ62</f>
        <v>#DIV/0!</v>
      </c>
      <c r="SXV64" s="367">
        <v>15.38</v>
      </c>
      <c r="SXW64" s="367" t="e">
        <f>SXT64*SXU64*SXV64</f>
        <v>#DIV/0!</v>
      </c>
      <c r="SXX64" s="363" t="s">
        <v>153</v>
      </c>
      <c r="SXY64" s="363"/>
      <c r="SXZ64" s="363"/>
      <c r="SYA64" s="364" t="s">
        <v>140</v>
      </c>
      <c r="SYB64" s="365">
        <v>0.5</v>
      </c>
      <c r="SYC64" s="366" t="e">
        <f>10/SXY62</f>
        <v>#DIV/0!</v>
      </c>
      <c r="SYD64" s="367">
        <v>15.38</v>
      </c>
      <c r="SYE64" s="367" t="e">
        <f>SYB64*SYC64*SYD64</f>
        <v>#DIV/0!</v>
      </c>
      <c r="SYF64" s="363" t="s">
        <v>153</v>
      </c>
      <c r="SYG64" s="363"/>
      <c r="SYH64" s="363"/>
      <c r="SYI64" s="364" t="s">
        <v>140</v>
      </c>
      <c r="SYJ64" s="365">
        <v>0.5</v>
      </c>
      <c r="SYK64" s="366" t="e">
        <f>10/SYG62</f>
        <v>#DIV/0!</v>
      </c>
      <c r="SYL64" s="367">
        <v>15.38</v>
      </c>
      <c r="SYM64" s="367" t="e">
        <f>SYJ64*SYK64*SYL64</f>
        <v>#DIV/0!</v>
      </c>
      <c r="SYN64" s="363" t="s">
        <v>153</v>
      </c>
      <c r="SYO64" s="363"/>
      <c r="SYP64" s="363"/>
      <c r="SYQ64" s="364" t="s">
        <v>140</v>
      </c>
      <c r="SYR64" s="365">
        <v>0.5</v>
      </c>
      <c r="SYS64" s="366" t="e">
        <f>10/SYO62</f>
        <v>#DIV/0!</v>
      </c>
      <c r="SYT64" s="367">
        <v>15.38</v>
      </c>
      <c r="SYU64" s="367" t="e">
        <f>SYR64*SYS64*SYT64</f>
        <v>#DIV/0!</v>
      </c>
      <c r="SYV64" s="363" t="s">
        <v>153</v>
      </c>
      <c r="SYW64" s="363"/>
      <c r="SYX64" s="363"/>
      <c r="SYY64" s="364" t="s">
        <v>140</v>
      </c>
      <c r="SYZ64" s="365">
        <v>0.5</v>
      </c>
      <c r="SZA64" s="366" t="e">
        <f>10/SYW62</f>
        <v>#DIV/0!</v>
      </c>
      <c r="SZB64" s="367">
        <v>15.38</v>
      </c>
      <c r="SZC64" s="367" t="e">
        <f>SYZ64*SZA64*SZB64</f>
        <v>#DIV/0!</v>
      </c>
      <c r="SZD64" s="363" t="s">
        <v>153</v>
      </c>
      <c r="SZE64" s="363"/>
      <c r="SZF64" s="363"/>
      <c r="SZG64" s="364" t="s">
        <v>140</v>
      </c>
      <c r="SZH64" s="365">
        <v>0.5</v>
      </c>
      <c r="SZI64" s="366" t="e">
        <f>10/SZE62</f>
        <v>#DIV/0!</v>
      </c>
      <c r="SZJ64" s="367">
        <v>15.38</v>
      </c>
      <c r="SZK64" s="367" t="e">
        <f>SZH64*SZI64*SZJ64</f>
        <v>#DIV/0!</v>
      </c>
      <c r="SZL64" s="363" t="s">
        <v>153</v>
      </c>
      <c r="SZM64" s="363"/>
      <c r="SZN64" s="363"/>
      <c r="SZO64" s="364" t="s">
        <v>140</v>
      </c>
      <c r="SZP64" s="365">
        <v>0.5</v>
      </c>
      <c r="SZQ64" s="366" t="e">
        <f>10/SZM62</f>
        <v>#DIV/0!</v>
      </c>
      <c r="SZR64" s="367">
        <v>15.38</v>
      </c>
      <c r="SZS64" s="367" t="e">
        <f>SZP64*SZQ64*SZR64</f>
        <v>#DIV/0!</v>
      </c>
      <c r="SZT64" s="363" t="s">
        <v>153</v>
      </c>
      <c r="SZU64" s="363"/>
      <c r="SZV64" s="363"/>
      <c r="SZW64" s="364" t="s">
        <v>140</v>
      </c>
      <c r="SZX64" s="365">
        <v>0.5</v>
      </c>
      <c r="SZY64" s="366" t="e">
        <f>10/SZU62</f>
        <v>#DIV/0!</v>
      </c>
      <c r="SZZ64" s="367">
        <v>15.38</v>
      </c>
      <c r="TAA64" s="367" t="e">
        <f>SZX64*SZY64*SZZ64</f>
        <v>#DIV/0!</v>
      </c>
      <c r="TAB64" s="363" t="s">
        <v>153</v>
      </c>
      <c r="TAC64" s="363"/>
      <c r="TAD64" s="363"/>
      <c r="TAE64" s="364" t="s">
        <v>140</v>
      </c>
      <c r="TAF64" s="365">
        <v>0.5</v>
      </c>
      <c r="TAG64" s="366" t="e">
        <f>10/TAC62</f>
        <v>#DIV/0!</v>
      </c>
      <c r="TAH64" s="367">
        <v>15.38</v>
      </c>
      <c r="TAI64" s="367" t="e">
        <f>TAF64*TAG64*TAH64</f>
        <v>#DIV/0!</v>
      </c>
      <c r="TAJ64" s="363" t="s">
        <v>153</v>
      </c>
      <c r="TAK64" s="363"/>
      <c r="TAL64" s="363"/>
      <c r="TAM64" s="364" t="s">
        <v>140</v>
      </c>
      <c r="TAN64" s="365">
        <v>0.5</v>
      </c>
      <c r="TAO64" s="366" t="e">
        <f>10/TAK62</f>
        <v>#DIV/0!</v>
      </c>
      <c r="TAP64" s="367">
        <v>15.38</v>
      </c>
      <c r="TAQ64" s="367" t="e">
        <f>TAN64*TAO64*TAP64</f>
        <v>#DIV/0!</v>
      </c>
      <c r="TAR64" s="363" t="s">
        <v>153</v>
      </c>
      <c r="TAS64" s="363"/>
      <c r="TAT64" s="363"/>
      <c r="TAU64" s="364" t="s">
        <v>140</v>
      </c>
      <c r="TAV64" s="365">
        <v>0.5</v>
      </c>
      <c r="TAW64" s="366" t="e">
        <f>10/TAS62</f>
        <v>#DIV/0!</v>
      </c>
      <c r="TAX64" s="367">
        <v>15.38</v>
      </c>
      <c r="TAY64" s="367" t="e">
        <f>TAV64*TAW64*TAX64</f>
        <v>#DIV/0!</v>
      </c>
      <c r="TAZ64" s="363" t="s">
        <v>153</v>
      </c>
      <c r="TBA64" s="363"/>
      <c r="TBB64" s="363"/>
      <c r="TBC64" s="364" t="s">
        <v>140</v>
      </c>
      <c r="TBD64" s="365">
        <v>0.5</v>
      </c>
      <c r="TBE64" s="366" t="e">
        <f>10/TBA62</f>
        <v>#DIV/0!</v>
      </c>
      <c r="TBF64" s="367">
        <v>15.38</v>
      </c>
      <c r="TBG64" s="367" t="e">
        <f>TBD64*TBE64*TBF64</f>
        <v>#DIV/0!</v>
      </c>
      <c r="TBH64" s="363" t="s">
        <v>153</v>
      </c>
      <c r="TBI64" s="363"/>
      <c r="TBJ64" s="363"/>
      <c r="TBK64" s="364" t="s">
        <v>140</v>
      </c>
      <c r="TBL64" s="365">
        <v>0.5</v>
      </c>
      <c r="TBM64" s="366" t="e">
        <f>10/TBI62</f>
        <v>#DIV/0!</v>
      </c>
      <c r="TBN64" s="367">
        <v>15.38</v>
      </c>
      <c r="TBO64" s="367" t="e">
        <f>TBL64*TBM64*TBN64</f>
        <v>#DIV/0!</v>
      </c>
      <c r="TBP64" s="363" t="s">
        <v>153</v>
      </c>
      <c r="TBQ64" s="363"/>
      <c r="TBR64" s="363"/>
      <c r="TBS64" s="364" t="s">
        <v>140</v>
      </c>
      <c r="TBT64" s="365">
        <v>0.5</v>
      </c>
      <c r="TBU64" s="366" t="e">
        <f>10/TBQ62</f>
        <v>#DIV/0!</v>
      </c>
      <c r="TBV64" s="367">
        <v>15.38</v>
      </c>
      <c r="TBW64" s="367" t="e">
        <f>TBT64*TBU64*TBV64</f>
        <v>#DIV/0!</v>
      </c>
      <c r="TBX64" s="363" t="s">
        <v>153</v>
      </c>
      <c r="TBY64" s="363"/>
      <c r="TBZ64" s="363"/>
      <c r="TCA64" s="364" t="s">
        <v>140</v>
      </c>
      <c r="TCB64" s="365">
        <v>0.5</v>
      </c>
      <c r="TCC64" s="366" t="e">
        <f>10/TBY62</f>
        <v>#DIV/0!</v>
      </c>
      <c r="TCD64" s="367">
        <v>15.38</v>
      </c>
      <c r="TCE64" s="367" t="e">
        <f>TCB64*TCC64*TCD64</f>
        <v>#DIV/0!</v>
      </c>
      <c r="TCF64" s="363" t="s">
        <v>153</v>
      </c>
      <c r="TCG64" s="363"/>
      <c r="TCH64" s="363"/>
      <c r="TCI64" s="364" t="s">
        <v>140</v>
      </c>
      <c r="TCJ64" s="365">
        <v>0.5</v>
      </c>
      <c r="TCK64" s="366" t="e">
        <f>10/TCG62</f>
        <v>#DIV/0!</v>
      </c>
      <c r="TCL64" s="367">
        <v>15.38</v>
      </c>
      <c r="TCM64" s="367" t="e">
        <f>TCJ64*TCK64*TCL64</f>
        <v>#DIV/0!</v>
      </c>
      <c r="TCN64" s="363" t="s">
        <v>153</v>
      </c>
      <c r="TCO64" s="363"/>
      <c r="TCP64" s="363"/>
      <c r="TCQ64" s="364" t="s">
        <v>140</v>
      </c>
      <c r="TCR64" s="365">
        <v>0.5</v>
      </c>
      <c r="TCS64" s="366" t="e">
        <f>10/TCO62</f>
        <v>#DIV/0!</v>
      </c>
      <c r="TCT64" s="367">
        <v>15.38</v>
      </c>
      <c r="TCU64" s="367" t="e">
        <f>TCR64*TCS64*TCT64</f>
        <v>#DIV/0!</v>
      </c>
      <c r="TCV64" s="363" t="s">
        <v>153</v>
      </c>
      <c r="TCW64" s="363"/>
      <c r="TCX64" s="363"/>
      <c r="TCY64" s="364" t="s">
        <v>140</v>
      </c>
      <c r="TCZ64" s="365">
        <v>0.5</v>
      </c>
      <c r="TDA64" s="366" t="e">
        <f>10/TCW62</f>
        <v>#DIV/0!</v>
      </c>
      <c r="TDB64" s="367">
        <v>15.38</v>
      </c>
      <c r="TDC64" s="367" t="e">
        <f>TCZ64*TDA64*TDB64</f>
        <v>#DIV/0!</v>
      </c>
      <c r="TDD64" s="363" t="s">
        <v>153</v>
      </c>
      <c r="TDE64" s="363"/>
      <c r="TDF64" s="363"/>
      <c r="TDG64" s="364" t="s">
        <v>140</v>
      </c>
      <c r="TDH64" s="365">
        <v>0.5</v>
      </c>
      <c r="TDI64" s="366" t="e">
        <f>10/TDE62</f>
        <v>#DIV/0!</v>
      </c>
      <c r="TDJ64" s="367">
        <v>15.38</v>
      </c>
      <c r="TDK64" s="367" t="e">
        <f>TDH64*TDI64*TDJ64</f>
        <v>#DIV/0!</v>
      </c>
      <c r="TDL64" s="363" t="s">
        <v>153</v>
      </c>
      <c r="TDM64" s="363"/>
      <c r="TDN64" s="363"/>
      <c r="TDO64" s="364" t="s">
        <v>140</v>
      </c>
      <c r="TDP64" s="365">
        <v>0.5</v>
      </c>
      <c r="TDQ64" s="366" t="e">
        <f>10/TDM62</f>
        <v>#DIV/0!</v>
      </c>
      <c r="TDR64" s="367">
        <v>15.38</v>
      </c>
      <c r="TDS64" s="367" t="e">
        <f>TDP64*TDQ64*TDR64</f>
        <v>#DIV/0!</v>
      </c>
      <c r="TDT64" s="363" t="s">
        <v>153</v>
      </c>
      <c r="TDU64" s="363"/>
      <c r="TDV64" s="363"/>
      <c r="TDW64" s="364" t="s">
        <v>140</v>
      </c>
      <c r="TDX64" s="365">
        <v>0.5</v>
      </c>
      <c r="TDY64" s="366" t="e">
        <f>10/TDU62</f>
        <v>#DIV/0!</v>
      </c>
      <c r="TDZ64" s="367">
        <v>15.38</v>
      </c>
      <c r="TEA64" s="367" t="e">
        <f>TDX64*TDY64*TDZ64</f>
        <v>#DIV/0!</v>
      </c>
      <c r="TEB64" s="363" t="s">
        <v>153</v>
      </c>
      <c r="TEC64" s="363"/>
      <c r="TED64" s="363"/>
      <c r="TEE64" s="364" t="s">
        <v>140</v>
      </c>
      <c r="TEF64" s="365">
        <v>0.5</v>
      </c>
      <c r="TEG64" s="366" t="e">
        <f>10/TEC62</f>
        <v>#DIV/0!</v>
      </c>
      <c r="TEH64" s="367">
        <v>15.38</v>
      </c>
      <c r="TEI64" s="367" t="e">
        <f>TEF64*TEG64*TEH64</f>
        <v>#DIV/0!</v>
      </c>
      <c r="TEJ64" s="363" t="s">
        <v>153</v>
      </c>
      <c r="TEK64" s="363"/>
      <c r="TEL64" s="363"/>
      <c r="TEM64" s="364" t="s">
        <v>140</v>
      </c>
      <c r="TEN64" s="365">
        <v>0.5</v>
      </c>
      <c r="TEO64" s="366" t="e">
        <f>10/TEK62</f>
        <v>#DIV/0!</v>
      </c>
      <c r="TEP64" s="367">
        <v>15.38</v>
      </c>
      <c r="TEQ64" s="367" t="e">
        <f>TEN64*TEO64*TEP64</f>
        <v>#DIV/0!</v>
      </c>
      <c r="TER64" s="363" t="s">
        <v>153</v>
      </c>
      <c r="TES64" s="363"/>
      <c r="TET64" s="363"/>
      <c r="TEU64" s="364" t="s">
        <v>140</v>
      </c>
      <c r="TEV64" s="365">
        <v>0.5</v>
      </c>
      <c r="TEW64" s="366" t="e">
        <f>10/TES62</f>
        <v>#DIV/0!</v>
      </c>
      <c r="TEX64" s="367">
        <v>15.38</v>
      </c>
      <c r="TEY64" s="367" t="e">
        <f>TEV64*TEW64*TEX64</f>
        <v>#DIV/0!</v>
      </c>
      <c r="TEZ64" s="363" t="s">
        <v>153</v>
      </c>
      <c r="TFA64" s="363"/>
      <c r="TFB64" s="363"/>
      <c r="TFC64" s="364" t="s">
        <v>140</v>
      </c>
      <c r="TFD64" s="365">
        <v>0.5</v>
      </c>
      <c r="TFE64" s="366" t="e">
        <f>10/TFA62</f>
        <v>#DIV/0!</v>
      </c>
      <c r="TFF64" s="367">
        <v>15.38</v>
      </c>
      <c r="TFG64" s="367" t="e">
        <f>TFD64*TFE64*TFF64</f>
        <v>#DIV/0!</v>
      </c>
      <c r="TFH64" s="363" t="s">
        <v>153</v>
      </c>
      <c r="TFI64" s="363"/>
      <c r="TFJ64" s="363"/>
      <c r="TFK64" s="364" t="s">
        <v>140</v>
      </c>
      <c r="TFL64" s="365">
        <v>0.5</v>
      </c>
      <c r="TFM64" s="366" t="e">
        <f>10/TFI62</f>
        <v>#DIV/0!</v>
      </c>
      <c r="TFN64" s="367">
        <v>15.38</v>
      </c>
      <c r="TFO64" s="367" t="e">
        <f>TFL64*TFM64*TFN64</f>
        <v>#DIV/0!</v>
      </c>
      <c r="TFP64" s="363" t="s">
        <v>153</v>
      </c>
      <c r="TFQ64" s="363"/>
      <c r="TFR64" s="363"/>
      <c r="TFS64" s="364" t="s">
        <v>140</v>
      </c>
      <c r="TFT64" s="365">
        <v>0.5</v>
      </c>
      <c r="TFU64" s="366" t="e">
        <f>10/TFQ62</f>
        <v>#DIV/0!</v>
      </c>
      <c r="TFV64" s="367">
        <v>15.38</v>
      </c>
      <c r="TFW64" s="367" t="e">
        <f>TFT64*TFU64*TFV64</f>
        <v>#DIV/0!</v>
      </c>
      <c r="TFX64" s="363" t="s">
        <v>153</v>
      </c>
      <c r="TFY64" s="363"/>
      <c r="TFZ64" s="363"/>
      <c r="TGA64" s="364" t="s">
        <v>140</v>
      </c>
      <c r="TGB64" s="365">
        <v>0.5</v>
      </c>
      <c r="TGC64" s="366" t="e">
        <f>10/TFY62</f>
        <v>#DIV/0!</v>
      </c>
      <c r="TGD64" s="367">
        <v>15.38</v>
      </c>
      <c r="TGE64" s="367" t="e">
        <f>TGB64*TGC64*TGD64</f>
        <v>#DIV/0!</v>
      </c>
      <c r="TGF64" s="363" t="s">
        <v>153</v>
      </c>
      <c r="TGG64" s="363"/>
      <c r="TGH64" s="363"/>
      <c r="TGI64" s="364" t="s">
        <v>140</v>
      </c>
      <c r="TGJ64" s="365">
        <v>0.5</v>
      </c>
      <c r="TGK64" s="366" t="e">
        <f>10/TGG62</f>
        <v>#DIV/0!</v>
      </c>
      <c r="TGL64" s="367">
        <v>15.38</v>
      </c>
      <c r="TGM64" s="367" t="e">
        <f>TGJ64*TGK64*TGL64</f>
        <v>#DIV/0!</v>
      </c>
      <c r="TGN64" s="363" t="s">
        <v>153</v>
      </c>
      <c r="TGO64" s="363"/>
      <c r="TGP64" s="363"/>
      <c r="TGQ64" s="364" t="s">
        <v>140</v>
      </c>
      <c r="TGR64" s="365">
        <v>0.5</v>
      </c>
      <c r="TGS64" s="366" t="e">
        <f>10/TGO62</f>
        <v>#DIV/0!</v>
      </c>
      <c r="TGT64" s="367">
        <v>15.38</v>
      </c>
      <c r="TGU64" s="367" t="e">
        <f>TGR64*TGS64*TGT64</f>
        <v>#DIV/0!</v>
      </c>
      <c r="TGV64" s="363" t="s">
        <v>153</v>
      </c>
      <c r="TGW64" s="363"/>
      <c r="TGX64" s="363"/>
      <c r="TGY64" s="364" t="s">
        <v>140</v>
      </c>
      <c r="TGZ64" s="365">
        <v>0.5</v>
      </c>
      <c r="THA64" s="366" t="e">
        <f>10/TGW62</f>
        <v>#DIV/0!</v>
      </c>
      <c r="THB64" s="367">
        <v>15.38</v>
      </c>
      <c r="THC64" s="367" t="e">
        <f>TGZ64*THA64*THB64</f>
        <v>#DIV/0!</v>
      </c>
      <c r="THD64" s="363" t="s">
        <v>153</v>
      </c>
      <c r="THE64" s="363"/>
      <c r="THF64" s="363"/>
      <c r="THG64" s="364" t="s">
        <v>140</v>
      </c>
      <c r="THH64" s="365">
        <v>0.5</v>
      </c>
      <c r="THI64" s="366" t="e">
        <f>10/THE62</f>
        <v>#DIV/0!</v>
      </c>
      <c r="THJ64" s="367">
        <v>15.38</v>
      </c>
      <c r="THK64" s="367" t="e">
        <f>THH64*THI64*THJ64</f>
        <v>#DIV/0!</v>
      </c>
      <c r="THL64" s="363" t="s">
        <v>153</v>
      </c>
      <c r="THM64" s="363"/>
      <c r="THN64" s="363"/>
      <c r="THO64" s="364" t="s">
        <v>140</v>
      </c>
      <c r="THP64" s="365">
        <v>0.5</v>
      </c>
      <c r="THQ64" s="366" t="e">
        <f>10/THM62</f>
        <v>#DIV/0!</v>
      </c>
      <c r="THR64" s="367">
        <v>15.38</v>
      </c>
      <c r="THS64" s="367" t="e">
        <f>THP64*THQ64*THR64</f>
        <v>#DIV/0!</v>
      </c>
      <c r="THT64" s="363" t="s">
        <v>153</v>
      </c>
      <c r="THU64" s="363"/>
      <c r="THV64" s="363"/>
      <c r="THW64" s="364" t="s">
        <v>140</v>
      </c>
      <c r="THX64" s="365">
        <v>0.5</v>
      </c>
      <c r="THY64" s="366" t="e">
        <f>10/THU62</f>
        <v>#DIV/0!</v>
      </c>
      <c r="THZ64" s="367">
        <v>15.38</v>
      </c>
      <c r="TIA64" s="367" t="e">
        <f>THX64*THY64*THZ64</f>
        <v>#DIV/0!</v>
      </c>
      <c r="TIB64" s="363" t="s">
        <v>153</v>
      </c>
      <c r="TIC64" s="363"/>
      <c r="TID64" s="363"/>
      <c r="TIE64" s="364" t="s">
        <v>140</v>
      </c>
      <c r="TIF64" s="365">
        <v>0.5</v>
      </c>
      <c r="TIG64" s="366" t="e">
        <f>10/TIC62</f>
        <v>#DIV/0!</v>
      </c>
      <c r="TIH64" s="367">
        <v>15.38</v>
      </c>
      <c r="TII64" s="367" t="e">
        <f>TIF64*TIG64*TIH64</f>
        <v>#DIV/0!</v>
      </c>
      <c r="TIJ64" s="363" t="s">
        <v>153</v>
      </c>
      <c r="TIK64" s="363"/>
      <c r="TIL64" s="363"/>
      <c r="TIM64" s="364" t="s">
        <v>140</v>
      </c>
      <c r="TIN64" s="365">
        <v>0.5</v>
      </c>
      <c r="TIO64" s="366" t="e">
        <f>10/TIK62</f>
        <v>#DIV/0!</v>
      </c>
      <c r="TIP64" s="367">
        <v>15.38</v>
      </c>
      <c r="TIQ64" s="367" t="e">
        <f>TIN64*TIO64*TIP64</f>
        <v>#DIV/0!</v>
      </c>
      <c r="TIR64" s="363" t="s">
        <v>153</v>
      </c>
      <c r="TIS64" s="363"/>
      <c r="TIT64" s="363"/>
      <c r="TIU64" s="364" t="s">
        <v>140</v>
      </c>
      <c r="TIV64" s="365">
        <v>0.5</v>
      </c>
      <c r="TIW64" s="366" t="e">
        <f>10/TIS62</f>
        <v>#DIV/0!</v>
      </c>
      <c r="TIX64" s="367">
        <v>15.38</v>
      </c>
      <c r="TIY64" s="367" t="e">
        <f>TIV64*TIW64*TIX64</f>
        <v>#DIV/0!</v>
      </c>
      <c r="TIZ64" s="363" t="s">
        <v>153</v>
      </c>
      <c r="TJA64" s="363"/>
      <c r="TJB64" s="363"/>
      <c r="TJC64" s="364" t="s">
        <v>140</v>
      </c>
      <c r="TJD64" s="365">
        <v>0.5</v>
      </c>
      <c r="TJE64" s="366" t="e">
        <f>10/TJA62</f>
        <v>#DIV/0!</v>
      </c>
      <c r="TJF64" s="367">
        <v>15.38</v>
      </c>
      <c r="TJG64" s="367" t="e">
        <f>TJD64*TJE64*TJF64</f>
        <v>#DIV/0!</v>
      </c>
      <c r="TJH64" s="363" t="s">
        <v>153</v>
      </c>
      <c r="TJI64" s="363"/>
      <c r="TJJ64" s="363"/>
      <c r="TJK64" s="364" t="s">
        <v>140</v>
      </c>
      <c r="TJL64" s="365">
        <v>0.5</v>
      </c>
      <c r="TJM64" s="366" t="e">
        <f>10/TJI62</f>
        <v>#DIV/0!</v>
      </c>
      <c r="TJN64" s="367">
        <v>15.38</v>
      </c>
      <c r="TJO64" s="367" t="e">
        <f>TJL64*TJM64*TJN64</f>
        <v>#DIV/0!</v>
      </c>
      <c r="TJP64" s="363" t="s">
        <v>153</v>
      </c>
      <c r="TJQ64" s="363"/>
      <c r="TJR64" s="363"/>
      <c r="TJS64" s="364" t="s">
        <v>140</v>
      </c>
      <c r="TJT64" s="365">
        <v>0.5</v>
      </c>
      <c r="TJU64" s="366" t="e">
        <f>10/TJQ62</f>
        <v>#DIV/0!</v>
      </c>
      <c r="TJV64" s="367">
        <v>15.38</v>
      </c>
      <c r="TJW64" s="367" t="e">
        <f>TJT64*TJU64*TJV64</f>
        <v>#DIV/0!</v>
      </c>
      <c r="TJX64" s="363" t="s">
        <v>153</v>
      </c>
      <c r="TJY64" s="363"/>
      <c r="TJZ64" s="363"/>
      <c r="TKA64" s="364" t="s">
        <v>140</v>
      </c>
      <c r="TKB64" s="365">
        <v>0.5</v>
      </c>
      <c r="TKC64" s="366" t="e">
        <f>10/TJY62</f>
        <v>#DIV/0!</v>
      </c>
      <c r="TKD64" s="367">
        <v>15.38</v>
      </c>
      <c r="TKE64" s="367" t="e">
        <f>TKB64*TKC64*TKD64</f>
        <v>#DIV/0!</v>
      </c>
      <c r="TKF64" s="363" t="s">
        <v>153</v>
      </c>
      <c r="TKG64" s="363"/>
      <c r="TKH64" s="363"/>
      <c r="TKI64" s="364" t="s">
        <v>140</v>
      </c>
      <c r="TKJ64" s="365">
        <v>0.5</v>
      </c>
      <c r="TKK64" s="366" t="e">
        <f>10/TKG62</f>
        <v>#DIV/0!</v>
      </c>
      <c r="TKL64" s="367">
        <v>15.38</v>
      </c>
      <c r="TKM64" s="367" t="e">
        <f>TKJ64*TKK64*TKL64</f>
        <v>#DIV/0!</v>
      </c>
      <c r="TKN64" s="363" t="s">
        <v>153</v>
      </c>
      <c r="TKO64" s="363"/>
      <c r="TKP64" s="363"/>
      <c r="TKQ64" s="364" t="s">
        <v>140</v>
      </c>
      <c r="TKR64" s="365">
        <v>0.5</v>
      </c>
      <c r="TKS64" s="366" t="e">
        <f>10/TKO62</f>
        <v>#DIV/0!</v>
      </c>
      <c r="TKT64" s="367">
        <v>15.38</v>
      </c>
      <c r="TKU64" s="367" t="e">
        <f>TKR64*TKS64*TKT64</f>
        <v>#DIV/0!</v>
      </c>
      <c r="TKV64" s="363" t="s">
        <v>153</v>
      </c>
      <c r="TKW64" s="363"/>
      <c r="TKX64" s="363"/>
      <c r="TKY64" s="364" t="s">
        <v>140</v>
      </c>
      <c r="TKZ64" s="365">
        <v>0.5</v>
      </c>
      <c r="TLA64" s="366" t="e">
        <f>10/TKW62</f>
        <v>#DIV/0!</v>
      </c>
      <c r="TLB64" s="367">
        <v>15.38</v>
      </c>
      <c r="TLC64" s="367" t="e">
        <f>TKZ64*TLA64*TLB64</f>
        <v>#DIV/0!</v>
      </c>
      <c r="TLD64" s="363" t="s">
        <v>153</v>
      </c>
      <c r="TLE64" s="363"/>
      <c r="TLF64" s="363"/>
      <c r="TLG64" s="364" t="s">
        <v>140</v>
      </c>
      <c r="TLH64" s="365">
        <v>0.5</v>
      </c>
      <c r="TLI64" s="366" t="e">
        <f>10/TLE62</f>
        <v>#DIV/0!</v>
      </c>
      <c r="TLJ64" s="367">
        <v>15.38</v>
      </c>
      <c r="TLK64" s="367" t="e">
        <f>TLH64*TLI64*TLJ64</f>
        <v>#DIV/0!</v>
      </c>
      <c r="TLL64" s="363" t="s">
        <v>153</v>
      </c>
      <c r="TLM64" s="363"/>
      <c r="TLN64" s="363"/>
      <c r="TLO64" s="364" t="s">
        <v>140</v>
      </c>
      <c r="TLP64" s="365">
        <v>0.5</v>
      </c>
      <c r="TLQ64" s="366" t="e">
        <f>10/TLM62</f>
        <v>#DIV/0!</v>
      </c>
      <c r="TLR64" s="367">
        <v>15.38</v>
      </c>
      <c r="TLS64" s="367" t="e">
        <f>TLP64*TLQ64*TLR64</f>
        <v>#DIV/0!</v>
      </c>
      <c r="TLT64" s="363" t="s">
        <v>153</v>
      </c>
      <c r="TLU64" s="363"/>
      <c r="TLV64" s="363"/>
      <c r="TLW64" s="364" t="s">
        <v>140</v>
      </c>
      <c r="TLX64" s="365">
        <v>0.5</v>
      </c>
      <c r="TLY64" s="366" t="e">
        <f>10/TLU62</f>
        <v>#DIV/0!</v>
      </c>
      <c r="TLZ64" s="367">
        <v>15.38</v>
      </c>
      <c r="TMA64" s="367" t="e">
        <f>TLX64*TLY64*TLZ64</f>
        <v>#DIV/0!</v>
      </c>
      <c r="TMB64" s="363" t="s">
        <v>153</v>
      </c>
      <c r="TMC64" s="363"/>
      <c r="TMD64" s="363"/>
      <c r="TME64" s="364" t="s">
        <v>140</v>
      </c>
      <c r="TMF64" s="365">
        <v>0.5</v>
      </c>
      <c r="TMG64" s="366" t="e">
        <f>10/TMC62</f>
        <v>#DIV/0!</v>
      </c>
      <c r="TMH64" s="367">
        <v>15.38</v>
      </c>
      <c r="TMI64" s="367" t="e">
        <f>TMF64*TMG64*TMH64</f>
        <v>#DIV/0!</v>
      </c>
      <c r="TMJ64" s="363" t="s">
        <v>153</v>
      </c>
      <c r="TMK64" s="363"/>
      <c r="TML64" s="363"/>
      <c r="TMM64" s="364" t="s">
        <v>140</v>
      </c>
      <c r="TMN64" s="365">
        <v>0.5</v>
      </c>
      <c r="TMO64" s="366" t="e">
        <f>10/TMK62</f>
        <v>#DIV/0!</v>
      </c>
      <c r="TMP64" s="367">
        <v>15.38</v>
      </c>
      <c r="TMQ64" s="367" t="e">
        <f>TMN64*TMO64*TMP64</f>
        <v>#DIV/0!</v>
      </c>
      <c r="TMR64" s="363" t="s">
        <v>153</v>
      </c>
      <c r="TMS64" s="363"/>
      <c r="TMT64" s="363"/>
      <c r="TMU64" s="364" t="s">
        <v>140</v>
      </c>
      <c r="TMV64" s="365">
        <v>0.5</v>
      </c>
      <c r="TMW64" s="366" t="e">
        <f>10/TMS62</f>
        <v>#DIV/0!</v>
      </c>
      <c r="TMX64" s="367">
        <v>15.38</v>
      </c>
      <c r="TMY64" s="367" t="e">
        <f>TMV64*TMW64*TMX64</f>
        <v>#DIV/0!</v>
      </c>
      <c r="TMZ64" s="363" t="s">
        <v>153</v>
      </c>
      <c r="TNA64" s="363"/>
      <c r="TNB64" s="363"/>
      <c r="TNC64" s="364" t="s">
        <v>140</v>
      </c>
      <c r="TND64" s="365">
        <v>0.5</v>
      </c>
      <c r="TNE64" s="366" t="e">
        <f>10/TNA62</f>
        <v>#DIV/0!</v>
      </c>
      <c r="TNF64" s="367">
        <v>15.38</v>
      </c>
      <c r="TNG64" s="367" t="e">
        <f>TND64*TNE64*TNF64</f>
        <v>#DIV/0!</v>
      </c>
      <c r="TNH64" s="363" t="s">
        <v>153</v>
      </c>
      <c r="TNI64" s="363"/>
      <c r="TNJ64" s="363"/>
      <c r="TNK64" s="364" t="s">
        <v>140</v>
      </c>
      <c r="TNL64" s="365">
        <v>0.5</v>
      </c>
      <c r="TNM64" s="366" t="e">
        <f>10/TNI62</f>
        <v>#DIV/0!</v>
      </c>
      <c r="TNN64" s="367">
        <v>15.38</v>
      </c>
      <c r="TNO64" s="367" t="e">
        <f>TNL64*TNM64*TNN64</f>
        <v>#DIV/0!</v>
      </c>
      <c r="TNP64" s="363" t="s">
        <v>153</v>
      </c>
      <c r="TNQ64" s="363"/>
      <c r="TNR64" s="363"/>
      <c r="TNS64" s="364" t="s">
        <v>140</v>
      </c>
      <c r="TNT64" s="365">
        <v>0.5</v>
      </c>
      <c r="TNU64" s="366" t="e">
        <f>10/TNQ62</f>
        <v>#DIV/0!</v>
      </c>
      <c r="TNV64" s="367">
        <v>15.38</v>
      </c>
      <c r="TNW64" s="367" t="e">
        <f>TNT64*TNU64*TNV64</f>
        <v>#DIV/0!</v>
      </c>
      <c r="TNX64" s="363" t="s">
        <v>153</v>
      </c>
      <c r="TNY64" s="363"/>
      <c r="TNZ64" s="363"/>
      <c r="TOA64" s="364" t="s">
        <v>140</v>
      </c>
      <c r="TOB64" s="365">
        <v>0.5</v>
      </c>
      <c r="TOC64" s="366" t="e">
        <f>10/TNY62</f>
        <v>#DIV/0!</v>
      </c>
      <c r="TOD64" s="367">
        <v>15.38</v>
      </c>
      <c r="TOE64" s="367" t="e">
        <f>TOB64*TOC64*TOD64</f>
        <v>#DIV/0!</v>
      </c>
      <c r="TOF64" s="363" t="s">
        <v>153</v>
      </c>
      <c r="TOG64" s="363"/>
      <c r="TOH64" s="363"/>
      <c r="TOI64" s="364" t="s">
        <v>140</v>
      </c>
      <c r="TOJ64" s="365">
        <v>0.5</v>
      </c>
      <c r="TOK64" s="366" t="e">
        <f>10/TOG62</f>
        <v>#DIV/0!</v>
      </c>
      <c r="TOL64" s="367">
        <v>15.38</v>
      </c>
      <c r="TOM64" s="367" t="e">
        <f>TOJ64*TOK64*TOL64</f>
        <v>#DIV/0!</v>
      </c>
      <c r="TON64" s="363" t="s">
        <v>153</v>
      </c>
      <c r="TOO64" s="363"/>
      <c r="TOP64" s="363"/>
      <c r="TOQ64" s="364" t="s">
        <v>140</v>
      </c>
      <c r="TOR64" s="365">
        <v>0.5</v>
      </c>
      <c r="TOS64" s="366" t="e">
        <f>10/TOO62</f>
        <v>#DIV/0!</v>
      </c>
      <c r="TOT64" s="367">
        <v>15.38</v>
      </c>
      <c r="TOU64" s="367" t="e">
        <f>TOR64*TOS64*TOT64</f>
        <v>#DIV/0!</v>
      </c>
      <c r="TOV64" s="363" t="s">
        <v>153</v>
      </c>
      <c r="TOW64" s="363"/>
      <c r="TOX64" s="363"/>
      <c r="TOY64" s="364" t="s">
        <v>140</v>
      </c>
      <c r="TOZ64" s="365">
        <v>0.5</v>
      </c>
      <c r="TPA64" s="366" t="e">
        <f>10/TOW62</f>
        <v>#DIV/0!</v>
      </c>
      <c r="TPB64" s="367">
        <v>15.38</v>
      </c>
      <c r="TPC64" s="367" t="e">
        <f>TOZ64*TPA64*TPB64</f>
        <v>#DIV/0!</v>
      </c>
      <c r="TPD64" s="363" t="s">
        <v>153</v>
      </c>
      <c r="TPE64" s="363"/>
      <c r="TPF64" s="363"/>
      <c r="TPG64" s="364" t="s">
        <v>140</v>
      </c>
      <c r="TPH64" s="365">
        <v>0.5</v>
      </c>
      <c r="TPI64" s="366" t="e">
        <f>10/TPE62</f>
        <v>#DIV/0!</v>
      </c>
      <c r="TPJ64" s="367">
        <v>15.38</v>
      </c>
      <c r="TPK64" s="367" t="e">
        <f>TPH64*TPI64*TPJ64</f>
        <v>#DIV/0!</v>
      </c>
      <c r="TPL64" s="363" t="s">
        <v>153</v>
      </c>
      <c r="TPM64" s="363"/>
      <c r="TPN64" s="363"/>
      <c r="TPO64" s="364" t="s">
        <v>140</v>
      </c>
      <c r="TPP64" s="365">
        <v>0.5</v>
      </c>
      <c r="TPQ64" s="366" t="e">
        <f>10/TPM62</f>
        <v>#DIV/0!</v>
      </c>
      <c r="TPR64" s="367">
        <v>15.38</v>
      </c>
      <c r="TPS64" s="367" t="e">
        <f>TPP64*TPQ64*TPR64</f>
        <v>#DIV/0!</v>
      </c>
      <c r="TPT64" s="363" t="s">
        <v>153</v>
      </c>
      <c r="TPU64" s="363"/>
      <c r="TPV64" s="363"/>
      <c r="TPW64" s="364" t="s">
        <v>140</v>
      </c>
      <c r="TPX64" s="365">
        <v>0.5</v>
      </c>
      <c r="TPY64" s="366" t="e">
        <f>10/TPU62</f>
        <v>#DIV/0!</v>
      </c>
      <c r="TPZ64" s="367">
        <v>15.38</v>
      </c>
      <c r="TQA64" s="367" t="e">
        <f>TPX64*TPY64*TPZ64</f>
        <v>#DIV/0!</v>
      </c>
      <c r="TQB64" s="363" t="s">
        <v>153</v>
      </c>
      <c r="TQC64" s="363"/>
      <c r="TQD64" s="363"/>
      <c r="TQE64" s="364" t="s">
        <v>140</v>
      </c>
      <c r="TQF64" s="365">
        <v>0.5</v>
      </c>
      <c r="TQG64" s="366" t="e">
        <f>10/TQC62</f>
        <v>#DIV/0!</v>
      </c>
      <c r="TQH64" s="367">
        <v>15.38</v>
      </c>
      <c r="TQI64" s="367" t="e">
        <f>TQF64*TQG64*TQH64</f>
        <v>#DIV/0!</v>
      </c>
      <c r="TQJ64" s="363" t="s">
        <v>153</v>
      </c>
      <c r="TQK64" s="363"/>
      <c r="TQL64" s="363"/>
      <c r="TQM64" s="364" t="s">
        <v>140</v>
      </c>
      <c r="TQN64" s="365">
        <v>0.5</v>
      </c>
      <c r="TQO64" s="366" t="e">
        <f>10/TQK62</f>
        <v>#DIV/0!</v>
      </c>
      <c r="TQP64" s="367">
        <v>15.38</v>
      </c>
      <c r="TQQ64" s="367" t="e">
        <f>TQN64*TQO64*TQP64</f>
        <v>#DIV/0!</v>
      </c>
      <c r="TQR64" s="363" t="s">
        <v>153</v>
      </c>
      <c r="TQS64" s="363"/>
      <c r="TQT64" s="363"/>
      <c r="TQU64" s="364" t="s">
        <v>140</v>
      </c>
      <c r="TQV64" s="365">
        <v>0.5</v>
      </c>
      <c r="TQW64" s="366" t="e">
        <f>10/TQS62</f>
        <v>#DIV/0!</v>
      </c>
      <c r="TQX64" s="367">
        <v>15.38</v>
      </c>
      <c r="TQY64" s="367" t="e">
        <f>TQV64*TQW64*TQX64</f>
        <v>#DIV/0!</v>
      </c>
      <c r="TQZ64" s="363" t="s">
        <v>153</v>
      </c>
      <c r="TRA64" s="363"/>
      <c r="TRB64" s="363"/>
      <c r="TRC64" s="364" t="s">
        <v>140</v>
      </c>
      <c r="TRD64" s="365">
        <v>0.5</v>
      </c>
      <c r="TRE64" s="366" t="e">
        <f>10/TRA62</f>
        <v>#DIV/0!</v>
      </c>
      <c r="TRF64" s="367">
        <v>15.38</v>
      </c>
      <c r="TRG64" s="367" t="e">
        <f>TRD64*TRE64*TRF64</f>
        <v>#DIV/0!</v>
      </c>
      <c r="TRH64" s="363" t="s">
        <v>153</v>
      </c>
      <c r="TRI64" s="363"/>
      <c r="TRJ64" s="363"/>
      <c r="TRK64" s="364" t="s">
        <v>140</v>
      </c>
      <c r="TRL64" s="365">
        <v>0.5</v>
      </c>
      <c r="TRM64" s="366" t="e">
        <f>10/TRI62</f>
        <v>#DIV/0!</v>
      </c>
      <c r="TRN64" s="367">
        <v>15.38</v>
      </c>
      <c r="TRO64" s="367" t="e">
        <f>TRL64*TRM64*TRN64</f>
        <v>#DIV/0!</v>
      </c>
      <c r="TRP64" s="363" t="s">
        <v>153</v>
      </c>
      <c r="TRQ64" s="363"/>
      <c r="TRR64" s="363"/>
      <c r="TRS64" s="364" t="s">
        <v>140</v>
      </c>
      <c r="TRT64" s="365">
        <v>0.5</v>
      </c>
      <c r="TRU64" s="366" t="e">
        <f>10/TRQ62</f>
        <v>#DIV/0!</v>
      </c>
      <c r="TRV64" s="367">
        <v>15.38</v>
      </c>
      <c r="TRW64" s="367" t="e">
        <f>TRT64*TRU64*TRV64</f>
        <v>#DIV/0!</v>
      </c>
      <c r="TRX64" s="363" t="s">
        <v>153</v>
      </c>
      <c r="TRY64" s="363"/>
      <c r="TRZ64" s="363"/>
      <c r="TSA64" s="364" t="s">
        <v>140</v>
      </c>
      <c r="TSB64" s="365">
        <v>0.5</v>
      </c>
      <c r="TSC64" s="366" t="e">
        <f>10/TRY62</f>
        <v>#DIV/0!</v>
      </c>
      <c r="TSD64" s="367">
        <v>15.38</v>
      </c>
      <c r="TSE64" s="367" t="e">
        <f>TSB64*TSC64*TSD64</f>
        <v>#DIV/0!</v>
      </c>
      <c r="TSF64" s="363" t="s">
        <v>153</v>
      </c>
      <c r="TSG64" s="363"/>
      <c r="TSH64" s="363"/>
      <c r="TSI64" s="364" t="s">
        <v>140</v>
      </c>
      <c r="TSJ64" s="365">
        <v>0.5</v>
      </c>
      <c r="TSK64" s="366" t="e">
        <f>10/TSG62</f>
        <v>#DIV/0!</v>
      </c>
      <c r="TSL64" s="367">
        <v>15.38</v>
      </c>
      <c r="TSM64" s="367" t="e">
        <f>TSJ64*TSK64*TSL64</f>
        <v>#DIV/0!</v>
      </c>
      <c r="TSN64" s="363" t="s">
        <v>153</v>
      </c>
      <c r="TSO64" s="363"/>
      <c r="TSP64" s="363"/>
      <c r="TSQ64" s="364" t="s">
        <v>140</v>
      </c>
      <c r="TSR64" s="365">
        <v>0.5</v>
      </c>
      <c r="TSS64" s="366" t="e">
        <f>10/TSO62</f>
        <v>#DIV/0!</v>
      </c>
      <c r="TST64" s="367">
        <v>15.38</v>
      </c>
      <c r="TSU64" s="367" t="e">
        <f>TSR64*TSS64*TST64</f>
        <v>#DIV/0!</v>
      </c>
      <c r="TSV64" s="363" t="s">
        <v>153</v>
      </c>
      <c r="TSW64" s="363"/>
      <c r="TSX64" s="363"/>
      <c r="TSY64" s="364" t="s">
        <v>140</v>
      </c>
      <c r="TSZ64" s="365">
        <v>0.5</v>
      </c>
      <c r="TTA64" s="366" t="e">
        <f>10/TSW62</f>
        <v>#DIV/0!</v>
      </c>
      <c r="TTB64" s="367">
        <v>15.38</v>
      </c>
      <c r="TTC64" s="367" t="e">
        <f>TSZ64*TTA64*TTB64</f>
        <v>#DIV/0!</v>
      </c>
      <c r="TTD64" s="363" t="s">
        <v>153</v>
      </c>
      <c r="TTE64" s="363"/>
      <c r="TTF64" s="363"/>
      <c r="TTG64" s="364" t="s">
        <v>140</v>
      </c>
      <c r="TTH64" s="365">
        <v>0.5</v>
      </c>
      <c r="TTI64" s="366" t="e">
        <f>10/TTE62</f>
        <v>#DIV/0!</v>
      </c>
      <c r="TTJ64" s="367">
        <v>15.38</v>
      </c>
      <c r="TTK64" s="367" t="e">
        <f>TTH64*TTI64*TTJ64</f>
        <v>#DIV/0!</v>
      </c>
      <c r="TTL64" s="363" t="s">
        <v>153</v>
      </c>
      <c r="TTM64" s="363"/>
      <c r="TTN64" s="363"/>
      <c r="TTO64" s="364" t="s">
        <v>140</v>
      </c>
      <c r="TTP64" s="365">
        <v>0.5</v>
      </c>
      <c r="TTQ64" s="366" t="e">
        <f>10/TTM62</f>
        <v>#DIV/0!</v>
      </c>
      <c r="TTR64" s="367">
        <v>15.38</v>
      </c>
      <c r="TTS64" s="367" t="e">
        <f>TTP64*TTQ64*TTR64</f>
        <v>#DIV/0!</v>
      </c>
      <c r="TTT64" s="363" t="s">
        <v>153</v>
      </c>
      <c r="TTU64" s="363"/>
      <c r="TTV64" s="363"/>
      <c r="TTW64" s="364" t="s">
        <v>140</v>
      </c>
      <c r="TTX64" s="365">
        <v>0.5</v>
      </c>
      <c r="TTY64" s="366" t="e">
        <f>10/TTU62</f>
        <v>#DIV/0!</v>
      </c>
      <c r="TTZ64" s="367">
        <v>15.38</v>
      </c>
      <c r="TUA64" s="367" t="e">
        <f>TTX64*TTY64*TTZ64</f>
        <v>#DIV/0!</v>
      </c>
      <c r="TUB64" s="363" t="s">
        <v>153</v>
      </c>
      <c r="TUC64" s="363"/>
      <c r="TUD64" s="363"/>
      <c r="TUE64" s="364" t="s">
        <v>140</v>
      </c>
      <c r="TUF64" s="365">
        <v>0.5</v>
      </c>
      <c r="TUG64" s="366" t="e">
        <f>10/TUC62</f>
        <v>#DIV/0!</v>
      </c>
      <c r="TUH64" s="367">
        <v>15.38</v>
      </c>
      <c r="TUI64" s="367" t="e">
        <f>TUF64*TUG64*TUH64</f>
        <v>#DIV/0!</v>
      </c>
      <c r="TUJ64" s="363" t="s">
        <v>153</v>
      </c>
      <c r="TUK64" s="363"/>
      <c r="TUL64" s="363"/>
      <c r="TUM64" s="364" t="s">
        <v>140</v>
      </c>
      <c r="TUN64" s="365">
        <v>0.5</v>
      </c>
      <c r="TUO64" s="366" t="e">
        <f>10/TUK62</f>
        <v>#DIV/0!</v>
      </c>
      <c r="TUP64" s="367">
        <v>15.38</v>
      </c>
      <c r="TUQ64" s="367" t="e">
        <f>TUN64*TUO64*TUP64</f>
        <v>#DIV/0!</v>
      </c>
      <c r="TUR64" s="363" t="s">
        <v>153</v>
      </c>
      <c r="TUS64" s="363"/>
      <c r="TUT64" s="363"/>
      <c r="TUU64" s="364" t="s">
        <v>140</v>
      </c>
      <c r="TUV64" s="365">
        <v>0.5</v>
      </c>
      <c r="TUW64" s="366" t="e">
        <f>10/TUS62</f>
        <v>#DIV/0!</v>
      </c>
      <c r="TUX64" s="367">
        <v>15.38</v>
      </c>
      <c r="TUY64" s="367" t="e">
        <f>TUV64*TUW64*TUX64</f>
        <v>#DIV/0!</v>
      </c>
      <c r="TUZ64" s="363" t="s">
        <v>153</v>
      </c>
      <c r="TVA64" s="363"/>
      <c r="TVB64" s="363"/>
      <c r="TVC64" s="364" t="s">
        <v>140</v>
      </c>
      <c r="TVD64" s="365">
        <v>0.5</v>
      </c>
      <c r="TVE64" s="366" t="e">
        <f>10/TVA62</f>
        <v>#DIV/0!</v>
      </c>
      <c r="TVF64" s="367">
        <v>15.38</v>
      </c>
      <c r="TVG64" s="367" t="e">
        <f>TVD64*TVE64*TVF64</f>
        <v>#DIV/0!</v>
      </c>
      <c r="TVH64" s="363" t="s">
        <v>153</v>
      </c>
      <c r="TVI64" s="363"/>
      <c r="TVJ64" s="363"/>
      <c r="TVK64" s="364" t="s">
        <v>140</v>
      </c>
      <c r="TVL64" s="365">
        <v>0.5</v>
      </c>
      <c r="TVM64" s="366" t="e">
        <f>10/TVI62</f>
        <v>#DIV/0!</v>
      </c>
      <c r="TVN64" s="367">
        <v>15.38</v>
      </c>
      <c r="TVO64" s="367" t="e">
        <f>TVL64*TVM64*TVN64</f>
        <v>#DIV/0!</v>
      </c>
      <c r="TVP64" s="363" t="s">
        <v>153</v>
      </c>
      <c r="TVQ64" s="363"/>
      <c r="TVR64" s="363"/>
      <c r="TVS64" s="364" t="s">
        <v>140</v>
      </c>
      <c r="TVT64" s="365">
        <v>0.5</v>
      </c>
      <c r="TVU64" s="366" t="e">
        <f>10/TVQ62</f>
        <v>#DIV/0!</v>
      </c>
      <c r="TVV64" s="367">
        <v>15.38</v>
      </c>
      <c r="TVW64" s="367" t="e">
        <f>TVT64*TVU64*TVV64</f>
        <v>#DIV/0!</v>
      </c>
      <c r="TVX64" s="363" t="s">
        <v>153</v>
      </c>
      <c r="TVY64" s="363"/>
      <c r="TVZ64" s="363"/>
      <c r="TWA64" s="364" t="s">
        <v>140</v>
      </c>
      <c r="TWB64" s="365">
        <v>0.5</v>
      </c>
      <c r="TWC64" s="366" t="e">
        <f>10/TVY62</f>
        <v>#DIV/0!</v>
      </c>
      <c r="TWD64" s="367">
        <v>15.38</v>
      </c>
      <c r="TWE64" s="367" t="e">
        <f>TWB64*TWC64*TWD64</f>
        <v>#DIV/0!</v>
      </c>
      <c r="TWF64" s="363" t="s">
        <v>153</v>
      </c>
      <c r="TWG64" s="363"/>
      <c r="TWH64" s="363"/>
      <c r="TWI64" s="364" t="s">
        <v>140</v>
      </c>
      <c r="TWJ64" s="365">
        <v>0.5</v>
      </c>
      <c r="TWK64" s="366" t="e">
        <f>10/TWG62</f>
        <v>#DIV/0!</v>
      </c>
      <c r="TWL64" s="367">
        <v>15.38</v>
      </c>
      <c r="TWM64" s="367" t="e">
        <f>TWJ64*TWK64*TWL64</f>
        <v>#DIV/0!</v>
      </c>
      <c r="TWN64" s="363" t="s">
        <v>153</v>
      </c>
      <c r="TWO64" s="363"/>
      <c r="TWP64" s="363"/>
      <c r="TWQ64" s="364" t="s">
        <v>140</v>
      </c>
      <c r="TWR64" s="365">
        <v>0.5</v>
      </c>
      <c r="TWS64" s="366" t="e">
        <f>10/TWO62</f>
        <v>#DIV/0!</v>
      </c>
      <c r="TWT64" s="367">
        <v>15.38</v>
      </c>
      <c r="TWU64" s="367" t="e">
        <f>TWR64*TWS64*TWT64</f>
        <v>#DIV/0!</v>
      </c>
      <c r="TWV64" s="363" t="s">
        <v>153</v>
      </c>
      <c r="TWW64" s="363"/>
      <c r="TWX64" s="363"/>
      <c r="TWY64" s="364" t="s">
        <v>140</v>
      </c>
      <c r="TWZ64" s="365">
        <v>0.5</v>
      </c>
      <c r="TXA64" s="366" t="e">
        <f>10/TWW62</f>
        <v>#DIV/0!</v>
      </c>
      <c r="TXB64" s="367">
        <v>15.38</v>
      </c>
      <c r="TXC64" s="367" t="e">
        <f>TWZ64*TXA64*TXB64</f>
        <v>#DIV/0!</v>
      </c>
      <c r="TXD64" s="363" t="s">
        <v>153</v>
      </c>
      <c r="TXE64" s="363"/>
      <c r="TXF64" s="363"/>
      <c r="TXG64" s="364" t="s">
        <v>140</v>
      </c>
      <c r="TXH64" s="365">
        <v>0.5</v>
      </c>
      <c r="TXI64" s="366" t="e">
        <f>10/TXE62</f>
        <v>#DIV/0!</v>
      </c>
      <c r="TXJ64" s="367">
        <v>15.38</v>
      </c>
      <c r="TXK64" s="367" t="e">
        <f>TXH64*TXI64*TXJ64</f>
        <v>#DIV/0!</v>
      </c>
      <c r="TXL64" s="363" t="s">
        <v>153</v>
      </c>
      <c r="TXM64" s="363"/>
      <c r="TXN64" s="363"/>
      <c r="TXO64" s="364" t="s">
        <v>140</v>
      </c>
      <c r="TXP64" s="365">
        <v>0.5</v>
      </c>
      <c r="TXQ64" s="366" t="e">
        <f>10/TXM62</f>
        <v>#DIV/0!</v>
      </c>
      <c r="TXR64" s="367">
        <v>15.38</v>
      </c>
      <c r="TXS64" s="367" t="e">
        <f>TXP64*TXQ64*TXR64</f>
        <v>#DIV/0!</v>
      </c>
      <c r="TXT64" s="363" t="s">
        <v>153</v>
      </c>
      <c r="TXU64" s="363"/>
      <c r="TXV64" s="363"/>
      <c r="TXW64" s="364" t="s">
        <v>140</v>
      </c>
      <c r="TXX64" s="365">
        <v>0.5</v>
      </c>
      <c r="TXY64" s="366" t="e">
        <f>10/TXU62</f>
        <v>#DIV/0!</v>
      </c>
      <c r="TXZ64" s="367">
        <v>15.38</v>
      </c>
      <c r="TYA64" s="367" t="e">
        <f>TXX64*TXY64*TXZ64</f>
        <v>#DIV/0!</v>
      </c>
      <c r="TYB64" s="363" t="s">
        <v>153</v>
      </c>
      <c r="TYC64" s="363"/>
      <c r="TYD64" s="363"/>
      <c r="TYE64" s="364" t="s">
        <v>140</v>
      </c>
      <c r="TYF64" s="365">
        <v>0.5</v>
      </c>
      <c r="TYG64" s="366" t="e">
        <f>10/TYC62</f>
        <v>#DIV/0!</v>
      </c>
      <c r="TYH64" s="367">
        <v>15.38</v>
      </c>
      <c r="TYI64" s="367" t="e">
        <f>TYF64*TYG64*TYH64</f>
        <v>#DIV/0!</v>
      </c>
      <c r="TYJ64" s="363" t="s">
        <v>153</v>
      </c>
      <c r="TYK64" s="363"/>
      <c r="TYL64" s="363"/>
      <c r="TYM64" s="364" t="s">
        <v>140</v>
      </c>
      <c r="TYN64" s="365">
        <v>0.5</v>
      </c>
      <c r="TYO64" s="366" t="e">
        <f>10/TYK62</f>
        <v>#DIV/0!</v>
      </c>
      <c r="TYP64" s="367">
        <v>15.38</v>
      </c>
      <c r="TYQ64" s="367" t="e">
        <f>TYN64*TYO64*TYP64</f>
        <v>#DIV/0!</v>
      </c>
      <c r="TYR64" s="363" t="s">
        <v>153</v>
      </c>
      <c r="TYS64" s="363"/>
      <c r="TYT64" s="363"/>
      <c r="TYU64" s="364" t="s">
        <v>140</v>
      </c>
      <c r="TYV64" s="365">
        <v>0.5</v>
      </c>
      <c r="TYW64" s="366" t="e">
        <f>10/TYS62</f>
        <v>#DIV/0!</v>
      </c>
      <c r="TYX64" s="367">
        <v>15.38</v>
      </c>
      <c r="TYY64" s="367" t="e">
        <f>TYV64*TYW64*TYX64</f>
        <v>#DIV/0!</v>
      </c>
      <c r="TYZ64" s="363" t="s">
        <v>153</v>
      </c>
      <c r="TZA64" s="363"/>
      <c r="TZB64" s="363"/>
      <c r="TZC64" s="364" t="s">
        <v>140</v>
      </c>
      <c r="TZD64" s="365">
        <v>0.5</v>
      </c>
      <c r="TZE64" s="366" t="e">
        <f>10/TZA62</f>
        <v>#DIV/0!</v>
      </c>
      <c r="TZF64" s="367">
        <v>15.38</v>
      </c>
      <c r="TZG64" s="367" t="e">
        <f>TZD64*TZE64*TZF64</f>
        <v>#DIV/0!</v>
      </c>
      <c r="TZH64" s="363" t="s">
        <v>153</v>
      </c>
      <c r="TZI64" s="363"/>
      <c r="TZJ64" s="363"/>
      <c r="TZK64" s="364" t="s">
        <v>140</v>
      </c>
      <c r="TZL64" s="365">
        <v>0.5</v>
      </c>
      <c r="TZM64" s="366" t="e">
        <f>10/TZI62</f>
        <v>#DIV/0!</v>
      </c>
      <c r="TZN64" s="367">
        <v>15.38</v>
      </c>
      <c r="TZO64" s="367" t="e">
        <f>TZL64*TZM64*TZN64</f>
        <v>#DIV/0!</v>
      </c>
      <c r="TZP64" s="363" t="s">
        <v>153</v>
      </c>
      <c r="TZQ64" s="363"/>
      <c r="TZR64" s="363"/>
      <c r="TZS64" s="364" t="s">
        <v>140</v>
      </c>
      <c r="TZT64" s="365">
        <v>0.5</v>
      </c>
      <c r="TZU64" s="366" t="e">
        <f>10/TZQ62</f>
        <v>#DIV/0!</v>
      </c>
      <c r="TZV64" s="367">
        <v>15.38</v>
      </c>
      <c r="TZW64" s="367" t="e">
        <f>TZT64*TZU64*TZV64</f>
        <v>#DIV/0!</v>
      </c>
      <c r="TZX64" s="363" t="s">
        <v>153</v>
      </c>
      <c r="TZY64" s="363"/>
      <c r="TZZ64" s="363"/>
      <c r="UAA64" s="364" t="s">
        <v>140</v>
      </c>
      <c r="UAB64" s="365">
        <v>0.5</v>
      </c>
      <c r="UAC64" s="366" t="e">
        <f>10/TZY62</f>
        <v>#DIV/0!</v>
      </c>
      <c r="UAD64" s="367">
        <v>15.38</v>
      </c>
      <c r="UAE64" s="367" t="e">
        <f>UAB64*UAC64*UAD64</f>
        <v>#DIV/0!</v>
      </c>
      <c r="UAF64" s="363" t="s">
        <v>153</v>
      </c>
      <c r="UAG64" s="363"/>
      <c r="UAH64" s="363"/>
      <c r="UAI64" s="364" t="s">
        <v>140</v>
      </c>
      <c r="UAJ64" s="365">
        <v>0.5</v>
      </c>
      <c r="UAK64" s="366" t="e">
        <f>10/UAG62</f>
        <v>#DIV/0!</v>
      </c>
      <c r="UAL64" s="367">
        <v>15.38</v>
      </c>
      <c r="UAM64" s="367" t="e">
        <f>UAJ64*UAK64*UAL64</f>
        <v>#DIV/0!</v>
      </c>
      <c r="UAN64" s="363" t="s">
        <v>153</v>
      </c>
      <c r="UAO64" s="363"/>
      <c r="UAP64" s="363"/>
      <c r="UAQ64" s="364" t="s">
        <v>140</v>
      </c>
      <c r="UAR64" s="365">
        <v>0.5</v>
      </c>
      <c r="UAS64" s="366" t="e">
        <f>10/UAO62</f>
        <v>#DIV/0!</v>
      </c>
      <c r="UAT64" s="367">
        <v>15.38</v>
      </c>
      <c r="UAU64" s="367" t="e">
        <f>UAR64*UAS64*UAT64</f>
        <v>#DIV/0!</v>
      </c>
      <c r="UAV64" s="363" t="s">
        <v>153</v>
      </c>
      <c r="UAW64" s="363"/>
      <c r="UAX64" s="363"/>
      <c r="UAY64" s="364" t="s">
        <v>140</v>
      </c>
      <c r="UAZ64" s="365">
        <v>0.5</v>
      </c>
      <c r="UBA64" s="366" t="e">
        <f>10/UAW62</f>
        <v>#DIV/0!</v>
      </c>
      <c r="UBB64" s="367">
        <v>15.38</v>
      </c>
      <c r="UBC64" s="367" t="e">
        <f>UAZ64*UBA64*UBB64</f>
        <v>#DIV/0!</v>
      </c>
      <c r="UBD64" s="363" t="s">
        <v>153</v>
      </c>
      <c r="UBE64" s="363"/>
      <c r="UBF64" s="363"/>
      <c r="UBG64" s="364" t="s">
        <v>140</v>
      </c>
      <c r="UBH64" s="365">
        <v>0.5</v>
      </c>
      <c r="UBI64" s="366" t="e">
        <f>10/UBE62</f>
        <v>#DIV/0!</v>
      </c>
      <c r="UBJ64" s="367">
        <v>15.38</v>
      </c>
      <c r="UBK64" s="367" t="e">
        <f>UBH64*UBI64*UBJ64</f>
        <v>#DIV/0!</v>
      </c>
      <c r="UBL64" s="363" t="s">
        <v>153</v>
      </c>
      <c r="UBM64" s="363"/>
      <c r="UBN64" s="363"/>
      <c r="UBO64" s="364" t="s">
        <v>140</v>
      </c>
      <c r="UBP64" s="365">
        <v>0.5</v>
      </c>
      <c r="UBQ64" s="366" t="e">
        <f>10/UBM62</f>
        <v>#DIV/0!</v>
      </c>
      <c r="UBR64" s="367">
        <v>15.38</v>
      </c>
      <c r="UBS64" s="367" t="e">
        <f>UBP64*UBQ64*UBR64</f>
        <v>#DIV/0!</v>
      </c>
      <c r="UBT64" s="363" t="s">
        <v>153</v>
      </c>
      <c r="UBU64" s="363"/>
      <c r="UBV64" s="363"/>
      <c r="UBW64" s="364" t="s">
        <v>140</v>
      </c>
      <c r="UBX64" s="365">
        <v>0.5</v>
      </c>
      <c r="UBY64" s="366" t="e">
        <f>10/UBU62</f>
        <v>#DIV/0!</v>
      </c>
      <c r="UBZ64" s="367">
        <v>15.38</v>
      </c>
      <c r="UCA64" s="367" t="e">
        <f>UBX64*UBY64*UBZ64</f>
        <v>#DIV/0!</v>
      </c>
      <c r="UCB64" s="363" t="s">
        <v>153</v>
      </c>
      <c r="UCC64" s="363"/>
      <c r="UCD64" s="363"/>
      <c r="UCE64" s="364" t="s">
        <v>140</v>
      </c>
      <c r="UCF64" s="365">
        <v>0.5</v>
      </c>
      <c r="UCG64" s="366" t="e">
        <f>10/UCC62</f>
        <v>#DIV/0!</v>
      </c>
      <c r="UCH64" s="367">
        <v>15.38</v>
      </c>
      <c r="UCI64" s="367" t="e">
        <f>UCF64*UCG64*UCH64</f>
        <v>#DIV/0!</v>
      </c>
      <c r="UCJ64" s="363" t="s">
        <v>153</v>
      </c>
      <c r="UCK64" s="363"/>
      <c r="UCL64" s="363"/>
      <c r="UCM64" s="364" t="s">
        <v>140</v>
      </c>
      <c r="UCN64" s="365">
        <v>0.5</v>
      </c>
      <c r="UCO64" s="366" t="e">
        <f>10/UCK62</f>
        <v>#DIV/0!</v>
      </c>
      <c r="UCP64" s="367">
        <v>15.38</v>
      </c>
      <c r="UCQ64" s="367" t="e">
        <f>UCN64*UCO64*UCP64</f>
        <v>#DIV/0!</v>
      </c>
      <c r="UCR64" s="363" t="s">
        <v>153</v>
      </c>
      <c r="UCS64" s="363"/>
      <c r="UCT64" s="363"/>
      <c r="UCU64" s="364" t="s">
        <v>140</v>
      </c>
      <c r="UCV64" s="365">
        <v>0.5</v>
      </c>
      <c r="UCW64" s="366" t="e">
        <f>10/UCS62</f>
        <v>#DIV/0!</v>
      </c>
      <c r="UCX64" s="367">
        <v>15.38</v>
      </c>
      <c r="UCY64" s="367" t="e">
        <f>UCV64*UCW64*UCX64</f>
        <v>#DIV/0!</v>
      </c>
      <c r="UCZ64" s="363" t="s">
        <v>153</v>
      </c>
      <c r="UDA64" s="363"/>
      <c r="UDB64" s="363"/>
      <c r="UDC64" s="364" t="s">
        <v>140</v>
      </c>
      <c r="UDD64" s="365">
        <v>0.5</v>
      </c>
      <c r="UDE64" s="366" t="e">
        <f>10/UDA62</f>
        <v>#DIV/0!</v>
      </c>
      <c r="UDF64" s="367">
        <v>15.38</v>
      </c>
      <c r="UDG64" s="367" t="e">
        <f>UDD64*UDE64*UDF64</f>
        <v>#DIV/0!</v>
      </c>
      <c r="UDH64" s="363" t="s">
        <v>153</v>
      </c>
      <c r="UDI64" s="363"/>
      <c r="UDJ64" s="363"/>
      <c r="UDK64" s="364" t="s">
        <v>140</v>
      </c>
      <c r="UDL64" s="365">
        <v>0.5</v>
      </c>
      <c r="UDM64" s="366" t="e">
        <f>10/UDI62</f>
        <v>#DIV/0!</v>
      </c>
      <c r="UDN64" s="367">
        <v>15.38</v>
      </c>
      <c r="UDO64" s="367" t="e">
        <f>UDL64*UDM64*UDN64</f>
        <v>#DIV/0!</v>
      </c>
      <c r="UDP64" s="363" t="s">
        <v>153</v>
      </c>
      <c r="UDQ64" s="363"/>
      <c r="UDR64" s="363"/>
      <c r="UDS64" s="364" t="s">
        <v>140</v>
      </c>
      <c r="UDT64" s="365">
        <v>0.5</v>
      </c>
      <c r="UDU64" s="366" t="e">
        <f>10/UDQ62</f>
        <v>#DIV/0!</v>
      </c>
      <c r="UDV64" s="367">
        <v>15.38</v>
      </c>
      <c r="UDW64" s="367" t="e">
        <f>UDT64*UDU64*UDV64</f>
        <v>#DIV/0!</v>
      </c>
      <c r="UDX64" s="363" t="s">
        <v>153</v>
      </c>
      <c r="UDY64" s="363"/>
      <c r="UDZ64" s="363"/>
      <c r="UEA64" s="364" t="s">
        <v>140</v>
      </c>
      <c r="UEB64" s="365">
        <v>0.5</v>
      </c>
      <c r="UEC64" s="366" t="e">
        <f>10/UDY62</f>
        <v>#DIV/0!</v>
      </c>
      <c r="UED64" s="367">
        <v>15.38</v>
      </c>
      <c r="UEE64" s="367" t="e">
        <f>UEB64*UEC64*UED64</f>
        <v>#DIV/0!</v>
      </c>
      <c r="UEF64" s="363" t="s">
        <v>153</v>
      </c>
      <c r="UEG64" s="363"/>
      <c r="UEH64" s="363"/>
      <c r="UEI64" s="364" t="s">
        <v>140</v>
      </c>
      <c r="UEJ64" s="365">
        <v>0.5</v>
      </c>
      <c r="UEK64" s="366" t="e">
        <f>10/UEG62</f>
        <v>#DIV/0!</v>
      </c>
      <c r="UEL64" s="367">
        <v>15.38</v>
      </c>
      <c r="UEM64" s="367" t="e">
        <f>UEJ64*UEK64*UEL64</f>
        <v>#DIV/0!</v>
      </c>
      <c r="UEN64" s="363" t="s">
        <v>153</v>
      </c>
      <c r="UEO64" s="363"/>
      <c r="UEP64" s="363"/>
      <c r="UEQ64" s="364" t="s">
        <v>140</v>
      </c>
      <c r="UER64" s="365">
        <v>0.5</v>
      </c>
      <c r="UES64" s="366" t="e">
        <f>10/UEO62</f>
        <v>#DIV/0!</v>
      </c>
      <c r="UET64" s="367">
        <v>15.38</v>
      </c>
      <c r="UEU64" s="367" t="e">
        <f>UER64*UES64*UET64</f>
        <v>#DIV/0!</v>
      </c>
      <c r="UEV64" s="363" t="s">
        <v>153</v>
      </c>
      <c r="UEW64" s="363"/>
      <c r="UEX64" s="363"/>
      <c r="UEY64" s="364" t="s">
        <v>140</v>
      </c>
      <c r="UEZ64" s="365">
        <v>0.5</v>
      </c>
      <c r="UFA64" s="366" t="e">
        <f>10/UEW62</f>
        <v>#DIV/0!</v>
      </c>
      <c r="UFB64" s="367">
        <v>15.38</v>
      </c>
      <c r="UFC64" s="367" t="e">
        <f>UEZ64*UFA64*UFB64</f>
        <v>#DIV/0!</v>
      </c>
      <c r="UFD64" s="363" t="s">
        <v>153</v>
      </c>
      <c r="UFE64" s="363"/>
      <c r="UFF64" s="363"/>
      <c r="UFG64" s="364" t="s">
        <v>140</v>
      </c>
      <c r="UFH64" s="365">
        <v>0.5</v>
      </c>
      <c r="UFI64" s="366" t="e">
        <f>10/UFE62</f>
        <v>#DIV/0!</v>
      </c>
      <c r="UFJ64" s="367">
        <v>15.38</v>
      </c>
      <c r="UFK64" s="367" t="e">
        <f>UFH64*UFI64*UFJ64</f>
        <v>#DIV/0!</v>
      </c>
      <c r="UFL64" s="363" t="s">
        <v>153</v>
      </c>
      <c r="UFM64" s="363"/>
      <c r="UFN64" s="363"/>
      <c r="UFO64" s="364" t="s">
        <v>140</v>
      </c>
      <c r="UFP64" s="365">
        <v>0.5</v>
      </c>
      <c r="UFQ64" s="366" t="e">
        <f>10/UFM62</f>
        <v>#DIV/0!</v>
      </c>
      <c r="UFR64" s="367">
        <v>15.38</v>
      </c>
      <c r="UFS64" s="367" t="e">
        <f>UFP64*UFQ64*UFR64</f>
        <v>#DIV/0!</v>
      </c>
      <c r="UFT64" s="363" t="s">
        <v>153</v>
      </c>
      <c r="UFU64" s="363"/>
      <c r="UFV64" s="363"/>
      <c r="UFW64" s="364" t="s">
        <v>140</v>
      </c>
      <c r="UFX64" s="365">
        <v>0.5</v>
      </c>
      <c r="UFY64" s="366" t="e">
        <f>10/UFU62</f>
        <v>#DIV/0!</v>
      </c>
      <c r="UFZ64" s="367">
        <v>15.38</v>
      </c>
      <c r="UGA64" s="367" t="e">
        <f>UFX64*UFY64*UFZ64</f>
        <v>#DIV/0!</v>
      </c>
      <c r="UGB64" s="363" t="s">
        <v>153</v>
      </c>
      <c r="UGC64" s="363"/>
      <c r="UGD64" s="363"/>
      <c r="UGE64" s="364" t="s">
        <v>140</v>
      </c>
      <c r="UGF64" s="365">
        <v>0.5</v>
      </c>
      <c r="UGG64" s="366" t="e">
        <f>10/UGC62</f>
        <v>#DIV/0!</v>
      </c>
      <c r="UGH64" s="367">
        <v>15.38</v>
      </c>
      <c r="UGI64" s="367" t="e">
        <f>UGF64*UGG64*UGH64</f>
        <v>#DIV/0!</v>
      </c>
      <c r="UGJ64" s="363" t="s">
        <v>153</v>
      </c>
      <c r="UGK64" s="363"/>
      <c r="UGL64" s="363"/>
      <c r="UGM64" s="364" t="s">
        <v>140</v>
      </c>
      <c r="UGN64" s="365">
        <v>0.5</v>
      </c>
      <c r="UGO64" s="366" t="e">
        <f>10/UGK62</f>
        <v>#DIV/0!</v>
      </c>
      <c r="UGP64" s="367">
        <v>15.38</v>
      </c>
      <c r="UGQ64" s="367" t="e">
        <f>UGN64*UGO64*UGP64</f>
        <v>#DIV/0!</v>
      </c>
      <c r="UGR64" s="363" t="s">
        <v>153</v>
      </c>
      <c r="UGS64" s="363"/>
      <c r="UGT64" s="363"/>
      <c r="UGU64" s="364" t="s">
        <v>140</v>
      </c>
      <c r="UGV64" s="365">
        <v>0.5</v>
      </c>
      <c r="UGW64" s="366" t="e">
        <f>10/UGS62</f>
        <v>#DIV/0!</v>
      </c>
      <c r="UGX64" s="367">
        <v>15.38</v>
      </c>
      <c r="UGY64" s="367" t="e">
        <f>UGV64*UGW64*UGX64</f>
        <v>#DIV/0!</v>
      </c>
      <c r="UGZ64" s="363" t="s">
        <v>153</v>
      </c>
      <c r="UHA64" s="363"/>
      <c r="UHB64" s="363"/>
      <c r="UHC64" s="364" t="s">
        <v>140</v>
      </c>
      <c r="UHD64" s="365">
        <v>0.5</v>
      </c>
      <c r="UHE64" s="366" t="e">
        <f>10/UHA62</f>
        <v>#DIV/0!</v>
      </c>
      <c r="UHF64" s="367">
        <v>15.38</v>
      </c>
      <c r="UHG64" s="367" t="e">
        <f>UHD64*UHE64*UHF64</f>
        <v>#DIV/0!</v>
      </c>
      <c r="UHH64" s="363" t="s">
        <v>153</v>
      </c>
      <c r="UHI64" s="363"/>
      <c r="UHJ64" s="363"/>
      <c r="UHK64" s="364" t="s">
        <v>140</v>
      </c>
      <c r="UHL64" s="365">
        <v>0.5</v>
      </c>
      <c r="UHM64" s="366" t="e">
        <f>10/UHI62</f>
        <v>#DIV/0!</v>
      </c>
      <c r="UHN64" s="367">
        <v>15.38</v>
      </c>
      <c r="UHO64" s="367" t="e">
        <f>UHL64*UHM64*UHN64</f>
        <v>#DIV/0!</v>
      </c>
      <c r="UHP64" s="363" t="s">
        <v>153</v>
      </c>
      <c r="UHQ64" s="363"/>
      <c r="UHR64" s="363"/>
      <c r="UHS64" s="364" t="s">
        <v>140</v>
      </c>
      <c r="UHT64" s="365">
        <v>0.5</v>
      </c>
      <c r="UHU64" s="366" t="e">
        <f>10/UHQ62</f>
        <v>#DIV/0!</v>
      </c>
      <c r="UHV64" s="367">
        <v>15.38</v>
      </c>
      <c r="UHW64" s="367" t="e">
        <f>UHT64*UHU64*UHV64</f>
        <v>#DIV/0!</v>
      </c>
      <c r="UHX64" s="363" t="s">
        <v>153</v>
      </c>
      <c r="UHY64" s="363"/>
      <c r="UHZ64" s="363"/>
      <c r="UIA64" s="364" t="s">
        <v>140</v>
      </c>
      <c r="UIB64" s="365">
        <v>0.5</v>
      </c>
      <c r="UIC64" s="366" t="e">
        <f>10/UHY62</f>
        <v>#DIV/0!</v>
      </c>
      <c r="UID64" s="367">
        <v>15.38</v>
      </c>
      <c r="UIE64" s="367" t="e">
        <f>UIB64*UIC64*UID64</f>
        <v>#DIV/0!</v>
      </c>
      <c r="UIF64" s="363" t="s">
        <v>153</v>
      </c>
      <c r="UIG64" s="363"/>
      <c r="UIH64" s="363"/>
      <c r="UII64" s="364" t="s">
        <v>140</v>
      </c>
      <c r="UIJ64" s="365">
        <v>0.5</v>
      </c>
      <c r="UIK64" s="366" t="e">
        <f>10/UIG62</f>
        <v>#DIV/0!</v>
      </c>
      <c r="UIL64" s="367">
        <v>15.38</v>
      </c>
      <c r="UIM64" s="367" t="e">
        <f>UIJ64*UIK64*UIL64</f>
        <v>#DIV/0!</v>
      </c>
      <c r="UIN64" s="363" t="s">
        <v>153</v>
      </c>
      <c r="UIO64" s="363"/>
      <c r="UIP64" s="363"/>
      <c r="UIQ64" s="364" t="s">
        <v>140</v>
      </c>
      <c r="UIR64" s="365">
        <v>0.5</v>
      </c>
      <c r="UIS64" s="366" t="e">
        <f>10/UIO62</f>
        <v>#DIV/0!</v>
      </c>
      <c r="UIT64" s="367">
        <v>15.38</v>
      </c>
      <c r="UIU64" s="367" t="e">
        <f>UIR64*UIS64*UIT64</f>
        <v>#DIV/0!</v>
      </c>
      <c r="UIV64" s="363" t="s">
        <v>153</v>
      </c>
      <c r="UIW64" s="363"/>
      <c r="UIX64" s="363"/>
      <c r="UIY64" s="364" t="s">
        <v>140</v>
      </c>
      <c r="UIZ64" s="365">
        <v>0.5</v>
      </c>
      <c r="UJA64" s="366" t="e">
        <f>10/UIW62</f>
        <v>#DIV/0!</v>
      </c>
      <c r="UJB64" s="367">
        <v>15.38</v>
      </c>
      <c r="UJC64" s="367" t="e">
        <f>UIZ64*UJA64*UJB64</f>
        <v>#DIV/0!</v>
      </c>
      <c r="UJD64" s="363" t="s">
        <v>153</v>
      </c>
      <c r="UJE64" s="363"/>
      <c r="UJF64" s="363"/>
      <c r="UJG64" s="364" t="s">
        <v>140</v>
      </c>
      <c r="UJH64" s="365">
        <v>0.5</v>
      </c>
      <c r="UJI64" s="366" t="e">
        <f>10/UJE62</f>
        <v>#DIV/0!</v>
      </c>
      <c r="UJJ64" s="367">
        <v>15.38</v>
      </c>
      <c r="UJK64" s="367" t="e">
        <f>UJH64*UJI64*UJJ64</f>
        <v>#DIV/0!</v>
      </c>
      <c r="UJL64" s="363" t="s">
        <v>153</v>
      </c>
      <c r="UJM64" s="363"/>
      <c r="UJN64" s="363"/>
      <c r="UJO64" s="364" t="s">
        <v>140</v>
      </c>
      <c r="UJP64" s="365">
        <v>0.5</v>
      </c>
      <c r="UJQ64" s="366" t="e">
        <f>10/UJM62</f>
        <v>#DIV/0!</v>
      </c>
      <c r="UJR64" s="367">
        <v>15.38</v>
      </c>
      <c r="UJS64" s="367" t="e">
        <f>UJP64*UJQ64*UJR64</f>
        <v>#DIV/0!</v>
      </c>
      <c r="UJT64" s="363" t="s">
        <v>153</v>
      </c>
      <c r="UJU64" s="363"/>
      <c r="UJV64" s="363"/>
      <c r="UJW64" s="364" t="s">
        <v>140</v>
      </c>
      <c r="UJX64" s="365">
        <v>0.5</v>
      </c>
      <c r="UJY64" s="366" t="e">
        <f>10/UJU62</f>
        <v>#DIV/0!</v>
      </c>
      <c r="UJZ64" s="367">
        <v>15.38</v>
      </c>
      <c r="UKA64" s="367" t="e">
        <f>UJX64*UJY64*UJZ64</f>
        <v>#DIV/0!</v>
      </c>
      <c r="UKB64" s="363" t="s">
        <v>153</v>
      </c>
      <c r="UKC64" s="363"/>
      <c r="UKD64" s="363"/>
      <c r="UKE64" s="364" t="s">
        <v>140</v>
      </c>
      <c r="UKF64" s="365">
        <v>0.5</v>
      </c>
      <c r="UKG64" s="366" t="e">
        <f>10/UKC62</f>
        <v>#DIV/0!</v>
      </c>
      <c r="UKH64" s="367">
        <v>15.38</v>
      </c>
      <c r="UKI64" s="367" t="e">
        <f>UKF64*UKG64*UKH64</f>
        <v>#DIV/0!</v>
      </c>
      <c r="UKJ64" s="363" t="s">
        <v>153</v>
      </c>
      <c r="UKK64" s="363"/>
      <c r="UKL64" s="363"/>
      <c r="UKM64" s="364" t="s">
        <v>140</v>
      </c>
      <c r="UKN64" s="365">
        <v>0.5</v>
      </c>
      <c r="UKO64" s="366" t="e">
        <f>10/UKK62</f>
        <v>#DIV/0!</v>
      </c>
      <c r="UKP64" s="367">
        <v>15.38</v>
      </c>
      <c r="UKQ64" s="367" t="e">
        <f>UKN64*UKO64*UKP64</f>
        <v>#DIV/0!</v>
      </c>
      <c r="UKR64" s="363" t="s">
        <v>153</v>
      </c>
      <c r="UKS64" s="363"/>
      <c r="UKT64" s="363"/>
      <c r="UKU64" s="364" t="s">
        <v>140</v>
      </c>
      <c r="UKV64" s="365">
        <v>0.5</v>
      </c>
      <c r="UKW64" s="366" t="e">
        <f>10/UKS62</f>
        <v>#DIV/0!</v>
      </c>
      <c r="UKX64" s="367">
        <v>15.38</v>
      </c>
      <c r="UKY64" s="367" t="e">
        <f>UKV64*UKW64*UKX64</f>
        <v>#DIV/0!</v>
      </c>
      <c r="UKZ64" s="363" t="s">
        <v>153</v>
      </c>
      <c r="ULA64" s="363"/>
      <c r="ULB64" s="363"/>
      <c r="ULC64" s="364" t="s">
        <v>140</v>
      </c>
      <c r="ULD64" s="365">
        <v>0.5</v>
      </c>
      <c r="ULE64" s="366" t="e">
        <f>10/ULA62</f>
        <v>#DIV/0!</v>
      </c>
      <c r="ULF64" s="367">
        <v>15.38</v>
      </c>
      <c r="ULG64" s="367" t="e">
        <f>ULD64*ULE64*ULF64</f>
        <v>#DIV/0!</v>
      </c>
      <c r="ULH64" s="363" t="s">
        <v>153</v>
      </c>
      <c r="ULI64" s="363"/>
      <c r="ULJ64" s="363"/>
      <c r="ULK64" s="364" t="s">
        <v>140</v>
      </c>
      <c r="ULL64" s="365">
        <v>0.5</v>
      </c>
      <c r="ULM64" s="366" t="e">
        <f>10/ULI62</f>
        <v>#DIV/0!</v>
      </c>
      <c r="ULN64" s="367">
        <v>15.38</v>
      </c>
      <c r="ULO64" s="367" t="e">
        <f>ULL64*ULM64*ULN64</f>
        <v>#DIV/0!</v>
      </c>
      <c r="ULP64" s="363" t="s">
        <v>153</v>
      </c>
      <c r="ULQ64" s="363"/>
      <c r="ULR64" s="363"/>
      <c r="ULS64" s="364" t="s">
        <v>140</v>
      </c>
      <c r="ULT64" s="365">
        <v>0.5</v>
      </c>
      <c r="ULU64" s="366" t="e">
        <f>10/ULQ62</f>
        <v>#DIV/0!</v>
      </c>
      <c r="ULV64" s="367">
        <v>15.38</v>
      </c>
      <c r="ULW64" s="367" t="e">
        <f>ULT64*ULU64*ULV64</f>
        <v>#DIV/0!</v>
      </c>
      <c r="ULX64" s="363" t="s">
        <v>153</v>
      </c>
      <c r="ULY64" s="363"/>
      <c r="ULZ64" s="363"/>
      <c r="UMA64" s="364" t="s">
        <v>140</v>
      </c>
      <c r="UMB64" s="365">
        <v>0.5</v>
      </c>
      <c r="UMC64" s="366" t="e">
        <f>10/ULY62</f>
        <v>#DIV/0!</v>
      </c>
      <c r="UMD64" s="367">
        <v>15.38</v>
      </c>
      <c r="UME64" s="367" t="e">
        <f>UMB64*UMC64*UMD64</f>
        <v>#DIV/0!</v>
      </c>
      <c r="UMF64" s="363" t="s">
        <v>153</v>
      </c>
      <c r="UMG64" s="363"/>
      <c r="UMH64" s="363"/>
      <c r="UMI64" s="364" t="s">
        <v>140</v>
      </c>
      <c r="UMJ64" s="365">
        <v>0.5</v>
      </c>
      <c r="UMK64" s="366" t="e">
        <f>10/UMG62</f>
        <v>#DIV/0!</v>
      </c>
      <c r="UML64" s="367">
        <v>15.38</v>
      </c>
      <c r="UMM64" s="367" t="e">
        <f>UMJ64*UMK64*UML64</f>
        <v>#DIV/0!</v>
      </c>
      <c r="UMN64" s="363" t="s">
        <v>153</v>
      </c>
      <c r="UMO64" s="363"/>
      <c r="UMP64" s="363"/>
      <c r="UMQ64" s="364" t="s">
        <v>140</v>
      </c>
      <c r="UMR64" s="365">
        <v>0.5</v>
      </c>
      <c r="UMS64" s="366" t="e">
        <f>10/UMO62</f>
        <v>#DIV/0!</v>
      </c>
      <c r="UMT64" s="367">
        <v>15.38</v>
      </c>
      <c r="UMU64" s="367" t="e">
        <f>UMR64*UMS64*UMT64</f>
        <v>#DIV/0!</v>
      </c>
      <c r="UMV64" s="363" t="s">
        <v>153</v>
      </c>
      <c r="UMW64" s="363"/>
      <c r="UMX64" s="363"/>
      <c r="UMY64" s="364" t="s">
        <v>140</v>
      </c>
      <c r="UMZ64" s="365">
        <v>0.5</v>
      </c>
      <c r="UNA64" s="366" t="e">
        <f>10/UMW62</f>
        <v>#DIV/0!</v>
      </c>
      <c r="UNB64" s="367">
        <v>15.38</v>
      </c>
      <c r="UNC64" s="367" t="e">
        <f>UMZ64*UNA64*UNB64</f>
        <v>#DIV/0!</v>
      </c>
      <c r="UND64" s="363" t="s">
        <v>153</v>
      </c>
      <c r="UNE64" s="363"/>
      <c r="UNF64" s="363"/>
      <c r="UNG64" s="364" t="s">
        <v>140</v>
      </c>
      <c r="UNH64" s="365">
        <v>0.5</v>
      </c>
      <c r="UNI64" s="366" t="e">
        <f>10/UNE62</f>
        <v>#DIV/0!</v>
      </c>
      <c r="UNJ64" s="367">
        <v>15.38</v>
      </c>
      <c r="UNK64" s="367" t="e">
        <f>UNH64*UNI64*UNJ64</f>
        <v>#DIV/0!</v>
      </c>
      <c r="UNL64" s="363" t="s">
        <v>153</v>
      </c>
      <c r="UNM64" s="363"/>
      <c r="UNN64" s="363"/>
      <c r="UNO64" s="364" t="s">
        <v>140</v>
      </c>
      <c r="UNP64" s="365">
        <v>0.5</v>
      </c>
      <c r="UNQ64" s="366" t="e">
        <f>10/UNM62</f>
        <v>#DIV/0!</v>
      </c>
      <c r="UNR64" s="367">
        <v>15.38</v>
      </c>
      <c r="UNS64" s="367" t="e">
        <f>UNP64*UNQ64*UNR64</f>
        <v>#DIV/0!</v>
      </c>
      <c r="UNT64" s="363" t="s">
        <v>153</v>
      </c>
      <c r="UNU64" s="363"/>
      <c r="UNV64" s="363"/>
      <c r="UNW64" s="364" t="s">
        <v>140</v>
      </c>
      <c r="UNX64" s="365">
        <v>0.5</v>
      </c>
      <c r="UNY64" s="366" t="e">
        <f>10/UNU62</f>
        <v>#DIV/0!</v>
      </c>
      <c r="UNZ64" s="367">
        <v>15.38</v>
      </c>
      <c r="UOA64" s="367" t="e">
        <f>UNX64*UNY64*UNZ64</f>
        <v>#DIV/0!</v>
      </c>
      <c r="UOB64" s="363" t="s">
        <v>153</v>
      </c>
      <c r="UOC64" s="363"/>
      <c r="UOD64" s="363"/>
      <c r="UOE64" s="364" t="s">
        <v>140</v>
      </c>
      <c r="UOF64" s="365">
        <v>0.5</v>
      </c>
      <c r="UOG64" s="366" t="e">
        <f>10/UOC62</f>
        <v>#DIV/0!</v>
      </c>
      <c r="UOH64" s="367">
        <v>15.38</v>
      </c>
      <c r="UOI64" s="367" t="e">
        <f>UOF64*UOG64*UOH64</f>
        <v>#DIV/0!</v>
      </c>
      <c r="UOJ64" s="363" t="s">
        <v>153</v>
      </c>
      <c r="UOK64" s="363"/>
      <c r="UOL64" s="363"/>
      <c r="UOM64" s="364" t="s">
        <v>140</v>
      </c>
      <c r="UON64" s="365">
        <v>0.5</v>
      </c>
      <c r="UOO64" s="366" t="e">
        <f>10/UOK62</f>
        <v>#DIV/0!</v>
      </c>
      <c r="UOP64" s="367">
        <v>15.38</v>
      </c>
      <c r="UOQ64" s="367" t="e">
        <f>UON64*UOO64*UOP64</f>
        <v>#DIV/0!</v>
      </c>
      <c r="UOR64" s="363" t="s">
        <v>153</v>
      </c>
      <c r="UOS64" s="363"/>
      <c r="UOT64" s="363"/>
      <c r="UOU64" s="364" t="s">
        <v>140</v>
      </c>
      <c r="UOV64" s="365">
        <v>0.5</v>
      </c>
      <c r="UOW64" s="366" t="e">
        <f>10/UOS62</f>
        <v>#DIV/0!</v>
      </c>
      <c r="UOX64" s="367">
        <v>15.38</v>
      </c>
      <c r="UOY64" s="367" t="e">
        <f>UOV64*UOW64*UOX64</f>
        <v>#DIV/0!</v>
      </c>
      <c r="UOZ64" s="363" t="s">
        <v>153</v>
      </c>
      <c r="UPA64" s="363"/>
      <c r="UPB64" s="363"/>
      <c r="UPC64" s="364" t="s">
        <v>140</v>
      </c>
      <c r="UPD64" s="365">
        <v>0.5</v>
      </c>
      <c r="UPE64" s="366" t="e">
        <f>10/UPA62</f>
        <v>#DIV/0!</v>
      </c>
      <c r="UPF64" s="367">
        <v>15.38</v>
      </c>
      <c r="UPG64" s="367" t="e">
        <f>UPD64*UPE64*UPF64</f>
        <v>#DIV/0!</v>
      </c>
      <c r="UPH64" s="363" t="s">
        <v>153</v>
      </c>
      <c r="UPI64" s="363"/>
      <c r="UPJ64" s="363"/>
      <c r="UPK64" s="364" t="s">
        <v>140</v>
      </c>
      <c r="UPL64" s="365">
        <v>0.5</v>
      </c>
      <c r="UPM64" s="366" t="e">
        <f>10/UPI62</f>
        <v>#DIV/0!</v>
      </c>
      <c r="UPN64" s="367">
        <v>15.38</v>
      </c>
      <c r="UPO64" s="367" t="e">
        <f>UPL64*UPM64*UPN64</f>
        <v>#DIV/0!</v>
      </c>
      <c r="UPP64" s="363" t="s">
        <v>153</v>
      </c>
      <c r="UPQ64" s="363"/>
      <c r="UPR64" s="363"/>
      <c r="UPS64" s="364" t="s">
        <v>140</v>
      </c>
      <c r="UPT64" s="365">
        <v>0.5</v>
      </c>
      <c r="UPU64" s="366" t="e">
        <f>10/UPQ62</f>
        <v>#DIV/0!</v>
      </c>
      <c r="UPV64" s="367">
        <v>15.38</v>
      </c>
      <c r="UPW64" s="367" t="e">
        <f>UPT64*UPU64*UPV64</f>
        <v>#DIV/0!</v>
      </c>
      <c r="UPX64" s="363" t="s">
        <v>153</v>
      </c>
      <c r="UPY64" s="363"/>
      <c r="UPZ64" s="363"/>
      <c r="UQA64" s="364" t="s">
        <v>140</v>
      </c>
      <c r="UQB64" s="365">
        <v>0.5</v>
      </c>
      <c r="UQC64" s="366" t="e">
        <f>10/UPY62</f>
        <v>#DIV/0!</v>
      </c>
      <c r="UQD64" s="367">
        <v>15.38</v>
      </c>
      <c r="UQE64" s="367" t="e">
        <f>UQB64*UQC64*UQD64</f>
        <v>#DIV/0!</v>
      </c>
      <c r="UQF64" s="363" t="s">
        <v>153</v>
      </c>
      <c r="UQG64" s="363"/>
      <c r="UQH64" s="363"/>
      <c r="UQI64" s="364" t="s">
        <v>140</v>
      </c>
      <c r="UQJ64" s="365">
        <v>0.5</v>
      </c>
      <c r="UQK64" s="366" t="e">
        <f>10/UQG62</f>
        <v>#DIV/0!</v>
      </c>
      <c r="UQL64" s="367">
        <v>15.38</v>
      </c>
      <c r="UQM64" s="367" t="e">
        <f>UQJ64*UQK64*UQL64</f>
        <v>#DIV/0!</v>
      </c>
      <c r="UQN64" s="363" t="s">
        <v>153</v>
      </c>
      <c r="UQO64" s="363"/>
      <c r="UQP64" s="363"/>
      <c r="UQQ64" s="364" t="s">
        <v>140</v>
      </c>
      <c r="UQR64" s="365">
        <v>0.5</v>
      </c>
      <c r="UQS64" s="366" t="e">
        <f>10/UQO62</f>
        <v>#DIV/0!</v>
      </c>
      <c r="UQT64" s="367">
        <v>15.38</v>
      </c>
      <c r="UQU64" s="367" t="e">
        <f>UQR64*UQS64*UQT64</f>
        <v>#DIV/0!</v>
      </c>
      <c r="UQV64" s="363" t="s">
        <v>153</v>
      </c>
      <c r="UQW64" s="363"/>
      <c r="UQX64" s="363"/>
      <c r="UQY64" s="364" t="s">
        <v>140</v>
      </c>
      <c r="UQZ64" s="365">
        <v>0.5</v>
      </c>
      <c r="URA64" s="366" t="e">
        <f>10/UQW62</f>
        <v>#DIV/0!</v>
      </c>
      <c r="URB64" s="367">
        <v>15.38</v>
      </c>
      <c r="URC64" s="367" t="e">
        <f>UQZ64*URA64*URB64</f>
        <v>#DIV/0!</v>
      </c>
      <c r="URD64" s="363" t="s">
        <v>153</v>
      </c>
      <c r="URE64" s="363"/>
      <c r="URF64" s="363"/>
      <c r="URG64" s="364" t="s">
        <v>140</v>
      </c>
      <c r="URH64" s="365">
        <v>0.5</v>
      </c>
      <c r="URI64" s="366" t="e">
        <f>10/URE62</f>
        <v>#DIV/0!</v>
      </c>
      <c r="URJ64" s="367">
        <v>15.38</v>
      </c>
      <c r="URK64" s="367" t="e">
        <f>URH64*URI64*URJ64</f>
        <v>#DIV/0!</v>
      </c>
      <c r="URL64" s="363" t="s">
        <v>153</v>
      </c>
      <c r="URM64" s="363"/>
      <c r="URN64" s="363"/>
      <c r="URO64" s="364" t="s">
        <v>140</v>
      </c>
      <c r="URP64" s="365">
        <v>0.5</v>
      </c>
      <c r="URQ64" s="366" t="e">
        <f>10/URM62</f>
        <v>#DIV/0!</v>
      </c>
      <c r="URR64" s="367">
        <v>15.38</v>
      </c>
      <c r="URS64" s="367" t="e">
        <f>URP64*URQ64*URR64</f>
        <v>#DIV/0!</v>
      </c>
      <c r="URT64" s="363" t="s">
        <v>153</v>
      </c>
      <c r="URU64" s="363"/>
      <c r="URV64" s="363"/>
      <c r="URW64" s="364" t="s">
        <v>140</v>
      </c>
      <c r="URX64" s="365">
        <v>0.5</v>
      </c>
      <c r="URY64" s="366" t="e">
        <f>10/URU62</f>
        <v>#DIV/0!</v>
      </c>
      <c r="URZ64" s="367">
        <v>15.38</v>
      </c>
      <c r="USA64" s="367" t="e">
        <f>URX64*URY64*URZ64</f>
        <v>#DIV/0!</v>
      </c>
      <c r="USB64" s="363" t="s">
        <v>153</v>
      </c>
      <c r="USC64" s="363"/>
      <c r="USD64" s="363"/>
      <c r="USE64" s="364" t="s">
        <v>140</v>
      </c>
      <c r="USF64" s="365">
        <v>0.5</v>
      </c>
      <c r="USG64" s="366" t="e">
        <f>10/USC62</f>
        <v>#DIV/0!</v>
      </c>
      <c r="USH64" s="367">
        <v>15.38</v>
      </c>
      <c r="USI64" s="367" t="e">
        <f>USF64*USG64*USH64</f>
        <v>#DIV/0!</v>
      </c>
      <c r="USJ64" s="363" t="s">
        <v>153</v>
      </c>
      <c r="USK64" s="363"/>
      <c r="USL64" s="363"/>
      <c r="USM64" s="364" t="s">
        <v>140</v>
      </c>
      <c r="USN64" s="365">
        <v>0.5</v>
      </c>
      <c r="USO64" s="366" t="e">
        <f>10/USK62</f>
        <v>#DIV/0!</v>
      </c>
      <c r="USP64" s="367">
        <v>15.38</v>
      </c>
      <c r="USQ64" s="367" t="e">
        <f>USN64*USO64*USP64</f>
        <v>#DIV/0!</v>
      </c>
      <c r="USR64" s="363" t="s">
        <v>153</v>
      </c>
      <c r="USS64" s="363"/>
      <c r="UST64" s="363"/>
      <c r="USU64" s="364" t="s">
        <v>140</v>
      </c>
      <c r="USV64" s="365">
        <v>0.5</v>
      </c>
      <c r="USW64" s="366" t="e">
        <f>10/USS62</f>
        <v>#DIV/0!</v>
      </c>
      <c r="USX64" s="367">
        <v>15.38</v>
      </c>
      <c r="USY64" s="367" t="e">
        <f>USV64*USW64*USX64</f>
        <v>#DIV/0!</v>
      </c>
      <c r="USZ64" s="363" t="s">
        <v>153</v>
      </c>
      <c r="UTA64" s="363"/>
      <c r="UTB64" s="363"/>
      <c r="UTC64" s="364" t="s">
        <v>140</v>
      </c>
      <c r="UTD64" s="365">
        <v>0.5</v>
      </c>
      <c r="UTE64" s="366" t="e">
        <f>10/UTA62</f>
        <v>#DIV/0!</v>
      </c>
      <c r="UTF64" s="367">
        <v>15.38</v>
      </c>
      <c r="UTG64" s="367" t="e">
        <f>UTD64*UTE64*UTF64</f>
        <v>#DIV/0!</v>
      </c>
      <c r="UTH64" s="363" t="s">
        <v>153</v>
      </c>
      <c r="UTI64" s="363"/>
      <c r="UTJ64" s="363"/>
      <c r="UTK64" s="364" t="s">
        <v>140</v>
      </c>
      <c r="UTL64" s="365">
        <v>0.5</v>
      </c>
      <c r="UTM64" s="366" t="e">
        <f>10/UTI62</f>
        <v>#DIV/0!</v>
      </c>
      <c r="UTN64" s="367">
        <v>15.38</v>
      </c>
      <c r="UTO64" s="367" t="e">
        <f>UTL64*UTM64*UTN64</f>
        <v>#DIV/0!</v>
      </c>
      <c r="UTP64" s="363" t="s">
        <v>153</v>
      </c>
      <c r="UTQ64" s="363"/>
      <c r="UTR64" s="363"/>
      <c r="UTS64" s="364" t="s">
        <v>140</v>
      </c>
      <c r="UTT64" s="365">
        <v>0.5</v>
      </c>
      <c r="UTU64" s="366" t="e">
        <f>10/UTQ62</f>
        <v>#DIV/0!</v>
      </c>
      <c r="UTV64" s="367">
        <v>15.38</v>
      </c>
      <c r="UTW64" s="367" t="e">
        <f>UTT64*UTU64*UTV64</f>
        <v>#DIV/0!</v>
      </c>
      <c r="UTX64" s="363" t="s">
        <v>153</v>
      </c>
      <c r="UTY64" s="363"/>
      <c r="UTZ64" s="363"/>
      <c r="UUA64" s="364" t="s">
        <v>140</v>
      </c>
      <c r="UUB64" s="365">
        <v>0.5</v>
      </c>
      <c r="UUC64" s="366" t="e">
        <f>10/UTY62</f>
        <v>#DIV/0!</v>
      </c>
      <c r="UUD64" s="367">
        <v>15.38</v>
      </c>
      <c r="UUE64" s="367" t="e">
        <f>UUB64*UUC64*UUD64</f>
        <v>#DIV/0!</v>
      </c>
      <c r="UUF64" s="363" t="s">
        <v>153</v>
      </c>
      <c r="UUG64" s="363"/>
      <c r="UUH64" s="363"/>
      <c r="UUI64" s="364" t="s">
        <v>140</v>
      </c>
      <c r="UUJ64" s="365">
        <v>0.5</v>
      </c>
      <c r="UUK64" s="366" t="e">
        <f>10/UUG62</f>
        <v>#DIV/0!</v>
      </c>
      <c r="UUL64" s="367">
        <v>15.38</v>
      </c>
      <c r="UUM64" s="367" t="e">
        <f>UUJ64*UUK64*UUL64</f>
        <v>#DIV/0!</v>
      </c>
      <c r="UUN64" s="363" t="s">
        <v>153</v>
      </c>
      <c r="UUO64" s="363"/>
      <c r="UUP64" s="363"/>
      <c r="UUQ64" s="364" t="s">
        <v>140</v>
      </c>
      <c r="UUR64" s="365">
        <v>0.5</v>
      </c>
      <c r="UUS64" s="366" t="e">
        <f>10/UUO62</f>
        <v>#DIV/0!</v>
      </c>
      <c r="UUT64" s="367">
        <v>15.38</v>
      </c>
      <c r="UUU64" s="367" t="e">
        <f>UUR64*UUS64*UUT64</f>
        <v>#DIV/0!</v>
      </c>
      <c r="UUV64" s="363" t="s">
        <v>153</v>
      </c>
      <c r="UUW64" s="363"/>
      <c r="UUX64" s="363"/>
      <c r="UUY64" s="364" t="s">
        <v>140</v>
      </c>
      <c r="UUZ64" s="365">
        <v>0.5</v>
      </c>
      <c r="UVA64" s="366" t="e">
        <f>10/UUW62</f>
        <v>#DIV/0!</v>
      </c>
      <c r="UVB64" s="367">
        <v>15.38</v>
      </c>
      <c r="UVC64" s="367" t="e">
        <f>UUZ64*UVA64*UVB64</f>
        <v>#DIV/0!</v>
      </c>
      <c r="UVD64" s="363" t="s">
        <v>153</v>
      </c>
      <c r="UVE64" s="363"/>
      <c r="UVF64" s="363"/>
      <c r="UVG64" s="364" t="s">
        <v>140</v>
      </c>
      <c r="UVH64" s="365">
        <v>0.5</v>
      </c>
      <c r="UVI64" s="366" t="e">
        <f>10/UVE62</f>
        <v>#DIV/0!</v>
      </c>
      <c r="UVJ64" s="367">
        <v>15.38</v>
      </c>
      <c r="UVK64" s="367" t="e">
        <f>UVH64*UVI64*UVJ64</f>
        <v>#DIV/0!</v>
      </c>
      <c r="UVL64" s="363" t="s">
        <v>153</v>
      </c>
      <c r="UVM64" s="363"/>
      <c r="UVN64" s="363"/>
      <c r="UVO64" s="364" t="s">
        <v>140</v>
      </c>
      <c r="UVP64" s="365">
        <v>0.5</v>
      </c>
      <c r="UVQ64" s="366" t="e">
        <f>10/UVM62</f>
        <v>#DIV/0!</v>
      </c>
      <c r="UVR64" s="367">
        <v>15.38</v>
      </c>
      <c r="UVS64" s="367" t="e">
        <f>UVP64*UVQ64*UVR64</f>
        <v>#DIV/0!</v>
      </c>
      <c r="UVT64" s="363" t="s">
        <v>153</v>
      </c>
      <c r="UVU64" s="363"/>
      <c r="UVV64" s="363"/>
      <c r="UVW64" s="364" t="s">
        <v>140</v>
      </c>
      <c r="UVX64" s="365">
        <v>0.5</v>
      </c>
      <c r="UVY64" s="366" t="e">
        <f>10/UVU62</f>
        <v>#DIV/0!</v>
      </c>
      <c r="UVZ64" s="367">
        <v>15.38</v>
      </c>
      <c r="UWA64" s="367" t="e">
        <f>UVX64*UVY64*UVZ64</f>
        <v>#DIV/0!</v>
      </c>
      <c r="UWB64" s="363" t="s">
        <v>153</v>
      </c>
      <c r="UWC64" s="363"/>
      <c r="UWD64" s="363"/>
      <c r="UWE64" s="364" t="s">
        <v>140</v>
      </c>
      <c r="UWF64" s="365">
        <v>0.5</v>
      </c>
      <c r="UWG64" s="366" t="e">
        <f>10/UWC62</f>
        <v>#DIV/0!</v>
      </c>
      <c r="UWH64" s="367">
        <v>15.38</v>
      </c>
      <c r="UWI64" s="367" t="e">
        <f>UWF64*UWG64*UWH64</f>
        <v>#DIV/0!</v>
      </c>
      <c r="UWJ64" s="363" t="s">
        <v>153</v>
      </c>
      <c r="UWK64" s="363"/>
      <c r="UWL64" s="363"/>
      <c r="UWM64" s="364" t="s">
        <v>140</v>
      </c>
      <c r="UWN64" s="365">
        <v>0.5</v>
      </c>
      <c r="UWO64" s="366" t="e">
        <f>10/UWK62</f>
        <v>#DIV/0!</v>
      </c>
      <c r="UWP64" s="367">
        <v>15.38</v>
      </c>
      <c r="UWQ64" s="367" t="e">
        <f>UWN64*UWO64*UWP64</f>
        <v>#DIV/0!</v>
      </c>
      <c r="UWR64" s="363" t="s">
        <v>153</v>
      </c>
      <c r="UWS64" s="363"/>
      <c r="UWT64" s="363"/>
      <c r="UWU64" s="364" t="s">
        <v>140</v>
      </c>
      <c r="UWV64" s="365">
        <v>0.5</v>
      </c>
      <c r="UWW64" s="366" t="e">
        <f>10/UWS62</f>
        <v>#DIV/0!</v>
      </c>
      <c r="UWX64" s="367">
        <v>15.38</v>
      </c>
      <c r="UWY64" s="367" t="e">
        <f>UWV64*UWW64*UWX64</f>
        <v>#DIV/0!</v>
      </c>
      <c r="UWZ64" s="363" t="s">
        <v>153</v>
      </c>
      <c r="UXA64" s="363"/>
      <c r="UXB64" s="363"/>
      <c r="UXC64" s="364" t="s">
        <v>140</v>
      </c>
      <c r="UXD64" s="365">
        <v>0.5</v>
      </c>
      <c r="UXE64" s="366" t="e">
        <f>10/UXA62</f>
        <v>#DIV/0!</v>
      </c>
      <c r="UXF64" s="367">
        <v>15.38</v>
      </c>
      <c r="UXG64" s="367" t="e">
        <f>UXD64*UXE64*UXF64</f>
        <v>#DIV/0!</v>
      </c>
      <c r="UXH64" s="363" t="s">
        <v>153</v>
      </c>
      <c r="UXI64" s="363"/>
      <c r="UXJ64" s="363"/>
      <c r="UXK64" s="364" t="s">
        <v>140</v>
      </c>
      <c r="UXL64" s="365">
        <v>0.5</v>
      </c>
      <c r="UXM64" s="366" t="e">
        <f>10/UXI62</f>
        <v>#DIV/0!</v>
      </c>
      <c r="UXN64" s="367">
        <v>15.38</v>
      </c>
      <c r="UXO64" s="367" t="e">
        <f>UXL64*UXM64*UXN64</f>
        <v>#DIV/0!</v>
      </c>
      <c r="UXP64" s="363" t="s">
        <v>153</v>
      </c>
      <c r="UXQ64" s="363"/>
      <c r="UXR64" s="363"/>
      <c r="UXS64" s="364" t="s">
        <v>140</v>
      </c>
      <c r="UXT64" s="365">
        <v>0.5</v>
      </c>
      <c r="UXU64" s="366" t="e">
        <f>10/UXQ62</f>
        <v>#DIV/0!</v>
      </c>
      <c r="UXV64" s="367">
        <v>15.38</v>
      </c>
      <c r="UXW64" s="367" t="e">
        <f>UXT64*UXU64*UXV64</f>
        <v>#DIV/0!</v>
      </c>
      <c r="UXX64" s="363" t="s">
        <v>153</v>
      </c>
      <c r="UXY64" s="363"/>
      <c r="UXZ64" s="363"/>
      <c r="UYA64" s="364" t="s">
        <v>140</v>
      </c>
      <c r="UYB64" s="365">
        <v>0.5</v>
      </c>
      <c r="UYC64" s="366" t="e">
        <f>10/UXY62</f>
        <v>#DIV/0!</v>
      </c>
      <c r="UYD64" s="367">
        <v>15.38</v>
      </c>
      <c r="UYE64" s="367" t="e">
        <f>UYB64*UYC64*UYD64</f>
        <v>#DIV/0!</v>
      </c>
      <c r="UYF64" s="363" t="s">
        <v>153</v>
      </c>
      <c r="UYG64" s="363"/>
      <c r="UYH64" s="363"/>
      <c r="UYI64" s="364" t="s">
        <v>140</v>
      </c>
      <c r="UYJ64" s="365">
        <v>0.5</v>
      </c>
      <c r="UYK64" s="366" t="e">
        <f>10/UYG62</f>
        <v>#DIV/0!</v>
      </c>
      <c r="UYL64" s="367">
        <v>15.38</v>
      </c>
      <c r="UYM64" s="367" t="e">
        <f>UYJ64*UYK64*UYL64</f>
        <v>#DIV/0!</v>
      </c>
      <c r="UYN64" s="363" t="s">
        <v>153</v>
      </c>
      <c r="UYO64" s="363"/>
      <c r="UYP64" s="363"/>
      <c r="UYQ64" s="364" t="s">
        <v>140</v>
      </c>
      <c r="UYR64" s="365">
        <v>0.5</v>
      </c>
      <c r="UYS64" s="366" t="e">
        <f>10/UYO62</f>
        <v>#DIV/0!</v>
      </c>
      <c r="UYT64" s="367">
        <v>15.38</v>
      </c>
      <c r="UYU64" s="367" t="e">
        <f>UYR64*UYS64*UYT64</f>
        <v>#DIV/0!</v>
      </c>
      <c r="UYV64" s="363" t="s">
        <v>153</v>
      </c>
      <c r="UYW64" s="363"/>
      <c r="UYX64" s="363"/>
      <c r="UYY64" s="364" t="s">
        <v>140</v>
      </c>
      <c r="UYZ64" s="365">
        <v>0.5</v>
      </c>
      <c r="UZA64" s="366" t="e">
        <f>10/UYW62</f>
        <v>#DIV/0!</v>
      </c>
      <c r="UZB64" s="367">
        <v>15.38</v>
      </c>
      <c r="UZC64" s="367" t="e">
        <f>UYZ64*UZA64*UZB64</f>
        <v>#DIV/0!</v>
      </c>
      <c r="UZD64" s="363" t="s">
        <v>153</v>
      </c>
      <c r="UZE64" s="363"/>
      <c r="UZF64" s="363"/>
      <c r="UZG64" s="364" t="s">
        <v>140</v>
      </c>
      <c r="UZH64" s="365">
        <v>0.5</v>
      </c>
      <c r="UZI64" s="366" t="e">
        <f>10/UZE62</f>
        <v>#DIV/0!</v>
      </c>
      <c r="UZJ64" s="367">
        <v>15.38</v>
      </c>
      <c r="UZK64" s="367" t="e">
        <f>UZH64*UZI64*UZJ64</f>
        <v>#DIV/0!</v>
      </c>
      <c r="UZL64" s="363" t="s">
        <v>153</v>
      </c>
      <c r="UZM64" s="363"/>
      <c r="UZN64" s="363"/>
      <c r="UZO64" s="364" t="s">
        <v>140</v>
      </c>
      <c r="UZP64" s="365">
        <v>0.5</v>
      </c>
      <c r="UZQ64" s="366" t="e">
        <f>10/UZM62</f>
        <v>#DIV/0!</v>
      </c>
      <c r="UZR64" s="367">
        <v>15.38</v>
      </c>
      <c r="UZS64" s="367" t="e">
        <f>UZP64*UZQ64*UZR64</f>
        <v>#DIV/0!</v>
      </c>
      <c r="UZT64" s="363" t="s">
        <v>153</v>
      </c>
      <c r="UZU64" s="363"/>
      <c r="UZV64" s="363"/>
      <c r="UZW64" s="364" t="s">
        <v>140</v>
      </c>
      <c r="UZX64" s="365">
        <v>0.5</v>
      </c>
      <c r="UZY64" s="366" t="e">
        <f>10/UZU62</f>
        <v>#DIV/0!</v>
      </c>
      <c r="UZZ64" s="367">
        <v>15.38</v>
      </c>
      <c r="VAA64" s="367" t="e">
        <f>UZX64*UZY64*UZZ64</f>
        <v>#DIV/0!</v>
      </c>
      <c r="VAB64" s="363" t="s">
        <v>153</v>
      </c>
      <c r="VAC64" s="363"/>
      <c r="VAD64" s="363"/>
      <c r="VAE64" s="364" t="s">
        <v>140</v>
      </c>
      <c r="VAF64" s="365">
        <v>0.5</v>
      </c>
      <c r="VAG64" s="366" t="e">
        <f>10/VAC62</f>
        <v>#DIV/0!</v>
      </c>
      <c r="VAH64" s="367">
        <v>15.38</v>
      </c>
      <c r="VAI64" s="367" t="e">
        <f>VAF64*VAG64*VAH64</f>
        <v>#DIV/0!</v>
      </c>
      <c r="VAJ64" s="363" t="s">
        <v>153</v>
      </c>
      <c r="VAK64" s="363"/>
      <c r="VAL64" s="363"/>
      <c r="VAM64" s="364" t="s">
        <v>140</v>
      </c>
      <c r="VAN64" s="365">
        <v>0.5</v>
      </c>
      <c r="VAO64" s="366" t="e">
        <f>10/VAK62</f>
        <v>#DIV/0!</v>
      </c>
      <c r="VAP64" s="367">
        <v>15.38</v>
      </c>
      <c r="VAQ64" s="367" t="e">
        <f>VAN64*VAO64*VAP64</f>
        <v>#DIV/0!</v>
      </c>
      <c r="VAR64" s="363" t="s">
        <v>153</v>
      </c>
      <c r="VAS64" s="363"/>
      <c r="VAT64" s="363"/>
      <c r="VAU64" s="364" t="s">
        <v>140</v>
      </c>
      <c r="VAV64" s="365">
        <v>0.5</v>
      </c>
      <c r="VAW64" s="366" t="e">
        <f>10/VAS62</f>
        <v>#DIV/0!</v>
      </c>
      <c r="VAX64" s="367">
        <v>15.38</v>
      </c>
      <c r="VAY64" s="367" t="e">
        <f>VAV64*VAW64*VAX64</f>
        <v>#DIV/0!</v>
      </c>
      <c r="VAZ64" s="363" t="s">
        <v>153</v>
      </c>
      <c r="VBA64" s="363"/>
      <c r="VBB64" s="363"/>
      <c r="VBC64" s="364" t="s">
        <v>140</v>
      </c>
      <c r="VBD64" s="365">
        <v>0.5</v>
      </c>
      <c r="VBE64" s="366" t="e">
        <f>10/VBA62</f>
        <v>#DIV/0!</v>
      </c>
      <c r="VBF64" s="367">
        <v>15.38</v>
      </c>
      <c r="VBG64" s="367" t="e">
        <f>VBD64*VBE64*VBF64</f>
        <v>#DIV/0!</v>
      </c>
      <c r="VBH64" s="363" t="s">
        <v>153</v>
      </c>
      <c r="VBI64" s="363"/>
      <c r="VBJ64" s="363"/>
      <c r="VBK64" s="364" t="s">
        <v>140</v>
      </c>
      <c r="VBL64" s="365">
        <v>0.5</v>
      </c>
      <c r="VBM64" s="366" t="e">
        <f>10/VBI62</f>
        <v>#DIV/0!</v>
      </c>
      <c r="VBN64" s="367">
        <v>15.38</v>
      </c>
      <c r="VBO64" s="367" t="e">
        <f>VBL64*VBM64*VBN64</f>
        <v>#DIV/0!</v>
      </c>
      <c r="VBP64" s="363" t="s">
        <v>153</v>
      </c>
      <c r="VBQ64" s="363"/>
      <c r="VBR64" s="363"/>
      <c r="VBS64" s="364" t="s">
        <v>140</v>
      </c>
      <c r="VBT64" s="365">
        <v>0.5</v>
      </c>
      <c r="VBU64" s="366" t="e">
        <f>10/VBQ62</f>
        <v>#DIV/0!</v>
      </c>
      <c r="VBV64" s="367">
        <v>15.38</v>
      </c>
      <c r="VBW64" s="367" t="e">
        <f>VBT64*VBU64*VBV64</f>
        <v>#DIV/0!</v>
      </c>
      <c r="VBX64" s="363" t="s">
        <v>153</v>
      </c>
      <c r="VBY64" s="363"/>
      <c r="VBZ64" s="363"/>
      <c r="VCA64" s="364" t="s">
        <v>140</v>
      </c>
      <c r="VCB64" s="365">
        <v>0.5</v>
      </c>
      <c r="VCC64" s="366" t="e">
        <f>10/VBY62</f>
        <v>#DIV/0!</v>
      </c>
      <c r="VCD64" s="367">
        <v>15.38</v>
      </c>
      <c r="VCE64" s="367" t="e">
        <f>VCB64*VCC64*VCD64</f>
        <v>#DIV/0!</v>
      </c>
      <c r="VCF64" s="363" t="s">
        <v>153</v>
      </c>
      <c r="VCG64" s="363"/>
      <c r="VCH64" s="363"/>
      <c r="VCI64" s="364" t="s">
        <v>140</v>
      </c>
      <c r="VCJ64" s="365">
        <v>0.5</v>
      </c>
      <c r="VCK64" s="366" t="e">
        <f>10/VCG62</f>
        <v>#DIV/0!</v>
      </c>
      <c r="VCL64" s="367">
        <v>15.38</v>
      </c>
      <c r="VCM64" s="367" t="e">
        <f>VCJ64*VCK64*VCL64</f>
        <v>#DIV/0!</v>
      </c>
      <c r="VCN64" s="363" t="s">
        <v>153</v>
      </c>
      <c r="VCO64" s="363"/>
      <c r="VCP64" s="363"/>
      <c r="VCQ64" s="364" t="s">
        <v>140</v>
      </c>
      <c r="VCR64" s="365">
        <v>0.5</v>
      </c>
      <c r="VCS64" s="366" t="e">
        <f>10/VCO62</f>
        <v>#DIV/0!</v>
      </c>
      <c r="VCT64" s="367">
        <v>15.38</v>
      </c>
      <c r="VCU64" s="367" t="e">
        <f>VCR64*VCS64*VCT64</f>
        <v>#DIV/0!</v>
      </c>
      <c r="VCV64" s="363" t="s">
        <v>153</v>
      </c>
      <c r="VCW64" s="363"/>
      <c r="VCX64" s="363"/>
      <c r="VCY64" s="364" t="s">
        <v>140</v>
      </c>
      <c r="VCZ64" s="365">
        <v>0.5</v>
      </c>
      <c r="VDA64" s="366" t="e">
        <f>10/VCW62</f>
        <v>#DIV/0!</v>
      </c>
      <c r="VDB64" s="367">
        <v>15.38</v>
      </c>
      <c r="VDC64" s="367" t="e">
        <f>VCZ64*VDA64*VDB64</f>
        <v>#DIV/0!</v>
      </c>
      <c r="VDD64" s="363" t="s">
        <v>153</v>
      </c>
      <c r="VDE64" s="363"/>
      <c r="VDF64" s="363"/>
      <c r="VDG64" s="364" t="s">
        <v>140</v>
      </c>
      <c r="VDH64" s="365">
        <v>0.5</v>
      </c>
      <c r="VDI64" s="366" t="e">
        <f>10/VDE62</f>
        <v>#DIV/0!</v>
      </c>
      <c r="VDJ64" s="367">
        <v>15.38</v>
      </c>
      <c r="VDK64" s="367" t="e">
        <f>VDH64*VDI64*VDJ64</f>
        <v>#DIV/0!</v>
      </c>
      <c r="VDL64" s="363" t="s">
        <v>153</v>
      </c>
      <c r="VDM64" s="363"/>
      <c r="VDN64" s="363"/>
      <c r="VDO64" s="364" t="s">
        <v>140</v>
      </c>
      <c r="VDP64" s="365">
        <v>0.5</v>
      </c>
      <c r="VDQ64" s="366" t="e">
        <f>10/VDM62</f>
        <v>#DIV/0!</v>
      </c>
      <c r="VDR64" s="367">
        <v>15.38</v>
      </c>
      <c r="VDS64" s="367" t="e">
        <f>VDP64*VDQ64*VDR64</f>
        <v>#DIV/0!</v>
      </c>
      <c r="VDT64" s="363" t="s">
        <v>153</v>
      </c>
      <c r="VDU64" s="363"/>
      <c r="VDV64" s="363"/>
      <c r="VDW64" s="364" t="s">
        <v>140</v>
      </c>
      <c r="VDX64" s="365">
        <v>0.5</v>
      </c>
      <c r="VDY64" s="366" t="e">
        <f>10/VDU62</f>
        <v>#DIV/0!</v>
      </c>
      <c r="VDZ64" s="367">
        <v>15.38</v>
      </c>
      <c r="VEA64" s="367" t="e">
        <f>VDX64*VDY64*VDZ64</f>
        <v>#DIV/0!</v>
      </c>
      <c r="VEB64" s="363" t="s">
        <v>153</v>
      </c>
      <c r="VEC64" s="363"/>
      <c r="VED64" s="363"/>
      <c r="VEE64" s="364" t="s">
        <v>140</v>
      </c>
      <c r="VEF64" s="365">
        <v>0.5</v>
      </c>
      <c r="VEG64" s="366" t="e">
        <f>10/VEC62</f>
        <v>#DIV/0!</v>
      </c>
      <c r="VEH64" s="367">
        <v>15.38</v>
      </c>
      <c r="VEI64" s="367" t="e">
        <f>VEF64*VEG64*VEH64</f>
        <v>#DIV/0!</v>
      </c>
      <c r="VEJ64" s="363" t="s">
        <v>153</v>
      </c>
      <c r="VEK64" s="363"/>
      <c r="VEL64" s="363"/>
      <c r="VEM64" s="364" t="s">
        <v>140</v>
      </c>
      <c r="VEN64" s="365">
        <v>0.5</v>
      </c>
      <c r="VEO64" s="366" t="e">
        <f>10/VEK62</f>
        <v>#DIV/0!</v>
      </c>
      <c r="VEP64" s="367">
        <v>15.38</v>
      </c>
      <c r="VEQ64" s="367" t="e">
        <f>VEN64*VEO64*VEP64</f>
        <v>#DIV/0!</v>
      </c>
      <c r="VER64" s="363" t="s">
        <v>153</v>
      </c>
      <c r="VES64" s="363"/>
      <c r="VET64" s="363"/>
      <c r="VEU64" s="364" t="s">
        <v>140</v>
      </c>
      <c r="VEV64" s="365">
        <v>0.5</v>
      </c>
      <c r="VEW64" s="366" t="e">
        <f>10/VES62</f>
        <v>#DIV/0!</v>
      </c>
      <c r="VEX64" s="367">
        <v>15.38</v>
      </c>
      <c r="VEY64" s="367" t="e">
        <f>VEV64*VEW64*VEX64</f>
        <v>#DIV/0!</v>
      </c>
      <c r="VEZ64" s="363" t="s">
        <v>153</v>
      </c>
      <c r="VFA64" s="363"/>
      <c r="VFB64" s="363"/>
      <c r="VFC64" s="364" t="s">
        <v>140</v>
      </c>
      <c r="VFD64" s="365">
        <v>0.5</v>
      </c>
      <c r="VFE64" s="366" t="e">
        <f>10/VFA62</f>
        <v>#DIV/0!</v>
      </c>
      <c r="VFF64" s="367">
        <v>15.38</v>
      </c>
      <c r="VFG64" s="367" t="e">
        <f>VFD64*VFE64*VFF64</f>
        <v>#DIV/0!</v>
      </c>
      <c r="VFH64" s="363" t="s">
        <v>153</v>
      </c>
      <c r="VFI64" s="363"/>
      <c r="VFJ64" s="363"/>
      <c r="VFK64" s="364" t="s">
        <v>140</v>
      </c>
      <c r="VFL64" s="365">
        <v>0.5</v>
      </c>
      <c r="VFM64" s="366" t="e">
        <f>10/VFI62</f>
        <v>#DIV/0!</v>
      </c>
      <c r="VFN64" s="367">
        <v>15.38</v>
      </c>
      <c r="VFO64" s="367" t="e">
        <f>VFL64*VFM64*VFN64</f>
        <v>#DIV/0!</v>
      </c>
      <c r="VFP64" s="363" t="s">
        <v>153</v>
      </c>
      <c r="VFQ64" s="363"/>
      <c r="VFR64" s="363"/>
      <c r="VFS64" s="364" t="s">
        <v>140</v>
      </c>
      <c r="VFT64" s="365">
        <v>0.5</v>
      </c>
      <c r="VFU64" s="366" t="e">
        <f>10/VFQ62</f>
        <v>#DIV/0!</v>
      </c>
      <c r="VFV64" s="367">
        <v>15.38</v>
      </c>
      <c r="VFW64" s="367" t="e">
        <f>VFT64*VFU64*VFV64</f>
        <v>#DIV/0!</v>
      </c>
      <c r="VFX64" s="363" t="s">
        <v>153</v>
      </c>
      <c r="VFY64" s="363"/>
      <c r="VFZ64" s="363"/>
      <c r="VGA64" s="364" t="s">
        <v>140</v>
      </c>
      <c r="VGB64" s="365">
        <v>0.5</v>
      </c>
      <c r="VGC64" s="366" t="e">
        <f>10/VFY62</f>
        <v>#DIV/0!</v>
      </c>
      <c r="VGD64" s="367">
        <v>15.38</v>
      </c>
      <c r="VGE64" s="367" t="e">
        <f>VGB64*VGC64*VGD64</f>
        <v>#DIV/0!</v>
      </c>
      <c r="VGF64" s="363" t="s">
        <v>153</v>
      </c>
      <c r="VGG64" s="363"/>
      <c r="VGH64" s="363"/>
      <c r="VGI64" s="364" t="s">
        <v>140</v>
      </c>
      <c r="VGJ64" s="365">
        <v>0.5</v>
      </c>
      <c r="VGK64" s="366" t="e">
        <f>10/VGG62</f>
        <v>#DIV/0!</v>
      </c>
      <c r="VGL64" s="367">
        <v>15.38</v>
      </c>
      <c r="VGM64" s="367" t="e">
        <f>VGJ64*VGK64*VGL64</f>
        <v>#DIV/0!</v>
      </c>
      <c r="VGN64" s="363" t="s">
        <v>153</v>
      </c>
      <c r="VGO64" s="363"/>
      <c r="VGP64" s="363"/>
      <c r="VGQ64" s="364" t="s">
        <v>140</v>
      </c>
      <c r="VGR64" s="365">
        <v>0.5</v>
      </c>
      <c r="VGS64" s="366" t="e">
        <f>10/VGO62</f>
        <v>#DIV/0!</v>
      </c>
      <c r="VGT64" s="367">
        <v>15.38</v>
      </c>
      <c r="VGU64" s="367" t="e">
        <f>VGR64*VGS64*VGT64</f>
        <v>#DIV/0!</v>
      </c>
      <c r="VGV64" s="363" t="s">
        <v>153</v>
      </c>
      <c r="VGW64" s="363"/>
      <c r="VGX64" s="363"/>
      <c r="VGY64" s="364" t="s">
        <v>140</v>
      </c>
      <c r="VGZ64" s="365">
        <v>0.5</v>
      </c>
      <c r="VHA64" s="366" t="e">
        <f>10/VGW62</f>
        <v>#DIV/0!</v>
      </c>
      <c r="VHB64" s="367">
        <v>15.38</v>
      </c>
      <c r="VHC64" s="367" t="e">
        <f>VGZ64*VHA64*VHB64</f>
        <v>#DIV/0!</v>
      </c>
      <c r="VHD64" s="363" t="s">
        <v>153</v>
      </c>
      <c r="VHE64" s="363"/>
      <c r="VHF64" s="363"/>
      <c r="VHG64" s="364" t="s">
        <v>140</v>
      </c>
      <c r="VHH64" s="365">
        <v>0.5</v>
      </c>
      <c r="VHI64" s="366" t="e">
        <f>10/VHE62</f>
        <v>#DIV/0!</v>
      </c>
      <c r="VHJ64" s="367">
        <v>15.38</v>
      </c>
      <c r="VHK64" s="367" t="e">
        <f>VHH64*VHI64*VHJ64</f>
        <v>#DIV/0!</v>
      </c>
      <c r="VHL64" s="363" t="s">
        <v>153</v>
      </c>
      <c r="VHM64" s="363"/>
      <c r="VHN64" s="363"/>
      <c r="VHO64" s="364" t="s">
        <v>140</v>
      </c>
      <c r="VHP64" s="365">
        <v>0.5</v>
      </c>
      <c r="VHQ64" s="366" t="e">
        <f>10/VHM62</f>
        <v>#DIV/0!</v>
      </c>
      <c r="VHR64" s="367">
        <v>15.38</v>
      </c>
      <c r="VHS64" s="367" t="e">
        <f>VHP64*VHQ64*VHR64</f>
        <v>#DIV/0!</v>
      </c>
      <c r="VHT64" s="363" t="s">
        <v>153</v>
      </c>
      <c r="VHU64" s="363"/>
      <c r="VHV64" s="363"/>
      <c r="VHW64" s="364" t="s">
        <v>140</v>
      </c>
      <c r="VHX64" s="365">
        <v>0.5</v>
      </c>
      <c r="VHY64" s="366" t="e">
        <f>10/VHU62</f>
        <v>#DIV/0!</v>
      </c>
      <c r="VHZ64" s="367">
        <v>15.38</v>
      </c>
      <c r="VIA64" s="367" t="e">
        <f>VHX64*VHY64*VHZ64</f>
        <v>#DIV/0!</v>
      </c>
      <c r="VIB64" s="363" t="s">
        <v>153</v>
      </c>
      <c r="VIC64" s="363"/>
      <c r="VID64" s="363"/>
      <c r="VIE64" s="364" t="s">
        <v>140</v>
      </c>
      <c r="VIF64" s="365">
        <v>0.5</v>
      </c>
      <c r="VIG64" s="366" t="e">
        <f>10/VIC62</f>
        <v>#DIV/0!</v>
      </c>
      <c r="VIH64" s="367">
        <v>15.38</v>
      </c>
      <c r="VII64" s="367" t="e">
        <f>VIF64*VIG64*VIH64</f>
        <v>#DIV/0!</v>
      </c>
      <c r="VIJ64" s="363" t="s">
        <v>153</v>
      </c>
      <c r="VIK64" s="363"/>
      <c r="VIL64" s="363"/>
      <c r="VIM64" s="364" t="s">
        <v>140</v>
      </c>
      <c r="VIN64" s="365">
        <v>0.5</v>
      </c>
      <c r="VIO64" s="366" t="e">
        <f>10/VIK62</f>
        <v>#DIV/0!</v>
      </c>
      <c r="VIP64" s="367">
        <v>15.38</v>
      </c>
      <c r="VIQ64" s="367" t="e">
        <f>VIN64*VIO64*VIP64</f>
        <v>#DIV/0!</v>
      </c>
      <c r="VIR64" s="363" t="s">
        <v>153</v>
      </c>
      <c r="VIS64" s="363"/>
      <c r="VIT64" s="363"/>
      <c r="VIU64" s="364" t="s">
        <v>140</v>
      </c>
      <c r="VIV64" s="365">
        <v>0.5</v>
      </c>
      <c r="VIW64" s="366" t="e">
        <f>10/VIS62</f>
        <v>#DIV/0!</v>
      </c>
      <c r="VIX64" s="367">
        <v>15.38</v>
      </c>
      <c r="VIY64" s="367" t="e">
        <f>VIV64*VIW64*VIX64</f>
        <v>#DIV/0!</v>
      </c>
      <c r="VIZ64" s="363" t="s">
        <v>153</v>
      </c>
      <c r="VJA64" s="363"/>
      <c r="VJB64" s="363"/>
      <c r="VJC64" s="364" t="s">
        <v>140</v>
      </c>
      <c r="VJD64" s="365">
        <v>0.5</v>
      </c>
      <c r="VJE64" s="366" t="e">
        <f>10/VJA62</f>
        <v>#DIV/0!</v>
      </c>
      <c r="VJF64" s="367">
        <v>15.38</v>
      </c>
      <c r="VJG64" s="367" t="e">
        <f>VJD64*VJE64*VJF64</f>
        <v>#DIV/0!</v>
      </c>
      <c r="VJH64" s="363" t="s">
        <v>153</v>
      </c>
      <c r="VJI64" s="363"/>
      <c r="VJJ64" s="363"/>
      <c r="VJK64" s="364" t="s">
        <v>140</v>
      </c>
      <c r="VJL64" s="365">
        <v>0.5</v>
      </c>
      <c r="VJM64" s="366" t="e">
        <f>10/VJI62</f>
        <v>#DIV/0!</v>
      </c>
      <c r="VJN64" s="367">
        <v>15.38</v>
      </c>
      <c r="VJO64" s="367" t="e">
        <f>VJL64*VJM64*VJN64</f>
        <v>#DIV/0!</v>
      </c>
      <c r="VJP64" s="363" t="s">
        <v>153</v>
      </c>
      <c r="VJQ64" s="363"/>
      <c r="VJR64" s="363"/>
      <c r="VJS64" s="364" t="s">
        <v>140</v>
      </c>
      <c r="VJT64" s="365">
        <v>0.5</v>
      </c>
      <c r="VJU64" s="366" t="e">
        <f>10/VJQ62</f>
        <v>#DIV/0!</v>
      </c>
      <c r="VJV64" s="367">
        <v>15.38</v>
      </c>
      <c r="VJW64" s="367" t="e">
        <f>VJT64*VJU64*VJV64</f>
        <v>#DIV/0!</v>
      </c>
      <c r="VJX64" s="363" t="s">
        <v>153</v>
      </c>
      <c r="VJY64" s="363"/>
      <c r="VJZ64" s="363"/>
      <c r="VKA64" s="364" t="s">
        <v>140</v>
      </c>
      <c r="VKB64" s="365">
        <v>0.5</v>
      </c>
      <c r="VKC64" s="366" t="e">
        <f>10/VJY62</f>
        <v>#DIV/0!</v>
      </c>
      <c r="VKD64" s="367">
        <v>15.38</v>
      </c>
      <c r="VKE64" s="367" t="e">
        <f>VKB64*VKC64*VKD64</f>
        <v>#DIV/0!</v>
      </c>
      <c r="VKF64" s="363" t="s">
        <v>153</v>
      </c>
      <c r="VKG64" s="363"/>
      <c r="VKH64" s="363"/>
      <c r="VKI64" s="364" t="s">
        <v>140</v>
      </c>
      <c r="VKJ64" s="365">
        <v>0.5</v>
      </c>
      <c r="VKK64" s="366" t="e">
        <f>10/VKG62</f>
        <v>#DIV/0!</v>
      </c>
      <c r="VKL64" s="367">
        <v>15.38</v>
      </c>
      <c r="VKM64" s="367" t="e">
        <f>VKJ64*VKK64*VKL64</f>
        <v>#DIV/0!</v>
      </c>
      <c r="VKN64" s="363" t="s">
        <v>153</v>
      </c>
      <c r="VKO64" s="363"/>
      <c r="VKP64" s="363"/>
      <c r="VKQ64" s="364" t="s">
        <v>140</v>
      </c>
      <c r="VKR64" s="365">
        <v>0.5</v>
      </c>
      <c r="VKS64" s="366" t="e">
        <f>10/VKO62</f>
        <v>#DIV/0!</v>
      </c>
      <c r="VKT64" s="367">
        <v>15.38</v>
      </c>
      <c r="VKU64" s="367" t="e">
        <f>VKR64*VKS64*VKT64</f>
        <v>#DIV/0!</v>
      </c>
      <c r="VKV64" s="363" t="s">
        <v>153</v>
      </c>
      <c r="VKW64" s="363"/>
      <c r="VKX64" s="363"/>
      <c r="VKY64" s="364" t="s">
        <v>140</v>
      </c>
      <c r="VKZ64" s="365">
        <v>0.5</v>
      </c>
      <c r="VLA64" s="366" t="e">
        <f>10/VKW62</f>
        <v>#DIV/0!</v>
      </c>
      <c r="VLB64" s="367">
        <v>15.38</v>
      </c>
      <c r="VLC64" s="367" t="e">
        <f>VKZ64*VLA64*VLB64</f>
        <v>#DIV/0!</v>
      </c>
      <c r="VLD64" s="363" t="s">
        <v>153</v>
      </c>
      <c r="VLE64" s="363"/>
      <c r="VLF64" s="363"/>
      <c r="VLG64" s="364" t="s">
        <v>140</v>
      </c>
      <c r="VLH64" s="365">
        <v>0.5</v>
      </c>
      <c r="VLI64" s="366" t="e">
        <f>10/VLE62</f>
        <v>#DIV/0!</v>
      </c>
      <c r="VLJ64" s="367">
        <v>15.38</v>
      </c>
      <c r="VLK64" s="367" t="e">
        <f>VLH64*VLI64*VLJ64</f>
        <v>#DIV/0!</v>
      </c>
      <c r="VLL64" s="363" t="s">
        <v>153</v>
      </c>
      <c r="VLM64" s="363"/>
      <c r="VLN64" s="363"/>
      <c r="VLO64" s="364" t="s">
        <v>140</v>
      </c>
      <c r="VLP64" s="365">
        <v>0.5</v>
      </c>
      <c r="VLQ64" s="366" t="e">
        <f>10/VLM62</f>
        <v>#DIV/0!</v>
      </c>
      <c r="VLR64" s="367">
        <v>15.38</v>
      </c>
      <c r="VLS64" s="367" t="e">
        <f>VLP64*VLQ64*VLR64</f>
        <v>#DIV/0!</v>
      </c>
      <c r="VLT64" s="363" t="s">
        <v>153</v>
      </c>
      <c r="VLU64" s="363"/>
      <c r="VLV64" s="363"/>
      <c r="VLW64" s="364" t="s">
        <v>140</v>
      </c>
      <c r="VLX64" s="365">
        <v>0.5</v>
      </c>
      <c r="VLY64" s="366" t="e">
        <f>10/VLU62</f>
        <v>#DIV/0!</v>
      </c>
      <c r="VLZ64" s="367">
        <v>15.38</v>
      </c>
      <c r="VMA64" s="367" t="e">
        <f>VLX64*VLY64*VLZ64</f>
        <v>#DIV/0!</v>
      </c>
      <c r="VMB64" s="363" t="s">
        <v>153</v>
      </c>
      <c r="VMC64" s="363"/>
      <c r="VMD64" s="363"/>
      <c r="VME64" s="364" t="s">
        <v>140</v>
      </c>
      <c r="VMF64" s="365">
        <v>0.5</v>
      </c>
      <c r="VMG64" s="366" t="e">
        <f>10/VMC62</f>
        <v>#DIV/0!</v>
      </c>
      <c r="VMH64" s="367">
        <v>15.38</v>
      </c>
      <c r="VMI64" s="367" t="e">
        <f>VMF64*VMG64*VMH64</f>
        <v>#DIV/0!</v>
      </c>
      <c r="VMJ64" s="363" t="s">
        <v>153</v>
      </c>
      <c r="VMK64" s="363"/>
      <c r="VML64" s="363"/>
      <c r="VMM64" s="364" t="s">
        <v>140</v>
      </c>
      <c r="VMN64" s="365">
        <v>0.5</v>
      </c>
      <c r="VMO64" s="366" t="e">
        <f>10/VMK62</f>
        <v>#DIV/0!</v>
      </c>
      <c r="VMP64" s="367">
        <v>15.38</v>
      </c>
      <c r="VMQ64" s="367" t="e">
        <f>VMN64*VMO64*VMP64</f>
        <v>#DIV/0!</v>
      </c>
      <c r="VMR64" s="363" t="s">
        <v>153</v>
      </c>
      <c r="VMS64" s="363"/>
      <c r="VMT64" s="363"/>
      <c r="VMU64" s="364" t="s">
        <v>140</v>
      </c>
      <c r="VMV64" s="365">
        <v>0.5</v>
      </c>
      <c r="VMW64" s="366" t="e">
        <f>10/VMS62</f>
        <v>#DIV/0!</v>
      </c>
      <c r="VMX64" s="367">
        <v>15.38</v>
      </c>
      <c r="VMY64" s="367" t="e">
        <f>VMV64*VMW64*VMX64</f>
        <v>#DIV/0!</v>
      </c>
      <c r="VMZ64" s="363" t="s">
        <v>153</v>
      </c>
      <c r="VNA64" s="363"/>
      <c r="VNB64" s="363"/>
      <c r="VNC64" s="364" t="s">
        <v>140</v>
      </c>
      <c r="VND64" s="365">
        <v>0.5</v>
      </c>
      <c r="VNE64" s="366" t="e">
        <f>10/VNA62</f>
        <v>#DIV/0!</v>
      </c>
      <c r="VNF64" s="367">
        <v>15.38</v>
      </c>
      <c r="VNG64" s="367" t="e">
        <f>VND64*VNE64*VNF64</f>
        <v>#DIV/0!</v>
      </c>
      <c r="VNH64" s="363" t="s">
        <v>153</v>
      </c>
      <c r="VNI64" s="363"/>
      <c r="VNJ64" s="363"/>
      <c r="VNK64" s="364" t="s">
        <v>140</v>
      </c>
      <c r="VNL64" s="365">
        <v>0.5</v>
      </c>
      <c r="VNM64" s="366" t="e">
        <f>10/VNI62</f>
        <v>#DIV/0!</v>
      </c>
      <c r="VNN64" s="367">
        <v>15.38</v>
      </c>
      <c r="VNO64" s="367" t="e">
        <f>VNL64*VNM64*VNN64</f>
        <v>#DIV/0!</v>
      </c>
      <c r="VNP64" s="363" t="s">
        <v>153</v>
      </c>
      <c r="VNQ64" s="363"/>
      <c r="VNR64" s="363"/>
      <c r="VNS64" s="364" t="s">
        <v>140</v>
      </c>
      <c r="VNT64" s="365">
        <v>0.5</v>
      </c>
      <c r="VNU64" s="366" t="e">
        <f>10/VNQ62</f>
        <v>#DIV/0!</v>
      </c>
      <c r="VNV64" s="367">
        <v>15.38</v>
      </c>
      <c r="VNW64" s="367" t="e">
        <f>VNT64*VNU64*VNV64</f>
        <v>#DIV/0!</v>
      </c>
      <c r="VNX64" s="363" t="s">
        <v>153</v>
      </c>
      <c r="VNY64" s="363"/>
      <c r="VNZ64" s="363"/>
      <c r="VOA64" s="364" t="s">
        <v>140</v>
      </c>
      <c r="VOB64" s="365">
        <v>0.5</v>
      </c>
      <c r="VOC64" s="366" t="e">
        <f>10/VNY62</f>
        <v>#DIV/0!</v>
      </c>
      <c r="VOD64" s="367">
        <v>15.38</v>
      </c>
      <c r="VOE64" s="367" t="e">
        <f>VOB64*VOC64*VOD64</f>
        <v>#DIV/0!</v>
      </c>
      <c r="VOF64" s="363" t="s">
        <v>153</v>
      </c>
      <c r="VOG64" s="363"/>
      <c r="VOH64" s="363"/>
      <c r="VOI64" s="364" t="s">
        <v>140</v>
      </c>
      <c r="VOJ64" s="365">
        <v>0.5</v>
      </c>
      <c r="VOK64" s="366" t="e">
        <f>10/VOG62</f>
        <v>#DIV/0!</v>
      </c>
      <c r="VOL64" s="367">
        <v>15.38</v>
      </c>
      <c r="VOM64" s="367" t="e">
        <f>VOJ64*VOK64*VOL64</f>
        <v>#DIV/0!</v>
      </c>
      <c r="VON64" s="363" t="s">
        <v>153</v>
      </c>
      <c r="VOO64" s="363"/>
      <c r="VOP64" s="363"/>
      <c r="VOQ64" s="364" t="s">
        <v>140</v>
      </c>
      <c r="VOR64" s="365">
        <v>0.5</v>
      </c>
      <c r="VOS64" s="366" t="e">
        <f>10/VOO62</f>
        <v>#DIV/0!</v>
      </c>
      <c r="VOT64" s="367">
        <v>15.38</v>
      </c>
      <c r="VOU64" s="367" t="e">
        <f>VOR64*VOS64*VOT64</f>
        <v>#DIV/0!</v>
      </c>
      <c r="VOV64" s="363" t="s">
        <v>153</v>
      </c>
      <c r="VOW64" s="363"/>
      <c r="VOX64" s="363"/>
      <c r="VOY64" s="364" t="s">
        <v>140</v>
      </c>
      <c r="VOZ64" s="365">
        <v>0.5</v>
      </c>
      <c r="VPA64" s="366" t="e">
        <f>10/VOW62</f>
        <v>#DIV/0!</v>
      </c>
      <c r="VPB64" s="367">
        <v>15.38</v>
      </c>
      <c r="VPC64" s="367" t="e">
        <f>VOZ64*VPA64*VPB64</f>
        <v>#DIV/0!</v>
      </c>
      <c r="VPD64" s="363" t="s">
        <v>153</v>
      </c>
      <c r="VPE64" s="363"/>
      <c r="VPF64" s="363"/>
      <c r="VPG64" s="364" t="s">
        <v>140</v>
      </c>
      <c r="VPH64" s="365">
        <v>0.5</v>
      </c>
      <c r="VPI64" s="366" t="e">
        <f>10/VPE62</f>
        <v>#DIV/0!</v>
      </c>
      <c r="VPJ64" s="367">
        <v>15.38</v>
      </c>
      <c r="VPK64" s="367" t="e">
        <f>VPH64*VPI64*VPJ64</f>
        <v>#DIV/0!</v>
      </c>
      <c r="VPL64" s="363" t="s">
        <v>153</v>
      </c>
      <c r="VPM64" s="363"/>
      <c r="VPN64" s="363"/>
      <c r="VPO64" s="364" t="s">
        <v>140</v>
      </c>
      <c r="VPP64" s="365">
        <v>0.5</v>
      </c>
      <c r="VPQ64" s="366" t="e">
        <f>10/VPM62</f>
        <v>#DIV/0!</v>
      </c>
      <c r="VPR64" s="367">
        <v>15.38</v>
      </c>
      <c r="VPS64" s="367" t="e">
        <f>VPP64*VPQ64*VPR64</f>
        <v>#DIV/0!</v>
      </c>
      <c r="VPT64" s="363" t="s">
        <v>153</v>
      </c>
      <c r="VPU64" s="363"/>
      <c r="VPV64" s="363"/>
      <c r="VPW64" s="364" t="s">
        <v>140</v>
      </c>
      <c r="VPX64" s="365">
        <v>0.5</v>
      </c>
      <c r="VPY64" s="366" t="e">
        <f>10/VPU62</f>
        <v>#DIV/0!</v>
      </c>
      <c r="VPZ64" s="367">
        <v>15.38</v>
      </c>
      <c r="VQA64" s="367" t="e">
        <f>VPX64*VPY64*VPZ64</f>
        <v>#DIV/0!</v>
      </c>
      <c r="VQB64" s="363" t="s">
        <v>153</v>
      </c>
      <c r="VQC64" s="363"/>
      <c r="VQD64" s="363"/>
      <c r="VQE64" s="364" t="s">
        <v>140</v>
      </c>
      <c r="VQF64" s="365">
        <v>0.5</v>
      </c>
      <c r="VQG64" s="366" t="e">
        <f>10/VQC62</f>
        <v>#DIV/0!</v>
      </c>
      <c r="VQH64" s="367">
        <v>15.38</v>
      </c>
      <c r="VQI64" s="367" t="e">
        <f>VQF64*VQG64*VQH64</f>
        <v>#DIV/0!</v>
      </c>
      <c r="VQJ64" s="363" t="s">
        <v>153</v>
      </c>
      <c r="VQK64" s="363"/>
      <c r="VQL64" s="363"/>
      <c r="VQM64" s="364" t="s">
        <v>140</v>
      </c>
      <c r="VQN64" s="365">
        <v>0.5</v>
      </c>
      <c r="VQO64" s="366" t="e">
        <f>10/VQK62</f>
        <v>#DIV/0!</v>
      </c>
      <c r="VQP64" s="367">
        <v>15.38</v>
      </c>
      <c r="VQQ64" s="367" t="e">
        <f>VQN64*VQO64*VQP64</f>
        <v>#DIV/0!</v>
      </c>
      <c r="VQR64" s="363" t="s">
        <v>153</v>
      </c>
      <c r="VQS64" s="363"/>
      <c r="VQT64" s="363"/>
      <c r="VQU64" s="364" t="s">
        <v>140</v>
      </c>
      <c r="VQV64" s="365">
        <v>0.5</v>
      </c>
      <c r="VQW64" s="366" t="e">
        <f>10/VQS62</f>
        <v>#DIV/0!</v>
      </c>
      <c r="VQX64" s="367">
        <v>15.38</v>
      </c>
      <c r="VQY64" s="367" t="e">
        <f>VQV64*VQW64*VQX64</f>
        <v>#DIV/0!</v>
      </c>
      <c r="VQZ64" s="363" t="s">
        <v>153</v>
      </c>
      <c r="VRA64" s="363"/>
      <c r="VRB64" s="363"/>
      <c r="VRC64" s="364" t="s">
        <v>140</v>
      </c>
      <c r="VRD64" s="365">
        <v>0.5</v>
      </c>
      <c r="VRE64" s="366" t="e">
        <f>10/VRA62</f>
        <v>#DIV/0!</v>
      </c>
      <c r="VRF64" s="367">
        <v>15.38</v>
      </c>
      <c r="VRG64" s="367" t="e">
        <f>VRD64*VRE64*VRF64</f>
        <v>#DIV/0!</v>
      </c>
      <c r="VRH64" s="363" t="s">
        <v>153</v>
      </c>
      <c r="VRI64" s="363"/>
      <c r="VRJ64" s="363"/>
      <c r="VRK64" s="364" t="s">
        <v>140</v>
      </c>
      <c r="VRL64" s="365">
        <v>0.5</v>
      </c>
      <c r="VRM64" s="366" t="e">
        <f>10/VRI62</f>
        <v>#DIV/0!</v>
      </c>
      <c r="VRN64" s="367">
        <v>15.38</v>
      </c>
      <c r="VRO64" s="367" t="e">
        <f>VRL64*VRM64*VRN64</f>
        <v>#DIV/0!</v>
      </c>
      <c r="VRP64" s="363" t="s">
        <v>153</v>
      </c>
      <c r="VRQ64" s="363"/>
      <c r="VRR64" s="363"/>
      <c r="VRS64" s="364" t="s">
        <v>140</v>
      </c>
      <c r="VRT64" s="365">
        <v>0.5</v>
      </c>
      <c r="VRU64" s="366" t="e">
        <f>10/VRQ62</f>
        <v>#DIV/0!</v>
      </c>
      <c r="VRV64" s="367">
        <v>15.38</v>
      </c>
      <c r="VRW64" s="367" t="e">
        <f>VRT64*VRU64*VRV64</f>
        <v>#DIV/0!</v>
      </c>
      <c r="VRX64" s="363" t="s">
        <v>153</v>
      </c>
      <c r="VRY64" s="363"/>
      <c r="VRZ64" s="363"/>
      <c r="VSA64" s="364" t="s">
        <v>140</v>
      </c>
      <c r="VSB64" s="365">
        <v>0.5</v>
      </c>
      <c r="VSC64" s="366" t="e">
        <f>10/VRY62</f>
        <v>#DIV/0!</v>
      </c>
      <c r="VSD64" s="367">
        <v>15.38</v>
      </c>
      <c r="VSE64" s="367" t="e">
        <f>VSB64*VSC64*VSD64</f>
        <v>#DIV/0!</v>
      </c>
      <c r="VSF64" s="363" t="s">
        <v>153</v>
      </c>
      <c r="VSG64" s="363"/>
      <c r="VSH64" s="363"/>
      <c r="VSI64" s="364" t="s">
        <v>140</v>
      </c>
      <c r="VSJ64" s="365">
        <v>0.5</v>
      </c>
      <c r="VSK64" s="366" t="e">
        <f>10/VSG62</f>
        <v>#DIV/0!</v>
      </c>
      <c r="VSL64" s="367">
        <v>15.38</v>
      </c>
      <c r="VSM64" s="367" t="e">
        <f>VSJ64*VSK64*VSL64</f>
        <v>#DIV/0!</v>
      </c>
      <c r="VSN64" s="363" t="s">
        <v>153</v>
      </c>
      <c r="VSO64" s="363"/>
      <c r="VSP64" s="363"/>
      <c r="VSQ64" s="364" t="s">
        <v>140</v>
      </c>
      <c r="VSR64" s="365">
        <v>0.5</v>
      </c>
      <c r="VSS64" s="366" t="e">
        <f>10/VSO62</f>
        <v>#DIV/0!</v>
      </c>
      <c r="VST64" s="367">
        <v>15.38</v>
      </c>
      <c r="VSU64" s="367" t="e">
        <f>VSR64*VSS64*VST64</f>
        <v>#DIV/0!</v>
      </c>
      <c r="VSV64" s="363" t="s">
        <v>153</v>
      </c>
      <c r="VSW64" s="363"/>
      <c r="VSX64" s="363"/>
      <c r="VSY64" s="364" t="s">
        <v>140</v>
      </c>
      <c r="VSZ64" s="365">
        <v>0.5</v>
      </c>
      <c r="VTA64" s="366" t="e">
        <f>10/VSW62</f>
        <v>#DIV/0!</v>
      </c>
      <c r="VTB64" s="367">
        <v>15.38</v>
      </c>
      <c r="VTC64" s="367" t="e">
        <f>VSZ64*VTA64*VTB64</f>
        <v>#DIV/0!</v>
      </c>
      <c r="VTD64" s="363" t="s">
        <v>153</v>
      </c>
      <c r="VTE64" s="363"/>
      <c r="VTF64" s="363"/>
      <c r="VTG64" s="364" t="s">
        <v>140</v>
      </c>
      <c r="VTH64" s="365">
        <v>0.5</v>
      </c>
      <c r="VTI64" s="366" t="e">
        <f>10/VTE62</f>
        <v>#DIV/0!</v>
      </c>
      <c r="VTJ64" s="367">
        <v>15.38</v>
      </c>
      <c r="VTK64" s="367" t="e">
        <f>VTH64*VTI64*VTJ64</f>
        <v>#DIV/0!</v>
      </c>
      <c r="VTL64" s="363" t="s">
        <v>153</v>
      </c>
      <c r="VTM64" s="363"/>
      <c r="VTN64" s="363"/>
      <c r="VTO64" s="364" t="s">
        <v>140</v>
      </c>
      <c r="VTP64" s="365">
        <v>0.5</v>
      </c>
      <c r="VTQ64" s="366" t="e">
        <f>10/VTM62</f>
        <v>#DIV/0!</v>
      </c>
      <c r="VTR64" s="367">
        <v>15.38</v>
      </c>
      <c r="VTS64" s="367" t="e">
        <f>VTP64*VTQ64*VTR64</f>
        <v>#DIV/0!</v>
      </c>
      <c r="VTT64" s="363" t="s">
        <v>153</v>
      </c>
      <c r="VTU64" s="363"/>
      <c r="VTV64" s="363"/>
      <c r="VTW64" s="364" t="s">
        <v>140</v>
      </c>
      <c r="VTX64" s="365">
        <v>0.5</v>
      </c>
      <c r="VTY64" s="366" t="e">
        <f>10/VTU62</f>
        <v>#DIV/0!</v>
      </c>
      <c r="VTZ64" s="367">
        <v>15.38</v>
      </c>
      <c r="VUA64" s="367" t="e">
        <f>VTX64*VTY64*VTZ64</f>
        <v>#DIV/0!</v>
      </c>
      <c r="VUB64" s="363" t="s">
        <v>153</v>
      </c>
      <c r="VUC64" s="363"/>
      <c r="VUD64" s="363"/>
      <c r="VUE64" s="364" t="s">
        <v>140</v>
      </c>
      <c r="VUF64" s="365">
        <v>0.5</v>
      </c>
      <c r="VUG64" s="366" t="e">
        <f>10/VUC62</f>
        <v>#DIV/0!</v>
      </c>
      <c r="VUH64" s="367">
        <v>15.38</v>
      </c>
      <c r="VUI64" s="367" t="e">
        <f>VUF64*VUG64*VUH64</f>
        <v>#DIV/0!</v>
      </c>
      <c r="VUJ64" s="363" t="s">
        <v>153</v>
      </c>
      <c r="VUK64" s="363"/>
      <c r="VUL64" s="363"/>
      <c r="VUM64" s="364" t="s">
        <v>140</v>
      </c>
      <c r="VUN64" s="365">
        <v>0.5</v>
      </c>
      <c r="VUO64" s="366" t="e">
        <f>10/VUK62</f>
        <v>#DIV/0!</v>
      </c>
      <c r="VUP64" s="367">
        <v>15.38</v>
      </c>
      <c r="VUQ64" s="367" t="e">
        <f>VUN64*VUO64*VUP64</f>
        <v>#DIV/0!</v>
      </c>
      <c r="VUR64" s="363" t="s">
        <v>153</v>
      </c>
      <c r="VUS64" s="363"/>
      <c r="VUT64" s="363"/>
      <c r="VUU64" s="364" t="s">
        <v>140</v>
      </c>
      <c r="VUV64" s="365">
        <v>0.5</v>
      </c>
      <c r="VUW64" s="366" t="e">
        <f>10/VUS62</f>
        <v>#DIV/0!</v>
      </c>
      <c r="VUX64" s="367">
        <v>15.38</v>
      </c>
      <c r="VUY64" s="367" t="e">
        <f>VUV64*VUW64*VUX64</f>
        <v>#DIV/0!</v>
      </c>
      <c r="VUZ64" s="363" t="s">
        <v>153</v>
      </c>
      <c r="VVA64" s="363"/>
      <c r="VVB64" s="363"/>
      <c r="VVC64" s="364" t="s">
        <v>140</v>
      </c>
      <c r="VVD64" s="365">
        <v>0.5</v>
      </c>
      <c r="VVE64" s="366" t="e">
        <f>10/VVA62</f>
        <v>#DIV/0!</v>
      </c>
      <c r="VVF64" s="367">
        <v>15.38</v>
      </c>
      <c r="VVG64" s="367" t="e">
        <f>VVD64*VVE64*VVF64</f>
        <v>#DIV/0!</v>
      </c>
      <c r="VVH64" s="363" t="s">
        <v>153</v>
      </c>
      <c r="VVI64" s="363"/>
      <c r="VVJ64" s="363"/>
      <c r="VVK64" s="364" t="s">
        <v>140</v>
      </c>
      <c r="VVL64" s="365">
        <v>0.5</v>
      </c>
      <c r="VVM64" s="366" t="e">
        <f>10/VVI62</f>
        <v>#DIV/0!</v>
      </c>
      <c r="VVN64" s="367">
        <v>15.38</v>
      </c>
      <c r="VVO64" s="367" t="e">
        <f>VVL64*VVM64*VVN64</f>
        <v>#DIV/0!</v>
      </c>
      <c r="VVP64" s="363" t="s">
        <v>153</v>
      </c>
      <c r="VVQ64" s="363"/>
      <c r="VVR64" s="363"/>
      <c r="VVS64" s="364" t="s">
        <v>140</v>
      </c>
      <c r="VVT64" s="365">
        <v>0.5</v>
      </c>
      <c r="VVU64" s="366" t="e">
        <f>10/VVQ62</f>
        <v>#DIV/0!</v>
      </c>
      <c r="VVV64" s="367">
        <v>15.38</v>
      </c>
      <c r="VVW64" s="367" t="e">
        <f>VVT64*VVU64*VVV64</f>
        <v>#DIV/0!</v>
      </c>
      <c r="VVX64" s="363" t="s">
        <v>153</v>
      </c>
      <c r="VVY64" s="363"/>
      <c r="VVZ64" s="363"/>
      <c r="VWA64" s="364" t="s">
        <v>140</v>
      </c>
      <c r="VWB64" s="365">
        <v>0.5</v>
      </c>
      <c r="VWC64" s="366" t="e">
        <f>10/VVY62</f>
        <v>#DIV/0!</v>
      </c>
      <c r="VWD64" s="367">
        <v>15.38</v>
      </c>
      <c r="VWE64" s="367" t="e">
        <f>VWB64*VWC64*VWD64</f>
        <v>#DIV/0!</v>
      </c>
      <c r="VWF64" s="363" t="s">
        <v>153</v>
      </c>
      <c r="VWG64" s="363"/>
      <c r="VWH64" s="363"/>
      <c r="VWI64" s="364" t="s">
        <v>140</v>
      </c>
      <c r="VWJ64" s="365">
        <v>0.5</v>
      </c>
      <c r="VWK64" s="366" t="e">
        <f>10/VWG62</f>
        <v>#DIV/0!</v>
      </c>
      <c r="VWL64" s="367">
        <v>15.38</v>
      </c>
      <c r="VWM64" s="367" t="e">
        <f>VWJ64*VWK64*VWL64</f>
        <v>#DIV/0!</v>
      </c>
      <c r="VWN64" s="363" t="s">
        <v>153</v>
      </c>
      <c r="VWO64" s="363"/>
      <c r="VWP64" s="363"/>
      <c r="VWQ64" s="364" t="s">
        <v>140</v>
      </c>
      <c r="VWR64" s="365">
        <v>0.5</v>
      </c>
      <c r="VWS64" s="366" t="e">
        <f>10/VWO62</f>
        <v>#DIV/0!</v>
      </c>
      <c r="VWT64" s="367">
        <v>15.38</v>
      </c>
      <c r="VWU64" s="367" t="e">
        <f>VWR64*VWS64*VWT64</f>
        <v>#DIV/0!</v>
      </c>
      <c r="VWV64" s="363" t="s">
        <v>153</v>
      </c>
      <c r="VWW64" s="363"/>
      <c r="VWX64" s="363"/>
      <c r="VWY64" s="364" t="s">
        <v>140</v>
      </c>
      <c r="VWZ64" s="365">
        <v>0.5</v>
      </c>
      <c r="VXA64" s="366" t="e">
        <f>10/VWW62</f>
        <v>#DIV/0!</v>
      </c>
      <c r="VXB64" s="367">
        <v>15.38</v>
      </c>
      <c r="VXC64" s="367" t="e">
        <f>VWZ64*VXA64*VXB64</f>
        <v>#DIV/0!</v>
      </c>
      <c r="VXD64" s="363" t="s">
        <v>153</v>
      </c>
      <c r="VXE64" s="363"/>
      <c r="VXF64" s="363"/>
      <c r="VXG64" s="364" t="s">
        <v>140</v>
      </c>
      <c r="VXH64" s="365">
        <v>0.5</v>
      </c>
      <c r="VXI64" s="366" t="e">
        <f>10/VXE62</f>
        <v>#DIV/0!</v>
      </c>
      <c r="VXJ64" s="367">
        <v>15.38</v>
      </c>
      <c r="VXK64" s="367" t="e">
        <f>VXH64*VXI64*VXJ64</f>
        <v>#DIV/0!</v>
      </c>
      <c r="VXL64" s="363" t="s">
        <v>153</v>
      </c>
      <c r="VXM64" s="363"/>
      <c r="VXN64" s="363"/>
      <c r="VXO64" s="364" t="s">
        <v>140</v>
      </c>
      <c r="VXP64" s="365">
        <v>0.5</v>
      </c>
      <c r="VXQ64" s="366" t="e">
        <f>10/VXM62</f>
        <v>#DIV/0!</v>
      </c>
      <c r="VXR64" s="367">
        <v>15.38</v>
      </c>
      <c r="VXS64" s="367" t="e">
        <f>VXP64*VXQ64*VXR64</f>
        <v>#DIV/0!</v>
      </c>
      <c r="VXT64" s="363" t="s">
        <v>153</v>
      </c>
      <c r="VXU64" s="363"/>
      <c r="VXV64" s="363"/>
      <c r="VXW64" s="364" t="s">
        <v>140</v>
      </c>
      <c r="VXX64" s="365">
        <v>0.5</v>
      </c>
      <c r="VXY64" s="366" t="e">
        <f>10/VXU62</f>
        <v>#DIV/0!</v>
      </c>
      <c r="VXZ64" s="367">
        <v>15.38</v>
      </c>
      <c r="VYA64" s="367" t="e">
        <f>VXX64*VXY64*VXZ64</f>
        <v>#DIV/0!</v>
      </c>
      <c r="VYB64" s="363" t="s">
        <v>153</v>
      </c>
      <c r="VYC64" s="363"/>
      <c r="VYD64" s="363"/>
      <c r="VYE64" s="364" t="s">
        <v>140</v>
      </c>
      <c r="VYF64" s="365">
        <v>0.5</v>
      </c>
      <c r="VYG64" s="366" t="e">
        <f>10/VYC62</f>
        <v>#DIV/0!</v>
      </c>
      <c r="VYH64" s="367">
        <v>15.38</v>
      </c>
      <c r="VYI64" s="367" t="e">
        <f>VYF64*VYG64*VYH64</f>
        <v>#DIV/0!</v>
      </c>
      <c r="VYJ64" s="363" t="s">
        <v>153</v>
      </c>
      <c r="VYK64" s="363"/>
      <c r="VYL64" s="363"/>
      <c r="VYM64" s="364" t="s">
        <v>140</v>
      </c>
      <c r="VYN64" s="365">
        <v>0.5</v>
      </c>
      <c r="VYO64" s="366" t="e">
        <f>10/VYK62</f>
        <v>#DIV/0!</v>
      </c>
      <c r="VYP64" s="367">
        <v>15.38</v>
      </c>
      <c r="VYQ64" s="367" t="e">
        <f>VYN64*VYO64*VYP64</f>
        <v>#DIV/0!</v>
      </c>
      <c r="VYR64" s="363" t="s">
        <v>153</v>
      </c>
      <c r="VYS64" s="363"/>
      <c r="VYT64" s="363"/>
      <c r="VYU64" s="364" t="s">
        <v>140</v>
      </c>
      <c r="VYV64" s="365">
        <v>0.5</v>
      </c>
      <c r="VYW64" s="366" t="e">
        <f>10/VYS62</f>
        <v>#DIV/0!</v>
      </c>
      <c r="VYX64" s="367">
        <v>15.38</v>
      </c>
      <c r="VYY64" s="367" t="e">
        <f>VYV64*VYW64*VYX64</f>
        <v>#DIV/0!</v>
      </c>
      <c r="VYZ64" s="363" t="s">
        <v>153</v>
      </c>
      <c r="VZA64" s="363"/>
      <c r="VZB64" s="363"/>
      <c r="VZC64" s="364" t="s">
        <v>140</v>
      </c>
      <c r="VZD64" s="365">
        <v>0.5</v>
      </c>
      <c r="VZE64" s="366" t="e">
        <f>10/VZA62</f>
        <v>#DIV/0!</v>
      </c>
      <c r="VZF64" s="367">
        <v>15.38</v>
      </c>
      <c r="VZG64" s="367" t="e">
        <f>VZD64*VZE64*VZF64</f>
        <v>#DIV/0!</v>
      </c>
      <c r="VZH64" s="363" t="s">
        <v>153</v>
      </c>
      <c r="VZI64" s="363"/>
      <c r="VZJ64" s="363"/>
      <c r="VZK64" s="364" t="s">
        <v>140</v>
      </c>
      <c r="VZL64" s="365">
        <v>0.5</v>
      </c>
      <c r="VZM64" s="366" t="e">
        <f>10/VZI62</f>
        <v>#DIV/0!</v>
      </c>
      <c r="VZN64" s="367">
        <v>15.38</v>
      </c>
      <c r="VZO64" s="367" t="e">
        <f>VZL64*VZM64*VZN64</f>
        <v>#DIV/0!</v>
      </c>
      <c r="VZP64" s="363" t="s">
        <v>153</v>
      </c>
      <c r="VZQ64" s="363"/>
      <c r="VZR64" s="363"/>
      <c r="VZS64" s="364" t="s">
        <v>140</v>
      </c>
      <c r="VZT64" s="365">
        <v>0.5</v>
      </c>
      <c r="VZU64" s="366" t="e">
        <f>10/VZQ62</f>
        <v>#DIV/0!</v>
      </c>
      <c r="VZV64" s="367">
        <v>15.38</v>
      </c>
      <c r="VZW64" s="367" t="e">
        <f>VZT64*VZU64*VZV64</f>
        <v>#DIV/0!</v>
      </c>
      <c r="VZX64" s="363" t="s">
        <v>153</v>
      </c>
      <c r="VZY64" s="363"/>
      <c r="VZZ64" s="363"/>
      <c r="WAA64" s="364" t="s">
        <v>140</v>
      </c>
      <c r="WAB64" s="365">
        <v>0.5</v>
      </c>
      <c r="WAC64" s="366" t="e">
        <f>10/VZY62</f>
        <v>#DIV/0!</v>
      </c>
      <c r="WAD64" s="367">
        <v>15.38</v>
      </c>
      <c r="WAE64" s="367" t="e">
        <f>WAB64*WAC64*WAD64</f>
        <v>#DIV/0!</v>
      </c>
      <c r="WAF64" s="363" t="s">
        <v>153</v>
      </c>
      <c r="WAG64" s="363"/>
      <c r="WAH64" s="363"/>
      <c r="WAI64" s="364" t="s">
        <v>140</v>
      </c>
      <c r="WAJ64" s="365">
        <v>0.5</v>
      </c>
      <c r="WAK64" s="366" t="e">
        <f>10/WAG62</f>
        <v>#DIV/0!</v>
      </c>
      <c r="WAL64" s="367">
        <v>15.38</v>
      </c>
      <c r="WAM64" s="367" t="e">
        <f>WAJ64*WAK64*WAL64</f>
        <v>#DIV/0!</v>
      </c>
      <c r="WAN64" s="363" t="s">
        <v>153</v>
      </c>
      <c r="WAO64" s="363"/>
      <c r="WAP64" s="363"/>
      <c r="WAQ64" s="364" t="s">
        <v>140</v>
      </c>
      <c r="WAR64" s="365">
        <v>0.5</v>
      </c>
      <c r="WAS64" s="366" t="e">
        <f>10/WAO62</f>
        <v>#DIV/0!</v>
      </c>
      <c r="WAT64" s="367">
        <v>15.38</v>
      </c>
      <c r="WAU64" s="367" t="e">
        <f>WAR64*WAS64*WAT64</f>
        <v>#DIV/0!</v>
      </c>
      <c r="WAV64" s="363" t="s">
        <v>153</v>
      </c>
      <c r="WAW64" s="363"/>
      <c r="WAX64" s="363"/>
      <c r="WAY64" s="364" t="s">
        <v>140</v>
      </c>
      <c r="WAZ64" s="365">
        <v>0.5</v>
      </c>
      <c r="WBA64" s="366" t="e">
        <f>10/WAW62</f>
        <v>#DIV/0!</v>
      </c>
      <c r="WBB64" s="367">
        <v>15.38</v>
      </c>
      <c r="WBC64" s="367" t="e">
        <f>WAZ64*WBA64*WBB64</f>
        <v>#DIV/0!</v>
      </c>
      <c r="WBD64" s="363" t="s">
        <v>153</v>
      </c>
      <c r="WBE64" s="363"/>
      <c r="WBF64" s="363"/>
      <c r="WBG64" s="364" t="s">
        <v>140</v>
      </c>
      <c r="WBH64" s="365">
        <v>0.5</v>
      </c>
      <c r="WBI64" s="366" t="e">
        <f>10/WBE62</f>
        <v>#DIV/0!</v>
      </c>
      <c r="WBJ64" s="367">
        <v>15.38</v>
      </c>
      <c r="WBK64" s="367" t="e">
        <f>WBH64*WBI64*WBJ64</f>
        <v>#DIV/0!</v>
      </c>
      <c r="WBL64" s="363" t="s">
        <v>153</v>
      </c>
      <c r="WBM64" s="363"/>
      <c r="WBN64" s="363"/>
      <c r="WBO64" s="364" t="s">
        <v>140</v>
      </c>
      <c r="WBP64" s="365">
        <v>0.5</v>
      </c>
      <c r="WBQ64" s="366" t="e">
        <f>10/WBM62</f>
        <v>#DIV/0!</v>
      </c>
      <c r="WBR64" s="367">
        <v>15.38</v>
      </c>
      <c r="WBS64" s="367" t="e">
        <f>WBP64*WBQ64*WBR64</f>
        <v>#DIV/0!</v>
      </c>
      <c r="WBT64" s="363" t="s">
        <v>153</v>
      </c>
      <c r="WBU64" s="363"/>
      <c r="WBV64" s="363"/>
      <c r="WBW64" s="364" t="s">
        <v>140</v>
      </c>
      <c r="WBX64" s="365">
        <v>0.5</v>
      </c>
      <c r="WBY64" s="366" t="e">
        <f>10/WBU62</f>
        <v>#DIV/0!</v>
      </c>
      <c r="WBZ64" s="367">
        <v>15.38</v>
      </c>
      <c r="WCA64" s="367" t="e">
        <f>WBX64*WBY64*WBZ64</f>
        <v>#DIV/0!</v>
      </c>
      <c r="WCB64" s="363" t="s">
        <v>153</v>
      </c>
      <c r="WCC64" s="363"/>
      <c r="WCD64" s="363"/>
      <c r="WCE64" s="364" t="s">
        <v>140</v>
      </c>
      <c r="WCF64" s="365">
        <v>0.5</v>
      </c>
      <c r="WCG64" s="366" t="e">
        <f>10/WCC62</f>
        <v>#DIV/0!</v>
      </c>
      <c r="WCH64" s="367">
        <v>15.38</v>
      </c>
      <c r="WCI64" s="367" t="e">
        <f>WCF64*WCG64*WCH64</f>
        <v>#DIV/0!</v>
      </c>
      <c r="WCJ64" s="363" t="s">
        <v>153</v>
      </c>
      <c r="WCK64" s="363"/>
      <c r="WCL64" s="363"/>
      <c r="WCM64" s="364" t="s">
        <v>140</v>
      </c>
      <c r="WCN64" s="365">
        <v>0.5</v>
      </c>
      <c r="WCO64" s="366" t="e">
        <f>10/WCK62</f>
        <v>#DIV/0!</v>
      </c>
      <c r="WCP64" s="367">
        <v>15.38</v>
      </c>
      <c r="WCQ64" s="367" t="e">
        <f>WCN64*WCO64*WCP64</f>
        <v>#DIV/0!</v>
      </c>
      <c r="WCR64" s="363" t="s">
        <v>153</v>
      </c>
      <c r="WCS64" s="363"/>
      <c r="WCT64" s="363"/>
      <c r="WCU64" s="364" t="s">
        <v>140</v>
      </c>
      <c r="WCV64" s="365">
        <v>0.5</v>
      </c>
      <c r="WCW64" s="366" t="e">
        <f>10/WCS62</f>
        <v>#DIV/0!</v>
      </c>
      <c r="WCX64" s="367">
        <v>15.38</v>
      </c>
      <c r="WCY64" s="367" t="e">
        <f>WCV64*WCW64*WCX64</f>
        <v>#DIV/0!</v>
      </c>
      <c r="WCZ64" s="363" t="s">
        <v>153</v>
      </c>
      <c r="WDA64" s="363"/>
      <c r="WDB64" s="363"/>
      <c r="WDC64" s="364" t="s">
        <v>140</v>
      </c>
      <c r="WDD64" s="365">
        <v>0.5</v>
      </c>
      <c r="WDE64" s="366" t="e">
        <f>10/WDA62</f>
        <v>#DIV/0!</v>
      </c>
      <c r="WDF64" s="367">
        <v>15.38</v>
      </c>
      <c r="WDG64" s="367" t="e">
        <f>WDD64*WDE64*WDF64</f>
        <v>#DIV/0!</v>
      </c>
      <c r="WDH64" s="363" t="s">
        <v>153</v>
      </c>
      <c r="WDI64" s="363"/>
      <c r="WDJ64" s="363"/>
      <c r="WDK64" s="364" t="s">
        <v>140</v>
      </c>
      <c r="WDL64" s="365">
        <v>0.5</v>
      </c>
      <c r="WDM64" s="366" t="e">
        <f>10/WDI62</f>
        <v>#DIV/0!</v>
      </c>
      <c r="WDN64" s="367">
        <v>15.38</v>
      </c>
      <c r="WDO64" s="367" t="e">
        <f>WDL64*WDM64*WDN64</f>
        <v>#DIV/0!</v>
      </c>
      <c r="WDP64" s="363" t="s">
        <v>153</v>
      </c>
      <c r="WDQ64" s="363"/>
      <c r="WDR64" s="363"/>
      <c r="WDS64" s="364" t="s">
        <v>140</v>
      </c>
      <c r="WDT64" s="365">
        <v>0.5</v>
      </c>
      <c r="WDU64" s="366" t="e">
        <f>10/WDQ62</f>
        <v>#DIV/0!</v>
      </c>
      <c r="WDV64" s="367">
        <v>15.38</v>
      </c>
      <c r="WDW64" s="367" t="e">
        <f>WDT64*WDU64*WDV64</f>
        <v>#DIV/0!</v>
      </c>
      <c r="WDX64" s="363" t="s">
        <v>153</v>
      </c>
      <c r="WDY64" s="363"/>
      <c r="WDZ64" s="363"/>
      <c r="WEA64" s="364" t="s">
        <v>140</v>
      </c>
      <c r="WEB64" s="365">
        <v>0.5</v>
      </c>
      <c r="WEC64" s="366" t="e">
        <f>10/WDY62</f>
        <v>#DIV/0!</v>
      </c>
      <c r="WED64" s="367">
        <v>15.38</v>
      </c>
      <c r="WEE64" s="367" t="e">
        <f>WEB64*WEC64*WED64</f>
        <v>#DIV/0!</v>
      </c>
      <c r="WEF64" s="363" t="s">
        <v>153</v>
      </c>
      <c r="WEG64" s="363"/>
      <c r="WEH64" s="363"/>
      <c r="WEI64" s="364" t="s">
        <v>140</v>
      </c>
      <c r="WEJ64" s="365">
        <v>0.5</v>
      </c>
      <c r="WEK64" s="366" t="e">
        <f>10/WEG62</f>
        <v>#DIV/0!</v>
      </c>
      <c r="WEL64" s="367">
        <v>15.38</v>
      </c>
      <c r="WEM64" s="367" t="e">
        <f>WEJ64*WEK64*WEL64</f>
        <v>#DIV/0!</v>
      </c>
      <c r="WEN64" s="363" t="s">
        <v>153</v>
      </c>
      <c r="WEO64" s="363"/>
      <c r="WEP64" s="363"/>
      <c r="WEQ64" s="364" t="s">
        <v>140</v>
      </c>
      <c r="WER64" s="365">
        <v>0.5</v>
      </c>
      <c r="WES64" s="366" t="e">
        <f>10/WEO62</f>
        <v>#DIV/0!</v>
      </c>
      <c r="WET64" s="367">
        <v>15.38</v>
      </c>
      <c r="WEU64" s="367" t="e">
        <f>WER64*WES64*WET64</f>
        <v>#DIV/0!</v>
      </c>
      <c r="WEV64" s="363" t="s">
        <v>153</v>
      </c>
      <c r="WEW64" s="363"/>
      <c r="WEX64" s="363"/>
      <c r="WEY64" s="364" t="s">
        <v>140</v>
      </c>
      <c r="WEZ64" s="365">
        <v>0.5</v>
      </c>
      <c r="WFA64" s="366" t="e">
        <f>10/WEW62</f>
        <v>#DIV/0!</v>
      </c>
      <c r="WFB64" s="367">
        <v>15.38</v>
      </c>
      <c r="WFC64" s="367" t="e">
        <f>WEZ64*WFA64*WFB64</f>
        <v>#DIV/0!</v>
      </c>
      <c r="WFD64" s="363" t="s">
        <v>153</v>
      </c>
      <c r="WFE64" s="363"/>
      <c r="WFF64" s="363"/>
      <c r="WFG64" s="364" t="s">
        <v>140</v>
      </c>
      <c r="WFH64" s="365">
        <v>0.5</v>
      </c>
      <c r="WFI64" s="366" t="e">
        <f>10/WFE62</f>
        <v>#DIV/0!</v>
      </c>
      <c r="WFJ64" s="367">
        <v>15.38</v>
      </c>
      <c r="WFK64" s="367" t="e">
        <f>WFH64*WFI64*WFJ64</f>
        <v>#DIV/0!</v>
      </c>
      <c r="WFL64" s="363" t="s">
        <v>153</v>
      </c>
      <c r="WFM64" s="363"/>
      <c r="WFN64" s="363"/>
      <c r="WFO64" s="364" t="s">
        <v>140</v>
      </c>
      <c r="WFP64" s="365">
        <v>0.5</v>
      </c>
      <c r="WFQ64" s="366" t="e">
        <f>10/WFM62</f>
        <v>#DIV/0!</v>
      </c>
      <c r="WFR64" s="367">
        <v>15.38</v>
      </c>
      <c r="WFS64" s="367" t="e">
        <f>WFP64*WFQ64*WFR64</f>
        <v>#DIV/0!</v>
      </c>
      <c r="WFT64" s="363" t="s">
        <v>153</v>
      </c>
      <c r="WFU64" s="363"/>
      <c r="WFV64" s="363"/>
      <c r="WFW64" s="364" t="s">
        <v>140</v>
      </c>
      <c r="WFX64" s="365">
        <v>0.5</v>
      </c>
      <c r="WFY64" s="366" t="e">
        <f>10/WFU62</f>
        <v>#DIV/0!</v>
      </c>
      <c r="WFZ64" s="367">
        <v>15.38</v>
      </c>
      <c r="WGA64" s="367" t="e">
        <f>WFX64*WFY64*WFZ64</f>
        <v>#DIV/0!</v>
      </c>
      <c r="WGB64" s="363" t="s">
        <v>153</v>
      </c>
      <c r="WGC64" s="363"/>
      <c r="WGD64" s="363"/>
      <c r="WGE64" s="364" t="s">
        <v>140</v>
      </c>
      <c r="WGF64" s="365">
        <v>0.5</v>
      </c>
      <c r="WGG64" s="366" t="e">
        <f>10/WGC62</f>
        <v>#DIV/0!</v>
      </c>
      <c r="WGH64" s="367">
        <v>15.38</v>
      </c>
      <c r="WGI64" s="367" t="e">
        <f>WGF64*WGG64*WGH64</f>
        <v>#DIV/0!</v>
      </c>
      <c r="WGJ64" s="363" t="s">
        <v>153</v>
      </c>
      <c r="WGK64" s="363"/>
      <c r="WGL64" s="363"/>
      <c r="WGM64" s="364" t="s">
        <v>140</v>
      </c>
      <c r="WGN64" s="365">
        <v>0.5</v>
      </c>
      <c r="WGO64" s="366" t="e">
        <f>10/WGK62</f>
        <v>#DIV/0!</v>
      </c>
      <c r="WGP64" s="367">
        <v>15.38</v>
      </c>
      <c r="WGQ64" s="367" t="e">
        <f>WGN64*WGO64*WGP64</f>
        <v>#DIV/0!</v>
      </c>
      <c r="WGR64" s="363" t="s">
        <v>153</v>
      </c>
      <c r="WGS64" s="363"/>
      <c r="WGT64" s="363"/>
      <c r="WGU64" s="364" t="s">
        <v>140</v>
      </c>
      <c r="WGV64" s="365">
        <v>0.5</v>
      </c>
      <c r="WGW64" s="366" t="e">
        <f>10/WGS62</f>
        <v>#DIV/0!</v>
      </c>
      <c r="WGX64" s="367">
        <v>15.38</v>
      </c>
      <c r="WGY64" s="367" t="e">
        <f>WGV64*WGW64*WGX64</f>
        <v>#DIV/0!</v>
      </c>
      <c r="WGZ64" s="363" t="s">
        <v>153</v>
      </c>
      <c r="WHA64" s="363"/>
      <c r="WHB64" s="363"/>
      <c r="WHC64" s="364" t="s">
        <v>140</v>
      </c>
      <c r="WHD64" s="365">
        <v>0.5</v>
      </c>
      <c r="WHE64" s="366" t="e">
        <f>10/WHA62</f>
        <v>#DIV/0!</v>
      </c>
      <c r="WHF64" s="367">
        <v>15.38</v>
      </c>
      <c r="WHG64" s="367" t="e">
        <f>WHD64*WHE64*WHF64</f>
        <v>#DIV/0!</v>
      </c>
      <c r="WHH64" s="363" t="s">
        <v>153</v>
      </c>
      <c r="WHI64" s="363"/>
      <c r="WHJ64" s="363"/>
      <c r="WHK64" s="364" t="s">
        <v>140</v>
      </c>
      <c r="WHL64" s="365">
        <v>0.5</v>
      </c>
      <c r="WHM64" s="366" t="e">
        <f>10/WHI62</f>
        <v>#DIV/0!</v>
      </c>
      <c r="WHN64" s="367">
        <v>15.38</v>
      </c>
      <c r="WHO64" s="367" t="e">
        <f>WHL64*WHM64*WHN64</f>
        <v>#DIV/0!</v>
      </c>
      <c r="WHP64" s="363" t="s">
        <v>153</v>
      </c>
      <c r="WHQ64" s="363"/>
      <c r="WHR64" s="363"/>
      <c r="WHS64" s="364" t="s">
        <v>140</v>
      </c>
      <c r="WHT64" s="365">
        <v>0.5</v>
      </c>
      <c r="WHU64" s="366" t="e">
        <f>10/WHQ62</f>
        <v>#DIV/0!</v>
      </c>
      <c r="WHV64" s="367">
        <v>15.38</v>
      </c>
      <c r="WHW64" s="367" t="e">
        <f>WHT64*WHU64*WHV64</f>
        <v>#DIV/0!</v>
      </c>
      <c r="WHX64" s="363" t="s">
        <v>153</v>
      </c>
      <c r="WHY64" s="363"/>
      <c r="WHZ64" s="363"/>
      <c r="WIA64" s="364" t="s">
        <v>140</v>
      </c>
      <c r="WIB64" s="365">
        <v>0.5</v>
      </c>
      <c r="WIC64" s="366" t="e">
        <f>10/WHY62</f>
        <v>#DIV/0!</v>
      </c>
      <c r="WID64" s="367">
        <v>15.38</v>
      </c>
      <c r="WIE64" s="367" t="e">
        <f>WIB64*WIC64*WID64</f>
        <v>#DIV/0!</v>
      </c>
      <c r="WIF64" s="363" t="s">
        <v>153</v>
      </c>
      <c r="WIG64" s="363"/>
      <c r="WIH64" s="363"/>
      <c r="WII64" s="364" t="s">
        <v>140</v>
      </c>
      <c r="WIJ64" s="365">
        <v>0.5</v>
      </c>
      <c r="WIK64" s="366" t="e">
        <f>10/WIG62</f>
        <v>#DIV/0!</v>
      </c>
      <c r="WIL64" s="367">
        <v>15.38</v>
      </c>
      <c r="WIM64" s="367" t="e">
        <f>WIJ64*WIK64*WIL64</f>
        <v>#DIV/0!</v>
      </c>
      <c r="WIN64" s="363" t="s">
        <v>153</v>
      </c>
      <c r="WIO64" s="363"/>
      <c r="WIP64" s="363"/>
      <c r="WIQ64" s="364" t="s">
        <v>140</v>
      </c>
      <c r="WIR64" s="365">
        <v>0.5</v>
      </c>
      <c r="WIS64" s="366" t="e">
        <f>10/WIO62</f>
        <v>#DIV/0!</v>
      </c>
      <c r="WIT64" s="367">
        <v>15.38</v>
      </c>
      <c r="WIU64" s="367" t="e">
        <f>WIR64*WIS64*WIT64</f>
        <v>#DIV/0!</v>
      </c>
      <c r="WIV64" s="363" t="s">
        <v>153</v>
      </c>
      <c r="WIW64" s="363"/>
      <c r="WIX64" s="363"/>
      <c r="WIY64" s="364" t="s">
        <v>140</v>
      </c>
      <c r="WIZ64" s="365">
        <v>0.5</v>
      </c>
      <c r="WJA64" s="366" t="e">
        <f>10/WIW62</f>
        <v>#DIV/0!</v>
      </c>
      <c r="WJB64" s="367">
        <v>15.38</v>
      </c>
      <c r="WJC64" s="367" t="e">
        <f>WIZ64*WJA64*WJB64</f>
        <v>#DIV/0!</v>
      </c>
      <c r="WJD64" s="363" t="s">
        <v>153</v>
      </c>
      <c r="WJE64" s="363"/>
      <c r="WJF64" s="363"/>
      <c r="WJG64" s="364" t="s">
        <v>140</v>
      </c>
      <c r="WJH64" s="365">
        <v>0.5</v>
      </c>
      <c r="WJI64" s="366" t="e">
        <f>10/WJE62</f>
        <v>#DIV/0!</v>
      </c>
      <c r="WJJ64" s="367">
        <v>15.38</v>
      </c>
      <c r="WJK64" s="367" t="e">
        <f>WJH64*WJI64*WJJ64</f>
        <v>#DIV/0!</v>
      </c>
      <c r="WJL64" s="363" t="s">
        <v>153</v>
      </c>
      <c r="WJM64" s="363"/>
      <c r="WJN64" s="363"/>
      <c r="WJO64" s="364" t="s">
        <v>140</v>
      </c>
      <c r="WJP64" s="365">
        <v>0.5</v>
      </c>
      <c r="WJQ64" s="366" t="e">
        <f>10/WJM62</f>
        <v>#DIV/0!</v>
      </c>
      <c r="WJR64" s="367">
        <v>15.38</v>
      </c>
      <c r="WJS64" s="367" t="e">
        <f>WJP64*WJQ64*WJR64</f>
        <v>#DIV/0!</v>
      </c>
      <c r="WJT64" s="363" t="s">
        <v>153</v>
      </c>
      <c r="WJU64" s="363"/>
      <c r="WJV64" s="363"/>
      <c r="WJW64" s="364" t="s">
        <v>140</v>
      </c>
      <c r="WJX64" s="365">
        <v>0.5</v>
      </c>
      <c r="WJY64" s="366" t="e">
        <f>10/WJU62</f>
        <v>#DIV/0!</v>
      </c>
      <c r="WJZ64" s="367">
        <v>15.38</v>
      </c>
      <c r="WKA64" s="367" t="e">
        <f>WJX64*WJY64*WJZ64</f>
        <v>#DIV/0!</v>
      </c>
      <c r="WKB64" s="363" t="s">
        <v>153</v>
      </c>
      <c r="WKC64" s="363"/>
      <c r="WKD64" s="363"/>
      <c r="WKE64" s="364" t="s">
        <v>140</v>
      </c>
      <c r="WKF64" s="365">
        <v>0.5</v>
      </c>
      <c r="WKG64" s="366" t="e">
        <f>10/WKC62</f>
        <v>#DIV/0!</v>
      </c>
      <c r="WKH64" s="367">
        <v>15.38</v>
      </c>
      <c r="WKI64" s="367" t="e">
        <f>WKF64*WKG64*WKH64</f>
        <v>#DIV/0!</v>
      </c>
      <c r="WKJ64" s="363" t="s">
        <v>153</v>
      </c>
      <c r="WKK64" s="363"/>
      <c r="WKL64" s="363"/>
      <c r="WKM64" s="364" t="s">
        <v>140</v>
      </c>
      <c r="WKN64" s="365">
        <v>0.5</v>
      </c>
      <c r="WKO64" s="366" t="e">
        <f>10/WKK62</f>
        <v>#DIV/0!</v>
      </c>
      <c r="WKP64" s="367">
        <v>15.38</v>
      </c>
      <c r="WKQ64" s="367" t="e">
        <f>WKN64*WKO64*WKP64</f>
        <v>#DIV/0!</v>
      </c>
      <c r="WKR64" s="363" t="s">
        <v>153</v>
      </c>
      <c r="WKS64" s="363"/>
      <c r="WKT64" s="363"/>
      <c r="WKU64" s="364" t="s">
        <v>140</v>
      </c>
      <c r="WKV64" s="365">
        <v>0.5</v>
      </c>
      <c r="WKW64" s="366" t="e">
        <f>10/WKS62</f>
        <v>#DIV/0!</v>
      </c>
      <c r="WKX64" s="367">
        <v>15.38</v>
      </c>
      <c r="WKY64" s="367" t="e">
        <f>WKV64*WKW64*WKX64</f>
        <v>#DIV/0!</v>
      </c>
      <c r="WKZ64" s="363" t="s">
        <v>153</v>
      </c>
      <c r="WLA64" s="363"/>
      <c r="WLB64" s="363"/>
      <c r="WLC64" s="364" t="s">
        <v>140</v>
      </c>
      <c r="WLD64" s="365">
        <v>0.5</v>
      </c>
      <c r="WLE64" s="366" t="e">
        <f>10/WLA62</f>
        <v>#DIV/0!</v>
      </c>
      <c r="WLF64" s="367">
        <v>15.38</v>
      </c>
      <c r="WLG64" s="367" t="e">
        <f>WLD64*WLE64*WLF64</f>
        <v>#DIV/0!</v>
      </c>
      <c r="WLH64" s="363" t="s">
        <v>153</v>
      </c>
      <c r="WLI64" s="363"/>
      <c r="WLJ64" s="363"/>
      <c r="WLK64" s="364" t="s">
        <v>140</v>
      </c>
      <c r="WLL64" s="365">
        <v>0.5</v>
      </c>
      <c r="WLM64" s="366" t="e">
        <f>10/WLI62</f>
        <v>#DIV/0!</v>
      </c>
      <c r="WLN64" s="367">
        <v>15.38</v>
      </c>
      <c r="WLO64" s="367" t="e">
        <f>WLL64*WLM64*WLN64</f>
        <v>#DIV/0!</v>
      </c>
      <c r="WLP64" s="363" t="s">
        <v>153</v>
      </c>
      <c r="WLQ64" s="363"/>
      <c r="WLR64" s="363"/>
      <c r="WLS64" s="364" t="s">
        <v>140</v>
      </c>
      <c r="WLT64" s="365">
        <v>0.5</v>
      </c>
      <c r="WLU64" s="366" t="e">
        <f>10/WLQ62</f>
        <v>#DIV/0!</v>
      </c>
      <c r="WLV64" s="367">
        <v>15.38</v>
      </c>
      <c r="WLW64" s="367" t="e">
        <f>WLT64*WLU64*WLV64</f>
        <v>#DIV/0!</v>
      </c>
      <c r="WLX64" s="363" t="s">
        <v>153</v>
      </c>
      <c r="WLY64" s="363"/>
      <c r="WLZ64" s="363"/>
      <c r="WMA64" s="364" t="s">
        <v>140</v>
      </c>
      <c r="WMB64" s="365">
        <v>0.5</v>
      </c>
      <c r="WMC64" s="366" t="e">
        <f>10/WLY62</f>
        <v>#DIV/0!</v>
      </c>
      <c r="WMD64" s="367">
        <v>15.38</v>
      </c>
      <c r="WME64" s="367" t="e">
        <f>WMB64*WMC64*WMD64</f>
        <v>#DIV/0!</v>
      </c>
      <c r="WMF64" s="363" t="s">
        <v>153</v>
      </c>
      <c r="WMG64" s="363"/>
      <c r="WMH64" s="363"/>
      <c r="WMI64" s="364" t="s">
        <v>140</v>
      </c>
      <c r="WMJ64" s="365">
        <v>0.5</v>
      </c>
      <c r="WMK64" s="366" t="e">
        <f>10/WMG62</f>
        <v>#DIV/0!</v>
      </c>
      <c r="WML64" s="367">
        <v>15.38</v>
      </c>
      <c r="WMM64" s="367" t="e">
        <f>WMJ64*WMK64*WML64</f>
        <v>#DIV/0!</v>
      </c>
      <c r="WMN64" s="363" t="s">
        <v>153</v>
      </c>
      <c r="WMO64" s="363"/>
      <c r="WMP64" s="363"/>
      <c r="WMQ64" s="364" t="s">
        <v>140</v>
      </c>
      <c r="WMR64" s="365">
        <v>0.5</v>
      </c>
      <c r="WMS64" s="366" t="e">
        <f>10/WMO62</f>
        <v>#DIV/0!</v>
      </c>
      <c r="WMT64" s="367">
        <v>15.38</v>
      </c>
      <c r="WMU64" s="367" t="e">
        <f>WMR64*WMS64*WMT64</f>
        <v>#DIV/0!</v>
      </c>
      <c r="WMV64" s="363" t="s">
        <v>153</v>
      </c>
      <c r="WMW64" s="363"/>
      <c r="WMX64" s="363"/>
      <c r="WMY64" s="364" t="s">
        <v>140</v>
      </c>
      <c r="WMZ64" s="365">
        <v>0.5</v>
      </c>
      <c r="WNA64" s="366" t="e">
        <f>10/WMW62</f>
        <v>#DIV/0!</v>
      </c>
      <c r="WNB64" s="367">
        <v>15.38</v>
      </c>
      <c r="WNC64" s="367" t="e">
        <f>WMZ64*WNA64*WNB64</f>
        <v>#DIV/0!</v>
      </c>
      <c r="WND64" s="363" t="s">
        <v>153</v>
      </c>
      <c r="WNE64" s="363"/>
      <c r="WNF64" s="363"/>
      <c r="WNG64" s="364" t="s">
        <v>140</v>
      </c>
      <c r="WNH64" s="365">
        <v>0.5</v>
      </c>
      <c r="WNI64" s="366" t="e">
        <f>10/WNE62</f>
        <v>#DIV/0!</v>
      </c>
      <c r="WNJ64" s="367">
        <v>15.38</v>
      </c>
      <c r="WNK64" s="367" t="e">
        <f>WNH64*WNI64*WNJ64</f>
        <v>#DIV/0!</v>
      </c>
      <c r="WNL64" s="363" t="s">
        <v>153</v>
      </c>
      <c r="WNM64" s="363"/>
      <c r="WNN64" s="363"/>
      <c r="WNO64" s="364" t="s">
        <v>140</v>
      </c>
      <c r="WNP64" s="365">
        <v>0.5</v>
      </c>
      <c r="WNQ64" s="366" t="e">
        <f>10/WNM62</f>
        <v>#DIV/0!</v>
      </c>
      <c r="WNR64" s="367">
        <v>15.38</v>
      </c>
      <c r="WNS64" s="367" t="e">
        <f>WNP64*WNQ64*WNR64</f>
        <v>#DIV/0!</v>
      </c>
      <c r="WNT64" s="363" t="s">
        <v>153</v>
      </c>
      <c r="WNU64" s="363"/>
      <c r="WNV64" s="363"/>
      <c r="WNW64" s="364" t="s">
        <v>140</v>
      </c>
      <c r="WNX64" s="365">
        <v>0.5</v>
      </c>
      <c r="WNY64" s="366" t="e">
        <f>10/WNU62</f>
        <v>#DIV/0!</v>
      </c>
      <c r="WNZ64" s="367">
        <v>15.38</v>
      </c>
      <c r="WOA64" s="367" t="e">
        <f>WNX64*WNY64*WNZ64</f>
        <v>#DIV/0!</v>
      </c>
      <c r="WOB64" s="363" t="s">
        <v>153</v>
      </c>
      <c r="WOC64" s="363"/>
      <c r="WOD64" s="363"/>
      <c r="WOE64" s="364" t="s">
        <v>140</v>
      </c>
      <c r="WOF64" s="365">
        <v>0.5</v>
      </c>
      <c r="WOG64" s="366" t="e">
        <f>10/WOC62</f>
        <v>#DIV/0!</v>
      </c>
      <c r="WOH64" s="367">
        <v>15.38</v>
      </c>
      <c r="WOI64" s="367" t="e">
        <f>WOF64*WOG64*WOH64</f>
        <v>#DIV/0!</v>
      </c>
      <c r="WOJ64" s="363" t="s">
        <v>153</v>
      </c>
      <c r="WOK64" s="363"/>
      <c r="WOL64" s="363"/>
      <c r="WOM64" s="364" t="s">
        <v>140</v>
      </c>
      <c r="WON64" s="365">
        <v>0.5</v>
      </c>
      <c r="WOO64" s="366" t="e">
        <f>10/WOK62</f>
        <v>#DIV/0!</v>
      </c>
      <c r="WOP64" s="367">
        <v>15.38</v>
      </c>
      <c r="WOQ64" s="367" t="e">
        <f>WON64*WOO64*WOP64</f>
        <v>#DIV/0!</v>
      </c>
      <c r="WOR64" s="363" t="s">
        <v>153</v>
      </c>
      <c r="WOS64" s="363"/>
      <c r="WOT64" s="363"/>
      <c r="WOU64" s="364" t="s">
        <v>140</v>
      </c>
      <c r="WOV64" s="365">
        <v>0.5</v>
      </c>
      <c r="WOW64" s="366" t="e">
        <f>10/WOS62</f>
        <v>#DIV/0!</v>
      </c>
      <c r="WOX64" s="367">
        <v>15.38</v>
      </c>
      <c r="WOY64" s="367" t="e">
        <f>WOV64*WOW64*WOX64</f>
        <v>#DIV/0!</v>
      </c>
      <c r="WOZ64" s="363" t="s">
        <v>153</v>
      </c>
      <c r="WPA64" s="363"/>
      <c r="WPB64" s="363"/>
      <c r="WPC64" s="364" t="s">
        <v>140</v>
      </c>
      <c r="WPD64" s="365">
        <v>0.5</v>
      </c>
      <c r="WPE64" s="366" t="e">
        <f>10/WPA62</f>
        <v>#DIV/0!</v>
      </c>
      <c r="WPF64" s="367">
        <v>15.38</v>
      </c>
      <c r="WPG64" s="367" t="e">
        <f>WPD64*WPE64*WPF64</f>
        <v>#DIV/0!</v>
      </c>
      <c r="WPH64" s="363" t="s">
        <v>153</v>
      </c>
      <c r="WPI64" s="363"/>
      <c r="WPJ64" s="363"/>
      <c r="WPK64" s="364" t="s">
        <v>140</v>
      </c>
      <c r="WPL64" s="365">
        <v>0.5</v>
      </c>
      <c r="WPM64" s="366" t="e">
        <f>10/WPI62</f>
        <v>#DIV/0!</v>
      </c>
      <c r="WPN64" s="367">
        <v>15.38</v>
      </c>
      <c r="WPO64" s="367" t="e">
        <f>WPL64*WPM64*WPN64</f>
        <v>#DIV/0!</v>
      </c>
      <c r="WPP64" s="363" t="s">
        <v>153</v>
      </c>
      <c r="WPQ64" s="363"/>
      <c r="WPR64" s="363"/>
      <c r="WPS64" s="364" t="s">
        <v>140</v>
      </c>
      <c r="WPT64" s="365">
        <v>0.5</v>
      </c>
      <c r="WPU64" s="366" t="e">
        <f>10/WPQ62</f>
        <v>#DIV/0!</v>
      </c>
      <c r="WPV64" s="367">
        <v>15.38</v>
      </c>
      <c r="WPW64" s="367" t="e">
        <f>WPT64*WPU64*WPV64</f>
        <v>#DIV/0!</v>
      </c>
      <c r="WPX64" s="363" t="s">
        <v>153</v>
      </c>
      <c r="WPY64" s="363"/>
      <c r="WPZ64" s="363"/>
      <c r="WQA64" s="364" t="s">
        <v>140</v>
      </c>
      <c r="WQB64" s="365">
        <v>0.5</v>
      </c>
      <c r="WQC64" s="366" t="e">
        <f>10/WPY62</f>
        <v>#DIV/0!</v>
      </c>
      <c r="WQD64" s="367">
        <v>15.38</v>
      </c>
      <c r="WQE64" s="367" t="e">
        <f>WQB64*WQC64*WQD64</f>
        <v>#DIV/0!</v>
      </c>
      <c r="WQF64" s="363" t="s">
        <v>153</v>
      </c>
      <c r="WQG64" s="363"/>
      <c r="WQH64" s="363"/>
      <c r="WQI64" s="364" t="s">
        <v>140</v>
      </c>
      <c r="WQJ64" s="365">
        <v>0.5</v>
      </c>
      <c r="WQK64" s="366" t="e">
        <f>10/WQG62</f>
        <v>#DIV/0!</v>
      </c>
      <c r="WQL64" s="367">
        <v>15.38</v>
      </c>
      <c r="WQM64" s="367" t="e">
        <f>WQJ64*WQK64*WQL64</f>
        <v>#DIV/0!</v>
      </c>
      <c r="WQN64" s="363" t="s">
        <v>153</v>
      </c>
      <c r="WQO64" s="363"/>
      <c r="WQP64" s="363"/>
      <c r="WQQ64" s="364" t="s">
        <v>140</v>
      </c>
      <c r="WQR64" s="365">
        <v>0.5</v>
      </c>
      <c r="WQS64" s="366" t="e">
        <f>10/WQO62</f>
        <v>#DIV/0!</v>
      </c>
      <c r="WQT64" s="367">
        <v>15.38</v>
      </c>
      <c r="WQU64" s="367" t="e">
        <f>WQR64*WQS64*WQT64</f>
        <v>#DIV/0!</v>
      </c>
      <c r="WQV64" s="363" t="s">
        <v>153</v>
      </c>
      <c r="WQW64" s="363"/>
      <c r="WQX64" s="363"/>
      <c r="WQY64" s="364" t="s">
        <v>140</v>
      </c>
      <c r="WQZ64" s="365">
        <v>0.5</v>
      </c>
      <c r="WRA64" s="366" t="e">
        <f>10/WQW62</f>
        <v>#DIV/0!</v>
      </c>
      <c r="WRB64" s="367">
        <v>15.38</v>
      </c>
      <c r="WRC64" s="367" t="e">
        <f>WQZ64*WRA64*WRB64</f>
        <v>#DIV/0!</v>
      </c>
      <c r="WRD64" s="363" t="s">
        <v>153</v>
      </c>
      <c r="WRE64" s="363"/>
      <c r="WRF64" s="363"/>
      <c r="WRG64" s="364" t="s">
        <v>140</v>
      </c>
      <c r="WRH64" s="365">
        <v>0.5</v>
      </c>
      <c r="WRI64" s="366" t="e">
        <f>10/WRE62</f>
        <v>#DIV/0!</v>
      </c>
      <c r="WRJ64" s="367">
        <v>15.38</v>
      </c>
      <c r="WRK64" s="367" t="e">
        <f>WRH64*WRI64*WRJ64</f>
        <v>#DIV/0!</v>
      </c>
      <c r="WRL64" s="363" t="s">
        <v>153</v>
      </c>
      <c r="WRM64" s="363"/>
      <c r="WRN64" s="363"/>
      <c r="WRO64" s="364" t="s">
        <v>140</v>
      </c>
      <c r="WRP64" s="365">
        <v>0.5</v>
      </c>
      <c r="WRQ64" s="366" t="e">
        <f>10/WRM62</f>
        <v>#DIV/0!</v>
      </c>
      <c r="WRR64" s="367">
        <v>15.38</v>
      </c>
      <c r="WRS64" s="367" t="e">
        <f>WRP64*WRQ64*WRR64</f>
        <v>#DIV/0!</v>
      </c>
      <c r="WRT64" s="363" t="s">
        <v>153</v>
      </c>
      <c r="WRU64" s="363"/>
      <c r="WRV64" s="363"/>
      <c r="WRW64" s="364" t="s">
        <v>140</v>
      </c>
      <c r="WRX64" s="365">
        <v>0.5</v>
      </c>
      <c r="WRY64" s="366" t="e">
        <f>10/WRU62</f>
        <v>#DIV/0!</v>
      </c>
      <c r="WRZ64" s="367">
        <v>15.38</v>
      </c>
      <c r="WSA64" s="367" t="e">
        <f>WRX64*WRY64*WRZ64</f>
        <v>#DIV/0!</v>
      </c>
      <c r="WSB64" s="363" t="s">
        <v>153</v>
      </c>
      <c r="WSC64" s="363"/>
      <c r="WSD64" s="363"/>
      <c r="WSE64" s="364" t="s">
        <v>140</v>
      </c>
      <c r="WSF64" s="365">
        <v>0.5</v>
      </c>
      <c r="WSG64" s="366" t="e">
        <f>10/WSC62</f>
        <v>#DIV/0!</v>
      </c>
      <c r="WSH64" s="367">
        <v>15.38</v>
      </c>
      <c r="WSI64" s="367" t="e">
        <f>WSF64*WSG64*WSH64</f>
        <v>#DIV/0!</v>
      </c>
      <c r="WSJ64" s="363" t="s">
        <v>153</v>
      </c>
      <c r="WSK64" s="363"/>
      <c r="WSL64" s="363"/>
      <c r="WSM64" s="364" t="s">
        <v>140</v>
      </c>
      <c r="WSN64" s="365">
        <v>0.5</v>
      </c>
      <c r="WSO64" s="366" t="e">
        <f>10/WSK62</f>
        <v>#DIV/0!</v>
      </c>
      <c r="WSP64" s="367">
        <v>15.38</v>
      </c>
      <c r="WSQ64" s="367" t="e">
        <f>WSN64*WSO64*WSP64</f>
        <v>#DIV/0!</v>
      </c>
      <c r="WSR64" s="363" t="s">
        <v>153</v>
      </c>
      <c r="WSS64" s="363"/>
      <c r="WST64" s="363"/>
      <c r="WSU64" s="364" t="s">
        <v>140</v>
      </c>
      <c r="WSV64" s="365">
        <v>0.5</v>
      </c>
      <c r="WSW64" s="366" t="e">
        <f>10/WSS62</f>
        <v>#DIV/0!</v>
      </c>
      <c r="WSX64" s="367">
        <v>15.38</v>
      </c>
      <c r="WSY64" s="367" t="e">
        <f>WSV64*WSW64*WSX64</f>
        <v>#DIV/0!</v>
      </c>
      <c r="WSZ64" s="363" t="s">
        <v>153</v>
      </c>
      <c r="WTA64" s="363"/>
      <c r="WTB64" s="363"/>
      <c r="WTC64" s="364" t="s">
        <v>140</v>
      </c>
      <c r="WTD64" s="365">
        <v>0.5</v>
      </c>
      <c r="WTE64" s="366" t="e">
        <f>10/WTA62</f>
        <v>#DIV/0!</v>
      </c>
      <c r="WTF64" s="367">
        <v>15.38</v>
      </c>
      <c r="WTG64" s="367" t="e">
        <f>WTD64*WTE64*WTF64</f>
        <v>#DIV/0!</v>
      </c>
      <c r="WTH64" s="363" t="s">
        <v>153</v>
      </c>
      <c r="WTI64" s="363"/>
      <c r="WTJ64" s="363"/>
      <c r="WTK64" s="364" t="s">
        <v>140</v>
      </c>
      <c r="WTL64" s="365">
        <v>0.5</v>
      </c>
      <c r="WTM64" s="366" t="e">
        <f>10/WTI62</f>
        <v>#DIV/0!</v>
      </c>
      <c r="WTN64" s="367">
        <v>15.38</v>
      </c>
      <c r="WTO64" s="367" t="e">
        <f>WTL64*WTM64*WTN64</f>
        <v>#DIV/0!</v>
      </c>
      <c r="WTP64" s="363" t="s">
        <v>153</v>
      </c>
      <c r="WTQ64" s="363"/>
      <c r="WTR64" s="363"/>
      <c r="WTS64" s="364" t="s">
        <v>140</v>
      </c>
      <c r="WTT64" s="365">
        <v>0.5</v>
      </c>
      <c r="WTU64" s="366" t="e">
        <f>10/WTQ62</f>
        <v>#DIV/0!</v>
      </c>
      <c r="WTV64" s="367">
        <v>15.38</v>
      </c>
      <c r="WTW64" s="367" t="e">
        <f>WTT64*WTU64*WTV64</f>
        <v>#DIV/0!</v>
      </c>
      <c r="WTX64" s="363" t="s">
        <v>153</v>
      </c>
      <c r="WTY64" s="363"/>
      <c r="WTZ64" s="363"/>
      <c r="WUA64" s="364" t="s">
        <v>140</v>
      </c>
      <c r="WUB64" s="365">
        <v>0.5</v>
      </c>
      <c r="WUC64" s="366" t="e">
        <f>10/WTY62</f>
        <v>#DIV/0!</v>
      </c>
      <c r="WUD64" s="367">
        <v>15.38</v>
      </c>
      <c r="WUE64" s="367" t="e">
        <f>WUB64*WUC64*WUD64</f>
        <v>#DIV/0!</v>
      </c>
      <c r="WUF64" s="363" t="s">
        <v>153</v>
      </c>
      <c r="WUG64" s="363"/>
      <c r="WUH64" s="363"/>
      <c r="WUI64" s="364" t="s">
        <v>140</v>
      </c>
      <c r="WUJ64" s="365">
        <v>0.5</v>
      </c>
      <c r="WUK64" s="366" t="e">
        <f>10/WUG62</f>
        <v>#DIV/0!</v>
      </c>
      <c r="WUL64" s="367">
        <v>15.38</v>
      </c>
      <c r="WUM64" s="367" t="e">
        <f>WUJ64*WUK64*WUL64</f>
        <v>#DIV/0!</v>
      </c>
      <c r="WUN64" s="363" t="s">
        <v>153</v>
      </c>
      <c r="WUO64" s="363"/>
      <c r="WUP64" s="363"/>
      <c r="WUQ64" s="364" t="s">
        <v>140</v>
      </c>
      <c r="WUR64" s="365">
        <v>0.5</v>
      </c>
      <c r="WUS64" s="366" t="e">
        <f>10/WUO62</f>
        <v>#DIV/0!</v>
      </c>
      <c r="WUT64" s="367">
        <v>15.38</v>
      </c>
      <c r="WUU64" s="367" t="e">
        <f>WUR64*WUS64*WUT64</f>
        <v>#DIV/0!</v>
      </c>
      <c r="WUV64" s="363" t="s">
        <v>153</v>
      </c>
      <c r="WUW64" s="363"/>
      <c r="WUX64" s="363"/>
      <c r="WUY64" s="364" t="s">
        <v>140</v>
      </c>
      <c r="WUZ64" s="365">
        <v>0.5</v>
      </c>
      <c r="WVA64" s="366" t="e">
        <f>10/WUW62</f>
        <v>#DIV/0!</v>
      </c>
      <c r="WVB64" s="367">
        <v>15.38</v>
      </c>
      <c r="WVC64" s="367" t="e">
        <f>WUZ64*WVA64*WVB64</f>
        <v>#DIV/0!</v>
      </c>
      <c r="WVD64" s="363" t="s">
        <v>153</v>
      </c>
      <c r="WVE64" s="363"/>
      <c r="WVF64" s="363"/>
      <c r="WVG64" s="364" t="s">
        <v>140</v>
      </c>
      <c r="WVH64" s="365">
        <v>0.5</v>
      </c>
      <c r="WVI64" s="366" t="e">
        <f>10/WVE62</f>
        <v>#DIV/0!</v>
      </c>
      <c r="WVJ64" s="367">
        <v>15.38</v>
      </c>
      <c r="WVK64" s="367" t="e">
        <f>WVH64*WVI64*WVJ64</f>
        <v>#DIV/0!</v>
      </c>
      <c r="WVL64" s="363" t="s">
        <v>153</v>
      </c>
      <c r="WVM64" s="363"/>
      <c r="WVN64" s="363"/>
      <c r="WVO64" s="364" t="s">
        <v>140</v>
      </c>
      <c r="WVP64" s="365">
        <v>0.5</v>
      </c>
      <c r="WVQ64" s="366" t="e">
        <f>10/WVM62</f>
        <v>#DIV/0!</v>
      </c>
      <c r="WVR64" s="367">
        <v>15.38</v>
      </c>
      <c r="WVS64" s="367" t="e">
        <f>WVP64*WVQ64*WVR64</f>
        <v>#DIV/0!</v>
      </c>
      <c r="WVT64" s="363" t="s">
        <v>153</v>
      </c>
      <c r="WVU64" s="363"/>
      <c r="WVV64" s="363"/>
      <c r="WVW64" s="364" t="s">
        <v>140</v>
      </c>
      <c r="WVX64" s="365">
        <v>0.5</v>
      </c>
      <c r="WVY64" s="366" t="e">
        <f>10/WVU62</f>
        <v>#DIV/0!</v>
      </c>
      <c r="WVZ64" s="367">
        <v>15.38</v>
      </c>
      <c r="WWA64" s="367" t="e">
        <f>WVX64*WVY64*WVZ64</f>
        <v>#DIV/0!</v>
      </c>
      <c r="WWB64" s="363" t="s">
        <v>153</v>
      </c>
      <c r="WWC64" s="363"/>
      <c r="WWD64" s="363"/>
      <c r="WWE64" s="364" t="s">
        <v>140</v>
      </c>
      <c r="WWF64" s="365">
        <v>0.5</v>
      </c>
      <c r="WWG64" s="366" t="e">
        <f>10/WWC62</f>
        <v>#DIV/0!</v>
      </c>
      <c r="WWH64" s="367">
        <v>15.38</v>
      </c>
      <c r="WWI64" s="367" t="e">
        <f>WWF64*WWG64*WWH64</f>
        <v>#DIV/0!</v>
      </c>
      <c r="WWJ64" s="363" t="s">
        <v>153</v>
      </c>
      <c r="WWK64" s="363"/>
      <c r="WWL64" s="363"/>
      <c r="WWM64" s="364" t="s">
        <v>140</v>
      </c>
      <c r="WWN64" s="365">
        <v>0.5</v>
      </c>
      <c r="WWO64" s="366" t="e">
        <f>10/WWK62</f>
        <v>#DIV/0!</v>
      </c>
      <c r="WWP64" s="367">
        <v>15.38</v>
      </c>
      <c r="WWQ64" s="367" t="e">
        <f>WWN64*WWO64*WWP64</f>
        <v>#DIV/0!</v>
      </c>
      <c r="WWR64" s="363" t="s">
        <v>153</v>
      </c>
      <c r="WWS64" s="363"/>
      <c r="WWT64" s="363"/>
      <c r="WWU64" s="364" t="s">
        <v>140</v>
      </c>
      <c r="WWV64" s="365">
        <v>0.5</v>
      </c>
      <c r="WWW64" s="366" t="e">
        <f>10/WWS62</f>
        <v>#DIV/0!</v>
      </c>
      <c r="WWX64" s="367">
        <v>15.38</v>
      </c>
      <c r="WWY64" s="367" t="e">
        <f>WWV64*WWW64*WWX64</f>
        <v>#DIV/0!</v>
      </c>
      <c r="WWZ64" s="363" t="s">
        <v>153</v>
      </c>
      <c r="WXA64" s="363"/>
      <c r="WXB64" s="363"/>
      <c r="WXC64" s="364" t="s">
        <v>140</v>
      </c>
      <c r="WXD64" s="365">
        <v>0.5</v>
      </c>
      <c r="WXE64" s="366" t="e">
        <f>10/WXA62</f>
        <v>#DIV/0!</v>
      </c>
      <c r="WXF64" s="367">
        <v>15.38</v>
      </c>
      <c r="WXG64" s="367" t="e">
        <f>WXD64*WXE64*WXF64</f>
        <v>#DIV/0!</v>
      </c>
      <c r="WXH64" s="363" t="s">
        <v>153</v>
      </c>
      <c r="WXI64" s="363"/>
      <c r="WXJ64" s="363"/>
      <c r="WXK64" s="364" t="s">
        <v>140</v>
      </c>
      <c r="WXL64" s="365">
        <v>0.5</v>
      </c>
      <c r="WXM64" s="366" t="e">
        <f>10/WXI62</f>
        <v>#DIV/0!</v>
      </c>
      <c r="WXN64" s="367">
        <v>15.38</v>
      </c>
      <c r="WXO64" s="367" t="e">
        <f>WXL64*WXM64*WXN64</f>
        <v>#DIV/0!</v>
      </c>
      <c r="WXP64" s="363" t="s">
        <v>153</v>
      </c>
      <c r="WXQ64" s="363"/>
      <c r="WXR64" s="363"/>
      <c r="WXS64" s="364" t="s">
        <v>140</v>
      </c>
      <c r="WXT64" s="365">
        <v>0.5</v>
      </c>
      <c r="WXU64" s="366" t="e">
        <f>10/WXQ62</f>
        <v>#DIV/0!</v>
      </c>
      <c r="WXV64" s="367">
        <v>15.38</v>
      </c>
      <c r="WXW64" s="367" t="e">
        <f>WXT64*WXU64*WXV64</f>
        <v>#DIV/0!</v>
      </c>
      <c r="WXX64" s="363" t="s">
        <v>153</v>
      </c>
      <c r="WXY64" s="363"/>
      <c r="WXZ64" s="363"/>
      <c r="WYA64" s="364" t="s">
        <v>140</v>
      </c>
      <c r="WYB64" s="365">
        <v>0.5</v>
      </c>
      <c r="WYC64" s="366" t="e">
        <f>10/WXY62</f>
        <v>#DIV/0!</v>
      </c>
      <c r="WYD64" s="367">
        <v>15.38</v>
      </c>
      <c r="WYE64" s="367" t="e">
        <f>WYB64*WYC64*WYD64</f>
        <v>#DIV/0!</v>
      </c>
      <c r="WYF64" s="363" t="s">
        <v>153</v>
      </c>
      <c r="WYG64" s="363"/>
      <c r="WYH64" s="363"/>
      <c r="WYI64" s="364" t="s">
        <v>140</v>
      </c>
      <c r="WYJ64" s="365">
        <v>0.5</v>
      </c>
      <c r="WYK64" s="366" t="e">
        <f>10/WYG62</f>
        <v>#DIV/0!</v>
      </c>
      <c r="WYL64" s="367">
        <v>15.38</v>
      </c>
      <c r="WYM64" s="367" t="e">
        <f>WYJ64*WYK64*WYL64</f>
        <v>#DIV/0!</v>
      </c>
      <c r="WYN64" s="363" t="s">
        <v>153</v>
      </c>
      <c r="WYO64" s="363"/>
      <c r="WYP64" s="363"/>
      <c r="WYQ64" s="364" t="s">
        <v>140</v>
      </c>
      <c r="WYR64" s="365">
        <v>0.5</v>
      </c>
      <c r="WYS64" s="366" t="e">
        <f>10/WYO62</f>
        <v>#DIV/0!</v>
      </c>
      <c r="WYT64" s="367">
        <v>15.38</v>
      </c>
      <c r="WYU64" s="367" t="e">
        <f>WYR64*WYS64*WYT64</f>
        <v>#DIV/0!</v>
      </c>
      <c r="WYV64" s="363" t="s">
        <v>153</v>
      </c>
      <c r="WYW64" s="363"/>
      <c r="WYX64" s="363"/>
      <c r="WYY64" s="364" t="s">
        <v>140</v>
      </c>
      <c r="WYZ64" s="365">
        <v>0.5</v>
      </c>
      <c r="WZA64" s="366" t="e">
        <f>10/WYW62</f>
        <v>#DIV/0!</v>
      </c>
      <c r="WZB64" s="367">
        <v>15.38</v>
      </c>
      <c r="WZC64" s="367" t="e">
        <f>WYZ64*WZA64*WZB64</f>
        <v>#DIV/0!</v>
      </c>
      <c r="WZD64" s="363" t="s">
        <v>153</v>
      </c>
      <c r="WZE64" s="363"/>
      <c r="WZF64" s="363"/>
      <c r="WZG64" s="364" t="s">
        <v>140</v>
      </c>
      <c r="WZH64" s="365">
        <v>0.5</v>
      </c>
      <c r="WZI64" s="366" t="e">
        <f>10/WZE62</f>
        <v>#DIV/0!</v>
      </c>
      <c r="WZJ64" s="367">
        <v>15.38</v>
      </c>
      <c r="WZK64" s="367" t="e">
        <f>WZH64*WZI64*WZJ64</f>
        <v>#DIV/0!</v>
      </c>
      <c r="WZL64" s="363" t="s">
        <v>153</v>
      </c>
      <c r="WZM64" s="363"/>
      <c r="WZN64" s="363"/>
      <c r="WZO64" s="364" t="s">
        <v>140</v>
      </c>
      <c r="WZP64" s="365">
        <v>0.5</v>
      </c>
      <c r="WZQ64" s="366" t="e">
        <f>10/WZM62</f>
        <v>#DIV/0!</v>
      </c>
      <c r="WZR64" s="367">
        <v>15.38</v>
      </c>
      <c r="WZS64" s="367" t="e">
        <f>WZP64*WZQ64*WZR64</f>
        <v>#DIV/0!</v>
      </c>
      <c r="WZT64" s="363" t="s">
        <v>153</v>
      </c>
      <c r="WZU64" s="363"/>
      <c r="WZV64" s="363"/>
      <c r="WZW64" s="364" t="s">
        <v>140</v>
      </c>
      <c r="WZX64" s="365">
        <v>0.5</v>
      </c>
      <c r="WZY64" s="366" t="e">
        <f>10/WZU62</f>
        <v>#DIV/0!</v>
      </c>
      <c r="WZZ64" s="367">
        <v>15.38</v>
      </c>
      <c r="XAA64" s="367" t="e">
        <f>WZX64*WZY64*WZZ64</f>
        <v>#DIV/0!</v>
      </c>
      <c r="XAB64" s="363" t="s">
        <v>153</v>
      </c>
      <c r="XAC64" s="363"/>
      <c r="XAD64" s="363"/>
      <c r="XAE64" s="364" t="s">
        <v>140</v>
      </c>
      <c r="XAF64" s="365">
        <v>0.5</v>
      </c>
      <c r="XAG64" s="366" t="e">
        <f>10/XAC62</f>
        <v>#DIV/0!</v>
      </c>
      <c r="XAH64" s="367">
        <v>15.38</v>
      </c>
      <c r="XAI64" s="367" t="e">
        <f>XAF64*XAG64*XAH64</f>
        <v>#DIV/0!</v>
      </c>
      <c r="XAJ64" s="363" t="s">
        <v>153</v>
      </c>
      <c r="XAK64" s="363"/>
      <c r="XAL64" s="363"/>
      <c r="XAM64" s="364" t="s">
        <v>140</v>
      </c>
      <c r="XAN64" s="365">
        <v>0.5</v>
      </c>
      <c r="XAO64" s="366" t="e">
        <f>10/XAK62</f>
        <v>#DIV/0!</v>
      </c>
      <c r="XAP64" s="367">
        <v>15.38</v>
      </c>
      <c r="XAQ64" s="367" t="e">
        <f>XAN64*XAO64*XAP64</f>
        <v>#DIV/0!</v>
      </c>
      <c r="XAR64" s="363" t="s">
        <v>153</v>
      </c>
      <c r="XAS64" s="363"/>
      <c r="XAT64" s="363"/>
      <c r="XAU64" s="364" t="s">
        <v>140</v>
      </c>
      <c r="XAV64" s="365">
        <v>0.5</v>
      </c>
      <c r="XAW64" s="366" t="e">
        <f>10/XAS62</f>
        <v>#DIV/0!</v>
      </c>
      <c r="XAX64" s="367">
        <v>15.38</v>
      </c>
      <c r="XAY64" s="367" t="e">
        <f>XAV64*XAW64*XAX64</f>
        <v>#DIV/0!</v>
      </c>
      <c r="XAZ64" s="363" t="s">
        <v>153</v>
      </c>
      <c r="XBA64" s="363"/>
      <c r="XBB64" s="363"/>
      <c r="XBC64" s="364" t="s">
        <v>140</v>
      </c>
      <c r="XBD64" s="365">
        <v>0.5</v>
      </c>
      <c r="XBE64" s="366" t="e">
        <f>10/XBA62</f>
        <v>#DIV/0!</v>
      </c>
      <c r="XBF64" s="367">
        <v>15.38</v>
      </c>
      <c r="XBG64" s="367" t="e">
        <f>XBD64*XBE64*XBF64</f>
        <v>#DIV/0!</v>
      </c>
      <c r="XBH64" s="363" t="s">
        <v>153</v>
      </c>
      <c r="XBI64" s="363"/>
      <c r="XBJ64" s="363"/>
      <c r="XBK64" s="364" t="s">
        <v>140</v>
      </c>
      <c r="XBL64" s="365">
        <v>0.5</v>
      </c>
      <c r="XBM64" s="366" t="e">
        <f>10/XBI62</f>
        <v>#DIV/0!</v>
      </c>
      <c r="XBN64" s="367">
        <v>15.38</v>
      </c>
      <c r="XBO64" s="367" t="e">
        <f>XBL64*XBM64*XBN64</f>
        <v>#DIV/0!</v>
      </c>
      <c r="XBP64" s="363" t="s">
        <v>153</v>
      </c>
      <c r="XBQ64" s="363"/>
      <c r="XBR64" s="363"/>
      <c r="XBS64" s="364" t="s">
        <v>140</v>
      </c>
      <c r="XBT64" s="365">
        <v>0.5</v>
      </c>
      <c r="XBU64" s="366" t="e">
        <f>10/XBQ62</f>
        <v>#DIV/0!</v>
      </c>
      <c r="XBV64" s="367">
        <v>15.38</v>
      </c>
      <c r="XBW64" s="367" t="e">
        <f>XBT64*XBU64*XBV64</f>
        <v>#DIV/0!</v>
      </c>
    </row>
    <row r="65" spans="1:8" x14ac:dyDescent="0.25">
      <c r="A65" s="363" t="s">
        <v>139</v>
      </c>
      <c r="D65" s="364" t="s">
        <v>140</v>
      </c>
      <c r="E65" s="365">
        <v>1</v>
      </c>
      <c r="F65" s="366">
        <f>10/B62</f>
        <v>5</v>
      </c>
      <c r="G65" s="367">
        <v>13.94</v>
      </c>
      <c r="H65" s="367">
        <f>E65*F65*G65</f>
        <v>69.7</v>
      </c>
    </row>
    <row r="66" spans="1:8" x14ac:dyDescent="0.25">
      <c r="A66" s="363" t="s">
        <v>166</v>
      </c>
      <c r="D66" s="364" t="s">
        <v>140</v>
      </c>
      <c r="E66" s="365">
        <v>1</v>
      </c>
      <c r="F66" s="366">
        <f>10/B62</f>
        <v>5</v>
      </c>
      <c r="G66" s="367">
        <v>13.94</v>
      </c>
      <c r="H66" s="367">
        <f>E66*F66*G66</f>
        <v>69.7</v>
      </c>
    </row>
    <row r="67" spans="1:8" x14ac:dyDescent="0.25">
      <c r="A67" s="363" t="s">
        <v>141</v>
      </c>
      <c r="D67" s="364" t="s">
        <v>140</v>
      </c>
      <c r="E67" s="365">
        <v>1</v>
      </c>
      <c r="F67" s="366">
        <f>10/B62</f>
        <v>5</v>
      </c>
      <c r="G67" s="316">
        <v>13</v>
      </c>
      <c r="H67" s="367">
        <f>E67*F67*G67</f>
        <v>65</v>
      </c>
    </row>
    <row r="68" spans="1:8" ht="15" customHeight="1" x14ac:dyDescent="0.25">
      <c r="A68" s="295"/>
      <c r="B68" s="295"/>
      <c r="C68" s="295"/>
      <c r="D68" s="296"/>
      <c r="E68" s="326"/>
      <c r="F68" s="327"/>
      <c r="G68" s="297" t="s">
        <v>142</v>
      </c>
      <c r="H68" s="297">
        <f>SUM(H64:H67)</f>
        <v>242.85000000000002</v>
      </c>
    </row>
    <row r="70" spans="1:8" x14ac:dyDescent="0.25">
      <c r="A70" s="363" t="s">
        <v>167</v>
      </c>
      <c r="D70" s="364" t="s">
        <v>30</v>
      </c>
      <c r="F70" s="366">
        <v>1</v>
      </c>
      <c r="G70" s="367">
        <v>48</v>
      </c>
      <c r="H70" s="367">
        <f>F70*G70</f>
        <v>48</v>
      </c>
    </row>
    <row r="71" spans="1:8" ht="15" customHeight="1" x14ac:dyDescent="0.25">
      <c r="A71" s="295"/>
      <c r="B71" s="295"/>
      <c r="C71" s="295"/>
      <c r="D71" s="296"/>
      <c r="E71" s="326"/>
      <c r="F71" s="327"/>
      <c r="G71" s="297" t="s">
        <v>147</v>
      </c>
      <c r="H71" s="297">
        <f>SUM(H70:H70)</f>
        <v>48</v>
      </c>
    </row>
    <row r="73" spans="1:8" x14ac:dyDescent="0.25">
      <c r="A73" s="363" t="s">
        <v>168</v>
      </c>
      <c r="D73" s="364" t="s">
        <v>144</v>
      </c>
      <c r="F73" s="366">
        <f>10/B62</f>
        <v>5</v>
      </c>
      <c r="G73" s="367">
        <v>6.5</v>
      </c>
      <c r="H73" s="367">
        <f>F73*G73</f>
        <v>32.5</v>
      </c>
    </row>
    <row r="74" spans="1:8" x14ac:dyDescent="0.25">
      <c r="A74" s="363" t="s">
        <v>164</v>
      </c>
      <c r="D74" s="364" t="s">
        <v>144</v>
      </c>
      <c r="F74" s="366">
        <f>10/B62</f>
        <v>5</v>
      </c>
      <c r="G74" s="367">
        <v>1.2</v>
      </c>
      <c r="H74" s="367">
        <f>F74*G74</f>
        <v>6</v>
      </c>
    </row>
    <row r="75" spans="1:8" x14ac:dyDescent="0.25">
      <c r="A75" s="363" t="s">
        <v>169</v>
      </c>
      <c r="D75" s="364" t="s">
        <v>144</v>
      </c>
      <c r="F75" s="366">
        <f>10/B62</f>
        <v>5</v>
      </c>
      <c r="G75" s="367">
        <v>1.4</v>
      </c>
      <c r="H75" s="367">
        <f>F75*G75</f>
        <v>7</v>
      </c>
    </row>
    <row r="76" spans="1:8" x14ac:dyDescent="0.25">
      <c r="A76" s="363" t="s">
        <v>156</v>
      </c>
      <c r="D76" s="364" t="s">
        <v>157</v>
      </c>
      <c r="F76" s="366">
        <v>3</v>
      </c>
      <c r="G76" s="367">
        <f>H68</f>
        <v>242.85000000000002</v>
      </c>
      <c r="H76" s="367">
        <f>F76*G76/100</f>
        <v>7.2855000000000008</v>
      </c>
    </row>
    <row r="77" spans="1:8" ht="15" customHeight="1" x14ac:dyDescent="0.25">
      <c r="A77" s="295"/>
      <c r="B77" s="295"/>
      <c r="C77" s="295"/>
      <c r="D77" s="296"/>
      <c r="E77" s="326"/>
      <c r="F77" s="327"/>
      <c r="G77" s="297" t="s">
        <v>145</v>
      </c>
      <c r="H77" s="297">
        <f>SUM(H73:H76)</f>
        <v>52.785499999999999</v>
      </c>
    </row>
    <row r="80" spans="1:8" ht="15" customHeight="1" x14ac:dyDescent="0.3">
      <c r="A80" s="291" t="s">
        <v>170</v>
      </c>
      <c r="B80" s="291"/>
      <c r="C80" s="291"/>
      <c r="D80" s="291"/>
      <c r="E80" s="291"/>
      <c r="F80" s="291"/>
      <c r="G80" s="291"/>
      <c r="H80" s="291"/>
    </row>
    <row r="81" spans="1:16299" ht="15" customHeight="1" x14ac:dyDescent="0.25">
      <c r="A81" s="281" t="s">
        <v>151</v>
      </c>
      <c r="B81" s="371">
        <v>4</v>
      </c>
      <c r="C81" s="281" t="s">
        <v>162</v>
      </c>
      <c r="D81" s="292"/>
      <c r="E81" s="323" t="s">
        <v>146</v>
      </c>
      <c r="F81" s="324"/>
      <c r="G81" s="293" t="s">
        <v>133</v>
      </c>
      <c r="H81" s="293">
        <f>H86+H89</f>
        <v>89.172250000000005</v>
      </c>
    </row>
    <row r="82" spans="1:16299" ht="15" customHeight="1" x14ac:dyDescent="0.25">
      <c r="A82" s="292" t="s">
        <v>134</v>
      </c>
      <c r="B82" s="292"/>
      <c r="C82" s="292"/>
      <c r="D82" s="292" t="s">
        <v>135</v>
      </c>
      <c r="E82" s="325" t="s">
        <v>136</v>
      </c>
      <c r="F82" s="325" t="s">
        <v>24</v>
      </c>
      <c r="G82" s="294" t="s">
        <v>137</v>
      </c>
      <c r="H82" s="294" t="s">
        <v>138</v>
      </c>
    </row>
    <row r="83" spans="1:16299" ht="15" customHeight="1" x14ac:dyDescent="0.25">
      <c r="A83" s="363" t="s">
        <v>153</v>
      </c>
      <c r="D83" s="364" t="s">
        <v>140</v>
      </c>
      <c r="E83" s="365">
        <v>0.5</v>
      </c>
      <c r="F83" s="366">
        <f>10/B81</f>
        <v>2.5</v>
      </c>
      <c r="G83" s="367">
        <v>15.38</v>
      </c>
      <c r="H83" s="367">
        <f>E83*F83*G83</f>
        <v>19.225000000000001</v>
      </c>
      <c r="I83" s="363"/>
      <c r="J83" s="367"/>
      <c r="K83" s="367"/>
      <c r="L83" s="363"/>
      <c r="M83" s="363"/>
      <c r="N83" s="363"/>
      <c r="O83" s="364"/>
      <c r="P83" s="365"/>
      <c r="Q83" s="366"/>
      <c r="R83" s="367"/>
      <c r="S83" s="367"/>
      <c r="T83" s="363"/>
      <c r="U83" s="363"/>
      <c r="V83" s="363"/>
      <c r="W83" s="364"/>
      <c r="X83" s="365"/>
      <c r="Y83" s="366"/>
      <c r="Z83" s="367"/>
      <c r="AA83" s="367">
        <f>X83*Y83*Z83</f>
        <v>0</v>
      </c>
      <c r="AB83" s="363" t="s">
        <v>153</v>
      </c>
      <c r="AC83" s="363"/>
      <c r="AD83" s="363"/>
      <c r="AE83" s="364" t="s">
        <v>140</v>
      </c>
      <c r="AF83" s="365">
        <v>0.5</v>
      </c>
      <c r="AG83" s="366" t="e">
        <f>10/AC81</f>
        <v>#DIV/0!</v>
      </c>
      <c r="AH83" s="367">
        <v>15.38</v>
      </c>
      <c r="AI83" s="367" t="e">
        <f>AF83*AG83*AH83</f>
        <v>#DIV/0!</v>
      </c>
      <c r="AJ83" s="363" t="s">
        <v>153</v>
      </c>
      <c r="AK83" s="363"/>
      <c r="AL83" s="363"/>
      <c r="AM83" s="364" t="s">
        <v>140</v>
      </c>
      <c r="AN83" s="365">
        <v>0.5</v>
      </c>
      <c r="AO83" s="366" t="e">
        <f>10/AK81</f>
        <v>#DIV/0!</v>
      </c>
      <c r="AP83" s="367">
        <v>15.38</v>
      </c>
      <c r="AQ83" s="367" t="e">
        <f>AN83*AO83*AP83</f>
        <v>#DIV/0!</v>
      </c>
      <c r="AR83" s="363" t="s">
        <v>153</v>
      </c>
      <c r="AS83" s="363"/>
      <c r="AT83" s="363"/>
      <c r="AU83" s="364" t="s">
        <v>140</v>
      </c>
      <c r="AV83" s="365">
        <v>0.5</v>
      </c>
      <c r="AW83" s="366" t="e">
        <f>10/AS81</f>
        <v>#DIV/0!</v>
      </c>
      <c r="AX83" s="367">
        <v>15.38</v>
      </c>
      <c r="AY83" s="367" t="e">
        <f>AV83*AW83*AX83</f>
        <v>#DIV/0!</v>
      </c>
      <c r="AZ83" s="363" t="s">
        <v>153</v>
      </c>
      <c r="BA83" s="363"/>
      <c r="BB83" s="363"/>
      <c r="BC83" s="364" t="s">
        <v>140</v>
      </c>
      <c r="BD83" s="365">
        <v>0.5</v>
      </c>
      <c r="BE83" s="366" t="e">
        <f>10/BA81</f>
        <v>#DIV/0!</v>
      </c>
      <c r="BF83" s="367">
        <v>15.38</v>
      </c>
      <c r="BG83" s="367" t="e">
        <f>BD83*BE83*BF83</f>
        <v>#DIV/0!</v>
      </c>
      <c r="BH83" s="363" t="s">
        <v>153</v>
      </c>
      <c r="BI83" s="363"/>
      <c r="BJ83" s="363"/>
      <c r="BK83" s="364" t="s">
        <v>140</v>
      </c>
      <c r="BL83" s="365">
        <v>0.5</v>
      </c>
      <c r="BM83" s="366" t="e">
        <f>10/BI81</f>
        <v>#DIV/0!</v>
      </c>
      <c r="BN83" s="367">
        <v>15.38</v>
      </c>
      <c r="BO83" s="367" t="e">
        <f>BL83*BM83*BN83</f>
        <v>#DIV/0!</v>
      </c>
      <c r="BP83" s="363" t="s">
        <v>153</v>
      </c>
      <c r="BQ83" s="363"/>
      <c r="BR83" s="363"/>
      <c r="BS83" s="364" t="s">
        <v>140</v>
      </c>
      <c r="BT83" s="365">
        <v>0.5</v>
      </c>
      <c r="BU83" s="366" t="e">
        <f>10/BQ81</f>
        <v>#DIV/0!</v>
      </c>
      <c r="BV83" s="367">
        <v>15.38</v>
      </c>
      <c r="BW83" s="367" t="e">
        <f>BT83*BU83*BV83</f>
        <v>#DIV/0!</v>
      </c>
      <c r="BX83" s="363" t="s">
        <v>153</v>
      </c>
      <c r="BY83" s="363"/>
      <c r="BZ83" s="363"/>
      <c r="CA83" s="364" t="s">
        <v>140</v>
      </c>
      <c r="CB83" s="365">
        <v>0.5</v>
      </c>
      <c r="CC83" s="366" t="e">
        <f>10/BY81</f>
        <v>#DIV/0!</v>
      </c>
      <c r="CD83" s="367">
        <v>15.38</v>
      </c>
      <c r="CE83" s="367" t="e">
        <f>CB83*CC83*CD83</f>
        <v>#DIV/0!</v>
      </c>
      <c r="CF83" s="363" t="s">
        <v>153</v>
      </c>
      <c r="CG83" s="363"/>
      <c r="CH83" s="363"/>
      <c r="CI83" s="364" t="s">
        <v>140</v>
      </c>
      <c r="CJ83" s="365">
        <v>0.5</v>
      </c>
      <c r="CK83" s="366" t="e">
        <f>10/CG81</f>
        <v>#DIV/0!</v>
      </c>
      <c r="CL83" s="367">
        <v>15.38</v>
      </c>
      <c r="CM83" s="367" t="e">
        <f>CJ83*CK83*CL83</f>
        <v>#DIV/0!</v>
      </c>
      <c r="CN83" s="363" t="s">
        <v>153</v>
      </c>
      <c r="CO83" s="363"/>
      <c r="CP83" s="363"/>
      <c r="CQ83" s="364" t="s">
        <v>140</v>
      </c>
      <c r="CR83" s="365">
        <v>0.5</v>
      </c>
      <c r="CS83" s="366" t="e">
        <f>10/CO81</f>
        <v>#DIV/0!</v>
      </c>
      <c r="CT83" s="367">
        <v>15.38</v>
      </c>
      <c r="CU83" s="367" t="e">
        <f>CR83*CS83*CT83</f>
        <v>#DIV/0!</v>
      </c>
      <c r="CV83" s="363" t="s">
        <v>153</v>
      </c>
      <c r="CW83" s="363"/>
      <c r="CX83" s="363"/>
      <c r="CY83" s="364" t="s">
        <v>140</v>
      </c>
      <c r="CZ83" s="365">
        <v>0.5</v>
      </c>
      <c r="DA83" s="366" t="e">
        <f>10/CW81</f>
        <v>#DIV/0!</v>
      </c>
      <c r="DB83" s="367">
        <v>15.38</v>
      </c>
      <c r="DC83" s="367" t="e">
        <f>CZ83*DA83*DB83</f>
        <v>#DIV/0!</v>
      </c>
      <c r="DD83" s="363" t="s">
        <v>153</v>
      </c>
      <c r="DE83" s="363"/>
      <c r="DF83" s="363"/>
      <c r="DG83" s="364" t="s">
        <v>140</v>
      </c>
      <c r="DH83" s="365">
        <v>0.5</v>
      </c>
      <c r="DI83" s="366" t="e">
        <f>10/DE81</f>
        <v>#DIV/0!</v>
      </c>
      <c r="DJ83" s="367">
        <v>15.38</v>
      </c>
      <c r="DK83" s="367" t="e">
        <f>DH83*DI83*DJ83</f>
        <v>#DIV/0!</v>
      </c>
      <c r="DL83" s="363" t="s">
        <v>153</v>
      </c>
      <c r="DM83" s="363"/>
      <c r="DN83" s="363"/>
      <c r="DO83" s="364" t="s">
        <v>140</v>
      </c>
      <c r="DP83" s="365">
        <v>0.5</v>
      </c>
      <c r="DQ83" s="366" t="e">
        <f>10/DM81</f>
        <v>#DIV/0!</v>
      </c>
      <c r="DR83" s="367">
        <v>15.38</v>
      </c>
      <c r="DS83" s="367" t="e">
        <f>DP83*DQ83*DR83</f>
        <v>#DIV/0!</v>
      </c>
      <c r="DT83" s="363" t="s">
        <v>153</v>
      </c>
      <c r="DU83" s="363"/>
      <c r="DV83" s="363"/>
      <c r="DW83" s="364" t="s">
        <v>140</v>
      </c>
      <c r="DX83" s="365">
        <v>0.5</v>
      </c>
      <c r="DY83" s="366" t="e">
        <f>10/DU81</f>
        <v>#DIV/0!</v>
      </c>
      <c r="DZ83" s="367">
        <v>15.38</v>
      </c>
      <c r="EA83" s="367" t="e">
        <f>DX83*DY83*DZ83</f>
        <v>#DIV/0!</v>
      </c>
      <c r="EB83" s="363" t="s">
        <v>153</v>
      </c>
      <c r="EC83" s="363"/>
      <c r="ED83" s="363"/>
      <c r="EE83" s="364" t="s">
        <v>140</v>
      </c>
      <c r="EF83" s="365">
        <v>0.5</v>
      </c>
      <c r="EG83" s="366" t="e">
        <f>10/EC81</f>
        <v>#DIV/0!</v>
      </c>
      <c r="EH83" s="367">
        <v>15.38</v>
      </c>
      <c r="EI83" s="367" t="e">
        <f>EF83*EG83*EH83</f>
        <v>#DIV/0!</v>
      </c>
      <c r="EJ83" s="363" t="s">
        <v>153</v>
      </c>
      <c r="EK83" s="363"/>
      <c r="EL83" s="363"/>
      <c r="EM83" s="364" t="s">
        <v>140</v>
      </c>
      <c r="EN83" s="365">
        <v>0.5</v>
      </c>
      <c r="EO83" s="366" t="e">
        <f>10/EK81</f>
        <v>#DIV/0!</v>
      </c>
      <c r="EP83" s="367">
        <v>15.38</v>
      </c>
      <c r="EQ83" s="367" t="e">
        <f>EN83*EO83*EP83</f>
        <v>#DIV/0!</v>
      </c>
      <c r="ER83" s="363" t="s">
        <v>153</v>
      </c>
      <c r="ES83" s="363"/>
      <c r="ET83" s="363"/>
      <c r="EU83" s="364" t="s">
        <v>140</v>
      </c>
      <c r="EV83" s="365">
        <v>0.5</v>
      </c>
      <c r="EW83" s="366" t="e">
        <f>10/ES81</f>
        <v>#DIV/0!</v>
      </c>
      <c r="EX83" s="367">
        <v>15.38</v>
      </c>
      <c r="EY83" s="367" t="e">
        <f>EV83*EW83*EX83</f>
        <v>#DIV/0!</v>
      </c>
      <c r="EZ83" s="363" t="s">
        <v>153</v>
      </c>
      <c r="FA83" s="363"/>
      <c r="FB83" s="363"/>
      <c r="FC83" s="364" t="s">
        <v>140</v>
      </c>
      <c r="FD83" s="365">
        <v>0.5</v>
      </c>
      <c r="FE83" s="366" t="e">
        <f>10/FA81</f>
        <v>#DIV/0!</v>
      </c>
      <c r="FF83" s="367">
        <v>15.38</v>
      </c>
      <c r="FG83" s="367" t="e">
        <f>FD83*FE83*FF83</f>
        <v>#DIV/0!</v>
      </c>
      <c r="FH83" s="363" t="s">
        <v>153</v>
      </c>
      <c r="FI83" s="363"/>
      <c r="FJ83" s="363"/>
      <c r="FK83" s="364" t="s">
        <v>140</v>
      </c>
      <c r="FL83" s="365">
        <v>0.5</v>
      </c>
      <c r="FM83" s="366" t="e">
        <f>10/FI81</f>
        <v>#DIV/0!</v>
      </c>
      <c r="FN83" s="367">
        <v>15.38</v>
      </c>
      <c r="FO83" s="367" t="e">
        <f>FL83*FM83*FN83</f>
        <v>#DIV/0!</v>
      </c>
      <c r="FP83" s="363" t="s">
        <v>153</v>
      </c>
      <c r="FQ83" s="363"/>
      <c r="FR83" s="363"/>
      <c r="FS83" s="364" t="s">
        <v>140</v>
      </c>
      <c r="FT83" s="365">
        <v>0.5</v>
      </c>
      <c r="FU83" s="366" t="e">
        <f>10/FQ81</f>
        <v>#DIV/0!</v>
      </c>
      <c r="FV83" s="367">
        <v>15.38</v>
      </c>
      <c r="FW83" s="367" t="e">
        <f>FT83*FU83*FV83</f>
        <v>#DIV/0!</v>
      </c>
      <c r="FX83" s="363" t="s">
        <v>153</v>
      </c>
      <c r="FY83" s="363"/>
      <c r="FZ83" s="363"/>
      <c r="GA83" s="364" t="s">
        <v>140</v>
      </c>
      <c r="GB83" s="365">
        <v>0.5</v>
      </c>
      <c r="GC83" s="366" t="e">
        <f>10/FY81</f>
        <v>#DIV/0!</v>
      </c>
      <c r="GD83" s="367">
        <v>15.38</v>
      </c>
      <c r="GE83" s="367" t="e">
        <f>GB83*GC83*GD83</f>
        <v>#DIV/0!</v>
      </c>
      <c r="GF83" s="363" t="s">
        <v>153</v>
      </c>
      <c r="GG83" s="363"/>
      <c r="GH83" s="363"/>
      <c r="GI83" s="364" t="s">
        <v>140</v>
      </c>
      <c r="GJ83" s="365">
        <v>0.5</v>
      </c>
      <c r="GK83" s="366" t="e">
        <f>10/GG81</f>
        <v>#DIV/0!</v>
      </c>
      <c r="GL83" s="367">
        <v>15.38</v>
      </c>
      <c r="GM83" s="367" t="e">
        <f>GJ83*GK83*GL83</f>
        <v>#DIV/0!</v>
      </c>
      <c r="GN83" s="363" t="s">
        <v>153</v>
      </c>
      <c r="GO83" s="363"/>
      <c r="GP83" s="363"/>
      <c r="GQ83" s="364" t="s">
        <v>140</v>
      </c>
      <c r="GR83" s="365">
        <v>0.5</v>
      </c>
      <c r="GS83" s="366" t="e">
        <f>10/GO81</f>
        <v>#DIV/0!</v>
      </c>
      <c r="GT83" s="367">
        <v>15.38</v>
      </c>
      <c r="GU83" s="367" t="e">
        <f>GR83*GS83*GT83</f>
        <v>#DIV/0!</v>
      </c>
      <c r="GV83" s="363" t="s">
        <v>153</v>
      </c>
      <c r="GW83" s="363"/>
      <c r="GX83" s="363"/>
      <c r="GY83" s="364" t="s">
        <v>140</v>
      </c>
      <c r="GZ83" s="365">
        <v>0.5</v>
      </c>
      <c r="HA83" s="366" t="e">
        <f>10/GW81</f>
        <v>#DIV/0!</v>
      </c>
      <c r="HB83" s="367">
        <v>15.38</v>
      </c>
      <c r="HC83" s="367" t="e">
        <f>GZ83*HA83*HB83</f>
        <v>#DIV/0!</v>
      </c>
      <c r="HD83" s="363" t="s">
        <v>153</v>
      </c>
      <c r="HE83" s="363"/>
      <c r="HF83" s="363"/>
      <c r="HG83" s="364" t="s">
        <v>140</v>
      </c>
      <c r="HH83" s="365">
        <v>0.5</v>
      </c>
      <c r="HI83" s="366" t="e">
        <f>10/HE81</f>
        <v>#DIV/0!</v>
      </c>
      <c r="HJ83" s="367">
        <v>15.38</v>
      </c>
      <c r="HK83" s="367" t="e">
        <f>HH83*HI83*HJ83</f>
        <v>#DIV/0!</v>
      </c>
      <c r="HL83" s="363" t="s">
        <v>153</v>
      </c>
      <c r="HM83" s="363"/>
      <c r="HN83" s="363"/>
      <c r="HO83" s="364" t="s">
        <v>140</v>
      </c>
      <c r="HP83" s="365">
        <v>0.5</v>
      </c>
      <c r="HQ83" s="366" t="e">
        <f>10/HM81</f>
        <v>#DIV/0!</v>
      </c>
      <c r="HR83" s="367">
        <v>15.38</v>
      </c>
      <c r="HS83" s="367" t="e">
        <f>HP83*HQ83*HR83</f>
        <v>#DIV/0!</v>
      </c>
      <c r="HT83" s="363" t="s">
        <v>153</v>
      </c>
      <c r="HU83" s="363"/>
      <c r="HV83" s="363"/>
      <c r="HW83" s="364" t="s">
        <v>140</v>
      </c>
      <c r="HX83" s="365">
        <v>0.5</v>
      </c>
      <c r="HY83" s="366" t="e">
        <f>10/HU81</f>
        <v>#DIV/0!</v>
      </c>
      <c r="HZ83" s="367">
        <v>15.38</v>
      </c>
      <c r="IA83" s="367" t="e">
        <f>HX83*HY83*HZ83</f>
        <v>#DIV/0!</v>
      </c>
      <c r="IB83" s="363" t="s">
        <v>153</v>
      </c>
      <c r="IC83" s="363"/>
      <c r="ID83" s="363"/>
      <c r="IE83" s="364" t="s">
        <v>140</v>
      </c>
      <c r="IF83" s="365">
        <v>0.5</v>
      </c>
      <c r="IG83" s="366" t="e">
        <f>10/IC81</f>
        <v>#DIV/0!</v>
      </c>
      <c r="IH83" s="367">
        <v>15.38</v>
      </c>
      <c r="II83" s="367" t="e">
        <f>IF83*IG83*IH83</f>
        <v>#DIV/0!</v>
      </c>
      <c r="IJ83" s="363" t="s">
        <v>153</v>
      </c>
      <c r="IK83" s="363"/>
      <c r="IL83" s="363"/>
      <c r="IM83" s="364" t="s">
        <v>140</v>
      </c>
      <c r="IN83" s="365">
        <v>0.5</v>
      </c>
      <c r="IO83" s="366" t="e">
        <f>10/IK81</f>
        <v>#DIV/0!</v>
      </c>
      <c r="IP83" s="367">
        <v>15.38</v>
      </c>
      <c r="IQ83" s="367" t="e">
        <f>IN83*IO83*IP83</f>
        <v>#DIV/0!</v>
      </c>
      <c r="IR83" s="363" t="s">
        <v>153</v>
      </c>
      <c r="IS83" s="363"/>
      <c r="IT83" s="363"/>
      <c r="IU83" s="364" t="s">
        <v>140</v>
      </c>
      <c r="IV83" s="365">
        <v>0.5</v>
      </c>
      <c r="IW83" s="366" t="e">
        <f>10/IS81</f>
        <v>#DIV/0!</v>
      </c>
      <c r="IX83" s="367">
        <v>15.38</v>
      </c>
      <c r="IY83" s="367" t="e">
        <f>IV83*IW83*IX83</f>
        <v>#DIV/0!</v>
      </c>
      <c r="IZ83" s="363" t="s">
        <v>153</v>
      </c>
      <c r="JA83" s="363"/>
      <c r="JB83" s="363"/>
      <c r="JC83" s="364" t="s">
        <v>140</v>
      </c>
      <c r="JD83" s="365">
        <v>0.5</v>
      </c>
      <c r="JE83" s="366" t="e">
        <f>10/JA81</f>
        <v>#DIV/0!</v>
      </c>
      <c r="JF83" s="367">
        <v>15.38</v>
      </c>
      <c r="JG83" s="367" t="e">
        <f>JD83*JE83*JF83</f>
        <v>#DIV/0!</v>
      </c>
      <c r="JH83" s="363" t="s">
        <v>153</v>
      </c>
      <c r="JI83" s="363"/>
      <c r="JJ83" s="363"/>
      <c r="JK83" s="364" t="s">
        <v>140</v>
      </c>
      <c r="JL83" s="365">
        <v>0.5</v>
      </c>
      <c r="JM83" s="366" t="e">
        <f>10/JI81</f>
        <v>#DIV/0!</v>
      </c>
      <c r="JN83" s="367">
        <v>15.38</v>
      </c>
      <c r="JO83" s="367" t="e">
        <f>JL83*JM83*JN83</f>
        <v>#DIV/0!</v>
      </c>
      <c r="JP83" s="363" t="s">
        <v>153</v>
      </c>
      <c r="JQ83" s="363"/>
      <c r="JR83" s="363"/>
      <c r="JS83" s="364" t="s">
        <v>140</v>
      </c>
      <c r="JT83" s="365">
        <v>0.5</v>
      </c>
      <c r="JU83" s="366" t="e">
        <f>10/JQ81</f>
        <v>#DIV/0!</v>
      </c>
      <c r="JV83" s="367">
        <v>15.38</v>
      </c>
      <c r="JW83" s="367" t="e">
        <f>JT83*JU83*JV83</f>
        <v>#DIV/0!</v>
      </c>
      <c r="JX83" s="363" t="s">
        <v>153</v>
      </c>
      <c r="JY83" s="363"/>
      <c r="JZ83" s="363"/>
      <c r="KA83" s="364" t="s">
        <v>140</v>
      </c>
      <c r="KB83" s="365">
        <v>0.5</v>
      </c>
      <c r="KC83" s="366" t="e">
        <f>10/JY81</f>
        <v>#DIV/0!</v>
      </c>
      <c r="KD83" s="367">
        <v>15.38</v>
      </c>
      <c r="KE83" s="367" t="e">
        <f>KB83*KC83*KD83</f>
        <v>#DIV/0!</v>
      </c>
      <c r="KF83" s="363" t="s">
        <v>153</v>
      </c>
      <c r="KG83" s="363"/>
      <c r="KH83" s="363"/>
      <c r="KI83" s="364" t="s">
        <v>140</v>
      </c>
      <c r="KJ83" s="365">
        <v>0.5</v>
      </c>
      <c r="KK83" s="366" t="e">
        <f>10/KG81</f>
        <v>#DIV/0!</v>
      </c>
      <c r="KL83" s="367">
        <v>15.38</v>
      </c>
      <c r="KM83" s="367" t="e">
        <f>KJ83*KK83*KL83</f>
        <v>#DIV/0!</v>
      </c>
      <c r="KN83" s="363" t="s">
        <v>153</v>
      </c>
      <c r="KO83" s="363"/>
      <c r="KP83" s="363"/>
      <c r="KQ83" s="364" t="s">
        <v>140</v>
      </c>
      <c r="KR83" s="365">
        <v>0.5</v>
      </c>
      <c r="KS83" s="366" t="e">
        <f>10/KO81</f>
        <v>#DIV/0!</v>
      </c>
      <c r="KT83" s="367">
        <v>15.38</v>
      </c>
      <c r="KU83" s="367" t="e">
        <f>KR83*KS83*KT83</f>
        <v>#DIV/0!</v>
      </c>
      <c r="KV83" s="363" t="s">
        <v>153</v>
      </c>
      <c r="KW83" s="363"/>
      <c r="KX83" s="363"/>
      <c r="KY83" s="364" t="s">
        <v>140</v>
      </c>
      <c r="KZ83" s="365">
        <v>0.5</v>
      </c>
      <c r="LA83" s="366" t="e">
        <f>10/KW81</f>
        <v>#DIV/0!</v>
      </c>
      <c r="LB83" s="367">
        <v>15.38</v>
      </c>
      <c r="LC83" s="367" t="e">
        <f>KZ83*LA83*LB83</f>
        <v>#DIV/0!</v>
      </c>
      <c r="LD83" s="363" t="s">
        <v>153</v>
      </c>
      <c r="LE83" s="363"/>
      <c r="LF83" s="363"/>
      <c r="LG83" s="364" t="s">
        <v>140</v>
      </c>
      <c r="LH83" s="365">
        <v>0.5</v>
      </c>
      <c r="LI83" s="366" t="e">
        <f>10/LE81</f>
        <v>#DIV/0!</v>
      </c>
      <c r="LJ83" s="367">
        <v>15.38</v>
      </c>
      <c r="LK83" s="367" t="e">
        <f>LH83*LI83*LJ83</f>
        <v>#DIV/0!</v>
      </c>
      <c r="LL83" s="363" t="s">
        <v>153</v>
      </c>
      <c r="LM83" s="363"/>
      <c r="LN83" s="363"/>
      <c r="LO83" s="364" t="s">
        <v>140</v>
      </c>
      <c r="LP83" s="365">
        <v>0.5</v>
      </c>
      <c r="LQ83" s="366" t="e">
        <f>10/LM81</f>
        <v>#DIV/0!</v>
      </c>
      <c r="LR83" s="367">
        <v>15.38</v>
      </c>
      <c r="LS83" s="367" t="e">
        <f>LP83*LQ83*LR83</f>
        <v>#DIV/0!</v>
      </c>
      <c r="LT83" s="363" t="s">
        <v>153</v>
      </c>
      <c r="LU83" s="363"/>
      <c r="LV83" s="363"/>
      <c r="LW83" s="364" t="s">
        <v>140</v>
      </c>
      <c r="LX83" s="365">
        <v>0.5</v>
      </c>
      <c r="LY83" s="366" t="e">
        <f>10/LU81</f>
        <v>#DIV/0!</v>
      </c>
      <c r="LZ83" s="367">
        <v>15.38</v>
      </c>
      <c r="MA83" s="367" t="e">
        <f>LX83*LY83*LZ83</f>
        <v>#DIV/0!</v>
      </c>
      <c r="MB83" s="363" t="s">
        <v>153</v>
      </c>
      <c r="MC83" s="363"/>
      <c r="MD83" s="363"/>
      <c r="ME83" s="364" t="s">
        <v>140</v>
      </c>
      <c r="MF83" s="365">
        <v>0.5</v>
      </c>
      <c r="MG83" s="366" t="e">
        <f>10/MC81</f>
        <v>#DIV/0!</v>
      </c>
      <c r="MH83" s="367">
        <v>15.38</v>
      </c>
      <c r="MI83" s="367" t="e">
        <f>MF83*MG83*MH83</f>
        <v>#DIV/0!</v>
      </c>
      <c r="MJ83" s="363" t="s">
        <v>153</v>
      </c>
      <c r="MK83" s="363"/>
      <c r="ML83" s="363"/>
      <c r="MM83" s="364" t="s">
        <v>140</v>
      </c>
      <c r="MN83" s="365">
        <v>0.5</v>
      </c>
      <c r="MO83" s="366" t="e">
        <f>10/MK81</f>
        <v>#DIV/0!</v>
      </c>
      <c r="MP83" s="367">
        <v>15.38</v>
      </c>
      <c r="MQ83" s="367" t="e">
        <f>MN83*MO83*MP83</f>
        <v>#DIV/0!</v>
      </c>
      <c r="MR83" s="363" t="s">
        <v>153</v>
      </c>
      <c r="MS83" s="363"/>
      <c r="MT83" s="363"/>
      <c r="MU83" s="364" t="s">
        <v>140</v>
      </c>
      <c r="MV83" s="365">
        <v>0.5</v>
      </c>
      <c r="MW83" s="366" t="e">
        <f>10/MS81</f>
        <v>#DIV/0!</v>
      </c>
      <c r="MX83" s="367">
        <v>15.38</v>
      </c>
      <c r="MY83" s="367" t="e">
        <f>MV83*MW83*MX83</f>
        <v>#DIV/0!</v>
      </c>
      <c r="MZ83" s="363" t="s">
        <v>153</v>
      </c>
      <c r="NA83" s="363"/>
      <c r="NB83" s="363"/>
      <c r="NC83" s="364" t="s">
        <v>140</v>
      </c>
      <c r="ND83" s="365">
        <v>0.5</v>
      </c>
      <c r="NE83" s="366" t="e">
        <f>10/NA81</f>
        <v>#DIV/0!</v>
      </c>
      <c r="NF83" s="367">
        <v>15.38</v>
      </c>
      <c r="NG83" s="367" t="e">
        <f>ND83*NE83*NF83</f>
        <v>#DIV/0!</v>
      </c>
      <c r="NH83" s="363" t="s">
        <v>153</v>
      </c>
      <c r="NI83" s="363"/>
      <c r="NJ83" s="363"/>
      <c r="NK83" s="364" t="s">
        <v>140</v>
      </c>
      <c r="NL83" s="365">
        <v>0.5</v>
      </c>
      <c r="NM83" s="366" t="e">
        <f>10/NI81</f>
        <v>#DIV/0!</v>
      </c>
      <c r="NN83" s="367">
        <v>15.38</v>
      </c>
      <c r="NO83" s="367" t="e">
        <f>NL83*NM83*NN83</f>
        <v>#DIV/0!</v>
      </c>
      <c r="NP83" s="363" t="s">
        <v>153</v>
      </c>
      <c r="NQ83" s="363"/>
      <c r="NR83" s="363"/>
      <c r="NS83" s="364" t="s">
        <v>140</v>
      </c>
      <c r="NT83" s="365">
        <v>0.5</v>
      </c>
      <c r="NU83" s="366" t="e">
        <f>10/NQ81</f>
        <v>#DIV/0!</v>
      </c>
      <c r="NV83" s="367">
        <v>15.38</v>
      </c>
      <c r="NW83" s="367" t="e">
        <f>NT83*NU83*NV83</f>
        <v>#DIV/0!</v>
      </c>
      <c r="NX83" s="363" t="s">
        <v>153</v>
      </c>
      <c r="NY83" s="363"/>
      <c r="NZ83" s="363"/>
      <c r="OA83" s="364" t="s">
        <v>140</v>
      </c>
      <c r="OB83" s="365">
        <v>0.5</v>
      </c>
      <c r="OC83" s="366" t="e">
        <f>10/NY81</f>
        <v>#DIV/0!</v>
      </c>
      <c r="OD83" s="367">
        <v>15.38</v>
      </c>
      <c r="OE83" s="367" t="e">
        <f>OB83*OC83*OD83</f>
        <v>#DIV/0!</v>
      </c>
      <c r="OF83" s="363" t="s">
        <v>153</v>
      </c>
      <c r="OG83" s="363"/>
      <c r="OH83" s="363"/>
      <c r="OI83" s="364" t="s">
        <v>140</v>
      </c>
      <c r="OJ83" s="365">
        <v>0.5</v>
      </c>
      <c r="OK83" s="366" t="e">
        <f>10/OG81</f>
        <v>#DIV/0!</v>
      </c>
      <c r="OL83" s="367">
        <v>15.38</v>
      </c>
      <c r="OM83" s="367" t="e">
        <f>OJ83*OK83*OL83</f>
        <v>#DIV/0!</v>
      </c>
      <c r="ON83" s="363" t="s">
        <v>153</v>
      </c>
      <c r="OO83" s="363"/>
      <c r="OP83" s="363"/>
      <c r="OQ83" s="364" t="s">
        <v>140</v>
      </c>
      <c r="OR83" s="365">
        <v>0.5</v>
      </c>
      <c r="OS83" s="366" t="e">
        <f>10/OO81</f>
        <v>#DIV/0!</v>
      </c>
      <c r="OT83" s="367">
        <v>15.38</v>
      </c>
      <c r="OU83" s="367" t="e">
        <f>OR83*OS83*OT83</f>
        <v>#DIV/0!</v>
      </c>
      <c r="OV83" s="363" t="s">
        <v>153</v>
      </c>
      <c r="OW83" s="363"/>
      <c r="OX83" s="363"/>
      <c r="OY83" s="364" t="s">
        <v>140</v>
      </c>
      <c r="OZ83" s="365">
        <v>0.5</v>
      </c>
      <c r="PA83" s="366" t="e">
        <f>10/OW81</f>
        <v>#DIV/0!</v>
      </c>
      <c r="PB83" s="367">
        <v>15.38</v>
      </c>
      <c r="PC83" s="367" t="e">
        <f>OZ83*PA83*PB83</f>
        <v>#DIV/0!</v>
      </c>
      <c r="PD83" s="363" t="s">
        <v>153</v>
      </c>
      <c r="PE83" s="363"/>
      <c r="PF83" s="363"/>
      <c r="PG83" s="364" t="s">
        <v>140</v>
      </c>
      <c r="PH83" s="365">
        <v>0.5</v>
      </c>
      <c r="PI83" s="366" t="e">
        <f>10/PE81</f>
        <v>#DIV/0!</v>
      </c>
      <c r="PJ83" s="367">
        <v>15.38</v>
      </c>
      <c r="PK83" s="367" t="e">
        <f>PH83*PI83*PJ83</f>
        <v>#DIV/0!</v>
      </c>
      <c r="PL83" s="363" t="s">
        <v>153</v>
      </c>
      <c r="PM83" s="363"/>
      <c r="PN83" s="363"/>
      <c r="PO83" s="364" t="s">
        <v>140</v>
      </c>
      <c r="PP83" s="365">
        <v>0.5</v>
      </c>
      <c r="PQ83" s="366" t="e">
        <f>10/PM81</f>
        <v>#DIV/0!</v>
      </c>
      <c r="PR83" s="367">
        <v>15.38</v>
      </c>
      <c r="PS83" s="367" t="e">
        <f>PP83*PQ83*PR83</f>
        <v>#DIV/0!</v>
      </c>
      <c r="PT83" s="363" t="s">
        <v>153</v>
      </c>
      <c r="PU83" s="363"/>
      <c r="PV83" s="363"/>
      <c r="PW83" s="364" t="s">
        <v>140</v>
      </c>
      <c r="PX83" s="365">
        <v>0.5</v>
      </c>
      <c r="PY83" s="366" t="e">
        <f>10/PU81</f>
        <v>#DIV/0!</v>
      </c>
      <c r="PZ83" s="367">
        <v>15.38</v>
      </c>
      <c r="QA83" s="367" t="e">
        <f>PX83*PY83*PZ83</f>
        <v>#DIV/0!</v>
      </c>
      <c r="QB83" s="363" t="s">
        <v>153</v>
      </c>
      <c r="QC83" s="363"/>
      <c r="QD83" s="363"/>
      <c r="QE83" s="364" t="s">
        <v>140</v>
      </c>
      <c r="QF83" s="365">
        <v>0.5</v>
      </c>
      <c r="QG83" s="366" t="e">
        <f>10/QC81</f>
        <v>#DIV/0!</v>
      </c>
      <c r="QH83" s="367">
        <v>15.38</v>
      </c>
      <c r="QI83" s="367" t="e">
        <f>QF83*QG83*QH83</f>
        <v>#DIV/0!</v>
      </c>
      <c r="QJ83" s="363" t="s">
        <v>153</v>
      </c>
      <c r="QK83" s="363"/>
      <c r="QL83" s="363"/>
      <c r="QM83" s="364" t="s">
        <v>140</v>
      </c>
      <c r="QN83" s="365">
        <v>0.5</v>
      </c>
      <c r="QO83" s="366" t="e">
        <f>10/QK81</f>
        <v>#DIV/0!</v>
      </c>
      <c r="QP83" s="367">
        <v>15.38</v>
      </c>
      <c r="QQ83" s="367" t="e">
        <f>QN83*QO83*QP83</f>
        <v>#DIV/0!</v>
      </c>
      <c r="QR83" s="363" t="s">
        <v>153</v>
      </c>
      <c r="QS83" s="363"/>
      <c r="QT83" s="363"/>
      <c r="QU83" s="364" t="s">
        <v>140</v>
      </c>
      <c r="QV83" s="365">
        <v>0.5</v>
      </c>
      <c r="QW83" s="366" t="e">
        <f>10/QS81</f>
        <v>#DIV/0!</v>
      </c>
      <c r="QX83" s="367">
        <v>15.38</v>
      </c>
      <c r="QY83" s="367" t="e">
        <f>QV83*QW83*QX83</f>
        <v>#DIV/0!</v>
      </c>
      <c r="QZ83" s="363" t="s">
        <v>153</v>
      </c>
      <c r="RA83" s="363"/>
      <c r="RB83" s="363"/>
      <c r="RC83" s="364" t="s">
        <v>140</v>
      </c>
      <c r="RD83" s="365">
        <v>0.5</v>
      </c>
      <c r="RE83" s="366" t="e">
        <f>10/RA81</f>
        <v>#DIV/0!</v>
      </c>
      <c r="RF83" s="367">
        <v>15.38</v>
      </c>
      <c r="RG83" s="367" t="e">
        <f>RD83*RE83*RF83</f>
        <v>#DIV/0!</v>
      </c>
      <c r="RH83" s="363" t="s">
        <v>153</v>
      </c>
      <c r="RI83" s="363"/>
      <c r="RJ83" s="363"/>
      <c r="RK83" s="364" t="s">
        <v>140</v>
      </c>
      <c r="RL83" s="365">
        <v>0.5</v>
      </c>
      <c r="RM83" s="366" t="e">
        <f>10/RI81</f>
        <v>#DIV/0!</v>
      </c>
      <c r="RN83" s="367">
        <v>15.38</v>
      </c>
      <c r="RO83" s="367" t="e">
        <f>RL83*RM83*RN83</f>
        <v>#DIV/0!</v>
      </c>
      <c r="RP83" s="363" t="s">
        <v>153</v>
      </c>
      <c r="RQ83" s="363"/>
      <c r="RR83" s="363"/>
      <c r="RS83" s="364" t="s">
        <v>140</v>
      </c>
      <c r="RT83" s="365">
        <v>0.5</v>
      </c>
      <c r="RU83" s="366" t="e">
        <f>10/RQ81</f>
        <v>#DIV/0!</v>
      </c>
      <c r="RV83" s="367">
        <v>15.38</v>
      </c>
      <c r="RW83" s="367" t="e">
        <f>RT83*RU83*RV83</f>
        <v>#DIV/0!</v>
      </c>
      <c r="RX83" s="363" t="s">
        <v>153</v>
      </c>
      <c r="RY83" s="363"/>
      <c r="RZ83" s="363"/>
      <c r="SA83" s="364" t="s">
        <v>140</v>
      </c>
      <c r="SB83" s="365">
        <v>0.5</v>
      </c>
      <c r="SC83" s="366" t="e">
        <f>10/RY81</f>
        <v>#DIV/0!</v>
      </c>
      <c r="SD83" s="367">
        <v>15.38</v>
      </c>
      <c r="SE83" s="367" t="e">
        <f>SB83*SC83*SD83</f>
        <v>#DIV/0!</v>
      </c>
      <c r="SF83" s="363" t="s">
        <v>153</v>
      </c>
      <c r="SG83" s="363"/>
      <c r="SH83" s="363"/>
      <c r="SI83" s="364" t="s">
        <v>140</v>
      </c>
      <c r="SJ83" s="365">
        <v>0.5</v>
      </c>
      <c r="SK83" s="366" t="e">
        <f>10/SG81</f>
        <v>#DIV/0!</v>
      </c>
      <c r="SL83" s="367">
        <v>15.38</v>
      </c>
      <c r="SM83" s="367" t="e">
        <f>SJ83*SK83*SL83</f>
        <v>#DIV/0!</v>
      </c>
      <c r="SN83" s="363" t="s">
        <v>153</v>
      </c>
      <c r="SO83" s="363"/>
      <c r="SP83" s="363"/>
      <c r="SQ83" s="364" t="s">
        <v>140</v>
      </c>
      <c r="SR83" s="365">
        <v>0.5</v>
      </c>
      <c r="SS83" s="366" t="e">
        <f>10/SO81</f>
        <v>#DIV/0!</v>
      </c>
      <c r="ST83" s="367">
        <v>15.38</v>
      </c>
      <c r="SU83" s="367" t="e">
        <f>SR83*SS83*ST83</f>
        <v>#DIV/0!</v>
      </c>
      <c r="SV83" s="363" t="s">
        <v>153</v>
      </c>
      <c r="SW83" s="363"/>
      <c r="SX83" s="363"/>
      <c r="SY83" s="364" t="s">
        <v>140</v>
      </c>
      <c r="SZ83" s="365">
        <v>0.5</v>
      </c>
      <c r="TA83" s="366" t="e">
        <f>10/SW81</f>
        <v>#DIV/0!</v>
      </c>
      <c r="TB83" s="367">
        <v>15.38</v>
      </c>
      <c r="TC83" s="367" t="e">
        <f>SZ83*TA83*TB83</f>
        <v>#DIV/0!</v>
      </c>
      <c r="TD83" s="363" t="s">
        <v>153</v>
      </c>
      <c r="TE83" s="363"/>
      <c r="TF83" s="363"/>
      <c r="TG83" s="364" t="s">
        <v>140</v>
      </c>
      <c r="TH83" s="365">
        <v>0.5</v>
      </c>
      <c r="TI83" s="366" t="e">
        <f>10/TE81</f>
        <v>#DIV/0!</v>
      </c>
      <c r="TJ83" s="367">
        <v>15.38</v>
      </c>
      <c r="TK83" s="367" t="e">
        <f>TH83*TI83*TJ83</f>
        <v>#DIV/0!</v>
      </c>
      <c r="TL83" s="363" t="s">
        <v>153</v>
      </c>
      <c r="TM83" s="363"/>
      <c r="TN83" s="363"/>
      <c r="TO83" s="364" t="s">
        <v>140</v>
      </c>
      <c r="TP83" s="365">
        <v>0.5</v>
      </c>
      <c r="TQ83" s="366" t="e">
        <f>10/TM81</f>
        <v>#DIV/0!</v>
      </c>
      <c r="TR83" s="367">
        <v>15.38</v>
      </c>
      <c r="TS83" s="367" t="e">
        <f>TP83*TQ83*TR83</f>
        <v>#DIV/0!</v>
      </c>
      <c r="TT83" s="363" t="s">
        <v>153</v>
      </c>
      <c r="TU83" s="363"/>
      <c r="TV83" s="363"/>
      <c r="TW83" s="364" t="s">
        <v>140</v>
      </c>
      <c r="TX83" s="365">
        <v>0.5</v>
      </c>
      <c r="TY83" s="366" t="e">
        <f>10/TU81</f>
        <v>#DIV/0!</v>
      </c>
      <c r="TZ83" s="367">
        <v>15.38</v>
      </c>
      <c r="UA83" s="367" t="e">
        <f>TX83*TY83*TZ83</f>
        <v>#DIV/0!</v>
      </c>
      <c r="UB83" s="363" t="s">
        <v>153</v>
      </c>
      <c r="UC83" s="363"/>
      <c r="UD83" s="363"/>
      <c r="UE83" s="364" t="s">
        <v>140</v>
      </c>
      <c r="UF83" s="365">
        <v>0.5</v>
      </c>
      <c r="UG83" s="366" t="e">
        <f>10/UC81</f>
        <v>#DIV/0!</v>
      </c>
      <c r="UH83" s="367">
        <v>15.38</v>
      </c>
      <c r="UI83" s="367" t="e">
        <f>UF83*UG83*UH83</f>
        <v>#DIV/0!</v>
      </c>
      <c r="UJ83" s="363" t="s">
        <v>153</v>
      </c>
      <c r="UK83" s="363"/>
      <c r="UL83" s="363"/>
      <c r="UM83" s="364" t="s">
        <v>140</v>
      </c>
      <c r="UN83" s="365">
        <v>0.5</v>
      </c>
      <c r="UO83" s="366" t="e">
        <f>10/UK81</f>
        <v>#DIV/0!</v>
      </c>
      <c r="UP83" s="367">
        <v>15.38</v>
      </c>
      <c r="UQ83" s="367" t="e">
        <f>UN83*UO83*UP83</f>
        <v>#DIV/0!</v>
      </c>
      <c r="UR83" s="363" t="s">
        <v>153</v>
      </c>
      <c r="US83" s="363"/>
      <c r="UT83" s="363"/>
      <c r="UU83" s="364" t="s">
        <v>140</v>
      </c>
      <c r="UV83" s="365">
        <v>0.5</v>
      </c>
      <c r="UW83" s="366" t="e">
        <f>10/US81</f>
        <v>#DIV/0!</v>
      </c>
      <c r="UX83" s="367">
        <v>15.38</v>
      </c>
      <c r="UY83" s="367" t="e">
        <f>UV83*UW83*UX83</f>
        <v>#DIV/0!</v>
      </c>
      <c r="UZ83" s="363" t="s">
        <v>153</v>
      </c>
      <c r="VA83" s="363"/>
      <c r="VB83" s="363"/>
      <c r="VC83" s="364" t="s">
        <v>140</v>
      </c>
      <c r="VD83" s="365">
        <v>0.5</v>
      </c>
      <c r="VE83" s="366" t="e">
        <f>10/VA81</f>
        <v>#DIV/0!</v>
      </c>
      <c r="VF83" s="367">
        <v>15.38</v>
      </c>
      <c r="VG83" s="367" t="e">
        <f>VD83*VE83*VF83</f>
        <v>#DIV/0!</v>
      </c>
      <c r="VH83" s="363" t="s">
        <v>153</v>
      </c>
      <c r="VI83" s="363"/>
      <c r="VJ83" s="363"/>
      <c r="VK83" s="364" t="s">
        <v>140</v>
      </c>
      <c r="VL83" s="365">
        <v>0.5</v>
      </c>
      <c r="VM83" s="366" t="e">
        <f>10/VI81</f>
        <v>#DIV/0!</v>
      </c>
      <c r="VN83" s="367">
        <v>15.38</v>
      </c>
      <c r="VO83" s="367" t="e">
        <f>VL83*VM83*VN83</f>
        <v>#DIV/0!</v>
      </c>
      <c r="VP83" s="363" t="s">
        <v>153</v>
      </c>
      <c r="VQ83" s="363"/>
      <c r="VR83" s="363"/>
      <c r="VS83" s="364" t="s">
        <v>140</v>
      </c>
      <c r="VT83" s="365">
        <v>0.5</v>
      </c>
      <c r="VU83" s="366" t="e">
        <f>10/VQ81</f>
        <v>#DIV/0!</v>
      </c>
      <c r="VV83" s="367">
        <v>15.38</v>
      </c>
      <c r="VW83" s="367" t="e">
        <f>VT83*VU83*VV83</f>
        <v>#DIV/0!</v>
      </c>
      <c r="VX83" s="363" t="s">
        <v>153</v>
      </c>
      <c r="VY83" s="363"/>
      <c r="VZ83" s="363"/>
      <c r="WA83" s="364" t="s">
        <v>140</v>
      </c>
      <c r="WB83" s="365">
        <v>0.5</v>
      </c>
      <c r="WC83" s="366" t="e">
        <f>10/VY81</f>
        <v>#DIV/0!</v>
      </c>
      <c r="WD83" s="367">
        <v>15.38</v>
      </c>
      <c r="WE83" s="367" t="e">
        <f>WB83*WC83*WD83</f>
        <v>#DIV/0!</v>
      </c>
      <c r="WF83" s="363" t="s">
        <v>153</v>
      </c>
      <c r="WG83" s="363"/>
      <c r="WH83" s="363"/>
      <c r="WI83" s="364" t="s">
        <v>140</v>
      </c>
      <c r="WJ83" s="365">
        <v>0.5</v>
      </c>
      <c r="WK83" s="366" t="e">
        <f>10/WG81</f>
        <v>#DIV/0!</v>
      </c>
      <c r="WL83" s="367">
        <v>15.38</v>
      </c>
      <c r="WM83" s="367" t="e">
        <f>WJ83*WK83*WL83</f>
        <v>#DIV/0!</v>
      </c>
      <c r="WN83" s="363" t="s">
        <v>153</v>
      </c>
      <c r="WO83" s="363"/>
      <c r="WP83" s="363"/>
      <c r="WQ83" s="364" t="s">
        <v>140</v>
      </c>
      <c r="WR83" s="365">
        <v>0.5</v>
      </c>
      <c r="WS83" s="366" t="e">
        <f>10/WO81</f>
        <v>#DIV/0!</v>
      </c>
      <c r="WT83" s="367">
        <v>15.38</v>
      </c>
      <c r="WU83" s="367" t="e">
        <f>WR83*WS83*WT83</f>
        <v>#DIV/0!</v>
      </c>
      <c r="WV83" s="363" t="s">
        <v>153</v>
      </c>
      <c r="WW83" s="363"/>
      <c r="WX83" s="363"/>
      <c r="WY83" s="364" t="s">
        <v>140</v>
      </c>
      <c r="WZ83" s="365">
        <v>0.5</v>
      </c>
      <c r="XA83" s="366" t="e">
        <f>10/WW81</f>
        <v>#DIV/0!</v>
      </c>
      <c r="XB83" s="367">
        <v>15.38</v>
      </c>
      <c r="XC83" s="367" t="e">
        <f>WZ83*XA83*XB83</f>
        <v>#DIV/0!</v>
      </c>
      <c r="XD83" s="363" t="s">
        <v>153</v>
      </c>
      <c r="XE83" s="363"/>
      <c r="XF83" s="363"/>
      <c r="XG83" s="364" t="s">
        <v>140</v>
      </c>
      <c r="XH83" s="365">
        <v>0.5</v>
      </c>
      <c r="XI83" s="366" t="e">
        <f>10/XE81</f>
        <v>#DIV/0!</v>
      </c>
      <c r="XJ83" s="367">
        <v>15.38</v>
      </c>
      <c r="XK83" s="367" t="e">
        <f>XH83*XI83*XJ83</f>
        <v>#DIV/0!</v>
      </c>
      <c r="XL83" s="363" t="s">
        <v>153</v>
      </c>
      <c r="XM83" s="363"/>
      <c r="XN83" s="363"/>
      <c r="XO83" s="364" t="s">
        <v>140</v>
      </c>
      <c r="XP83" s="365">
        <v>0.5</v>
      </c>
      <c r="XQ83" s="366" t="e">
        <f>10/XM81</f>
        <v>#DIV/0!</v>
      </c>
      <c r="XR83" s="367">
        <v>15.38</v>
      </c>
      <c r="XS83" s="367" t="e">
        <f>XP83*XQ83*XR83</f>
        <v>#DIV/0!</v>
      </c>
      <c r="XT83" s="363" t="s">
        <v>153</v>
      </c>
      <c r="XU83" s="363"/>
      <c r="XV83" s="363"/>
      <c r="XW83" s="364" t="s">
        <v>140</v>
      </c>
      <c r="XX83" s="365">
        <v>0.5</v>
      </c>
      <c r="XY83" s="366" t="e">
        <f>10/XU81</f>
        <v>#DIV/0!</v>
      </c>
      <c r="XZ83" s="367">
        <v>15.38</v>
      </c>
      <c r="YA83" s="367" t="e">
        <f>XX83*XY83*XZ83</f>
        <v>#DIV/0!</v>
      </c>
      <c r="YB83" s="363" t="s">
        <v>153</v>
      </c>
      <c r="YC83" s="363"/>
      <c r="YD83" s="363"/>
      <c r="YE83" s="364" t="s">
        <v>140</v>
      </c>
      <c r="YF83" s="365">
        <v>0.5</v>
      </c>
      <c r="YG83" s="366" t="e">
        <f>10/YC81</f>
        <v>#DIV/0!</v>
      </c>
      <c r="YH83" s="367">
        <v>15.38</v>
      </c>
      <c r="YI83" s="367" t="e">
        <f>YF83*YG83*YH83</f>
        <v>#DIV/0!</v>
      </c>
      <c r="YJ83" s="363" t="s">
        <v>153</v>
      </c>
      <c r="YK83" s="363"/>
      <c r="YL83" s="363"/>
      <c r="YM83" s="364" t="s">
        <v>140</v>
      </c>
      <c r="YN83" s="365">
        <v>0.5</v>
      </c>
      <c r="YO83" s="366" t="e">
        <f>10/YK81</f>
        <v>#DIV/0!</v>
      </c>
      <c r="YP83" s="367">
        <v>15.38</v>
      </c>
      <c r="YQ83" s="367" t="e">
        <f>YN83*YO83*YP83</f>
        <v>#DIV/0!</v>
      </c>
      <c r="YR83" s="363" t="s">
        <v>153</v>
      </c>
      <c r="YS83" s="363"/>
      <c r="YT83" s="363"/>
      <c r="YU83" s="364" t="s">
        <v>140</v>
      </c>
      <c r="YV83" s="365">
        <v>0.5</v>
      </c>
      <c r="YW83" s="366" t="e">
        <f>10/YS81</f>
        <v>#DIV/0!</v>
      </c>
      <c r="YX83" s="367">
        <v>15.38</v>
      </c>
      <c r="YY83" s="367" t="e">
        <f>YV83*YW83*YX83</f>
        <v>#DIV/0!</v>
      </c>
      <c r="YZ83" s="363" t="s">
        <v>153</v>
      </c>
      <c r="ZA83" s="363"/>
      <c r="ZB83" s="363"/>
      <c r="ZC83" s="364" t="s">
        <v>140</v>
      </c>
      <c r="ZD83" s="365">
        <v>0.5</v>
      </c>
      <c r="ZE83" s="366" t="e">
        <f>10/ZA81</f>
        <v>#DIV/0!</v>
      </c>
      <c r="ZF83" s="367">
        <v>15.38</v>
      </c>
      <c r="ZG83" s="367" t="e">
        <f>ZD83*ZE83*ZF83</f>
        <v>#DIV/0!</v>
      </c>
      <c r="ZH83" s="363" t="s">
        <v>153</v>
      </c>
      <c r="ZI83" s="363"/>
      <c r="ZJ83" s="363"/>
      <c r="ZK83" s="364" t="s">
        <v>140</v>
      </c>
      <c r="ZL83" s="365">
        <v>0.5</v>
      </c>
      <c r="ZM83" s="366" t="e">
        <f>10/ZI81</f>
        <v>#DIV/0!</v>
      </c>
      <c r="ZN83" s="367">
        <v>15.38</v>
      </c>
      <c r="ZO83" s="367" t="e">
        <f>ZL83*ZM83*ZN83</f>
        <v>#DIV/0!</v>
      </c>
      <c r="ZP83" s="363" t="s">
        <v>153</v>
      </c>
      <c r="ZQ83" s="363"/>
      <c r="ZR83" s="363"/>
      <c r="ZS83" s="364" t="s">
        <v>140</v>
      </c>
      <c r="ZT83" s="365">
        <v>0.5</v>
      </c>
      <c r="ZU83" s="366" t="e">
        <f>10/ZQ81</f>
        <v>#DIV/0!</v>
      </c>
      <c r="ZV83" s="367">
        <v>15.38</v>
      </c>
      <c r="ZW83" s="367" t="e">
        <f>ZT83*ZU83*ZV83</f>
        <v>#DIV/0!</v>
      </c>
      <c r="ZX83" s="363" t="s">
        <v>153</v>
      </c>
      <c r="ZY83" s="363"/>
      <c r="ZZ83" s="363"/>
      <c r="AAA83" s="364" t="s">
        <v>140</v>
      </c>
      <c r="AAB83" s="365">
        <v>0.5</v>
      </c>
      <c r="AAC83" s="366" t="e">
        <f>10/ZY81</f>
        <v>#DIV/0!</v>
      </c>
      <c r="AAD83" s="367">
        <v>15.38</v>
      </c>
      <c r="AAE83" s="367" t="e">
        <f>AAB83*AAC83*AAD83</f>
        <v>#DIV/0!</v>
      </c>
      <c r="AAF83" s="363" t="s">
        <v>153</v>
      </c>
      <c r="AAG83" s="363"/>
      <c r="AAH83" s="363"/>
      <c r="AAI83" s="364" t="s">
        <v>140</v>
      </c>
      <c r="AAJ83" s="365">
        <v>0.5</v>
      </c>
      <c r="AAK83" s="366" t="e">
        <f>10/AAG81</f>
        <v>#DIV/0!</v>
      </c>
      <c r="AAL83" s="367">
        <v>15.38</v>
      </c>
      <c r="AAM83" s="367" t="e">
        <f>AAJ83*AAK83*AAL83</f>
        <v>#DIV/0!</v>
      </c>
      <c r="AAN83" s="363" t="s">
        <v>153</v>
      </c>
      <c r="AAO83" s="363"/>
      <c r="AAP83" s="363"/>
      <c r="AAQ83" s="364" t="s">
        <v>140</v>
      </c>
      <c r="AAR83" s="365">
        <v>0.5</v>
      </c>
      <c r="AAS83" s="366" t="e">
        <f>10/AAO81</f>
        <v>#DIV/0!</v>
      </c>
      <c r="AAT83" s="367">
        <v>15.38</v>
      </c>
      <c r="AAU83" s="367" t="e">
        <f>AAR83*AAS83*AAT83</f>
        <v>#DIV/0!</v>
      </c>
      <c r="AAV83" s="363" t="s">
        <v>153</v>
      </c>
      <c r="AAW83" s="363"/>
      <c r="AAX83" s="363"/>
      <c r="AAY83" s="364" t="s">
        <v>140</v>
      </c>
      <c r="AAZ83" s="365">
        <v>0.5</v>
      </c>
      <c r="ABA83" s="366" t="e">
        <f>10/AAW81</f>
        <v>#DIV/0!</v>
      </c>
      <c r="ABB83" s="367">
        <v>15.38</v>
      </c>
      <c r="ABC83" s="367" t="e">
        <f>AAZ83*ABA83*ABB83</f>
        <v>#DIV/0!</v>
      </c>
      <c r="ABD83" s="363" t="s">
        <v>153</v>
      </c>
      <c r="ABE83" s="363"/>
      <c r="ABF83" s="363"/>
      <c r="ABG83" s="364" t="s">
        <v>140</v>
      </c>
      <c r="ABH83" s="365">
        <v>0.5</v>
      </c>
      <c r="ABI83" s="366" t="e">
        <f>10/ABE81</f>
        <v>#DIV/0!</v>
      </c>
      <c r="ABJ83" s="367">
        <v>15.38</v>
      </c>
      <c r="ABK83" s="367" t="e">
        <f>ABH83*ABI83*ABJ83</f>
        <v>#DIV/0!</v>
      </c>
      <c r="ABL83" s="363" t="s">
        <v>153</v>
      </c>
      <c r="ABM83" s="363"/>
      <c r="ABN83" s="363"/>
      <c r="ABO83" s="364" t="s">
        <v>140</v>
      </c>
      <c r="ABP83" s="365">
        <v>0.5</v>
      </c>
      <c r="ABQ83" s="366" t="e">
        <f>10/ABM81</f>
        <v>#DIV/0!</v>
      </c>
      <c r="ABR83" s="367">
        <v>15.38</v>
      </c>
      <c r="ABS83" s="367" t="e">
        <f>ABP83*ABQ83*ABR83</f>
        <v>#DIV/0!</v>
      </c>
      <c r="ABT83" s="363" t="s">
        <v>153</v>
      </c>
      <c r="ABU83" s="363"/>
      <c r="ABV83" s="363"/>
      <c r="ABW83" s="364" t="s">
        <v>140</v>
      </c>
      <c r="ABX83" s="365">
        <v>0.5</v>
      </c>
      <c r="ABY83" s="366" t="e">
        <f>10/ABU81</f>
        <v>#DIV/0!</v>
      </c>
      <c r="ABZ83" s="367">
        <v>15.38</v>
      </c>
      <c r="ACA83" s="367" t="e">
        <f>ABX83*ABY83*ABZ83</f>
        <v>#DIV/0!</v>
      </c>
      <c r="ACB83" s="363" t="s">
        <v>153</v>
      </c>
      <c r="ACC83" s="363"/>
      <c r="ACD83" s="363"/>
      <c r="ACE83" s="364" t="s">
        <v>140</v>
      </c>
      <c r="ACF83" s="365">
        <v>0.5</v>
      </c>
      <c r="ACG83" s="366" t="e">
        <f>10/ACC81</f>
        <v>#DIV/0!</v>
      </c>
      <c r="ACH83" s="367">
        <v>15.38</v>
      </c>
      <c r="ACI83" s="367" t="e">
        <f>ACF83*ACG83*ACH83</f>
        <v>#DIV/0!</v>
      </c>
      <c r="ACJ83" s="363" t="s">
        <v>153</v>
      </c>
      <c r="ACK83" s="363"/>
      <c r="ACL83" s="363"/>
      <c r="ACM83" s="364" t="s">
        <v>140</v>
      </c>
      <c r="ACN83" s="365">
        <v>0.5</v>
      </c>
      <c r="ACO83" s="366" t="e">
        <f>10/ACK81</f>
        <v>#DIV/0!</v>
      </c>
      <c r="ACP83" s="367">
        <v>15.38</v>
      </c>
      <c r="ACQ83" s="367" t="e">
        <f>ACN83*ACO83*ACP83</f>
        <v>#DIV/0!</v>
      </c>
      <c r="ACR83" s="363" t="s">
        <v>153</v>
      </c>
      <c r="ACS83" s="363"/>
      <c r="ACT83" s="363"/>
      <c r="ACU83" s="364" t="s">
        <v>140</v>
      </c>
      <c r="ACV83" s="365">
        <v>0.5</v>
      </c>
      <c r="ACW83" s="366" t="e">
        <f>10/ACS81</f>
        <v>#DIV/0!</v>
      </c>
      <c r="ACX83" s="367">
        <v>15.38</v>
      </c>
      <c r="ACY83" s="367" t="e">
        <f>ACV83*ACW83*ACX83</f>
        <v>#DIV/0!</v>
      </c>
      <c r="ACZ83" s="363" t="s">
        <v>153</v>
      </c>
      <c r="ADA83" s="363"/>
      <c r="ADB83" s="363"/>
      <c r="ADC83" s="364" t="s">
        <v>140</v>
      </c>
      <c r="ADD83" s="365">
        <v>0.5</v>
      </c>
      <c r="ADE83" s="366" t="e">
        <f>10/ADA81</f>
        <v>#DIV/0!</v>
      </c>
      <c r="ADF83" s="367">
        <v>15.38</v>
      </c>
      <c r="ADG83" s="367" t="e">
        <f>ADD83*ADE83*ADF83</f>
        <v>#DIV/0!</v>
      </c>
      <c r="ADH83" s="363" t="s">
        <v>153</v>
      </c>
      <c r="ADI83" s="363"/>
      <c r="ADJ83" s="363"/>
      <c r="ADK83" s="364" t="s">
        <v>140</v>
      </c>
      <c r="ADL83" s="365">
        <v>0.5</v>
      </c>
      <c r="ADM83" s="366" t="e">
        <f>10/ADI81</f>
        <v>#DIV/0!</v>
      </c>
      <c r="ADN83" s="367">
        <v>15.38</v>
      </c>
      <c r="ADO83" s="367" t="e">
        <f>ADL83*ADM83*ADN83</f>
        <v>#DIV/0!</v>
      </c>
      <c r="ADP83" s="363" t="s">
        <v>153</v>
      </c>
      <c r="ADQ83" s="363"/>
      <c r="ADR83" s="363"/>
      <c r="ADS83" s="364" t="s">
        <v>140</v>
      </c>
      <c r="ADT83" s="365">
        <v>0.5</v>
      </c>
      <c r="ADU83" s="366" t="e">
        <f>10/ADQ81</f>
        <v>#DIV/0!</v>
      </c>
      <c r="ADV83" s="367">
        <v>15.38</v>
      </c>
      <c r="ADW83" s="367" t="e">
        <f>ADT83*ADU83*ADV83</f>
        <v>#DIV/0!</v>
      </c>
      <c r="ADX83" s="363" t="s">
        <v>153</v>
      </c>
      <c r="ADY83" s="363"/>
      <c r="ADZ83" s="363"/>
      <c r="AEA83" s="364" t="s">
        <v>140</v>
      </c>
      <c r="AEB83" s="365">
        <v>0.5</v>
      </c>
      <c r="AEC83" s="366" t="e">
        <f>10/ADY81</f>
        <v>#DIV/0!</v>
      </c>
      <c r="AED83" s="367">
        <v>15.38</v>
      </c>
      <c r="AEE83" s="367" t="e">
        <f>AEB83*AEC83*AED83</f>
        <v>#DIV/0!</v>
      </c>
      <c r="AEF83" s="363" t="s">
        <v>153</v>
      </c>
      <c r="AEG83" s="363"/>
      <c r="AEH83" s="363"/>
      <c r="AEI83" s="364" t="s">
        <v>140</v>
      </c>
      <c r="AEJ83" s="365">
        <v>0.5</v>
      </c>
      <c r="AEK83" s="366" t="e">
        <f>10/AEG81</f>
        <v>#DIV/0!</v>
      </c>
      <c r="AEL83" s="367">
        <v>15.38</v>
      </c>
      <c r="AEM83" s="367" t="e">
        <f>AEJ83*AEK83*AEL83</f>
        <v>#DIV/0!</v>
      </c>
      <c r="AEN83" s="363" t="s">
        <v>153</v>
      </c>
      <c r="AEO83" s="363"/>
      <c r="AEP83" s="363"/>
      <c r="AEQ83" s="364" t="s">
        <v>140</v>
      </c>
      <c r="AER83" s="365">
        <v>0.5</v>
      </c>
      <c r="AES83" s="366" t="e">
        <f>10/AEO81</f>
        <v>#DIV/0!</v>
      </c>
      <c r="AET83" s="367">
        <v>15.38</v>
      </c>
      <c r="AEU83" s="367" t="e">
        <f>AER83*AES83*AET83</f>
        <v>#DIV/0!</v>
      </c>
      <c r="AEV83" s="363" t="s">
        <v>153</v>
      </c>
      <c r="AEW83" s="363"/>
      <c r="AEX83" s="363"/>
      <c r="AEY83" s="364" t="s">
        <v>140</v>
      </c>
      <c r="AEZ83" s="365">
        <v>0.5</v>
      </c>
      <c r="AFA83" s="366" t="e">
        <f>10/AEW81</f>
        <v>#DIV/0!</v>
      </c>
      <c r="AFB83" s="367">
        <v>15.38</v>
      </c>
      <c r="AFC83" s="367" t="e">
        <f>AEZ83*AFA83*AFB83</f>
        <v>#DIV/0!</v>
      </c>
      <c r="AFD83" s="363" t="s">
        <v>153</v>
      </c>
      <c r="AFE83" s="363"/>
      <c r="AFF83" s="363"/>
      <c r="AFG83" s="364" t="s">
        <v>140</v>
      </c>
      <c r="AFH83" s="365">
        <v>0.5</v>
      </c>
      <c r="AFI83" s="366" t="e">
        <f>10/AFE81</f>
        <v>#DIV/0!</v>
      </c>
      <c r="AFJ83" s="367">
        <v>15.38</v>
      </c>
      <c r="AFK83" s="367" t="e">
        <f>AFH83*AFI83*AFJ83</f>
        <v>#DIV/0!</v>
      </c>
      <c r="AFL83" s="363" t="s">
        <v>153</v>
      </c>
      <c r="AFM83" s="363"/>
      <c r="AFN83" s="363"/>
      <c r="AFO83" s="364" t="s">
        <v>140</v>
      </c>
      <c r="AFP83" s="365">
        <v>0.5</v>
      </c>
      <c r="AFQ83" s="366" t="e">
        <f>10/AFM81</f>
        <v>#DIV/0!</v>
      </c>
      <c r="AFR83" s="367">
        <v>15.38</v>
      </c>
      <c r="AFS83" s="367" t="e">
        <f>AFP83*AFQ83*AFR83</f>
        <v>#DIV/0!</v>
      </c>
      <c r="AFT83" s="363" t="s">
        <v>153</v>
      </c>
      <c r="AFU83" s="363"/>
      <c r="AFV83" s="363"/>
      <c r="AFW83" s="364" t="s">
        <v>140</v>
      </c>
      <c r="AFX83" s="365">
        <v>0.5</v>
      </c>
      <c r="AFY83" s="366" t="e">
        <f>10/AFU81</f>
        <v>#DIV/0!</v>
      </c>
      <c r="AFZ83" s="367">
        <v>15.38</v>
      </c>
      <c r="AGA83" s="367" t="e">
        <f>AFX83*AFY83*AFZ83</f>
        <v>#DIV/0!</v>
      </c>
      <c r="AGB83" s="363" t="s">
        <v>153</v>
      </c>
      <c r="AGC83" s="363"/>
      <c r="AGD83" s="363"/>
      <c r="AGE83" s="364" t="s">
        <v>140</v>
      </c>
      <c r="AGF83" s="365">
        <v>0.5</v>
      </c>
      <c r="AGG83" s="366" t="e">
        <f>10/AGC81</f>
        <v>#DIV/0!</v>
      </c>
      <c r="AGH83" s="367">
        <v>15.38</v>
      </c>
      <c r="AGI83" s="367" t="e">
        <f>AGF83*AGG83*AGH83</f>
        <v>#DIV/0!</v>
      </c>
      <c r="AGJ83" s="363" t="s">
        <v>153</v>
      </c>
      <c r="AGK83" s="363"/>
      <c r="AGL83" s="363"/>
      <c r="AGM83" s="364" t="s">
        <v>140</v>
      </c>
      <c r="AGN83" s="365">
        <v>0.5</v>
      </c>
      <c r="AGO83" s="366" t="e">
        <f>10/AGK81</f>
        <v>#DIV/0!</v>
      </c>
      <c r="AGP83" s="367">
        <v>15.38</v>
      </c>
      <c r="AGQ83" s="367" t="e">
        <f>AGN83*AGO83*AGP83</f>
        <v>#DIV/0!</v>
      </c>
      <c r="AGR83" s="363" t="s">
        <v>153</v>
      </c>
      <c r="AGS83" s="363"/>
      <c r="AGT83" s="363"/>
      <c r="AGU83" s="364" t="s">
        <v>140</v>
      </c>
      <c r="AGV83" s="365">
        <v>0.5</v>
      </c>
      <c r="AGW83" s="366" t="e">
        <f>10/AGS81</f>
        <v>#DIV/0!</v>
      </c>
      <c r="AGX83" s="367">
        <v>15.38</v>
      </c>
      <c r="AGY83" s="367" t="e">
        <f>AGV83*AGW83*AGX83</f>
        <v>#DIV/0!</v>
      </c>
      <c r="AGZ83" s="363" t="s">
        <v>153</v>
      </c>
      <c r="AHA83" s="363"/>
      <c r="AHB83" s="363"/>
      <c r="AHC83" s="364" t="s">
        <v>140</v>
      </c>
      <c r="AHD83" s="365">
        <v>0.5</v>
      </c>
      <c r="AHE83" s="366" t="e">
        <f>10/AHA81</f>
        <v>#DIV/0!</v>
      </c>
      <c r="AHF83" s="367">
        <v>15.38</v>
      </c>
      <c r="AHG83" s="367" t="e">
        <f>AHD83*AHE83*AHF83</f>
        <v>#DIV/0!</v>
      </c>
      <c r="AHH83" s="363" t="s">
        <v>153</v>
      </c>
      <c r="AHI83" s="363"/>
      <c r="AHJ83" s="363"/>
      <c r="AHK83" s="364" t="s">
        <v>140</v>
      </c>
      <c r="AHL83" s="365">
        <v>0.5</v>
      </c>
      <c r="AHM83" s="366" t="e">
        <f>10/AHI81</f>
        <v>#DIV/0!</v>
      </c>
      <c r="AHN83" s="367">
        <v>15.38</v>
      </c>
      <c r="AHO83" s="367" t="e">
        <f>AHL83*AHM83*AHN83</f>
        <v>#DIV/0!</v>
      </c>
      <c r="AHP83" s="363" t="s">
        <v>153</v>
      </c>
      <c r="AHQ83" s="363"/>
      <c r="AHR83" s="363"/>
      <c r="AHS83" s="364" t="s">
        <v>140</v>
      </c>
      <c r="AHT83" s="365">
        <v>0.5</v>
      </c>
      <c r="AHU83" s="366" t="e">
        <f>10/AHQ81</f>
        <v>#DIV/0!</v>
      </c>
      <c r="AHV83" s="367">
        <v>15.38</v>
      </c>
      <c r="AHW83" s="367" t="e">
        <f>AHT83*AHU83*AHV83</f>
        <v>#DIV/0!</v>
      </c>
      <c r="AHX83" s="363" t="s">
        <v>153</v>
      </c>
      <c r="AHY83" s="363"/>
      <c r="AHZ83" s="363"/>
      <c r="AIA83" s="364" t="s">
        <v>140</v>
      </c>
      <c r="AIB83" s="365">
        <v>0.5</v>
      </c>
      <c r="AIC83" s="366" t="e">
        <f>10/AHY81</f>
        <v>#DIV/0!</v>
      </c>
      <c r="AID83" s="367">
        <v>15.38</v>
      </c>
      <c r="AIE83" s="367" t="e">
        <f>AIB83*AIC83*AID83</f>
        <v>#DIV/0!</v>
      </c>
      <c r="AIF83" s="363" t="s">
        <v>153</v>
      </c>
      <c r="AIG83" s="363"/>
      <c r="AIH83" s="363"/>
      <c r="AII83" s="364" t="s">
        <v>140</v>
      </c>
      <c r="AIJ83" s="365">
        <v>0.5</v>
      </c>
      <c r="AIK83" s="366" t="e">
        <f>10/AIG81</f>
        <v>#DIV/0!</v>
      </c>
      <c r="AIL83" s="367">
        <v>15.38</v>
      </c>
      <c r="AIM83" s="367" t="e">
        <f>AIJ83*AIK83*AIL83</f>
        <v>#DIV/0!</v>
      </c>
      <c r="AIN83" s="363" t="s">
        <v>153</v>
      </c>
      <c r="AIO83" s="363"/>
      <c r="AIP83" s="363"/>
      <c r="AIQ83" s="364" t="s">
        <v>140</v>
      </c>
      <c r="AIR83" s="365">
        <v>0.5</v>
      </c>
      <c r="AIS83" s="366" t="e">
        <f>10/AIO81</f>
        <v>#DIV/0!</v>
      </c>
      <c r="AIT83" s="367">
        <v>15.38</v>
      </c>
      <c r="AIU83" s="367" t="e">
        <f>AIR83*AIS83*AIT83</f>
        <v>#DIV/0!</v>
      </c>
      <c r="AIV83" s="363" t="s">
        <v>153</v>
      </c>
      <c r="AIW83" s="363"/>
      <c r="AIX83" s="363"/>
      <c r="AIY83" s="364" t="s">
        <v>140</v>
      </c>
      <c r="AIZ83" s="365">
        <v>0.5</v>
      </c>
      <c r="AJA83" s="366" t="e">
        <f>10/AIW81</f>
        <v>#DIV/0!</v>
      </c>
      <c r="AJB83" s="367">
        <v>15.38</v>
      </c>
      <c r="AJC83" s="367" t="e">
        <f>AIZ83*AJA83*AJB83</f>
        <v>#DIV/0!</v>
      </c>
      <c r="AJD83" s="363" t="s">
        <v>153</v>
      </c>
      <c r="AJE83" s="363"/>
      <c r="AJF83" s="363"/>
      <c r="AJG83" s="364" t="s">
        <v>140</v>
      </c>
      <c r="AJH83" s="365">
        <v>0.5</v>
      </c>
      <c r="AJI83" s="366" t="e">
        <f>10/AJE81</f>
        <v>#DIV/0!</v>
      </c>
      <c r="AJJ83" s="367">
        <v>15.38</v>
      </c>
      <c r="AJK83" s="367" t="e">
        <f>AJH83*AJI83*AJJ83</f>
        <v>#DIV/0!</v>
      </c>
      <c r="AJL83" s="363" t="s">
        <v>153</v>
      </c>
      <c r="AJM83" s="363"/>
      <c r="AJN83" s="363"/>
      <c r="AJO83" s="364" t="s">
        <v>140</v>
      </c>
      <c r="AJP83" s="365">
        <v>0.5</v>
      </c>
      <c r="AJQ83" s="366" t="e">
        <f>10/AJM81</f>
        <v>#DIV/0!</v>
      </c>
      <c r="AJR83" s="367">
        <v>15.38</v>
      </c>
      <c r="AJS83" s="367" t="e">
        <f>AJP83*AJQ83*AJR83</f>
        <v>#DIV/0!</v>
      </c>
      <c r="AJT83" s="363" t="s">
        <v>153</v>
      </c>
      <c r="AJU83" s="363"/>
      <c r="AJV83" s="363"/>
      <c r="AJW83" s="364" t="s">
        <v>140</v>
      </c>
      <c r="AJX83" s="365">
        <v>0.5</v>
      </c>
      <c r="AJY83" s="366" t="e">
        <f>10/AJU81</f>
        <v>#DIV/0!</v>
      </c>
      <c r="AJZ83" s="367">
        <v>15.38</v>
      </c>
      <c r="AKA83" s="367" t="e">
        <f>AJX83*AJY83*AJZ83</f>
        <v>#DIV/0!</v>
      </c>
      <c r="AKB83" s="363" t="s">
        <v>153</v>
      </c>
      <c r="AKC83" s="363"/>
      <c r="AKD83" s="363"/>
      <c r="AKE83" s="364" t="s">
        <v>140</v>
      </c>
      <c r="AKF83" s="365">
        <v>0.5</v>
      </c>
      <c r="AKG83" s="366" t="e">
        <f>10/AKC81</f>
        <v>#DIV/0!</v>
      </c>
      <c r="AKH83" s="367">
        <v>15.38</v>
      </c>
      <c r="AKI83" s="367" t="e">
        <f>AKF83*AKG83*AKH83</f>
        <v>#DIV/0!</v>
      </c>
      <c r="AKJ83" s="363" t="s">
        <v>153</v>
      </c>
      <c r="AKK83" s="363"/>
      <c r="AKL83" s="363"/>
      <c r="AKM83" s="364" t="s">
        <v>140</v>
      </c>
      <c r="AKN83" s="365">
        <v>0.5</v>
      </c>
      <c r="AKO83" s="366" t="e">
        <f>10/AKK81</f>
        <v>#DIV/0!</v>
      </c>
      <c r="AKP83" s="367">
        <v>15.38</v>
      </c>
      <c r="AKQ83" s="367" t="e">
        <f>AKN83*AKO83*AKP83</f>
        <v>#DIV/0!</v>
      </c>
      <c r="AKR83" s="363" t="s">
        <v>153</v>
      </c>
      <c r="AKS83" s="363"/>
      <c r="AKT83" s="363"/>
      <c r="AKU83" s="364" t="s">
        <v>140</v>
      </c>
      <c r="AKV83" s="365">
        <v>0.5</v>
      </c>
      <c r="AKW83" s="366" t="e">
        <f>10/AKS81</f>
        <v>#DIV/0!</v>
      </c>
      <c r="AKX83" s="367">
        <v>15.38</v>
      </c>
      <c r="AKY83" s="367" t="e">
        <f>AKV83*AKW83*AKX83</f>
        <v>#DIV/0!</v>
      </c>
      <c r="AKZ83" s="363" t="s">
        <v>153</v>
      </c>
      <c r="ALA83" s="363"/>
      <c r="ALB83" s="363"/>
      <c r="ALC83" s="364" t="s">
        <v>140</v>
      </c>
      <c r="ALD83" s="365">
        <v>0.5</v>
      </c>
      <c r="ALE83" s="366" t="e">
        <f>10/ALA81</f>
        <v>#DIV/0!</v>
      </c>
      <c r="ALF83" s="367">
        <v>15.38</v>
      </c>
      <c r="ALG83" s="367" t="e">
        <f>ALD83*ALE83*ALF83</f>
        <v>#DIV/0!</v>
      </c>
      <c r="ALH83" s="363" t="s">
        <v>153</v>
      </c>
      <c r="ALI83" s="363"/>
      <c r="ALJ83" s="363"/>
      <c r="ALK83" s="364" t="s">
        <v>140</v>
      </c>
      <c r="ALL83" s="365">
        <v>0.5</v>
      </c>
      <c r="ALM83" s="366" t="e">
        <f>10/ALI81</f>
        <v>#DIV/0!</v>
      </c>
      <c r="ALN83" s="367">
        <v>15.38</v>
      </c>
      <c r="ALO83" s="367" t="e">
        <f>ALL83*ALM83*ALN83</f>
        <v>#DIV/0!</v>
      </c>
      <c r="ALP83" s="363" t="s">
        <v>153</v>
      </c>
      <c r="ALQ83" s="363"/>
      <c r="ALR83" s="363"/>
      <c r="ALS83" s="364" t="s">
        <v>140</v>
      </c>
      <c r="ALT83" s="365">
        <v>0.5</v>
      </c>
      <c r="ALU83" s="366" t="e">
        <f>10/ALQ81</f>
        <v>#DIV/0!</v>
      </c>
      <c r="ALV83" s="367">
        <v>15.38</v>
      </c>
      <c r="ALW83" s="367" t="e">
        <f>ALT83*ALU83*ALV83</f>
        <v>#DIV/0!</v>
      </c>
      <c r="ALX83" s="363" t="s">
        <v>153</v>
      </c>
      <c r="ALY83" s="363"/>
      <c r="ALZ83" s="363"/>
      <c r="AMA83" s="364" t="s">
        <v>140</v>
      </c>
      <c r="AMB83" s="365">
        <v>0.5</v>
      </c>
      <c r="AMC83" s="366" t="e">
        <f>10/ALY81</f>
        <v>#DIV/0!</v>
      </c>
      <c r="AMD83" s="367">
        <v>15.38</v>
      </c>
      <c r="AME83" s="367" t="e">
        <f>AMB83*AMC83*AMD83</f>
        <v>#DIV/0!</v>
      </c>
      <c r="AMF83" s="363" t="s">
        <v>153</v>
      </c>
      <c r="AMG83" s="363"/>
      <c r="AMH83" s="363"/>
      <c r="AMI83" s="364" t="s">
        <v>140</v>
      </c>
      <c r="AMJ83" s="365">
        <v>0.5</v>
      </c>
      <c r="AMK83" s="366" t="e">
        <f>10/AMG81</f>
        <v>#DIV/0!</v>
      </c>
      <c r="AML83" s="367">
        <v>15.38</v>
      </c>
      <c r="AMM83" s="367" t="e">
        <f>AMJ83*AMK83*AML83</f>
        <v>#DIV/0!</v>
      </c>
      <c r="AMN83" s="363" t="s">
        <v>153</v>
      </c>
      <c r="AMO83" s="363"/>
      <c r="AMP83" s="363"/>
      <c r="AMQ83" s="364" t="s">
        <v>140</v>
      </c>
      <c r="AMR83" s="365">
        <v>0.5</v>
      </c>
      <c r="AMS83" s="366" t="e">
        <f>10/AMO81</f>
        <v>#DIV/0!</v>
      </c>
      <c r="AMT83" s="367">
        <v>15.38</v>
      </c>
      <c r="AMU83" s="367" t="e">
        <f>AMR83*AMS83*AMT83</f>
        <v>#DIV/0!</v>
      </c>
      <c r="AMV83" s="363" t="s">
        <v>153</v>
      </c>
      <c r="AMW83" s="363"/>
      <c r="AMX83" s="363"/>
      <c r="AMY83" s="364" t="s">
        <v>140</v>
      </c>
      <c r="AMZ83" s="365">
        <v>0.5</v>
      </c>
      <c r="ANA83" s="366" t="e">
        <f>10/AMW81</f>
        <v>#DIV/0!</v>
      </c>
      <c r="ANB83" s="367">
        <v>15.38</v>
      </c>
      <c r="ANC83" s="367" t="e">
        <f>AMZ83*ANA83*ANB83</f>
        <v>#DIV/0!</v>
      </c>
      <c r="AND83" s="363" t="s">
        <v>153</v>
      </c>
      <c r="ANE83" s="363"/>
      <c r="ANF83" s="363"/>
      <c r="ANG83" s="364" t="s">
        <v>140</v>
      </c>
      <c r="ANH83" s="365">
        <v>0.5</v>
      </c>
      <c r="ANI83" s="366" t="e">
        <f>10/ANE81</f>
        <v>#DIV/0!</v>
      </c>
      <c r="ANJ83" s="367">
        <v>15.38</v>
      </c>
      <c r="ANK83" s="367" t="e">
        <f>ANH83*ANI83*ANJ83</f>
        <v>#DIV/0!</v>
      </c>
      <c r="ANL83" s="363" t="s">
        <v>153</v>
      </c>
      <c r="ANM83" s="363"/>
      <c r="ANN83" s="363"/>
      <c r="ANO83" s="364" t="s">
        <v>140</v>
      </c>
      <c r="ANP83" s="365">
        <v>0.5</v>
      </c>
      <c r="ANQ83" s="366" t="e">
        <f>10/ANM81</f>
        <v>#DIV/0!</v>
      </c>
      <c r="ANR83" s="367">
        <v>15.38</v>
      </c>
      <c r="ANS83" s="367" t="e">
        <f>ANP83*ANQ83*ANR83</f>
        <v>#DIV/0!</v>
      </c>
      <c r="ANT83" s="363" t="s">
        <v>153</v>
      </c>
      <c r="ANU83" s="363"/>
      <c r="ANV83" s="363"/>
      <c r="ANW83" s="364" t="s">
        <v>140</v>
      </c>
      <c r="ANX83" s="365">
        <v>0.5</v>
      </c>
      <c r="ANY83" s="366" t="e">
        <f>10/ANU81</f>
        <v>#DIV/0!</v>
      </c>
      <c r="ANZ83" s="367">
        <v>15.38</v>
      </c>
      <c r="AOA83" s="367" t="e">
        <f>ANX83*ANY83*ANZ83</f>
        <v>#DIV/0!</v>
      </c>
      <c r="AOB83" s="363" t="s">
        <v>153</v>
      </c>
      <c r="AOC83" s="363"/>
      <c r="AOD83" s="363"/>
      <c r="AOE83" s="364" t="s">
        <v>140</v>
      </c>
      <c r="AOF83" s="365">
        <v>0.5</v>
      </c>
      <c r="AOG83" s="366" t="e">
        <f>10/AOC81</f>
        <v>#DIV/0!</v>
      </c>
      <c r="AOH83" s="367">
        <v>15.38</v>
      </c>
      <c r="AOI83" s="367" t="e">
        <f>AOF83*AOG83*AOH83</f>
        <v>#DIV/0!</v>
      </c>
      <c r="AOJ83" s="363" t="s">
        <v>153</v>
      </c>
      <c r="AOK83" s="363"/>
      <c r="AOL83" s="363"/>
      <c r="AOM83" s="364" t="s">
        <v>140</v>
      </c>
      <c r="AON83" s="365">
        <v>0.5</v>
      </c>
      <c r="AOO83" s="366" t="e">
        <f>10/AOK81</f>
        <v>#DIV/0!</v>
      </c>
      <c r="AOP83" s="367">
        <v>15.38</v>
      </c>
      <c r="AOQ83" s="367" t="e">
        <f>AON83*AOO83*AOP83</f>
        <v>#DIV/0!</v>
      </c>
      <c r="AOR83" s="363" t="s">
        <v>153</v>
      </c>
      <c r="AOS83" s="363"/>
      <c r="AOT83" s="363"/>
      <c r="AOU83" s="364" t="s">
        <v>140</v>
      </c>
      <c r="AOV83" s="365">
        <v>0.5</v>
      </c>
      <c r="AOW83" s="366" t="e">
        <f>10/AOS81</f>
        <v>#DIV/0!</v>
      </c>
      <c r="AOX83" s="367">
        <v>15.38</v>
      </c>
      <c r="AOY83" s="367" t="e">
        <f>AOV83*AOW83*AOX83</f>
        <v>#DIV/0!</v>
      </c>
      <c r="AOZ83" s="363" t="s">
        <v>153</v>
      </c>
      <c r="APA83" s="363"/>
      <c r="APB83" s="363"/>
      <c r="APC83" s="364" t="s">
        <v>140</v>
      </c>
      <c r="APD83" s="365">
        <v>0.5</v>
      </c>
      <c r="APE83" s="366" t="e">
        <f>10/APA81</f>
        <v>#DIV/0!</v>
      </c>
      <c r="APF83" s="367">
        <v>15.38</v>
      </c>
      <c r="APG83" s="367" t="e">
        <f>APD83*APE83*APF83</f>
        <v>#DIV/0!</v>
      </c>
      <c r="APH83" s="363" t="s">
        <v>153</v>
      </c>
      <c r="API83" s="363"/>
      <c r="APJ83" s="363"/>
      <c r="APK83" s="364" t="s">
        <v>140</v>
      </c>
      <c r="APL83" s="365">
        <v>0.5</v>
      </c>
      <c r="APM83" s="366" t="e">
        <f>10/API81</f>
        <v>#DIV/0!</v>
      </c>
      <c r="APN83" s="367">
        <v>15.38</v>
      </c>
      <c r="APO83" s="367" t="e">
        <f>APL83*APM83*APN83</f>
        <v>#DIV/0!</v>
      </c>
      <c r="APP83" s="363" t="s">
        <v>153</v>
      </c>
      <c r="APQ83" s="363"/>
      <c r="APR83" s="363"/>
      <c r="APS83" s="364" t="s">
        <v>140</v>
      </c>
      <c r="APT83" s="365">
        <v>0.5</v>
      </c>
      <c r="APU83" s="366" t="e">
        <f>10/APQ81</f>
        <v>#DIV/0!</v>
      </c>
      <c r="APV83" s="367">
        <v>15.38</v>
      </c>
      <c r="APW83" s="367" t="e">
        <f>APT83*APU83*APV83</f>
        <v>#DIV/0!</v>
      </c>
      <c r="APX83" s="363" t="s">
        <v>153</v>
      </c>
      <c r="APY83" s="363"/>
      <c r="APZ83" s="363"/>
      <c r="AQA83" s="364" t="s">
        <v>140</v>
      </c>
      <c r="AQB83" s="365">
        <v>0.5</v>
      </c>
      <c r="AQC83" s="366" t="e">
        <f>10/APY81</f>
        <v>#DIV/0!</v>
      </c>
      <c r="AQD83" s="367">
        <v>15.38</v>
      </c>
      <c r="AQE83" s="367" t="e">
        <f>AQB83*AQC83*AQD83</f>
        <v>#DIV/0!</v>
      </c>
      <c r="AQF83" s="363" t="s">
        <v>153</v>
      </c>
      <c r="AQG83" s="363"/>
      <c r="AQH83" s="363"/>
      <c r="AQI83" s="364" t="s">
        <v>140</v>
      </c>
      <c r="AQJ83" s="365">
        <v>0.5</v>
      </c>
      <c r="AQK83" s="366" t="e">
        <f>10/AQG81</f>
        <v>#DIV/0!</v>
      </c>
      <c r="AQL83" s="367">
        <v>15.38</v>
      </c>
      <c r="AQM83" s="367" t="e">
        <f>AQJ83*AQK83*AQL83</f>
        <v>#DIV/0!</v>
      </c>
      <c r="AQN83" s="363" t="s">
        <v>153</v>
      </c>
      <c r="AQO83" s="363"/>
      <c r="AQP83" s="363"/>
      <c r="AQQ83" s="364" t="s">
        <v>140</v>
      </c>
      <c r="AQR83" s="365">
        <v>0.5</v>
      </c>
      <c r="AQS83" s="366" t="e">
        <f>10/AQO81</f>
        <v>#DIV/0!</v>
      </c>
      <c r="AQT83" s="367">
        <v>15.38</v>
      </c>
      <c r="AQU83" s="367" t="e">
        <f>AQR83*AQS83*AQT83</f>
        <v>#DIV/0!</v>
      </c>
      <c r="AQV83" s="363" t="s">
        <v>153</v>
      </c>
      <c r="AQW83" s="363"/>
      <c r="AQX83" s="363"/>
      <c r="AQY83" s="364" t="s">
        <v>140</v>
      </c>
      <c r="AQZ83" s="365">
        <v>0.5</v>
      </c>
      <c r="ARA83" s="366" t="e">
        <f>10/AQW81</f>
        <v>#DIV/0!</v>
      </c>
      <c r="ARB83" s="367">
        <v>15.38</v>
      </c>
      <c r="ARC83" s="367" t="e">
        <f>AQZ83*ARA83*ARB83</f>
        <v>#DIV/0!</v>
      </c>
      <c r="ARD83" s="363" t="s">
        <v>153</v>
      </c>
      <c r="ARE83" s="363"/>
      <c r="ARF83" s="363"/>
      <c r="ARG83" s="364" t="s">
        <v>140</v>
      </c>
      <c r="ARH83" s="365">
        <v>0.5</v>
      </c>
      <c r="ARI83" s="366" t="e">
        <f>10/ARE81</f>
        <v>#DIV/0!</v>
      </c>
      <c r="ARJ83" s="367">
        <v>15.38</v>
      </c>
      <c r="ARK83" s="367" t="e">
        <f>ARH83*ARI83*ARJ83</f>
        <v>#DIV/0!</v>
      </c>
      <c r="ARL83" s="363" t="s">
        <v>153</v>
      </c>
      <c r="ARM83" s="363"/>
      <c r="ARN83" s="363"/>
      <c r="ARO83" s="364" t="s">
        <v>140</v>
      </c>
      <c r="ARP83" s="365">
        <v>0.5</v>
      </c>
      <c r="ARQ83" s="366" t="e">
        <f>10/ARM81</f>
        <v>#DIV/0!</v>
      </c>
      <c r="ARR83" s="367">
        <v>15.38</v>
      </c>
      <c r="ARS83" s="367" t="e">
        <f>ARP83*ARQ83*ARR83</f>
        <v>#DIV/0!</v>
      </c>
      <c r="ART83" s="363" t="s">
        <v>153</v>
      </c>
      <c r="ARU83" s="363"/>
      <c r="ARV83" s="363"/>
      <c r="ARW83" s="364" t="s">
        <v>140</v>
      </c>
      <c r="ARX83" s="365">
        <v>0.5</v>
      </c>
      <c r="ARY83" s="366" t="e">
        <f>10/ARU81</f>
        <v>#DIV/0!</v>
      </c>
      <c r="ARZ83" s="367">
        <v>15.38</v>
      </c>
      <c r="ASA83" s="367" t="e">
        <f>ARX83*ARY83*ARZ83</f>
        <v>#DIV/0!</v>
      </c>
      <c r="ASB83" s="363" t="s">
        <v>153</v>
      </c>
      <c r="ASC83" s="363"/>
      <c r="ASD83" s="363"/>
      <c r="ASE83" s="364" t="s">
        <v>140</v>
      </c>
      <c r="ASF83" s="365">
        <v>0.5</v>
      </c>
      <c r="ASG83" s="366" t="e">
        <f>10/ASC81</f>
        <v>#DIV/0!</v>
      </c>
      <c r="ASH83" s="367">
        <v>15.38</v>
      </c>
      <c r="ASI83" s="367" t="e">
        <f>ASF83*ASG83*ASH83</f>
        <v>#DIV/0!</v>
      </c>
      <c r="ASJ83" s="363" t="s">
        <v>153</v>
      </c>
      <c r="ASK83" s="363"/>
      <c r="ASL83" s="363"/>
      <c r="ASM83" s="364" t="s">
        <v>140</v>
      </c>
      <c r="ASN83" s="365">
        <v>0.5</v>
      </c>
      <c r="ASO83" s="366" t="e">
        <f>10/ASK81</f>
        <v>#DIV/0!</v>
      </c>
      <c r="ASP83" s="367">
        <v>15.38</v>
      </c>
      <c r="ASQ83" s="367" t="e">
        <f>ASN83*ASO83*ASP83</f>
        <v>#DIV/0!</v>
      </c>
      <c r="ASR83" s="363" t="s">
        <v>153</v>
      </c>
      <c r="ASS83" s="363"/>
      <c r="AST83" s="363"/>
      <c r="ASU83" s="364" t="s">
        <v>140</v>
      </c>
      <c r="ASV83" s="365">
        <v>0.5</v>
      </c>
      <c r="ASW83" s="366" t="e">
        <f>10/ASS81</f>
        <v>#DIV/0!</v>
      </c>
      <c r="ASX83" s="367">
        <v>15.38</v>
      </c>
      <c r="ASY83" s="367" t="e">
        <f>ASV83*ASW83*ASX83</f>
        <v>#DIV/0!</v>
      </c>
      <c r="ASZ83" s="363" t="s">
        <v>153</v>
      </c>
      <c r="ATA83" s="363"/>
      <c r="ATB83" s="363"/>
      <c r="ATC83" s="364" t="s">
        <v>140</v>
      </c>
      <c r="ATD83" s="365">
        <v>0.5</v>
      </c>
      <c r="ATE83" s="366" t="e">
        <f>10/ATA81</f>
        <v>#DIV/0!</v>
      </c>
      <c r="ATF83" s="367">
        <v>15.38</v>
      </c>
      <c r="ATG83" s="367" t="e">
        <f>ATD83*ATE83*ATF83</f>
        <v>#DIV/0!</v>
      </c>
      <c r="ATH83" s="363" t="s">
        <v>153</v>
      </c>
      <c r="ATI83" s="363"/>
      <c r="ATJ83" s="363"/>
      <c r="ATK83" s="364" t="s">
        <v>140</v>
      </c>
      <c r="ATL83" s="365">
        <v>0.5</v>
      </c>
      <c r="ATM83" s="366" t="e">
        <f>10/ATI81</f>
        <v>#DIV/0!</v>
      </c>
      <c r="ATN83" s="367">
        <v>15.38</v>
      </c>
      <c r="ATO83" s="367" t="e">
        <f>ATL83*ATM83*ATN83</f>
        <v>#DIV/0!</v>
      </c>
      <c r="ATP83" s="363" t="s">
        <v>153</v>
      </c>
      <c r="ATQ83" s="363"/>
      <c r="ATR83" s="363"/>
      <c r="ATS83" s="364" t="s">
        <v>140</v>
      </c>
      <c r="ATT83" s="365">
        <v>0.5</v>
      </c>
      <c r="ATU83" s="366" t="e">
        <f>10/ATQ81</f>
        <v>#DIV/0!</v>
      </c>
      <c r="ATV83" s="367">
        <v>15.38</v>
      </c>
      <c r="ATW83" s="367" t="e">
        <f>ATT83*ATU83*ATV83</f>
        <v>#DIV/0!</v>
      </c>
      <c r="ATX83" s="363" t="s">
        <v>153</v>
      </c>
      <c r="ATY83" s="363"/>
      <c r="ATZ83" s="363"/>
      <c r="AUA83" s="364" t="s">
        <v>140</v>
      </c>
      <c r="AUB83" s="365">
        <v>0.5</v>
      </c>
      <c r="AUC83" s="366" t="e">
        <f>10/ATY81</f>
        <v>#DIV/0!</v>
      </c>
      <c r="AUD83" s="367">
        <v>15.38</v>
      </c>
      <c r="AUE83" s="367" t="e">
        <f>AUB83*AUC83*AUD83</f>
        <v>#DIV/0!</v>
      </c>
      <c r="AUF83" s="363" t="s">
        <v>153</v>
      </c>
      <c r="AUG83" s="363"/>
      <c r="AUH83" s="363"/>
      <c r="AUI83" s="364" t="s">
        <v>140</v>
      </c>
      <c r="AUJ83" s="365">
        <v>0.5</v>
      </c>
      <c r="AUK83" s="366" t="e">
        <f>10/AUG81</f>
        <v>#DIV/0!</v>
      </c>
      <c r="AUL83" s="367">
        <v>15.38</v>
      </c>
      <c r="AUM83" s="367" t="e">
        <f>AUJ83*AUK83*AUL83</f>
        <v>#DIV/0!</v>
      </c>
      <c r="AUN83" s="363" t="s">
        <v>153</v>
      </c>
      <c r="AUO83" s="363"/>
      <c r="AUP83" s="363"/>
      <c r="AUQ83" s="364" t="s">
        <v>140</v>
      </c>
      <c r="AUR83" s="365">
        <v>0.5</v>
      </c>
      <c r="AUS83" s="366" t="e">
        <f>10/AUO81</f>
        <v>#DIV/0!</v>
      </c>
      <c r="AUT83" s="367">
        <v>15.38</v>
      </c>
      <c r="AUU83" s="367" t="e">
        <f>AUR83*AUS83*AUT83</f>
        <v>#DIV/0!</v>
      </c>
      <c r="AUV83" s="363" t="s">
        <v>153</v>
      </c>
      <c r="AUW83" s="363"/>
      <c r="AUX83" s="363"/>
      <c r="AUY83" s="364" t="s">
        <v>140</v>
      </c>
      <c r="AUZ83" s="365">
        <v>0.5</v>
      </c>
      <c r="AVA83" s="366" t="e">
        <f>10/AUW81</f>
        <v>#DIV/0!</v>
      </c>
      <c r="AVB83" s="367">
        <v>15.38</v>
      </c>
      <c r="AVC83" s="367" t="e">
        <f>AUZ83*AVA83*AVB83</f>
        <v>#DIV/0!</v>
      </c>
      <c r="AVD83" s="363" t="s">
        <v>153</v>
      </c>
      <c r="AVE83" s="363"/>
      <c r="AVF83" s="363"/>
      <c r="AVG83" s="364" t="s">
        <v>140</v>
      </c>
      <c r="AVH83" s="365">
        <v>0.5</v>
      </c>
      <c r="AVI83" s="366" t="e">
        <f>10/AVE81</f>
        <v>#DIV/0!</v>
      </c>
      <c r="AVJ83" s="367">
        <v>15.38</v>
      </c>
      <c r="AVK83" s="367" t="e">
        <f>AVH83*AVI83*AVJ83</f>
        <v>#DIV/0!</v>
      </c>
      <c r="AVL83" s="363" t="s">
        <v>153</v>
      </c>
      <c r="AVM83" s="363"/>
      <c r="AVN83" s="363"/>
      <c r="AVO83" s="364" t="s">
        <v>140</v>
      </c>
      <c r="AVP83" s="365">
        <v>0.5</v>
      </c>
      <c r="AVQ83" s="366" t="e">
        <f>10/AVM81</f>
        <v>#DIV/0!</v>
      </c>
      <c r="AVR83" s="367">
        <v>15.38</v>
      </c>
      <c r="AVS83" s="367" t="e">
        <f>AVP83*AVQ83*AVR83</f>
        <v>#DIV/0!</v>
      </c>
      <c r="AVT83" s="363" t="s">
        <v>153</v>
      </c>
      <c r="AVU83" s="363"/>
      <c r="AVV83" s="363"/>
      <c r="AVW83" s="364" t="s">
        <v>140</v>
      </c>
      <c r="AVX83" s="365">
        <v>0.5</v>
      </c>
      <c r="AVY83" s="366" t="e">
        <f>10/AVU81</f>
        <v>#DIV/0!</v>
      </c>
      <c r="AVZ83" s="367">
        <v>15.38</v>
      </c>
      <c r="AWA83" s="367" t="e">
        <f>AVX83*AVY83*AVZ83</f>
        <v>#DIV/0!</v>
      </c>
      <c r="AWB83" s="363" t="s">
        <v>153</v>
      </c>
      <c r="AWC83" s="363"/>
      <c r="AWD83" s="363"/>
      <c r="AWE83" s="364" t="s">
        <v>140</v>
      </c>
      <c r="AWF83" s="365">
        <v>0.5</v>
      </c>
      <c r="AWG83" s="366" t="e">
        <f>10/AWC81</f>
        <v>#DIV/0!</v>
      </c>
      <c r="AWH83" s="367">
        <v>15.38</v>
      </c>
      <c r="AWI83" s="367" t="e">
        <f>AWF83*AWG83*AWH83</f>
        <v>#DIV/0!</v>
      </c>
      <c r="AWJ83" s="363" t="s">
        <v>153</v>
      </c>
      <c r="AWK83" s="363"/>
      <c r="AWL83" s="363"/>
      <c r="AWM83" s="364" t="s">
        <v>140</v>
      </c>
      <c r="AWN83" s="365">
        <v>0.5</v>
      </c>
      <c r="AWO83" s="366" t="e">
        <f>10/AWK81</f>
        <v>#DIV/0!</v>
      </c>
      <c r="AWP83" s="367">
        <v>15.38</v>
      </c>
      <c r="AWQ83" s="367" t="e">
        <f>AWN83*AWO83*AWP83</f>
        <v>#DIV/0!</v>
      </c>
      <c r="AWR83" s="363" t="s">
        <v>153</v>
      </c>
      <c r="AWS83" s="363"/>
      <c r="AWT83" s="363"/>
      <c r="AWU83" s="364" t="s">
        <v>140</v>
      </c>
      <c r="AWV83" s="365">
        <v>0.5</v>
      </c>
      <c r="AWW83" s="366" t="e">
        <f>10/AWS81</f>
        <v>#DIV/0!</v>
      </c>
      <c r="AWX83" s="367">
        <v>15.38</v>
      </c>
      <c r="AWY83" s="367" t="e">
        <f>AWV83*AWW83*AWX83</f>
        <v>#DIV/0!</v>
      </c>
      <c r="AWZ83" s="363" t="s">
        <v>153</v>
      </c>
      <c r="AXA83" s="363"/>
      <c r="AXB83" s="363"/>
      <c r="AXC83" s="364" t="s">
        <v>140</v>
      </c>
      <c r="AXD83" s="365">
        <v>0.5</v>
      </c>
      <c r="AXE83" s="366" t="e">
        <f>10/AXA81</f>
        <v>#DIV/0!</v>
      </c>
      <c r="AXF83" s="367">
        <v>15.38</v>
      </c>
      <c r="AXG83" s="367" t="e">
        <f>AXD83*AXE83*AXF83</f>
        <v>#DIV/0!</v>
      </c>
      <c r="AXH83" s="363" t="s">
        <v>153</v>
      </c>
      <c r="AXI83" s="363"/>
      <c r="AXJ83" s="363"/>
      <c r="AXK83" s="364" t="s">
        <v>140</v>
      </c>
      <c r="AXL83" s="365">
        <v>0.5</v>
      </c>
      <c r="AXM83" s="366" t="e">
        <f>10/AXI81</f>
        <v>#DIV/0!</v>
      </c>
      <c r="AXN83" s="367">
        <v>15.38</v>
      </c>
      <c r="AXO83" s="367" t="e">
        <f>AXL83*AXM83*AXN83</f>
        <v>#DIV/0!</v>
      </c>
      <c r="AXP83" s="363" t="s">
        <v>153</v>
      </c>
      <c r="AXQ83" s="363"/>
      <c r="AXR83" s="363"/>
      <c r="AXS83" s="364" t="s">
        <v>140</v>
      </c>
      <c r="AXT83" s="365">
        <v>0.5</v>
      </c>
      <c r="AXU83" s="366" t="e">
        <f>10/AXQ81</f>
        <v>#DIV/0!</v>
      </c>
      <c r="AXV83" s="367">
        <v>15.38</v>
      </c>
      <c r="AXW83" s="367" t="e">
        <f>AXT83*AXU83*AXV83</f>
        <v>#DIV/0!</v>
      </c>
      <c r="AXX83" s="363" t="s">
        <v>153</v>
      </c>
      <c r="AXY83" s="363"/>
      <c r="AXZ83" s="363"/>
      <c r="AYA83" s="364" t="s">
        <v>140</v>
      </c>
      <c r="AYB83" s="365">
        <v>0.5</v>
      </c>
      <c r="AYC83" s="366" t="e">
        <f>10/AXY81</f>
        <v>#DIV/0!</v>
      </c>
      <c r="AYD83" s="367">
        <v>15.38</v>
      </c>
      <c r="AYE83" s="367" t="e">
        <f>AYB83*AYC83*AYD83</f>
        <v>#DIV/0!</v>
      </c>
      <c r="AYF83" s="363" t="s">
        <v>153</v>
      </c>
      <c r="AYG83" s="363"/>
      <c r="AYH83" s="363"/>
      <c r="AYI83" s="364" t="s">
        <v>140</v>
      </c>
      <c r="AYJ83" s="365">
        <v>0.5</v>
      </c>
      <c r="AYK83" s="366" t="e">
        <f>10/AYG81</f>
        <v>#DIV/0!</v>
      </c>
      <c r="AYL83" s="367">
        <v>15.38</v>
      </c>
      <c r="AYM83" s="367" t="e">
        <f>AYJ83*AYK83*AYL83</f>
        <v>#DIV/0!</v>
      </c>
      <c r="AYN83" s="363" t="s">
        <v>153</v>
      </c>
      <c r="AYO83" s="363"/>
      <c r="AYP83" s="363"/>
      <c r="AYQ83" s="364" t="s">
        <v>140</v>
      </c>
      <c r="AYR83" s="365">
        <v>0.5</v>
      </c>
      <c r="AYS83" s="366" t="e">
        <f>10/AYO81</f>
        <v>#DIV/0!</v>
      </c>
      <c r="AYT83" s="367">
        <v>15.38</v>
      </c>
      <c r="AYU83" s="367" t="e">
        <f>AYR83*AYS83*AYT83</f>
        <v>#DIV/0!</v>
      </c>
      <c r="AYV83" s="363" t="s">
        <v>153</v>
      </c>
      <c r="AYW83" s="363"/>
      <c r="AYX83" s="363"/>
      <c r="AYY83" s="364" t="s">
        <v>140</v>
      </c>
      <c r="AYZ83" s="365">
        <v>0.5</v>
      </c>
      <c r="AZA83" s="366" t="e">
        <f>10/AYW81</f>
        <v>#DIV/0!</v>
      </c>
      <c r="AZB83" s="367">
        <v>15.38</v>
      </c>
      <c r="AZC83" s="367" t="e">
        <f>AYZ83*AZA83*AZB83</f>
        <v>#DIV/0!</v>
      </c>
      <c r="AZD83" s="363" t="s">
        <v>153</v>
      </c>
      <c r="AZE83" s="363"/>
      <c r="AZF83" s="363"/>
      <c r="AZG83" s="364" t="s">
        <v>140</v>
      </c>
      <c r="AZH83" s="365">
        <v>0.5</v>
      </c>
      <c r="AZI83" s="366" t="e">
        <f>10/AZE81</f>
        <v>#DIV/0!</v>
      </c>
      <c r="AZJ83" s="367">
        <v>15.38</v>
      </c>
      <c r="AZK83" s="367" t="e">
        <f>AZH83*AZI83*AZJ83</f>
        <v>#DIV/0!</v>
      </c>
      <c r="AZL83" s="363" t="s">
        <v>153</v>
      </c>
      <c r="AZM83" s="363"/>
      <c r="AZN83" s="363"/>
      <c r="AZO83" s="364" t="s">
        <v>140</v>
      </c>
      <c r="AZP83" s="365">
        <v>0.5</v>
      </c>
      <c r="AZQ83" s="366" t="e">
        <f>10/AZM81</f>
        <v>#DIV/0!</v>
      </c>
      <c r="AZR83" s="367">
        <v>15.38</v>
      </c>
      <c r="AZS83" s="367" t="e">
        <f>AZP83*AZQ83*AZR83</f>
        <v>#DIV/0!</v>
      </c>
      <c r="AZT83" s="363" t="s">
        <v>153</v>
      </c>
      <c r="AZU83" s="363"/>
      <c r="AZV83" s="363"/>
      <c r="AZW83" s="364" t="s">
        <v>140</v>
      </c>
      <c r="AZX83" s="365">
        <v>0.5</v>
      </c>
      <c r="AZY83" s="366" t="e">
        <f>10/AZU81</f>
        <v>#DIV/0!</v>
      </c>
      <c r="AZZ83" s="367">
        <v>15.38</v>
      </c>
      <c r="BAA83" s="367" t="e">
        <f>AZX83*AZY83*AZZ83</f>
        <v>#DIV/0!</v>
      </c>
      <c r="BAB83" s="363" t="s">
        <v>153</v>
      </c>
      <c r="BAC83" s="363"/>
      <c r="BAD83" s="363"/>
      <c r="BAE83" s="364" t="s">
        <v>140</v>
      </c>
      <c r="BAF83" s="365">
        <v>0.5</v>
      </c>
      <c r="BAG83" s="366" t="e">
        <f>10/BAC81</f>
        <v>#DIV/0!</v>
      </c>
      <c r="BAH83" s="367">
        <v>15.38</v>
      </c>
      <c r="BAI83" s="367" t="e">
        <f>BAF83*BAG83*BAH83</f>
        <v>#DIV/0!</v>
      </c>
      <c r="BAJ83" s="363" t="s">
        <v>153</v>
      </c>
      <c r="BAK83" s="363"/>
      <c r="BAL83" s="363"/>
      <c r="BAM83" s="364" t="s">
        <v>140</v>
      </c>
      <c r="BAN83" s="365">
        <v>0.5</v>
      </c>
      <c r="BAO83" s="366" t="e">
        <f>10/BAK81</f>
        <v>#DIV/0!</v>
      </c>
      <c r="BAP83" s="367">
        <v>15.38</v>
      </c>
      <c r="BAQ83" s="367" t="e">
        <f>BAN83*BAO83*BAP83</f>
        <v>#DIV/0!</v>
      </c>
      <c r="BAR83" s="363" t="s">
        <v>153</v>
      </c>
      <c r="BAS83" s="363"/>
      <c r="BAT83" s="363"/>
      <c r="BAU83" s="364" t="s">
        <v>140</v>
      </c>
      <c r="BAV83" s="365">
        <v>0.5</v>
      </c>
      <c r="BAW83" s="366" t="e">
        <f>10/BAS81</f>
        <v>#DIV/0!</v>
      </c>
      <c r="BAX83" s="367">
        <v>15.38</v>
      </c>
      <c r="BAY83" s="367" t="e">
        <f>BAV83*BAW83*BAX83</f>
        <v>#DIV/0!</v>
      </c>
      <c r="BAZ83" s="363" t="s">
        <v>153</v>
      </c>
      <c r="BBA83" s="363"/>
      <c r="BBB83" s="363"/>
      <c r="BBC83" s="364" t="s">
        <v>140</v>
      </c>
      <c r="BBD83" s="365">
        <v>0.5</v>
      </c>
      <c r="BBE83" s="366" t="e">
        <f>10/BBA81</f>
        <v>#DIV/0!</v>
      </c>
      <c r="BBF83" s="367">
        <v>15.38</v>
      </c>
      <c r="BBG83" s="367" t="e">
        <f>BBD83*BBE83*BBF83</f>
        <v>#DIV/0!</v>
      </c>
      <c r="BBH83" s="363" t="s">
        <v>153</v>
      </c>
      <c r="BBI83" s="363"/>
      <c r="BBJ83" s="363"/>
      <c r="BBK83" s="364" t="s">
        <v>140</v>
      </c>
      <c r="BBL83" s="365">
        <v>0.5</v>
      </c>
      <c r="BBM83" s="366" t="e">
        <f>10/BBI81</f>
        <v>#DIV/0!</v>
      </c>
      <c r="BBN83" s="367">
        <v>15.38</v>
      </c>
      <c r="BBO83" s="367" t="e">
        <f>BBL83*BBM83*BBN83</f>
        <v>#DIV/0!</v>
      </c>
      <c r="BBP83" s="363" t="s">
        <v>153</v>
      </c>
      <c r="BBQ83" s="363"/>
      <c r="BBR83" s="363"/>
      <c r="BBS83" s="364" t="s">
        <v>140</v>
      </c>
      <c r="BBT83" s="365">
        <v>0.5</v>
      </c>
      <c r="BBU83" s="366" t="e">
        <f>10/BBQ81</f>
        <v>#DIV/0!</v>
      </c>
      <c r="BBV83" s="367">
        <v>15.38</v>
      </c>
      <c r="BBW83" s="367" t="e">
        <f>BBT83*BBU83*BBV83</f>
        <v>#DIV/0!</v>
      </c>
      <c r="BBX83" s="363" t="s">
        <v>153</v>
      </c>
      <c r="BBY83" s="363"/>
      <c r="BBZ83" s="363"/>
      <c r="BCA83" s="364" t="s">
        <v>140</v>
      </c>
      <c r="BCB83" s="365">
        <v>0.5</v>
      </c>
      <c r="BCC83" s="366" t="e">
        <f>10/BBY81</f>
        <v>#DIV/0!</v>
      </c>
      <c r="BCD83" s="367">
        <v>15.38</v>
      </c>
      <c r="BCE83" s="367" t="e">
        <f>BCB83*BCC83*BCD83</f>
        <v>#DIV/0!</v>
      </c>
      <c r="BCF83" s="363" t="s">
        <v>153</v>
      </c>
      <c r="BCG83" s="363"/>
      <c r="BCH83" s="363"/>
      <c r="BCI83" s="364" t="s">
        <v>140</v>
      </c>
      <c r="BCJ83" s="365">
        <v>0.5</v>
      </c>
      <c r="BCK83" s="366" t="e">
        <f>10/BCG81</f>
        <v>#DIV/0!</v>
      </c>
      <c r="BCL83" s="367">
        <v>15.38</v>
      </c>
      <c r="BCM83" s="367" t="e">
        <f>BCJ83*BCK83*BCL83</f>
        <v>#DIV/0!</v>
      </c>
      <c r="BCN83" s="363" t="s">
        <v>153</v>
      </c>
      <c r="BCO83" s="363"/>
      <c r="BCP83" s="363"/>
      <c r="BCQ83" s="364" t="s">
        <v>140</v>
      </c>
      <c r="BCR83" s="365">
        <v>0.5</v>
      </c>
      <c r="BCS83" s="366" t="e">
        <f>10/BCO81</f>
        <v>#DIV/0!</v>
      </c>
      <c r="BCT83" s="367">
        <v>15.38</v>
      </c>
      <c r="BCU83" s="367" t="e">
        <f>BCR83*BCS83*BCT83</f>
        <v>#DIV/0!</v>
      </c>
      <c r="BCV83" s="363" t="s">
        <v>153</v>
      </c>
      <c r="BCW83" s="363"/>
      <c r="BCX83" s="363"/>
      <c r="BCY83" s="364" t="s">
        <v>140</v>
      </c>
      <c r="BCZ83" s="365">
        <v>0.5</v>
      </c>
      <c r="BDA83" s="366" t="e">
        <f>10/BCW81</f>
        <v>#DIV/0!</v>
      </c>
      <c r="BDB83" s="367">
        <v>15.38</v>
      </c>
      <c r="BDC83" s="367" t="e">
        <f>BCZ83*BDA83*BDB83</f>
        <v>#DIV/0!</v>
      </c>
      <c r="BDD83" s="363" t="s">
        <v>153</v>
      </c>
      <c r="BDE83" s="363"/>
      <c r="BDF83" s="363"/>
      <c r="BDG83" s="364" t="s">
        <v>140</v>
      </c>
      <c r="BDH83" s="365">
        <v>0.5</v>
      </c>
      <c r="BDI83" s="366" t="e">
        <f>10/BDE81</f>
        <v>#DIV/0!</v>
      </c>
      <c r="BDJ83" s="367">
        <v>15.38</v>
      </c>
      <c r="BDK83" s="367" t="e">
        <f>BDH83*BDI83*BDJ83</f>
        <v>#DIV/0!</v>
      </c>
      <c r="BDL83" s="363" t="s">
        <v>153</v>
      </c>
      <c r="BDM83" s="363"/>
      <c r="BDN83" s="363"/>
      <c r="BDO83" s="364" t="s">
        <v>140</v>
      </c>
      <c r="BDP83" s="365">
        <v>0.5</v>
      </c>
      <c r="BDQ83" s="366" t="e">
        <f>10/BDM81</f>
        <v>#DIV/0!</v>
      </c>
      <c r="BDR83" s="367">
        <v>15.38</v>
      </c>
      <c r="BDS83" s="367" t="e">
        <f>BDP83*BDQ83*BDR83</f>
        <v>#DIV/0!</v>
      </c>
      <c r="BDT83" s="363" t="s">
        <v>153</v>
      </c>
      <c r="BDU83" s="363"/>
      <c r="BDV83" s="363"/>
      <c r="BDW83" s="364" t="s">
        <v>140</v>
      </c>
      <c r="BDX83" s="365">
        <v>0.5</v>
      </c>
      <c r="BDY83" s="366" t="e">
        <f>10/BDU81</f>
        <v>#DIV/0!</v>
      </c>
      <c r="BDZ83" s="367">
        <v>15.38</v>
      </c>
      <c r="BEA83" s="367" t="e">
        <f>BDX83*BDY83*BDZ83</f>
        <v>#DIV/0!</v>
      </c>
      <c r="BEB83" s="363" t="s">
        <v>153</v>
      </c>
      <c r="BEC83" s="363"/>
      <c r="BED83" s="363"/>
      <c r="BEE83" s="364" t="s">
        <v>140</v>
      </c>
      <c r="BEF83" s="365">
        <v>0.5</v>
      </c>
      <c r="BEG83" s="366" t="e">
        <f>10/BEC81</f>
        <v>#DIV/0!</v>
      </c>
      <c r="BEH83" s="367">
        <v>15.38</v>
      </c>
      <c r="BEI83" s="367" t="e">
        <f>BEF83*BEG83*BEH83</f>
        <v>#DIV/0!</v>
      </c>
      <c r="BEJ83" s="363" t="s">
        <v>153</v>
      </c>
      <c r="BEK83" s="363"/>
      <c r="BEL83" s="363"/>
      <c r="BEM83" s="364" t="s">
        <v>140</v>
      </c>
      <c r="BEN83" s="365">
        <v>0.5</v>
      </c>
      <c r="BEO83" s="366" t="e">
        <f>10/BEK81</f>
        <v>#DIV/0!</v>
      </c>
      <c r="BEP83" s="367">
        <v>15.38</v>
      </c>
      <c r="BEQ83" s="367" t="e">
        <f>BEN83*BEO83*BEP83</f>
        <v>#DIV/0!</v>
      </c>
      <c r="BER83" s="363" t="s">
        <v>153</v>
      </c>
      <c r="BES83" s="363"/>
      <c r="BET83" s="363"/>
      <c r="BEU83" s="364" t="s">
        <v>140</v>
      </c>
      <c r="BEV83" s="365">
        <v>0.5</v>
      </c>
      <c r="BEW83" s="366" t="e">
        <f>10/BES81</f>
        <v>#DIV/0!</v>
      </c>
      <c r="BEX83" s="367">
        <v>15.38</v>
      </c>
      <c r="BEY83" s="367" t="e">
        <f>BEV83*BEW83*BEX83</f>
        <v>#DIV/0!</v>
      </c>
      <c r="BEZ83" s="363" t="s">
        <v>153</v>
      </c>
      <c r="BFA83" s="363"/>
      <c r="BFB83" s="363"/>
      <c r="BFC83" s="364" t="s">
        <v>140</v>
      </c>
      <c r="BFD83" s="365">
        <v>0.5</v>
      </c>
      <c r="BFE83" s="366" t="e">
        <f>10/BFA81</f>
        <v>#DIV/0!</v>
      </c>
      <c r="BFF83" s="367">
        <v>15.38</v>
      </c>
      <c r="BFG83" s="367" t="e">
        <f>BFD83*BFE83*BFF83</f>
        <v>#DIV/0!</v>
      </c>
      <c r="BFH83" s="363" t="s">
        <v>153</v>
      </c>
      <c r="BFI83" s="363"/>
      <c r="BFJ83" s="363"/>
      <c r="BFK83" s="364" t="s">
        <v>140</v>
      </c>
      <c r="BFL83" s="365">
        <v>0.5</v>
      </c>
      <c r="BFM83" s="366" t="e">
        <f>10/BFI81</f>
        <v>#DIV/0!</v>
      </c>
      <c r="BFN83" s="367">
        <v>15.38</v>
      </c>
      <c r="BFO83" s="367" t="e">
        <f>BFL83*BFM83*BFN83</f>
        <v>#DIV/0!</v>
      </c>
      <c r="BFP83" s="363" t="s">
        <v>153</v>
      </c>
      <c r="BFQ83" s="363"/>
      <c r="BFR83" s="363"/>
      <c r="BFS83" s="364" t="s">
        <v>140</v>
      </c>
      <c r="BFT83" s="365">
        <v>0.5</v>
      </c>
      <c r="BFU83" s="366" t="e">
        <f>10/BFQ81</f>
        <v>#DIV/0!</v>
      </c>
      <c r="BFV83" s="367">
        <v>15.38</v>
      </c>
      <c r="BFW83" s="367" t="e">
        <f>BFT83*BFU83*BFV83</f>
        <v>#DIV/0!</v>
      </c>
      <c r="BFX83" s="363" t="s">
        <v>153</v>
      </c>
      <c r="BFY83" s="363"/>
      <c r="BFZ83" s="363"/>
      <c r="BGA83" s="364" t="s">
        <v>140</v>
      </c>
      <c r="BGB83" s="365">
        <v>0.5</v>
      </c>
      <c r="BGC83" s="366" t="e">
        <f>10/BFY81</f>
        <v>#DIV/0!</v>
      </c>
      <c r="BGD83" s="367">
        <v>15.38</v>
      </c>
      <c r="BGE83" s="367" t="e">
        <f>BGB83*BGC83*BGD83</f>
        <v>#DIV/0!</v>
      </c>
      <c r="BGF83" s="363" t="s">
        <v>153</v>
      </c>
      <c r="BGG83" s="363"/>
      <c r="BGH83" s="363"/>
      <c r="BGI83" s="364" t="s">
        <v>140</v>
      </c>
      <c r="BGJ83" s="365">
        <v>0.5</v>
      </c>
      <c r="BGK83" s="366" t="e">
        <f>10/BGG81</f>
        <v>#DIV/0!</v>
      </c>
      <c r="BGL83" s="367">
        <v>15.38</v>
      </c>
      <c r="BGM83" s="367" t="e">
        <f>BGJ83*BGK83*BGL83</f>
        <v>#DIV/0!</v>
      </c>
      <c r="BGN83" s="363" t="s">
        <v>153</v>
      </c>
      <c r="BGO83" s="363"/>
      <c r="BGP83" s="363"/>
      <c r="BGQ83" s="364" t="s">
        <v>140</v>
      </c>
      <c r="BGR83" s="365">
        <v>0.5</v>
      </c>
      <c r="BGS83" s="366" t="e">
        <f>10/BGO81</f>
        <v>#DIV/0!</v>
      </c>
      <c r="BGT83" s="367">
        <v>15.38</v>
      </c>
      <c r="BGU83" s="367" t="e">
        <f>BGR83*BGS83*BGT83</f>
        <v>#DIV/0!</v>
      </c>
      <c r="BGV83" s="363" t="s">
        <v>153</v>
      </c>
      <c r="BGW83" s="363"/>
      <c r="BGX83" s="363"/>
      <c r="BGY83" s="364" t="s">
        <v>140</v>
      </c>
      <c r="BGZ83" s="365">
        <v>0.5</v>
      </c>
      <c r="BHA83" s="366" t="e">
        <f>10/BGW81</f>
        <v>#DIV/0!</v>
      </c>
      <c r="BHB83" s="367">
        <v>15.38</v>
      </c>
      <c r="BHC83" s="367" t="e">
        <f>BGZ83*BHA83*BHB83</f>
        <v>#DIV/0!</v>
      </c>
      <c r="BHD83" s="363" t="s">
        <v>153</v>
      </c>
      <c r="BHE83" s="363"/>
      <c r="BHF83" s="363"/>
      <c r="BHG83" s="364" t="s">
        <v>140</v>
      </c>
      <c r="BHH83" s="365">
        <v>0.5</v>
      </c>
      <c r="BHI83" s="366" t="e">
        <f>10/BHE81</f>
        <v>#DIV/0!</v>
      </c>
      <c r="BHJ83" s="367">
        <v>15.38</v>
      </c>
      <c r="BHK83" s="367" t="e">
        <f>BHH83*BHI83*BHJ83</f>
        <v>#DIV/0!</v>
      </c>
      <c r="BHL83" s="363" t="s">
        <v>153</v>
      </c>
      <c r="BHM83" s="363"/>
      <c r="BHN83" s="363"/>
      <c r="BHO83" s="364" t="s">
        <v>140</v>
      </c>
      <c r="BHP83" s="365">
        <v>0.5</v>
      </c>
      <c r="BHQ83" s="366" t="e">
        <f>10/BHM81</f>
        <v>#DIV/0!</v>
      </c>
      <c r="BHR83" s="367">
        <v>15.38</v>
      </c>
      <c r="BHS83" s="367" t="e">
        <f>BHP83*BHQ83*BHR83</f>
        <v>#DIV/0!</v>
      </c>
      <c r="BHT83" s="363" t="s">
        <v>153</v>
      </c>
      <c r="BHU83" s="363"/>
      <c r="BHV83" s="363"/>
      <c r="BHW83" s="364" t="s">
        <v>140</v>
      </c>
      <c r="BHX83" s="365">
        <v>0.5</v>
      </c>
      <c r="BHY83" s="366" t="e">
        <f>10/BHU81</f>
        <v>#DIV/0!</v>
      </c>
      <c r="BHZ83" s="367">
        <v>15.38</v>
      </c>
      <c r="BIA83" s="367" t="e">
        <f>BHX83*BHY83*BHZ83</f>
        <v>#DIV/0!</v>
      </c>
      <c r="BIB83" s="363" t="s">
        <v>153</v>
      </c>
      <c r="BIC83" s="363"/>
      <c r="BID83" s="363"/>
      <c r="BIE83" s="364" t="s">
        <v>140</v>
      </c>
      <c r="BIF83" s="365">
        <v>0.5</v>
      </c>
      <c r="BIG83" s="366" t="e">
        <f>10/BIC81</f>
        <v>#DIV/0!</v>
      </c>
      <c r="BIH83" s="367">
        <v>15.38</v>
      </c>
      <c r="BII83" s="367" t="e">
        <f>BIF83*BIG83*BIH83</f>
        <v>#DIV/0!</v>
      </c>
      <c r="BIJ83" s="363" t="s">
        <v>153</v>
      </c>
      <c r="BIK83" s="363"/>
      <c r="BIL83" s="363"/>
      <c r="BIM83" s="364" t="s">
        <v>140</v>
      </c>
      <c r="BIN83" s="365">
        <v>0.5</v>
      </c>
      <c r="BIO83" s="366" t="e">
        <f>10/BIK81</f>
        <v>#DIV/0!</v>
      </c>
      <c r="BIP83" s="367">
        <v>15.38</v>
      </c>
      <c r="BIQ83" s="367" t="e">
        <f>BIN83*BIO83*BIP83</f>
        <v>#DIV/0!</v>
      </c>
      <c r="BIR83" s="363" t="s">
        <v>153</v>
      </c>
      <c r="BIS83" s="363"/>
      <c r="BIT83" s="363"/>
      <c r="BIU83" s="364" t="s">
        <v>140</v>
      </c>
      <c r="BIV83" s="365">
        <v>0.5</v>
      </c>
      <c r="BIW83" s="366" t="e">
        <f>10/BIS81</f>
        <v>#DIV/0!</v>
      </c>
      <c r="BIX83" s="367">
        <v>15.38</v>
      </c>
      <c r="BIY83" s="367" t="e">
        <f>BIV83*BIW83*BIX83</f>
        <v>#DIV/0!</v>
      </c>
      <c r="BIZ83" s="363" t="s">
        <v>153</v>
      </c>
      <c r="BJA83" s="363"/>
      <c r="BJB83" s="363"/>
      <c r="BJC83" s="364" t="s">
        <v>140</v>
      </c>
      <c r="BJD83" s="365">
        <v>0.5</v>
      </c>
      <c r="BJE83" s="366" t="e">
        <f>10/BJA81</f>
        <v>#DIV/0!</v>
      </c>
      <c r="BJF83" s="367">
        <v>15.38</v>
      </c>
      <c r="BJG83" s="367" t="e">
        <f>BJD83*BJE83*BJF83</f>
        <v>#DIV/0!</v>
      </c>
      <c r="BJH83" s="363" t="s">
        <v>153</v>
      </c>
      <c r="BJI83" s="363"/>
      <c r="BJJ83" s="363"/>
      <c r="BJK83" s="364" t="s">
        <v>140</v>
      </c>
      <c r="BJL83" s="365">
        <v>0.5</v>
      </c>
      <c r="BJM83" s="366" t="e">
        <f>10/BJI81</f>
        <v>#DIV/0!</v>
      </c>
      <c r="BJN83" s="367">
        <v>15.38</v>
      </c>
      <c r="BJO83" s="367" t="e">
        <f>BJL83*BJM83*BJN83</f>
        <v>#DIV/0!</v>
      </c>
      <c r="BJP83" s="363" t="s">
        <v>153</v>
      </c>
      <c r="BJQ83" s="363"/>
      <c r="BJR83" s="363"/>
      <c r="BJS83" s="364" t="s">
        <v>140</v>
      </c>
      <c r="BJT83" s="365">
        <v>0.5</v>
      </c>
      <c r="BJU83" s="366" t="e">
        <f>10/BJQ81</f>
        <v>#DIV/0!</v>
      </c>
      <c r="BJV83" s="367">
        <v>15.38</v>
      </c>
      <c r="BJW83" s="367" t="e">
        <f>BJT83*BJU83*BJV83</f>
        <v>#DIV/0!</v>
      </c>
      <c r="BJX83" s="363" t="s">
        <v>153</v>
      </c>
      <c r="BJY83" s="363"/>
      <c r="BJZ83" s="363"/>
      <c r="BKA83" s="364" t="s">
        <v>140</v>
      </c>
      <c r="BKB83" s="365">
        <v>0.5</v>
      </c>
      <c r="BKC83" s="366" t="e">
        <f>10/BJY81</f>
        <v>#DIV/0!</v>
      </c>
      <c r="BKD83" s="367">
        <v>15.38</v>
      </c>
      <c r="BKE83" s="367" t="e">
        <f>BKB83*BKC83*BKD83</f>
        <v>#DIV/0!</v>
      </c>
      <c r="BKF83" s="363" t="s">
        <v>153</v>
      </c>
      <c r="BKG83" s="363"/>
      <c r="BKH83" s="363"/>
      <c r="BKI83" s="364" t="s">
        <v>140</v>
      </c>
      <c r="BKJ83" s="365">
        <v>0.5</v>
      </c>
      <c r="BKK83" s="366" t="e">
        <f>10/BKG81</f>
        <v>#DIV/0!</v>
      </c>
      <c r="BKL83" s="367">
        <v>15.38</v>
      </c>
      <c r="BKM83" s="367" t="e">
        <f>BKJ83*BKK83*BKL83</f>
        <v>#DIV/0!</v>
      </c>
      <c r="BKN83" s="363" t="s">
        <v>153</v>
      </c>
      <c r="BKO83" s="363"/>
      <c r="BKP83" s="363"/>
      <c r="BKQ83" s="364" t="s">
        <v>140</v>
      </c>
      <c r="BKR83" s="365">
        <v>0.5</v>
      </c>
      <c r="BKS83" s="366" t="e">
        <f>10/BKO81</f>
        <v>#DIV/0!</v>
      </c>
      <c r="BKT83" s="367">
        <v>15.38</v>
      </c>
      <c r="BKU83" s="367" t="e">
        <f>BKR83*BKS83*BKT83</f>
        <v>#DIV/0!</v>
      </c>
      <c r="BKV83" s="363" t="s">
        <v>153</v>
      </c>
      <c r="BKW83" s="363"/>
      <c r="BKX83" s="363"/>
      <c r="BKY83" s="364" t="s">
        <v>140</v>
      </c>
      <c r="BKZ83" s="365">
        <v>0.5</v>
      </c>
      <c r="BLA83" s="366" t="e">
        <f>10/BKW81</f>
        <v>#DIV/0!</v>
      </c>
      <c r="BLB83" s="367">
        <v>15.38</v>
      </c>
      <c r="BLC83" s="367" t="e">
        <f>BKZ83*BLA83*BLB83</f>
        <v>#DIV/0!</v>
      </c>
      <c r="BLD83" s="363" t="s">
        <v>153</v>
      </c>
      <c r="BLE83" s="363"/>
      <c r="BLF83" s="363"/>
      <c r="BLG83" s="364" t="s">
        <v>140</v>
      </c>
      <c r="BLH83" s="365">
        <v>0.5</v>
      </c>
      <c r="BLI83" s="366" t="e">
        <f>10/BLE81</f>
        <v>#DIV/0!</v>
      </c>
      <c r="BLJ83" s="367">
        <v>15.38</v>
      </c>
      <c r="BLK83" s="367" t="e">
        <f>BLH83*BLI83*BLJ83</f>
        <v>#DIV/0!</v>
      </c>
      <c r="BLL83" s="363" t="s">
        <v>153</v>
      </c>
      <c r="BLM83" s="363"/>
      <c r="BLN83" s="363"/>
      <c r="BLO83" s="364" t="s">
        <v>140</v>
      </c>
      <c r="BLP83" s="365">
        <v>0.5</v>
      </c>
      <c r="BLQ83" s="366" t="e">
        <f>10/BLM81</f>
        <v>#DIV/0!</v>
      </c>
      <c r="BLR83" s="367">
        <v>15.38</v>
      </c>
      <c r="BLS83" s="367" t="e">
        <f>BLP83*BLQ83*BLR83</f>
        <v>#DIV/0!</v>
      </c>
      <c r="BLT83" s="363" t="s">
        <v>153</v>
      </c>
      <c r="BLU83" s="363"/>
      <c r="BLV83" s="363"/>
      <c r="BLW83" s="364" t="s">
        <v>140</v>
      </c>
      <c r="BLX83" s="365">
        <v>0.5</v>
      </c>
      <c r="BLY83" s="366" t="e">
        <f>10/BLU81</f>
        <v>#DIV/0!</v>
      </c>
      <c r="BLZ83" s="367">
        <v>15.38</v>
      </c>
      <c r="BMA83" s="367" t="e">
        <f>BLX83*BLY83*BLZ83</f>
        <v>#DIV/0!</v>
      </c>
      <c r="BMB83" s="363" t="s">
        <v>153</v>
      </c>
      <c r="BMC83" s="363"/>
      <c r="BMD83" s="363"/>
      <c r="BME83" s="364" t="s">
        <v>140</v>
      </c>
      <c r="BMF83" s="365">
        <v>0.5</v>
      </c>
      <c r="BMG83" s="366" t="e">
        <f>10/BMC81</f>
        <v>#DIV/0!</v>
      </c>
      <c r="BMH83" s="367">
        <v>15.38</v>
      </c>
      <c r="BMI83" s="367" t="e">
        <f>BMF83*BMG83*BMH83</f>
        <v>#DIV/0!</v>
      </c>
      <c r="BMJ83" s="363" t="s">
        <v>153</v>
      </c>
      <c r="BMK83" s="363"/>
      <c r="BML83" s="363"/>
      <c r="BMM83" s="364" t="s">
        <v>140</v>
      </c>
      <c r="BMN83" s="365">
        <v>0.5</v>
      </c>
      <c r="BMO83" s="366" t="e">
        <f>10/BMK81</f>
        <v>#DIV/0!</v>
      </c>
      <c r="BMP83" s="367">
        <v>15.38</v>
      </c>
      <c r="BMQ83" s="367" t="e">
        <f>BMN83*BMO83*BMP83</f>
        <v>#DIV/0!</v>
      </c>
      <c r="BMR83" s="363" t="s">
        <v>153</v>
      </c>
      <c r="BMS83" s="363"/>
      <c r="BMT83" s="363"/>
      <c r="BMU83" s="364" t="s">
        <v>140</v>
      </c>
      <c r="BMV83" s="365">
        <v>0.5</v>
      </c>
      <c r="BMW83" s="366" t="e">
        <f>10/BMS81</f>
        <v>#DIV/0!</v>
      </c>
      <c r="BMX83" s="367">
        <v>15.38</v>
      </c>
      <c r="BMY83" s="367" t="e">
        <f>BMV83*BMW83*BMX83</f>
        <v>#DIV/0!</v>
      </c>
      <c r="BMZ83" s="363" t="s">
        <v>153</v>
      </c>
      <c r="BNA83" s="363"/>
      <c r="BNB83" s="363"/>
      <c r="BNC83" s="364" t="s">
        <v>140</v>
      </c>
      <c r="BND83" s="365">
        <v>0.5</v>
      </c>
      <c r="BNE83" s="366" t="e">
        <f>10/BNA81</f>
        <v>#DIV/0!</v>
      </c>
      <c r="BNF83" s="367">
        <v>15.38</v>
      </c>
      <c r="BNG83" s="367" t="e">
        <f>BND83*BNE83*BNF83</f>
        <v>#DIV/0!</v>
      </c>
      <c r="BNH83" s="363" t="s">
        <v>153</v>
      </c>
      <c r="BNI83" s="363"/>
      <c r="BNJ83" s="363"/>
      <c r="BNK83" s="364" t="s">
        <v>140</v>
      </c>
      <c r="BNL83" s="365">
        <v>0.5</v>
      </c>
      <c r="BNM83" s="366" t="e">
        <f>10/BNI81</f>
        <v>#DIV/0!</v>
      </c>
      <c r="BNN83" s="367">
        <v>15.38</v>
      </c>
      <c r="BNO83" s="367" t="e">
        <f>BNL83*BNM83*BNN83</f>
        <v>#DIV/0!</v>
      </c>
      <c r="BNP83" s="363" t="s">
        <v>153</v>
      </c>
      <c r="BNQ83" s="363"/>
      <c r="BNR83" s="363"/>
      <c r="BNS83" s="364" t="s">
        <v>140</v>
      </c>
      <c r="BNT83" s="365">
        <v>0.5</v>
      </c>
      <c r="BNU83" s="366" t="e">
        <f>10/BNQ81</f>
        <v>#DIV/0!</v>
      </c>
      <c r="BNV83" s="367">
        <v>15.38</v>
      </c>
      <c r="BNW83" s="367" t="e">
        <f>BNT83*BNU83*BNV83</f>
        <v>#DIV/0!</v>
      </c>
      <c r="BNX83" s="363" t="s">
        <v>153</v>
      </c>
      <c r="BNY83" s="363"/>
      <c r="BNZ83" s="363"/>
      <c r="BOA83" s="364" t="s">
        <v>140</v>
      </c>
      <c r="BOB83" s="365">
        <v>0.5</v>
      </c>
      <c r="BOC83" s="366" t="e">
        <f>10/BNY81</f>
        <v>#DIV/0!</v>
      </c>
      <c r="BOD83" s="367">
        <v>15.38</v>
      </c>
      <c r="BOE83" s="367" t="e">
        <f>BOB83*BOC83*BOD83</f>
        <v>#DIV/0!</v>
      </c>
      <c r="BOF83" s="363" t="s">
        <v>153</v>
      </c>
      <c r="BOG83" s="363"/>
      <c r="BOH83" s="363"/>
      <c r="BOI83" s="364" t="s">
        <v>140</v>
      </c>
      <c r="BOJ83" s="365">
        <v>0.5</v>
      </c>
      <c r="BOK83" s="366" t="e">
        <f>10/BOG81</f>
        <v>#DIV/0!</v>
      </c>
      <c r="BOL83" s="367">
        <v>15.38</v>
      </c>
      <c r="BOM83" s="367" t="e">
        <f>BOJ83*BOK83*BOL83</f>
        <v>#DIV/0!</v>
      </c>
      <c r="BON83" s="363" t="s">
        <v>153</v>
      </c>
      <c r="BOO83" s="363"/>
      <c r="BOP83" s="363"/>
      <c r="BOQ83" s="364" t="s">
        <v>140</v>
      </c>
      <c r="BOR83" s="365">
        <v>0.5</v>
      </c>
      <c r="BOS83" s="366" t="e">
        <f>10/BOO81</f>
        <v>#DIV/0!</v>
      </c>
      <c r="BOT83" s="367">
        <v>15.38</v>
      </c>
      <c r="BOU83" s="367" t="e">
        <f>BOR83*BOS83*BOT83</f>
        <v>#DIV/0!</v>
      </c>
      <c r="BOV83" s="363" t="s">
        <v>153</v>
      </c>
      <c r="BOW83" s="363"/>
      <c r="BOX83" s="363"/>
      <c r="BOY83" s="364" t="s">
        <v>140</v>
      </c>
      <c r="BOZ83" s="365">
        <v>0.5</v>
      </c>
      <c r="BPA83" s="366" t="e">
        <f>10/BOW81</f>
        <v>#DIV/0!</v>
      </c>
      <c r="BPB83" s="367">
        <v>15.38</v>
      </c>
      <c r="BPC83" s="367" t="e">
        <f>BOZ83*BPA83*BPB83</f>
        <v>#DIV/0!</v>
      </c>
      <c r="BPD83" s="363" t="s">
        <v>153</v>
      </c>
      <c r="BPE83" s="363"/>
      <c r="BPF83" s="363"/>
      <c r="BPG83" s="364" t="s">
        <v>140</v>
      </c>
      <c r="BPH83" s="365">
        <v>0.5</v>
      </c>
      <c r="BPI83" s="366" t="e">
        <f>10/BPE81</f>
        <v>#DIV/0!</v>
      </c>
      <c r="BPJ83" s="367">
        <v>15.38</v>
      </c>
      <c r="BPK83" s="367" t="e">
        <f>BPH83*BPI83*BPJ83</f>
        <v>#DIV/0!</v>
      </c>
      <c r="BPL83" s="363" t="s">
        <v>153</v>
      </c>
      <c r="BPM83" s="363"/>
      <c r="BPN83" s="363"/>
      <c r="BPO83" s="364" t="s">
        <v>140</v>
      </c>
      <c r="BPP83" s="365">
        <v>0.5</v>
      </c>
      <c r="BPQ83" s="366" t="e">
        <f>10/BPM81</f>
        <v>#DIV/0!</v>
      </c>
      <c r="BPR83" s="367">
        <v>15.38</v>
      </c>
      <c r="BPS83" s="367" t="e">
        <f>BPP83*BPQ83*BPR83</f>
        <v>#DIV/0!</v>
      </c>
      <c r="BPT83" s="363" t="s">
        <v>153</v>
      </c>
      <c r="BPU83" s="363"/>
      <c r="BPV83" s="363"/>
      <c r="BPW83" s="364" t="s">
        <v>140</v>
      </c>
      <c r="BPX83" s="365">
        <v>0.5</v>
      </c>
      <c r="BPY83" s="366" t="e">
        <f>10/BPU81</f>
        <v>#DIV/0!</v>
      </c>
      <c r="BPZ83" s="367">
        <v>15.38</v>
      </c>
      <c r="BQA83" s="367" t="e">
        <f>BPX83*BPY83*BPZ83</f>
        <v>#DIV/0!</v>
      </c>
      <c r="BQB83" s="363" t="s">
        <v>153</v>
      </c>
      <c r="BQC83" s="363"/>
      <c r="BQD83" s="363"/>
      <c r="BQE83" s="364" t="s">
        <v>140</v>
      </c>
      <c r="BQF83" s="365">
        <v>0.5</v>
      </c>
      <c r="BQG83" s="366" t="e">
        <f>10/BQC81</f>
        <v>#DIV/0!</v>
      </c>
      <c r="BQH83" s="367">
        <v>15.38</v>
      </c>
      <c r="BQI83" s="367" t="e">
        <f>BQF83*BQG83*BQH83</f>
        <v>#DIV/0!</v>
      </c>
      <c r="BQJ83" s="363" t="s">
        <v>153</v>
      </c>
      <c r="BQK83" s="363"/>
      <c r="BQL83" s="363"/>
      <c r="BQM83" s="364" t="s">
        <v>140</v>
      </c>
      <c r="BQN83" s="365">
        <v>0.5</v>
      </c>
      <c r="BQO83" s="366" t="e">
        <f>10/BQK81</f>
        <v>#DIV/0!</v>
      </c>
      <c r="BQP83" s="367">
        <v>15.38</v>
      </c>
      <c r="BQQ83" s="367" t="e">
        <f>BQN83*BQO83*BQP83</f>
        <v>#DIV/0!</v>
      </c>
      <c r="BQR83" s="363" t="s">
        <v>153</v>
      </c>
      <c r="BQS83" s="363"/>
      <c r="BQT83" s="363"/>
      <c r="BQU83" s="364" t="s">
        <v>140</v>
      </c>
      <c r="BQV83" s="365">
        <v>0.5</v>
      </c>
      <c r="BQW83" s="366" t="e">
        <f>10/BQS81</f>
        <v>#DIV/0!</v>
      </c>
      <c r="BQX83" s="367">
        <v>15.38</v>
      </c>
      <c r="BQY83" s="367" t="e">
        <f>BQV83*BQW83*BQX83</f>
        <v>#DIV/0!</v>
      </c>
      <c r="BQZ83" s="363" t="s">
        <v>153</v>
      </c>
      <c r="BRA83" s="363"/>
      <c r="BRB83" s="363"/>
      <c r="BRC83" s="364" t="s">
        <v>140</v>
      </c>
      <c r="BRD83" s="365">
        <v>0.5</v>
      </c>
      <c r="BRE83" s="366" t="e">
        <f>10/BRA81</f>
        <v>#DIV/0!</v>
      </c>
      <c r="BRF83" s="367">
        <v>15.38</v>
      </c>
      <c r="BRG83" s="367" t="e">
        <f>BRD83*BRE83*BRF83</f>
        <v>#DIV/0!</v>
      </c>
      <c r="BRH83" s="363" t="s">
        <v>153</v>
      </c>
      <c r="BRI83" s="363"/>
      <c r="BRJ83" s="363"/>
      <c r="BRK83" s="364" t="s">
        <v>140</v>
      </c>
      <c r="BRL83" s="365">
        <v>0.5</v>
      </c>
      <c r="BRM83" s="366" t="e">
        <f>10/BRI81</f>
        <v>#DIV/0!</v>
      </c>
      <c r="BRN83" s="367">
        <v>15.38</v>
      </c>
      <c r="BRO83" s="367" t="e">
        <f>BRL83*BRM83*BRN83</f>
        <v>#DIV/0!</v>
      </c>
      <c r="BRP83" s="363" t="s">
        <v>153</v>
      </c>
      <c r="BRQ83" s="363"/>
      <c r="BRR83" s="363"/>
      <c r="BRS83" s="364" t="s">
        <v>140</v>
      </c>
      <c r="BRT83" s="365">
        <v>0.5</v>
      </c>
      <c r="BRU83" s="366" t="e">
        <f>10/BRQ81</f>
        <v>#DIV/0!</v>
      </c>
      <c r="BRV83" s="367">
        <v>15.38</v>
      </c>
      <c r="BRW83" s="367" t="e">
        <f>BRT83*BRU83*BRV83</f>
        <v>#DIV/0!</v>
      </c>
      <c r="BRX83" s="363" t="s">
        <v>153</v>
      </c>
      <c r="BRY83" s="363"/>
      <c r="BRZ83" s="363"/>
      <c r="BSA83" s="364" t="s">
        <v>140</v>
      </c>
      <c r="BSB83" s="365">
        <v>0.5</v>
      </c>
      <c r="BSC83" s="366" t="e">
        <f>10/BRY81</f>
        <v>#DIV/0!</v>
      </c>
      <c r="BSD83" s="367">
        <v>15.38</v>
      </c>
      <c r="BSE83" s="367" t="e">
        <f>BSB83*BSC83*BSD83</f>
        <v>#DIV/0!</v>
      </c>
      <c r="BSF83" s="363" t="s">
        <v>153</v>
      </c>
      <c r="BSG83" s="363"/>
      <c r="BSH83" s="363"/>
      <c r="BSI83" s="364" t="s">
        <v>140</v>
      </c>
      <c r="BSJ83" s="365">
        <v>0.5</v>
      </c>
      <c r="BSK83" s="366" t="e">
        <f>10/BSG81</f>
        <v>#DIV/0!</v>
      </c>
      <c r="BSL83" s="367">
        <v>15.38</v>
      </c>
      <c r="BSM83" s="367" t="e">
        <f>BSJ83*BSK83*BSL83</f>
        <v>#DIV/0!</v>
      </c>
      <c r="BSN83" s="363" t="s">
        <v>153</v>
      </c>
      <c r="BSO83" s="363"/>
      <c r="BSP83" s="363"/>
      <c r="BSQ83" s="364" t="s">
        <v>140</v>
      </c>
      <c r="BSR83" s="365">
        <v>0.5</v>
      </c>
      <c r="BSS83" s="366" t="e">
        <f>10/BSO81</f>
        <v>#DIV/0!</v>
      </c>
      <c r="BST83" s="367">
        <v>15.38</v>
      </c>
      <c r="BSU83" s="367" t="e">
        <f>BSR83*BSS83*BST83</f>
        <v>#DIV/0!</v>
      </c>
      <c r="BSV83" s="363" t="s">
        <v>153</v>
      </c>
      <c r="BSW83" s="363"/>
      <c r="BSX83" s="363"/>
      <c r="BSY83" s="364" t="s">
        <v>140</v>
      </c>
      <c r="BSZ83" s="365">
        <v>0.5</v>
      </c>
      <c r="BTA83" s="366" t="e">
        <f>10/BSW81</f>
        <v>#DIV/0!</v>
      </c>
      <c r="BTB83" s="367">
        <v>15.38</v>
      </c>
      <c r="BTC83" s="367" t="e">
        <f>BSZ83*BTA83*BTB83</f>
        <v>#DIV/0!</v>
      </c>
      <c r="BTD83" s="363" t="s">
        <v>153</v>
      </c>
      <c r="BTE83" s="363"/>
      <c r="BTF83" s="363"/>
      <c r="BTG83" s="364" t="s">
        <v>140</v>
      </c>
      <c r="BTH83" s="365">
        <v>0.5</v>
      </c>
      <c r="BTI83" s="366" t="e">
        <f>10/BTE81</f>
        <v>#DIV/0!</v>
      </c>
      <c r="BTJ83" s="367">
        <v>15.38</v>
      </c>
      <c r="BTK83" s="367" t="e">
        <f>BTH83*BTI83*BTJ83</f>
        <v>#DIV/0!</v>
      </c>
      <c r="BTL83" s="363" t="s">
        <v>153</v>
      </c>
      <c r="BTM83" s="363"/>
      <c r="BTN83" s="363"/>
      <c r="BTO83" s="364" t="s">
        <v>140</v>
      </c>
      <c r="BTP83" s="365">
        <v>0.5</v>
      </c>
      <c r="BTQ83" s="366" t="e">
        <f>10/BTM81</f>
        <v>#DIV/0!</v>
      </c>
      <c r="BTR83" s="367">
        <v>15.38</v>
      </c>
      <c r="BTS83" s="367" t="e">
        <f>BTP83*BTQ83*BTR83</f>
        <v>#DIV/0!</v>
      </c>
      <c r="BTT83" s="363" t="s">
        <v>153</v>
      </c>
      <c r="BTU83" s="363"/>
      <c r="BTV83" s="363"/>
      <c r="BTW83" s="364" t="s">
        <v>140</v>
      </c>
      <c r="BTX83" s="365">
        <v>0.5</v>
      </c>
      <c r="BTY83" s="366" t="e">
        <f>10/BTU81</f>
        <v>#DIV/0!</v>
      </c>
      <c r="BTZ83" s="367">
        <v>15.38</v>
      </c>
      <c r="BUA83" s="367" t="e">
        <f>BTX83*BTY83*BTZ83</f>
        <v>#DIV/0!</v>
      </c>
      <c r="BUB83" s="363" t="s">
        <v>153</v>
      </c>
      <c r="BUC83" s="363"/>
      <c r="BUD83" s="363"/>
      <c r="BUE83" s="364" t="s">
        <v>140</v>
      </c>
      <c r="BUF83" s="365">
        <v>0.5</v>
      </c>
      <c r="BUG83" s="366" t="e">
        <f>10/BUC81</f>
        <v>#DIV/0!</v>
      </c>
      <c r="BUH83" s="367">
        <v>15.38</v>
      </c>
      <c r="BUI83" s="367" t="e">
        <f>BUF83*BUG83*BUH83</f>
        <v>#DIV/0!</v>
      </c>
      <c r="BUJ83" s="363" t="s">
        <v>153</v>
      </c>
      <c r="BUK83" s="363"/>
      <c r="BUL83" s="363"/>
      <c r="BUM83" s="364" t="s">
        <v>140</v>
      </c>
      <c r="BUN83" s="365">
        <v>0.5</v>
      </c>
      <c r="BUO83" s="366" t="e">
        <f>10/BUK81</f>
        <v>#DIV/0!</v>
      </c>
      <c r="BUP83" s="367">
        <v>15.38</v>
      </c>
      <c r="BUQ83" s="367" t="e">
        <f>BUN83*BUO83*BUP83</f>
        <v>#DIV/0!</v>
      </c>
      <c r="BUR83" s="363" t="s">
        <v>153</v>
      </c>
      <c r="BUS83" s="363"/>
      <c r="BUT83" s="363"/>
      <c r="BUU83" s="364" t="s">
        <v>140</v>
      </c>
      <c r="BUV83" s="365">
        <v>0.5</v>
      </c>
      <c r="BUW83" s="366" t="e">
        <f>10/BUS81</f>
        <v>#DIV/0!</v>
      </c>
      <c r="BUX83" s="367">
        <v>15.38</v>
      </c>
      <c r="BUY83" s="367" t="e">
        <f>BUV83*BUW83*BUX83</f>
        <v>#DIV/0!</v>
      </c>
      <c r="BUZ83" s="363" t="s">
        <v>153</v>
      </c>
      <c r="BVA83" s="363"/>
      <c r="BVB83" s="363"/>
      <c r="BVC83" s="364" t="s">
        <v>140</v>
      </c>
      <c r="BVD83" s="365">
        <v>0.5</v>
      </c>
      <c r="BVE83" s="366" t="e">
        <f>10/BVA81</f>
        <v>#DIV/0!</v>
      </c>
      <c r="BVF83" s="367">
        <v>15.38</v>
      </c>
      <c r="BVG83" s="367" t="e">
        <f>BVD83*BVE83*BVF83</f>
        <v>#DIV/0!</v>
      </c>
      <c r="BVH83" s="363" t="s">
        <v>153</v>
      </c>
      <c r="BVI83" s="363"/>
      <c r="BVJ83" s="363"/>
      <c r="BVK83" s="364" t="s">
        <v>140</v>
      </c>
      <c r="BVL83" s="365">
        <v>0.5</v>
      </c>
      <c r="BVM83" s="366" t="e">
        <f>10/BVI81</f>
        <v>#DIV/0!</v>
      </c>
      <c r="BVN83" s="367">
        <v>15.38</v>
      </c>
      <c r="BVO83" s="367" t="e">
        <f>BVL83*BVM83*BVN83</f>
        <v>#DIV/0!</v>
      </c>
      <c r="BVP83" s="363" t="s">
        <v>153</v>
      </c>
      <c r="BVQ83" s="363"/>
      <c r="BVR83" s="363"/>
      <c r="BVS83" s="364" t="s">
        <v>140</v>
      </c>
      <c r="BVT83" s="365">
        <v>0.5</v>
      </c>
      <c r="BVU83" s="366" t="e">
        <f>10/BVQ81</f>
        <v>#DIV/0!</v>
      </c>
      <c r="BVV83" s="367">
        <v>15.38</v>
      </c>
      <c r="BVW83" s="367" t="e">
        <f>BVT83*BVU83*BVV83</f>
        <v>#DIV/0!</v>
      </c>
      <c r="BVX83" s="363" t="s">
        <v>153</v>
      </c>
      <c r="BVY83" s="363"/>
      <c r="BVZ83" s="363"/>
      <c r="BWA83" s="364" t="s">
        <v>140</v>
      </c>
      <c r="BWB83" s="365">
        <v>0.5</v>
      </c>
      <c r="BWC83" s="366" t="e">
        <f>10/BVY81</f>
        <v>#DIV/0!</v>
      </c>
      <c r="BWD83" s="367">
        <v>15.38</v>
      </c>
      <c r="BWE83" s="367" t="e">
        <f>BWB83*BWC83*BWD83</f>
        <v>#DIV/0!</v>
      </c>
      <c r="BWF83" s="363" t="s">
        <v>153</v>
      </c>
      <c r="BWG83" s="363"/>
      <c r="BWH83" s="363"/>
      <c r="BWI83" s="364" t="s">
        <v>140</v>
      </c>
      <c r="BWJ83" s="365">
        <v>0.5</v>
      </c>
      <c r="BWK83" s="366" t="e">
        <f>10/BWG81</f>
        <v>#DIV/0!</v>
      </c>
      <c r="BWL83" s="367">
        <v>15.38</v>
      </c>
      <c r="BWM83" s="367" t="e">
        <f>BWJ83*BWK83*BWL83</f>
        <v>#DIV/0!</v>
      </c>
      <c r="BWN83" s="363" t="s">
        <v>153</v>
      </c>
      <c r="BWO83" s="363"/>
      <c r="BWP83" s="363"/>
      <c r="BWQ83" s="364" t="s">
        <v>140</v>
      </c>
      <c r="BWR83" s="365">
        <v>0.5</v>
      </c>
      <c r="BWS83" s="366" t="e">
        <f>10/BWO81</f>
        <v>#DIV/0!</v>
      </c>
      <c r="BWT83" s="367">
        <v>15.38</v>
      </c>
      <c r="BWU83" s="367" t="e">
        <f>BWR83*BWS83*BWT83</f>
        <v>#DIV/0!</v>
      </c>
      <c r="BWV83" s="363" t="s">
        <v>153</v>
      </c>
      <c r="BWW83" s="363"/>
      <c r="BWX83" s="363"/>
      <c r="BWY83" s="364" t="s">
        <v>140</v>
      </c>
      <c r="BWZ83" s="365">
        <v>0.5</v>
      </c>
      <c r="BXA83" s="366" t="e">
        <f>10/BWW81</f>
        <v>#DIV/0!</v>
      </c>
      <c r="BXB83" s="367">
        <v>15.38</v>
      </c>
      <c r="BXC83" s="367" t="e">
        <f>BWZ83*BXA83*BXB83</f>
        <v>#DIV/0!</v>
      </c>
      <c r="BXD83" s="363" t="s">
        <v>153</v>
      </c>
      <c r="BXE83" s="363"/>
      <c r="BXF83" s="363"/>
      <c r="BXG83" s="364" t="s">
        <v>140</v>
      </c>
      <c r="BXH83" s="365">
        <v>0.5</v>
      </c>
      <c r="BXI83" s="366" t="e">
        <f>10/BXE81</f>
        <v>#DIV/0!</v>
      </c>
      <c r="BXJ83" s="367">
        <v>15.38</v>
      </c>
      <c r="BXK83" s="367" t="e">
        <f>BXH83*BXI83*BXJ83</f>
        <v>#DIV/0!</v>
      </c>
      <c r="BXL83" s="363" t="s">
        <v>153</v>
      </c>
      <c r="BXM83" s="363"/>
      <c r="BXN83" s="363"/>
      <c r="BXO83" s="364" t="s">
        <v>140</v>
      </c>
      <c r="BXP83" s="365">
        <v>0.5</v>
      </c>
      <c r="BXQ83" s="366" t="e">
        <f>10/BXM81</f>
        <v>#DIV/0!</v>
      </c>
      <c r="BXR83" s="367">
        <v>15.38</v>
      </c>
      <c r="BXS83" s="367" t="e">
        <f>BXP83*BXQ83*BXR83</f>
        <v>#DIV/0!</v>
      </c>
      <c r="BXT83" s="363" t="s">
        <v>153</v>
      </c>
      <c r="BXU83" s="363"/>
      <c r="BXV83" s="363"/>
      <c r="BXW83" s="364" t="s">
        <v>140</v>
      </c>
      <c r="BXX83" s="365">
        <v>0.5</v>
      </c>
      <c r="BXY83" s="366" t="e">
        <f>10/BXU81</f>
        <v>#DIV/0!</v>
      </c>
      <c r="BXZ83" s="367">
        <v>15.38</v>
      </c>
      <c r="BYA83" s="367" t="e">
        <f>BXX83*BXY83*BXZ83</f>
        <v>#DIV/0!</v>
      </c>
      <c r="BYB83" s="363" t="s">
        <v>153</v>
      </c>
      <c r="BYC83" s="363"/>
      <c r="BYD83" s="363"/>
      <c r="BYE83" s="364" t="s">
        <v>140</v>
      </c>
      <c r="BYF83" s="365">
        <v>0.5</v>
      </c>
      <c r="BYG83" s="366" t="e">
        <f>10/BYC81</f>
        <v>#DIV/0!</v>
      </c>
      <c r="BYH83" s="367">
        <v>15.38</v>
      </c>
      <c r="BYI83" s="367" t="e">
        <f>BYF83*BYG83*BYH83</f>
        <v>#DIV/0!</v>
      </c>
      <c r="BYJ83" s="363" t="s">
        <v>153</v>
      </c>
      <c r="BYK83" s="363"/>
      <c r="BYL83" s="363"/>
      <c r="BYM83" s="364" t="s">
        <v>140</v>
      </c>
      <c r="BYN83" s="365">
        <v>0.5</v>
      </c>
      <c r="BYO83" s="366" t="e">
        <f>10/BYK81</f>
        <v>#DIV/0!</v>
      </c>
      <c r="BYP83" s="367">
        <v>15.38</v>
      </c>
      <c r="BYQ83" s="367" t="e">
        <f>BYN83*BYO83*BYP83</f>
        <v>#DIV/0!</v>
      </c>
      <c r="BYR83" s="363" t="s">
        <v>153</v>
      </c>
      <c r="BYS83" s="363"/>
      <c r="BYT83" s="363"/>
      <c r="BYU83" s="364" t="s">
        <v>140</v>
      </c>
      <c r="BYV83" s="365">
        <v>0.5</v>
      </c>
      <c r="BYW83" s="366" t="e">
        <f>10/BYS81</f>
        <v>#DIV/0!</v>
      </c>
      <c r="BYX83" s="367">
        <v>15.38</v>
      </c>
      <c r="BYY83" s="367" t="e">
        <f>BYV83*BYW83*BYX83</f>
        <v>#DIV/0!</v>
      </c>
      <c r="BYZ83" s="363" t="s">
        <v>153</v>
      </c>
      <c r="BZA83" s="363"/>
      <c r="BZB83" s="363"/>
      <c r="BZC83" s="364" t="s">
        <v>140</v>
      </c>
      <c r="BZD83" s="365">
        <v>0.5</v>
      </c>
      <c r="BZE83" s="366" t="e">
        <f>10/BZA81</f>
        <v>#DIV/0!</v>
      </c>
      <c r="BZF83" s="367">
        <v>15.38</v>
      </c>
      <c r="BZG83" s="367" t="e">
        <f>BZD83*BZE83*BZF83</f>
        <v>#DIV/0!</v>
      </c>
      <c r="BZH83" s="363" t="s">
        <v>153</v>
      </c>
      <c r="BZI83" s="363"/>
      <c r="BZJ83" s="363"/>
      <c r="BZK83" s="364" t="s">
        <v>140</v>
      </c>
      <c r="BZL83" s="365">
        <v>0.5</v>
      </c>
      <c r="BZM83" s="366" t="e">
        <f>10/BZI81</f>
        <v>#DIV/0!</v>
      </c>
      <c r="BZN83" s="367">
        <v>15.38</v>
      </c>
      <c r="BZO83" s="367" t="e">
        <f>BZL83*BZM83*BZN83</f>
        <v>#DIV/0!</v>
      </c>
      <c r="BZP83" s="363" t="s">
        <v>153</v>
      </c>
      <c r="BZQ83" s="363"/>
      <c r="BZR83" s="363"/>
      <c r="BZS83" s="364" t="s">
        <v>140</v>
      </c>
      <c r="BZT83" s="365">
        <v>0.5</v>
      </c>
      <c r="BZU83" s="366" t="e">
        <f>10/BZQ81</f>
        <v>#DIV/0!</v>
      </c>
      <c r="BZV83" s="367">
        <v>15.38</v>
      </c>
      <c r="BZW83" s="367" t="e">
        <f>BZT83*BZU83*BZV83</f>
        <v>#DIV/0!</v>
      </c>
      <c r="BZX83" s="363" t="s">
        <v>153</v>
      </c>
      <c r="BZY83" s="363"/>
      <c r="BZZ83" s="363"/>
      <c r="CAA83" s="364" t="s">
        <v>140</v>
      </c>
      <c r="CAB83" s="365">
        <v>0.5</v>
      </c>
      <c r="CAC83" s="366" t="e">
        <f>10/BZY81</f>
        <v>#DIV/0!</v>
      </c>
      <c r="CAD83" s="367">
        <v>15.38</v>
      </c>
      <c r="CAE83" s="367" t="e">
        <f>CAB83*CAC83*CAD83</f>
        <v>#DIV/0!</v>
      </c>
      <c r="CAF83" s="363" t="s">
        <v>153</v>
      </c>
      <c r="CAG83" s="363"/>
      <c r="CAH83" s="363"/>
      <c r="CAI83" s="364" t="s">
        <v>140</v>
      </c>
      <c r="CAJ83" s="365">
        <v>0.5</v>
      </c>
      <c r="CAK83" s="366" t="e">
        <f>10/CAG81</f>
        <v>#DIV/0!</v>
      </c>
      <c r="CAL83" s="367">
        <v>15.38</v>
      </c>
      <c r="CAM83" s="367" t="e">
        <f>CAJ83*CAK83*CAL83</f>
        <v>#DIV/0!</v>
      </c>
      <c r="CAN83" s="363" t="s">
        <v>153</v>
      </c>
      <c r="CAO83" s="363"/>
      <c r="CAP83" s="363"/>
      <c r="CAQ83" s="364" t="s">
        <v>140</v>
      </c>
      <c r="CAR83" s="365">
        <v>0.5</v>
      </c>
      <c r="CAS83" s="366" t="e">
        <f>10/CAO81</f>
        <v>#DIV/0!</v>
      </c>
      <c r="CAT83" s="367">
        <v>15.38</v>
      </c>
      <c r="CAU83" s="367" t="e">
        <f>CAR83*CAS83*CAT83</f>
        <v>#DIV/0!</v>
      </c>
      <c r="CAV83" s="363" t="s">
        <v>153</v>
      </c>
      <c r="CAW83" s="363"/>
      <c r="CAX83" s="363"/>
      <c r="CAY83" s="364" t="s">
        <v>140</v>
      </c>
      <c r="CAZ83" s="365">
        <v>0.5</v>
      </c>
      <c r="CBA83" s="366" t="e">
        <f>10/CAW81</f>
        <v>#DIV/0!</v>
      </c>
      <c r="CBB83" s="367">
        <v>15.38</v>
      </c>
      <c r="CBC83" s="367" t="e">
        <f>CAZ83*CBA83*CBB83</f>
        <v>#DIV/0!</v>
      </c>
      <c r="CBD83" s="363" t="s">
        <v>153</v>
      </c>
      <c r="CBE83" s="363"/>
      <c r="CBF83" s="363"/>
      <c r="CBG83" s="364" t="s">
        <v>140</v>
      </c>
      <c r="CBH83" s="365">
        <v>0.5</v>
      </c>
      <c r="CBI83" s="366" t="e">
        <f>10/CBE81</f>
        <v>#DIV/0!</v>
      </c>
      <c r="CBJ83" s="367">
        <v>15.38</v>
      </c>
      <c r="CBK83" s="367" t="e">
        <f>CBH83*CBI83*CBJ83</f>
        <v>#DIV/0!</v>
      </c>
      <c r="CBL83" s="363" t="s">
        <v>153</v>
      </c>
      <c r="CBM83" s="363"/>
      <c r="CBN83" s="363"/>
      <c r="CBO83" s="364" t="s">
        <v>140</v>
      </c>
      <c r="CBP83" s="365">
        <v>0.5</v>
      </c>
      <c r="CBQ83" s="366" t="e">
        <f>10/CBM81</f>
        <v>#DIV/0!</v>
      </c>
      <c r="CBR83" s="367">
        <v>15.38</v>
      </c>
      <c r="CBS83" s="367" t="e">
        <f>CBP83*CBQ83*CBR83</f>
        <v>#DIV/0!</v>
      </c>
      <c r="CBT83" s="363" t="s">
        <v>153</v>
      </c>
      <c r="CBU83" s="363"/>
      <c r="CBV83" s="363"/>
      <c r="CBW83" s="364" t="s">
        <v>140</v>
      </c>
      <c r="CBX83" s="365">
        <v>0.5</v>
      </c>
      <c r="CBY83" s="366" t="e">
        <f>10/CBU81</f>
        <v>#DIV/0!</v>
      </c>
      <c r="CBZ83" s="367">
        <v>15.38</v>
      </c>
      <c r="CCA83" s="367" t="e">
        <f>CBX83*CBY83*CBZ83</f>
        <v>#DIV/0!</v>
      </c>
      <c r="CCB83" s="363" t="s">
        <v>153</v>
      </c>
      <c r="CCC83" s="363"/>
      <c r="CCD83" s="363"/>
      <c r="CCE83" s="364" t="s">
        <v>140</v>
      </c>
      <c r="CCF83" s="365">
        <v>0.5</v>
      </c>
      <c r="CCG83" s="366" t="e">
        <f>10/CCC81</f>
        <v>#DIV/0!</v>
      </c>
      <c r="CCH83" s="367">
        <v>15.38</v>
      </c>
      <c r="CCI83" s="367" t="e">
        <f>CCF83*CCG83*CCH83</f>
        <v>#DIV/0!</v>
      </c>
      <c r="CCJ83" s="363" t="s">
        <v>153</v>
      </c>
      <c r="CCK83" s="363"/>
      <c r="CCL83" s="363"/>
      <c r="CCM83" s="364" t="s">
        <v>140</v>
      </c>
      <c r="CCN83" s="365">
        <v>0.5</v>
      </c>
      <c r="CCO83" s="366" t="e">
        <f>10/CCK81</f>
        <v>#DIV/0!</v>
      </c>
      <c r="CCP83" s="367">
        <v>15.38</v>
      </c>
      <c r="CCQ83" s="367" t="e">
        <f>CCN83*CCO83*CCP83</f>
        <v>#DIV/0!</v>
      </c>
      <c r="CCR83" s="363" t="s">
        <v>153</v>
      </c>
      <c r="CCS83" s="363"/>
      <c r="CCT83" s="363"/>
      <c r="CCU83" s="364" t="s">
        <v>140</v>
      </c>
      <c r="CCV83" s="365">
        <v>0.5</v>
      </c>
      <c r="CCW83" s="366" t="e">
        <f>10/CCS81</f>
        <v>#DIV/0!</v>
      </c>
      <c r="CCX83" s="367">
        <v>15.38</v>
      </c>
      <c r="CCY83" s="367" t="e">
        <f>CCV83*CCW83*CCX83</f>
        <v>#DIV/0!</v>
      </c>
      <c r="CCZ83" s="363" t="s">
        <v>153</v>
      </c>
      <c r="CDA83" s="363"/>
      <c r="CDB83" s="363"/>
      <c r="CDC83" s="364" t="s">
        <v>140</v>
      </c>
      <c r="CDD83" s="365">
        <v>0.5</v>
      </c>
      <c r="CDE83" s="366" t="e">
        <f>10/CDA81</f>
        <v>#DIV/0!</v>
      </c>
      <c r="CDF83" s="367">
        <v>15.38</v>
      </c>
      <c r="CDG83" s="367" t="e">
        <f>CDD83*CDE83*CDF83</f>
        <v>#DIV/0!</v>
      </c>
      <c r="CDH83" s="363" t="s">
        <v>153</v>
      </c>
      <c r="CDI83" s="363"/>
      <c r="CDJ83" s="363"/>
      <c r="CDK83" s="364" t="s">
        <v>140</v>
      </c>
      <c r="CDL83" s="365">
        <v>0.5</v>
      </c>
      <c r="CDM83" s="366" t="e">
        <f>10/CDI81</f>
        <v>#DIV/0!</v>
      </c>
      <c r="CDN83" s="367">
        <v>15.38</v>
      </c>
      <c r="CDO83" s="367" t="e">
        <f>CDL83*CDM83*CDN83</f>
        <v>#DIV/0!</v>
      </c>
      <c r="CDP83" s="363" t="s">
        <v>153</v>
      </c>
      <c r="CDQ83" s="363"/>
      <c r="CDR83" s="363"/>
      <c r="CDS83" s="364" t="s">
        <v>140</v>
      </c>
      <c r="CDT83" s="365">
        <v>0.5</v>
      </c>
      <c r="CDU83" s="366" t="e">
        <f>10/CDQ81</f>
        <v>#DIV/0!</v>
      </c>
      <c r="CDV83" s="367">
        <v>15.38</v>
      </c>
      <c r="CDW83" s="367" t="e">
        <f>CDT83*CDU83*CDV83</f>
        <v>#DIV/0!</v>
      </c>
      <c r="CDX83" s="363" t="s">
        <v>153</v>
      </c>
      <c r="CDY83" s="363"/>
      <c r="CDZ83" s="363"/>
      <c r="CEA83" s="364" t="s">
        <v>140</v>
      </c>
      <c r="CEB83" s="365">
        <v>0.5</v>
      </c>
      <c r="CEC83" s="366" t="e">
        <f>10/CDY81</f>
        <v>#DIV/0!</v>
      </c>
      <c r="CED83" s="367">
        <v>15.38</v>
      </c>
      <c r="CEE83" s="367" t="e">
        <f>CEB83*CEC83*CED83</f>
        <v>#DIV/0!</v>
      </c>
      <c r="CEF83" s="363" t="s">
        <v>153</v>
      </c>
      <c r="CEG83" s="363"/>
      <c r="CEH83" s="363"/>
      <c r="CEI83" s="364" t="s">
        <v>140</v>
      </c>
      <c r="CEJ83" s="365">
        <v>0.5</v>
      </c>
      <c r="CEK83" s="366" t="e">
        <f>10/CEG81</f>
        <v>#DIV/0!</v>
      </c>
      <c r="CEL83" s="367">
        <v>15.38</v>
      </c>
      <c r="CEM83" s="367" t="e">
        <f>CEJ83*CEK83*CEL83</f>
        <v>#DIV/0!</v>
      </c>
      <c r="CEN83" s="363" t="s">
        <v>153</v>
      </c>
      <c r="CEO83" s="363"/>
      <c r="CEP83" s="363"/>
      <c r="CEQ83" s="364" t="s">
        <v>140</v>
      </c>
      <c r="CER83" s="365">
        <v>0.5</v>
      </c>
      <c r="CES83" s="366" t="e">
        <f>10/CEO81</f>
        <v>#DIV/0!</v>
      </c>
      <c r="CET83" s="367">
        <v>15.38</v>
      </c>
      <c r="CEU83" s="367" t="e">
        <f>CER83*CES83*CET83</f>
        <v>#DIV/0!</v>
      </c>
      <c r="CEV83" s="363" t="s">
        <v>153</v>
      </c>
      <c r="CEW83" s="363"/>
      <c r="CEX83" s="363"/>
      <c r="CEY83" s="364" t="s">
        <v>140</v>
      </c>
      <c r="CEZ83" s="365">
        <v>0.5</v>
      </c>
      <c r="CFA83" s="366" t="e">
        <f>10/CEW81</f>
        <v>#DIV/0!</v>
      </c>
      <c r="CFB83" s="367">
        <v>15.38</v>
      </c>
      <c r="CFC83" s="367" t="e">
        <f>CEZ83*CFA83*CFB83</f>
        <v>#DIV/0!</v>
      </c>
      <c r="CFD83" s="363" t="s">
        <v>153</v>
      </c>
      <c r="CFE83" s="363"/>
      <c r="CFF83" s="363"/>
      <c r="CFG83" s="364" t="s">
        <v>140</v>
      </c>
      <c r="CFH83" s="365">
        <v>0.5</v>
      </c>
      <c r="CFI83" s="366" t="e">
        <f>10/CFE81</f>
        <v>#DIV/0!</v>
      </c>
      <c r="CFJ83" s="367">
        <v>15.38</v>
      </c>
      <c r="CFK83" s="367" t="e">
        <f>CFH83*CFI83*CFJ83</f>
        <v>#DIV/0!</v>
      </c>
      <c r="CFL83" s="363" t="s">
        <v>153</v>
      </c>
      <c r="CFM83" s="363"/>
      <c r="CFN83" s="363"/>
      <c r="CFO83" s="364" t="s">
        <v>140</v>
      </c>
      <c r="CFP83" s="365">
        <v>0.5</v>
      </c>
      <c r="CFQ83" s="366" t="e">
        <f>10/CFM81</f>
        <v>#DIV/0!</v>
      </c>
      <c r="CFR83" s="367">
        <v>15.38</v>
      </c>
      <c r="CFS83" s="367" t="e">
        <f>CFP83*CFQ83*CFR83</f>
        <v>#DIV/0!</v>
      </c>
      <c r="CFT83" s="363" t="s">
        <v>153</v>
      </c>
      <c r="CFU83" s="363"/>
      <c r="CFV83" s="363"/>
      <c r="CFW83" s="364" t="s">
        <v>140</v>
      </c>
      <c r="CFX83" s="365">
        <v>0.5</v>
      </c>
      <c r="CFY83" s="366" t="e">
        <f>10/CFU81</f>
        <v>#DIV/0!</v>
      </c>
      <c r="CFZ83" s="367">
        <v>15.38</v>
      </c>
      <c r="CGA83" s="367" t="e">
        <f>CFX83*CFY83*CFZ83</f>
        <v>#DIV/0!</v>
      </c>
      <c r="CGB83" s="363" t="s">
        <v>153</v>
      </c>
      <c r="CGC83" s="363"/>
      <c r="CGD83" s="363"/>
      <c r="CGE83" s="364" t="s">
        <v>140</v>
      </c>
      <c r="CGF83" s="365">
        <v>0.5</v>
      </c>
      <c r="CGG83" s="366" t="e">
        <f>10/CGC81</f>
        <v>#DIV/0!</v>
      </c>
      <c r="CGH83" s="367">
        <v>15.38</v>
      </c>
      <c r="CGI83" s="367" t="e">
        <f>CGF83*CGG83*CGH83</f>
        <v>#DIV/0!</v>
      </c>
      <c r="CGJ83" s="363" t="s">
        <v>153</v>
      </c>
      <c r="CGK83" s="363"/>
      <c r="CGL83" s="363"/>
      <c r="CGM83" s="364" t="s">
        <v>140</v>
      </c>
      <c r="CGN83" s="365">
        <v>0.5</v>
      </c>
      <c r="CGO83" s="366" t="e">
        <f>10/CGK81</f>
        <v>#DIV/0!</v>
      </c>
      <c r="CGP83" s="367">
        <v>15.38</v>
      </c>
      <c r="CGQ83" s="367" t="e">
        <f>CGN83*CGO83*CGP83</f>
        <v>#DIV/0!</v>
      </c>
      <c r="CGR83" s="363" t="s">
        <v>153</v>
      </c>
      <c r="CGS83" s="363"/>
      <c r="CGT83" s="363"/>
      <c r="CGU83" s="364" t="s">
        <v>140</v>
      </c>
      <c r="CGV83" s="365">
        <v>0.5</v>
      </c>
      <c r="CGW83" s="366" t="e">
        <f>10/CGS81</f>
        <v>#DIV/0!</v>
      </c>
      <c r="CGX83" s="367">
        <v>15.38</v>
      </c>
      <c r="CGY83" s="367" t="e">
        <f>CGV83*CGW83*CGX83</f>
        <v>#DIV/0!</v>
      </c>
      <c r="CGZ83" s="363" t="s">
        <v>153</v>
      </c>
      <c r="CHA83" s="363"/>
      <c r="CHB83" s="363"/>
      <c r="CHC83" s="364" t="s">
        <v>140</v>
      </c>
      <c r="CHD83" s="365">
        <v>0.5</v>
      </c>
      <c r="CHE83" s="366" t="e">
        <f>10/CHA81</f>
        <v>#DIV/0!</v>
      </c>
      <c r="CHF83" s="367">
        <v>15.38</v>
      </c>
      <c r="CHG83" s="367" t="e">
        <f>CHD83*CHE83*CHF83</f>
        <v>#DIV/0!</v>
      </c>
      <c r="CHH83" s="363" t="s">
        <v>153</v>
      </c>
      <c r="CHI83" s="363"/>
      <c r="CHJ83" s="363"/>
      <c r="CHK83" s="364" t="s">
        <v>140</v>
      </c>
      <c r="CHL83" s="365">
        <v>0.5</v>
      </c>
      <c r="CHM83" s="366" t="e">
        <f>10/CHI81</f>
        <v>#DIV/0!</v>
      </c>
      <c r="CHN83" s="367">
        <v>15.38</v>
      </c>
      <c r="CHO83" s="367" t="e">
        <f>CHL83*CHM83*CHN83</f>
        <v>#DIV/0!</v>
      </c>
      <c r="CHP83" s="363" t="s">
        <v>153</v>
      </c>
      <c r="CHQ83" s="363"/>
      <c r="CHR83" s="363"/>
      <c r="CHS83" s="364" t="s">
        <v>140</v>
      </c>
      <c r="CHT83" s="365">
        <v>0.5</v>
      </c>
      <c r="CHU83" s="366" t="e">
        <f>10/CHQ81</f>
        <v>#DIV/0!</v>
      </c>
      <c r="CHV83" s="367">
        <v>15.38</v>
      </c>
      <c r="CHW83" s="367" t="e">
        <f>CHT83*CHU83*CHV83</f>
        <v>#DIV/0!</v>
      </c>
      <c r="CHX83" s="363" t="s">
        <v>153</v>
      </c>
      <c r="CHY83" s="363"/>
      <c r="CHZ83" s="363"/>
      <c r="CIA83" s="364" t="s">
        <v>140</v>
      </c>
      <c r="CIB83" s="365">
        <v>0.5</v>
      </c>
      <c r="CIC83" s="366" t="e">
        <f>10/CHY81</f>
        <v>#DIV/0!</v>
      </c>
      <c r="CID83" s="367">
        <v>15.38</v>
      </c>
      <c r="CIE83" s="367" t="e">
        <f>CIB83*CIC83*CID83</f>
        <v>#DIV/0!</v>
      </c>
      <c r="CIF83" s="363" t="s">
        <v>153</v>
      </c>
      <c r="CIG83" s="363"/>
      <c r="CIH83" s="363"/>
      <c r="CII83" s="364" t="s">
        <v>140</v>
      </c>
      <c r="CIJ83" s="365">
        <v>0.5</v>
      </c>
      <c r="CIK83" s="366" t="e">
        <f>10/CIG81</f>
        <v>#DIV/0!</v>
      </c>
      <c r="CIL83" s="367">
        <v>15.38</v>
      </c>
      <c r="CIM83" s="367" t="e">
        <f>CIJ83*CIK83*CIL83</f>
        <v>#DIV/0!</v>
      </c>
      <c r="CIN83" s="363" t="s">
        <v>153</v>
      </c>
      <c r="CIO83" s="363"/>
      <c r="CIP83" s="363"/>
      <c r="CIQ83" s="364" t="s">
        <v>140</v>
      </c>
      <c r="CIR83" s="365">
        <v>0.5</v>
      </c>
      <c r="CIS83" s="366" t="e">
        <f>10/CIO81</f>
        <v>#DIV/0!</v>
      </c>
      <c r="CIT83" s="367">
        <v>15.38</v>
      </c>
      <c r="CIU83" s="367" t="e">
        <f>CIR83*CIS83*CIT83</f>
        <v>#DIV/0!</v>
      </c>
      <c r="CIV83" s="363" t="s">
        <v>153</v>
      </c>
      <c r="CIW83" s="363"/>
      <c r="CIX83" s="363"/>
      <c r="CIY83" s="364" t="s">
        <v>140</v>
      </c>
      <c r="CIZ83" s="365">
        <v>0.5</v>
      </c>
      <c r="CJA83" s="366" t="e">
        <f>10/CIW81</f>
        <v>#DIV/0!</v>
      </c>
      <c r="CJB83" s="367">
        <v>15.38</v>
      </c>
      <c r="CJC83" s="367" t="e">
        <f>CIZ83*CJA83*CJB83</f>
        <v>#DIV/0!</v>
      </c>
      <c r="CJD83" s="363" t="s">
        <v>153</v>
      </c>
      <c r="CJE83" s="363"/>
      <c r="CJF83" s="363"/>
      <c r="CJG83" s="364" t="s">
        <v>140</v>
      </c>
      <c r="CJH83" s="365">
        <v>0.5</v>
      </c>
      <c r="CJI83" s="366" t="e">
        <f>10/CJE81</f>
        <v>#DIV/0!</v>
      </c>
      <c r="CJJ83" s="367">
        <v>15.38</v>
      </c>
      <c r="CJK83" s="367" t="e">
        <f>CJH83*CJI83*CJJ83</f>
        <v>#DIV/0!</v>
      </c>
      <c r="CJL83" s="363" t="s">
        <v>153</v>
      </c>
      <c r="CJM83" s="363"/>
      <c r="CJN83" s="363"/>
      <c r="CJO83" s="364" t="s">
        <v>140</v>
      </c>
      <c r="CJP83" s="365">
        <v>0.5</v>
      </c>
      <c r="CJQ83" s="366" t="e">
        <f>10/CJM81</f>
        <v>#DIV/0!</v>
      </c>
      <c r="CJR83" s="367">
        <v>15.38</v>
      </c>
      <c r="CJS83" s="367" t="e">
        <f>CJP83*CJQ83*CJR83</f>
        <v>#DIV/0!</v>
      </c>
      <c r="CJT83" s="363" t="s">
        <v>153</v>
      </c>
      <c r="CJU83" s="363"/>
      <c r="CJV83" s="363"/>
      <c r="CJW83" s="364" t="s">
        <v>140</v>
      </c>
      <c r="CJX83" s="365">
        <v>0.5</v>
      </c>
      <c r="CJY83" s="366" t="e">
        <f>10/CJU81</f>
        <v>#DIV/0!</v>
      </c>
      <c r="CJZ83" s="367">
        <v>15.38</v>
      </c>
      <c r="CKA83" s="367" t="e">
        <f>CJX83*CJY83*CJZ83</f>
        <v>#DIV/0!</v>
      </c>
      <c r="CKB83" s="363" t="s">
        <v>153</v>
      </c>
      <c r="CKC83" s="363"/>
      <c r="CKD83" s="363"/>
      <c r="CKE83" s="364" t="s">
        <v>140</v>
      </c>
      <c r="CKF83" s="365">
        <v>0.5</v>
      </c>
      <c r="CKG83" s="366" t="e">
        <f>10/CKC81</f>
        <v>#DIV/0!</v>
      </c>
      <c r="CKH83" s="367">
        <v>15.38</v>
      </c>
      <c r="CKI83" s="367" t="e">
        <f>CKF83*CKG83*CKH83</f>
        <v>#DIV/0!</v>
      </c>
      <c r="CKJ83" s="363" t="s">
        <v>153</v>
      </c>
      <c r="CKK83" s="363"/>
      <c r="CKL83" s="363"/>
      <c r="CKM83" s="364" t="s">
        <v>140</v>
      </c>
      <c r="CKN83" s="365">
        <v>0.5</v>
      </c>
      <c r="CKO83" s="366" t="e">
        <f>10/CKK81</f>
        <v>#DIV/0!</v>
      </c>
      <c r="CKP83" s="367">
        <v>15.38</v>
      </c>
      <c r="CKQ83" s="367" t="e">
        <f>CKN83*CKO83*CKP83</f>
        <v>#DIV/0!</v>
      </c>
      <c r="CKR83" s="363" t="s">
        <v>153</v>
      </c>
      <c r="CKS83" s="363"/>
      <c r="CKT83" s="363"/>
      <c r="CKU83" s="364" t="s">
        <v>140</v>
      </c>
      <c r="CKV83" s="365">
        <v>0.5</v>
      </c>
      <c r="CKW83" s="366" t="e">
        <f>10/CKS81</f>
        <v>#DIV/0!</v>
      </c>
      <c r="CKX83" s="367">
        <v>15.38</v>
      </c>
      <c r="CKY83" s="367" t="e">
        <f>CKV83*CKW83*CKX83</f>
        <v>#DIV/0!</v>
      </c>
      <c r="CKZ83" s="363" t="s">
        <v>153</v>
      </c>
      <c r="CLA83" s="363"/>
      <c r="CLB83" s="363"/>
      <c r="CLC83" s="364" t="s">
        <v>140</v>
      </c>
      <c r="CLD83" s="365">
        <v>0.5</v>
      </c>
      <c r="CLE83" s="366" t="e">
        <f>10/CLA81</f>
        <v>#DIV/0!</v>
      </c>
      <c r="CLF83" s="367">
        <v>15.38</v>
      </c>
      <c r="CLG83" s="367" t="e">
        <f>CLD83*CLE83*CLF83</f>
        <v>#DIV/0!</v>
      </c>
      <c r="CLH83" s="363" t="s">
        <v>153</v>
      </c>
      <c r="CLI83" s="363"/>
      <c r="CLJ83" s="363"/>
      <c r="CLK83" s="364" t="s">
        <v>140</v>
      </c>
      <c r="CLL83" s="365">
        <v>0.5</v>
      </c>
      <c r="CLM83" s="366" t="e">
        <f>10/CLI81</f>
        <v>#DIV/0!</v>
      </c>
      <c r="CLN83" s="367">
        <v>15.38</v>
      </c>
      <c r="CLO83" s="367" t="e">
        <f>CLL83*CLM83*CLN83</f>
        <v>#DIV/0!</v>
      </c>
      <c r="CLP83" s="363" t="s">
        <v>153</v>
      </c>
      <c r="CLQ83" s="363"/>
      <c r="CLR83" s="363"/>
      <c r="CLS83" s="364" t="s">
        <v>140</v>
      </c>
      <c r="CLT83" s="365">
        <v>0.5</v>
      </c>
      <c r="CLU83" s="366" t="e">
        <f>10/CLQ81</f>
        <v>#DIV/0!</v>
      </c>
      <c r="CLV83" s="367">
        <v>15.38</v>
      </c>
      <c r="CLW83" s="367" t="e">
        <f>CLT83*CLU83*CLV83</f>
        <v>#DIV/0!</v>
      </c>
      <c r="CLX83" s="363" t="s">
        <v>153</v>
      </c>
      <c r="CLY83" s="363"/>
      <c r="CLZ83" s="363"/>
      <c r="CMA83" s="364" t="s">
        <v>140</v>
      </c>
      <c r="CMB83" s="365">
        <v>0.5</v>
      </c>
      <c r="CMC83" s="366" t="e">
        <f>10/CLY81</f>
        <v>#DIV/0!</v>
      </c>
      <c r="CMD83" s="367">
        <v>15.38</v>
      </c>
      <c r="CME83" s="367" t="e">
        <f>CMB83*CMC83*CMD83</f>
        <v>#DIV/0!</v>
      </c>
      <c r="CMF83" s="363" t="s">
        <v>153</v>
      </c>
      <c r="CMG83" s="363"/>
      <c r="CMH83" s="363"/>
      <c r="CMI83" s="364" t="s">
        <v>140</v>
      </c>
      <c r="CMJ83" s="365">
        <v>0.5</v>
      </c>
      <c r="CMK83" s="366" t="e">
        <f>10/CMG81</f>
        <v>#DIV/0!</v>
      </c>
      <c r="CML83" s="367">
        <v>15.38</v>
      </c>
      <c r="CMM83" s="367" t="e">
        <f>CMJ83*CMK83*CML83</f>
        <v>#DIV/0!</v>
      </c>
      <c r="CMN83" s="363" t="s">
        <v>153</v>
      </c>
      <c r="CMO83" s="363"/>
      <c r="CMP83" s="363"/>
      <c r="CMQ83" s="364" t="s">
        <v>140</v>
      </c>
      <c r="CMR83" s="365">
        <v>0.5</v>
      </c>
      <c r="CMS83" s="366" t="e">
        <f>10/CMO81</f>
        <v>#DIV/0!</v>
      </c>
      <c r="CMT83" s="367">
        <v>15.38</v>
      </c>
      <c r="CMU83" s="367" t="e">
        <f>CMR83*CMS83*CMT83</f>
        <v>#DIV/0!</v>
      </c>
      <c r="CMV83" s="363" t="s">
        <v>153</v>
      </c>
      <c r="CMW83" s="363"/>
      <c r="CMX83" s="363"/>
      <c r="CMY83" s="364" t="s">
        <v>140</v>
      </c>
      <c r="CMZ83" s="365">
        <v>0.5</v>
      </c>
      <c r="CNA83" s="366" t="e">
        <f>10/CMW81</f>
        <v>#DIV/0!</v>
      </c>
      <c r="CNB83" s="367">
        <v>15.38</v>
      </c>
      <c r="CNC83" s="367" t="e">
        <f>CMZ83*CNA83*CNB83</f>
        <v>#DIV/0!</v>
      </c>
      <c r="CND83" s="363" t="s">
        <v>153</v>
      </c>
      <c r="CNE83" s="363"/>
      <c r="CNF83" s="363"/>
      <c r="CNG83" s="364" t="s">
        <v>140</v>
      </c>
      <c r="CNH83" s="365">
        <v>0.5</v>
      </c>
      <c r="CNI83" s="366" t="e">
        <f>10/CNE81</f>
        <v>#DIV/0!</v>
      </c>
      <c r="CNJ83" s="367">
        <v>15.38</v>
      </c>
      <c r="CNK83" s="367" t="e">
        <f>CNH83*CNI83*CNJ83</f>
        <v>#DIV/0!</v>
      </c>
      <c r="CNL83" s="363" t="s">
        <v>153</v>
      </c>
      <c r="CNM83" s="363"/>
      <c r="CNN83" s="363"/>
      <c r="CNO83" s="364" t="s">
        <v>140</v>
      </c>
      <c r="CNP83" s="365">
        <v>0.5</v>
      </c>
      <c r="CNQ83" s="366" t="e">
        <f>10/CNM81</f>
        <v>#DIV/0!</v>
      </c>
      <c r="CNR83" s="367">
        <v>15.38</v>
      </c>
      <c r="CNS83" s="367" t="e">
        <f>CNP83*CNQ83*CNR83</f>
        <v>#DIV/0!</v>
      </c>
      <c r="CNT83" s="363" t="s">
        <v>153</v>
      </c>
      <c r="CNU83" s="363"/>
      <c r="CNV83" s="363"/>
      <c r="CNW83" s="364" t="s">
        <v>140</v>
      </c>
      <c r="CNX83" s="365">
        <v>0.5</v>
      </c>
      <c r="CNY83" s="366" t="e">
        <f>10/CNU81</f>
        <v>#DIV/0!</v>
      </c>
      <c r="CNZ83" s="367">
        <v>15.38</v>
      </c>
      <c r="COA83" s="367" t="e">
        <f>CNX83*CNY83*CNZ83</f>
        <v>#DIV/0!</v>
      </c>
      <c r="COB83" s="363" t="s">
        <v>153</v>
      </c>
      <c r="COC83" s="363"/>
      <c r="COD83" s="363"/>
      <c r="COE83" s="364" t="s">
        <v>140</v>
      </c>
      <c r="COF83" s="365">
        <v>0.5</v>
      </c>
      <c r="COG83" s="366" t="e">
        <f>10/COC81</f>
        <v>#DIV/0!</v>
      </c>
      <c r="COH83" s="367">
        <v>15.38</v>
      </c>
      <c r="COI83" s="367" t="e">
        <f>COF83*COG83*COH83</f>
        <v>#DIV/0!</v>
      </c>
      <c r="COJ83" s="363" t="s">
        <v>153</v>
      </c>
      <c r="COK83" s="363"/>
      <c r="COL83" s="363"/>
      <c r="COM83" s="364" t="s">
        <v>140</v>
      </c>
      <c r="CON83" s="365">
        <v>0.5</v>
      </c>
      <c r="COO83" s="366" t="e">
        <f>10/COK81</f>
        <v>#DIV/0!</v>
      </c>
      <c r="COP83" s="367">
        <v>15.38</v>
      </c>
      <c r="COQ83" s="367" t="e">
        <f>CON83*COO83*COP83</f>
        <v>#DIV/0!</v>
      </c>
      <c r="COR83" s="363" t="s">
        <v>153</v>
      </c>
      <c r="COS83" s="363"/>
      <c r="COT83" s="363"/>
      <c r="COU83" s="364" t="s">
        <v>140</v>
      </c>
      <c r="COV83" s="365">
        <v>0.5</v>
      </c>
      <c r="COW83" s="366" t="e">
        <f>10/COS81</f>
        <v>#DIV/0!</v>
      </c>
      <c r="COX83" s="367">
        <v>15.38</v>
      </c>
      <c r="COY83" s="367" t="e">
        <f>COV83*COW83*COX83</f>
        <v>#DIV/0!</v>
      </c>
      <c r="COZ83" s="363" t="s">
        <v>153</v>
      </c>
      <c r="CPA83" s="363"/>
      <c r="CPB83" s="363"/>
      <c r="CPC83" s="364" t="s">
        <v>140</v>
      </c>
      <c r="CPD83" s="365">
        <v>0.5</v>
      </c>
      <c r="CPE83" s="366" t="e">
        <f>10/CPA81</f>
        <v>#DIV/0!</v>
      </c>
      <c r="CPF83" s="367">
        <v>15.38</v>
      </c>
      <c r="CPG83" s="367" t="e">
        <f>CPD83*CPE83*CPF83</f>
        <v>#DIV/0!</v>
      </c>
      <c r="CPH83" s="363" t="s">
        <v>153</v>
      </c>
      <c r="CPI83" s="363"/>
      <c r="CPJ83" s="363"/>
      <c r="CPK83" s="364" t="s">
        <v>140</v>
      </c>
      <c r="CPL83" s="365">
        <v>0.5</v>
      </c>
      <c r="CPM83" s="366" t="e">
        <f>10/CPI81</f>
        <v>#DIV/0!</v>
      </c>
      <c r="CPN83" s="367">
        <v>15.38</v>
      </c>
      <c r="CPO83" s="367" t="e">
        <f>CPL83*CPM83*CPN83</f>
        <v>#DIV/0!</v>
      </c>
      <c r="CPP83" s="363" t="s">
        <v>153</v>
      </c>
      <c r="CPQ83" s="363"/>
      <c r="CPR83" s="363"/>
      <c r="CPS83" s="364" t="s">
        <v>140</v>
      </c>
      <c r="CPT83" s="365">
        <v>0.5</v>
      </c>
      <c r="CPU83" s="366" t="e">
        <f>10/CPQ81</f>
        <v>#DIV/0!</v>
      </c>
      <c r="CPV83" s="367">
        <v>15.38</v>
      </c>
      <c r="CPW83" s="367" t="e">
        <f>CPT83*CPU83*CPV83</f>
        <v>#DIV/0!</v>
      </c>
      <c r="CPX83" s="363" t="s">
        <v>153</v>
      </c>
      <c r="CPY83" s="363"/>
      <c r="CPZ83" s="363"/>
      <c r="CQA83" s="364" t="s">
        <v>140</v>
      </c>
      <c r="CQB83" s="365">
        <v>0.5</v>
      </c>
      <c r="CQC83" s="366" t="e">
        <f>10/CPY81</f>
        <v>#DIV/0!</v>
      </c>
      <c r="CQD83" s="367">
        <v>15.38</v>
      </c>
      <c r="CQE83" s="367" t="e">
        <f>CQB83*CQC83*CQD83</f>
        <v>#DIV/0!</v>
      </c>
      <c r="CQF83" s="363" t="s">
        <v>153</v>
      </c>
      <c r="CQG83" s="363"/>
      <c r="CQH83" s="363"/>
      <c r="CQI83" s="364" t="s">
        <v>140</v>
      </c>
      <c r="CQJ83" s="365">
        <v>0.5</v>
      </c>
      <c r="CQK83" s="366" t="e">
        <f>10/CQG81</f>
        <v>#DIV/0!</v>
      </c>
      <c r="CQL83" s="367">
        <v>15.38</v>
      </c>
      <c r="CQM83" s="367" t="e">
        <f>CQJ83*CQK83*CQL83</f>
        <v>#DIV/0!</v>
      </c>
      <c r="CQN83" s="363" t="s">
        <v>153</v>
      </c>
      <c r="CQO83" s="363"/>
      <c r="CQP83" s="363"/>
      <c r="CQQ83" s="364" t="s">
        <v>140</v>
      </c>
      <c r="CQR83" s="365">
        <v>0.5</v>
      </c>
      <c r="CQS83" s="366" t="e">
        <f>10/CQO81</f>
        <v>#DIV/0!</v>
      </c>
      <c r="CQT83" s="367">
        <v>15.38</v>
      </c>
      <c r="CQU83" s="367" t="e">
        <f>CQR83*CQS83*CQT83</f>
        <v>#DIV/0!</v>
      </c>
      <c r="CQV83" s="363" t="s">
        <v>153</v>
      </c>
      <c r="CQW83" s="363"/>
      <c r="CQX83" s="363"/>
      <c r="CQY83" s="364" t="s">
        <v>140</v>
      </c>
      <c r="CQZ83" s="365">
        <v>0.5</v>
      </c>
      <c r="CRA83" s="366" t="e">
        <f>10/CQW81</f>
        <v>#DIV/0!</v>
      </c>
      <c r="CRB83" s="367">
        <v>15.38</v>
      </c>
      <c r="CRC83" s="367" t="e">
        <f>CQZ83*CRA83*CRB83</f>
        <v>#DIV/0!</v>
      </c>
      <c r="CRD83" s="363" t="s">
        <v>153</v>
      </c>
      <c r="CRE83" s="363"/>
      <c r="CRF83" s="363"/>
      <c r="CRG83" s="364" t="s">
        <v>140</v>
      </c>
      <c r="CRH83" s="365">
        <v>0.5</v>
      </c>
      <c r="CRI83" s="366" t="e">
        <f>10/CRE81</f>
        <v>#DIV/0!</v>
      </c>
      <c r="CRJ83" s="367">
        <v>15.38</v>
      </c>
      <c r="CRK83" s="367" t="e">
        <f>CRH83*CRI83*CRJ83</f>
        <v>#DIV/0!</v>
      </c>
      <c r="CRL83" s="363" t="s">
        <v>153</v>
      </c>
      <c r="CRM83" s="363"/>
      <c r="CRN83" s="363"/>
      <c r="CRO83" s="364" t="s">
        <v>140</v>
      </c>
      <c r="CRP83" s="365">
        <v>0.5</v>
      </c>
      <c r="CRQ83" s="366" t="e">
        <f>10/CRM81</f>
        <v>#DIV/0!</v>
      </c>
      <c r="CRR83" s="367">
        <v>15.38</v>
      </c>
      <c r="CRS83" s="367" t="e">
        <f>CRP83*CRQ83*CRR83</f>
        <v>#DIV/0!</v>
      </c>
      <c r="CRT83" s="363" t="s">
        <v>153</v>
      </c>
      <c r="CRU83" s="363"/>
      <c r="CRV83" s="363"/>
      <c r="CRW83" s="364" t="s">
        <v>140</v>
      </c>
      <c r="CRX83" s="365">
        <v>0.5</v>
      </c>
      <c r="CRY83" s="366" t="e">
        <f>10/CRU81</f>
        <v>#DIV/0!</v>
      </c>
      <c r="CRZ83" s="367">
        <v>15.38</v>
      </c>
      <c r="CSA83" s="367" t="e">
        <f>CRX83*CRY83*CRZ83</f>
        <v>#DIV/0!</v>
      </c>
      <c r="CSB83" s="363" t="s">
        <v>153</v>
      </c>
      <c r="CSC83" s="363"/>
      <c r="CSD83" s="363"/>
      <c r="CSE83" s="364" t="s">
        <v>140</v>
      </c>
      <c r="CSF83" s="365">
        <v>0.5</v>
      </c>
      <c r="CSG83" s="366" t="e">
        <f>10/CSC81</f>
        <v>#DIV/0!</v>
      </c>
      <c r="CSH83" s="367">
        <v>15.38</v>
      </c>
      <c r="CSI83" s="367" t="e">
        <f>CSF83*CSG83*CSH83</f>
        <v>#DIV/0!</v>
      </c>
      <c r="CSJ83" s="363" t="s">
        <v>153</v>
      </c>
      <c r="CSK83" s="363"/>
      <c r="CSL83" s="363"/>
      <c r="CSM83" s="364" t="s">
        <v>140</v>
      </c>
      <c r="CSN83" s="365">
        <v>0.5</v>
      </c>
      <c r="CSO83" s="366" t="e">
        <f>10/CSK81</f>
        <v>#DIV/0!</v>
      </c>
      <c r="CSP83" s="367">
        <v>15.38</v>
      </c>
      <c r="CSQ83" s="367" t="e">
        <f>CSN83*CSO83*CSP83</f>
        <v>#DIV/0!</v>
      </c>
      <c r="CSR83" s="363" t="s">
        <v>153</v>
      </c>
      <c r="CSS83" s="363"/>
      <c r="CST83" s="363"/>
      <c r="CSU83" s="364" t="s">
        <v>140</v>
      </c>
      <c r="CSV83" s="365">
        <v>0.5</v>
      </c>
      <c r="CSW83" s="366" t="e">
        <f>10/CSS81</f>
        <v>#DIV/0!</v>
      </c>
      <c r="CSX83" s="367">
        <v>15.38</v>
      </c>
      <c r="CSY83" s="367" t="e">
        <f>CSV83*CSW83*CSX83</f>
        <v>#DIV/0!</v>
      </c>
      <c r="CSZ83" s="363" t="s">
        <v>153</v>
      </c>
      <c r="CTA83" s="363"/>
      <c r="CTB83" s="363"/>
      <c r="CTC83" s="364" t="s">
        <v>140</v>
      </c>
      <c r="CTD83" s="365">
        <v>0.5</v>
      </c>
      <c r="CTE83" s="366" t="e">
        <f>10/CTA81</f>
        <v>#DIV/0!</v>
      </c>
      <c r="CTF83" s="367">
        <v>15.38</v>
      </c>
      <c r="CTG83" s="367" t="e">
        <f>CTD83*CTE83*CTF83</f>
        <v>#DIV/0!</v>
      </c>
      <c r="CTH83" s="363" t="s">
        <v>153</v>
      </c>
      <c r="CTI83" s="363"/>
      <c r="CTJ83" s="363"/>
      <c r="CTK83" s="364" t="s">
        <v>140</v>
      </c>
      <c r="CTL83" s="365">
        <v>0.5</v>
      </c>
      <c r="CTM83" s="366" t="e">
        <f>10/CTI81</f>
        <v>#DIV/0!</v>
      </c>
      <c r="CTN83" s="367">
        <v>15.38</v>
      </c>
      <c r="CTO83" s="367" t="e">
        <f>CTL83*CTM83*CTN83</f>
        <v>#DIV/0!</v>
      </c>
      <c r="CTP83" s="363" t="s">
        <v>153</v>
      </c>
      <c r="CTQ83" s="363"/>
      <c r="CTR83" s="363"/>
      <c r="CTS83" s="364" t="s">
        <v>140</v>
      </c>
      <c r="CTT83" s="365">
        <v>0.5</v>
      </c>
      <c r="CTU83" s="366" t="e">
        <f>10/CTQ81</f>
        <v>#DIV/0!</v>
      </c>
      <c r="CTV83" s="367">
        <v>15.38</v>
      </c>
      <c r="CTW83" s="367" t="e">
        <f>CTT83*CTU83*CTV83</f>
        <v>#DIV/0!</v>
      </c>
      <c r="CTX83" s="363" t="s">
        <v>153</v>
      </c>
      <c r="CTY83" s="363"/>
      <c r="CTZ83" s="363"/>
      <c r="CUA83" s="364" t="s">
        <v>140</v>
      </c>
      <c r="CUB83" s="365">
        <v>0.5</v>
      </c>
      <c r="CUC83" s="366" t="e">
        <f>10/CTY81</f>
        <v>#DIV/0!</v>
      </c>
      <c r="CUD83" s="367">
        <v>15.38</v>
      </c>
      <c r="CUE83" s="367" t="e">
        <f>CUB83*CUC83*CUD83</f>
        <v>#DIV/0!</v>
      </c>
      <c r="CUF83" s="363" t="s">
        <v>153</v>
      </c>
      <c r="CUG83" s="363"/>
      <c r="CUH83" s="363"/>
      <c r="CUI83" s="364" t="s">
        <v>140</v>
      </c>
      <c r="CUJ83" s="365">
        <v>0.5</v>
      </c>
      <c r="CUK83" s="366" t="e">
        <f>10/CUG81</f>
        <v>#DIV/0!</v>
      </c>
      <c r="CUL83" s="367">
        <v>15.38</v>
      </c>
      <c r="CUM83" s="367" t="e">
        <f>CUJ83*CUK83*CUL83</f>
        <v>#DIV/0!</v>
      </c>
      <c r="CUN83" s="363" t="s">
        <v>153</v>
      </c>
      <c r="CUO83" s="363"/>
      <c r="CUP83" s="363"/>
      <c r="CUQ83" s="364" t="s">
        <v>140</v>
      </c>
      <c r="CUR83" s="365">
        <v>0.5</v>
      </c>
      <c r="CUS83" s="366" t="e">
        <f>10/CUO81</f>
        <v>#DIV/0!</v>
      </c>
      <c r="CUT83" s="367">
        <v>15.38</v>
      </c>
      <c r="CUU83" s="367" t="e">
        <f>CUR83*CUS83*CUT83</f>
        <v>#DIV/0!</v>
      </c>
      <c r="CUV83" s="363" t="s">
        <v>153</v>
      </c>
      <c r="CUW83" s="363"/>
      <c r="CUX83" s="363"/>
      <c r="CUY83" s="364" t="s">
        <v>140</v>
      </c>
      <c r="CUZ83" s="365">
        <v>0.5</v>
      </c>
      <c r="CVA83" s="366" t="e">
        <f>10/CUW81</f>
        <v>#DIV/0!</v>
      </c>
      <c r="CVB83" s="367">
        <v>15.38</v>
      </c>
      <c r="CVC83" s="367" t="e">
        <f>CUZ83*CVA83*CVB83</f>
        <v>#DIV/0!</v>
      </c>
      <c r="CVD83" s="363" t="s">
        <v>153</v>
      </c>
      <c r="CVE83" s="363"/>
      <c r="CVF83" s="363"/>
      <c r="CVG83" s="364" t="s">
        <v>140</v>
      </c>
      <c r="CVH83" s="365">
        <v>0.5</v>
      </c>
      <c r="CVI83" s="366" t="e">
        <f>10/CVE81</f>
        <v>#DIV/0!</v>
      </c>
      <c r="CVJ83" s="367">
        <v>15.38</v>
      </c>
      <c r="CVK83" s="367" t="e">
        <f>CVH83*CVI83*CVJ83</f>
        <v>#DIV/0!</v>
      </c>
      <c r="CVL83" s="363" t="s">
        <v>153</v>
      </c>
      <c r="CVM83" s="363"/>
      <c r="CVN83" s="363"/>
      <c r="CVO83" s="364" t="s">
        <v>140</v>
      </c>
      <c r="CVP83" s="365">
        <v>0.5</v>
      </c>
      <c r="CVQ83" s="366" t="e">
        <f>10/CVM81</f>
        <v>#DIV/0!</v>
      </c>
      <c r="CVR83" s="367">
        <v>15.38</v>
      </c>
      <c r="CVS83" s="367" t="e">
        <f>CVP83*CVQ83*CVR83</f>
        <v>#DIV/0!</v>
      </c>
      <c r="CVT83" s="363" t="s">
        <v>153</v>
      </c>
      <c r="CVU83" s="363"/>
      <c r="CVV83" s="363"/>
      <c r="CVW83" s="364" t="s">
        <v>140</v>
      </c>
      <c r="CVX83" s="365">
        <v>0.5</v>
      </c>
      <c r="CVY83" s="366" t="e">
        <f>10/CVU81</f>
        <v>#DIV/0!</v>
      </c>
      <c r="CVZ83" s="367">
        <v>15.38</v>
      </c>
      <c r="CWA83" s="367" t="e">
        <f>CVX83*CVY83*CVZ83</f>
        <v>#DIV/0!</v>
      </c>
      <c r="CWB83" s="363" t="s">
        <v>153</v>
      </c>
      <c r="CWC83" s="363"/>
      <c r="CWD83" s="363"/>
      <c r="CWE83" s="364" t="s">
        <v>140</v>
      </c>
      <c r="CWF83" s="365">
        <v>0.5</v>
      </c>
      <c r="CWG83" s="366" t="e">
        <f>10/CWC81</f>
        <v>#DIV/0!</v>
      </c>
      <c r="CWH83" s="367">
        <v>15.38</v>
      </c>
      <c r="CWI83" s="367" t="e">
        <f>CWF83*CWG83*CWH83</f>
        <v>#DIV/0!</v>
      </c>
      <c r="CWJ83" s="363" t="s">
        <v>153</v>
      </c>
      <c r="CWK83" s="363"/>
      <c r="CWL83" s="363"/>
      <c r="CWM83" s="364" t="s">
        <v>140</v>
      </c>
      <c r="CWN83" s="365">
        <v>0.5</v>
      </c>
      <c r="CWO83" s="366" t="e">
        <f>10/CWK81</f>
        <v>#DIV/0!</v>
      </c>
      <c r="CWP83" s="367">
        <v>15.38</v>
      </c>
      <c r="CWQ83" s="367" t="e">
        <f>CWN83*CWO83*CWP83</f>
        <v>#DIV/0!</v>
      </c>
      <c r="CWR83" s="363" t="s">
        <v>153</v>
      </c>
      <c r="CWS83" s="363"/>
      <c r="CWT83" s="363"/>
      <c r="CWU83" s="364" t="s">
        <v>140</v>
      </c>
      <c r="CWV83" s="365">
        <v>0.5</v>
      </c>
      <c r="CWW83" s="366" t="e">
        <f>10/CWS81</f>
        <v>#DIV/0!</v>
      </c>
      <c r="CWX83" s="367">
        <v>15.38</v>
      </c>
      <c r="CWY83" s="367" t="e">
        <f>CWV83*CWW83*CWX83</f>
        <v>#DIV/0!</v>
      </c>
      <c r="CWZ83" s="363" t="s">
        <v>153</v>
      </c>
      <c r="CXA83" s="363"/>
      <c r="CXB83" s="363"/>
      <c r="CXC83" s="364" t="s">
        <v>140</v>
      </c>
      <c r="CXD83" s="365">
        <v>0.5</v>
      </c>
      <c r="CXE83" s="366" t="e">
        <f>10/CXA81</f>
        <v>#DIV/0!</v>
      </c>
      <c r="CXF83" s="367">
        <v>15.38</v>
      </c>
      <c r="CXG83" s="367" t="e">
        <f>CXD83*CXE83*CXF83</f>
        <v>#DIV/0!</v>
      </c>
      <c r="CXH83" s="363" t="s">
        <v>153</v>
      </c>
      <c r="CXI83" s="363"/>
      <c r="CXJ83" s="363"/>
      <c r="CXK83" s="364" t="s">
        <v>140</v>
      </c>
      <c r="CXL83" s="365">
        <v>0.5</v>
      </c>
      <c r="CXM83" s="366" t="e">
        <f>10/CXI81</f>
        <v>#DIV/0!</v>
      </c>
      <c r="CXN83" s="367">
        <v>15.38</v>
      </c>
      <c r="CXO83" s="367" t="e">
        <f>CXL83*CXM83*CXN83</f>
        <v>#DIV/0!</v>
      </c>
      <c r="CXP83" s="363" t="s">
        <v>153</v>
      </c>
      <c r="CXQ83" s="363"/>
      <c r="CXR83" s="363"/>
      <c r="CXS83" s="364" t="s">
        <v>140</v>
      </c>
      <c r="CXT83" s="365">
        <v>0.5</v>
      </c>
      <c r="CXU83" s="366" t="e">
        <f>10/CXQ81</f>
        <v>#DIV/0!</v>
      </c>
      <c r="CXV83" s="367">
        <v>15.38</v>
      </c>
      <c r="CXW83" s="367" t="e">
        <f>CXT83*CXU83*CXV83</f>
        <v>#DIV/0!</v>
      </c>
      <c r="CXX83" s="363" t="s">
        <v>153</v>
      </c>
      <c r="CXY83" s="363"/>
      <c r="CXZ83" s="363"/>
      <c r="CYA83" s="364" t="s">
        <v>140</v>
      </c>
      <c r="CYB83" s="365">
        <v>0.5</v>
      </c>
      <c r="CYC83" s="366" t="e">
        <f>10/CXY81</f>
        <v>#DIV/0!</v>
      </c>
      <c r="CYD83" s="367">
        <v>15.38</v>
      </c>
      <c r="CYE83" s="367" t="e">
        <f>CYB83*CYC83*CYD83</f>
        <v>#DIV/0!</v>
      </c>
      <c r="CYF83" s="363" t="s">
        <v>153</v>
      </c>
      <c r="CYG83" s="363"/>
      <c r="CYH83" s="363"/>
      <c r="CYI83" s="364" t="s">
        <v>140</v>
      </c>
      <c r="CYJ83" s="365">
        <v>0.5</v>
      </c>
      <c r="CYK83" s="366" t="e">
        <f>10/CYG81</f>
        <v>#DIV/0!</v>
      </c>
      <c r="CYL83" s="367">
        <v>15.38</v>
      </c>
      <c r="CYM83" s="367" t="e">
        <f>CYJ83*CYK83*CYL83</f>
        <v>#DIV/0!</v>
      </c>
      <c r="CYN83" s="363" t="s">
        <v>153</v>
      </c>
      <c r="CYO83" s="363"/>
      <c r="CYP83" s="363"/>
      <c r="CYQ83" s="364" t="s">
        <v>140</v>
      </c>
      <c r="CYR83" s="365">
        <v>0.5</v>
      </c>
      <c r="CYS83" s="366" t="e">
        <f>10/CYO81</f>
        <v>#DIV/0!</v>
      </c>
      <c r="CYT83" s="367">
        <v>15.38</v>
      </c>
      <c r="CYU83" s="367" t="e">
        <f>CYR83*CYS83*CYT83</f>
        <v>#DIV/0!</v>
      </c>
      <c r="CYV83" s="363" t="s">
        <v>153</v>
      </c>
      <c r="CYW83" s="363"/>
      <c r="CYX83" s="363"/>
      <c r="CYY83" s="364" t="s">
        <v>140</v>
      </c>
      <c r="CYZ83" s="365">
        <v>0.5</v>
      </c>
      <c r="CZA83" s="366" t="e">
        <f>10/CYW81</f>
        <v>#DIV/0!</v>
      </c>
      <c r="CZB83" s="367">
        <v>15.38</v>
      </c>
      <c r="CZC83" s="367" t="e">
        <f>CYZ83*CZA83*CZB83</f>
        <v>#DIV/0!</v>
      </c>
      <c r="CZD83" s="363" t="s">
        <v>153</v>
      </c>
      <c r="CZE83" s="363"/>
      <c r="CZF83" s="363"/>
      <c r="CZG83" s="364" t="s">
        <v>140</v>
      </c>
      <c r="CZH83" s="365">
        <v>0.5</v>
      </c>
      <c r="CZI83" s="366" t="e">
        <f>10/CZE81</f>
        <v>#DIV/0!</v>
      </c>
      <c r="CZJ83" s="367">
        <v>15.38</v>
      </c>
      <c r="CZK83" s="367" t="e">
        <f>CZH83*CZI83*CZJ83</f>
        <v>#DIV/0!</v>
      </c>
      <c r="CZL83" s="363" t="s">
        <v>153</v>
      </c>
      <c r="CZM83" s="363"/>
      <c r="CZN83" s="363"/>
      <c r="CZO83" s="364" t="s">
        <v>140</v>
      </c>
      <c r="CZP83" s="365">
        <v>0.5</v>
      </c>
      <c r="CZQ83" s="366" t="e">
        <f>10/CZM81</f>
        <v>#DIV/0!</v>
      </c>
      <c r="CZR83" s="367">
        <v>15.38</v>
      </c>
      <c r="CZS83" s="367" t="e">
        <f>CZP83*CZQ83*CZR83</f>
        <v>#DIV/0!</v>
      </c>
      <c r="CZT83" s="363" t="s">
        <v>153</v>
      </c>
      <c r="CZU83" s="363"/>
      <c r="CZV83" s="363"/>
      <c r="CZW83" s="364" t="s">
        <v>140</v>
      </c>
      <c r="CZX83" s="365">
        <v>0.5</v>
      </c>
      <c r="CZY83" s="366" t="e">
        <f>10/CZU81</f>
        <v>#DIV/0!</v>
      </c>
      <c r="CZZ83" s="367">
        <v>15.38</v>
      </c>
      <c r="DAA83" s="367" t="e">
        <f>CZX83*CZY83*CZZ83</f>
        <v>#DIV/0!</v>
      </c>
      <c r="DAB83" s="363" t="s">
        <v>153</v>
      </c>
      <c r="DAC83" s="363"/>
      <c r="DAD83" s="363"/>
      <c r="DAE83" s="364" t="s">
        <v>140</v>
      </c>
      <c r="DAF83" s="365">
        <v>0.5</v>
      </c>
      <c r="DAG83" s="366" t="e">
        <f>10/DAC81</f>
        <v>#DIV/0!</v>
      </c>
      <c r="DAH83" s="367">
        <v>15.38</v>
      </c>
      <c r="DAI83" s="367" t="e">
        <f>DAF83*DAG83*DAH83</f>
        <v>#DIV/0!</v>
      </c>
      <c r="DAJ83" s="363" t="s">
        <v>153</v>
      </c>
      <c r="DAK83" s="363"/>
      <c r="DAL83" s="363"/>
      <c r="DAM83" s="364" t="s">
        <v>140</v>
      </c>
      <c r="DAN83" s="365">
        <v>0.5</v>
      </c>
      <c r="DAO83" s="366" t="e">
        <f>10/DAK81</f>
        <v>#DIV/0!</v>
      </c>
      <c r="DAP83" s="367">
        <v>15.38</v>
      </c>
      <c r="DAQ83" s="367" t="e">
        <f>DAN83*DAO83*DAP83</f>
        <v>#DIV/0!</v>
      </c>
      <c r="DAR83" s="363" t="s">
        <v>153</v>
      </c>
      <c r="DAS83" s="363"/>
      <c r="DAT83" s="363"/>
      <c r="DAU83" s="364" t="s">
        <v>140</v>
      </c>
      <c r="DAV83" s="365">
        <v>0.5</v>
      </c>
      <c r="DAW83" s="366" t="e">
        <f>10/DAS81</f>
        <v>#DIV/0!</v>
      </c>
      <c r="DAX83" s="367">
        <v>15.38</v>
      </c>
      <c r="DAY83" s="367" t="e">
        <f>DAV83*DAW83*DAX83</f>
        <v>#DIV/0!</v>
      </c>
      <c r="DAZ83" s="363" t="s">
        <v>153</v>
      </c>
      <c r="DBA83" s="363"/>
      <c r="DBB83" s="363"/>
      <c r="DBC83" s="364" t="s">
        <v>140</v>
      </c>
      <c r="DBD83" s="365">
        <v>0.5</v>
      </c>
      <c r="DBE83" s="366" t="e">
        <f>10/DBA81</f>
        <v>#DIV/0!</v>
      </c>
      <c r="DBF83" s="367">
        <v>15.38</v>
      </c>
      <c r="DBG83" s="367" t="e">
        <f>DBD83*DBE83*DBF83</f>
        <v>#DIV/0!</v>
      </c>
      <c r="DBH83" s="363" t="s">
        <v>153</v>
      </c>
      <c r="DBI83" s="363"/>
      <c r="DBJ83" s="363"/>
      <c r="DBK83" s="364" t="s">
        <v>140</v>
      </c>
      <c r="DBL83" s="365">
        <v>0.5</v>
      </c>
      <c r="DBM83" s="366" t="e">
        <f>10/DBI81</f>
        <v>#DIV/0!</v>
      </c>
      <c r="DBN83" s="367">
        <v>15.38</v>
      </c>
      <c r="DBO83" s="367" t="e">
        <f>DBL83*DBM83*DBN83</f>
        <v>#DIV/0!</v>
      </c>
      <c r="DBP83" s="363" t="s">
        <v>153</v>
      </c>
      <c r="DBQ83" s="363"/>
      <c r="DBR83" s="363"/>
      <c r="DBS83" s="364" t="s">
        <v>140</v>
      </c>
      <c r="DBT83" s="365">
        <v>0.5</v>
      </c>
      <c r="DBU83" s="366" t="e">
        <f>10/DBQ81</f>
        <v>#DIV/0!</v>
      </c>
      <c r="DBV83" s="367">
        <v>15.38</v>
      </c>
      <c r="DBW83" s="367" t="e">
        <f>DBT83*DBU83*DBV83</f>
        <v>#DIV/0!</v>
      </c>
      <c r="DBX83" s="363" t="s">
        <v>153</v>
      </c>
      <c r="DBY83" s="363"/>
      <c r="DBZ83" s="363"/>
      <c r="DCA83" s="364" t="s">
        <v>140</v>
      </c>
      <c r="DCB83" s="365">
        <v>0.5</v>
      </c>
      <c r="DCC83" s="366" t="e">
        <f>10/DBY81</f>
        <v>#DIV/0!</v>
      </c>
      <c r="DCD83" s="367">
        <v>15.38</v>
      </c>
      <c r="DCE83" s="367" t="e">
        <f>DCB83*DCC83*DCD83</f>
        <v>#DIV/0!</v>
      </c>
      <c r="DCF83" s="363" t="s">
        <v>153</v>
      </c>
      <c r="DCG83" s="363"/>
      <c r="DCH83" s="363"/>
      <c r="DCI83" s="364" t="s">
        <v>140</v>
      </c>
      <c r="DCJ83" s="365">
        <v>0.5</v>
      </c>
      <c r="DCK83" s="366" t="e">
        <f>10/DCG81</f>
        <v>#DIV/0!</v>
      </c>
      <c r="DCL83" s="367">
        <v>15.38</v>
      </c>
      <c r="DCM83" s="367" t="e">
        <f>DCJ83*DCK83*DCL83</f>
        <v>#DIV/0!</v>
      </c>
      <c r="DCN83" s="363" t="s">
        <v>153</v>
      </c>
      <c r="DCO83" s="363"/>
      <c r="DCP83" s="363"/>
      <c r="DCQ83" s="364" t="s">
        <v>140</v>
      </c>
      <c r="DCR83" s="365">
        <v>0.5</v>
      </c>
      <c r="DCS83" s="366" t="e">
        <f>10/DCO81</f>
        <v>#DIV/0!</v>
      </c>
      <c r="DCT83" s="367">
        <v>15.38</v>
      </c>
      <c r="DCU83" s="367" t="e">
        <f>DCR83*DCS83*DCT83</f>
        <v>#DIV/0!</v>
      </c>
      <c r="DCV83" s="363" t="s">
        <v>153</v>
      </c>
      <c r="DCW83" s="363"/>
      <c r="DCX83" s="363"/>
      <c r="DCY83" s="364" t="s">
        <v>140</v>
      </c>
      <c r="DCZ83" s="365">
        <v>0.5</v>
      </c>
      <c r="DDA83" s="366" t="e">
        <f>10/DCW81</f>
        <v>#DIV/0!</v>
      </c>
      <c r="DDB83" s="367">
        <v>15.38</v>
      </c>
      <c r="DDC83" s="367" t="e">
        <f>DCZ83*DDA83*DDB83</f>
        <v>#DIV/0!</v>
      </c>
      <c r="DDD83" s="363" t="s">
        <v>153</v>
      </c>
      <c r="DDE83" s="363"/>
      <c r="DDF83" s="363"/>
      <c r="DDG83" s="364" t="s">
        <v>140</v>
      </c>
      <c r="DDH83" s="365">
        <v>0.5</v>
      </c>
      <c r="DDI83" s="366" t="e">
        <f>10/DDE81</f>
        <v>#DIV/0!</v>
      </c>
      <c r="DDJ83" s="367">
        <v>15.38</v>
      </c>
      <c r="DDK83" s="367" t="e">
        <f>DDH83*DDI83*DDJ83</f>
        <v>#DIV/0!</v>
      </c>
      <c r="DDL83" s="363" t="s">
        <v>153</v>
      </c>
      <c r="DDM83" s="363"/>
      <c r="DDN83" s="363"/>
      <c r="DDO83" s="364" t="s">
        <v>140</v>
      </c>
      <c r="DDP83" s="365">
        <v>0.5</v>
      </c>
      <c r="DDQ83" s="366" t="e">
        <f>10/DDM81</f>
        <v>#DIV/0!</v>
      </c>
      <c r="DDR83" s="367">
        <v>15.38</v>
      </c>
      <c r="DDS83" s="367" t="e">
        <f>DDP83*DDQ83*DDR83</f>
        <v>#DIV/0!</v>
      </c>
      <c r="DDT83" s="363" t="s">
        <v>153</v>
      </c>
      <c r="DDU83" s="363"/>
      <c r="DDV83" s="363"/>
      <c r="DDW83" s="364" t="s">
        <v>140</v>
      </c>
      <c r="DDX83" s="365">
        <v>0.5</v>
      </c>
      <c r="DDY83" s="366" t="e">
        <f>10/DDU81</f>
        <v>#DIV/0!</v>
      </c>
      <c r="DDZ83" s="367">
        <v>15.38</v>
      </c>
      <c r="DEA83" s="367" t="e">
        <f>DDX83*DDY83*DDZ83</f>
        <v>#DIV/0!</v>
      </c>
      <c r="DEB83" s="363" t="s">
        <v>153</v>
      </c>
      <c r="DEC83" s="363"/>
      <c r="DED83" s="363"/>
      <c r="DEE83" s="364" t="s">
        <v>140</v>
      </c>
      <c r="DEF83" s="365">
        <v>0.5</v>
      </c>
      <c r="DEG83" s="366" t="e">
        <f>10/DEC81</f>
        <v>#DIV/0!</v>
      </c>
      <c r="DEH83" s="367">
        <v>15.38</v>
      </c>
      <c r="DEI83" s="367" t="e">
        <f>DEF83*DEG83*DEH83</f>
        <v>#DIV/0!</v>
      </c>
      <c r="DEJ83" s="363" t="s">
        <v>153</v>
      </c>
      <c r="DEK83" s="363"/>
      <c r="DEL83" s="363"/>
      <c r="DEM83" s="364" t="s">
        <v>140</v>
      </c>
      <c r="DEN83" s="365">
        <v>0.5</v>
      </c>
      <c r="DEO83" s="366" t="e">
        <f>10/DEK81</f>
        <v>#DIV/0!</v>
      </c>
      <c r="DEP83" s="367">
        <v>15.38</v>
      </c>
      <c r="DEQ83" s="367" t="e">
        <f>DEN83*DEO83*DEP83</f>
        <v>#DIV/0!</v>
      </c>
      <c r="DER83" s="363" t="s">
        <v>153</v>
      </c>
      <c r="DES83" s="363"/>
      <c r="DET83" s="363"/>
      <c r="DEU83" s="364" t="s">
        <v>140</v>
      </c>
      <c r="DEV83" s="365">
        <v>0.5</v>
      </c>
      <c r="DEW83" s="366" t="e">
        <f>10/DES81</f>
        <v>#DIV/0!</v>
      </c>
      <c r="DEX83" s="367">
        <v>15.38</v>
      </c>
      <c r="DEY83" s="367" t="e">
        <f>DEV83*DEW83*DEX83</f>
        <v>#DIV/0!</v>
      </c>
      <c r="DEZ83" s="363" t="s">
        <v>153</v>
      </c>
      <c r="DFA83" s="363"/>
      <c r="DFB83" s="363"/>
      <c r="DFC83" s="364" t="s">
        <v>140</v>
      </c>
      <c r="DFD83" s="365">
        <v>0.5</v>
      </c>
      <c r="DFE83" s="366" t="e">
        <f>10/DFA81</f>
        <v>#DIV/0!</v>
      </c>
      <c r="DFF83" s="367">
        <v>15.38</v>
      </c>
      <c r="DFG83" s="367" t="e">
        <f>DFD83*DFE83*DFF83</f>
        <v>#DIV/0!</v>
      </c>
      <c r="DFH83" s="363" t="s">
        <v>153</v>
      </c>
      <c r="DFI83" s="363"/>
      <c r="DFJ83" s="363"/>
      <c r="DFK83" s="364" t="s">
        <v>140</v>
      </c>
      <c r="DFL83" s="365">
        <v>0.5</v>
      </c>
      <c r="DFM83" s="366" t="e">
        <f>10/DFI81</f>
        <v>#DIV/0!</v>
      </c>
      <c r="DFN83" s="367">
        <v>15.38</v>
      </c>
      <c r="DFO83" s="367" t="e">
        <f>DFL83*DFM83*DFN83</f>
        <v>#DIV/0!</v>
      </c>
      <c r="DFP83" s="363" t="s">
        <v>153</v>
      </c>
      <c r="DFQ83" s="363"/>
      <c r="DFR83" s="363"/>
      <c r="DFS83" s="364" t="s">
        <v>140</v>
      </c>
      <c r="DFT83" s="365">
        <v>0.5</v>
      </c>
      <c r="DFU83" s="366" t="e">
        <f>10/DFQ81</f>
        <v>#DIV/0!</v>
      </c>
      <c r="DFV83" s="367">
        <v>15.38</v>
      </c>
      <c r="DFW83" s="367" t="e">
        <f>DFT83*DFU83*DFV83</f>
        <v>#DIV/0!</v>
      </c>
      <c r="DFX83" s="363" t="s">
        <v>153</v>
      </c>
      <c r="DFY83" s="363"/>
      <c r="DFZ83" s="363"/>
      <c r="DGA83" s="364" t="s">
        <v>140</v>
      </c>
      <c r="DGB83" s="365">
        <v>0.5</v>
      </c>
      <c r="DGC83" s="366" t="e">
        <f>10/DFY81</f>
        <v>#DIV/0!</v>
      </c>
      <c r="DGD83" s="367">
        <v>15.38</v>
      </c>
      <c r="DGE83" s="367" t="e">
        <f>DGB83*DGC83*DGD83</f>
        <v>#DIV/0!</v>
      </c>
      <c r="DGF83" s="363" t="s">
        <v>153</v>
      </c>
      <c r="DGG83" s="363"/>
      <c r="DGH83" s="363"/>
      <c r="DGI83" s="364" t="s">
        <v>140</v>
      </c>
      <c r="DGJ83" s="365">
        <v>0.5</v>
      </c>
      <c r="DGK83" s="366" t="e">
        <f>10/DGG81</f>
        <v>#DIV/0!</v>
      </c>
      <c r="DGL83" s="367">
        <v>15.38</v>
      </c>
      <c r="DGM83" s="367" t="e">
        <f>DGJ83*DGK83*DGL83</f>
        <v>#DIV/0!</v>
      </c>
      <c r="DGN83" s="363" t="s">
        <v>153</v>
      </c>
      <c r="DGO83" s="363"/>
      <c r="DGP83" s="363"/>
      <c r="DGQ83" s="364" t="s">
        <v>140</v>
      </c>
      <c r="DGR83" s="365">
        <v>0.5</v>
      </c>
      <c r="DGS83" s="366" t="e">
        <f>10/DGO81</f>
        <v>#DIV/0!</v>
      </c>
      <c r="DGT83" s="367">
        <v>15.38</v>
      </c>
      <c r="DGU83" s="367" t="e">
        <f>DGR83*DGS83*DGT83</f>
        <v>#DIV/0!</v>
      </c>
      <c r="DGV83" s="363" t="s">
        <v>153</v>
      </c>
      <c r="DGW83" s="363"/>
      <c r="DGX83" s="363"/>
      <c r="DGY83" s="364" t="s">
        <v>140</v>
      </c>
      <c r="DGZ83" s="365">
        <v>0.5</v>
      </c>
      <c r="DHA83" s="366" t="e">
        <f>10/DGW81</f>
        <v>#DIV/0!</v>
      </c>
      <c r="DHB83" s="367">
        <v>15.38</v>
      </c>
      <c r="DHC83" s="367" t="e">
        <f>DGZ83*DHA83*DHB83</f>
        <v>#DIV/0!</v>
      </c>
      <c r="DHD83" s="363" t="s">
        <v>153</v>
      </c>
      <c r="DHE83" s="363"/>
      <c r="DHF83" s="363"/>
      <c r="DHG83" s="364" t="s">
        <v>140</v>
      </c>
      <c r="DHH83" s="365">
        <v>0.5</v>
      </c>
      <c r="DHI83" s="366" t="e">
        <f>10/DHE81</f>
        <v>#DIV/0!</v>
      </c>
      <c r="DHJ83" s="367">
        <v>15.38</v>
      </c>
      <c r="DHK83" s="367" t="e">
        <f>DHH83*DHI83*DHJ83</f>
        <v>#DIV/0!</v>
      </c>
      <c r="DHL83" s="363" t="s">
        <v>153</v>
      </c>
      <c r="DHM83" s="363"/>
      <c r="DHN83" s="363"/>
      <c r="DHO83" s="364" t="s">
        <v>140</v>
      </c>
      <c r="DHP83" s="365">
        <v>0.5</v>
      </c>
      <c r="DHQ83" s="366" t="e">
        <f>10/DHM81</f>
        <v>#DIV/0!</v>
      </c>
      <c r="DHR83" s="367">
        <v>15.38</v>
      </c>
      <c r="DHS83" s="367" t="e">
        <f>DHP83*DHQ83*DHR83</f>
        <v>#DIV/0!</v>
      </c>
      <c r="DHT83" s="363" t="s">
        <v>153</v>
      </c>
      <c r="DHU83" s="363"/>
      <c r="DHV83" s="363"/>
      <c r="DHW83" s="364" t="s">
        <v>140</v>
      </c>
      <c r="DHX83" s="365">
        <v>0.5</v>
      </c>
      <c r="DHY83" s="366" t="e">
        <f>10/DHU81</f>
        <v>#DIV/0!</v>
      </c>
      <c r="DHZ83" s="367">
        <v>15.38</v>
      </c>
      <c r="DIA83" s="367" t="e">
        <f>DHX83*DHY83*DHZ83</f>
        <v>#DIV/0!</v>
      </c>
      <c r="DIB83" s="363" t="s">
        <v>153</v>
      </c>
      <c r="DIC83" s="363"/>
      <c r="DID83" s="363"/>
      <c r="DIE83" s="364" t="s">
        <v>140</v>
      </c>
      <c r="DIF83" s="365">
        <v>0.5</v>
      </c>
      <c r="DIG83" s="366" t="e">
        <f>10/DIC81</f>
        <v>#DIV/0!</v>
      </c>
      <c r="DIH83" s="367">
        <v>15.38</v>
      </c>
      <c r="DII83" s="367" t="e">
        <f>DIF83*DIG83*DIH83</f>
        <v>#DIV/0!</v>
      </c>
      <c r="DIJ83" s="363" t="s">
        <v>153</v>
      </c>
      <c r="DIK83" s="363"/>
      <c r="DIL83" s="363"/>
      <c r="DIM83" s="364" t="s">
        <v>140</v>
      </c>
      <c r="DIN83" s="365">
        <v>0.5</v>
      </c>
      <c r="DIO83" s="366" t="e">
        <f>10/DIK81</f>
        <v>#DIV/0!</v>
      </c>
      <c r="DIP83" s="367">
        <v>15.38</v>
      </c>
      <c r="DIQ83" s="367" t="e">
        <f>DIN83*DIO83*DIP83</f>
        <v>#DIV/0!</v>
      </c>
      <c r="DIR83" s="363" t="s">
        <v>153</v>
      </c>
      <c r="DIS83" s="363"/>
      <c r="DIT83" s="363"/>
      <c r="DIU83" s="364" t="s">
        <v>140</v>
      </c>
      <c r="DIV83" s="365">
        <v>0.5</v>
      </c>
      <c r="DIW83" s="366" t="e">
        <f>10/DIS81</f>
        <v>#DIV/0!</v>
      </c>
      <c r="DIX83" s="367">
        <v>15.38</v>
      </c>
      <c r="DIY83" s="367" t="e">
        <f>DIV83*DIW83*DIX83</f>
        <v>#DIV/0!</v>
      </c>
      <c r="DIZ83" s="363" t="s">
        <v>153</v>
      </c>
      <c r="DJA83" s="363"/>
      <c r="DJB83" s="363"/>
      <c r="DJC83" s="364" t="s">
        <v>140</v>
      </c>
      <c r="DJD83" s="365">
        <v>0.5</v>
      </c>
      <c r="DJE83" s="366" t="e">
        <f>10/DJA81</f>
        <v>#DIV/0!</v>
      </c>
      <c r="DJF83" s="367">
        <v>15.38</v>
      </c>
      <c r="DJG83" s="367" t="e">
        <f>DJD83*DJE83*DJF83</f>
        <v>#DIV/0!</v>
      </c>
      <c r="DJH83" s="363" t="s">
        <v>153</v>
      </c>
      <c r="DJI83" s="363"/>
      <c r="DJJ83" s="363"/>
      <c r="DJK83" s="364" t="s">
        <v>140</v>
      </c>
      <c r="DJL83" s="365">
        <v>0.5</v>
      </c>
      <c r="DJM83" s="366" t="e">
        <f>10/DJI81</f>
        <v>#DIV/0!</v>
      </c>
      <c r="DJN83" s="367">
        <v>15.38</v>
      </c>
      <c r="DJO83" s="367" t="e">
        <f>DJL83*DJM83*DJN83</f>
        <v>#DIV/0!</v>
      </c>
      <c r="DJP83" s="363" t="s">
        <v>153</v>
      </c>
      <c r="DJQ83" s="363"/>
      <c r="DJR83" s="363"/>
      <c r="DJS83" s="364" t="s">
        <v>140</v>
      </c>
      <c r="DJT83" s="365">
        <v>0.5</v>
      </c>
      <c r="DJU83" s="366" t="e">
        <f>10/DJQ81</f>
        <v>#DIV/0!</v>
      </c>
      <c r="DJV83" s="367">
        <v>15.38</v>
      </c>
      <c r="DJW83" s="367" t="e">
        <f>DJT83*DJU83*DJV83</f>
        <v>#DIV/0!</v>
      </c>
      <c r="DJX83" s="363" t="s">
        <v>153</v>
      </c>
      <c r="DJY83" s="363"/>
      <c r="DJZ83" s="363"/>
      <c r="DKA83" s="364" t="s">
        <v>140</v>
      </c>
      <c r="DKB83" s="365">
        <v>0.5</v>
      </c>
      <c r="DKC83" s="366" t="e">
        <f>10/DJY81</f>
        <v>#DIV/0!</v>
      </c>
      <c r="DKD83" s="367">
        <v>15.38</v>
      </c>
      <c r="DKE83" s="367" t="e">
        <f>DKB83*DKC83*DKD83</f>
        <v>#DIV/0!</v>
      </c>
      <c r="DKF83" s="363" t="s">
        <v>153</v>
      </c>
      <c r="DKG83" s="363"/>
      <c r="DKH83" s="363"/>
      <c r="DKI83" s="364" t="s">
        <v>140</v>
      </c>
      <c r="DKJ83" s="365">
        <v>0.5</v>
      </c>
      <c r="DKK83" s="366" t="e">
        <f>10/DKG81</f>
        <v>#DIV/0!</v>
      </c>
      <c r="DKL83" s="367">
        <v>15.38</v>
      </c>
      <c r="DKM83" s="367" t="e">
        <f>DKJ83*DKK83*DKL83</f>
        <v>#DIV/0!</v>
      </c>
      <c r="DKN83" s="363" t="s">
        <v>153</v>
      </c>
      <c r="DKO83" s="363"/>
      <c r="DKP83" s="363"/>
      <c r="DKQ83" s="364" t="s">
        <v>140</v>
      </c>
      <c r="DKR83" s="365">
        <v>0.5</v>
      </c>
      <c r="DKS83" s="366" t="e">
        <f>10/DKO81</f>
        <v>#DIV/0!</v>
      </c>
      <c r="DKT83" s="367">
        <v>15.38</v>
      </c>
      <c r="DKU83" s="367" t="e">
        <f>DKR83*DKS83*DKT83</f>
        <v>#DIV/0!</v>
      </c>
      <c r="DKV83" s="363" t="s">
        <v>153</v>
      </c>
      <c r="DKW83" s="363"/>
      <c r="DKX83" s="363"/>
      <c r="DKY83" s="364" t="s">
        <v>140</v>
      </c>
      <c r="DKZ83" s="365">
        <v>0.5</v>
      </c>
      <c r="DLA83" s="366" t="e">
        <f>10/DKW81</f>
        <v>#DIV/0!</v>
      </c>
      <c r="DLB83" s="367">
        <v>15.38</v>
      </c>
      <c r="DLC83" s="367" t="e">
        <f>DKZ83*DLA83*DLB83</f>
        <v>#DIV/0!</v>
      </c>
      <c r="DLD83" s="363" t="s">
        <v>153</v>
      </c>
      <c r="DLE83" s="363"/>
      <c r="DLF83" s="363"/>
      <c r="DLG83" s="364" t="s">
        <v>140</v>
      </c>
      <c r="DLH83" s="365">
        <v>0.5</v>
      </c>
      <c r="DLI83" s="366" t="e">
        <f>10/DLE81</f>
        <v>#DIV/0!</v>
      </c>
      <c r="DLJ83" s="367">
        <v>15.38</v>
      </c>
      <c r="DLK83" s="367" t="e">
        <f>DLH83*DLI83*DLJ83</f>
        <v>#DIV/0!</v>
      </c>
      <c r="DLL83" s="363" t="s">
        <v>153</v>
      </c>
      <c r="DLM83" s="363"/>
      <c r="DLN83" s="363"/>
      <c r="DLO83" s="364" t="s">
        <v>140</v>
      </c>
      <c r="DLP83" s="365">
        <v>0.5</v>
      </c>
      <c r="DLQ83" s="366" t="e">
        <f>10/DLM81</f>
        <v>#DIV/0!</v>
      </c>
      <c r="DLR83" s="367">
        <v>15.38</v>
      </c>
      <c r="DLS83" s="367" t="e">
        <f>DLP83*DLQ83*DLR83</f>
        <v>#DIV/0!</v>
      </c>
      <c r="DLT83" s="363" t="s">
        <v>153</v>
      </c>
      <c r="DLU83" s="363"/>
      <c r="DLV83" s="363"/>
      <c r="DLW83" s="364" t="s">
        <v>140</v>
      </c>
      <c r="DLX83" s="365">
        <v>0.5</v>
      </c>
      <c r="DLY83" s="366" t="e">
        <f>10/DLU81</f>
        <v>#DIV/0!</v>
      </c>
      <c r="DLZ83" s="367">
        <v>15.38</v>
      </c>
      <c r="DMA83" s="367" t="e">
        <f>DLX83*DLY83*DLZ83</f>
        <v>#DIV/0!</v>
      </c>
      <c r="DMB83" s="363" t="s">
        <v>153</v>
      </c>
      <c r="DMC83" s="363"/>
      <c r="DMD83" s="363"/>
      <c r="DME83" s="364" t="s">
        <v>140</v>
      </c>
      <c r="DMF83" s="365">
        <v>0.5</v>
      </c>
      <c r="DMG83" s="366" t="e">
        <f>10/DMC81</f>
        <v>#DIV/0!</v>
      </c>
      <c r="DMH83" s="367">
        <v>15.38</v>
      </c>
      <c r="DMI83" s="367" t="e">
        <f>DMF83*DMG83*DMH83</f>
        <v>#DIV/0!</v>
      </c>
      <c r="DMJ83" s="363" t="s">
        <v>153</v>
      </c>
      <c r="DMK83" s="363"/>
      <c r="DML83" s="363"/>
      <c r="DMM83" s="364" t="s">
        <v>140</v>
      </c>
      <c r="DMN83" s="365">
        <v>0.5</v>
      </c>
      <c r="DMO83" s="366" t="e">
        <f>10/DMK81</f>
        <v>#DIV/0!</v>
      </c>
      <c r="DMP83" s="367">
        <v>15.38</v>
      </c>
      <c r="DMQ83" s="367" t="e">
        <f>DMN83*DMO83*DMP83</f>
        <v>#DIV/0!</v>
      </c>
      <c r="DMR83" s="363" t="s">
        <v>153</v>
      </c>
      <c r="DMS83" s="363"/>
      <c r="DMT83" s="363"/>
      <c r="DMU83" s="364" t="s">
        <v>140</v>
      </c>
      <c r="DMV83" s="365">
        <v>0.5</v>
      </c>
      <c r="DMW83" s="366" t="e">
        <f>10/DMS81</f>
        <v>#DIV/0!</v>
      </c>
      <c r="DMX83" s="367">
        <v>15.38</v>
      </c>
      <c r="DMY83" s="367" t="e">
        <f>DMV83*DMW83*DMX83</f>
        <v>#DIV/0!</v>
      </c>
      <c r="DMZ83" s="363" t="s">
        <v>153</v>
      </c>
      <c r="DNA83" s="363"/>
      <c r="DNB83" s="363"/>
      <c r="DNC83" s="364" t="s">
        <v>140</v>
      </c>
      <c r="DND83" s="365">
        <v>0.5</v>
      </c>
      <c r="DNE83" s="366" t="e">
        <f>10/DNA81</f>
        <v>#DIV/0!</v>
      </c>
      <c r="DNF83" s="367">
        <v>15.38</v>
      </c>
      <c r="DNG83" s="367" t="e">
        <f>DND83*DNE83*DNF83</f>
        <v>#DIV/0!</v>
      </c>
      <c r="DNH83" s="363" t="s">
        <v>153</v>
      </c>
      <c r="DNI83" s="363"/>
      <c r="DNJ83" s="363"/>
      <c r="DNK83" s="364" t="s">
        <v>140</v>
      </c>
      <c r="DNL83" s="365">
        <v>0.5</v>
      </c>
      <c r="DNM83" s="366" t="e">
        <f>10/DNI81</f>
        <v>#DIV/0!</v>
      </c>
      <c r="DNN83" s="367">
        <v>15.38</v>
      </c>
      <c r="DNO83" s="367" t="e">
        <f>DNL83*DNM83*DNN83</f>
        <v>#DIV/0!</v>
      </c>
      <c r="DNP83" s="363" t="s">
        <v>153</v>
      </c>
      <c r="DNQ83" s="363"/>
      <c r="DNR83" s="363"/>
      <c r="DNS83" s="364" t="s">
        <v>140</v>
      </c>
      <c r="DNT83" s="365">
        <v>0.5</v>
      </c>
      <c r="DNU83" s="366" t="e">
        <f>10/DNQ81</f>
        <v>#DIV/0!</v>
      </c>
      <c r="DNV83" s="367">
        <v>15.38</v>
      </c>
      <c r="DNW83" s="367" t="e">
        <f>DNT83*DNU83*DNV83</f>
        <v>#DIV/0!</v>
      </c>
      <c r="DNX83" s="363" t="s">
        <v>153</v>
      </c>
      <c r="DNY83" s="363"/>
      <c r="DNZ83" s="363"/>
      <c r="DOA83" s="364" t="s">
        <v>140</v>
      </c>
      <c r="DOB83" s="365">
        <v>0.5</v>
      </c>
      <c r="DOC83" s="366" t="e">
        <f>10/DNY81</f>
        <v>#DIV/0!</v>
      </c>
      <c r="DOD83" s="367">
        <v>15.38</v>
      </c>
      <c r="DOE83" s="367" t="e">
        <f>DOB83*DOC83*DOD83</f>
        <v>#DIV/0!</v>
      </c>
      <c r="DOF83" s="363" t="s">
        <v>153</v>
      </c>
      <c r="DOG83" s="363"/>
      <c r="DOH83" s="363"/>
      <c r="DOI83" s="364" t="s">
        <v>140</v>
      </c>
      <c r="DOJ83" s="365">
        <v>0.5</v>
      </c>
      <c r="DOK83" s="366" t="e">
        <f>10/DOG81</f>
        <v>#DIV/0!</v>
      </c>
      <c r="DOL83" s="367">
        <v>15.38</v>
      </c>
      <c r="DOM83" s="367" t="e">
        <f>DOJ83*DOK83*DOL83</f>
        <v>#DIV/0!</v>
      </c>
      <c r="DON83" s="363" t="s">
        <v>153</v>
      </c>
      <c r="DOO83" s="363"/>
      <c r="DOP83" s="363"/>
      <c r="DOQ83" s="364" t="s">
        <v>140</v>
      </c>
      <c r="DOR83" s="365">
        <v>0.5</v>
      </c>
      <c r="DOS83" s="366" t="e">
        <f>10/DOO81</f>
        <v>#DIV/0!</v>
      </c>
      <c r="DOT83" s="367">
        <v>15.38</v>
      </c>
      <c r="DOU83" s="367" t="e">
        <f>DOR83*DOS83*DOT83</f>
        <v>#DIV/0!</v>
      </c>
      <c r="DOV83" s="363" t="s">
        <v>153</v>
      </c>
      <c r="DOW83" s="363"/>
      <c r="DOX83" s="363"/>
      <c r="DOY83" s="364" t="s">
        <v>140</v>
      </c>
      <c r="DOZ83" s="365">
        <v>0.5</v>
      </c>
      <c r="DPA83" s="366" t="e">
        <f>10/DOW81</f>
        <v>#DIV/0!</v>
      </c>
      <c r="DPB83" s="367">
        <v>15.38</v>
      </c>
      <c r="DPC83" s="367" t="e">
        <f>DOZ83*DPA83*DPB83</f>
        <v>#DIV/0!</v>
      </c>
      <c r="DPD83" s="363" t="s">
        <v>153</v>
      </c>
      <c r="DPE83" s="363"/>
      <c r="DPF83" s="363"/>
      <c r="DPG83" s="364" t="s">
        <v>140</v>
      </c>
      <c r="DPH83" s="365">
        <v>0.5</v>
      </c>
      <c r="DPI83" s="366" t="e">
        <f>10/DPE81</f>
        <v>#DIV/0!</v>
      </c>
      <c r="DPJ83" s="367">
        <v>15.38</v>
      </c>
      <c r="DPK83" s="367" t="e">
        <f>DPH83*DPI83*DPJ83</f>
        <v>#DIV/0!</v>
      </c>
      <c r="DPL83" s="363" t="s">
        <v>153</v>
      </c>
      <c r="DPM83" s="363"/>
      <c r="DPN83" s="363"/>
      <c r="DPO83" s="364" t="s">
        <v>140</v>
      </c>
      <c r="DPP83" s="365">
        <v>0.5</v>
      </c>
      <c r="DPQ83" s="366" t="e">
        <f>10/DPM81</f>
        <v>#DIV/0!</v>
      </c>
      <c r="DPR83" s="367">
        <v>15.38</v>
      </c>
      <c r="DPS83" s="367" t="e">
        <f>DPP83*DPQ83*DPR83</f>
        <v>#DIV/0!</v>
      </c>
      <c r="DPT83" s="363" t="s">
        <v>153</v>
      </c>
      <c r="DPU83" s="363"/>
      <c r="DPV83" s="363"/>
      <c r="DPW83" s="364" t="s">
        <v>140</v>
      </c>
      <c r="DPX83" s="365">
        <v>0.5</v>
      </c>
      <c r="DPY83" s="366" t="e">
        <f>10/DPU81</f>
        <v>#DIV/0!</v>
      </c>
      <c r="DPZ83" s="367">
        <v>15.38</v>
      </c>
      <c r="DQA83" s="367" t="e">
        <f>DPX83*DPY83*DPZ83</f>
        <v>#DIV/0!</v>
      </c>
      <c r="DQB83" s="363" t="s">
        <v>153</v>
      </c>
      <c r="DQC83" s="363"/>
      <c r="DQD83" s="363"/>
      <c r="DQE83" s="364" t="s">
        <v>140</v>
      </c>
      <c r="DQF83" s="365">
        <v>0.5</v>
      </c>
      <c r="DQG83" s="366" t="e">
        <f>10/DQC81</f>
        <v>#DIV/0!</v>
      </c>
      <c r="DQH83" s="367">
        <v>15.38</v>
      </c>
      <c r="DQI83" s="367" t="e">
        <f>DQF83*DQG83*DQH83</f>
        <v>#DIV/0!</v>
      </c>
      <c r="DQJ83" s="363" t="s">
        <v>153</v>
      </c>
      <c r="DQK83" s="363"/>
      <c r="DQL83" s="363"/>
      <c r="DQM83" s="364" t="s">
        <v>140</v>
      </c>
      <c r="DQN83" s="365">
        <v>0.5</v>
      </c>
      <c r="DQO83" s="366" t="e">
        <f>10/DQK81</f>
        <v>#DIV/0!</v>
      </c>
      <c r="DQP83" s="367">
        <v>15.38</v>
      </c>
      <c r="DQQ83" s="367" t="e">
        <f>DQN83*DQO83*DQP83</f>
        <v>#DIV/0!</v>
      </c>
      <c r="DQR83" s="363" t="s">
        <v>153</v>
      </c>
      <c r="DQS83" s="363"/>
      <c r="DQT83" s="363"/>
      <c r="DQU83" s="364" t="s">
        <v>140</v>
      </c>
      <c r="DQV83" s="365">
        <v>0.5</v>
      </c>
      <c r="DQW83" s="366" t="e">
        <f>10/DQS81</f>
        <v>#DIV/0!</v>
      </c>
      <c r="DQX83" s="367">
        <v>15.38</v>
      </c>
      <c r="DQY83" s="367" t="e">
        <f>DQV83*DQW83*DQX83</f>
        <v>#DIV/0!</v>
      </c>
      <c r="DQZ83" s="363" t="s">
        <v>153</v>
      </c>
      <c r="DRA83" s="363"/>
      <c r="DRB83" s="363"/>
      <c r="DRC83" s="364" t="s">
        <v>140</v>
      </c>
      <c r="DRD83" s="365">
        <v>0.5</v>
      </c>
      <c r="DRE83" s="366" t="e">
        <f>10/DRA81</f>
        <v>#DIV/0!</v>
      </c>
      <c r="DRF83" s="367">
        <v>15.38</v>
      </c>
      <c r="DRG83" s="367" t="e">
        <f>DRD83*DRE83*DRF83</f>
        <v>#DIV/0!</v>
      </c>
      <c r="DRH83" s="363" t="s">
        <v>153</v>
      </c>
      <c r="DRI83" s="363"/>
      <c r="DRJ83" s="363"/>
      <c r="DRK83" s="364" t="s">
        <v>140</v>
      </c>
      <c r="DRL83" s="365">
        <v>0.5</v>
      </c>
      <c r="DRM83" s="366" t="e">
        <f>10/DRI81</f>
        <v>#DIV/0!</v>
      </c>
      <c r="DRN83" s="367">
        <v>15.38</v>
      </c>
      <c r="DRO83" s="367" t="e">
        <f>DRL83*DRM83*DRN83</f>
        <v>#DIV/0!</v>
      </c>
      <c r="DRP83" s="363" t="s">
        <v>153</v>
      </c>
      <c r="DRQ83" s="363"/>
      <c r="DRR83" s="363"/>
      <c r="DRS83" s="364" t="s">
        <v>140</v>
      </c>
      <c r="DRT83" s="365">
        <v>0.5</v>
      </c>
      <c r="DRU83" s="366" t="e">
        <f>10/DRQ81</f>
        <v>#DIV/0!</v>
      </c>
      <c r="DRV83" s="367">
        <v>15.38</v>
      </c>
      <c r="DRW83" s="367" t="e">
        <f>DRT83*DRU83*DRV83</f>
        <v>#DIV/0!</v>
      </c>
      <c r="DRX83" s="363" t="s">
        <v>153</v>
      </c>
      <c r="DRY83" s="363"/>
      <c r="DRZ83" s="363"/>
      <c r="DSA83" s="364" t="s">
        <v>140</v>
      </c>
      <c r="DSB83" s="365">
        <v>0.5</v>
      </c>
      <c r="DSC83" s="366" t="e">
        <f>10/DRY81</f>
        <v>#DIV/0!</v>
      </c>
      <c r="DSD83" s="367">
        <v>15.38</v>
      </c>
      <c r="DSE83" s="367" t="e">
        <f>DSB83*DSC83*DSD83</f>
        <v>#DIV/0!</v>
      </c>
      <c r="DSF83" s="363" t="s">
        <v>153</v>
      </c>
      <c r="DSG83" s="363"/>
      <c r="DSH83" s="363"/>
      <c r="DSI83" s="364" t="s">
        <v>140</v>
      </c>
      <c r="DSJ83" s="365">
        <v>0.5</v>
      </c>
      <c r="DSK83" s="366" t="e">
        <f>10/DSG81</f>
        <v>#DIV/0!</v>
      </c>
      <c r="DSL83" s="367">
        <v>15.38</v>
      </c>
      <c r="DSM83" s="367" t="e">
        <f>DSJ83*DSK83*DSL83</f>
        <v>#DIV/0!</v>
      </c>
      <c r="DSN83" s="363" t="s">
        <v>153</v>
      </c>
      <c r="DSO83" s="363"/>
      <c r="DSP83" s="363"/>
      <c r="DSQ83" s="364" t="s">
        <v>140</v>
      </c>
      <c r="DSR83" s="365">
        <v>0.5</v>
      </c>
      <c r="DSS83" s="366" t="e">
        <f>10/DSO81</f>
        <v>#DIV/0!</v>
      </c>
      <c r="DST83" s="367">
        <v>15.38</v>
      </c>
      <c r="DSU83" s="367" t="e">
        <f>DSR83*DSS83*DST83</f>
        <v>#DIV/0!</v>
      </c>
      <c r="DSV83" s="363" t="s">
        <v>153</v>
      </c>
      <c r="DSW83" s="363"/>
      <c r="DSX83" s="363"/>
      <c r="DSY83" s="364" t="s">
        <v>140</v>
      </c>
      <c r="DSZ83" s="365">
        <v>0.5</v>
      </c>
      <c r="DTA83" s="366" t="e">
        <f>10/DSW81</f>
        <v>#DIV/0!</v>
      </c>
      <c r="DTB83" s="367">
        <v>15.38</v>
      </c>
      <c r="DTC83" s="367" t="e">
        <f>DSZ83*DTA83*DTB83</f>
        <v>#DIV/0!</v>
      </c>
      <c r="DTD83" s="363" t="s">
        <v>153</v>
      </c>
      <c r="DTE83" s="363"/>
      <c r="DTF83" s="363"/>
      <c r="DTG83" s="364" t="s">
        <v>140</v>
      </c>
      <c r="DTH83" s="365">
        <v>0.5</v>
      </c>
      <c r="DTI83" s="366" t="e">
        <f>10/DTE81</f>
        <v>#DIV/0!</v>
      </c>
      <c r="DTJ83" s="367">
        <v>15.38</v>
      </c>
      <c r="DTK83" s="367" t="e">
        <f>DTH83*DTI83*DTJ83</f>
        <v>#DIV/0!</v>
      </c>
      <c r="DTL83" s="363" t="s">
        <v>153</v>
      </c>
      <c r="DTM83" s="363"/>
      <c r="DTN83" s="363"/>
      <c r="DTO83" s="364" t="s">
        <v>140</v>
      </c>
      <c r="DTP83" s="365">
        <v>0.5</v>
      </c>
      <c r="DTQ83" s="366" t="e">
        <f>10/DTM81</f>
        <v>#DIV/0!</v>
      </c>
      <c r="DTR83" s="367">
        <v>15.38</v>
      </c>
      <c r="DTS83" s="367" t="e">
        <f>DTP83*DTQ83*DTR83</f>
        <v>#DIV/0!</v>
      </c>
      <c r="DTT83" s="363" t="s">
        <v>153</v>
      </c>
      <c r="DTU83" s="363"/>
      <c r="DTV83" s="363"/>
      <c r="DTW83" s="364" t="s">
        <v>140</v>
      </c>
      <c r="DTX83" s="365">
        <v>0.5</v>
      </c>
      <c r="DTY83" s="366" t="e">
        <f>10/DTU81</f>
        <v>#DIV/0!</v>
      </c>
      <c r="DTZ83" s="367">
        <v>15.38</v>
      </c>
      <c r="DUA83" s="367" t="e">
        <f>DTX83*DTY83*DTZ83</f>
        <v>#DIV/0!</v>
      </c>
      <c r="DUB83" s="363" t="s">
        <v>153</v>
      </c>
      <c r="DUC83" s="363"/>
      <c r="DUD83" s="363"/>
      <c r="DUE83" s="364" t="s">
        <v>140</v>
      </c>
      <c r="DUF83" s="365">
        <v>0.5</v>
      </c>
      <c r="DUG83" s="366" t="e">
        <f>10/DUC81</f>
        <v>#DIV/0!</v>
      </c>
      <c r="DUH83" s="367">
        <v>15.38</v>
      </c>
      <c r="DUI83" s="367" t="e">
        <f>DUF83*DUG83*DUH83</f>
        <v>#DIV/0!</v>
      </c>
      <c r="DUJ83" s="363" t="s">
        <v>153</v>
      </c>
      <c r="DUK83" s="363"/>
      <c r="DUL83" s="363"/>
      <c r="DUM83" s="364" t="s">
        <v>140</v>
      </c>
      <c r="DUN83" s="365">
        <v>0.5</v>
      </c>
      <c r="DUO83" s="366" t="e">
        <f>10/DUK81</f>
        <v>#DIV/0!</v>
      </c>
      <c r="DUP83" s="367">
        <v>15.38</v>
      </c>
      <c r="DUQ83" s="367" t="e">
        <f>DUN83*DUO83*DUP83</f>
        <v>#DIV/0!</v>
      </c>
      <c r="DUR83" s="363" t="s">
        <v>153</v>
      </c>
      <c r="DUS83" s="363"/>
      <c r="DUT83" s="363"/>
      <c r="DUU83" s="364" t="s">
        <v>140</v>
      </c>
      <c r="DUV83" s="365">
        <v>0.5</v>
      </c>
      <c r="DUW83" s="366" t="e">
        <f>10/DUS81</f>
        <v>#DIV/0!</v>
      </c>
      <c r="DUX83" s="367">
        <v>15.38</v>
      </c>
      <c r="DUY83" s="367" t="e">
        <f>DUV83*DUW83*DUX83</f>
        <v>#DIV/0!</v>
      </c>
      <c r="DUZ83" s="363" t="s">
        <v>153</v>
      </c>
      <c r="DVA83" s="363"/>
      <c r="DVB83" s="363"/>
      <c r="DVC83" s="364" t="s">
        <v>140</v>
      </c>
      <c r="DVD83" s="365">
        <v>0.5</v>
      </c>
      <c r="DVE83" s="366" t="e">
        <f>10/DVA81</f>
        <v>#DIV/0!</v>
      </c>
      <c r="DVF83" s="367">
        <v>15.38</v>
      </c>
      <c r="DVG83" s="367" t="e">
        <f>DVD83*DVE83*DVF83</f>
        <v>#DIV/0!</v>
      </c>
      <c r="DVH83" s="363" t="s">
        <v>153</v>
      </c>
      <c r="DVI83" s="363"/>
      <c r="DVJ83" s="363"/>
      <c r="DVK83" s="364" t="s">
        <v>140</v>
      </c>
      <c r="DVL83" s="365">
        <v>0.5</v>
      </c>
      <c r="DVM83" s="366" t="e">
        <f>10/DVI81</f>
        <v>#DIV/0!</v>
      </c>
      <c r="DVN83" s="367">
        <v>15.38</v>
      </c>
      <c r="DVO83" s="367" t="e">
        <f>DVL83*DVM83*DVN83</f>
        <v>#DIV/0!</v>
      </c>
      <c r="DVP83" s="363" t="s">
        <v>153</v>
      </c>
      <c r="DVQ83" s="363"/>
      <c r="DVR83" s="363"/>
      <c r="DVS83" s="364" t="s">
        <v>140</v>
      </c>
      <c r="DVT83" s="365">
        <v>0.5</v>
      </c>
      <c r="DVU83" s="366" t="e">
        <f>10/DVQ81</f>
        <v>#DIV/0!</v>
      </c>
      <c r="DVV83" s="367">
        <v>15.38</v>
      </c>
      <c r="DVW83" s="367" t="e">
        <f>DVT83*DVU83*DVV83</f>
        <v>#DIV/0!</v>
      </c>
      <c r="DVX83" s="363" t="s">
        <v>153</v>
      </c>
      <c r="DVY83" s="363"/>
      <c r="DVZ83" s="363"/>
      <c r="DWA83" s="364" t="s">
        <v>140</v>
      </c>
      <c r="DWB83" s="365">
        <v>0.5</v>
      </c>
      <c r="DWC83" s="366" t="e">
        <f>10/DVY81</f>
        <v>#DIV/0!</v>
      </c>
      <c r="DWD83" s="367">
        <v>15.38</v>
      </c>
      <c r="DWE83" s="367" t="e">
        <f>DWB83*DWC83*DWD83</f>
        <v>#DIV/0!</v>
      </c>
      <c r="DWF83" s="363" t="s">
        <v>153</v>
      </c>
      <c r="DWG83" s="363"/>
      <c r="DWH83" s="363"/>
      <c r="DWI83" s="364" t="s">
        <v>140</v>
      </c>
      <c r="DWJ83" s="365">
        <v>0.5</v>
      </c>
      <c r="DWK83" s="366" t="e">
        <f>10/DWG81</f>
        <v>#DIV/0!</v>
      </c>
      <c r="DWL83" s="367">
        <v>15.38</v>
      </c>
      <c r="DWM83" s="367" t="e">
        <f>DWJ83*DWK83*DWL83</f>
        <v>#DIV/0!</v>
      </c>
      <c r="DWN83" s="363" t="s">
        <v>153</v>
      </c>
      <c r="DWO83" s="363"/>
      <c r="DWP83" s="363"/>
      <c r="DWQ83" s="364" t="s">
        <v>140</v>
      </c>
      <c r="DWR83" s="365">
        <v>0.5</v>
      </c>
      <c r="DWS83" s="366" t="e">
        <f>10/DWO81</f>
        <v>#DIV/0!</v>
      </c>
      <c r="DWT83" s="367">
        <v>15.38</v>
      </c>
      <c r="DWU83" s="367" t="e">
        <f>DWR83*DWS83*DWT83</f>
        <v>#DIV/0!</v>
      </c>
      <c r="DWV83" s="363" t="s">
        <v>153</v>
      </c>
      <c r="DWW83" s="363"/>
      <c r="DWX83" s="363"/>
      <c r="DWY83" s="364" t="s">
        <v>140</v>
      </c>
      <c r="DWZ83" s="365">
        <v>0.5</v>
      </c>
      <c r="DXA83" s="366" t="e">
        <f>10/DWW81</f>
        <v>#DIV/0!</v>
      </c>
      <c r="DXB83" s="367">
        <v>15.38</v>
      </c>
      <c r="DXC83" s="367" t="e">
        <f>DWZ83*DXA83*DXB83</f>
        <v>#DIV/0!</v>
      </c>
      <c r="DXD83" s="363" t="s">
        <v>153</v>
      </c>
      <c r="DXE83" s="363"/>
      <c r="DXF83" s="363"/>
      <c r="DXG83" s="364" t="s">
        <v>140</v>
      </c>
      <c r="DXH83" s="365">
        <v>0.5</v>
      </c>
      <c r="DXI83" s="366" t="e">
        <f>10/DXE81</f>
        <v>#DIV/0!</v>
      </c>
      <c r="DXJ83" s="367">
        <v>15.38</v>
      </c>
      <c r="DXK83" s="367" t="e">
        <f>DXH83*DXI83*DXJ83</f>
        <v>#DIV/0!</v>
      </c>
      <c r="DXL83" s="363" t="s">
        <v>153</v>
      </c>
      <c r="DXM83" s="363"/>
      <c r="DXN83" s="363"/>
      <c r="DXO83" s="364" t="s">
        <v>140</v>
      </c>
      <c r="DXP83" s="365">
        <v>0.5</v>
      </c>
      <c r="DXQ83" s="366" t="e">
        <f>10/DXM81</f>
        <v>#DIV/0!</v>
      </c>
      <c r="DXR83" s="367">
        <v>15.38</v>
      </c>
      <c r="DXS83" s="367" t="e">
        <f>DXP83*DXQ83*DXR83</f>
        <v>#DIV/0!</v>
      </c>
      <c r="DXT83" s="363" t="s">
        <v>153</v>
      </c>
      <c r="DXU83" s="363"/>
      <c r="DXV83" s="363"/>
      <c r="DXW83" s="364" t="s">
        <v>140</v>
      </c>
      <c r="DXX83" s="365">
        <v>0.5</v>
      </c>
      <c r="DXY83" s="366" t="e">
        <f>10/DXU81</f>
        <v>#DIV/0!</v>
      </c>
      <c r="DXZ83" s="367">
        <v>15.38</v>
      </c>
      <c r="DYA83" s="367" t="e">
        <f>DXX83*DXY83*DXZ83</f>
        <v>#DIV/0!</v>
      </c>
      <c r="DYB83" s="363" t="s">
        <v>153</v>
      </c>
      <c r="DYC83" s="363"/>
      <c r="DYD83" s="363"/>
      <c r="DYE83" s="364" t="s">
        <v>140</v>
      </c>
      <c r="DYF83" s="365">
        <v>0.5</v>
      </c>
      <c r="DYG83" s="366" t="e">
        <f>10/DYC81</f>
        <v>#DIV/0!</v>
      </c>
      <c r="DYH83" s="367">
        <v>15.38</v>
      </c>
      <c r="DYI83" s="367" t="e">
        <f>DYF83*DYG83*DYH83</f>
        <v>#DIV/0!</v>
      </c>
      <c r="DYJ83" s="363" t="s">
        <v>153</v>
      </c>
      <c r="DYK83" s="363"/>
      <c r="DYL83" s="363"/>
      <c r="DYM83" s="364" t="s">
        <v>140</v>
      </c>
      <c r="DYN83" s="365">
        <v>0.5</v>
      </c>
      <c r="DYO83" s="366" t="e">
        <f>10/DYK81</f>
        <v>#DIV/0!</v>
      </c>
      <c r="DYP83" s="367">
        <v>15.38</v>
      </c>
      <c r="DYQ83" s="367" t="e">
        <f>DYN83*DYO83*DYP83</f>
        <v>#DIV/0!</v>
      </c>
      <c r="DYR83" s="363" t="s">
        <v>153</v>
      </c>
      <c r="DYS83" s="363"/>
      <c r="DYT83" s="363"/>
      <c r="DYU83" s="364" t="s">
        <v>140</v>
      </c>
      <c r="DYV83" s="365">
        <v>0.5</v>
      </c>
      <c r="DYW83" s="366" t="e">
        <f>10/DYS81</f>
        <v>#DIV/0!</v>
      </c>
      <c r="DYX83" s="367">
        <v>15.38</v>
      </c>
      <c r="DYY83" s="367" t="e">
        <f>DYV83*DYW83*DYX83</f>
        <v>#DIV/0!</v>
      </c>
      <c r="DYZ83" s="363" t="s">
        <v>153</v>
      </c>
      <c r="DZA83" s="363"/>
      <c r="DZB83" s="363"/>
      <c r="DZC83" s="364" t="s">
        <v>140</v>
      </c>
      <c r="DZD83" s="365">
        <v>0.5</v>
      </c>
      <c r="DZE83" s="366" t="e">
        <f>10/DZA81</f>
        <v>#DIV/0!</v>
      </c>
      <c r="DZF83" s="367">
        <v>15.38</v>
      </c>
      <c r="DZG83" s="367" t="e">
        <f>DZD83*DZE83*DZF83</f>
        <v>#DIV/0!</v>
      </c>
      <c r="DZH83" s="363" t="s">
        <v>153</v>
      </c>
      <c r="DZI83" s="363"/>
      <c r="DZJ83" s="363"/>
      <c r="DZK83" s="364" t="s">
        <v>140</v>
      </c>
      <c r="DZL83" s="365">
        <v>0.5</v>
      </c>
      <c r="DZM83" s="366" t="e">
        <f>10/DZI81</f>
        <v>#DIV/0!</v>
      </c>
      <c r="DZN83" s="367">
        <v>15.38</v>
      </c>
      <c r="DZO83" s="367" t="e">
        <f>DZL83*DZM83*DZN83</f>
        <v>#DIV/0!</v>
      </c>
      <c r="DZP83" s="363" t="s">
        <v>153</v>
      </c>
      <c r="DZQ83" s="363"/>
      <c r="DZR83" s="363"/>
      <c r="DZS83" s="364" t="s">
        <v>140</v>
      </c>
      <c r="DZT83" s="365">
        <v>0.5</v>
      </c>
      <c r="DZU83" s="366" t="e">
        <f>10/DZQ81</f>
        <v>#DIV/0!</v>
      </c>
      <c r="DZV83" s="367">
        <v>15.38</v>
      </c>
      <c r="DZW83" s="367" t="e">
        <f>DZT83*DZU83*DZV83</f>
        <v>#DIV/0!</v>
      </c>
      <c r="DZX83" s="363" t="s">
        <v>153</v>
      </c>
      <c r="DZY83" s="363"/>
      <c r="DZZ83" s="363"/>
      <c r="EAA83" s="364" t="s">
        <v>140</v>
      </c>
      <c r="EAB83" s="365">
        <v>0.5</v>
      </c>
      <c r="EAC83" s="366" t="e">
        <f>10/DZY81</f>
        <v>#DIV/0!</v>
      </c>
      <c r="EAD83" s="367">
        <v>15.38</v>
      </c>
      <c r="EAE83" s="367" t="e">
        <f>EAB83*EAC83*EAD83</f>
        <v>#DIV/0!</v>
      </c>
      <c r="EAF83" s="363" t="s">
        <v>153</v>
      </c>
      <c r="EAG83" s="363"/>
      <c r="EAH83" s="363"/>
      <c r="EAI83" s="364" t="s">
        <v>140</v>
      </c>
      <c r="EAJ83" s="365">
        <v>0.5</v>
      </c>
      <c r="EAK83" s="366" t="e">
        <f>10/EAG81</f>
        <v>#DIV/0!</v>
      </c>
      <c r="EAL83" s="367">
        <v>15.38</v>
      </c>
      <c r="EAM83" s="367" t="e">
        <f>EAJ83*EAK83*EAL83</f>
        <v>#DIV/0!</v>
      </c>
      <c r="EAN83" s="363" t="s">
        <v>153</v>
      </c>
      <c r="EAO83" s="363"/>
      <c r="EAP83" s="363"/>
      <c r="EAQ83" s="364" t="s">
        <v>140</v>
      </c>
      <c r="EAR83" s="365">
        <v>0.5</v>
      </c>
      <c r="EAS83" s="366" t="e">
        <f>10/EAO81</f>
        <v>#DIV/0!</v>
      </c>
      <c r="EAT83" s="367">
        <v>15.38</v>
      </c>
      <c r="EAU83" s="367" t="e">
        <f>EAR83*EAS83*EAT83</f>
        <v>#DIV/0!</v>
      </c>
      <c r="EAV83" s="363" t="s">
        <v>153</v>
      </c>
      <c r="EAW83" s="363"/>
      <c r="EAX83" s="363"/>
      <c r="EAY83" s="364" t="s">
        <v>140</v>
      </c>
      <c r="EAZ83" s="365">
        <v>0.5</v>
      </c>
      <c r="EBA83" s="366" t="e">
        <f>10/EAW81</f>
        <v>#DIV/0!</v>
      </c>
      <c r="EBB83" s="367">
        <v>15.38</v>
      </c>
      <c r="EBC83" s="367" t="e">
        <f>EAZ83*EBA83*EBB83</f>
        <v>#DIV/0!</v>
      </c>
      <c r="EBD83" s="363" t="s">
        <v>153</v>
      </c>
      <c r="EBE83" s="363"/>
      <c r="EBF83" s="363"/>
      <c r="EBG83" s="364" t="s">
        <v>140</v>
      </c>
      <c r="EBH83" s="365">
        <v>0.5</v>
      </c>
      <c r="EBI83" s="366" t="e">
        <f>10/EBE81</f>
        <v>#DIV/0!</v>
      </c>
      <c r="EBJ83" s="367">
        <v>15.38</v>
      </c>
      <c r="EBK83" s="367" t="e">
        <f>EBH83*EBI83*EBJ83</f>
        <v>#DIV/0!</v>
      </c>
      <c r="EBL83" s="363" t="s">
        <v>153</v>
      </c>
      <c r="EBM83" s="363"/>
      <c r="EBN83" s="363"/>
      <c r="EBO83" s="364" t="s">
        <v>140</v>
      </c>
      <c r="EBP83" s="365">
        <v>0.5</v>
      </c>
      <c r="EBQ83" s="366" t="e">
        <f>10/EBM81</f>
        <v>#DIV/0!</v>
      </c>
      <c r="EBR83" s="367">
        <v>15.38</v>
      </c>
      <c r="EBS83" s="367" t="e">
        <f>EBP83*EBQ83*EBR83</f>
        <v>#DIV/0!</v>
      </c>
      <c r="EBT83" s="363" t="s">
        <v>153</v>
      </c>
      <c r="EBU83" s="363"/>
      <c r="EBV83" s="363"/>
      <c r="EBW83" s="364" t="s">
        <v>140</v>
      </c>
      <c r="EBX83" s="365">
        <v>0.5</v>
      </c>
      <c r="EBY83" s="366" t="e">
        <f>10/EBU81</f>
        <v>#DIV/0!</v>
      </c>
      <c r="EBZ83" s="367">
        <v>15.38</v>
      </c>
      <c r="ECA83" s="367" t="e">
        <f>EBX83*EBY83*EBZ83</f>
        <v>#DIV/0!</v>
      </c>
      <c r="ECB83" s="363" t="s">
        <v>153</v>
      </c>
      <c r="ECC83" s="363"/>
      <c r="ECD83" s="363"/>
      <c r="ECE83" s="364" t="s">
        <v>140</v>
      </c>
      <c r="ECF83" s="365">
        <v>0.5</v>
      </c>
      <c r="ECG83" s="366" t="e">
        <f>10/ECC81</f>
        <v>#DIV/0!</v>
      </c>
      <c r="ECH83" s="367">
        <v>15.38</v>
      </c>
      <c r="ECI83" s="367" t="e">
        <f>ECF83*ECG83*ECH83</f>
        <v>#DIV/0!</v>
      </c>
      <c r="ECJ83" s="363" t="s">
        <v>153</v>
      </c>
      <c r="ECK83" s="363"/>
      <c r="ECL83" s="363"/>
      <c r="ECM83" s="364" t="s">
        <v>140</v>
      </c>
      <c r="ECN83" s="365">
        <v>0.5</v>
      </c>
      <c r="ECO83" s="366" t="e">
        <f>10/ECK81</f>
        <v>#DIV/0!</v>
      </c>
      <c r="ECP83" s="367">
        <v>15.38</v>
      </c>
      <c r="ECQ83" s="367" t="e">
        <f>ECN83*ECO83*ECP83</f>
        <v>#DIV/0!</v>
      </c>
      <c r="ECR83" s="363" t="s">
        <v>153</v>
      </c>
      <c r="ECS83" s="363"/>
      <c r="ECT83" s="363"/>
      <c r="ECU83" s="364" t="s">
        <v>140</v>
      </c>
      <c r="ECV83" s="365">
        <v>0.5</v>
      </c>
      <c r="ECW83" s="366" t="e">
        <f>10/ECS81</f>
        <v>#DIV/0!</v>
      </c>
      <c r="ECX83" s="367">
        <v>15.38</v>
      </c>
      <c r="ECY83" s="367" t="e">
        <f>ECV83*ECW83*ECX83</f>
        <v>#DIV/0!</v>
      </c>
      <c r="ECZ83" s="363" t="s">
        <v>153</v>
      </c>
      <c r="EDA83" s="363"/>
      <c r="EDB83" s="363"/>
      <c r="EDC83" s="364" t="s">
        <v>140</v>
      </c>
      <c r="EDD83" s="365">
        <v>0.5</v>
      </c>
      <c r="EDE83" s="366" t="e">
        <f>10/EDA81</f>
        <v>#DIV/0!</v>
      </c>
      <c r="EDF83" s="367">
        <v>15.38</v>
      </c>
      <c r="EDG83" s="367" t="e">
        <f>EDD83*EDE83*EDF83</f>
        <v>#DIV/0!</v>
      </c>
      <c r="EDH83" s="363" t="s">
        <v>153</v>
      </c>
      <c r="EDI83" s="363"/>
      <c r="EDJ83" s="363"/>
      <c r="EDK83" s="364" t="s">
        <v>140</v>
      </c>
      <c r="EDL83" s="365">
        <v>0.5</v>
      </c>
      <c r="EDM83" s="366" t="e">
        <f>10/EDI81</f>
        <v>#DIV/0!</v>
      </c>
      <c r="EDN83" s="367">
        <v>15.38</v>
      </c>
      <c r="EDO83" s="367" t="e">
        <f>EDL83*EDM83*EDN83</f>
        <v>#DIV/0!</v>
      </c>
      <c r="EDP83" s="363" t="s">
        <v>153</v>
      </c>
      <c r="EDQ83" s="363"/>
      <c r="EDR83" s="363"/>
      <c r="EDS83" s="364" t="s">
        <v>140</v>
      </c>
      <c r="EDT83" s="365">
        <v>0.5</v>
      </c>
      <c r="EDU83" s="366" t="e">
        <f>10/EDQ81</f>
        <v>#DIV/0!</v>
      </c>
      <c r="EDV83" s="367">
        <v>15.38</v>
      </c>
      <c r="EDW83" s="367" t="e">
        <f>EDT83*EDU83*EDV83</f>
        <v>#DIV/0!</v>
      </c>
      <c r="EDX83" s="363" t="s">
        <v>153</v>
      </c>
      <c r="EDY83" s="363"/>
      <c r="EDZ83" s="363"/>
      <c r="EEA83" s="364" t="s">
        <v>140</v>
      </c>
      <c r="EEB83" s="365">
        <v>0.5</v>
      </c>
      <c r="EEC83" s="366" t="e">
        <f>10/EDY81</f>
        <v>#DIV/0!</v>
      </c>
      <c r="EED83" s="367">
        <v>15.38</v>
      </c>
      <c r="EEE83" s="367" t="e">
        <f>EEB83*EEC83*EED83</f>
        <v>#DIV/0!</v>
      </c>
      <c r="EEF83" s="363" t="s">
        <v>153</v>
      </c>
      <c r="EEG83" s="363"/>
      <c r="EEH83" s="363"/>
      <c r="EEI83" s="364" t="s">
        <v>140</v>
      </c>
      <c r="EEJ83" s="365">
        <v>0.5</v>
      </c>
      <c r="EEK83" s="366" t="e">
        <f>10/EEG81</f>
        <v>#DIV/0!</v>
      </c>
      <c r="EEL83" s="367">
        <v>15.38</v>
      </c>
      <c r="EEM83" s="367" t="e">
        <f>EEJ83*EEK83*EEL83</f>
        <v>#DIV/0!</v>
      </c>
      <c r="EEN83" s="363" t="s">
        <v>153</v>
      </c>
      <c r="EEO83" s="363"/>
      <c r="EEP83" s="363"/>
      <c r="EEQ83" s="364" t="s">
        <v>140</v>
      </c>
      <c r="EER83" s="365">
        <v>0.5</v>
      </c>
      <c r="EES83" s="366" t="e">
        <f>10/EEO81</f>
        <v>#DIV/0!</v>
      </c>
      <c r="EET83" s="367">
        <v>15.38</v>
      </c>
      <c r="EEU83" s="367" t="e">
        <f>EER83*EES83*EET83</f>
        <v>#DIV/0!</v>
      </c>
      <c r="EEV83" s="363" t="s">
        <v>153</v>
      </c>
      <c r="EEW83" s="363"/>
      <c r="EEX83" s="363"/>
      <c r="EEY83" s="364" t="s">
        <v>140</v>
      </c>
      <c r="EEZ83" s="365">
        <v>0.5</v>
      </c>
      <c r="EFA83" s="366" t="e">
        <f>10/EEW81</f>
        <v>#DIV/0!</v>
      </c>
      <c r="EFB83" s="367">
        <v>15.38</v>
      </c>
      <c r="EFC83" s="367" t="e">
        <f>EEZ83*EFA83*EFB83</f>
        <v>#DIV/0!</v>
      </c>
      <c r="EFD83" s="363" t="s">
        <v>153</v>
      </c>
      <c r="EFE83" s="363"/>
      <c r="EFF83" s="363"/>
      <c r="EFG83" s="364" t="s">
        <v>140</v>
      </c>
      <c r="EFH83" s="365">
        <v>0.5</v>
      </c>
      <c r="EFI83" s="366" t="e">
        <f>10/EFE81</f>
        <v>#DIV/0!</v>
      </c>
      <c r="EFJ83" s="367">
        <v>15.38</v>
      </c>
      <c r="EFK83" s="367" t="e">
        <f>EFH83*EFI83*EFJ83</f>
        <v>#DIV/0!</v>
      </c>
      <c r="EFL83" s="363" t="s">
        <v>153</v>
      </c>
      <c r="EFM83" s="363"/>
      <c r="EFN83" s="363"/>
      <c r="EFO83" s="364" t="s">
        <v>140</v>
      </c>
      <c r="EFP83" s="365">
        <v>0.5</v>
      </c>
      <c r="EFQ83" s="366" t="e">
        <f>10/EFM81</f>
        <v>#DIV/0!</v>
      </c>
      <c r="EFR83" s="367">
        <v>15.38</v>
      </c>
      <c r="EFS83" s="367" t="e">
        <f>EFP83*EFQ83*EFR83</f>
        <v>#DIV/0!</v>
      </c>
      <c r="EFT83" s="363" t="s">
        <v>153</v>
      </c>
      <c r="EFU83" s="363"/>
      <c r="EFV83" s="363"/>
      <c r="EFW83" s="364" t="s">
        <v>140</v>
      </c>
      <c r="EFX83" s="365">
        <v>0.5</v>
      </c>
      <c r="EFY83" s="366" t="e">
        <f>10/EFU81</f>
        <v>#DIV/0!</v>
      </c>
      <c r="EFZ83" s="367">
        <v>15.38</v>
      </c>
      <c r="EGA83" s="367" t="e">
        <f>EFX83*EFY83*EFZ83</f>
        <v>#DIV/0!</v>
      </c>
      <c r="EGB83" s="363" t="s">
        <v>153</v>
      </c>
      <c r="EGC83" s="363"/>
      <c r="EGD83" s="363"/>
      <c r="EGE83" s="364" t="s">
        <v>140</v>
      </c>
      <c r="EGF83" s="365">
        <v>0.5</v>
      </c>
      <c r="EGG83" s="366" t="e">
        <f>10/EGC81</f>
        <v>#DIV/0!</v>
      </c>
      <c r="EGH83" s="367">
        <v>15.38</v>
      </c>
      <c r="EGI83" s="367" t="e">
        <f>EGF83*EGG83*EGH83</f>
        <v>#DIV/0!</v>
      </c>
      <c r="EGJ83" s="363" t="s">
        <v>153</v>
      </c>
      <c r="EGK83" s="363"/>
      <c r="EGL83" s="363"/>
      <c r="EGM83" s="364" t="s">
        <v>140</v>
      </c>
      <c r="EGN83" s="365">
        <v>0.5</v>
      </c>
      <c r="EGO83" s="366" t="e">
        <f>10/EGK81</f>
        <v>#DIV/0!</v>
      </c>
      <c r="EGP83" s="367">
        <v>15.38</v>
      </c>
      <c r="EGQ83" s="367" t="e">
        <f>EGN83*EGO83*EGP83</f>
        <v>#DIV/0!</v>
      </c>
      <c r="EGR83" s="363" t="s">
        <v>153</v>
      </c>
      <c r="EGS83" s="363"/>
      <c r="EGT83" s="363"/>
      <c r="EGU83" s="364" t="s">
        <v>140</v>
      </c>
      <c r="EGV83" s="365">
        <v>0.5</v>
      </c>
      <c r="EGW83" s="366" t="e">
        <f>10/EGS81</f>
        <v>#DIV/0!</v>
      </c>
      <c r="EGX83" s="367">
        <v>15.38</v>
      </c>
      <c r="EGY83" s="367" t="e">
        <f>EGV83*EGW83*EGX83</f>
        <v>#DIV/0!</v>
      </c>
      <c r="EGZ83" s="363" t="s">
        <v>153</v>
      </c>
      <c r="EHA83" s="363"/>
      <c r="EHB83" s="363"/>
      <c r="EHC83" s="364" t="s">
        <v>140</v>
      </c>
      <c r="EHD83" s="365">
        <v>0.5</v>
      </c>
      <c r="EHE83" s="366" t="e">
        <f>10/EHA81</f>
        <v>#DIV/0!</v>
      </c>
      <c r="EHF83" s="367">
        <v>15.38</v>
      </c>
      <c r="EHG83" s="367" t="e">
        <f>EHD83*EHE83*EHF83</f>
        <v>#DIV/0!</v>
      </c>
      <c r="EHH83" s="363" t="s">
        <v>153</v>
      </c>
      <c r="EHI83" s="363"/>
      <c r="EHJ83" s="363"/>
      <c r="EHK83" s="364" t="s">
        <v>140</v>
      </c>
      <c r="EHL83" s="365">
        <v>0.5</v>
      </c>
      <c r="EHM83" s="366" t="e">
        <f>10/EHI81</f>
        <v>#DIV/0!</v>
      </c>
      <c r="EHN83" s="367">
        <v>15.38</v>
      </c>
      <c r="EHO83" s="367" t="e">
        <f>EHL83*EHM83*EHN83</f>
        <v>#DIV/0!</v>
      </c>
      <c r="EHP83" s="363" t="s">
        <v>153</v>
      </c>
      <c r="EHQ83" s="363"/>
      <c r="EHR83" s="363"/>
      <c r="EHS83" s="364" t="s">
        <v>140</v>
      </c>
      <c r="EHT83" s="365">
        <v>0.5</v>
      </c>
      <c r="EHU83" s="366" t="e">
        <f>10/EHQ81</f>
        <v>#DIV/0!</v>
      </c>
      <c r="EHV83" s="367">
        <v>15.38</v>
      </c>
      <c r="EHW83" s="367" t="e">
        <f>EHT83*EHU83*EHV83</f>
        <v>#DIV/0!</v>
      </c>
      <c r="EHX83" s="363" t="s">
        <v>153</v>
      </c>
      <c r="EHY83" s="363"/>
      <c r="EHZ83" s="363"/>
      <c r="EIA83" s="364" t="s">
        <v>140</v>
      </c>
      <c r="EIB83" s="365">
        <v>0.5</v>
      </c>
      <c r="EIC83" s="366" t="e">
        <f>10/EHY81</f>
        <v>#DIV/0!</v>
      </c>
      <c r="EID83" s="367">
        <v>15.38</v>
      </c>
      <c r="EIE83" s="367" t="e">
        <f>EIB83*EIC83*EID83</f>
        <v>#DIV/0!</v>
      </c>
      <c r="EIF83" s="363" t="s">
        <v>153</v>
      </c>
      <c r="EIG83" s="363"/>
      <c r="EIH83" s="363"/>
      <c r="EII83" s="364" t="s">
        <v>140</v>
      </c>
      <c r="EIJ83" s="365">
        <v>0.5</v>
      </c>
      <c r="EIK83" s="366" t="e">
        <f>10/EIG81</f>
        <v>#DIV/0!</v>
      </c>
      <c r="EIL83" s="367">
        <v>15.38</v>
      </c>
      <c r="EIM83" s="367" t="e">
        <f>EIJ83*EIK83*EIL83</f>
        <v>#DIV/0!</v>
      </c>
      <c r="EIN83" s="363" t="s">
        <v>153</v>
      </c>
      <c r="EIO83" s="363"/>
      <c r="EIP83" s="363"/>
      <c r="EIQ83" s="364" t="s">
        <v>140</v>
      </c>
      <c r="EIR83" s="365">
        <v>0.5</v>
      </c>
      <c r="EIS83" s="366" t="e">
        <f>10/EIO81</f>
        <v>#DIV/0!</v>
      </c>
      <c r="EIT83" s="367">
        <v>15.38</v>
      </c>
      <c r="EIU83" s="367" t="e">
        <f>EIR83*EIS83*EIT83</f>
        <v>#DIV/0!</v>
      </c>
      <c r="EIV83" s="363" t="s">
        <v>153</v>
      </c>
      <c r="EIW83" s="363"/>
      <c r="EIX83" s="363"/>
      <c r="EIY83" s="364" t="s">
        <v>140</v>
      </c>
      <c r="EIZ83" s="365">
        <v>0.5</v>
      </c>
      <c r="EJA83" s="366" t="e">
        <f>10/EIW81</f>
        <v>#DIV/0!</v>
      </c>
      <c r="EJB83" s="367">
        <v>15.38</v>
      </c>
      <c r="EJC83" s="367" t="e">
        <f>EIZ83*EJA83*EJB83</f>
        <v>#DIV/0!</v>
      </c>
      <c r="EJD83" s="363" t="s">
        <v>153</v>
      </c>
      <c r="EJE83" s="363"/>
      <c r="EJF83" s="363"/>
      <c r="EJG83" s="364" t="s">
        <v>140</v>
      </c>
      <c r="EJH83" s="365">
        <v>0.5</v>
      </c>
      <c r="EJI83" s="366" t="e">
        <f>10/EJE81</f>
        <v>#DIV/0!</v>
      </c>
      <c r="EJJ83" s="367">
        <v>15.38</v>
      </c>
      <c r="EJK83" s="367" t="e">
        <f>EJH83*EJI83*EJJ83</f>
        <v>#DIV/0!</v>
      </c>
      <c r="EJL83" s="363" t="s">
        <v>153</v>
      </c>
      <c r="EJM83" s="363"/>
      <c r="EJN83" s="363"/>
      <c r="EJO83" s="364" t="s">
        <v>140</v>
      </c>
      <c r="EJP83" s="365">
        <v>0.5</v>
      </c>
      <c r="EJQ83" s="366" t="e">
        <f>10/EJM81</f>
        <v>#DIV/0!</v>
      </c>
      <c r="EJR83" s="367">
        <v>15.38</v>
      </c>
      <c r="EJS83" s="367" t="e">
        <f>EJP83*EJQ83*EJR83</f>
        <v>#DIV/0!</v>
      </c>
      <c r="EJT83" s="363" t="s">
        <v>153</v>
      </c>
      <c r="EJU83" s="363"/>
      <c r="EJV83" s="363"/>
      <c r="EJW83" s="364" t="s">
        <v>140</v>
      </c>
      <c r="EJX83" s="365">
        <v>0.5</v>
      </c>
      <c r="EJY83" s="366" t="e">
        <f>10/EJU81</f>
        <v>#DIV/0!</v>
      </c>
      <c r="EJZ83" s="367">
        <v>15.38</v>
      </c>
      <c r="EKA83" s="367" t="e">
        <f>EJX83*EJY83*EJZ83</f>
        <v>#DIV/0!</v>
      </c>
      <c r="EKB83" s="363" t="s">
        <v>153</v>
      </c>
      <c r="EKC83" s="363"/>
      <c r="EKD83" s="363"/>
      <c r="EKE83" s="364" t="s">
        <v>140</v>
      </c>
      <c r="EKF83" s="365">
        <v>0.5</v>
      </c>
      <c r="EKG83" s="366" t="e">
        <f>10/EKC81</f>
        <v>#DIV/0!</v>
      </c>
      <c r="EKH83" s="367">
        <v>15.38</v>
      </c>
      <c r="EKI83" s="367" t="e">
        <f>EKF83*EKG83*EKH83</f>
        <v>#DIV/0!</v>
      </c>
      <c r="EKJ83" s="363" t="s">
        <v>153</v>
      </c>
      <c r="EKK83" s="363"/>
      <c r="EKL83" s="363"/>
      <c r="EKM83" s="364" t="s">
        <v>140</v>
      </c>
      <c r="EKN83" s="365">
        <v>0.5</v>
      </c>
      <c r="EKO83" s="366" t="e">
        <f>10/EKK81</f>
        <v>#DIV/0!</v>
      </c>
      <c r="EKP83" s="367">
        <v>15.38</v>
      </c>
      <c r="EKQ83" s="367" t="e">
        <f>EKN83*EKO83*EKP83</f>
        <v>#DIV/0!</v>
      </c>
      <c r="EKR83" s="363" t="s">
        <v>153</v>
      </c>
      <c r="EKS83" s="363"/>
      <c r="EKT83" s="363"/>
      <c r="EKU83" s="364" t="s">
        <v>140</v>
      </c>
      <c r="EKV83" s="365">
        <v>0.5</v>
      </c>
      <c r="EKW83" s="366" t="e">
        <f>10/EKS81</f>
        <v>#DIV/0!</v>
      </c>
      <c r="EKX83" s="367">
        <v>15.38</v>
      </c>
      <c r="EKY83" s="367" t="e">
        <f>EKV83*EKW83*EKX83</f>
        <v>#DIV/0!</v>
      </c>
      <c r="EKZ83" s="363" t="s">
        <v>153</v>
      </c>
      <c r="ELA83" s="363"/>
      <c r="ELB83" s="363"/>
      <c r="ELC83" s="364" t="s">
        <v>140</v>
      </c>
      <c r="ELD83" s="365">
        <v>0.5</v>
      </c>
      <c r="ELE83" s="366" t="e">
        <f>10/ELA81</f>
        <v>#DIV/0!</v>
      </c>
      <c r="ELF83" s="367">
        <v>15.38</v>
      </c>
      <c r="ELG83" s="367" t="e">
        <f>ELD83*ELE83*ELF83</f>
        <v>#DIV/0!</v>
      </c>
      <c r="ELH83" s="363" t="s">
        <v>153</v>
      </c>
      <c r="ELI83" s="363"/>
      <c r="ELJ83" s="363"/>
      <c r="ELK83" s="364" t="s">
        <v>140</v>
      </c>
      <c r="ELL83" s="365">
        <v>0.5</v>
      </c>
      <c r="ELM83" s="366" t="e">
        <f>10/ELI81</f>
        <v>#DIV/0!</v>
      </c>
      <c r="ELN83" s="367">
        <v>15.38</v>
      </c>
      <c r="ELO83" s="367" t="e">
        <f>ELL83*ELM83*ELN83</f>
        <v>#DIV/0!</v>
      </c>
      <c r="ELP83" s="363" t="s">
        <v>153</v>
      </c>
      <c r="ELQ83" s="363"/>
      <c r="ELR83" s="363"/>
      <c r="ELS83" s="364" t="s">
        <v>140</v>
      </c>
      <c r="ELT83" s="365">
        <v>0.5</v>
      </c>
      <c r="ELU83" s="366" t="e">
        <f>10/ELQ81</f>
        <v>#DIV/0!</v>
      </c>
      <c r="ELV83" s="367">
        <v>15.38</v>
      </c>
      <c r="ELW83" s="367" t="e">
        <f>ELT83*ELU83*ELV83</f>
        <v>#DIV/0!</v>
      </c>
      <c r="ELX83" s="363" t="s">
        <v>153</v>
      </c>
      <c r="ELY83" s="363"/>
      <c r="ELZ83" s="363"/>
      <c r="EMA83" s="364" t="s">
        <v>140</v>
      </c>
      <c r="EMB83" s="365">
        <v>0.5</v>
      </c>
      <c r="EMC83" s="366" t="e">
        <f>10/ELY81</f>
        <v>#DIV/0!</v>
      </c>
      <c r="EMD83" s="367">
        <v>15.38</v>
      </c>
      <c r="EME83" s="367" t="e">
        <f>EMB83*EMC83*EMD83</f>
        <v>#DIV/0!</v>
      </c>
      <c r="EMF83" s="363" t="s">
        <v>153</v>
      </c>
      <c r="EMG83" s="363"/>
      <c r="EMH83" s="363"/>
      <c r="EMI83" s="364" t="s">
        <v>140</v>
      </c>
      <c r="EMJ83" s="365">
        <v>0.5</v>
      </c>
      <c r="EMK83" s="366" t="e">
        <f>10/EMG81</f>
        <v>#DIV/0!</v>
      </c>
      <c r="EML83" s="367">
        <v>15.38</v>
      </c>
      <c r="EMM83" s="367" t="e">
        <f>EMJ83*EMK83*EML83</f>
        <v>#DIV/0!</v>
      </c>
      <c r="EMN83" s="363" t="s">
        <v>153</v>
      </c>
      <c r="EMO83" s="363"/>
      <c r="EMP83" s="363"/>
      <c r="EMQ83" s="364" t="s">
        <v>140</v>
      </c>
      <c r="EMR83" s="365">
        <v>0.5</v>
      </c>
      <c r="EMS83" s="366" t="e">
        <f>10/EMO81</f>
        <v>#DIV/0!</v>
      </c>
      <c r="EMT83" s="367">
        <v>15.38</v>
      </c>
      <c r="EMU83" s="367" t="e">
        <f>EMR83*EMS83*EMT83</f>
        <v>#DIV/0!</v>
      </c>
      <c r="EMV83" s="363" t="s">
        <v>153</v>
      </c>
      <c r="EMW83" s="363"/>
      <c r="EMX83" s="363"/>
      <c r="EMY83" s="364" t="s">
        <v>140</v>
      </c>
      <c r="EMZ83" s="365">
        <v>0.5</v>
      </c>
      <c r="ENA83" s="366" t="e">
        <f>10/EMW81</f>
        <v>#DIV/0!</v>
      </c>
      <c r="ENB83" s="367">
        <v>15.38</v>
      </c>
      <c r="ENC83" s="367" t="e">
        <f>EMZ83*ENA83*ENB83</f>
        <v>#DIV/0!</v>
      </c>
      <c r="END83" s="363" t="s">
        <v>153</v>
      </c>
      <c r="ENE83" s="363"/>
      <c r="ENF83" s="363"/>
      <c r="ENG83" s="364" t="s">
        <v>140</v>
      </c>
      <c r="ENH83" s="365">
        <v>0.5</v>
      </c>
      <c r="ENI83" s="366" t="e">
        <f>10/ENE81</f>
        <v>#DIV/0!</v>
      </c>
      <c r="ENJ83" s="367">
        <v>15.38</v>
      </c>
      <c r="ENK83" s="367" t="e">
        <f>ENH83*ENI83*ENJ83</f>
        <v>#DIV/0!</v>
      </c>
      <c r="ENL83" s="363" t="s">
        <v>153</v>
      </c>
      <c r="ENM83" s="363"/>
      <c r="ENN83" s="363"/>
      <c r="ENO83" s="364" t="s">
        <v>140</v>
      </c>
      <c r="ENP83" s="365">
        <v>0.5</v>
      </c>
      <c r="ENQ83" s="366" t="e">
        <f>10/ENM81</f>
        <v>#DIV/0!</v>
      </c>
      <c r="ENR83" s="367">
        <v>15.38</v>
      </c>
      <c r="ENS83" s="367" t="e">
        <f>ENP83*ENQ83*ENR83</f>
        <v>#DIV/0!</v>
      </c>
      <c r="ENT83" s="363" t="s">
        <v>153</v>
      </c>
      <c r="ENU83" s="363"/>
      <c r="ENV83" s="363"/>
      <c r="ENW83" s="364" t="s">
        <v>140</v>
      </c>
      <c r="ENX83" s="365">
        <v>0.5</v>
      </c>
      <c r="ENY83" s="366" t="e">
        <f>10/ENU81</f>
        <v>#DIV/0!</v>
      </c>
      <c r="ENZ83" s="367">
        <v>15.38</v>
      </c>
      <c r="EOA83" s="367" t="e">
        <f>ENX83*ENY83*ENZ83</f>
        <v>#DIV/0!</v>
      </c>
      <c r="EOB83" s="363" t="s">
        <v>153</v>
      </c>
      <c r="EOC83" s="363"/>
      <c r="EOD83" s="363"/>
      <c r="EOE83" s="364" t="s">
        <v>140</v>
      </c>
      <c r="EOF83" s="365">
        <v>0.5</v>
      </c>
      <c r="EOG83" s="366" t="e">
        <f>10/EOC81</f>
        <v>#DIV/0!</v>
      </c>
      <c r="EOH83" s="367">
        <v>15.38</v>
      </c>
      <c r="EOI83" s="367" t="e">
        <f>EOF83*EOG83*EOH83</f>
        <v>#DIV/0!</v>
      </c>
      <c r="EOJ83" s="363" t="s">
        <v>153</v>
      </c>
      <c r="EOK83" s="363"/>
      <c r="EOL83" s="363"/>
      <c r="EOM83" s="364" t="s">
        <v>140</v>
      </c>
      <c r="EON83" s="365">
        <v>0.5</v>
      </c>
      <c r="EOO83" s="366" t="e">
        <f>10/EOK81</f>
        <v>#DIV/0!</v>
      </c>
      <c r="EOP83" s="367">
        <v>15.38</v>
      </c>
      <c r="EOQ83" s="367" t="e">
        <f>EON83*EOO83*EOP83</f>
        <v>#DIV/0!</v>
      </c>
      <c r="EOR83" s="363" t="s">
        <v>153</v>
      </c>
      <c r="EOS83" s="363"/>
      <c r="EOT83" s="363"/>
      <c r="EOU83" s="364" t="s">
        <v>140</v>
      </c>
      <c r="EOV83" s="365">
        <v>0.5</v>
      </c>
      <c r="EOW83" s="366" t="e">
        <f>10/EOS81</f>
        <v>#DIV/0!</v>
      </c>
      <c r="EOX83" s="367">
        <v>15.38</v>
      </c>
      <c r="EOY83" s="367" t="e">
        <f>EOV83*EOW83*EOX83</f>
        <v>#DIV/0!</v>
      </c>
      <c r="EOZ83" s="363" t="s">
        <v>153</v>
      </c>
      <c r="EPA83" s="363"/>
      <c r="EPB83" s="363"/>
      <c r="EPC83" s="364" t="s">
        <v>140</v>
      </c>
      <c r="EPD83" s="365">
        <v>0.5</v>
      </c>
      <c r="EPE83" s="366" t="e">
        <f>10/EPA81</f>
        <v>#DIV/0!</v>
      </c>
      <c r="EPF83" s="367">
        <v>15.38</v>
      </c>
      <c r="EPG83" s="367" t="e">
        <f>EPD83*EPE83*EPF83</f>
        <v>#DIV/0!</v>
      </c>
      <c r="EPH83" s="363" t="s">
        <v>153</v>
      </c>
      <c r="EPI83" s="363"/>
      <c r="EPJ83" s="363"/>
      <c r="EPK83" s="364" t="s">
        <v>140</v>
      </c>
      <c r="EPL83" s="365">
        <v>0.5</v>
      </c>
      <c r="EPM83" s="366" t="e">
        <f>10/EPI81</f>
        <v>#DIV/0!</v>
      </c>
      <c r="EPN83" s="367">
        <v>15.38</v>
      </c>
      <c r="EPO83" s="367" t="e">
        <f>EPL83*EPM83*EPN83</f>
        <v>#DIV/0!</v>
      </c>
      <c r="EPP83" s="363" t="s">
        <v>153</v>
      </c>
      <c r="EPQ83" s="363"/>
      <c r="EPR83" s="363"/>
      <c r="EPS83" s="364" t="s">
        <v>140</v>
      </c>
      <c r="EPT83" s="365">
        <v>0.5</v>
      </c>
      <c r="EPU83" s="366" t="e">
        <f>10/EPQ81</f>
        <v>#DIV/0!</v>
      </c>
      <c r="EPV83" s="367">
        <v>15.38</v>
      </c>
      <c r="EPW83" s="367" t="e">
        <f>EPT83*EPU83*EPV83</f>
        <v>#DIV/0!</v>
      </c>
      <c r="EPX83" s="363" t="s">
        <v>153</v>
      </c>
      <c r="EPY83" s="363"/>
      <c r="EPZ83" s="363"/>
      <c r="EQA83" s="364" t="s">
        <v>140</v>
      </c>
      <c r="EQB83" s="365">
        <v>0.5</v>
      </c>
      <c r="EQC83" s="366" t="e">
        <f>10/EPY81</f>
        <v>#DIV/0!</v>
      </c>
      <c r="EQD83" s="367">
        <v>15.38</v>
      </c>
      <c r="EQE83" s="367" t="e">
        <f>EQB83*EQC83*EQD83</f>
        <v>#DIV/0!</v>
      </c>
      <c r="EQF83" s="363" t="s">
        <v>153</v>
      </c>
      <c r="EQG83" s="363"/>
      <c r="EQH83" s="363"/>
      <c r="EQI83" s="364" t="s">
        <v>140</v>
      </c>
      <c r="EQJ83" s="365">
        <v>0.5</v>
      </c>
      <c r="EQK83" s="366" t="e">
        <f>10/EQG81</f>
        <v>#DIV/0!</v>
      </c>
      <c r="EQL83" s="367">
        <v>15.38</v>
      </c>
      <c r="EQM83" s="367" t="e">
        <f>EQJ83*EQK83*EQL83</f>
        <v>#DIV/0!</v>
      </c>
      <c r="EQN83" s="363" t="s">
        <v>153</v>
      </c>
      <c r="EQO83" s="363"/>
      <c r="EQP83" s="363"/>
      <c r="EQQ83" s="364" t="s">
        <v>140</v>
      </c>
      <c r="EQR83" s="365">
        <v>0.5</v>
      </c>
      <c r="EQS83" s="366" t="e">
        <f>10/EQO81</f>
        <v>#DIV/0!</v>
      </c>
      <c r="EQT83" s="367">
        <v>15.38</v>
      </c>
      <c r="EQU83" s="367" t="e">
        <f>EQR83*EQS83*EQT83</f>
        <v>#DIV/0!</v>
      </c>
      <c r="EQV83" s="363" t="s">
        <v>153</v>
      </c>
      <c r="EQW83" s="363"/>
      <c r="EQX83" s="363"/>
      <c r="EQY83" s="364" t="s">
        <v>140</v>
      </c>
      <c r="EQZ83" s="365">
        <v>0.5</v>
      </c>
      <c r="ERA83" s="366" t="e">
        <f>10/EQW81</f>
        <v>#DIV/0!</v>
      </c>
      <c r="ERB83" s="367">
        <v>15.38</v>
      </c>
      <c r="ERC83" s="367" t="e">
        <f>EQZ83*ERA83*ERB83</f>
        <v>#DIV/0!</v>
      </c>
      <c r="ERD83" s="363" t="s">
        <v>153</v>
      </c>
      <c r="ERE83" s="363"/>
      <c r="ERF83" s="363"/>
      <c r="ERG83" s="364" t="s">
        <v>140</v>
      </c>
      <c r="ERH83" s="365">
        <v>0.5</v>
      </c>
      <c r="ERI83" s="366" t="e">
        <f>10/ERE81</f>
        <v>#DIV/0!</v>
      </c>
      <c r="ERJ83" s="367">
        <v>15.38</v>
      </c>
      <c r="ERK83" s="367" t="e">
        <f>ERH83*ERI83*ERJ83</f>
        <v>#DIV/0!</v>
      </c>
      <c r="ERL83" s="363" t="s">
        <v>153</v>
      </c>
      <c r="ERM83" s="363"/>
      <c r="ERN83" s="363"/>
      <c r="ERO83" s="364" t="s">
        <v>140</v>
      </c>
      <c r="ERP83" s="365">
        <v>0.5</v>
      </c>
      <c r="ERQ83" s="366" t="e">
        <f>10/ERM81</f>
        <v>#DIV/0!</v>
      </c>
      <c r="ERR83" s="367">
        <v>15.38</v>
      </c>
      <c r="ERS83" s="367" t="e">
        <f>ERP83*ERQ83*ERR83</f>
        <v>#DIV/0!</v>
      </c>
      <c r="ERT83" s="363" t="s">
        <v>153</v>
      </c>
      <c r="ERU83" s="363"/>
      <c r="ERV83" s="363"/>
      <c r="ERW83" s="364" t="s">
        <v>140</v>
      </c>
      <c r="ERX83" s="365">
        <v>0.5</v>
      </c>
      <c r="ERY83" s="366" t="e">
        <f>10/ERU81</f>
        <v>#DIV/0!</v>
      </c>
      <c r="ERZ83" s="367">
        <v>15.38</v>
      </c>
      <c r="ESA83" s="367" t="e">
        <f>ERX83*ERY83*ERZ83</f>
        <v>#DIV/0!</v>
      </c>
      <c r="ESB83" s="363" t="s">
        <v>153</v>
      </c>
      <c r="ESC83" s="363"/>
      <c r="ESD83" s="363"/>
      <c r="ESE83" s="364" t="s">
        <v>140</v>
      </c>
      <c r="ESF83" s="365">
        <v>0.5</v>
      </c>
      <c r="ESG83" s="366" t="e">
        <f>10/ESC81</f>
        <v>#DIV/0!</v>
      </c>
      <c r="ESH83" s="367">
        <v>15.38</v>
      </c>
      <c r="ESI83" s="367" t="e">
        <f>ESF83*ESG83*ESH83</f>
        <v>#DIV/0!</v>
      </c>
      <c r="ESJ83" s="363" t="s">
        <v>153</v>
      </c>
      <c r="ESK83" s="363"/>
      <c r="ESL83" s="363"/>
      <c r="ESM83" s="364" t="s">
        <v>140</v>
      </c>
      <c r="ESN83" s="365">
        <v>0.5</v>
      </c>
      <c r="ESO83" s="366" t="e">
        <f>10/ESK81</f>
        <v>#DIV/0!</v>
      </c>
      <c r="ESP83" s="367">
        <v>15.38</v>
      </c>
      <c r="ESQ83" s="367" t="e">
        <f>ESN83*ESO83*ESP83</f>
        <v>#DIV/0!</v>
      </c>
      <c r="ESR83" s="363" t="s">
        <v>153</v>
      </c>
      <c r="ESS83" s="363"/>
      <c r="EST83" s="363"/>
      <c r="ESU83" s="364" t="s">
        <v>140</v>
      </c>
      <c r="ESV83" s="365">
        <v>0.5</v>
      </c>
      <c r="ESW83" s="366" t="e">
        <f>10/ESS81</f>
        <v>#DIV/0!</v>
      </c>
      <c r="ESX83" s="367">
        <v>15.38</v>
      </c>
      <c r="ESY83" s="367" t="e">
        <f>ESV83*ESW83*ESX83</f>
        <v>#DIV/0!</v>
      </c>
      <c r="ESZ83" s="363" t="s">
        <v>153</v>
      </c>
      <c r="ETA83" s="363"/>
      <c r="ETB83" s="363"/>
      <c r="ETC83" s="364" t="s">
        <v>140</v>
      </c>
      <c r="ETD83" s="365">
        <v>0.5</v>
      </c>
      <c r="ETE83" s="366" t="e">
        <f>10/ETA81</f>
        <v>#DIV/0!</v>
      </c>
      <c r="ETF83" s="367">
        <v>15.38</v>
      </c>
      <c r="ETG83" s="367" t="e">
        <f>ETD83*ETE83*ETF83</f>
        <v>#DIV/0!</v>
      </c>
      <c r="ETH83" s="363" t="s">
        <v>153</v>
      </c>
      <c r="ETI83" s="363"/>
      <c r="ETJ83" s="363"/>
      <c r="ETK83" s="364" t="s">
        <v>140</v>
      </c>
      <c r="ETL83" s="365">
        <v>0.5</v>
      </c>
      <c r="ETM83" s="366" t="e">
        <f>10/ETI81</f>
        <v>#DIV/0!</v>
      </c>
      <c r="ETN83" s="367">
        <v>15.38</v>
      </c>
      <c r="ETO83" s="367" t="e">
        <f>ETL83*ETM83*ETN83</f>
        <v>#DIV/0!</v>
      </c>
      <c r="ETP83" s="363" t="s">
        <v>153</v>
      </c>
      <c r="ETQ83" s="363"/>
      <c r="ETR83" s="363"/>
      <c r="ETS83" s="364" t="s">
        <v>140</v>
      </c>
      <c r="ETT83" s="365">
        <v>0.5</v>
      </c>
      <c r="ETU83" s="366" t="e">
        <f>10/ETQ81</f>
        <v>#DIV/0!</v>
      </c>
      <c r="ETV83" s="367">
        <v>15.38</v>
      </c>
      <c r="ETW83" s="367" t="e">
        <f>ETT83*ETU83*ETV83</f>
        <v>#DIV/0!</v>
      </c>
      <c r="ETX83" s="363" t="s">
        <v>153</v>
      </c>
      <c r="ETY83" s="363"/>
      <c r="ETZ83" s="363"/>
      <c r="EUA83" s="364" t="s">
        <v>140</v>
      </c>
      <c r="EUB83" s="365">
        <v>0.5</v>
      </c>
      <c r="EUC83" s="366" t="e">
        <f>10/ETY81</f>
        <v>#DIV/0!</v>
      </c>
      <c r="EUD83" s="367">
        <v>15.38</v>
      </c>
      <c r="EUE83" s="367" t="e">
        <f>EUB83*EUC83*EUD83</f>
        <v>#DIV/0!</v>
      </c>
      <c r="EUF83" s="363" t="s">
        <v>153</v>
      </c>
      <c r="EUG83" s="363"/>
      <c r="EUH83" s="363"/>
      <c r="EUI83" s="364" t="s">
        <v>140</v>
      </c>
      <c r="EUJ83" s="365">
        <v>0.5</v>
      </c>
      <c r="EUK83" s="366" t="e">
        <f>10/EUG81</f>
        <v>#DIV/0!</v>
      </c>
      <c r="EUL83" s="367">
        <v>15.38</v>
      </c>
      <c r="EUM83" s="367" t="e">
        <f>EUJ83*EUK83*EUL83</f>
        <v>#DIV/0!</v>
      </c>
      <c r="EUN83" s="363" t="s">
        <v>153</v>
      </c>
      <c r="EUO83" s="363"/>
      <c r="EUP83" s="363"/>
      <c r="EUQ83" s="364" t="s">
        <v>140</v>
      </c>
      <c r="EUR83" s="365">
        <v>0.5</v>
      </c>
      <c r="EUS83" s="366" t="e">
        <f>10/EUO81</f>
        <v>#DIV/0!</v>
      </c>
      <c r="EUT83" s="367">
        <v>15.38</v>
      </c>
      <c r="EUU83" s="367" t="e">
        <f>EUR83*EUS83*EUT83</f>
        <v>#DIV/0!</v>
      </c>
      <c r="EUV83" s="363" t="s">
        <v>153</v>
      </c>
      <c r="EUW83" s="363"/>
      <c r="EUX83" s="363"/>
      <c r="EUY83" s="364" t="s">
        <v>140</v>
      </c>
      <c r="EUZ83" s="365">
        <v>0.5</v>
      </c>
      <c r="EVA83" s="366" t="e">
        <f>10/EUW81</f>
        <v>#DIV/0!</v>
      </c>
      <c r="EVB83" s="367">
        <v>15.38</v>
      </c>
      <c r="EVC83" s="367" t="e">
        <f>EUZ83*EVA83*EVB83</f>
        <v>#DIV/0!</v>
      </c>
      <c r="EVD83" s="363" t="s">
        <v>153</v>
      </c>
      <c r="EVE83" s="363"/>
      <c r="EVF83" s="363"/>
      <c r="EVG83" s="364" t="s">
        <v>140</v>
      </c>
      <c r="EVH83" s="365">
        <v>0.5</v>
      </c>
      <c r="EVI83" s="366" t="e">
        <f>10/EVE81</f>
        <v>#DIV/0!</v>
      </c>
      <c r="EVJ83" s="367">
        <v>15.38</v>
      </c>
      <c r="EVK83" s="367" t="e">
        <f>EVH83*EVI83*EVJ83</f>
        <v>#DIV/0!</v>
      </c>
      <c r="EVL83" s="363" t="s">
        <v>153</v>
      </c>
      <c r="EVM83" s="363"/>
      <c r="EVN83" s="363"/>
      <c r="EVO83" s="364" t="s">
        <v>140</v>
      </c>
      <c r="EVP83" s="365">
        <v>0.5</v>
      </c>
      <c r="EVQ83" s="366" t="e">
        <f>10/EVM81</f>
        <v>#DIV/0!</v>
      </c>
      <c r="EVR83" s="367">
        <v>15.38</v>
      </c>
      <c r="EVS83" s="367" t="e">
        <f>EVP83*EVQ83*EVR83</f>
        <v>#DIV/0!</v>
      </c>
      <c r="EVT83" s="363" t="s">
        <v>153</v>
      </c>
      <c r="EVU83" s="363"/>
      <c r="EVV83" s="363"/>
      <c r="EVW83" s="364" t="s">
        <v>140</v>
      </c>
      <c r="EVX83" s="365">
        <v>0.5</v>
      </c>
      <c r="EVY83" s="366" t="e">
        <f>10/EVU81</f>
        <v>#DIV/0!</v>
      </c>
      <c r="EVZ83" s="367">
        <v>15.38</v>
      </c>
      <c r="EWA83" s="367" t="e">
        <f>EVX83*EVY83*EVZ83</f>
        <v>#DIV/0!</v>
      </c>
      <c r="EWB83" s="363" t="s">
        <v>153</v>
      </c>
      <c r="EWC83" s="363"/>
      <c r="EWD83" s="363"/>
      <c r="EWE83" s="364" t="s">
        <v>140</v>
      </c>
      <c r="EWF83" s="365">
        <v>0.5</v>
      </c>
      <c r="EWG83" s="366" t="e">
        <f>10/EWC81</f>
        <v>#DIV/0!</v>
      </c>
      <c r="EWH83" s="367">
        <v>15.38</v>
      </c>
      <c r="EWI83" s="367" t="e">
        <f>EWF83*EWG83*EWH83</f>
        <v>#DIV/0!</v>
      </c>
      <c r="EWJ83" s="363" t="s">
        <v>153</v>
      </c>
      <c r="EWK83" s="363"/>
      <c r="EWL83" s="363"/>
      <c r="EWM83" s="364" t="s">
        <v>140</v>
      </c>
      <c r="EWN83" s="365">
        <v>0.5</v>
      </c>
      <c r="EWO83" s="366" t="e">
        <f>10/EWK81</f>
        <v>#DIV/0!</v>
      </c>
      <c r="EWP83" s="367">
        <v>15.38</v>
      </c>
      <c r="EWQ83" s="367" t="e">
        <f>EWN83*EWO83*EWP83</f>
        <v>#DIV/0!</v>
      </c>
      <c r="EWR83" s="363" t="s">
        <v>153</v>
      </c>
      <c r="EWS83" s="363"/>
      <c r="EWT83" s="363"/>
      <c r="EWU83" s="364" t="s">
        <v>140</v>
      </c>
      <c r="EWV83" s="365">
        <v>0.5</v>
      </c>
      <c r="EWW83" s="366" t="e">
        <f>10/EWS81</f>
        <v>#DIV/0!</v>
      </c>
      <c r="EWX83" s="367">
        <v>15.38</v>
      </c>
      <c r="EWY83" s="367" t="e">
        <f>EWV83*EWW83*EWX83</f>
        <v>#DIV/0!</v>
      </c>
      <c r="EWZ83" s="363" t="s">
        <v>153</v>
      </c>
      <c r="EXA83" s="363"/>
      <c r="EXB83" s="363"/>
      <c r="EXC83" s="364" t="s">
        <v>140</v>
      </c>
      <c r="EXD83" s="365">
        <v>0.5</v>
      </c>
      <c r="EXE83" s="366" t="e">
        <f>10/EXA81</f>
        <v>#DIV/0!</v>
      </c>
      <c r="EXF83" s="367">
        <v>15.38</v>
      </c>
      <c r="EXG83" s="367" t="e">
        <f>EXD83*EXE83*EXF83</f>
        <v>#DIV/0!</v>
      </c>
      <c r="EXH83" s="363" t="s">
        <v>153</v>
      </c>
      <c r="EXI83" s="363"/>
      <c r="EXJ83" s="363"/>
      <c r="EXK83" s="364" t="s">
        <v>140</v>
      </c>
      <c r="EXL83" s="365">
        <v>0.5</v>
      </c>
      <c r="EXM83" s="366" t="e">
        <f>10/EXI81</f>
        <v>#DIV/0!</v>
      </c>
      <c r="EXN83" s="367">
        <v>15.38</v>
      </c>
      <c r="EXO83" s="367" t="e">
        <f>EXL83*EXM83*EXN83</f>
        <v>#DIV/0!</v>
      </c>
      <c r="EXP83" s="363" t="s">
        <v>153</v>
      </c>
      <c r="EXQ83" s="363"/>
      <c r="EXR83" s="363"/>
      <c r="EXS83" s="364" t="s">
        <v>140</v>
      </c>
      <c r="EXT83" s="365">
        <v>0.5</v>
      </c>
      <c r="EXU83" s="366" t="e">
        <f>10/EXQ81</f>
        <v>#DIV/0!</v>
      </c>
      <c r="EXV83" s="367">
        <v>15.38</v>
      </c>
      <c r="EXW83" s="367" t="e">
        <f>EXT83*EXU83*EXV83</f>
        <v>#DIV/0!</v>
      </c>
      <c r="EXX83" s="363" t="s">
        <v>153</v>
      </c>
      <c r="EXY83" s="363"/>
      <c r="EXZ83" s="363"/>
      <c r="EYA83" s="364" t="s">
        <v>140</v>
      </c>
      <c r="EYB83" s="365">
        <v>0.5</v>
      </c>
      <c r="EYC83" s="366" t="e">
        <f>10/EXY81</f>
        <v>#DIV/0!</v>
      </c>
      <c r="EYD83" s="367">
        <v>15.38</v>
      </c>
      <c r="EYE83" s="367" t="e">
        <f>EYB83*EYC83*EYD83</f>
        <v>#DIV/0!</v>
      </c>
      <c r="EYF83" s="363" t="s">
        <v>153</v>
      </c>
      <c r="EYG83" s="363"/>
      <c r="EYH83" s="363"/>
      <c r="EYI83" s="364" t="s">
        <v>140</v>
      </c>
      <c r="EYJ83" s="365">
        <v>0.5</v>
      </c>
      <c r="EYK83" s="366" t="e">
        <f>10/EYG81</f>
        <v>#DIV/0!</v>
      </c>
      <c r="EYL83" s="367">
        <v>15.38</v>
      </c>
      <c r="EYM83" s="367" t="e">
        <f>EYJ83*EYK83*EYL83</f>
        <v>#DIV/0!</v>
      </c>
      <c r="EYN83" s="363" t="s">
        <v>153</v>
      </c>
      <c r="EYO83" s="363"/>
      <c r="EYP83" s="363"/>
      <c r="EYQ83" s="364" t="s">
        <v>140</v>
      </c>
      <c r="EYR83" s="365">
        <v>0.5</v>
      </c>
      <c r="EYS83" s="366" t="e">
        <f>10/EYO81</f>
        <v>#DIV/0!</v>
      </c>
      <c r="EYT83" s="367">
        <v>15.38</v>
      </c>
      <c r="EYU83" s="367" t="e">
        <f>EYR83*EYS83*EYT83</f>
        <v>#DIV/0!</v>
      </c>
      <c r="EYV83" s="363" t="s">
        <v>153</v>
      </c>
      <c r="EYW83" s="363"/>
      <c r="EYX83" s="363"/>
      <c r="EYY83" s="364" t="s">
        <v>140</v>
      </c>
      <c r="EYZ83" s="365">
        <v>0.5</v>
      </c>
      <c r="EZA83" s="366" t="e">
        <f>10/EYW81</f>
        <v>#DIV/0!</v>
      </c>
      <c r="EZB83" s="367">
        <v>15.38</v>
      </c>
      <c r="EZC83" s="367" t="e">
        <f>EYZ83*EZA83*EZB83</f>
        <v>#DIV/0!</v>
      </c>
      <c r="EZD83" s="363" t="s">
        <v>153</v>
      </c>
      <c r="EZE83" s="363"/>
      <c r="EZF83" s="363"/>
      <c r="EZG83" s="364" t="s">
        <v>140</v>
      </c>
      <c r="EZH83" s="365">
        <v>0.5</v>
      </c>
      <c r="EZI83" s="366" t="e">
        <f>10/EZE81</f>
        <v>#DIV/0!</v>
      </c>
      <c r="EZJ83" s="367">
        <v>15.38</v>
      </c>
      <c r="EZK83" s="367" t="e">
        <f>EZH83*EZI83*EZJ83</f>
        <v>#DIV/0!</v>
      </c>
      <c r="EZL83" s="363" t="s">
        <v>153</v>
      </c>
      <c r="EZM83" s="363"/>
      <c r="EZN83" s="363"/>
      <c r="EZO83" s="364" t="s">
        <v>140</v>
      </c>
      <c r="EZP83" s="365">
        <v>0.5</v>
      </c>
      <c r="EZQ83" s="366" t="e">
        <f>10/EZM81</f>
        <v>#DIV/0!</v>
      </c>
      <c r="EZR83" s="367">
        <v>15.38</v>
      </c>
      <c r="EZS83" s="367" t="e">
        <f>EZP83*EZQ83*EZR83</f>
        <v>#DIV/0!</v>
      </c>
      <c r="EZT83" s="363" t="s">
        <v>153</v>
      </c>
      <c r="EZU83" s="363"/>
      <c r="EZV83" s="363"/>
      <c r="EZW83" s="364" t="s">
        <v>140</v>
      </c>
      <c r="EZX83" s="365">
        <v>0.5</v>
      </c>
      <c r="EZY83" s="366" t="e">
        <f>10/EZU81</f>
        <v>#DIV/0!</v>
      </c>
      <c r="EZZ83" s="367">
        <v>15.38</v>
      </c>
      <c r="FAA83" s="367" t="e">
        <f>EZX83*EZY83*EZZ83</f>
        <v>#DIV/0!</v>
      </c>
      <c r="FAB83" s="363" t="s">
        <v>153</v>
      </c>
      <c r="FAC83" s="363"/>
      <c r="FAD83" s="363"/>
      <c r="FAE83" s="364" t="s">
        <v>140</v>
      </c>
      <c r="FAF83" s="365">
        <v>0.5</v>
      </c>
      <c r="FAG83" s="366" t="e">
        <f>10/FAC81</f>
        <v>#DIV/0!</v>
      </c>
      <c r="FAH83" s="367">
        <v>15.38</v>
      </c>
      <c r="FAI83" s="367" t="e">
        <f>FAF83*FAG83*FAH83</f>
        <v>#DIV/0!</v>
      </c>
      <c r="FAJ83" s="363" t="s">
        <v>153</v>
      </c>
      <c r="FAK83" s="363"/>
      <c r="FAL83" s="363"/>
      <c r="FAM83" s="364" t="s">
        <v>140</v>
      </c>
      <c r="FAN83" s="365">
        <v>0.5</v>
      </c>
      <c r="FAO83" s="366" t="e">
        <f>10/FAK81</f>
        <v>#DIV/0!</v>
      </c>
      <c r="FAP83" s="367">
        <v>15.38</v>
      </c>
      <c r="FAQ83" s="367" t="e">
        <f>FAN83*FAO83*FAP83</f>
        <v>#DIV/0!</v>
      </c>
      <c r="FAR83" s="363" t="s">
        <v>153</v>
      </c>
      <c r="FAS83" s="363"/>
      <c r="FAT83" s="363"/>
      <c r="FAU83" s="364" t="s">
        <v>140</v>
      </c>
      <c r="FAV83" s="365">
        <v>0.5</v>
      </c>
      <c r="FAW83" s="366" t="e">
        <f>10/FAS81</f>
        <v>#DIV/0!</v>
      </c>
      <c r="FAX83" s="367">
        <v>15.38</v>
      </c>
      <c r="FAY83" s="367" t="e">
        <f>FAV83*FAW83*FAX83</f>
        <v>#DIV/0!</v>
      </c>
      <c r="FAZ83" s="363" t="s">
        <v>153</v>
      </c>
      <c r="FBA83" s="363"/>
      <c r="FBB83" s="363"/>
      <c r="FBC83" s="364" t="s">
        <v>140</v>
      </c>
      <c r="FBD83" s="365">
        <v>0.5</v>
      </c>
      <c r="FBE83" s="366" t="e">
        <f>10/FBA81</f>
        <v>#DIV/0!</v>
      </c>
      <c r="FBF83" s="367">
        <v>15.38</v>
      </c>
      <c r="FBG83" s="367" t="e">
        <f>FBD83*FBE83*FBF83</f>
        <v>#DIV/0!</v>
      </c>
      <c r="FBH83" s="363" t="s">
        <v>153</v>
      </c>
      <c r="FBI83" s="363"/>
      <c r="FBJ83" s="363"/>
      <c r="FBK83" s="364" t="s">
        <v>140</v>
      </c>
      <c r="FBL83" s="365">
        <v>0.5</v>
      </c>
      <c r="FBM83" s="366" t="e">
        <f>10/FBI81</f>
        <v>#DIV/0!</v>
      </c>
      <c r="FBN83" s="367">
        <v>15.38</v>
      </c>
      <c r="FBO83" s="367" t="e">
        <f>FBL83*FBM83*FBN83</f>
        <v>#DIV/0!</v>
      </c>
      <c r="FBP83" s="363" t="s">
        <v>153</v>
      </c>
      <c r="FBQ83" s="363"/>
      <c r="FBR83" s="363"/>
      <c r="FBS83" s="364" t="s">
        <v>140</v>
      </c>
      <c r="FBT83" s="365">
        <v>0.5</v>
      </c>
      <c r="FBU83" s="366" t="e">
        <f>10/FBQ81</f>
        <v>#DIV/0!</v>
      </c>
      <c r="FBV83" s="367">
        <v>15.38</v>
      </c>
      <c r="FBW83" s="367" t="e">
        <f>FBT83*FBU83*FBV83</f>
        <v>#DIV/0!</v>
      </c>
      <c r="FBX83" s="363" t="s">
        <v>153</v>
      </c>
      <c r="FBY83" s="363"/>
      <c r="FBZ83" s="363"/>
      <c r="FCA83" s="364" t="s">
        <v>140</v>
      </c>
      <c r="FCB83" s="365">
        <v>0.5</v>
      </c>
      <c r="FCC83" s="366" t="e">
        <f>10/FBY81</f>
        <v>#DIV/0!</v>
      </c>
      <c r="FCD83" s="367">
        <v>15.38</v>
      </c>
      <c r="FCE83" s="367" t="e">
        <f>FCB83*FCC83*FCD83</f>
        <v>#DIV/0!</v>
      </c>
      <c r="FCF83" s="363" t="s">
        <v>153</v>
      </c>
      <c r="FCG83" s="363"/>
      <c r="FCH83" s="363"/>
      <c r="FCI83" s="364" t="s">
        <v>140</v>
      </c>
      <c r="FCJ83" s="365">
        <v>0.5</v>
      </c>
      <c r="FCK83" s="366" t="e">
        <f>10/FCG81</f>
        <v>#DIV/0!</v>
      </c>
      <c r="FCL83" s="367">
        <v>15.38</v>
      </c>
      <c r="FCM83" s="367" t="e">
        <f>FCJ83*FCK83*FCL83</f>
        <v>#DIV/0!</v>
      </c>
      <c r="FCN83" s="363" t="s">
        <v>153</v>
      </c>
      <c r="FCO83" s="363"/>
      <c r="FCP83" s="363"/>
      <c r="FCQ83" s="364" t="s">
        <v>140</v>
      </c>
      <c r="FCR83" s="365">
        <v>0.5</v>
      </c>
      <c r="FCS83" s="366" t="e">
        <f>10/FCO81</f>
        <v>#DIV/0!</v>
      </c>
      <c r="FCT83" s="367">
        <v>15.38</v>
      </c>
      <c r="FCU83" s="367" t="e">
        <f>FCR83*FCS83*FCT83</f>
        <v>#DIV/0!</v>
      </c>
      <c r="FCV83" s="363" t="s">
        <v>153</v>
      </c>
      <c r="FCW83" s="363"/>
      <c r="FCX83" s="363"/>
      <c r="FCY83" s="364" t="s">
        <v>140</v>
      </c>
      <c r="FCZ83" s="365">
        <v>0.5</v>
      </c>
      <c r="FDA83" s="366" t="e">
        <f>10/FCW81</f>
        <v>#DIV/0!</v>
      </c>
      <c r="FDB83" s="367">
        <v>15.38</v>
      </c>
      <c r="FDC83" s="367" t="e">
        <f>FCZ83*FDA83*FDB83</f>
        <v>#DIV/0!</v>
      </c>
      <c r="FDD83" s="363" t="s">
        <v>153</v>
      </c>
      <c r="FDE83" s="363"/>
      <c r="FDF83" s="363"/>
      <c r="FDG83" s="364" t="s">
        <v>140</v>
      </c>
      <c r="FDH83" s="365">
        <v>0.5</v>
      </c>
      <c r="FDI83" s="366" t="e">
        <f>10/FDE81</f>
        <v>#DIV/0!</v>
      </c>
      <c r="FDJ83" s="367">
        <v>15.38</v>
      </c>
      <c r="FDK83" s="367" t="e">
        <f>FDH83*FDI83*FDJ83</f>
        <v>#DIV/0!</v>
      </c>
      <c r="FDL83" s="363" t="s">
        <v>153</v>
      </c>
      <c r="FDM83" s="363"/>
      <c r="FDN83" s="363"/>
      <c r="FDO83" s="364" t="s">
        <v>140</v>
      </c>
      <c r="FDP83" s="365">
        <v>0.5</v>
      </c>
      <c r="FDQ83" s="366" t="e">
        <f>10/FDM81</f>
        <v>#DIV/0!</v>
      </c>
      <c r="FDR83" s="367">
        <v>15.38</v>
      </c>
      <c r="FDS83" s="367" t="e">
        <f>FDP83*FDQ83*FDR83</f>
        <v>#DIV/0!</v>
      </c>
      <c r="FDT83" s="363" t="s">
        <v>153</v>
      </c>
      <c r="FDU83" s="363"/>
      <c r="FDV83" s="363"/>
      <c r="FDW83" s="364" t="s">
        <v>140</v>
      </c>
      <c r="FDX83" s="365">
        <v>0.5</v>
      </c>
      <c r="FDY83" s="366" t="e">
        <f>10/FDU81</f>
        <v>#DIV/0!</v>
      </c>
      <c r="FDZ83" s="367">
        <v>15.38</v>
      </c>
      <c r="FEA83" s="367" t="e">
        <f>FDX83*FDY83*FDZ83</f>
        <v>#DIV/0!</v>
      </c>
      <c r="FEB83" s="363" t="s">
        <v>153</v>
      </c>
      <c r="FEC83" s="363"/>
      <c r="FED83" s="363"/>
      <c r="FEE83" s="364" t="s">
        <v>140</v>
      </c>
      <c r="FEF83" s="365">
        <v>0.5</v>
      </c>
      <c r="FEG83" s="366" t="e">
        <f>10/FEC81</f>
        <v>#DIV/0!</v>
      </c>
      <c r="FEH83" s="367">
        <v>15.38</v>
      </c>
      <c r="FEI83" s="367" t="e">
        <f>FEF83*FEG83*FEH83</f>
        <v>#DIV/0!</v>
      </c>
      <c r="FEJ83" s="363" t="s">
        <v>153</v>
      </c>
      <c r="FEK83" s="363"/>
      <c r="FEL83" s="363"/>
      <c r="FEM83" s="364" t="s">
        <v>140</v>
      </c>
      <c r="FEN83" s="365">
        <v>0.5</v>
      </c>
      <c r="FEO83" s="366" t="e">
        <f>10/FEK81</f>
        <v>#DIV/0!</v>
      </c>
      <c r="FEP83" s="367">
        <v>15.38</v>
      </c>
      <c r="FEQ83" s="367" t="e">
        <f>FEN83*FEO83*FEP83</f>
        <v>#DIV/0!</v>
      </c>
      <c r="FER83" s="363" t="s">
        <v>153</v>
      </c>
      <c r="FES83" s="363"/>
      <c r="FET83" s="363"/>
      <c r="FEU83" s="364" t="s">
        <v>140</v>
      </c>
      <c r="FEV83" s="365">
        <v>0.5</v>
      </c>
      <c r="FEW83" s="366" t="e">
        <f>10/FES81</f>
        <v>#DIV/0!</v>
      </c>
      <c r="FEX83" s="367">
        <v>15.38</v>
      </c>
      <c r="FEY83" s="367" t="e">
        <f>FEV83*FEW83*FEX83</f>
        <v>#DIV/0!</v>
      </c>
      <c r="FEZ83" s="363" t="s">
        <v>153</v>
      </c>
      <c r="FFA83" s="363"/>
      <c r="FFB83" s="363"/>
      <c r="FFC83" s="364" t="s">
        <v>140</v>
      </c>
      <c r="FFD83" s="365">
        <v>0.5</v>
      </c>
      <c r="FFE83" s="366" t="e">
        <f>10/FFA81</f>
        <v>#DIV/0!</v>
      </c>
      <c r="FFF83" s="367">
        <v>15.38</v>
      </c>
      <c r="FFG83" s="367" t="e">
        <f>FFD83*FFE83*FFF83</f>
        <v>#DIV/0!</v>
      </c>
      <c r="FFH83" s="363" t="s">
        <v>153</v>
      </c>
      <c r="FFI83" s="363"/>
      <c r="FFJ83" s="363"/>
      <c r="FFK83" s="364" t="s">
        <v>140</v>
      </c>
      <c r="FFL83" s="365">
        <v>0.5</v>
      </c>
      <c r="FFM83" s="366" t="e">
        <f>10/FFI81</f>
        <v>#DIV/0!</v>
      </c>
      <c r="FFN83" s="367">
        <v>15.38</v>
      </c>
      <c r="FFO83" s="367" t="e">
        <f>FFL83*FFM83*FFN83</f>
        <v>#DIV/0!</v>
      </c>
      <c r="FFP83" s="363" t="s">
        <v>153</v>
      </c>
      <c r="FFQ83" s="363"/>
      <c r="FFR83" s="363"/>
      <c r="FFS83" s="364" t="s">
        <v>140</v>
      </c>
      <c r="FFT83" s="365">
        <v>0.5</v>
      </c>
      <c r="FFU83" s="366" t="e">
        <f>10/FFQ81</f>
        <v>#DIV/0!</v>
      </c>
      <c r="FFV83" s="367">
        <v>15.38</v>
      </c>
      <c r="FFW83" s="367" t="e">
        <f>FFT83*FFU83*FFV83</f>
        <v>#DIV/0!</v>
      </c>
      <c r="FFX83" s="363" t="s">
        <v>153</v>
      </c>
      <c r="FFY83" s="363"/>
      <c r="FFZ83" s="363"/>
      <c r="FGA83" s="364" t="s">
        <v>140</v>
      </c>
      <c r="FGB83" s="365">
        <v>0.5</v>
      </c>
      <c r="FGC83" s="366" t="e">
        <f>10/FFY81</f>
        <v>#DIV/0!</v>
      </c>
      <c r="FGD83" s="367">
        <v>15.38</v>
      </c>
      <c r="FGE83" s="367" t="e">
        <f>FGB83*FGC83*FGD83</f>
        <v>#DIV/0!</v>
      </c>
      <c r="FGF83" s="363" t="s">
        <v>153</v>
      </c>
      <c r="FGG83" s="363"/>
      <c r="FGH83" s="363"/>
      <c r="FGI83" s="364" t="s">
        <v>140</v>
      </c>
      <c r="FGJ83" s="365">
        <v>0.5</v>
      </c>
      <c r="FGK83" s="366" t="e">
        <f>10/FGG81</f>
        <v>#DIV/0!</v>
      </c>
      <c r="FGL83" s="367">
        <v>15.38</v>
      </c>
      <c r="FGM83" s="367" t="e">
        <f>FGJ83*FGK83*FGL83</f>
        <v>#DIV/0!</v>
      </c>
      <c r="FGN83" s="363" t="s">
        <v>153</v>
      </c>
      <c r="FGO83" s="363"/>
      <c r="FGP83" s="363"/>
      <c r="FGQ83" s="364" t="s">
        <v>140</v>
      </c>
      <c r="FGR83" s="365">
        <v>0.5</v>
      </c>
      <c r="FGS83" s="366" t="e">
        <f>10/FGO81</f>
        <v>#DIV/0!</v>
      </c>
      <c r="FGT83" s="367">
        <v>15.38</v>
      </c>
      <c r="FGU83" s="367" t="e">
        <f>FGR83*FGS83*FGT83</f>
        <v>#DIV/0!</v>
      </c>
      <c r="FGV83" s="363" t="s">
        <v>153</v>
      </c>
      <c r="FGW83" s="363"/>
      <c r="FGX83" s="363"/>
      <c r="FGY83" s="364" t="s">
        <v>140</v>
      </c>
      <c r="FGZ83" s="365">
        <v>0.5</v>
      </c>
      <c r="FHA83" s="366" t="e">
        <f>10/FGW81</f>
        <v>#DIV/0!</v>
      </c>
      <c r="FHB83" s="367">
        <v>15.38</v>
      </c>
      <c r="FHC83" s="367" t="e">
        <f>FGZ83*FHA83*FHB83</f>
        <v>#DIV/0!</v>
      </c>
      <c r="FHD83" s="363" t="s">
        <v>153</v>
      </c>
      <c r="FHE83" s="363"/>
      <c r="FHF83" s="363"/>
      <c r="FHG83" s="364" t="s">
        <v>140</v>
      </c>
      <c r="FHH83" s="365">
        <v>0.5</v>
      </c>
      <c r="FHI83" s="366" t="e">
        <f>10/FHE81</f>
        <v>#DIV/0!</v>
      </c>
      <c r="FHJ83" s="367">
        <v>15.38</v>
      </c>
      <c r="FHK83" s="367" t="e">
        <f>FHH83*FHI83*FHJ83</f>
        <v>#DIV/0!</v>
      </c>
      <c r="FHL83" s="363" t="s">
        <v>153</v>
      </c>
      <c r="FHM83" s="363"/>
      <c r="FHN83" s="363"/>
      <c r="FHO83" s="364" t="s">
        <v>140</v>
      </c>
      <c r="FHP83" s="365">
        <v>0.5</v>
      </c>
      <c r="FHQ83" s="366" t="e">
        <f>10/FHM81</f>
        <v>#DIV/0!</v>
      </c>
      <c r="FHR83" s="367">
        <v>15.38</v>
      </c>
      <c r="FHS83" s="367" t="e">
        <f>FHP83*FHQ83*FHR83</f>
        <v>#DIV/0!</v>
      </c>
      <c r="FHT83" s="363" t="s">
        <v>153</v>
      </c>
      <c r="FHU83" s="363"/>
      <c r="FHV83" s="363"/>
      <c r="FHW83" s="364" t="s">
        <v>140</v>
      </c>
      <c r="FHX83" s="365">
        <v>0.5</v>
      </c>
      <c r="FHY83" s="366" t="e">
        <f>10/FHU81</f>
        <v>#DIV/0!</v>
      </c>
      <c r="FHZ83" s="367">
        <v>15.38</v>
      </c>
      <c r="FIA83" s="367" t="e">
        <f>FHX83*FHY83*FHZ83</f>
        <v>#DIV/0!</v>
      </c>
      <c r="FIB83" s="363" t="s">
        <v>153</v>
      </c>
      <c r="FIC83" s="363"/>
      <c r="FID83" s="363"/>
      <c r="FIE83" s="364" t="s">
        <v>140</v>
      </c>
      <c r="FIF83" s="365">
        <v>0.5</v>
      </c>
      <c r="FIG83" s="366" t="e">
        <f>10/FIC81</f>
        <v>#DIV/0!</v>
      </c>
      <c r="FIH83" s="367">
        <v>15.38</v>
      </c>
      <c r="FII83" s="367" t="e">
        <f>FIF83*FIG83*FIH83</f>
        <v>#DIV/0!</v>
      </c>
      <c r="FIJ83" s="363" t="s">
        <v>153</v>
      </c>
      <c r="FIK83" s="363"/>
      <c r="FIL83" s="363"/>
      <c r="FIM83" s="364" t="s">
        <v>140</v>
      </c>
      <c r="FIN83" s="365">
        <v>0.5</v>
      </c>
      <c r="FIO83" s="366" t="e">
        <f>10/FIK81</f>
        <v>#DIV/0!</v>
      </c>
      <c r="FIP83" s="367">
        <v>15.38</v>
      </c>
      <c r="FIQ83" s="367" t="e">
        <f>FIN83*FIO83*FIP83</f>
        <v>#DIV/0!</v>
      </c>
      <c r="FIR83" s="363" t="s">
        <v>153</v>
      </c>
      <c r="FIS83" s="363"/>
      <c r="FIT83" s="363"/>
      <c r="FIU83" s="364" t="s">
        <v>140</v>
      </c>
      <c r="FIV83" s="365">
        <v>0.5</v>
      </c>
      <c r="FIW83" s="366" t="e">
        <f>10/FIS81</f>
        <v>#DIV/0!</v>
      </c>
      <c r="FIX83" s="367">
        <v>15.38</v>
      </c>
      <c r="FIY83" s="367" t="e">
        <f>FIV83*FIW83*FIX83</f>
        <v>#DIV/0!</v>
      </c>
      <c r="FIZ83" s="363" t="s">
        <v>153</v>
      </c>
      <c r="FJA83" s="363"/>
      <c r="FJB83" s="363"/>
      <c r="FJC83" s="364" t="s">
        <v>140</v>
      </c>
      <c r="FJD83" s="365">
        <v>0.5</v>
      </c>
      <c r="FJE83" s="366" t="e">
        <f>10/FJA81</f>
        <v>#DIV/0!</v>
      </c>
      <c r="FJF83" s="367">
        <v>15.38</v>
      </c>
      <c r="FJG83" s="367" t="e">
        <f>FJD83*FJE83*FJF83</f>
        <v>#DIV/0!</v>
      </c>
      <c r="FJH83" s="363" t="s">
        <v>153</v>
      </c>
      <c r="FJI83" s="363"/>
      <c r="FJJ83" s="363"/>
      <c r="FJK83" s="364" t="s">
        <v>140</v>
      </c>
      <c r="FJL83" s="365">
        <v>0.5</v>
      </c>
      <c r="FJM83" s="366" t="e">
        <f>10/FJI81</f>
        <v>#DIV/0!</v>
      </c>
      <c r="FJN83" s="367">
        <v>15.38</v>
      </c>
      <c r="FJO83" s="367" t="e">
        <f>FJL83*FJM83*FJN83</f>
        <v>#DIV/0!</v>
      </c>
      <c r="FJP83" s="363" t="s">
        <v>153</v>
      </c>
      <c r="FJQ83" s="363"/>
      <c r="FJR83" s="363"/>
      <c r="FJS83" s="364" t="s">
        <v>140</v>
      </c>
      <c r="FJT83" s="365">
        <v>0.5</v>
      </c>
      <c r="FJU83" s="366" t="e">
        <f>10/FJQ81</f>
        <v>#DIV/0!</v>
      </c>
      <c r="FJV83" s="367">
        <v>15.38</v>
      </c>
      <c r="FJW83" s="367" t="e">
        <f>FJT83*FJU83*FJV83</f>
        <v>#DIV/0!</v>
      </c>
      <c r="FJX83" s="363" t="s">
        <v>153</v>
      </c>
      <c r="FJY83" s="363"/>
      <c r="FJZ83" s="363"/>
      <c r="FKA83" s="364" t="s">
        <v>140</v>
      </c>
      <c r="FKB83" s="365">
        <v>0.5</v>
      </c>
      <c r="FKC83" s="366" t="e">
        <f>10/FJY81</f>
        <v>#DIV/0!</v>
      </c>
      <c r="FKD83" s="367">
        <v>15.38</v>
      </c>
      <c r="FKE83" s="367" t="e">
        <f>FKB83*FKC83*FKD83</f>
        <v>#DIV/0!</v>
      </c>
      <c r="FKF83" s="363" t="s">
        <v>153</v>
      </c>
      <c r="FKG83" s="363"/>
      <c r="FKH83" s="363"/>
      <c r="FKI83" s="364" t="s">
        <v>140</v>
      </c>
      <c r="FKJ83" s="365">
        <v>0.5</v>
      </c>
      <c r="FKK83" s="366" t="e">
        <f>10/FKG81</f>
        <v>#DIV/0!</v>
      </c>
      <c r="FKL83" s="367">
        <v>15.38</v>
      </c>
      <c r="FKM83" s="367" t="e">
        <f>FKJ83*FKK83*FKL83</f>
        <v>#DIV/0!</v>
      </c>
      <c r="FKN83" s="363" t="s">
        <v>153</v>
      </c>
      <c r="FKO83" s="363"/>
      <c r="FKP83" s="363"/>
      <c r="FKQ83" s="364" t="s">
        <v>140</v>
      </c>
      <c r="FKR83" s="365">
        <v>0.5</v>
      </c>
      <c r="FKS83" s="366" t="e">
        <f>10/FKO81</f>
        <v>#DIV/0!</v>
      </c>
      <c r="FKT83" s="367">
        <v>15.38</v>
      </c>
      <c r="FKU83" s="367" t="e">
        <f>FKR83*FKS83*FKT83</f>
        <v>#DIV/0!</v>
      </c>
      <c r="FKV83" s="363" t="s">
        <v>153</v>
      </c>
      <c r="FKW83" s="363"/>
      <c r="FKX83" s="363"/>
      <c r="FKY83" s="364" t="s">
        <v>140</v>
      </c>
      <c r="FKZ83" s="365">
        <v>0.5</v>
      </c>
      <c r="FLA83" s="366" t="e">
        <f>10/FKW81</f>
        <v>#DIV/0!</v>
      </c>
      <c r="FLB83" s="367">
        <v>15.38</v>
      </c>
      <c r="FLC83" s="367" t="e">
        <f>FKZ83*FLA83*FLB83</f>
        <v>#DIV/0!</v>
      </c>
      <c r="FLD83" s="363" t="s">
        <v>153</v>
      </c>
      <c r="FLE83" s="363"/>
      <c r="FLF83" s="363"/>
      <c r="FLG83" s="364" t="s">
        <v>140</v>
      </c>
      <c r="FLH83" s="365">
        <v>0.5</v>
      </c>
      <c r="FLI83" s="366" t="e">
        <f>10/FLE81</f>
        <v>#DIV/0!</v>
      </c>
      <c r="FLJ83" s="367">
        <v>15.38</v>
      </c>
      <c r="FLK83" s="367" t="e">
        <f>FLH83*FLI83*FLJ83</f>
        <v>#DIV/0!</v>
      </c>
      <c r="FLL83" s="363" t="s">
        <v>153</v>
      </c>
      <c r="FLM83" s="363"/>
      <c r="FLN83" s="363"/>
      <c r="FLO83" s="364" t="s">
        <v>140</v>
      </c>
      <c r="FLP83" s="365">
        <v>0.5</v>
      </c>
      <c r="FLQ83" s="366" t="e">
        <f>10/FLM81</f>
        <v>#DIV/0!</v>
      </c>
      <c r="FLR83" s="367">
        <v>15.38</v>
      </c>
      <c r="FLS83" s="367" t="e">
        <f>FLP83*FLQ83*FLR83</f>
        <v>#DIV/0!</v>
      </c>
      <c r="FLT83" s="363" t="s">
        <v>153</v>
      </c>
      <c r="FLU83" s="363"/>
      <c r="FLV83" s="363"/>
      <c r="FLW83" s="364" t="s">
        <v>140</v>
      </c>
      <c r="FLX83" s="365">
        <v>0.5</v>
      </c>
      <c r="FLY83" s="366" t="e">
        <f>10/FLU81</f>
        <v>#DIV/0!</v>
      </c>
      <c r="FLZ83" s="367">
        <v>15.38</v>
      </c>
      <c r="FMA83" s="367" t="e">
        <f>FLX83*FLY83*FLZ83</f>
        <v>#DIV/0!</v>
      </c>
      <c r="FMB83" s="363" t="s">
        <v>153</v>
      </c>
      <c r="FMC83" s="363"/>
      <c r="FMD83" s="363"/>
      <c r="FME83" s="364" t="s">
        <v>140</v>
      </c>
      <c r="FMF83" s="365">
        <v>0.5</v>
      </c>
      <c r="FMG83" s="366" t="e">
        <f>10/FMC81</f>
        <v>#DIV/0!</v>
      </c>
      <c r="FMH83" s="367">
        <v>15.38</v>
      </c>
      <c r="FMI83" s="367" t="e">
        <f>FMF83*FMG83*FMH83</f>
        <v>#DIV/0!</v>
      </c>
      <c r="FMJ83" s="363" t="s">
        <v>153</v>
      </c>
      <c r="FMK83" s="363"/>
      <c r="FML83" s="363"/>
      <c r="FMM83" s="364" t="s">
        <v>140</v>
      </c>
      <c r="FMN83" s="365">
        <v>0.5</v>
      </c>
      <c r="FMO83" s="366" t="e">
        <f>10/FMK81</f>
        <v>#DIV/0!</v>
      </c>
      <c r="FMP83" s="367">
        <v>15.38</v>
      </c>
      <c r="FMQ83" s="367" t="e">
        <f>FMN83*FMO83*FMP83</f>
        <v>#DIV/0!</v>
      </c>
      <c r="FMR83" s="363" t="s">
        <v>153</v>
      </c>
      <c r="FMS83" s="363"/>
      <c r="FMT83" s="363"/>
      <c r="FMU83" s="364" t="s">
        <v>140</v>
      </c>
      <c r="FMV83" s="365">
        <v>0.5</v>
      </c>
      <c r="FMW83" s="366" t="e">
        <f>10/FMS81</f>
        <v>#DIV/0!</v>
      </c>
      <c r="FMX83" s="367">
        <v>15.38</v>
      </c>
      <c r="FMY83" s="367" t="e">
        <f>FMV83*FMW83*FMX83</f>
        <v>#DIV/0!</v>
      </c>
      <c r="FMZ83" s="363" t="s">
        <v>153</v>
      </c>
      <c r="FNA83" s="363"/>
      <c r="FNB83" s="363"/>
      <c r="FNC83" s="364" t="s">
        <v>140</v>
      </c>
      <c r="FND83" s="365">
        <v>0.5</v>
      </c>
      <c r="FNE83" s="366" t="e">
        <f>10/FNA81</f>
        <v>#DIV/0!</v>
      </c>
      <c r="FNF83" s="367">
        <v>15.38</v>
      </c>
      <c r="FNG83" s="367" t="e">
        <f>FND83*FNE83*FNF83</f>
        <v>#DIV/0!</v>
      </c>
      <c r="FNH83" s="363" t="s">
        <v>153</v>
      </c>
      <c r="FNI83" s="363"/>
      <c r="FNJ83" s="363"/>
      <c r="FNK83" s="364" t="s">
        <v>140</v>
      </c>
      <c r="FNL83" s="365">
        <v>0.5</v>
      </c>
      <c r="FNM83" s="366" t="e">
        <f>10/FNI81</f>
        <v>#DIV/0!</v>
      </c>
      <c r="FNN83" s="367">
        <v>15.38</v>
      </c>
      <c r="FNO83" s="367" t="e">
        <f>FNL83*FNM83*FNN83</f>
        <v>#DIV/0!</v>
      </c>
      <c r="FNP83" s="363" t="s">
        <v>153</v>
      </c>
      <c r="FNQ83" s="363"/>
      <c r="FNR83" s="363"/>
      <c r="FNS83" s="364" t="s">
        <v>140</v>
      </c>
      <c r="FNT83" s="365">
        <v>0.5</v>
      </c>
      <c r="FNU83" s="366" t="e">
        <f>10/FNQ81</f>
        <v>#DIV/0!</v>
      </c>
      <c r="FNV83" s="367">
        <v>15.38</v>
      </c>
      <c r="FNW83" s="367" t="e">
        <f>FNT83*FNU83*FNV83</f>
        <v>#DIV/0!</v>
      </c>
      <c r="FNX83" s="363" t="s">
        <v>153</v>
      </c>
      <c r="FNY83" s="363"/>
      <c r="FNZ83" s="363"/>
      <c r="FOA83" s="364" t="s">
        <v>140</v>
      </c>
      <c r="FOB83" s="365">
        <v>0.5</v>
      </c>
      <c r="FOC83" s="366" t="e">
        <f>10/FNY81</f>
        <v>#DIV/0!</v>
      </c>
      <c r="FOD83" s="367">
        <v>15.38</v>
      </c>
      <c r="FOE83" s="367" t="e">
        <f>FOB83*FOC83*FOD83</f>
        <v>#DIV/0!</v>
      </c>
      <c r="FOF83" s="363" t="s">
        <v>153</v>
      </c>
      <c r="FOG83" s="363"/>
      <c r="FOH83" s="363"/>
      <c r="FOI83" s="364" t="s">
        <v>140</v>
      </c>
      <c r="FOJ83" s="365">
        <v>0.5</v>
      </c>
      <c r="FOK83" s="366" t="e">
        <f>10/FOG81</f>
        <v>#DIV/0!</v>
      </c>
      <c r="FOL83" s="367">
        <v>15.38</v>
      </c>
      <c r="FOM83" s="367" t="e">
        <f>FOJ83*FOK83*FOL83</f>
        <v>#DIV/0!</v>
      </c>
      <c r="FON83" s="363" t="s">
        <v>153</v>
      </c>
      <c r="FOO83" s="363"/>
      <c r="FOP83" s="363"/>
      <c r="FOQ83" s="364" t="s">
        <v>140</v>
      </c>
      <c r="FOR83" s="365">
        <v>0.5</v>
      </c>
      <c r="FOS83" s="366" t="e">
        <f>10/FOO81</f>
        <v>#DIV/0!</v>
      </c>
      <c r="FOT83" s="367">
        <v>15.38</v>
      </c>
      <c r="FOU83" s="367" t="e">
        <f>FOR83*FOS83*FOT83</f>
        <v>#DIV/0!</v>
      </c>
      <c r="FOV83" s="363" t="s">
        <v>153</v>
      </c>
      <c r="FOW83" s="363"/>
      <c r="FOX83" s="363"/>
      <c r="FOY83" s="364" t="s">
        <v>140</v>
      </c>
      <c r="FOZ83" s="365">
        <v>0.5</v>
      </c>
      <c r="FPA83" s="366" t="e">
        <f>10/FOW81</f>
        <v>#DIV/0!</v>
      </c>
      <c r="FPB83" s="367">
        <v>15.38</v>
      </c>
      <c r="FPC83" s="367" t="e">
        <f>FOZ83*FPA83*FPB83</f>
        <v>#DIV/0!</v>
      </c>
      <c r="FPD83" s="363" t="s">
        <v>153</v>
      </c>
      <c r="FPE83" s="363"/>
      <c r="FPF83" s="363"/>
      <c r="FPG83" s="364" t="s">
        <v>140</v>
      </c>
      <c r="FPH83" s="365">
        <v>0.5</v>
      </c>
      <c r="FPI83" s="366" t="e">
        <f>10/FPE81</f>
        <v>#DIV/0!</v>
      </c>
      <c r="FPJ83" s="367">
        <v>15.38</v>
      </c>
      <c r="FPK83" s="367" t="e">
        <f>FPH83*FPI83*FPJ83</f>
        <v>#DIV/0!</v>
      </c>
      <c r="FPL83" s="363" t="s">
        <v>153</v>
      </c>
      <c r="FPM83" s="363"/>
      <c r="FPN83" s="363"/>
      <c r="FPO83" s="364" t="s">
        <v>140</v>
      </c>
      <c r="FPP83" s="365">
        <v>0.5</v>
      </c>
      <c r="FPQ83" s="366" t="e">
        <f>10/FPM81</f>
        <v>#DIV/0!</v>
      </c>
      <c r="FPR83" s="367">
        <v>15.38</v>
      </c>
      <c r="FPS83" s="367" t="e">
        <f>FPP83*FPQ83*FPR83</f>
        <v>#DIV/0!</v>
      </c>
      <c r="FPT83" s="363" t="s">
        <v>153</v>
      </c>
      <c r="FPU83" s="363"/>
      <c r="FPV83" s="363"/>
      <c r="FPW83" s="364" t="s">
        <v>140</v>
      </c>
      <c r="FPX83" s="365">
        <v>0.5</v>
      </c>
      <c r="FPY83" s="366" t="e">
        <f>10/FPU81</f>
        <v>#DIV/0!</v>
      </c>
      <c r="FPZ83" s="367">
        <v>15.38</v>
      </c>
      <c r="FQA83" s="367" t="e">
        <f>FPX83*FPY83*FPZ83</f>
        <v>#DIV/0!</v>
      </c>
      <c r="FQB83" s="363" t="s">
        <v>153</v>
      </c>
      <c r="FQC83" s="363"/>
      <c r="FQD83" s="363"/>
      <c r="FQE83" s="364" t="s">
        <v>140</v>
      </c>
      <c r="FQF83" s="365">
        <v>0.5</v>
      </c>
      <c r="FQG83" s="366" t="e">
        <f>10/FQC81</f>
        <v>#DIV/0!</v>
      </c>
      <c r="FQH83" s="367">
        <v>15.38</v>
      </c>
      <c r="FQI83" s="367" t="e">
        <f>FQF83*FQG83*FQH83</f>
        <v>#DIV/0!</v>
      </c>
      <c r="FQJ83" s="363" t="s">
        <v>153</v>
      </c>
      <c r="FQK83" s="363"/>
      <c r="FQL83" s="363"/>
      <c r="FQM83" s="364" t="s">
        <v>140</v>
      </c>
      <c r="FQN83" s="365">
        <v>0.5</v>
      </c>
      <c r="FQO83" s="366" t="e">
        <f>10/FQK81</f>
        <v>#DIV/0!</v>
      </c>
      <c r="FQP83" s="367">
        <v>15.38</v>
      </c>
      <c r="FQQ83" s="367" t="e">
        <f>FQN83*FQO83*FQP83</f>
        <v>#DIV/0!</v>
      </c>
      <c r="FQR83" s="363" t="s">
        <v>153</v>
      </c>
      <c r="FQS83" s="363"/>
      <c r="FQT83" s="363"/>
      <c r="FQU83" s="364" t="s">
        <v>140</v>
      </c>
      <c r="FQV83" s="365">
        <v>0.5</v>
      </c>
      <c r="FQW83" s="366" t="e">
        <f>10/FQS81</f>
        <v>#DIV/0!</v>
      </c>
      <c r="FQX83" s="367">
        <v>15.38</v>
      </c>
      <c r="FQY83" s="367" t="e">
        <f>FQV83*FQW83*FQX83</f>
        <v>#DIV/0!</v>
      </c>
      <c r="FQZ83" s="363" t="s">
        <v>153</v>
      </c>
      <c r="FRA83" s="363"/>
      <c r="FRB83" s="363"/>
      <c r="FRC83" s="364" t="s">
        <v>140</v>
      </c>
      <c r="FRD83" s="365">
        <v>0.5</v>
      </c>
      <c r="FRE83" s="366" t="e">
        <f>10/FRA81</f>
        <v>#DIV/0!</v>
      </c>
      <c r="FRF83" s="367">
        <v>15.38</v>
      </c>
      <c r="FRG83" s="367" t="e">
        <f>FRD83*FRE83*FRF83</f>
        <v>#DIV/0!</v>
      </c>
      <c r="FRH83" s="363" t="s">
        <v>153</v>
      </c>
      <c r="FRI83" s="363"/>
      <c r="FRJ83" s="363"/>
      <c r="FRK83" s="364" t="s">
        <v>140</v>
      </c>
      <c r="FRL83" s="365">
        <v>0.5</v>
      </c>
      <c r="FRM83" s="366" t="e">
        <f>10/FRI81</f>
        <v>#DIV/0!</v>
      </c>
      <c r="FRN83" s="367">
        <v>15.38</v>
      </c>
      <c r="FRO83" s="367" t="e">
        <f>FRL83*FRM83*FRN83</f>
        <v>#DIV/0!</v>
      </c>
      <c r="FRP83" s="363" t="s">
        <v>153</v>
      </c>
      <c r="FRQ83" s="363"/>
      <c r="FRR83" s="363"/>
      <c r="FRS83" s="364" t="s">
        <v>140</v>
      </c>
      <c r="FRT83" s="365">
        <v>0.5</v>
      </c>
      <c r="FRU83" s="366" t="e">
        <f>10/FRQ81</f>
        <v>#DIV/0!</v>
      </c>
      <c r="FRV83" s="367">
        <v>15.38</v>
      </c>
      <c r="FRW83" s="367" t="e">
        <f>FRT83*FRU83*FRV83</f>
        <v>#DIV/0!</v>
      </c>
      <c r="FRX83" s="363" t="s">
        <v>153</v>
      </c>
      <c r="FRY83" s="363"/>
      <c r="FRZ83" s="363"/>
      <c r="FSA83" s="364" t="s">
        <v>140</v>
      </c>
      <c r="FSB83" s="365">
        <v>0.5</v>
      </c>
      <c r="FSC83" s="366" t="e">
        <f>10/FRY81</f>
        <v>#DIV/0!</v>
      </c>
      <c r="FSD83" s="367">
        <v>15.38</v>
      </c>
      <c r="FSE83" s="367" t="e">
        <f>FSB83*FSC83*FSD83</f>
        <v>#DIV/0!</v>
      </c>
      <c r="FSF83" s="363" t="s">
        <v>153</v>
      </c>
      <c r="FSG83" s="363"/>
      <c r="FSH83" s="363"/>
      <c r="FSI83" s="364" t="s">
        <v>140</v>
      </c>
      <c r="FSJ83" s="365">
        <v>0.5</v>
      </c>
      <c r="FSK83" s="366" t="e">
        <f>10/FSG81</f>
        <v>#DIV/0!</v>
      </c>
      <c r="FSL83" s="367">
        <v>15.38</v>
      </c>
      <c r="FSM83" s="367" t="e">
        <f>FSJ83*FSK83*FSL83</f>
        <v>#DIV/0!</v>
      </c>
      <c r="FSN83" s="363" t="s">
        <v>153</v>
      </c>
      <c r="FSO83" s="363"/>
      <c r="FSP83" s="363"/>
      <c r="FSQ83" s="364" t="s">
        <v>140</v>
      </c>
      <c r="FSR83" s="365">
        <v>0.5</v>
      </c>
      <c r="FSS83" s="366" t="e">
        <f>10/FSO81</f>
        <v>#DIV/0!</v>
      </c>
      <c r="FST83" s="367">
        <v>15.38</v>
      </c>
      <c r="FSU83" s="367" t="e">
        <f>FSR83*FSS83*FST83</f>
        <v>#DIV/0!</v>
      </c>
      <c r="FSV83" s="363" t="s">
        <v>153</v>
      </c>
      <c r="FSW83" s="363"/>
      <c r="FSX83" s="363"/>
      <c r="FSY83" s="364" t="s">
        <v>140</v>
      </c>
      <c r="FSZ83" s="365">
        <v>0.5</v>
      </c>
      <c r="FTA83" s="366" t="e">
        <f>10/FSW81</f>
        <v>#DIV/0!</v>
      </c>
      <c r="FTB83" s="367">
        <v>15.38</v>
      </c>
      <c r="FTC83" s="367" t="e">
        <f>FSZ83*FTA83*FTB83</f>
        <v>#DIV/0!</v>
      </c>
      <c r="FTD83" s="363" t="s">
        <v>153</v>
      </c>
      <c r="FTE83" s="363"/>
      <c r="FTF83" s="363"/>
      <c r="FTG83" s="364" t="s">
        <v>140</v>
      </c>
      <c r="FTH83" s="365">
        <v>0.5</v>
      </c>
      <c r="FTI83" s="366" t="e">
        <f>10/FTE81</f>
        <v>#DIV/0!</v>
      </c>
      <c r="FTJ83" s="367">
        <v>15.38</v>
      </c>
      <c r="FTK83" s="367" t="e">
        <f>FTH83*FTI83*FTJ83</f>
        <v>#DIV/0!</v>
      </c>
      <c r="FTL83" s="363" t="s">
        <v>153</v>
      </c>
      <c r="FTM83" s="363"/>
      <c r="FTN83" s="363"/>
      <c r="FTO83" s="364" t="s">
        <v>140</v>
      </c>
      <c r="FTP83" s="365">
        <v>0.5</v>
      </c>
      <c r="FTQ83" s="366" t="e">
        <f>10/FTM81</f>
        <v>#DIV/0!</v>
      </c>
      <c r="FTR83" s="367">
        <v>15.38</v>
      </c>
      <c r="FTS83" s="367" t="e">
        <f>FTP83*FTQ83*FTR83</f>
        <v>#DIV/0!</v>
      </c>
      <c r="FTT83" s="363" t="s">
        <v>153</v>
      </c>
      <c r="FTU83" s="363"/>
      <c r="FTV83" s="363"/>
      <c r="FTW83" s="364" t="s">
        <v>140</v>
      </c>
      <c r="FTX83" s="365">
        <v>0.5</v>
      </c>
      <c r="FTY83" s="366" t="e">
        <f>10/FTU81</f>
        <v>#DIV/0!</v>
      </c>
      <c r="FTZ83" s="367">
        <v>15.38</v>
      </c>
      <c r="FUA83" s="367" t="e">
        <f>FTX83*FTY83*FTZ83</f>
        <v>#DIV/0!</v>
      </c>
      <c r="FUB83" s="363" t="s">
        <v>153</v>
      </c>
      <c r="FUC83" s="363"/>
      <c r="FUD83" s="363"/>
      <c r="FUE83" s="364" t="s">
        <v>140</v>
      </c>
      <c r="FUF83" s="365">
        <v>0.5</v>
      </c>
      <c r="FUG83" s="366" t="e">
        <f>10/FUC81</f>
        <v>#DIV/0!</v>
      </c>
      <c r="FUH83" s="367">
        <v>15.38</v>
      </c>
      <c r="FUI83" s="367" t="e">
        <f>FUF83*FUG83*FUH83</f>
        <v>#DIV/0!</v>
      </c>
      <c r="FUJ83" s="363" t="s">
        <v>153</v>
      </c>
      <c r="FUK83" s="363"/>
      <c r="FUL83" s="363"/>
      <c r="FUM83" s="364" t="s">
        <v>140</v>
      </c>
      <c r="FUN83" s="365">
        <v>0.5</v>
      </c>
      <c r="FUO83" s="366" t="e">
        <f>10/FUK81</f>
        <v>#DIV/0!</v>
      </c>
      <c r="FUP83" s="367">
        <v>15.38</v>
      </c>
      <c r="FUQ83" s="367" t="e">
        <f>FUN83*FUO83*FUP83</f>
        <v>#DIV/0!</v>
      </c>
      <c r="FUR83" s="363" t="s">
        <v>153</v>
      </c>
      <c r="FUS83" s="363"/>
      <c r="FUT83" s="363"/>
      <c r="FUU83" s="364" t="s">
        <v>140</v>
      </c>
      <c r="FUV83" s="365">
        <v>0.5</v>
      </c>
      <c r="FUW83" s="366" t="e">
        <f>10/FUS81</f>
        <v>#DIV/0!</v>
      </c>
      <c r="FUX83" s="367">
        <v>15.38</v>
      </c>
      <c r="FUY83" s="367" t="e">
        <f>FUV83*FUW83*FUX83</f>
        <v>#DIV/0!</v>
      </c>
      <c r="FUZ83" s="363" t="s">
        <v>153</v>
      </c>
      <c r="FVA83" s="363"/>
      <c r="FVB83" s="363"/>
      <c r="FVC83" s="364" t="s">
        <v>140</v>
      </c>
      <c r="FVD83" s="365">
        <v>0.5</v>
      </c>
      <c r="FVE83" s="366" t="e">
        <f>10/FVA81</f>
        <v>#DIV/0!</v>
      </c>
      <c r="FVF83" s="367">
        <v>15.38</v>
      </c>
      <c r="FVG83" s="367" t="e">
        <f>FVD83*FVE83*FVF83</f>
        <v>#DIV/0!</v>
      </c>
      <c r="FVH83" s="363" t="s">
        <v>153</v>
      </c>
      <c r="FVI83" s="363"/>
      <c r="FVJ83" s="363"/>
      <c r="FVK83" s="364" t="s">
        <v>140</v>
      </c>
      <c r="FVL83" s="365">
        <v>0.5</v>
      </c>
      <c r="FVM83" s="366" t="e">
        <f>10/FVI81</f>
        <v>#DIV/0!</v>
      </c>
      <c r="FVN83" s="367">
        <v>15.38</v>
      </c>
      <c r="FVO83" s="367" t="e">
        <f>FVL83*FVM83*FVN83</f>
        <v>#DIV/0!</v>
      </c>
      <c r="FVP83" s="363" t="s">
        <v>153</v>
      </c>
      <c r="FVQ83" s="363"/>
      <c r="FVR83" s="363"/>
      <c r="FVS83" s="364" t="s">
        <v>140</v>
      </c>
      <c r="FVT83" s="365">
        <v>0.5</v>
      </c>
      <c r="FVU83" s="366" t="e">
        <f>10/FVQ81</f>
        <v>#DIV/0!</v>
      </c>
      <c r="FVV83" s="367">
        <v>15.38</v>
      </c>
      <c r="FVW83" s="367" t="e">
        <f>FVT83*FVU83*FVV83</f>
        <v>#DIV/0!</v>
      </c>
      <c r="FVX83" s="363" t="s">
        <v>153</v>
      </c>
      <c r="FVY83" s="363"/>
      <c r="FVZ83" s="363"/>
      <c r="FWA83" s="364" t="s">
        <v>140</v>
      </c>
      <c r="FWB83" s="365">
        <v>0.5</v>
      </c>
      <c r="FWC83" s="366" t="e">
        <f>10/FVY81</f>
        <v>#DIV/0!</v>
      </c>
      <c r="FWD83" s="367">
        <v>15.38</v>
      </c>
      <c r="FWE83" s="367" t="e">
        <f>FWB83*FWC83*FWD83</f>
        <v>#DIV/0!</v>
      </c>
      <c r="FWF83" s="363" t="s">
        <v>153</v>
      </c>
      <c r="FWG83" s="363"/>
      <c r="FWH83" s="363"/>
      <c r="FWI83" s="364" t="s">
        <v>140</v>
      </c>
      <c r="FWJ83" s="365">
        <v>0.5</v>
      </c>
      <c r="FWK83" s="366" t="e">
        <f>10/FWG81</f>
        <v>#DIV/0!</v>
      </c>
      <c r="FWL83" s="367">
        <v>15.38</v>
      </c>
      <c r="FWM83" s="367" t="e">
        <f>FWJ83*FWK83*FWL83</f>
        <v>#DIV/0!</v>
      </c>
      <c r="FWN83" s="363" t="s">
        <v>153</v>
      </c>
      <c r="FWO83" s="363"/>
      <c r="FWP83" s="363"/>
      <c r="FWQ83" s="364" t="s">
        <v>140</v>
      </c>
      <c r="FWR83" s="365">
        <v>0.5</v>
      </c>
      <c r="FWS83" s="366" t="e">
        <f>10/FWO81</f>
        <v>#DIV/0!</v>
      </c>
      <c r="FWT83" s="367">
        <v>15.38</v>
      </c>
      <c r="FWU83" s="367" t="e">
        <f>FWR83*FWS83*FWT83</f>
        <v>#DIV/0!</v>
      </c>
      <c r="FWV83" s="363" t="s">
        <v>153</v>
      </c>
      <c r="FWW83" s="363"/>
      <c r="FWX83" s="363"/>
      <c r="FWY83" s="364" t="s">
        <v>140</v>
      </c>
      <c r="FWZ83" s="365">
        <v>0.5</v>
      </c>
      <c r="FXA83" s="366" t="e">
        <f>10/FWW81</f>
        <v>#DIV/0!</v>
      </c>
      <c r="FXB83" s="367">
        <v>15.38</v>
      </c>
      <c r="FXC83" s="367" t="e">
        <f>FWZ83*FXA83*FXB83</f>
        <v>#DIV/0!</v>
      </c>
      <c r="FXD83" s="363" t="s">
        <v>153</v>
      </c>
      <c r="FXE83" s="363"/>
      <c r="FXF83" s="363"/>
      <c r="FXG83" s="364" t="s">
        <v>140</v>
      </c>
      <c r="FXH83" s="365">
        <v>0.5</v>
      </c>
      <c r="FXI83" s="366" t="e">
        <f>10/FXE81</f>
        <v>#DIV/0!</v>
      </c>
      <c r="FXJ83" s="367">
        <v>15.38</v>
      </c>
      <c r="FXK83" s="367" t="e">
        <f>FXH83*FXI83*FXJ83</f>
        <v>#DIV/0!</v>
      </c>
      <c r="FXL83" s="363" t="s">
        <v>153</v>
      </c>
      <c r="FXM83" s="363"/>
      <c r="FXN83" s="363"/>
      <c r="FXO83" s="364" t="s">
        <v>140</v>
      </c>
      <c r="FXP83" s="365">
        <v>0.5</v>
      </c>
      <c r="FXQ83" s="366" t="e">
        <f>10/FXM81</f>
        <v>#DIV/0!</v>
      </c>
      <c r="FXR83" s="367">
        <v>15.38</v>
      </c>
      <c r="FXS83" s="367" t="e">
        <f>FXP83*FXQ83*FXR83</f>
        <v>#DIV/0!</v>
      </c>
      <c r="FXT83" s="363" t="s">
        <v>153</v>
      </c>
      <c r="FXU83" s="363"/>
      <c r="FXV83" s="363"/>
      <c r="FXW83" s="364" t="s">
        <v>140</v>
      </c>
      <c r="FXX83" s="365">
        <v>0.5</v>
      </c>
      <c r="FXY83" s="366" t="e">
        <f>10/FXU81</f>
        <v>#DIV/0!</v>
      </c>
      <c r="FXZ83" s="367">
        <v>15.38</v>
      </c>
      <c r="FYA83" s="367" t="e">
        <f>FXX83*FXY83*FXZ83</f>
        <v>#DIV/0!</v>
      </c>
      <c r="FYB83" s="363" t="s">
        <v>153</v>
      </c>
      <c r="FYC83" s="363"/>
      <c r="FYD83" s="363"/>
      <c r="FYE83" s="364" t="s">
        <v>140</v>
      </c>
      <c r="FYF83" s="365">
        <v>0.5</v>
      </c>
      <c r="FYG83" s="366" t="e">
        <f>10/FYC81</f>
        <v>#DIV/0!</v>
      </c>
      <c r="FYH83" s="367">
        <v>15.38</v>
      </c>
      <c r="FYI83" s="367" t="e">
        <f>FYF83*FYG83*FYH83</f>
        <v>#DIV/0!</v>
      </c>
      <c r="FYJ83" s="363" t="s">
        <v>153</v>
      </c>
      <c r="FYK83" s="363"/>
      <c r="FYL83" s="363"/>
      <c r="FYM83" s="364" t="s">
        <v>140</v>
      </c>
      <c r="FYN83" s="365">
        <v>0.5</v>
      </c>
      <c r="FYO83" s="366" t="e">
        <f>10/FYK81</f>
        <v>#DIV/0!</v>
      </c>
      <c r="FYP83" s="367">
        <v>15.38</v>
      </c>
      <c r="FYQ83" s="367" t="e">
        <f>FYN83*FYO83*FYP83</f>
        <v>#DIV/0!</v>
      </c>
      <c r="FYR83" s="363" t="s">
        <v>153</v>
      </c>
      <c r="FYS83" s="363"/>
      <c r="FYT83" s="363"/>
      <c r="FYU83" s="364" t="s">
        <v>140</v>
      </c>
      <c r="FYV83" s="365">
        <v>0.5</v>
      </c>
      <c r="FYW83" s="366" t="e">
        <f>10/FYS81</f>
        <v>#DIV/0!</v>
      </c>
      <c r="FYX83" s="367">
        <v>15.38</v>
      </c>
      <c r="FYY83" s="367" t="e">
        <f>FYV83*FYW83*FYX83</f>
        <v>#DIV/0!</v>
      </c>
      <c r="FYZ83" s="363" t="s">
        <v>153</v>
      </c>
      <c r="FZA83" s="363"/>
      <c r="FZB83" s="363"/>
      <c r="FZC83" s="364" t="s">
        <v>140</v>
      </c>
      <c r="FZD83" s="365">
        <v>0.5</v>
      </c>
      <c r="FZE83" s="366" t="e">
        <f>10/FZA81</f>
        <v>#DIV/0!</v>
      </c>
      <c r="FZF83" s="367">
        <v>15.38</v>
      </c>
      <c r="FZG83" s="367" t="e">
        <f>FZD83*FZE83*FZF83</f>
        <v>#DIV/0!</v>
      </c>
      <c r="FZH83" s="363" t="s">
        <v>153</v>
      </c>
      <c r="FZI83" s="363"/>
      <c r="FZJ83" s="363"/>
      <c r="FZK83" s="364" t="s">
        <v>140</v>
      </c>
      <c r="FZL83" s="365">
        <v>0.5</v>
      </c>
      <c r="FZM83" s="366" t="e">
        <f>10/FZI81</f>
        <v>#DIV/0!</v>
      </c>
      <c r="FZN83" s="367">
        <v>15.38</v>
      </c>
      <c r="FZO83" s="367" t="e">
        <f>FZL83*FZM83*FZN83</f>
        <v>#DIV/0!</v>
      </c>
      <c r="FZP83" s="363" t="s">
        <v>153</v>
      </c>
      <c r="FZQ83" s="363"/>
      <c r="FZR83" s="363"/>
      <c r="FZS83" s="364" t="s">
        <v>140</v>
      </c>
      <c r="FZT83" s="365">
        <v>0.5</v>
      </c>
      <c r="FZU83" s="366" t="e">
        <f>10/FZQ81</f>
        <v>#DIV/0!</v>
      </c>
      <c r="FZV83" s="367">
        <v>15.38</v>
      </c>
      <c r="FZW83" s="367" t="e">
        <f>FZT83*FZU83*FZV83</f>
        <v>#DIV/0!</v>
      </c>
      <c r="FZX83" s="363" t="s">
        <v>153</v>
      </c>
      <c r="FZY83" s="363"/>
      <c r="FZZ83" s="363"/>
      <c r="GAA83" s="364" t="s">
        <v>140</v>
      </c>
      <c r="GAB83" s="365">
        <v>0.5</v>
      </c>
      <c r="GAC83" s="366" t="e">
        <f>10/FZY81</f>
        <v>#DIV/0!</v>
      </c>
      <c r="GAD83" s="367">
        <v>15.38</v>
      </c>
      <c r="GAE83" s="367" t="e">
        <f>GAB83*GAC83*GAD83</f>
        <v>#DIV/0!</v>
      </c>
      <c r="GAF83" s="363" t="s">
        <v>153</v>
      </c>
      <c r="GAG83" s="363"/>
      <c r="GAH83" s="363"/>
      <c r="GAI83" s="364" t="s">
        <v>140</v>
      </c>
      <c r="GAJ83" s="365">
        <v>0.5</v>
      </c>
      <c r="GAK83" s="366" t="e">
        <f>10/GAG81</f>
        <v>#DIV/0!</v>
      </c>
      <c r="GAL83" s="367">
        <v>15.38</v>
      </c>
      <c r="GAM83" s="367" t="e">
        <f>GAJ83*GAK83*GAL83</f>
        <v>#DIV/0!</v>
      </c>
      <c r="GAN83" s="363" t="s">
        <v>153</v>
      </c>
      <c r="GAO83" s="363"/>
      <c r="GAP83" s="363"/>
      <c r="GAQ83" s="364" t="s">
        <v>140</v>
      </c>
      <c r="GAR83" s="365">
        <v>0.5</v>
      </c>
      <c r="GAS83" s="366" t="e">
        <f>10/GAO81</f>
        <v>#DIV/0!</v>
      </c>
      <c r="GAT83" s="367">
        <v>15.38</v>
      </c>
      <c r="GAU83" s="367" t="e">
        <f>GAR83*GAS83*GAT83</f>
        <v>#DIV/0!</v>
      </c>
      <c r="GAV83" s="363" t="s">
        <v>153</v>
      </c>
      <c r="GAW83" s="363"/>
      <c r="GAX83" s="363"/>
      <c r="GAY83" s="364" t="s">
        <v>140</v>
      </c>
      <c r="GAZ83" s="365">
        <v>0.5</v>
      </c>
      <c r="GBA83" s="366" t="e">
        <f>10/GAW81</f>
        <v>#DIV/0!</v>
      </c>
      <c r="GBB83" s="367">
        <v>15.38</v>
      </c>
      <c r="GBC83" s="367" t="e">
        <f>GAZ83*GBA83*GBB83</f>
        <v>#DIV/0!</v>
      </c>
      <c r="GBD83" s="363" t="s">
        <v>153</v>
      </c>
      <c r="GBE83" s="363"/>
      <c r="GBF83" s="363"/>
      <c r="GBG83" s="364" t="s">
        <v>140</v>
      </c>
      <c r="GBH83" s="365">
        <v>0.5</v>
      </c>
      <c r="GBI83" s="366" t="e">
        <f>10/GBE81</f>
        <v>#DIV/0!</v>
      </c>
      <c r="GBJ83" s="367">
        <v>15.38</v>
      </c>
      <c r="GBK83" s="367" t="e">
        <f>GBH83*GBI83*GBJ83</f>
        <v>#DIV/0!</v>
      </c>
      <c r="GBL83" s="363" t="s">
        <v>153</v>
      </c>
      <c r="GBM83" s="363"/>
      <c r="GBN83" s="363"/>
      <c r="GBO83" s="364" t="s">
        <v>140</v>
      </c>
      <c r="GBP83" s="365">
        <v>0.5</v>
      </c>
      <c r="GBQ83" s="366" t="e">
        <f>10/GBM81</f>
        <v>#DIV/0!</v>
      </c>
      <c r="GBR83" s="367">
        <v>15.38</v>
      </c>
      <c r="GBS83" s="367" t="e">
        <f>GBP83*GBQ83*GBR83</f>
        <v>#DIV/0!</v>
      </c>
      <c r="GBT83" s="363" t="s">
        <v>153</v>
      </c>
      <c r="GBU83" s="363"/>
      <c r="GBV83" s="363"/>
      <c r="GBW83" s="364" t="s">
        <v>140</v>
      </c>
      <c r="GBX83" s="365">
        <v>0.5</v>
      </c>
      <c r="GBY83" s="366" t="e">
        <f>10/GBU81</f>
        <v>#DIV/0!</v>
      </c>
      <c r="GBZ83" s="367">
        <v>15.38</v>
      </c>
      <c r="GCA83" s="367" t="e">
        <f>GBX83*GBY83*GBZ83</f>
        <v>#DIV/0!</v>
      </c>
      <c r="GCB83" s="363" t="s">
        <v>153</v>
      </c>
      <c r="GCC83" s="363"/>
      <c r="GCD83" s="363"/>
      <c r="GCE83" s="364" t="s">
        <v>140</v>
      </c>
      <c r="GCF83" s="365">
        <v>0.5</v>
      </c>
      <c r="GCG83" s="366" t="e">
        <f>10/GCC81</f>
        <v>#DIV/0!</v>
      </c>
      <c r="GCH83" s="367">
        <v>15.38</v>
      </c>
      <c r="GCI83" s="367" t="e">
        <f>GCF83*GCG83*GCH83</f>
        <v>#DIV/0!</v>
      </c>
      <c r="GCJ83" s="363" t="s">
        <v>153</v>
      </c>
      <c r="GCK83" s="363"/>
      <c r="GCL83" s="363"/>
      <c r="GCM83" s="364" t="s">
        <v>140</v>
      </c>
      <c r="GCN83" s="365">
        <v>0.5</v>
      </c>
      <c r="GCO83" s="366" t="e">
        <f>10/GCK81</f>
        <v>#DIV/0!</v>
      </c>
      <c r="GCP83" s="367">
        <v>15.38</v>
      </c>
      <c r="GCQ83" s="367" t="e">
        <f>GCN83*GCO83*GCP83</f>
        <v>#DIV/0!</v>
      </c>
      <c r="GCR83" s="363" t="s">
        <v>153</v>
      </c>
      <c r="GCS83" s="363"/>
      <c r="GCT83" s="363"/>
      <c r="GCU83" s="364" t="s">
        <v>140</v>
      </c>
      <c r="GCV83" s="365">
        <v>0.5</v>
      </c>
      <c r="GCW83" s="366" t="e">
        <f>10/GCS81</f>
        <v>#DIV/0!</v>
      </c>
      <c r="GCX83" s="367">
        <v>15.38</v>
      </c>
      <c r="GCY83" s="367" t="e">
        <f>GCV83*GCW83*GCX83</f>
        <v>#DIV/0!</v>
      </c>
      <c r="GCZ83" s="363" t="s">
        <v>153</v>
      </c>
      <c r="GDA83" s="363"/>
      <c r="GDB83" s="363"/>
      <c r="GDC83" s="364" t="s">
        <v>140</v>
      </c>
      <c r="GDD83" s="365">
        <v>0.5</v>
      </c>
      <c r="GDE83" s="366" t="e">
        <f>10/GDA81</f>
        <v>#DIV/0!</v>
      </c>
      <c r="GDF83" s="367">
        <v>15.38</v>
      </c>
      <c r="GDG83" s="367" t="e">
        <f>GDD83*GDE83*GDF83</f>
        <v>#DIV/0!</v>
      </c>
      <c r="GDH83" s="363" t="s">
        <v>153</v>
      </c>
      <c r="GDI83" s="363"/>
      <c r="GDJ83" s="363"/>
      <c r="GDK83" s="364" t="s">
        <v>140</v>
      </c>
      <c r="GDL83" s="365">
        <v>0.5</v>
      </c>
      <c r="GDM83" s="366" t="e">
        <f>10/GDI81</f>
        <v>#DIV/0!</v>
      </c>
      <c r="GDN83" s="367">
        <v>15.38</v>
      </c>
      <c r="GDO83" s="367" t="e">
        <f>GDL83*GDM83*GDN83</f>
        <v>#DIV/0!</v>
      </c>
      <c r="GDP83" s="363" t="s">
        <v>153</v>
      </c>
      <c r="GDQ83" s="363"/>
      <c r="GDR83" s="363"/>
      <c r="GDS83" s="364" t="s">
        <v>140</v>
      </c>
      <c r="GDT83" s="365">
        <v>0.5</v>
      </c>
      <c r="GDU83" s="366" t="e">
        <f>10/GDQ81</f>
        <v>#DIV/0!</v>
      </c>
      <c r="GDV83" s="367">
        <v>15.38</v>
      </c>
      <c r="GDW83" s="367" t="e">
        <f>GDT83*GDU83*GDV83</f>
        <v>#DIV/0!</v>
      </c>
      <c r="GDX83" s="363" t="s">
        <v>153</v>
      </c>
      <c r="GDY83" s="363"/>
      <c r="GDZ83" s="363"/>
      <c r="GEA83" s="364" t="s">
        <v>140</v>
      </c>
      <c r="GEB83" s="365">
        <v>0.5</v>
      </c>
      <c r="GEC83" s="366" t="e">
        <f>10/GDY81</f>
        <v>#DIV/0!</v>
      </c>
      <c r="GED83" s="367">
        <v>15.38</v>
      </c>
      <c r="GEE83" s="367" t="e">
        <f>GEB83*GEC83*GED83</f>
        <v>#DIV/0!</v>
      </c>
      <c r="GEF83" s="363" t="s">
        <v>153</v>
      </c>
      <c r="GEG83" s="363"/>
      <c r="GEH83" s="363"/>
      <c r="GEI83" s="364" t="s">
        <v>140</v>
      </c>
      <c r="GEJ83" s="365">
        <v>0.5</v>
      </c>
      <c r="GEK83" s="366" t="e">
        <f>10/GEG81</f>
        <v>#DIV/0!</v>
      </c>
      <c r="GEL83" s="367">
        <v>15.38</v>
      </c>
      <c r="GEM83" s="367" t="e">
        <f>GEJ83*GEK83*GEL83</f>
        <v>#DIV/0!</v>
      </c>
      <c r="GEN83" s="363" t="s">
        <v>153</v>
      </c>
      <c r="GEO83" s="363"/>
      <c r="GEP83" s="363"/>
      <c r="GEQ83" s="364" t="s">
        <v>140</v>
      </c>
      <c r="GER83" s="365">
        <v>0.5</v>
      </c>
      <c r="GES83" s="366" t="e">
        <f>10/GEO81</f>
        <v>#DIV/0!</v>
      </c>
      <c r="GET83" s="367">
        <v>15.38</v>
      </c>
      <c r="GEU83" s="367" t="e">
        <f>GER83*GES83*GET83</f>
        <v>#DIV/0!</v>
      </c>
      <c r="GEV83" s="363" t="s">
        <v>153</v>
      </c>
      <c r="GEW83" s="363"/>
      <c r="GEX83" s="363"/>
      <c r="GEY83" s="364" t="s">
        <v>140</v>
      </c>
      <c r="GEZ83" s="365">
        <v>0.5</v>
      </c>
      <c r="GFA83" s="366" t="e">
        <f>10/GEW81</f>
        <v>#DIV/0!</v>
      </c>
      <c r="GFB83" s="367">
        <v>15.38</v>
      </c>
      <c r="GFC83" s="367" t="e">
        <f>GEZ83*GFA83*GFB83</f>
        <v>#DIV/0!</v>
      </c>
      <c r="GFD83" s="363" t="s">
        <v>153</v>
      </c>
      <c r="GFE83" s="363"/>
      <c r="GFF83" s="363"/>
      <c r="GFG83" s="364" t="s">
        <v>140</v>
      </c>
      <c r="GFH83" s="365">
        <v>0.5</v>
      </c>
      <c r="GFI83" s="366" t="e">
        <f>10/GFE81</f>
        <v>#DIV/0!</v>
      </c>
      <c r="GFJ83" s="367">
        <v>15.38</v>
      </c>
      <c r="GFK83" s="367" t="e">
        <f>GFH83*GFI83*GFJ83</f>
        <v>#DIV/0!</v>
      </c>
      <c r="GFL83" s="363" t="s">
        <v>153</v>
      </c>
      <c r="GFM83" s="363"/>
      <c r="GFN83" s="363"/>
      <c r="GFO83" s="364" t="s">
        <v>140</v>
      </c>
      <c r="GFP83" s="365">
        <v>0.5</v>
      </c>
      <c r="GFQ83" s="366" t="e">
        <f>10/GFM81</f>
        <v>#DIV/0!</v>
      </c>
      <c r="GFR83" s="367">
        <v>15.38</v>
      </c>
      <c r="GFS83" s="367" t="e">
        <f>GFP83*GFQ83*GFR83</f>
        <v>#DIV/0!</v>
      </c>
      <c r="GFT83" s="363" t="s">
        <v>153</v>
      </c>
      <c r="GFU83" s="363"/>
      <c r="GFV83" s="363"/>
      <c r="GFW83" s="364" t="s">
        <v>140</v>
      </c>
      <c r="GFX83" s="365">
        <v>0.5</v>
      </c>
      <c r="GFY83" s="366" t="e">
        <f>10/GFU81</f>
        <v>#DIV/0!</v>
      </c>
      <c r="GFZ83" s="367">
        <v>15.38</v>
      </c>
      <c r="GGA83" s="367" t="e">
        <f>GFX83*GFY83*GFZ83</f>
        <v>#DIV/0!</v>
      </c>
      <c r="GGB83" s="363" t="s">
        <v>153</v>
      </c>
      <c r="GGC83" s="363"/>
      <c r="GGD83" s="363"/>
      <c r="GGE83" s="364" t="s">
        <v>140</v>
      </c>
      <c r="GGF83" s="365">
        <v>0.5</v>
      </c>
      <c r="GGG83" s="366" t="e">
        <f>10/GGC81</f>
        <v>#DIV/0!</v>
      </c>
      <c r="GGH83" s="367">
        <v>15.38</v>
      </c>
      <c r="GGI83" s="367" t="e">
        <f>GGF83*GGG83*GGH83</f>
        <v>#DIV/0!</v>
      </c>
      <c r="GGJ83" s="363" t="s">
        <v>153</v>
      </c>
      <c r="GGK83" s="363"/>
      <c r="GGL83" s="363"/>
      <c r="GGM83" s="364" t="s">
        <v>140</v>
      </c>
      <c r="GGN83" s="365">
        <v>0.5</v>
      </c>
      <c r="GGO83" s="366" t="e">
        <f>10/GGK81</f>
        <v>#DIV/0!</v>
      </c>
      <c r="GGP83" s="367">
        <v>15.38</v>
      </c>
      <c r="GGQ83" s="367" t="e">
        <f>GGN83*GGO83*GGP83</f>
        <v>#DIV/0!</v>
      </c>
      <c r="GGR83" s="363" t="s">
        <v>153</v>
      </c>
      <c r="GGS83" s="363"/>
      <c r="GGT83" s="363"/>
      <c r="GGU83" s="364" t="s">
        <v>140</v>
      </c>
      <c r="GGV83" s="365">
        <v>0.5</v>
      </c>
      <c r="GGW83" s="366" t="e">
        <f>10/GGS81</f>
        <v>#DIV/0!</v>
      </c>
      <c r="GGX83" s="367">
        <v>15.38</v>
      </c>
      <c r="GGY83" s="367" t="e">
        <f>GGV83*GGW83*GGX83</f>
        <v>#DIV/0!</v>
      </c>
      <c r="GGZ83" s="363" t="s">
        <v>153</v>
      </c>
      <c r="GHA83" s="363"/>
      <c r="GHB83" s="363"/>
      <c r="GHC83" s="364" t="s">
        <v>140</v>
      </c>
      <c r="GHD83" s="365">
        <v>0.5</v>
      </c>
      <c r="GHE83" s="366" t="e">
        <f>10/GHA81</f>
        <v>#DIV/0!</v>
      </c>
      <c r="GHF83" s="367">
        <v>15.38</v>
      </c>
      <c r="GHG83" s="367" t="e">
        <f>GHD83*GHE83*GHF83</f>
        <v>#DIV/0!</v>
      </c>
      <c r="GHH83" s="363" t="s">
        <v>153</v>
      </c>
      <c r="GHI83" s="363"/>
      <c r="GHJ83" s="363"/>
      <c r="GHK83" s="364" t="s">
        <v>140</v>
      </c>
      <c r="GHL83" s="365">
        <v>0.5</v>
      </c>
      <c r="GHM83" s="366" t="e">
        <f>10/GHI81</f>
        <v>#DIV/0!</v>
      </c>
      <c r="GHN83" s="367">
        <v>15.38</v>
      </c>
      <c r="GHO83" s="367" t="e">
        <f>GHL83*GHM83*GHN83</f>
        <v>#DIV/0!</v>
      </c>
      <c r="GHP83" s="363" t="s">
        <v>153</v>
      </c>
      <c r="GHQ83" s="363"/>
      <c r="GHR83" s="363"/>
      <c r="GHS83" s="364" t="s">
        <v>140</v>
      </c>
      <c r="GHT83" s="365">
        <v>0.5</v>
      </c>
      <c r="GHU83" s="366" t="e">
        <f>10/GHQ81</f>
        <v>#DIV/0!</v>
      </c>
      <c r="GHV83" s="367">
        <v>15.38</v>
      </c>
      <c r="GHW83" s="367" t="e">
        <f>GHT83*GHU83*GHV83</f>
        <v>#DIV/0!</v>
      </c>
      <c r="GHX83" s="363" t="s">
        <v>153</v>
      </c>
      <c r="GHY83" s="363"/>
      <c r="GHZ83" s="363"/>
      <c r="GIA83" s="364" t="s">
        <v>140</v>
      </c>
      <c r="GIB83" s="365">
        <v>0.5</v>
      </c>
      <c r="GIC83" s="366" t="e">
        <f>10/GHY81</f>
        <v>#DIV/0!</v>
      </c>
      <c r="GID83" s="367">
        <v>15.38</v>
      </c>
      <c r="GIE83" s="367" t="e">
        <f>GIB83*GIC83*GID83</f>
        <v>#DIV/0!</v>
      </c>
      <c r="GIF83" s="363" t="s">
        <v>153</v>
      </c>
      <c r="GIG83" s="363"/>
      <c r="GIH83" s="363"/>
      <c r="GII83" s="364" t="s">
        <v>140</v>
      </c>
      <c r="GIJ83" s="365">
        <v>0.5</v>
      </c>
      <c r="GIK83" s="366" t="e">
        <f>10/GIG81</f>
        <v>#DIV/0!</v>
      </c>
      <c r="GIL83" s="367">
        <v>15.38</v>
      </c>
      <c r="GIM83" s="367" t="e">
        <f>GIJ83*GIK83*GIL83</f>
        <v>#DIV/0!</v>
      </c>
      <c r="GIN83" s="363" t="s">
        <v>153</v>
      </c>
      <c r="GIO83" s="363"/>
      <c r="GIP83" s="363"/>
      <c r="GIQ83" s="364" t="s">
        <v>140</v>
      </c>
      <c r="GIR83" s="365">
        <v>0.5</v>
      </c>
      <c r="GIS83" s="366" t="e">
        <f>10/GIO81</f>
        <v>#DIV/0!</v>
      </c>
      <c r="GIT83" s="367">
        <v>15.38</v>
      </c>
      <c r="GIU83" s="367" t="e">
        <f>GIR83*GIS83*GIT83</f>
        <v>#DIV/0!</v>
      </c>
      <c r="GIV83" s="363" t="s">
        <v>153</v>
      </c>
      <c r="GIW83" s="363"/>
      <c r="GIX83" s="363"/>
      <c r="GIY83" s="364" t="s">
        <v>140</v>
      </c>
      <c r="GIZ83" s="365">
        <v>0.5</v>
      </c>
      <c r="GJA83" s="366" t="e">
        <f>10/GIW81</f>
        <v>#DIV/0!</v>
      </c>
      <c r="GJB83" s="367">
        <v>15.38</v>
      </c>
      <c r="GJC83" s="367" t="e">
        <f>GIZ83*GJA83*GJB83</f>
        <v>#DIV/0!</v>
      </c>
      <c r="GJD83" s="363" t="s">
        <v>153</v>
      </c>
      <c r="GJE83" s="363"/>
      <c r="GJF83" s="363"/>
      <c r="GJG83" s="364" t="s">
        <v>140</v>
      </c>
      <c r="GJH83" s="365">
        <v>0.5</v>
      </c>
      <c r="GJI83" s="366" t="e">
        <f>10/GJE81</f>
        <v>#DIV/0!</v>
      </c>
      <c r="GJJ83" s="367">
        <v>15.38</v>
      </c>
      <c r="GJK83" s="367" t="e">
        <f>GJH83*GJI83*GJJ83</f>
        <v>#DIV/0!</v>
      </c>
      <c r="GJL83" s="363" t="s">
        <v>153</v>
      </c>
      <c r="GJM83" s="363"/>
      <c r="GJN83" s="363"/>
      <c r="GJO83" s="364" t="s">
        <v>140</v>
      </c>
      <c r="GJP83" s="365">
        <v>0.5</v>
      </c>
      <c r="GJQ83" s="366" t="e">
        <f>10/GJM81</f>
        <v>#DIV/0!</v>
      </c>
      <c r="GJR83" s="367">
        <v>15.38</v>
      </c>
      <c r="GJS83" s="367" t="e">
        <f>GJP83*GJQ83*GJR83</f>
        <v>#DIV/0!</v>
      </c>
      <c r="GJT83" s="363" t="s">
        <v>153</v>
      </c>
      <c r="GJU83" s="363"/>
      <c r="GJV83" s="363"/>
      <c r="GJW83" s="364" t="s">
        <v>140</v>
      </c>
      <c r="GJX83" s="365">
        <v>0.5</v>
      </c>
      <c r="GJY83" s="366" t="e">
        <f>10/GJU81</f>
        <v>#DIV/0!</v>
      </c>
      <c r="GJZ83" s="367">
        <v>15.38</v>
      </c>
      <c r="GKA83" s="367" t="e">
        <f>GJX83*GJY83*GJZ83</f>
        <v>#DIV/0!</v>
      </c>
      <c r="GKB83" s="363" t="s">
        <v>153</v>
      </c>
      <c r="GKC83" s="363"/>
      <c r="GKD83" s="363"/>
      <c r="GKE83" s="364" t="s">
        <v>140</v>
      </c>
      <c r="GKF83" s="365">
        <v>0.5</v>
      </c>
      <c r="GKG83" s="366" t="e">
        <f>10/GKC81</f>
        <v>#DIV/0!</v>
      </c>
      <c r="GKH83" s="367">
        <v>15.38</v>
      </c>
      <c r="GKI83" s="367" t="e">
        <f>GKF83*GKG83*GKH83</f>
        <v>#DIV/0!</v>
      </c>
      <c r="GKJ83" s="363" t="s">
        <v>153</v>
      </c>
      <c r="GKK83" s="363"/>
      <c r="GKL83" s="363"/>
      <c r="GKM83" s="364" t="s">
        <v>140</v>
      </c>
      <c r="GKN83" s="365">
        <v>0.5</v>
      </c>
      <c r="GKO83" s="366" t="e">
        <f>10/GKK81</f>
        <v>#DIV/0!</v>
      </c>
      <c r="GKP83" s="367">
        <v>15.38</v>
      </c>
      <c r="GKQ83" s="367" t="e">
        <f>GKN83*GKO83*GKP83</f>
        <v>#DIV/0!</v>
      </c>
      <c r="GKR83" s="363" t="s">
        <v>153</v>
      </c>
      <c r="GKS83" s="363"/>
      <c r="GKT83" s="363"/>
      <c r="GKU83" s="364" t="s">
        <v>140</v>
      </c>
      <c r="GKV83" s="365">
        <v>0.5</v>
      </c>
      <c r="GKW83" s="366" t="e">
        <f>10/GKS81</f>
        <v>#DIV/0!</v>
      </c>
      <c r="GKX83" s="367">
        <v>15.38</v>
      </c>
      <c r="GKY83" s="367" t="e">
        <f>GKV83*GKW83*GKX83</f>
        <v>#DIV/0!</v>
      </c>
      <c r="GKZ83" s="363" t="s">
        <v>153</v>
      </c>
      <c r="GLA83" s="363"/>
      <c r="GLB83" s="363"/>
      <c r="GLC83" s="364" t="s">
        <v>140</v>
      </c>
      <c r="GLD83" s="365">
        <v>0.5</v>
      </c>
      <c r="GLE83" s="366" t="e">
        <f>10/GLA81</f>
        <v>#DIV/0!</v>
      </c>
      <c r="GLF83" s="367">
        <v>15.38</v>
      </c>
      <c r="GLG83" s="367" t="e">
        <f>GLD83*GLE83*GLF83</f>
        <v>#DIV/0!</v>
      </c>
      <c r="GLH83" s="363" t="s">
        <v>153</v>
      </c>
      <c r="GLI83" s="363"/>
      <c r="GLJ83" s="363"/>
      <c r="GLK83" s="364" t="s">
        <v>140</v>
      </c>
      <c r="GLL83" s="365">
        <v>0.5</v>
      </c>
      <c r="GLM83" s="366" t="e">
        <f>10/GLI81</f>
        <v>#DIV/0!</v>
      </c>
      <c r="GLN83" s="367">
        <v>15.38</v>
      </c>
      <c r="GLO83" s="367" t="e">
        <f>GLL83*GLM83*GLN83</f>
        <v>#DIV/0!</v>
      </c>
      <c r="GLP83" s="363" t="s">
        <v>153</v>
      </c>
      <c r="GLQ83" s="363"/>
      <c r="GLR83" s="363"/>
      <c r="GLS83" s="364" t="s">
        <v>140</v>
      </c>
      <c r="GLT83" s="365">
        <v>0.5</v>
      </c>
      <c r="GLU83" s="366" t="e">
        <f>10/GLQ81</f>
        <v>#DIV/0!</v>
      </c>
      <c r="GLV83" s="367">
        <v>15.38</v>
      </c>
      <c r="GLW83" s="367" t="e">
        <f>GLT83*GLU83*GLV83</f>
        <v>#DIV/0!</v>
      </c>
      <c r="GLX83" s="363" t="s">
        <v>153</v>
      </c>
      <c r="GLY83" s="363"/>
      <c r="GLZ83" s="363"/>
      <c r="GMA83" s="364" t="s">
        <v>140</v>
      </c>
      <c r="GMB83" s="365">
        <v>0.5</v>
      </c>
      <c r="GMC83" s="366" t="e">
        <f>10/GLY81</f>
        <v>#DIV/0!</v>
      </c>
      <c r="GMD83" s="367">
        <v>15.38</v>
      </c>
      <c r="GME83" s="367" t="e">
        <f>GMB83*GMC83*GMD83</f>
        <v>#DIV/0!</v>
      </c>
      <c r="GMF83" s="363" t="s">
        <v>153</v>
      </c>
      <c r="GMG83" s="363"/>
      <c r="GMH83" s="363"/>
      <c r="GMI83" s="364" t="s">
        <v>140</v>
      </c>
      <c r="GMJ83" s="365">
        <v>0.5</v>
      </c>
      <c r="GMK83" s="366" t="e">
        <f>10/GMG81</f>
        <v>#DIV/0!</v>
      </c>
      <c r="GML83" s="367">
        <v>15.38</v>
      </c>
      <c r="GMM83" s="367" t="e">
        <f>GMJ83*GMK83*GML83</f>
        <v>#DIV/0!</v>
      </c>
      <c r="GMN83" s="363" t="s">
        <v>153</v>
      </c>
      <c r="GMO83" s="363"/>
      <c r="GMP83" s="363"/>
      <c r="GMQ83" s="364" t="s">
        <v>140</v>
      </c>
      <c r="GMR83" s="365">
        <v>0.5</v>
      </c>
      <c r="GMS83" s="366" t="e">
        <f>10/GMO81</f>
        <v>#DIV/0!</v>
      </c>
      <c r="GMT83" s="367">
        <v>15.38</v>
      </c>
      <c r="GMU83" s="367" t="e">
        <f>GMR83*GMS83*GMT83</f>
        <v>#DIV/0!</v>
      </c>
      <c r="GMV83" s="363" t="s">
        <v>153</v>
      </c>
      <c r="GMW83" s="363"/>
      <c r="GMX83" s="363"/>
      <c r="GMY83" s="364" t="s">
        <v>140</v>
      </c>
      <c r="GMZ83" s="365">
        <v>0.5</v>
      </c>
      <c r="GNA83" s="366" t="e">
        <f>10/GMW81</f>
        <v>#DIV/0!</v>
      </c>
      <c r="GNB83" s="367">
        <v>15.38</v>
      </c>
      <c r="GNC83" s="367" t="e">
        <f>GMZ83*GNA83*GNB83</f>
        <v>#DIV/0!</v>
      </c>
      <c r="GND83" s="363" t="s">
        <v>153</v>
      </c>
      <c r="GNE83" s="363"/>
      <c r="GNF83" s="363"/>
      <c r="GNG83" s="364" t="s">
        <v>140</v>
      </c>
      <c r="GNH83" s="365">
        <v>0.5</v>
      </c>
      <c r="GNI83" s="366" t="e">
        <f>10/GNE81</f>
        <v>#DIV/0!</v>
      </c>
      <c r="GNJ83" s="367">
        <v>15.38</v>
      </c>
      <c r="GNK83" s="367" t="e">
        <f>GNH83*GNI83*GNJ83</f>
        <v>#DIV/0!</v>
      </c>
      <c r="GNL83" s="363" t="s">
        <v>153</v>
      </c>
      <c r="GNM83" s="363"/>
      <c r="GNN83" s="363"/>
      <c r="GNO83" s="364" t="s">
        <v>140</v>
      </c>
      <c r="GNP83" s="365">
        <v>0.5</v>
      </c>
      <c r="GNQ83" s="366" t="e">
        <f>10/GNM81</f>
        <v>#DIV/0!</v>
      </c>
      <c r="GNR83" s="367">
        <v>15.38</v>
      </c>
      <c r="GNS83" s="367" t="e">
        <f>GNP83*GNQ83*GNR83</f>
        <v>#DIV/0!</v>
      </c>
      <c r="GNT83" s="363" t="s">
        <v>153</v>
      </c>
      <c r="GNU83" s="363"/>
      <c r="GNV83" s="363"/>
      <c r="GNW83" s="364" t="s">
        <v>140</v>
      </c>
      <c r="GNX83" s="365">
        <v>0.5</v>
      </c>
      <c r="GNY83" s="366" t="e">
        <f>10/GNU81</f>
        <v>#DIV/0!</v>
      </c>
      <c r="GNZ83" s="367">
        <v>15.38</v>
      </c>
      <c r="GOA83" s="367" t="e">
        <f>GNX83*GNY83*GNZ83</f>
        <v>#DIV/0!</v>
      </c>
      <c r="GOB83" s="363" t="s">
        <v>153</v>
      </c>
      <c r="GOC83" s="363"/>
      <c r="GOD83" s="363"/>
      <c r="GOE83" s="364" t="s">
        <v>140</v>
      </c>
      <c r="GOF83" s="365">
        <v>0.5</v>
      </c>
      <c r="GOG83" s="366" t="e">
        <f>10/GOC81</f>
        <v>#DIV/0!</v>
      </c>
      <c r="GOH83" s="367">
        <v>15.38</v>
      </c>
      <c r="GOI83" s="367" t="e">
        <f>GOF83*GOG83*GOH83</f>
        <v>#DIV/0!</v>
      </c>
      <c r="GOJ83" s="363" t="s">
        <v>153</v>
      </c>
      <c r="GOK83" s="363"/>
      <c r="GOL83" s="363"/>
      <c r="GOM83" s="364" t="s">
        <v>140</v>
      </c>
      <c r="GON83" s="365">
        <v>0.5</v>
      </c>
      <c r="GOO83" s="366" t="e">
        <f>10/GOK81</f>
        <v>#DIV/0!</v>
      </c>
      <c r="GOP83" s="367">
        <v>15.38</v>
      </c>
      <c r="GOQ83" s="367" t="e">
        <f>GON83*GOO83*GOP83</f>
        <v>#DIV/0!</v>
      </c>
      <c r="GOR83" s="363" t="s">
        <v>153</v>
      </c>
      <c r="GOS83" s="363"/>
      <c r="GOT83" s="363"/>
      <c r="GOU83" s="364" t="s">
        <v>140</v>
      </c>
      <c r="GOV83" s="365">
        <v>0.5</v>
      </c>
      <c r="GOW83" s="366" t="e">
        <f>10/GOS81</f>
        <v>#DIV/0!</v>
      </c>
      <c r="GOX83" s="367">
        <v>15.38</v>
      </c>
      <c r="GOY83" s="367" t="e">
        <f>GOV83*GOW83*GOX83</f>
        <v>#DIV/0!</v>
      </c>
      <c r="GOZ83" s="363" t="s">
        <v>153</v>
      </c>
      <c r="GPA83" s="363"/>
      <c r="GPB83" s="363"/>
      <c r="GPC83" s="364" t="s">
        <v>140</v>
      </c>
      <c r="GPD83" s="365">
        <v>0.5</v>
      </c>
      <c r="GPE83" s="366" t="e">
        <f>10/GPA81</f>
        <v>#DIV/0!</v>
      </c>
      <c r="GPF83" s="367">
        <v>15.38</v>
      </c>
      <c r="GPG83" s="367" t="e">
        <f>GPD83*GPE83*GPF83</f>
        <v>#DIV/0!</v>
      </c>
      <c r="GPH83" s="363" t="s">
        <v>153</v>
      </c>
      <c r="GPI83" s="363"/>
      <c r="GPJ83" s="363"/>
      <c r="GPK83" s="364" t="s">
        <v>140</v>
      </c>
      <c r="GPL83" s="365">
        <v>0.5</v>
      </c>
      <c r="GPM83" s="366" t="e">
        <f>10/GPI81</f>
        <v>#DIV/0!</v>
      </c>
      <c r="GPN83" s="367">
        <v>15.38</v>
      </c>
      <c r="GPO83" s="367" t="e">
        <f>GPL83*GPM83*GPN83</f>
        <v>#DIV/0!</v>
      </c>
      <c r="GPP83" s="363" t="s">
        <v>153</v>
      </c>
      <c r="GPQ83" s="363"/>
      <c r="GPR83" s="363"/>
      <c r="GPS83" s="364" t="s">
        <v>140</v>
      </c>
      <c r="GPT83" s="365">
        <v>0.5</v>
      </c>
      <c r="GPU83" s="366" t="e">
        <f>10/GPQ81</f>
        <v>#DIV/0!</v>
      </c>
      <c r="GPV83" s="367">
        <v>15.38</v>
      </c>
      <c r="GPW83" s="367" t="e">
        <f>GPT83*GPU83*GPV83</f>
        <v>#DIV/0!</v>
      </c>
      <c r="GPX83" s="363" t="s">
        <v>153</v>
      </c>
      <c r="GPY83" s="363"/>
      <c r="GPZ83" s="363"/>
      <c r="GQA83" s="364" t="s">
        <v>140</v>
      </c>
      <c r="GQB83" s="365">
        <v>0.5</v>
      </c>
      <c r="GQC83" s="366" t="e">
        <f>10/GPY81</f>
        <v>#DIV/0!</v>
      </c>
      <c r="GQD83" s="367">
        <v>15.38</v>
      </c>
      <c r="GQE83" s="367" t="e">
        <f>GQB83*GQC83*GQD83</f>
        <v>#DIV/0!</v>
      </c>
      <c r="GQF83" s="363" t="s">
        <v>153</v>
      </c>
      <c r="GQG83" s="363"/>
      <c r="GQH83" s="363"/>
      <c r="GQI83" s="364" t="s">
        <v>140</v>
      </c>
      <c r="GQJ83" s="365">
        <v>0.5</v>
      </c>
      <c r="GQK83" s="366" t="e">
        <f>10/GQG81</f>
        <v>#DIV/0!</v>
      </c>
      <c r="GQL83" s="367">
        <v>15.38</v>
      </c>
      <c r="GQM83" s="367" t="e">
        <f>GQJ83*GQK83*GQL83</f>
        <v>#DIV/0!</v>
      </c>
      <c r="GQN83" s="363" t="s">
        <v>153</v>
      </c>
      <c r="GQO83" s="363"/>
      <c r="GQP83" s="363"/>
      <c r="GQQ83" s="364" t="s">
        <v>140</v>
      </c>
      <c r="GQR83" s="365">
        <v>0.5</v>
      </c>
      <c r="GQS83" s="366" t="e">
        <f>10/GQO81</f>
        <v>#DIV/0!</v>
      </c>
      <c r="GQT83" s="367">
        <v>15.38</v>
      </c>
      <c r="GQU83" s="367" t="e">
        <f>GQR83*GQS83*GQT83</f>
        <v>#DIV/0!</v>
      </c>
      <c r="GQV83" s="363" t="s">
        <v>153</v>
      </c>
      <c r="GQW83" s="363"/>
      <c r="GQX83" s="363"/>
      <c r="GQY83" s="364" t="s">
        <v>140</v>
      </c>
      <c r="GQZ83" s="365">
        <v>0.5</v>
      </c>
      <c r="GRA83" s="366" t="e">
        <f>10/GQW81</f>
        <v>#DIV/0!</v>
      </c>
      <c r="GRB83" s="367">
        <v>15.38</v>
      </c>
      <c r="GRC83" s="367" t="e">
        <f>GQZ83*GRA83*GRB83</f>
        <v>#DIV/0!</v>
      </c>
      <c r="GRD83" s="363" t="s">
        <v>153</v>
      </c>
      <c r="GRE83" s="363"/>
      <c r="GRF83" s="363"/>
      <c r="GRG83" s="364" t="s">
        <v>140</v>
      </c>
      <c r="GRH83" s="365">
        <v>0.5</v>
      </c>
      <c r="GRI83" s="366" t="e">
        <f>10/GRE81</f>
        <v>#DIV/0!</v>
      </c>
      <c r="GRJ83" s="367">
        <v>15.38</v>
      </c>
      <c r="GRK83" s="367" t="e">
        <f>GRH83*GRI83*GRJ83</f>
        <v>#DIV/0!</v>
      </c>
      <c r="GRL83" s="363" t="s">
        <v>153</v>
      </c>
      <c r="GRM83" s="363"/>
      <c r="GRN83" s="363"/>
      <c r="GRO83" s="364" t="s">
        <v>140</v>
      </c>
      <c r="GRP83" s="365">
        <v>0.5</v>
      </c>
      <c r="GRQ83" s="366" t="e">
        <f>10/GRM81</f>
        <v>#DIV/0!</v>
      </c>
      <c r="GRR83" s="367">
        <v>15.38</v>
      </c>
      <c r="GRS83" s="367" t="e">
        <f>GRP83*GRQ83*GRR83</f>
        <v>#DIV/0!</v>
      </c>
      <c r="GRT83" s="363" t="s">
        <v>153</v>
      </c>
      <c r="GRU83" s="363"/>
      <c r="GRV83" s="363"/>
      <c r="GRW83" s="364" t="s">
        <v>140</v>
      </c>
      <c r="GRX83" s="365">
        <v>0.5</v>
      </c>
      <c r="GRY83" s="366" t="e">
        <f>10/GRU81</f>
        <v>#DIV/0!</v>
      </c>
      <c r="GRZ83" s="367">
        <v>15.38</v>
      </c>
      <c r="GSA83" s="367" t="e">
        <f>GRX83*GRY83*GRZ83</f>
        <v>#DIV/0!</v>
      </c>
      <c r="GSB83" s="363" t="s">
        <v>153</v>
      </c>
      <c r="GSC83" s="363"/>
      <c r="GSD83" s="363"/>
      <c r="GSE83" s="364" t="s">
        <v>140</v>
      </c>
      <c r="GSF83" s="365">
        <v>0.5</v>
      </c>
      <c r="GSG83" s="366" t="e">
        <f>10/GSC81</f>
        <v>#DIV/0!</v>
      </c>
      <c r="GSH83" s="367">
        <v>15.38</v>
      </c>
      <c r="GSI83" s="367" t="e">
        <f>GSF83*GSG83*GSH83</f>
        <v>#DIV/0!</v>
      </c>
      <c r="GSJ83" s="363" t="s">
        <v>153</v>
      </c>
      <c r="GSK83" s="363"/>
      <c r="GSL83" s="363"/>
      <c r="GSM83" s="364" t="s">
        <v>140</v>
      </c>
      <c r="GSN83" s="365">
        <v>0.5</v>
      </c>
      <c r="GSO83" s="366" t="e">
        <f>10/GSK81</f>
        <v>#DIV/0!</v>
      </c>
      <c r="GSP83" s="367">
        <v>15.38</v>
      </c>
      <c r="GSQ83" s="367" t="e">
        <f>GSN83*GSO83*GSP83</f>
        <v>#DIV/0!</v>
      </c>
      <c r="GSR83" s="363" t="s">
        <v>153</v>
      </c>
      <c r="GSS83" s="363"/>
      <c r="GST83" s="363"/>
      <c r="GSU83" s="364" t="s">
        <v>140</v>
      </c>
      <c r="GSV83" s="365">
        <v>0.5</v>
      </c>
      <c r="GSW83" s="366" t="e">
        <f>10/GSS81</f>
        <v>#DIV/0!</v>
      </c>
      <c r="GSX83" s="367">
        <v>15.38</v>
      </c>
      <c r="GSY83" s="367" t="e">
        <f>GSV83*GSW83*GSX83</f>
        <v>#DIV/0!</v>
      </c>
      <c r="GSZ83" s="363" t="s">
        <v>153</v>
      </c>
      <c r="GTA83" s="363"/>
      <c r="GTB83" s="363"/>
      <c r="GTC83" s="364" t="s">
        <v>140</v>
      </c>
      <c r="GTD83" s="365">
        <v>0.5</v>
      </c>
      <c r="GTE83" s="366" t="e">
        <f>10/GTA81</f>
        <v>#DIV/0!</v>
      </c>
      <c r="GTF83" s="367">
        <v>15.38</v>
      </c>
      <c r="GTG83" s="367" t="e">
        <f>GTD83*GTE83*GTF83</f>
        <v>#DIV/0!</v>
      </c>
      <c r="GTH83" s="363" t="s">
        <v>153</v>
      </c>
      <c r="GTI83" s="363"/>
      <c r="GTJ83" s="363"/>
      <c r="GTK83" s="364" t="s">
        <v>140</v>
      </c>
      <c r="GTL83" s="365">
        <v>0.5</v>
      </c>
      <c r="GTM83" s="366" t="e">
        <f>10/GTI81</f>
        <v>#DIV/0!</v>
      </c>
      <c r="GTN83" s="367">
        <v>15.38</v>
      </c>
      <c r="GTO83" s="367" t="e">
        <f>GTL83*GTM83*GTN83</f>
        <v>#DIV/0!</v>
      </c>
      <c r="GTP83" s="363" t="s">
        <v>153</v>
      </c>
      <c r="GTQ83" s="363"/>
      <c r="GTR83" s="363"/>
      <c r="GTS83" s="364" t="s">
        <v>140</v>
      </c>
      <c r="GTT83" s="365">
        <v>0.5</v>
      </c>
      <c r="GTU83" s="366" t="e">
        <f>10/GTQ81</f>
        <v>#DIV/0!</v>
      </c>
      <c r="GTV83" s="367">
        <v>15.38</v>
      </c>
      <c r="GTW83" s="367" t="e">
        <f>GTT83*GTU83*GTV83</f>
        <v>#DIV/0!</v>
      </c>
      <c r="GTX83" s="363" t="s">
        <v>153</v>
      </c>
      <c r="GTY83" s="363"/>
      <c r="GTZ83" s="363"/>
      <c r="GUA83" s="364" t="s">
        <v>140</v>
      </c>
      <c r="GUB83" s="365">
        <v>0.5</v>
      </c>
      <c r="GUC83" s="366" t="e">
        <f>10/GTY81</f>
        <v>#DIV/0!</v>
      </c>
      <c r="GUD83" s="367">
        <v>15.38</v>
      </c>
      <c r="GUE83" s="367" t="e">
        <f>GUB83*GUC83*GUD83</f>
        <v>#DIV/0!</v>
      </c>
      <c r="GUF83" s="363" t="s">
        <v>153</v>
      </c>
      <c r="GUG83" s="363"/>
      <c r="GUH83" s="363"/>
      <c r="GUI83" s="364" t="s">
        <v>140</v>
      </c>
      <c r="GUJ83" s="365">
        <v>0.5</v>
      </c>
      <c r="GUK83" s="366" t="e">
        <f>10/GUG81</f>
        <v>#DIV/0!</v>
      </c>
      <c r="GUL83" s="367">
        <v>15.38</v>
      </c>
      <c r="GUM83" s="367" t="e">
        <f>GUJ83*GUK83*GUL83</f>
        <v>#DIV/0!</v>
      </c>
      <c r="GUN83" s="363" t="s">
        <v>153</v>
      </c>
      <c r="GUO83" s="363"/>
      <c r="GUP83" s="363"/>
      <c r="GUQ83" s="364" t="s">
        <v>140</v>
      </c>
      <c r="GUR83" s="365">
        <v>0.5</v>
      </c>
      <c r="GUS83" s="366" t="e">
        <f>10/GUO81</f>
        <v>#DIV/0!</v>
      </c>
      <c r="GUT83" s="367">
        <v>15.38</v>
      </c>
      <c r="GUU83" s="367" t="e">
        <f>GUR83*GUS83*GUT83</f>
        <v>#DIV/0!</v>
      </c>
      <c r="GUV83" s="363" t="s">
        <v>153</v>
      </c>
      <c r="GUW83" s="363"/>
      <c r="GUX83" s="363"/>
      <c r="GUY83" s="364" t="s">
        <v>140</v>
      </c>
      <c r="GUZ83" s="365">
        <v>0.5</v>
      </c>
      <c r="GVA83" s="366" t="e">
        <f>10/GUW81</f>
        <v>#DIV/0!</v>
      </c>
      <c r="GVB83" s="367">
        <v>15.38</v>
      </c>
      <c r="GVC83" s="367" t="e">
        <f>GUZ83*GVA83*GVB83</f>
        <v>#DIV/0!</v>
      </c>
      <c r="GVD83" s="363" t="s">
        <v>153</v>
      </c>
      <c r="GVE83" s="363"/>
      <c r="GVF83" s="363"/>
      <c r="GVG83" s="364" t="s">
        <v>140</v>
      </c>
      <c r="GVH83" s="365">
        <v>0.5</v>
      </c>
      <c r="GVI83" s="366" t="e">
        <f>10/GVE81</f>
        <v>#DIV/0!</v>
      </c>
      <c r="GVJ83" s="367">
        <v>15.38</v>
      </c>
      <c r="GVK83" s="367" t="e">
        <f>GVH83*GVI83*GVJ83</f>
        <v>#DIV/0!</v>
      </c>
      <c r="GVL83" s="363" t="s">
        <v>153</v>
      </c>
      <c r="GVM83" s="363"/>
      <c r="GVN83" s="363"/>
      <c r="GVO83" s="364" t="s">
        <v>140</v>
      </c>
      <c r="GVP83" s="365">
        <v>0.5</v>
      </c>
      <c r="GVQ83" s="366" t="e">
        <f>10/GVM81</f>
        <v>#DIV/0!</v>
      </c>
      <c r="GVR83" s="367">
        <v>15.38</v>
      </c>
      <c r="GVS83" s="367" t="e">
        <f>GVP83*GVQ83*GVR83</f>
        <v>#DIV/0!</v>
      </c>
      <c r="GVT83" s="363" t="s">
        <v>153</v>
      </c>
      <c r="GVU83" s="363"/>
      <c r="GVV83" s="363"/>
      <c r="GVW83" s="364" t="s">
        <v>140</v>
      </c>
      <c r="GVX83" s="365">
        <v>0.5</v>
      </c>
      <c r="GVY83" s="366" t="e">
        <f>10/GVU81</f>
        <v>#DIV/0!</v>
      </c>
      <c r="GVZ83" s="367">
        <v>15.38</v>
      </c>
      <c r="GWA83" s="367" t="e">
        <f>GVX83*GVY83*GVZ83</f>
        <v>#DIV/0!</v>
      </c>
      <c r="GWB83" s="363" t="s">
        <v>153</v>
      </c>
      <c r="GWC83" s="363"/>
      <c r="GWD83" s="363"/>
      <c r="GWE83" s="364" t="s">
        <v>140</v>
      </c>
      <c r="GWF83" s="365">
        <v>0.5</v>
      </c>
      <c r="GWG83" s="366" t="e">
        <f>10/GWC81</f>
        <v>#DIV/0!</v>
      </c>
      <c r="GWH83" s="367">
        <v>15.38</v>
      </c>
      <c r="GWI83" s="367" t="e">
        <f>GWF83*GWG83*GWH83</f>
        <v>#DIV/0!</v>
      </c>
      <c r="GWJ83" s="363" t="s">
        <v>153</v>
      </c>
      <c r="GWK83" s="363"/>
      <c r="GWL83" s="363"/>
      <c r="GWM83" s="364" t="s">
        <v>140</v>
      </c>
      <c r="GWN83" s="365">
        <v>0.5</v>
      </c>
      <c r="GWO83" s="366" t="e">
        <f>10/GWK81</f>
        <v>#DIV/0!</v>
      </c>
      <c r="GWP83" s="367">
        <v>15.38</v>
      </c>
      <c r="GWQ83" s="367" t="e">
        <f>GWN83*GWO83*GWP83</f>
        <v>#DIV/0!</v>
      </c>
      <c r="GWR83" s="363" t="s">
        <v>153</v>
      </c>
      <c r="GWS83" s="363"/>
      <c r="GWT83" s="363"/>
      <c r="GWU83" s="364" t="s">
        <v>140</v>
      </c>
      <c r="GWV83" s="365">
        <v>0.5</v>
      </c>
      <c r="GWW83" s="366" t="e">
        <f>10/GWS81</f>
        <v>#DIV/0!</v>
      </c>
      <c r="GWX83" s="367">
        <v>15.38</v>
      </c>
      <c r="GWY83" s="367" t="e">
        <f>GWV83*GWW83*GWX83</f>
        <v>#DIV/0!</v>
      </c>
      <c r="GWZ83" s="363" t="s">
        <v>153</v>
      </c>
      <c r="GXA83" s="363"/>
      <c r="GXB83" s="363"/>
      <c r="GXC83" s="364" t="s">
        <v>140</v>
      </c>
      <c r="GXD83" s="365">
        <v>0.5</v>
      </c>
      <c r="GXE83" s="366" t="e">
        <f>10/GXA81</f>
        <v>#DIV/0!</v>
      </c>
      <c r="GXF83" s="367">
        <v>15.38</v>
      </c>
      <c r="GXG83" s="367" t="e">
        <f>GXD83*GXE83*GXF83</f>
        <v>#DIV/0!</v>
      </c>
      <c r="GXH83" s="363" t="s">
        <v>153</v>
      </c>
      <c r="GXI83" s="363"/>
      <c r="GXJ83" s="363"/>
      <c r="GXK83" s="364" t="s">
        <v>140</v>
      </c>
      <c r="GXL83" s="365">
        <v>0.5</v>
      </c>
      <c r="GXM83" s="366" t="e">
        <f>10/GXI81</f>
        <v>#DIV/0!</v>
      </c>
      <c r="GXN83" s="367">
        <v>15.38</v>
      </c>
      <c r="GXO83" s="367" t="e">
        <f>GXL83*GXM83*GXN83</f>
        <v>#DIV/0!</v>
      </c>
      <c r="GXP83" s="363" t="s">
        <v>153</v>
      </c>
      <c r="GXQ83" s="363"/>
      <c r="GXR83" s="363"/>
      <c r="GXS83" s="364" t="s">
        <v>140</v>
      </c>
      <c r="GXT83" s="365">
        <v>0.5</v>
      </c>
      <c r="GXU83" s="366" t="e">
        <f>10/GXQ81</f>
        <v>#DIV/0!</v>
      </c>
      <c r="GXV83" s="367">
        <v>15.38</v>
      </c>
      <c r="GXW83" s="367" t="e">
        <f>GXT83*GXU83*GXV83</f>
        <v>#DIV/0!</v>
      </c>
      <c r="GXX83" s="363" t="s">
        <v>153</v>
      </c>
      <c r="GXY83" s="363"/>
      <c r="GXZ83" s="363"/>
      <c r="GYA83" s="364" t="s">
        <v>140</v>
      </c>
      <c r="GYB83" s="365">
        <v>0.5</v>
      </c>
      <c r="GYC83" s="366" t="e">
        <f>10/GXY81</f>
        <v>#DIV/0!</v>
      </c>
      <c r="GYD83" s="367">
        <v>15.38</v>
      </c>
      <c r="GYE83" s="367" t="e">
        <f>GYB83*GYC83*GYD83</f>
        <v>#DIV/0!</v>
      </c>
      <c r="GYF83" s="363" t="s">
        <v>153</v>
      </c>
      <c r="GYG83" s="363"/>
      <c r="GYH83" s="363"/>
      <c r="GYI83" s="364" t="s">
        <v>140</v>
      </c>
      <c r="GYJ83" s="365">
        <v>0.5</v>
      </c>
      <c r="GYK83" s="366" t="e">
        <f>10/GYG81</f>
        <v>#DIV/0!</v>
      </c>
      <c r="GYL83" s="367">
        <v>15.38</v>
      </c>
      <c r="GYM83" s="367" t="e">
        <f>GYJ83*GYK83*GYL83</f>
        <v>#DIV/0!</v>
      </c>
      <c r="GYN83" s="363" t="s">
        <v>153</v>
      </c>
      <c r="GYO83" s="363"/>
      <c r="GYP83" s="363"/>
      <c r="GYQ83" s="364" t="s">
        <v>140</v>
      </c>
      <c r="GYR83" s="365">
        <v>0.5</v>
      </c>
      <c r="GYS83" s="366" t="e">
        <f>10/GYO81</f>
        <v>#DIV/0!</v>
      </c>
      <c r="GYT83" s="367">
        <v>15.38</v>
      </c>
      <c r="GYU83" s="367" t="e">
        <f>GYR83*GYS83*GYT83</f>
        <v>#DIV/0!</v>
      </c>
      <c r="GYV83" s="363" t="s">
        <v>153</v>
      </c>
      <c r="GYW83" s="363"/>
      <c r="GYX83" s="363"/>
      <c r="GYY83" s="364" t="s">
        <v>140</v>
      </c>
      <c r="GYZ83" s="365">
        <v>0.5</v>
      </c>
      <c r="GZA83" s="366" t="e">
        <f>10/GYW81</f>
        <v>#DIV/0!</v>
      </c>
      <c r="GZB83" s="367">
        <v>15.38</v>
      </c>
      <c r="GZC83" s="367" t="e">
        <f>GYZ83*GZA83*GZB83</f>
        <v>#DIV/0!</v>
      </c>
      <c r="GZD83" s="363" t="s">
        <v>153</v>
      </c>
      <c r="GZE83" s="363"/>
      <c r="GZF83" s="363"/>
      <c r="GZG83" s="364" t="s">
        <v>140</v>
      </c>
      <c r="GZH83" s="365">
        <v>0.5</v>
      </c>
      <c r="GZI83" s="366" t="e">
        <f>10/GZE81</f>
        <v>#DIV/0!</v>
      </c>
      <c r="GZJ83" s="367">
        <v>15.38</v>
      </c>
      <c r="GZK83" s="367" t="e">
        <f>GZH83*GZI83*GZJ83</f>
        <v>#DIV/0!</v>
      </c>
      <c r="GZL83" s="363" t="s">
        <v>153</v>
      </c>
      <c r="GZM83" s="363"/>
      <c r="GZN83" s="363"/>
      <c r="GZO83" s="364" t="s">
        <v>140</v>
      </c>
      <c r="GZP83" s="365">
        <v>0.5</v>
      </c>
      <c r="GZQ83" s="366" t="e">
        <f>10/GZM81</f>
        <v>#DIV/0!</v>
      </c>
      <c r="GZR83" s="367">
        <v>15.38</v>
      </c>
      <c r="GZS83" s="367" t="e">
        <f>GZP83*GZQ83*GZR83</f>
        <v>#DIV/0!</v>
      </c>
      <c r="GZT83" s="363" t="s">
        <v>153</v>
      </c>
      <c r="GZU83" s="363"/>
      <c r="GZV83" s="363"/>
      <c r="GZW83" s="364" t="s">
        <v>140</v>
      </c>
      <c r="GZX83" s="365">
        <v>0.5</v>
      </c>
      <c r="GZY83" s="366" t="e">
        <f>10/GZU81</f>
        <v>#DIV/0!</v>
      </c>
      <c r="GZZ83" s="367">
        <v>15.38</v>
      </c>
      <c r="HAA83" s="367" t="e">
        <f>GZX83*GZY83*GZZ83</f>
        <v>#DIV/0!</v>
      </c>
      <c r="HAB83" s="363" t="s">
        <v>153</v>
      </c>
      <c r="HAC83" s="363"/>
      <c r="HAD83" s="363"/>
      <c r="HAE83" s="364" t="s">
        <v>140</v>
      </c>
      <c r="HAF83" s="365">
        <v>0.5</v>
      </c>
      <c r="HAG83" s="366" t="e">
        <f>10/HAC81</f>
        <v>#DIV/0!</v>
      </c>
      <c r="HAH83" s="367">
        <v>15.38</v>
      </c>
      <c r="HAI83" s="367" t="e">
        <f>HAF83*HAG83*HAH83</f>
        <v>#DIV/0!</v>
      </c>
      <c r="HAJ83" s="363" t="s">
        <v>153</v>
      </c>
      <c r="HAK83" s="363"/>
      <c r="HAL83" s="363"/>
      <c r="HAM83" s="364" t="s">
        <v>140</v>
      </c>
      <c r="HAN83" s="365">
        <v>0.5</v>
      </c>
      <c r="HAO83" s="366" t="e">
        <f>10/HAK81</f>
        <v>#DIV/0!</v>
      </c>
      <c r="HAP83" s="367">
        <v>15.38</v>
      </c>
      <c r="HAQ83" s="367" t="e">
        <f>HAN83*HAO83*HAP83</f>
        <v>#DIV/0!</v>
      </c>
      <c r="HAR83" s="363" t="s">
        <v>153</v>
      </c>
      <c r="HAS83" s="363"/>
      <c r="HAT83" s="363"/>
      <c r="HAU83" s="364" t="s">
        <v>140</v>
      </c>
      <c r="HAV83" s="365">
        <v>0.5</v>
      </c>
      <c r="HAW83" s="366" t="e">
        <f>10/HAS81</f>
        <v>#DIV/0!</v>
      </c>
      <c r="HAX83" s="367">
        <v>15.38</v>
      </c>
      <c r="HAY83" s="367" t="e">
        <f>HAV83*HAW83*HAX83</f>
        <v>#DIV/0!</v>
      </c>
      <c r="HAZ83" s="363" t="s">
        <v>153</v>
      </c>
      <c r="HBA83" s="363"/>
      <c r="HBB83" s="363"/>
      <c r="HBC83" s="364" t="s">
        <v>140</v>
      </c>
      <c r="HBD83" s="365">
        <v>0.5</v>
      </c>
      <c r="HBE83" s="366" t="e">
        <f>10/HBA81</f>
        <v>#DIV/0!</v>
      </c>
      <c r="HBF83" s="367">
        <v>15.38</v>
      </c>
      <c r="HBG83" s="367" t="e">
        <f>HBD83*HBE83*HBF83</f>
        <v>#DIV/0!</v>
      </c>
      <c r="HBH83" s="363" t="s">
        <v>153</v>
      </c>
      <c r="HBI83" s="363"/>
      <c r="HBJ83" s="363"/>
      <c r="HBK83" s="364" t="s">
        <v>140</v>
      </c>
      <c r="HBL83" s="365">
        <v>0.5</v>
      </c>
      <c r="HBM83" s="366" t="e">
        <f>10/HBI81</f>
        <v>#DIV/0!</v>
      </c>
      <c r="HBN83" s="367">
        <v>15.38</v>
      </c>
      <c r="HBO83" s="367" t="e">
        <f>HBL83*HBM83*HBN83</f>
        <v>#DIV/0!</v>
      </c>
      <c r="HBP83" s="363" t="s">
        <v>153</v>
      </c>
      <c r="HBQ83" s="363"/>
      <c r="HBR83" s="363"/>
      <c r="HBS83" s="364" t="s">
        <v>140</v>
      </c>
      <c r="HBT83" s="365">
        <v>0.5</v>
      </c>
      <c r="HBU83" s="366" t="e">
        <f>10/HBQ81</f>
        <v>#DIV/0!</v>
      </c>
      <c r="HBV83" s="367">
        <v>15.38</v>
      </c>
      <c r="HBW83" s="367" t="e">
        <f>HBT83*HBU83*HBV83</f>
        <v>#DIV/0!</v>
      </c>
      <c r="HBX83" s="363" t="s">
        <v>153</v>
      </c>
      <c r="HBY83" s="363"/>
      <c r="HBZ83" s="363"/>
      <c r="HCA83" s="364" t="s">
        <v>140</v>
      </c>
      <c r="HCB83" s="365">
        <v>0.5</v>
      </c>
      <c r="HCC83" s="366" t="e">
        <f>10/HBY81</f>
        <v>#DIV/0!</v>
      </c>
      <c r="HCD83" s="367">
        <v>15.38</v>
      </c>
      <c r="HCE83" s="367" t="e">
        <f>HCB83*HCC83*HCD83</f>
        <v>#DIV/0!</v>
      </c>
      <c r="HCF83" s="363" t="s">
        <v>153</v>
      </c>
      <c r="HCG83" s="363"/>
      <c r="HCH83" s="363"/>
      <c r="HCI83" s="364" t="s">
        <v>140</v>
      </c>
      <c r="HCJ83" s="365">
        <v>0.5</v>
      </c>
      <c r="HCK83" s="366" t="e">
        <f>10/HCG81</f>
        <v>#DIV/0!</v>
      </c>
      <c r="HCL83" s="367">
        <v>15.38</v>
      </c>
      <c r="HCM83" s="367" t="e">
        <f>HCJ83*HCK83*HCL83</f>
        <v>#DIV/0!</v>
      </c>
      <c r="HCN83" s="363" t="s">
        <v>153</v>
      </c>
      <c r="HCO83" s="363"/>
      <c r="HCP83" s="363"/>
      <c r="HCQ83" s="364" t="s">
        <v>140</v>
      </c>
      <c r="HCR83" s="365">
        <v>0.5</v>
      </c>
      <c r="HCS83" s="366" t="e">
        <f>10/HCO81</f>
        <v>#DIV/0!</v>
      </c>
      <c r="HCT83" s="367">
        <v>15.38</v>
      </c>
      <c r="HCU83" s="367" t="e">
        <f>HCR83*HCS83*HCT83</f>
        <v>#DIV/0!</v>
      </c>
      <c r="HCV83" s="363" t="s">
        <v>153</v>
      </c>
      <c r="HCW83" s="363"/>
      <c r="HCX83" s="363"/>
      <c r="HCY83" s="364" t="s">
        <v>140</v>
      </c>
      <c r="HCZ83" s="365">
        <v>0.5</v>
      </c>
      <c r="HDA83" s="366" t="e">
        <f>10/HCW81</f>
        <v>#DIV/0!</v>
      </c>
      <c r="HDB83" s="367">
        <v>15.38</v>
      </c>
      <c r="HDC83" s="367" t="e">
        <f>HCZ83*HDA83*HDB83</f>
        <v>#DIV/0!</v>
      </c>
      <c r="HDD83" s="363" t="s">
        <v>153</v>
      </c>
      <c r="HDE83" s="363"/>
      <c r="HDF83" s="363"/>
      <c r="HDG83" s="364" t="s">
        <v>140</v>
      </c>
      <c r="HDH83" s="365">
        <v>0.5</v>
      </c>
      <c r="HDI83" s="366" t="e">
        <f>10/HDE81</f>
        <v>#DIV/0!</v>
      </c>
      <c r="HDJ83" s="367">
        <v>15.38</v>
      </c>
      <c r="HDK83" s="367" t="e">
        <f>HDH83*HDI83*HDJ83</f>
        <v>#DIV/0!</v>
      </c>
      <c r="HDL83" s="363" t="s">
        <v>153</v>
      </c>
      <c r="HDM83" s="363"/>
      <c r="HDN83" s="363"/>
      <c r="HDO83" s="364" t="s">
        <v>140</v>
      </c>
      <c r="HDP83" s="365">
        <v>0.5</v>
      </c>
      <c r="HDQ83" s="366" t="e">
        <f>10/HDM81</f>
        <v>#DIV/0!</v>
      </c>
      <c r="HDR83" s="367">
        <v>15.38</v>
      </c>
      <c r="HDS83" s="367" t="e">
        <f>HDP83*HDQ83*HDR83</f>
        <v>#DIV/0!</v>
      </c>
      <c r="HDT83" s="363" t="s">
        <v>153</v>
      </c>
      <c r="HDU83" s="363"/>
      <c r="HDV83" s="363"/>
      <c r="HDW83" s="364" t="s">
        <v>140</v>
      </c>
      <c r="HDX83" s="365">
        <v>0.5</v>
      </c>
      <c r="HDY83" s="366" t="e">
        <f>10/HDU81</f>
        <v>#DIV/0!</v>
      </c>
      <c r="HDZ83" s="367">
        <v>15.38</v>
      </c>
      <c r="HEA83" s="367" t="e">
        <f>HDX83*HDY83*HDZ83</f>
        <v>#DIV/0!</v>
      </c>
      <c r="HEB83" s="363" t="s">
        <v>153</v>
      </c>
      <c r="HEC83" s="363"/>
      <c r="HED83" s="363"/>
      <c r="HEE83" s="364" t="s">
        <v>140</v>
      </c>
      <c r="HEF83" s="365">
        <v>0.5</v>
      </c>
      <c r="HEG83" s="366" t="e">
        <f>10/HEC81</f>
        <v>#DIV/0!</v>
      </c>
      <c r="HEH83" s="367">
        <v>15.38</v>
      </c>
      <c r="HEI83" s="367" t="e">
        <f>HEF83*HEG83*HEH83</f>
        <v>#DIV/0!</v>
      </c>
      <c r="HEJ83" s="363" t="s">
        <v>153</v>
      </c>
      <c r="HEK83" s="363"/>
      <c r="HEL83" s="363"/>
      <c r="HEM83" s="364" t="s">
        <v>140</v>
      </c>
      <c r="HEN83" s="365">
        <v>0.5</v>
      </c>
      <c r="HEO83" s="366" t="e">
        <f>10/HEK81</f>
        <v>#DIV/0!</v>
      </c>
      <c r="HEP83" s="367">
        <v>15.38</v>
      </c>
      <c r="HEQ83" s="367" t="e">
        <f>HEN83*HEO83*HEP83</f>
        <v>#DIV/0!</v>
      </c>
      <c r="HER83" s="363" t="s">
        <v>153</v>
      </c>
      <c r="HES83" s="363"/>
      <c r="HET83" s="363"/>
      <c r="HEU83" s="364" t="s">
        <v>140</v>
      </c>
      <c r="HEV83" s="365">
        <v>0.5</v>
      </c>
      <c r="HEW83" s="366" t="e">
        <f>10/HES81</f>
        <v>#DIV/0!</v>
      </c>
      <c r="HEX83" s="367">
        <v>15.38</v>
      </c>
      <c r="HEY83" s="367" t="e">
        <f>HEV83*HEW83*HEX83</f>
        <v>#DIV/0!</v>
      </c>
      <c r="HEZ83" s="363" t="s">
        <v>153</v>
      </c>
      <c r="HFA83" s="363"/>
      <c r="HFB83" s="363"/>
      <c r="HFC83" s="364" t="s">
        <v>140</v>
      </c>
      <c r="HFD83" s="365">
        <v>0.5</v>
      </c>
      <c r="HFE83" s="366" t="e">
        <f>10/HFA81</f>
        <v>#DIV/0!</v>
      </c>
      <c r="HFF83" s="367">
        <v>15.38</v>
      </c>
      <c r="HFG83" s="367" t="e">
        <f>HFD83*HFE83*HFF83</f>
        <v>#DIV/0!</v>
      </c>
      <c r="HFH83" s="363" t="s">
        <v>153</v>
      </c>
      <c r="HFI83" s="363"/>
      <c r="HFJ83" s="363"/>
      <c r="HFK83" s="364" t="s">
        <v>140</v>
      </c>
      <c r="HFL83" s="365">
        <v>0.5</v>
      </c>
      <c r="HFM83" s="366" t="e">
        <f>10/HFI81</f>
        <v>#DIV/0!</v>
      </c>
      <c r="HFN83" s="367">
        <v>15.38</v>
      </c>
      <c r="HFO83" s="367" t="e">
        <f>HFL83*HFM83*HFN83</f>
        <v>#DIV/0!</v>
      </c>
      <c r="HFP83" s="363" t="s">
        <v>153</v>
      </c>
      <c r="HFQ83" s="363"/>
      <c r="HFR83" s="363"/>
      <c r="HFS83" s="364" t="s">
        <v>140</v>
      </c>
      <c r="HFT83" s="365">
        <v>0.5</v>
      </c>
      <c r="HFU83" s="366" t="e">
        <f>10/HFQ81</f>
        <v>#DIV/0!</v>
      </c>
      <c r="HFV83" s="367">
        <v>15.38</v>
      </c>
      <c r="HFW83" s="367" t="e">
        <f>HFT83*HFU83*HFV83</f>
        <v>#DIV/0!</v>
      </c>
      <c r="HFX83" s="363" t="s">
        <v>153</v>
      </c>
      <c r="HFY83" s="363"/>
      <c r="HFZ83" s="363"/>
      <c r="HGA83" s="364" t="s">
        <v>140</v>
      </c>
      <c r="HGB83" s="365">
        <v>0.5</v>
      </c>
      <c r="HGC83" s="366" t="e">
        <f>10/HFY81</f>
        <v>#DIV/0!</v>
      </c>
      <c r="HGD83" s="367">
        <v>15.38</v>
      </c>
      <c r="HGE83" s="367" t="e">
        <f>HGB83*HGC83*HGD83</f>
        <v>#DIV/0!</v>
      </c>
      <c r="HGF83" s="363" t="s">
        <v>153</v>
      </c>
      <c r="HGG83" s="363"/>
      <c r="HGH83" s="363"/>
      <c r="HGI83" s="364" t="s">
        <v>140</v>
      </c>
      <c r="HGJ83" s="365">
        <v>0.5</v>
      </c>
      <c r="HGK83" s="366" t="e">
        <f>10/HGG81</f>
        <v>#DIV/0!</v>
      </c>
      <c r="HGL83" s="367">
        <v>15.38</v>
      </c>
      <c r="HGM83" s="367" t="e">
        <f>HGJ83*HGK83*HGL83</f>
        <v>#DIV/0!</v>
      </c>
      <c r="HGN83" s="363" t="s">
        <v>153</v>
      </c>
      <c r="HGO83" s="363"/>
      <c r="HGP83" s="363"/>
      <c r="HGQ83" s="364" t="s">
        <v>140</v>
      </c>
      <c r="HGR83" s="365">
        <v>0.5</v>
      </c>
      <c r="HGS83" s="366" t="e">
        <f>10/HGO81</f>
        <v>#DIV/0!</v>
      </c>
      <c r="HGT83" s="367">
        <v>15.38</v>
      </c>
      <c r="HGU83" s="367" t="e">
        <f>HGR83*HGS83*HGT83</f>
        <v>#DIV/0!</v>
      </c>
      <c r="HGV83" s="363" t="s">
        <v>153</v>
      </c>
      <c r="HGW83" s="363"/>
      <c r="HGX83" s="363"/>
      <c r="HGY83" s="364" t="s">
        <v>140</v>
      </c>
      <c r="HGZ83" s="365">
        <v>0.5</v>
      </c>
      <c r="HHA83" s="366" t="e">
        <f>10/HGW81</f>
        <v>#DIV/0!</v>
      </c>
      <c r="HHB83" s="367">
        <v>15.38</v>
      </c>
      <c r="HHC83" s="367" t="e">
        <f>HGZ83*HHA83*HHB83</f>
        <v>#DIV/0!</v>
      </c>
      <c r="HHD83" s="363" t="s">
        <v>153</v>
      </c>
      <c r="HHE83" s="363"/>
      <c r="HHF83" s="363"/>
      <c r="HHG83" s="364" t="s">
        <v>140</v>
      </c>
      <c r="HHH83" s="365">
        <v>0.5</v>
      </c>
      <c r="HHI83" s="366" t="e">
        <f>10/HHE81</f>
        <v>#DIV/0!</v>
      </c>
      <c r="HHJ83" s="367">
        <v>15.38</v>
      </c>
      <c r="HHK83" s="367" t="e">
        <f>HHH83*HHI83*HHJ83</f>
        <v>#DIV/0!</v>
      </c>
      <c r="HHL83" s="363" t="s">
        <v>153</v>
      </c>
      <c r="HHM83" s="363"/>
      <c r="HHN83" s="363"/>
      <c r="HHO83" s="364" t="s">
        <v>140</v>
      </c>
      <c r="HHP83" s="365">
        <v>0.5</v>
      </c>
      <c r="HHQ83" s="366" t="e">
        <f>10/HHM81</f>
        <v>#DIV/0!</v>
      </c>
      <c r="HHR83" s="367">
        <v>15.38</v>
      </c>
      <c r="HHS83" s="367" t="e">
        <f>HHP83*HHQ83*HHR83</f>
        <v>#DIV/0!</v>
      </c>
      <c r="HHT83" s="363" t="s">
        <v>153</v>
      </c>
      <c r="HHU83" s="363"/>
      <c r="HHV83" s="363"/>
      <c r="HHW83" s="364" t="s">
        <v>140</v>
      </c>
      <c r="HHX83" s="365">
        <v>0.5</v>
      </c>
      <c r="HHY83" s="366" t="e">
        <f>10/HHU81</f>
        <v>#DIV/0!</v>
      </c>
      <c r="HHZ83" s="367">
        <v>15.38</v>
      </c>
      <c r="HIA83" s="367" t="e">
        <f>HHX83*HHY83*HHZ83</f>
        <v>#DIV/0!</v>
      </c>
      <c r="HIB83" s="363" t="s">
        <v>153</v>
      </c>
      <c r="HIC83" s="363"/>
      <c r="HID83" s="363"/>
      <c r="HIE83" s="364" t="s">
        <v>140</v>
      </c>
      <c r="HIF83" s="365">
        <v>0.5</v>
      </c>
      <c r="HIG83" s="366" t="e">
        <f>10/HIC81</f>
        <v>#DIV/0!</v>
      </c>
      <c r="HIH83" s="367">
        <v>15.38</v>
      </c>
      <c r="HII83" s="367" t="e">
        <f>HIF83*HIG83*HIH83</f>
        <v>#DIV/0!</v>
      </c>
      <c r="HIJ83" s="363" t="s">
        <v>153</v>
      </c>
      <c r="HIK83" s="363"/>
      <c r="HIL83" s="363"/>
      <c r="HIM83" s="364" t="s">
        <v>140</v>
      </c>
      <c r="HIN83" s="365">
        <v>0.5</v>
      </c>
      <c r="HIO83" s="366" t="e">
        <f>10/HIK81</f>
        <v>#DIV/0!</v>
      </c>
      <c r="HIP83" s="367">
        <v>15.38</v>
      </c>
      <c r="HIQ83" s="367" t="e">
        <f>HIN83*HIO83*HIP83</f>
        <v>#DIV/0!</v>
      </c>
      <c r="HIR83" s="363" t="s">
        <v>153</v>
      </c>
      <c r="HIS83" s="363"/>
      <c r="HIT83" s="363"/>
      <c r="HIU83" s="364" t="s">
        <v>140</v>
      </c>
      <c r="HIV83" s="365">
        <v>0.5</v>
      </c>
      <c r="HIW83" s="366" t="e">
        <f>10/HIS81</f>
        <v>#DIV/0!</v>
      </c>
      <c r="HIX83" s="367">
        <v>15.38</v>
      </c>
      <c r="HIY83" s="367" t="e">
        <f>HIV83*HIW83*HIX83</f>
        <v>#DIV/0!</v>
      </c>
      <c r="HIZ83" s="363" t="s">
        <v>153</v>
      </c>
      <c r="HJA83" s="363"/>
      <c r="HJB83" s="363"/>
      <c r="HJC83" s="364" t="s">
        <v>140</v>
      </c>
      <c r="HJD83" s="365">
        <v>0.5</v>
      </c>
      <c r="HJE83" s="366" t="e">
        <f>10/HJA81</f>
        <v>#DIV/0!</v>
      </c>
      <c r="HJF83" s="367">
        <v>15.38</v>
      </c>
      <c r="HJG83" s="367" t="e">
        <f>HJD83*HJE83*HJF83</f>
        <v>#DIV/0!</v>
      </c>
      <c r="HJH83" s="363" t="s">
        <v>153</v>
      </c>
      <c r="HJI83" s="363"/>
      <c r="HJJ83" s="363"/>
      <c r="HJK83" s="364" t="s">
        <v>140</v>
      </c>
      <c r="HJL83" s="365">
        <v>0.5</v>
      </c>
      <c r="HJM83" s="366" t="e">
        <f>10/HJI81</f>
        <v>#DIV/0!</v>
      </c>
      <c r="HJN83" s="367">
        <v>15.38</v>
      </c>
      <c r="HJO83" s="367" t="e">
        <f>HJL83*HJM83*HJN83</f>
        <v>#DIV/0!</v>
      </c>
      <c r="HJP83" s="363" t="s">
        <v>153</v>
      </c>
      <c r="HJQ83" s="363"/>
      <c r="HJR83" s="363"/>
      <c r="HJS83" s="364" t="s">
        <v>140</v>
      </c>
      <c r="HJT83" s="365">
        <v>0.5</v>
      </c>
      <c r="HJU83" s="366" t="e">
        <f>10/HJQ81</f>
        <v>#DIV/0!</v>
      </c>
      <c r="HJV83" s="367">
        <v>15.38</v>
      </c>
      <c r="HJW83" s="367" t="e">
        <f>HJT83*HJU83*HJV83</f>
        <v>#DIV/0!</v>
      </c>
      <c r="HJX83" s="363" t="s">
        <v>153</v>
      </c>
      <c r="HJY83" s="363"/>
      <c r="HJZ83" s="363"/>
      <c r="HKA83" s="364" t="s">
        <v>140</v>
      </c>
      <c r="HKB83" s="365">
        <v>0.5</v>
      </c>
      <c r="HKC83" s="366" t="e">
        <f>10/HJY81</f>
        <v>#DIV/0!</v>
      </c>
      <c r="HKD83" s="367">
        <v>15.38</v>
      </c>
      <c r="HKE83" s="367" t="e">
        <f>HKB83*HKC83*HKD83</f>
        <v>#DIV/0!</v>
      </c>
      <c r="HKF83" s="363" t="s">
        <v>153</v>
      </c>
      <c r="HKG83" s="363"/>
      <c r="HKH83" s="363"/>
      <c r="HKI83" s="364" t="s">
        <v>140</v>
      </c>
      <c r="HKJ83" s="365">
        <v>0.5</v>
      </c>
      <c r="HKK83" s="366" t="e">
        <f>10/HKG81</f>
        <v>#DIV/0!</v>
      </c>
      <c r="HKL83" s="367">
        <v>15.38</v>
      </c>
      <c r="HKM83" s="367" t="e">
        <f>HKJ83*HKK83*HKL83</f>
        <v>#DIV/0!</v>
      </c>
      <c r="HKN83" s="363" t="s">
        <v>153</v>
      </c>
      <c r="HKO83" s="363"/>
      <c r="HKP83" s="363"/>
      <c r="HKQ83" s="364" t="s">
        <v>140</v>
      </c>
      <c r="HKR83" s="365">
        <v>0.5</v>
      </c>
      <c r="HKS83" s="366" t="e">
        <f>10/HKO81</f>
        <v>#DIV/0!</v>
      </c>
      <c r="HKT83" s="367">
        <v>15.38</v>
      </c>
      <c r="HKU83" s="367" t="e">
        <f>HKR83*HKS83*HKT83</f>
        <v>#DIV/0!</v>
      </c>
      <c r="HKV83" s="363" t="s">
        <v>153</v>
      </c>
      <c r="HKW83" s="363"/>
      <c r="HKX83" s="363"/>
      <c r="HKY83" s="364" t="s">
        <v>140</v>
      </c>
      <c r="HKZ83" s="365">
        <v>0.5</v>
      </c>
      <c r="HLA83" s="366" t="e">
        <f>10/HKW81</f>
        <v>#DIV/0!</v>
      </c>
      <c r="HLB83" s="367">
        <v>15.38</v>
      </c>
      <c r="HLC83" s="367" t="e">
        <f>HKZ83*HLA83*HLB83</f>
        <v>#DIV/0!</v>
      </c>
      <c r="HLD83" s="363" t="s">
        <v>153</v>
      </c>
      <c r="HLE83" s="363"/>
      <c r="HLF83" s="363"/>
      <c r="HLG83" s="364" t="s">
        <v>140</v>
      </c>
      <c r="HLH83" s="365">
        <v>0.5</v>
      </c>
      <c r="HLI83" s="366" t="e">
        <f>10/HLE81</f>
        <v>#DIV/0!</v>
      </c>
      <c r="HLJ83" s="367">
        <v>15.38</v>
      </c>
      <c r="HLK83" s="367" t="e">
        <f>HLH83*HLI83*HLJ83</f>
        <v>#DIV/0!</v>
      </c>
      <c r="HLL83" s="363" t="s">
        <v>153</v>
      </c>
      <c r="HLM83" s="363"/>
      <c r="HLN83" s="363"/>
      <c r="HLO83" s="364" t="s">
        <v>140</v>
      </c>
      <c r="HLP83" s="365">
        <v>0.5</v>
      </c>
      <c r="HLQ83" s="366" t="e">
        <f>10/HLM81</f>
        <v>#DIV/0!</v>
      </c>
      <c r="HLR83" s="367">
        <v>15.38</v>
      </c>
      <c r="HLS83" s="367" t="e">
        <f>HLP83*HLQ83*HLR83</f>
        <v>#DIV/0!</v>
      </c>
      <c r="HLT83" s="363" t="s">
        <v>153</v>
      </c>
      <c r="HLU83" s="363"/>
      <c r="HLV83" s="363"/>
      <c r="HLW83" s="364" t="s">
        <v>140</v>
      </c>
      <c r="HLX83" s="365">
        <v>0.5</v>
      </c>
      <c r="HLY83" s="366" t="e">
        <f>10/HLU81</f>
        <v>#DIV/0!</v>
      </c>
      <c r="HLZ83" s="367">
        <v>15.38</v>
      </c>
      <c r="HMA83" s="367" t="e">
        <f>HLX83*HLY83*HLZ83</f>
        <v>#DIV/0!</v>
      </c>
      <c r="HMB83" s="363" t="s">
        <v>153</v>
      </c>
      <c r="HMC83" s="363"/>
      <c r="HMD83" s="363"/>
      <c r="HME83" s="364" t="s">
        <v>140</v>
      </c>
      <c r="HMF83" s="365">
        <v>0.5</v>
      </c>
      <c r="HMG83" s="366" t="e">
        <f>10/HMC81</f>
        <v>#DIV/0!</v>
      </c>
      <c r="HMH83" s="367">
        <v>15.38</v>
      </c>
      <c r="HMI83" s="367" t="e">
        <f>HMF83*HMG83*HMH83</f>
        <v>#DIV/0!</v>
      </c>
      <c r="HMJ83" s="363" t="s">
        <v>153</v>
      </c>
      <c r="HMK83" s="363"/>
      <c r="HML83" s="363"/>
      <c r="HMM83" s="364" t="s">
        <v>140</v>
      </c>
      <c r="HMN83" s="365">
        <v>0.5</v>
      </c>
      <c r="HMO83" s="366" t="e">
        <f>10/HMK81</f>
        <v>#DIV/0!</v>
      </c>
      <c r="HMP83" s="367">
        <v>15.38</v>
      </c>
      <c r="HMQ83" s="367" t="e">
        <f>HMN83*HMO83*HMP83</f>
        <v>#DIV/0!</v>
      </c>
      <c r="HMR83" s="363" t="s">
        <v>153</v>
      </c>
      <c r="HMS83" s="363"/>
      <c r="HMT83" s="363"/>
      <c r="HMU83" s="364" t="s">
        <v>140</v>
      </c>
      <c r="HMV83" s="365">
        <v>0.5</v>
      </c>
      <c r="HMW83" s="366" t="e">
        <f>10/HMS81</f>
        <v>#DIV/0!</v>
      </c>
      <c r="HMX83" s="367">
        <v>15.38</v>
      </c>
      <c r="HMY83" s="367" t="e">
        <f>HMV83*HMW83*HMX83</f>
        <v>#DIV/0!</v>
      </c>
      <c r="HMZ83" s="363" t="s">
        <v>153</v>
      </c>
      <c r="HNA83" s="363"/>
      <c r="HNB83" s="363"/>
      <c r="HNC83" s="364" t="s">
        <v>140</v>
      </c>
      <c r="HND83" s="365">
        <v>0.5</v>
      </c>
      <c r="HNE83" s="366" t="e">
        <f>10/HNA81</f>
        <v>#DIV/0!</v>
      </c>
      <c r="HNF83" s="367">
        <v>15.38</v>
      </c>
      <c r="HNG83" s="367" t="e">
        <f>HND83*HNE83*HNF83</f>
        <v>#DIV/0!</v>
      </c>
      <c r="HNH83" s="363" t="s">
        <v>153</v>
      </c>
      <c r="HNI83" s="363"/>
      <c r="HNJ83" s="363"/>
      <c r="HNK83" s="364" t="s">
        <v>140</v>
      </c>
      <c r="HNL83" s="365">
        <v>0.5</v>
      </c>
      <c r="HNM83" s="366" t="e">
        <f>10/HNI81</f>
        <v>#DIV/0!</v>
      </c>
      <c r="HNN83" s="367">
        <v>15.38</v>
      </c>
      <c r="HNO83" s="367" t="e">
        <f>HNL83*HNM83*HNN83</f>
        <v>#DIV/0!</v>
      </c>
      <c r="HNP83" s="363" t="s">
        <v>153</v>
      </c>
      <c r="HNQ83" s="363"/>
      <c r="HNR83" s="363"/>
      <c r="HNS83" s="364" t="s">
        <v>140</v>
      </c>
      <c r="HNT83" s="365">
        <v>0.5</v>
      </c>
      <c r="HNU83" s="366" t="e">
        <f>10/HNQ81</f>
        <v>#DIV/0!</v>
      </c>
      <c r="HNV83" s="367">
        <v>15.38</v>
      </c>
      <c r="HNW83" s="367" t="e">
        <f>HNT83*HNU83*HNV83</f>
        <v>#DIV/0!</v>
      </c>
      <c r="HNX83" s="363" t="s">
        <v>153</v>
      </c>
      <c r="HNY83" s="363"/>
      <c r="HNZ83" s="363"/>
      <c r="HOA83" s="364" t="s">
        <v>140</v>
      </c>
      <c r="HOB83" s="365">
        <v>0.5</v>
      </c>
      <c r="HOC83" s="366" t="e">
        <f>10/HNY81</f>
        <v>#DIV/0!</v>
      </c>
      <c r="HOD83" s="367">
        <v>15.38</v>
      </c>
      <c r="HOE83" s="367" t="e">
        <f>HOB83*HOC83*HOD83</f>
        <v>#DIV/0!</v>
      </c>
      <c r="HOF83" s="363" t="s">
        <v>153</v>
      </c>
      <c r="HOG83" s="363"/>
      <c r="HOH83" s="363"/>
      <c r="HOI83" s="364" t="s">
        <v>140</v>
      </c>
      <c r="HOJ83" s="365">
        <v>0.5</v>
      </c>
      <c r="HOK83" s="366" t="e">
        <f>10/HOG81</f>
        <v>#DIV/0!</v>
      </c>
      <c r="HOL83" s="367">
        <v>15.38</v>
      </c>
      <c r="HOM83" s="367" t="e">
        <f>HOJ83*HOK83*HOL83</f>
        <v>#DIV/0!</v>
      </c>
      <c r="HON83" s="363" t="s">
        <v>153</v>
      </c>
      <c r="HOO83" s="363"/>
      <c r="HOP83" s="363"/>
      <c r="HOQ83" s="364" t="s">
        <v>140</v>
      </c>
      <c r="HOR83" s="365">
        <v>0.5</v>
      </c>
      <c r="HOS83" s="366" t="e">
        <f>10/HOO81</f>
        <v>#DIV/0!</v>
      </c>
      <c r="HOT83" s="367">
        <v>15.38</v>
      </c>
      <c r="HOU83" s="367" t="e">
        <f>HOR83*HOS83*HOT83</f>
        <v>#DIV/0!</v>
      </c>
      <c r="HOV83" s="363" t="s">
        <v>153</v>
      </c>
      <c r="HOW83" s="363"/>
      <c r="HOX83" s="363"/>
      <c r="HOY83" s="364" t="s">
        <v>140</v>
      </c>
      <c r="HOZ83" s="365">
        <v>0.5</v>
      </c>
      <c r="HPA83" s="366" t="e">
        <f>10/HOW81</f>
        <v>#DIV/0!</v>
      </c>
      <c r="HPB83" s="367">
        <v>15.38</v>
      </c>
      <c r="HPC83" s="367" t="e">
        <f>HOZ83*HPA83*HPB83</f>
        <v>#DIV/0!</v>
      </c>
      <c r="HPD83" s="363" t="s">
        <v>153</v>
      </c>
      <c r="HPE83" s="363"/>
      <c r="HPF83" s="363"/>
      <c r="HPG83" s="364" t="s">
        <v>140</v>
      </c>
      <c r="HPH83" s="365">
        <v>0.5</v>
      </c>
      <c r="HPI83" s="366" t="e">
        <f>10/HPE81</f>
        <v>#DIV/0!</v>
      </c>
      <c r="HPJ83" s="367">
        <v>15.38</v>
      </c>
      <c r="HPK83" s="367" t="e">
        <f>HPH83*HPI83*HPJ83</f>
        <v>#DIV/0!</v>
      </c>
      <c r="HPL83" s="363" t="s">
        <v>153</v>
      </c>
      <c r="HPM83" s="363"/>
      <c r="HPN83" s="363"/>
      <c r="HPO83" s="364" t="s">
        <v>140</v>
      </c>
      <c r="HPP83" s="365">
        <v>0.5</v>
      </c>
      <c r="HPQ83" s="366" t="e">
        <f>10/HPM81</f>
        <v>#DIV/0!</v>
      </c>
      <c r="HPR83" s="367">
        <v>15.38</v>
      </c>
      <c r="HPS83" s="367" t="e">
        <f>HPP83*HPQ83*HPR83</f>
        <v>#DIV/0!</v>
      </c>
      <c r="HPT83" s="363" t="s">
        <v>153</v>
      </c>
      <c r="HPU83" s="363"/>
      <c r="HPV83" s="363"/>
      <c r="HPW83" s="364" t="s">
        <v>140</v>
      </c>
      <c r="HPX83" s="365">
        <v>0.5</v>
      </c>
      <c r="HPY83" s="366" t="e">
        <f>10/HPU81</f>
        <v>#DIV/0!</v>
      </c>
      <c r="HPZ83" s="367">
        <v>15.38</v>
      </c>
      <c r="HQA83" s="367" t="e">
        <f>HPX83*HPY83*HPZ83</f>
        <v>#DIV/0!</v>
      </c>
      <c r="HQB83" s="363" t="s">
        <v>153</v>
      </c>
      <c r="HQC83" s="363"/>
      <c r="HQD83" s="363"/>
      <c r="HQE83" s="364" t="s">
        <v>140</v>
      </c>
      <c r="HQF83" s="365">
        <v>0.5</v>
      </c>
      <c r="HQG83" s="366" t="e">
        <f>10/HQC81</f>
        <v>#DIV/0!</v>
      </c>
      <c r="HQH83" s="367">
        <v>15.38</v>
      </c>
      <c r="HQI83" s="367" t="e">
        <f>HQF83*HQG83*HQH83</f>
        <v>#DIV/0!</v>
      </c>
      <c r="HQJ83" s="363" t="s">
        <v>153</v>
      </c>
      <c r="HQK83" s="363"/>
      <c r="HQL83" s="363"/>
      <c r="HQM83" s="364" t="s">
        <v>140</v>
      </c>
      <c r="HQN83" s="365">
        <v>0.5</v>
      </c>
      <c r="HQO83" s="366" t="e">
        <f>10/HQK81</f>
        <v>#DIV/0!</v>
      </c>
      <c r="HQP83" s="367">
        <v>15.38</v>
      </c>
      <c r="HQQ83" s="367" t="e">
        <f>HQN83*HQO83*HQP83</f>
        <v>#DIV/0!</v>
      </c>
      <c r="HQR83" s="363" t="s">
        <v>153</v>
      </c>
      <c r="HQS83" s="363"/>
      <c r="HQT83" s="363"/>
      <c r="HQU83" s="364" t="s">
        <v>140</v>
      </c>
      <c r="HQV83" s="365">
        <v>0.5</v>
      </c>
      <c r="HQW83" s="366" t="e">
        <f>10/HQS81</f>
        <v>#DIV/0!</v>
      </c>
      <c r="HQX83" s="367">
        <v>15.38</v>
      </c>
      <c r="HQY83" s="367" t="e">
        <f>HQV83*HQW83*HQX83</f>
        <v>#DIV/0!</v>
      </c>
      <c r="HQZ83" s="363" t="s">
        <v>153</v>
      </c>
      <c r="HRA83" s="363"/>
      <c r="HRB83" s="363"/>
      <c r="HRC83" s="364" t="s">
        <v>140</v>
      </c>
      <c r="HRD83" s="365">
        <v>0.5</v>
      </c>
      <c r="HRE83" s="366" t="e">
        <f>10/HRA81</f>
        <v>#DIV/0!</v>
      </c>
      <c r="HRF83" s="367">
        <v>15.38</v>
      </c>
      <c r="HRG83" s="367" t="e">
        <f>HRD83*HRE83*HRF83</f>
        <v>#DIV/0!</v>
      </c>
      <c r="HRH83" s="363" t="s">
        <v>153</v>
      </c>
      <c r="HRI83" s="363"/>
      <c r="HRJ83" s="363"/>
      <c r="HRK83" s="364" t="s">
        <v>140</v>
      </c>
      <c r="HRL83" s="365">
        <v>0.5</v>
      </c>
      <c r="HRM83" s="366" t="e">
        <f>10/HRI81</f>
        <v>#DIV/0!</v>
      </c>
      <c r="HRN83" s="367">
        <v>15.38</v>
      </c>
      <c r="HRO83" s="367" t="e">
        <f>HRL83*HRM83*HRN83</f>
        <v>#DIV/0!</v>
      </c>
      <c r="HRP83" s="363" t="s">
        <v>153</v>
      </c>
      <c r="HRQ83" s="363"/>
      <c r="HRR83" s="363"/>
      <c r="HRS83" s="364" t="s">
        <v>140</v>
      </c>
      <c r="HRT83" s="365">
        <v>0.5</v>
      </c>
      <c r="HRU83" s="366" t="e">
        <f>10/HRQ81</f>
        <v>#DIV/0!</v>
      </c>
      <c r="HRV83" s="367">
        <v>15.38</v>
      </c>
      <c r="HRW83" s="367" t="e">
        <f>HRT83*HRU83*HRV83</f>
        <v>#DIV/0!</v>
      </c>
      <c r="HRX83" s="363" t="s">
        <v>153</v>
      </c>
      <c r="HRY83" s="363"/>
      <c r="HRZ83" s="363"/>
      <c r="HSA83" s="364" t="s">
        <v>140</v>
      </c>
      <c r="HSB83" s="365">
        <v>0.5</v>
      </c>
      <c r="HSC83" s="366" t="e">
        <f>10/HRY81</f>
        <v>#DIV/0!</v>
      </c>
      <c r="HSD83" s="367">
        <v>15.38</v>
      </c>
      <c r="HSE83" s="367" t="e">
        <f>HSB83*HSC83*HSD83</f>
        <v>#DIV/0!</v>
      </c>
      <c r="HSF83" s="363" t="s">
        <v>153</v>
      </c>
      <c r="HSG83" s="363"/>
      <c r="HSH83" s="363"/>
      <c r="HSI83" s="364" t="s">
        <v>140</v>
      </c>
      <c r="HSJ83" s="365">
        <v>0.5</v>
      </c>
      <c r="HSK83" s="366" t="e">
        <f>10/HSG81</f>
        <v>#DIV/0!</v>
      </c>
      <c r="HSL83" s="367">
        <v>15.38</v>
      </c>
      <c r="HSM83" s="367" t="e">
        <f>HSJ83*HSK83*HSL83</f>
        <v>#DIV/0!</v>
      </c>
      <c r="HSN83" s="363" t="s">
        <v>153</v>
      </c>
      <c r="HSO83" s="363"/>
      <c r="HSP83" s="363"/>
      <c r="HSQ83" s="364" t="s">
        <v>140</v>
      </c>
      <c r="HSR83" s="365">
        <v>0.5</v>
      </c>
      <c r="HSS83" s="366" t="e">
        <f>10/HSO81</f>
        <v>#DIV/0!</v>
      </c>
      <c r="HST83" s="367">
        <v>15.38</v>
      </c>
      <c r="HSU83" s="367" t="e">
        <f>HSR83*HSS83*HST83</f>
        <v>#DIV/0!</v>
      </c>
      <c r="HSV83" s="363" t="s">
        <v>153</v>
      </c>
      <c r="HSW83" s="363"/>
      <c r="HSX83" s="363"/>
      <c r="HSY83" s="364" t="s">
        <v>140</v>
      </c>
      <c r="HSZ83" s="365">
        <v>0.5</v>
      </c>
      <c r="HTA83" s="366" t="e">
        <f>10/HSW81</f>
        <v>#DIV/0!</v>
      </c>
      <c r="HTB83" s="367">
        <v>15.38</v>
      </c>
      <c r="HTC83" s="367" t="e">
        <f>HSZ83*HTA83*HTB83</f>
        <v>#DIV/0!</v>
      </c>
      <c r="HTD83" s="363" t="s">
        <v>153</v>
      </c>
      <c r="HTE83" s="363"/>
      <c r="HTF83" s="363"/>
      <c r="HTG83" s="364" t="s">
        <v>140</v>
      </c>
      <c r="HTH83" s="365">
        <v>0.5</v>
      </c>
      <c r="HTI83" s="366" t="e">
        <f>10/HTE81</f>
        <v>#DIV/0!</v>
      </c>
      <c r="HTJ83" s="367">
        <v>15.38</v>
      </c>
      <c r="HTK83" s="367" t="e">
        <f>HTH83*HTI83*HTJ83</f>
        <v>#DIV/0!</v>
      </c>
      <c r="HTL83" s="363" t="s">
        <v>153</v>
      </c>
      <c r="HTM83" s="363"/>
      <c r="HTN83" s="363"/>
      <c r="HTO83" s="364" t="s">
        <v>140</v>
      </c>
      <c r="HTP83" s="365">
        <v>0.5</v>
      </c>
      <c r="HTQ83" s="366" t="e">
        <f>10/HTM81</f>
        <v>#DIV/0!</v>
      </c>
      <c r="HTR83" s="367">
        <v>15.38</v>
      </c>
      <c r="HTS83" s="367" t="e">
        <f>HTP83*HTQ83*HTR83</f>
        <v>#DIV/0!</v>
      </c>
      <c r="HTT83" s="363" t="s">
        <v>153</v>
      </c>
      <c r="HTU83" s="363"/>
      <c r="HTV83" s="363"/>
      <c r="HTW83" s="364" t="s">
        <v>140</v>
      </c>
      <c r="HTX83" s="365">
        <v>0.5</v>
      </c>
      <c r="HTY83" s="366" t="e">
        <f>10/HTU81</f>
        <v>#DIV/0!</v>
      </c>
      <c r="HTZ83" s="367">
        <v>15.38</v>
      </c>
      <c r="HUA83" s="367" t="e">
        <f>HTX83*HTY83*HTZ83</f>
        <v>#DIV/0!</v>
      </c>
      <c r="HUB83" s="363" t="s">
        <v>153</v>
      </c>
      <c r="HUC83" s="363"/>
      <c r="HUD83" s="363"/>
      <c r="HUE83" s="364" t="s">
        <v>140</v>
      </c>
      <c r="HUF83" s="365">
        <v>0.5</v>
      </c>
      <c r="HUG83" s="366" t="e">
        <f>10/HUC81</f>
        <v>#DIV/0!</v>
      </c>
      <c r="HUH83" s="367">
        <v>15.38</v>
      </c>
      <c r="HUI83" s="367" t="e">
        <f>HUF83*HUG83*HUH83</f>
        <v>#DIV/0!</v>
      </c>
      <c r="HUJ83" s="363" t="s">
        <v>153</v>
      </c>
      <c r="HUK83" s="363"/>
      <c r="HUL83" s="363"/>
      <c r="HUM83" s="364" t="s">
        <v>140</v>
      </c>
      <c r="HUN83" s="365">
        <v>0.5</v>
      </c>
      <c r="HUO83" s="366" t="e">
        <f>10/HUK81</f>
        <v>#DIV/0!</v>
      </c>
      <c r="HUP83" s="367">
        <v>15.38</v>
      </c>
      <c r="HUQ83" s="367" t="e">
        <f>HUN83*HUO83*HUP83</f>
        <v>#DIV/0!</v>
      </c>
      <c r="HUR83" s="363" t="s">
        <v>153</v>
      </c>
      <c r="HUS83" s="363"/>
      <c r="HUT83" s="363"/>
      <c r="HUU83" s="364" t="s">
        <v>140</v>
      </c>
      <c r="HUV83" s="365">
        <v>0.5</v>
      </c>
      <c r="HUW83" s="366" t="e">
        <f>10/HUS81</f>
        <v>#DIV/0!</v>
      </c>
      <c r="HUX83" s="367">
        <v>15.38</v>
      </c>
      <c r="HUY83" s="367" t="e">
        <f>HUV83*HUW83*HUX83</f>
        <v>#DIV/0!</v>
      </c>
      <c r="HUZ83" s="363" t="s">
        <v>153</v>
      </c>
      <c r="HVA83" s="363"/>
      <c r="HVB83" s="363"/>
      <c r="HVC83" s="364" t="s">
        <v>140</v>
      </c>
      <c r="HVD83" s="365">
        <v>0.5</v>
      </c>
      <c r="HVE83" s="366" t="e">
        <f>10/HVA81</f>
        <v>#DIV/0!</v>
      </c>
      <c r="HVF83" s="367">
        <v>15.38</v>
      </c>
      <c r="HVG83" s="367" t="e">
        <f>HVD83*HVE83*HVF83</f>
        <v>#DIV/0!</v>
      </c>
      <c r="HVH83" s="363" t="s">
        <v>153</v>
      </c>
      <c r="HVI83" s="363"/>
      <c r="HVJ83" s="363"/>
      <c r="HVK83" s="364" t="s">
        <v>140</v>
      </c>
      <c r="HVL83" s="365">
        <v>0.5</v>
      </c>
      <c r="HVM83" s="366" t="e">
        <f>10/HVI81</f>
        <v>#DIV/0!</v>
      </c>
      <c r="HVN83" s="367">
        <v>15.38</v>
      </c>
      <c r="HVO83" s="367" t="e">
        <f>HVL83*HVM83*HVN83</f>
        <v>#DIV/0!</v>
      </c>
      <c r="HVP83" s="363" t="s">
        <v>153</v>
      </c>
      <c r="HVQ83" s="363"/>
      <c r="HVR83" s="363"/>
      <c r="HVS83" s="364" t="s">
        <v>140</v>
      </c>
      <c r="HVT83" s="365">
        <v>0.5</v>
      </c>
      <c r="HVU83" s="366" t="e">
        <f>10/HVQ81</f>
        <v>#DIV/0!</v>
      </c>
      <c r="HVV83" s="367">
        <v>15.38</v>
      </c>
      <c r="HVW83" s="367" t="e">
        <f>HVT83*HVU83*HVV83</f>
        <v>#DIV/0!</v>
      </c>
      <c r="HVX83" s="363" t="s">
        <v>153</v>
      </c>
      <c r="HVY83" s="363"/>
      <c r="HVZ83" s="363"/>
      <c r="HWA83" s="364" t="s">
        <v>140</v>
      </c>
      <c r="HWB83" s="365">
        <v>0.5</v>
      </c>
      <c r="HWC83" s="366" t="e">
        <f>10/HVY81</f>
        <v>#DIV/0!</v>
      </c>
      <c r="HWD83" s="367">
        <v>15.38</v>
      </c>
      <c r="HWE83" s="367" t="e">
        <f>HWB83*HWC83*HWD83</f>
        <v>#DIV/0!</v>
      </c>
      <c r="HWF83" s="363" t="s">
        <v>153</v>
      </c>
      <c r="HWG83" s="363"/>
      <c r="HWH83" s="363"/>
      <c r="HWI83" s="364" t="s">
        <v>140</v>
      </c>
      <c r="HWJ83" s="365">
        <v>0.5</v>
      </c>
      <c r="HWK83" s="366" t="e">
        <f>10/HWG81</f>
        <v>#DIV/0!</v>
      </c>
      <c r="HWL83" s="367">
        <v>15.38</v>
      </c>
      <c r="HWM83" s="367" t="e">
        <f>HWJ83*HWK83*HWL83</f>
        <v>#DIV/0!</v>
      </c>
      <c r="HWN83" s="363" t="s">
        <v>153</v>
      </c>
      <c r="HWO83" s="363"/>
      <c r="HWP83" s="363"/>
      <c r="HWQ83" s="364" t="s">
        <v>140</v>
      </c>
      <c r="HWR83" s="365">
        <v>0.5</v>
      </c>
      <c r="HWS83" s="366" t="e">
        <f>10/HWO81</f>
        <v>#DIV/0!</v>
      </c>
      <c r="HWT83" s="367">
        <v>15.38</v>
      </c>
      <c r="HWU83" s="367" t="e">
        <f>HWR83*HWS83*HWT83</f>
        <v>#DIV/0!</v>
      </c>
      <c r="HWV83" s="363" t="s">
        <v>153</v>
      </c>
      <c r="HWW83" s="363"/>
      <c r="HWX83" s="363"/>
      <c r="HWY83" s="364" t="s">
        <v>140</v>
      </c>
      <c r="HWZ83" s="365">
        <v>0.5</v>
      </c>
      <c r="HXA83" s="366" t="e">
        <f>10/HWW81</f>
        <v>#DIV/0!</v>
      </c>
      <c r="HXB83" s="367">
        <v>15.38</v>
      </c>
      <c r="HXC83" s="367" t="e">
        <f>HWZ83*HXA83*HXB83</f>
        <v>#DIV/0!</v>
      </c>
      <c r="HXD83" s="363" t="s">
        <v>153</v>
      </c>
      <c r="HXE83" s="363"/>
      <c r="HXF83" s="363"/>
      <c r="HXG83" s="364" t="s">
        <v>140</v>
      </c>
      <c r="HXH83" s="365">
        <v>0.5</v>
      </c>
      <c r="HXI83" s="366" t="e">
        <f>10/HXE81</f>
        <v>#DIV/0!</v>
      </c>
      <c r="HXJ83" s="367">
        <v>15.38</v>
      </c>
      <c r="HXK83" s="367" t="e">
        <f>HXH83*HXI83*HXJ83</f>
        <v>#DIV/0!</v>
      </c>
      <c r="HXL83" s="363" t="s">
        <v>153</v>
      </c>
      <c r="HXM83" s="363"/>
      <c r="HXN83" s="363"/>
      <c r="HXO83" s="364" t="s">
        <v>140</v>
      </c>
      <c r="HXP83" s="365">
        <v>0.5</v>
      </c>
      <c r="HXQ83" s="366" t="e">
        <f>10/HXM81</f>
        <v>#DIV/0!</v>
      </c>
      <c r="HXR83" s="367">
        <v>15.38</v>
      </c>
      <c r="HXS83" s="367" t="e">
        <f>HXP83*HXQ83*HXR83</f>
        <v>#DIV/0!</v>
      </c>
      <c r="HXT83" s="363" t="s">
        <v>153</v>
      </c>
      <c r="HXU83" s="363"/>
      <c r="HXV83" s="363"/>
      <c r="HXW83" s="364" t="s">
        <v>140</v>
      </c>
      <c r="HXX83" s="365">
        <v>0.5</v>
      </c>
      <c r="HXY83" s="366" t="e">
        <f>10/HXU81</f>
        <v>#DIV/0!</v>
      </c>
      <c r="HXZ83" s="367">
        <v>15.38</v>
      </c>
      <c r="HYA83" s="367" t="e">
        <f>HXX83*HXY83*HXZ83</f>
        <v>#DIV/0!</v>
      </c>
      <c r="HYB83" s="363" t="s">
        <v>153</v>
      </c>
      <c r="HYC83" s="363"/>
      <c r="HYD83" s="363"/>
      <c r="HYE83" s="364" t="s">
        <v>140</v>
      </c>
      <c r="HYF83" s="365">
        <v>0.5</v>
      </c>
      <c r="HYG83" s="366" t="e">
        <f>10/HYC81</f>
        <v>#DIV/0!</v>
      </c>
      <c r="HYH83" s="367">
        <v>15.38</v>
      </c>
      <c r="HYI83" s="367" t="e">
        <f>HYF83*HYG83*HYH83</f>
        <v>#DIV/0!</v>
      </c>
      <c r="HYJ83" s="363" t="s">
        <v>153</v>
      </c>
      <c r="HYK83" s="363"/>
      <c r="HYL83" s="363"/>
      <c r="HYM83" s="364" t="s">
        <v>140</v>
      </c>
      <c r="HYN83" s="365">
        <v>0.5</v>
      </c>
      <c r="HYO83" s="366" t="e">
        <f>10/HYK81</f>
        <v>#DIV/0!</v>
      </c>
      <c r="HYP83" s="367">
        <v>15.38</v>
      </c>
      <c r="HYQ83" s="367" t="e">
        <f>HYN83*HYO83*HYP83</f>
        <v>#DIV/0!</v>
      </c>
      <c r="HYR83" s="363" t="s">
        <v>153</v>
      </c>
      <c r="HYS83" s="363"/>
      <c r="HYT83" s="363"/>
      <c r="HYU83" s="364" t="s">
        <v>140</v>
      </c>
      <c r="HYV83" s="365">
        <v>0.5</v>
      </c>
      <c r="HYW83" s="366" t="e">
        <f>10/HYS81</f>
        <v>#DIV/0!</v>
      </c>
      <c r="HYX83" s="367">
        <v>15.38</v>
      </c>
      <c r="HYY83" s="367" t="e">
        <f>HYV83*HYW83*HYX83</f>
        <v>#DIV/0!</v>
      </c>
      <c r="HYZ83" s="363" t="s">
        <v>153</v>
      </c>
      <c r="HZA83" s="363"/>
      <c r="HZB83" s="363"/>
      <c r="HZC83" s="364" t="s">
        <v>140</v>
      </c>
      <c r="HZD83" s="365">
        <v>0.5</v>
      </c>
      <c r="HZE83" s="366" t="e">
        <f>10/HZA81</f>
        <v>#DIV/0!</v>
      </c>
      <c r="HZF83" s="367">
        <v>15.38</v>
      </c>
      <c r="HZG83" s="367" t="e">
        <f>HZD83*HZE83*HZF83</f>
        <v>#DIV/0!</v>
      </c>
      <c r="HZH83" s="363" t="s">
        <v>153</v>
      </c>
      <c r="HZI83" s="363"/>
      <c r="HZJ83" s="363"/>
      <c r="HZK83" s="364" t="s">
        <v>140</v>
      </c>
      <c r="HZL83" s="365">
        <v>0.5</v>
      </c>
      <c r="HZM83" s="366" t="e">
        <f>10/HZI81</f>
        <v>#DIV/0!</v>
      </c>
      <c r="HZN83" s="367">
        <v>15.38</v>
      </c>
      <c r="HZO83" s="367" t="e">
        <f>HZL83*HZM83*HZN83</f>
        <v>#DIV/0!</v>
      </c>
      <c r="HZP83" s="363" t="s">
        <v>153</v>
      </c>
      <c r="HZQ83" s="363"/>
      <c r="HZR83" s="363"/>
      <c r="HZS83" s="364" t="s">
        <v>140</v>
      </c>
      <c r="HZT83" s="365">
        <v>0.5</v>
      </c>
      <c r="HZU83" s="366" t="e">
        <f>10/HZQ81</f>
        <v>#DIV/0!</v>
      </c>
      <c r="HZV83" s="367">
        <v>15.38</v>
      </c>
      <c r="HZW83" s="367" t="e">
        <f>HZT83*HZU83*HZV83</f>
        <v>#DIV/0!</v>
      </c>
      <c r="HZX83" s="363" t="s">
        <v>153</v>
      </c>
      <c r="HZY83" s="363"/>
      <c r="HZZ83" s="363"/>
      <c r="IAA83" s="364" t="s">
        <v>140</v>
      </c>
      <c r="IAB83" s="365">
        <v>0.5</v>
      </c>
      <c r="IAC83" s="366" t="e">
        <f>10/HZY81</f>
        <v>#DIV/0!</v>
      </c>
      <c r="IAD83" s="367">
        <v>15.38</v>
      </c>
      <c r="IAE83" s="367" t="e">
        <f>IAB83*IAC83*IAD83</f>
        <v>#DIV/0!</v>
      </c>
      <c r="IAF83" s="363" t="s">
        <v>153</v>
      </c>
      <c r="IAG83" s="363"/>
      <c r="IAH83" s="363"/>
      <c r="IAI83" s="364" t="s">
        <v>140</v>
      </c>
      <c r="IAJ83" s="365">
        <v>0.5</v>
      </c>
      <c r="IAK83" s="366" t="e">
        <f>10/IAG81</f>
        <v>#DIV/0!</v>
      </c>
      <c r="IAL83" s="367">
        <v>15.38</v>
      </c>
      <c r="IAM83" s="367" t="e">
        <f>IAJ83*IAK83*IAL83</f>
        <v>#DIV/0!</v>
      </c>
      <c r="IAN83" s="363" t="s">
        <v>153</v>
      </c>
      <c r="IAO83" s="363"/>
      <c r="IAP83" s="363"/>
      <c r="IAQ83" s="364" t="s">
        <v>140</v>
      </c>
      <c r="IAR83" s="365">
        <v>0.5</v>
      </c>
      <c r="IAS83" s="366" t="e">
        <f>10/IAO81</f>
        <v>#DIV/0!</v>
      </c>
      <c r="IAT83" s="367">
        <v>15.38</v>
      </c>
      <c r="IAU83" s="367" t="e">
        <f>IAR83*IAS83*IAT83</f>
        <v>#DIV/0!</v>
      </c>
      <c r="IAV83" s="363" t="s">
        <v>153</v>
      </c>
      <c r="IAW83" s="363"/>
      <c r="IAX83" s="363"/>
      <c r="IAY83" s="364" t="s">
        <v>140</v>
      </c>
      <c r="IAZ83" s="365">
        <v>0.5</v>
      </c>
      <c r="IBA83" s="366" t="e">
        <f>10/IAW81</f>
        <v>#DIV/0!</v>
      </c>
      <c r="IBB83" s="367">
        <v>15.38</v>
      </c>
      <c r="IBC83" s="367" t="e">
        <f>IAZ83*IBA83*IBB83</f>
        <v>#DIV/0!</v>
      </c>
      <c r="IBD83" s="363" t="s">
        <v>153</v>
      </c>
      <c r="IBE83" s="363"/>
      <c r="IBF83" s="363"/>
      <c r="IBG83" s="364" t="s">
        <v>140</v>
      </c>
      <c r="IBH83" s="365">
        <v>0.5</v>
      </c>
      <c r="IBI83" s="366" t="e">
        <f>10/IBE81</f>
        <v>#DIV/0!</v>
      </c>
      <c r="IBJ83" s="367">
        <v>15.38</v>
      </c>
      <c r="IBK83" s="367" t="e">
        <f>IBH83*IBI83*IBJ83</f>
        <v>#DIV/0!</v>
      </c>
      <c r="IBL83" s="363" t="s">
        <v>153</v>
      </c>
      <c r="IBM83" s="363"/>
      <c r="IBN83" s="363"/>
      <c r="IBO83" s="364" t="s">
        <v>140</v>
      </c>
      <c r="IBP83" s="365">
        <v>0.5</v>
      </c>
      <c r="IBQ83" s="366" t="e">
        <f>10/IBM81</f>
        <v>#DIV/0!</v>
      </c>
      <c r="IBR83" s="367">
        <v>15.38</v>
      </c>
      <c r="IBS83" s="367" t="e">
        <f>IBP83*IBQ83*IBR83</f>
        <v>#DIV/0!</v>
      </c>
      <c r="IBT83" s="363" t="s">
        <v>153</v>
      </c>
      <c r="IBU83" s="363"/>
      <c r="IBV83" s="363"/>
      <c r="IBW83" s="364" t="s">
        <v>140</v>
      </c>
      <c r="IBX83" s="365">
        <v>0.5</v>
      </c>
      <c r="IBY83" s="366" t="e">
        <f>10/IBU81</f>
        <v>#DIV/0!</v>
      </c>
      <c r="IBZ83" s="367">
        <v>15.38</v>
      </c>
      <c r="ICA83" s="367" t="e">
        <f>IBX83*IBY83*IBZ83</f>
        <v>#DIV/0!</v>
      </c>
      <c r="ICB83" s="363" t="s">
        <v>153</v>
      </c>
      <c r="ICC83" s="363"/>
      <c r="ICD83" s="363"/>
      <c r="ICE83" s="364" t="s">
        <v>140</v>
      </c>
      <c r="ICF83" s="365">
        <v>0.5</v>
      </c>
      <c r="ICG83" s="366" t="e">
        <f>10/ICC81</f>
        <v>#DIV/0!</v>
      </c>
      <c r="ICH83" s="367">
        <v>15.38</v>
      </c>
      <c r="ICI83" s="367" t="e">
        <f>ICF83*ICG83*ICH83</f>
        <v>#DIV/0!</v>
      </c>
      <c r="ICJ83" s="363" t="s">
        <v>153</v>
      </c>
      <c r="ICK83" s="363"/>
      <c r="ICL83" s="363"/>
      <c r="ICM83" s="364" t="s">
        <v>140</v>
      </c>
      <c r="ICN83" s="365">
        <v>0.5</v>
      </c>
      <c r="ICO83" s="366" t="e">
        <f>10/ICK81</f>
        <v>#DIV/0!</v>
      </c>
      <c r="ICP83" s="367">
        <v>15.38</v>
      </c>
      <c r="ICQ83" s="367" t="e">
        <f>ICN83*ICO83*ICP83</f>
        <v>#DIV/0!</v>
      </c>
      <c r="ICR83" s="363" t="s">
        <v>153</v>
      </c>
      <c r="ICS83" s="363"/>
      <c r="ICT83" s="363"/>
      <c r="ICU83" s="364" t="s">
        <v>140</v>
      </c>
      <c r="ICV83" s="365">
        <v>0.5</v>
      </c>
      <c r="ICW83" s="366" t="e">
        <f>10/ICS81</f>
        <v>#DIV/0!</v>
      </c>
      <c r="ICX83" s="367">
        <v>15.38</v>
      </c>
      <c r="ICY83" s="367" t="e">
        <f>ICV83*ICW83*ICX83</f>
        <v>#DIV/0!</v>
      </c>
      <c r="ICZ83" s="363" t="s">
        <v>153</v>
      </c>
      <c r="IDA83" s="363"/>
      <c r="IDB83" s="363"/>
      <c r="IDC83" s="364" t="s">
        <v>140</v>
      </c>
      <c r="IDD83" s="365">
        <v>0.5</v>
      </c>
      <c r="IDE83" s="366" t="e">
        <f>10/IDA81</f>
        <v>#DIV/0!</v>
      </c>
      <c r="IDF83" s="367">
        <v>15.38</v>
      </c>
      <c r="IDG83" s="367" t="e">
        <f>IDD83*IDE83*IDF83</f>
        <v>#DIV/0!</v>
      </c>
      <c r="IDH83" s="363" t="s">
        <v>153</v>
      </c>
      <c r="IDI83" s="363"/>
      <c r="IDJ83" s="363"/>
      <c r="IDK83" s="364" t="s">
        <v>140</v>
      </c>
      <c r="IDL83" s="365">
        <v>0.5</v>
      </c>
      <c r="IDM83" s="366" t="e">
        <f>10/IDI81</f>
        <v>#DIV/0!</v>
      </c>
      <c r="IDN83" s="367">
        <v>15.38</v>
      </c>
      <c r="IDO83" s="367" t="e">
        <f>IDL83*IDM83*IDN83</f>
        <v>#DIV/0!</v>
      </c>
      <c r="IDP83" s="363" t="s">
        <v>153</v>
      </c>
      <c r="IDQ83" s="363"/>
      <c r="IDR83" s="363"/>
      <c r="IDS83" s="364" t="s">
        <v>140</v>
      </c>
      <c r="IDT83" s="365">
        <v>0.5</v>
      </c>
      <c r="IDU83" s="366" t="e">
        <f>10/IDQ81</f>
        <v>#DIV/0!</v>
      </c>
      <c r="IDV83" s="367">
        <v>15.38</v>
      </c>
      <c r="IDW83" s="367" t="e">
        <f>IDT83*IDU83*IDV83</f>
        <v>#DIV/0!</v>
      </c>
      <c r="IDX83" s="363" t="s">
        <v>153</v>
      </c>
      <c r="IDY83" s="363"/>
      <c r="IDZ83" s="363"/>
      <c r="IEA83" s="364" t="s">
        <v>140</v>
      </c>
      <c r="IEB83" s="365">
        <v>0.5</v>
      </c>
      <c r="IEC83" s="366" t="e">
        <f>10/IDY81</f>
        <v>#DIV/0!</v>
      </c>
      <c r="IED83" s="367">
        <v>15.38</v>
      </c>
      <c r="IEE83" s="367" t="e">
        <f>IEB83*IEC83*IED83</f>
        <v>#DIV/0!</v>
      </c>
      <c r="IEF83" s="363" t="s">
        <v>153</v>
      </c>
      <c r="IEG83" s="363"/>
      <c r="IEH83" s="363"/>
      <c r="IEI83" s="364" t="s">
        <v>140</v>
      </c>
      <c r="IEJ83" s="365">
        <v>0.5</v>
      </c>
      <c r="IEK83" s="366" t="e">
        <f>10/IEG81</f>
        <v>#DIV/0!</v>
      </c>
      <c r="IEL83" s="367">
        <v>15.38</v>
      </c>
      <c r="IEM83" s="367" t="e">
        <f>IEJ83*IEK83*IEL83</f>
        <v>#DIV/0!</v>
      </c>
      <c r="IEN83" s="363" t="s">
        <v>153</v>
      </c>
      <c r="IEO83" s="363"/>
      <c r="IEP83" s="363"/>
      <c r="IEQ83" s="364" t="s">
        <v>140</v>
      </c>
      <c r="IER83" s="365">
        <v>0.5</v>
      </c>
      <c r="IES83" s="366" t="e">
        <f>10/IEO81</f>
        <v>#DIV/0!</v>
      </c>
      <c r="IET83" s="367">
        <v>15.38</v>
      </c>
      <c r="IEU83" s="367" t="e">
        <f>IER83*IES83*IET83</f>
        <v>#DIV/0!</v>
      </c>
      <c r="IEV83" s="363" t="s">
        <v>153</v>
      </c>
      <c r="IEW83" s="363"/>
      <c r="IEX83" s="363"/>
      <c r="IEY83" s="364" t="s">
        <v>140</v>
      </c>
      <c r="IEZ83" s="365">
        <v>0.5</v>
      </c>
      <c r="IFA83" s="366" t="e">
        <f>10/IEW81</f>
        <v>#DIV/0!</v>
      </c>
      <c r="IFB83" s="367">
        <v>15.38</v>
      </c>
      <c r="IFC83" s="367" t="e">
        <f>IEZ83*IFA83*IFB83</f>
        <v>#DIV/0!</v>
      </c>
      <c r="IFD83" s="363" t="s">
        <v>153</v>
      </c>
      <c r="IFE83" s="363"/>
      <c r="IFF83" s="363"/>
      <c r="IFG83" s="364" t="s">
        <v>140</v>
      </c>
      <c r="IFH83" s="365">
        <v>0.5</v>
      </c>
      <c r="IFI83" s="366" t="e">
        <f>10/IFE81</f>
        <v>#DIV/0!</v>
      </c>
      <c r="IFJ83" s="367">
        <v>15.38</v>
      </c>
      <c r="IFK83" s="367" t="e">
        <f>IFH83*IFI83*IFJ83</f>
        <v>#DIV/0!</v>
      </c>
      <c r="IFL83" s="363" t="s">
        <v>153</v>
      </c>
      <c r="IFM83" s="363"/>
      <c r="IFN83" s="363"/>
      <c r="IFO83" s="364" t="s">
        <v>140</v>
      </c>
      <c r="IFP83" s="365">
        <v>0.5</v>
      </c>
      <c r="IFQ83" s="366" t="e">
        <f>10/IFM81</f>
        <v>#DIV/0!</v>
      </c>
      <c r="IFR83" s="367">
        <v>15.38</v>
      </c>
      <c r="IFS83" s="367" t="e">
        <f>IFP83*IFQ83*IFR83</f>
        <v>#DIV/0!</v>
      </c>
      <c r="IFT83" s="363" t="s">
        <v>153</v>
      </c>
      <c r="IFU83" s="363"/>
      <c r="IFV83" s="363"/>
      <c r="IFW83" s="364" t="s">
        <v>140</v>
      </c>
      <c r="IFX83" s="365">
        <v>0.5</v>
      </c>
      <c r="IFY83" s="366" t="e">
        <f>10/IFU81</f>
        <v>#DIV/0!</v>
      </c>
      <c r="IFZ83" s="367">
        <v>15.38</v>
      </c>
      <c r="IGA83" s="367" t="e">
        <f>IFX83*IFY83*IFZ83</f>
        <v>#DIV/0!</v>
      </c>
      <c r="IGB83" s="363" t="s">
        <v>153</v>
      </c>
      <c r="IGC83" s="363"/>
      <c r="IGD83" s="363"/>
      <c r="IGE83" s="364" t="s">
        <v>140</v>
      </c>
      <c r="IGF83" s="365">
        <v>0.5</v>
      </c>
      <c r="IGG83" s="366" t="e">
        <f>10/IGC81</f>
        <v>#DIV/0!</v>
      </c>
      <c r="IGH83" s="367">
        <v>15.38</v>
      </c>
      <c r="IGI83" s="367" t="e">
        <f>IGF83*IGG83*IGH83</f>
        <v>#DIV/0!</v>
      </c>
      <c r="IGJ83" s="363" t="s">
        <v>153</v>
      </c>
      <c r="IGK83" s="363"/>
      <c r="IGL83" s="363"/>
      <c r="IGM83" s="364" t="s">
        <v>140</v>
      </c>
      <c r="IGN83" s="365">
        <v>0.5</v>
      </c>
      <c r="IGO83" s="366" t="e">
        <f>10/IGK81</f>
        <v>#DIV/0!</v>
      </c>
      <c r="IGP83" s="367">
        <v>15.38</v>
      </c>
      <c r="IGQ83" s="367" t="e">
        <f>IGN83*IGO83*IGP83</f>
        <v>#DIV/0!</v>
      </c>
      <c r="IGR83" s="363" t="s">
        <v>153</v>
      </c>
      <c r="IGS83" s="363"/>
      <c r="IGT83" s="363"/>
      <c r="IGU83" s="364" t="s">
        <v>140</v>
      </c>
      <c r="IGV83" s="365">
        <v>0.5</v>
      </c>
      <c r="IGW83" s="366" t="e">
        <f>10/IGS81</f>
        <v>#DIV/0!</v>
      </c>
      <c r="IGX83" s="367">
        <v>15.38</v>
      </c>
      <c r="IGY83" s="367" t="e">
        <f>IGV83*IGW83*IGX83</f>
        <v>#DIV/0!</v>
      </c>
      <c r="IGZ83" s="363" t="s">
        <v>153</v>
      </c>
      <c r="IHA83" s="363"/>
      <c r="IHB83" s="363"/>
      <c r="IHC83" s="364" t="s">
        <v>140</v>
      </c>
      <c r="IHD83" s="365">
        <v>0.5</v>
      </c>
      <c r="IHE83" s="366" t="e">
        <f>10/IHA81</f>
        <v>#DIV/0!</v>
      </c>
      <c r="IHF83" s="367">
        <v>15.38</v>
      </c>
      <c r="IHG83" s="367" t="e">
        <f>IHD83*IHE83*IHF83</f>
        <v>#DIV/0!</v>
      </c>
      <c r="IHH83" s="363" t="s">
        <v>153</v>
      </c>
      <c r="IHI83" s="363"/>
      <c r="IHJ83" s="363"/>
      <c r="IHK83" s="364" t="s">
        <v>140</v>
      </c>
      <c r="IHL83" s="365">
        <v>0.5</v>
      </c>
      <c r="IHM83" s="366" t="e">
        <f>10/IHI81</f>
        <v>#DIV/0!</v>
      </c>
      <c r="IHN83" s="367">
        <v>15.38</v>
      </c>
      <c r="IHO83" s="367" t="e">
        <f>IHL83*IHM83*IHN83</f>
        <v>#DIV/0!</v>
      </c>
      <c r="IHP83" s="363" t="s">
        <v>153</v>
      </c>
      <c r="IHQ83" s="363"/>
      <c r="IHR83" s="363"/>
      <c r="IHS83" s="364" t="s">
        <v>140</v>
      </c>
      <c r="IHT83" s="365">
        <v>0.5</v>
      </c>
      <c r="IHU83" s="366" t="e">
        <f>10/IHQ81</f>
        <v>#DIV/0!</v>
      </c>
      <c r="IHV83" s="367">
        <v>15.38</v>
      </c>
      <c r="IHW83" s="367" t="e">
        <f>IHT83*IHU83*IHV83</f>
        <v>#DIV/0!</v>
      </c>
      <c r="IHX83" s="363" t="s">
        <v>153</v>
      </c>
      <c r="IHY83" s="363"/>
      <c r="IHZ83" s="363"/>
      <c r="IIA83" s="364" t="s">
        <v>140</v>
      </c>
      <c r="IIB83" s="365">
        <v>0.5</v>
      </c>
      <c r="IIC83" s="366" t="e">
        <f>10/IHY81</f>
        <v>#DIV/0!</v>
      </c>
      <c r="IID83" s="367">
        <v>15.38</v>
      </c>
      <c r="IIE83" s="367" t="e">
        <f>IIB83*IIC83*IID83</f>
        <v>#DIV/0!</v>
      </c>
      <c r="IIF83" s="363" t="s">
        <v>153</v>
      </c>
      <c r="IIG83" s="363"/>
      <c r="IIH83" s="363"/>
      <c r="III83" s="364" t="s">
        <v>140</v>
      </c>
      <c r="IIJ83" s="365">
        <v>0.5</v>
      </c>
      <c r="IIK83" s="366" t="e">
        <f>10/IIG81</f>
        <v>#DIV/0!</v>
      </c>
      <c r="IIL83" s="367">
        <v>15.38</v>
      </c>
      <c r="IIM83" s="367" t="e">
        <f>IIJ83*IIK83*IIL83</f>
        <v>#DIV/0!</v>
      </c>
      <c r="IIN83" s="363" t="s">
        <v>153</v>
      </c>
      <c r="IIO83" s="363"/>
      <c r="IIP83" s="363"/>
      <c r="IIQ83" s="364" t="s">
        <v>140</v>
      </c>
      <c r="IIR83" s="365">
        <v>0.5</v>
      </c>
      <c r="IIS83" s="366" t="e">
        <f>10/IIO81</f>
        <v>#DIV/0!</v>
      </c>
      <c r="IIT83" s="367">
        <v>15.38</v>
      </c>
      <c r="IIU83" s="367" t="e">
        <f>IIR83*IIS83*IIT83</f>
        <v>#DIV/0!</v>
      </c>
      <c r="IIV83" s="363" t="s">
        <v>153</v>
      </c>
      <c r="IIW83" s="363"/>
      <c r="IIX83" s="363"/>
      <c r="IIY83" s="364" t="s">
        <v>140</v>
      </c>
      <c r="IIZ83" s="365">
        <v>0.5</v>
      </c>
      <c r="IJA83" s="366" t="e">
        <f>10/IIW81</f>
        <v>#DIV/0!</v>
      </c>
      <c r="IJB83" s="367">
        <v>15.38</v>
      </c>
      <c r="IJC83" s="367" t="e">
        <f>IIZ83*IJA83*IJB83</f>
        <v>#DIV/0!</v>
      </c>
      <c r="IJD83" s="363" t="s">
        <v>153</v>
      </c>
      <c r="IJE83" s="363"/>
      <c r="IJF83" s="363"/>
      <c r="IJG83" s="364" t="s">
        <v>140</v>
      </c>
      <c r="IJH83" s="365">
        <v>0.5</v>
      </c>
      <c r="IJI83" s="366" t="e">
        <f>10/IJE81</f>
        <v>#DIV/0!</v>
      </c>
      <c r="IJJ83" s="367">
        <v>15.38</v>
      </c>
      <c r="IJK83" s="367" t="e">
        <f>IJH83*IJI83*IJJ83</f>
        <v>#DIV/0!</v>
      </c>
      <c r="IJL83" s="363" t="s">
        <v>153</v>
      </c>
      <c r="IJM83" s="363"/>
      <c r="IJN83" s="363"/>
      <c r="IJO83" s="364" t="s">
        <v>140</v>
      </c>
      <c r="IJP83" s="365">
        <v>0.5</v>
      </c>
      <c r="IJQ83" s="366" t="e">
        <f>10/IJM81</f>
        <v>#DIV/0!</v>
      </c>
      <c r="IJR83" s="367">
        <v>15.38</v>
      </c>
      <c r="IJS83" s="367" t="e">
        <f>IJP83*IJQ83*IJR83</f>
        <v>#DIV/0!</v>
      </c>
      <c r="IJT83" s="363" t="s">
        <v>153</v>
      </c>
      <c r="IJU83" s="363"/>
      <c r="IJV83" s="363"/>
      <c r="IJW83" s="364" t="s">
        <v>140</v>
      </c>
      <c r="IJX83" s="365">
        <v>0.5</v>
      </c>
      <c r="IJY83" s="366" t="e">
        <f>10/IJU81</f>
        <v>#DIV/0!</v>
      </c>
      <c r="IJZ83" s="367">
        <v>15.38</v>
      </c>
      <c r="IKA83" s="367" t="e">
        <f>IJX83*IJY83*IJZ83</f>
        <v>#DIV/0!</v>
      </c>
      <c r="IKB83" s="363" t="s">
        <v>153</v>
      </c>
      <c r="IKC83" s="363"/>
      <c r="IKD83" s="363"/>
      <c r="IKE83" s="364" t="s">
        <v>140</v>
      </c>
      <c r="IKF83" s="365">
        <v>0.5</v>
      </c>
      <c r="IKG83" s="366" t="e">
        <f>10/IKC81</f>
        <v>#DIV/0!</v>
      </c>
      <c r="IKH83" s="367">
        <v>15.38</v>
      </c>
      <c r="IKI83" s="367" t="e">
        <f>IKF83*IKG83*IKH83</f>
        <v>#DIV/0!</v>
      </c>
      <c r="IKJ83" s="363" t="s">
        <v>153</v>
      </c>
      <c r="IKK83" s="363"/>
      <c r="IKL83" s="363"/>
      <c r="IKM83" s="364" t="s">
        <v>140</v>
      </c>
      <c r="IKN83" s="365">
        <v>0.5</v>
      </c>
      <c r="IKO83" s="366" t="e">
        <f>10/IKK81</f>
        <v>#DIV/0!</v>
      </c>
      <c r="IKP83" s="367">
        <v>15.38</v>
      </c>
      <c r="IKQ83" s="367" t="e">
        <f>IKN83*IKO83*IKP83</f>
        <v>#DIV/0!</v>
      </c>
      <c r="IKR83" s="363" t="s">
        <v>153</v>
      </c>
      <c r="IKS83" s="363"/>
      <c r="IKT83" s="363"/>
      <c r="IKU83" s="364" t="s">
        <v>140</v>
      </c>
      <c r="IKV83" s="365">
        <v>0.5</v>
      </c>
      <c r="IKW83" s="366" t="e">
        <f>10/IKS81</f>
        <v>#DIV/0!</v>
      </c>
      <c r="IKX83" s="367">
        <v>15.38</v>
      </c>
      <c r="IKY83" s="367" t="e">
        <f>IKV83*IKW83*IKX83</f>
        <v>#DIV/0!</v>
      </c>
      <c r="IKZ83" s="363" t="s">
        <v>153</v>
      </c>
      <c r="ILA83" s="363"/>
      <c r="ILB83" s="363"/>
      <c r="ILC83" s="364" t="s">
        <v>140</v>
      </c>
      <c r="ILD83" s="365">
        <v>0.5</v>
      </c>
      <c r="ILE83" s="366" t="e">
        <f>10/ILA81</f>
        <v>#DIV/0!</v>
      </c>
      <c r="ILF83" s="367">
        <v>15.38</v>
      </c>
      <c r="ILG83" s="367" t="e">
        <f>ILD83*ILE83*ILF83</f>
        <v>#DIV/0!</v>
      </c>
      <c r="ILH83" s="363" t="s">
        <v>153</v>
      </c>
      <c r="ILI83" s="363"/>
      <c r="ILJ83" s="363"/>
      <c r="ILK83" s="364" t="s">
        <v>140</v>
      </c>
      <c r="ILL83" s="365">
        <v>0.5</v>
      </c>
      <c r="ILM83" s="366" t="e">
        <f>10/ILI81</f>
        <v>#DIV/0!</v>
      </c>
      <c r="ILN83" s="367">
        <v>15.38</v>
      </c>
      <c r="ILO83" s="367" t="e">
        <f>ILL83*ILM83*ILN83</f>
        <v>#DIV/0!</v>
      </c>
      <c r="ILP83" s="363" t="s">
        <v>153</v>
      </c>
      <c r="ILQ83" s="363"/>
      <c r="ILR83" s="363"/>
      <c r="ILS83" s="364" t="s">
        <v>140</v>
      </c>
      <c r="ILT83" s="365">
        <v>0.5</v>
      </c>
      <c r="ILU83" s="366" t="e">
        <f>10/ILQ81</f>
        <v>#DIV/0!</v>
      </c>
      <c r="ILV83" s="367">
        <v>15.38</v>
      </c>
      <c r="ILW83" s="367" t="e">
        <f>ILT83*ILU83*ILV83</f>
        <v>#DIV/0!</v>
      </c>
      <c r="ILX83" s="363" t="s">
        <v>153</v>
      </c>
      <c r="ILY83" s="363"/>
      <c r="ILZ83" s="363"/>
      <c r="IMA83" s="364" t="s">
        <v>140</v>
      </c>
      <c r="IMB83" s="365">
        <v>0.5</v>
      </c>
      <c r="IMC83" s="366" t="e">
        <f>10/ILY81</f>
        <v>#DIV/0!</v>
      </c>
      <c r="IMD83" s="367">
        <v>15.38</v>
      </c>
      <c r="IME83" s="367" t="e">
        <f>IMB83*IMC83*IMD83</f>
        <v>#DIV/0!</v>
      </c>
      <c r="IMF83" s="363" t="s">
        <v>153</v>
      </c>
      <c r="IMG83" s="363"/>
      <c r="IMH83" s="363"/>
      <c r="IMI83" s="364" t="s">
        <v>140</v>
      </c>
      <c r="IMJ83" s="365">
        <v>0.5</v>
      </c>
      <c r="IMK83" s="366" t="e">
        <f>10/IMG81</f>
        <v>#DIV/0!</v>
      </c>
      <c r="IML83" s="367">
        <v>15.38</v>
      </c>
      <c r="IMM83" s="367" t="e">
        <f>IMJ83*IMK83*IML83</f>
        <v>#DIV/0!</v>
      </c>
      <c r="IMN83" s="363" t="s">
        <v>153</v>
      </c>
      <c r="IMO83" s="363"/>
      <c r="IMP83" s="363"/>
      <c r="IMQ83" s="364" t="s">
        <v>140</v>
      </c>
      <c r="IMR83" s="365">
        <v>0.5</v>
      </c>
      <c r="IMS83" s="366" t="e">
        <f>10/IMO81</f>
        <v>#DIV/0!</v>
      </c>
      <c r="IMT83" s="367">
        <v>15.38</v>
      </c>
      <c r="IMU83" s="367" t="e">
        <f>IMR83*IMS83*IMT83</f>
        <v>#DIV/0!</v>
      </c>
      <c r="IMV83" s="363" t="s">
        <v>153</v>
      </c>
      <c r="IMW83" s="363"/>
      <c r="IMX83" s="363"/>
      <c r="IMY83" s="364" t="s">
        <v>140</v>
      </c>
      <c r="IMZ83" s="365">
        <v>0.5</v>
      </c>
      <c r="INA83" s="366" t="e">
        <f>10/IMW81</f>
        <v>#DIV/0!</v>
      </c>
      <c r="INB83" s="367">
        <v>15.38</v>
      </c>
      <c r="INC83" s="367" t="e">
        <f>IMZ83*INA83*INB83</f>
        <v>#DIV/0!</v>
      </c>
      <c r="IND83" s="363" t="s">
        <v>153</v>
      </c>
      <c r="INE83" s="363"/>
      <c r="INF83" s="363"/>
      <c r="ING83" s="364" t="s">
        <v>140</v>
      </c>
      <c r="INH83" s="365">
        <v>0.5</v>
      </c>
      <c r="INI83" s="366" t="e">
        <f>10/INE81</f>
        <v>#DIV/0!</v>
      </c>
      <c r="INJ83" s="367">
        <v>15.38</v>
      </c>
      <c r="INK83" s="367" t="e">
        <f>INH83*INI83*INJ83</f>
        <v>#DIV/0!</v>
      </c>
      <c r="INL83" s="363" t="s">
        <v>153</v>
      </c>
      <c r="INM83" s="363"/>
      <c r="INN83" s="363"/>
      <c r="INO83" s="364" t="s">
        <v>140</v>
      </c>
      <c r="INP83" s="365">
        <v>0.5</v>
      </c>
      <c r="INQ83" s="366" t="e">
        <f>10/INM81</f>
        <v>#DIV/0!</v>
      </c>
      <c r="INR83" s="367">
        <v>15.38</v>
      </c>
      <c r="INS83" s="367" t="e">
        <f>INP83*INQ83*INR83</f>
        <v>#DIV/0!</v>
      </c>
      <c r="INT83" s="363" t="s">
        <v>153</v>
      </c>
      <c r="INU83" s="363"/>
      <c r="INV83" s="363"/>
      <c r="INW83" s="364" t="s">
        <v>140</v>
      </c>
      <c r="INX83" s="365">
        <v>0.5</v>
      </c>
      <c r="INY83" s="366" t="e">
        <f>10/INU81</f>
        <v>#DIV/0!</v>
      </c>
      <c r="INZ83" s="367">
        <v>15.38</v>
      </c>
      <c r="IOA83" s="367" t="e">
        <f>INX83*INY83*INZ83</f>
        <v>#DIV/0!</v>
      </c>
      <c r="IOB83" s="363" t="s">
        <v>153</v>
      </c>
      <c r="IOC83" s="363"/>
      <c r="IOD83" s="363"/>
      <c r="IOE83" s="364" t="s">
        <v>140</v>
      </c>
      <c r="IOF83" s="365">
        <v>0.5</v>
      </c>
      <c r="IOG83" s="366" t="e">
        <f>10/IOC81</f>
        <v>#DIV/0!</v>
      </c>
      <c r="IOH83" s="367">
        <v>15.38</v>
      </c>
      <c r="IOI83" s="367" t="e">
        <f>IOF83*IOG83*IOH83</f>
        <v>#DIV/0!</v>
      </c>
      <c r="IOJ83" s="363" t="s">
        <v>153</v>
      </c>
      <c r="IOK83" s="363"/>
      <c r="IOL83" s="363"/>
      <c r="IOM83" s="364" t="s">
        <v>140</v>
      </c>
      <c r="ION83" s="365">
        <v>0.5</v>
      </c>
      <c r="IOO83" s="366" t="e">
        <f>10/IOK81</f>
        <v>#DIV/0!</v>
      </c>
      <c r="IOP83" s="367">
        <v>15.38</v>
      </c>
      <c r="IOQ83" s="367" t="e">
        <f>ION83*IOO83*IOP83</f>
        <v>#DIV/0!</v>
      </c>
      <c r="IOR83" s="363" t="s">
        <v>153</v>
      </c>
      <c r="IOS83" s="363"/>
      <c r="IOT83" s="363"/>
      <c r="IOU83" s="364" t="s">
        <v>140</v>
      </c>
      <c r="IOV83" s="365">
        <v>0.5</v>
      </c>
      <c r="IOW83" s="366" t="e">
        <f>10/IOS81</f>
        <v>#DIV/0!</v>
      </c>
      <c r="IOX83" s="367">
        <v>15.38</v>
      </c>
      <c r="IOY83" s="367" t="e">
        <f>IOV83*IOW83*IOX83</f>
        <v>#DIV/0!</v>
      </c>
      <c r="IOZ83" s="363" t="s">
        <v>153</v>
      </c>
      <c r="IPA83" s="363"/>
      <c r="IPB83" s="363"/>
      <c r="IPC83" s="364" t="s">
        <v>140</v>
      </c>
      <c r="IPD83" s="365">
        <v>0.5</v>
      </c>
      <c r="IPE83" s="366" t="e">
        <f>10/IPA81</f>
        <v>#DIV/0!</v>
      </c>
      <c r="IPF83" s="367">
        <v>15.38</v>
      </c>
      <c r="IPG83" s="367" t="e">
        <f>IPD83*IPE83*IPF83</f>
        <v>#DIV/0!</v>
      </c>
      <c r="IPH83" s="363" t="s">
        <v>153</v>
      </c>
      <c r="IPI83" s="363"/>
      <c r="IPJ83" s="363"/>
      <c r="IPK83" s="364" t="s">
        <v>140</v>
      </c>
      <c r="IPL83" s="365">
        <v>0.5</v>
      </c>
      <c r="IPM83" s="366" t="e">
        <f>10/IPI81</f>
        <v>#DIV/0!</v>
      </c>
      <c r="IPN83" s="367">
        <v>15.38</v>
      </c>
      <c r="IPO83" s="367" t="e">
        <f>IPL83*IPM83*IPN83</f>
        <v>#DIV/0!</v>
      </c>
      <c r="IPP83" s="363" t="s">
        <v>153</v>
      </c>
      <c r="IPQ83" s="363"/>
      <c r="IPR83" s="363"/>
      <c r="IPS83" s="364" t="s">
        <v>140</v>
      </c>
      <c r="IPT83" s="365">
        <v>0.5</v>
      </c>
      <c r="IPU83" s="366" t="e">
        <f>10/IPQ81</f>
        <v>#DIV/0!</v>
      </c>
      <c r="IPV83" s="367">
        <v>15.38</v>
      </c>
      <c r="IPW83" s="367" t="e">
        <f>IPT83*IPU83*IPV83</f>
        <v>#DIV/0!</v>
      </c>
      <c r="IPX83" s="363" t="s">
        <v>153</v>
      </c>
      <c r="IPY83" s="363"/>
      <c r="IPZ83" s="363"/>
      <c r="IQA83" s="364" t="s">
        <v>140</v>
      </c>
      <c r="IQB83" s="365">
        <v>0.5</v>
      </c>
      <c r="IQC83" s="366" t="e">
        <f>10/IPY81</f>
        <v>#DIV/0!</v>
      </c>
      <c r="IQD83" s="367">
        <v>15.38</v>
      </c>
      <c r="IQE83" s="367" t="e">
        <f>IQB83*IQC83*IQD83</f>
        <v>#DIV/0!</v>
      </c>
      <c r="IQF83" s="363" t="s">
        <v>153</v>
      </c>
      <c r="IQG83" s="363"/>
      <c r="IQH83" s="363"/>
      <c r="IQI83" s="364" t="s">
        <v>140</v>
      </c>
      <c r="IQJ83" s="365">
        <v>0.5</v>
      </c>
      <c r="IQK83" s="366" t="e">
        <f>10/IQG81</f>
        <v>#DIV/0!</v>
      </c>
      <c r="IQL83" s="367">
        <v>15.38</v>
      </c>
      <c r="IQM83" s="367" t="e">
        <f>IQJ83*IQK83*IQL83</f>
        <v>#DIV/0!</v>
      </c>
      <c r="IQN83" s="363" t="s">
        <v>153</v>
      </c>
      <c r="IQO83" s="363"/>
      <c r="IQP83" s="363"/>
      <c r="IQQ83" s="364" t="s">
        <v>140</v>
      </c>
      <c r="IQR83" s="365">
        <v>0.5</v>
      </c>
      <c r="IQS83" s="366" t="e">
        <f>10/IQO81</f>
        <v>#DIV/0!</v>
      </c>
      <c r="IQT83" s="367">
        <v>15.38</v>
      </c>
      <c r="IQU83" s="367" t="e">
        <f>IQR83*IQS83*IQT83</f>
        <v>#DIV/0!</v>
      </c>
      <c r="IQV83" s="363" t="s">
        <v>153</v>
      </c>
      <c r="IQW83" s="363"/>
      <c r="IQX83" s="363"/>
      <c r="IQY83" s="364" t="s">
        <v>140</v>
      </c>
      <c r="IQZ83" s="365">
        <v>0.5</v>
      </c>
      <c r="IRA83" s="366" t="e">
        <f>10/IQW81</f>
        <v>#DIV/0!</v>
      </c>
      <c r="IRB83" s="367">
        <v>15.38</v>
      </c>
      <c r="IRC83" s="367" t="e">
        <f>IQZ83*IRA83*IRB83</f>
        <v>#DIV/0!</v>
      </c>
      <c r="IRD83" s="363" t="s">
        <v>153</v>
      </c>
      <c r="IRE83" s="363"/>
      <c r="IRF83" s="363"/>
      <c r="IRG83" s="364" t="s">
        <v>140</v>
      </c>
      <c r="IRH83" s="365">
        <v>0.5</v>
      </c>
      <c r="IRI83" s="366" t="e">
        <f>10/IRE81</f>
        <v>#DIV/0!</v>
      </c>
      <c r="IRJ83" s="367">
        <v>15.38</v>
      </c>
      <c r="IRK83" s="367" t="e">
        <f>IRH83*IRI83*IRJ83</f>
        <v>#DIV/0!</v>
      </c>
      <c r="IRL83" s="363" t="s">
        <v>153</v>
      </c>
      <c r="IRM83" s="363"/>
      <c r="IRN83" s="363"/>
      <c r="IRO83" s="364" t="s">
        <v>140</v>
      </c>
      <c r="IRP83" s="365">
        <v>0.5</v>
      </c>
      <c r="IRQ83" s="366" t="e">
        <f>10/IRM81</f>
        <v>#DIV/0!</v>
      </c>
      <c r="IRR83" s="367">
        <v>15.38</v>
      </c>
      <c r="IRS83" s="367" t="e">
        <f>IRP83*IRQ83*IRR83</f>
        <v>#DIV/0!</v>
      </c>
      <c r="IRT83" s="363" t="s">
        <v>153</v>
      </c>
      <c r="IRU83" s="363"/>
      <c r="IRV83" s="363"/>
      <c r="IRW83" s="364" t="s">
        <v>140</v>
      </c>
      <c r="IRX83" s="365">
        <v>0.5</v>
      </c>
      <c r="IRY83" s="366" t="e">
        <f>10/IRU81</f>
        <v>#DIV/0!</v>
      </c>
      <c r="IRZ83" s="367">
        <v>15.38</v>
      </c>
      <c r="ISA83" s="367" t="e">
        <f>IRX83*IRY83*IRZ83</f>
        <v>#DIV/0!</v>
      </c>
      <c r="ISB83" s="363" t="s">
        <v>153</v>
      </c>
      <c r="ISC83" s="363"/>
      <c r="ISD83" s="363"/>
      <c r="ISE83" s="364" t="s">
        <v>140</v>
      </c>
      <c r="ISF83" s="365">
        <v>0.5</v>
      </c>
      <c r="ISG83" s="366" t="e">
        <f>10/ISC81</f>
        <v>#DIV/0!</v>
      </c>
      <c r="ISH83" s="367">
        <v>15.38</v>
      </c>
      <c r="ISI83" s="367" t="e">
        <f>ISF83*ISG83*ISH83</f>
        <v>#DIV/0!</v>
      </c>
      <c r="ISJ83" s="363" t="s">
        <v>153</v>
      </c>
      <c r="ISK83" s="363"/>
      <c r="ISL83" s="363"/>
      <c r="ISM83" s="364" t="s">
        <v>140</v>
      </c>
      <c r="ISN83" s="365">
        <v>0.5</v>
      </c>
      <c r="ISO83" s="366" t="e">
        <f>10/ISK81</f>
        <v>#DIV/0!</v>
      </c>
      <c r="ISP83" s="367">
        <v>15.38</v>
      </c>
      <c r="ISQ83" s="367" t="e">
        <f>ISN83*ISO83*ISP83</f>
        <v>#DIV/0!</v>
      </c>
      <c r="ISR83" s="363" t="s">
        <v>153</v>
      </c>
      <c r="ISS83" s="363"/>
      <c r="IST83" s="363"/>
      <c r="ISU83" s="364" t="s">
        <v>140</v>
      </c>
      <c r="ISV83" s="365">
        <v>0.5</v>
      </c>
      <c r="ISW83" s="366" t="e">
        <f>10/ISS81</f>
        <v>#DIV/0!</v>
      </c>
      <c r="ISX83" s="367">
        <v>15.38</v>
      </c>
      <c r="ISY83" s="367" t="e">
        <f>ISV83*ISW83*ISX83</f>
        <v>#DIV/0!</v>
      </c>
      <c r="ISZ83" s="363" t="s">
        <v>153</v>
      </c>
      <c r="ITA83" s="363"/>
      <c r="ITB83" s="363"/>
      <c r="ITC83" s="364" t="s">
        <v>140</v>
      </c>
      <c r="ITD83" s="365">
        <v>0.5</v>
      </c>
      <c r="ITE83" s="366" t="e">
        <f>10/ITA81</f>
        <v>#DIV/0!</v>
      </c>
      <c r="ITF83" s="367">
        <v>15.38</v>
      </c>
      <c r="ITG83" s="367" t="e">
        <f>ITD83*ITE83*ITF83</f>
        <v>#DIV/0!</v>
      </c>
      <c r="ITH83" s="363" t="s">
        <v>153</v>
      </c>
      <c r="ITI83" s="363"/>
      <c r="ITJ83" s="363"/>
      <c r="ITK83" s="364" t="s">
        <v>140</v>
      </c>
      <c r="ITL83" s="365">
        <v>0.5</v>
      </c>
      <c r="ITM83" s="366" t="e">
        <f>10/ITI81</f>
        <v>#DIV/0!</v>
      </c>
      <c r="ITN83" s="367">
        <v>15.38</v>
      </c>
      <c r="ITO83" s="367" t="e">
        <f>ITL83*ITM83*ITN83</f>
        <v>#DIV/0!</v>
      </c>
      <c r="ITP83" s="363" t="s">
        <v>153</v>
      </c>
      <c r="ITQ83" s="363"/>
      <c r="ITR83" s="363"/>
      <c r="ITS83" s="364" t="s">
        <v>140</v>
      </c>
      <c r="ITT83" s="365">
        <v>0.5</v>
      </c>
      <c r="ITU83" s="366" t="e">
        <f>10/ITQ81</f>
        <v>#DIV/0!</v>
      </c>
      <c r="ITV83" s="367">
        <v>15.38</v>
      </c>
      <c r="ITW83" s="367" t="e">
        <f>ITT83*ITU83*ITV83</f>
        <v>#DIV/0!</v>
      </c>
      <c r="ITX83" s="363" t="s">
        <v>153</v>
      </c>
      <c r="ITY83" s="363"/>
      <c r="ITZ83" s="363"/>
      <c r="IUA83" s="364" t="s">
        <v>140</v>
      </c>
      <c r="IUB83" s="365">
        <v>0.5</v>
      </c>
      <c r="IUC83" s="366" t="e">
        <f>10/ITY81</f>
        <v>#DIV/0!</v>
      </c>
      <c r="IUD83" s="367">
        <v>15.38</v>
      </c>
      <c r="IUE83" s="367" t="e">
        <f>IUB83*IUC83*IUD83</f>
        <v>#DIV/0!</v>
      </c>
      <c r="IUF83" s="363" t="s">
        <v>153</v>
      </c>
      <c r="IUG83" s="363"/>
      <c r="IUH83" s="363"/>
      <c r="IUI83" s="364" t="s">
        <v>140</v>
      </c>
      <c r="IUJ83" s="365">
        <v>0.5</v>
      </c>
      <c r="IUK83" s="366" t="e">
        <f>10/IUG81</f>
        <v>#DIV/0!</v>
      </c>
      <c r="IUL83" s="367">
        <v>15.38</v>
      </c>
      <c r="IUM83" s="367" t="e">
        <f>IUJ83*IUK83*IUL83</f>
        <v>#DIV/0!</v>
      </c>
      <c r="IUN83" s="363" t="s">
        <v>153</v>
      </c>
      <c r="IUO83" s="363"/>
      <c r="IUP83" s="363"/>
      <c r="IUQ83" s="364" t="s">
        <v>140</v>
      </c>
      <c r="IUR83" s="365">
        <v>0.5</v>
      </c>
      <c r="IUS83" s="366" t="e">
        <f>10/IUO81</f>
        <v>#DIV/0!</v>
      </c>
      <c r="IUT83" s="367">
        <v>15.38</v>
      </c>
      <c r="IUU83" s="367" t="e">
        <f>IUR83*IUS83*IUT83</f>
        <v>#DIV/0!</v>
      </c>
      <c r="IUV83" s="363" t="s">
        <v>153</v>
      </c>
      <c r="IUW83" s="363"/>
      <c r="IUX83" s="363"/>
      <c r="IUY83" s="364" t="s">
        <v>140</v>
      </c>
      <c r="IUZ83" s="365">
        <v>0.5</v>
      </c>
      <c r="IVA83" s="366" t="e">
        <f>10/IUW81</f>
        <v>#DIV/0!</v>
      </c>
      <c r="IVB83" s="367">
        <v>15.38</v>
      </c>
      <c r="IVC83" s="367" t="e">
        <f>IUZ83*IVA83*IVB83</f>
        <v>#DIV/0!</v>
      </c>
      <c r="IVD83" s="363" t="s">
        <v>153</v>
      </c>
      <c r="IVE83" s="363"/>
      <c r="IVF83" s="363"/>
      <c r="IVG83" s="364" t="s">
        <v>140</v>
      </c>
      <c r="IVH83" s="365">
        <v>0.5</v>
      </c>
      <c r="IVI83" s="366" t="e">
        <f>10/IVE81</f>
        <v>#DIV/0!</v>
      </c>
      <c r="IVJ83" s="367">
        <v>15.38</v>
      </c>
      <c r="IVK83" s="367" t="e">
        <f>IVH83*IVI83*IVJ83</f>
        <v>#DIV/0!</v>
      </c>
      <c r="IVL83" s="363" t="s">
        <v>153</v>
      </c>
      <c r="IVM83" s="363"/>
      <c r="IVN83" s="363"/>
      <c r="IVO83" s="364" t="s">
        <v>140</v>
      </c>
      <c r="IVP83" s="365">
        <v>0.5</v>
      </c>
      <c r="IVQ83" s="366" t="e">
        <f>10/IVM81</f>
        <v>#DIV/0!</v>
      </c>
      <c r="IVR83" s="367">
        <v>15.38</v>
      </c>
      <c r="IVS83" s="367" t="e">
        <f>IVP83*IVQ83*IVR83</f>
        <v>#DIV/0!</v>
      </c>
      <c r="IVT83" s="363" t="s">
        <v>153</v>
      </c>
      <c r="IVU83" s="363"/>
      <c r="IVV83" s="363"/>
      <c r="IVW83" s="364" t="s">
        <v>140</v>
      </c>
      <c r="IVX83" s="365">
        <v>0.5</v>
      </c>
      <c r="IVY83" s="366" t="e">
        <f>10/IVU81</f>
        <v>#DIV/0!</v>
      </c>
      <c r="IVZ83" s="367">
        <v>15.38</v>
      </c>
      <c r="IWA83" s="367" t="e">
        <f>IVX83*IVY83*IVZ83</f>
        <v>#DIV/0!</v>
      </c>
      <c r="IWB83" s="363" t="s">
        <v>153</v>
      </c>
      <c r="IWC83" s="363"/>
      <c r="IWD83" s="363"/>
      <c r="IWE83" s="364" t="s">
        <v>140</v>
      </c>
      <c r="IWF83" s="365">
        <v>0.5</v>
      </c>
      <c r="IWG83" s="366" t="e">
        <f>10/IWC81</f>
        <v>#DIV/0!</v>
      </c>
      <c r="IWH83" s="367">
        <v>15.38</v>
      </c>
      <c r="IWI83" s="367" t="e">
        <f>IWF83*IWG83*IWH83</f>
        <v>#DIV/0!</v>
      </c>
      <c r="IWJ83" s="363" t="s">
        <v>153</v>
      </c>
      <c r="IWK83" s="363"/>
      <c r="IWL83" s="363"/>
      <c r="IWM83" s="364" t="s">
        <v>140</v>
      </c>
      <c r="IWN83" s="365">
        <v>0.5</v>
      </c>
      <c r="IWO83" s="366" t="e">
        <f>10/IWK81</f>
        <v>#DIV/0!</v>
      </c>
      <c r="IWP83" s="367">
        <v>15.38</v>
      </c>
      <c r="IWQ83" s="367" t="e">
        <f>IWN83*IWO83*IWP83</f>
        <v>#DIV/0!</v>
      </c>
      <c r="IWR83" s="363" t="s">
        <v>153</v>
      </c>
      <c r="IWS83" s="363"/>
      <c r="IWT83" s="363"/>
      <c r="IWU83" s="364" t="s">
        <v>140</v>
      </c>
      <c r="IWV83" s="365">
        <v>0.5</v>
      </c>
      <c r="IWW83" s="366" t="e">
        <f>10/IWS81</f>
        <v>#DIV/0!</v>
      </c>
      <c r="IWX83" s="367">
        <v>15.38</v>
      </c>
      <c r="IWY83" s="367" t="e">
        <f>IWV83*IWW83*IWX83</f>
        <v>#DIV/0!</v>
      </c>
      <c r="IWZ83" s="363" t="s">
        <v>153</v>
      </c>
      <c r="IXA83" s="363"/>
      <c r="IXB83" s="363"/>
      <c r="IXC83" s="364" t="s">
        <v>140</v>
      </c>
      <c r="IXD83" s="365">
        <v>0.5</v>
      </c>
      <c r="IXE83" s="366" t="e">
        <f>10/IXA81</f>
        <v>#DIV/0!</v>
      </c>
      <c r="IXF83" s="367">
        <v>15.38</v>
      </c>
      <c r="IXG83" s="367" t="e">
        <f>IXD83*IXE83*IXF83</f>
        <v>#DIV/0!</v>
      </c>
      <c r="IXH83" s="363" t="s">
        <v>153</v>
      </c>
      <c r="IXI83" s="363"/>
      <c r="IXJ83" s="363"/>
      <c r="IXK83" s="364" t="s">
        <v>140</v>
      </c>
      <c r="IXL83" s="365">
        <v>0.5</v>
      </c>
      <c r="IXM83" s="366" t="e">
        <f>10/IXI81</f>
        <v>#DIV/0!</v>
      </c>
      <c r="IXN83" s="367">
        <v>15.38</v>
      </c>
      <c r="IXO83" s="367" t="e">
        <f>IXL83*IXM83*IXN83</f>
        <v>#DIV/0!</v>
      </c>
      <c r="IXP83" s="363" t="s">
        <v>153</v>
      </c>
      <c r="IXQ83" s="363"/>
      <c r="IXR83" s="363"/>
      <c r="IXS83" s="364" t="s">
        <v>140</v>
      </c>
      <c r="IXT83" s="365">
        <v>0.5</v>
      </c>
      <c r="IXU83" s="366" t="e">
        <f>10/IXQ81</f>
        <v>#DIV/0!</v>
      </c>
      <c r="IXV83" s="367">
        <v>15.38</v>
      </c>
      <c r="IXW83" s="367" t="e">
        <f>IXT83*IXU83*IXV83</f>
        <v>#DIV/0!</v>
      </c>
      <c r="IXX83" s="363" t="s">
        <v>153</v>
      </c>
      <c r="IXY83" s="363"/>
      <c r="IXZ83" s="363"/>
      <c r="IYA83" s="364" t="s">
        <v>140</v>
      </c>
      <c r="IYB83" s="365">
        <v>0.5</v>
      </c>
      <c r="IYC83" s="366" t="e">
        <f>10/IXY81</f>
        <v>#DIV/0!</v>
      </c>
      <c r="IYD83" s="367">
        <v>15.38</v>
      </c>
      <c r="IYE83" s="367" t="e">
        <f>IYB83*IYC83*IYD83</f>
        <v>#DIV/0!</v>
      </c>
      <c r="IYF83" s="363" t="s">
        <v>153</v>
      </c>
      <c r="IYG83" s="363"/>
      <c r="IYH83" s="363"/>
      <c r="IYI83" s="364" t="s">
        <v>140</v>
      </c>
      <c r="IYJ83" s="365">
        <v>0.5</v>
      </c>
      <c r="IYK83" s="366" t="e">
        <f>10/IYG81</f>
        <v>#DIV/0!</v>
      </c>
      <c r="IYL83" s="367">
        <v>15.38</v>
      </c>
      <c r="IYM83" s="367" t="e">
        <f>IYJ83*IYK83*IYL83</f>
        <v>#DIV/0!</v>
      </c>
      <c r="IYN83" s="363" t="s">
        <v>153</v>
      </c>
      <c r="IYO83" s="363"/>
      <c r="IYP83" s="363"/>
      <c r="IYQ83" s="364" t="s">
        <v>140</v>
      </c>
      <c r="IYR83" s="365">
        <v>0.5</v>
      </c>
      <c r="IYS83" s="366" t="e">
        <f>10/IYO81</f>
        <v>#DIV/0!</v>
      </c>
      <c r="IYT83" s="367">
        <v>15.38</v>
      </c>
      <c r="IYU83" s="367" t="e">
        <f>IYR83*IYS83*IYT83</f>
        <v>#DIV/0!</v>
      </c>
      <c r="IYV83" s="363" t="s">
        <v>153</v>
      </c>
      <c r="IYW83" s="363"/>
      <c r="IYX83" s="363"/>
      <c r="IYY83" s="364" t="s">
        <v>140</v>
      </c>
      <c r="IYZ83" s="365">
        <v>0.5</v>
      </c>
      <c r="IZA83" s="366" t="e">
        <f>10/IYW81</f>
        <v>#DIV/0!</v>
      </c>
      <c r="IZB83" s="367">
        <v>15.38</v>
      </c>
      <c r="IZC83" s="367" t="e">
        <f>IYZ83*IZA83*IZB83</f>
        <v>#DIV/0!</v>
      </c>
      <c r="IZD83" s="363" t="s">
        <v>153</v>
      </c>
      <c r="IZE83" s="363"/>
      <c r="IZF83" s="363"/>
      <c r="IZG83" s="364" t="s">
        <v>140</v>
      </c>
      <c r="IZH83" s="365">
        <v>0.5</v>
      </c>
      <c r="IZI83" s="366" t="e">
        <f>10/IZE81</f>
        <v>#DIV/0!</v>
      </c>
      <c r="IZJ83" s="367">
        <v>15.38</v>
      </c>
      <c r="IZK83" s="367" t="e">
        <f>IZH83*IZI83*IZJ83</f>
        <v>#DIV/0!</v>
      </c>
      <c r="IZL83" s="363" t="s">
        <v>153</v>
      </c>
      <c r="IZM83" s="363"/>
      <c r="IZN83" s="363"/>
      <c r="IZO83" s="364" t="s">
        <v>140</v>
      </c>
      <c r="IZP83" s="365">
        <v>0.5</v>
      </c>
      <c r="IZQ83" s="366" t="e">
        <f>10/IZM81</f>
        <v>#DIV/0!</v>
      </c>
      <c r="IZR83" s="367">
        <v>15.38</v>
      </c>
      <c r="IZS83" s="367" t="e">
        <f>IZP83*IZQ83*IZR83</f>
        <v>#DIV/0!</v>
      </c>
      <c r="IZT83" s="363" t="s">
        <v>153</v>
      </c>
      <c r="IZU83" s="363"/>
      <c r="IZV83" s="363"/>
      <c r="IZW83" s="364" t="s">
        <v>140</v>
      </c>
      <c r="IZX83" s="365">
        <v>0.5</v>
      </c>
      <c r="IZY83" s="366" t="e">
        <f>10/IZU81</f>
        <v>#DIV/0!</v>
      </c>
      <c r="IZZ83" s="367">
        <v>15.38</v>
      </c>
      <c r="JAA83" s="367" t="e">
        <f>IZX83*IZY83*IZZ83</f>
        <v>#DIV/0!</v>
      </c>
      <c r="JAB83" s="363" t="s">
        <v>153</v>
      </c>
      <c r="JAC83" s="363"/>
      <c r="JAD83" s="363"/>
      <c r="JAE83" s="364" t="s">
        <v>140</v>
      </c>
      <c r="JAF83" s="365">
        <v>0.5</v>
      </c>
      <c r="JAG83" s="366" t="e">
        <f>10/JAC81</f>
        <v>#DIV/0!</v>
      </c>
      <c r="JAH83" s="367">
        <v>15.38</v>
      </c>
      <c r="JAI83" s="367" t="e">
        <f>JAF83*JAG83*JAH83</f>
        <v>#DIV/0!</v>
      </c>
      <c r="JAJ83" s="363" t="s">
        <v>153</v>
      </c>
      <c r="JAK83" s="363"/>
      <c r="JAL83" s="363"/>
      <c r="JAM83" s="364" t="s">
        <v>140</v>
      </c>
      <c r="JAN83" s="365">
        <v>0.5</v>
      </c>
      <c r="JAO83" s="366" t="e">
        <f>10/JAK81</f>
        <v>#DIV/0!</v>
      </c>
      <c r="JAP83" s="367">
        <v>15.38</v>
      </c>
      <c r="JAQ83" s="367" t="e">
        <f>JAN83*JAO83*JAP83</f>
        <v>#DIV/0!</v>
      </c>
      <c r="JAR83" s="363" t="s">
        <v>153</v>
      </c>
      <c r="JAS83" s="363"/>
      <c r="JAT83" s="363"/>
      <c r="JAU83" s="364" t="s">
        <v>140</v>
      </c>
      <c r="JAV83" s="365">
        <v>0.5</v>
      </c>
      <c r="JAW83" s="366" t="e">
        <f>10/JAS81</f>
        <v>#DIV/0!</v>
      </c>
      <c r="JAX83" s="367">
        <v>15.38</v>
      </c>
      <c r="JAY83" s="367" t="e">
        <f>JAV83*JAW83*JAX83</f>
        <v>#DIV/0!</v>
      </c>
      <c r="JAZ83" s="363" t="s">
        <v>153</v>
      </c>
      <c r="JBA83" s="363"/>
      <c r="JBB83" s="363"/>
      <c r="JBC83" s="364" t="s">
        <v>140</v>
      </c>
      <c r="JBD83" s="365">
        <v>0.5</v>
      </c>
      <c r="JBE83" s="366" t="e">
        <f>10/JBA81</f>
        <v>#DIV/0!</v>
      </c>
      <c r="JBF83" s="367">
        <v>15.38</v>
      </c>
      <c r="JBG83" s="367" t="e">
        <f>JBD83*JBE83*JBF83</f>
        <v>#DIV/0!</v>
      </c>
      <c r="JBH83" s="363" t="s">
        <v>153</v>
      </c>
      <c r="JBI83" s="363"/>
      <c r="JBJ83" s="363"/>
      <c r="JBK83" s="364" t="s">
        <v>140</v>
      </c>
      <c r="JBL83" s="365">
        <v>0.5</v>
      </c>
      <c r="JBM83" s="366" t="e">
        <f>10/JBI81</f>
        <v>#DIV/0!</v>
      </c>
      <c r="JBN83" s="367">
        <v>15.38</v>
      </c>
      <c r="JBO83" s="367" t="e">
        <f>JBL83*JBM83*JBN83</f>
        <v>#DIV/0!</v>
      </c>
      <c r="JBP83" s="363" t="s">
        <v>153</v>
      </c>
      <c r="JBQ83" s="363"/>
      <c r="JBR83" s="363"/>
      <c r="JBS83" s="364" t="s">
        <v>140</v>
      </c>
      <c r="JBT83" s="365">
        <v>0.5</v>
      </c>
      <c r="JBU83" s="366" t="e">
        <f>10/JBQ81</f>
        <v>#DIV/0!</v>
      </c>
      <c r="JBV83" s="367">
        <v>15.38</v>
      </c>
      <c r="JBW83" s="367" t="e">
        <f>JBT83*JBU83*JBV83</f>
        <v>#DIV/0!</v>
      </c>
      <c r="JBX83" s="363" t="s">
        <v>153</v>
      </c>
      <c r="JBY83" s="363"/>
      <c r="JBZ83" s="363"/>
      <c r="JCA83" s="364" t="s">
        <v>140</v>
      </c>
      <c r="JCB83" s="365">
        <v>0.5</v>
      </c>
      <c r="JCC83" s="366" t="e">
        <f>10/JBY81</f>
        <v>#DIV/0!</v>
      </c>
      <c r="JCD83" s="367">
        <v>15.38</v>
      </c>
      <c r="JCE83" s="367" t="e">
        <f>JCB83*JCC83*JCD83</f>
        <v>#DIV/0!</v>
      </c>
      <c r="JCF83" s="363" t="s">
        <v>153</v>
      </c>
      <c r="JCG83" s="363"/>
      <c r="JCH83" s="363"/>
      <c r="JCI83" s="364" t="s">
        <v>140</v>
      </c>
      <c r="JCJ83" s="365">
        <v>0.5</v>
      </c>
      <c r="JCK83" s="366" t="e">
        <f>10/JCG81</f>
        <v>#DIV/0!</v>
      </c>
      <c r="JCL83" s="367">
        <v>15.38</v>
      </c>
      <c r="JCM83" s="367" t="e">
        <f>JCJ83*JCK83*JCL83</f>
        <v>#DIV/0!</v>
      </c>
      <c r="JCN83" s="363" t="s">
        <v>153</v>
      </c>
      <c r="JCO83" s="363"/>
      <c r="JCP83" s="363"/>
      <c r="JCQ83" s="364" t="s">
        <v>140</v>
      </c>
      <c r="JCR83" s="365">
        <v>0.5</v>
      </c>
      <c r="JCS83" s="366" t="e">
        <f>10/JCO81</f>
        <v>#DIV/0!</v>
      </c>
      <c r="JCT83" s="367">
        <v>15.38</v>
      </c>
      <c r="JCU83" s="367" t="e">
        <f>JCR83*JCS83*JCT83</f>
        <v>#DIV/0!</v>
      </c>
      <c r="JCV83" s="363" t="s">
        <v>153</v>
      </c>
      <c r="JCW83" s="363"/>
      <c r="JCX83" s="363"/>
      <c r="JCY83" s="364" t="s">
        <v>140</v>
      </c>
      <c r="JCZ83" s="365">
        <v>0.5</v>
      </c>
      <c r="JDA83" s="366" t="e">
        <f>10/JCW81</f>
        <v>#DIV/0!</v>
      </c>
      <c r="JDB83" s="367">
        <v>15.38</v>
      </c>
      <c r="JDC83" s="367" t="e">
        <f>JCZ83*JDA83*JDB83</f>
        <v>#DIV/0!</v>
      </c>
      <c r="JDD83" s="363" t="s">
        <v>153</v>
      </c>
      <c r="JDE83" s="363"/>
      <c r="JDF83" s="363"/>
      <c r="JDG83" s="364" t="s">
        <v>140</v>
      </c>
      <c r="JDH83" s="365">
        <v>0.5</v>
      </c>
      <c r="JDI83" s="366" t="e">
        <f>10/JDE81</f>
        <v>#DIV/0!</v>
      </c>
      <c r="JDJ83" s="367">
        <v>15.38</v>
      </c>
      <c r="JDK83" s="367" t="e">
        <f>JDH83*JDI83*JDJ83</f>
        <v>#DIV/0!</v>
      </c>
      <c r="JDL83" s="363" t="s">
        <v>153</v>
      </c>
      <c r="JDM83" s="363"/>
      <c r="JDN83" s="363"/>
      <c r="JDO83" s="364" t="s">
        <v>140</v>
      </c>
      <c r="JDP83" s="365">
        <v>0.5</v>
      </c>
      <c r="JDQ83" s="366" t="e">
        <f>10/JDM81</f>
        <v>#DIV/0!</v>
      </c>
      <c r="JDR83" s="367">
        <v>15.38</v>
      </c>
      <c r="JDS83" s="367" t="e">
        <f>JDP83*JDQ83*JDR83</f>
        <v>#DIV/0!</v>
      </c>
      <c r="JDT83" s="363" t="s">
        <v>153</v>
      </c>
      <c r="JDU83" s="363"/>
      <c r="JDV83" s="363"/>
      <c r="JDW83" s="364" t="s">
        <v>140</v>
      </c>
      <c r="JDX83" s="365">
        <v>0.5</v>
      </c>
      <c r="JDY83" s="366" t="e">
        <f>10/JDU81</f>
        <v>#DIV/0!</v>
      </c>
      <c r="JDZ83" s="367">
        <v>15.38</v>
      </c>
      <c r="JEA83" s="367" t="e">
        <f>JDX83*JDY83*JDZ83</f>
        <v>#DIV/0!</v>
      </c>
      <c r="JEB83" s="363" t="s">
        <v>153</v>
      </c>
      <c r="JEC83" s="363"/>
      <c r="JED83" s="363"/>
      <c r="JEE83" s="364" t="s">
        <v>140</v>
      </c>
      <c r="JEF83" s="365">
        <v>0.5</v>
      </c>
      <c r="JEG83" s="366" t="e">
        <f>10/JEC81</f>
        <v>#DIV/0!</v>
      </c>
      <c r="JEH83" s="367">
        <v>15.38</v>
      </c>
      <c r="JEI83" s="367" t="e">
        <f>JEF83*JEG83*JEH83</f>
        <v>#DIV/0!</v>
      </c>
      <c r="JEJ83" s="363" t="s">
        <v>153</v>
      </c>
      <c r="JEK83" s="363"/>
      <c r="JEL83" s="363"/>
      <c r="JEM83" s="364" t="s">
        <v>140</v>
      </c>
      <c r="JEN83" s="365">
        <v>0.5</v>
      </c>
      <c r="JEO83" s="366" t="e">
        <f>10/JEK81</f>
        <v>#DIV/0!</v>
      </c>
      <c r="JEP83" s="367">
        <v>15.38</v>
      </c>
      <c r="JEQ83" s="367" t="e">
        <f>JEN83*JEO83*JEP83</f>
        <v>#DIV/0!</v>
      </c>
      <c r="JER83" s="363" t="s">
        <v>153</v>
      </c>
      <c r="JES83" s="363"/>
      <c r="JET83" s="363"/>
      <c r="JEU83" s="364" t="s">
        <v>140</v>
      </c>
      <c r="JEV83" s="365">
        <v>0.5</v>
      </c>
      <c r="JEW83" s="366" t="e">
        <f>10/JES81</f>
        <v>#DIV/0!</v>
      </c>
      <c r="JEX83" s="367">
        <v>15.38</v>
      </c>
      <c r="JEY83" s="367" t="e">
        <f>JEV83*JEW83*JEX83</f>
        <v>#DIV/0!</v>
      </c>
      <c r="JEZ83" s="363" t="s">
        <v>153</v>
      </c>
      <c r="JFA83" s="363"/>
      <c r="JFB83" s="363"/>
      <c r="JFC83" s="364" t="s">
        <v>140</v>
      </c>
      <c r="JFD83" s="365">
        <v>0.5</v>
      </c>
      <c r="JFE83" s="366" t="e">
        <f>10/JFA81</f>
        <v>#DIV/0!</v>
      </c>
      <c r="JFF83" s="367">
        <v>15.38</v>
      </c>
      <c r="JFG83" s="367" t="e">
        <f>JFD83*JFE83*JFF83</f>
        <v>#DIV/0!</v>
      </c>
      <c r="JFH83" s="363" t="s">
        <v>153</v>
      </c>
      <c r="JFI83" s="363"/>
      <c r="JFJ83" s="363"/>
      <c r="JFK83" s="364" t="s">
        <v>140</v>
      </c>
      <c r="JFL83" s="365">
        <v>0.5</v>
      </c>
      <c r="JFM83" s="366" t="e">
        <f>10/JFI81</f>
        <v>#DIV/0!</v>
      </c>
      <c r="JFN83" s="367">
        <v>15.38</v>
      </c>
      <c r="JFO83" s="367" t="e">
        <f>JFL83*JFM83*JFN83</f>
        <v>#DIV/0!</v>
      </c>
      <c r="JFP83" s="363" t="s">
        <v>153</v>
      </c>
      <c r="JFQ83" s="363"/>
      <c r="JFR83" s="363"/>
      <c r="JFS83" s="364" t="s">
        <v>140</v>
      </c>
      <c r="JFT83" s="365">
        <v>0.5</v>
      </c>
      <c r="JFU83" s="366" t="e">
        <f>10/JFQ81</f>
        <v>#DIV/0!</v>
      </c>
      <c r="JFV83" s="367">
        <v>15.38</v>
      </c>
      <c r="JFW83" s="367" t="e">
        <f>JFT83*JFU83*JFV83</f>
        <v>#DIV/0!</v>
      </c>
      <c r="JFX83" s="363" t="s">
        <v>153</v>
      </c>
      <c r="JFY83" s="363"/>
      <c r="JFZ83" s="363"/>
      <c r="JGA83" s="364" t="s">
        <v>140</v>
      </c>
      <c r="JGB83" s="365">
        <v>0.5</v>
      </c>
      <c r="JGC83" s="366" t="e">
        <f>10/JFY81</f>
        <v>#DIV/0!</v>
      </c>
      <c r="JGD83" s="367">
        <v>15.38</v>
      </c>
      <c r="JGE83" s="367" t="e">
        <f>JGB83*JGC83*JGD83</f>
        <v>#DIV/0!</v>
      </c>
      <c r="JGF83" s="363" t="s">
        <v>153</v>
      </c>
      <c r="JGG83" s="363"/>
      <c r="JGH83" s="363"/>
      <c r="JGI83" s="364" t="s">
        <v>140</v>
      </c>
      <c r="JGJ83" s="365">
        <v>0.5</v>
      </c>
      <c r="JGK83" s="366" t="e">
        <f>10/JGG81</f>
        <v>#DIV/0!</v>
      </c>
      <c r="JGL83" s="367">
        <v>15.38</v>
      </c>
      <c r="JGM83" s="367" t="e">
        <f>JGJ83*JGK83*JGL83</f>
        <v>#DIV/0!</v>
      </c>
      <c r="JGN83" s="363" t="s">
        <v>153</v>
      </c>
      <c r="JGO83" s="363"/>
      <c r="JGP83" s="363"/>
      <c r="JGQ83" s="364" t="s">
        <v>140</v>
      </c>
      <c r="JGR83" s="365">
        <v>0.5</v>
      </c>
      <c r="JGS83" s="366" t="e">
        <f>10/JGO81</f>
        <v>#DIV/0!</v>
      </c>
      <c r="JGT83" s="367">
        <v>15.38</v>
      </c>
      <c r="JGU83" s="367" t="e">
        <f>JGR83*JGS83*JGT83</f>
        <v>#DIV/0!</v>
      </c>
      <c r="JGV83" s="363" t="s">
        <v>153</v>
      </c>
      <c r="JGW83" s="363"/>
      <c r="JGX83" s="363"/>
      <c r="JGY83" s="364" t="s">
        <v>140</v>
      </c>
      <c r="JGZ83" s="365">
        <v>0.5</v>
      </c>
      <c r="JHA83" s="366" t="e">
        <f>10/JGW81</f>
        <v>#DIV/0!</v>
      </c>
      <c r="JHB83" s="367">
        <v>15.38</v>
      </c>
      <c r="JHC83" s="367" t="e">
        <f>JGZ83*JHA83*JHB83</f>
        <v>#DIV/0!</v>
      </c>
      <c r="JHD83" s="363" t="s">
        <v>153</v>
      </c>
      <c r="JHE83" s="363"/>
      <c r="JHF83" s="363"/>
      <c r="JHG83" s="364" t="s">
        <v>140</v>
      </c>
      <c r="JHH83" s="365">
        <v>0.5</v>
      </c>
      <c r="JHI83" s="366" t="e">
        <f>10/JHE81</f>
        <v>#DIV/0!</v>
      </c>
      <c r="JHJ83" s="367">
        <v>15.38</v>
      </c>
      <c r="JHK83" s="367" t="e">
        <f>JHH83*JHI83*JHJ83</f>
        <v>#DIV/0!</v>
      </c>
      <c r="JHL83" s="363" t="s">
        <v>153</v>
      </c>
      <c r="JHM83" s="363"/>
      <c r="JHN83" s="363"/>
      <c r="JHO83" s="364" t="s">
        <v>140</v>
      </c>
      <c r="JHP83" s="365">
        <v>0.5</v>
      </c>
      <c r="JHQ83" s="366" t="e">
        <f>10/JHM81</f>
        <v>#DIV/0!</v>
      </c>
      <c r="JHR83" s="367">
        <v>15.38</v>
      </c>
      <c r="JHS83" s="367" t="e">
        <f>JHP83*JHQ83*JHR83</f>
        <v>#DIV/0!</v>
      </c>
      <c r="JHT83" s="363" t="s">
        <v>153</v>
      </c>
      <c r="JHU83" s="363"/>
      <c r="JHV83" s="363"/>
      <c r="JHW83" s="364" t="s">
        <v>140</v>
      </c>
      <c r="JHX83" s="365">
        <v>0.5</v>
      </c>
      <c r="JHY83" s="366" t="e">
        <f>10/JHU81</f>
        <v>#DIV/0!</v>
      </c>
      <c r="JHZ83" s="367">
        <v>15.38</v>
      </c>
      <c r="JIA83" s="367" t="e">
        <f>JHX83*JHY83*JHZ83</f>
        <v>#DIV/0!</v>
      </c>
      <c r="JIB83" s="363" t="s">
        <v>153</v>
      </c>
      <c r="JIC83" s="363"/>
      <c r="JID83" s="363"/>
      <c r="JIE83" s="364" t="s">
        <v>140</v>
      </c>
      <c r="JIF83" s="365">
        <v>0.5</v>
      </c>
      <c r="JIG83" s="366" t="e">
        <f>10/JIC81</f>
        <v>#DIV/0!</v>
      </c>
      <c r="JIH83" s="367">
        <v>15.38</v>
      </c>
      <c r="JII83" s="367" t="e">
        <f>JIF83*JIG83*JIH83</f>
        <v>#DIV/0!</v>
      </c>
      <c r="JIJ83" s="363" t="s">
        <v>153</v>
      </c>
      <c r="JIK83" s="363"/>
      <c r="JIL83" s="363"/>
      <c r="JIM83" s="364" t="s">
        <v>140</v>
      </c>
      <c r="JIN83" s="365">
        <v>0.5</v>
      </c>
      <c r="JIO83" s="366" t="e">
        <f>10/JIK81</f>
        <v>#DIV/0!</v>
      </c>
      <c r="JIP83" s="367">
        <v>15.38</v>
      </c>
      <c r="JIQ83" s="367" t="e">
        <f>JIN83*JIO83*JIP83</f>
        <v>#DIV/0!</v>
      </c>
      <c r="JIR83" s="363" t="s">
        <v>153</v>
      </c>
      <c r="JIS83" s="363"/>
      <c r="JIT83" s="363"/>
      <c r="JIU83" s="364" t="s">
        <v>140</v>
      </c>
      <c r="JIV83" s="365">
        <v>0.5</v>
      </c>
      <c r="JIW83" s="366" t="e">
        <f>10/JIS81</f>
        <v>#DIV/0!</v>
      </c>
      <c r="JIX83" s="367">
        <v>15.38</v>
      </c>
      <c r="JIY83" s="367" t="e">
        <f>JIV83*JIW83*JIX83</f>
        <v>#DIV/0!</v>
      </c>
      <c r="JIZ83" s="363" t="s">
        <v>153</v>
      </c>
      <c r="JJA83" s="363"/>
      <c r="JJB83" s="363"/>
      <c r="JJC83" s="364" t="s">
        <v>140</v>
      </c>
      <c r="JJD83" s="365">
        <v>0.5</v>
      </c>
      <c r="JJE83" s="366" t="e">
        <f>10/JJA81</f>
        <v>#DIV/0!</v>
      </c>
      <c r="JJF83" s="367">
        <v>15.38</v>
      </c>
      <c r="JJG83" s="367" t="e">
        <f>JJD83*JJE83*JJF83</f>
        <v>#DIV/0!</v>
      </c>
      <c r="JJH83" s="363" t="s">
        <v>153</v>
      </c>
      <c r="JJI83" s="363"/>
      <c r="JJJ83" s="363"/>
      <c r="JJK83" s="364" t="s">
        <v>140</v>
      </c>
      <c r="JJL83" s="365">
        <v>0.5</v>
      </c>
      <c r="JJM83" s="366" t="e">
        <f>10/JJI81</f>
        <v>#DIV/0!</v>
      </c>
      <c r="JJN83" s="367">
        <v>15.38</v>
      </c>
      <c r="JJO83" s="367" t="e">
        <f>JJL83*JJM83*JJN83</f>
        <v>#DIV/0!</v>
      </c>
      <c r="JJP83" s="363" t="s">
        <v>153</v>
      </c>
      <c r="JJQ83" s="363"/>
      <c r="JJR83" s="363"/>
      <c r="JJS83" s="364" t="s">
        <v>140</v>
      </c>
      <c r="JJT83" s="365">
        <v>0.5</v>
      </c>
      <c r="JJU83" s="366" t="e">
        <f>10/JJQ81</f>
        <v>#DIV/0!</v>
      </c>
      <c r="JJV83" s="367">
        <v>15.38</v>
      </c>
      <c r="JJW83" s="367" t="e">
        <f>JJT83*JJU83*JJV83</f>
        <v>#DIV/0!</v>
      </c>
      <c r="JJX83" s="363" t="s">
        <v>153</v>
      </c>
      <c r="JJY83" s="363"/>
      <c r="JJZ83" s="363"/>
      <c r="JKA83" s="364" t="s">
        <v>140</v>
      </c>
      <c r="JKB83" s="365">
        <v>0.5</v>
      </c>
      <c r="JKC83" s="366" t="e">
        <f>10/JJY81</f>
        <v>#DIV/0!</v>
      </c>
      <c r="JKD83" s="367">
        <v>15.38</v>
      </c>
      <c r="JKE83" s="367" t="e">
        <f>JKB83*JKC83*JKD83</f>
        <v>#DIV/0!</v>
      </c>
      <c r="JKF83" s="363" t="s">
        <v>153</v>
      </c>
      <c r="JKG83" s="363"/>
      <c r="JKH83" s="363"/>
      <c r="JKI83" s="364" t="s">
        <v>140</v>
      </c>
      <c r="JKJ83" s="365">
        <v>0.5</v>
      </c>
      <c r="JKK83" s="366" t="e">
        <f>10/JKG81</f>
        <v>#DIV/0!</v>
      </c>
      <c r="JKL83" s="367">
        <v>15.38</v>
      </c>
      <c r="JKM83" s="367" t="e">
        <f>JKJ83*JKK83*JKL83</f>
        <v>#DIV/0!</v>
      </c>
      <c r="JKN83" s="363" t="s">
        <v>153</v>
      </c>
      <c r="JKO83" s="363"/>
      <c r="JKP83" s="363"/>
      <c r="JKQ83" s="364" t="s">
        <v>140</v>
      </c>
      <c r="JKR83" s="365">
        <v>0.5</v>
      </c>
      <c r="JKS83" s="366" t="e">
        <f>10/JKO81</f>
        <v>#DIV/0!</v>
      </c>
      <c r="JKT83" s="367">
        <v>15.38</v>
      </c>
      <c r="JKU83" s="367" t="e">
        <f>JKR83*JKS83*JKT83</f>
        <v>#DIV/0!</v>
      </c>
      <c r="JKV83" s="363" t="s">
        <v>153</v>
      </c>
      <c r="JKW83" s="363"/>
      <c r="JKX83" s="363"/>
      <c r="JKY83" s="364" t="s">
        <v>140</v>
      </c>
      <c r="JKZ83" s="365">
        <v>0.5</v>
      </c>
      <c r="JLA83" s="366" t="e">
        <f>10/JKW81</f>
        <v>#DIV/0!</v>
      </c>
      <c r="JLB83" s="367">
        <v>15.38</v>
      </c>
      <c r="JLC83" s="367" t="e">
        <f>JKZ83*JLA83*JLB83</f>
        <v>#DIV/0!</v>
      </c>
      <c r="JLD83" s="363" t="s">
        <v>153</v>
      </c>
      <c r="JLE83" s="363"/>
      <c r="JLF83" s="363"/>
      <c r="JLG83" s="364" t="s">
        <v>140</v>
      </c>
      <c r="JLH83" s="365">
        <v>0.5</v>
      </c>
      <c r="JLI83" s="366" t="e">
        <f>10/JLE81</f>
        <v>#DIV/0!</v>
      </c>
      <c r="JLJ83" s="367">
        <v>15.38</v>
      </c>
      <c r="JLK83" s="367" t="e">
        <f>JLH83*JLI83*JLJ83</f>
        <v>#DIV/0!</v>
      </c>
      <c r="JLL83" s="363" t="s">
        <v>153</v>
      </c>
      <c r="JLM83" s="363"/>
      <c r="JLN83" s="363"/>
      <c r="JLO83" s="364" t="s">
        <v>140</v>
      </c>
      <c r="JLP83" s="365">
        <v>0.5</v>
      </c>
      <c r="JLQ83" s="366" t="e">
        <f>10/JLM81</f>
        <v>#DIV/0!</v>
      </c>
      <c r="JLR83" s="367">
        <v>15.38</v>
      </c>
      <c r="JLS83" s="367" t="e">
        <f>JLP83*JLQ83*JLR83</f>
        <v>#DIV/0!</v>
      </c>
      <c r="JLT83" s="363" t="s">
        <v>153</v>
      </c>
      <c r="JLU83" s="363"/>
      <c r="JLV83" s="363"/>
      <c r="JLW83" s="364" t="s">
        <v>140</v>
      </c>
      <c r="JLX83" s="365">
        <v>0.5</v>
      </c>
      <c r="JLY83" s="366" t="e">
        <f>10/JLU81</f>
        <v>#DIV/0!</v>
      </c>
      <c r="JLZ83" s="367">
        <v>15.38</v>
      </c>
      <c r="JMA83" s="367" t="e">
        <f>JLX83*JLY83*JLZ83</f>
        <v>#DIV/0!</v>
      </c>
      <c r="JMB83" s="363" t="s">
        <v>153</v>
      </c>
      <c r="JMC83" s="363"/>
      <c r="JMD83" s="363"/>
      <c r="JME83" s="364" t="s">
        <v>140</v>
      </c>
      <c r="JMF83" s="365">
        <v>0.5</v>
      </c>
      <c r="JMG83" s="366" t="e">
        <f>10/JMC81</f>
        <v>#DIV/0!</v>
      </c>
      <c r="JMH83" s="367">
        <v>15.38</v>
      </c>
      <c r="JMI83" s="367" t="e">
        <f>JMF83*JMG83*JMH83</f>
        <v>#DIV/0!</v>
      </c>
      <c r="JMJ83" s="363" t="s">
        <v>153</v>
      </c>
      <c r="JMK83" s="363"/>
      <c r="JML83" s="363"/>
      <c r="JMM83" s="364" t="s">
        <v>140</v>
      </c>
      <c r="JMN83" s="365">
        <v>0.5</v>
      </c>
      <c r="JMO83" s="366" t="e">
        <f>10/JMK81</f>
        <v>#DIV/0!</v>
      </c>
      <c r="JMP83" s="367">
        <v>15.38</v>
      </c>
      <c r="JMQ83" s="367" t="e">
        <f>JMN83*JMO83*JMP83</f>
        <v>#DIV/0!</v>
      </c>
      <c r="JMR83" s="363" t="s">
        <v>153</v>
      </c>
      <c r="JMS83" s="363"/>
      <c r="JMT83" s="363"/>
      <c r="JMU83" s="364" t="s">
        <v>140</v>
      </c>
      <c r="JMV83" s="365">
        <v>0.5</v>
      </c>
      <c r="JMW83" s="366" t="e">
        <f>10/JMS81</f>
        <v>#DIV/0!</v>
      </c>
      <c r="JMX83" s="367">
        <v>15.38</v>
      </c>
      <c r="JMY83" s="367" t="e">
        <f>JMV83*JMW83*JMX83</f>
        <v>#DIV/0!</v>
      </c>
      <c r="JMZ83" s="363" t="s">
        <v>153</v>
      </c>
      <c r="JNA83" s="363"/>
      <c r="JNB83" s="363"/>
      <c r="JNC83" s="364" t="s">
        <v>140</v>
      </c>
      <c r="JND83" s="365">
        <v>0.5</v>
      </c>
      <c r="JNE83" s="366" t="e">
        <f>10/JNA81</f>
        <v>#DIV/0!</v>
      </c>
      <c r="JNF83" s="367">
        <v>15.38</v>
      </c>
      <c r="JNG83" s="367" t="e">
        <f>JND83*JNE83*JNF83</f>
        <v>#DIV/0!</v>
      </c>
      <c r="JNH83" s="363" t="s">
        <v>153</v>
      </c>
      <c r="JNI83" s="363"/>
      <c r="JNJ83" s="363"/>
      <c r="JNK83" s="364" t="s">
        <v>140</v>
      </c>
      <c r="JNL83" s="365">
        <v>0.5</v>
      </c>
      <c r="JNM83" s="366" t="e">
        <f>10/JNI81</f>
        <v>#DIV/0!</v>
      </c>
      <c r="JNN83" s="367">
        <v>15.38</v>
      </c>
      <c r="JNO83" s="367" t="e">
        <f>JNL83*JNM83*JNN83</f>
        <v>#DIV/0!</v>
      </c>
      <c r="JNP83" s="363" t="s">
        <v>153</v>
      </c>
      <c r="JNQ83" s="363"/>
      <c r="JNR83" s="363"/>
      <c r="JNS83" s="364" t="s">
        <v>140</v>
      </c>
      <c r="JNT83" s="365">
        <v>0.5</v>
      </c>
      <c r="JNU83" s="366" t="e">
        <f>10/JNQ81</f>
        <v>#DIV/0!</v>
      </c>
      <c r="JNV83" s="367">
        <v>15.38</v>
      </c>
      <c r="JNW83" s="367" t="e">
        <f>JNT83*JNU83*JNV83</f>
        <v>#DIV/0!</v>
      </c>
      <c r="JNX83" s="363" t="s">
        <v>153</v>
      </c>
      <c r="JNY83" s="363"/>
      <c r="JNZ83" s="363"/>
      <c r="JOA83" s="364" t="s">
        <v>140</v>
      </c>
      <c r="JOB83" s="365">
        <v>0.5</v>
      </c>
      <c r="JOC83" s="366" t="e">
        <f>10/JNY81</f>
        <v>#DIV/0!</v>
      </c>
      <c r="JOD83" s="367">
        <v>15.38</v>
      </c>
      <c r="JOE83" s="367" t="e">
        <f>JOB83*JOC83*JOD83</f>
        <v>#DIV/0!</v>
      </c>
      <c r="JOF83" s="363" t="s">
        <v>153</v>
      </c>
      <c r="JOG83" s="363"/>
      <c r="JOH83" s="363"/>
      <c r="JOI83" s="364" t="s">
        <v>140</v>
      </c>
      <c r="JOJ83" s="365">
        <v>0.5</v>
      </c>
      <c r="JOK83" s="366" t="e">
        <f>10/JOG81</f>
        <v>#DIV/0!</v>
      </c>
      <c r="JOL83" s="367">
        <v>15.38</v>
      </c>
      <c r="JOM83" s="367" t="e">
        <f>JOJ83*JOK83*JOL83</f>
        <v>#DIV/0!</v>
      </c>
      <c r="JON83" s="363" t="s">
        <v>153</v>
      </c>
      <c r="JOO83" s="363"/>
      <c r="JOP83" s="363"/>
      <c r="JOQ83" s="364" t="s">
        <v>140</v>
      </c>
      <c r="JOR83" s="365">
        <v>0.5</v>
      </c>
      <c r="JOS83" s="366" t="e">
        <f>10/JOO81</f>
        <v>#DIV/0!</v>
      </c>
      <c r="JOT83" s="367">
        <v>15.38</v>
      </c>
      <c r="JOU83" s="367" t="e">
        <f>JOR83*JOS83*JOT83</f>
        <v>#DIV/0!</v>
      </c>
      <c r="JOV83" s="363" t="s">
        <v>153</v>
      </c>
      <c r="JOW83" s="363"/>
      <c r="JOX83" s="363"/>
      <c r="JOY83" s="364" t="s">
        <v>140</v>
      </c>
      <c r="JOZ83" s="365">
        <v>0.5</v>
      </c>
      <c r="JPA83" s="366" t="e">
        <f>10/JOW81</f>
        <v>#DIV/0!</v>
      </c>
      <c r="JPB83" s="367">
        <v>15.38</v>
      </c>
      <c r="JPC83" s="367" t="e">
        <f>JOZ83*JPA83*JPB83</f>
        <v>#DIV/0!</v>
      </c>
      <c r="JPD83" s="363" t="s">
        <v>153</v>
      </c>
      <c r="JPE83" s="363"/>
      <c r="JPF83" s="363"/>
      <c r="JPG83" s="364" t="s">
        <v>140</v>
      </c>
      <c r="JPH83" s="365">
        <v>0.5</v>
      </c>
      <c r="JPI83" s="366" t="e">
        <f>10/JPE81</f>
        <v>#DIV/0!</v>
      </c>
      <c r="JPJ83" s="367">
        <v>15.38</v>
      </c>
      <c r="JPK83" s="367" t="e">
        <f>JPH83*JPI83*JPJ83</f>
        <v>#DIV/0!</v>
      </c>
      <c r="JPL83" s="363" t="s">
        <v>153</v>
      </c>
      <c r="JPM83" s="363"/>
      <c r="JPN83" s="363"/>
      <c r="JPO83" s="364" t="s">
        <v>140</v>
      </c>
      <c r="JPP83" s="365">
        <v>0.5</v>
      </c>
      <c r="JPQ83" s="366" t="e">
        <f>10/JPM81</f>
        <v>#DIV/0!</v>
      </c>
      <c r="JPR83" s="367">
        <v>15.38</v>
      </c>
      <c r="JPS83" s="367" t="e">
        <f>JPP83*JPQ83*JPR83</f>
        <v>#DIV/0!</v>
      </c>
      <c r="JPT83" s="363" t="s">
        <v>153</v>
      </c>
      <c r="JPU83" s="363"/>
      <c r="JPV83" s="363"/>
      <c r="JPW83" s="364" t="s">
        <v>140</v>
      </c>
      <c r="JPX83" s="365">
        <v>0.5</v>
      </c>
      <c r="JPY83" s="366" t="e">
        <f>10/JPU81</f>
        <v>#DIV/0!</v>
      </c>
      <c r="JPZ83" s="367">
        <v>15.38</v>
      </c>
      <c r="JQA83" s="367" t="e">
        <f>JPX83*JPY83*JPZ83</f>
        <v>#DIV/0!</v>
      </c>
      <c r="JQB83" s="363" t="s">
        <v>153</v>
      </c>
      <c r="JQC83" s="363"/>
      <c r="JQD83" s="363"/>
      <c r="JQE83" s="364" t="s">
        <v>140</v>
      </c>
      <c r="JQF83" s="365">
        <v>0.5</v>
      </c>
      <c r="JQG83" s="366" t="e">
        <f>10/JQC81</f>
        <v>#DIV/0!</v>
      </c>
      <c r="JQH83" s="367">
        <v>15.38</v>
      </c>
      <c r="JQI83" s="367" t="e">
        <f>JQF83*JQG83*JQH83</f>
        <v>#DIV/0!</v>
      </c>
      <c r="JQJ83" s="363" t="s">
        <v>153</v>
      </c>
      <c r="JQK83" s="363"/>
      <c r="JQL83" s="363"/>
      <c r="JQM83" s="364" t="s">
        <v>140</v>
      </c>
      <c r="JQN83" s="365">
        <v>0.5</v>
      </c>
      <c r="JQO83" s="366" t="e">
        <f>10/JQK81</f>
        <v>#DIV/0!</v>
      </c>
      <c r="JQP83" s="367">
        <v>15.38</v>
      </c>
      <c r="JQQ83" s="367" t="e">
        <f>JQN83*JQO83*JQP83</f>
        <v>#DIV/0!</v>
      </c>
      <c r="JQR83" s="363" t="s">
        <v>153</v>
      </c>
      <c r="JQS83" s="363"/>
      <c r="JQT83" s="363"/>
      <c r="JQU83" s="364" t="s">
        <v>140</v>
      </c>
      <c r="JQV83" s="365">
        <v>0.5</v>
      </c>
      <c r="JQW83" s="366" t="e">
        <f>10/JQS81</f>
        <v>#DIV/0!</v>
      </c>
      <c r="JQX83" s="367">
        <v>15.38</v>
      </c>
      <c r="JQY83" s="367" t="e">
        <f>JQV83*JQW83*JQX83</f>
        <v>#DIV/0!</v>
      </c>
      <c r="JQZ83" s="363" t="s">
        <v>153</v>
      </c>
      <c r="JRA83" s="363"/>
      <c r="JRB83" s="363"/>
      <c r="JRC83" s="364" t="s">
        <v>140</v>
      </c>
      <c r="JRD83" s="365">
        <v>0.5</v>
      </c>
      <c r="JRE83" s="366" t="e">
        <f>10/JRA81</f>
        <v>#DIV/0!</v>
      </c>
      <c r="JRF83" s="367">
        <v>15.38</v>
      </c>
      <c r="JRG83" s="367" t="e">
        <f>JRD83*JRE83*JRF83</f>
        <v>#DIV/0!</v>
      </c>
      <c r="JRH83" s="363" t="s">
        <v>153</v>
      </c>
      <c r="JRI83" s="363"/>
      <c r="JRJ83" s="363"/>
      <c r="JRK83" s="364" t="s">
        <v>140</v>
      </c>
      <c r="JRL83" s="365">
        <v>0.5</v>
      </c>
      <c r="JRM83" s="366" t="e">
        <f>10/JRI81</f>
        <v>#DIV/0!</v>
      </c>
      <c r="JRN83" s="367">
        <v>15.38</v>
      </c>
      <c r="JRO83" s="367" t="e">
        <f>JRL83*JRM83*JRN83</f>
        <v>#DIV/0!</v>
      </c>
      <c r="JRP83" s="363" t="s">
        <v>153</v>
      </c>
      <c r="JRQ83" s="363"/>
      <c r="JRR83" s="363"/>
      <c r="JRS83" s="364" t="s">
        <v>140</v>
      </c>
      <c r="JRT83" s="365">
        <v>0.5</v>
      </c>
      <c r="JRU83" s="366" t="e">
        <f>10/JRQ81</f>
        <v>#DIV/0!</v>
      </c>
      <c r="JRV83" s="367">
        <v>15.38</v>
      </c>
      <c r="JRW83" s="367" t="e">
        <f>JRT83*JRU83*JRV83</f>
        <v>#DIV/0!</v>
      </c>
      <c r="JRX83" s="363" t="s">
        <v>153</v>
      </c>
      <c r="JRY83" s="363"/>
      <c r="JRZ83" s="363"/>
      <c r="JSA83" s="364" t="s">
        <v>140</v>
      </c>
      <c r="JSB83" s="365">
        <v>0.5</v>
      </c>
      <c r="JSC83" s="366" t="e">
        <f>10/JRY81</f>
        <v>#DIV/0!</v>
      </c>
      <c r="JSD83" s="367">
        <v>15.38</v>
      </c>
      <c r="JSE83" s="367" t="e">
        <f>JSB83*JSC83*JSD83</f>
        <v>#DIV/0!</v>
      </c>
      <c r="JSF83" s="363" t="s">
        <v>153</v>
      </c>
      <c r="JSG83" s="363"/>
      <c r="JSH83" s="363"/>
      <c r="JSI83" s="364" t="s">
        <v>140</v>
      </c>
      <c r="JSJ83" s="365">
        <v>0.5</v>
      </c>
      <c r="JSK83" s="366" t="e">
        <f>10/JSG81</f>
        <v>#DIV/0!</v>
      </c>
      <c r="JSL83" s="367">
        <v>15.38</v>
      </c>
      <c r="JSM83" s="367" t="e">
        <f>JSJ83*JSK83*JSL83</f>
        <v>#DIV/0!</v>
      </c>
      <c r="JSN83" s="363" t="s">
        <v>153</v>
      </c>
      <c r="JSO83" s="363"/>
      <c r="JSP83" s="363"/>
      <c r="JSQ83" s="364" t="s">
        <v>140</v>
      </c>
      <c r="JSR83" s="365">
        <v>0.5</v>
      </c>
      <c r="JSS83" s="366" t="e">
        <f>10/JSO81</f>
        <v>#DIV/0!</v>
      </c>
      <c r="JST83" s="367">
        <v>15.38</v>
      </c>
      <c r="JSU83" s="367" t="e">
        <f>JSR83*JSS83*JST83</f>
        <v>#DIV/0!</v>
      </c>
      <c r="JSV83" s="363" t="s">
        <v>153</v>
      </c>
      <c r="JSW83" s="363"/>
      <c r="JSX83" s="363"/>
      <c r="JSY83" s="364" t="s">
        <v>140</v>
      </c>
      <c r="JSZ83" s="365">
        <v>0.5</v>
      </c>
      <c r="JTA83" s="366" t="e">
        <f>10/JSW81</f>
        <v>#DIV/0!</v>
      </c>
      <c r="JTB83" s="367">
        <v>15.38</v>
      </c>
      <c r="JTC83" s="367" t="e">
        <f>JSZ83*JTA83*JTB83</f>
        <v>#DIV/0!</v>
      </c>
      <c r="JTD83" s="363" t="s">
        <v>153</v>
      </c>
      <c r="JTE83" s="363"/>
      <c r="JTF83" s="363"/>
      <c r="JTG83" s="364" t="s">
        <v>140</v>
      </c>
      <c r="JTH83" s="365">
        <v>0.5</v>
      </c>
      <c r="JTI83" s="366" t="e">
        <f>10/JTE81</f>
        <v>#DIV/0!</v>
      </c>
      <c r="JTJ83" s="367">
        <v>15.38</v>
      </c>
      <c r="JTK83" s="367" t="e">
        <f>JTH83*JTI83*JTJ83</f>
        <v>#DIV/0!</v>
      </c>
      <c r="JTL83" s="363" t="s">
        <v>153</v>
      </c>
      <c r="JTM83" s="363"/>
      <c r="JTN83" s="363"/>
      <c r="JTO83" s="364" t="s">
        <v>140</v>
      </c>
      <c r="JTP83" s="365">
        <v>0.5</v>
      </c>
      <c r="JTQ83" s="366" t="e">
        <f>10/JTM81</f>
        <v>#DIV/0!</v>
      </c>
      <c r="JTR83" s="367">
        <v>15.38</v>
      </c>
      <c r="JTS83" s="367" t="e">
        <f>JTP83*JTQ83*JTR83</f>
        <v>#DIV/0!</v>
      </c>
      <c r="JTT83" s="363" t="s">
        <v>153</v>
      </c>
      <c r="JTU83" s="363"/>
      <c r="JTV83" s="363"/>
      <c r="JTW83" s="364" t="s">
        <v>140</v>
      </c>
      <c r="JTX83" s="365">
        <v>0.5</v>
      </c>
      <c r="JTY83" s="366" t="e">
        <f>10/JTU81</f>
        <v>#DIV/0!</v>
      </c>
      <c r="JTZ83" s="367">
        <v>15.38</v>
      </c>
      <c r="JUA83" s="367" t="e">
        <f>JTX83*JTY83*JTZ83</f>
        <v>#DIV/0!</v>
      </c>
      <c r="JUB83" s="363" t="s">
        <v>153</v>
      </c>
      <c r="JUC83" s="363"/>
      <c r="JUD83" s="363"/>
      <c r="JUE83" s="364" t="s">
        <v>140</v>
      </c>
      <c r="JUF83" s="365">
        <v>0.5</v>
      </c>
      <c r="JUG83" s="366" t="e">
        <f>10/JUC81</f>
        <v>#DIV/0!</v>
      </c>
      <c r="JUH83" s="367">
        <v>15.38</v>
      </c>
      <c r="JUI83" s="367" t="e">
        <f>JUF83*JUG83*JUH83</f>
        <v>#DIV/0!</v>
      </c>
      <c r="JUJ83" s="363" t="s">
        <v>153</v>
      </c>
      <c r="JUK83" s="363"/>
      <c r="JUL83" s="363"/>
      <c r="JUM83" s="364" t="s">
        <v>140</v>
      </c>
      <c r="JUN83" s="365">
        <v>0.5</v>
      </c>
      <c r="JUO83" s="366" t="e">
        <f>10/JUK81</f>
        <v>#DIV/0!</v>
      </c>
      <c r="JUP83" s="367">
        <v>15.38</v>
      </c>
      <c r="JUQ83" s="367" t="e">
        <f>JUN83*JUO83*JUP83</f>
        <v>#DIV/0!</v>
      </c>
      <c r="JUR83" s="363" t="s">
        <v>153</v>
      </c>
      <c r="JUS83" s="363"/>
      <c r="JUT83" s="363"/>
      <c r="JUU83" s="364" t="s">
        <v>140</v>
      </c>
      <c r="JUV83" s="365">
        <v>0.5</v>
      </c>
      <c r="JUW83" s="366" t="e">
        <f>10/JUS81</f>
        <v>#DIV/0!</v>
      </c>
      <c r="JUX83" s="367">
        <v>15.38</v>
      </c>
      <c r="JUY83" s="367" t="e">
        <f>JUV83*JUW83*JUX83</f>
        <v>#DIV/0!</v>
      </c>
      <c r="JUZ83" s="363" t="s">
        <v>153</v>
      </c>
      <c r="JVA83" s="363"/>
      <c r="JVB83" s="363"/>
      <c r="JVC83" s="364" t="s">
        <v>140</v>
      </c>
      <c r="JVD83" s="365">
        <v>0.5</v>
      </c>
      <c r="JVE83" s="366" t="e">
        <f>10/JVA81</f>
        <v>#DIV/0!</v>
      </c>
      <c r="JVF83" s="367">
        <v>15.38</v>
      </c>
      <c r="JVG83" s="367" t="e">
        <f>JVD83*JVE83*JVF83</f>
        <v>#DIV/0!</v>
      </c>
      <c r="JVH83" s="363" t="s">
        <v>153</v>
      </c>
      <c r="JVI83" s="363"/>
      <c r="JVJ83" s="363"/>
      <c r="JVK83" s="364" t="s">
        <v>140</v>
      </c>
      <c r="JVL83" s="365">
        <v>0.5</v>
      </c>
      <c r="JVM83" s="366" t="e">
        <f>10/JVI81</f>
        <v>#DIV/0!</v>
      </c>
      <c r="JVN83" s="367">
        <v>15.38</v>
      </c>
      <c r="JVO83" s="367" t="e">
        <f>JVL83*JVM83*JVN83</f>
        <v>#DIV/0!</v>
      </c>
      <c r="JVP83" s="363" t="s">
        <v>153</v>
      </c>
      <c r="JVQ83" s="363"/>
      <c r="JVR83" s="363"/>
      <c r="JVS83" s="364" t="s">
        <v>140</v>
      </c>
      <c r="JVT83" s="365">
        <v>0.5</v>
      </c>
      <c r="JVU83" s="366" t="e">
        <f>10/JVQ81</f>
        <v>#DIV/0!</v>
      </c>
      <c r="JVV83" s="367">
        <v>15.38</v>
      </c>
      <c r="JVW83" s="367" t="e">
        <f>JVT83*JVU83*JVV83</f>
        <v>#DIV/0!</v>
      </c>
      <c r="JVX83" s="363" t="s">
        <v>153</v>
      </c>
      <c r="JVY83" s="363"/>
      <c r="JVZ83" s="363"/>
      <c r="JWA83" s="364" t="s">
        <v>140</v>
      </c>
      <c r="JWB83" s="365">
        <v>0.5</v>
      </c>
      <c r="JWC83" s="366" t="e">
        <f>10/JVY81</f>
        <v>#DIV/0!</v>
      </c>
      <c r="JWD83" s="367">
        <v>15.38</v>
      </c>
      <c r="JWE83" s="367" t="e">
        <f>JWB83*JWC83*JWD83</f>
        <v>#DIV/0!</v>
      </c>
      <c r="JWF83" s="363" t="s">
        <v>153</v>
      </c>
      <c r="JWG83" s="363"/>
      <c r="JWH83" s="363"/>
      <c r="JWI83" s="364" t="s">
        <v>140</v>
      </c>
      <c r="JWJ83" s="365">
        <v>0.5</v>
      </c>
      <c r="JWK83" s="366" t="e">
        <f>10/JWG81</f>
        <v>#DIV/0!</v>
      </c>
      <c r="JWL83" s="367">
        <v>15.38</v>
      </c>
      <c r="JWM83" s="367" t="e">
        <f>JWJ83*JWK83*JWL83</f>
        <v>#DIV/0!</v>
      </c>
      <c r="JWN83" s="363" t="s">
        <v>153</v>
      </c>
      <c r="JWO83" s="363"/>
      <c r="JWP83" s="363"/>
      <c r="JWQ83" s="364" t="s">
        <v>140</v>
      </c>
      <c r="JWR83" s="365">
        <v>0.5</v>
      </c>
      <c r="JWS83" s="366" t="e">
        <f>10/JWO81</f>
        <v>#DIV/0!</v>
      </c>
      <c r="JWT83" s="367">
        <v>15.38</v>
      </c>
      <c r="JWU83" s="367" t="e">
        <f>JWR83*JWS83*JWT83</f>
        <v>#DIV/0!</v>
      </c>
      <c r="JWV83" s="363" t="s">
        <v>153</v>
      </c>
      <c r="JWW83" s="363"/>
      <c r="JWX83" s="363"/>
      <c r="JWY83" s="364" t="s">
        <v>140</v>
      </c>
      <c r="JWZ83" s="365">
        <v>0.5</v>
      </c>
      <c r="JXA83" s="366" t="e">
        <f>10/JWW81</f>
        <v>#DIV/0!</v>
      </c>
      <c r="JXB83" s="367">
        <v>15.38</v>
      </c>
      <c r="JXC83" s="367" t="e">
        <f>JWZ83*JXA83*JXB83</f>
        <v>#DIV/0!</v>
      </c>
      <c r="JXD83" s="363" t="s">
        <v>153</v>
      </c>
      <c r="JXE83" s="363"/>
      <c r="JXF83" s="363"/>
      <c r="JXG83" s="364" t="s">
        <v>140</v>
      </c>
      <c r="JXH83" s="365">
        <v>0.5</v>
      </c>
      <c r="JXI83" s="366" t="e">
        <f>10/JXE81</f>
        <v>#DIV/0!</v>
      </c>
      <c r="JXJ83" s="367">
        <v>15.38</v>
      </c>
      <c r="JXK83" s="367" t="e">
        <f>JXH83*JXI83*JXJ83</f>
        <v>#DIV/0!</v>
      </c>
      <c r="JXL83" s="363" t="s">
        <v>153</v>
      </c>
      <c r="JXM83" s="363"/>
      <c r="JXN83" s="363"/>
      <c r="JXO83" s="364" t="s">
        <v>140</v>
      </c>
      <c r="JXP83" s="365">
        <v>0.5</v>
      </c>
      <c r="JXQ83" s="366" t="e">
        <f>10/JXM81</f>
        <v>#DIV/0!</v>
      </c>
      <c r="JXR83" s="367">
        <v>15.38</v>
      </c>
      <c r="JXS83" s="367" t="e">
        <f>JXP83*JXQ83*JXR83</f>
        <v>#DIV/0!</v>
      </c>
      <c r="JXT83" s="363" t="s">
        <v>153</v>
      </c>
      <c r="JXU83" s="363"/>
      <c r="JXV83" s="363"/>
      <c r="JXW83" s="364" t="s">
        <v>140</v>
      </c>
      <c r="JXX83" s="365">
        <v>0.5</v>
      </c>
      <c r="JXY83" s="366" t="e">
        <f>10/JXU81</f>
        <v>#DIV/0!</v>
      </c>
      <c r="JXZ83" s="367">
        <v>15.38</v>
      </c>
      <c r="JYA83" s="367" t="e">
        <f>JXX83*JXY83*JXZ83</f>
        <v>#DIV/0!</v>
      </c>
      <c r="JYB83" s="363" t="s">
        <v>153</v>
      </c>
      <c r="JYC83" s="363"/>
      <c r="JYD83" s="363"/>
      <c r="JYE83" s="364" t="s">
        <v>140</v>
      </c>
      <c r="JYF83" s="365">
        <v>0.5</v>
      </c>
      <c r="JYG83" s="366" t="e">
        <f>10/JYC81</f>
        <v>#DIV/0!</v>
      </c>
      <c r="JYH83" s="367">
        <v>15.38</v>
      </c>
      <c r="JYI83" s="367" t="e">
        <f>JYF83*JYG83*JYH83</f>
        <v>#DIV/0!</v>
      </c>
      <c r="JYJ83" s="363" t="s">
        <v>153</v>
      </c>
      <c r="JYK83" s="363"/>
      <c r="JYL83" s="363"/>
      <c r="JYM83" s="364" t="s">
        <v>140</v>
      </c>
      <c r="JYN83" s="365">
        <v>0.5</v>
      </c>
      <c r="JYO83" s="366" t="e">
        <f>10/JYK81</f>
        <v>#DIV/0!</v>
      </c>
      <c r="JYP83" s="367">
        <v>15.38</v>
      </c>
      <c r="JYQ83" s="367" t="e">
        <f>JYN83*JYO83*JYP83</f>
        <v>#DIV/0!</v>
      </c>
      <c r="JYR83" s="363" t="s">
        <v>153</v>
      </c>
      <c r="JYS83" s="363"/>
      <c r="JYT83" s="363"/>
      <c r="JYU83" s="364" t="s">
        <v>140</v>
      </c>
      <c r="JYV83" s="365">
        <v>0.5</v>
      </c>
      <c r="JYW83" s="366" t="e">
        <f>10/JYS81</f>
        <v>#DIV/0!</v>
      </c>
      <c r="JYX83" s="367">
        <v>15.38</v>
      </c>
      <c r="JYY83" s="367" t="e">
        <f>JYV83*JYW83*JYX83</f>
        <v>#DIV/0!</v>
      </c>
      <c r="JYZ83" s="363" t="s">
        <v>153</v>
      </c>
      <c r="JZA83" s="363"/>
      <c r="JZB83" s="363"/>
      <c r="JZC83" s="364" t="s">
        <v>140</v>
      </c>
      <c r="JZD83" s="365">
        <v>0.5</v>
      </c>
      <c r="JZE83" s="366" t="e">
        <f>10/JZA81</f>
        <v>#DIV/0!</v>
      </c>
      <c r="JZF83" s="367">
        <v>15.38</v>
      </c>
      <c r="JZG83" s="367" t="e">
        <f>JZD83*JZE83*JZF83</f>
        <v>#DIV/0!</v>
      </c>
      <c r="JZH83" s="363" t="s">
        <v>153</v>
      </c>
      <c r="JZI83" s="363"/>
      <c r="JZJ83" s="363"/>
      <c r="JZK83" s="364" t="s">
        <v>140</v>
      </c>
      <c r="JZL83" s="365">
        <v>0.5</v>
      </c>
      <c r="JZM83" s="366" t="e">
        <f>10/JZI81</f>
        <v>#DIV/0!</v>
      </c>
      <c r="JZN83" s="367">
        <v>15.38</v>
      </c>
      <c r="JZO83" s="367" t="e">
        <f>JZL83*JZM83*JZN83</f>
        <v>#DIV/0!</v>
      </c>
      <c r="JZP83" s="363" t="s">
        <v>153</v>
      </c>
      <c r="JZQ83" s="363"/>
      <c r="JZR83" s="363"/>
      <c r="JZS83" s="364" t="s">
        <v>140</v>
      </c>
      <c r="JZT83" s="365">
        <v>0.5</v>
      </c>
      <c r="JZU83" s="366" t="e">
        <f>10/JZQ81</f>
        <v>#DIV/0!</v>
      </c>
      <c r="JZV83" s="367">
        <v>15.38</v>
      </c>
      <c r="JZW83" s="367" t="e">
        <f>JZT83*JZU83*JZV83</f>
        <v>#DIV/0!</v>
      </c>
      <c r="JZX83" s="363" t="s">
        <v>153</v>
      </c>
      <c r="JZY83" s="363"/>
      <c r="JZZ83" s="363"/>
      <c r="KAA83" s="364" t="s">
        <v>140</v>
      </c>
      <c r="KAB83" s="365">
        <v>0.5</v>
      </c>
      <c r="KAC83" s="366" t="e">
        <f>10/JZY81</f>
        <v>#DIV/0!</v>
      </c>
      <c r="KAD83" s="367">
        <v>15.38</v>
      </c>
      <c r="KAE83" s="367" t="e">
        <f>KAB83*KAC83*KAD83</f>
        <v>#DIV/0!</v>
      </c>
      <c r="KAF83" s="363" t="s">
        <v>153</v>
      </c>
      <c r="KAG83" s="363"/>
      <c r="KAH83" s="363"/>
      <c r="KAI83" s="364" t="s">
        <v>140</v>
      </c>
      <c r="KAJ83" s="365">
        <v>0.5</v>
      </c>
      <c r="KAK83" s="366" t="e">
        <f>10/KAG81</f>
        <v>#DIV/0!</v>
      </c>
      <c r="KAL83" s="367">
        <v>15.38</v>
      </c>
      <c r="KAM83" s="367" t="e">
        <f>KAJ83*KAK83*KAL83</f>
        <v>#DIV/0!</v>
      </c>
      <c r="KAN83" s="363" t="s">
        <v>153</v>
      </c>
      <c r="KAO83" s="363"/>
      <c r="KAP83" s="363"/>
      <c r="KAQ83" s="364" t="s">
        <v>140</v>
      </c>
      <c r="KAR83" s="365">
        <v>0.5</v>
      </c>
      <c r="KAS83" s="366" t="e">
        <f>10/KAO81</f>
        <v>#DIV/0!</v>
      </c>
      <c r="KAT83" s="367">
        <v>15.38</v>
      </c>
      <c r="KAU83" s="367" t="e">
        <f>KAR83*KAS83*KAT83</f>
        <v>#DIV/0!</v>
      </c>
      <c r="KAV83" s="363" t="s">
        <v>153</v>
      </c>
      <c r="KAW83" s="363"/>
      <c r="KAX83" s="363"/>
      <c r="KAY83" s="364" t="s">
        <v>140</v>
      </c>
      <c r="KAZ83" s="365">
        <v>0.5</v>
      </c>
      <c r="KBA83" s="366" t="e">
        <f>10/KAW81</f>
        <v>#DIV/0!</v>
      </c>
      <c r="KBB83" s="367">
        <v>15.38</v>
      </c>
      <c r="KBC83" s="367" t="e">
        <f>KAZ83*KBA83*KBB83</f>
        <v>#DIV/0!</v>
      </c>
      <c r="KBD83" s="363" t="s">
        <v>153</v>
      </c>
      <c r="KBE83" s="363"/>
      <c r="KBF83" s="363"/>
      <c r="KBG83" s="364" t="s">
        <v>140</v>
      </c>
      <c r="KBH83" s="365">
        <v>0.5</v>
      </c>
      <c r="KBI83" s="366" t="e">
        <f>10/KBE81</f>
        <v>#DIV/0!</v>
      </c>
      <c r="KBJ83" s="367">
        <v>15.38</v>
      </c>
      <c r="KBK83" s="367" t="e">
        <f>KBH83*KBI83*KBJ83</f>
        <v>#DIV/0!</v>
      </c>
      <c r="KBL83" s="363" t="s">
        <v>153</v>
      </c>
      <c r="KBM83" s="363"/>
      <c r="KBN83" s="363"/>
      <c r="KBO83" s="364" t="s">
        <v>140</v>
      </c>
      <c r="KBP83" s="365">
        <v>0.5</v>
      </c>
      <c r="KBQ83" s="366" t="e">
        <f>10/KBM81</f>
        <v>#DIV/0!</v>
      </c>
      <c r="KBR83" s="367">
        <v>15.38</v>
      </c>
      <c r="KBS83" s="367" t="e">
        <f>KBP83*KBQ83*KBR83</f>
        <v>#DIV/0!</v>
      </c>
      <c r="KBT83" s="363" t="s">
        <v>153</v>
      </c>
      <c r="KBU83" s="363"/>
      <c r="KBV83" s="363"/>
      <c r="KBW83" s="364" t="s">
        <v>140</v>
      </c>
      <c r="KBX83" s="365">
        <v>0.5</v>
      </c>
      <c r="KBY83" s="366" t="e">
        <f>10/KBU81</f>
        <v>#DIV/0!</v>
      </c>
      <c r="KBZ83" s="367">
        <v>15.38</v>
      </c>
      <c r="KCA83" s="367" t="e">
        <f>KBX83*KBY83*KBZ83</f>
        <v>#DIV/0!</v>
      </c>
      <c r="KCB83" s="363" t="s">
        <v>153</v>
      </c>
      <c r="KCC83" s="363"/>
      <c r="KCD83" s="363"/>
      <c r="KCE83" s="364" t="s">
        <v>140</v>
      </c>
      <c r="KCF83" s="365">
        <v>0.5</v>
      </c>
      <c r="KCG83" s="366" t="e">
        <f>10/KCC81</f>
        <v>#DIV/0!</v>
      </c>
      <c r="KCH83" s="367">
        <v>15.38</v>
      </c>
      <c r="KCI83" s="367" t="e">
        <f>KCF83*KCG83*KCH83</f>
        <v>#DIV/0!</v>
      </c>
      <c r="KCJ83" s="363" t="s">
        <v>153</v>
      </c>
      <c r="KCK83" s="363"/>
      <c r="KCL83" s="363"/>
      <c r="KCM83" s="364" t="s">
        <v>140</v>
      </c>
      <c r="KCN83" s="365">
        <v>0.5</v>
      </c>
      <c r="KCO83" s="366" t="e">
        <f>10/KCK81</f>
        <v>#DIV/0!</v>
      </c>
      <c r="KCP83" s="367">
        <v>15.38</v>
      </c>
      <c r="KCQ83" s="367" t="e">
        <f>KCN83*KCO83*KCP83</f>
        <v>#DIV/0!</v>
      </c>
      <c r="KCR83" s="363" t="s">
        <v>153</v>
      </c>
      <c r="KCS83" s="363"/>
      <c r="KCT83" s="363"/>
      <c r="KCU83" s="364" t="s">
        <v>140</v>
      </c>
      <c r="KCV83" s="365">
        <v>0.5</v>
      </c>
      <c r="KCW83" s="366" t="e">
        <f>10/KCS81</f>
        <v>#DIV/0!</v>
      </c>
      <c r="KCX83" s="367">
        <v>15.38</v>
      </c>
      <c r="KCY83" s="367" t="e">
        <f>KCV83*KCW83*KCX83</f>
        <v>#DIV/0!</v>
      </c>
      <c r="KCZ83" s="363" t="s">
        <v>153</v>
      </c>
      <c r="KDA83" s="363"/>
      <c r="KDB83" s="363"/>
      <c r="KDC83" s="364" t="s">
        <v>140</v>
      </c>
      <c r="KDD83" s="365">
        <v>0.5</v>
      </c>
      <c r="KDE83" s="366" t="e">
        <f>10/KDA81</f>
        <v>#DIV/0!</v>
      </c>
      <c r="KDF83" s="367">
        <v>15.38</v>
      </c>
      <c r="KDG83" s="367" t="e">
        <f>KDD83*KDE83*KDF83</f>
        <v>#DIV/0!</v>
      </c>
      <c r="KDH83" s="363" t="s">
        <v>153</v>
      </c>
      <c r="KDI83" s="363"/>
      <c r="KDJ83" s="363"/>
      <c r="KDK83" s="364" t="s">
        <v>140</v>
      </c>
      <c r="KDL83" s="365">
        <v>0.5</v>
      </c>
      <c r="KDM83" s="366" t="e">
        <f>10/KDI81</f>
        <v>#DIV/0!</v>
      </c>
      <c r="KDN83" s="367">
        <v>15.38</v>
      </c>
      <c r="KDO83" s="367" t="e">
        <f>KDL83*KDM83*KDN83</f>
        <v>#DIV/0!</v>
      </c>
      <c r="KDP83" s="363" t="s">
        <v>153</v>
      </c>
      <c r="KDQ83" s="363"/>
      <c r="KDR83" s="363"/>
      <c r="KDS83" s="364" t="s">
        <v>140</v>
      </c>
      <c r="KDT83" s="365">
        <v>0.5</v>
      </c>
      <c r="KDU83" s="366" t="e">
        <f>10/KDQ81</f>
        <v>#DIV/0!</v>
      </c>
      <c r="KDV83" s="367">
        <v>15.38</v>
      </c>
      <c r="KDW83" s="367" t="e">
        <f>KDT83*KDU83*KDV83</f>
        <v>#DIV/0!</v>
      </c>
      <c r="KDX83" s="363" t="s">
        <v>153</v>
      </c>
      <c r="KDY83" s="363"/>
      <c r="KDZ83" s="363"/>
      <c r="KEA83" s="364" t="s">
        <v>140</v>
      </c>
      <c r="KEB83" s="365">
        <v>0.5</v>
      </c>
      <c r="KEC83" s="366" t="e">
        <f>10/KDY81</f>
        <v>#DIV/0!</v>
      </c>
      <c r="KED83" s="367">
        <v>15.38</v>
      </c>
      <c r="KEE83" s="367" t="e">
        <f>KEB83*KEC83*KED83</f>
        <v>#DIV/0!</v>
      </c>
      <c r="KEF83" s="363" t="s">
        <v>153</v>
      </c>
      <c r="KEG83" s="363"/>
      <c r="KEH83" s="363"/>
      <c r="KEI83" s="364" t="s">
        <v>140</v>
      </c>
      <c r="KEJ83" s="365">
        <v>0.5</v>
      </c>
      <c r="KEK83" s="366" t="e">
        <f>10/KEG81</f>
        <v>#DIV/0!</v>
      </c>
      <c r="KEL83" s="367">
        <v>15.38</v>
      </c>
      <c r="KEM83" s="367" t="e">
        <f>KEJ83*KEK83*KEL83</f>
        <v>#DIV/0!</v>
      </c>
      <c r="KEN83" s="363" t="s">
        <v>153</v>
      </c>
      <c r="KEO83" s="363"/>
      <c r="KEP83" s="363"/>
      <c r="KEQ83" s="364" t="s">
        <v>140</v>
      </c>
      <c r="KER83" s="365">
        <v>0.5</v>
      </c>
      <c r="KES83" s="366" t="e">
        <f>10/KEO81</f>
        <v>#DIV/0!</v>
      </c>
      <c r="KET83" s="367">
        <v>15.38</v>
      </c>
      <c r="KEU83" s="367" t="e">
        <f>KER83*KES83*KET83</f>
        <v>#DIV/0!</v>
      </c>
      <c r="KEV83" s="363" t="s">
        <v>153</v>
      </c>
      <c r="KEW83" s="363"/>
      <c r="KEX83" s="363"/>
      <c r="KEY83" s="364" t="s">
        <v>140</v>
      </c>
      <c r="KEZ83" s="365">
        <v>0.5</v>
      </c>
      <c r="KFA83" s="366" t="e">
        <f>10/KEW81</f>
        <v>#DIV/0!</v>
      </c>
      <c r="KFB83" s="367">
        <v>15.38</v>
      </c>
      <c r="KFC83" s="367" t="e">
        <f>KEZ83*KFA83*KFB83</f>
        <v>#DIV/0!</v>
      </c>
      <c r="KFD83" s="363" t="s">
        <v>153</v>
      </c>
      <c r="KFE83" s="363"/>
      <c r="KFF83" s="363"/>
      <c r="KFG83" s="364" t="s">
        <v>140</v>
      </c>
      <c r="KFH83" s="365">
        <v>0.5</v>
      </c>
      <c r="KFI83" s="366" t="e">
        <f>10/KFE81</f>
        <v>#DIV/0!</v>
      </c>
      <c r="KFJ83" s="367">
        <v>15.38</v>
      </c>
      <c r="KFK83" s="367" t="e">
        <f>KFH83*KFI83*KFJ83</f>
        <v>#DIV/0!</v>
      </c>
      <c r="KFL83" s="363" t="s">
        <v>153</v>
      </c>
      <c r="KFM83" s="363"/>
      <c r="KFN83" s="363"/>
      <c r="KFO83" s="364" t="s">
        <v>140</v>
      </c>
      <c r="KFP83" s="365">
        <v>0.5</v>
      </c>
      <c r="KFQ83" s="366" t="e">
        <f>10/KFM81</f>
        <v>#DIV/0!</v>
      </c>
      <c r="KFR83" s="367">
        <v>15.38</v>
      </c>
      <c r="KFS83" s="367" t="e">
        <f>KFP83*KFQ83*KFR83</f>
        <v>#DIV/0!</v>
      </c>
      <c r="KFT83" s="363" t="s">
        <v>153</v>
      </c>
      <c r="KFU83" s="363"/>
      <c r="KFV83" s="363"/>
      <c r="KFW83" s="364" t="s">
        <v>140</v>
      </c>
      <c r="KFX83" s="365">
        <v>0.5</v>
      </c>
      <c r="KFY83" s="366" t="e">
        <f>10/KFU81</f>
        <v>#DIV/0!</v>
      </c>
      <c r="KFZ83" s="367">
        <v>15.38</v>
      </c>
      <c r="KGA83" s="367" t="e">
        <f>KFX83*KFY83*KFZ83</f>
        <v>#DIV/0!</v>
      </c>
      <c r="KGB83" s="363" t="s">
        <v>153</v>
      </c>
      <c r="KGC83" s="363"/>
      <c r="KGD83" s="363"/>
      <c r="KGE83" s="364" t="s">
        <v>140</v>
      </c>
      <c r="KGF83" s="365">
        <v>0.5</v>
      </c>
      <c r="KGG83" s="366" t="e">
        <f>10/KGC81</f>
        <v>#DIV/0!</v>
      </c>
      <c r="KGH83" s="367">
        <v>15.38</v>
      </c>
      <c r="KGI83" s="367" t="e">
        <f>KGF83*KGG83*KGH83</f>
        <v>#DIV/0!</v>
      </c>
      <c r="KGJ83" s="363" t="s">
        <v>153</v>
      </c>
      <c r="KGK83" s="363"/>
      <c r="KGL83" s="363"/>
      <c r="KGM83" s="364" t="s">
        <v>140</v>
      </c>
      <c r="KGN83" s="365">
        <v>0.5</v>
      </c>
      <c r="KGO83" s="366" t="e">
        <f>10/KGK81</f>
        <v>#DIV/0!</v>
      </c>
      <c r="KGP83" s="367">
        <v>15.38</v>
      </c>
      <c r="KGQ83" s="367" t="e">
        <f>KGN83*KGO83*KGP83</f>
        <v>#DIV/0!</v>
      </c>
      <c r="KGR83" s="363" t="s">
        <v>153</v>
      </c>
      <c r="KGS83" s="363"/>
      <c r="KGT83" s="363"/>
      <c r="KGU83" s="364" t="s">
        <v>140</v>
      </c>
      <c r="KGV83" s="365">
        <v>0.5</v>
      </c>
      <c r="KGW83" s="366" t="e">
        <f>10/KGS81</f>
        <v>#DIV/0!</v>
      </c>
      <c r="KGX83" s="367">
        <v>15.38</v>
      </c>
      <c r="KGY83" s="367" t="e">
        <f>KGV83*KGW83*KGX83</f>
        <v>#DIV/0!</v>
      </c>
      <c r="KGZ83" s="363" t="s">
        <v>153</v>
      </c>
      <c r="KHA83" s="363"/>
      <c r="KHB83" s="363"/>
      <c r="KHC83" s="364" t="s">
        <v>140</v>
      </c>
      <c r="KHD83" s="365">
        <v>0.5</v>
      </c>
      <c r="KHE83" s="366" t="e">
        <f>10/KHA81</f>
        <v>#DIV/0!</v>
      </c>
      <c r="KHF83" s="367">
        <v>15.38</v>
      </c>
      <c r="KHG83" s="367" t="e">
        <f>KHD83*KHE83*KHF83</f>
        <v>#DIV/0!</v>
      </c>
      <c r="KHH83" s="363" t="s">
        <v>153</v>
      </c>
      <c r="KHI83" s="363"/>
      <c r="KHJ83" s="363"/>
      <c r="KHK83" s="364" t="s">
        <v>140</v>
      </c>
      <c r="KHL83" s="365">
        <v>0.5</v>
      </c>
      <c r="KHM83" s="366" t="e">
        <f>10/KHI81</f>
        <v>#DIV/0!</v>
      </c>
      <c r="KHN83" s="367">
        <v>15.38</v>
      </c>
      <c r="KHO83" s="367" t="e">
        <f>KHL83*KHM83*KHN83</f>
        <v>#DIV/0!</v>
      </c>
      <c r="KHP83" s="363" t="s">
        <v>153</v>
      </c>
      <c r="KHQ83" s="363"/>
      <c r="KHR83" s="363"/>
      <c r="KHS83" s="364" t="s">
        <v>140</v>
      </c>
      <c r="KHT83" s="365">
        <v>0.5</v>
      </c>
      <c r="KHU83" s="366" t="e">
        <f>10/KHQ81</f>
        <v>#DIV/0!</v>
      </c>
      <c r="KHV83" s="367">
        <v>15.38</v>
      </c>
      <c r="KHW83" s="367" t="e">
        <f>KHT83*KHU83*KHV83</f>
        <v>#DIV/0!</v>
      </c>
      <c r="KHX83" s="363" t="s">
        <v>153</v>
      </c>
      <c r="KHY83" s="363"/>
      <c r="KHZ83" s="363"/>
      <c r="KIA83" s="364" t="s">
        <v>140</v>
      </c>
      <c r="KIB83" s="365">
        <v>0.5</v>
      </c>
      <c r="KIC83" s="366" t="e">
        <f>10/KHY81</f>
        <v>#DIV/0!</v>
      </c>
      <c r="KID83" s="367">
        <v>15.38</v>
      </c>
      <c r="KIE83" s="367" t="e">
        <f>KIB83*KIC83*KID83</f>
        <v>#DIV/0!</v>
      </c>
      <c r="KIF83" s="363" t="s">
        <v>153</v>
      </c>
      <c r="KIG83" s="363"/>
      <c r="KIH83" s="363"/>
      <c r="KII83" s="364" t="s">
        <v>140</v>
      </c>
      <c r="KIJ83" s="365">
        <v>0.5</v>
      </c>
      <c r="KIK83" s="366" t="e">
        <f>10/KIG81</f>
        <v>#DIV/0!</v>
      </c>
      <c r="KIL83" s="367">
        <v>15.38</v>
      </c>
      <c r="KIM83" s="367" t="e">
        <f>KIJ83*KIK83*KIL83</f>
        <v>#DIV/0!</v>
      </c>
      <c r="KIN83" s="363" t="s">
        <v>153</v>
      </c>
      <c r="KIO83" s="363"/>
      <c r="KIP83" s="363"/>
      <c r="KIQ83" s="364" t="s">
        <v>140</v>
      </c>
      <c r="KIR83" s="365">
        <v>0.5</v>
      </c>
      <c r="KIS83" s="366" t="e">
        <f>10/KIO81</f>
        <v>#DIV/0!</v>
      </c>
      <c r="KIT83" s="367">
        <v>15.38</v>
      </c>
      <c r="KIU83" s="367" t="e">
        <f>KIR83*KIS83*KIT83</f>
        <v>#DIV/0!</v>
      </c>
      <c r="KIV83" s="363" t="s">
        <v>153</v>
      </c>
      <c r="KIW83" s="363"/>
      <c r="KIX83" s="363"/>
      <c r="KIY83" s="364" t="s">
        <v>140</v>
      </c>
      <c r="KIZ83" s="365">
        <v>0.5</v>
      </c>
      <c r="KJA83" s="366" t="e">
        <f>10/KIW81</f>
        <v>#DIV/0!</v>
      </c>
      <c r="KJB83" s="367">
        <v>15.38</v>
      </c>
      <c r="KJC83" s="367" t="e">
        <f>KIZ83*KJA83*KJB83</f>
        <v>#DIV/0!</v>
      </c>
      <c r="KJD83" s="363" t="s">
        <v>153</v>
      </c>
      <c r="KJE83" s="363"/>
      <c r="KJF83" s="363"/>
      <c r="KJG83" s="364" t="s">
        <v>140</v>
      </c>
      <c r="KJH83" s="365">
        <v>0.5</v>
      </c>
      <c r="KJI83" s="366" t="e">
        <f>10/KJE81</f>
        <v>#DIV/0!</v>
      </c>
      <c r="KJJ83" s="367">
        <v>15.38</v>
      </c>
      <c r="KJK83" s="367" t="e">
        <f>KJH83*KJI83*KJJ83</f>
        <v>#DIV/0!</v>
      </c>
      <c r="KJL83" s="363" t="s">
        <v>153</v>
      </c>
      <c r="KJM83" s="363"/>
      <c r="KJN83" s="363"/>
      <c r="KJO83" s="364" t="s">
        <v>140</v>
      </c>
      <c r="KJP83" s="365">
        <v>0.5</v>
      </c>
      <c r="KJQ83" s="366" t="e">
        <f>10/KJM81</f>
        <v>#DIV/0!</v>
      </c>
      <c r="KJR83" s="367">
        <v>15.38</v>
      </c>
      <c r="KJS83" s="367" t="e">
        <f>KJP83*KJQ83*KJR83</f>
        <v>#DIV/0!</v>
      </c>
      <c r="KJT83" s="363" t="s">
        <v>153</v>
      </c>
      <c r="KJU83" s="363"/>
      <c r="KJV83" s="363"/>
      <c r="KJW83" s="364" t="s">
        <v>140</v>
      </c>
      <c r="KJX83" s="365">
        <v>0.5</v>
      </c>
      <c r="KJY83" s="366" t="e">
        <f>10/KJU81</f>
        <v>#DIV/0!</v>
      </c>
      <c r="KJZ83" s="367">
        <v>15.38</v>
      </c>
      <c r="KKA83" s="367" t="e">
        <f>KJX83*KJY83*KJZ83</f>
        <v>#DIV/0!</v>
      </c>
      <c r="KKB83" s="363" t="s">
        <v>153</v>
      </c>
      <c r="KKC83" s="363"/>
      <c r="KKD83" s="363"/>
      <c r="KKE83" s="364" t="s">
        <v>140</v>
      </c>
      <c r="KKF83" s="365">
        <v>0.5</v>
      </c>
      <c r="KKG83" s="366" t="e">
        <f>10/KKC81</f>
        <v>#DIV/0!</v>
      </c>
      <c r="KKH83" s="367">
        <v>15.38</v>
      </c>
      <c r="KKI83" s="367" t="e">
        <f>KKF83*KKG83*KKH83</f>
        <v>#DIV/0!</v>
      </c>
      <c r="KKJ83" s="363" t="s">
        <v>153</v>
      </c>
      <c r="KKK83" s="363"/>
      <c r="KKL83" s="363"/>
      <c r="KKM83" s="364" t="s">
        <v>140</v>
      </c>
      <c r="KKN83" s="365">
        <v>0.5</v>
      </c>
      <c r="KKO83" s="366" t="e">
        <f>10/KKK81</f>
        <v>#DIV/0!</v>
      </c>
      <c r="KKP83" s="367">
        <v>15.38</v>
      </c>
      <c r="KKQ83" s="367" t="e">
        <f>KKN83*KKO83*KKP83</f>
        <v>#DIV/0!</v>
      </c>
      <c r="KKR83" s="363" t="s">
        <v>153</v>
      </c>
      <c r="KKS83" s="363"/>
      <c r="KKT83" s="363"/>
      <c r="KKU83" s="364" t="s">
        <v>140</v>
      </c>
      <c r="KKV83" s="365">
        <v>0.5</v>
      </c>
      <c r="KKW83" s="366" t="e">
        <f>10/KKS81</f>
        <v>#DIV/0!</v>
      </c>
      <c r="KKX83" s="367">
        <v>15.38</v>
      </c>
      <c r="KKY83" s="367" t="e">
        <f>KKV83*KKW83*KKX83</f>
        <v>#DIV/0!</v>
      </c>
      <c r="KKZ83" s="363" t="s">
        <v>153</v>
      </c>
      <c r="KLA83" s="363"/>
      <c r="KLB83" s="363"/>
      <c r="KLC83" s="364" t="s">
        <v>140</v>
      </c>
      <c r="KLD83" s="365">
        <v>0.5</v>
      </c>
      <c r="KLE83" s="366" t="e">
        <f>10/KLA81</f>
        <v>#DIV/0!</v>
      </c>
      <c r="KLF83" s="367">
        <v>15.38</v>
      </c>
      <c r="KLG83" s="367" t="e">
        <f>KLD83*KLE83*KLF83</f>
        <v>#DIV/0!</v>
      </c>
      <c r="KLH83" s="363" t="s">
        <v>153</v>
      </c>
      <c r="KLI83" s="363"/>
      <c r="KLJ83" s="363"/>
      <c r="KLK83" s="364" t="s">
        <v>140</v>
      </c>
      <c r="KLL83" s="365">
        <v>0.5</v>
      </c>
      <c r="KLM83" s="366" t="e">
        <f>10/KLI81</f>
        <v>#DIV/0!</v>
      </c>
      <c r="KLN83" s="367">
        <v>15.38</v>
      </c>
      <c r="KLO83" s="367" t="e">
        <f>KLL83*KLM83*KLN83</f>
        <v>#DIV/0!</v>
      </c>
      <c r="KLP83" s="363" t="s">
        <v>153</v>
      </c>
      <c r="KLQ83" s="363"/>
      <c r="KLR83" s="363"/>
      <c r="KLS83" s="364" t="s">
        <v>140</v>
      </c>
      <c r="KLT83" s="365">
        <v>0.5</v>
      </c>
      <c r="KLU83" s="366" t="e">
        <f>10/KLQ81</f>
        <v>#DIV/0!</v>
      </c>
      <c r="KLV83" s="367">
        <v>15.38</v>
      </c>
      <c r="KLW83" s="367" t="e">
        <f>KLT83*KLU83*KLV83</f>
        <v>#DIV/0!</v>
      </c>
      <c r="KLX83" s="363" t="s">
        <v>153</v>
      </c>
      <c r="KLY83" s="363"/>
      <c r="KLZ83" s="363"/>
      <c r="KMA83" s="364" t="s">
        <v>140</v>
      </c>
      <c r="KMB83" s="365">
        <v>0.5</v>
      </c>
      <c r="KMC83" s="366" t="e">
        <f>10/KLY81</f>
        <v>#DIV/0!</v>
      </c>
      <c r="KMD83" s="367">
        <v>15.38</v>
      </c>
      <c r="KME83" s="367" t="e">
        <f>KMB83*KMC83*KMD83</f>
        <v>#DIV/0!</v>
      </c>
      <c r="KMF83" s="363" t="s">
        <v>153</v>
      </c>
      <c r="KMG83" s="363"/>
      <c r="KMH83" s="363"/>
      <c r="KMI83" s="364" t="s">
        <v>140</v>
      </c>
      <c r="KMJ83" s="365">
        <v>0.5</v>
      </c>
      <c r="KMK83" s="366" t="e">
        <f>10/KMG81</f>
        <v>#DIV/0!</v>
      </c>
      <c r="KML83" s="367">
        <v>15.38</v>
      </c>
      <c r="KMM83" s="367" t="e">
        <f>KMJ83*KMK83*KML83</f>
        <v>#DIV/0!</v>
      </c>
      <c r="KMN83" s="363" t="s">
        <v>153</v>
      </c>
      <c r="KMO83" s="363"/>
      <c r="KMP83" s="363"/>
      <c r="KMQ83" s="364" t="s">
        <v>140</v>
      </c>
      <c r="KMR83" s="365">
        <v>0.5</v>
      </c>
      <c r="KMS83" s="366" t="e">
        <f>10/KMO81</f>
        <v>#DIV/0!</v>
      </c>
      <c r="KMT83" s="367">
        <v>15.38</v>
      </c>
      <c r="KMU83" s="367" t="e">
        <f>KMR83*KMS83*KMT83</f>
        <v>#DIV/0!</v>
      </c>
      <c r="KMV83" s="363" t="s">
        <v>153</v>
      </c>
      <c r="KMW83" s="363"/>
      <c r="KMX83" s="363"/>
      <c r="KMY83" s="364" t="s">
        <v>140</v>
      </c>
      <c r="KMZ83" s="365">
        <v>0.5</v>
      </c>
      <c r="KNA83" s="366" t="e">
        <f>10/KMW81</f>
        <v>#DIV/0!</v>
      </c>
      <c r="KNB83" s="367">
        <v>15.38</v>
      </c>
      <c r="KNC83" s="367" t="e">
        <f>KMZ83*KNA83*KNB83</f>
        <v>#DIV/0!</v>
      </c>
      <c r="KND83" s="363" t="s">
        <v>153</v>
      </c>
      <c r="KNE83" s="363"/>
      <c r="KNF83" s="363"/>
      <c r="KNG83" s="364" t="s">
        <v>140</v>
      </c>
      <c r="KNH83" s="365">
        <v>0.5</v>
      </c>
      <c r="KNI83" s="366" t="e">
        <f>10/KNE81</f>
        <v>#DIV/0!</v>
      </c>
      <c r="KNJ83" s="367">
        <v>15.38</v>
      </c>
      <c r="KNK83" s="367" t="e">
        <f>KNH83*KNI83*KNJ83</f>
        <v>#DIV/0!</v>
      </c>
      <c r="KNL83" s="363" t="s">
        <v>153</v>
      </c>
      <c r="KNM83" s="363"/>
      <c r="KNN83" s="363"/>
      <c r="KNO83" s="364" t="s">
        <v>140</v>
      </c>
      <c r="KNP83" s="365">
        <v>0.5</v>
      </c>
      <c r="KNQ83" s="366" t="e">
        <f>10/KNM81</f>
        <v>#DIV/0!</v>
      </c>
      <c r="KNR83" s="367">
        <v>15.38</v>
      </c>
      <c r="KNS83" s="367" t="e">
        <f>KNP83*KNQ83*KNR83</f>
        <v>#DIV/0!</v>
      </c>
      <c r="KNT83" s="363" t="s">
        <v>153</v>
      </c>
      <c r="KNU83" s="363"/>
      <c r="KNV83" s="363"/>
      <c r="KNW83" s="364" t="s">
        <v>140</v>
      </c>
      <c r="KNX83" s="365">
        <v>0.5</v>
      </c>
      <c r="KNY83" s="366" t="e">
        <f>10/KNU81</f>
        <v>#DIV/0!</v>
      </c>
      <c r="KNZ83" s="367">
        <v>15.38</v>
      </c>
      <c r="KOA83" s="367" t="e">
        <f>KNX83*KNY83*KNZ83</f>
        <v>#DIV/0!</v>
      </c>
      <c r="KOB83" s="363" t="s">
        <v>153</v>
      </c>
      <c r="KOC83" s="363"/>
      <c r="KOD83" s="363"/>
      <c r="KOE83" s="364" t="s">
        <v>140</v>
      </c>
      <c r="KOF83" s="365">
        <v>0.5</v>
      </c>
      <c r="KOG83" s="366" t="e">
        <f>10/KOC81</f>
        <v>#DIV/0!</v>
      </c>
      <c r="KOH83" s="367">
        <v>15.38</v>
      </c>
      <c r="KOI83" s="367" t="e">
        <f>KOF83*KOG83*KOH83</f>
        <v>#DIV/0!</v>
      </c>
      <c r="KOJ83" s="363" t="s">
        <v>153</v>
      </c>
      <c r="KOK83" s="363"/>
      <c r="KOL83" s="363"/>
      <c r="KOM83" s="364" t="s">
        <v>140</v>
      </c>
      <c r="KON83" s="365">
        <v>0.5</v>
      </c>
      <c r="KOO83" s="366" t="e">
        <f>10/KOK81</f>
        <v>#DIV/0!</v>
      </c>
      <c r="KOP83" s="367">
        <v>15.38</v>
      </c>
      <c r="KOQ83" s="367" t="e">
        <f>KON83*KOO83*KOP83</f>
        <v>#DIV/0!</v>
      </c>
      <c r="KOR83" s="363" t="s">
        <v>153</v>
      </c>
      <c r="KOS83" s="363"/>
      <c r="KOT83" s="363"/>
      <c r="KOU83" s="364" t="s">
        <v>140</v>
      </c>
      <c r="KOV83" s="365">
        <v>0.5</v>
      </c>
      <c r="KOW83" s="366" t="e">
        <f>10/KOS81</f>
        <v>#DIV/0!</v>
      </c>
      <c r="KOX83" s="367">
        <v>15.38</v>
      </c>
      <c r="KOY83" s="367" t="e">
        <f>KOV83*KOW83*KOX83</f>
        <v>#DIV/0!</v>
      </c>
      <c r="KOZ83" s="363" t="s">
        <v>153</v>
      </c>
      <c r="KPA83" s="363"/>
      <c r="KPB83" s="363"/>
      <c r="KPC83" s="364" t="s">
        <v>140</v>
      </c>
      <c r="KPD83" s="365">
        <v>0.5</v>
      </c>
      <c r="KPE83" s="366" t="e">
        <f>10/KPA81</f>
        <v>#DIV/0!</v>
      </c>
      <c r="KPF83" s="367">
        <v>15.38</v>
      </c>
      <c r="KPG83" s="367" t="e">
        <f>KPD83*KPE83*KPF83</f>
        <v>#DIV/0!</v>
      </c>
      <c r="KPH83" s="363" t="s">
        <v>153</v>
      </c>
      <c r="KPI83" s="363"/>
      <c r="KPJ83" s="363"/>
      <c r="KPK83" s="364" t="s">
        <v>140</v>
      </c>
      <c r="KPL83" s="365">
        <v>0.5</v>
      </c>
      <c r="KPM83" s="366" t="e">
        <f>10/KPI81</f>
        <v>#DIV/0!</v>
      </c>
      <c r="KPN83" s="367">
        <v>15.38</v>
      </c>
      <c r="KPO83" s="367" t="e">
        <f>KPL83*KPM83*KPN83</f>
        <v>#DIV/0!</v>
      </c>
      <c r="KPP83" s="363" t="s">
        <v>153</v>
      </c>
      <c r="KPQ83" s="363"/>
      <c r="KPR83" s="363"/>
      <c r="KPS83" s="364" t="s">
        <v>140</v>
      </c>
      <c r="KPT83" s="365">
        <v>0.5</v>
      </c>
      <c r="KPU83" s="366" t="e">
        <f>10/KPQ81</f>
        <v>#DIV/0!</v>
      </c>
      <c r="KPV83" s="367">
        <v>15.38</v>
      </c>
      <c r="KPW83" s="367" t="e">
        <f>KPT83*KPU83*KPV83</f>
        <v>#DIV/0!</v>
      </c>
      <c r="KPX83" s="363" t="s">
        <v>153</v>
      </c>
      <c r="KPY83" s="363"/>
      <c r="KPZ83" s="363"/>
      <c r="KQA83" s="364" t="s">
        <v>140</v>
      </c>
      <c r="KQB83" s="365">
        <v>0.5</v>
      </c>
      <c r="KQC83" s="366" t="e">
        <f>10/KPY81</f>
        <v>#DIV/0!</v>
      </c>
      <c r="KQD83" s="367">
        <v>15.38</v>
      </c>
      <c r="KQE83" s="367" t="e">
        <f>KQB83*KQC83*KQD83</f>
        <v>#DIV/0!</v>
      </c>
      <c r="KQF83" s="363" t="s">
        <v>153</v>
      </c>
      <c r="KQG83" s="363"/>
      <c r="KQH83" s="363"/>
      <c r="KQI83" s="364" t="s">
        <v>140</v>
      </c>
      <c r="KQJ83" s="365">
        <v>0.5</v>
      </c>
      <c r="KQK83" s="366" t="e">
        <f>10/KQG81</f>
        <v>#DIV/0!</v>
      </c>
      <c r="KQL83" s="367">
        <v>15.38</v>
      </c>
      <c r="KQM83" s="367" t="e">
        <f>KQJ83*KQK83*KQL83</f>
        <v>#DIV/0!</v>
      </c>
      <c r="KQN83" s="363" t="s">
        <v>153</v>
      </c>
      <c r="KQO83" s="363"/>
      <c r="KQP83" s="363"/>
      <c r="KQQ83" s="364" t="s">
        <v>140</v>
      </c>
      <c r="KQR83" s="365">
        <v>0.5</v>
      </c>
      <c r="KQS83" s="366" t="e">
        <f>10/KQO81</f>
        <v>#DIV/0!</v>
      </c>
      <c r="KQT83" s="367">
        <v>15.38</v>
      </c>
      <c r="KQU83" s="367" t="e">
        <f>KQR83*KQS83*KQT83</f>
        <v>#DIV/0!</v>
      </c>
      <c r="KQV83" s="363" t="s">
        <v>153</v>
      </c>
      <c r="KQW83" s="363"/>
      <c r="KQX83" s="363"/>
      <c r="KQY83" s="364" t="s">
        <v>140</v>
      </c>
      <c r="KQZ83" s="365">
        <v>0.5</v>
      </c>
      <c r="KRA83" s="366" t="e">
        <f>10/KQW81</f>
        <v>#DIV/0!</v>
      </c>
      <c r="KRB83" s="367">
        <v>15.38</v>
      </c>
      <c r="KRC83" s="367" t="e">
        <f>KQZ83*KRA83*KRB83</f>
        <v>#DIV/0!</v>
      </c>
      <c r="KRD83" s="363" t="s">
        <v>153</v>
      </c>
      <c r="KRE83" s="363"/>
      <c r="KRF83" s="363"/>
      <c r="KRG83" s="364" t="s">
        <v>140</v>
      </c>
      <c r="KRH83" s="365">
        <v>0.5</v>
      </c>
      <c r="KRI83" s="366" t="e">
        <f>10/KRE81</f>
        <v>#DIV/0!</v>
      </c>
      <c r="KRJ83" s="367">
        <v>15.38</v>
      </c>
      <c r="KRK83" s="367" t="e">
        <f>KRH83*KRI83*KRJ83</f>
        <v>#DIV/0!</v>
      </c>
      <c r="KRL83" s="363" t="s">
        <v>153</v>
      </c>
      <c r="KRM83" s="363"/>
      <c r="KRN83" s="363"/>
      <c r="KRO83" s="364" t="s">
        <v>140</v>
      </c>
      <c r="KRP83" s="365">
        <v>0.5</v>
      </c>
      <c r="KRQ83" s="366" t="e">
        <f>10/KRM81</f>
        <v>#DIV/0!</v>
      </c>
      <c r="KRR83" s="367">
        <v>15.38</v>
      </c>
      <c r="KRS83" s="367" t="e">
        <f>KRP83*KRQ83*KRR83</f>
        <v>#DIV/0!</v>
      </c>
      <c r="KRT83" s="363" t="s">
        <v>153</v>
      </c>
      <c r="KRU83" s="363"/>
      <c r="KRV83" s="363"/>
      <c r="KRW83" s="364" t="s">
        <v>140</v>
      </c>
      <c r="KRX83" s="365">
        <v>0.5</v>
      </c>
      <c r="KRY83" s="366" t="e">
        <f>10/KRU81</f>
        <v>#DIV/0!</v>
      </c>
      <c r="KRZ83" s="367">
        <v>15.38</v>
      </c>
      <c r="KSA83" s="367" t="e">
        <f>KRX83*KRY83*KRZ83</f>
        <v>#DIV/0!</v>
      </c>
      <c r="KSB83" s="363" t="s">
        <v>153</v>
      </c>
      <c r="KSC83" s="363"/>
      <c r="KSD83" s="363"/>
      <c r="KSE83" s="364" t="s">
        <v>140</v>
      </c>
      <c r="KSF83" s="365">
        <v>0.5</v>
      </c>
      <c r="KSG83" s="366" t="e">
        <f>10/KSC81</f>
        <v>#DIV/0!</v>
      </c>
      <c r="KSH83" s="367">
        <v>15.38</v>
      </c>
      <c r="KSI83" s="367" t="e">
        <f>KSF83*KSG83*KSH83</f>
        <v>#DIV/0!</v>
      </c>
      <c r="KSJ83" s="363" t="s">
        <v>153</v>
      </c>
      <c r="KSK83" s="363"/>
      <c r="KSL83" s="363"/>
      <c r="KSM83" s="364" t="s">
        <v>140</v>
      </c>
      <c r="KSN83" s="365">
        <v>0.5</v>
      </c>
      <c r="KSO83" s="366" t="e">
        <f>10/KSK81</f>
        <v>#DIV/0!</v>
      </c>
      <c r="KSP83" s="367">
        <v>15.38</v>
      </c>
      <c r="KSQ83" s="367" t="e">
        <f>KSN83*KSO83*KSP83</f>
        <v>#DIV/0!</v>
      </c>
      <c r="KSR83" s="363" t="s">
        <v>153</v>
      </c>
      <c r="KSS83" s="363"/>
      <c r="KST83" s="363"/>
      <c r="KSU83" s="364" t="s">
        <v>140</v>
      </c>
      <c r="KSV83" s="365">
        <v>0.5</v>
      </c>
      <c r="KSW83" s="366" t="e">
        <f>10/KSS81</f>
        <v>#DIV/0!</v>
      </c>
      <c r="KSX83" s="367">
        <v>15.38</v>
      </c>
      <c r="KSY83" s="367" t="e">
        <f>KSV83*KSW83*KSX83</f>
        <v>#DIV/0!</v>
      </c>
      <c r="KSZ83" s="363" t="s">
        <v>153</v>
      </c>
      <c r="KTA83" s="363"/>
      <c r="KTB83" s="363"/>
      <c r="KTC83" s="364" t="s">
        <v>140</v>
      </c>
      <c r="KTD83" s="365">
        <v>0.5</v>
      </c>
      <c r="KTE83" s="366" t="e">
        <f>10/KTA81</f>
        <v>#DIV/0!</v>
      </c>
      <c r="KTF83" s="367">
        <v>15.38</v>
      </c>
      <c r="KTG83" s="367" t="e">
        <f>KTD83*KTE83*KTF83</f>
        <v>#DIV/0!</v>
      </c>
      <c r="KTH83" s="363" t="s">
        <v>153</v>
      </c>
      <c r="KTI83" s="363"/>
      <c r="KTJ83" s="363"/>
      <c r="KTK83" s="364" t="s">
        <v>140</v>
      </c>
      <c r="KTL83" s="365">
        <v>0.5</v>
      </c>
      <c r="KTM83" s="366" t="e">
        <f>10/KTI81</f>
        <v>#DIV/0!</v>
      </c>
      <c r="KTN83" s="367">
        <v>15.38</v>
      </c>
      <c r="KTO83" s="367" t="e">
        <f>KTL83*KTM83*KTN83</f>
        <v>#DIV/0!</v>
      </c>
      <c r="KTP83" s="363" t="s">
        <v>153</v>
      </c>
      <c r="KTQ83" s="363"/>
      <c r="KTR83" s="363"/>
      <c r="KTS83" s="364" t="s">
        <v>140</v>
      </c>
      <c r="KTT83" s="365">
        <v>0.5</v>
      </c>
      <c r="KTU83" s="366" t="e">
        <f>10/KTQ81</f>
        <v>#DIV/0!</v>
      </c>
      <c r="KTV83" s="367">
        <v>15.38</v>
      </c>
      <c r="KTW83" s="367" t="e">
        <f>KTT83*KTU83*KTV83</f>
        <v>#DIV/0!</v>
      </c>
      <c r="KTX83" s="363" t="s">
        <v>153</v>
      </c>
      <c r="KTY83" s="363"/>
      <c r="KTZ83" s="363"/>
      <c r="KUA83" s="364" t="s">
        <v>140</v>
      </c>
      <c r="KUB83" s="365">
        <v>0.5</v>
      </c>
      <c r="KUC83" s="366" t="e">
        <f>10/KTY81</f>
        <v>#DIV/0!</v>
      </c>
      <c r="KUD83" s="367">
        <v>15.38</v>
      </c>
      <c r="KUE83" s="367" t="e">
        <f>KUB83*KUC83*KUD83</f>
        <v>#DIV/0!</v>
      </c>
      <c r="KUF83" s="363" t="s">
        <v>153</v>
      </c>
      <c r="KUG83" s="363"/>
      <c r="KUH83" s="363"/>
      <c r="KUI83" s="364" t="s">
        <v>140</v>
      </c>
      <c r="KUJ83" s="365">
        <v>0.5</v>
      </c>
      <c r="KUK83" s="366" t="e">
        <f>10/KUG81</f>
        <v>#DIV/0!</v>
      </c>
      <c r="KUL83" s="367">
        <v>15.38</v>
      </c>
      <c r="KUM83" s="367" t="e">
        <f>KUJ83*KUK83*KUL83</f>
        <v>#DIV/0!</v>
      </c>
      <c r="KUN83" s="363" t="s">
        <v>153</v>
      </c>
      <c r="KUO83" s="363"/>
      <c r="KUP83" s="363"/>
      <c r="KUQ83" s="364" t="s">
        <v>140</v>
      </c>
      <c r="KUR83" s="365">
        <v>0.5</v>
      </c>
      <c r="KUS83" s="366" t="e">
        <f>10/KUO81</f>
        <v>#DIV/0!</v>
      </c>
      <c r="KUT83" s="367">
        <v>15.38</v>
      </c>
      <c r="KUU83" s="367" t="e">
        <f>KUR83*KUS83*KUT83</f>
        <v>#DIV/0!</v>
      </c>
      <c r="KUV83" s="363" t="s">
        <v>153</v>
      </c>
      <c r="KUW83" s="363"/>
      <c r="KUX83" s="363"/>
      <c r="KUY83" s="364" t="s">
        <v>140</v>
      </c>
      <c r="KUZ83" s="365">
        <v>0.5</v>
      </c>
      <c r="KVA83" s="366" t="e">
        <f>10/KUW81</f>
        <v>#DIV/0!</v>
      </c>
      <c r="KVB83" s="367">
        <v>15.38</v>
      </c>
      <c r="KVC83" s="367" t="e">
        <f>KUZ83*KVA83*KVB83</f>
        <v>#DIV/0!</v>
      </c>
      <c r="KVD83" s="363" t="s">
        <v>153</v>
      </c>
      <c r="KVE83" s="363"/>
      <c r="KVF83" s="363"/>
      <c r="KVG83" s="364" t="s">
        <v>140</v>
      </c>
      <c r="KVH83" s="365">
        <v>0.5</v>
      </c>
      <c r="KVI83" s="366" t="e">
        <f>10/KVE81</f>
        <v>#DIV/0!</v>
      </c>
      <c r="KVJ83" s="367">
        <v>15.38</v>
      </c>
      <c r="KVK83" s="367" t="e">
        <f>KVH83*KVI83*KVJ83</f>
        <v>#DIV/0!</v>
      </c>
      <c r="KVL83" s="363" t="s">
        <v>153</v>
      </c>
      <c r="KVM83" s="363"/>
      <c r="KVN83" s="363"/>
      <c r="KVO83" s="364" t="s">
        <v>140</v>
      </c>
      <c r="KVP83" s="365">
        <v>0.5</v>
      </c>
      <c r="KVQ83" s="366" t="e">
        <f>10/KVM81</f>
        <v>#DIV/0!</v>
      </c>
      <c r="KVR83" s="367">
        <v>15.38</v>
      </c>
      <c r="KVS83" s="367" t="e">
        <f>KVP83*KVQ83*KVR83</f>
        <v>#DIV/0!</v>
      </c>
      <c r="KVT83" s="363" t="s">
        <v>153</v>
      </c>
      <c r="KVU83" s="363"/>
      <c r="KVV83" s="363"/>
      <c r="KVW83" s="364" t="s">
        <v>140</v>
      </c>
      <c r="KVX83" s="365">
        <v>0.5</v>
      </c>
      <c r="KVY83" s="366" t="e">
        <f>10/KVU81</f>
        <v>#DIV/0!</v>
      </c>
      <c r="KVZ83" s="367">
        <v>15.38</v>
      </c>
      <c r="KWA83" s="367" t="e">
        <f>KVX83*KVY83*KVZ83</f>
        <v>#DIV/0!</v>
      </c>
      <c r="KWB83" s="363" t="s">
        <v>153</v>
      </c>
      <c r="KWC83" s="363"/>
      <c r="KWD83" s="363"/>
      <c r="KWE83" s="364" t="s">
        <v>140</v>
      </c>
      <c r="KWF83" s="365">
        <v>0.5</v>
      </c>
      <c r="KWG83" s="366" t="e">
        <f>10/KWC81</f>
        <v>#DIV/0!</v>
      </c>
      <c r="KWH83" s="367">
        <v>15.38</v>
      </c>
      <c r="KWI83" s="367" t="e">
        <f>KWF83*KWG83*KWH83</f>
        <v>#DIV/0!</v>
      </c>
      <c r="KWJ83" s="363" t="s">
        <v>153</v>
      </c>
      <c r="KWK83" s="363"/>
      <c r="KWL83" s="363"/>
      <c r="KWM83" s="364" t="s">
        <v>140</v>
      </c>
      <c r="KWN83" s="365">
        <v>0.5</v>
      </c>
      <c r="KWO83" s="366" t="e">
        <f>10/KWK81</f>
        <v>#DIV/0!</v>
      </c>
      <c r="KWP83" s="367">
        <v>15.38</v>
      </c>
      <c r="KWQ83" s="367" t="e">
        <f>KWN83*KWO83*KWP83</f>
        <v>#DIV/0!</v>
      </c>
      <c r="KWR83" s="363" t="s">
        <v>153</v>
      </c>
      <c r="KWS83" s="363"/>
      <c r="KWT83" s="363"/>
      <c r="KWU83" s="364" t="s">
        <v>140</v>
      </c>
      <c r="KWV83" s="365">
        <v>0.5</v>
      </c>
      <c r="KWW83" s="366" t="e">
        <f>10/KWS81</f>
        <v>#DIV/0!</v>
      </c>
      <c r="KWX83" s="367">
        <v>15.38</v>
      </c>
      <c r="KWY83" s="367" t="e">
        <f>KWV83*KWW83*KWX83</f>
        <v>#DIV/0!</v>
      </c>
      <c r="KWZ83" s="363" t="s">
        <v>153</v>
      </c>
      <c r="KXA83" s="363"/>
      <c r="KXB83" s="363"/>
      <c r="KXC83" s="364" t="s">
        <v>140</v>
      </c>
      <c r="KXD83" s="365">
        <v>0.5</v>
      </c>
      <c r="KXE83" s="366" t="e">
        <f>10/KXA81</f>
        <v>#DIV/0!</v>
      </c>
      <c r="KXF83" s="367">
        <v>15.38</v>
      </c>
      <c r="KXG83" s="367" t="e">
        <f>KXD83*KXE83*KXF83</f>
        <v>#DIV/0!</v>
      </c>
      <c r="KXH83" s="363" t="s">
        <v>153</v>
      </c>
      <c r="KXI83" s="363"/>
      <c r="KXJ83" s="363"/>
      <c r="KXK83" s="364" t="s">
        <v>140</v>
      </c>
      <c r="KXL83" s="365">
        <v>0.5</v>
      </c>
      <c r="KXM83" s="366" t="e">
        <f>10/KXI81</f>
        <v>#DIV/0!</v>
      </c>
      <c r="KXN83" s="367">
        <v>15.38</v>
      </c>
      <c r="KXO83" s="367" t="e">
        <f>KXL83*KXM83*KXN83</f>
        <v>#DIV/0!</v>
      </c>
      <c r="KXP83" s="363" t="s">
        <v>153</v>
      </c>
      <c r="KXQ83" s="363"/>
      <c r="KXR83" s="363"/>
      <c r="KXS83" s="364" t="s">
        <v>140</v>
      </c>
      <c r="KXT83" s="365">
        <v>0.5</v>
      </c>
      <c r="KXU83" s="366" t="e">
        <f>10/KXQ81</f>
        <v>#DIV/0!</v>
      </c>
      <c r="KXV83" s="367">
        <v>15.38</v>
      </c>
      <c r="KXW83" s="367" t="e">
        <f>KXT83*KXU83*KXV83</f>
        <v>#DIV/0!</v>
      </c>
      <c r="KXX83" s="363" t="s">
        <v>153</v>
      </c>
      <c r="KXY83" s="363"/>
      <c r="KXZ83" s="363"/>
      <c r="KYA83" s="364" t="s">
        <v>140</v>
      </c>
      <c r="KYB83" s="365">
        <v>0.5</v>
      </c>
      <c r="KYC83" s="366" t="e">
        <f>10/KXY81</f>
        <v>#DIV/0!</v>
      </c>
      <c r="KYD83" s="367">
        <v>15.38</v>
      </c>
      <c r="KYE83" s="367" t="e">
        <f>KYB83*KYC83*KYD83</f>
        <v>#DIV/0!</v>
      </c>
      <c r="KYF83" s="363" t="s">
        <v>153</v>
      </c>
      <c r="KYG83" s="363"/>
      <c r="KYH83" s="363"/>
      <c r="KYI83" s="364" t="s">
        <v>140</v>
      </c>
      <c r="KYJ83" s="365">
        <v>0.5</v>
      </c>
      <c r="KYK83" s="366" t="e">
        <f>10/KYG81</f>
        <v>#DIV/0!</v>
      </c>
      <c r="KYL83" s="367">
        <v>15.38</v>
      </c>
      <c r="KYM83" s="367" t="e">
        <f>KYJ83*KYK83*KYL83</f>
        <v>#DIV/0!</v>
      </c>
      <c r="KYN83" s="363" t="s">
        <v>153</v>
      </c>
      <c r="KYO83" s="363"/>
      <c r="KYP83" s="363"/>
      <c r="KYQ83" s="364" t="s">
        <v>140</v>
      </c>
      <c r="KYR83" s="365">
        <v>0.5</v>
      </c>
      <c r="KYS83" s="366" t="e">
        <f>10/KYO81</f>
        <v>#DIV/0!</v>
      </c>
      <c r="KYT83" s="367">
        <v>15.38</v>
      </c>
      <c r="KYU83" s="367" t="e">
        <f>KYR83*KYS83*KYT83</f>
        <v>#DIV/0!</v>
      </c>
      <c r="KYV83" s="363" t="s">
        <v>153</v>
      </c>
      <c r="KYW83" s="363"/>
      <c r="KYX83" s="363"/>
      <c r="KYY83" s="364" t="s">
        <v>140</v>
      </c>
      <c r="KYZ83" s="365">
        <v>0.5</v>
      </c>
      <c r="KZA83" s="366" t="e">
        <f>10/KYW81</f>
        <v>#DIV/0!</v>
      </c>
      <c r="KZB83" s="367">
        <v>15.38</v>
      </c>
      <c r="KZC83" s="367" t="e">
        <f>KYZ83*KZA83*KZB83</f>
        <v>#DIV/0!</v>
      </c>
      <c r="KZD83" s="363" t="s">
        <v>153</v>
      </c>
      <c r="KZE83" s="363"/>
      <c r="KZF83" s="363"/>
      <c r="KZG83" s="364" t="s">
        <v>140</v>
      </c>
      <c r="KZH83" s="365">
        <v>0.5</v>
      </c>
      <c r="KZI83" s="366" t="e">
        <f>10/KZE81</f>
        <v>#DIV/0!</v>
      </c>
      <c r="KZJ83" s="367">
        <v>15.38</v>
      </c>
      <c r="KZK83" s="367" t="e">
        <f>KZH83*KZI83*KZJ83</f>
        <v>#DIV/0!</v>
      </c>
      <c r="KZL83" s="363" t="s">
        <v>153</v>
      </c>
      <c r="KZM83" s="363"/>
      <c r="KZN83" s="363"/>
      <c r="KZO83" s="364" t="s">
        <v>140</v>
      </c>
      <c r="KZP83" s="365">
        <v>0.5</v>
      </c>
      <c r="KZQ83" s="366" t="e">
        <f>10/KZM81</f>
        <v>#DIV/0!</v>
      </c>
      <c r="KZR83" s="367">
        <v>15.38</v>
      </c>
      <c r="KZS83" s="367" t="e">
        <f>KZP83*KZQ83*KZR83</f>
        <v>#DIV/0!</v>
      </c>
      <c r="KZT83" s="363" t="s">
        <v>153</v>
      </c>
      <c r="KZU83" s="363"/>
      <c r="KZV83" s="363"/>
      <c r="KZW83" s="364" t="s">
        <v>140</v>
      </c>
      <c r="KZX83" s="365">
        <v>0.5</v>
      </c>
      <c r="KZY83" s="366" t="e">
        <f>10/KZU81</f>
        <v>#DIV/0!</v>
      </c>
      <c r="KZZ83" s="367">
        <v>15.38</v>
      </c>
      <c r="LAA83" s="367" t="e">
        <f>KZX83*KZY83*KZZ83</f>
        <v>#DIV/0!</v>
      </c>
      <c r="LAB83" s="363" t="s">
        <v>153</v>
      </c>
      <c r="LAC83" s="363"/>
      <c r="LAD83" s="363"/>
      <c r="LAE83" s="364" t="s">
        <v>140</v>
      </c>
      <c r="LAF83" s="365">
        <v>0.5</v>
      </c>
      <c r="LAG83" s="366" t="e">
        <f>10/LAC81</f>
        <v>#DIV/0!</v>
      </c>
      <c r="LAH83" s="367">
        <v>15.38</v>
      </c>
      <c r="LAI83" s="367" t="e">
        <f>LAF83*LAG83*LAH83</f>
        <v>#DIV/0!</v>
      </c>
      <c r="LAJ83" s="363" t="s">
        <v>153</v>
      </c>
      <c r="LAK83" s="363"/>
      <c r="LAL83" s="363"/>
      <c r="LAM83" s="364" t="s">
        <v>140</v>
      </c>
      <c r="LAN83" s="365">
        <v>0.5</v>
      </c>
      <c r="LAO83" s="366" t="e">
        <f>10/LAK81</f>
        <v>#DIV/0!</v>
      </c>
      <c r="LAP83" s="367">
        <v>15.38</v>
      </c>
      <c r="LAQ83" s="367" t="e">
        <f>LAN83*LAO83*LAP83</f>
        <v>#DIV/0!</v>
      </c>
      <c r="LAR83" s="363" t="s">
        <v>153</v>
      </c>
      <c r="LAS83" s="363"/>
      <c r="LAT83" s="363"/>
      <c r="LAU83" s="364" t="s">
        <v>140</v>
      </c>
      <c r="LAV83" s="365">
        <v>0.5</v>
      </c>
      <c r="LAW83" s="366" t="e">
        <f>10/LAS81</f>
        <v>#DIV/0!</v>
      </c>
      <c r="LAX83" s="367">
        <v>15.38</v>
      </c>
      <c r="LAY83" s="367" t="e">
        <f>LAV83*LAW83*LAX83</f>
        <v>#DIV/0!</v>
      </c>
      <c r="LAZ83" s="363" t="s">
        <v>153</v>
      </c>
      <c r="LBA83" s="363"/>
      <c r="LBB83" s="363"/>
      <c r="LBC83" s="364" t="s">
        <v>140</v>
      </c>
      <c r="LBD83" s="365">
        <v>0.5</v>
      </c>
      <c r="LBE83" s="366" t="e">
        <f>10/LBA81</f>
        <v>#DIV/0!</v>
      </c>
      <c r="LBF83" s="367">
        <v>15.38</v>
      </c>
      <c r="LBG83" s="367" t="e">
        <f>LBD83*LBE83*LBF83</f>
        <v>#DIV/0!</v>
      </c>
      <c r="LBH83" s="363" t="s">
        <v>153</v>
      </c>
      <c r="LBI83" s="363"/>
      <c r="LBJ83" s="363"/>
      <c r="LBK83" s="364" t="s">
        <v>140</v>
      </c>
      <c r="LBL83" s="365">
        <v>0.5</v>
      </c>
      <c r="LBM83" s="366" t="e">
        <f>10/LBI81</f>
        <v>#DIV/0!</v>
      </c>
      <c r="LBN83" s="367">
        <v>15.38</v>
      </c>
      <c r="LBO83" s="367" t="e">
        <f>LBL83*LBM83*LBN83</f>
        <v>#DIV/0!</v>
      </c>
      <c r="LBP83" s="363" t="s">
        <v>153</v>
      </c>
      <c r="LBQ83" s="363"/>
      <c r="LBR83" s="363"/>
      <c r="LBS83" s="364" t="s">
        <v>140</v>
      </c>
      <c r="LBT83" s="365">
        <v>0.5</v>
      </c>
      <c r="LBU83" s="366" t="e">
        <f>10/LBQ81</f>
        <v>#DIV/0!</v>
      </c>
      <c r="LBV83" s="367">
        <v>15.38</v>
      </c>
      <c r="LBW83" s="367" t="e">
        <f>LBT83*LBU83*LBV83</f>
        <v>#DIV/0!</v>
      </c>
      <c r="LBX83" s="363" t="s">
        <v>153</v>
      </c>
      <c r="LBY83" s="363"/>
      <c r="LBZ83" s="363"/>
      <c r="LCA83" s="364" t="s">
        <v>140</v>
      </c>
      <c r="LCB83" s="365">
        <v>0.5</v>
      </c>
      <c r="LCC83" s="366" t="e">
        <f>10/LBY81</f>
        <v>#DIV/0!</v>
      </c>
      <c r="LCD83" s="367">
        <v>15.38</v>
      </c>
      <c r="LCE83" s="367" t="e">
        <f>LCB83*LCC83*LCD83</f>
        <v>#DIV/0!</v>
      </c>
      <c r="LCF83" s="363" t="s">
        <v>153</v>
      </c>
      <c r="LCG83" s="363"/>
      <c r="LCH83" s="363"/>
      <c r="LCI83" s="364" t="s">
        <v>140</v>
      </c>
      <c r="LCJ83" s="365">
        <v>0.5</v>
      </c>
      <c r="LCK83" s="366" t="e">
        <f>10/LCG81</f>
        <v>#DIV/0!</v>
      </c>
      <c r="LCL83" s="367">
        <v>15.38</v>
      </c>
      <c r="LCM83" s="367" t="e">
        <f>LCJ83*LCK83*LCL83</f>
        <v>#DIV/0!</v>
      </c>
      <c r="LCN83" s="363" t="s">
        <v>153</v>
      </c>
      <c r="LCO83" s="363"/>
      <c r="LCP83" s="363"/>
      <c r="LCQ83" s="364" t="s">
        <v>140</v>
      </c>
      <c r="LCR83" s="365">
        <v>0.5</v>
      </c>
      <c r="LCS83" s="366" t="e">
        <f>10/LCO81</f>
        <v>#DIV/0!</v>
      </c>
      <c r="LCT83" s="367">
        <v>15.38</v>
      </c>
      <c r="LCU83" s="367" t="e">
        <f>LCR83*LCS83*LCT83</f>
        <v>#DIV/0!</v>
      </c>
      <c r="LCV83" s="363" t="s">
        <v>153</v>
      </c>
      <c r="LCW83" s="363"/>
      <c r="LCX83" s="363"/>
      <c r="LCY83" s="364" t="s">
        <v>140</v>
      </c>
      <c r="LCZ83" s="365">
        <v>0.5</v>
      </c>
      <c r="LDA83" s="366" t="e">
        <f>10/LCW81</f>
        <v>#DIV/0!</v>
      </c>
      <c r="LDB83" s="367">
        <v>15.38</v>
      </c>
      <c r="LDC83" s="367" t="e">
        <f>LCZ83*LDA83*LDB83</f>
        <v>#DIV/0!</v>
      </c>
      <c r="LDD83" s="363" t="s">
        <v>153</v>
      </c>
      <c r="LDE83" s="363"/>
      <c r="LDF83" s="363"/>
      <c r="LDG83" s="364" t="s">
        <v>140</v>
      </c>
      <c r="LDH83" s="365">
        <v>0.5</v>
      </c>
      <c r="LDI83" s="366" t="e">
        <f>10/LDE81</f>
        <v>#DIV/0!</v>
      </c>
      <c r="LDJ83" s="367">
        <v>15.38</v>
      </c>
      <c r="LDK83" s="367" t="e">
        <f>LDH83*LDI83*LDJ83</f>
        <v>#DIV/0!</v>
      </c>
      <c r="LDL83" s="363" t="s">
        <v>153</v>
      </c>
      <c r="LDM83" s="363"/>
      <c r="LDN83" s="363"/>
      <c r="LDO83" s="364" t="s">
        <v>140</v>
      </c>
      <c r="LDP83" s="365">
        <v>0.5</v>
      </c>
      <c r="LDQ83" s="366" t="e">
        <f>10/LDM81</f>
        <v>#DIV/0!</v>
      </c>
      <c r="LDR83" s="367">
        <v>15.38</v>
      </c>
      <c r="LDS83" s="367" t="e">
        <f>LDP83*LDQ83*LDR83</f>
        <v>#DIV/0!</v>
      </c>
      <c r="LDT83" s="363" t="s">
        <v>153</v>
      </c>
      <c r="LDU83" s="363"/>
      <c r="LDV83" s="363"/>
      <c r="LDW83" s="364" t="s">
        <v>140</v>
      </c>
      <c r="LDX83" s="365">
        <v>0.5</v>
      </c>
      <c r="LDY83" s="366" t="e">
        <f>10/LDU81</f>
        <v>#DIV/0!</v>
      </c>
      <c r="LDZ83" s="367">
        <v>15.38</v>
      </c>
      <c r="LEA83" s="367" t="e">
        <f>LDX83*LDY83*LDZ83</f>
        <v>#DIV/0!</v>
      </c>
      <c r="LEB83" s="363" t="s">
        <v>153</v>
      </c>
      <c r="LEC83" s="363"/>
      <c r="LED83" s="363"/>
      <c r="LEE83" s="364" t="s">
        <v>140</v>
      </c>
      <c r="LEF83" s="365">
        <v>0.5</v>
      </c>
      <c r="LEG83" s="366" t="e">
        <f>10/LEC81</f>
        <v>#DIV/0!</v>
      </c>
      <c r="LEH83" s="367">
        <v>15.38</v>
      </c>
      <c r="LEI83" s="367" t="e">
        <f>LEF83*LEG83*LEH83</f>
        <v>#DIV/0!</v>
      </c>
      <c r="LEJ83" s="363" t="s">
        <v>153</v>
      </c>
      <c r="LEK83" s="363"/>
      <c r="LEL83" s="363"/>
      <c r="LEM83" s="364" t="s">
        <v>140</v>
      </c>
      <c r="LEN83" s="365">
        <v>0.5</v>
      </c>
      <c r="LEO83" s="366" t="e">
        <f>10/LEK81</f>
        <v>#DIV/0!</v>
      </c>
      <c r="LEP83" s="367">
        <v>15.38</v>
      </c>
      <c r="LEQ83" s="367" t="e">
        <f>LEN83*LEO83*LEP83</f>
        <v>#DIV/0!</v>
      </c>
      <c r="LER83" s="363" t="s">
        <v>153</v>
      </c>
      <c r="LES83" s="363"/>
      <c r="LET83" s="363"/>
      <c r="LEU83" s="364" t="s">
        <v>140</v>
      </c>
      <c r="LEV83" s="365">
        <v>0.5</v>
      </c>
      <c r="LEW83" s="366" t="e">
        <f>10/LES81</f>
        <v>#DIV/0!</v>
      </c>
      <c r="LEX83" s="367">
        <v>15.38</v>
      </c>
      <c r="LEY83" s="367" t="e">
        <f>LEV83*LEW83*LEX83</f>
        <v>#DIV/0!</v>
      </c>
      <c r="LEZ83" s="363" t="s">
        <v>153</v>
      </c>
      <c r="LFA83" s="363"/>
      <c r="LFB83" s="363"/>
      <c r="LFC83" s="364" t="s">
        <v>140</v>
      </c>
      <c r="LFD83" s="365">
        <v>0.5</v>
      </c>
      <c r="LFE83" s="366" t="e">
        <f>10/LFA81</f>
        <v>#DIV/0!</v>
      </c>
      <c r="LFF83" s="367">
        <v>15.38</v>
      </c>
      <c r="LFG83" s="367" t="e">
        <f>LFD83*LFE83*LFF83</f>
        <v>#DIV/0!</v>
      </c>
      <c r="LFH83" s="363" t="s">
        <v>153</v>
      </c>
      <c r="LFI83" s="363"/>
      <c r="LFJ83" s="363"/>
      <c r="LFK83" s="364" t="s">
        <v>140</v>
      </c>
      <c r="LFL83" s="365">
        <v>0.5</v>
      </c>
      <c r="LFM83" s="366" t="e">
        <f>10/LFI81</f>
        <v>#DIV/0!</v>
      </c>
      <c r="LFN83" s="367">
        <v>15.38</v>
      </c>
      <c r="LFO83" s="367" t="e">
        <f>LFL83*LFM83*LFN83</f>
        <v>#DIV/0!</v>
      </c>
      <c r="LFP83" s="363" t="s">
        <v>153</v>
      </c>
      <c r="LFQ83" s="363"/>
      <c r="LFR83" s="363"/>
      <c r="LFS83" s="364" t="s">
        <v>140</v>
      </c>
      <c r="LFT83" s="365">
        <v>0.5</v>
      </c>
      <c r="LFU83" s="366" t="e">
        <f>10/LFQ81</f>
        <v>#DIV/0!</v>
      </c>
      <c r="LFV83" s="367">
        <v>15.38</v>
      </c>
      <c r="LFW83" s="367" t="e">
        <f>LFT83*LFU83*LFV83</f>
        <v>#DIV/0!</v>
      </c>
      <c r="LFX83" s="363" t="s">
        <v>153</v>
      </c>
      <c r="LFY83" s="363"/>
      <c r="LFZ83" s="363"/>
      <c r="LGA83" s="364" t="s">
        <v>140</v>
      </c>
      <c r="LGB83" s="365">
        <v>0.5</v>
      </c>
      <c r="LGC83" s="366" t="e">
        <f>10/LFY81</f>
        <v>#DIV/0!</v>
      </c>
      <c r="LGD83" s="367">
        <v>15.38</v>
      </c>
      <c r="LGE83" s="367" t="e">
        <f>LGB83*LGC83*LGD83</f>
        <v>#DIV/0!</v>
      </c>
      <c r="LGF83" s="363" t="s">
        <v>153</v>
      </c>
      <c r="LGG83" s="363"/>
      <c r="LGH83" s="363"/>
      <c r="LGI83" s="364" t="s">
        <v>140</v>
      </c>
      <c r="LGJ83" s="365">
        <v>0.5</v>
      </c>
      <c r="LGK83" s="366" t="e">
        <f>10/LGG81</f>
        <v>#DIV/0!</v>
      </c>
      <c r="LGL83" s="367">
        <v>15.38</v>
      </c>
      <c r="LGM83" s="367" t="e">
        <f>LGJ83*LGK83*LGL83</f>
        <v>#DIV/0!</v>
      </c>
      <c r="LGN83" s="363" t="s">
        <v>153</v>
      </c>
      <c r="LGO83" s="363"/>
      <c r="LGP83" s="363"/>
      <c r="LGQ83" s="364" t="s">
        <v>140</v>
      </c>
      <c r="LGR83" s="365">
        <v>0.5</v>
      </c>
      <c r="LGS83" s="366" t="e">
        <f>10/LGO81</f>
        <v>#DIV/0!</v>
      </c>
      <c r="LGT83" s="367">
        <v>15.38</v>
      </c>
      <c r="LGU83" s="367" t="e">
        <f>LGR83*LGS83*LGT83</f>
        <v>#DIV/0!</v>
      </c>
      <c r="LGV83" s="363" t="s">
        <v>153</v>
      </c>
      <c r="LGW83" s="363"/>
      <c r="LGX83" s="363"/>
      <c r="LGY83" s="364" t="s">
        <v>140</v>
      </c>
      <c r="LGZ83" s="365">
        <v>0.5</v>
      </c>
      <c r="LHA83" s="366" t="e">
        <f>10/LGW81</f>
        <v>#DIV/0!</v>
      </c>
      <c r="LHB83" s="367">
        <v>15.38</v>
      </c>
      <c r="LHC83" s="367" t="e">
        <f>LGZ83*LHA83*LHB83</f>
        <v>#DIV/0!</v>
      </c>
      <c r="LHD83" s="363" t="s">
        <v>153</v>
      </c>
      <c r="LHE83" s="363"/>
      <c r="LHF83" s="363"/>
      <c r="LHG83" s="364" t="s">
        <v>140</v>
      </c>
      <c r="LHH83" s="365">
        <v>0.5</v>
      </c>
      <c r="LHI83" s="366" t="e">
        <f>10/LHE81</f>
        <v>#DIV/0!</v>
      </c>
      <c r="LHJ83" s="367">
        <v>15.38</v>
      </c>
      <c r="LHK83" s="367" t="e">
        <f>LHH83*LHI83*LHJ83</f>
        <v>#DIV/0!</v>
      </c>
      <c r="LHL83" s="363" t="s">
        <v>153</v>
      </c>
      <c r="LHM83" s="363"/>
      <c r="LHN83" s="363"/>
      <c r="LHO83" s="364" t="s">
        <v>140</v>
      </c>
      <c r="LHP83" s="365">
        <v>0.5</v>
      </c>
      <c r="LHQ83" s="366" t="e">
        <f>10/LHM81</f>
        <v>#DIV/0!</v>
      </c>
      <c r="LHR83" s="367">
        <v>15.38</v>
      </c>
      <c r="LHS83" s="367" t="e">
        <f>LHP83*LHQ83*LHR83</f>
        <v>#DIV/0!</v>
      </c>
      <c r="LHT83" s="363" t="s">
        <v>153</v>
      </c>
      <c r="LHU83" s="363"/>
      <c r="LHV83" s="363"/>
      <c r="LHW83" s="364" t="s">
        <v>140</v>
      </c>
      <c r="LHX83" s="365">
        <v>0.5</v>
      </c>
      <c r="LHY83" s="366" t="e">
        <f>10/LHU81</f>
        <v>#DIV/0!</v>
      </c>
      <c r="LHZ83" s="367">
        <v>15.38</v>
      </c>
      <c r="LIA83" s="367" t="e">
        <f>LHX83*LHY83*LHZ83</f>
        <v>#DIV/0!</v>
      </c>
      <c r="LIB83" s="363" t="s">
        <v>153</v>
      </c>
      <c r="LIC83" s="363"/>
      <c r="LID83" s="363"/>
      <c r="LIE83" s="364" t="s">
        <v>140</v>
      </c>
      <c r="LIF83" s="365">
        <v>0.5</v>
      </c>
      <c r="LIG83" s="366" t="e">
        <f>10/LIC81</f>
        <v>#DIV/0!</v>
      </c>
      <c r="LIH83" s="367">
        <v>15.38</v>
      </c>
      <c r="LII83" s="367" t="e">
        <f>LIF83*LIG83*LIH83</f>
        <v>#DIV/0!</v>
      </c>
      <c r="LIJ83" s="363" t="s">
        <v>153</v>
      </c>
      <c r="LIK83" s="363"/>
      <c r="LIL83" s="363"/>
      <c r="LIM83" s="364" t="s">
        <v>140</v>
      </c>
      <c r="LIN83" s="365">
        <v>0.5</v>
      </c>
      <c r="LIO83" s="366" t="e">
        <f>10/LIK81</f>
        <v>#DIV/0!</v>
      </c>
      <c r="LIP83" s="367">
        <v>15.38</v>
      </c>
      <c r="LIQ83" s="367" t="e">
        <f>LIN83*LIO83*LIP83</f>
        <v>#DIV/0!</v>
      </c>
      <c r="LIR83" s="363" t="s">
        <v>153</v>
      </c>
      <c r="LIS83" s="363"/>
      <c r="LIT83" s="363"/>
      <c r="LIU83" s="364" t="s">
        <v>140</v>
      </c>
      <c r="LIV83" s="365">
        <v>0.5</v>
      </c>
      <c r="LIW83" s="366" t="e">
        <f>10/LIS81</f>
        <v>#DIV/0!</v>
      </c>
      <c r="LIX83" s="367">
        <v>15.38</v>
      </c>
      <c r="LIY83" s="367" t="e">
        <f>LIV83*LIW83*LIX83</f>
        <v>#DIV/0!</v>
      </c>
      <c r="LIZ83" s="363" t="s">
        <v>153</v>
      </c>
      <c r="LJA83" s="363"/>
      <c r="LJB83" s="363"/>
      <c r="LJC83" s="364" t="s">
        <v>140</v>
      </c>
      <c r="LJD83" s="365">
        <v>0.5</v>
      </c>
      <c r="LJE83" s="366" t="e">
        <f>10/LJA81</f>
        <v>#DIV/0!</v>
      </c>
      <c r="LJF83" s="367">
        <v>15.38</v>
      </c>
      <c r="LJG83" s="367" t="e">
        <f>LJD83*LJE83*LJF83</f>
        <v>#DIV/0!</v>
      </c>
      <c r="LJH83" s="363" t="s">
        <v>153</v>
      </c>
      <c r="LJI83" s="363"/>
      <c r="LJJ83" s="363"/>
      <c r="LJK83" s="364" t="s">
        <v>140</v>
      </c>
      <c r="LJL83" s="365">
        <v>0.5</v>
      </c>
      <c r="LJM83" s="366" t="e">
        <f>10/LJI81</f>
        <v>#DIV/0!</v>
      </c>
      <c r="LJN83" s="367">
        <v>15.38</v>
      </c>
      <c r="LJO83" s="367" t="e">
        <f>LJL83*LJM83*LJN83</f>
        <v>#DIV/0!</v>
      </c>
      <c r="LJP83" s="363" t="s">
        <v>153</v>
      </c>
      <c r="LJQ83" s="363"/>
      <c r="LJR83" s="363"/>
      <c r="LJS83" s="364" t="s">
        <v>140</v>
      </c>
      <c r="LJT83" s="365">
        <v>0.5</v>
      </c>
      <c r="LJU83" s="366" t="e">
        <f>10/LJQ81</f>
        <v>#DIV/0!</v>
      </c>
      <c r="LJV83" s="367">
        <v>15.38</v>
      </c>
      <c r="LJW83" s="367" t="e">
        <f>LJT83*LJU83*LJV83</f>
        <v>#DIV/0!</v>
      </c>
      <c r="LJX83" s="363" t="s">
        <v>153</v>
      </c>
      <c r="LJY83" s="363"/>
      <c r="LJZ83" s="363"/>
      <c r="LKA83" s="364" t="s">
        <v>140</v>
      </c>
      <c r="LKB83" s="365">
        <v>0.5</v>
      </c>
      <c r="LKC83" s="366" t="e">
        <f>10/LJY81</f>
        <v>#DIV/0!</v>
      </c>
      <c r="LKD83" s="367">
        <v>15.38</v>
      </c>
      <c r="LKE83" s="367" t="e">
        <f>LKB83*LKC83*LKD83</f>
        <v>#DIV/0!</v>
      </c>
      <c r="LKF83" s="363" t="s">
        <v>153</v>
      </c>
      <c r="LKG83" s="363"/>
      <c r="LKH83" s="363"/>
      <c r="LKI83" s="364" t="s">
        <v>140</v>
      </c>
      <c r="LKJ83" s="365">
        <v>0.5</v>
      </c>
      <c r="LKK83" s="366" t="e">
        <f>10/LKG81</f>
        <v>#DIV/0!</v>
      </c>
      <c r="LKL83" s="367">
        <v>15.38</v>
      </c>
      <c r="LKM83" s="367" t="e">
        <f>LKJ83*LKK83*LKL83</f>
        <v>#DIV/0!</v>
      </c>
      <c r="LKN83" s="363" t="s">
        <v>153</v>
      </c>
      <c r="LKO83" s="363"/>
      <c r="LKP83" s="363"/>
      <c r="LKQ83" s="364" t="s">
        <v>140</v>
      </c>
      <c r="LKR83" s="365">
        <v>0.5</v>
      </c>
      <c r="LKS83" s="366" t="e">
        <f>10/LKO81</f>
        <v>#DIV/0!</v>
      </c>
      <c r="LKT83" s="367">
        <v>15.38</v>
      </c>
      <c r="LKU83" s="367" t="e">
        <f>LKR83*LKS83*LKT83</f>
        <v>#DIV/0!</v>
      </c>
      <c r="LKV83" s="363" t="s">
        <v>153</v>
      </c>
      <c r="LKW83" s="363"/>
      <c r="LKX83" s="363"/>
      <c r="LKY83" s="364" t="s">
        <v>140</v>
      </c>
      <c r="LKZ83" s="365">
        <v>0.5</v>
      </c>
      <c r="LLA83" s="366" t="e">
        <f>10/LKW81</f>
        <v>#DIV/0!</v>
      </c>
      <c r="LLB83" s="367">
        <v>15.38</v>
      </c>
      <c r="LLC83" s="367" t="e">
        <f>LKZ83*LLA83*LLB83</f>
        <v>#DIV/0!</v>
      </c>
      <c r="LLD83" s="363" t="s">
        <v>153</v>
      </c>
      <c r="LLE83" s="363"/>
      <c r="LLF83" s="363"/>
      <c r="LLG83" s="364" t="s">
        <v>140</v>
      </c>
      <c r="LLH83" s="365">
        <v>0.5</v>
      </c>
      <c r="LLI83" s="366" t="e">
        <f>10/LLE81</f>
        <v>#DIV/0!</v>
      </c>
      <c r="LLJ83" s="367">
        <v>15.38</v>
      </c>
      <c r="LLK83" s="367" t="e">
        <f>LLH83*LLI83*LLJ83</f>
        <v>#DIV/0!</v>
      </c>
      <c r="LLL83" s="363" t="s">
        <v>153</v>
      </c>
      <c r="LLM83" s="363"/>
      <c r="LLN83" s="363"/>
      <c r="LLO83" s="364" t="s">
        <v>140</v>
      </c>
      <c r="LLP83" s="365">
        <v>0.5</v>
      </c>
      <c r="LLQ83" s="366" t="e">
        <f>10/LLM81</f>
        <v>#DIV/0!</v>
      </c>
      <c r="LLR83" s="367">
        <v>15.38</v>
      </c>
      <c r="LLS83" s="367" t="e">
        <f>LLP83*LLQ83*LLR83</f>
        <v>#DIV/0!</v>
      </c>
      <c r="LLT83" s="363" t="s">
        <v>153</v>
      </c>
      <c r="LLU83" s="363"/>
      <c r="LLV83" s="363"/>
      <c r="LLW83" s="364" t="s">
        <v>140</v>
      </c>
      <c r="LLX83" s="365">
        <v>0.5</v>
      </c>
      <c r="LLY83" s="366" t="e">
        <f>10/LLU81</f>
        <v>#DIV/0!</v>
      </c>
      <c r="LLZ83" s="367">
        <v>15.38</v>
      </c>
      <c r="LMA83" s="367" t="e">
        <f>LLX83*LLY83*LLZ83</f>
        <v>#DIV/0!</v>
      </c>
      <c r="LMB83" s="363" t="s">
        <v>153</v>
      </c>
      <c r="LMC83" s="363"/>
      <c r="LMD83" s="363"/>
      <c r="LME83" s="364" t="s">
        <v>140</v>
      </c>
      <c r="LMF83" s="365">
        <v>0.5</v>
      </c>
      <c r="LMG83" s="366" t="e">
        <f>10/LMC81</f>
        <v>#DIV/0!</v>
      </c>
      <c r="LMH83" s="367">
        <v>15.38</v>
      </c>
      <c r="LMI83" s="367" t="e">
        <f>LMF83*LMG83*LMH83</f>
        <v>#DIV/0!</v>
      </c>
      <c r="LMJ83" s="363" t="s">
        <v>153</v>
      </c>
      <c r="LMK83" s="363"/>
      <c r="LML83" s="363"/>
      <c r="LMM83" s="364" t="s">
        <v>140</v>
      </c>
      <c r="LMN83" s="365">
        <v>0.5</v>
      </c>
      <c r="LMO83" s="366" t="e">
        <f>10/LMK81</f>
        <v>#DIV/0!</v>
      </c>
      <c r="LMP83" s="367">
        <v>15.38</v>
      </c>
      <c r="LMQ83" s="367" t="e">
        <f>LMN83*LMO83*LMP83</f>
        <v>#DIV/0!</v>
      </c>
      <c r="LMR83" s="363" t="s">
        <v>153</v>
      </c>
      <c r="LMS83" s="363"/>
      <c r="LMT83" s="363"/>
      <c r="LMU83" s="364" t="s">
        <v>140</v>
      </c>
      <c r="LMV83" s="365">
        <v>0.5</v>
      </c>
      <c r="LMW83" s="366" t="e">
        <f>10/LMS81</f>
        <v>#DIV/0!</v>
      </c>
      <c r="LMX83" s="367">
        <v>15.38</v>
      </c>
      <c r="LMY83" s="367" t="e">
        <f>LMV83*LMW83*LMX83</f>
        <v>#DIV/0!</v>
      </c>
      <c r="LMZ83" s="363" t="s">
        <v>153</v>
      </c>
      <c r="LNA83" s="363"/>
      <c r="LNB83" s="363"/>
      <c r="LNC83" s="364" t="s">
        <v>140</v>
      </c>
      <c r="LND83" s="365">
        <v>0.5</v>
      </c>
      <c r="LNE83" s="366" t="e">
        <f>10/LNA81</f>
        <v>#DIV/0!</v>
      </c>
      <c r="LNF83" s="367">
        <v>15.38</v>
      </c>
      <c r="LNG83" s="367" t="e">
        <f>LND83*LNE83*LNF83</f>
        <v>#DIV/0!</v>
      </c>
      <c r="LNH83" s="363" t="s">
        <v>153</v>
      </c>
      <c r="LNI83" s="363"/>
      <c r="LNJ83" s="363"/>
      <c r="LNK83" s="364" t="s">
        <v>140</v>
      </c>
      <c r="LNL83" s="365">
        <v>0.5</v>
      </c>
      <c r="LNM83" s="366" t="e">
        <f>10/LNI81</f>
        <v>#DIV/0!</v>
      </c>
      <c r="LNN83" s="367">
        <v>15.38</v>
      </c>
      <c r="LNO83" s="367" t="e">
        <f>LNL83*LNM83*LNN83</f>
        <v>#DIV/0!</v>
      </c>
      <c r="LNP83" s="363" t="s">
        <v>153</v>
      </c>
      <c r="LNQ83" s="363"/>
      <c r="LNR83" s="363"/>
      <c r="LNS83" s="364" t="s">
        <v>140</v>
      </c>
      <c r="LNT83" s="365">
        <v>0.5</v>
      </c>
      <c r="LNU83" s="366" t="e">
        <f>10/LNQ81</f>
        <v>#DIV/0!</v>
      </c>
      <c r="LNV83" s="367">
        <v>15.38</v>
      </c>
      <c r="LNW83" s="367" t="e">
        <f>LNT83*LNU83*LNV83</f>
        <v>#DIV/0!</v>
      </c>
      <c r="LNX83" s="363" t="s">
        <v>153</v>
      </c>
      <c r="LNY83" s="363"/>
      <c r="LNZ83" s="363"/>
      <c r="LOA83" s="364" t="s">
        <v>140</v>
      </c>
      <c r="LOB83" s="365">
        <v>0.5</v>
      </c>
      <c r="LOC83" s="366" t="e">
        <f>10/LNY81</f>
        <v>#DIV/0!</v>
      </c>
      <c r="LOD83" s="367">
        <v>15.38</v>
      </c>
      <c r="LOE83" s="367" t="e">
        <f>LOB83*LOC83*LOD83</f>
        <v>#DIV/0!</v>
      </c>
      <c r="LOF83" s="363" t="s">
        <v>153</v>
      </c>
      <c r="LOG83" s="363"/>
      <c r="LOH83" s="363"/>
      <c r="LOI83" s="364" t="s">
        <v>140</v>
      </c>
      <c r="LOJ83" s="365">
        <v>0.5</v>
      </c>
      <c r="LOK83" s="366" t="e">
        <f>10/LOG81</f>
        <v>#DIV/0!</v>
      </c>
      <c r="LOL83" s="367">
        <v>15.38</v>
      </c>
      <c r="LOM83" s="367" t="e">
        <f>LOJ83*LOK83*LOL83</f>
        <v>#DIV/0!</v>
      </c>
      <c r="LON83" s="363" t="s">
        <v>153</v>
      </c>
      <c r="LOO83" s="363"/>
      <c r="LOP83" s="363"/>
      <c r="LOQ83" s="364" t="s">
        <v>140</v>
      </c>
      <c r="LOR83" s="365">
        <v>0.5</v>
      </c>
      <c r="LOS83" s="366" t="e">
        <f>10/LOO81</f>
        <v>#DIV/0!</v>
      </c>
      <c r="LOT83" s="367">
        <v>15.38</v>
      </c>
      <c r="LOU83" s="367" t="e">
        <f>LOR83*LOS83*LOT83</f>
        <v>#DIV/0!</v>
      </c>
      <c r="LOV83" s="363" t="s">
        <v>153</v>
      </c>
      <c r="LOW83" s="363"/>
      <c r="LOX83" s="363"/>
      <c r="LOY83" s="364" t="s">
        <v>140</v>
      </c>
      <c r="LOZ83" s="365">
        <v>0.5</v>
      </c>
      <c r="LPA83" s="366" t="e">
        <f>10/LOW81</f>
        <v>#DIV/0!</v>
      </c>
      <c r="LPB83" s="367">
        <v>15.38</v>
      </c>
      <c r="LPC83" s="367" t="e">
        <f>LOZ83*LPA83*LPB83</f>
        <v>#DIV/0!</v>
      </c>
      <c r="LPD83" s="363" t="s">
        <v>153</v>
      </c>
      <c r="LPE83" s="363"/>
      <c r="LPF83" s="363"/>
      <c r="LPG83" s="364" t="s">
        <v>140</v>
      </c>
      <c r="LPH83" s="365">
        <v>0.5</v>
      </c>
      <c r="LPI83" s="366" t="e">
        <f>10/LPE81</f>
        <v>#DIV/0!</v>
      </c>
      <c r="LPJ83" s="367">
        <v>15.38</v>
      </c>
      <c r="LPK83" s="367" t="e">
        <f>LPH83*LPI83*LPJ83</f>
        <v>#DIV/0!</v>
      </c>
      <c r="LPL83" s="363" t="s">
        <v>153</v>
      </c>
      <c r="LPM83" s="363"/>
      <c r="LPN83" s="363"/>
      <c r="LPO83" s="364" t="s">
        <v>140</v>
      </c>
      <c r="LPP83" s="365">
        <v>0.5</v>
      </c>
      <c r="LPQ83" s="366" t="e">
        <f>10/LPM81</f>
        <v>#DIV/0!</v>
      </c>
      <c r="LPR83" s="367">
        <v>15.38</v>
      </c>
      <c r="LPS83" s="367" t="e">
        <f>LPP83*LPQ83*LPR83</f>
        <v>#DIV/0!</v>
      </c>
      <c r="LPT83" s="363" t="s">
        <v>153</v>
      </c>
      <c r="LPU83" s="363"/>
      <c r="LPV83" s="363"/>
      <c r="LPW83" s="364" t="s">
        <v>140</v>
      </c>
      <c r="LPX83" s="365">
        <v>0.5</v>
      </c>
      <c r="LPY83" s="366" t="e">
        <f>10/LPU81</f>
        <v>#DIV/0!</v>
      </c>
      <c r="LPZ83" s="367">
        <v>15.38</v>
      </c>
      <c r="LQA83" s="367" t="e">
        <f>LPX83*LPY83*LPZ83</f>
        <v>#DIV/0!</v>
      </c>
      <c r="LQB83" s="363" t="s">
        <v>153</v>
      </c>
      <c r="LQC83" s="363"/>
      <c r="LQD83" s="363"/>
      <c r="LQE83" s="364" t="s">
        <v>140</v>
      </c>
      <c r="LQF83" s="365">
        <v>0.5</v>
      </c>
      <c r="LQG83" s="366" t="e">
        <f>10/LQC81</f>
        <v>#DIV/0!</v>
      </c>
      <c r="LQH83" s="367">
        <v>15.38</v>
      </c>
      <c r="LQI83" s="367" t="e">
        <f>LQF83*LQG83*LQH83</f>
        <v>#DIV/0!</v>
      </c>
      <c r="LQJ83" s="363" t="s">
        <v>153</v>
      </c>
      <c r="LQK83" s="363"/>
      <c r="LQL83" s="363"/>
      <c r="LQM83" s="364" t="s">
        <v>140</v>
      </c>
      <c r="LQN83" s="365">
        <v>0.5</v>
      </c>
      <c r="LQO83" s="366" t="e">
        <f>10/LQK81</f>
        <v>#DIV/0!</v>
      </c>
      <c r="LQP83" s="367">
        <v>15.38</v>
      </c>
      <c r="LQQ83" s="367" t="e">
        <f>LQN83*LQO83*LQP83</f>
        <v>#DIV/0!</v>
      </c>
      <c r="LQR83" s="363" t="s">
        <v>153</v>
      </c>
      <c r="LQS83" s="363"/>
      <c r="LQT83" s="363"/>
      <c r="LQU83" s="364" t="s">
        <v>140</v>
      </c>
      <c r="LQV83" s="365">
        <v>0.5</v>
      </c>
      <c r="LQW83" s="366" t="e">
        <f>10/LQS81</f>
        <v>#DIV/0!</v>
      </c>
      <c r="LQX83" s="367">
        <v>15.38</v>
      </c>
      <c r="LQY83" s="367" t="e">
        <f>LQV83*LQW83*LQX83</f>
        <v>#DIV/0!</v>
      </c>
      <c r="LQZ83" s="363" t="s">
        <v>153</v>
      </c>
      <c r="LRA83" s="363"/>
      <c r="LRB83" s="363"/>
      <c r="LRC83" s="364" t="s">
        <v>140</v>
      </c>
      <c r="LRD83" s="365">
        <v>0.5</v>
      </c>
      <c r="LRE83" s="366" t="e">
        <f>10/LRA81</f>
        <v>#DIV/0!</v>
      </c>
      <c r="LRF83" s="367">
        <v>15.38</v>
      </c>
      <c r="LRG83" s="367" t="e">
        <f>LRD83*LRE83*LRF83</f>
        <v>#DIV/0!</v>
      </c>
      <c r="LRH83" s="363" t="s">
        <v>153</v>
      </c>
      <c r="LRI83" s="363"/>
      <c r="LRJ83" s="363"/>
      <c r="LRK83" s="364" t="s">
        <v>140</v>
      </c>
      <c r="LRL83" s="365">
        <v>0.5</v>
      </c>
      <c r="LRM83" s="366" t="e">
        <f>10/LRI81</f>
        <v>#DIV/0!</v>
      </c>
      <c r="LRN83" s="367">
        <v>15.38</v>
      </c>
      <c r="LRO83" s="367" t="e">
        <f>LRL83*LRM83*LRN83</f>
        <v>#DIV/0!</v>
      </c>
      <c r="LRP83" s="363" t="s">
        <v>153</v>
      </c>
      <c r="LRQ83" s="363"/>
      <c r="LRR83" s="363"/>
      <c r="LRS83" s="364" t="s">
        <v>140</v>
      </c>
      <c r="LRT83" s="365">
        <v>0.5</v>
      </c>
      <c r="LRU83" s="366" t="e">
        <f>10/LRQ81</f>
        <v>#DIV/0!</v>
      </c>
      <c r="LRV83" s="367">
        <v>15.38</v>
      </c>
      <c r="LRW83" s="367" t="e">
        <f>LRT83*LRU83*LRV83</f>
        <v>#DIV/0!</v>
      </c>
      <c r="LRX83" s="363" t="s">
        <v>153</v>
      </c>
      <c r="LRY83" s="363"/>
      <c r="LRZ83" s="363"/>
      <c r="LSA83" s="364" t="s">
        <v>140</v>
      </c>
      <c r="LSB83" s="365">
        <v>0.5</v>
      </c>
      <c r="LSC83" s="366" t="e">
        <f>10/LRY81</f>
        <v>#DIV/0!</v>
      </c>
      <c r="LSD83" s="367">
        <v>15.38</v>
      </c>
      <c r="LSE83" s="367" t="e">
        <f>LSB83*LSC83*LSD83</f>
        <v>#DIV/0!</v>
      </c>
      <c r="LSF83" s="363" t="s">
        <v>153</v>
      </c>
      <c r="LSG83" s="363"/>
      <c r="LSH83" s="363"/>
      <c r="LSI83" s="364" t="s">
        <v>140</v>
      </c>
      <c r="LSJ83" s="365">
        <v>0.5</v>
      </c>
      <c r="LSK83" s="366" t="e">
        <f>10/LSG81</f>
        <v>#DIV/0!</v>
      </c>
      <c r="LSL83" s="367">
        <v>15.38</v>
      </c>
      <c r="LSM83" s="367" t="e">
        <f>LSJ83*LSK83*LSL83</f>
        <v>#DIV/0!</v>
      </c>
      <c r="LSN83" s="363" t="s">
        <v>153</v>
      </c>
      <c r="LSO83" s="363"/>
      <c r="LSP83" s="363"/>
      <c r="LSQ83" s="364" t="s">
        <v>140</v>
      </c>
      <c r="LSR83" s="365">
        <v>0.5</v>
      </c>
      <c r="LSS83" s="366" t="e">
        <f>10/LSO81</f>
        <v>#DIV/0!</v>
      </c>
      <c r="LST83" s="367">
        <v>15.38</v>
      </c>
      <c r="LSU83" s="367" t="e">
        <f>LSR83*LSS83*LST83</f>
        <v>#DIV/0!</v>
      </c>
      <c r="LSV83" s="363" t="s">
        <v>153</v>
      </c>
      <c r="LSW83" s="363"/>
      <c r="LSX83" s="363"/>
      <c r="LSY83" s="364" t="s">
        <v>140</v>
      </c>
      <c r="LSZ83" s="365">
        <v>0.5</v>
      </c>
      <c r="LTA83" s="366" t="e">
        <f>10/LSW81</f>
        <v>#DIV/0!</v>
      </c>
      <c r="LTB83" s="367">
        <v>15.38</v>
      </c>
      <c r="LTC83" s="367" t="e">
        <f>LSZ83*LTA83*LTB83</f>
        <v>#DIV/0!</v>
      </c>
      <c r="LTD83" s="363" t="s">
        <v>153</v>
      </c>
      <c r="LTE83" s="363"/>
      <c r="LTF83" s="363"/>
      <c r="LTG83" s="364" t="s">
        <v>140</v>
      </c>
      <c r="LTH83" s="365">
        <v>0.5</v>
      </c>
      <c r="LTI83" s="366" t="e">
        <f>10/LTE81</f>
        <v>#DIV/0!</v>
      </c>
      <c r="LTJ83" s="367">
        <v>15.38</v>
      </c>
      <c r="LTK83" s="367" t="e">
        <f>LTH83*LTI83*LTJ83</f>
        <v>#DIV/0!</v>
      </c>
      <c r="LTL83" s="363" t="s">
        <v>153</v>
      </c>
      <c r="LTM83" s="363"/>
      <c r="LTN83" s="363"/>
      <c r="LTO83" s="364" t="s">
        <v>140</v>
      </c>
      <c r="LTP83" s="365">
        <v>0.5</v>
      </c>
      <c r="LTQ83" s="366" t="e">
        <f>10/LTM81</f>
        <v>#DIV/0!</v>
      </c>
      <c r="LTR83" s="367">
        <v>15.38</v>
      </c>
      <c r="LTS83" s="367" t="e">
        <f>LTP83*LTQ83*LTR83</f>
        <v>#DIV/0!</v>
      </c>
      <c r="LTT83" s="363" t="s">
        <v>153</v>
      </c>
      <c r="LTU83" s="363"/>
      <c r="LTV83" s="363"/>
      <c r="LTW83" s="364" t="s">
        <v>140</v>
      </c>
      <c r="LTX83" s="365">
        <v>0.5</v>
      </c>
      <c r="LTY83" s="366" t="e">
        <f>10/LTU81</f>
        <v>#DIV/0!</v>
      </c>
      <c r="LTZ83" s="367">
        <v>15.38</v>
      </c>
      <c r="LUA83" s="367" t="e">
        <f>LTX83*LTY83*LTZ83</f>
        <v>#DIV/0!</v>
      </c>
      <c r="LUB83" s="363" t="s">
        <v>153</v>
      </c>
      <c r="LUC83" s="363"/>
      <c r="LUD83" s="363"/>
      <c r="LUE83" s="364" t="s">
        <v>140</v>
      </c>
      <c r="LUF83" s="365">
        <v>0.5</v>
      </c>
      <c r="LUG83" s="366" t="e">
        <f>10/LUC81</f>
        <v>#DIV/0!</v>
      </c>
      <c r="LUH83" s="367">
        <v>15.38</v>
      </c>
      <c r="LUI83" s="367" t="e">
        <f>LUF83*LUG83*LUH83</f>
        <v>#DIV/0!</v>
      </c>
      <c r="LUJ83" s="363" t="s">
        <v>153</v>
      </c>
      <c r="LUK83" s="363"/>
      <c r="LUL83" s="363"/>
      <c r="LUM83" s="364" t="s">
        <v>140</v>
      </c>
      <c r="LUN83" s="365">
        <v>0.5</v>
      </c>
      <c r="LUO83" s="366" t="e">
        <f>10/LUK81</f>
        <v>#DIV/0!</v>
      </c>
      <c r="LUP83" s="367">
        <v>15.38</v>
      </c>
      <c r="LUQ83" s="367" t="e">
        <f>LUN83*LUO83*LUP83</f>
        <v>#DIV/0!</v>
      </c>
      <c r="LUR83" s="363" t="s">
        <v>153</v>
      </c>
      <c r="LUS83" s="363"/>
      <c r="LUT83" s="363"/>
      <c r="LUU83" s="364" t="s">
        <v>140</v>
      </c>
      <c r="LUV83" s="365">
        <v>0.5</v>
      </c>
      <c r="LUW83" s="366" t="e">
        <f>10/LUS81</f>
        <v>#DIV/0!</v>
      </c>
      <c r="LUX83" s="367">
        <v>15.38</v>
      </c>
      <c r="LUY83" s="367" t="e">
        <f>LUV83*LUW83*LUX83</f>
        <v>#DIV/0!</v>
      </c>
      <c r="LUZ83" s="363" t="s">
        <v>153</v>
      </c>
      <c r="LVA83" s="363"/>
      <c r="LVB83" s="363"/>
      <c r="LVC83" s="364" t="s">
        <v>140</v>
      </c>
      <c r="LVD83" s="365">
        <v>0.5</v>
      </c>
      <c r="LVE83" s="366" t="e">
        <f>10/LVA81</f>
        <v>#DIV/0!</v>
      </c>
      <c r="LVF83" s="367">
        <v>15.38</v>
      </c>
      <c r="LVG83" s="367" t="e">
        <f>LVD83*LVE83*LVF83</f>
        <v>#DIV/0!</v>
      </c>
      <c r="LVH83" s="363" t="s">
        <v>153</v>
      </c>
      <c r="LVI83" s="363"/>
      <c r="LVJ83" s="363"/>
      <c r="LVK83" s="364" t="s">
        <v>140</v>
      </c>
      <c r="LVL83" s="365">
        <v>0.5</v>
      </c>
      <c r="LVM83" s="366" t="e">
        <f>10/LVI81</f>
        <v>#DIV/0!</v>
      </c>
      <c r="LVN83" s="367">
        <v>15.38</v>
      </c>
      <c r="LVO83" s="367" t="e">
        <f>LVL83*LVM83*LVN83</f>
        <v>#DIV/0!</v>
      </c>
      <c r="LVP83" s="363" t="s">
        <v>153</v>
      </c>
      <c r="LVQ83" s="363"/>
      <c r="LVR83" s="363"/>
      <c r="LVS83" s="364" t="s">
        <v>140</v>
      </c>
      <c r="LVT83" s="365">
        <v>0.5</v>
      </c>
      <c r="LVU83" s="366" t="e">
        <f>10/LVQ81</f>
        <v>#DIV/0!</v>
      </c>
      <c r="LVV83" s="367">
        <v>15.38</v>
      </c>
      <c r="LVW83" s="367" t="e">
        <f>LVT83*LVU83*LVV83</f>
        <v>#DIV/0!</v>
      </c>
      <c r="LVX83" s="363" t="s">
        <v>153</v>
      </c>
      <c r="LVY83" s="363"/>
      <c r="LVZ83" s="363"/>
      <c r="LWA83" s="364" t="s">
        <v>140</v>
      </c>
      <c r="LWB83" s="365">
        <v>0.5</v>
      </c>
      <c r="LWC83" s="366" t="e">
        <f>10/LVY81</f>
        <v>#DIV/0!</v>
      </c>
      <c r="LWD83" s="367">
        <v>15.38</v>
      </c>
      <c r="LWE83" s="367" t="e">
        <f>LWB83*LWC83*LWD83</f>
        <v>#DIV/0!</v>
      </c>
      <c r="LWF83" s="363" t="s">
        <v>153</v>
      </c>
      <c r="LWG83" s="363"/>
      <c r="LWH83" s="363"/>
      <c r="LWI83" s="364" t="s">
        <v>140</v>
      </c>
      <c r="LWJ83" s="365">
        <v>0.5</v>
      </c>
      <c r="LWK83" s="366" t="e">
        <f>10/LWG81</f>
        <v>#DIV/0!</v>
      </c>
      <c r="LWL83" s="367">
        <v>15.38</v>
      </c>
      <c r="LWM83" s="367" t="e">
        <f>LWJ83*LWK83*LWL83</f>
        <v>#DIV/0!</v>
      </c>
      <c r="LWN83" s="363" t="s">
        <v>153</v>
      </c>
      <c r="LWO83" s="363"/>
      <c r="LWP83" s="363"/>
      <c r="LWQ83" s="364" t="s">
        <v>140</v>
      </c>
      <c r="LWR83" s="365">
        <v>0.5</v>
      </c>
      <c r="LWS83" s="366" t="e">
        <f>10/LWO81</f>
        <v>#DIV/0!</v>
      </c>
      <c r="LWT83" s="367">
        <v>15.38</v>
      </c>
      <c r="LWU83" s="367" t="e">
        <f>LWR83*LWS83*LWT83</f>
        <v>#DIV/0!</v>
      </c>
      <c r="LWV83" s="363" t="s">
        <v>153</v>
      </c>
      <c r="LWW83" s="363"/>
      <c r="LWX83" s="363"/>
      <c r="LWY83" s="364" t="s">
        <v>140</v>
      </c>
      <c r="LWZ83" s="365">
        <v>0.5</v>
      </c>
      <c r="LXA83" s="366" t="e">
        <f>10/LWW81</f>
        <v>#DIV/0!</v>
      </c>
      <c r="LXB83" s="367">
        <v>15.38</v>
      </c>
      <c r="LXC83" s="367" t="e">
        <f>LWZ83*LXA83*LXB83</f>
        <v>#DIV/0!</v>
      </c>
      <c r="LXD83" s="363" t="s">
        <v>153</v>
      </c>
      <c r="LXE83" s="363"/>
      <c r="LXF83" s="363"/>
      <c r="LXG83" s="364" t="s">
        <v>140</v>
      </c>
      <c r="LXH83" s="365">
        <v>0.5</v>
      </c>
      <c r="LXI83" s="366" t="e">
        <f>10/LXE81</f>
        <v>#DIV/0!</v>
      </c>
      <c r="LXJ83" s="367">
        <v>15.38</v>
      </c>
      <c r="LXK83" s="367" t="e">
        <f>LXH83*LXI83*LXJ83</f>
        <v>#DIV/0!</v>
      </c>
      <c r="LXL83" s="363" t="s">
        <v>153</v>
      </c>
      <c r="LXM83" s="363"/>
      <c r="LXN83" s="363"/>
      <c r="LXO83" s="364" t="s">
        <v>140</v>
      </c>
      <c r="LXP83" s="365">
        <v>0.5</v>
      </c>
      <c r="LXQ83" s="366" t="e">
        <f>10/LXM81</f>
        <v>#DIV/0!</v>
      </c>
      <c r="LXR83" s="367">
        <v>15.38</v>
      </c>
      <c r="LXS83" s="367" t="e">
        <f>LXP83*LXQ83*LXR83</f>
        <v>#DIV/0!</v>
      </c>
      <c r="LXT83" s="363" t="s">
        <v>153</v>
      </c>
      <c r="LXU83" s="363"/>
      <c r="LXV83" s="363"/>
      <c r="LXW83" s="364" t="s">
        <v>140</v>
      </c>
      <c r="LXX83" s="365">
        <v>0.5</v>
      </c>
      <c r="LXY83" s="366" t="e">
        <f>10/LXU81</f>
        <v>#DIV/0!</v>
      </c>
      <c r="LXZ83" s="367">
        <v>15.38</v>
      </c>
      <c r="LYA83" s="367" t="e">
        <f>LXX83*LXY83*LXZ83</f>
        <v>#DIV/0!</v>
      </c>
      <c r="LYB83" s="363" t="s">
        <v>153</v>
      </c>
      <c r="LYC83" s="363"/>
      <c r="LYD83" s="363"/>
      <c r="LYE83" s="364" t="s">
        <v>140</v>
      </c>
      <c r="LYF83" s="365">
        <v>0.5</v>
      </c>
      <c r="LYG83" s="366" t="e">
        <f>10/LYC81</f>
        <v>#DIV/0!</v>
      </c>
      <c r="LYH83" s="367">
        <v>15.38</v>
      </c>
      <c r="LYI83" s="367" t="e">
        <f>LYF83*LYG83*LYH83</f>
        <v>#DIV/0!</v>
      </c>
      <c r="LYJ83" s="363" t="s">
        <v>153</v>
      </c>
      <c r="LYK83" s="363"/>
      <c r="LYL83" s="363"/>
      <c r="LYM83" s="364" t="s">
        <v>140</v>
      </c>
      <c r="LYN83" s="365">
        <v>0.5</v>
      </c>
      <c r="LYO83" s="366" t="e">
        <f>10/LYK81</f>
        <v>#DIV/0!</v>
      </c>
      <c r="LYP83" s="367">
        <v>15.38</v>
      </c>
      <c r="LYQ83" s="367" t="e">
        <f>LYN83*LYO83*LYP83</f>
        <v>#DIV/0!</v>
      </c>
      <c r="LYR83" s="363" t="s">
        <v>153</v>
      </c>
      <c r="LYS83" s="363"/>
      <c r="LYT83" s="363"/>
      <c r="LYU83" s="364" t="s">
        <v>140</v>
      </c>
      <c r="LYV83" s="365">
        <v>0.5</v>
      </c>
      <c r="LYW83" s="366" t="e">
        <f>10/LYS81</f>
        <v>#DIV/0!</v>
      </c>
      <c r="LYX83" s="367">
        <v>15.38</v>
      </c>
      <c r="LYY83" s="367" t="e">
        <f>LYV83*LYW83*LYX83</f>
        <v>#DIV/0!</v>
      </c>
      <c r="LYZ83" s="363" t="s">
        <v>153</v>
      </c>
      <c r="LZA83" s="363"/>
      <c r="LZB83" s="363"/>
      <c r="LZC83" s="364" t="s">
        <v>140</v>
      </c>
      <c r="LZD83" s="365">
        <v>0.5</v>
      </c>
      <c r="LZE83" s="366" t="e">
        <f>10/LZA81</f>
        <v>#DIV/0!</v>
      </c>
      <c r="LZF83" s="367">
        <v>15.38</v>
      </c>
      <c r="LZG83" s="367" t="e">
        <f>LZD83*LZE83*LZF83</f>
        <v>#DIV/0!</v>
      </c>
      <c r="LZH83" s="363" t="s">
        <v>153</v>
      </c>
      <c r="LZI83" s="363"/>
      <c r="LZJ83" s="363"/>
      <c r="LZK83" s="364" t="s">
        <v>140</v>
      </c>
      <c r="LZL83" s="365">
        <v>0.5</v>
      </c>
      <c r="LZM83" s="366" t="e">
        <f>10/LZI81</f>
        <v>#DIV/0!</v>
      </c>
      <c r="LZN83" s="367">
        <v>15.38</v>
      </c>
      <c r="LZO83" s="367" t="e">
        <f>LZL83*LZM83*LZN83</f>
        <v>#DIV/0!</v>
      </c>
      <c r="LZP83" s="363" t="s">
        <v>153</v>
      </c>
      <c r="LZQ83" s="363"/>
      <c r="LZR83" s="363"/>
      <c r="LZS83" s="364" t="s">
        <v>140</v>
      </c>
      <c r="LZT83" s="365">
        <v>0.5</v>
      </c>
      <c r="LZU83" s="366" t="e">
        <f>10/LZQ81</f>
        <v>#DIV/0!</v>
      </c>
      <c r="LZV83" s="367">
        <v>15.38</v>
      </c>
      <c r="LZW83" s="367" t="e">
        <f>LZT83*LZU83*LZV83</f>
        <v>#DIV/0!</v>
      </c>
      <c r="LZX83" s="363" t="s">
        <v>153</v>
      </c>
      <c r="LZY83" s="363"/>
      <c r="LZZ83" s="363"/>
      <c r="MAA83" s="364" t="s">
        <v>140</v>
      </c>
      <c r="MAB83" s="365">
        <v>0.5</v>
      </c>
      <c r="MAC83" s="366" t="e">
        <f>10/LZY81</f>
        <v>#DIV/0!</v>
      </c>
      <c r="MAD83" s="367">
        <v>15.38</v>
      </c>
      <c r="MAE83" s="367" t="e">
        <f>MAB83*MAC83*MAD83</f>
        <v>#DIV/0!</v>
      </c>
      <c r="MAF83" s="363" t="s">
        <v>153</v>
      </c>
      <c r="MAG83" s="363"/>
      <c r="MAH83" s="363"/>
      <c r="MAI83" s="364" t="s">
        <v>140</v>
      </c>
      <c r="MAJ83" s="365">
        <v>0.5</v>
      </c>
      <c r="MAK83" s="366" t="e">
        <f>10/MAG81</f>
        <v>#DIV/0!</v>
      </c>
      <c r="MAL83" s="367">
        <v>15.38</v>
      </c>
      <c r="MAM83" s="367" t="e">
        <f>MAJ83*MAK83*MAL83</f>
        <v>#DIV/0!</v>
      </c>
      <c r="MAN83" s="363" t="s">
        <v>153</v>
      </c>
      <c r="MAO83" s="363"/>
      <c r="MAP83" s="363"/>
      <c r="MAQ83" s="364" t="s">
        <v>140</v>
      </c>
      <c r="MAR83" s="365">
        <v>0.5</v>
      </c>
      <c r="MAS83" s="366" t="e">
        <f>10/MAO81</f>
        <v>#DIV/0!</v>
      </c>
      <c r="MAT83" s="367">
        <v>15.38</v>
      </c>
      <c r="MAU83" s="367" t="e">
        <f>MAR83*MAS83*MAT83</f>
        <v>#DIV/0!</v>
      </c>
      <c r="MAV83" s="363" t="s">
        <v>153</v>
      </c>
      <c r="MAW83" s="363"/>
      <c r="MAX83" s="363"/>
      <c r="MAY83" s="364" t="s">
        <v>140</v>
      </c>
      <c r="MAZ83" s="365">
        <v>0.5</v>
      </c>
      <c r="MBA83" s="366" t="e">
        <f>10/MAW81</f>
        <v>#DIV/0!</v>
      </c>
      <c r="MBB83" s="367">
        <v>15.38</v>
      </c>
      <c r="MBC83" s="367" t="e">
        <f>MAZ83*MBA83*MBB83</f>
        <v>#DIV/0!</v>
      </c>
      <c r="MBD83" s="363" t="s">
        <v>153</v>
      </c>
      <c r="MBE83" s="363"/>
      <c r="MBF83" s="363"/>
      <c r="MBG83" s="364" t="s">
        <v>140</v>
      </c>
      <c r="MBH83" s="365">
        <v>0.5</v>
      </c>
      <c r="MBI83" s="366" t="e">
        <f>10/MBE81</f>
        <v>#DIV/0!</v>
      </c>
      <c r="MBJ83" s="367">
        <v>15.38</v>
      </c>
      <c r="MBK83" s="367" t="e">
        <f>MBH83*MBI83*MBJ83</f>
        <v>#DIV/0!</v>
      </c>
      <c r="MBL83" s="363" t="s">
        <v>153</v>
      </c>
      <c r="MBM83" s="363"/>
      <c r="MBN83" s="363"/>
      <c r="MBO83" s="364" t="s">
        <v>140</v>
      </c>
      <c r="MBP83" s="365">
        <v>0.5</v>
      </c>
      <c r="MBQ83" s="366" t="e">
        <f>10/MBM81</f>
        <v>#DIV/0!</v>
      </c>
      <c r="MBR83" s="367">
        <v>15.38</v>
      </c>
      <c r="MBS83" s="367" t="e">
        <f>MBP83*MBQ83*MBR83</f>
        <v>#DIV/0!</v>
      </c>
      <c r="MBT83" s="363" t="s">
        <v>153</v>
      </c>
      <c r="MBU83" s="363"/>
      <c r="MBV83" s="363"/>
      <c r="MBW83" s="364" t="s">
        <v>140</v>
      </c>
      <c r="MBX83" s="365">
        <v>0.5</v>
      </c>
      <c r="MBY83" s="366" t="e">
        <f>10/MBU81</f>
        <v>#DIV/0!</v>
      </c>
      <c r="MBZ83" s="367">
        <v>15.38</v>
      </c>
      <c r="MCA83" s="367" t="e">
        <f>MBX83*MBY83*MBZ83</f>
        <v>#DIV/0!</v>
      </c>
      <c r="MCB83" s="363" t="s">
        <v>153</v>
      </c>
      <c r="MCC83" s="363"/>
      <c r="MCD83" s="363"/>
      <c r="MCE83" s="364" t="s">
        <v>140</v>
      </c>
      <c r="MCF83" s="365">
        <v>0.5</v>
      </c>
      <c r="MCG83" s="366" t="e">
        <f>10/MCC81</f>
        <v>#DIV/0!</v>
      </c>
      <c r="MCH83" s="367">
        <v>15.38</v>
      </c>
      <c r="MCI83" s="367" t="e">
        <f>MCF83*MCG83*MCH83</f>
        <v>#DIV/0!</v>
      </c>
      <c r="MCJ83" s="363" t="s">
        <v>153</v>
      </c>
      <c r="MCK83" s="363"/>
      <c r="MCL83" s="363"/>
      <c r="MCM83" s="364" t="s">
        <v>140</v>
      </c>
      <c r="MCN83" s="365">
        <v>0.5</v>
      </c>
      <c r="MCO83" s="366" t="e">
        <f>10/MCK81</f>
        <v>#DIV/0!</v>
      </c>
      <c r="MCP83" s="367">
        <v>15.38</v>
      </c>
      <c r="MCQ83" s="367" t="e">
        <f>MCN83*MCO83*MCP83</f>
        <v>#DIV/0!</v>
      </c>
      <c r="MCR83" s="363" t="s">
        <v>153</v>
      </c>
      <c r="MCS83" s="363"/>
      <c r="MCT83" s="363"/>
      <c r="MCU83" s="364" t="s">
        <v>140</v>
      </c>
      <c r="MCV83" s="365">
        <v>0.5</v>
      </c>
      <c r="MCW83" s="366" t="e">
        <f>10/MCS81</f>
        <v>#DIV/0!</v>
      </c>
      <c r="MCX83" s="367">
        <v>15.38</v>
      </c>
      <c r="MCY83" s="367" t="e">
        <f>MCV83*MCW83*MCX83</f>
        <v>#DIV/0!</v>
      </c>
      <c r="MCZ83" s="363" t="s">
        <v>153</v>
      </c>
      <c r="MDA83" s="363"/>
      <c r="MDB83" s="363"/>
      <c r="MDC83" s="364" t="s">
        <v>140</v>
      </c>
      <c r="MDD83" s="365">
        <v>0.5</v>
      </c>
      <c r="MDE83" s="366" t="e">
        <f>10/MDA81</f>
        <v>#DIV/0!</v>
      </c>
      <c r="MDF83" s="367">
        <v>15.38</v>
      </c>
      <c r="MDG83" s="367" t="e">
        <f>MDD83*MDE83*MDF83</f>
        <v>#DIV/0!</v>
      </c>
      <c r="MDH83" s="363" t="s">
        <v>153</v>
      </c>
      <c r="MDI83" s="363"/>
      <c r="MDJ83" s="363"/>
      <c r="MDK83" s="364" t="s">
        <v>140</v>
      </c>
      <c r="MDL83" s="365">
        <v>0.5</v>
      </c>
      <c r="MDM83" s="366" t="e">
        <f>10/MDI81</f>
        <v>#DIV/0!</v>
      </c>
      <c r="MDN83" s="367">
        <v>15.38</v>
      </c>
      <c r="MDO83" s="367" t="e">
        <f>MDL83*MDM83*MDN83</f>
        <v>#DIV/0!</v>
      </c>
      <c r="MDP83" s="363" t="s">
        <v>153</v>
      </c>
      <c r="MDQ83" s="363"/>
      <c r="MDR83" s="363"/>
      <c r="MDS83" s="364" t="s">
        <v>140</v>
      </c>
      <c r="MDT83" s="365">
        <v>0.5</v>
      </c>
      <c r="MDU83" s="366" t="e">
        <f>10/MDQ81</f>
        <v>#DIV/0!</v>
      </c>
      <c r="MDV83" s="367">
        <v>15.38</v>
      </c>
      <c r="MDW83" s="367" t="e">
        <f>MDT83*MDU83*MDV83</f>
        <v>#DIV/0!</v>
      </c>
      <c r="MDX83" s="363" t="s">
        <v>153</v>
      </c>
      <c r="MDY83" s="363"/>
      <c r="MDZ83" s="363"/>
      <c r="MEA83" s="364" t="s">
        <v>140</v>
      </c>
      <c r="MEB83" s="365">
        <v>0.5</v>
      </c>
      <c r="MEC83" s="366" t="e">
        <f>10/MDY81</f>
        <v>#DIV/0!</v>
      </c>
      <c r="MED83" s="367">
        <v>15.38</v>
      </c>
      <c r="MEE83" s="367" t="e">
        <f>MEB83*MEC83*MED83</f>
        <v>#DIV/0!</v>
      </c>
      <c r="MEF83" s="363" t="s">
        <v>153</v>
      </c>
      <c r="MEG83" s="363"/>
      <c r="MEH83" s="363"/>
      <c r="MEI83" s="364" t="s">
        <v>140</v>
      </c>
      <c r="MEJ83" s="365">
        <v>0.5</v>
      </c>
      <c r="MEK83" s="366" t="e">
        <f>10/MEG81</f>
        <v>#DIV/0!</v>
      </c>
      <c r="MEL83" s="367">
        <v>15.38</v>
      </c>
      <c r="MEM83" s="367" t="e">
        <f>MEJ83*MEK83*MEL83</f>
        <v>#DIV/0!</v>
      </c>
      <c r="MEN83" s="363" t="s">
        <v>153</v>
      </c>
      <c r="MEO83" s="363"/>
      <c r="MEP83" s="363"/>
      <c r="MEQ83" s="364" t="s">
        <v>140</v>
      </c>
      <c r="MER83" s="365">
        <v>0.5</v>
      </c>
      <c r="MES83" s="366" t="e">
        <f>10/MEO81</f>
        <v>#DIV/0!</v>
      </c>
      <c r="MET83" s="367">
        <v>15.38</v>
      </c>
      <c r="MEU83" s="367" t="e">
        <f>MER83*MES83*MET83</f>
        <v>#DIV/0!</v>
      </c>
      <c r="MEV83" s="363" t="s">
        <v>153</v>
      </c>
      <c r="MEW83" s="363"/>
      <c r="MEX83" s="363"/>
      <c r="MEY83" s="364" t="s">
        <v>140</v>
      </c>
      <c r="MEZ83" s="365">
        <v>0.5</v>
      </c>
      <c r="MFA83" s="366" t="e">
        <f>10/MEW81</f>
        <v>#DIV/0!</v>
      </c>
      <c r="MFB83" s="367">
        <v>15.38</v>
      </c>
      <c r="MFC83" s="367" t="e">
        <f>MEZ83*MFA83*MFB83</f>
        <v>#DIV/0!</v>
      </c>
      <c r="MFD83" s="363" t="s">
        <v>153</v>
      </c>
      <c r="MFE83" s="363"/>
      <c r="MFF83" s="363"/>
      <c r="MFG83" s="364" t="s">
        <v>140</v>
      </c>
      <c r="MFH83" s="365">
        <v>0.5</v>
      </c>
      <c r="MFI83" s="366" t="e">
        <f>10/MFE81</f>
        <v>#DIV/0!</v>
      </c>
      <c r="MFJ83" s="367">
        <v>15.38</v>
      </c>
      <c r="MFK83" s="367" t="e">
        <f>MFH83*MFI83*MFJ83</f>
        <v>#DIV/0!</v>
      </c>
      <c r="MFL83" s="363" t="s">
        <v>153</v>
      </c>
      <c r="MFM83" s="363"/>
      <c r="MFN83" s="363"/>
      <c r="MFO83" s="364" t="s">
        <v>140</v>
      </c>
      <c r="MFP83" s="365">
        <v>0.5</v>
      </c>
      <c r="MFQ83" s="366" t="e">
        <f>10/MFM81</f>
        <v>#DIV/0!</v>
      </c>
      <c r="MFR83" s="367">
        <v>15.38</v>
      </c>
      <c r="MFS83" s="367" t="e">
        <f>MFP83*MFQ83*MFR83</f>
        <v>#DIV/0!</v>
      </c>
      <c r="MFT83" s="363" t="s">
        <v>153</v>
      </c>
      <c r="MFU83" s="363"/>
      <c r="MFV83" s="363"/>
      <c r="MFW83" s="364" t="s">
        <v>140</v>
      </c>
      <c r="MFX83" s="365">
        <v>0.5</v>
      </c>
      <c r="MFY83" s="366" t="e">
        <f>10/MFU81</f>
        <v>#DIV/0!</v>
      </c>
      <c r="MFZ83" s="367">
        <v>15.38</v>
      </c>
      <c r="MGA83" s="367" t="e">
        <f>MFX83*MFY83*MFZ83</f>
        <v>#DIV/0!</v>
      </c>
      <c r="MGB83" s="363" t="s">
        <v>153</v>
      </c>
      <c r="MGC83" s="363"/>
      <c r="MGD83" s="363"/>
      <c r="MGE83" s="364" t="s">
        <v>140</v>
      </c>
      <c r="MGF83" s="365">
        <v>0.5</v>
      </c>
      <c r="MGG83" s="366" t="e">
        <f>10/MGC81</f>
        <v>#DIV/0!</v>
      </c>
      <c r="MGH83" s="367">
        <v>15.38</v>
      </c>
      <c r="MGI83" s="367" t="e">
        <f>MGF83*MGG83*MGH83</f>
        <v>#DIV/0!</v>
      </c>
      <c r="MGJ83" s="363" t="s">
        <v>153</v>
      </c>
      <c r="MGK83" s="363"/>
      <c r="MGL83" s="363"/>
      <c r="MGM83" s="364" t="s">
        <v>140</v>
      </c>
      <c r="MGN83" s="365">
        <v>0.5</v>
      </c>
      <c r="MGO83" s="366" t="e">
        <f>10/MGK81</f>
        <v>#DIV/0!</v>
      </c>
      <c r="MGP83" s="367">
        <v>15.38</v>
      </c>
      <c r="MGQ83" s="367" t="e">
        <f>MGN83*MGO83*MGP83</f>
        <v>#DIV/0!</v>
      </c>
      <c r="MGR83" s="363" t="s">
        <v>153</v>
      </c>
      <c r="MGS83" s="363"/>
      <c r="MGT83" s="363"/>
      <c r="MGU83" s="364" t="s">
        <v>140</v>
      </c>
      <c r="MGV83" s="365">
        <v>0.5</v>
      </c>
      <c r="MGW83" s="366" t="e">
        <f>10/MGS81</f>
        <v>#DIV/0!</v>
      </c>
      <c r="MGX83" s="367">
        <v>15.38</v>
      </c>
      <c r="MGY83" s="367" t="e">
        <f>MGV83*MGW83*MGX83</f>
        <v>#DIV/0!</v>
      </c>
      <c r="MGZ83" s="363" t="s">
        <v>153</v>
      </c>
      <c r="MHA83" s="363"/>
      <c r="MHB83" s="363"/>
      <c r="MHC83" s="364" t="s">
        <v>140</v>
      </c>
      <c r="MHD83" s="365">
        <v>0.5</v>
      </c>
      <c r="MHE83" s="366" t="e">
        <f>10/MHA81</f>
        <v>#DIV/0!</v>
      </c>
      <c r="MHF83" s="367">
        <v>15.38</v>
      </c>
      <c r="MHG83" s="367" t="e">
        <f>MHD83*MHE83*MHF83</f>
        <v>#DIV/0!</v>
      </c>
      <c r="MHH83" s="363" t="s">
        <v>153</v>
      </c>
      <c r="MHI83" s="363"/>
      <c r="MHJ83" s="363"/>
      <c r="MHK83" s="364" t="s">
        <v>140</v>
      </c>
      <c r="MHL83" s="365">
        <v>0.5</v>
      </c>
      <c r="MHM83" s="366" t="e">
        <f>10/MHI81</f>
        <v>#DIV/0!</v>
      </c>
      <c r="MHN83" s="367">
        <v>15.38</v>
      </c>
      <c r="MHO83" s="367" t="e">
        <f>MHL83*MHM83*MHN83</f>
        <v>#DIV/0!</v>
      </c>
      <c r="MHP83" s="363" t="s">
        <v>153</v>
      </c>
      <c r="MHQ83" s="363"/>
      <c r="MHR83" s="363"/>
      <c r="MHS83" s="364" t="s">
        <v>140</v>
      </c>
      <c r="MHT83" s="365">
        <v>0.5</v>
      </c>
      <c r="MHU83" s="366" t="e">
        <f>10/MHQ81</f>
        <v>#DIV/0!</v>
      </c>
      <c r="MHV83" s="367">
        <v>15.38</v>
      </c>
      <c r="MHW83" s="367" t="e">
        <f>MHT83*MHU83*MHV83</f>
        <v>#DIV/0!</v>
      </c>
      <c r="MHX83" s="363" t="s">
        <v>153</v>
      </c>
      <c r="MHY83" s="363"/>
      <c r="MHZ83" s="363"/>
      <c r="MIA83" s="364" t="s">
        <v>140</v>
      </c>
      <c r="MIB83" s="365">
        <v>0.5</v>
      </c>
      <c r="MIC83" s="366" t="e">
        <f>10/MHY81</f>
        <v>#DIV/0!</v>
      </c>
      <c r="MID83" s="367">
        <v>15.38</v>
      </c>
      <c r="MIE83" s="367" t="e">
        <f>MIB83*MIC83*MID83</f>
        <v>#DIV/0!</v>
      </c>
      <c r="MIF83" s="363" t="s">
        <v>153</v>
      </c>
      <c r="MIG83" s="363"/>
      <c r="MIH83" s="363"/>
      <c r="MII83" s="364" t="s">
        <v>140</v>
      </c>
      <c r="MIJ83" s="365">
        <v>0.5</v>
      </c>
      <c r="MIK83" s="366" t="e">
        <f>10/MIG81</f>
        <v>#DIV/0!</v>
      </c>
      <c r="MIL83" s="367">
        <v>15.38</v>
      </c>
      <c r="MIM83" s="367" t="e">
        <f>MIJ83*MIK83*MIL83</f>
        <v>#DIV/0!</v>
      </c>
      <c r="MIN83" s="363" t="s">
        <v>153</v>
      </c>
      <c r="MIO83" s="363"/>
      <c r="MIP83" s="363"/>
      <c r="MIQ83" s="364" t="s">
        <v>140</v>
      </c>
      <c r="MIR83" s="365">
        <v>0.5</v>
      </c>
      <c r="MIS83" s="366" t="e">
        <f>10/MIO81</f>
        <v>#DIV/0!</v>
      </c>
      <c r="MIT83" s="367">
        <v>15.38</v>
      </c>
      <c r="MIU83" s="367" t="e">
        <f>MIR83*MIS83*MIT83</f>
        <v>#DIV/0!</v>
      </c>
      <c r="MIV83" s="363" t="s">
        <v>153</v>
      </c>
      <c r="MIW83" s="363"/>
      <c r="MIX83" s="363"/>
      <c r="MIY83" s="364" t="s">
        <v>140</v>
      </c>
      <c r="MIZ83" s="365">
        <v>0.5</v>
      </c>
      <c r="MJA83" s="366" t="e">
        <f>10/MIW81</f>
        <v>#DIV/0!</v>
      </c>
      <c r="MJB83" s="367">
        <v>15.38</v>
      </c>
      <c r="MJC83" s="367" t="e">
        <f>MIZ83*MJA83*MJB83</f>
        <v>#DIV/0!</v>
      </c>
      <c r="MJD83" s="363" t="s">
        <v>153</v>
      </c>
      <c r="MJE83" s="363"/>
      <c r="MJF83" s="363"/>
      <c r="MJG83" s="364" t="s">
        <v>140</v>
      </c>
      <c r="MJH83" s="365">
        <v>0.5</v>
      </c>
      <c r="MJI83" s="366" t="e">
        <f>10/MJE81</f>
        <v>#DIV/0!</v>
      </c>
      <c r="MJJ83" s="367">
        <v>15.38</v>
      </c>
      <c r="MJK83" s="367" t="e">
        <f>MJH83*MJI83*MJJ83</f>
        <v>#DIV/0!</v>
      </c>
      <c r="MJL83" s="363" t="s">
        <v>153</v>
      </c>
      <c r="MJM83" s="363"/>
      <c r="MJN83" s="363"/>
      <c r="MJO83" s="364" t="s">
        <v>140</v>
      </c>
      <c r="MJP83" s="365">
        <v>0.5</v>
      </c>
      <c r="MJQ83" s="366" t="e">
        <f>10/MJM81</f>
        <v>#DIV/0!</v>
      </c>
      <c r="MJR83" s="367">
        <v>15.38</v>
      </c>
      <c r="MJS83" s="367" t="e">
        <f>MJP83*MJQ83*MJR83</f>
        <v>#DIV/0!</v>
      </c>
      <c r="MJT83" s="363" t="s">
        <v>153</v>
      </c>
      <c r="MJU83" s="363"/>
      <c r="MJV83" s="363"/>
      <c r="MJW83" s="364" t="s">
        <v>140</v>
      </c>
      <c r="MJX83" s="365">
        <v>0.5</v>
      </c>
      <c r="MJY83" s="366" t="e">
        <f>10/MJU81</f>
        <v>#DIV/0!</v>
      </c>
      <c r="MJZ83" s="367">
        <v>15.38</v>
      </c>
      <c r="MKA83" s="367" t="e">
        <f>MJX83*MJY83*MJZ83</f>
        <v>#DIV/0!</v>
      </c>
      <c r="MKB83" s="363" t="s">
        <v>153</v>
      </c>
      <c r="MKC83" s="363"/>
      <c r="MKD83" s="363"/>
      <c r="MKE83" s="364" t="s">
        <v>140</v>
      </c>
      <c r="MKF83" s="365">
        <v>0.5</v>
      </c>
      <c r="MKG83" s="366" t="e">
        <f>10/MKC81</f>
        <v>#DIV/0!</v>
      </c>
      <c r="MKH83" s="367">
        <v>15.38</v>
      </c>
      <c r="MKI83" s="367" t="e">
        <f>MKF83*MKG83*MKH83</f>
        <v>#DIV/0!</v>
      </c>
      <c r="MKJ83" s="363" t="s">
        <v>153</v>
      </c>
      <c r="MKK83" s="363"/>
      <c r="MKL83" s="363"/>
      <c r="MKM83" s="364" t="s">
        <v>140</v>
      </c>
      <c r="MKN83" s="365">
        <v>0.5</v>
      </c>
      <c r="MKO83" s="366" t="e">
        <f>10/MKK81</f>
        <v>#DIV/0!</v>
      </c>
      <c r="MKP83" s="367">
        <v>15.38</v>
      </c>
      <c r="MKQ83" s="367" t="e">
        <f>MKN83*MKO83*MKP83</f>
        <v>#DIV/0!</v>
      </c>
      <c r="MKR83" s="363" t="s">
        <v>153</v>
      </c>
      <c r="MKS83" s="363"/>
      <c r="MKT83" s="363"/>
      <c r="MKU83" s="364" t="s">
        <v>140</v>
      </c>
      <c r="MKV83" s="365">
        <v>0.5</v>
      </c>
      <c r="MKW83" s="366" t="e">
        <f>10/MKS81</f>
        <v>#DIV/0!</v>
      </c>
      <c r="MKX83" s="367">
        <v>15.38</v>
      </c>
      <c r="MKY83" s="367" t="e">
        <f>MKV83*MKW83*MKX83</f>
        <v>#DIV/0!</v>
      </c>
      <c r="MKZ83" s="363" t="s">
        <v>153</v>
      </c>
      <c r="MLA83" s="363"/>
      <c r="MLB83" s="363"/>
      <c r="MLC83" s="364" t="s">
        <v>140</v>
      </c>
      <c r="MLD83" s="365">
        <v>0.5</v>
      </c>
      <c r="MLE83" s="366" t="e">
        <f>10/MLA81</f>
        <v>#DIV/0!</v>
      </c>
      <c r="MLF83" s="367">
        <v>15.38</v>
      </c>
      <c r="MLG83" s="367" t="e">
        <f>MLD83*MLE83*MLF83</f>
        <v>#DIV/0!</v>
      </c>
      <c r="MLH83" s="363" t="s">
        <v>153</v>
      </c>
      <c r="MLI83" s="363"/>
      <c r="MLJ83" s="363"/>
      <c r="MLK83" s="364" t="s">
        <v>140</v>
      </c>
      <c r="MLL83" s="365">
        <v>0.5</v>
      </c>
      <c r="MLM83" s="366" t="e">
        <f>10/MLI81</f>
        <v>#DIV/0!</v>
      </c>
      <c r="MLN83" s="367">
        <v>15.38</v>
      </c>
      <c r="MLO83" s="367" t="e">
        <f>MLL83*MLM83*MLN83</f>
        <v>#DIV/0!</v>
      </c>
      <c r="MLP83" s="363" t="s">
        <v>153</v>
      </c>
      <c r="MLQ83" s="363"/>
      <c r="MLR83" s="363"/>
      <c r="MLS83" s="364" t="s">
        <v>140</v>
      </c>
      <c r="MLT83" s="365">
        <v>0.5</v>
      </c>
      <c r="MLU83" s="366" t="e">
        <f>10/MLQ81</f>
        <v>#DIV/0!</v>
      </c>
      <c r="MLV83" s="367">
        <v>15.38</v>
      </c>
      <c r="MLW83" s="367" t="e">
        <f>MLT83*MLU83*MLV83</f>
        <v>#DIV/0!</v>
      </c>
      <c r="MLX83" s="363" t="s">
        <v>153</v>
      </c>
      <c r="MLY83" s="363"/>
      <c r="MLZ83" s="363"/>
      <c r="MMA83" s="364" t="s">
        <v>140</v>
      </c>
      <c r="MMB83" s="365">
        <v>0.5</v>
      </c>
      <c r="MMC83" s="366" t="e">
        <f>10/MLY81</f>
        <v>#DIV/0!</v>
      </c>
      <c r="MMD83" s="367">
        <v>15.38</v>
      </c>
      <c r="MME83" s="367" t="e">
        <f>MMB83*MMC83*MMD83</f>
        <v>#DIV/0!</v>
      </c>
      <c r="MMF83" s="363" t="s">
        <v>153</v>
      </c>
      <c r="MMG83" s="363"/>
      <c r="MMH83" s="363"/>
      <c r="MMI83" s="364" t="s">
        <v>140</v>
      </c>
      <c r="MMJ83" s="365">
        <v>0.5</v>
      </c>
      <c r="MMK83" s="366" t="e">
        <f>10/MMG81</f>
        <v>#DIV/0!</v>
      </c>
      <c r="MML83" s="367">
        <v>15.38</v>
      </c>
      <c r="MMM83" s="367" t="e">
        <f>MMJ83*MMK83*MML83</f>
        <v>#DIV/0!</v>
      </c>
      <c r="MMN83" s="363" t="s">
        <v>153</v>
      </c>
      <c r="MMO83" s="363"/>
      <c r="MMP83" s="363"/>
      <c r="MMQ83" s="364" t="s">
        <v>140</v>
      </c>
      <c r="MMR83" s="365">
        <v>0.5</v>
      </c>
      <c r="MMS83" s="366" t="e">
        <f>10/MMO81</f>
        <v>#DIV/0!</v>
      </c>
      <c r="MMT83" s="367">
        <v>15.38</v>
      </c>
      <c r="MMU83" s="367" t="e">
        <f>MMR83*MMS83*MMT83</f>
        <v>#DIV/0!</v>
      </c>
      <c r="MMV83" s="363" t="s">
        <v>153</v>
      </c>
      <c r="MMW83" s="363"/>
      <c r="MMX83" s="363"/>
      <c r="MMY83" s="364" t="s">
        <v>140</v>
      </c>
      <c r="MMZ83" s="365">
        <v>0.5</v>
      </c>
      <c r="MNA83" s="366" t="e">
        <f>10/MMW81</f>
        <v>#DIV/0!</v>
      </c>
      <c r="MNB83" s="367">
        <v>15.38</v>
      </c>
      <c r="MNC83" s="367" t="e">
        <f>MMZ83*MNA83*MNB83</f>
        <v>#DIV/0!</v>
      </c>
      <c r="MND83" s="363" t="s">
        <v>153</v>
      </c>
      <c r="MNE83" s="363"/>
      <c r="MNF83" s="363"/>
      <c r="MNG83" s="364" t="s">
        <v>140</v>
      </c>
      <c r="MNH83" s="365">
        <v>0.5</v>
      </c>
      <c r="MNI83" s="366" t="e">
        <f>10/MNE81</f>
        <v>#DIV/0!</v>
      </c>
      <c r="MNJ83" s="367">
        <v>15.38</v>
      </c>
      <c r="MNK83" s="367" t="e">
        <f>MNH83*MNI83*MNJ83</f>
        <v>#DIV/0!</v>
      </c>
      <c r="MNL83" s="363" t="s">
        <v>153</v>
      </c>
      <c r="MNM83" s="363"/>
      <c r="MNN83" s="363"/>
      <c r="MNO83" s="364" t="s">
        <v>140</v>
      </c>
      <c r="MNP83" s="365">
        <v>0.5</v>
      </c>
      <c r="MNQ83" s="366" t="e">
        <f>10/MNM81</f>
        <v>#DIV/0!</v>
      </c>
      <c r="MNR83" s="367">
        <v>15.38</v>
      </c>
      <c r="MNS83" s="367" t="e">
        <f>MNP83*MNQ83*MNR83</f>
        <v>#DIV/0!</v>
      </c>
      <c r="MNT83" s="363" t="s">
        <v>153</v>
      </c>
      <c r="MNU83" s="363"/>
      <c r="MNV83" s="363"/>
      <c r="MNW83" s="364" t="s">
        <v>140</v>
      </c>
      <c r="MNX83" s="365">
        <v>0.5</v>
      </c>
      <c r="MNY83" s="366" t="e">
        <f>10/MNU81</f>
        <v>#DIV/0!</v>
      </c>
      <c r="MNZ83" s="367">
        <v>15.38</v>
      </c>
      <c r="MOA83" s="367" t="e">
        <f>MNX83*MNY83*MNZ83</f>
        <v>#DIV/0!</v>
      </c>
      <c r="MOB83" s="363" t="s">
        <v>153</v>
      </c>
      <c r="MOC83" s="363"/>
      <c r="MOD83" s="363"/>
      <c r="MOE83" s="364" t="s">
        <v>140</v>
      </c>
      <c r="MOF83" s="365">
        <v>0.5</v>
      </c>
      <c r="MOG83" s="366" t="e">
        <f>10/MOC81</f>
        <v>#DIV/0!</v>
      </c>
      <c r="MOH83" s="367">
        <v>15.38</v>
      </c>
      <c r="MOI83" s="367" t="e">
        <f>MOF83*MOG83*MOH83</f>
        <v>#DIV/0!</v>
      </c>
      <c r="MOJ83" s="363" t="s">
        <v>153</v>
      </c>
      <c r="MOK83" s="363"/>
      <c r="MOL83" s="363"/>
      <c r="MOM83" s="364" t="s">
        <v>140</v>
      </c>
      <c r="MON83" s="365">
        <v>0.5</v>
      </c>
      <c r="MOO83" s="366" t="e">
        <f>10/MOK81</f>
        <v>#DIV/0!</v>
      </c>
      <c r="MOP83" s="367">
        <v>15.38</v>
      </c>
      <c r="MOQ83" s="367" t="e">
        <f>MON83*MOO83*MOP83</f>
        <v>#DIV/0!</v>
      </c>
      <c r="MOR83" s="363" t="s">
        <v>153</v>
      </c>
      <c r="MOS83" s="363"/>
      <c r="MOT83" s="363"/>
      <c r="MOU83" s="364" t="s">
        <v>140</v>
      </c>
      <c r="MOV83" s="365">
        <v>0.5</v>
      </c>
      <c r="MOW83" s="366" t="e">
        <f>10/MOS81</f>
        <v>#DIV/0!</v>
      </c>
      <c r="MOX83" s="367">
        <v>15.38</v>
      </c>
      <c r="MOY83" s="367" t="e">
        <f>MOV83*MOW83*MOX83</f>
        <v>#DIV/0!</v>
      </c>
      <c r="MOZ83" s="363" t="s">
        <v>153</v>
      </c>
      <c r="MPA83" s="363"/>
      <c r="MPB83" s="363"/>
      <c r="MPC83" s="364" t="s">
        <v>140</v>
      </c>
      <c r="MPD83" s="365">
        <v>0.5</v>
      </c>
      <c r="MPE83" s="366" t="e">
        <f>10/MPA81</f>
        <v>#DIV/0!</v>
      </c>
      <c r="MPF83" s="367">
        <v>15.38</v>
      </c>
      <c r="MPG83" s="367" t="e">
        <f>MPD83*MPE83*MPF83</f>
        <v>#DIV/0!</v>
      </c>
      <c r="MPH83" s="363" t="s">
        <v>153</v>
      </c>
      <c r="MPI83" s="363"/>
      <c r="MPJ83" s="363"/>
      <c r="MPK83" s="364" t="s">
        <v>140</v>
      </c>
      <c r="MPL83" s="365">
        <v>0.5</v>
      </c>
      <c r="MPM83" s="366" t="e">
        <f>10/MPI81</f>
        <v>#DIV/0!</v>
      </c>
      <c r="MPN83" s="367">
        <v>15.38</v>
      </c>
      <c r="MPO83" s="367" t="e">
        <f>MPL83*MPM83*MPN83</f>
        <v>#DIV/0!</v>
      </c>
      <c r="MPP83" s="363" t="s">
        <v>153</v>
      </c>
      <c r="MPQ83" s="363"/>
      <c r="MPR83" s="363"/>
      <c r="MPS83" s="364" t="s">
        <v>140</v>
      </c>
      <c r="MPT83" s="365">
        <v>0.5</v>
      </c>
      <c r="MPU83" s="366" t="e">
        <f>10/MPQ81</f>
        <v>#DIV/0!</v>
      </c>
      <c r="MPV83" s="367">
        <v>15.38</v>
      </c>
      <c r="MPW83" s="367" t="e">
        <f>MPT83*MPU83*MPV83</f>
        <v>#DIV/0!</v>
      </c>
      <c r="MPX83" s="363" t="s">
        <v>153</v>
      </c>
      <c r="MPY83" s="363"/>
      <c r="MPZ83" s="363"/>
      <c r="MQA83" s="364" t="s">
        <v>140</v>
      </c>
      <c r="MQB83" s="365">
        <v>0.5</v>
      </c>
      <c r="MQC83" s="366" t="e">
        <f>10/MPY81</f>
        <v>#DIV/0!</v>
      </c>
      <c r="MQD83" s="367">
        <v>15.38</v>
      </c>
      <c r="MQE83" s="367" t="e">
        <f>MQB83*MQC83*MQD83</f>
        <v>#DIV/0!</v>
      </c>
      <c r="MQF83" s="363" t="s">
        <v>153</v>
      </c>
      <c r="MQG83" s="363"/>
      <c r="MQH83" s="363"/>
      <c r="MQI83" s="364" t="s">
        <v>140</v>
      </c>
      <c r="MQJ83" s="365">
        <v>0.5</v>
      </c>
      <c r="MQK83" s="366" t="e">
        <f>10/MQG81</f>
        <v>#DIV/0!</v>
      </c>
      <c r="MQL83" s="367">
        <v>15.38</v>
      </c>
      <c r="MQM83" s="367" t="e">
        <f>MQJ83*MQK83*MQL83</f>
        <v>#DIV/0!</v>
      </c>
      <c r="MQN83" s="363" t="s">
        <v>153</v>
      </c>
      <c r="MQO83" s="363"/>
      <c r="MQP83" s="363"/>
      <c r="MQQ83" s="364" t="s">
        <v>140</v>
      </c>
      <c r="MQR83" s="365">
        <v>0.5</v>
      </c>
      <c r="MQS83" s="366" t="e">
        <f>10/MQO81</f>
        <v>#DIV/0!</v>
      </c>
      <c r="MQT83" s="367">
        <v>15.38</v>
      </c>
      <c r="MQU83" s="367" t="e">
        <f>MQR83*MQS83*MQT83</f>
        <v>#DIV/0!</v>
      </c>
      <c r="MQV83" s="363" t="s">
        <v>153</v>
      </c>
      <c r="MQW83" s="363"/>
      <c r="MQX83" s="363"/>
      <c r="MQY83" s="364" t="s">
        <v>140</v>
      </c>
      <c r="MQZ83" s="365">
        <v>0.5</v>
      </c>
      <c r="MRA83" s="366" t="e">
        <f>10/MQW81</f>
        <v>#DIV/0!</v>
      </c>
      <c r="MRB83" s="367">
        <v>15.38</v>
      </c>
      <c r="MRC83" s="367" t="e">
        <f>MQZ83*MRA83*MRB83</f>
        <v>#DIV/0!</v>
      </c>
      <c r="MRD83" s="363" t="s">
        <v>153</v>
      </c>
      <c r="MRE83" s="363"/>
      <c r="MRF83" s="363"/>
      <c r="MRG83" s="364" t="s">
        <v>140</v>
      </c>
      <c r="MRH83" s="365">
        <v>0.5</v>
      </c>
      <c r="MRI83" s="366" t="e">
        <f>10/MRE81</f>
        <v>#DIV/0!</v>
      </c>
      <c r="MRJ83" s="367">
        <v>15.38</v>
      </c>
      <c r="MRK83" s="367" t="e">
        <f>MRH83*MRI83*MRJ83</f>
        <v>#DIV/0!</v>
      </c>
      <c r="MRL83" s="363" t="s">
        <v>153</v>
      </c>
      <c r="MRM83" s="363"/>
      <c r="MRN83" s="363"/>
      <c r="MRO83" s="364" t="s">
        <v>140</v>
      </c>
      <c r="MRP83" s="365">
        <v>0.5</v>
      </c>
      <c r="MRQ83" s="366" t="e">
        <f>10/MRM81</f>
        <v>#DIV/0!</v>
      </c>
      <c r="MRR83" s="367">
        <v>15.38</v>
      </c>
      <c r="MRS83" s="367" t="e">
        <f>MRP83*MRQ83*MRR83</f>
        <v>#DIV/0!</v>
      </c>
      <c r="MRT83" s="363" t="s">
        <v>153</v>
      </c>
      <c r="MRU83" s="363"/>
      <c r="MRV83" s="363"/>
      <c r="MRW83" s="364" t="s">
        <v>140</v>
      </c>
      <c r="MRX83" s="365">
        <v>0.5</v>
      </c>
      <c r="MRY83" s="366" t="e">
        <f>10/MRU81</f>
        <v>#DIV/0!</v>
      </c>
      <c r="MRZ83" s="367">
        <v>15.38</v>
      </c>
      <c r="MSA83" s="367" t="e">
        <f>MRX83*MRY83*MRZ83</f>
        <v>#DIV/0!</v>
      </c>
      <c r="MSB83" s="363" t="s">
        <v>153</v>
      </c>
      <c r="MSC83" s="363"/>
      <c r="MSD83" s="363"/>
      <c r="MSE83" s="364" t="s">
        <v>140</v>
      </c>
      <c r="MSF83" s="365">
        <v>0.5</v>
      </c>
      <c r="MSG83" s="366" t="e">
        <f>10/MSC81</f>
        <v>#DIV/0!</v>
      </c>
      <c r="MSH83" s="367">
        <v>15.38</v>
      </c>
      <c r="MSI83" s="367" t="e">
        <f>MSF83*MSG83*MSH83</f>
        <v>#DIV/0!</v>
      </c>
      <c r="MSJ83" s="363" t="s">
        <v>153</v>
      </c>
      <c r="MSK83" s="363"/>
      <c r="MSL83" s="363"/>
      <c r="MSM83" s="364" t="s">
        <v>140</v>
      </c>
      <c r="MSN83" s="365">
        <v>0.5</v>
      </c>
      <c r="MSO83" s="366" t="e">
        <f>10/MSK81</f>
        <v>#DIV/0!</v>
      </c>
      <c r="MSP83" s="367">
        <v>15.38</v>
      </c>
      <c r="MSQ83" s="367" t="e">
        <f>MSN83*MSO83*MSP83</f>
        <v>#DIV/0!</v>
      </c>
      <c r="MSR83" s="363" t="s">
        <v>153</v>
      </c>
      <c r="MSS83" s="363"/>
      <c r="MST83" s="363"/>
      <c r="MSU83" s="364" t="s">
        <v>140</v>
      </c>
      <c r="MSV83" s="365">
        <v>0.5</v>
      </c>
      <c r="MSW83" s="366" t="e">
        <f>10/MSS81</f>
        <v>#DIV/0!</v>
      </c>
      <c r="MSX83" s="367">
        <v>15.38</v>
      </c>
      <c r="MSY83" s="367" t="e">
        <f>MSV83*MSW83*MSX83</f>
        <v>#DIV/0!</v>
      </c>
      <c r="MSZ83" s="363" t="s">
        <v>153</v>
      </c>
      <c r="MTA83" s="363"/>
      <c r="MTB83" s="363"/>
      <c r="MTC83" s="364" t="s">
        <v>140</v>
      </c>
      <c r="MTD83" s="365">
        <v>0.5</v>
      </c>
      <c r="MTE83" s="366" t="e">
        <f>10/MTA81</f>
        <v>#DIV/0!</v>
      </c>
      <c r="MTF83" s="367">
        <v>15.38</v>
      </c>
      <c r="MTG83" s="367" t="e">
        <f>MTD83*MTE83*MTF83</f>
        <v>#DIV/0!</v>
      </c>
      <c r="MTH83" s="363" t="s">
        <v>153</v>
      </c>
      <c r="MTI83" s="363"/>
      <c r="MTJ83" s="363"/>
      <c r="MTK83" s="364" t="s">
        <v>140</v>
      </c>
      <c r="MTL83" s="365">
        <v>0.5</v>
      </c>
      <c r="MTM83" s="366" t="e">
        <f>10/MTI81</f>
        <v>#DIV/0!</v>
      </c>
      <c r="MTN83" s="367">
        <v>15.38</v>
      </c>
      <c r="MTO83" s="367" t="e">
        <f>MTL83*MTM83*MTN83</f>
        <v>#DIV/0!</v>
      </c>
      <c r="MTP83" s="363" t="s">
        <v>153</v>
      </c>
      <c r="MTQ83" s="363"/>
      <c r="MTR83" s="363"/>
      <c r="MTS83" s="364" t="s">
        <v>140</v>
      </c>
      <c r="MTT83" s="365">
        <v>0.5</v>
      </c>
      <c r="MTU83" s="366" t="e">
        <f>10/MTQ81</f>
        <v>#DIV/0!</v>
      </c>
      <c r="MTV83" s="367">
        <v>15.38</v>
      </c>
      <c r="MTW83" s="367" t="e">
        <f>MTT83*MTU83*MTV83</f>
        <v>#DIV/0!</v>
      </c>
      <c r="MTX83" s="363" t="s">
        <v>153</v>
      </c>
      <c r="MTY83" s="363"/>
      <c r="MTZ83" s="363"/>
      <c r="MUA83" s="364" t="s">
        <v>140</v>
      </c>
      <c r="MUB83" s="365">
        <v>0.5</v>
      </c>
      <c r="MUC83" s="366" t="e">
        <f>10/MTY81</f>
        <v>#DIV/0!</v>
      </c>
      <c r="MUD83" s="367">
        <v>15.38</v>
      </c>
      <c r="MUE83" s="367" t="e">
        <f>MUB83*MUC83*MUD83</f>
        <v>#DIV/0!</v>
      </c>
      <c r="MUF83" s="363" t="s">
        <v>153</v>
      </c>
      <c r="MUG83" s="363"/>
      <c r="MUH83" s="363"/>
      <c r="MUI83" s="364" t="s">
        <v>140</v>
      </c>
      <c r="MUJ83" s="365">
        <v>0.5</v>
      </c>
      <c r="MUK83" s="366" t="e">
        <f>10/MUG81</f>
        <v>#DIV/0!</v>
      </c>
      <c r="MUL83" s="367">
        <v>15.38</v>
      </c>
      <c r="MUM83" s="367" t="e">
        <f>MUJ83*MUK83*MUL83</f>
        <v>#DIV/0!</v>
      </c>
      <c r="MUN83" s="363" t="s">
        <v>153</v>
      </c>
      <c r="MUO83" s="363"/>
      <c r="MUP83" s="363"/>
      <c r="MUQ83" s="364" t="s">
        <v>140</v>
      </c>
      <c r="MUR83" s="365">
        <v>0.5</v>
      </c>
      <c r="MUS83" s="366" t="e">
        <f>10/MUO81</f>
        <v>#DIV/0!</v>
      </c>
      <c r="MUT83" s="367">
        <v>15.38</v>
      </c>
      <c r="MUU83" s="367" t="e">
        <f>MUR83*MUS83*MUT83</f>
        <v>#DIV/0!</v>
      </c>
      <c r="MUV83" s="363" t="s">
        <v>153</v>
      </c>
      <c r="MUW83" s="363"/>
      <c r="MUX83" s="363"/>
      <c r="MUY83" s="364" t="s">
        <v>140</v>
      </c>
      <c r="MUZ83" s="365">
        <v>0.5</v>
      </c>
      <c r="MVA83" s="366" t="e">
        <f>10/MUW81</f>
        <v>#DIV/0!</v>
      </c>
      <c r="MVB83" s="367">
        <v>15.38</v>
      </c>
      <c r="MVC83" s="367" t="e">
        <f>MUZ83*MVA83*MVB83</f>
        <v>#DIV/0!</v>
      </c>
      <c r="MVD83" s="363" t="s">
        <v>153</v>
      </c>
      <c r="MVE83" s="363"/>
      <c r="MVF83" s="363"/>
      <c r="MVG83" s="364" t="s">
        <v>140</v>
      </c>
      <c r="MVH83" s="365">
        <v>0.5</v>
      </c>
      <c r="MVI83" s="366" t="e">
        <f>10/MVE81</f>
        <v>#DIV/0!</v>
      </c>
      <c r="MVJ83" s="367">
        <v>15.38</v>
      </c>
      <c r="MVK83" s="367" t="e">
        <f>MVH83*MVI83*MVJ83</f>
        <v>#DIV/0!</v>
      </c>
      <c r="MVL83" s="363" t="s">
        <v>153</v>
      </c>
      <c r="MVM83" s="363"/>
      <c r="MVN83" s="363"/>
      <c r="MVO83" s="364" t="s">
        <v>140</v>
      </c>
      <c r="MVP83" s="365">
        <v>0.5</v>
      </c>
      <c r="MVQ83" s="366" t="e">
        <f>10/MVM81</f>
        <v>#DIV/0!</v>
      </c>
      <c r="MVR83" s="367">
        <v>15.38</v>
      </c>
      <c r="MVS83" s="367" t="e">
        <f>MVP83*MVQ83*MVR83</f>
        <v>#DIV/0!</v>
      </c>
      <c r="MVT83" s="363" t="s">
        <v>153</v>
      </c>
      <c r="MVU83" s="363"/>
      <c r="MVV83" s="363"/>
      <c r="MVW83" s="364" t="s">
        <v>140</v>
      </c>
      <c r="MVX83" s="365">
        <v>0.5</v>
      </c>
      <c r="MVY83" s="366" t="e">
        <f>10/MVU81</f>
        <v>#DIV/0!</v>
      </c>
      <c r="MVZ83" s="367">
        <v>15.38</v>
      </c>
      <c r="MWA83" s="367" t="e">
        <f>MVX83*MVY83*MVZ83</f>
        <v>#DIV/0!</v>
      </c>
      <c r="MWB83" s="363" t="s">
        <v>153</v>
      </c>
      <c r="MWC83" s="363"/>
      <c r="MWD83" s="363"/>
      <c r="MWE83" s="364" t="s">
        <v>140</v>
      </c>
      <c r="MWF83" s="365">
        <v>0.5</v>
      </c>
      <c r="MWG83" s="366" t="e">
        <f>10/MWC81</f>
        <v>#DIV/0!</v>
      </c>
      <c r="MWH83" s="367">
        <v>15.38</v>
      </c>
      <c r="MWI83" s="367" t="e">
        <f>MWF83*MWG83*MWH83</f>
        <v>#DIV/0!</v>
      </c>
      <c r="MWJ83" s="363" t="s">
        <v>153</v>
      </c>
      <c r="MWK83" s="363"/>
      <c r="MWL83" s="363"/>
      <c r="MWM83" s="364" t="s">
        <v>140</v>
      </c>
      <c r="MWN83" s="365">
        <v>0.5</v>
      </c>
      <c r="MWO83" s="366" t="e">
        <f>10/MWK81</f>
        <v>#DIV/0!</v>
      </c>
      <c r="MWP83" s="367">
        <v>15.38</v>
      </c>
      <c r="MWQ83" s="367" t="e">
        <f>MWN83*MWO83*MWP83</f>
        <v>#DIV/0!</v>
      </c>
      <c r="MWR83" s="363" t="s">
        <v>153</v>
      </c>
      <c r="MWS83" s="363"/>
      <c r="MWT83" s="363"/>
      <c r="MWU83" s="364" t="s">
        <v>140</v>
      </c>
      <c r="MWV83" s="365">
        <v>0.5</v>
      </c>
      <c r="MWW83" s="366" t="e">
        <f>10/MWS81</f>
        <v>#DIV/0!</v>
      </c>
      <c r="MWX83" s="367">
        <v>15.38</v>
      </c>
      <c r="MWY83" s="367" t="e">
        <f>MWV83*MWW83*MWX83</f>
        <v>#DIV/0!</v>
      </c>
      <c r="MWZ83" s="363" t="s">
        <v>153</v>
      </c>
      <c r="MXA83" s="363"/>
      <c r="MXB83" s="363"/>
      <c r="MXC83" s="364" t="s">
        <v>140</v>
      </c>
      <c r="MXD83" s="365">
        <v>0.5</v>
      </c>
      <c r="MXE83" s="366" t="e">
        <f>10/MXA81</f>
        <v>#DIV/0!</v>
      </c>
      <c r="MXF83" s="367">
        <v>15.38</v>
      </c>
      <c r="MXG83" s="367" t="e">
        <f>MXD83*MXE83*MXF83</f>
        <v>#DIV/0!</v>
      </c>
      <c r="MXH83" s="363" t="s">
        <v>153</v>
      </c>
      <c r="MXI83" s="363"/>
      <c r="MXJ83" s="363"/>
      <c r="MXK83" s="364" t="s">
        <v>140</v>
      </c>
      <c r="MXL83" s="365">
        <v>0.5</v>
      </c>
      <c r="MXM83" s="366" t="e">
        <f>10/MXI81</f>
        <v>#DIV/0!</v>
      </c>
      <c r="MXN83" s="367">
        <v>15.38</v>
      </c>
      <c r="MXO83" s="367" t="e">
        <f>MXL83*MXM83*MXN83</f>
        <v>#DIV/0!</v>
      </c>
      <c r="MXP83" s="363" t="s">
        <v>153</v>
      </c>
      <c r="MXQ83" s="363"/>
      <c r="MXR83" s="363"/>
      <c r="MXS83" s="364" t="s">
        <v>140</v>
      </c>
      <c r="MXT83" s="365">
        <v>0.5</v>
      </c>
      <c r="MXU83" s="366" t="e">
        <f>10/MXQ81</f>
        <v>#DIV/0!</v>
      </c>
      <c r="MXV83" s="367">
        <v>15.38</v>
      </c>
      <c r="MXW83" s="367" t="e">
        <f>MXT83*MXU83*MXV83</f>
        <v>#DIV/0!</v>
      </c>
      <c r="MXX83" s="363" t="s">
        <v>153</v>
      </c>
      <c r="MXY83" s="363"/>
      <c r="MXZ83" s="363"/>
      <c r="MYA83" s="364" t="s">
        <v>140</v>
      </c>
      <c r="MYB83" s="365">
        <v>0.5</v>
      </c>
      <c r="MYC83" s="366" t="e">
        <f>10/MXY81</f>
        <v>#DIV/0!</v>
      </c>
      <c r="MYD83" s="367">
        <v>15.38</v>
      </c>
      <c r="MYE83" s="367" t="e">
        <f>MYB83*MYC83*MYD83</f>
        <v>#DIV/0!</v>
      </c>
      <c r="MYF83" s="363" t="s">
        <v>153</v>
      </c>
      <c r="MYG83" s="363"/>
      <c r="MYH83" s="363"/>
      <c r="MYI83" s="364" t="s">
        <v>140</v>
      </c>
      <c r="MYJ83" s="365">
        <v>0.5</v>
      </c>
      <c r="MYK83" s="366" t="e">
        <f>10/MYG81</f>
        <v>#DIV/0!</v>
      </c>
      <c r="MYL83" s="367">
        <v>15.38</v>
      </c>
      <c r="MYM83" s="367" t="e">
        <f>MYJ83*MYK83*MYL83</f>
        <v>#DIV/0!</v>
      </c>
      <c r="MYN83" s="363" t="s">
        <v>153</v>
      </c>
      <c r="MYO83" s="363"/>
      <c r="MYP83" s="363"/>
      <c r="MYQ83" s="364" t="s">
        <v>140</v>
      </c>
      <c r="MYR83" s="365">
        <v>0.5</v>
      </c>
      <c r="MYS83" s="366" t="e">
        <f>10/MYO81</f>
        <v>#DIV/0!</v>
      </c>
      <c r="MYT83" s="367">
        <v>15.38</v>
      </c>
      <c r="MYU83" s="367" t="e">
        <f>MYR83*MYS83*MYT83</f>
        <v>#DIV/0!</v>
      </c>
      <c r="MYV83" s="363" t="s">
        <v>153</v>
      </c>
      <c r="MYW83" s="363"/>
      <c r="MYX83" s="363"/>
      <c r="MYY83" s="364" t="s">
        <v>140</v>
      </c>
      <c r="MYZ83" s="365">
        <v>0.5</v>
      </c>
      <c r="MZA83" s="366" t="e">
        <f>10/MYW81</f>
        <v>#DIV/0!</v>
      </c>
      <c r="MZB83" s="367">
        <v>15.38</v>
      </c>
      <c r="MZC83" s="367" t="e">
        <f>MYZ83*MZA83*MZB83</f>
        <v>#DIV/0!</v>
      </c>
      <c r="MZD83" s="363" t="s">
        <v>153</v>
      </c>
      <c r="MZE83" s="363"/>
      <c r="MZF83" s="363"/>
      <c r="MZG83" s="364" t="s">
        <v>140</v>
      </c>
      <c r="MZH83" s="365">
        <v>0.5</v>
      </c>
      <c r="MZI83" s="366" t="e">
        <f>10/MZE81</f>
        <v>#DIV/0!</v>
      </c>
      <c r="MZJ83" s="367">
        <v>15.38</v>
      </c>
      <c r="MZK83" s="367" t="e">
        <f>MZH83*MZI83*MZJ83</f>
        <v>#DIV/0!</v>
      </c>
      <c r="MZL83" s="363" t="s">
        <v>153</v>
      </c>
      <c r="MZM83" s="363"/>
      <c r="MZN83" s="363"/>
      <c r="MZO83" s="364" t="s">
        <v>140</v>
      </c>
      <c r="MZP83" s="365">
        <v>0.5</v>
      </c>
      <c r="MZQ83" s="366" t="e">
        <f>10/MZM81</f>
        <v>#DIV/0!</v>
      </c>
      <c r="MZR83" s="367">
        <v>15.38</v>
      </c>
      <c r="MZS83" s="367" t="e">
        <f>MZP83*MZQ83*MZR83</f>
        <v>#DIV/0!</v>
      </c>
      <c r="MZT83" s="363" t="s">
        <v>153</v>
      </c>
      <c r="MZU83" s="363"/>
      <c r="MZV83" s="363"/>
      <c r="MZW83" s="364" t="s">
        <v>140</v>
      </c>
      <c r="MZX83" s="365">
        <v>0.5</v>
      </c>
      <c r="MZY83" s="366" t="e">
        <f>10/MZU81</f>
        <v>#DIV/0!</v>
      </c>
      <c r="MZZ83" s="367">
        <v>15.38</v>
      </c>
      <c r="NAA83" s="367" t="e">
        <f>MZX83*MZY83*MZZ83</f>
        <v>#DIV/0!</v>
      </c>
      <c r="NAB83" s="363" t="s">
        <v>153</v>
      </c>
      <c r="NAC83" s="363"/>
      <c r="NAD83" s="363"/>
      <c r="NAE83" s="364" t="s">
        <v>140</v>
      </c>
      <c r="NAF83" s="365">
        <v>0.5</v>
      </c>
      <c r="NAG83" s="366" t="e">
        <f>10/NAC81</f>
        <v>#DIV/0!</v>
      </c>
      <c r="NAH83" s="367">
        <v>15.38</v>
      </c>
      <c r="NAI83" s="367" t="e">
        <f>NAF83*NAG83*NAH83</f>
        <v>#DIV/0!</v>
      </c>
      <c r="NAJ83" s="363" t="s">
        <v>153</v>
      </c>
      <c r="NAK83" s="363"/>
      <c r="NAL83" s="363"/>
      <c r="NAM83" s="364" t="s">
        <v>140</v>
      </c>
      <c r="NAN83" s="365">
        <v>0.5</v>
      </c>
      <c r="NAO83" s="366" t="e">
        <f>10/NAK81</f>
        <v>#DIV/0!</v>
      </c>
      <c r="NAP83" s="367">
        <v>15.38</v>
      </c>
      <c r="NAQ83" s="367" t="e">
        <f>NAN83*NAO83*NAP83</f>
        <v>#DIV/0!</v>
      </c>
      <c r="NAR83" s="363" t="s">
        <v>153</v>
      </c>
      <c r="NAS83" s="363"/>
      <c r="NAT83" s="363"/>
      <c r="NAU83" s="364" t="s">
        <v>140</v>
      </c>
      <c r="NAV83" s="365">
        <v>0.5</v>
      </c>
      <c r="NAW83" s="366" t="e">
        <f>10/NAS81</f>
        <v>#DIV/0!</v>
      </c>
      <c r="NAX83" s="367">
        <v>15.38</v>
      </c>
      <c r="NAY83" s="367" t="e">
        <f>NAV83*NAW83*NAX83</f>
        <v>#DIV/0!</v>
      </c>
      <c r="NAZ83" s="363" t="s">
        <v>153</v>
      </c>
      <c r="NBA83" s="363"/>
      <c r="NBB83" s="363"/>
      <c r="NBC83" s="364" t="s">
        <v>140</v>
      </c>
      <c r="NBD83" s="365">
        <v>0.5</v>
      </c>
      <c r="NBE83" s="366" t="e">
        <f>10/NBA81</f>
        <v>#DIV/0!</v>
      </c>
      <c r="NBF83" s="367">
        <v>15.38</v>
      </c>
      <c r="NBG83" s="367" t="e">
        <f>NBD83*NBE83*NBF83</f>
        <v>#DIV/0!</v>
      </c>
      <c r="NBH83" s="363" t="s">
        <v>153</v>
      </c>
      <c r="NBI83" s="363"/>
      <c r="NBJ83" s="363"/>
      <c r="NBK83" s="364" t="s">
        <v>140</v>
      </c>
      <c r="NBL83" s="365">
        <v>0.5</v>
      </c>
      <c r="NBM83" s="366" t="e">
        <f>10/NBI81</f>
        <v>#DIV/0!</v>
      </c>
      <c r="NBN83" s="367">
        <v>15.38</v>
      </c>
      <c r="NBO83" s="367" t="e">
        <f>NBL83*NBM83*NBN83</f>
        <v>#DIV/0!</v>
      </c>
      <c r="NBP83" s="363" t="s">
        <v>153</v>
      </c>
      <c r="NBQ83" s="363"/>
      <c r="NBR83" s="363"/>
      <c r="NBS83" s="364" t="s">
        <v>140</v>
      </c>
      <c r="NBT83" s="365">
        <v>0.5</v>
      </c>
      <c r="NBU83" s="366" t="e">
        <f>10/NBQ81</f>
        <v>#DIV/0!</v>
      </c>
      <c r="NBV83" s="367">
        <v>15.38</v>
      </c>
      <c r="NBW83" s="367" t="e">
        <f>NBT83*NBU83*NBV83</f>
        <v>#DIV/0!</v>
      </c>
      <c r="NBX83" s="363" t="s">
        <v>153</v>
      </c>
      <c r="NBY83" s="363"/>
      <c r="NBZ83" s="363"/>
      <c r="NCA83" s="364" t="s">
        <v>140</v>
      </c>
      <c r="NCB83" s="365">
        <v>0.5</v>
      </c>
      <c r="NCC83" s="366" t="e">
        <f>10/NBY81</f>
        <v>#DIV/0!</v>
      </c>
      <c r="NCD83" s="367">
        <v>15.38</v>
      </c>
      <c r="NCE83" s="367" t="e">
        <f>NCB83*NCC83*NCD83</f>
        <v>#DIV/0!</v>
      </c>
      <c r="NCF83" s="363" t="s">
        <v>153</v>
      </c>
      <c r="NCG83" s="363"/>
      <c r="NCH83" s="363"/>
      <c r="NCI83" s="364" t="s">
        <v>140</v>
      </c>
      <c r="NCJ83" s="365">
        <v>0.5</v>
      </c>
      <c r="NCK83" s="366" t="e">
        <f>10/NCG81</f>
        <v>#DIV/0!</v>
      </c>
      <c r="NCL83" s="367">
        <v>15.38</v>
      </c>
      <c r="NCM83" s="367" t="e">
        <f>NCJ83*NCK83*NCL83</f>
        <v>#DIV/0!</v>
      </c>
      <c r="NCN83" s="363" t="s">
        <v>153</v>
      </c>
      <c r="NCO83" s="363"/>
      <c r="NCP83" s="363"/>
      <c r="NCQ83" s="364" t="s">
        <v>140</v>
      </c>
      <c r="NCR83" s="365">
        <v>0.5</v>
      </c>
      <c r="NCS83" s="366" t="e">
        <f>10/NCO81</f>
        <v>#DIV/0!</v>
      </c>
      <c r="NCT83" s="367">
        <v>15.38</v>
      </c>
      <c r="NCU83" s="367" t="e">
        <f>NCR83*NCS83*NCT83</f>
        <v>#DIV/0!</v>
      </c>
      <c r="NCV83" s="363" t="s">
        <v>153</v>
      </c>
      <c r="NCW83" s="363"/>
      <c r="NCX83" s="363"/>
      <c r="NCY83" s="364" t="s">
        <v>140</v>
      </c>
      <c r="NCZ83" s="365">
        <v>0.5</v>
      </c>
      <c r="NDA83" s="366" t="e">
        <f>10/NCW81</f>
        <v>#DIV/0!</v>
      </c>
      <c r="NDB83" s="367">
        <v>15.38</v>
      </c>
      <c r="NDC83" s="367" t="e">
        <f>NCZ83*NDA83*NDB83</f>
        <v>#DIV/0!</v>
      </c>
      <c r="NDD83" s="363" t="s">
        <v>153</v>
      </c>
      <c r="NDE83" s="363"/>
      <c r="NDF83" s="363"/>
      <c r="NDG83" s="364" t="s">
        <v>140</v>
      </c>
      <c r="NDH83" s="365">
        <v>0.5</v>
      </c>
      <c r="NDI83" s="366" t="e">
        <f>10/NDE81</f>
        <v>#DIV/0!</v>
      </c>
      <c r="NDJ83" s="367">
        <v>15.38</v>
      </c>
      <c r="NDK83" s="367" t="e">
        <f>NDH83*NDI83*NDJ83</f>
        <v>#DIV/0!</v>
      </c>
      <c r="NDL83" s="363" t="s">
        <v>153</v>
      </c>
      <c r="NDM83" s="363"/>
      <c r="NDN83" s="363"/>
      <c r="NDO83" s="364" t="s">
        <v>140</v>
      </c>
      <c r="NDP83" s="365">
        <v>0.5</v>
      </c>
      <c r="NDQ83" s="366" t="e">
        <f>10/NDM81</f>
        <v>#DIV/0!</v>
      </c>
      <c r="NDR83" s="367">
        <v>15.38</v>
      </c>
      <c r="NDS83" s="367" t="e">
        <f>NDP83*NDQ83*NDR83</f>
        <v>#DIV/0!</v>
      </c>
      <c r="NDT83" s="363" t="s">
        <v>153</v>
      </c>
      <c r="NDU83" s="363"/>
      <c r="NDV83" s="363"/>
      <c r="NDW83" s="364" t="s">
        <v>140</v>
      </c>
      <c r="NDX83" s="365">
        <v>0.5</v>
      </c>
      <c r="NDY83" s="366" t="e">
        <f>10/NDU81</f>
        <v>#DIV/0!</v>
      </c>
      <c r="NDZ83" s="367">
        <v>15.38</v>
      </c>
      <c r="NEA83" s="367" t="e">
        <f>NDX83*NDY83*NDZ83</f>
        <v>#DIV/0!</v>
      </c>
      <c r="NEB83" s="363" t="s">
        <v>153</v>
      </c>
      <c r="NEC83" s="363"/>
      <c r="NED83" s="363"/>
      <c r="NEE83" s="364" t="s">
        <v>140</v>
      </c>
      <c r="NEF83" s="365">
        <v>0.5</v>
      </c>
      <c r="NEG83" s="366" t="e">
        <f>10/NEC81</f>
        <v>#DIV/0!</v>
      </c>
      <c r="NEH83" s="367">
        <v>15.38</v>
      </c>
      <c r="NEI83" s="367" t="e">
        <f>NEF83*NEG83*NEH83</f>
        <v>#DIV/0!</v>
      </c>
      <c r="NEJ83" s="363" t="s">
        <v>153</v>
      </c>
      <c r="NEK83" s="363"/>
      <c r="NEL83" s="363"/>
      <c r="NEM83" s="364" t="s">
        <v>140</v>
      </c>
      <c r="NEN83" s="365">
        <v>0.5</v>
      </c>
      <c r="NEO83" s="366" t="e">
        <f>10/NEK81</f>
        <v>#DIV/0!</v>
      </c>
      <c r="NEP83" s="367">
        <v>15.38</v>
      </c>
      <c r="NEQ83" s="367" t="e">
        <f>NEN83*NEO83*NEP83</f>
        <v>#DIV/0!</v>
      </c>
      <c r="NER83" s="363" t="s">
        <v>153</v>
      </c>
      <c r="NES83" s="363"/>
      <c r="NET83" s="363"/>
      <c r="NEU83" s="364" t="s">
        <v>140</v>
      </c>
      <c r="NEV83" s="365">
        <v>0.5</v>
      </c>
      <c r="NEW83" s="366" t="e">
        <f>10/NES81</f>
        <v>#DIV/0!</v>
      </c>
      <c r="NEX83" s="367">
        <v>15.38</v>
      </c>
      <c r="NEY83" s="367" t="e">
        <f>NEV83*NEW83*NEX83</f>
        <v>#DIV/0!</v>
      </c>
      <c r="NEZ83" s="363" t="s">
        <v>153</v>
      </c>
      <c r="NFA83" s="363"/>
      <c r="NFB83" s="363"/>
      <c r="NFC83" s="364" t="s">
        <v>140</v>
      </c>
      <c r="NFD83" s="365">
        <v>0.5</v>
      </c>
      <c r="NFE83" s="366" t="e">
        <f>10/NFA81</f>
        <v>#DIV/0!</v>
      </c>
      <c r="NFF83" s="367">
        <v>15.38</v>
      </c>
      <c r="NFG83" s="367" t="e">
        <f>NFD83*NFE83*NFF83</f>
        <v>#DIV/0!</v>
      </c>
      <c r="NFH83" s="363" t="s">
        <v>153</v>
      </c>
      <c r="NFI83" s="363"/>
      <c r="NFJ83" s="363"/>
      <c r="NFK83" s="364" t="s">
        <v>140</v>
      </c>
      <c r="NFL83" s="365">
        <v>0.5</v>
      </c>
      <c r="NFM83" s="366" t="e">
        <f>10/NFI81</f>
        <v>#DIV/0!</v>
      </c>
      <c r="NFN83" s="367">
        <v>15.38</v>
      </c>
      <c r="NFO83" s="367" t="e">
        <f>NFL83*NFM83*NFN83</f>
        <v>#DIV/0!</v>
      </c>
      <c r="NFP83" s="363" t="s">
        <v>153</v>
      </c>
      <c r="NFQ83" s="363"/>
      <c r="NFR83" s="363"/>
      <c r="NFS83" s="364" t="s">
        <v>140</v>
      </c>
      <c r="NFT83" s="365">
        <v>0.5</v>
      </c>
      <c r="NFU83" s="366" t="e">
        <f>10/NFQ81</f>
        <v>#DIV/0!</v>
      </c>
      <c r="NFV83" s="367">
        <v>15.38</v>
      </c>
      <c r="NFW83" s="367" t="e">
        <f>NFT83*NFU83*NFV83</f>
        <v>#DIV/0!</v>
      </c>
      <c r="NFX83" s="363" t="s">
        <v>153</v>
      </c>
      <c r="NFY83" s="363"/>
      <c r="NFZ83" s="363"/>
      <c r="NGA83" s="364" t="s">
        <v>140</v>
      </c>
      <c r="NGB83" s="365">
        <v>0.5</v>
      </c>
      <c r="NGC83" s="366" t="e">
        <f>10/NFY81</f>
        <v>#DIV/0!</v>
      </c>
      <c r="NGD83" s="367">
        <v>15.38</v>
      </c>
      <c r="NGE83" s="367" t="e">
        <f>NGB83*NGC83*NGD83</f>
        <v>#DIV/0!</v>
      </c>
      <c r="NGF83" s="363" t="s">
        <v>153</v>
      </c>
      <c r="NGG83" s="363"/>
      <c r="NGH83" s="363"/>
      <c r="NGI83" s="364" t="s">
        <v>140</v>
      </c>
      <c r="NGJ83" s="365">
        <v>0.5</v>
      </c>
      <c r="NGK83" s="366" t="e">
        <f>10/NGG81</f>
        <v>#DIV/0!</v>
      </c>
      <c r="NGL83" s="367">
        <v>15.38</v>
      </c>
      <c r="NGM83" s="367" t="e">
        <f>NGJ83*NGK83*NGL83</f>
        <v>#DIV/0!</v>
      </c>
      <c r="NGN83" s="363" t="s">
        <v>153</v>
      </c>
      <c r="NGO83" s="363"/>
      <c r="NGP83" s="363"/>
      <c r="NGQ83" s="364" t="s">
        <v>140</v>
      </c>
      <c r="NGR83" s="365">
        <v>0.5</v>
      </c>
      <c r="NGS83" s="366" t="e">
        <f>10/NGO81</f>
        <v>#DIV/0!</v>
      </c>
      <c r="NGT83" s="367">
        <v>15.38</v>
      </c>
      <c r="NGU83" s="367" t="e">
        <f>NGR83*NGS83*NGT83</f>
        <v>#DIV/0!</v>
      </c>
      <c r="NGV83" s="363" t="s">
        <v>153</v>
      </c>
      <c r="NGW83" s="363"/>
      <c r="NGX83" s="363"/>
      <c r="NGY83" s="364" t="s">
        <v>140</v>
      </c>
      <c r="NGZ83" s="365">
        <v>0.5</v>
      </c>
      <c r="NHA83" s="366" t="e">
        <f>10/NGW81</f>
        <v>#DIV/0!</v>
      </c>
      <c r="NHB83" s="367">
        <v>15.38</v>
      </c>
      <c r="NHC83" s="367" t="e">
        <f>NGZ83*NHA83*NHB83</f>
        <v>#DIV/0!</v>
      </c>
      <c r="NHD83" s="363" t="s">
        <v>153</v>
      </c>
      <c r="NHE83" s="363"/>
      <c r="NHF83" s="363"/>
      <c r="NHG83" s="364" t="s">
        <v>140</v>
      </c>
      <c r="NHH83" s="365">
        <v>0.5</v>
      </c>
      <c r="NHI83" s="366" t="e">
        <f>10/NHE81</f>
        <v>#DIV/0!</v>
      </c>
      <c r="NHJ83" s="367">
        <v>15.38</v>
      </c>
      <c r="NHK83" s="367" t="e">
        <f>NHH83*NHI83*NHJ83</f>
        <v>#DIV/0!</v>
      </c>
      <c r="NHL83" s="363" t="s">
        <v>153</v>
      </c>
      <c r="NHM83" s="363"/>
      <c r="NHN83" s="363"/>
      <c r="NHO83" s="364" t="s">
        <v>140</v>
      </c>
      <c r="NHP83" s="365">
        <v>0.5</v>
      </c>
      <c r="NHQ83" s="366" t="e">
        <f>10/NHM81</f>
        <v>#DIV/0!</v>
      </c>
      <c r="NHR83" s="367">
        <v>15.38</v>
      </c>
      <c r="NHS83" s="367" t="e">
        <f>NHP83*NHQ83*NHR83</f>
        <v>#DIV/0!</v>
      </c>
      <c r="NHT83" s="363" t="s">
        <v>153</v>
      </c>
      <c r="NHU83" s="363"/>
      <c r="NHV83" s="363"/>
      <c r="NHW83" s="364" t="s">
        <v>140</v>
      </c>
      <c r="NHX83" s="365">
        <v>0.5</v>
      </c>
      <c r="NHY83" s="366" t="e">
        <f>10/NHU81</f>
        <v>#DIV/0!</v>
      </c>
      <c r="NHZ83" s="367">
        <v>15.38</v>
      </c>
      <c r="NIA83" s="367" t="e">
        <f>NHX83*NHY83*NHZ83</f>
        <v>#DIV/0!</v>
      </c>
      <c r="NIB83" s="363" t="s">
        <v>153</v>
      </c>
      <c r="NIC83" s="363"/>
      <c r="NID83" s="363"/>
      <c r="NIE83" s="364" t="s">
        <v>140</v>
      </c>
      <c r="NIF83" s="365">
        <v>0.5</v>
      </c>
      <c r="NIG83" s="366" t="e">
        <f>10/NIC81</f>
        <v>#DIV/0!</v>
      </c>
      <c r="NIH83" s="367">
        <v>15.38</v>
      </c>
      <c r="NII83" s="367" t="e">
        <f>NIF83*NIG83*NIH83</f>
        <v>#DIV/0!</v>
      </c>
      <c r="NIJ83" s="363" t="s">
        <v>153</v>
      </c>
      <c r="NIK83" s="363"/>
      <c r="NIL83" s="363"/>
      <c r="NIM83" s="364" t="s">
        <v>140</v>
      </c>
      <c r="NIN83" s="365">
        <v>0.5</v>
      </c>
      <c r="NIO83" s="366" t="e">
        <f>10/NIK81</f>
        <v>#DIV/0!</v>
      </c>
      <c r="NIP83" s="367">
        <v>15.38</v>
      </c>
      <c r="NIQ83" s="367" t="e">
        <f>NIN83*NIO83*NIP83</f>
        <v>#DIV/0!</v>
      </c>
      <c r="NIR83" s="363" t="s">
        <v>153</v>
      </c>
      <c r="NIS83" s="363"/>
      <c r="NIT83" s="363"/>
      <c r="NIU83" s="364" t="s">
        <v>140</v>
      </c>
      <c r="NIV83" s="365">
        <v>0.5</v>
      </c>
      <c r="NIW83" s="366" t="e">
        <f>10/NIS81</f>
        <v>#DIV/0!</v>
      </c>
      <c r="NIX83" s="367">
        <v>15.38</v>
      </c>
      <c r="NIY83" s="367" t="e">
        <f>NIV83*NIW83*NIX83</f>
        <v>#DIV/0!</v>
      </c>
      <c r="NIZ83" s="363" t="s">
        <v>153</v>
      </c>
      <c r="NJA83" s="363"/>
      <c r="NJB83" s="363"/>
      <c r="NJC83" s="364" t="s">
        <v>140</v>
      </c>
      <c r="NJD83" s="365">
        <v>0.5</v>
      </c>
      <c r="NJE83" s="366" t="e">
        <f>10/NJA81</f>
        <v>#DIV/0!</v>
      </c>
      <c r="NJF83" s="367">
        <v>15.38</v>
      </c>
      <c r="NJG83" s="367" t="e">
        <f>NJD83*NJE83*NJF83</f>
        <v>#DIV/0!</v>
      </c>
      <c r="NJH83" s="363" t="s">
        <v>153</v>
      </c>
      <c r="NJI83" s="363"/>
      <c r="NJJ83" s="363"/>
      <c r="NJK83" s="364" t="s">
        <v>140</v>
      </c>
      <c r="NJL83" s="365">
        <v>0.5</v>
      </c>
      <c r="NJM83" s="366" t="e">
        <f>10/NJI81</f>
        <v>#DIV/0!</v>
      </c>
      <c r="NJN83" s="367">
        <v>15.38</v>
      </c>
      <c r="NJO83" s="367" t="e">
        <f>NJL83*NJM83*NJN83</f>
        <v>#DIV/0!</v>
      </c>
      <c r="NJP83" s="363" t="s">
        <v>153</v>
      </c>
      <c r="NJQ83" s="363"/>
      <c r="NJR83" s="363"/>
      <c r="NJS83" s="364" t="s">
        <v>140</v>
      </c>
      <c r="NJT83" s="365">
        <v>0.5</v>
      </c>
      <c r="NJU83" s="366" t="e">
        <f>10/NJQ81</f>
        <v>#DIV/0!</v>
      </c>
      <c r="NJV83" s="367">
        <v>15.38</v>
      </c>
      <c r="NJW83" s="367" t="e">
        <f>NJT83*NJU83*NJV83</f>
        <v>#DIV/0!</v>
      </c>
      <c r="NJX83" s="363" t="s">
        <v>153</v>
      </c>
      <c r="NJY83" s="363"/>
      <c r="NJZ83" s="363"/>
      <c r="NKA83" s="364" t="s">
        <v>140</v>
      </c>
      <c r="NKB83" s="365">
        <v>0.5</v>
      </c>
      <c r="NKC83" s="366" t="e">
        <f>10/NJY81</f>
        <v>#DIV/0!</v>
      </c>
      <c r="NKD83" s="367">
        <v>15.38</v>
      </c>
      <c r="NKE83" s="367" t="e">
        <f>NKB83*NKC83*NKD83</f>
        <v>#DIV/0!</v>
      </c>
      <c r="NKF83" s="363" t="s">
        <v>153</v>
      </c>
      <c r="NKG83" s="363"/>
      <c r="NKH83" s="363"/>
      <c r="NKI83" s="364" t="s">
        <v>140</v>
      </c>
      <c r="NKJ83" s="365">
        <v>0.5</v>
      </c>
      <c r="NKK83" s="366" t="e">
        <f>10/NKG81</f>
        <v>#DIV/0!</v>
      </c>
      <c r="NKL83" s="367">
        <v>15.38</v>
      </c>
      <c r="NKM83" s="367" t="e">
        <f>NKJ83*NKK83*NKL83</f>
        <v>#DIV/0!</v>
      </c>
      <c r="NKN83" s="363" t="s">
        <v>153</v>
      </c>
      <c r="NKO83" s="363"/>
      <c r="NKP83" s="363"/>
      <c r="NKQ83" s="364" t="s">
        <v>140</v>
      </c>
      <c r="NKR83" s="365">
        <v>0.5</v>
      </c>
      <c r="NKS83" s="366" t="e">
        <f>10/NKO81</f>
        <v>#DIV/0!</v>
      </c>
      <c r="NKT83" s="367">
        <v>15.38</v>
      </c>
      <c r="NKU83" s="367" t="e">
        <f>NKR83*NKS83*NKT83</f>
        <v>#DIV/0!</v>
      </c>
      <c r="NKV83" s="363" t="s">
        <v>153</v>
      </c>
      <c r="NKW83" s="363"/>
      <c r="NKX83" s="363"/>
      <c r="NKY83" s="364" t="s">
        <v>140</v>
      </c>
      <c r="NKZ83" s="365">
        <v>0.5</v>
      </c>
      <c r="NLA83" s="366" t="e">
        <f>10/NKW81</f>
        <v>#DIV/0!</v>
      </c>
      <c r="NLB83" s="367">
        <v>15.38</v>
      </c>
      <c r="NLC83" s="367" t="e">
        <f>NKZ83*NLA83*NLB83</f>
        <v>#DIV/0!</v>
      </c>
      <c r="NLD83" s="363" t="s">
        <v>153</v>
      </c>
      <c r="NLE83" s="363"/>
      <c r="NLF83" s="363"/>
      <c r="NLG83" s="364" t="s">
        <v>140</v>
      </c>
      <c r="NLH83" s="365">
        <v>0.5</v>
      </c>
      <c r="NLI83" s="366" t="e">
        <f>10/NLE81</f>
        <v>#DIV/0!</v>
      </c>
      <c r="NLJ83" s="367">
        <v>15.38</v>
      </c>
      <c r="NLK83" s="367" t="e">
        <f>NLH83*NLI83*NLJ83</f>
        <v>#DIV/0!</v>
      </c>
      <c r="NLL83" s="363" t="s">
        <v>153</v>
      </c>
      <c r="NLM83" s="363"/>
      <c r="NLN83" s="363"/>
      <c r="NLO83" s="364" t="s">
        <v>140</v>
      </c>
      <c r="NLP83" s="365">
        <v>0.5</v>
      </c>
      <c r="NLQ83" s="366" t="e">
        <f>10/NLM81</f>
        <v>#DIV/0!</v>
      </c>
      <c r="NLR83" s="367">
        <v>15.38</v>
      </c>
      <c r="NLS83" s="367" t="e">
        <f>NLP83*NLQ83*NLR83</f>
        <v>#DIV/0!</v>
      </c>
      <c r="NLT83" s="363" t="s">
        <v>153</v>
      </c>
      <c r="NLU83" s="363"/>
      <c r="NLV83" s="363"/>
      <c r="NLW83" s="364" t="s">
        <v>140</v>
      </c>
      <c r="NLX83" s="365">
        <v>0.5</v>
      </c>
      <c r="NLY83" s="366" t="e">
        <f>10/NLU81</f>
        <v>#DIV/0!</v>
      </c>
      <c r="NLZ83" s="367">
        <v>15.38</v>
      </c>
      <c r="NMA83" s="367" t="e">
        <f>NLX83*NLY83*NLZ83</f>
        <v>#DIV/0!</v>
      </c>
      <c r="NMB83" s="363" t="s">
        <v>153</v>
      </c>
      <c r="NMC83" s="363"/>
      <c r="NMD83" s="363"/>
      <c r="NME83" s="364" t="s">
        <v>140</v>
      </c>
      <c r="NMF83" s="365">
        <v>0.5</v>
      </c>
      <c r="NMG83" s="366" t="e">
        <f>10/NMC81</f>
        <v>#DIV/0!</v>
      </c>
      <c r="NMH83" s="367">
        <v>15.38</v>
      </c>
      <c r="NMI83" s="367" t="e">
        <f>NMF83*NMG83*NMH83</f>
        <v>#DIV/0!</v>
      </c>
      <c r="NMJ83" s="363" t="s">
        <v>153</v>
      </c>
      <c r="NMK83" s="363"/>
      <c r="NML83" s="363"/>
      <c r="NMM83" s="364" t="s">
        <v>140</v>
      </c>
      <c r="NMN83" s="365">
        <v>0.5</v>
      </c>
      <c r="NMO83" s="366" t="e">
        <f>10/NMK81</f>
        <v>#DIV/0!</v>
      </c>
      <c r="NMP83" s="367">
        <v>15.38</v>
      </c>
      <c r="NMQ83" s="367" t="e">
        <f>NMN83*NMO83*NMP83</f>
        <v>#DIV/0!</v>
      </c>
      <c r="NMR83" s="363" t="s">
        <v>153</v>
      </c>
      <c r="NMS83" s="363"/>
      <c r="NMT83" s="363"/>
      <c r="NMU83" s="364" t="s">
        <v>140</v>
      </c>
      <c r="NMV83" s="365">
        <v>0.5</v>
      </c>
      <c r="NMW83" s="366" t="e">
        <f>10/NMS81</f>
        <v>#DIV/0!</v>
      </c>
      <c r="NMX83" s="367">
        <v>15.38</v>
      </c>
      <c r="NMY83" s="367" t="e">
        <f>NMV83*NMW83*NMX83</f>
        <v>#DIV/0!</v>
      </c>
      <c r="NMZ83" s="363" t="s">
        <v>153</v>
      </c>
      <c r="NNA83" s="363"/>
      <c r="NNB83" s="363"/>
      <c r="NNC83" s="364" t="s">
        <v>140</v>
      </c>
      <c r="NND83" s="365">
        <v>0.5</v>
      </c>
      <c r="NNE83" s="366" t="e">
        <f>10/NNA81</f>
        <v>#DIV/0!</v>
      </c>
      <c r="NNF83" s="367">
        <v>15.38</v>
      </c>
      <c r="NNG83" s="367" t="e">
        <f>NND83*NNE83*NNF83</f>
        <v>#DIV/0!</v>
      </c>
      <c r="NNH83" s="363" t="s">
        <v>153</v>
      </c>
      <c r="NNI83" s="363"/>
      <c r="NNJ83" s="363"/>
      <c r="NNK83" s="364" t="s">
        <v>140</v>
      </c>
      <c r="NNL83" s="365">
        <v>0.5</v>
      </c>
      <c r="NNM83" s="366" t="e">
        <f>10/NNI81</f>
        <v>#DIV/0!</v>
      </c>
      <c r="NNN83" s="367">
        <v>15.38</v>
      </c>
      <c r="NNO83" s="367" t="e">
        <f>NNL83*NNM83*NNN83</f>
        <v>#DIV/0!</v>
      </c>
      <c r="NNP83" s="363" t="s">
        <v>153</v>
      </c>
      <c r="NNQ83" s="363"/>
      <c r="NNR83" s="363"/>
      <c r="NNS83" s="364" t="s">
        <v>140</v>
      </c>
      <c r="NNT83" s="365">
        <v>0.5</v>
      </c>
      <c r="NNU83" s="366" t="e">
        <f>10/NNQ81</f>
        <v>#DIV/0!</v>
      </c>
      <c r="NNV83" s="367">
        <v>15.38</v>
      </c>
      <c r="NNW83" s="367" t="e">
        <f>NNT83*NNU83*NNV83</f>
        <v>#DIV/0!</v>
      </c>
      <c r="NNX83" s="363" t="s">
        <v>153</v>
      </c>
      <c r="NNY83" s="363"/>
      <c r="NNZ83" s="363"/>
      <c r="NOA83" s="364" t="s">
        <v>140</v>
      </c>
      <c r="NOB83" s="365">
        <v>0.5</v>
      </c>
      <c r="NOC83" s="366" t="e">
        <f>10/NNY81</f>
        <v>#DIV/0!</v>
      </c>
      <c r="NOD83" s="367">
        <v>15.38</v>
      </c>
      <c r="NOE83" s="367" t="e">
        <f>NOB83*NOC83*NOD83</f>
        <v>#DIV/0!</v>
      </c>
      <c r="NOF83" s="363" t="s">
        <v>153</v>
      </c>
      <c r="NOG83" s="363"/>
      <c r="NOH83" s="363"/>
      <c r="NOI83" s="364" t="s">
        <v>140</v>
      </c>
      <c r="NOJ83" s="365">
        <v>0.5</v>
      </c>
      <c r="NOK83" s="366" t="e">
        <f>10/NOG81</f>
        <v>#DIV/0!</v>
      </c>
      <c r="NOL83" s="367">
        <v>15.38</v>
      </c>
      <c r="NOM83" s="367" t="e">
        <f>NOJ83*NOK83*NOL83</f>
        <v>#DIV/0!</v>
      </c>
      <c r="NON83" s="363" t="s">
        <v>153</v>
      </c>
      <c r="NOO83" s="363"/>
      <c r="NOP83" s="363"/>
      <c r="NOQ83" s="364" t="s">
        <v>140</v>
      </c>
      <c r="NOR83" s="365">
        <v>0.5</v>
      </c>
      <c r="NOS83" s="366" t="e">
        <f>10/NOO81</f>
        <v>#DIV/0!</v>
      </c>
      <c r="NOT83" s="367">
        <v>15.38</v>
      </c>
      <c r="NOU83" s="367" t="e">
        <f>NOR83*NOS83*NOT83</f>
        <v>#DIV/0!</v>
      </c>
      <c r="NOV83" s="363" t="s">
        <v>153</v>
      </c>
      <c r="NOW83" s="363"/>
      <c r="NOX83" s="363"/>
      <c r="NOY83" s="364" t="s">
        <v>140</v>
      </c>
      <c r="NOZ83" s="365">
        <v>0.5</v>
      </c>
      <c r="NPA83" s="366" t="e">
        <f>10/NOW81</f>
        <v>#DIV/0!</v>
      </c>
      <c r="NPB83" s="367">
        <v>15.38</v>
      </c>
      <c r="NPC83" s="367" t="e">
        <f>NOZ83*NPA83*NPB83</f>
        <v>#DIV/0!</v>
      </c>
      <c r="NPD83" s="363" t="s">
        <v>153</v>
      </c>
      <c r="NPE83" s="363"/>
      <c r="NPF83" s="363"/>
      <c r="NPG83" s="364" t="s">
        <v>140</v>
      </c>
      <c r="NPH83" s="365">
        <v>0.5</v>
      </c>
      <c r="NPI83" s="366" t="e">
        <f>10/NPE81</f>
        <v>#DIV/0!</v>
      </c>
      <c r="NPJ83" s="367">
        <v>15.38</v>
      </c>
      <c r="NPK83" s="367" t="e">
        <f>NPH83*NPI83*NPJ83</f>
        <v>#DIV/0!</v>
      </c>
      <c r="NPL83" s="363" t="s">
        <v>153</v>
      </c>
      <c r="NPM83" s="363"/>
      <c r="NPN83" s="363"/>
      <c r="NPO83" s="364" t="s">
        <v>140</v>
      </c>
      <c r="NPP83" s="365">
        <v>0.5</v>
      </c>
      <c r="NPQ83" s="366" t="e">
        <f>10/NPM81</f>
        <v>#DIV/0!</v>
      </c>
      <c r="NPR83" s="367">
        <v>15.38</v>
      </c>
      <c r="NPS83" s="367" t="e">
        <f>NPP83*NPQ83*NPR83</f>
        <v>#DIV/0!</v>
      </c>
      <c r="NPT83" s="363" t="s">
        <v>153</v>
      </c>
      <c r="NPU83" s="363"/>
      <c r="NPV83" s="363"/>
      <c r="NPW83" s="364" t="s">
        <v>140</v>
      </c>
      <c r="NPX83" s="365">
        <v>0.5</v>
      </c>
      <c r="NPY83" s="366" t="e">
        <f>10/NPU81</f>
        <v>#DIV/0!</v>
      </c>
      <c r="NPZ83" s="367">
        <v>15.38</v>
      </c>
      <c r="NQA83" s="367" t="e">
        <f>NPX83*NPY83*NPZ83</f>
        <v>#DIV/0!</v>
      </c>
      <c r="NQB83" s="363" t="s">
        <v>153</v>
      </c>
      <c r="NQC83" s="363"/>
      <c r="NQD83" s="363"/>
      <c r="NQE83" s="364" t="s">
        <v>140</v>
      </c>
      <c r="NQF83" s="365">
        <v>0.5</v>
      </c>
      <c r="NQG83" s="366" t="e">
        <f>10/NQC81</f>
        <v>#DIV/0!</v>
      </c>
      <c r="NQH83" s="367">
        <v>15.38</v>
      </c>
      <c r="NQI83" s="367" t="e">
        <f>NQF83*NQG83*NQH83</f>
        <v>#DIV/0!</v>
      </c>
      <c r="NQJ83" s="363" t="s">
        <v>153</v>
      </c>
      <c r="NQK83" s="363"/>
      <c r="NQL83" s="363"/>
      <c r="NQM83" s="364" t="s">
        <v>140</v>
      </c>
      <c r="NQN83" s="365">
        <v>0.5</v>
      </c>
      <c r="NQO83" s="366" t="e">
        <f>10/NQK81</f>
        <v>#DIV/0!</v>
      </c>
      <c r="NQP83" s="367">
        <v>15.38</v>
      </c>
      <c r="NQQ83" s="367" t="e">
        <f>NQN83*NQO83*NQP83</f>
        <v>#DIV/0!</v>
      </c>
      <c r="NQR83" s="363" t="s">
        <v>153</v>
      </c>
      <c r="NQS83" s="363"/>
      <c r="NQT83" s="363"/>
      <c r="NQU83" s="364" t="s">
        <v>140</v>
      </c>
      <c r="NQV83" s="365">
        <v>0.5</v>
      </c>
      <c r="NQW83" s="366" t="e">
        <f>10/NQS81</f>
        <v>#DIV/0!</v>
      </c>
      <c r="NQX83" s="367">
        <v>15.38</v>
      </c>
      <c r="NQY83" s="367" t="e">
        <f>NQV83*NQW83*NQX83</f>
        <v>#DIV/0!</v>
      </c>
      <c r="NQZ83" s="363" t="s">
        <v>153</v>
      </c>
      <c r="NRA83" s="363"/>
      <c r="NRB83" s="363"/>
      <c r="NRC83" s="364" t="s">
        <v>140</v>
      </c>
      <c r="NRD83" s="365">
        <v>0.5</v>
      </c>
      <c r="NRE83" s="366" t="e">
        <f>10/NRA81</f>
        <v>#DIV/0!</v>
      </c>
      <c r="NRF83" s="367">
        <v>15.38</v>
      </c>
      <c r="NRG83" s="367" t="e">
        <f>NRD83*NRE83*NRF83</f>
        <v>#DIV/0!</v>
      </c>
      <c r="NRH83" s="363" t="s">
        <v>153</v>
      </c>
      <c r="NRI83" s="363"/>
      <c r="NRJ83" s="363"/>
      <c r="NRK83" s="364" t="s">
        <v>140</v>
      </c>
      <c r="NRL83" s="365">
        <v>0.5</v>
      </c>
      <c r="NRM83" s="366" t="e">
        <f>10/NRI81</f>
        <v>#DIV/0!</v>
      </c>
      <c r="NRN83" s="367">
        <v>15.38</v>
      </c>
      <c r="NRO83" s="367" t="e">
        <f>NRL83*NRM83*NRN83</f>
        <v>#DIV/0!</v>
      </c>
      <c r="NRP83" s="363" t="s">
        <v>153</v>
      </c>
      <c r="NRQ83" s="363"/>
      <c r="NRR83" s="363"/>
      <c r="NRS83" s="364" t="s">
        <v>140</v>
      </c>
      <c r="NRT83" s="365">
        <v>0.5</v>
      </c>
      <c r="NRU83" s="366" t="e">
        <f>10/NRQ81</f>
        <v>#DIV/0!</v>
      </c>
      <c r="NRV83" s="367">
        <v>15.38</v>
      </c>
      <c r="NRW83" s="367" t="e">
        <f>NRT83*NRU83*NRV83</f>
        <v>#DIV/0!</v>
      </c>
      <c r="NRX83" s="363" t="s">
        <v>153</v>
      </c>
      <c r="NRY83" s="363"/>
      <c r="NRZ83" s="363"/>
      <c r="NSA83" s="364" t="s">
        <v>140</v>
      </c>
      <c r="NSB83" s="365">
        <v>0.5</v>
      </c>
      <c r="NSC83" s="366" t="e">
        <f>10/NRY81</f>
        <v>#DIV/0!</v>
      </c>
      <c r="NSD83" s="367">
        <v>15.38</v>
      </c>
      <c r="NSE83" s="367" t="e">
        <f>NSB83*NSC83*NSD83</f>
        <v>#DIV/0!</v>
      </c>
      <c r="NSF83" s="363" t="s">
        <v>153</v>
      </c>
      <c r="NSG83" s="363"/>
      <c r="NSH83" s="363"/>
      <c r="NSI83" s="364" t="s">
        <v>140</v>
      </c>
      <c r="NSJ83" s="365">
        <v>0.5</v>
      </c>
      <c r="NSK83" s="366" t="e">
        <f>10/NSG81</f>
        <v>#DIV/0!</v>
      </c>
      <c r="NSL83" s="367">
        <v>15.38</v>
      </c>
      <c r="NSM83" s="367" t="e">
        <f>NSJ83*NSK83*NSL83</f>
        <v>#DIV/0!</v>
      </c>
      <c r="NSN83" s="363" t="s">
        <v>153</v>
      </c>
      <c r="NSO83" s="363"/>
      <c r="NSP83" s="363"/>
      <c r="NSQ83" s="364" t="s">
        <v>140</v>
      </c>
      <c r="NSR83" s="365">
        <v>0.5</v>
      </c>
      <c r="NSS83" s="366" t="e">
        <f>10/NSO81</f>
        <v>#DIV/0!</v>
      </c>
      <c r="NST83" s="367">
        <v>15.38</v>
      </c>
      <c r="NSU83" s="367" t="e">
        <f>NSR83*NSS83*NST83</f>
        <v>#DIV/0!</v>
      </c>
      <c r="NSV83" s="363" t="s">
        <v>153</v>
      </c>
      <c r="NSW83" s="363"/>
      <c r="NSX83" s="363"/>
      <c r="NSY83" s="364" t="s">
        <v>140</v>
      </c>
      <c r="NSZ83" s="365">
        <v>0.5</v>
      </c>
      <c r="NTA83" s="366" t="e">
        <f>10/NSW81</f>
        <v>#DIV/0!</v>
      </c>
      <c r="NTB83" s="367">
        <v>15.38</v>
      </c>
      <c r="NTC83" s="367" t="e">
        <f>NSZ83*NTA83*NTB83</f>
        <v>#DIV/0!</v>
      </c>
      <c r="NTD83" s="363" t="s">
        <v>153</v>
      </c>
      <c r="NTE83" s="363"/>
      <c r="NTF83" s="363"/>
      <c r="NTG83" s="364" t="s">
        <v>140</v>
      </c>
      <c r="NTH83" s="365">
        <v>0.5</v>
      </c>
      <c r="NTI83" s="366" t="e">
        <f>10/NTE81</f>
        <v>#DIV/0!</v>
      </c>
      <c r="NTJ83" s="367">
        <v>15.38</v>
      </c>
      <c r="NTK83" s="367" t="e">
        <f>NTH83*NTI83*NTJ83</f>
        <v>#DIV/0!</v>
      </c>
      <c r="NTL83" s="363" t="s">
        <v>153</v>
      </c>
      <c r="NTM83" s="363"/>
      <c r="NTN83" s="363"/>
      <c r="NTO83" s="364" t="s">
        <v>140</v>
      </c>
      <c r="NTP83" s="365">
        <v>0.5</v>
      </c>
      <c r="NTQ83" s="366" t="e">
        <f>10/NTM81</f>
        <v>#DIV/0!</v>
      </c>
      <c r="NTR83" s="367">
        <v>15.38</v>
      </c>
      <c r="NTS83" s="367" t="e">
        <f>NTP83*NTQ83*NTR83</f>
        <v>#DIV/0!</v>
      </c>
      <c r="NTT83" s="363" t="s">
        <v>153</v>
      </c>
      <c r="NTU83" s="363"/>
      <c r="NTV83" s="363"/>
      <c r="NTW83" s="364" t="s">
        <v>140</v>
      </c>
      <c r="NTX83" s="365">
        <v>0.5</v>
      </c>
      <c r="NTY83" s="366" t="e">
        <f>10/NTU81</f>
        <v>#DIV/0!</v>
      </c>
      <c r="NTZ83" s="367">
        <v>15.38</v>
      </c>
      <c r="NUA83" s="367" t="e">
        <f>NTX83*NTY83*NTZ83</f>
        <v>#DIV/0!</v>
      </c>
      <c r="NUB83" s="363" t="s">
        <v>153</v>
      </c>
      <c r="NUC83" s="363"/>
      <c r="NUD83" s="363"/>
      <c r="NUE83" s="364" t="s">
        <v>140</v>
      </c>
      <c r="NUF83" s="365">
        <v>0.5</v>
      </c>
      <c r="NUG83" s="366" t="e">
        <f>10/NUC81</f>
        <v>#DIV/0!</v>
      </c>
      <c r="NUH83" s="367">
        <v>15.38</v>
      </c>
      <c r="NUI83" s="367" t="e">
        <f>NUF83*NUG83*NUH83</f>
        <v>#DIV/0!</v>
      </c>
      <c r="NUJ83" s="363" t="s">
        <v>153</v>
      </c>
      <c r="NUK83" s="363"/>
      <c r="NUL83" s="363"/>
      <c r="NUM83" s="364" t="s">
        <v>140</v>
      </c>
      <c r="NUN83" s="365">
        <v>0.5</v>
      </c>
      <c r="NUO83" s="366" t="e">
        <f>10/NUK81</f>
        <v>#DIV/0!</v>
      </c>
      <c r="NUP83" s="367">
        <v>15.38</v>
      </c>
      <c r="NUQ83" s="367" t="e">
        <f>NUN83*NUO83*NUP83</f>
        <v>#DIV/0!</v>
      </c>
      <c r="NUR83" s="363" t="s">
        <v>153</v>
      </c>
      <c r="NUS83" s="363"/>
      <c r="NUT83" s="363"/>
      <c r="NUU83" s="364" t="s">
        <v>140</v>
      </c>
      <c r="NUV83" s="365">
        <v>0.5</v>
      </c>
      <c r="NUW83" s="366" t="e">
        <f>10/NUS81</f>
        <v>#DIV/0!</v>
      </c>
      <c r="NUX83" s="367">
        <v>15.38</v>
      </c>
      <c r="NUY83" s="367" t="e">
        <f>NUV83*NUW83*NUX83</f>
        <v>#DIV/0!</v>
      </c>
      <c r="NUZ83" s="363" t="s">
        <v>153</v>
      </c>
      <c r="NVA83" s="363"/>
      <c r="NVB83" s="363"/>
      <c r="NVC83" s="364" t="s">
        <v>140</v>
      </c>
      <c r="NVD83" s="365">
        <v>0.5</v>
      </c>
      <c r="NVE83" s="366" t="e">
        <f>10/NVA81</f>
        <v>#DIV/0!</v>
      </c>
      <c r="NVF83" s="367">
        <v>15.38</v>
      </c>
      <c r="NVG83" s="367" t="e">
        <f>NVD83*NVE83*NVF83</f>
        <v>#DIV/0!</v>
      </c>
      <c r="NVH83" s="363" t="s">
        <v>153</v>
      </c>
      <c r="NVI83" s="363"/>
      <c r="NVJ83" s="363"/>
      <c r="NVK83" s="364" t="s">
        <v>140</v>
      </c>
      <c r="NVL83" s="365">
        <v>0.5</v>
      </c>
      <c r="NVM83" s="366" t="e">
        <f>10/NVI81</f>
        <v>#DIV/0!</v>
      </c>
      <c r="NVN83" s="367">
        <v>15.38</v>
      </c>
      <c r="NVO83" s="367" t="e">
        <f>NVL83*NVM83*NVN83</f>
        <v>#DIV/0!</v>
      </c>
      <c r="NVP83" s="363" t="s">
        <v>153</v>
      </c>
      <c r="NVQ83" s="363"/>
      <c r="NVR83" s="363"/>
      <c r="NVS83" s="364" t="s">
        <v>140</v>
      </c>
      <c r="NVT83" s="365">
        <v>0.5</v>
      </c>
      <c r="NVU83" s="366" t="e">
        <f>10/NVQ81</f>
        <v>#DIV/0!</v>
      </c>
      <c r="NVV83" s="367">
        <v>15.38</v>
      </c>
      <c r="NVW83" s="367" t="e">
        <f>NVT83*NVU83*NVV83</f>
        <v>#DIV/0!</v>
      </c>
      <c r="NVX83" s="363" t="s">
        <v>153</v>
      </c>
      <c r="NVY83" s="363"/>
      <c r="NVZ83" s="363"/>
      <c r="NWA83" s="364" t="s">
        <v>140</v>
      </c>
      <c r="NWB83" s="365">
        <v>0.5</v>
      </c>
      <c r="NWC83" s="366" t="e">
        <f>10/NVY81</f>
        <v>#DIV/0!</v>
      </c>
      <c r="NWD83" s="367">
        <v>15.38</v>
      </c>
      <c r="NWE83" s="367" t="e">
        <f>NWB83*NWC83*NWD83</f>
        <v>#DIV/0!</v>
      </c>
      <c r="NWF83" s="363" t="s">
        <v>153</v>
      </c>
      <c r="NWG83" s="363"/>
      <c r="NWH83" s="363"/>
      <c r="NWI83" s="364" t="s">
        <v>140</v>
      </c>
      <c r="NWJ83" s="365">
        <v>0.5</v>
      </c>
      <c r="NWK83" s="366" t="e">
        <f>10/NWG81</f>
        <v>#DIV/0!</v>
      </c>
      <c r="NWL83" s="367">
        <v>15.38</v>
      </c>
      <c r="NWM83" s="367" t="e">
        <f>NWJ83*NWK83*NWL83</f>
        <v>#DIV/0!</v>
      </c>
      <c r="NWN83" s="363" t="s">
        <v>153</v>
      </c>
      <c r="NWO83" s="363"/>
      <c r="NWP83" s="363"/>
      <c r="NWQ83" s="364" t="s">
        <v>140</v>
      </c>
      <c r="NWR83" s="365">
        <v>0.5</v>
      </c>
      <c r="NWS83" s="366" t="e">
        <f>10/NWO81</f>
        <v>#DIV/0!</v>
      </c>
      <c r="NWT83" s="367">
        <v>15.38</v>
      </c>
      <c r="NWU83" s="367" t="e">
        <f>NWR83*NWS83*NWT83</f>
        <v>#DIV/0!</v>
      </c>
      <c r="NWV83" s="363" t="s">
        <v>153</v>
      </c>
      <c r="NWW83" s="363"/>
      <c r="NWX83" s="363"/>
      <c r="NWY83" s="364" t="s">
        <v>140</v>
      </c>
      <c r="NWZ83" s="365">
        <v>0.5</v>
      </c>
      <c r="NXA83" s="366" t="e">
        <f>10/NWW81</f>
        <v>#DIV/0!</v>
      </c>
      <c r="NXB83" s="367">
        <v>15.38</v>
      </c>
      <c r="NXC83" s="367" t="e">
        <f>NWZ83*NXA83*NXB83</f>
        <v>#DIV/0!</v>
      </c>
      <c r="NXD83" s="363" t="s">
        <v>153</v>
      </c>
      <c r="NXE83" s="363"/>
      <c r="NXF83" s="363"/>
      <c r="NXG83" s="364" t="s">
        <v>140</v>
      </c>
      <c r="NXH83" s="365">
        <v>0.5</v>
      </c>
      <c r="NXI83" s="366" t="e">
        <f>10/NXE81</f>
        <v>#DIV/0!</v>
      </c>
      <c r="NXJ83" s="367">
        <v>15.38</v>
      </c>
      <c r="NXK83" s="367" t="e">
        <f>NXH83*NXI83*NXJ83</f>
        <v>#DIV/0!</v>
      </c>
      <c r="NXL83" s="363" t="s">
        <v>153</v>
      </c>
      <c r="NXM83" s="363"/>
      <c r="NXN83" s="363"/>
      <c r="NXO83" s="364" t="s">
        <v>140</v>
      </c>
      <c r="NXP83" s="365">
        <v>0.5</v>
      </c>
      <c r="NXQ83" s="366" t="e">
        <f>10/NXM81</f>
        <v>#DIV/0!</v>
      </c>
      <c r="NXR83" s="367">
        <v>15.38</v>
      </c>
      <c r="NXS83" s="367" t="e">
        <f>NXP83*NXQ83*NXR83</f>
        <v>#DIV/0!</v>
      </c>
      <c r="NXT83" s="363" t="s">
        <v>153</v>
      </c>
      <c r="NXU83" s="363"/>
      <c r="NXV83" s="363"/>
      <c r="NXW83" s="364" t="s">
        <v>140</v>
      </c>
      <c r="NXX83" s="365">
        <v>0.5</v>
      </c>
      <c r="NXY83" s="366" t="e">
        <f>10/NXU81</f>
        <v>#DIV/0!</v>
      </c>
      <c r="NXZ83" s="367">
        <v>15.38</v>
      </c>
      <c r="NYA83" s="367" t="e">
        <f>NXX83*NXY83*NXZ83</f>
        <v>#DIV/0!</v>
      </c>
      <c r="NYB83" s="363" t="s">
        <v>153</v>
      </c>
      <c r="NYC83" s="363"/>
      <c r="NYD83" s="363"/>
      <c r="NYE83" s="364" t="s">
        <v>140</v>
      </c>
      <c r="NYF83" s="365">
        <v>0.5</v>
      </c>
      <c r="NYG83" s="366" t="e">
        <f>10/NYC81</f>
        <v>#DIV/0!</v>
      </c>
      <c r="NYH83" s="367">
        <v>15.38</v>
      </c>
      <c r="NYI83" s="367" t="e">
        <f>NYF83*NYG83*NYH83</f>
        <v>#DIV/0!</v>
      </c>
      <c r="NYJ83" s="363" t="s">
        <v>153</v>
      </c>
      <c r="NYK83" s="363"/>
      <c r="NYL83" s="363"/>
      <c r="NYM83" s="364" t="s">
        <v>140</v>
      </c>
      <c r="NYN83" s="365">
        <v>0.5</v>
      </c>
      <c r="NYO83" s="366" t="e">
        <f>10/NYK81</f>
        <v>#DIV/0!</v>
      </c>
      <c r="NYP83" s="367">
        <v>15.38</v>
      </c>
      <c r="NYQ83" s="367" t="e">
        <f>NYN83*NYO83*NYP83</f>
        <v>#DIV/0!</v>
      </c>
      <c r="NYR83" s="363" t="s">
        <v>153</v>
      </c>
      <c r="NYS83" s="363"/>
      <c r="NYT83" s="363"/>
      <c r="NYU83" s="364" t="s">
        <v>140</v>
      </c>
      <c r="NYV83" s="365">
        <v>0.5</v>
      </c>
      <c r="NYW83" s="366" t="e">
        <f>10/NYS81</f>
        <v>#DIV/0!</v>
      </c>
      <c r="NYX83" s="367">
        <v>15.38</v>
      </c>
      <c r="NYY83" s="367" t="e">
        <f>NYV83*NYW83*NYX83</f>
        <v>#DIV/0!</v>
      </c>
      <c r="NYZ83" s="363" t="s">
        <v>153</v>
      </c>
      <c r="NZA83" s="363"/>
      <c r="NZB83" s="363"/>
      <c r="NZC83" s="364" t="s">
        <v>140</v>
      </c>
      <c r="NZD83" s="365">
        <v>0.5</v>
      </c>
      <c r="NZE83" s="366" t="e">
        <f>10/NZA81</f>
        <v>#DIV/0!</v>
      </c>
      <c r="NZF83" s="367">
        <v>15.38</v>
      </c>
      <c r="NZG83" s="367" t="e">
        <f>NZD83*NZE83*NZF83</f>
        <v>#DIV/0!</v>
      </c>
      <c r="NZH83" s="363" t="s">
        <v>153</v>
      </c>
      <c r="NZI83" s="363"/>
      <c r="NZJ83" s="363"/>
      <c r="NZK83" s="364" t="s">
        <v>140</v>
      </c>
      <c r="NZL83" s="365">
        <v>0.5</v>
      </c>
      <c r="NZM83" s="366" t="e">
        <f>10/NZI81</f>
        <v>#DIV/0!</v>
      </c>
      <c r="NZN83" s="367">
        <v>15.38</v>
      </c>
      <c r="NZO83" s="367" t="e">
        <f>NZL83*NZM83*NZN83</f>
        <v>#DIV/0!</v>
      </c>
      <c r="NZP83" s="363" t="s">
        <v>153</v>
      </c>
      <c r="NZQ83" s="363"/>
      <c r="NZR83" s="363"/>
      <c r="NZS83" s="364" t="s">
        <v>140</v>
      </c>
      <c r="NZT83" s="365">
        <v>0.5</v>
      </c>
      <c r="NZU83" s="366" t="e">
        <f>10/NZQ81</f>
        <v>#DIV/0!</v>
      </c>
      <c r="NZV83" s="367">
        <v>15.38</v>
      </c>
      <c r="NZW83" s="367" t="e">
        <f>NZT83*NZU83*NZV83</f>
        <v>#DIV/0!</v>
      </c>
      <c r="NZX83" s="363" t="s">
        <v>153</v>
      </c>
      <c r="NZY83" s="363"/>
      <c r="NZZ83" s="363"/>
      <c r="OAA83" s="364" t="s">
        <v>140</v>
      </c>
      <c r="OAB83" s="365">
        <v>0.5</v>
      </c>
      <c r="OAC83" s="366" t="e">
        <f>10/NZY81</f>
        <v>#DIV/0!</v>
      </c>
      <c r="OAD83" s="367">
        <v>15.38</v>
      </c>
      <c r="OAE83" s="367" t="e">
        <f>OAB83*OAC83*OAD83</f>
        <v>#DIV/0!</v>
      </c>
      <c r="OAF83" s="363" t="s">
        <v>153</v>
      </c>
      <c r="OAG83" s="363"/>
      <c r="OAH83" s="363"/>
      <c r="OAI83" s="364" t="s">
        <v>140</v>
      </c>
      <c r="OAJ83" s="365">
        <v>0.5</v>
      </c>
      <c r="OAK83" s="366" t="e">
        <f>10/OAG81</f>
        <v>#DIV/0!</v>
      </c>
      <c r="OAL83" s="367">
        <v>15.38</v>
      </c>
      <c r="OAM83" s="367" t="e">
        <f>OAJ83*OAK83*OAL83</f>
        <v>#DIV/0!</v>
      </c>
      <c r="OAN83" s="363" t="s">
        <v>153</v>
      </c>
      <c r="OAO83" s="363"/>
      <c r="OAP83" s="363"/>
      <c r="OAQ83" s="364" t="s">
        <v>140</v>
      </c>
      <c r="OAR83" s="365">
        <v>0.5</v>
      </c>
      <c r="OAS83" s="366" t="e">
        <f>10/OAO81</f>
        <v>#DIV/0!</v>
      </c>
      <c r="OAT83" s="367">
        <v>15.38</v>
      </c>
      <c r="OAU83" s="367" t="e">
        <f>OAR83*OAS83*OAT83</f>
        <v>#DIV/0!</v>
      </c>
      <c r="OAV83" s="363" t="s">
        <v>153</v>
      </c>
      <c r="OAW83" s="363"/>
      <c r="OAX83" s="363"/>
      <c r="OAY83" s="364" t="s">
        <v>140</v>
      </c>
      <c r="OAZ83" s="365">
        <v>0.5</v>
      </c>
      <c r="OBA83" s="366" t="e">
        <f>10/OAW81</f>
        <v>#DIV/0!</v>
      </c>
      <c r="OBB83" s="367">
        <v>15.38</v>
      </c>
      <c r="OBC83" s="367" t="e">
        <f>OAZ83*OBA83*OBB83</f>
        <v>#DIV/0!</v>
      </c>
      <c r="OBD83" s="363" t="s">
        <v>153</v>
      </c>
      <c r="OBE83" s="363"/>
      <c r="OBF83" s="363"/>
      <c r="OBG83" s="364" t="s">
        <v>140</v>
      </c>
      <c r="OBH83" s="365">
        <v>0.5</v>
      </c>
      <c r="OBI83" s="366" t="e">
        <f>10/OBE81</f>
        <v>#DIV/0!</v>
      </c>
      <c r="OBJ83" s="367">
        <v>15.38</v>
      </c>
      <c r="OBK83" s="367" t="e">
        <f>OBH83*OBI83*OBJ83</f>
        <v>#DIV/0!</v>
      </c>
      <c r="OBL83" s="363" t="s">
        <v>153</v>
      </c>
      <c r="OBM83" s="363"/>
      <c r="OBN83" s="363"/>
      <c r="OBO83" s="364" t="s">
        <v>140</v>
      </c>
      <c r="OBP83" s="365">
        <v>0.5</v>
      </c>
      <c r="OBQ83" s="366" t="e">
        <f>10/OBM81</f>
        <v>#DIV/0!</v>
      </c>
      <c r="OBR83" s="367">
        <v>15.38</v>
      </c>
      <c r="OBS83" s="367" t="e">
        <f>OBP83*OBQ83*OBR83</f>
        <v>#DIV/0!</v>
      </c>
      <c r="OBT83" s="363" t="s">
        <v>153</v>
      </c>
      <c r="OBU83" s="363"/>
      <c r="OBV83" s="363"/>
      <c r="OBW83" s="364" t="s">
        <v>140</v>
      </c>
      <c r="OBX83" s="365">
        <v>0.5</v>
      </c>
      <c r="OBY83" s="366" t="e">
        <f>10/OBU81</f>
        <v>#DIV/0!</v>
      </c>
      <c r="OBZ83" s="367">
        <v>15.38</v>
      </c>
      <c r="OCA83" s="367" t="e">
        <f>OBX83*OBY83*OBZ83</f>
        <v>#DIV/0!</v>
      </c>
      <c r="OCB83" s="363" t="s">
        <v>153</v>
      </c>
      <c r="OCC83" s="363"/>
      <c r="OCD83" s="363"/>
      <c r="OCE83" s="364" t="s">
        <v>140</v>
      </c>
      <c r="OCF83" s="365">
        <v>0.5</v>
      </c>
      <c r="OCG83" s="366" t="e">
        <f>10/OCC81</f>
        <v>#DIV/0!</v>
      </c>
      <c r="OCH83" s="367">
        <v>15.38</v>
      </c>
      <c r="OCI83" s="367" t="e">
        <f>OCF83*OCG83*OCH83</f>
        <v>#DIV/0!</v>
      </c>
      <c r="OCJ83" s="363" t="s">
        <v>153</v>
      </c>
      <c r="OCK83" s="363"/>
      <c r="OCL83" s="363"/>
      <c r="OCM83" s="364" t="s">
        <v>140</v>
      </c>
      <c r="OCN83" s="365">
        <v>0.5</v>
      </c>
      <c r="OCO83" s="366" t="e">
        <f>10/OCK81</f>
        <v>#DIV/0!</v>
      </c>
      <c r="OCP83" s="367">
        <v>15.38</v>
      </c>
      <c r="OCQ83" s="367" t="e">
        <f>OCN83*OCO83*OCP83</f>
        <v>#DIV/0!</v>
      </c>
      <c r="OCR83" s="363" t="s">
        <v>153</v>
      </c>
      <c r="OCS83" s="363"/>
      <c r="OCT83" s="363"/>
      <c r="OCU83" s="364" t="s">
        <v>140</v>
      </c>
      <c r="OCV83" s="365">
        <v>0.5</v>
      </c>
      <c r="OCW83" s="366" t="e">
        <f>10/OCS81</f>
        <v>#DIV/0!</v>
      </c>
      <c r="OCX83" s="367">
        <v>15.38</v>
      </c>
      <c r="OCY83" s="367" t="e">
        <f>OCV83*OCW83*OCX83</f>
        <v>#DIV/0!</v>
      </c>
      <c r="OCZ83" s="363" t="s">
        <v>153</v>
      </c>
      <c r="ODA83" s="363"/>
      <c r="ODB83" s="363"/>
      <c r="ODC83" s="364" t="s">
        <v>140</v>
      </c>
      <c r="ODD83" s="365">
        <v>0.5</v>
      </c>
      <c r="ODE83" s="366" t="e">
        <f>10/ODA81</f>
        <v>#DIV/0!</v>
      </c>
      <c r="ODF83" s="367">
        <v>15.38</v>
      </c>
      <c r="ODG83" s="367" t="e">
        <f>ODD83*ODE83*ODF83</f>
        <v>#DIV/0!</v>
      </c>
      <c r="ODH83" s="363" t="s">
        <v>153</v>
      </c>
      <c r="ODI83" s="363"/>
      <c r="ODJ83" s="363"/>
      <c r="ODK83" s="364" t="s">
        <v>140</v>
      </c>
      <c r="ODL83" s="365">
        <v>0.5</v>
      </c>
      <c r="ODM83" s="366" t="e">
        <f>10/ODI81</f>
        <v>#DIV/0!</v>
      </c>
      <c r="ODN83" s="367">
        <v>15.38</v>
      </c>
      <c r="ODO83" s="367" t="e">
        <f>ODL83*ODM83*ODN83</f>
        <v>#DIV/0!</v>
      </c>
      <c r="ODP83" s="363" t="s">
        <v>153</v>
      </c>
      <c r="ODQ83" s="363"/>
      <c r="ODR83" s="363"/>
      <c r="ODS83" s="364" t="s">
        <v>140</v>
      </c>
      <c r="ODT83" s="365">
        <v>0.5</v>
      </c>
      <c r="ODU83" s="366" t="e">
        <f>10/ODQ81</f>
        <v>#DIV/0!</v>
      </c>
      <c r="ODV83" s="367">
        <v>15.38</v>
      </c>
      <c r="ODW83" s="367" t="e">
        <f>ODT83*ODU83*ODV83</f>
        <v>#DIV/0!</v>
      </c>
      <c r="ODX83" s="363" t="s">
        <v>153</v>
      </c>
      <c r="ODY83" s="363"/>
      <c r="ODZ83" s="363"/>
      <c r="OEA83" s="364" t="s">
        <v>140</v>
      </c>
      <c r="OEB83" s="365">
        <v>0.5</v>
      </c>
      <c r="OEC83" s="366" t="e">
        <f>10/ODY81</f>
        <v>#DIV/0!</v>
      </c>
      <c r="OED83" s="367">
        <v>15.38</v>
      </c>
      <c r="OEE83" s="367" t="e">
        <f>OEB83*OEC83*OED83</f>
        <v>#DIV/0!</v>
      </c>
      <c r="OEF83" s="363" t="s">
        <v>153</v>
      </c>
      <c r="OEG83" s="363"/>
      <c r="OEH83" s="363"/>
      <c r="OEI83" s="364" t="s">
        <v>140</v>
      </c>
      <c r="OEJ83" s="365">
        <v>0.5</v>
      </c>
      <c r="OEK83" s="366" t="e">
        <f>10/OEG81</f>
        <v>#DIV/0!</v>
      </c>
      <c r="OEL83" s="367">
        <v>15.38</v>
      </c>
      <c r="OEM83" s="367" t="e">
        <f>OEJ83*OEK83*OEL83</f>
        <v>#DIV/0!</v>
      </c>
      <c r="OEN83" s="363" t="s">
        <v>153</v>
      </c>
      <c r="OEO83" s="363"/>
      <c r="OEP83" s="363"/>
      <c r="OEQ83" s="364" t="s">
        <v>140</v>
      </c>
      <c r="OER83" s="365">
        <v>0.5</v>
      </c>
      <c r="OES83" s="366" t="e">
        <f>10/OEO81</f>
        <v>#DIV/0!</v>
      </c>
      <c r="OET83" s="367">
        <v>15.38</v>
      </c>
      <c r="OEU83" s="367" t="e">
        <f>OER83*OES83*OET83</f>
        <v>#DIV/0!</v>
      </c>
      <c r="OEV83" s="363" t="s">
        <v>153</v>
      </c>
      <c r="OEW83" s="363"/>
      <c r="OEX83" s="363"/>
      <c r="OEY83" s="364" t="s">
        <v>140</v>
      </c>
      <c r="OEZ83" s="365">
        <v>0.5</v>
      </c>
      <c r="OFA83" s="366" t="e">
        <f>10/OEW81</f>
        <v>#DIV/0!</v>
      </c>
      <c r="OFB83" s="367">
        <v>15.38</v>
      </c>
      <c r="OFC83" s="367" t="e">
        <f>OEZ83*OFA83*OFB83</f>
        <v>#DIV/0!</v>
      </c>
      <c r="OFD83" s="363" t="s">
        <v>153</v>
      </c>
      <c r="OFE83" s="363"/>
      <c r="OFF83" s="363"/>
      <c r="OFG83" s="364" t="s">
        <v>140</v>
      </c>
      <c r="OFH83" s="365">
        <v>0.5</v>
      </c>
      <c r="OFI83" s="366" t="e">
        <f>10/OFE81</f>
        <v>#DIV/0!</v>
      </c>
      <c r="OFJ83" s="367">
        <v>15.38</v>
      </c>
      <c r="OFK83" s="367" t="e">
        <f>OFH83*OFI83*OFJ83</f>
        <v>#DIV/0!</v>
      </c>
      <c r="OFL83" s="363" t="s">
        <v>153</v>
      </c>
      <c r="OFM83" s="363"/>
      <c r="OFN83" s="363"/>
      <c r="OFO83" s="364" t="s">
        <v>140</v>
      </c>
      <c r="OFP83" s="365">
        <v>0.5</v>
      </c>
      <c r="OFQ83" s="366" t="e">
        <f>10/OFM81</f>
        <v>#DIV/0!</v>
      </c>
      <c r="OFR83" s="367">
        <v>15.38</v>
      </c>
      <c r="OFS83" s="367" t="e">
        <f>OFP83*OFQ83*OFR83</f>
        <v>#DIV/0!</v>
      </c>
      <c r="OFT83" s="363" t="s">
        <v>153</v>
      </c>
      <c r="OFU83" s="363"/>
      <c r="OFV83" s="363"/>
      <c r="OFW83" s="364" t="s">
        <v>140</v>
      </c>
      <c r="OFX83" s="365">
        <v>0.5</v>
      </c>
      <c r="OFY83" s="366" t="e">
        <f>10/OFU81</f>
        <v>#DIV/0!</v>
      </c>
      <c r="OFZ83" s="367">
        <v>15.38</v>
      </c>
      <c r="OGA83" s="367" t="e">
        <f>OFX83*OFY83*OFZ83</f>
        <v>#DIV/0!</v>
      </c>
      <c r="OGB83" s="363" t="s">
        <v>153</v>
      </c>
      <c r="OGC83" s="363"/>
      <c r="OGD83" s="363"/>
      <c r="OGE83" s="364" t="s">
        <v>140</v>
      </c>
      <c r="OGF83" s="365">
        <v>0.5</v>
      </c>
      <c r="OGG83" s="366" t="e">
        <f>10/OGC81</f>
        <v>#DIV/0!</v>
      </c>
      <c r="OGH83" s="367">
        <v>15.38</v>
      </c>
      <c r="OGI83" s="367" t="e">
        <f>OGF83*OGG83*OGH83</f>
        <v>#DIV/0!</v>
      </c>
      <c r="OGJ83" s="363" t="s">
        <v>153</v>
      </c>
      <c r="OGK83" s="363"/>
      <c r="OGL83" s="363"/>
      <c r="OGM83" s="364" t="s">
        <v>140</v>
      </c>
      <c r="OGN83" s="365">
        <v>0.5</v>
      </c>
      <c r="OGO83" s="366" t="e">
        <f>10/OGK81</f>
        <v>#DIV/0!</v>
      </c>
      <c r="OGP83" s="367">
        <v>15.38</v>
      </c>
      <c r="OGQ83" s="367" t="e">
        <f>OGN83*OGO83*OGP83</f>
        <v>#DIV/0!</v>
      </c>
      <c r="OGR83" s="363" t="s">
        <v>153</v>
      </c>
      <c r="OGS83" s="363"/>
      <c r="OGT83" s="363"/>
      <c r="OGU83" s="364" t="s">
        <v>140</v>
      </c>
      <c r="OGV83" s="365">
        <v>0.5</v>
      </c>
      <c r="OGW83" s="366" t="e">
        <f>10/OGS81</f>
        <v>#DIV/0!</v>
      </c>
      <c r="OGX83" s="367">
        <v>15.38</v>
      </c>
      <c r="OGY83" s="367" t="e">
        <f>OGV83*OGW83*OGX83</f>
        <v>#DIV/0!</v>
      </c>
      <c r="OGZ83" s="363" t="s">
        <v>153</v>
      </c>
      <c r="OHA83" s="363"/>
      <c r="OHB83" s="363"/>
      <c r="OHC83" s="364" t="s">
        <v>140</v>
      </c>
      <c r="OHD83" s="365">
        <v>0.5</v>
      </c>
      <c r="OHE83" s="366" t="e">
        <f>10/OHA81</f>
        <v>#DIV/0!</v>
      </c>
      <c r="OHF83" s="367">
        <v>15.38</v>
      </c>
      <c r="OHG83" s="367" t="e">
        <f>OHD83*OHE83*OHF83</f>
        <v>#DIV/0!</v>
      </c>
      <c r="OHH83" s="363" t="s">
        <v>153</v>
      </c>
      <c r="OHI83" s="363"/>
      <c r="OHJ83" s="363"/>
      <c r="OHK83" s="364" t="s">
        <v>140</v>
      </c>
      <c r="OHL83" s="365">
        <v>0.5</v>
      </c>
      <c r="OHM83" s="366" t="e">
        <f>10/OHI81</f>
        <v>#DIV/0!</v>
      </c>
      <c r="OHN83" s="367">
        <v>15.38</v>
      </c>
      <c r="OHO83" s="367" t="e">
        <f>OHL83*OHM83*OHN83</f>
        <v>#DIV/0!</v>
      </c>
      <c r="OHP83" s="363" t="s">
        <v>153</v>
      </c>
      <c r="OHQ83" s="363"/>
      <c r="OHR83" s="363"/>
      <c r="OHS83" s="364" t="s">
        <v>140</v>
      </c>
      <c r="OHT83" s="365">
        <v>0.5</v>
      </c>
      <c r="OHU83" s="366" t="e">
        <f>10/OHQ81</f>
        <v>#DIV/0!</v>
      </c>
      <c r="OHV83" s="367">
        <v>15.38</v>
      </c>
      <c r="OHW83" s="367" t="e">
        <f>OHT83*OHU83*OHV83</f>
        <v>#DIV/0!</v>
      </c>
      <c r="OHX83" s="363" t="s">
        <v>153</v>
      </c>
      <c r="OHY83" s="363"/>
      <c r="OHZ83" s="363"/>
      <c r="OIA83" s="364" t="s">
        <v>140</v>
      </c>
      <c r="OIB83" s="365">
        <v>0.5</v>
      </c>
      <c r="OIC83" s="366" t="e">
        <f>10/OHY81</f>
        <v>#DIV/0!</v>
      </c>
      <c r="OID83" s="367">
        <v>15.38</v>
      </c>
      <c r="OIE83" s="367" t="e">
        <f>OIB83*OIC83*OID83</f>
        <v>#DIV/0!</v>
      </c>
      <c r="OIF83" s="363" t="s">
        <v>153</v>
      </c>
      <c r="OIG83" s="363"/>
      <c r="OIH83" s="363"/>
      <c r="OII83" s="364" t="s">
        <v>140</v>
      </c>
      <c r="OIJ83" s="365">
        <v>0.5</v>
      </c>
      <c r="OIK83" s="366" t="e">
        <f>10/OIG81</f>
        <v>#DIV/0!</v>
      </c>
      <c r="OIL83" s="367">
        <v>15.38</v>
      </c>
      <c r="OIM83" s="367" t="e">
        <f>OIJ83*OIK83*OIL83</f>
        <v>#DIV/0!</v>
      </c>
      <c r="OIN83" s="363" t="s">
        <v>153</v>
      </c>
      <c r="OIO83" s="363"/>
      <c r="OIP83" s="363"/>
      <c r="OIQ83" s="364" t="s">
        <v>140</v>
      </c>
      <c r="OIR83" s="365">
        <v>0.5</v>
      </c>
      <c r="OIS83" s="366" t="e">
        <f>10/OIO81</f>
        <v>#DIV/0!</v>
      </c>
      <c r="OIT83" s="367">
        <v>15.38</v>
      </c>
      <c r="OIU83" s="367" t="e">
        <f>OIR83*OIS83*OIT83</f>
        <v>#DIV/0!</v>
      </c>
      <c r="OIV83" s="363" t="s">
        <v>153</v>
      </c>
      <c r="OIW83" s="363"/>
      <c r="OIX83" s="363"/>
      <c r="OIY83" s="364" t="s">
        <v>140</v>
      </c>
      <c r="OIZ83" s="365">
        <v>0.5</v>
      </c>
      <c r="OJA83" s="366" t="e">
        <f>10/OIW81</f>
        <v>#DIV/0!</v>
      </c>
      <c r="OJB83" s="367">
        <v>15.38</v>
      </c>
      <c r="OJC83" s="367" t="e">
        <f>OIZ83*OJA83*OJB83</f>
        <v>#DIV/0!</v>
      </c>
      <c r="OJD83" s="363" t="s">
        <v>153</v>
      </c>
      <c r="OJE83" s="363"/>
      <c r="OJF83" s="363"/>
      <c r="OJG83" s="364" t="s">
        <v>140</v>
      </c>
      <c r="OJH83" s="365">
        <v>0.5</v>
      </c>
      <c r="OJI83" s="366" t="e">
        <f>10/OJE81</f>
        <v>#DIV/0!</v>
      </c>
      <c r="OJJ83" s="367">
        <v>15.38</v>
      </c>
      <c r="OJK83" s="367" t="e">
        <f>OJH83*OJI83*OJJ83</f>
        <v>#DIV/0!</v>
      </c>
      <c r="OJL83" s="363" t="s">
        <v>153</v>
      </c>
      <c r="OJM83" s="363"/>
      <c r="OJN83" s="363"/>
      <c r="OJO83" s="364" t="s">
        <v>140</v>
      </c>
      <c r="OJP83" s="365">
        <v>0.5</v>
      </c>
      <c r="OJQ83" s="366" t="e">
        <f>10/OJM81</f>
        <v>#DIV/0!</v>
      </c>
      <c r="OJR83" s="367">
        <v>15.38</v>
      </c>
      <c r="OJS83" s="367" t="e">
        <f>OJP83*OJQ83*OJR83</f>
        <v>#DIV/0!</v>
      </c>
      <c r="OJT83" s="363" t="s">
        <v>153</v>
      </c>
      <c r="OJU83" s="363"/>
      <c r="OJV83" s="363"/>
      <c r="OJW83" s="364" t="s">
        <v>140</v>
      </c>
      <c r="OJX83" s="365">
        <v>0.5</v>
      </c>
      <c r="OJY83" s="366" t="e">
        <f>10/OJU81</f>
        <v>#DIV/0!</v>
      </c>
      <c r="OJZ83" s="367">
        <v>15.38</v>
      </c>
      <c r="OKA83" s="367" t="e">
        <f>OJX83*OJY83*OJZ83</f>
        <v>#DIV/0!</v>
      </c>
      <c r="OKB83" s="363" t="s">
        <v>153</v>
      </c>
      <c r="OKC83" s="363"/>
      <c r="OKD83" s="363"/>
      <c r="OKE83" s="364" t="s">
        <v>140</v>
      </c>
      <c r="OKF83" s="365">
        <v>0.5</v>
      </c>
      <c r="OKG83" s="366" t="e">
        <f>10/OKC81</f>
        <v>#DIV/0!</v>
      </c>
      <c r="OKH83" s="367">
        <v>15.38</v>
      </c>
      <c r="OKI83" s="367" t="e">
        <f>OKF83*OKG83*OKH83</f>
        <v>#DIV/0!</v>
      </c>
      <c r="OKJ83" s="363" t="s">
        <v>153</v>
      </c>
      <c r="OKK83" s="363"/>
      <c r="OKL83" s="363"/>
      <c r="OKM83" s="364" t="s">
        <v>140</v>
      </c>
      <c r="OKN83" s="365">
        <v>0.5</v>
      </c>
      <c r="OKO83" s="366" t="e">
        <f>10/OKK81</f>
        <v>#DIV/0!</v>
      </c>
      <c r="OKP83" s="367">
        <v>15.38</v>
      </c>
      <c r="OKQ83" s="367" t="e">
        <f>OKN83*OKO83*OKP83</f>
        <v>#DIV/0!</v>
      </c>
      <c r="OKR83" s="363" t="s">
        <v>153</v>
      </c>
      <c r="OKS83" s="363"/>
      <c r="OKT83" s="363"/>
      <c r="OKU83" s="364" t="s">
        <v>140</v>
      </c>
      <c r="OKV83" s="365">
        <v>0.5</v>
      </c>
      <c r="OKW83" s="366" t="e">
        <f>10/OKS81</f>
        <v>#DIV/0!</v>
      </c>
      <c r="OKX83" s="367">
        <v>15.38</v>
      </c>
      <c r="OKY83" s="367" t="e">
        <f>OKV83*OKW83*OKX83</f>
        <v>#DIV/0!</v>
      </c>
      <c r="OKZ83" s="363" t="s">
        <v>153</v>
      </c>
      <c r="OLA83" s="363"/>
      <c r="OLB83" s="363"/>
      <c r="OLC83" s="364" t="s">
        <v>140</v>
      </c>
      <c r="OLD83" s="365">
        <v>0.5</v>
      </c>
      <c r="OLE83" s="366" t="e">
        <f>10/OLA81</f>
        <v>#DIV/0!</v>
      </c>
      <c r="OLF83" s="367">
        <v>15.38</v>
      </c>
      <c r="OLG83" s="367" t="e">
        <f>OLD83*OLE83*OLF83</f>
        <v>#DIV/0!</v>
      </c>
      <c r="OLH83" s="363" t="s">
        <v>153</v>
      </c>
      <c r="OLI83" s="363"/>
      <c r="OLJ83" s="363"/>
      <c r="OLK83" s="364" t="s">
        <v>140</v>
      </c>
      <c r="OLL83" s="365">
        <v>0.5</v>
      </c>
      <c r="OLM83" s="366" t="e">
        <f>10/OLI81</f>
        <v>#DIV/0!</v>
      </c>
      <c r="OLN83" s="367">
        <v>15.38</v>
      </c>
      <c r="OLO83" s="367" t="e">
        <f>OLL83*OLM83*OLN83</f>
        <v>#DIV/0!</v>
      </c>
      <c r="OLP83" s="363" t="s">
        <v>153</v>
      </c>
      <c r="OLQ83" s="363"/>
      <c r="OLR83" s="363"/>
      <c r="OLS83" s="364" t="s">
        <v>140</v>
      </c>
      <c r="OLT83" s="365">
        <v>0.5</v>
      </c>
      <c r="OLU83" s="366" t="e">
        <f>10/OLQ81</f>
        <v>#DIV/0!</v>
      </c>
      <c r="OLV83" s="367">
        <v>15.38</v>
      </c>
      <c r="OLW83" s="367" t="e">
        <f>OLT83*OLU83*OLV83</f>
        <v>#DIV/0!</v>
      </c>
      <c r="OLX83" s="363" t="s">
        <v>153</v>
      </c>
      <c r="OLY83" s="363"/>
      <c r="OLZ83" s="363"/>
      <c r="OMA83" s="364" t="s">
        <v>140</v>
      </c>
      <c r="OMB83" s="365">
        <v>0.5</v>
      </c>
      <c r="OMC83" s="366" t="e">
        <f>10/OLY81</f>
        <v>#DIV/0!</v>
      </c>
      <c r="OMD83" s="367">
        <v>15.38</v>
      </c>
      <c r="OME83" s="367" t="e">
        <f>OMB83*OMC83*OMD83</f>
        <v>#DIV/0!</v>
      </c>
      <c r="OMF83" s="363" t="s">
        <v>153</v>
      </c>
      <c r="OMG83" s="363"/>
      <c r="OMH83" s="363"/>
      <c r="OMI83" s="364" t="s">
        <v>140</v>
      </c>
      <c r="OMJ83" s="365">
        <v>0.5</v>
      </c>
      <c r="OMK83" s="366" t="e">
        <f>10/OMG81</f>
        <v>#DIV/0!</v>
      </c>
      <c r="OML83" s="367">
        <v>15.38</v>
      </c>
      <c r="OMM83" s="367" t="e">
        <f>OMJ83*OMK83*OML83</f>
        <v>#DIV/0!</v>
      </c>
      <c r="OMN83" s="363" t="s">
        <v>153</v>
      </c>
      <c r="OMO83" s="363"/>
      <c r="OMP83" s="363"/>
      <c r="OMQ83" s="364" t="s">
        <v>140</v>
      </c>
      <c r="OMR83" s="365">
        <v>0.5</v>
      </c>
      <c r="OMS83" s="366" t="e">
        <f>10/OMO81</f>
        <v>#DIV/0!</v>
      </c>
      <c r="OMT83" s="367">
        <v>15.38</v>
      </c>
      <c r="OMU83" s="367" t="e">
        <f>OMR83*OMS83*OMT83</f>
        <v>#DIV/0!</v>
      </c>
      <c r="OMV83" s="363" t="s">
        <v>153</v>
      </c>
      <c r="OMW83" s="363"/>
      <c r="OMX83" s="363"/>
      <c r="OMY83" s="364" t="s">
        <v>140</v>
      </c>
      <c r="OMZ83" s="365">
        <v>0.5</v>
      </c>
      <c r="ONA83" s="366" t="e">
        <f>10/OMW81</f>
        <v>#DIV/0!</v>
      </c>
      <c r="ONB83" s="367">
        <v>15.38</v>
      </c>
      <c r="ONC83" s="367" t="e">
        <f>OMZ83*ONA83*ONB83</f>
        <v>#DIV/0!</v>
      </c>
      <c r="OND83" s="363" t="s">
        <v>153</v>
      </c>
      <c r="ONE83" s="363"/>
      <c r="ONF83" s="363"/>
      <c r="ONG83" s="364" t="s">
        <v>140</v>
      </c>
      <c r="ONH83" s="365">
        <v>0.5</v>
      </c>
      <c r="ONI83" s="366" t="e">
        <f>10/ONE81</f>
        <v>#DIV/0!</v>
      </c>
      <c r="ONJ83" s="367">
        <v>15.38</v>
      </c>
      <c r="ONK83" s="367" t="e">
        <f>ONH83*ONI83*ONJ83</f>
        <v>#DIV/0!</v>
      </c>
      <c r="ONL83" s="363" t="s">
        <v>153</v>
      </c>
      <c r="ONM83" s="363"/>
      <c r="ONN83" s="363"/>
      <c r="ONO83" s="364" t="s">
        <v>140</v>
      </c>
      <c r="ONP83" s="365">
        <v>0.5</v>
      </c>
      <c r="ONQ83" s="366" t="e">
        <f>10/ONM81</f>
        <v>#DIV/0!</v>
      </c>
      <c r="ONR83" s="367">
        <v>15.38</v>
      </c>
      <c r="ONS83" s="367" t="e">
        <f>ONP83*ONQ83*ONR83</f>
        <v>#DIV/0!</v>
      </c>
      <c r="ONT83" s="363" t="s">
        <v>153</v>
      </c>
      <c r="ONU83" s="363"/>
      <c r="ONV83" s="363"/>
      <c r="ONW83" s="364" t="s">
        <v>140</v>
      </c>
      <c r="ONX83" s="365">
        <v>0.5</v>
      </c>
      <c r="ONY83" s="366" t="e">
        <f>10/ONU81</f>
        <v>#DIV/0!</v>
      </c>
      <c r="ONZ83" s="367">
        <v>15.38</v>
      </c>
      <c r="OOA83" s="367" t="e">
        <f>ONX83*ONY83*ONZ83</f>
        <v>#DIV/0!</v>
      </c>
      <c r="OOB83" s="363" t="s">
        <v>153</v>
      </c>
      <c r="OOC83" s="363"/>
      <c r="OOD83" s="363"/>
      <c r="OOE83" s="364" t="s">
        <v>140</v>
      </c>
      <c r="OOF83" s="365">
        <v>0.5</v>
      </c>
      <c r="OOG83" s="366" t="e">
        <f>10/OOC81</f>
        <v>#DIV/0!</v>
      </c>
      <c r="OOH83" s="367">
        <v>15.38</v>
      </c>
      <c r="OOI83" s="367" t="e">
        <f>OOF83*OOG83*OOH83</f>
        <v>#DIV/0!</v>
      </c>
      <c r="OOJ83" s="363" t="s">
        <v>153</v>
      </c>
      <c r="OOK83" s="363"/>
      <c r="OOL83" s="363"/>
      <c r="OOM83" s="364" t="s">
        <v>140</v>
      </c>
      <c r="OON83" s="365">
        <v>0.5</v>
      </c>
      <c r="OOO83" s="366" t="e">
        <f>10/OOK81</f>
        <v>#DIV/0!</v>
      </c>
      <c r="OOP83" s="367">
        <v>15.38</v>
      </c>
      <c r="OOQ83" s="367" t="e">
        <f>OON83*OOO83*OOP83</f>
        <v>#DIV/0!</v>
      </c>
      <c r="OOR83" s="363" t="s">
        <v>153</v>
      </c>
      <c r="OOS83" s="363"/>
      <c r="OOT83" s="363"/>
      <c r="OOU83" s="364" t="s">
        <v>140</v>
      </c>
      <c r="OOV83" s="365">
        <v>0.5</v>
      </c>
      <c r="OOW83" s="366" t="e">
        <f>10/OOS81</f>
        <v>#DIV/0!</v>
      </c>
      <c r="OOX83" s="367">
        <v>15.38</v>
      </c>
      <c r="OOY83" s="367" t="e">
        <f>OOV83*OOW83*OOX83</f>
        <v>#DIV/0!</v>
      </c>
      <c r="OOZ83" s="363" t="s">
        <v>153</v>
      </c>
      <c r="OPA83" s="363"/>
      <c r="OPB83" s="363"/>
      <c r="OPC83" s="364" t="s">
        <v>140</v>
      </c>
      <c r="OPD83" s="365">
        <v>0.5</v>
      </c>
      <c r="OPE83" s="366" t="e">
        <f>10/OPA81</f>
        <v>#DIV/0!</v>
      </c>
      <c r="OPF83" s="367">
        <v>15.38</v>
      </c>
      <c r="OPG83" s="367" t="e">
        <f>OPD83*OPE83*OPF83</f>
        <v>#DIV/0!</v>
      </c>
      <c r="OPH83" s="363" t="s">
        <v>153</v>
      </c>
      <c r="OPI83" s="363"/>
      <c r="OPJ83" s="363"/>
      <c r="OPK83" s="364" t="s">
        <v>140</v>
      </c>
      <c r="OPL83" s="365">
        <v>0.5</v>
      </c>
      <c r="OPM83" s="366" t="e">
        <f>10/OPI81</f>
        <v>#DIV/0!</v>
      </c>
      <c r="OPN83" s="367">
        <v>15.38</v>
      </c>
      <c r="OPO83" s="367" t="e">
        <f>OPL83*OPM83*OPN83</f>
        <v>#DIV/0!</v>
      </c>
      <c r="OPP83" s="363" t="s">
        <v>153</v>
      </c>
      <c r="OPQ83" s="363"/>
      <c r="OPR83" s="363"/>
      <c r="OPS83" s="364" t="s">
        <v>140</v>
      </c>
      <c r="OPT83" s="365">
        <v>0.5</v>
      </c>
      <c r="OPU83" s="366" t="e">
        <f>10/OPQ81</f>
        <v>#DIV/0!</v>
      </c>
      <c r="OPV83" s="367">
        <v>15.38</v>
      </c>
      <c r="OPW83" s="367" t="e">
        <f>OPT83*OPU83*OPV83</f>
        <v>#DIV/0!</v>
      </c>
      <c r="OPX83" s="363" t="s">
        <v>153</v>
      </c>
      <c r="OPY83" s="363"/>
      <c r="OPZ83" s="363"/>
      <c r="OQA83" s="364" t="s">
        <v>140</v>
      </c>
      <c r="OQB83" s="365">
        <v>0.5</v>
      </c>
      <c r="OQC83" s="366" t="e">
        <f>10/OPY81</f>
        <v>#DIV/0!</v>
      </c>
      <c r="OQD83" s="367">
        <v>15.38</v>
      </c>
      <c r="OQE83" s="367" t="e">
        <f>OQB83*OQC83*OQD83</f>
        <v>#DIV/0!</v>
      </c>
      <c r="OQF83" s="363" t="s">
        <v>153</v>
      </c>
      <c r="OQG83" s="363"/>
      <c r="OQH83" s="363"/>
      <c r="OQI83" s="364" t="s">
        <v>140</v>
      </c>
      <c r="OQJ83" s="365">
        <v>0.5</v>
      </c>
      <c r="OQK83" s="366" t="e">
        <f>10/OQG81</f>
        <v>#DIV/0!</v>
      </c>
      <c r="OQL83" s="367">
        <v>15.38</v>
      </c>
      <c r="OQM83" s="367" t="e">
        <f>OQJ83*OQK83*OQL83</f>
        <v>#DIV/0!</v>
      </c>
      <c r="OQN83" s="363" t="s">
        <v>153</v>
      </c>
      <c r="OQO83" s="363"/>
      <c r="OQP83" s="363"/>
      <c r="OQQ83" s="364" t="s">
        <v>140</v>
      </c>
      <c r="OQR83" s="365">
        <v>0.5</v>
      </c>
      <c r="OQS83" s="366" t="e">
        <f>10/OQO81</f>
        <v>#DIV/0!</v>
      </c>
      <c r="OQT83" s="367">
        <v>15.38</v>
      </c>
      <c r="OQU83" s="367" t="e">
        <f>OQR83*OQS83*OQT83</f>
        <v>#DIV/0!</v>
      </c>
      <c r="OQV83" s="363" t="s">
        <v>153</v>
      </c>
      <c r="OQW83" s="363"/>
      <c r="OQX83" s="363"/>
      <c r="OQY83" s="364" t="s">
        <v>140</v>
      </c>
      <c r="OQZ83" s="365">
        <v>0.5</v>
      </c>
      <c r="ORA83" s="366" t="e">
        <f>10/OQW81</f>
        <v>#DIV/0!</v>
      </c>
      <c r="ORB83" s="367">
        <v>15.38</v>
      </c>
      <c r="ORC83" s="367" t="e">
        <f>OQZ83*ORA83*ORB83</f>
        <v>#DIV/0!</v>
      </c>
      <c r="ORD83" s="363" t="s">
        <v>153</v>
      </c>
      <c r="ORE83" s="363"/>
      <c r="ORF83" s="363"/>
      <c r="ORG83" s="364" t="s">
        <v>140</v>
      </c>
      <c r="ORH83" s="365">
        <v>0.5</v>
      </c>
      <c r="ORI83" s="366" t="e">
        <f>10/ORE81</f>
        <v>#DIV/0!</v>
      </c>
      <c r="ORJ83" s="367">
        <v>15.38</v>
      </c>
      <c r="ORK83" s="367" t="e">
        <f>ORH83*ORI83*ORJ83</f>
        <v>#DIV/0!</v>
      </c>
      <c r="ORL83" s="363" t="s">
        <v>153</v>
      </c>
      <c r="ORM83" s="363"/>
      <c r="ORN83" s="363"/>
      <c r="ORO83" s="364" t="s">
        <v>140</v>
      </c>
      <c r="ORP83" s="365">
        <v>0.5</v>
      </c>
      <c r="ORQ83" s="366" t="e">
        <f>10/ORM81</f>
        <v>#DIV/0!</v>
      </c>
      <c r="ORR83" s="367">
        <v>15.38</v>
      </c>
      <c r="ORS83" s="367" t="e">
        <f>ORP83*ORQ83*ORR83</f>
        <v>#DIV/0!</v>
      </c>
      <c r="ORT83" s="363" t="s">
        <v>153</v>
      </c>
      <c r="ORU83" s="363"/>
      <c r="ORV83" s="363"/>
      <c r="ORW83" s="364" t="s">
        <v>140</v>
      </c>
      <c r="ORX83" s="365">
        <v>0.5</v>
      </c>
      <c r="ORY83" s="366" t="e">
        <f>10/ORU81</f>
        <v>#DIV/0!</v>
      </c>
      <c r="ORZ83" s="367">
        <v>15.38</v>
      </c>
      <c r="OSA83" s="367" t="e">
        <f>ORX83*ORY83*ORZ83</f>
        <v>#DIV/0!</v>
      </c>
      <c r="OSB83" s="363" t="s">
        <v>153</v>
      </c>
      <c r="OSC83" s="363"/>
      <c r="OSD83" s="363"/>
      <c r="OSE83" s="364" t="s">
        <v>140</v>
      </c>
      <c r="OSF83" s="365">
        <v>0.5</v>
      </c>
      <c r="OSG83" s="366" t="e">
        <f>10/OSC81</f>
        <v>#DIV/0!</v>
      </c>
      <c r="OSH83" s="367">
        <v>15.38</v>
      </c>
      <c r="OSI83" s="367" t="e">
        <f>OSF83*OSG83*OSH83</f>
        <v>#DIV/0!</v>
      </c>
      <c r="OSJ83" s="363" t="s">
        <v>153</v>
      </c>
      <c r="OSK83" s="363"/>
      <c r="OSL83" s="363"/>
      <c r="OSM83" s="364" t="s">
        <v>140</v>
      </c>
      <c r="OSN83" s="365">
        <v>0.5</v>
      </c>
      <c r="OSO83" s="366" t="e">
        <f>10/OSK81</f>
        <v>#DIV/0!</v>
      </c>
      <c r="OSP83" s="367">
        <v>15.38</v>
      </c>
      <c r="OSQ83" s="367" t="e">
        <f>OSN83*OSO83*OSP83</f>
        <v>#DIV/0!</v>
      </c>
      <c r="OSR83" s="363" t="s">
        <v>153</v>
      </c>
      <c r="OSS83" s="363"/>
      <c r="OST83" s="363"/>
      <c r="OSU83" s="364" t="s">
        <v>140</v>
      </c>
      <c r="OSV83" s="365">
        <v>0.5</v>
      </c>
      <c r="OSW83" s="366" t="e">
        <f>10/OSS81</f>
        <v>#DIV/0!</v>
      </c>
      <c r="OSX83" s="367">
        <v>15.38</v>
      </c>
      <c r="OSY83" s="367" t="e">
        <f>OSV83*OSW83*OSX83</f>
        <v>#DIV/0!</v>
      </c>
      <c r="OSZ83" s="363" t="s">
        <v>153</v>
      </c>
      <c r="OTA83" s="363"/>
      <c r="OTB83" s="363"/>
      <c r="OTC83" s="364" t="s">
        <v>140</v>
      </c>
      <c r="OTD83" s="365">
        <v>0.5</v>
      </c>
      <c r="OTE83" s="366" t="e">
        <f>10/OTA81</f>
        <v>#DIV/0!</v>
      </c>
      <c r="OTF83" s="367">
        <v>15.38</v>
      </c>
      <c r="OTG83" s="367" t="e">
        <f>OTD83*OTE83*OTF83</f>
        <v>#DIV/0!</v>
      </c>
      <c r="OTH83" s="363" t="s">
        <v>153</v>
      </c>
      <c r="OTI83" s="363"/>
      <c r="OTJ83" s="363"/>
      <c r="OTK83" s="364" t="s">
        <v>140</v>
      </c>
      <c r="OTL83" s="365">
        <v>0.5</v>
      </c>
      <c r="OTM83" s="366" t="e">
        <f>10/OTI81</f>
        <v>#DIV/0!</v>
      </c>
      <c r="OTN83" s="367">
        <v>15.38</v>
      </c>
      <c r="OTO83" s="367" t="e">
        <f>OTL83*OTM83*OTN83</f>
        <v>#DIV/0!</v>
      </c>
      <c r="OTP83" s="363" t="s">
        <v>153</v>
      </c>
      <c r="OTQ83" s="363"/>
      <c r="OTR83" s="363"/>
      <c r="OTS83" s="364" t="s">
        <v>140</v>
      </c>
      <c r="OTT83" s="365">
        <v>0.5</v>
      </c>
      <c r="OTU83" s="366" t="e">
        <f>10/OTQ81</f>
        <v>#DIV/0!</v>
      </c>
      <c r="OTV83" s="367">
        <v>15.38</v>
      </c>
      <c r="OTW83" s="367" t="e">
        <f>OTT83*OTU83*OTV83</f>
        <v>#DIV/0!</v>
      </c>
      <c r="OTX83" s="363" t="s">
        <v>153</v>
      </c>
      <c r="OTY83" s="363"/>
      <c r="OTZ83" s="363"/>
      <c r="OUA83" s="364" t="s">
        <v>140</v>
      </c>
      <c r="OUB83" s="365">
        <v>0.5</v>
      </c>
      <c r="OUC83" s="366" t="e">
        <f>10/OTY81</f>
        <v>#DIV/0!</v>
      </c>
      <c r="OUD83" s="367">
        <v>15.38</v>
      </c>
      <c r="OUE83" s="367" t="e">
        <f>OUB83*OUC83*OUD83</f>
        <v>#DIV/0!</v>
      </c>
      <c r="OUF83" s="363" t="s">
        <v>153</v>
      </c>
      <c r="OUG83" s="363"/>
      <c r="OUH83" s="363"/>
      <c r="OUI83" s="364" t="s">
        <v>140</v>
      </c>
      <c r="OUJ83" s="365">
        <v>0.5</v>
      </c>
      <c r="OUK83" s="366" t="e">
        <f>10/OUG81</f>
        <v>#DIV/0!</v>
      </c>
      <c r="OUL83" s="367">
        <v>15.38</v>
      </c>
      <c r="OUM83" s="367" t="e">
        <f>OUJ83*OUK83*OUL83</f>
        <v>#DIV/0!</v>
      </c>
      <c r="OUN83" s="363" t="s">
        <v>153</v>
      </c>
      <c r="OUO83" s="363"/>
      <c r="OUP83" s="363"/>
      <c r="OUQ83" s="364" t="s">
        <v>140</v>
      </c>
      <c r="OUR83" s="365">
        <v>0.5</v>
      </c>
      <c r="OUS83" s="366" t="e">
        <f>10/OUO81</f>
        <v>#DIV/0!</v>
      </c>
      <c r="OUT83" s="367">
        <v>15.38</v>
      </c>
      <c r="OUU83" s="367" t="e">
        <f>OUR83*OUS83*OUT83</f>
        <v>#DIV/0!</v>
      </c>
      <c r="OUV83" s="363" t="s">
        <v>153</v>
      </c>
      <c r="OUW83" s="363"/>
      <c r="OUX83" s="363"/>
      <c r="OUY83" s="364" t="s">
        <v>140</v>
      </c>
      <c r="OUZ83" s="365">
        <v>0.5</v>
      </c>
      <c r="OVA83" s="366" t="e">
        <f>10/OUW81</f>
        <v>#DIV/0!</v>
      </c>
      <c r="OVB83" s="367">
        <v>15.38</v>
      </c>
      <c r="OVC83" s="367" t="e">
        <f>OUZ83*OVA83*OVB83</f>
        <v>#DIV/0!</v>
      </c>
      <c r="OVD83" s="363" t="s">
        <v>153</v>
      </c>
      <c r="OVE83" s="363"/>
      <c r="OVF83" s="363"/>
      <c r="OVG83" s="364" t="s">
        <v>140</v>
      </c>
      <c r="OVH83" s="365">
        <v>0.5</v>
      </c>
      <c r="OVI83" s="366" t="e">
        <f>10/OVE81</f>
        <v>#DIV/0!</v>
      </c>
      <c r="OVJ83" s="367">
        <v>15.38</v>
      </c>
      <c r="OVK83" s="367" t="e">
        <f>OVH83*OVI83*OVJ83</f>
        <v>#DIV/0!</v>
      </c>
      <c r="OVL83" s="363" t="s">
        <v>153</v>
      </c>
      <c r="OVM83" s="363"/>
      <c r="OVN83" s="363"/>
      <c r="OVO83" s="364" t="s">
        <v>140</v>
      </c>
      <c r="OVP83" s="365">
        <v>0.5</v>
      </c>
      <c r="OVQ83" s="366" t="e">
        <f>10/OVM81</f>
        <v>#DIV/0!</v>
      </c>
      <c r="OVR83" s="367">
        <v>15.38</v>
      </c>
      <c r="OVS83" s="367" t="e">
        <f>OVP83*OVQ83*OVR83</f>
        <v>#DIV/0!</v>
      </c>
      <c r="OVT83" s="363" t="s">
        <v>153</v>
      </c>
      <c r="OVU83" s="363"/>
      <c r="OVV83" s="363"/>
      <c r="OVW83" s="364" t="s">
        <v>140</v>
      </c>
      <c r="OVX83" s="365">
        <v>0.5</v>
      </c>
      <c r="OVY83" s="366" t="e">
        <f>10/OVU81</f>
        <v>#DIV/0!</v>
      </c>
      <c r="OVZ83" s="367">
        <v>15.38</v>
      </c>
      <c r="OWA83" s="367" t="e">
        <f>OVX83*OVY83*OVZ83</f>
        <v>#DIV/0!</v>
      </c>
      <c r="OWB83" s="363" t="s">
        <v>153</v>
      </c>
      <c r="OWC83" s="363"/>
      <c r="OWD83" s="363"/>
      <c r="OWE83" s="364" t="s">
        <v>140</v>
      </c>
      <c r="OWF83" s="365">
        <v>0.5</v>
      </c>
      <c r="OWG83" s="366" t="e">
        <f>10/OWC81</f>
        <v>#DIV/0!</v>
      </c>
      <c r="OWH83" s="367">
        <v>15.38</v>
      </c>
      <c r="OWI83" s="367" t="e">
        <f>OWF83*OWG83*OWH83</f>
        <v>#DIV/0!</v>
      </c>
      <c r="OWJ83" s="363" t="s">
        <v>153</v>
      </c>
      <c r="OWK83" s="363"/>
      <c r="OWL83" s="363"/>
      <c r="OWM83" s="364" t="s">
        <v>140</v>
      </c>
      <c r="OWN83" s="365">
        <v>0.5</v>
      </c>
      <c r="OWO83" s="366" t="e">
        <f>10/OWK81</f>
        <v>#DIV/0!</v>
      </c>
      <c r="OWP83" s="367">
        <v>15.38</v>
      </c>
      <c r="OWQ83" s="367" t="e">
        <f>OWN83*OWO83*OWP83</f>
        <v>#DIV/0!</v>
      </c>
      <c r="OWR83" s="363" t="s">
        <v>153</v>
      </c>
      <c r="OWS83" s="363"/>
      <c r="OWT83" s="363"/>
      <c r="OWU83" s="364" t="s">
        <v>140</v>
      </c>
      <c r="OWV83" s="365">
        <v>0.5</v>
      </c>
      <c r="OWW83" s="366" t="e">
        <f>10/OWS81</f>
        <v>#DIV/0!</v>
      </c>
      <c r="OWX83" s="367">
        <v>15.38</v>
      </c>
      <c r="OWY83" s="367" t="e">
        <f>OWV83*OWW83*OWX83</f>
        <v>#DIV/0!</v>
      </c>
      <c r="OWZ83" s="363" t="s">
        <v>153</v>
      </c>
      <c r="OXA83" s="363"/>
      <c r="OXB83" s="363"/>
      <c r="OXC83" s="364" t="s">
        <v>140</v>
      </c>
      <c r="OXD83" s="365">
        <v>0.5</v>
      </c>
      <c r="OXE83" s="366" t="e">
        <f>10/OXA81</f>
        <v>#DIV/0!</v>
      </c>
      <c r="OXF83" s="367">
        <v>15.38</v>
      </c>
      <c r="OXG83" s="367" t="e">
        <f>OXD83*OXE83*OXF83</f>
        <v>#DIV/0!</v>
      </c>
      <c r="OXH83" s="363" t="s">
        <v>153</v>
      </c>
      <c r="OXI83" s="363"/>
      <c r="OXJ83" s="363"/>
      <c r="OXK83" s="364" t="s">
        <v>140</v>
      </c>
      <c r="OXL83" s="365">
        <v>0.5</v>
      </c>
      <c r="OXM83" s="366" t="e">
        <f>10/OXI81</f>
        <v>#DIV/0!</v>
      </c>
      <c r="OXN83" s="367">
        <v>15.38</v>
      </c>
      <c r="OXO83" s="367" t="e">
        <f>OXL83*OXM83*OXN83</f>
        <v>#DIV/0!</v>
      </c>
      <c r="OXP83" s="363" t="s">
        <v>153</v>
      </c>
      <c r="OXQ83" s="363"/>
      <c r="OXR83" s="363"/>
      <c r="OXS83" s="364" t="s">
        <v>140</v>
      </c>
      <c r="OXT83" s="365">
        <v>0.5</v>
      </c>
      <c r="OXU83" s="366" t="e">
        <f>10/OXQ81</f>
        <v>#DIV/0!</v>
      </c>
      <c r="OXV83" s="367">
        <v>15.38</v>
      </c>
      <c r="OXW83" s="367" t="e">
        <f>OXT83*OXU83*OXV83</f>
        <v>#DIV/0!</v>
      </c>
      <c r="OXX83" s="363" t="s">
        <v>153</v>
      </c>
      <c r="OXY83" s="363"/>
      <c r="OXZ83" s="363"/>
      <c r="OYA83" s="364" t="s">
        <v>140</v>
      </c>
      <c r="OYB83" s="365">
        <v>0.5</v>
      </c>
      <c r="OYC83" s="366" t="e">
        <f>10/OXY81</f>
        <v>#DIV/0!</v>
      </c>
      <c r="OYD83" s="367">
        <v>15.38</v>
      </c>
      <c r="OYE83" s="367" t="e">
        <f>OYB83*OYC83*OYD83</f>
        <v>#DIV/0!</v>
      </c>
      <c r="OYF83" s="363" t="s">
        <v>153</v>
      </c>
      <c r="OYG83" s="363"/>
      <c r="OYH83" s="363"/>
      <c r="OYI83" s="364" t="s">
        <v>140</v>
      </c>
      <c r="OYJ83" s="365">
        <v>0.5</v>
      </c>
      <c r="OYK83" s="366" t="e">
        <f>10/OYG81</f>
        <v>#DIV/0!</v>
      </c>
      <c r="OYL83" s="367">
        <v>15.38</v>
      </c>
      <c r="OYM83" s="367" t="e">
        <f>OYJ83*OYK83*OYL83</f>
        <v>#DIV/0!</v>
      </c>
      <c r="OYN83" s="363" t="s">
        <v>153</v>
      </c>
      <c r="OYO83" s="363"/>
      <c r="OYP83" s="363"/>
      <c r="OYQ83" s="364" t="s">
        <v>140</v>
      </c>
      <c r="OYR83" s="365">
        <v>0.5</v>
      </c>
      <c r="OYS83" s="366" t="e">
        <f>10/OYO81</f>
        <v>#DIV/0!</v>
      </c>
      <c r="OYT83" s="367">
        <v>15.38</v>
      </c>
      <c r="OYU83" s="367" t="e">
        <f>OYR83*OYS83*OYT83</f>
        <v>#DIV/0!</v>
      </c>
      <c r="OYV83" s="363" t="s">
        <v>153</v>
      </c>
      <c r="OYW83" s="363"/>
      <c r="OYX83" s="363"/>
      <c r="OYY83" s="364" t="s">
        <v>140</v>
      </c>
      <c r="OYZ83" s="365">
        <v>0.5</v>
      </c>
      <c r="OZA83" s="366" t="e">
        <f>10/OYW81</f>
        <v>#DIV/0!</v>
      </c>
      <c r="OZB83" s="367">
        <v>15.38</v>
      </c>
      <c r="OZC83" s="367" t="e">
        <f>OYZ83*OZA83*OZB83</f>
        <v>#DIV/0!</v>
      </c>
      <c r="OZD83" s="363" t="s">
        <v>153</v>
      </c>
      <c r="OZE83" s="363"/>
      <c r="OZF83" s="363"/>
      <c r="OZG83" s="364" t="s">
        <v>140</v>
      </c>
      <c r="OZH83" s="365">
        <v>0.5</v>
      </c>
      <c r="OZI83" s="366" t="e">
        <f>10/OZE81</f>
        <v>#DIV/0!</v>
      </c>
      <c r="OZJ83" s="367">
        <v>15.38</v>
      </c>
      <c r="OZK83" s="367" t="e">
        <f>OZH83*OZI83*OZJ83</f>
        <v>#DIV/0!</v>
      </c>
      <c r="OZL83" s="363" t="s">
        <v>153</v>
      </c>
      <c r="OZM83" s="363"/>
      <c r="OZN83" s="363"/>
      <c r="OZO83" s="364" t="s">
        <v>140</v>
      </c>
      <c r="OZP83" s="365">
        <v>0.5</v>
      </c>
      <c r="OZQ83" s="366" t="e">
        <f>10/OZM81</f>
        <v>#DIV/0!</v>
      </c>
      <c r="OZR83" s="367">
        <v>15.38</v>
      </c>
      <c r="OZS83" s="367" t="e">
        <f>OZP83*OZQ83*OZR83</f>
        <v>#DIV/0!</v>
      </c>
      <c r="OZT83" s="363" t="s">
        <v>153</v>
      </c>
      <c r="OZU83" s="363"/>
      <c r="OZV83" s="363"/>
      <c r="OZW83" s="364" t="s">
        <v>140</v>
      </c>
      <c r="OZX83" s="365">
        <v>0.5</v>
      </c>
      <c r="OZY83" s="366" t="e">
        <f>10/OZU81</f>
        <v>#DIV/0!</v>
      </c>
      <c r="OZZ83" s="367">
        <v>15.38</v>
      </c>
      <c r="PAA83" s="367" t="e">
        <f>OZX83*OZY83*OZZ83</f>
        <v>#DIV/0!</v>
      </c>
      <c r="PAB83" s="363" t="s">
        <v>153</v>
      </c>
      <c r="PAC83" s="363"/>
      <c r="PAD83" s="363"/>
      <c r="PAE83" s="364" t="s">
        <v>140</v>
      </c>
      <c r="PAF83" s="365">
        <v>0.5</v>
      </c>
      <c r="PAG83" s="366" t="e">
        <f>10/PAC81</f>
        <v>#DIV/0!</v>
      </c>
      <c r="PAH83" s="367">
        <v>15.38</v>
      </c>
      <c r="PAI83" s="367" t="e">
        <f>PAF83*PAG83*PAH83</f>
        <v>#DIV/0!</v>
      </c>
      <c r="PAJ83" s="363" t="s">
        <v>153</v>
      </c>
      <c r="PAK83" s="363"/>
      <c r="PAL83" s="363"/>
      <c r="PAM83" s="364" t="s">
        <v>140</v>
      </c>
      <c r="PAN83" s="365">
        <v>0.5</v>
      </c>
      <c r="PAO83" s="366" t="e">
        <f>10/PAK81</f>
        <v>#DIV/0!</v>
      </c>
      <c r="PAP83" s="367">
        <v>15.38</v>
      </c>
      <c r="PAQ83" s="367" t="e">
        <f>PAN83*PAO83*PAP83</f>
        <v>#DIV/0!</v>
      </c>
      <c r="PAR83" s="363" t="s">
        <v>153</v>
      </c>
      <c r="PAS83" s="363"/>
      <c r="PAT83" s="363"/>
      <c r="PAU83" s="364" t="s">
        <v>140</v>
      </c>
      <c r="PAV83" s="365">
        <v>0.5</v>
      </c>
      <c r="PAW83" s="366" t="e">
        <f>10/PAS81</f>
        <v>#DIV/0!</v>
      </c>
      <c r="PAX83" s="367">
        <v>15.38</v>
      </c>
      <c r="PAY83" s="367" t="e">
        <f>PAV83*PAW83*PAX83</f>
        <v>#DIV/0!</v>
      </c>
      <c r="PAZ83" s="363" t="s">
        <v>153</v>
      </c>
      <c r="PBA83" s="363"/>
      <c r="PBB83" s="363"/>
      <c r="PBC83" s="364" t="s">
        <v>140</v>
      </c>
      <c r="PBD83" s="365">
        <v>0.5</v>
      </c>
      <c r="PBE83" s="366" t="e">
        <f>10/PBA81</f>
        <v>#DIV/0!</v>
      </c>
      <c r="PBF83" s="367">
        <v>15.38</v>
      </c>
      <c r="PBG83" s="367" t="e">
        <f>PBD83*PBE83*PBF83</f>
        <v>#DIV/0!</v>
      </c>
      <c r="PBH83" s="363" t="s">
        <v>153</v>
      </c>
      <c r="PBI83" s="363"/>
      <c r="PBJ83" s="363"/>
      <c r="PBK83" s="364" t="s">
        <v>140</v>
      </c>
      <c r="PBL83" s="365">
        <v>0.5</v>
      </c>
      <c r="PBM83" s="366" t="e">
        <f>10/PBI81</f>
        <v>#DIV/0!</v>
      </c>
      <c r="PBN83" s="367">
        <v>15.38</v>
      </c>
      <c r="PBO83" s="367" t="e">
        <f>PBL83*PBM83*PBN83</f>
        <v>#DIV/0!</v>
      </c>
      <c r="PBP83" s="363" t="s">
        <v>153</v>
      </c>
      <c r="PBQ83" s="363"/>
      <c r="PBR83" s="363"/>
      <c r="PBS83" s="364" t="s">
        <v>140</v>
      </c>
      <c r="PBT83" s="365">
        <v>0.5</v>
      </c>
      <c r="PBU83" s="366" t="e">
        <f>10/PBQ81</f>
        <v>#DIV/0!</v>
      </c>
      <c r="PBV83" s="367">
        <v>15.38</v>
      </c>
      <c r="PBW83" s="367" t="e">
        <f>PBT83*PBU83*PBV83</f>
        <v>#DIV/0!</v>
      </c>
      <c r="PBX83" s="363" t="s">
        <v>153</v>
      </c>
      <c r="PBY83" s="363"/>
      <c r="PBZ83" s="363"/>
      <c r="PCA83" s="364" t="s">
        <v>140</v>
      </c>
      <c r="PCB83" s="365">
        <v>0.5</v>
      </c>
      <c r="PCC83" s="366" t="e">
        <f>10/PBY81</f>
        <v>#DIV/0!</v>
      </c>
      <c r="PCD83" s="367">
        <v>15.38</v>
      </c>
      <c r="PCE83" s="367" t="e">
        <f>PCB83*PCC83*PCD83</f>
        <v>#DIV/0!</v>
      </c>
      <c r="PCF83" s="363" t="s">
        <v>153</v>
      </c>
      <c r="PCG83" s="363"/>
      <c r="PCH83" s="363"/>
      <c r="PCI83" s="364" t="s">
        <v>140</v>
      </c>
      <c r="PCJ83" s="365">
        <v>0.5</v>
      </c>
      <c r="PCK83" s="366" t="e">
        <f>10/PCG81</f>
        <v>#DIV/0!</v>
      </c>
      <c r="PCL83" s="367">
        <v>15.38</v>
      </c>
      <c r="PCM83" s="367" t="e">
        <f>PCJ83*PCK83*PCL83</f>
        <v>#DIV/0!</v>
      </c>
      <c r="PCN83" s="363" t="s">
        <v>153</v>
      </c>
      <c r="PCO83" s="363"/>
      <c r="PCP83" s="363"/>
      <c r="PCQ83" s="364" t="s">
        <v>140</v>
      </c>
      <c r="PCR83" s="365">
        <v>0.5</v>
      </c>
      <c r="PCS83" s="366" t="e">
        <f>10/PCO81</f>
        <v>#DIV/0!</v>
      </c>
      <c r="PCT83" s="367">
        <v>15.38</v>
      </c>
      <c r="PCU83" s="367" t="e">
        <f>PCR83*PCS83*PCT83</f>
        <v>#DIV/0!</v>
      </c>
      <c r="PCV83" s="363" t="s">
        <v>153</v>
      </c>
      <c r="PCW83" s="363"/>
      <c r="PCX83" s="363"/>
      <c r="PCY83" s="364" t="s">
        <v>140</v>
      </c>
      <c r="PCZ83" s="365">
        <v>0.5</v>
      </c>
      <c r="PDA83" s="366" t="e">
        <f>10/PCW81</f>
        <v>#DIV/0!</v>
      </c>
      <c r="PDB83" s="367">
        <v>15.38</v>
      </c>
      <c r="PDC83" s="367" t="e">
        <f>PCZ83*PDA83*PDB83</f>
        <v>#DIV/0!</v>
      </c>
      <c r="PDD83" s="363" t="s">
        <v>153</v>
      </c>
      <c r="PDE83" s="363"/>
      <c r="PDF83" s="363"/>
      <c r="PDG83" s="364" t="s">
        <v>140</v>
      </c>
      <c r="PDH83" s="365">
        <v>0.5</v>
      </c>
      <c r="PDI83" s="366" t="e">
        <f>10/PDE81</f>
        <v>#DIV/0!</v>
      </c>
      <c r="PDJ83" s="367">
        <v>15.38</v>
      </c>
      <c r="PDK83" s="367" t="e">
        <f>PDH83*PDI83*PDJ83</f>
        <v>#DIV/0!</v>
      </c>
      <c r="PDL83" s="363" t="s">
        <v>153</v>
      </c>
      <c r="PDM83" s="363"/>
      <c r="PDN83" s="363"/>
      <c r="PDO83" s="364" t="s">
        <v>140</v>
      </c>
      <c r="PDP83" s="365">
        <v>0.5</v>
      </c>
      <c r="PDQ83" s="366" t="e">
        <f>10/PDM81</f>
        <v>#DIV/0!</v>
      </c>
      <c r="PDR83" s="367">
        <v>15.38</v>
      </c>
      <c r="PDS83" s="367" t="e">
        <f>PDP83*PDQ83*PDR83</f>
        <v>#DIV/0!</v>
      </c>
      <c r="PDT83" s="363" t="s">
        <v>153</v>
      </c>
      <c r="PDU83" s="363"/>
      <c r="PDV83" s="363"/>
      <c r="PDW83" s="364" t="s">
        <v>140</v>
      </c>
      <c r="PDX83" s="365">
        <v>0.5</v>
      </c>
      <c r="PDY83" s="366" t="e">
        <f>10/PDU81</f>
        <v>#DIV/0!</v>
      </c>
      <c r="PDZ83" s="367">
        <v>15.38</v>
      </c>
      <c r="PEA83" s="367" t="e">
        <f>PDX83*PDY83*PDZ83</f>
        <v>#DIV/0!</v>
      </c>
      <c r="PEB83" s="363" t="s">
        <v>153</v>
      </c>
      <c r="PEC83" s="363"/>
      <c r="PED83" s="363"/>
      <c r="PEE83" s="364" t="s">
        <v>140</v>
      </c>
      <c r="PEF83" s="365">
        <v>0.5</v>
      </c>
      <c r="PEG83" s="366" t="e">
        <f>10/PEC81</f>
        <v>#DIV/0!</v>
      </c>
      <c r="PEH83" s="367">
        <v>15.38</v>
      </c>
      <c r="PEI83" s="367" t="e">
        <f>PEF83*PEG83*PEH83</f>
        <v>#DIV/0!</v>
      </c>
      <c r="PEJ83" s="363" t="s">
        <v>153</v>
      </c>
      <c r="PEK83" s="363"/>
      <c r="PEL83" s="363"/>
      <c r="PEM83" s="364" t="s">
        <v>140</v>
      </c>
      <c r="PEN83" s="365">
        <v>0.5</v>
      </c>
      <c r="PEO83" s="366" t="e">
        <f>10/PEK81</f>
        <v>#DIV/0!</v>
      </c>
      <c r="PEP83" s="367">
        <v>15.38</v>
      </c>
      <c r="PEQ83" s="367" t="e">
        <f>PEN83*PEO83*PEP83</f>
        <v>#DIV/0!</v>
      </c>
      <c r="PER83" s="363" t="s">
        <v>153</v>
      </c>
      <c r="PES83" s="363"/>
      <c r="PET83" s="363"/>
      <c r="PEU83" s="364" t="s">
        <v>140</v>
      </c>
      <c r="PEV83" s="365">
        <v>0.5</v>
      </c>
      <c r="PEW83" s="366" t="e">
        <f>10/PES81</f>
        <v>#DIV/0!</v>
      </c>
      <c r="PEX83" s="367">
        <v>15.38</v>
      </c>
      <c r="PEY83" s="367" t="e">
        <f>PEV83*PEW83*PEX83</f>
        <v>#DIV/0!</v>
      </c>
      <c r="PEZ83" s="363" t="s">
        <v>153</v>
      </c>
      <c r="PFA83" s="363"/>
      <c r="PFB83" s="363"/>
      <c r="PFC83" s="364" t="s">
        <v>140</v>
      </c>
      <c r="PFD83" s="365">
        <v>0.5</v>
      </c>
      <c r="PFE83" s="366" t="e">
        <f>10/PFA81</f>
        <v>#DIV/0!</v>
      </c>
      <c r="PFF83" s="367">
        <v>15.38</v>
      </c>
      <c r="PFG83" s="367" t="e">
        <f>PFD83*PFE83*PFF83</f>
        <v>#DIV/0!</v>
      </c>
      <c r="PFH83" s="363" t="s">
        <v>153</v>
      </c>
      <c r="PFI83" s="363"/>
      <c r="PFJ83" s="363"/>
      <c r="PFK83" s="364" t="s">
        <v>140</v>
      </c>
      <c r="PFL83" s="365">
        <v>0.5</v>
      </c>
      <c r="PFM83" s="366" t="e">
        <f>10/PFI81</f>
        <v>#DIV/0!</v>
      </c>
      <c r="PFN83" s="367">
        <v>15.38</v>
      </c>
      <c r="PFO83" s="367" t="e">
        <f>PFL83*PFM83*PFN83</f>
        <v>#DIV/0!</v>
      </c>
      <c r="PFP83" s="363" t="s">
        <v>153</v>
      </c>
      <c r="PFQ83" s="363"/>
      <c r="PFR83" s="363"/>
      <c r="PFS83" s="364" t="s">
        <v>140</v>
      </c>
      <c r="PFT83" s="365">
        <v>0.5</v>
      </c>
      <c r="PFU83" s="366" t="e">
        <f>10/PFQ81</f>
        <v>#DIV/0!</v>
      </c>
      <c r="PFV83" s="367">
        <v>15.38</v>
      </c>
      <c r="PFW83" s="367" t="e">
        <f>PFT83*PFU83*PFV83</f>
        <v>#DIV/0!</v>
      </c>
      <c r="PFX83" s="363" t="s">
        <v>153</v>
      </c>
      <c r="PFY83" s="363"/>
      <c r="PFZ83" s="363"/>
      <c r="PGA83" s="364" t="s">
        <v>140</v>
      </c>
      <c r="PGB83" s="365">
        <v>0.5</v>
      </c>
      <c r="PGC83" s="366" t="e">
        <f>10/PFY81</f>
        <v>#DIV/0!</v>
      </c>
      <c r="PGD83" s="367">
        <v>15.38</v>
      </c>
      <c r="PGE83" s="367" t="e">
        <f>PGB83*PGC83*PGD83</f>
        <v>#DIV/0!</v>
      </c>
      <c r="PGF83" s="363" t="s">
        <v>153</v>
      </c>
      <c r="PGG83" s="363"/>
      <c r="PGH83" s="363"/>
      <c r="PGI83" s="364" t="s">
        <v>140</v>
      </c>
      <c r="PGJ83" s="365">
        <v>0.5</v>
      </c>
      <c r="PGK83" s="366" t="e">
        <f>10/PGG81</f>
        <v>#DIV/0!</v>
      </c>
      <c r="PGL83" s="367">
        <v>15.38</v>
      </c>
      <c r="PGM83" s="367" t="e">
        <f>PGJ83*PGK83*PGL83</f>
        <v>#DIV/0!</v>
      </c>
      <c r="PGN83" s="363" t="s">
        <v>153</v>
      </c>
      <c r="PGO83" s="363"/>
      <c r="PGP83" s="363"/>
      <c r="PGQ83" s="364" t="s">
        <v>140</v>
      </c>
      <c r="PGR83" s="365">
        <v>0.5</v>
      </c>
      <c r="PGS83" s="366" t="e">
        <f>10/PGO81</f>
        <v>#DIV/0!</v>
      </c>
      <c r="PGT83" s="367">
        <v>15.38</v>
      </c>
      <c r="PGU83" s="367" t="e">
        <f>PGR83*PGS83*PGT83</f>
        <v>#DIV/0!</v>
      </c>
      <c r="PGV83" s="363" t="s">
        <v>153</v>
      </c>
      <c r="PGW83" s="363"/>
      <c r="PGX83" s="363"/>
      <c r="PGY83" s="364" t="s">
        <v>140</v>
      </c>
      <c r="PGZ83" s="365">
        <v>0.5</v>
      </c>
      <c r="PHA83" s="366" t="e">
        <f>10/PGW81</f>
        <v>#DIV/0!</v>
      </c>
      <c r="PHB83" s="367">
        <v>15.38</v>
      </c>
      <c r="PHC83" s="367" t="e">
        <f>PGZ83*PHA83*PHB83</f>
        <v>#DIV/0!</v>
      </c>
      <c r="PHD83" s="363" t="s">
        <v>153</v>
      </c>
      <c r="PHE83" s="363"/>
      <c r="PHF83" s="363"/>
      <c r="PHG83" s="364" t="s">
        <v>140</v>
      </c>
      <c r="PHH83" s="365">
        <v>0.5</v>
      </c>
      <c r="PHI83" s="366" t="e">
        <f>10/PHE81</f>
        <v>#DIV/0!</v>
      </c>
      <c r="PHJ83" s="367">
        <v>15.38</v>
      </c>
      <c r="PHK83" s="367" t="e">
        <f>PHH83*PHI83*PHJ83</f>
        <v>#DIV/0!</v>
      </c>
      <c r="PHL83" s="363" t="s">
        <v>153</v>
      </c>
      <c r="PHM83" s="363"/>
      <c r="PHN83" s="363"/>
      <c r="PHO83" s="364" t="s">
        <v>140</v>
      </c>
      <c r="PHP83" s="365">
        <v>0.5</v>
      </c>
      <c r="PHQ83" s="366" t="e">
        <f>10/PHM81</f>
        <v>#DIV/0!</v>
      </c>
      <c r="PHR83" s="367">
        <v>15.38</v>
      </c>
      <c r="PHS83" s="367" t="e">
        <f>PHP83*PHQ83*PHR83</f>
        <v>#DIV/0!</v>
      </c>
      <c r="PHT83" s="363" t="s">
        <v>153</v>
      </c>
      <c r="PHU83" s="363"/>
      <c r="PHV83" s="363"/>
      <c r="PHW83" s="364" t="s">
        <v>140</v>
      </c>
      <c r="PHX83" s="365">
        <v>0.5</v>
      </c>
      <c r="PHY83" s="366" t="e">
        <f>10/PHU81</f>
        <v>#DIV/0!</v>
      </c>
      <c r="PHZ83" s="367">
        <v>15.38</v>
      </c>
      <c r="PIA83" s="367" t="e">
        <f>PHX83*PHY83*PHZ83</f>
        <v>#DIV/0!</v>
      </c>
      <c r="PIB83" s="363" t="s">
        <v>153</v>
      </c>
      <c r="PIC83" s="363"/>
      <c r="PID83" s="363"/>
      <c r="PIE83" s="364" t="s">
        <v>140</v>
      </c>
      <c r="PIF83" s="365">
        <v>0.5</v>
      </c>
      <c r="PIG83" s="366" t="e">
        <f>10/PIC81</f>
        <v>#DIV/0!</v>
      </c>
      <c r="PIH83" s="367">
        <v>15.38</v>
      </c>
      <c r="PII83" s="367" t="e">
        <f>PIF83*PIG83*PIH83</f>
        <v>#DIV/0!</v>
      </c>
      <c r="PIJ83" s="363" t="s">
        <v>153</v>
      </c>
      <c r="PIK83" s="363"/>
      <c r="PIL83" s="363"/>
      <c r="PIM83" s="364" t="s">
        <v>140</v>
      </c>
      <c r="PIN83" s="365">
        <v>0.5</v>
      </c>
      <c r="PIO83" s="366" t="e">
        <f>10/PIK81</f>
        <v>#DIV/0!</v>
      </c>
      <c r="PIP83" s="367">
        <v>15.38</v>
      </c>
      <c r="PIQ83" s="367" t="e">
        <f>PIN83*PIO83*PIP83</f>
        <v>#DIV/0!</v>
      </c>
      <c r="PIR83" s="363" t="s">
        <v>153</v>
      </c>
      <c r="PIS83" s="363"/>
      <c r="PIT83" s="363"/>
      <c r="PIU83" s="364" t="s">
        <v>140</v>
      </c>
      <c r="PIV83" s="365">
        <v>0.5</v>
      </c>
      <c r="PIW83" s="366" t="e">
        <f>10/PIS81</f>
        <v>#DIV/0!</v>
      </c>
      <c r="PIX83" s="367">
        <v>15.38</v>
      </c>
      <c r="PIY83" s="367" t="e">
        <f>PIV83*PIW83*PIX83</f>
        <v>#DIV/0!</v>
      </c>
      <c r="PIZ83" s="363" t="s">
        <v>153</v>
      </c>
      <c r="PJA83" s="363"/>
      <c r="PJB83" s="363"/>
      <c r="PJC83" s="364" t="s">
        <v>140</v>
      </c>
      <c r="PJD83" s="365">
        <v>0.5</v>
      </c>
      <c r="PJE83" s="366" t="e">
        <f>10/PJA81</f>
        <v>#DIV/0!</v>
      </c>
      <c r="PJF83" s="367">
        <v>15.38</v>
      </c>
      <c r="PJG83" s="367" t="e">
        <f>PJD83*PJE83*PJF83</f>
        <v>#DIV/0!</v>
      </c>
      <c r="PJH83" s="363" t="s">
        <v>153</v>
      </c>
      <c r="PJI83" s="363"/>
      <c r="PJJ83" s="363"/>
      <c r="PJK83" s="364" t="s">
        <v>140</v>
      </c>
      <c r="PJL83" s="365">
        <v>0.5</v>
      </c>
      <c r="PJM83" s="366" t="e">
        <f>10/PJI81</f>
        <v>#DIV/0!</v>
      </c>
      <c r="PJN83" s="367">
        <v>15.38</v>
      </c>
      <c r="PJO83" s="367" t="e">
        <f>PJL83*PJM83*PJN83</f>
        <v>#DIV/0!</v>
      </c>
      <c r="PJP83" s="363" t="s">
        <v>153</v>
      </c>
      <c r="PJQ83" s="363"/>
      <c r="PJR83" s="363"/>
      <c r="PJS83" s="364" t="s">
        <v>140</v>
      </c>
      <c r="PJT83" s="365">
        <v>0.5</v>
      </c>
      <c r="PJU83" s="366" t="e">
        <f>10/PJQ81</f>
        <v>#DIV/0!</v>
      </c>
      <c r="PJV83" s="367">
        <v>15.38</v>
      </c>
      <c r="PJW83" s="367" t="e">
        <f>PJT83*PJU83*PJV83</f>
        <v>#DIV/0!</v>
      </c>
      <c r="PJX83" s="363" t="s">
        <v>153</v>
      </c>
      <c r="PJY83" s="363"/>
      <c r="PJZ83" s="363"/>
      <c r="PKA83" s="364" t="s">
        <v>140</v>
      </c>
      <c r="PKB83" s="365">
        <v>0.5</v>
      </c>
      <c r="PKC83" s="366" t="e">
        <f>10/PJY81</f>
        <v>#DIV/0!</v>
      </c>
      <c r="PKD83" s="367">
        <v>15.38</v>
      </c>
      <c r="PKE83" s="367" t="e">
        <f>PKB83*PKC83*PKD83</f>
        <v>#DIV/0!</v>
      </c>
      <c r="PKF83" s="363" t="s">
        <v>153</v>
      </c>
      <c r="PKG83" s="363"/>
      <c r="PKH83" s="363"/>
      <c r="PKI83" s="364" t="s">
        <v>140</v>
      </c>
      <c r="PKJ83" s="365">
        <v>0.5</v>
      </c>
      <c r="PKK83" s="366" t="e">
        <f>10/PKG81</f>
        <v>#DIV/0!</v>
      </c>
      <c r="PKL83" s="367">
        <v>15.38</v>
      </c>
      <c r="PKM83" s="367" t="e">
        <f>PKJ83*PKK83*PKL83</f>
        <v>#DIV/0!</v>
      </c>
      <c r="PKN83" s="363" t="s">
        <v>153</v>
      </c>
      <c r="PKO83" s="363"/>
      <c r="PKP83" s="363"/>
      <c r="PKQ83" s="364" t="s">
        <v>140</v>
      </c>
      <c r="PKR83" s="365">
        <v>0.5</v>
      </c>
      <c r="PKS83" s="366" t="e">
        <f>10/PKO81</f>
        <v>#DIV/0!</v>
      </c>
      <c r="PKT83" s="367">
        <v>15.38</v>
      </c>
      <c r="PKU83" s="367" t="e">
        <f>PKR83*PKS83*PKT83</f>
        <v>#DIV/0!</v>
      </c>
      <c r="PKV83" s="363" t="s">
        <v>153</v>
      </c>
      <c r="PKW83" s="363"/>
      <c r="PKX83" s="363"/>
      <c r="PKY83" s="364" t="s">
        <v>140</v>
      </c>
      <c r="PKZ83" s="365">
        <v>0.5</v>
      </c>
      <c r="PLA83" s="366" t="e">
        <f>10/PKW81</f>
        <v>#DIV/0!</v>
      </c>
      <c r="PLB83" s="367">
        <v>15.38</v>
      </c>
      <c r="PLC83" s="367" t="e">
        <f>PKZ83*PLA83*PLB83</f>
        <v>#DIV/0!</v>
      </c>
      <c r="PLD83" s="363" t="s">
        <v>153</v>
      </c>
      <c r="PLE83" s="363"/>
      <c r="PLF83" s="363"/>
      <c r="PLG83" s="364" t="s">
        <v>140</v>
      </c>
      <c r="PLH83" s="365">
        <v>0.5</v>
      </c>
      <c r="PLI83" s="366" t="e">
        <f>10/PLE81</f>
        <v>#DIV/0!</v>
      </c>
      <c r="PLJ83" s="367">
        <v>15.38</v>
      </c>
      <c r="PLK83" s="367" t="e">
        <f>PLH83*PLI83*PLJ83</f>
        <v>#DIV/0!</v>
      </c>
      <c r="PLL83" s="363" t="s">
        <v>153</v>
      </c>
      <c r="PLM83" s="363"/>
      <c r="PLN83" s="363"/>
      <c r="PLO83" s="364" t="s">
        <v>140</v>
      </c>
      <c r="PLP83" s="365">
        <v>0.5</v>
      </c>
      <c r="PLQ83" s="366" t="e">
        <f>10/PLM81</f>
        <v>#DIV/0!</v>
      </c>
      <c r="PLR83" s="367">
        <v>15.38</v>
      </c>
      <c r="PLS83" s="367" t="e">
        <f>PLP83*PLQ83*PLR83</f>
        <v>#DIV/0!</v>
      </c>
      <c r="PLT83" s="363" t="s">
        <v>153</v>
      </c>
      <c r="PLU83" s="363"/>
      <c r="PLV83" s="363"/>
      <c r="PLW83" s="364" t="s">
        <v>140</v>
      </c>
      <c r="PLX83" s="365">
        <v>0.5</v>
      </c>
      <c r="PLY83" s="366" t="e">
        <f>10/PLU81</f>
        <v>#DIV/0!</v>
      </c>
      <c r="PLZ83" s="367">
        <v>15.38</v>
      </c>
      <c r="PMA83" s="367" t="e">
        <f>PLX83*PLY83*PLZ83</f>
        <v>#DIV/0!</v>
      </c>
      <c r="PMB83" s="363" t="s">
        <v>153</v>
      </c>
      <c r="PMC83" s="363"/>
      <c r="PMD83" s="363"/>
      <c r="PME83" s="364" t="s">
        <v>140</v>
      </c>
      <c r="PMF83" s="365">
        <v>0.5</v>
      </c>
      <c r="PMG83" s="366" t="e">
        <f>10/PMC81</f>
        <v>#DIV/0!</v>
      </c>
      <c r="PMH83" s="367">
        <v>15.38</v>
      </c>
      <c r="PMI83" s="367" t="e">
        <f>PMF83*PMG83*PMH83</f>
        <v>#DIV/0!</v>
      </c>
      <c r="PMJ83" s="363" t="s">
        <v>153</v>
      </c>
      <c r="PMK83" s="363"/>
      <c r="PML83" s="363"/>
      <c r="PMM83" s="364" t="s">
        <v>140</v>
      </c>
      <c r="PMN83" s="365">
        <v>0.5</v>
      </c>
      <c r="PMO83" s="366" t="e">
        <f>10/PMK81</f>
        <v>#DIV/0!</v>
      </c>
      <c r="PMP83" s="367">
        <v>15.38</v>
      </c>
      <c r="PMQ83" s="367" t="e">
        <f>PMN83*PMO83*PMP83</f>
        <v>#DIV/0!</v>
      </c>
      <c r="PMR83" s="363" t="s">
        <v>153</v>
      </c>
      <c r="PMS83" s="363"/>
      <c r="PMT83" s="363"/>
      <c r="PMU83" s="364" t="s">
        <v>140</v>
      </c>
      <c r="PMV83" s="365">
        <v>0.5</v>
      </c>
      <c r="PMW83" s="366" t="e">
        <f>10/PMS81</f>
        <v>#DIV/0!</v>
      </c>
      <c r="PMX83" s="367">
        <v>15.38</v>
      </c>
      <c r="PMY83" s="367" t="e">
        <f>PMV83*PMW83*PMX83</f>
        <v>#DIV/0!</v>
      </c>
      <c r="PMZ83" s="363" t="s">
        <v>153</v>
      </c>
      <c r="PNA83" s="363"/>
      <c r="PNB83" s="363"/>
      <c r="PNC83" s="364" t="s">
        <v>140</v>
      </c>
      <c r="PND83" s="365">
        <v>0.5</v>
      </c>
      <c r="PNE83" s="366" t="e">
        <f>10/PNA81</f>
        <v>#DIV/0!</v>
      </c>
      <c r="PNF83" s="367">
        <v>15.38</v>
      </c>
      <c r="PNG83" s="367" t="e">
        <f>PND83*PNE83*PNF83</f>
        <v>#DIV/0!</v>
      </c>
      <c r="PNH83" s="363" t="s">
        <v>153</v>
      </c>
      <c r="PNI83" s="363"/>
      <c r="PNJ83" s="363"/>
      <c r="PNK83" s="364" t="s">
        <v>140</v>
      </c>
      <c r="PNL83" s="365">
        <v>0.5</v>
      </c>
      <c r="PNM83" s="366" t="e">
        <f>10/PNI81</f>
        <v>#DIV/0!</v>
      </c>
      <c r="PNN83" s="367">
        <v>15.38</v>
      </c>
      <c r="PNO83" s="367" t="e">
        <f>PNL83*PNM83*PNN83</f>
        <v>#DIV/0!</v>
      </c>
      <c r="PNP83" s="363" t="s">
        <v>153</v>
      </c>
      <c r="PNQ83" s="363"/>
      <c r="PNR83" s="363"/>
      <c r="PNS83" s="364" t="s">
        <v>140</v>
      </c>
      <c r="PNT83" s="365">
        <v>0.5</v>
      </c>
      <c r="PNU83" s="366" t="e">
        <f>10/PNQ81</f>
        <v>#DIV/0!</v>
      </c>
      <c r="PNV83" s="367">
        <v>15.38</v>
      </c>
      <c r="PNW83" s="367" t="e">
        <f>PNT83*PNU83*PNV83</f>
        <v>#DIV/0!</v>
      </c>
      <c r="PNX83" s="363" t="s">
        <v>153</v>
      </c>
      <c r="PNY83" s="363"/>
      <c r="PNZ83" s="363"/>
      <c r="POA83" s="364" t="s">
        <v>140</v>
      </c>
      <c r="POB83" s="365">
        <v>0.5</v>
      </c>
      <c r="POC83" s="366" t="e">
        <f>10/PNY81</f>
        <v>#DIV/0!</v>
      </c>
      <c r="POD83" s="367">
        <v>15.38</v>
      </c>
      <c r="POE83" s="367" t="e">
        <f>POB83*POC83*POD83</f>
        <v>#DIV/0!</v>
      </c>
      <c r="POF83" s="363" t="s">
        <v>153</v>
      </c>
      <c r="POG83" s="363"/>
      <c r="POH83" s="363"/>
      <c r="POI83" s="364" t="s">
        <v>140</v>
      </c>
      <c r="POJ83" s="365">
        <v>0.5</v>
      </c>
      <c r="POK83" s="366" t="e">
        <f>10/POG81</f>
        <v>#DIV/0!</v>
      </c>
      <c r="POL83" s="367">
        <v>15.38</v>
      </c>
      <c r="POM83" s="367" t="e">
        <f>POJ83*POK83*POL83</f>
        <v>#DIV/0!</v>
      </c>
      <c r="PON83" s="363" t="s">
        <v>153</v>
      </c>
      <c r="POO83" s="363"/>
      <c r="POP83" s="363"/>
      <c r="POQ83" s="364" t="s">
        <v>140</v>
      </c>
      <c r="POR83" s="365">
        <v>0.5</v>
      </c>
      <c r="POS83" s="366" t="e">
        <f>10/POO81</f>
        <v>#DIV/0!</v>
      </c>
      <c r="POT83" s="367">
        <v>15.38</v>
      </c>
      <c r="POU83" s="367" t="e">
        <f>POR83*POS83*POT83</f>
        <v>#DIV/0!</v>
      </c>
      <c r="POV83" s="363" t="s">
        <v>153</v>
      </c>
      <c r="POW83" s="363"/>
      <c r="POX83" s="363"/>
      <c r="POY83" s="364" t="s">
        <v>140</v>
      </c>
      <c r="POZ83" s="365">
        <v>0.5</v>
      </c>
      <c r="PPA83" s="366" t="e">
        <f>10/POW81</f>
        <v>#DIV/0!</v>
      </c>
      <c r="PPB83" s="367">
        <v>15.38</v>
      </c>
      <c r="PPC83" s="367" t="e">
        <f>POZ83*PPA83*PPB83</f>
        <v>#DIV/0!</v>
      </c>
      <c r="PPD83" s="363" t="s">
        <v>153</v>
      </c>
      <c r="PPE83" s="363"/>
      <c r="PPF83" s="363"/>
      <c r="PPG83" s="364" t="s">
        <v>140</v>
      </c>
      <c r="PPH83" s="365">
        <v>0.5</v>
      </c>
      <c r="PPI83" s="366" t="e">
        <f>10/PPE81</f>
        <v>#DIV/0!</v>
      </c>
      <c r="PPJ83" s="367">
        <v>15.38</v>
      </c>
      <c r="PPK83" s="367" t="e">
        <f>PPH83*PPI83*PPJ83</f>
        <v>#DIV/0!</v>
      </c>
      <c r="PPL83" s="363" t="s">
        <v>153</v>
      </c>
      <c r="PPM83" s="363"/>
      <c r="PPN83" s="363"/>
      <c r="PPO83" s="364" t="s">
        <v>140</v>
      </c>
      <c r="PPP83" s="365">
        <v>0.5</v>
      </c>
      <c r="PPQ83" s="366" t="e">
        <f>10/PPM81</f>
        <v>#DIV/0!</v>
      </c>
      <c r="PPR83" s="367">
        <v>15.38</v>
      </c>
      <c r="PPS83" s="367" t="e">
        <f>PPP83*PPQ83*PPR83</f>
        <v>#DIV/0!</v>
      </c>
      <c r="PPT83" s="363" t="s">
        <v>153</v>
      </c>
      <c r="PPU83" s="363"/>
      <c r="PPV83" s="363"/>
      <c r="PPW83" s="364" t="s">
        <v>140</v>
      </c>
      <c r="PPX83" s="365">
        <v>0.5</v>
      </c>
      <c r="PPY83" s="366" t="e">
        <f>10/PPU81</f>
        <v>#DIV/0!</v>
      </c>
      <c r="PPZ83" s="367">
        <v>15.38</v>
      </c>
      <c r="PQA83" s="367" t="e">
        <f>PPX83*PPY83*PPZ83</f>
        <v>#DIV/0!</v>
      </c>
      <c r="PQB83" s="363" t="s">
        <v>153</v>
      </c>
      <c r="PQC83" s="363"/>
      <c r="PQD83" s="363"/>
      <c r="PQE83" s="364" t="s">
        <v>140</v>
      </c>
      <c r="PQF83" s="365">
        <v>0.5</v>
      </c>
      <c r="PQG83" s="366" t="e">
        <f>10/PQC81</f>
        <v>#DIV/0!</v>
      </c>
      <c r="PQH83" s="367">
        <v>15.38</v>
      </c>
      <c r="PQI83" s="367" t="e">
        <f>PQF83*PQG83*PQH83</f>
        <v>#DIV/0!</v>
      </c>
      <c r="PQJ83" s="363" t="s">
        <v>153</v>
      </c>
      <c r="PQK83" s="363"/>
      <c r="PQL83" s="363"/>
      <c r="PQM83" s="364" t="s">
        <v>140</v>
      </c>
      <c r="PQN83" s="365">
        <v>0.5</v>
      </c>
      <c r="PQO83" s="366" t="e">
        <f>10/PQK81</f>
        <v>#DIV/0!</v>
      </c>
      <c r="PQP83" s="367">
        <v>15.38</v>
      </c>
      <c r="PQQ83" s="367" t="e">
        <f>PQN83*PQO83*PQP83</f>
        <v>#DIV/0!</v>
      </c>
      <c r="PQR83" s="363" t="s">
        <v>153</v>
      </c>
      <c r="PQS83" s="363"/>
      <c r="PQT83" s="363"/>
      <c r="PQU83" s="364" t="s">
        <v>140</v>
      </c>
      <c r="PQV83" s="365">
        <v>0.5</v>
      </c>
      <c r="PQW83" s="366" t="e">
        <f>10/PQS81</f>
        <v>#DIV/0!</v>
      </c>
      <c r="PQX83" s="367">
        <v>15.38</v>
      </c>
      <c r="PQY83" s="367" t="e">
        <f>PQV83*PQW83*PQX83</f>
        <v>#DIV/0!</v>
      </c>
      <c r="PQZ83" s="363" t="s">
        <v>153</v>
      </c>
      <c r="PRA83" s="363"/>
      <c r="PRB83" s="363"/>
      <c r="PRC83" s="364" t="s">
        <v>140</v>
      </c>
      <c r="PRD83" s="365">
        <v>0.5</v>
      </c>
      <c r="PRE83" s="366" t="e">
        <f>10/PRA81</f>
        <v>#DIV/0!</v>
      </c>
      <c r="PRF83" s="367">
        <v>15.38</v>
      </c>
      <c r="PRG83" s="367" t="e">
        <f>PRD83*PRE83*PRF83</f>
        <v>#DIV/0!</v>
      </c>
      <c r="PRH83" s="363" t="s">
        <v>153</v>
      </c>
      <c r="PRI83" s="363"/>
      <c r="PRJ83" s="363"/>
      <c r="PRK83" s="364" t="s">
        <v>140</v>
      </c>
      <c r="PRL83" s="365">
        <v>0.5</v>
      </c>
      <c r="PRM83" s="366" t="e">
        <f>10/PRI81</f>
        <v>#DIV/0!</v>
      </c>
      <c r="PRN83" s="367">
        <v>15.38</v>
      </c>
      <c r="PRO83" s="367" t="e">
        <f>PRL83*PRM83*PRN83</f>
        <v>#DIV/0!</v>
      </c>
      <c r="PRP83" s="363" t="s">
        <v>153</v>
      </c>
      <c r="PRQ83" s="363"/>
      <c r="PRR83" s="363"/>
      <c r="PRS83" s="364" t="s">
        <v>140</v>
      </c>
      <c r="PRT83" s="365">
        <v>0.5</v>
      </c>
      <c r="PRU83" s="366" t="e">
        <f>10/PRQ81</f>
        <v>#DIV/0!</v>
      </c>
      <c r="PRV83" s="367">
        <v>15.38</v>
      </c>
      <c r="PRW83" s="367" t="e">
        <f>PRT83*PRU83*PRV83</f>
        <v>#DIV/0!</v>
      </c>
      <c r="PRX83" s="363" t="s">
        <v>153</v>
      </c>
      <c r="PRY83" s="363"/>
      <c r="PRZ83" s="363"/>
      <c r="PSA83" s="364" t="s">
        <v>140</v>
      </c>
      <c r="PSB83" s="365">
        <v>0.5</v>
      </c>
      <c r="PSC83" s="366" t="e">
        <f>10/PRY81</f>
        <v>#DIV/0!</v>
      </c>
      <c r="PSD83" s="367">
        <v>15.38</v>
      </c>
      <c r="PSE83" s="367" t="e">
        <f>PSB83*PSC83*PSD83</f>
        <v>#DIV/0!</v>
      </c>
      <c r="PSF83" s="363" t="s">
        <v>153</v>
      </c>
      <c r="PSG83" s="363"/>
      <c r="PSH83" s="363"/>
      <c r="PSI83" s="364" t="s">
        <v>140</v>
      </c>
      <c r="PSJ83" s="365">
        <v>0.5</v>
      </c>
      <c r="PSK83" s="366" t="e">
        <f>10/PSG81</f>
        <v>#DIV/0!</v>
      </c>
      <c r="PSL83" s="367">
        <v>15.38</v>
      </c>
      <c r="PSM83" s="367" t="e">
        <f>PSJ83*PSK83*PSL83</f>
        <v>#DIV/0!</v>
      </c>
      <c r="PSN83" s="363" t="s">
        <v>153</v>
      </c>
      <c r="PSO83" s="363"/>
      <c r="PSP83" s="363"/>
      <c r="PSQ83" s="364" t="s">
        <v>140</v>
      </c>
      <c r="PSR83" s="365">
        <v>0.5</v>
      </c>
      <c r="PSS83" s="366" t="e">
        <f>10/PSO81</f>
        <v>#DIV/0!</v>
      </c>
      <c r="PST83" s="367">
        <v>15.38</v>
      </c>
      <c r="PSU83" s="367" t="e">
        <f>PSR83*PSS83*PST83</f>
        <v>#DIV/0!</v>
      </c>
      <c r="PSV83" s="363" t="s">
        <v>153</v>
      </c>
      <c r="PSW83" s="363"/>
      <c r="PSX83" s="363"/>
      <c r="PSY83" s="364" t="s">
        <v>140</v>
      </c>
      <c r="PSZ83" s="365">
        <v>0.5</v>
      </c>
      <c r="PTA83" s="366" t="e">
        <f>10/PSW81</f>
        <v>#DIV/0!</v>
      </c>
      <c r="PTB83" s="367">
        <v>15.38</v>
      </c>
      <c r="PTC83" s="367" t="e">
        <f>PSZ83*PTA83*PTB83</f>
        <v>#DIV/0!</v>
      </c>
      <c r="PTD83" s="363" t="s">
        <v>153</v>
      </c>
      <c r="PTE83" s="363"/>
      <c r="PTF83" s="363"/>
      <c r="PTG83" s="364" t="s">
        <v>140</v>
      </c>
      <c r="PTH83" s="365">
        <v>0.5</v>
      </c>
      <c r="PTI83" s="366" t="e">
        <f>10/PTE81</f>
        <v>#DIV/0!</v>
      </c>
      <c r="PTJ83" s="367">
        <v>15.38</v>
      </c>
      <c r="PTK83" s="367" t="e">
        <f>PTH83*PTI83*PTJ83</f>
        <v>#DIV/0!</v>
      </c>
      <c r="PTL83" s="363" t="s">
        <v>153</v>
      </c>
      <c r="PTM83" s="363"/>
      <c r="PTN83" s="363"/>
      <c r="PTO83" s="364" t="s">
        <v>140</v>
      </c>
      <c r="PTP83" s="365">
        <v>0.5</v>
      </c>
      <c r="PTQ83" s="366" t="e">
        <f>10/PTM81</f>
        <v>#DIV/0!</v>
      </c>
      <c r="PTR83" s="367">
        <v>15.38</v>
      </c>
      <c r="PTS83" s="367" t="e">
        <f>PTP83*PTQ83*PTR83</f>
        <v>#DIV/0!</v>
      </c>
      <c r="PTT83" s="363" t="s">
        <v>153</v>
      </c>
      <c r="PTU83" s="363"/>
      <c r="PTV83" s="363"/>
      <c r="PTW83" s="364" t="s">
        <v>140</v>
      </c>
      <c r="PTX83" s="365">
        <v>0.5</v>
      </c>
      <c r="PTY83" s="366" t="e">
        <f>10/PTU81</f>
        <v>#DIV/0!</v>
      </c>
      <c r="PTZ83" s="367">
        <v>15.38</v>
      </c>
      <c r="PUA83" s="367" t="e">
        <f>PTX83*PTY83*PTZ83</f>
        <v>#DIV/0!</v>
      </c>
      <c r="PUB83" s="363" t="s">
        <v>153</v>
      </c>
      <c r="PUC83" s="363"/>
      <c r="PUD83" s="363"/>
      <c r="PUE83" s="364" t="s">
        <v>140</v>
      </c>
      <c r="PUF83" s="365">
        <v>0.5</v>
      </c>
      <c r="PUG83" s="366" t="e">
        <f>10/PUC81</f>
        <v>#DIV/0!</v>
      </c>
      <c r="PUH83" s="367">
        <v>15.38</v>
      </c>
      <c r="PUI83" s="367" t="e">
        <f>PUF83*PUG83*PUH83</f>
        <v>#DIV/0!</v>
      </c>
      <c r="PUJ83" s="363" t="s">
        <v>153</v>
      </c>
      <c r="PUK83" s="363"/>
      <c r="PUL83" s="363"/>
      <c r="PUM83" s="364" t="s">
        <v>140</v>
      </c>
      <c r="PUN83" s="365">
        <v>0.5</v>
      </c>
      <c r="PUO83" s="366" t="e">
        <f>10/PUK81</f>
        <v>#DIV/0!</v>
      </c>
      <c r="PUP83" s="367">
        <v>15.38</v>
      </c>
      <c r="PUQ83" s="367" t="e">
        <f>PUN83*PUO83*PUP83</f>
        <v>#DIV/0!</v>
      </c>
      <c r="PUR83" s="363" t="s">
        <v>153</v>
      </c>
      <c r="PUS83" s="363"/>
      <c r="PUT83" s="363"/>
      <c r="PUU83" s="364" t="s">
        <v>140</v>
      </c>
      <c r="PUV83" s="365">
        <v>0.5</v>
      </c>
      <c r="PUW83" s="366" t="e">
        <f>10/PUS81</f>
        <v>#DIV/0!</v>
      </c>
      <c r="PUX83" s="367">
        <v>15.38</v>
      </c>
      <c r="PUY83" s="367" t="e">
        <f>PUV83*PUW83*PUX83</f>
        <v>#DIV/0!</v>
      </c>
      <c r="PUZ83" s="363" t="s">
        <v>153</v>
      </c>
      <c r="PVA83" s="363"/>
      <c r="PVB83" s="363"/>
      <c r="PVC83" s="364" t="s">
        <v>140</v>
      </c>
      <c r="PVD83" s="365">
        <v>0.5</v>
      </c>
      <c r="PVE83" s="366" t="e">
        <f>10/PVA81</f>
        <v>#DIV/0!</v>
      </c>
      <c r="PVF83" s="367">
        <v>15.38</v>
      </c>
      <c r="PVG83" s="367" t="e">
        <f>PVD83*PVE83*PVF83</f>
        <v>#DIV/0!</v>
      </c>
      <c r="PVH83" s="363" t="s">
        <v>153</v>
      </c>
      <c r="PVI83" s="363"/>
      <c r="PVJ83" s="363"/>
      <c r="PVK83" s="364" t="s">
        <v>140</v>
      </c>
      <c r="PVL83" s="365">
        <v>0.5</v>
      </c>
      <c r="PVM83" s="366" t="e">
        <f>10/PVI81</f>
        <v>#DIV/0!</v>
      </c>
      <c r="PVN83" s="367">
        <v>15.38</v>
      </c>
      <c r="PVO83" s="367" t="e">
        <f>PVL83*PVM83*PVN83</f>
        <v>#DIV/0!</v>
      </c>
      <c r="PVP83" s="363" t="s">
        <v>153</v>
      </c>
      <c r="PVQ83" s="363"/>
      <c r="PVR83" s="363"/>
      <c r="PVS83" s="364" t="s">
        <v>140</v>
      </c>
      <c r="PVT83" s="365">
        <v>0.5</v>
      </c>
      <c r="PVU83" s="366" t="e">
        <f>10/PVQ81</f>
        <v>#DIV/0!</v>
      </c>
      <c r="PVV83" s="367">
        <v>15.38</v>
      </c>
      <c r="PVW83" s="367" t="e">
        <f>PVT83*PVU83*PVV83</f>
        <v>#DIV/0!</v>
      </c>
      <c r="PVX83" s="363" t="s">
        <v>153</v>
      </c>
      <c r="PVY83" s="363"/>
      <c r="PVZ83" s="363"/>
      <c r="PWA83" s="364" t="s">
        <v>140</v>
      </c>
      <c r="PWB83" s="365">
        <v>0.5</v>
      </c>
      <c r="PWC83" s="366" t="e">
        <f>10/PVY81</f>
        <v>#DIV/0!</v>
      </c>
      <c r="PWD83" s="367">
        <v>15.38</v>
      </c>
      <c r="PWE83" s="367" t="e">
        <f>PWB83*PWC83*PWD83</f>
        <v>#DIV/0!</v>
      </c>
      <c r="PWF83" s="363" t="s">
        <v>153</v>
      </c>
      <c r="PWG83" s="363"/>
      <c r="PWH83" s="363"/>
      <c r="PWI83" s="364" t="s">
        <v>140</v>
      </c>
      <c r="PWJ83" s="365">
        <v>0.5</v>
      </c>
      <c r="PWK83" s="366" t="e">
        <f>10/PWG81</f>
        <v>#DIV/0!</v>
      </c>
      <c r="PWL83" s="367">
        <v>15.38</v>
      </c>
      <c r="PWM83" s="367" t="e">
        <f>PWJ83*PWK83*PWL83</f>
        <v>#DIV/0!</v>
      </c>
      <c r="PWN83" s="363" t="s">
        <v>153</v>
      </c>
      <c r="PWO83" s="363"/>
      <c r="PWP83" s="363"/>
      <c r="PWQ83" s="364" t="s">
        <v>140</v>
      </c>
      <c r="PWR83" s="365">
        <v>0.5</v>
      </c>
      <c r="PWS83" s="366" t="e">
        <f>10/PWO81</f>
        <v>#DIV/0!</v>
      </c>
      <c r="PWT83" s="367">
        <v>15.38</v>
      </c>
      <c r="PWU83" s="367" t="e">
        <f>PWR83*PWS83*PWT83</f>
        <v>#DIV/0!</v>
      </c>
      <c r="PWV83" s="363" t="s">
        <v>153</v>
      </c>
      <c r="PWW83" s="363"/>
      <c r="PWX83" s="363"/>
      <c r="PWY83" s="364" t="s">
        <v>140</v>
      </c>
      <c r="PWZ83" s="365">
        <v>0.5</v>
      </c>
      <c r="PXA83" s="366" t="e">
        <f>10/PWW81</f>
        <v>#DIV/0!</v>
      </c>
      <c r="PXB83" s="367">
        <v>15.38</v>
      </c>
      <c r="PXC83" s="367" t="e">
        <f>PWZ83*PXA83*PXB83</f>
        <v>#DIV/0!</v>
      </c>
      <c r="PXD83" s="363" t="s">
        <v>153</v>
      </c>
      <c r="PXE83" s="363"/>
      <c r="PXF83" s="363"/>
      <c r="PXG83" s="364" t="s">
        <v>140</v>
      </c>
      <c r="PXH83" s="365">
        <v>0.5</v>
      </c>
      <c r="PXI83" s="366" t="e">
        <f>10/PXE81</f>
        <v>#DIV/0!</v>
      </c>
      <c r="PXJ83" s="367">
        <v>15.38</v>
      </c>
      <c r="PXK83" s="367" t="e">
        <f>PXH83*PXI83*PXJ83</f>
        <v>#DIV/0!</v>
      </c>
      <c r="PXL83" s="363" t="s">
        <v>153</v>
      </c>
      <c r="PXM83" s="363"/>
      <c r="PXN83" s="363"/>
      <c r="PXO83" s="364" t="s">
        <v>140</v>
      </c>
      <c r="PXP83" s="365">
        <v>0.5</v>
      </c>
      <c r="PXQ83" s="366" t="e">
        <f>10/PXM81</f>
        <v>#DIV/0!</v>
      </c>
      <c r="PXR83" s="367">
        <v>15.38</v>
      </c>
      <c r="PXS83" s="367" t="e">
        <f>PXP83*PXQ83*PXR83</f>
        <v>#DIV/0!</v>
      </c>
      <c r="PXT83" s="363" t="s">
        <v>153</v>
      </c>
      <c r="PXU83" s="363"/>
      <c r="PXV83" s="363"/>
      <c r="PXW83" s="364" t="s">
        <v>140</v>
      </c>
      <c r="PXX83" s="365">
        <v>0.5</v>
      </c>
      <c r="PXY83" s="366" t="e">
        <f>10/PXU81</f>
        <v>#DIV/0!</v>
      </c>
      <c r="PXZ83" s="367">
        <v>15.38</v>
      </c>
      <c r="PYA83" s="367" t="e">
        <f>PXX83*PXY83*PXZ83</f>
        <v>#DIV/0!</v>
      </c>
      <c r="PYB83" s="363" t="s">
        <v>153</v>
      </c>
      <c r="PYC83" s="363"/>
      <c r="PYD83" s="363"/>
      <c r="PYE83" s="364" t="s">
        <v>140</v>
      </c>
      <c r="PYF83" s="365">
        <v>0.5</v>
      </c>
      <c r="PYG83" s="366" t="e">
        <f>10/PYC81</f>
        <v>#DIV/0!</v>
      </c>
      <c r="PYH83" s="367">
        <v>15.38</v>
      </c>
      <c r="PYI83" s="367" t="e">
        <f>PYF83*PYG83*PYH83</f>
        <v>#DIV/0!</v>
      </c>
      <c r="PYJ83" s="363" t="s">
        <v>153</v>
      </c>
      <c r="PYK83" s="363"/>
      <c r="PYL83" s="363"/>
      <c r="PYM83" s="364" t="s">
        <v>140</v>
      </c>
      <c r="PYN83" s="365">
        <v>0.5</v>
      </c>
      <c r="PYO83" s="366" t="e">
        <f>10/PYK81</f>
        <v>#DIV/0!</v>
      </c>
      <c r="PYP83" s="367">
        <v>15.38</v>
      </c>
      <c r="PYQ83" s="367" t="e">
        <f>PYN83*PYO83*PYP83</f>
        <v>#DIV/0!</v>
      </c>
      <c r="PYR83" s="363" t="s">
        <v>153</v>
      </c>
      <c r="PYS83" s="363"/>
      <c r="PYT83" s="363"/>
      <c r="PYU83" s="364" t="s">
        <v>140</v>
      </c>
      <c r="PYV83" s="365">
        <v>0.5</v>
      </c>
      <c r="PYW83" s="366" t="e">
        <f>10/PYS81</f>
        <v>#DIV/0!</v>
      </c>
      <c r="PYX83" s="367">
        <v>15.38</v>
      </c>
      <c r="PYY83" s="367" t="e">
        <f>PYV83*PYW83*PYX83</f>
        <v>#DIV/0!</v>
      </c>
      <c r="PYZ83" s="363" t="s">
        <v>153</v>
      </c>
      <c r="PZA83" s="363"/>
      <c r="PZB83" s="363"/>
      <c r="PZC83" s="364" t="s">
        <v>140</v>
      </c>
      <c r="PZD83" s="365">
        <v>0.5</v>
      </c>
      <c r="PZE83" s="366" t="e">
        <f>10/PZA81</f>
        <v>#DIV/0!</v>
      </c>
      <c r="PZF83" s="367">
        <v>15.38</v>
      </c>
      <c r="PZG83" s="367" t="e">
        <f>PZD83*PZE83*PZF83</f>
        <v>#DIV/0!</v>
      </c>
      <c r="PZH83" s="363" t="s">
        <v>153</v>
      </c>
      <c r="PZI83" s="363"/>
      <c r="PZJ83" s="363"/>
      <c r="PZK83" s="364" t="s">
        <v>140</v>
      </c>
      <c r="PZL83" s="365">
        <v>0.5</v>
      </c>
      <c r="PZM83" s="366" t="e">
        <f>10/PZI81</f>
        <v>#DIV/0!</v>
      </c>
      <c r="PZN83" s="367">
        <v>15.38</v>
      </c>
      <c r="PZO83" s="367" t="e">
        <f>PZL83*PZM83*PZN83</f>
        <v>#DIV/0!</v>
      </c>
      <c r="PZP83" s="363" t="s">
        <v>153</v>
      </c>
      <c r="PZQ83" s="363"/>
      <c r="PZR83" s="363"/>
      <c r="PZS83" s="364" t="s">
        <v>140</v>
      </c>
      <c r="PZT83" s="365">
        <v>0.5</v>
      </c>
      <c r="PZU83" s="366" t="e">
        <f>10/PZQ81</f>
        <v>#DIV/0!</v>
      </c>
      <c r="PZV83" s="367">
        <v>15.38</v>
      </c>
      <c r="PZW83" s="367" t="e">
        <f>PZT83*PZU83*PZV83</f>
        <v>#DIV/0!</v>
      </c>
      <c r="PZX83" s="363" t="s">
        <v>153</v>
      </c>
      <c r="PZY83" s="363"/>
      <c r="PZZ83" s="363"/>
      <c r="QAA83" s="364" t="s">
        <v>140</v>
      </c>
      <c r="QAB83" s="365">
        <v>0.5</v>
      </c>
      <c r="QAC83" s="366" t="e">
        <f>10/PZY81</f>
        <v>#DIV/0!</v>
      </c>
      <c r="QAD83" s="367">
        <v>15.38</v>
      </c>
      <c r="QAE83" s="367" t="e">
        <f>QAB83*QAC83*QAD83</f>
        <v>#DIV/0!</v>
      </c>
      <c r="QAF83" s="363" t="s">
        <v>153</v>
      </c>
      <c r="QAG83" s="363"/>
      <c r="QAH83" s="363"/>
      <c r="QAI83" s="364" t="s">
        <v>140</v>
      </c>
      <c r="QAJ83" s="365">
        <v>0.5</v>
      </c>
      <c r="QAK83" s="366" t="e">
        <f>10/QAG81</f>
        <v>#DIV/0!</v>
      </c>
      <c r="QAL83" s="367">
        <v>15.38</v>
      </c>
      <c r="QAM83" s="367" t="e">
        <f>QAJ83*QAK83*QAL83</f>
        <v>#DIV/0!</v>
      </c>
      <c r="QAN83" s="363" t="s">
        <v>153</v>
      </c>
      <c r="QAO83" s="363"/>
      <c r="QAP83" s="363"/>
      <c r="QAQ83" s="364" t="s">
        <v>140</v>
      </c>
      <c r="QAR83" s="365">
        <v>0.5</v>
      </c>
      <c r="QAS83" s="366" t="e">
        <f>10/QAO81</f>
        <v>#DIV/0!</v>
      </c>
      <c r="QAT83" s="367">
        <v>15.38</v>
      </c>
      <c r="QAU83" s="367" t="e">
        <f>QAR83*QAS83*QAT83</f>
        <v>#DIV/0!</v>
      </c>
      <c r="QAV83" s="363" t="s">
        <v>153</v>
      </c>
      <c r="QAW83" s="363"/>
      <c r="QAX83" s="363"/>
      <c r="QAY83" s="364" t="s">
        <v>140</v>
      </c>
      <c r="QAZ83" s="365">
        <v>0.5</v>
      </c>
      <c r="QBA83" s="366" t="e">
        <f>10/QAW81</f>
        <v>#DIV/0!</v>
      </c>
      <c r="QBB83" s="367">
        <v>15.38</v>
      </c>
      <c r="QBC83" s="367" t="e">
        <f>QAZ83*QBA83*QBB83</f>
        <v>#DIV/0!</v>
      </c>
      <c r="QBD83" s="363" t="s">
        <v>153</v>
      </c>
      <c r="QBE83" s="363"/>
      <c r="QBF83" s="363"/>
      <c r="QBG83" s="364" t="s">
        <v>140</v>
      </c>
      <c r="QBH83" s="365">
        <v>0.5</v>
      </c>
      <c r="QBI83" s="366" t="e">
        <f>10/QBE81</f>
        <v>#DIV/0!</v>
      </c>
      <c r="QBJ83" s="367">
        <v>15.38</v>
      </c>
      <c r="QBK83" s="367" t="e">
        <f>QBH83*QBI83*QBJ83</f>
        <v>#DIV/0!</v>
      </c>
      <c r="QBL83" s="363" t="s">
        <v>153</v>
      </c>
      <c r="QBM83" s="363"/>
      <c r="QBN83" s="363"/>
      <c r="QBO83" s="364" t="s">
        <v>140</v>
      </c>
      <c r="QBP83" s="365">
        <v>0.5</v>
      </c>
      <c r="QBQ83" s="366" t="e">
        <f>10/QBM81</f>
        <v>#DIV/0!</v>
      </c>
      <c r="QBR83" s="367">
        <v>15.38</v>
      </c>
      <c r="QBS83" s="367" t="e">
        <f>QBP83*QBQ83*QBR83</f>
        <v>#DIV/0!</v>
      </c>
      <c r="QBT83" s="363" t="s">
        <v>153</v>
      </c>
      <c r="QBU83" s="363"/>
      <c r="QBV83" s="363"/>
      <c r="QBW83" s="364" t="s">
        <v>140</v>
      </c>
      <c r="QBX83" s="365">
        <v>0.5</v>
      </c>
      <c r="QBY83" s="366" t="e">
        <f>10/QBU81</f>
        <v>#DIV/0!</v>
      </c>
      <c r="QBZ83" s="367">
        <v>15.38</v>
      </c>
      <c r="QCA83" s="367" t="e">
        <f>QBX83*QBY83*QBZ83</f>
        <v>#DIV/0!</v>
      </c>
      <c r="QCB83" s="363" t="s">
        <v>153</v>
      </c>
      <c r="QCC83" s="363"/>
      <c r="QCD83" s="363"/>
      <c r="QCE83" s="364" t="s">
        <v>140</v>
      </c>
      <c r="QCF83" s="365">
        <v>0.5</v>
      </c>
      <c r="QCG83" s="366" t="e">
        <f>10/QCC81</f>
        <v>#DIV/0!</v>
      </c>
      <c r="QCH83" s="367">
        <v>15.38</v>
      </c>
      <c r="QCI83" s="367" t="e">
        <f>QCF83*QCG83*QCH83</f>
        <v>#DIV/0!</v>
      </c>
      <c r="QCJ83" s="363" t="s">
        <v>153</v>
      </c>
      <c r="QCK83" s="363"/>
      <c r="QCL83" s="363"/>
      <c r="QCM83" s="364" t="s">
        <v>140</v>
      </c>
      <c r="QCN83" s="365">
        <v>0.5</v>
      </c>
      <c r="QCO83" s="366" t="e">
        <f>10/QCK81</f>
        <v>#DIV/0!</v>
      </c>
      <c r="QCP83" s="367">
        <v>15.38</v>
      </c>
      <c r="QCQ83" s="367" t="e">
        <f>QCN83*QCO83*QCP83</f>
        <v>#DIV/0!</v>
      </c>
      <c r="QCR83" s="363" t="s">
        <v>153</v>
      </c>
      <c r="QCS83" s="363"/>
      <c r="QCT83" s="363"/>
      <c r="QCU83" s="364" t="s">
        <v>140</v>
      </c>
      <c r="QCV83" s="365">
        <v>0.5</v>
      </c>
      <c r="QCW83" s="366" t="e">
        <f>10/QCS81</f>
        <v>#DIV/0!</v>
      </c>
      <c r="QCX83" s="367">
        <v>15.38</v>
      </c>
      <c r="QCY83" s="367" t="e">
        <f>QCV83*QCW83*QCX83</f>
        <v>#DIV/0!</v>
      </c>
      <c r="QCZ83" s="363" t="s">
        <v>153</v>
      </c>
      <c r="QDA83" s="363"/>
      <c r="QDB83" s="363"/>
      <c r="QDC83" s="364" t="s">
        <v>140</v>
      </c>
      <c r="QDD83" s="365">
        <v>0.5</v>
      </c>
      <c r="QDE83" s="366" t="e">
        <f>10/QDA81</f>
        <v>#DIV/0!</v>
      </c>
      <c r="QDF83" s="367">
        <v>15.38</v>
      </c>
      <c r="QDG83" s="367" t="e">
        <f>QDD83*QDE83*QDF83</f>
        <v>#DIV/0!</v>
      </c>
      <c r="QDH83" s="363" t="s">
        <v>153</v>
      </c>
      <c r="QDI83" s="363"/>
      <c r="QDJ83" s="363"/>
      <c r="QDK83" s="364" t="s">
        <v>140</v>
      </c>
      <c r="QDL83" s="365">
        <v>0.5</v>
      </c>
      <c r="QDM83" s="366" t="e">
        <f>10/QDI81</f>
        <v>#DIV/0!</v>
      </c>
      <c r="QDN83" s="367">
        <v>15.38</v>
      </c>
      <c r="QDO83" s="367" t="e">
        <f>QDL83*QDM83*QDN83</f>
        <v>#DIV/0!</v>
      </c>
      <c r="QDP83" s="363" t="s">
        <v>153</v>
      </c>
      <c r="QDQ83" s="363"/>
      <c r="QDR83" s="363"/>
      <c r="QDS83" s="364" t="s">
        <v>140</v>
      </c>
      <c r="QDT83" s="365">
        <v>0.5</v>
      </c>
      <c r="QDU83" s="366" t="e">
        <f>10/QDQ81</f>
        <v>#DIV/0!</v>
      </c>
      <c r="QDV83" s="367">
        <v>15.38</v>
      </c>
      <c r="QDW83" s="367" t="e">
        <f>QDT83*QDU83*QDV83</f>
        <v>#DIV/0!</v>
      </c>
      <c r="QDX83" s="363" t="s">
        <v>153</v>
      </c>
      <c r="QDY83" s="363"/>
      <c r="QDZ83" s="363"/>
      <c r="QEA83" s="364" t="s">
        <v>140</v>
      </c>
      <c r="QEB83" s="365">
        <v>0.5</v>
      </c>
      <c r="QEC83" s="366" t="e">
        <f>10/QDY81</f>
        <v>#DIV/0!</v>
      </c>
      <c r="QED83" s="367">
        <v>15.38</v>
      </c>
      <c r="QEE83" s="367" t="e">
        <f>QEB83*QEC83*QED83</f>
        <v>#DIV/0!</v>
      </c>
      <c r="QEF83" s="363" t="s">
        <v>153</v>
      </c>
      <c r="QEG83" s="363"/>
      <c r="QEH83" s="363"/>
      <c r="QEI83" s="364" t="s">
        <v>140</v>
      </c>
      <c r="QEJ83" s="365">
        <v>0.5</v>
      </c>
      <c r="QEK83" s="366" t="e">
        <f>10/QEG81</f>
        <v>#DIV/0!</v>
      </c>
      <c r="QEL83" s="367">
        <v>15.38</v>
      </c>
      <c r="QEM83" s="367" t="e">
        <f>QEJ83*QEK83*QEL83</f>
        <v>#DIV/0!</v>
      </c>
      <c r="QEN83" s="363" t="s">
        <v>153</v>
      </c>
      <c r="QEO83" s="363"/>
      <c r="QEP83" s="363"/>
      <c r="QEQ83" s="364" t="s">
        <v>140</v>
      </c>
      <c r="QER83" s="365">
        <v>0.5</v>
      </c>
      <c r="QES83" s="366" t="e">
        <f>10/QEO81</f>
        <v>#DIV/0!</v>
      </c>
      <c r="QET83" s="367">
        <v>15.38</v>
      </c>
      <c r="QEU83" s="367" t="e">
        <f>QER83*QES83*QET83</f>
        <v>#DIV/0!</v>
      </c>
      <c r="QEV83" s="363" t="s">
        <v>153</v>
      </c>
      <c r="QEW83" s="363"/>
      <c r="QEX83" s="363"/>
      <c r="QEY83" s="364" t="s">
        <v>140</v>
      </c>
      <c r="QEZ83" s="365">
        <v>0.5</v>
      </c>
      <c r="QFA83" s="366" t="e">
        <f>10/QEW81</f>
        <v>#DIV/0!</v>
      </c>
      <c r="QFB83" s="367">
        <v>15.38</v>
      </c>
      <c r="QFC83" s="367" t="e">
        <f>QEZ83*QFA83*QFB83</f>
        <v>#DIV/0!</v>
      </c>
      <c r="QFD83" s="363" t="s">
        <v>153</v>
      </c>
      <c r="QFE83" s="363"/>
      <c r="QFF83" s="363"/>
      <c r="QFG83" s="364" t="s">
        <v>140</v>
      </c>
      <c r="QFH83" s="365">
        <v>0.5</v>
      </c>
      <c r="QFI83" s="366" t="e">
        <f>10/QFE81</f>
        <v>#DIV/0!</v>
      </c>
      <c r="QFJ83" s="367">
        <v>15.38</v>
      </c>
      <c r="QFK83" s="367" t="e">
        <f>QFH83*QFI83*QFJ83</f>
        <v>#DIV/0!</v>
      </c>
      <c r="QFL83" s="363" t="s">
        <v>153</v>
      </c>
      <c r="QFM83" s="363"/>
      <c r="QFN83" s="363"/>
      <c r="QFO83" s="364" t="s">
        <v>140</v>
      </c>
      <c r="QFP83" s="365">
        <v>0.5</v>
      </c>
      <c r="QFQ83" s="366" t="e">
        <f>10/QFM81</f>
        <v>#DIV/0!</v>
      </c>
      <c r="QFR83" s="367">
        <v>15.38</v>
      </c>
      <c r="QFS83" s="367" t="e">
        <f>QFP83*QFQ83*QFR83</f>
        <v>#DIV/0!</v>
      </c>
      <c r="QFT83" s="363" t="s">
        <v>153</v>
      </c>
      <c r="QFU83" s="363"/>
      <c r="QFV83" s="363"/>
      <c r="QFW83" s="364" t="s">
        <v>140</v>
      </c>
      <c r="QFX83" s="365">
        <v>0.5</v>
      </c>
      <c r="QFY83" s="366" t="e">
        <f>10/QFU81</f>
        <v>#DIV/0!</v>
      </c>
      <c r="QFZ83" s="367">
        <v>15.38</v>
      </c>
      <c r="QGA83" s="367" t="e">
        <f>QFX83*QFY83*QFZ83</f>
        <v>#DIV/0!</v>
      </c>
      <c r="QGB83" s="363" t="s">
        <v>153</v>
      </c>
      <c r="QGC83" s="363"/>
      <c r="QGD83" s="363"/>
      <c r="QGE83" s="364" t="s">
        <v>140</v>
      </c>
      <c r="QGF83" s="365">
        <v>0.5</v>
      </c>
      <c r="QGG83" s="366" t="e">
        <f>10/QGC81</f>
        <v>#DIV/0!</v>
      </c>
      <c r="QGH83" s="367">
        <v>15.38</v>
      </c>
      <c r="QGI83" s="367" t="e">
        <f>QGF83*QGG83*QGH83</f>
        <v>#DIV/0!</v>
      </c>
      <c r="QGJ83" s="363" t="s">
        <v>153</v>
      </c>
      <c r="QGK83" s="363"/>
      <c r="QGL83" s="363"/>
      <c r="QGM83" s="364" t="s">
        <v>140</v>
      </c>
      <c r="QGN83" s="365">
        <v>0.5</v>
      </c>
      <c r="QGO83" s="366" t="e">
        <f>10/QGK81</f>
        <v>#DIV/0!</v>
      </c>
      <c r="QGP83" s="367">
        <v>15.38</v>
      </c>
      <c r="QGQ83" s="367" t="e">
        <f>QGN83*QGO83*QGP83</f>
        <v>#DIV/0!</v>
      </c>
      <c r="QGR83" s="363" t="s">
        <v>153</v>
      </c>
      <c r="QGS83" s="363"/>
      <c r="QGT83" s="363"/>
      <c r="QGU83" s="364" t="s">
        <v>140</v>
      </c>
      <c r="QGV83" s="365">
        <v>0.5</v>
      </c>
      <c r="QGW83" s="366" t="e">
        <f>10/QGS81</f>
        <v>#DIV/0!</v>
      </c>
      <c r="QGX83" s="367">
        <v>15.38</v>
      </c>
      <c r="QGY83" s="367" t="e">
        <f>QGV83*QGW83*QGX83</f>
        <v>#DIV/0!</v>
      </c>
      <c r="QGZ83" s="363" t="s">
        <v>153</v>
      </c>
      <c r="QHA83" s="363"/>
      <c r="QHB83" s="363"/>
      <c r="QHC83" s="364" t="s">
        <v>140</v>
      </c>
      <c r="QHD83" s="365">
        <v>0.5</v>
      </c>
      <c r="QHE83" s="366" t="e">
        <f>10/QHA81</f>
        <v>#DIV/0!</v>
      </c>
      <c r="QHF83" s="367">
        <v>15.38</v>
      </c>
      <c r="QHG83" s="367" t="e">
        <f>QHD83*QHE83*QHF83</f>
        <v>#DIV/0!</v>
      </c>
      <c r="QHH83" s="363" t="s">
        <v>153</v>
      </c>
      <c r="QHI83" s="363"/>
      <c r="QHJ83" s="363"/>
      <c r="QHK83" s="364" t="s">
        <v>140</v>
      </c>
      <c r="QHL83" s="365">
        <v>0.5</v>
      </c>
      <c r="QHM83" s="366" t="e">
        <f>10/QHI81</f>
        <v>#DIV/0!</v>
      </c>
      <c r="QHN83" s="367">
        <v>15.38</v>
      </c>
      <c r="QHO83" s="367" t="e">
        <f>QHL83*QHM83*QHN83</f>
        <v>#DIV/0!</v>
      </c>
      <c r="QHP83" s="363" t="s">
        <v>153</v>
      </c>
      <c r="QHQ83" s="363"/>
      <c r="QHR83" s="363"/>
      <c r="QHS83" s="364" t="s">
        <v>140</v>
      </c>
      <c r="QHT83" s="365">
        <v>0.5</v>
      </c>
      <c r="QHU83" s="366" t="e">
        <f>10/QHQ81</f>
        <v>#DIV/0!</v>
      </c>
      <c r="QHV83" s="367">
        <v>15.38</v>
      </c>
      <c r="QHW83" s="367" t="e">
        <f>QHT83*QHU83*QHV83</f>
        <v>#DIV/0!</v>
      </c>
      <c r="QHX83" s="363" t="s">
        <v>153</v>
      </c>
      <c r="QHY83" s="363"/>
      <c r="QHZ83" s="363"/>
      <c r="QIA83" s="364" t="s">
        <v>140</v>
      </c>
      <c r="QIB83" s="365">
        <v>0.5</v>
      </c>
      <c r="QIC83" s="366" t="e">
        <f>10/QHY81</f>
        <v>#DIV/0!</v>
      </c>
      <c r="QID83" s="367">
        <v>15.38</v>
      </c>
      <c r="QIE83" s="367" t="e">
        <f>QIB83*QIC83*QID83</f>
        <v>#DIV/0!</v>
      </c>
      <c r="QIF83" s="363" t="s">
        <v>153</v>
      </c>
      <c r="QIG83" s="363"/>
      <c r="QIH83" s="363"/>
      <c r="QII83" s="364" t="s">
        <v>140</v>
      </c>
      <c r="QIJ83" s="365">
        <v>0.5</v>
      </c>
      <c r="QIK83" s="366" t="e">
        <f>10/QIG81</f>
        <v>#DIV/0!</v>
      </c>
      <c r="QIL83" s="367">
        <v>15.38</v>
      </c>
      <c r="QIM83" s="367" t="e">
        <f>QIJ83*QIK83*QIL83</f>
        <v>#DIV/0!</v>
      </c>
      <c r="QIN83" s="363" t="s">
        <v>153</v>
      </c>
      <c r="QIO83" s="363"/>
      <c r="QIP83" s="363"/>
      <c r="QIQ83" s="364" t="s">
        <v>140</v>
      </c>
      <c r="QIR83" s="365">
        <v>0.5</v>
      </c>
      <c r="QIS83" s="366" t="e">
        <f>10/QIO81</f>
        <v>#DIV/0!</v>
      </c>
      <c r="QIT83" s="367">
        <v>15.38</v>
      </c>
      <c r="QIU83" s="367" t="e">
        <f>QIR83*QIS83*QIT83</f>
        <v>#DIV/0!</v>
      </c>
      <c r="QIV83" s="363" t="s">
        <v>153</v>
      </c>
      <c r="QIW83" s="363"/>
      <c r="QIX83" s="363"/>
      <c r="QIY83" s="364" t="s">
        <v>140</v>
      </c>
      <c r="QIZ83" s="365">
        <v>0.5</v>
      </c>
      <c r="QJA83" s="366" t="e">
        <f>10/QIW81</f>
        <v>#DIV/0!</v>
      </c>
      <c r="QJB83" s="367">
        <v>15.38</v>
      </c>
      <c r="QJC83" s="367" t="e">
        <f>QIZ83*QJA83*QJB83</f>
        <v>#DIV/0!</v>
      </c>
      <c r="QJD83" s="363" t="s">
        <v>153</v>
      </c>
      <c r="QJE83" s="363"/>
      <c r="QJF83" s="363"/>
      <c r="QJG83" s="364" t="s">
        <v>140</v>
      </c>
      <c r="QJH83" s="365">
        <v>0.5</v>
      </c>
      <c r="QJI83" s="366" t="e">
        <f>10/QJE81</f>
        <v>#DIV/0!</v>
      </c>
      <c r="QJJ83" s="367">
        <v>15.38</v>
      </c>
      <c r="QJK83" s="367" t="e">
        <f>QJH83*QJI83*QJJ83</f>
        <v>#DIV/0!</v>
      </c>
      <c r="QJL83" s="363" t="s">
        <v>153</v>
      </c>
      <c r="QJM83" s="363"/>
      <c r="QJN83" s="363"/>
      <c r="QJO83" s="364" t="s">
        <v>140</v>
      </c>
      <c r="QJP83" s="365">
        <v>0.5</v>
      </c>
      <c r="QJQ83" s="366" t="e">
        <f>10/QJM81</f>
        <v>#DIV/0!</v>
      </c>
      <c r="QJR83" s="367">
        <v>15.38</v>
      </c>
      <c r="QJS83" s="367" t="e">
        <f>QJP83*QJQ83*QJR83</f>
        <v>#DIV/0!</v>
      </c>
      <c r="QJT83" s="363" t="s">
        <v>153</v>
      </c>
      <c r="QJU83" s="363"/>
      <c r="QJV83" s="363"/>
      <c r="QJW83" s="364" t="s">
        <v>140</v>
      </c>
      <c r="QJX83" s="365">
        <v>0.5</v>
      </c>
      <c r="QJY83" s="366" t="e">
        <f>10/QJU81</f>
        <v>#DIV/0!</v>
      </c>
      <c r="QJZ83" s="367">
        <v>15.38</v>
      </c>
      <c r="QKA83" s="367" t="e">
        <f>QJX83*QJY83*QJZ83</f>
        <v>#DIV/0!</v>
      </c>
      <c r="QKB83" s="363" t="s">
        <v>153</v>
      </c>
      <c r="QKC83" s="363"/>
      <c r="QKD83" s="363"/>
      <c r="QKE83" s="364" t="s">
        <v>140</v>
      </c>
      <c r="QKF83" s="365">
        <v>0.5</v>
      </c>
      <c r="QKG83" s="366" t="e">
        <f>10/QKC81</f>
        <v>#DIV/0!</v>
      </c>
      <c r="QKH83" s="367">
        <v>15.38</v>
      </c>
      <c r="QKI83" s="367" t="e">
        <f>QKF83*QKG83*QKH83</f>
        <v>#DIV/0!</v>
      </c>
      <c r="QKJ83" s="363" t="s">
        <v>153</v>
      </c>
      <c r="QKK83" s="363"/>
      <c r="QKL83" s="363"/>
      <c r="QKM83" s="364" t="s">
        <v>140</v>
      </c>
      <c r="QKN83" s="365">
        <v>0.5</v>
      </c>
      <c r="QKO83" s="366" t="e">
        <f>10/QKK81</f>
        <v>#DIV/0!</v>
      </c>
      <c r="QKP83" s="367">
        <v>15.38</v>
      </c>
      <c r="QKQ83" s="367" t="e">
        <f>QKN83*QKO83*QKP83</f>
        <v>#DIV/0!</v>
      </c>
      <c r="QKR83" s="363" t="s">
        <v>153</v>
      </c>
      <c r="QKS83" s="363"/>
      <c r="QKT83" s="363"/>
      <c r="QKU83" s="364" t="s">
        <v>140</v>
      </c>
      <c r="QKV83" s="365">
        <v>0.5</v>
      </c>
      <c r="QKW83" s="366" t="e">
        <f>10/QKS81</f>
        <v>#DIV/0!</v>
      </c>
      <c r="QKX83" s="367">
        <v>15.38</v>
      </c>
      <c r="QKY83" s="367" t="e">
        <f>QKV83*QKW83*QKX83</f>
        <v>#DIV/0!</v>
      </c>
      <c r="QKZ83" s="363" t="s">
        <v>153</v>
      </c>
      <c r="QLA83" s="363"/>
      <c r="QLB83" s="363"/>
      <c r="QLC83" s="364" t="s">
        <v>140</v>
      </c>
      <c r="QLD83" s="365">
        <v>0.5</v>
      </c>
      <c r="QLE83" s="366" t="e">
        <f>10/QLA81</f>
        <v>#DIV/0!</v>
      </c>
      <c r="QLF83" s="367">
        <v>15.38</v>
      </c>
      <c r="QLG83" s="367" t="e">
        <f>QLD83*QLE83*QLF83</f>
        <v>#DIV/0!</v>
      </c>
      <c r="QLH83" s="363" t="s">
        <v>153</v>
      </c>
      <c r="QLI83" s="363"/>
      <c r="QLJ83" s="363"/>
      <c r="QLK83" s="364" t="s">
        <v>140</v>
      </c>
      <c r="QLL83" s="365">
        <v>0.5</v>
      </c>
      <c r="QLM83" s="366" t="e">
        <f>10/QLI81</f>
        <v>#DIV/0!</v>
      </c>
      <c r="QLN83" s="367">
        <v>15.38</v>
      </c>
      <c r="QLO83" s="367" t="e">
        <f>QLL83*QLM83*QLN83</f>
        <v>#DIV/0!</v>
      </c>
      <c r="QLP83" s="363" t="s">
        <v>153</v>
      </c>
      <c r="QLQ83" s="363"/>
      <c r="QLR83" s="363"/>
      <c r="QLS83" s="364" t="s">
        <v>140</v>
      </c>
      <c r="QLT83" s="365">
        <v>0.5</v>
      </c>
      <c r="QLU83" s="366" t="e">
        <f>10/QLQ81</f>
        <v>#DIV/0!</v>
      </c>
      <c r="QLV83" s="367">
        <v>15.38</v>
      </c>
      <c r="QLW83" s="367" t="e">
        <f>QLT83*QLU83*QLV83</f>
        <v>#DIV/0!</v>
      </c>
      <c r="QLX83" s="363" t="s">
        <v>153</v>
      </c>
      <c r="QLY83" s="363"/>
      <c r="QLZ83" s="363"/>
      <c r="QMA83" s="364" t="s">
        <v>140</v>
      </c>
      <c r="QMB83" s="365">
        <v>0.5</v>
      </c>
      <c r="QMC83" s="366" t="e">
        <f>10/QLY81</f>
        <v>#DIV/0!</v>
      </c>
      <c r="QMD83" s="367">
        <v>15.38</v>
      </c>
      <c r="QME83" s="367" t="e">
        <f>QMB83*QMC83*QMD83</f>
        <v>#DIV/0!</v>
      </c>
      <c r="QMF83" s="363" t="s">
        <v>153</v>
      </c>
      <c r="QMG83" s="363"/>
      <c r="QMH83" s="363"/>
      <c r="QMI83" s="364" t="s">
        <v>140</v>
      </c>
      <c r="QMJ83" s="365">
        <v>0.5</v>
      </c>
      <c r="QMK83" s="366" t="e">
        <f>10/QMG81</f>
        <v>#DIV/0!</v>
      </c>
      <c r="QML83" s="367">
        <v>15.38</v>
      </c>
      <c r="QMM83" s="367" t="e">
        <f>QMJ83*QMK83*QML83</f>
        <v>#DIV/0!</v>
      </c>
      <c r="QMN83" s="363" t="s">
        <v>153</v>
      </c>
      <c r="QMO83" s="363"/>
      <c r="QMP83" s="363"/>
      <c r="QMQ83" s="364" t="s">
        <v>140</v>
      </c>
      <c r="QMR83" s="365">
        <v>0.5</v>
      </c>
      <c r="QMS83" s="366" t="e">
        <f>10/QMO81</f>
        <v>#DIV/0!</v>
      </c>
      <c r="QMT83" s="367">
        <v>15.38</v>
      </c>
      <c r="QMU83" s="367" t="e">
        <f>QMR83*QMS83*QMT83</f>
        <v>#DIV/0!</v>
      </c>
      <c r="QMV83" s="363" t="s">
        <v>153</v>
      </c>
      <c r="QMW83" s="363"/>
      <c r="QMX83" s="363"/>
      <c r="QMY83" s="364" t="s">
        <v>140</v>
      </c>
      <c r="QMZ83" s="365">
        <v>0.5</v>
      </c>
      <c r="QNA83" s="366" t="e">
        <f>10/QMW81</f>
        <v>#DIV/0!</v>
      </c>
      <c r="QNB83" s="367">
        <v>15.38</v>
      </c>
      <c r="QNC83" s="367" t="e">
        <f>QMZ83*QNA83*QNB83</f>
        <v>#DIV/0!</v>
      </c>
      <c r="QND83" s="363" t="s">
        <v>153</v>
      </c>
      <c r="QNE83" s="363"/>
      <c r="QNF83" s="363"/>
      <c r="QNG83" s="364" t="s">
        <v>140</v>
      </c>
      <c r="QNH83" s="365">
        <v>0.5</v>
      </c>
      <c r="QNI83" s="366" t="e">
        <f>10/QNE81</f>
        <v>#DIV/0!</v>
      </c>
      <c r="QNJ83" s="367">
        <v>15.38</v>
      </c>
      <c r="QNK83" s="367" t="e">
        <f>QNH83*QNI83*QNJ83</f>
        <v>#DIV/0!</v>
      </c>
      <c r="QNL83" s="363" t="s">
        <v>153</v>
      </c>
      <c r="QNM83" s="363"/>
      <c r="QNN83" s="363"/>
      <c r="QNO83" s="364" t="s">
        <v>140</v>
      </c>
      <c r="QNP83" s="365">
        <v>0.5</v>
      </c>
      <c r="QNQ83" s="366" t="e">
        <f>10/QNM81</f>
        <v>#DIV/0!</v>
      </c>
      <c r="QNR83" s="367">
        <v>15.38</v>
      </c>
      <c r="QNS83" s="367" t="e">
        <f>QNP83*QNQ83*QNR83</f>
        <v>#DIV/0!</v>
      </c>
      <c r="QNT83" s="363" t="s">
        <v>153</v>
      </c>
      <c r="QNU83" s="363"/>
      <c r="QNV83" s="363"/>
      <c r="QNW83" s="364" t="s">
        <v>140</v>
      </c>
      <c r="QNX83" s="365">
        <v>0.5</v>
      </c>
      <c r="QNY83" s="366" t="e">
        <f>10/QNU81</f>
        <v>#DIV/0!</v>
      </c>
      <c r="QNZ83" s="367">
        <v>15.38</v>
      </c>
      <c r="QOA83" s="367" t="e">
        <f>QNX83*QNY83*QNZ83</f>
        <v>#DIV/0!</v>
      </c>
      <c r="QOB83" s="363" t="s">
        <v>153</v>
      </c>
      <c r="QOC83" s="363"/>
      <c r="QOD83" s="363"/>
      <c r="QOE83" s="364" t="s">
        <v>140</v>
      </c>
      <c r="QOF83" s="365">
        <v>0.5</v>
      </c>
      <c r="QOG83" s="366" t="e">
        <f>10/QOC81</f>
        <v>#DIV/0!</v>
      </c>
      <c r="QOH83" s="367">
        <v>15.38</v>
      </c>
      <c r="QOI83" s="367" t="e">
        <f>QOF83*QOG83*QOH83</f>
        <v>#DIV/0!</v>
      </c>
      <c r="QOJ83" s="363" t="s">
        <v>153</v>
      </c>
      <c r="QOK83" s="363"/>
      <c r="QOL83" s="363"/>
      <c r="QOM83" s="364" t="s">
        <v>140</v>
      </c>
      <c r="QON83" s="365">
        <v>0.5</v>
      </c>
      <c r="QOO83" s="366" t="e">
        <f>10/QOK81</f>
        <v>#DIV/0!</v>
      </c>
      <c r="QOP83" s="367">
        <v>15.38</v>
      </c>
      <c r="QOQ83" s="367" t="e">
        <f>QON83*QOO83*QOP83</f>
        <v>#DIV/0!</v>
      </c>
      <c r="QOR83" s="363" t="s">
        <v>153</v>
      </c>
      <c r="QOS83" s="363"/>
      <c r="QOT83" s="363"/>
      <c r="QOU83" s="364" t="s">
        <v>140</v>
      </c>
      <c r="QOV83" s="365">
        <v>0.5</v>
      </c>
      <c r="QOW83" s="366" t="e">
        <f>10/QOS81</f>
        <v>#DIV/0!</v>
      </c>
      <c r="QOX83" s="367">
        <v>15.38</v>
      </c>
      <c r="QOY83" s="367" t="e">
        <f>QOV83*QOW83*QOX83</f>
        <v>#DIV/0!</v>
      </c>
      <c r="QOZ83" s="363" t="s">
        <v>153</v>
      </c>
      <c r="QPA83" s="363"/>
      <c r="QPB83" s="363"/>
      <c r="QPC83" s="364" t="s">
        <v>140</v>
      </c>
      <c r="QPD83" s="365">
        <v>0.5</v>
      </c>
      <c r="QPE83" s="366" t="e">
        <f>10/QPA81</f>
        <v>#DIV/0!</v>
      </c>
      <c r="QPF83" s="367">
        <v>15.38</v>
      </c>
      <c r="QPG83" s="367" t="e">
        <f>QPD83*QPE83*QPF83</f>
        <v>#DIV/0!</v>
      </c>
      <c r="QPH83" s="363" t="s">
        <v>153</v>
      </c>
      <c r="QPI83" s="363"/>
      <c r="QPJ83" s="363"/>
      <c r="QPK83" s="364" t="s">
        <v>140</v>
      </c>
      <c r="QPL83" s="365">
        <v>0.5</v>
      </c>
      <c r="QPM83" s="366" t="e">
        <f>10/QPI81</f>
        <v>#DIV/0!</v>
      </c>
      <c r="QPN83" s="367">
        <v>15.38</v>
      </c>
      <c r="QPO83" s="367" t="e">
        <f>QPL83*QPM83*QPN83</f>
        <v>#DIV/0!</v>
      </c>
      <c r="QPP83" s="363" t="s">
        <v>153</v>
      </c>
      <c r="QPQ83" s="363"/>
      <c r="QPR83" s="363"/>
      <c r="QPS83" s="364" t="s">
        <v>140</v>
      </c>
      <c r="QPT83" s="365">
        <v>0.5</v>
      </c>
      <c r="QPU83" s="366" t="e">
        <f>10/QPQ81</f>
        <v>#DIV/0!</v>
      </c>
      <c r="QPV83" s="367">
        <v>15.38</v>
      </c>
      <c r="QPW83" s="367" t="e">
        <f>QPT83*QPU83*QPV83</f>
        <v>#DIV/0!</v>
      </c>
      <c r="QPX83" s="363" t="s">
        <v>153</v>
      </c>
      <c r="QPY83" s="363"/>
      <c r="QPZ83" s="363"/>
      <c r="QQA83" s="364" t="s">
        <v>140</v>
      </c>
      <c r="QQB83" s="365">
        <v>0.5</v>
      </c>
      <c r="QQC83" s="366" t="e">
        <f>10/QPY81</f>
        <v>#DIV/0!</v>
      </c>
      <c r="QQD83" s="367">
        <v>15.38</v>
      </c>
      <c r="QQE83" s="367" t="e">
        <f>QQB83*QQC83*QQD83</f>
        <v>#DIV/0!</v>
      </c>
      <c r="QQF83" s="363" t="s">
        <v>153</v>
      </c>
      <c r="QQG83" s="363"/>
      <c r="QQH83" s="363"/>
      <c r="QQI83" s="364" t="s">
        <v>140</v>
      </c>
      <c r="QQJ83" s="365">
        <v>0.5</v>
      </c>
      <c r="QQK83" s="366" t="e">
        <f>10/QQG81</f>
        <v>#DIV/0!</v>
      </c>
      <c r="QQL83" s="367">
        <v>15.38</v>
      </c>
      <c r="QQM83" s="367" t="e">
        <f>QQJ83*QQK83*QQL83</f>
        <v>#DIV/0!</v>
      </c>
      <c r="QQN83" s="363" t="s">
        <v>153</v>
      </c>
      <c r="QQO83" s="363"/>
      <c r="QQP83" s="363"/>
      <c r="QQQ83" s="364" t="s">
        <v>140</v>
      </c>
      <c r="QQR83" s="365">
        <v>0.5</v>
      </c>
      <c r="QQS83" s="366" t="e">
        <f>10/QQO81</f>
        <v>#DIV/0!</v>
      </c>
      <c r="QQT83" s="367">
        <v>15.38</v>
      </c>
      <c r="QQU83" s="367" t="e">
        <f>QQR83*QQS83*QQT83</f>
        <v>#DIV/0!</v>
      </c>
      <c r="QQV83" s="363" t="s">
        <v>153</v>
      </c>
      <c r="QQW83" s="363"/>
      <c r="QQX83" s="363"/>
      <c r="QQY83" s="364" t="s">
        <v>140</v>
      </c>
      <c r="QQZ83" s="365">
        <v>0.5</v>
      </c>
      <c r="QRA83" s="366" t="e">
        <f>10/QQW81</f>
        <v>#DIV/0!</v>
      </c>
      <c r="QRB83" s="367">
        <v>15.38</v>
      </c>
      <c r="QRC83" s="367" t="e">
        <f>QQZ83*QRA83*QRB83</f>
        <v>#DIV/0!</v>
      </c>
      <c r="QRD83" s="363" t="s">
        <v>153</v>
      </c>
      <c r="QRE83" s="363"/>
      <c r="QRF83" s="363"/>
      <c r="QRG83" s="364" t="s">
        <v>140</v>
      </c>
      <c r="QRH83" s="365">
        <v>0.5</v>
      </c>
      <c r="QRI83" s="366" t="e">
        <f>10/QRE81</f>
        <v>#DIV/0!</v>
      </c>
      <c r="QRJ83" s="367">
        <v>15.38</v>
      </c>
      <c r="QRK83" s="367" t="e">
        <f>QRH83*QRI83*QRJ83</f>
        <v>#DIV/0!</v>
      </c>
      <c r="QRL83" s="363" t="s">
        <v>153</v>
      </c>
      <c r="QRM83" s="363"/>
      <c r="QRN83" s="363"/>
      <c r="QRO83" s="364" t="s">
        <v>140</v>
      </c>
      <c r="QRP83" s="365">
        <v>0.5</v>
      </c>
      <c r="QRQ83" s="366" t="e">
        <f>10/QRM81</f>
        <v>#DIV/0!</v>
      </c>
      <c r="QRR83" s="367">
        <v>15.38</v>
      </c>
      <c r="QRS83" s="367" t="e">
        <f>QRP83*QRQ83*QRR83</f>
        <v>#DIV/0!</v>
      </c>
      <c r="QRT83" s="363" t="s">
        <v>153</v>
      </c>
      <c r="QRU83" s="363"/>
      <c r="QRV83" s="363"/>
      <c r="QRW83" s="364" t="s">
        <v>140</v>
      </c>
      <c r="QRX83" s="365">
        <v>0.5</v>
      </c>
      <c r="QRY83" s="366" t="e">
        <f>10/QRU81</f>
        <v>#DIV/0!</v>
      </c>
      <c r="QRZ83" s="367">
        <v>15.38</v>
      </c>
      <c r="QSA83" s="367" t="e">
        <f>QRX83*QRY83*QRZ83</f>
        <v>#DIV/0!</v>
      </c>
      <c r="QSB83" s="363" t="s">
        <v>153</v>
      </c>
      <c r="QSC83" s="363"/>
      <c r="QSD83" s="363"/>
      <c r="QSE83" s="364" t="s">
        <v>140</v>
      </c>
      <c r="QSF83" s="365">
        <v>0.5</v>
      </c>
      <c r="QSG83" s="366" t="e">
        <f>10/QSC81</f>
        <v>#DIV/0!</v>
      </c>
      <c r="QSH83" s="367">
        <v>15.38</v>
      </c>
      <c r="QSI83" s="367" t="e">
        <f>QSF83*QSG83*QSH83</f>
        <v>#DIV/0!</v>
      </c>
      <c r="QSJ83" s="363" t="s">
        <v>153</v>
      </c>
      <c r="QSK83" s="363"/>
      <c r="QSL83" s="363"/>
      <c r="QSM83" s="364" t="s">
        <v>140</v>
      </c>
      <c r="QSN83" s="365">
        <v>0.5</v>
      </c>
      <c r="QSO83" s="366" t="e">
        <f>10/QSK81</f>
        <v>#DIV/0!</v>
      </c>
      <c r="QSP83" s="367">
        <v>15.38</v>
      </c>
      <c r="QSQ83" s="367" t="e">
        <f>QSN83*QSO83*QSP83</f>
        <v>#DIV/0!</v>
      </c>
      <c r="QSR83" s="363" t="s">
        <v>153</v>
      </c>
      <c r="QSS83" s="363"/>
      <c r="QST83" s="363"/>
      <c r="QSU83" s="364" t="s">
        <v>140</v>
      </c>
      <c r="QSV83" s="365">
        <v>0.5</v>
      </c>
      <c r="QSW83" s="366" t="e">
        <f>10/QSS81</f>
        <v>#DIV/0!</v>
      </c>
      <c r="QSX83" s="367">
        <v>15.38</v>
      </c>
      <c r="QSY83" s="367" t="e">
        <f>QSV83*QSW83*QSX83</f>
        <v>#DIV/0!</v>
      </c>
      <c r="QSZ83" s="363" t="s">
        <v>153</v>
      </c>
      <c r="QTA83" s="363"/>
      <c r="QTB83" s="363"/>
      <c r="QTC83" s="364" t="s">
        <v>140</v>
      </c>
      <c r="QTD83" s="365">
        <v>0.5</v>
      </c>
      <c r="QTE83" s="366" t="e">
        <f>10/QTA81</f>
        <v>#DIV/0!</v>
      </c>
      <c r="QTF83" s="367">
        <v>15.38</v>
      </c>
      <c r="QTG83" s="367" t="e">
        <f>QTD83*QTE83*QTF83</f>
        <v>#DIV/0!</v>
      </c>
      <c r="QTH83" s="363" t="s">
        <v>153</v>
      </c>
      <c r="QTI83" s="363"/>
      <c r="QTJ83" s="363"/>
      <c r="QTK83" s="364" t="s">
        <v>140</v>
      </c>
      <c r="QTL83" s="365">
        <v>0.5</v>
      </c>
      <c r="QTM83" s="366" t="e">
        <f>10/QTI81</f>
        <v>#DIV/0!</v>
      </c>
      <c r="QTN83" s="367">
        <v>15.38</v>
      </c>
      <c r="QTO83" s="367" t="e">
        <f>QTL83*QTM83*QTN83</f>
        <v>#DIV/0!</v>
      </c>
      <c r="QTP83" s="363" t="s">
        <v>153</v>
      </c>
      <c r="QTQ83" s="363"/>
      <c r="QTR83" s="363"/>
      <c r="QTS83" s="364" t="s">
        <v>140</v>
      </c>
      <c r="QTT83" s="365">
        <v>0.5</v>
      </c>
      <c r="QTU83" s="366" t="e">
        <f>10/QTQ81</f>
        <v>#DIV/0!</v>
      </c>
      <c r="QTV83" s="367">
        <v>15.38</v>
      </c>
      <c r="QTW83" s="367" t="e">
        <f>QTT83*QTU83*QTV83</f>
        <v>#DIV/0!</v>
      </c>
      <c r="QTX83" s="363" t="s">
        <v>153</v>
      </c>
      <c r="QTY83" s="363"/>
      <c r="QTZ83" s="363"/>
      <c r="QUA83" s="364" t="s">
        <v>140</v>
      </c>
      <c r="QUB83" s="365">
        <v>0.5</v>
      </c>
      <c r="QUC83" s="366" t="e">
        <f>10/QTY81</f>
        <v>#DIV/0!</v>
      </c>
      <c r="QUD83" s="367">
        <v>15.38</v>
      </c>
      <c r="QUE83" s="367" t="e">
        <f>QUB83*QUC83*QUD83</f>
        <v>#DIV/0!</v>
      </c>
      <c r="QUF83" s="363" t="s">
        <v>153</v>
      </c>
      <c r="QUG83" s="363"/>
      <c r="QUH83" s="363"/>
      <c r="QUI83" s="364" t="s">
        <v>140</v>
      </c>
      <c r="QUJ83" s="365">
        <v>0.5</v>
      </c>
      <c r="QUK83" s="366" t="e">
        <f>10/QUG81</f>
        <v>#DIV/0!</v>
      </c>
      <c r="QUL83" s="367">
        <v>15.38</v>
      </c>
      <c r="QUM83" s="367" t="e">
        <f>QUJ83*QUK83*QUL83</f>
        <v>#DIV/0!</v>
      </c>
      <c r="QUN83" s="363" t="s">
        <v>153</v>
      </c>
      <c r="QUO83" s="363"/>
      <c r="QUP83" s="363"/>
      <c r="QUQ83" s="364" t="s">
        <v>140</v>
      </c>
      <c r="QUR83" s="365">
        <v>0.5</v>
      </c>
      <c r="QUS83" s="366" t="e">
        <f>10/QUO81</f>
        <v>#DIV/0!</v>
      </c>
      <c r="QUT83" s="367">
        <v>15.38</v>
      </c>
      <c r="QUU83" s="367" t="e">
        <f>QUR83*QUS83*QUT83</f>
        <v>#DIV/0!</v>
      </c>
      <c r="QUV83" s="363" t="s">
        <v>153</v>
      </c>
      <c r="QUW83" s="363"/>
      <c r="QUX83" s="363"/>
      <c r="QUY83" s="364" t="s">
        <v>140</v>
      </c>
      <c r="QUZ83" s="365">
        <v>0.5</v>
      </c>
      <c r="QVA83" s="366" t="e">
        <f>10/QUW81</f>
        <v>#DIV/0!</v>
      </c>
      <c r="QVB83" s="367">
        <v>15.38</v>
      </c>
      <c r="QVC83" s="367" t="e">
        <f>QUZ83*QVA83*QVB83</f>
        <v>#DIV/0!</v>
      </c>
      <c r="QVD83" s="363" t="s">
        <v>153</v>
      </c>
      <c r="QVE83" s="363"/>
      <c r="QVF83" s="363"/>
      <c r="QVG83" s="364" t="s">
        <v>140</v>
      </c>
      <c r="QVH83" s="365">
        <v>0.5</v>
      </c>
      <c r="QVI83" s="366" t="e">
        <f>10/QVE81</f>
        <v>#DIV/0!</v>
      </c>
      <c r="QVJ83" s="367">
        <v>15.38</v>
      </c>
      <c r="QVK83" s="367" t="e">
        <f>QVH83*QVI83*QVJ83</f>
        <v>#DIV/0!</v>
      </c>
      <c r="QVL83" s="363" t="s">
        <v>153</v>
      </c>
      <c r="QVM83" s="363"/>
      <c r="QVN83" s="363"/>
      <c r="QVO83" s="364" t="s">
        <v>140</v>
      </c>
      <c r="QVP83" s="365">
        <v>0.5</v>
      </c>
      <c r="QVQ83" s="366" t="e">
        <f>10/QVM81</f>
        <v>#DIV/0!</v>
      </c>
      <c r="QVR83" s="367">
        <v>15.38</v>
      </c>
      <c r="QVS83" s="367" t="e">
        <f>QVP83*QVQ83*QVR83</f>
        <v>#DIV/0!</v>
      </c>
      <c r="QVT83" s="363" t="s">
        <v>153</v>
      </c>
      <c r="QVU83" s="363"/>
      <c r="QVV83" s="363"/>
      <c r="QVW83" s="364" t="s">
        <v>140</v>
      </c>
      <c r="QVX83" s="365">
        <v>0.5</v>
      </c>
      <c r="QVY83" s="366" t="e">
        <f>10/QVU81</f>
        <v>#DIV/0!</v>
      </c>
      <c r="QVZ83" s="367">
        <v>15.38</v>
      </c>
      <c r="QWA83" s="367" t="e">
        <f>QVX83*QVY83*QVZ83</f>
        <v>#DIV/0!</v>
      </c>
      <c r="QWB83" s="363" t="s">
        <v>153</v>
      </c>
      <c r="QWC83" s="363"/>
      <c r="QWD83" s="363"/>
      <c r="QWE83" s="364" t="s">
        <v>140</v>
      </c>
      <c r="QWF83" s="365">
        <v>0.5</v>
      </c>
      <c r="QWG83" s="366" t="e">
        <f>10/QWC81</f>
        <v>#DIV/0!</v>
      </c>
      <c r="QWH83" s="367">
        <v>15.38</v>
      </c>
      <c r="QWI83" s="367" t="e">
        <f>QWF83*QWG83*QWH83</f>
        <v>#DIV/0!</v>
      </c>
      <c r="QWJ83" s="363" t="s">
        <v>153</v>
      </c>
      <c r="QWK83" s="363"/>
      <c r="QWL83" s="363"/>
      <c r="QWM83" s="364" t="s">
        <v>140</v>
      </c>
      <c r="QWN83" s="365">
        <v>0.5</v>
      </c>
      <c r="QWO83" s="366" t="e">
        <f>10/QWK81</f>
        <v>#DIV/0!</v>
      </c>
      <c r="QWP83" s="367">
        <v>15.38</v>
      </c>
      <c r="QWQ83" s="367" t="e">
        <f>QWN83*QWO83*QWP83</f>
        <v>#DIV/0!</v>
      </c>
      <c r="QWR83" s="363" t="s">
        <v>153</v>
      </c>
      <c r="QWS83" s="363"/>
      <c r="QWT83" s="363"/>
      <c r="QWU83" s="364" t="s">
        <v>140</v>
      </c>
      <c r="QWV83" s="365">
        <v>0.5</v>
      </c>
      <c r="QWW83" s="366" t="e">
        <f>10/QWS81</f>
        <v>#DIV/0!</v>
      </c>
      <c r="QWX83" s="367">
        <v>15.38</v>
      </c>
      <c r="QWY83" s="367" t="e">
        <f>QWV83*QWW83*QWX83</f>
        <v>#DIV/0!</v>
      </c>
      <c r="QWZ83" s="363" t="s">
        <v>153</v>
      </c>
      <c r="QXA83" s="363"/>
      <c r="QXB83" s="363"/>
      <c r="QXC83" s="364" t="s">
        <v>140</v>
      </c>
      <c r="QXD83" s="365">
        <v>0.5</v>
      </c>
      <c r="QXE83" s="366" t="e">
        <f>10/QXA81</f>
        <v>#DIV/0!</v>
      </c>
      <c r="QXF83" s="367">
        <v>15.38</v>
      </c>
      <c r="QXG83" s="367" t="e">
        <f>QXD83*QXE83*QXF83</f>
        <v>#DIV/0!</v>
      </c>
      <c r="QXH83" s="363" t="s">
        <v>153</v>
      </c>
      <c r="QXI83" s="363"/>
      <c r="QXJ83" s="363"/>
      <c r="QXK83" s="364" t="s">
        <v>140</v>
      </c>
      <c r="QXL83" s="365">
        <v>0.5</v>
      </c>
      <c r="QXM83" s="366" t="e">
        <f>10/QXI81</f>
        <v>#DIV/0!</v>
      </c>
      <c r="QXN83" s="367">
        <v>15.38</v>
      </c>
      <c r="QXO83" s="367" t="e">
        <f>QXL83*QXM83*QXN83</f>
        <v>#DIV/0!</v>
      </c>
      <c r="QXP83" s="363" t="s">
        <v>153</v>
      </c>
      <c r="QXQ83" s="363"/>
      <c r="QXR83" s="363"/>
      <c r="QXS83" s="364" t="s">
        <v>140</v>
      </c>
      <c r="QXT83" s="365">
        <v>0.5</v>
      </c>
      <c r="QXU83" s="366" t="e">
        <f>10/QXQ81</f>
        <v>#DIV/0!</v>
      </c>
      <c r="QXV83" s="367">
        <v>15.38</v>
      </c>
      <c r="QXW83" s="367" t="e">
        <f>QXT83*QXU83*QXV83</f>
        <v>#DIV/0!</v>
      </c>
      <c r="QXX83" s="363" t="s">
        <v>153</v>
      </c>
      <c r="QXY83" s="363"/>
      <c r="QXZ83" s="363"/>
      <c r="QYA83" s="364" t="s">
        <v>140</v>
      </c>
      <c r="QYB83" s="365">
        <v>0.5</v>
      </c>
      <c r="QYC83" s="366" t="e">
        <f>10/QXY81</f>
        <v>#DIV/0!</v>
      </c>
      <c r="QYD83" s="367">
        <v>15.38</v>
      </c>
      <c r="QYE83" s="367" t="e">
        <f>QYB83*QYC83*QYD83</f>
        <v>#DIV/0!</v>
      </c>
      <c r="QYF83" s="363" t="s">
        <v>153</v>
      </c>
      <c r="QYG83" s="363"/>
      <c r="QYH83" s="363"/>
      <c r="QYI83" s="364" t="s">
        <v>140</v>
      </c>
      <c r="QYJ83" s="365">
        <v>0.5</v>
      </c>
      <c r="QYK83" s="366" t="e">
        <f>10/QYG81</f>
        <v>#DIV/0!</v>
      </c>
      <c r="QYL83" s="367">
        <v>15.38</v>
      </c>
      <c r="QYM83" s="367" t="e">
        <f>QYJ83*QYK83*QYL83</f>
        <v>#DIV/0!</v>
      </c>
      <c r="QYN83" s="363" t="s">
        <v>153</v>
      </c>
      <c r="QYO83" s="363"/>
      <c r="QYP83" s="363"/>
      <c r="QYQ83" s="364" t="s">
        <v>140</v>
      </c>
      <c r="QYR83" s="365">
        <v>0.5</v>
      </c>
      <c r="QYS83" s="366" t="e">
        <f>10/QYO81</f>
        <v>#DIV/0!</v>
      </c>
      <c r="QYT83" s="367">
        <v>15.38</v>
      </c>
      <c r="QYU83" s="367" t="e">
        <f>QYR83*QYS83*QYT83</f>
        <v>#DIV/0!</v>
      </c>
      <c r="QYV83" s="363" t="s">
        <v>153</v>
      </c>
      <c r="QYW83" s="363"/>
      <c r="QYX83" s="363"/>
      <c r="QYY83" s="364" t="s">
        <v>140</v>
      </c>
      <c r="QYZ83" s="365">
        <v>0.5</v>
      </c>
      <c r="QZA83" s="366" t="e">
        <f>10/QYW81</f>
        <v>#DIV/0!</v>
      </c>
      <c r="QZB83" s="367">
        <v>15.38</v>
      </c>
      <c r="QZC83" s="367" t="e">
        <f>QYZ83*QZA83*QZB83</f>
        <v>#DIV/0!</v>
      </c>
      <c r="QZD83" s="363" t="s">
        <v>153</v>
      </c>
      <c r="QZE83" s="363"/>
      <c r="QZF83" s="363"/>
      <c r="QZG83" s="364" t="s">
        <v>140</v>
      </c>
      <c r="QZH83" s="365">
        <v>0.5</v>
      </c>
      <c r="QZI83" s="366" t="e">
        <f>10/QZE81</f>
        <v>#DIV/0!</v>
      </c>
      <c r="QZJ83" s="367">
        <v>15.38</v>
      </c>
      <c r="QZK83" s="367" t="e">
        <f>QZH83*QZI83*QZJ83</f>
        <v>#DIV/0!</v>
      </c>
      <c r="QZL83" s="363" t="s">
        <v>153</v>
      </c>
      <c r="QZM83" s="363"/>
      <c r="QZN83" s="363"/>
      <c r="QZO83" s="364" t="s">
        <v>140</v>
      </c>
      <c r="QZP83" s="365">
        <v>0.5</v>
      </c>
      <c r="QZQ83" s="366" t="e">
        <f>10/QZM81</f>
        <v>#DIV/0!</v>
      </c>
      <c r="QZR83" s="367">
        <v>15.38</v>
      </c>
      <c r="QZS83" s="367" t="e">
        <f>QZP83*QZQ83*QZR83</f>
        <v>#DIV/0!</v>
      </c>
      <c r="QZT83" s="363" t="s">
        <v>153</v>
      </c>
      <c r="QZU83" s="363"/>
      <c r="QZV83" s="363"/>
      <c r="QZW83" s="364" t="s">
        <v>140</v>
      </c>
      <c r="QZX83" s="365">
        <v>0.5</v>
      </c>
      <c r="QZY83" s="366" t="e">
        <f>10/QZU81</f>
        <v>#DIV/0!</v>
      </c>
      <c r="QZZ83" s="367">
        <v>15.38</v>
      </c>
      <c r="RAA83" s="367" t="e">
        <f>QZX83*QZY83*QZZ83</f>
        <v>#DIV/0!</v>
      </c>
      <c r="RAB83" s="363" t="s">
        <v>153</v>
      </c>
      <c r="RAC83" s="363"/>
      <c r="RAD83" s="363"/>
      <c r="RAE83" s="364" t="s">
        <v>140</v>
      </c>
      <c r="RAF83" s="365">
        <v>0.5</v>
      </c>
      <c r="RAG83" s="366" t="e">
        <f>10/RAC81</f>
        <v>#DIV/0!</v>
      </c>
      <c r="RAH83" s="367">
        <v>15.38</v>
      </c>
      <c r="RAI83" s="367" t="e">
        <f>RAF83*RAG83*RAH83</f>
        <v>#DIV/0!</v>
      </c>
      <c r="RAJ83" s="363" t="s">
        <v>153</v>
      </c>
      <c r="RAK83" s="363"/>
      <c r="RAL83" s="363"/>
      <c r="RAM83" s="364" t="s">
        <v>140</v>
      </c>
      <c r="RAN83" s="365">
        <v>0.5</v>
      </c>
      <c r="RAO83" s="366" t="e">
        <f>10/RAK81</f>
        <v>#DIV/0!</v>
      </c>
      <c r="RAP83" s="367">
        <v>15.38</v>
      </c>
      <c r="RAQ83" s="367" t="e">
        <f>RAN83*RAO83*RAP83</f>
        <v>#DIV/0!</v>
      </c>
      <c r="RAR83" s="363" t="s">
        <v>153</v>
      </c>
      <c r="RAS83" s="363"/>
      <c r="RAT83" s="363"/>
      <c r="RAU83" s="364" t="s">
        <v>140</v>
      </c>
      <c r="RAV83" s="365">
        <v>0.5</v>
      </c>
      <c r="RAW83" s="366" t="e">
        <f>10/RAS81</f>
        <v>#DIV/0!</v>
      </c>
      <c r="RAX83" s="367">
        <v>15.38</v>
      </c>
      <c r="RAY83" s="367" t="e">
        <f>RAV83*RAW83*RAX83</f>
        <v>#DIV/0!</v>
      </c>
      <c r="RAZ83" s="363" t="s">
        <v>153</v>
      </c>
      <c r="RBA83" s="363"/>
      <c r="RBB83" s="363"/>
      <c r="RBC83" s="364" t="s">
        <v>140</v>
      </c>
      <c r="RBD83" s="365">
        <v>0.5</v>
      </c>
      <c r="RBE83" s="366" t="e">
        <f>10/RBA81</f>
        <v>#DIV/0!</v>
      </c>
      <c r="RBF83" s="367">
        <v>15.38</v>
      </c>
      <c r="RBG83" s="367" t="e">
        <f>RBD83*RBE83*RBF83</f>
        <v>#DIV/0!</v>
      </c>
      <c r="RBH83" s="363" t="s">
        <v>153</v>
      </c>
      <c r="RBI83" s="363"/>
      <c r="RBJ83" s="363"/>
      <c r="RBK83" s="364" t="s">
        <v>140</v>
      </c>
      <c r="RBL83" s="365">
        <v>0.5</v>
      </c>
      <c r="RBM83" s="366" t="e">
        <f>10/RBI81</f>
        <v>#DIV/0!</v>
      </c>
      <c r="RBN83" s="367">
        <v>15.38</v>
      </c>
      <c r="RBO83" s="367" t="e">
        <f>RBL83*RBM83*RBN83</f>
        <v>#DIV/0!</v>
      </c>
      <c r="RBP83" s="363" t="s">
        <v>153</v>
      </c>
      <c r="RBQ83" s="363"/>
      <c r="RBR83" s="363"/>
      <c r="RBS83" s="364" t="s">
        <v>140</v>
      </c>
      <c r="RBT83" s="365">
        <v>0.5</v>
      </c>
      <c r="RBU83" s="366" t="e">
        <f>10/RBQ81</f>
        <v>#DIV/0!</v>
      </c>
      <c r="RBV83" s="367">
        <v>15.38</v>
      </c>
      <c r="RBW83" s="367" t="e">
        <f>RBT83*RBU83*RBV83</f>
        <v>#DIV/0!</v>
      </c>
      <c r="RBX83" s="363" t="s">
        <v>153</v>
      </c>
      <c r="RBY83" s="363"/>
      <c r="RBZ83" s="363"/>
      <c r="RCA83" s="364" t="s">
        <v>140</v>
      </c>
      <c r="RCB83" s="365">
        <v>0.5</v>
      </c>
      <c r="RCC83" s="366" t="e">
        <f>10/RBY81</f>
        <v>#DIV/0!</v>
      </c>
      <c r="RCD83" s="367">
        <v>15.38</v>
      </c>
      <c r="RCE83" s="367" t="e">
        <f>RCB83*RCC83*RCD83</f>
        <v>#DIV/0!</v>
      </c>
      <c r="RCF83" s="363" t="s">
        <v>153</v>
      </c>
      <c r="RCG83" s="363"/>
      <c r="RCH83" s="363"/>
      <c r="RCI83" s="364" t="s">
        <v>140</v>
      </c>
      <c r="RCJ83" s="365">
        <v>0.5</v>
      </c>
      <c r="RCK83" s="366" t="e">
        <f>10/RCG81</f>
        <v>#DIV/0!</v>
      </c>
      <c r="RCL83" s="367">
        <v>15.38</v>
      </c>
      <c r="RCM83" s="367" t="e">
        <f>RCJ83*RCK83*RCL83</f>
        <v>#DIV/0!</v>
      </c>
      <c r="RCN83" s="363" t="s">
        <v>153</v>
      </c>
      <c r="RCO83" s="363"/>
      <c r="RCP83" s="363"/>
      <c r="RCQ83" s="364" t="s">
        <v>140</v>
      </c>
      <c r="RCR83" s="365">
        <v>0.5</v>
      </c>
      <c r="RCS83" s="366" t="e">
        <f>10/RCO81</f>
        <v>#DIV/0!</v>
      </c>
      <c r="RCT83" s="367">
        <v>15.38</v>
      </c>
      <c r="RCU83" s="367" t="e">
        <f>RCR83*RCS83*RCT83</f>
        <v>#DIV/0!</v>
      </c>
      <c r="RCV83" s="363" t="s">
        <v>153</v>
      </c>
      <c r="RCW83" s="363"/>
      <c r="RCX83" s="363"/>
      <c r="RCY83" s="364" t="s">
        <v>140</v>
      </c>
      <c r="RCZ83" s="365">
        <v>0.5</v>
      </c>
      <c r="RDA83" s="366" t="e">
        <f>10/RCW81</f>
        <v>#DIV/0!</v>
      </c>
      <c r="RDB83" s="367">
        <v>15.38</v>
      </c>
      <c r="RDC83" s="367" t="e">
        <f>RCZ83*RDA83*RDB83</f>
        <v>#DIV/0!</v>
      </c>
      <c r="RDD83" s="363" t="s">
        <v>153</v>
      </c>
      <c r="RDE83" s="363"/>
      <c r="RDF83" s="363"/>
      <c r="RDG83" s="364" t="s">
        <v>140</v>
      </c>
      <c r="RDH83" s="365">
        <v>0.5</v>
      </c>
      <c r="RDI83" s="366" t="e">
        <f>10/RDE81</f>
        <v>#DIV/0!</v>
      </c>
      <c r="RDJ83" s="367">
        <v>15.38</v>
      </c>
      <c r="RDK83" s="367" t="e">
        <f>RDH83*RDI83*RDJ83</f>
        <v>#DIV/0!</v>
      </c>
      <c r="RDL83" s="363" t="s">
        <v>153</v>
      </c>
      <c r="RDM83" s="363"/>
      <c r="RDN83" s="363"/>
      <c r="RDO83" s="364" t="s">
        <v>140</v>
      </c>
      <c r="RDP83" s="365">
        <v>0.5</v>
      </c>
      <c r="RDQ83" s="366" t="e">
        <f>10/RDM81</f>
        <v>#DIV/0!</v>
      </c>
      <c r="RDR83" s="367">
        <v>15.38</v>
      </c>
      <c r="RDS83" s="367" t="e">
        <f>RDP83*RDQ83*RDR83</f>
        <v>#DIV/0!</v>
      </c>
      <c r="RDT83" s="363" t="s">
        <v>153</v>
      </c>
      <c r="RDU83" s="363"/>
      <c r="RDV83" s="363"/>
      <c r="RDW83" s="364" t="s">
        <v>140</v>
      </c>
      <c r="RDX83" s="365">
        <v>0.5</v>
      </c>
      <c r="RDY83" s="366" t="e">
        <f>10/RDU81</f>
        <v>#DIV/0!</v>
      </c>
      <c r="RDZ83" s="367">
        <v>15.38</v>
      </c>
      <c r="REA83" s="367" t="e">
        <f>RDX83*RDY83*RDZ83</f>
        <v>#DIV/0!</v>
      </c>
      <c r="REB83" s="363" t="s">
        <v>153</v>
      </c>
      <c r="REC83" s="363"/>
      <c r="RED83" s="363"/>
      <c r="REE83" s="364" t="s">
        <v>140</v>
      </c>
      <c r="REF83" s="365">
        <v>0.5</v>
      </c>
      <c r="REG83" s="366" t="e">
        <f>10/REC81</f>
        <v>#DIV/0!</v>
      </c>
      <c r="REH83" s="367">
        <v>15.38</v>
      </c>
      <c r="REI83" s="367" t="e">
        <f>REF83*REG83*REH83</f>
        <v>#DIV/0!</v>
      </c>
      <c r="REJ83" s="363" t="s">
        <v>153</v>
      </c>
      <c r="REK83" s="363"/>
      <c r="REL83" s="363"/>
      <c r="REM83" s="364" t="s">
        <v>140</v>
      </c>
      <c r="REN83" s="365">
        <v>0.5</v>
      </c>
      <c r="REO83" s="366" t="e">
        <f>10/REK81</f>
        <v>#DIV/0!</v>
      </c>
      <c r="REP83" s="367">
        <v>15.38</v>
      </c>
      <c r="REQ83" s="367" t="e">
        <f>REN83*REO83*REP83</f>
        <v>#DIV/0!</v>
      </c>
      <c r="RER83" s="363" t="s">
        <v>153</v>
      </c>
      <c r="RES83" s="363"/>
      <c r="RET83" s="363"/>
      <c r="REU83" s="364" t="s">
        <v>140</v>
      </c>
      <c r="REV83" s="365">
        <v>0.5</v>
      </c>
      <c r="REW83" s="366" t="e">
        <f>10/RES81</f>
        <v>#DIV/0!</v>
      </c>
      <c r="REX83" s="367">
        <v>15.38</v>
      </c>
      <c r="REY83" s="367" t="e">
        <f>REV83*REW83*REX83</f>
        <v>#DIV/0!</v>
      </c>
      <c r="REZ83" s="363" t="s">
        <v>153</v>
      </c>
      <c r="RFA83" s="363"/>
      <c r="RFB83" s="363"/>
      <c r="RFC83" s="364" t="s">
        <v>140</v>
      </c>
      <c r="RFD83" s="365">
        <v>0.5</v>
      </c>
      <c r="RFE83" s="366" t="e">
        <f>10/RFA81</f>
        <v>#DIV/0!</v>
      </c>
      <c r="RFF83" s="367">
        <v>15.38</v>
      </c>
      <c r="RFG83" s="367" t="e">
        <f>RFD83*RFE83*RFF83</f>
        <v>#DIV/0!</v>
      </c>
      <c r="RFH83" s="363" t="s">
        <v>153</v>
      </c>
      <c r="RFI83" s="363"/>
      <c r="RFJ83" s="363"/>
      <c r="RFK83" s="364" t="s">
        <v>140</v>
      </c>
      <c r="RFL83" s="365">
        <v>0.5</v>
      </c>
      <c r="RFM83" s="366" t="e">
        <f>10/RFI81</f>
        <v>#DIV/0!</v>
      </c>
      <c r="RFN83" s="367">
        <v>15.38</v>
      </c>
      <c r="RFO83" s="367" t="e">
        <f>RFL83*RFM83*RFN83</f>
        <v>#DIV/0!</v>
      </c>
      <c r="RFP83" s="363" t="s">
        <v>153</v>
      </c>
      <c r="RFQ83" s="363"/>
      <c r="RFR83" s="363"/>
      <c r="RFS83" s="364" t="s">
        <v>140</v>
      </c>
      <c r="RFT83" s="365">
        <v>0.5</v>
      </c>
      <c r="RFU83" s="366" t="e">
        <f>10/RFQ81</f>
        <v>#DIV/0!</v>
      </c>
      <c r="RFV83" s="367">
        <v>15.38</v>
      </c>
      <c r="RFW83" s="367" t="e">
        <f>RFT83*RFU83*RFV83</f>
        <v>#DIV/0!</v>
      </c>
      <c r="RFX83" s="363" t="s">
        <v>153</v>
      </c>
      <c r="RFY83" s="363"/>
      <c r="RFZ83" s="363"/>
      <c r="RGA83" s="364" t="s">
        <v>140</v>
      </c>
      <c r="RGB83" s="365">
        <v>0.5</v>
      </c>
      <c r="RGC83" s="366" t="e">
        <f>10/RFY81</f>
        <v>#DIV/0!</v>
      </c>
      <c r="RGD83" s="367">
        <v>15.38</v>
      </c>
      <c r="RGE83" s="367" t="e">
        <f>RGB83*RGC83*RGD83</f>
        <v>#DIV/0!</v>
      </c>
      <c r="RGF83" s="363" t="s">
        <v>153</v>
      </c>
      <c r="RGG83" s="363"/>
      <c r="RGH83" s="363"/>
      <c r="RGI83" s="364" t="s">
        <v>140</v>
      </c>
      <c r="RGJ83" s="365">
        <v>0.5</v>
      </c>
      <c r="RGK83" s="366" t="e">
        <f>10/RGG81</f>
        <v>#DIV/0!</v>
      </c>
      <c r="RGL83" s="367">
        <v>15.38</v>
      </c>
      <c r="RGM83" s="367" t="e">
        <f>RGJ83*RGK83*RGL83</f>
        <v>#DIV/0!</v>
      </c>
      <c r="RGN83" s="363" t="s">
        <v>153</v>
      </c>
      <c r="RGO83" s="363"/>
      <c r="RGP83" s="363"/>
      <c r="RGQ83" s="364" t="s">
        <v>140</v>
      </c>
      <c r="RGR83" s="365">
        <v>0.5</v>
      </c>
      <c r="RGS83" s="366" t="e">
        <f>10/RGO81</f>
        <v>#DIV/0!</v>
      </c>
      <c r="RGT83" s="367">
        <v>15.38</v>
      </c>
      <c r="RGU83" s="367" t="e">
        <f>RGR83*RGS83*RGT83</f>
        <v>#DIV/0!</v>
      </c>
      <c r="RGV83" s="363" t="s">
        <v>153</v>
      </c>
      <c r="RGW83" s="363"/>
      <c r="RGX83" s="363"/>
      <c r="RGY83" s="364" t="s">
        <v>140</v>
      </c>
      <c r="RGZ83" s="365">
        <v>0.5</v>
      </c>
      <c r="RHA83" s="366" t="e">
        <f>10/RGW81</f>
        <v>#DIV/0!</v>
      </c>
      <c r="RHB83" s="367">
        <v>15.38</v>
      </c>
      <c r="RHC83" s="367" t="e">
        <f>RGZ83*RHA83*RHB83</f>
        <v>#DIV/0!</v>
      </c>
      <c r="RHD83" s="363" t="s">
        <v>153</v>
      </c>
      <c r="RHE83" s="363"/>
      <c r="RHF83" s="363"/>
      <c r="RHG83" s="364" t="s">
        <v>140</v>
      </c>
      <c r="RHH83" s="365">
        <v>0.5</v>
      </c>
      <c r="RHI83" s="366" t="e">
        <f>10/RHE81</f>
        <v>#DIV/0!</v>
      </c>
      <c r="RHJ83" s="367">
        <v>15.38</v>
      </c>
      <c r="RHK83" s="367" t="e">
        <f>RHH83*RHI83*RHJ83</f>
        <v>#DIV/0!</v>
      </c>
      <c r="RHL83" s="363" t="s">
        <v>153</v>
      </c>
      <c r="RHM83" s="363"/>
      <c r="RHN83" s="363"/>
      <c r="RHO83" s="364" t="s">
        <v>140</v>
      </c>
      <c r="RHP83" s="365">
        <v>0.5</v>
      </c>
      <c r="RHQ83" s="366" t="e">
        <f>10/RHM81</f>
        <v>#DIV/0!</v>
      </c>
      <c r="RHR83" s="367">
        <v>15.38</v>
      </c>
      <c r="RHS83" s="367" t="e">
        <f>RHP83*RHQ83*RHR83</f>
        <v>#DIV/0!</v>
      </c>
      <c r="RHT83" s="363" t="s">
        <v>153</v>
      </c>
      <c r="RHU83" s="363"/>
      <c r="RHV83" s="363"/>
      <c r="RHW83" s="364" t="s">
        <v>140</v>
      </c>
      <c r="RHX83" s="365">
        <v>0.5</v>
      </c>
      <c r="RHY83" s="366" t="e">
        <f>10/RHU81</f>
        <v>#DIV/0!</v>
      </c>
      <c r="RHZ83" s="367">
        <v>15.38</v>
      </c>
      <c r="RIA83" s="367" t="e">
        <f>RHX83*RHY83*RHZ83</f>
        <v>#DIV/0!</v>
      </c>
      <c r="RIB83" s="363" t="s">
        <v>153</v>
      </c>
      <c r="RIC83" s="363"/>
      <c r="RID83" s="363"/>
      <c r="RIE83" s="364" t="s">
        <v>140</v>
      </c>
      <c r="RIF83" s="365">
        <v>0.5</v>
      </c>
      <c r="RIG83" s="366" t="e">
        <f>10/RIC81</f>
        <v>#DIV/0!</v>
      </c>
      <c r="RIH83" s="367">
        <v>15.38</v>
      </c>
      <c r="RII83" s="367" t="e">
        <f>RIF83*RIG83*RIH83</f>
        <v>#DIV/0!</v>
      </c>
      <c r="RIJ83" s="363" t="s">
        <v>153</v>
      </c>
      <c r="RIK83" s="363"/>
      <c r="RIL83" s="363"/>
      <c r="RIM83" s="364" t="s">
        <v>140</v>
      </c>
      <c r="RIN83" s="365">
        <v>0.5</v>
      </c>
      <c r="RIO83" s="366" t="e">
        <f>10/RIK81</f>
        <v>#DIV/0!</v>
      </c>
      <c r="RIP83" s="367">
        <v>15.38</v>
      </c>
      <c r="RIQ83" s="367" t="e">
        <f>RIN83*RIO83*RIP83</f>
        <v>#DIV/0!</v>
      </c>
      <c r="RIR83" s="363" t="s">
        <v>153</v>
      </c>
      <c r="RIS83" s="363"/>
      <c r="RIT83" s="363"/>
      <c r="RIU83" s="364" t="s">
        <v>140</v>
      </c>
      <c r="RIV83" s="365">
        <v>0.5</v>
      </c>
      <c r="RIW83" s="366" t="e">
        <f>10/RIS81</f>
        <v>#DIV/0!</v>
      </c>
      <c r="RIX83" s="367">
        <v>15.38</v>
      </c>
      <c r="RIY83" s="367" t="e">
        <f>RIV83*RIW83*RIX83</f>
        <v>#DIV/0!</v>
      </c>
      <c r="RIZ83" s="363" t="s">
        <v>153</v>
      </c>
      <c r="RJA83" s="363"/>
      <c r="RJB83" s="363"/>
      <c r="RJC83" s="364" t="s">
        <v>140</v>
      </c>
      <c r="RJD83" s="365">
        <v>0.5</v>
      </c>
      <c r="RJE83" s="366" t="e">
        <f>10/RJA81</f>
        <v>#DIV/0!</v>
      </c>
      <c r="RJF83" s="367">
        <v>15.38</v>
      </c>
      <c r="RJG83" s="367" t="e">
        <f>RJD83*RJE83*RJF83</f>
        <v>#DIV/0!</v>
      </c>
      <c r="RJH83" s="363" t="s">
        <v>153</v>
      </c>
      <c r="RJI83" s="363"/>
      <c r="RJJ83" s="363"/>
      <c r="RJK83" s="364" t="s">
        <v>140</v>
      </c>
      <c r="RJL83" s="365">
        <v>0.5</v>
      </c>
      <c r="RJM83" s="366" t="e">
        <f>10/RJI81</f>
        <v>#DIV/0!</v>
      </c>
      <c r="RJN83" s="367">
        <v>15.38</v>
      </c>
      <c r="RJO83" s="367" t="e">
        <f>RJL83*RJM83*RJN83</f>
        <v>#DIV/0!</v>
      </c>
      <c r="RJP83" s="363" t="s">
        <v>153</v>
      </c>
      <c r="RJQ83" s="363"/>
      <c r="RJR83" s="363"/>
      <c r="RJS83" s="364" t="s">
        <v>140</v>
      </c>
      <c r="RJT83" s="365">
        <v>0.5</v>
      </c>
      <c r="RJU83" s="366" t="e">
        <f>10/RJQ81</f>
        <v>#DIV/0!</v>
      </c>
      <c r="RJV83" s="367">
        <v>15.38</v>
      </c>
      <c r="RJW83" s="367" t="e">
        <f>RJT83*RJU83*RJV83</f>
        <v>#DIV/0!</v>
      </c>
      <c r="RJX83" s="363" t="s">
        <v>153</v>
      </c>
      <c r="RJY83" s="363"/>
      <c r="RJZ83" s="363"/>
      <c r="RKA83" s="364" t="s">
        <v>140</v>
      </c>
      <c r="RKB83" s="365">
        <v>0.5</v>
      </c>
      <c r="RKC83" s="366" t="e">
        <f>10/RJY81</f>
        <v>#DIV/0!</v>
      </c>
      <c r="RKD83" s="367">
        <v>15.38</v>
      </c>
      <c r="RKE83" s="367" t="e">
        <f>RKB83*RKC83*RKD83</f>
        <v>#DIV/0!</v>
      </c>
      <c r="RKF83" s="363" t="s">
        <v>153</v>
      </c>
      <c r="RKG83" s="363"/>
      <c r="RKH83" s="363"/>
      <c r="RKI83" s="364" t="s">
        <v>140</v>
      </c>
      <c r="RKJ83" s="365">
        <v>0.5</v>
      </c>
      <c r="RKK83" s="366" t="e">
        <f>10/RKG81</f>
        <v>#DIV/0!</v>
      </c>
      <c r="RKL83" s="367">
        <v>15.38</v>
      </c>
      <c r="RKM83" s="367" t="e">
        <f>RKJ83*RKK83*RKL83</f>
        <v>#DIV/0!</v>
      </c>
      <c r="RKN83" s="363" t="s">
        <v>153</v>
      </c>
      <c r="RKO83" s="363"/>
      <c r="RKP83" s="363"/>
      <c r="RKQ83" s="364" t="s">
        <v>140</v>
      </c>
      <c r="RKR83" s="365">
        <v>0.5</v>
      </c>
      <c r="RKS83" s="366" t="e">
        <f>10/RKO81</f>
        <v>#DIV/0!</v>
      </c>
      <c r="RKT83" s="367">
        <v>15.38</v>
      </c>
      <c r="RKU83" s="367" t="e">
        <f>RKR83*RKS83*RKT83</f>
        <v>#DIV/0!</v>
      </c>
      <c r="RKV83" s="363" t="s">
        <v>153</v>
      </c>
      <c r="RKW83" s="363"/>
      <c r="RKX83" s="363"/>
      <c r="RKY83" s="364" t="s">
        <v>140</v>
      </c>
      <c r="RKZ83" s="365">
        <v>0.5</v>
      </c>
      <c r="RLA83" s="366" t="e">
        <f>10/RKW81</f>
        <v>#DIV/0!</v>
      </c>
      <c r="RLB83" s="367">
        <v>15.38</v>
      </c>
      <c r="RLC83" s="367" t="e">
        <f>RKZ83*RLA83*RLB83</f>
        <v>#DIV/0!</v>
      </c>
      <c r="RLD83" s="363" t="s">
        <v>153</v>
      </c>
      <c r="RLE83" s="363"/>
      <c r="RLF83" s="363"/>
      <c r="RLG83" s="364" t="s">
        <v>140</v>
      </c>
      <c r="RLH83" s="365">
        <v>0.5</v>
      </c>
      <c r="RLI83" s="366" t="e">
        <f>10/RLE81</f>
        <v>#DIV/0!</v>
      </c>
      <c r="RLJ83" s="367">
        <v>15.38</v>
      </c>
      <c r="RLK83" s="367" t="e">
        <f>RLH83*RLI83*RLJ83</f>
        <v>#DIV/0!</v>
      </c>
      <c r="RLL83" s="363" t="s">
        <v>153</v>
      </c>
      <c r="RLM83" s="363"/>
      <c r="RLN83" s="363"/>
      <c r="RLO83" s="364" t="s">
        <v>140</v>
      </c>
      <c r="RLP83" s="365">
        <v>0.5</v>
      </c>
      <c r="RLQ83" s="366" t="e">
        <f>10/RLM81</f>
        <v>#DIV/0!</v>
      </c>
      <c r="RLR83" s="367">
        <v>15.38</v>
      </c>
      <c r="RLS83" s="367" t="e">
        <f>RLP83*RLQ83*RLR83</f>
        <v>#DIV/0!</v>
      </c>
      <c r="RLT83" s="363" t="s">
        <v>153</v>
      </c>
      <c r="RLU83" s="363"/>
      <c r="RLV83" s="363"/>
      <c r="RLW83" s="364" t="s">
        <v>140</v>
      </c>
      <c r="RLX83" s="365">
        <v>0.5</v>
      </c>
      <c r="RLY83" s="366" t="e">
        <f>10/RLU81</f>
        <v>#DIV/0!</v>
      </c>
      <c r="RLZ83" s="367">
        <v>15.38</v>
      </c>
      <c r="RMA83" s="367" t="e">
        <f>RLX83*RLY83*RLZ83</f>
        <v>#DIV/0!</v>
      </c>
      <c r="RMB83" s="363" t="s">
        <v>153</v>
      </c>
      <c r="RMC83" s="363"/>
      <c r="RMD83" s="363"/>
      <c r="RME83" s="364" t="s">
        <v>140</v>
      </c>
      <c r="RMF83" s="365">
        <v>0.5</v>
      </c>
      <c r="RMG83" s="366" t="e">
        <f>10/RMC81</f>
        <v>#DIV/0!</v>
      </c>
      <c r="RMH83" s="367">
        <v>15.38</v>
      </c>
      <c r="RMI83" s="367" t="e">
        <f>RMF83*RMG83*RMH83</f>
        <v>#DIV/0!</v>
      </c>
      <c r="RMJ83" s="363" t="s">
        <v>153</v>
      </c>
      <c r="RMK83" s="363"/>
      <c r="RML83" s="363"/>
      <c r="RMM83" s="364" t="s">
        <v>140</v>
      </c>
      <c r="RMN83" s="365">
        <v>0.5</v>
      </c>
      <c r="RMO83" s="366" t="e">
        <f>10/RMK81</f>
        <v>#DIV/0!</v>
      </c>
      <c r="RMP83" s="367">
        <v>15.38</v>
      </c>
      <c r="RMQ83" s="367" t="e">
        <f>RMN83*RMO83*RMP83</f>
        <v>#DIV/0!</v>
      </c>
      <c r="RMR83" s="363" t="s">
        <v>153</v>
      </c>
      <c r="RMS83" s="363"/>
      <c r="RMT83" s="363"/>
      <c r="RMU83" s="364" t="s">
        <v>140</v>
      </c>
      <c r="RMV83" s="365">
        <v>0.5</v>
      </c>
      <c r="RMW83" s="366" t="e">
        <f>10/RMS81</f>
        <v>#DIV/0!</v>
      </c>
      <c r="RMX83" s="367">
        <v>15.38</v>
      </c>
      <c r="RMY83" s="367" t="e">
        <f>RMV83*RMW83*RMX83</f>
        <v>#DIV/0!</v>
      </c>
      <c r="RMZ83" s="363" t="s">
        <v>153</v>
      </c>
      <c r="RNA83" s="363"/>
      <c r="RNB83" s="363"/>
      <c r="RNC83" s="364" t="s">
        <v>140</v>
      </c>
      <c r="RND83" s="365">
        <v>0.5</v>
      </c>
      <c r="RNE83" s="366" t="e">
        <f>10/RNA81</f>
        <v>#DIV/0!</v>
      </c>
      <c r="RNF83" s="367">
        <v>15.38</v>
      </c>
      <c r="RNG83" s="367" t="e">
        <f>RND83*RNE83*RNF83</f>
        <v>#DIV/0!</v>
      </c>
      <c r="RNH83" s="363" t="s">
        <v>153</v>
      </c>
      <c r="RNI83" s="363"/>
      <c r="RNJ83" s="363"/>
      <c r="RNK83" s="364" t="s">
        <v>140</v>
      </c>
      <c r="RNL83" s="365">
        <v>0.5</v>
      </c>
      <c r="RNM83" s="366" t="e">
        <f>10/RNI81</f>
        <v>#DIV/0!</v>
      </c>
      <c r="RNN83" s="367">
        <v>15.38</v>
      </c>
      <c r="RNO83" s="367" t="e">
        <f>RNL83*RNM83*RNN83</f>
        <v>#DIV/0!</v>
      </c>
      <c r="RNP83" s="363" t="s">
        <v>153</v>
      </c>
      <c r="RNQ83" s="363"/>
      <c r="RNR83" s="363"/>
      <c r="RNS83" s="364" t="s">
        <v>140</v>
      </c>
      <c r="RNT83" s="365">
        <v>0.5</v>
      </c>
      <c r="RNU83" s="366" t="e">
        <f>10/RNQ81</f>
        <v>#DIV/0!</v>
      </c>
      <c r="RNV83" s="367">
        <v>15.38</v>
      </c>
      <c r="RNW83" s="367" t="e">
        <f>RNT83*RNU83*RNV83</f>
        <v>#DIV/0!</v>
      </c>
      <c r="RNX83" s="363" t="s">
        <v>153</v>
      </c>
      <c r="RNY83" s="363"/>
      <c r="RNZ83" s="363"/>
      <c r="ROA83" s="364" t="s">
        <v>140</v>
      </c>
      <c r="ROB83" s="365">
        <v>0.5</v>
      </c>
      <c r="ROC83" s="366" t="e">
        <f>10/RNY81</f>
        <v>#DIV/0!</v>
      </c>
      <c r="ROD83" s="367">
        <v>15.38</v>
      </c>
      <c r="ROE83" s="367" t="e">
        <f>ROB83*ROC83*ROD83</f>
        <v>#DIV/0!</v>
      </c>
      <c r="ROF83" s="363" t="s">
        <v>153</v>
      </c>
      <c r="ROG83" s="363"/>
      <c r="ROH83" s="363"/>
      <c r="ROI83" s="364" t="s">
        <v>140</v>
      </c>
      <c r="ROJ83" s="365">
        <v>0.5</v>
      </c>
      <c r="ROK83" s="366" t="e">
        <f>10/ROG81</f>
        <v>#DIV/0!</v>
      </c>
      <c r="ROL83" s="367">
        <v>15.38</v>
      </c>
      <c r="ROM83" s="367" t="e">
        <f>ROJ83*ROK83*ROL83</f>
        <v>#DIV/0!</v>
      </c>
      <c r="RON83" s="363" t="s">
        <v>153</v>
      </c>
      <c r="ROO83" s="363"/>
      <c r="ROP83" s="363"/>
      <c r="ROQ83" s="364" t="s">
        <v>140</v>
      </c>
      <c r="ROR83" s="365">
        <v>0.5</v>
      </c>
      <c r="ROS83" s="366" t="e">
        <f>10/ROO81</f>
        <v>#DIV/0!</v>
      </c>
      <c r="ROT83" s="367">
        <v>15.38</v>
      </c>
      <c r="ROU83" s="367" t="e">
        <f>ROR83*ROS83*ROT83</f>
        <v>#DIV/0!</v>
      </c>
      <c r="ROV83" s="363" t="s">
        <v>153</v>
      </c>
      <c r="ROW83" s="363"/>
      <c r="ROX83" s="363"/>
      <c r="ROY83" s="364" t="s">
        <v>140</v>
      </c>
      <c r="ROZ83" s="365">
        <v>0.5</v>
      </c>
      <c r="RPA83" s="366" t="e">
        <f>10/ROW81</f>
        <v>#DIV/0!</v>
      </c>
      <c r="RPB83" s="367">
        <v>15.38</v>
      </c>
      <c r="RPC83" s="367" t="e">
        <f>ROZ83*RPA83*RPB83</f>
        <v>#DIV/0!</v>
      </c>
      <c r="RPD83" s="363" t="s">
        <v>153</v>
      </c>
      <c r="RPE83" s="363"/>
      <c r="RPF83" s="363"/>
      <c r="RPG83" s="364" t="s">
        <v>140</v>
      </c>
      <c r="RPH83" s="365">
        <v>0.5</v>
      </c>
      <c r="RPI83" s="366" t="e">
        <f>10/RPE81</f>
        <v>#DIV/0!</v>
      </c>
      <c r="RPJ83" s="367">
        <v>15.38</v>
      </c>
      <c r="RPK83" s="367" t="e">
        <f>RPH83*RPI83*RPJ83</f>
        <v>#DIV/0!</v>
      </c>
      <c r="RPL83" s="363" t="s">
        <v>153</v>
      </c>
      <c r="RPM83" s="363"/>
      <c r="RPN83" s="363"/>
      <c r="RPO83" s="364" t="s">
        <v>140</v>
      </c>
      <c r="RPP83" s="365">
        <v>0.5</v>
      </c>
      <c r="RPQ83" s="366" t="e">
        <f>10/RPM81</f>
        <v>#DIV/0!</v>
      </c>
      <c r="RPR83" s="367">
        <v>15.38</v>
      </c>
      <c r="RPS83" s="367" t="e">
        <f>RPP83*RPQ83*RPR83</f>
        <v>#DIV/0!</v>
      </c>
      <c r="RPT83" s="363" t="s">
        <v>153</v>
      </c>
      <c r="RPU83" s="363"/>
      <c r="RPV83" s="363"/>
      <c r="RPW83" s="364" t="s">
        <v>140</v>
      </c>
      <c r="RPX83" s="365">
        <v>0.5</v>
      </c>
      <c r="RPY83" s="366" t="e">
        <f>10/RPU81</f>
        <v>#DIV/0!</v>
      </c>
      <c r="RPZ83" s="367">
        <v>15.38</v>
      </c>
      <c r="RQA83" s="367" t="e">
        <f>RPX83*RPY83*RPZ83</f>
        <v>#DIV/0!</v>
      </c>
      <c r="RQB83" s="363" t="s">
        <v>153</v>
      </c>
      <c r="RQC83" s="363"/>
      <c r="RQD83" s="363"/>
      <c r="RQE83" s="364" t="s">
        <v>140</v>
      </c>
      <c r="RQF83" s="365">
        <v>0.5</v>
      </c>
      <c r="RQG83" s="366" t="e">
        <f>10/RQC81</f>
        <v>#DIV/0!</v>
      </c>
      <c r="RQH83" s="367">
        <v>15.38</v>
      </c>
      <c r="RQI83" s="367" t="e">
        <f>RQF83*RQG83*RQH83</f>
        <v>#DIV/0!</v>
      </c>
      <c r="RQJ83" s="363" t="s">
        <v>153</v>
      </c>
      <c r="RQK83" s="363"/>
      <c r="RQL83" s="363"/>
      <c r="RQM83" s="364" t="s">
        <v>140</v>
      </c>
      <c r="RQN83" s="365">
        <v>0.5</v>
      </c>
      <c r="RQO83" s="366" t="e">
        <f>10/RQK81</f>
        <v>#DIV/0!</v>
      </c>
      <c r="RQP83" s="367">
        <v>15.38</v>
      </c>
      <c r="RQQ83" s="367" t="e">
        <f>RQN83*RQO83*RQP83</f>
        <v>#DIV/0!</v>
      </c>
      <c r="RQR83" s="363" t="s">
        <v>153</v>
      </c>
      <c r="RQS83" s="363"/>
      <c r="RQT83" s="363"/>
      <c r="RQU83" s="364" t="s">
        <v>140</v>
      </c>
      <c r="RQV83" s="365">
        <v>0.5</v>
      </c>
      <c r="RQW83" s="366" t="e">
        <f>10/RQS81</f>
        <v>#DIV/0!</v>
      </c>
      <c r="RQX83" s="367">
        <v>15.38</v>
      </c>
      <c r="RQY83" s="367" t="e">
        <f>RQV83*RQW83*RQX83</f>
        <v>#DIV/0!</v>
      </c>
      <c r="RQZ83" s="363" t="s">
        <v>153</v>
      </c>
      <c r="RRA83" s="363"/>
      <c r="RRB83" s="363"/>
      <c r="RRC83" s="364" t="s">
        <v>140</v>
      </c>
      <c r="RRD83" s="365">
        <v>0.5</v>
      </c>
      <c r="RRE83" s="366" t="e">
        <f>10/RRA81</f>
        <v>#DIV/0!</v>
      </c>
      <c r="RRF83" s="367">
        <v>15.38</v>
      </c>
      <c r="RRG83" s="367" t="e">
        <f>RRD83*RRE83*RRF83</f>
        <v>#DIV/0!</v>
      </c>
      <c r="RRH83" s="363" t="s">
        <v>153</v>
      </c>
      <c r="RRI83" s="363"/>
      <c r="RRJ83" s="363"/>
      <c r="RRK83" s="364" t="s">
        <v>140</v>
      </c>
      <c r="RRL83" s="365">
        <v>0.5</v>
      </c>
      <c r="RRM83" s="366" t="e">
        <f>10/RRI81</f>
        <v>#DIV/0!</v>
      </c>
      <c r="RRN83" s="367">
        <v>15.38</v>
      </c>
      <c r="RRO83" s="367" t="e">
        <f>RRL83*RRM83*RRN83</f>
        <v>#DIV/0!</v>
      </c>
      <c r="RRP83" s="363" t="s">
        <v>153</v>
      </c>
      <c r="RRQ83" s="363"/>
      <c r="RRR83" s="363"/>
      <c r="RRS83" s="364" t="s">
        <v>140</v>
      </c>
      <c r="RRT83" s="365">
        <v>0.5</v>
      </c>
      <c r="RRU83" s="366" t="e">
        <f>10/RRQ81</f>
        <v>#DIV/0!</v>
      </c>
      <c r="RRV83" s="367">
        <v>15.38</v>
      </c>
      <c r="RRW83" s="367" t="e">
        <f>RRT83*RRU83*RRV83</f>
        <v>#DIV/0!</v>
      </c>
      <c r="RRX83" s="363" t="s">
        <v>153</v>
      </c>
      <c r="RRY83" s="363"/>
      <c r="RRZ83" s="363"/>
      <c r="RSA83" s="364" t="s">
        <v>140</v>
      </c>
      <c r="RSB83" s="365">
        <v>0.5</v>
      </c>
      <c r="RSC83" s="366" t="e">
        <f>10/RRY81</f>
        <v>#DIV/0!</v>
      </c>
      <c r="RSD83" s="367">
        <v>15.38</v>
      </c>
      <c r="RSE83" s="367" t="e">
        <f>RSB83*RSC83*RSD83</f>
        <v>#DIV/0!</v>
      </c>
      <c r="RSF83" s="363" t="s">
        <v>153</v>
      </c>
      <c r="RSG83" s="363"/>
      <c r="RSH83" s="363"/>
      <c r="RSI83" s="364" t="s">
        <v>140</v>
      </c>
      <c r="RSJ83" s="365">
        <v>0.5</v>
      </c>
      <c r="RSK83" s="366" t="e">
        <f>10/RSG81</f>
        <v>#DIV/0!</v>
      </c>
      <c r="RSL83" s="367">
        <v>15.38</v>
      </c>
      <c r="RSM83" s="367" t="e">
        <f>RSJ83*RSK83*RSL83</f>
        <v>#DIV/0!</v>
      </c>
      <c r="RSN83" s="363" t="s">
        <v>153</v>
      </c>
      <c r="RSO83" s="363"/>
      <c r="RSP83" s="363"/>
      <c r="RSQ83" s="364" t="s">
        <v>140</v>
      </c>
      <c r="RSR83" s="365">
        <v>0.5</v>
      </c>
      <c r="RSS83" s="366" t="e">
        <f>10/RSO81</f>
        <v>#DIV/0!</v>
      </c>
      <c r="RST83" s="367">
        <v>15.38</v>
      </c>
      <c r="RSU83" s="367" t="e">
        <f>RSR83*RSS83*RST83</f>
        <v>#DIV/0!</v>
      </c>
      <c r="RSV83" s="363" t="s">
        <v>153</v>
      </c>
      <c r="RSW83" s="363"/>
      <c r="RSX83" s="363"/>
      <c r="RSY83" s="364" t="s">
        <v>140</v>
      </c>
      <c r="RSZ83" s="365">
        <v>0.5</v>
      </c>
      <c r="RTA83" s="366" t="e">
        <f>10/RSW81</f>
        <v>#DIV/0!</v>
      </c>
      <c r="RTB83" s="367">
        <v>15.38</v>
      </c>
      <c r="RTC83" s="367" t="e">
        <f>RSZ83*RTA83*RTB83</f>
        <v>#DIV/0!</v>
      </c>
      <c r="RTD83" s="363" t="s">
        <v>153</v>
      </c>
      <c r="RTE83" s="363"/>
      <c r="RTF83" s="363"/>
      <c r="RTG83" s="364" t="s">
        <v>140</v>
      </c>
      <c r="RTH83" s="365">
        <v>0.5</v>
      </c>
      <c r="RTI83" s="366" t="e">
        <f>10/RTE81</f>
        <v>#DIV/0!</v>
      </c>
      <c r="RTJ83" s="367">
        <v>15.38</v>
      </c>
      <c r="RTK83" s="367" t="e">
        <f>RTH83*RTI83*RTJ83</f>
        <v>#DIV/0!</v>
      </c>
      <c r="RTL83" s="363" t="s">
        <v>153</v>
      </c>
      <c r="RTM83" s="363"/>
      <c r="RTN83" s="363"/>
      <c r="RTO83" s="364" t="s">
        <v>140</v>
      </c>
      <c r="RTP83" s="365">
        <v>0.5</v>
      </c>
      <c r="RTQ83" s="366" t="e">
        <f>10/RTM81</f>
        <v>#DIV/0!</v>
      </c>
      <c r="RTR83" s="367">
        <v>15.38</v>
      </c>
      <c r="RTS83" s="367" t="e">
        <f>RTP83*RTQ83*RTR83</f>
        <v>#DIV/0!</v>
      </c>
      <c r="RTT83" s="363" t="s">
        <v>153</v>
      </c>
      <c r="RTU83" s="363"/>
      <c r="RTV83" s="363"/>
      <c r="RTW83" s="364" t="s">
        <v>140</v>
      </c>
      <c r="RTX83" s="365">
        <v>0.5</v>
      </c>
      <c r="RTY83" s="366" t="e">
        <f>10/RTU81</f>
        <v>#DIV/0!</v>
      </c>
      <c r="RTZ83" s="367">
        <v>15.38</v>
      </c>
      <c r="RUA83" s="367" t="e">
        <f>RTX83*RTY83*RTZ83</f>
        <v>#DIV/0!</v>
      </c>
      <c r="RUB83" s="363" t="s">
        <v>153</v>
      </c>
      <c r="RUC83" s="363"/>
      <c r="RUD83" s="363"/>
      <c r="RUE83" s="364" t="s">
        <v>140</v>
      </c>
      <c r="RUF83" s="365">
        <v>0.5</v>
      </c>
      <c r="RUG83" s="366" t="e">
        <f>10/RUC81</f>
        <v>#DIV/0!</v>
      </c>
      <c r="RUH83" s="367">
        <v>15.38</v>
      </c>
      <c r="RUI83" s="367" t="e">
        <f>RUF83*RUG83*RUH83</f>
        <v>#DIV/0!</v>
      </c>
      <c r="RUJ83" s="363" t="s">
        <v>153</v>
      </c>
      <c r="RUK83" s="363"/>
      <c r="RUL83" s="363"/>
      <c r="RUM83" s="364" t="s">
        <v>140</v>
      </c>
      <c r="RUN83" s="365">
        <v>0.5</v>
      </c>
      <c r="RUO83" s="366" t="e">
        <f>10/RUK81</f>
        <v>#DIV/0!</v>
      </c>
      <c r="RUP83" s="367">
        <v>15.38</v>
      </c>
      <c r="RUQ83" s="367" t="e">
        <f>RUN83*RUO83*RUP83</f>
        <v>#DIV/0!</v>
      </c>
      <c r="RUR83" s="363" t="s">
        <v>153</v>
      </c>
      <c r="RUS83" s="363"/>
      <c r="RUT83" s="363"/>
      <c r="RUU83" s="364" t="s">
        <v>140</v>
      </c>
      <c r="RUV83" s="365">
        <v>0.5</v>
      </c>
      <c r="RUW83" s="366" t="e">
        <f>10/RUS81</f>
        <v>#DIV/0!</v>
      </c>
      <c r="RUX83" s="367">
        <v>15.38</v>
      </c>
      <c r="RUY83" s="367" t="e">
        <f>RUV83*RUW83*RUX83</f>
        <v>#DIV/0!</v>
      </c>
      <c r="RUZ83" s="363" t="s">
        <v>153</v>
      </c>
      <c r="RVA83" s="363"/>
      <c r="RVB83" s="363"/>
      <c r="RVC83" s="364" t="s">
        <v>140</v>
      </c>
      <c r="RVD83" s="365">
        <v>0.5</v>
      </c>
      <c r="RVE83" s="366" t="e">
        <f>10/RVA81</f>
        <v>#DIV/0!</v>
      </c>
      <c r="RVF83" s="367">
        <v>15.38</v>
      </c>
      <c r="RVG83" s="367" t="e">
        <f>RVD83*RVE83*RVF83</f>
        <v>#DIV/0!</v>
      </c>
      <c r="RVH83" s="363" t="s">
        <v>153</v>
      </c>
      <c r="RVI83" s="363"/>
      <c r="RVJ83" s="363"/>
      <c r="RVK83" s="364" t="s">
        <v>140</v>
      </c>
      <c r="RVL83" s="365">
        <v>0.5</v>
      </c>
      <c r="RVM83" s="366" t="e">
        <f>10/RVI81</f>
        <v>#DIV/0!</v>
      </c>
      <c r="RVN83" s="367">
        <v>15.38</v>
      </c>
      <c r="RVO83" s="367" t="e">
        <f>RVL83*RVM83*RVN83</f>
        <v>#DIV/0!</v>
      </c>
      <c r="RVP83" s="363" t="s">
        <v>153</v>
      </c>
      <c r="RVQ83" s="363"/>
      <c r="RVR83" s="363"/>
      <c r="RVS83" s="364" t="s">
        <v>140</v>
      </c>
      <c r="RVT83" s="365">
        <v>0.5</v>
      </c>
      <c r="RVU83" s="366" t="e">
        <f>10/RVQ81</f>
        <v>#DIV/0!</v>
      </c>
      <c r="RVV83" s="367">
        <v>15.38</v>
      </c>
      <c r="RVW83" s="367" t="e">
        <f>RVT83*RVU83*RVV83</f>
        <v>#DIV/0!</v>
      </c>
      <c r="RVX83" s="363" t="s">
        <v>153</v>
      </c>
      <c r="RVY83" s="363"/>
      <c r="RVZ83" s="363"/>
      <c r="RWA83" s="364" t="s">
        <v>140</v>
      </c>
      <c r="RWB83" s="365">
        <v>0.5</v>
      </c>
      <c r="RWC83" s="366" t="e">
        <f>10/RVY81</f>
        <v>#DIV/0!</v>
      </c>
      <c r="RWD83" s="367">
        <v>15.38</v>
      </c>
      <c r="RWE83" s="367" t="e">
        <f>RWB83*RWC83*RWD83</f>
        <v>#DIV/0!</v>
      </c>
      <c r="RWF83" s="363" t="s">
        <v>153</v>
      </c>
      <c r="RWG83" s="363"/>
      <c r="RWH83" s="363"/>
      <c r="RWI83" s="364" t="s">
        <v>140</v>
      </c>
      <c r="RWJ83" s="365">
        <v>0.5</v>
      </c>
      <c r="RWK83" s="366" t="e">
        <f>10/RWG81</f>
        <v>#DIV/0!</v>
      </c>
      <c r="RWL83" s="367">
        <v>15.38</v>
      </c>
      <c r="RWM83" s="367" t="e">
        <f>RWJ83*RWK83*RWL83</f>
        <v>#DIV/0!</v>
      </c>
      <c r="RWN83" s="363" t="s">
        <v>153</v>
      </c>
      <c r="RWO83" s="363"/>
      <c r="RWP83" s="363"/>
      <c r="RWQ83" s="364" t="s">
        <v>140</v>
      </c>
      <c r="RWR83" s="365">
        <v>0.5</v>
      </c>
      <c r="RWS83" s="366" t="e">
        <f>10/RWO81</f>
        <v>#DIV/0!</v>
      </c>
      <c r="RWT83" s="367">
        <v>15.38</v>
      </c>
      <c r="RWU83" s="367" t="e">
        <f>RWR83*RWS83*RWT83</f>
        <v>#DIV/0!</v>
      </c>
      <c r="RWV83" s="363" t="s">
        <v>153</v>
      </c>
      <c r="RWW83" s="363"/>
      <c r="RWX83" s="363"/>
      <c r="RWY83" s="364" t="s">
        <v>140</v>
      </c>
      <c r="RWZ83" s="365">
        <v>0.5</v>
      </c>
      <c r="RXA83" s="366" t="e">
        <f>10/RWW81</f>
        <v>#DIV/0!</v>
      </c>
      <c r="RXB83" s="367">
        <v>15.38</v>
      </c>
      <c r="RXC83" s="367" t="e">
        <f>RWZ83*RXA83*RXB83</f>
        <v>#DIV/0!</v>
      </c>
      <c r="RXD83" s="363" t="s">
        <v>153</v>
      </c>
      <c r="RXE83" s="363"/>
      <c r="RXF83" s="363"/>
      <c r="RXG83" s="364" t="s">
        <v>140</v>
      </c>
      <c r="RXH83" s="365">
        <v>0.5</v>
      </c>
      <c r="RXI83" s="366" t="e">
        <f>10/RXE81</f>
        <v>#DIV/0!</v>
      </c>
      <c r="RXJ83" s="367">
        <v>15.38</v>
      </c>
      <c r="RXK83" s="367" t="e">
        <f>RXH83*RXI83*RXJ83</f>
        <v>#DIV/0!</v>
      </c>
      <c r="RXL83" s="363" t="s">
        <v>153</v>
      </c>
      <c r="RXM83" s="363"/>
      <c r="RXN83" s="363"/>
      <c r="RXO83" s="364" t="s">
        <v>140</v>
      </c>
      <c r="RXP83" s="365">
        <v>0.5</v>
      </c>
      <c r="RXQ83" s="366" t="e">
        <f>10/RXM81</f>
        <v>#DIV/0!</v>
      </c>
      <c r="RXR83" s="367">
        <v>15.38</v>
      </c>
      <c r="RXS83" s="367" t="e">
        <f>RXP83*RXQ83*RXR83</f>
        <v>#DIV/0!</v>
      </c>
      <c r="RXT83" s="363" t="s">
        <v>153</v>
      </c>
      <c r="RXU83" s="363"/>
      <c r="RXV83" s="363"/>
      <c r="RXW83" s="364" t="s">
        <v>140</v>
      </c>
      <c r="RXX83" s="365">
        <v>0.5</v>
      </c>
      <c r="RXY83" s="366" t="e">
        <f>10/RXU81</f>
        <v>#DIV/0!</v>
      </c>
      <c r="RXZ83" s="367">
        <v>15.38</v>
      </c>
      <c r="RYA83" s="367" t="e">
        <f>RXX83*RXY83*RXZ83</f>
        <v>#DIV/0!</v>
      </c>
      <c r="RYB83" s="363" t="s">
        <v>153</v>
      </c>
      <c r="RYC83" s="363"/>
      <c r="RYD83" s="363"/>
      <c r="RYE83" s="364" t="s">
        <v>140</v>
      </c>
      <c r="RYF83" s="365">
        <v>0.5</v>
      </c>
      <c r="RYG83" s="366" t="e">
        <f>10/RYC81</f>
        <v>#DIV/0!</v>
      </c>
      <c r="RYH83" s="367">
        <v>15.38</v>
      </c>
      <c r="RYI83" s="367" t="e">
        <f>RYF83*RYG83*RYH83</f>
        <v>#DIV/0!</v>
      </c>
      <c r="RYJ83" s="363" t="s">
        <v>153</v>
      </c>
      <c r="RYK83" s="363"/>
      <c r="RYL83" s="363"/>
      <c r="RYM83" s="364" t="s">
        <v>140</v>
      </c>
      <c r="RYN83" s="365">
        <v>0.5</v>
      </c>
      <c r="RYO83" s="366" t="e">
        <f>10/RYK81</f>
        <v>#DIV/0!</v>
      </c>
      <c r="RYP83" s="367">
        <v>15.38</v>
      </c>
      <c r="RYQ83" s="367" t="e">
        <f>RYN83*RYO83*RYP83</f>
        <v>#DIV/0!</v>
      </c>
      <c r="RYR83" s="363" t="s">
        <v>153</v>
      </c>
      <c r="RYS83" s="363"/>
      <c r="RYT83" s="363"/>
      <c r="RYU83" s="364" t="s">
        <v>140</v>
      </c>
      <c r="RYV83" s="365">
        <v>0.5</v>
      </c>
      <c r="RYW83" s="366" t="e">
        <f>10/RYS81</f>
        <v>#DIV/0!</v>
      </c>
      <c r="RYX83" s="367">
        <v>15.38</v>
      </c>
      <c r="RYY83" s="367" t="e">
        <f>RYV83*RYW83*RYX83</f>
        <v>#DIV/0!</v>
      </c>
      <c r="RYZ83" s="363" t="s">
        <v>153</v>
      </c>
      <c r="RZA83" s="363"/>
      <c r="RZB83" s="363"/>
      <c r="RZC83" s="364" t="s">
        <v>140</v>
      </c>
      <c r="RZD83" s="365">
        <v>0.5</v>
      </c>
      <c r="RZE83" s="366" t="e">
        <f>10/RZA81</f>
        <v>#DIV/0!</v>
      </c>
      <c r="RZF83" s="367">
        <v>15.38</v>
      </c>
      <c r="RZG83" s="367" t="e">
        <f>RZD83*RZE83*RZF83</f>
        <v>#DIV/0!</v>
      </c>
      <c r="RZH83" s="363" t="s">
        <v>153</v>
      </c>
      <c r="RZI83" s="363"/>
      <c r="RZJ83" s="363"/>
      <c r="RZK83" s="364" t="s">
        <v>140</v>
      </c>
      <c r="RZL83" s="365">
        <v>0.5</v>
      </c>
      <c r="RZM83" s="366" t="e">
        <f>10/RZI81</f>
        <v>#DIV/0!</v>
      </c>
      <c r="RZN83" s="367">
        <v>15.38</v>
      </c>
      <c r="RZO83" s="367" t="e">
        <f>RZL83*RZM83*RZN83</f>
        <v>#DIV/0!</v>
      </c>
      <c r="RZP83" s="363" t="s">
        <v>153</v>
      </c>
      <c r="RZQ83" s="363"/>
      <c r="RZR83" s="363"/>
      <c r="RZS83" s="364" t="s">
        <v>140</v>
      </c>
      <c r="RZT83" s="365">
        <v>0.5</v>
      </c>
      <c r="RZU83" s="366" t="e">
        <f>10/RZQ81</f>
        <v>#DIV/0!</v>
      </c>
      <c r="RZV83" s="367">
        <v>15.38</v>
      </c>
      <c r="RZW83" s="367" t="e">
        <f>RZT83*RZU83*RZV83</f>
        <v>#DIV/0!</v>
      </c>
      <c r="RZX83" s="363" t="s">
        <v>153</v>
      </c>
      <c r="RZY83" s="363"/>
      <c r="RZZ83" s="363"/>
      <c r="SAA83" s="364" t="s">
        <v>140</v>
      </c>
      <c r="SAB83" s="365">
        <v>0.5</v>
      </c>
      <c r="SAC83" s="366" t="e">
        <f>10/RZY81</f>
        <v>#DIV/0!</v>
      </c>
      <c r="SAD83" s="367">
        <v>15.38</v>
      </c>
      <c r="SAE83" s="367" t="e">
        <f>SAB83*SAC83*SAD83</f>
        <v>#DIV/0!</v>
      </c>
      <c r="SAF83" s="363" t="s">
        <v>153</v>
      </c>
      <c r="SAG83" s="363"/>
      <c r="SAH83" s="363"/>
      <c r="SAI83" s="364" t="s">
        <v>140</v>
      </c>
      <c r="SAJ83" s="365">
        <v>0.5</v>
      </c>
      <c r="SAK83" s="366" t="e">
        <f>10/SAG81</f>
        <v>#DIV/0!</v>
      </c>
      <c r="SAL83" s="367">
        <v>15.38</v>
      </c>
      <c r="SAM83" s="367" t="e">
        <f>SAJ83*SAK83*SAL83</f>
        <v>#DIV/0!</v>
      </c>
      <c r="SAN83" s="363" t="s">
        <v>153</v>
      </c>
      <c r="SAO83" s="363"/>
      <c r="SAP83" s="363"/>
      <c r="SAQ83" s="364" t="s">
        <v>140</v>
      </c>
      <c r="SAR83" s="365">
        <v>0.5</v>
      </c>
      <c r="SAS83" s="366" t="e">
        <f>10/SAO81</f>
        <v>#DIV/0!</v>
      </c>
      <c r="SAT83" s="367">
        <v>15.38</v>
      </c>
      <c r="SAU83" s="367" t="e">
        <f>SAR83*SAS83*SAT83</f>
        <v>#DIV/0!</v>
      </c>
      <c r="SAV83" s="363" t="s">
        <v>153</v>
      </c>
      <c r="SAW83" s="363"/>
      <c r="SAX83" s="363"/>
      <c r="SAY83" s="364" t="s">
        <v>140</v>
      </c>
      <c r="SAZ83" s="365">
        <v>0.5</v>
      </c>
      <c r="SBA83" s="366" t="e">
        <f>10/SAW81</f>
        <v>#DIV/0!</v>
      </c>
      <c r="SBB83" s="367">
        <v>15.38</v>
      </c>
      <c r="SBC83" s="367" t="e">
        <f>SAZ83*SBA83*SBB83</f>
        <v>#DIV/0!</v>
      </c>
      <c r="SBD83" s="363" t="s">
        <v>153</v>
      </c>
      <c r="SBE83" s="363"/>
      <c r="SBF83" s="363"/>
      <c r="SBG83" s="364" t="s">
        <v>140</v>
      </c>
      <c r="SBH83" s="365">
        <v>0.5</v>
      </c>
      <c r="SBI83" s="366" t="e">
        <f>10/SBE81</f>
        <v>#DIV/0!</v>
      </c>
      <c r="SBJ83" s="367">
        <v>15.38</v>
      </c>
      <c r="SBK83" s="367" t="e">
        <f>SBH83*SBI83*SBJ83</f>
        <v>#DIV/0!</v>
      </c>
      <c r="SBL83" s="363" t="s">
        <v>153</v>
      </c>
      <c r="SBM83" s="363"/>
      <c r="SBN83" s="363"/>
      <c r="SBO83" s="364" t="s">
        <v>140</v>
      </c>
      <c r="SBP83" s="365">
        <v>0.5</v>
      </c>
      <c r="SBQ83" s="366" t="e">
        <f>10/SBM81</f>
        <v>#DIV/0!</v>
      </c>
      <c r="SBR83" s="367">
        <v>15.38</v>
      </c>
      <c r="SBS83" s="367" t="e">
        <f>SBP83*SBQ83*SBR83</f>
        <v>#DIV/0!</v>
      </c>
      <c r="SBT83" s="363" t="s">
        <v>153</v>
      </c>
      <c r="SBU83" s="363"/>
      <c r="SBV83" s="363"/>
      <c r="SBW83" s="364" t="s">
        <v>140</v>
      </c>
      <c r="SBX83" s="365">
        <v>0.5</v>
      </c>
      <c r="SBY83" s="366" t="e">
        <f>10/SBU81</f>
        <v>#DIV/0!</v>
      </c>
      <c r="SBZ83" s="367">
        <v>15.38</v>
      </c>
      <c r="SCA83" s="367" t="e">
        <f>SBX83*SBY83*SBZ83</f>
        <v>#DIV/0!</v>
      </c>
      <c r="SCB83" s="363" t="s">
        <v>153</v>
      </c>
      <c r="SCC83" s="363"/>
      <c r="SCD83" s="363"/>
      <c r="SCE83" s="364" t="s">
        <v>140</v>
      </c>
      <c r="SCF83" s="365">
        <v>0.5</v>
      </c>
      <c r="SCG83" s="366" t="e">
        <f>10/SCC81</f>
        <v>#DIV/0!</v>
      </c>
      <c r="SCH83" s="367">
        <v>15.38</v>
      </c>
      <c r="SCI83" s="367" t="e">
        <f>SCF83*SCG83*SCH83</f>
        <v>#DIV/0!</v>
      </c>
      <c r="SCJ83" s="363" t="s">
        <v>153</v>
      </c>
      <c r="SCK83" s="363"/>
      <c r="SCL83" s="363"/>
      <c r="SCM83" s="364" t="s">
        <v>140</v>
      </c>
      <c r="SCN83" s="365">
        <v>0.5</v>
      </c>
      <c r="SCO83" s="366" t="e">
        <f>10/SCK81</f>
        <v>#DIV/0!</v>
      </c>
      <c r="SCP83" s="367">
        <v>15.38</v>
      </c>
      <c r="SCQ83" s="367" t="e">
        <f>SCN83*SCO83*SCP83</f>
        <v>#DIV/0!</v>
      </c>
      <c r="SCR83" s="363" t="s">
        <v>153</v>
      </c>
      <c r="SCS83" s="363"/>
      <c r="SCT83" s="363"/>
      <c r="SCU83" s="364" t="s">
        <v>140</v>
      </c>
      <c r="SCV83" s="365">
        <v>0.5</v>
      </c>
      <c r="SCW83" s="366" t="e">
        <f>10/SCS81</f>
        <v>#DIV/0!</v>
      </c>
      <c r="SCX83" s="367">
        <v>15.38</v>
      </c>
      <c r="SCY83" s="367" t="e">
        <f>SCV83*SCW83*SCX83</f>
        <v>#DIV/0!</v>
      </c>
      <c r="SCZ83" s="363" t="s">
        <v>153</v>
      </c>
      <c r="SDA83" s="363"/>
      <c r="SDB83" s="363"/>
      <c r="SDC83" s="364" t="s">
        <v>140</v>
      </c>
      <c r="SDD83" s="365">
        <v>0.5</v>
      </c>
      <c r="SDE83" s="366" t="e">
        <f>10/SDA81</f>
        <v>#DIV/0!</v>
      </c>
      <c r="SDF83" s="367">
        <v>15.38</v>
      </c>
      <c r="SDG83" s="367" t="e">
        <f>SDD83*SDE83*SDF83</f>
        <v>#DIV/0!</v>
      </c>
      <c r="SDH83" s="363" t="s">
        <v>153</v>
      </c>
      <c r="SDI83" s="363"/>
      <c r="SDJ83" s="363"/>
      <c r="SDK83" s="364" t="s">
        <v>140</v>
      </c>
      <c r="SDL83" s="365">
        <v>0.5</v>
      </c>
      <c r="SDM83" s="366" t="e">
        <f>10/SDI81</f>
        <v>#DIV/0!</v>
      </c>
      <c r="SDN83" s="367">
        <v>15.38</v>
      </c>
      <c r="SDO83" s="367" t="e">
        <f>SDL83*SDM83*SDN83</f>
        <v>#DIV/0!</v>
      </c>
      <c r="SDP83" s="363" t="s">
        <v>153</v>
      </c>
      <c r="SDQ83" s="363"/>
      <c r="SDR83" s="363"/>
      <c r="SDS83" s="364" t="s">
        <v>140</v>
      </c>
      <c r="SDT83" s="365">
        <v>0.5</v>
      </c>
      <c r="SDU83" s="366" t="e">
        <f>10/SDQ81</f>
        <v>#DIV/0!</v>
      </c>
      <c r="SDV83" s="367">
        <v>15.38</v>
      </c>
      <c r="SDW83" s="367" t="e">
        <f>SDT83*SDU83*SDV83</f>
        <v>#DIV/0!</v>
      </c>
      <c r="SDX83" s="363" t="s">
        <v>153</v>
      </c>
      <c r="SDY83" s="363"/>
      <c r="SDZ83" s="363"/>
      <c r="SEA83" s="364" t="s">
        <v>140</v>
      </c>
      <c r="SEB83" s="365">
        <v>0.5</v>
      </c>
      <c r="SEC83" s="366" t="e">
        <f>10/SDY81</f>
        <v>#DIV/0!</v>
      </c>
      <c r="SED83" s="367">
        <v>15.38</v>
      </c>
      <c r="SEE83" s="367" t="e">
        <f>SEB83*SEC83*SED83</f>
        <v>#DIV/0!</v>
      </c>
      <c r="SEF83" s="363" t="s">
        <v>153</v>
      </c>
      <c r="SEG83" s="363"/>
      <c r="SEH83" s="363"/>
      <c r="SEI83" s="364" t="s">
        <v>140</v>
      </c>
      <c r="SEJ83" s="365">
        <v>0.5</v>
      </c>
      <c r="SEK83" s="366" t="e">
        <f>10/SEG81</f>
        <v>#DIV/0!</v>
      </c>
      <c r="SEL83" s="367">
        <v>15.38</v>
      </c>
      <c r="SEM83" s="367" t="e">
        <f>SEJ83*SEK83*SEL83</f>
        <v>#DIV/0!</v>
      </c>
      <c r="SEN83" s="363" t="s">
        <v>153</v>
      </c>
      <c r="SEO83" s="363"/>
      <c r="SEP83" s="363"/>
      <c r="SEQ83" s="364" t="s">
        <v>140</v>
      </c>
      <c r="SER83" s="365">
        <v>0.5</v>
      </c>
      <c r="SES83" s="366" t="e">
        <f>10/SEO81</f>
        <v>#DIV/0!</v>
      </c>
      <c r="SET83" s="367">
        <v>15.38</v>
      </c>
      <c r="SEU83" s="367" t="e">
        <f>SER83*SES83*SET83</f>
        <v>#DIV/0!</v>
      </c>
      <c r="SEV83" s="363" t="s">
        <v>153</v>
      </c>
      <c r="SEW83" s="363"/>
      <c r="SEX83" s="363"/>
      <c r="SEY83" s="364" t="s">
        <v>140</v>
      </c>
      <c r="SEZ83" s="365">
        <v>0.5</v>
      </c>
      <c r="SFA83" s="366" t="e">
        <f>10/SEW81</f>
        <v>#DIV/0!</v>
      </c>
      <c r="SFB83" s="367">
        <v>15.38</v>
      </c>
      <c r="SFC83" s="367" t="e">
        <f>SEZ83*SFA83*SFB83</f>
        <v>#DIV/0!</v>
      </c>
      <c r="SFD83" s="363" t="s">
        <v>153</v>
      </c>
      <c r="SFE83" s="363"/>
      <c r="SFF83" s="363"/>
      <c r="SFG83" s="364" t="s">
        <v>140</v>
      </c>
      <c r="SFH83" s="365">
        <v>0.5</v>
      </c>
      <c r="SFI83" s="366" t="e">
        <f>10/SFE81</f>
        <v>#DIV/0!</v>
      </c>
      <c r="SFJ83" s="367">
        <v>15.38</v>
      </c>
      <c r="SFK83" s="367" t="e">
        <f>SFH83*SFI83*SFJ83</f>
        <v>#DIV/0!</v>
      </c>
      <c r="SFL83" s="363" t="s">
        <v>153</v>
      </c>
      <c r="SFM83" s="363"/>
      <c r="SFN83" s="363"/>
      <c r="SFO83" s="364" t="s">
        <v>140</v>
      </c>
      <c r="SFP83" s="365">
        <v>0.5</v>
      </c>
      <c r="SFQ83" s="366" t="e">
        <f>10/SFM81</f>
        <v>#DIV/0!</v>
      </c>
      <c r="SFR83" s="367">
        <v>15.38</v>
      </c>
      <c r="SFS83" s="367" t="e">
        <f>SFP83*SFQ83*SFR83</f>
        <v>#DIV/0!</v>
      </c>
      <c r="SFT83" s="363" t="s">
        <v>153</v>
      </c>
      <c r="SFU83" s="363"/>
      <c r="SFV83" s="363"/>
      <c r="SFW83" s="364" t="s">
        <v>140</v>
      </c>
      <c r="SFX83" s="365">
        <v>0.5</v>
      </c>
      <c r="SFY83" s="366" t="e">
        <f>10/SFU81</f>
        <v>#DIV/0!</v>
      </c>
      <c r="SFZ83" s="367">
        <v>15.38</v>
      </c>
      <c r="SGA83" s="367" t="e">
        <f>SFX83*SFY83*SFZ83</f>
        <v>#DIV/0!</v>
      </c>
      <c r="SGB83" s="363" t="s">
        <v>153</v>
      </c>
      <c r="SGC83" s="363"/>
      <c r="SGD83" s="363"/>
      <c r="SGE83" s="364" t="s">
        <v>140</v>
      </c>
      <c r="SGF83" s="365">
        <v>0.5</v>
      </c>
      <c r="SGG83" s="366" t="e">
        <f>10/SGC81</f>
        <v>#DIV/0!</v>
      </c>
      <c r="SGH83" s="367">
        <v>15.38</v>
      </c>
      <c r="SGI83" s="367" t="e">
        <f>SGF83*SGG83*SGH83</f>
        <v>#DIV/0!</v>
      </c>
      <c r="SGJ83" s="363" t="s">
        <v>153</v>
      </c>
      <c r="SGK83" s="363"/>
      <c r="SGL83" s="363"/>
      <c r="SGM83" s="364" t="s">
        <v>140</v>
      </c>
      <c r="SGN83" s="365">
        <v>0.5</v>
      </c>
      <c r="SGO83" s="366" t="e">
        <f>10/SGK81</f>
        <v>#DIV/0!</v>
      </c>
      <c r="SGP83" s="367">
        <v>15.38</v>
      </c>
      <c r="SGQ83" s="367" t="e">
        <f>SGN83*SGO83*SGP83</f>
        <v>#DIV/0!</v>
      </c>
      <c r="SGR83" s="363" t="s">
        <v>153</v>
      </c>
      <c r="SGS83" s="363"/>
      <c r="SGT83" s="363"/>
      <c r="SGU83" s="364" t="s">
        <v>140</v>
      </c>
      <c r="SGV83" s="365">
        <v>0.5</v>
      </c>
      <c r="SGW83" s="366" t="e">
        <f>10/SGS81</f>
        <v>#DIV/0!</v>
      </c>
      <c r="SGX83" s="367">
        <v>15.38</v>
      </c>
      <c r="SGY83" s="367" t="e">
        <f>SGV83*SGW83*SGX83</f>
        <v>#DIV/0!</v>
      </c>
      <c r="SGZ83" s="363" t="s">
        <v>153</v>
      </c>
      <c r="SHA83" s="363"/>
      <c r="SHB83" s="363"/>
      <c r="SHC83" s="364" t="s">
        <v>140</v>
      </c>
      <c r="SHD83" s="365">
        <v>0.5</v>
      </c>
      <c r="SHE83" s="366" t="e">
        <f>10/SHA81</f>
        <v>#DIV/0!</v>
      </c>
      <c r="SHF83" s="367">
        <v>15.38</v>
      </c>
      <c r="SHG83" s="367" t="e">
        <f>SHD83*SHE83*SHF83</f>
        <v>#DIV/0!</v>
      </c>
      <c r="SHH83" s="363" t="s">
        <v>153</v>
      </c>
      <c r="SHI83" s="363"/>
      <c r="SHJ83" s="363"/>
      <c r="SHK83" s="364" t="s">
        <v>140</v>
      </c>
      <c r="SHL83" s="365">
        <v>0.5</v>
      </c>
      <c r="SHM83" s="366" t="e">
        <f>10/SHI81</f>
        <v>#DIV/0!</v>
      </c>
      <c r="SHN83" s="367">
        <v>15.38</v>
      </c>
      <c r="SHO83" s="367" t="e">
        <f>SHL83*SHM83*SHN83</f>
        <v>#DIV/0!</v>
      </c>
      <c r="SHP83" s="363" t="s">
        <v>153</v>
      </c>
      <c r="SHQ83" s="363"/>
      <c r="SHR83" s="363"/>
      <c r="SHS83" s="364" t="s">
        <v>140</v>
      </c>
      <c r="SHT83" s="365">
        <v>0.5</v>
      </c>
      <c r="SHU83" s="366" t="e">
        <f>10/SHQ81</f>
        <v>#DIV/0!</v>
      </c>
      <c r="SHV83" s="367">
        <v>15.38</v>
      </c>
      <c r="SHW83" s="367" t="e">
        <f>SHT83*SHU83*SHV83</f>
        <v>#DIV/0!</v>
      </c>
      <c r="SHX83" s="363" t="s">
        <v>153</v>
      </c>
      <c r="SHY83" s="363"/>
      <c r="SHZ83" s="363"/>
      <c r="SIA83" s="364" t="s">
        <v>140</v>
      </c>
      <c r="SIB83" s="365">
        <v>0.5</v>
      </c>
      <c r="SIC83" s="366" t="e">
        <f>10/SHY81</f>
        <v>#DIV/0!</v>
      </c>
      <c r="SID83" s="367">
        <v>15.38</v>
      </c>
      <c r="SIE83" s="367" t="e">
        <f>SIB83*SIC83*SID83</f>
        <v>#DIV/0!</v>
      </c>
      <c r="SIF83" s="363" t="s">
        <v>153</v>
      </c>
      <c r="SIG83" s="363"/>
      <c r="SIH83" s="363"/>
      <c r="SII83" s="364" t="s">
        <v>140</v>
      </c>
      <c r="SIJ83" s="365">
        <v>0.5</v>
      </c>
      <c r="SIK83" s="366" t="e">
        <f>10/SIG81</f>
        <v>#DIV/0!</v>
      </c>
      <c r="SIL83" s="367">
        <v>15.38</v>
      </c>
      <c r="SIM83" s="367" t="e">
        <f>SIJ83*SIK83*SIL83</f>
        <v>#DIV/0!</v>
      </c>
      <c r="SIN83" s="363" t="s">
        <v>153</v>
      </c>
      <c r="SIO83" s="363"/>
      <c r="SIP83" s="363"/>
      <c r="SIQ83" s="364" t="s">
        <v>140</v>
      </c>
      <c r="SIR83" s="365">
        <v>0.5</v>
      </c>
      <c r="SIS83" s="366" t="e">
        <f>10/SIO81</f>
        <v>#DIV/0!</v>
      </c>
      <c r="SIT83" s="367">
        <v>15.38</v>
      </c>
      <c r="SIU83" s="367" t="e">
        <f>SIR83*SIS83*SIT83</f>
        <v>#DIV/0!</v>
      </c>
      <c r="SIV83" s="363" t="s">
        <v>153</v>
      </c>
      <c r="SIW83" s="363"/>
      <c r="SIX83" s="363"/>
      <c r="SIY83" s="364" t="s">
        <v>140</v>
      </c>
      <c r="SIZ83" s="365">
        <v>0.5</v>
      </c>
      <c r="SJA83" s="366" t="e">
        <f>10/SIW81</f>
        <v>#DIV/0!</v>
      </c>
      <c r="SJB83" s="367">
        <v>15.38</v>
      </c>
      <c r="SJC83" s="367" t="e">
        <f>SIZ83*SJA83*SJB83</f>
        <v>#DIV/0!</v>
      </c>
      <c r="SJD83" s="363" t="s">
        <v>153</v>
      </c>
      <c r="SJE83" s="363"/>
      <c r="SJF83" s="363"/>
      <c r="SJG83" s="364" t="s">
        <v>140</v>
      </c>
      <c r="SJH83" s="365">
        <v>0.5</v>
      </c>
      <c r="SJI83" s="366" t="e">
        <f>10/SJE81</f>
        <v>#DIV/0!</v>
      </c>
      <c r="SJJ83" s="367">
        <v>15.38</v>
      </c>
      <c r="SJK83" s="367" t="e">
        <f>SJH83*SJI83*SJJ83</f>
        <v>#DIV/0!</v>
      </c>
      <c r="SJL83" s="363" t="s">
        <v>153</v>
      </c>
      <c r="SJM83" s="363"/>
      <c r="SJN83" s="363"/>
      <c r="SJO83" s="364" t="s">
        <v>140</v>
      </c>
      <c r="SJP83" s="365">
        <v>0.5</v>
      </c>
      <c r="SJQ83" s="366" t="e">
        <f>10/SJM81</f>
        <v>#DIV/0!</v>
      </c>
      <c r="SJR83" s="367">
        <v>15.38</v>
      </c>
      <c r="SJS83" s="367" t="e">
        <f>SJP83*SJQ83*SJR83</f>
        <v>#DIV/0!</v>
      </c>
      <c r="SJT83" s="363" t="s">
        <v>153</v>
      </c>
      <c r="SJU83" s="363"/>
      <c r="SJV83" s="363"/>
      <c r="SJW83" s="364" t="s">
        <v>140</v>
      </c>
      <c r="SJX83" s="365">
        <v>0.5</v>
      </c>
      <c r="SJY83" s="366" t="e">
        <f>10/SJU81</f>
        <v>#DIV/0!</v>
      </c>
      <c r="SJZ83" s="367">
        <v>15.38</v>
      </c>
      <c r="SKA83" s="367" t="e">
        <f>SJX83*SJY83*SJZ83</f>
        <v>#DIV/0!</v>
      </c>
      <c r="SKB83" s="363" t="s">
        <v>153</v>
      </c>
      <c r="SKC83" s="363"/>
      <c r="SKD83" s="363"/>
      <c r="SKE83" s="364" t="s">
        <v>140</v>
      </c>
      <c r="SKF83" s="365">
        <v>0.5</v>
      </c>
      <c r="SKG83" s="366" t="e">
        <f>10/SKC81</f>
        <v>#DIV/0!</v>
      </c>
      <c r="SKH83" s="367">
        <v>15.38</v>
      </c>
      <c r="SKI83" s="367" t="e">
        <f>SKF83*SKG83*SKH83</f>
        <v>#DIV/0!</v>
      </c>
      <c r="SKJ83" s="363" t="s">
        <v>153</v>
      </c>
      <c r="SKK83" s="363"/>
      <c r="SKL83" s="363"/>
      <c r="SKM83" s="364" t="s">
        <v>140</v>
      </c>
      <c r="SKN83" s="365">
        <v>0.5</v>
      </c>
      <c r="SKO83" s="366" t="e">
        <f>10/SKK81</f>
        <v>#DIV/0!</v>
      </c>
      <c r="SKP83" s="367">
        <v>15.38</v>
      </c>
      <c r="SKQ83" s="367" t="e">
        <f>SKN83*SKO83*SKP83</f>
        <v>#DIV/0!</v>
      </c>
      <c r="SKR83" s="363" t="s">
        <v>153</v>
      </c>
      <c r="SKS83" s="363"/>
      <c r="SKT83" s="363"/>
      <c r="SKU83" s="364" t="s">
        <v>140</v>
      </c>
      <c r="SKV83" s="365">
        <v>0.5</v>
      </c>
      <c r="SKW83" s="366" t="e">
        <f>10/SKS81</f>
        <v>#DIV/0!</v>
      </c>
      <c r="SKX83" s="367">
        <v>15.38</v>
      </c>
      <c r="SKY83" s="367" t="e">
        <f>SKV83*SKW83*SKX83</f>
        <v>#DIV/0!</v>
      </c>
      <c r="SKZ83" s="363" t="s">
        <v>153</v>
      </c>
      <c r="SLA83" s="363"/>
      <c r="SLB83" s="363"/>
      <c r="SLC83" s="364" t="s">
        <v>140</v>
      </c>
      <c r="SLD83" s="365">
        <v>0.5</v>
      </c>
      <c r="SLE83" s="366" t="e">
        <f>10/SLA81</f>
        <v>#DIV/0!</v>
      </c>
      <c r="SLF83" s="367">
        <v>15.38</v>
      </c>
      <c r="SLG83" s="367" t="e">
        <f>SLD83*SLE83*SLF83</f>
        <v>#DIV/0!</v>
      </c>
      <c r="SLH83" s="363" t="s">
        <v>153</v>
      </c>
      <c r="SLI83" s="363"/>
      <c r="SLJ83" s="363"/>
      <c r="SLK83" s="364" t="s">
        <v>140</v>
      </c>
      <c r="SLL83" s="365">
        <v>0.5</v>
      </c>
      <c r="SLM83" s="366" t="e">
        <f>10/SLI81</f>
        <v>#DIV/0!</v>
      </c>
      <c r="SLN83" s="367">
        <v>15.38</v>
      </c>
      <c r="SLO83" s="367" t="e">
        <f>SLL83*SLM83*SLN83</f>
        <v>#DIV/0!</v>
      </c>
      <c r="SLP83" s="363" t="s">
        <v>153</v>
      </c>
      <c r="SLQ83" s="363"/>
      <c r="SLR83" s="363"/>
      <c r="SLS83" s="364" t="s">
        <v>140</v>
      </c>
      <c r="SLT83" s="365">
        <v>0.5</v>
      </c>
      <c r="SLU83" s="366" t="e">
        <f>10/SLQ81</f>
        <v>#DIV/0!</v>
      </c>
      <c r="SLV83" s="367">
        <v>15.38</v>
      </c>
      <c r="SLW83" s="367" t="e">
        <f>SLT83*SLU83*SLV83</f>
        <v>#DIV/0!</v>
      </c>
      <c r="SLX83" s="363" t="s">
        <v>153</v>
      </c>
      <c r="SLY83" s="363"/>
      <c r="SLZ83" s="363"/>
      <c r="SMA83" s="364" t="s">
        <v>140</v>
      </c>
      <c r="SMB83" s="365">
        <v>0.5</v>
      </c>
      <c r="SMC83" s="366" t="e">
        <f>10/SLY81</f>
        <v>#DIV/0!</v>
      </c>
      <c r="SMD83" s="367">
        <v>15.38</v>
      </c>
      <c r="SME83" s="367" t="e">
        <f>SMB83*SMC83*SMD83</f>
        <v>#DIV/0!</v>
      </c>
      <c r="SMF83" s="363" t="s">
        <v>153</v>
      </c>
      <c r="SMG83" s="363"/>
      <c r="SMH83" s="363"/>
      <c r="SMI83" s="364" t="s">
        <v>140</v>
      </c>
      <c r="SMJ83" s="365">
        <v>0.5</v>
      </c>
      <c r="SMK83" s="366" t="e">
        <f>10/SMG81</f>
        <v>#DIV/0!</v>
      </c>
      <c r="SML83" s="367">
        <v>15.38</v>
      </c>
      <c r="SMM83" s="367" t="e">
        <f>SMJ83*SMK83*SML83</f>
        <v>#DIV/0!</v>
      </c>
      <c r="SMN83" s="363" t="s">
        <v>153</v>
      </c>
      <c r="SMO83" s="363"/>
      <c r="SMP83" s="363"/>
      <c r="SMQ83" s="364" t="s">
        <v>140</v>
      </c>
      <c r="SMR83" s="365">
        <v>0.5</v>
      </c>
      <c r="SMS83" s="366" t="e">
        <f>10/SMO81</f>
        <v>#DIV/0!</v>
      </c>
      <c r="SMT83" s="367">
        <v>15.38</v>
      </c>
      <c r="SMU83" s="367" t="e">
        <f>SMR83*SMS83*SMT83</f>
        <v>#DIV/0!</v>
      </c>
      <c r="SMV83" s="363" t="s">
        <v>153</v>
      </c>
      <c r="SMW83" s="363"/>
      <c r="SMX83" s="363"/>
      <c r="SMY83" s="364" t="s">
        <v>140</v>
      </c>
      <c r="SMZ83" s="365">
        <v>0.5</v>
      </c>
      <c r="SNA83" s="366" t="e">
        <f>10/SMW81</f>
        <v>#DIV/0!</v>
      </c>
      <c r="SNB83" s="367">
        <v>15.38</v>
      </c>
      <c r="SNC83" s="367" t="e">
        <f>SMZ83*SNA83*SNB83</f>
        <v>#DIV/0!</v>
      </c>
      <c r="SND83" s="363" t="s">
        <v>153</v>
      </c>
      <c r="SNE83" s="363"/>
      <c r="SNF83" s="363"/>
      <c r="SNG83" s="364" t="s">
        <v>140</v>
      </c>
      <c r="SNH83" s="365">
        <v>0.5</v>
      </c>
      <c r="SNI83" s="366" t="e">
        <f>10/SNE81</f>
        <v>#DIV/0!</v>
      </c>
      <c r="SNJ83" s="367">
        <v>15.38</v>
      </c>
      <c r="SNK83" s="367" t="e">
        <f>SNH83*SNI83*SNJ83</f>
        <v>#DIV/0!</v>
      </c>
      <c r="SNL83" s="363" t="s">
        <v>153</v>
      </c>
      <c r="SNM83" s="363"/>
      <c r="SNN83" s="363"/>
      <c r="SNO83" s="364" t="s">
        <v>140</v>
      </c>
      <c r="SNP83" s="365">
        <v>0.5</v>
      </c>
      <c r="SNQ83" s="366" t="e">
        <f>10/SNM81</f>
        <v>#DIV/0!</v>
      </c>
      <c r="SNR83" s="367">
        <v>15.38</v>
      </c>
      <c r="SNS83" s="367" t="e">
        <f>SNP83*SNQ83*SNR83</f>
        <v>#DIV/0!</v>
      </c>
      <c r="SNT83" s="363" t="s">
        <v>153</v>
      </c>
      <c r="SNU83" s="363"/>
      <c r="SNV83" s="363"/>
      <c r="SNW83" s="364" t="s">
        <v>140</v>
      </c>
      <c r="SNX83" s="365">
        <v>0.5</v>
      </c>
      <c r="SNY83" s="366" t="e">
        <f>10/SNU81</f>
        <v>#DIV/0!</v>
      </c>
      <c r="SNZ83" s="367">
        <v>15.38</v>
      </c>
      <c r="SOA83" s="367" t="e">
        <f>SNX83*SNY83*SNZ83</f>
        <v>#DIV/0!</v>
      </c>
      <c r="SOB83" s="363" t="s">
        <v>153</v>
      </c>
      <c r="SOC83" s="363"/>
      <c r="SOD83" s="363"/>
      <c r="SOE83" s="364" t="s">
        <v>140</v>
      </c>
      <c r="SOF83" s="365">
        <v>0.5</v>
      </c>
      <c r="SOG83" s="366" t="e">
        <f>10/SOC81</f>
        <v>#DIV/0!</v>
      </c>
      <c r="SOH83" s="367">
        <v>15.38</v>
      </c>
      <c r="SOI83" s="367" t="e">
        <f>SOF83*SOG83*SOH83</f>
        <v>#DIV/0!</v>
      </c>
      <c r="SOJ83" s="363" t="s">
        <v>153</v>
      </c>
      <c r="SOK83" s="363"/>
      <c r="SOL83" s="363"/>
      <c r="SOM83" s="364" t="s">
        <v>140</v>
      </c>
      <c r="SON83" s="365">
        <v>0.5</v>
      </c>
      <c r="SOO83" s="366" t="e">
        <f>10/SOK81</f>
        <v>#DIV/0!</v>
      </c>
      <c r="SOP83" s="367">
        <v>15.38</v>
      </c>
      <c r="SOQ83" s="367" t="e">
        <f>SON83*SOO83*SOP83</f>
        <v>#DIV/0!</v>
      </c>
      <c r="SOR83" s="363" t="s">
        <v>153</v>
      </c>
      <c r="SOS83" s="363"/>
      <c r="SOT83" s="363"/>
      <c r="SOU83" s="364" t="s">
        <v>140</v>
      </c>
      <c r="SOV83" s="365">
        <v>0.5</v>
      </c>
      <c r="SOW83" s="366" t="e">
        <f>10/SOS81</f>
        <v>#DIV/0!</v>
      </c>
      <c r="SOX83" s="367">
        <v>15.38</v>
      </c>
      <c r="SOY83" s="367" t="e">
        <f>SOV83*SOW83*SOX83</f>
        <v>#DIV/0!</v>
      </c>
      <c r="SOZ83" s="363" t="s">
        <v>153</v>
      </c>
      <c r="SPA83" s="363"/>
      <c r="SPB83" s="363"/>
      <c r="SPC83" s="364" t="s">
        <v>140</v>
      </c>
      <c r="SPD83" s="365">
        <v>0.5</v>
      </c>
      <c r="SPE83" s="366" t="e">
        <f>10/SPA81</f>
        <v>#DIV/0!</v>
      </c>
      <c r="SPF83" s="367">
        <v>15.38</v>
      </c>
      <c r="SPG83" s="367" t="e">
        <f>SPD83*SPE83*SPF83</f>
        <v>#DIV/0!</v>
      </c>
      <c r="SPH83" s="363" t="s">
        <v>153</v>
      </c>
      <c r="SPI83" s="363"/>
      <c r="SPJ83" s="363"/>
      <c r="SPK83" s="364" t="s">
        <v>140</v>
      </c>
      <c r="SPL83" s="365">
        <v>0.5</v>
      </c>
      <c r="SPM83" s="366" t="e">
        <f>10/SPI81</f>
        <v>#DIV/0!</v>
      </c>
      <c r="SPN83" s="367">
        <v>15.38</v>
      </c>
      <c r="SPO83" s="367" t="e">
        <f>SPL83*SPM83*SPN83</f>
        <v>#DIV/0!</v>
      </c>
      <c r="SPP83" s="363" t="s">
        <v>153</v>
      </c>
      <c r="SPQ83" s="363"/>
      <c r="SPR83" s="363"/>
      <c r="SPS83" s="364" t="s">
        <v>140</v>
      </c>
      <c r="SPT83" s="365">
        <v>0.5</v>
      </c>
      <c r="SPU83" s="366" t="e">
        <f>10/SPQ81</f>
        <v>#DIV/0!</v>
      </c>
      <c r="SPV83" s="367">
        <v>15.38</v>
      </c>
      <c r="SPW83" s="367" t="e">
        <f>SPT83*SPU83*SPV83</f>
        <v>#DIV/0!</v>
      </c>
      <c r="SPX83" s="363" t="s">
        <v>153</v>
      </c>
      <c r="SPY83" s="363"/>
      <c r="SPZ83" s="363"/>
      <c r="SQA83" s="364" t="s">
        <v>140</v>
      </c>
      <c r="SQB83" s="365">
        <v>0.5</v>
      </c>
      <c r="SQC83" s="366" t="e">
        <f>10/SPY81</f>
        <v>#DIV/0!</v>
      </c>
      <c r="SQD83" s="367">
        <v>15.38</v>
      </c>
      <c r="SQE83" s="367" t="e">
        <f>SQB83*SQC83*SQD83</f>
        <v>#DIV/0!</v>
      </c>
      <c r="SQF83" s="363" t="s">
        <v>153</v>
      </c>
      <c r="SQG83" s="363"/>
      <c r="SQH83" s="363"/>
      <c r="SQI83" s="364" t="s">
        <v>140</v>
      </c>
      <c r="SQJ83" s="365">
        <v>0.5</v>
      </c>
      <c r="SQK83" s="366" t="e">
        <f>10/SQG81</f>
        <v>#DIV/0!</v>
      </c>
      <c r="SQL83" s="367">
        <v>15.38</v>
      </c>
      <c r="SQM83" s="367" t="e">
        <f>SQJ83*SQK83*SQL83</f>
        <v>#DIV/0!</v>
      </c>
      <c r="SQN83" s="363" t="s">
        <v>153</v>
      </c>
      <c r="SQO83" s="363"/>
      <c r="SQP83" s="363"/>
      <c r="SQQ83" s="364" t="s">
        <v>140</v>
      </c>
      <c r="SQR83" s="365">
        <v>0.5</v>
      </c>
      <c r="SQS83" s="366" t="e">
        <f>10/SQO81</f>
        <v>#DIV/0!</v>
      </c>
      <c r="SQT83" s="367">
        <v>15.38</v>
      </c>
      <c r="SQU83" s="367" t="e">
        <f>SQR83*SQS83*SQT83</f>
        <v>#DIV/0!</v>
      </c>
      <c r="SQV83" s="363" t="s">
        <v>153</v>
      </c>
      <c r="SQW83" s="363"/>
      <c r="SQX83" s="363"/>
      <c r="SQY83" s="364" t="s">
        <v>140</v>
      </c>
      <c r="SQZ83" s="365">
        <v>0.5</v>
      </c>
      <c r="SRA83" s="366" t="e">
        <f>10/SQW81</f>
        <v>#DIV/0!</v>
      </c>
      <c r="SRB83" s="367">
        <v>15.38</v>
      </c>
      <c r="SRC83" s="367" t="e">
        <f>SQZ83*SRA83*SRB83</f>
        <v>#DIV/0!</v>
      </c>
      <c r="SRD83" s="363" t="s">
        <v>153</v>
      </c>
      <c r="SRE83" s="363"/>
      <c r="SRF83" s="363"/>
      <c r="SRG83" s="364" t="s">
        <v>140</v>
      </c>
      <c r="SRH83" s="365">
        <v>0.5</v>
      </c>
      <c r="SRI83" s="366" t="e">
        <f>10/SRE81</f>
        <v>#DIV/0!</v>
      </c>
      <c r="SRJ83" s="367">
        <v>15.38</v>
      </c>
      <c r="SRK83" s="367" t="e">
        <f>SRH83*SRI83*SRJ83</f>
        <v>#DIV/0!</v>
      </c>
      <c r="SRL83" s="363" t="s">
        <v>153</v>
      </c>
      <c r="SRM83" s="363"/>
      <c r="SRN83" s="363"/>
      <c r="SRO83" s="364" t="s">
        <v>140</v>
      </c>
      <c r="SRP83" s="365">
        <v>0.5</v>
      </c>
      <c r="SRQ83" s="366" t="e">
        <f>10/SRM81</f>
        <v>#DIV/0!</v>
      </c>
      <c r="SRR83" s="367">
        <v>15.38</v>
      </c>
      <c r="SRS83" s="367" t="e">
        <f>SRP83*SRQ83*SRR83</f>
        <v>#DIV/0!</v>
      </c>
      <c r="SRT83" s="363" t="s">
        <v>153</v>
      </c>
      <c r="SRU83" s="363"/>
      <c r="SRV83" s="363"/>
      <c r="SRW83" s="364" t="s">
        <v>140</v>
      </c>
      <c r="SRX83" s="365">
        <v>0.5</v>
      </c>
      <c r="SRY83" s="366" t="e">
        <f>10/SRU81</f>
        <v>#DIV/0!</v>
      </c>
      <c r="SRZ83" s="367">
        <v>15.38</v>
      </c>
      <c r="SSA83" s="367" t="e">
        <f>SRX83*SRY83*SRZ83</f>
        <v>#DIV/0!</v>
      </c>
      <c r="SSB83" s="363" t="s">
        <v>153</v>
      </c>
      <c r="SSC83" s="363"/>
      <c r="SSD83" s="363"/>
      <c r="SSE83" s="364" t="s">
        <v>140</v>
      </c>
      <c r="SSF83" s="365">
        <v>0.5</v>
      </c>
      <c r="SSG83" s="366" t="e">
        <f>10/SSC81</f>
        <v>#DIV/0!</v>
      </c>
      <c r="SSH83" s="367">
        <v>15.38</v>
      </c>
      <c r="SSI83" s="367" t="e">
        <f>SSF83*SSG83*SSH83</f>
        <v>#DIV/0!</v>
      </c>
      <c r="SSJ83" s="363" t="s">
        <v>153</v>
      </c>
      <c r="SSK83" s="363"/>
      <c r="SSL83" s="363"/>
      <c r="SSM83" s="364" t="s">
        <v>140</v>
      </c>
      <c r="SSN83" s="365">
        <v>0.5</v>
      </c>
      <c r="SSO83" s="366" t="e">
        <f>10/SSK81</f>
        <v>#DIV/0!</v>
      </c>
      <c r="SSP83" s="367">
        <v>15.38</v>
      </c>
      <c r="SSQ83" s="367" t="e">
        <f>SSN83*SSO83*SSP83</f>
        <v>#DIV/0!</v>
      </c>
      <c r="SSR83" s="363" t="s">
        <v>153</v>
      </c>
      <c r="SSS83" s="363"/>
      <c r="SST83" s="363"/>
      <c r="SSU83" s="364" t="s">
        <v>140</v>
      </c>
      <c r="SSV83" s="365">
        <v>0.5</v>
      </c>
      <c r="SSW83" s="366" t="e">
        <f>10/SSS81</f>
        <v>#DIV/0!</v>
      </c>
      <c r="SSX83" s="367">
        <v>15.38</v>
      </c>
      <c r="SSY83" s="367" t="e">
        <f>SSV83*SSW83*SSX83</f>
        <v>#DIV/0!</v>
      </c>
      <c r="SSZ83" s="363" t="s">
        <v>153</v>
      </c>
      <c r="STA83" s="363"/>
      <c r="STB83" s="363"/>
      <c r="STC83" s="364" t="s">
        <v>140</v>
      </c>
      <c r="STD83" s="365">
        <v>0.5</v>
      </c>
      <c r="STE83" s="366" t="e">
        <f>10/STA81</f>
        <v>#DIV/0!</v>
      </c>
      <c r="STF83" s="367">
        <v>15.38</v>
      </c>
      <c r="STG83" s="367" t="e">
        <f>STD83*STE83*STF83</f>
        <v>#DIV/0!</v>
      </c>
      <c r="STH83" s="363" t="s">
        <v>153</v>
      </c>
      <c r="STI83" s="363"/>
      <c r="STJ83" s="363"/>
      <c r="STK83" s="364" t="s">
        <v>140</v>
      </c>
      <c r="STL83" s="365">
        <v>0.5</v>
      </c>
      <c r="STM83" s="366" t="e">
        <f>10/STI81</f>
        <v>#DIV/0!</v>
      </c>
      <c r="STN83" s="367">
        <v>15.38</v>
      </c>
      <c r="STO83" s="367" t="e">
        <f>STL83*STM83*STN83</f>
        <v>#DIV/0!</v>
      </c>
      <c r="STP83" s="363" t="s">
        <v>153</v>
      </c>
      <c r="STQ83" s="363"/>
      <c r="STR83" s="363"/>
      <c r="STS83" s="364" t="s">
        <v>140</v>
      </c>
      <c r="STT83" s="365">
        <v>0.5</v>
      </c>
      <c r="STU83" s="366" t="e">
        <f>10/STQ81</f>
        <v>#DIV/0!</v>
      </c>
      <c r="STV83" s="367">
        <v>15.38</v>
      </c>
      <c r="STW83" s="367" t="e">
        <f>STT83*STU83*STV83</f>
        <v>#DIV/0!</v>
      </c>
      <c r="STX83" s="363" t="s">
        <v>153</v>
      </c>
      <c r="STY83" s="363"/>
      <c r="STZ83" s="363"/>
      <c r="SUA83" s="364" t="s">
        <v>140</v>
      </c>
      <c r="SUB83" s="365">
        <v>0.5</v>
      </c>
      <c r="SUC83" s="366" t="e">
        <f>10/STY81</f>
        <v>#DIV/0!</v>
      </c>
      <c r="SUD83" s="367">
        <v>15.38</v>
      </c>
      <c r="SUE83" s="367" t="e">
        <f>SUB83*SUC83*SUD83</f>
        <v>#DIV/0!</v>
      </c>
      <c r="SUF83" s="363" t="s">
        <v>153</v>
      </c>
      <c r="SUG83" s="363"/>
      <c r="SUH83" s="363"/>
      <c r="SUI83" s="364" t="s">
        <v>140</v>
      </c>
      <c r="SUJ83" s="365">
        <v>0.5</v>
      </c>
      <c r="SUK83" s="366" t="e">
        <f>10/SUG81</f>
        <v>#DIV/0!</v>
      </c>
      <c r="SUL83" s="367">
        <v>15.38</v>
      </c>
      <c r="SUM83" s="367" t="e">
        <f>SUJ83*SUK83*SUL83</f>
        <v>#DIV/0!</v>
      </c>
      <c r="SUN83" s="363" t="s">
        <v>153</v>
      </c>
      <c r="SUO83" s="363"/>
      <c r="SUP83" s="363"/>
      <c r="SUQ83" s="364" t="s">
        <v>140</v>
      </c>
      <c r="SUR83" s="365">
        <v>0.5</v>
      </c>
      <c r="SUS83" s="366" t="e">
        <f>10/SUO81</f>
        <v>#DIV/0!</v>
      </c>
      <c r="SUT83" s="367">
        <v>15.38</v>
      </c>
      <c r="SUU83" s="367" t="e">
        <f>SUR83*SUS83*SUT83</f>
        <v>#DIV/0!</v>
      </c>
      <c r="SUV83" s="363" t="s">
        <v>153</v>
      </c>
      <c r="SUW83" s="363"/>
      <c r="SUX83" s="363"/>
      <c r="SUY83" s="364" t="s">
        <v>140</v>
      </c>
      <c r="SUZ83" s="365">
        <v>0.5</v>
      </c>
      <c r="SVA83" s="366" t="e">
        <f>10/SUW81</f>
        <v>#DIV/0!</v>
      </c>
      <c r="SVB83" s="367">
        <v>15.38</v>
      </c>
      <c r="SVC83" s="367" t="e">
        <f>SUZ83*SVA83*SVB83</f>
        <v>#DIV/0!</v>
      </c>
      <c r="SVD83" s="363" t="s">
        <v>153</v>
      </c>
      <c r="SVE83" s="363"/>
      <c r="SVF83" s="363"/>
      <c r="SVG83" s="364" t="s">
        <v>140</v>
      </c>
      <c r="SVH83" s="365">
        <v>0.5</v>
      </c>
      <c r="SVI83" s="366" t="e">
        <f>10/SVE81</f>
        <v>#DIV/0!</v>
      </c>
      <c r="SVJ83" s="367">
        <v>15.38</v>
      </c>
      <c r="SVK83" s="367" t="e">
        <f>SVH83*SVI83*SVJ83</f>
        <v>#DIV/0!</v>
      </c>
      <c r="SVL83" s="363" t="s">
        <v>153</v>
      </c>
      <c r="SVM83" s="363"/>
      <c r="SVN83" s="363"/>
      <c r="SVO83" s="364" t="s">
        <v>140</v>
      </c>
      <c r="SVP83" s="365">
        <v>0.5</v>
      </c>
      <c r="SVQ83" s="366" t="e">
        <f>10/SVM81</f>
        <v>#DIV/0!</v>
      </c>
      <c r="SVR83" s="367">
        <v>15.38</v>
      </c>
      <c r="SVS83" s="367" t="e">
        <f>SVP83*SVQ83*SVR83</f>
        <v>#DIV/0!</v>
      </c>
      <c r="SVT83" s="363" t="s">
        <v>153</v>
      </c>
      <c r="SVU83" s="363"/>
      <c r="SVV83" s="363"/>
      <c r="SVW83" s="364" t="s">
        <v>140</v>
      </c>
      <c r="SVX83" s="365">
        <v>0.5</v>
      </c>
      <c r="SVY83" s="366" t="e">
        <f>10/SVU81</f>
        <v>#DIV/0!</v>
      </c>
      <c r="SVZ83" s="367">
        <v>15.38</v>
      </c>
      <c r="SWA83" s="367" t="e">
        <f>SVX83*SVY83*SVZ83</f>
        <v>#DIV/0!</v>
      </c>
      <c r="SWB83" s="363" t="s">
        <v>153</v>
      </c>
      <c r="SWC83" s="363"/>
      <c r="SWD83" s="363"/>
      <c r="SWE83" s="364" t="s">
        <v>140</v>
      </c>
      <c r="SWF83" s="365">
        <v>0.5</v>
      </c>
      <c r="SWG83" s="366" t="e">
        <f>10/SWC81</f>
        <v>#DIV/0!</v>
      </c>
      <c r="SWH83" s="367">
        <v>15.38</v>
      </c>
      <c r="SWI83" s="367" t="e">
        <f>SWF83*SWG83*SWH83</f>
        <v>#DIV/0!</v>
      </c>
      <c r="SWJ83" s="363" t="s">
        <v>153</v>
      </c>
      <c r="SWK83" s="363"/>
      <c r="SWL83" s="363"/>
      <c r="SWM83" s="364" t="s">
        <v>140</v>
      </c>
      <c r="SWN83" s="365">
        <v>0.5</v>
      </c>
      <c r="SWO83" s="366" t="e">
        <f>10/SWK81</f>
        <v>#DIV/0!</v>
      </c>
      <c r="SWP83" s="367">
        <v>15.38</v>
      </c>
      <c r="SWQ83" s="367" t="e">
        <f>SWN83*SWO83*SWP83</f>
        <v>#DIV/0!</v>
      </c>
      <c r="SWR83" s="363" t="s">
        <v>153</v>
      </c>
      <c r="SWS83" s="363"/>
      <c r="SWT83" s="363"/>
      <c r="SWU83" s="364" t="s">
        <v>140</v>
      </c>
      <c r="SWV83" s="365">
        <v>0.5</v>
      </c>
      <c r="SWW83" s="366" t="e">
        <f>10/SWS81</f>
        <v>#DIV/0!</v>
      </c>
      <c r="SWX83" s="367">
        <v>15.38</v>
      </c>
      <c r="SWY83" s="367" t="e">
        <f>SWV83*SWW83*SWX83</f>
        <v>#DIV/0!</v>
      </c>
      <c r="SWZ83" s="363" t="s">
        <v>153</v>
      </c>
      <c r="SXA83" s="363"/>
      <c r="SXB83" s="363"/>
      <c r="SXC83" s="364" t="s">
        <v>140</v>
      </c>
      <c r="SXD83" s="365">
        <v>0.5</v>
      </c>
      <c r="SXE83" s="366" t="e">
        <f>10/SXA81</f>
        <v>#DIV/0!</v>
      </c>
      <c r="SXF83" s="367">
        <v>15.38</v>
      </c>
      <c r="SXG83" s="367" t="e">
        <f>SXD83*SXE83*SXF83</f>
        <v>#DIV/0!</v>
      </c>
      <c r="SXH83" s="363" t="s">
        <v>153</v>
      </c>
      <c r="SXI83" s="363"/>
      <c r="SXJ83" s="363"/>
      <c r="SXK83" s="364" t="s">
        <v>140</v>
      </c>
      <c r="SXL83" s="365">
        <v>0.5</v>
      </c>
      <c r="SXM83" s="366" t="e">
        <f>10/SXI81</f>
        <v>#DIV/0!</v>
      </c>
      <c r="SXN83" s="367">
        <v>15.38</v>
      </c>
      <c r="SXO83" s="367" t="e">
        <f>SXL83*SXM83*SXN83</f>
        <v>#DIV/0!</v>
      </c>
      <c r="SXP83" s="363" t="s">
        <v>153</v>
      </c>
      <c r="SXQ83" s="363"/>
      <c r="SXR83" s="363"/>
      <c r="SXS83" s="364" t="s">
        <v>140</v>
      </c>
      <c r="SXT83" s="365">
        <v>0.5</v>
      </c>
      <c r="SXU83" s="366" t="e">
        <f>10/SXQ81</f>
        <v>#DIV/0!</v>
      </c>
      <c r="SXV83" s="367">
        <v>15.38</v>
      </c>
      <c r="SXW83" s="367" t="e">
        <f>SXT83*SXU83*SXV83</f>
        <v>#DIV/0!</v>
      </c>
      <c r="SXX83" s="363" t="s">
        <v>153</v>
      </c>
      <c r="SXY83" s="363"/>
      <c r="SXZ83" s="363"/>
      <c r="SYA83" s="364" t="s">
        <v>140</v>
      </c>
      <c r="SYB83" s="365">
        <v>0.5</v>
      </c>
      <c r="SYC83" s="366" t="e">
        <f>10/SXY81</f>
        <v>#DIV/0!</v>
      </c>
      <c r="SYD83" s="367">
        <v>15.38</v>
      </c>
      <c r="SYE83" s="367" t="e">
        <f>SYB83*SYC83*SYD83</f>
        <v>#DIV/0!</v>
      </c>
      <c r="SYF83" s="363" t="s">
        <v>153</v>
      </c>
      <c r="SYG83" s="363"/>
      <c r="SYH83" s="363"/>
      <c r="SYI83" s="364" t="s">
        <v>140</v>
      </c>
      <c r="SYJ83" s="365">
        <v>0.5</v>
      </c>
      <c r="SYK83" s="366" t="e">
        <f>10/SYG81</f>
        <v>#DIV/0!</v>
      </c>
      <c r="SYL83" s="367">
        <v>15.38</v>
      </c>
      <c r="SYM83" s="367" t="e">
        <f>SYJ83*SYK83*SYL83</f>
        <v>#DIV/0!</v>
      </c>
      <c r="SYN83" s="363" t="s">
        <v>153</v>
      </c>
      <c r="SYO83" s="363"/>
      <c r="SYP83" s="363"/>
      <c r="SYQ83" s="364" t="s">
        <v>140</v>
      </c>
      <c r="SYR83" s="365">
        <v>0.5</v>
      </c>
      <c r="SYS83" s="366" t="e">
        <f>10/SYO81</f>
        <v>#DIV/0!</v>
      </c>
      <c r="SYT83" s="367">
        <v>15.38</v>
      </c>
      <c r="SYU83" s="367" t="e">
        <f>SYR83*SYS83*SYT83</f>
        <v>#DIV/0!</v>
      </c>
      <c r="SYV83" s="363" t="s">
        <v>153</v>
      </c>
      <c r="SYW83" s="363"/>
      <c r="SYX83" s="363"/>
      <c r="SYY83" s="364" t="s">
        <v>140</v>
      </c>
      <c r="SYZ83" s="365">
        <v>0.5</v>
      </c>
      <c r="SZA83" s="366" t="e">
        <f>10/SYW81</f>
        <v>#DIV/0!</v>
      </c>
      <c r="SZB83" s="367">
        <v>15.38</v>
      </c>
      <c r="SZC83" s="367" t="e">
        <f>SYZ83*SZA83*SZB83</f>
        <v>#DIV/0!</v>
      </c>
      <c r="SZD83" s="363" t="s">
        <v>153</v>
      </c>
      <c r="SZE83" s="363"/>
      <c r="SZF83" s="363"/>
      <c r="SZG83" s="364" t="s">
        <v>140</v>
      </c>
      <c r="SZH83" s="365">
        <v>0.5</v>
      </c>
      <c r="SZI83" s="366" t="e">
        <f>10/SZE81</f>
        <v>#DIV/0!</v>
      </c>
      <c r="SZJ83" s="367">
        <v>15.38</v>
      </c>
      <c r="SZK83" s="367" t="e">
        <f>SZH83*SZI83*SZJ83</f>
        <v>#DIV/0!</v>
      </c>
      <c r="SZL83" s="363" t="s">
        <v>153</v>
      </c>
      <c r="SZM83" s="363"/>
      <c r="SZN83" s="363"/>
      <c r="SZO83" s="364" t="s">
        <v>140</v>
      </c>
      <c r="SZP83" s="365">
        <v>0.5</v>
      </c>
      <c r="SZQ83" s="366" t="e">
        <f>10/SZM81</f>
        <v>#DIV/0!</v>
      </c>
      <c r="SZR83" s="367">
        <v>15.38</v>
      </c>
      <c r="SZS83" s="367" t="e">
        <f>SZP83*SZQ83*SZR83</f>
        <v>#DIV/0!</v>
      </c>
      <c r="SZT83" s="363" t="s">
        <v>153</v>
      </c>
      <c r="SZU83" s="363"/>
      <c r="SZV83" s="363"/>
      <c r="SZW83" s="364" t="s">
        <v>140</v>
      </c>
      <c r="SZX83" s="365">
        <v>0.5</v>
      </c>
      <c r="SZY83" s="366" t="e">
        <f>10/SZU81</f>
        <v>#DIV/0!</v>
      </c>
      <c r="SZZ83" s="367">
        <v>15.38</v>
      </c>
      <c r="TAA83" s="367" t="e">
        <f>SZX83*SZY83*SZZ83</f>
        <v>#DIV/0!</v>
      </c>
      <c r="TAB83" s="363" t="s">
        <v>153</v>
      </c>
      <c r="TAC83" s="363"/>
      <c r="TAD83" s="363"/>
      <c r="TAE83" s="364" t="s">
        <v>140</v>
      </c>
      <c r="TAF83" s="365">
        <v>0.5</v>
      </c>
      <c r="TAG83" s="366" t="e">
        <f>10/TAC81</f>
        <v>#DIV/0!</v>
      </c>
      <c r="TAH83" s="367">
        <v>15.38</v>
      </c>
      <c r="TAI83" s="367" t="e">
        <f>TAF83*TAG83*TAH83</f>
        <v>#DIV/0!</v>
      </c>
      <c r="TAJ83" s="363" t="s">
        <v>153</v>
      </c>
      <c r="TAK83" s="363"/>
      <c r="TAL83" s="363"/>
      <c r="TAM83" s="364" t="s">
        <v>140</v>
      </c>
      <c r="TAN83" s="365">
        <v>0.5</v>
      </c>
      <c r="TAO83" s="366" t="e">
        <f>10/TAK81</f>
        <v>#DIV/0!</v>
      </c>
      <c r="TAP83" s="367">
        <v>15.38</v>
      </c>
      <c r="TAQ83" s="367" t="e">
        <f>TAN83*TAO83*TAP83</f>
        <v>#DIV/0!</v>
      </c>
      <c r="TAR83" s="363" t="s">
        <v>153</v>
      </c>
      <c r="TAS83" s="363"/>
      <c r="TAT83" s="363"/>
      <c r="TAU83" s="364" t="s">
        <v>140</v>
      </c>
      <c r="TAV83" s="365">
        <v>0.5</v>
      </c>
      <c r="TAW83" s="366" t="e">
        <f>10/TAS81</f>
        <v>#DIV/0!</v>
      </c>
      <c r="TAX83" s="367">
        <v>15.38</v>
      </c>
      <c r="TAY83" s="367" t="e">
        <f>TAV83*TAW83*TAX83</f>
        <v>#DIV/0!</v>
      </c>
      <c r="TAZ83" s="363" t="s">
        <v>153</v>
      </c>
      <c r="TBA83" s="363"/>
      <c r="TBB83" s="363"/>
      <c r="TBC83" s="364" t="s">
        <v>140</v>
      </c>
      <c r="TBD83" s="365">
        <v>0.5</v>
      </c>
      <c r="TBE83" s="366" t="e">
        <f>10/TBA81</f>
        <v>#DIV/0!</v>
      </c>
      <c r="TBF83" s="367">
        <v>15.38</v>
      </c>
      <c r="TBG83" s="367" t="e">
        <f>TBD83*TBE83*TBF83</f>
        <v>#DIV/0!</v>
      </c>
      <c r="TBH83" s="363" t="s">
        <v>153</v>
      </c>
      <c r="TBI83" s="363"/>
      <c r="TBJ83" s="363"/>
      <c r="TBK83" s="364" t="s">
        <v>140</v>
      </c>
      <c r="TBL83" s="365">
        <v>0.5</v>
      </c>
      <c r="TBM83" s="366" t="e">
        <f>10/TBI81</f>
        <v>#DIV/0!</v>
      </c>
      <c r="TBN83" s="367">
        <v>15.38</v>
      </c>
      <c r="TBO83" s="367" t="e">
        <f>TBL83*TBM83*TBN83</f>
        <v>#DIV/0!</v>
      </c>
      <c r="TBP83" s="363" t="s">
        <v>153</v>
      </c>
      <c r="TBQ83" s="363"/>
      <c r="TBR83" s="363"/>
      <c r="TBS83" s="364" t="s">
        <v>140</v>
      </c>
      <c r="TBT83" s="365">
        <v>0.5</v>
      </c>
      <c r="TBU83" s="366" t="e">
        <f>10/TBQ81</f>
        <v>#DIV/0!</v>
      </c>
      <c r="TBV83" s="367">
        <v>15.38</v>
      </c>
      <c r="TBW83" s="367" t="e">
        <f>TBT83*TBU83*TBV83</f>
        <v>#DIV/0!</v>
      </c>
      <c r="TBX83" s="363" t="s">
        <v>153</v>
      </c>
      <c r="TBY83" s="363"/>
      <c r="TBZ83" s="363"/>
      <c r="TCA83" s="364" t="s">
        <v>140</v>
      </c>
      <c r="TCB83" s="365">
        <v>0.5</v>
      </c>
      <c r="TCC83" s="366" t="e">
        <f>10/TBY81</f>
        <v>#DIV/0!</v>
      </c>
      <c r="TCD83" s="367">
        <v>15.38</v>
      </c>
      <c r="TCE83" s="367" t="e">
        <f>TCB83*TCC83*TCD83</f>
        <v>#DIV/0!</v>
      </c>
      <c r="TCF83" s="363" t="s">
        <v>153</v>
      </c>
      <c r="TCG83" s="363"/>
      <c r="TCH83" s="363"/>
      <c r="TCI83" s="364" t="s">
        <v>140</v>
      </c>
      <c r="TCJ83" s="365">
        <v>0.5</v>
      </c>
      <c r="TCK83" s="366" t="e">
        <f>10/TCG81</f>
        <v>#DIV/0!</v>
      </c>
      <c r="TCL83" s="367">
        <v>15.38</v>
      </c>
      <c r="TCM83" s="367" t="e">
        <f>TCJ83*TCK83*TCL83</f>
        <v>#DIV/0!</v>
      </c>
      <c r="TCN83" s="363" t="s">
        <v>153</v>
      </c>
      <c r="TCO83" s="363"/>
      <c r="TCP83" s="363"/>
      <c r="TCQ83" s="364" t="s">
        <v>140</v>
      </c>
      <c r="TCR83" s="365">
        <v>0.5</v>
      </c>
      <c r="TCS83" s="366" t="e">
        <f>10/TCO81</f>
        <v>#DIV/0!</v>
      </c>
      <c r="TCT83" s="367">
        <v>15.38</v>
      </c>
      <c r="TCU83" s="367" t="e">
        <f>TCR83*TCS83*TCT83</f>
        <v>#DIV/0!</v>
      </c>
      <c r="TCV83" s="363" t="s">
        <v>153</v>
      </c>
      <c r="TCW83" s="363"/>
      <c r="TCX83" s="363"/>
      <c r="TCY83" s="364" t="s">
        <v>140</v>
      </c>
      <c r="TCZ83" s="365">
        <v>0.5</v>
      </c>
      <c r="TDA83" s="366" t="e">
        <f>10/TCW81</f>
        <v>#DIV/0!</v>
      </c>
      <c r="TDB83" s="367">
        <v>15.38</v>
      </c>
      <c r="TDC83" s="367" t="e">
        <f>TCZ83*TDA83*TDB83</f>
        <v>#DIV/0!</v>
      </c>
      <c r="TDD83" s="363" t="s">
        <v>153</v>
      </c>
      <c r="TDE83" s="363"/>
      <c r="TDF83" s="363"/>
      <c r="TDG83" s="364" t="s">
        <v>140</v>
      </c>
      <c r="TDH83" s="365">
        <v>0.5</v>
      </c>
      <c r="TDI83" s="366" t="e">
        <f>10/TDE81</f>
        <v>#DIV/0!</v>
      </c>
      <c r="TDJ83" s="367">
        <v>15.38</v>
      </c>
      <c r="TDK83" s="367" t="e">
        <f>TDH83*TDI83*TDJ83</f>
        <v>#DIV/0!</v>
      </c>
      <c r="TDL83" s="363" t="s">
        <v>153</v>
      </c>
      <c r="TDM83" s="363"/>
      <c r="TDN83" s="363"/>
      <c r="TDO83" s="364" t="s">
        <v>140</v>
      </c>
      <c r="TDP83" s="365">
        <v>0.5</v>
      </c>
      <c r="TDQ83" s="366" t="e">
        <f>10/TDM81</f>
        <v>#DIV/0!</v>
      </c>
      <c r="TDR83" s="367">
        <v>15.38</v>
      </c>
      <c r="TDS83" s="367" t="e">
        <f>TDP83*TDQ83*TDR83</f>
        <v>#DIV/0!</v>
      </c>
      <c r="TDT83" s="363" t="s">
        <v>153</v>
      </c>
      <c r="TDU83" s="363"/>
      <c r="TDV83" s="363"/>
      <c r="TDW83" s="364" t="s">
        <v>140</v>
      </c>
      <c r="TDX83" s="365">
        <v>0.5</v>
      </c>
      <c r="TDY83" s="366" t="e">
        <f>10/TDU81</f>
        <v>#DIV/0!</v>
      </c>
      <c r="TDZ83" s="367">
        <v>15.38</v>
      </c>
      <c r="TEA83" s="367" t="e">
        <f>TDX83*TDY83*TDZ83</f>
        <v>#DIV/0!</v>
      </c>
      <c r="TEB83" s="363" t="s">
        <v>153</v>
      </c>
      <c r="TEC83" s="363"/>
      <c r="TED83" s="363"/>
      <c r="TEE83" s="364" t="s">
        <v>140</v>
      </c>
      <c r="TEF83" s="365">
        <v>0.5</v>
      </c>
      <c r="TEG83" s="366" t="e">
        <f>10/TEC81</f>
        <v>#DIV/0!</v>
      </c>
      <c r="TEH83" s="367">
        <v>15.38</v>
      </c>
      <c r="TEI83" s="367" t="e">
        <f>TEF83*TEG83*TEH83</f>
        <v>#DIV/0!</v>
      </c>
      <c r="TEJ83" s="363" t="s">
        <v>153</v>
      </c>
      <c r="TEK83" s="363"/>
      <c r="TEL83" s="363"/>
      <c r="TEM83" s="364" t="s">
        <v>140</v>
      </c>
      <c r="TEN83" s="365">
        <v>0.5</v>
      </c>
      <c r="TEO83" s="366" t="e">
        <f>10/TEK81</f>
        <v>#DIV/0!</v>
      </c>
      <c r="TEP83" s="367">
        <v>15.38</v>
      </c>
      <c r="TEQ83" s="367" t="e">
        <f>TEN83*TEO83*TEP83</f>
        <v>#DIV/0!</v>
      </c>
      <c r="TER83" s="363" t="s">
        <v>153</v>
      </c>
      <c r="TES83" s="363"/>
      <c r="TET83" s="363"/>
      <c r="TEU83" s="364" t="s">
        <v>140</v>
      </c>
      <c r="TEV83" s="365">
        <v>0.5</v>
      </c>
      <c r="TEW83" s="366" t="e">
        <f>10/TES81</f>
        <v>#DIV/0!</v>
      </c>
      <c r="TEX83" s="367">
        <v>15.38</v>
      </c>
      <c r="TEY83" s="367" t="e">
        <f>TEV83*TEW83*TEX83</f>
        <v>#DIV/0!</v>
      </c>
      <c r="TEZ83" s="363" t="s">
        <v>153</v>
      </c>
      <c r="TFA83" s="363"/>
      <c r="TFB83" s="363"/>
      <c r="TFC83" s="364" t="s">
        <v>140</v>
      </c>
      <c r="TFD83" s="365">
        <v>0.5</v>
      </c>
      <c r="TFE83" s="366" t="e">
        <f>10/TFA81</f>
        <v>#DIV/0!</v>
      </c>
      <c r="TFF83" s="367">
        <v>15.38</v>
      </c>
      <c r="TFG83" s="367" t="e">
        <f>TFD83*TFE83*TFF83</f>
        <v>#DIV/0!</v>
      </c>
      <c r="TFH83" s="363" t="s">
        <v>153</v>
      </c>
      <c r="TFI83" s="363"/>
      <c r="TFJ83" s="363"/>
      <c r="TFK83" s="364" t="s">
        <v>140</v>
      </c>
      <c r="TFL83" s="365">
        <v>0.5</v>
      </c>
      <c r="TFM83" s="366" t="e">
        <f>10/TFI81</f>
        <v>#DIV/0!</v>
      </c>
      <c r="TFN83" s="367">
        <v>15.38</v>
      </c>
      <c r="TFO83" s="367" t="e">
        <f>TFL83*TFM83*TFN83</f>
        <v>#DIV/0!</v>
      </c>
      <c r="TFP83" s="363" t="s">
        <v>153</v>
      </c>
      <c r="TFQ83" s="363"/>
      <c r="TFR83" s="363"/>
      <c r="TFS83" s="364" t="s">
        <v>140</v>
      </c>
      <c r="TFT83" s="365">
        <v>0.5</v>
      </c>
      <c r="TFU83" s="366" t="e">
        <f>10/TFQ81</f>
        <v>#DIV/0!</v>
      </c>
      <c r="TFV83" s="367">
        <v>15.38</v>
      </c>
      <c r="TFW83" s="367" t="e">
        <f>TFT83*TFU83*TFV83</f>
        <v>#DIV/0!</v>
      </c>
      <c r="TFX83" s="363" t="s">
        <v>153</v>
      </c>
      <c r="TFY83" s="363"/>
      <c r="TFZ83" s="363"/>
      <c r="TGA83" s="364" t="s">
        <v>140</v>
      </c>
      <c r="TGB83" s="365">
        <v>0.5</v>
      </c>
      <c r="TGC83" s="366" t="e">
        <f>10/TFY81</f>
        <v>#DIV/0!</v>
      </c>
      <c r="TGD83" s="367">
        <v>15.38</v>
      </c>
      <c r="TGE83" s="367" t="e">
        <f>TGB83*TGC83*TGD83</f>
        <v>#DIV/0!</v>
      </c>
      <c r="TGF83" s="363" t="s">
        <v>153</v>
      </c>
      <c r="TGG83" s="363"/>
      <c r="TGH83" s="363"/>
      <c r="TGI83" s="364" t="s">
        <v>140</v>
      </c>
      <c r="TGJ83" s="365">
        <v>0.5</v>
      </c>
      <c r="TGK83" s="366" t="e">
        <f>10/TGG81</f>
        <v>#DIV/0!</v>
      </c>
      <c r="TGL83" s="367">
        <v>15.38</v>
      </c>
      <c r="TGM83" s="367" t="e">
        <f>TGJ83*TGK83*TGL83</f>
        <v>#DIV/0!</v>
      </c>
      <c r="TGN83" s="363" t="s">
        <v>153</v>
      </c>
      <c r="TGO83" s="363"/>
      <c r="TGP83" s="363"/>
      <c r="TGQ83" s="364" t="s">
        <v>140</v>
      </c>
      <c r="TGR83" s="365">
        <v>0.5</v>
      </c>
      <c r="TGS83" s="366" t="e">
        <f>10/TGO81</f>
        <v>#DIV/0!</v>
      </c>
      <c r="TGT83" s="367">
        <v>15.38</v>
      </c>
      <c r="TGU83" s="367" t="e">
        <f>TGR83*TGS83*TGT83</f>
        <v>#DIV/0!</v>
      </c>
      <c r="TGV83" s="363" t="s">
        <v>153</v>
      </c>
      <c r="TGW83" s="363"/>
      <c r="TGX83" s="363"/>
      <c r="TGY83" s="364" t="s">
        <v>140</v>
      </c>
      <c r="TGZ83" s="365">
        <v>0.5</v>
      </c>
      <c r="THA83" s="366" t="e">
        <f>10/TGW81</f>
        <v>#DIV/0!</v>
      </c>
      <c r="THB83" s="367">
        <v>15.38</v>
      </c>
      <c r="THC83" s="367" t="e">
        <f>TGZ83*THA83*THB83</f>
        <v>#DIV/0!</v>
      </c>
      <c r="THD83" s="363" t="s">
        <v>153</v>
      </c>
      <c r="THE83" s="363"/>
      <c r="THF83" s="363"/>
      <c r="THG83" s="364" t="s">
        <v>140</v>
      </c>
      <c r="THH83" s="365">
        <v>0.5</v>
      </c>
      <c r="THI83" s="366" t="e">
        <f>10/THE81</f>
        <v>#DIV/0!</v>
      </c>
      <c r="THJ83" s="367">
        <v>15.38</v>
      </c>
      <c r="THK83" s="367" t="e">
        <f>THH83*THI83*THJ83</f>
        <v>#DIV/0!</v>
      </c>
      <c r="THL83" s="363" t="s">
        <v>153</v>
      </c>
      <c r="THM83" s="363"/>
      <c r="THN83" s="363"/>
      <c r="THO83" s="364" t="s">
        <v>140</v>
      </c>
      <c r="THP83" s="365">
        <v>0.5</v>
      </c>
      <c r="THQ83" s="366" t="e">
        <f>10/THM81</f>
        <v>#DIV/0!</v>
      </c>
      <c r="THR83" s="367">
        <v>15.38</v>
      </c>
      <c r="THS83" s="367" t="e">
        <f>THP83*THQ83*THR83</f>
        <v>#DIV/0!</v>
      </c>
      <c r="THT83" s="363" t="s">
        <v>153</v>
      </c>
      <c r="THU83" s="363"/>
      <c r="THV83" s="363"/>
      <c r="THW83" s="364" t="s">
        <v>140</v>
      </c>
      <c r="THX83" s="365">
        <v>0.5</v>
      </c>
      <c r="THY83" s="366" t="e">
        <f>10/THU81</f>
        <v>#DIV/0!</v>
      </c>
      <c r="THZ83" s="367">
        <v>15.38</v>
      </c>
      <c r="TIA83" s="367" t="e">
        <f>THX83*THY83*THZ83</f>
        <v>#DIV/0!</v>
      </c>
      <c r="TIB83" s="363" t="s">
        <v>153</v>
      </c>
      <c r="TIC83" s="363"/>
      <c r="TID83" s="363"/>
      <c r="TIE83" s="364" t="s">
        <v>140</v>
      </c>
      <c r="TIF83" s="365">
        <v>0.5</v>
      </c>
      <c r="TIG83" s="366" t="e">
        <f>10/TIC81</f>
        <v>#DIV/0!</v>
      </c>
      <c r="TIH83" s="367">
        <v>15.38</v>
      </c>
      <c r="TII83" s="367" t="e">
        <f>TIF83*TIG83*TIH83</f>
        <v>#DIV/0!</v>
      </c>
      <c r="TIJ83" s="363" t="s">
        <v>153</v>
      </c>
      <c r="TIK83" s="363"/>
      <c r="TIL83" s="363"/>
      <c r="TIM83" s="364" t="s">
        <v>140</v>
      </c>
      <c r="TIN83" s="365">
        <v>0.5</v>
      </c>
      <c r="TIO83" s="366" t="e">
        <f>10/TIK81</f>
        <v>#DIV/0!</v>
      </c>
      <c r="TIP83" s="367">
        <v>15.38</v>
      </c>
      <c r="TIQ83" s="367" t="e">
        <f>TIN83*TIO83*TIP83</f>
        <v>#DIV/0!</v>
      </c>
      <c r="TIR83" s="363" t="s">
        <v>153</v>
      </c>
      <c r="TIS83" s="363"/>
      <c r="TIT83" s="363"/>
      <c r="TIU83" s="364" t="s">
        <v>140</v>
      </c>
      <c r="TIV83" s="365">
        <v>0.5</v>
      </c>
      <c r="TIW83" s="366" t="e">
        <f>10/TIS81</f>
        <v>#DIV/0!</v>
      </c>
      <c r="TIX83" s="367">
        <v>15.38</v>
      </c>
      <c r="TIY83" s="367" t="e">
        <f>TIV83*TIW83*TIX83</f>
        <v>#DIV/0!</v>
      </c>
      <c r="TIZ83" s="363" t="s">
        <v>153</v>
      </c>
      <c r="TJA83" s="363"/>
      <c r="TJB83" s="363"/>
      <c r="TJC83" s="364" t="s">
        <v>140</v>
      </c>
      <c r="TJD83" s="365">
        <v>0.5</v>
      </c>
      <c r="TJE83" s="366" t="e">
        <f>10/TJA81</f>
        <v>#DIV/0!</v>
      </c>
      <c r="TJF83" s="367">
        <v>15.38</v>
      </c>
      <c r="TJG83" s="367" t="e">
        <f>TJD83*TJE83*TJF83</f>
        <v>#DIV/0!</v>
      </c>
      <c r="TJH83" s="363" t="s">
        <v>153</v>
      </c>
      <c r="TJI83" s="363"/>
      <c r="TJJ83" s="363"/>
      <c r="TJK83" s="364" t="s">
        <v>140</v>
      </c>
      <c r="TJL83" s="365">
        <v>0.5</v>
      </c>
      <c r="TJM83" s="366" t="e">
        <f>10/TJI81</f>
        <v>#DIV/0!</v>
      </c>
      <c r="TJN83" s="367">
        <v>15.38</v>
      </c>
      <c r="TJO83" s="367" t="e">
        <f>TJL83*TJM83*TJN83</f>
        <v>#DIV/0!</v>
      </c>
      <c r="TJP83" s="363" t="s">
        <v>153</v>
      </c>
      <c r="TJQ83" s="363"/>
      <c r="TJR83" s="363"/>
      <c r="TJS83" s="364" t="s">
        <v>140</v>
      </c>
      <c r="TJT83" s="365">
        <v>0.5</v>
      </c>
      <c r="TJU83" s="366" t="e">
        <f>10/TJQ81</f>
        <v>#DIV/0!</v>
      </c>
      <c r="TJV83" s="367">
        <v>15.38</v>
      </c>
      <c r="TJW83" s="367" t="e">
        <f>TJT83*TJU83*TJV83</f>
        <v>#DIV/0!</v>
      </c>
      <c r="TJX83" s="363" t="s">
        <v>153</v>
      </c>
      <c r="TJY83" s="363"/>
      <c r="TJZ83" s="363"/>
      <c r="TKA83" s="364" t="s">
        <v>140</v>
      </c>
      <c r="TKB83" s="365">
        <v>0.5</v>
      </c>
      <c r="TKC83" s="366" t="e">
        <f>10/TJY81</f>
        <v>#DIV/0!</v>
      </c>
      <c r="TKD83" s="367">
        <v>15.38</v>
      </c>
      <c r="TKE83" s="367" t="e">
        <f>TKB83*TKC83*TKD83</f>
        <v>#DIV/0!</v>
      </c>
      <c r="TKF83" s="363" t="s">
        <v>153</v>
      </c>
      <c r="TKG83" s="363"/>
      <c r="TKH83" s="363"/>
      <c r="TKI83" s="364" t="s">
        <v>140</v>
      </c>
      <c r="TKJ83" s="365">
        <v>0.5</v>
      </c>
      <c r="TKK83" s="366" t="e">
        <f>10/TKG81</f>
        <v>#DIV/0!</v>
      </c>
      <c r="TKL83" s="367">
        <v>15.38</v>
      </c>
      <c r="TKM83" s="367" t="e">
        <f>TKJ83*TKK83*TKL83</f>
        <v>#DIV/0!</v>
      </c>
      <c r="TKN83" s="363" t="s">
        <v>153</v>
      </c>
      <c r="TKO83" s="363"/>
      <c r="TKP83" s="363"/>
      <c r="TKQ83" s="364" t="s">
        <v>140</v>
      </c>
      <c r="TKR83" s="365">
        <v>0.5</v>
      </c>
      <c r="TKS83" s="366" t="e">
        <f>10/TKO81</f>
        <v>#DIV/0!</v>
      </c>
      <c r="TKT83" s="367">
        <v>15.38</v>
      </c>
      <c r="TKU83" s="367" t="e">
        <f>TKR83*TKS83*TKT83</f>
        <v>#DIV/0!</v>
      </c>
      <c r="TKV83" s="363" t="s">
        <v>153</v>
      </c>
      <c r="TKW83" s="363"/>
      <c r="TKX83" s="363"/>
      <c r="TKY83" s="364" t="s">
        <v>140</v>
      </c>
      <c r="TKZ83" s="365">
        <v>0.5</v>
      </c>
      <c r="TLA83" s="366" t="e">
        <f>10/TKW81</f>
        <v>#DIV/0!</v>
      </c>
      <c r="TLB83" s="367">
        <v>15.38</v>
      </c>
      <c r="TLC83" s="367" t="e">
        <f>TKZ83*TLA83*TLB83</f>
        <v>#DIV/0!</v>
      </c>
      <c r="TLD83" s="363" t="s">
        <v>153</v>
      </c>
      <c r="TLE83" s="363"/>
      <c r="TLF83" s="363"/>
      <c r="TLG83" s="364" t="s">
        <v>140</v>
      </c>
      <c r="TLH83" s="365">
        <v>0.5</v>
      </c>
      <c r="TLI83" s="366" t="e">
        <f>10/TLE81</f>
        <v>#DIV/0!</v>
      </c>
      <c r="TLJ83" s="367">
        <v>15.38</v>
      </c>
      <c r="TLK83" s="367" t="e">
        <f>TLH83*TLI83*TLJ83</f>
        <v>#DIV/0!</v>
      </c>
      <c r="TLL83" s="363" t="s">
        <v>153</v>
      </c>
      <c r="TLM83" s="363"/>
      <c r="TLN83" s="363"/>
      <c r="TLO83" s="364" t="s">
        <v>140</v>
      </c>
      <c r="TLP83" s="365">
        <v>0.5</v>
      </c>
      <c r="TLQ83" s="366" t="e">
        <f>10/TLM81</f>
        <v>#DIV/0!</v>
      </c>
      <c r="TLR83" s="367">
        <v>15.38</v>
      </c>
      <c r="TLS83" s="367" t="e">
        <f>TLP83*TLQ83*TLR83</f>
        <v>#DIV/0!</v>
      </c>
      <c r="TLT83" s="363" t="s">
        <v>153</v>
      </c>
      <c r="TLU83" s="363"/>
      <c r="TLV83" s="363"/>
      <c r="TLW83" s="364" t="s">
        <v>140</v>
      </c>
      <c r="TLX83" s="365">
        <v>0.5</v>
      </c>
      <c r="TLY83" s="366" t="e">
        <f>10/TLU81</f>
        <v>#DIV/0!</v>
      </c>
      <c r="TLZ83" s="367">
        <v>15.38</v>
      </c>
      <c r="TMA83" s="367" t="e">
        <f>TLX83*TLY83*TLZ83</f>
        <v>#DIV/0!</v>
      </c>
      <c r="TMB83" s="363" t="s">
        <v>153</v>
      </c>
      <c r="TMC83" s="363"/>
      <c r="TMD83" s="363"/>
      <c r="TME83" s="364" t="s">
        <v>140</v>
      </c>
      <c r="TMF83" s="365">
        <v>0.5</v>
      </c>
      <c r="TMG83" s="366" t="e">
        <f>10/TMC81</f>
        <v>#DIV/0!</v>
      </c>
      <c r="TMH83" s="367">
        <v>15.38</v>
      </c>
      <c r="TMI83" s="367" t="e">
        <f>TMF83*TMG83*TMH83</f>
        <v>#DIV/0!</v>
      </c>
      <c r="TMJ83" s="363" t="s">
        <v>153</v>
      </c>
      <c r="TMK83" s="363"/>
      <c r="TML83" s="363"/>
      <c r="TMM83" s="364" t="s">
        <v>140</v>
      </c>
      <c r="TMN83" s="365">
        <v>0.5</v>
      </c>
      <c r="TMO83" s="366" t="e">
        <f>10/TMK81</f>
        <v>#DIV/0!</v>
      </c>
      <c r="TMP83" s="367">
        <v>15.38</v>
      </c>
      <c r="TMQ83" s="367" t="e">
        <f>TMN83*TMO83*TMP83</f>
        <v>#DIV/0!</v>
      </c>
      <c r="TMR83" s="363" t="s">
        <v>153</v>
      </c>
      <c r="TMS83" s="363"/>
      <c r="TMT83" s="363"/>
      <c r="TMU83" s="364" t="s">
        <v>140</v>
      </c>
      <c r="TMV83" s="365">
        <v>0.5</v>
      </c>
      <c r="TMW83" s="366" t="e">
        <f>10/TMS81</f>
        <v>#DIV/0!</v>
      </c>
      <c r="TMX83" s="367">
        <v>15.38</v>
      </c>
      <c r="TMY83" s="367" t="e">
        <f>TMV83*TMW83*TMX83</f>
        <v>#DIV/0!</v>
      </c>
      <c r="TMZ83" s="363" t="s">
        <v>153</v>
      </c>
      <c r="TNA83" s="363"/>
      <c r="TNB83" s="363"/>
      <c r="TNC83" s="364" t="s">
        <v>140</v>
      </c>
      <c r="TND83" s="365">
        <v>0.5</v>
      </c>
      <c r="TNE83" s="366" t="e">
        <f>10/TNA81</f>
        <v>#DIV/0!</v>
      </c>
      <c r="TNF83" s="367">
        <v>15.38</v>
      </c>
      <c r="TNG83" s="367" t="e">
        <f>TND83*TNE83*TNF83</f>
        <v>#DIV/0!</v>
      </c>
      <c r="TNH83" s="363" t="s">
        <v>153</v>
      </c>
      <c r="TNI83" s="363"/>
      <c r="TNJ83" s="363"/>
      <c r="TNK83" s="364" t="s">
        <v>140</v>
      </c>
      <c r="TNL83" s="365">
        <v>0.5</v>
      </c>
      <c r="TNM83" s="366" t="e">
        <f>10/TNI81</f>
        <v>#DIV/0!</v>
      </c>
      <c r="TNN83" s="367">
        <v>15.38</v>
      </c>
      <c r="TNO83" s="367" t="e">
        <f>TNL83*TNM83*TNN83</f>
        <v>#DIV/0!</v>
      </c>
      <c r="TNP83" s="363" t="s">
        <v>153</v>
      </c>
      <c r="TNQ83" s="363"/>
      <c r="TNR83" s="363"/>
      <c r="TNS83" s="364" t="s">
        <v>140</v>
      </c>
      <c r="TNT83" s="365">
        <v>0.5</v>
      </c>
      <c r="TNU83" s="366" t="e">
        <f>10/TNQ81</f>
        <v>#DIV/0!</v>
      </c>
      <c r="TNV83" s="367">
        <v>15.38</v>
      </c>
      <c r="TNW83" s="367" t="e">
        <f>TNT83*TNU83*TNV83</f>
        <v>#DIV/0!</v>
      </c>
      <c r="TNX83" s="363" t="s">
        <v>153</v>
      </c>
      <c r="TNY83" s="363"/>
      <c r="TNZ83" s="363"/>
      <c r="TOA83" s="364" t="s">
        <v>140</v>
      </c>
      <c r="TOB83" s="365">
        <v>0.5</v>
      </c>
      <c r="TOC83" s="366" t="e">
        <f>10/TNY81</f>
        <v>#DIV/0!</v>
      </c>
      <c r="TOD83" s="367">
        <v>15.38</v>
      </c>
      <c r="TOE83" s="367" t="e">
        <f>TOB83*TOC83*TOD83</f>
        <v>#DIV/0!</v>
      </c>
      <c r="TOF83" s="363" t="s">
        <v>153</v>
      </c>
      <c r="TOG83" s="363"/>
      <c r="TOH83" s="363"/>
      <c r="TOI83" s="364" t="s">
        <v>140</v>
      </c>
      <c r="TOJ83" s="365">
        <v>0.5</v>
      </c>
      <c r="TOK83" s="366" t="e">
        <f>10/TOG81</f>
        <v>#DIV/0!</v>
      </c>
      <c r="TOL83" s="367">
        <v>15.38</v>
      </c>
      <c r="TOM83" s="367" t="e">
        <f>TOJ83*TOK83*TOL83</f>
        <v>#DIV/0!</v>
      </c>
      <c r="TON83" s="363" t="s">
        <v>153</v>
      </c>
      <c r="TOO83" s="363"/>
      <c r="TOP83" s="363"/>
      <c r="TOQ83" s="364" t="s">
        <v>140</v>
      </c>
      <c r="TOR83" s="365">
        <v>0.5</v>
      </c>
      <c r="TOS83" s="366" t="e">
        <f>10/TOO81</f>
        <v>#DIV/0!</v>
      </c>
      <c r="TOT83" s="367">
        <v>15.38</v>
      </c>
      <c r="TOU83" s="367" t="e">
        <f>TOR83*TOS83*TOT83</f>
        <v>#DIV/0!</v>
      </c>
      <c r="TOV83" s="363" t="s">
        <v>153</v>
      </c>
      <c r="TOW83" s="363"/>
      <c r="TOX83" s="363"/>
      <c r="TOY83" s="364" t="s">
        <v>140</v>
      </c>
      <c r="TOZ83" s="365">
        <v>0.5</v>
      </c>
      <c r="TPA83" s="366" t="e">
        <f>10/TOW81</f>
        <v>#DIV/0!</v>
      </c>
      <c r="TPB83" s="367">
        <v>15.38</v>
      </c>
      <c r="TPC83" s="367" t="e">
        <f>TOZ83*TPA83*TPB83</f>
        <v>#DIV/0!</v>
      </c>
      <c r="TPD83" s="363" t="s">
        <v>153</v>
      </c>
      <c r="TPE83" s="363"/>
      <c r="TPF83" s="363"/>
      <c r="TPG83" s="364" t="s">
        <v>140</v>
      </c>
      <c r="TPH83" s="365">
        <v>0.5</v>
      </c>
      <c r="TPI83" s="366" t="e">
        <f>10/TPE81</f>
        <v>#DIV/0!</v>
      </c>
      <c r="TPJ83" s="367">
        <v>15.38</v>
      </c>
      <c r="TPK83" s="367" t="e">
        <f>TPH83*TPI83*TPJ83</f>
        <v>#DIV/0!</v>
      </c>
      <c r="TPL83" s="363" t="s">
        <v>153</v>
      </c>
      <c r="TPM83" s="363"/>
      <c r="TPN83" s="363"/>
      <c r="TPO83" s="364" t="s">
        <v>140</v>
      </c>
      <c r="TPP83" s="365">
        <v>0.5</v>
      </c>
      <c r="TPQ83" s="366" t="e">
        <f>10/TPM81</f>
        <v>#DIV/0!</v>
      </c>
      <c r="TPR83" s="367">
        <v>15.38</v>
      </c>
      <c r="TPS83" s="367" t="e">
        <f>TPP83*TPQ83*TPR83</f>
        <v>#DIV/0!</v>
      </c>
      <c r="TPT83" s="363" t="s">
        <v>153</v>
      </c>
      <c r="TPU83" s="363"/>
      <c r="TPV83" s="363"/>
      <c r="TPW83" s="364" t="s">
        <v>140</v>
      </c>
      <c r="TPX83" s="365">
        <v>0.5</v>
      </c>
      <c r="TPY83" s="366" t="e">
        <f>10/TPU81</f>
        <v>#DIV/0!</v>
      </c>
      <c r="TPZ83" s="367">
        <v>15.38</v>
      </c>
      <c r="TQA83" s="367" t="e">
        <f>TPX83*TPY83*TPZ83</f>
        <v>#DIV/0!</v>
      </c>
      <c r="TQB83" s="363" t="s">
        <v>153</v>
      </c>
      <c r="TQC83" s="363"/>
      <c r="TQD83" s="363"/>
      <c r="TQE83" s="364" t="s">
        <v>140</v>
      </c>
      <c r="TQF83" s="365">
        <v>0.5</v>
      </c>
      <c r="TQG83" s="366" t="e">
        <f>10/TQC81</f>
        <v>#DIV/0!</v>
      </c>
      <c r="TQH83" s="367">
        <v>15.38</v>
      </c>
      <c r="TQI83" s="367" t="e">
        <f>TQF83*TQG83*TQH83</f>
        <v>#DIV/0!</v>
      </c>
      <c r="TQJ83" s="363" t="s">
        <v>153</v>
      </c>
      <c r="TQK83" s="363"/>
      <c r="TQL83" s="363"/>
      <c r="TQM83" s="364" t="s">
        <v>140</v>
      </c>
      <c r="TQN83" s="365">
        <v>0.5</v>
      </c>
      <c r="TQO83" s="366" t="e">
        <f>10/TQK81</f>
        <v>#DIV/0!</v>
      </c>
      <c r="TQP83" s="367">
        <v>15.38</v>
      </c>
      <c r="TQQ83" s="367" t="e">
        <f>TQN83*TQO83*TQP83</f>
        <v>#DIV/0!</v>
      </c>
      <c r="TQR83" s="363" t="s">
        <v>153</v>
      </c>
      <c r="TQS83" s="363"/>
      <c r="TQT83" s="363"/>
      <c r="TQU83" s="364" t="s">
        <v>140</v>
      </c>
      <c r="TQV83" s="365">
        <v>0.5</v>
      </c>
      <c r="TQW83" s="366" t="e">
        <f>10/TQS81</f>
        <v>#DIV/0!</v>
      </c>
      <c r="TQX83" s="367">
        <v>15.38</v>
      </c>
      <c r="TQY83" s="367" t="e">
        <f>TQV83*TQW83*TQX83</f>
        <v>#DIV/0!</v>
      </c>
      <c r="TQZ83" s="363" t="s">
        <v>153</v>
      </c>
      <c r="TRA83" s="363"/>
      <c r="TRB83" s="363"/>
      <c r="TRC83" s="364" t="s">
        <v>140</v>
      </c>
      <c r="TRD83" s="365">
        <v>0.5</v>
      </c>
      <c r="TRE83" s="366" t="e">
        <f>10/TRA81</f>
        <v>#DIV/0!</v>
      </c>
      <c r="TRF83" s="367">
        <v>15.38</v>
      </c>
      <c r="TRG83" s="367" t="e">
        <f>TRD83*TRE83*TRF83</f>
        <v>#DIV/0!</v>
      </c>
      <c r="TRH83" s="363" t="s">
        <v>153</v>
      </c>
      <c r="TRI83" s="363"/>
      <c r="TRJ83" s="363"/>
      <c r="TRK83" s="364" t="s">
        <v>140</v>
      </c>
      <c r="TRL83" s="365">
        <v>0.5</v>
      </c>
      <c r="TRM83" s="366" t="e">
        <f>10/TRI81</f>
        <v>#DIV/0!</v>
      </c>
      <c r="TRN83" s="367">
        <v>15.38</v>
      </c>
      <c r="TRO83" s="367" t="e">
        <f>TRL83*TRM83*TRN83</f>
        <v>#DIV/0!</v>
      </c>
      <c r="TRP83" s="363" t="s">
        <v>153</v>
      </c>
      <c r="TRQ83" s="363"/>
      <c r="TRR83" s="363"/>
      <c r="TRS83" s="364" t="s">
        <v>140</v>
      </c>
      <c r="TRT83" s="365">
        <v>0.5</v>
      </c>
      <c r="TRU83" s="366" t="e">
        <f>10/TRQ81</f>
        <v>#DIV/0!</v>
      </c>
      <c r="TRV83" s="367">
        <v>15.38</v>
      </c>
      <c r="TRW83" s="367" t="e">
        <f>TRT83*TRU83*TRV83</f>
        <v>#DIV/0!</v>
      </c>
      <c r="TRX83" s="363" t="s">
        <v>153</v>
      </c>
      <c r="TRY83" s="363"/>
      <c r="TRZ83" s="363"/>
      <c r="TSA83" s="364" t="s">
        <v>140</v>
      </c>
      <c r="TSB83" s="365">
        <v>0.5</v>
      </c>
      <c r="TSC83" s="366" t="e">
        <f>10/TRY81</f>
        <v>#DIV/0!</v>
      </c>
      <c r="TSD83" s="367">
        <v>15.38</v>
      </c>
      <c r="TSE83" s="367" t="e">
        <f>TSB83*TSC83*TSD83</f>
        <v>#DIV/0!</v>
      </c>
      <c r="TSF83" s="363" t="s">
        <v>153</v>
      </c>
      <c r="TSG83" s="363"/>
      <c r="TSH83" s="363"/>
      <c r="TSI83" s="364" t="s">
        <v>140</v>
      </c>
      <c r="TSJ83" s="365">
        <v>0.5</v>
      </c>
      <c r="TSK83" s="366" t="e">
        <f>10/TSG81</f>
        <v>#DIV/0!</v>
      </c>
      <c r="TSL83" s="367">
        <v>15.38</v>
      </c>
      <c r="TSM83" s="367" t="e">
        <f>TSJ83*TSK83*TSL83</f>
        <v>#DIV/0!</v>
      </c>
      <c r="TSN83" s="363" t="s">
        <v>153</v>
      </c>
      <c r="TSO83" s="363"/>
      <c r="TSP83" s="363"/>
      <c r="TSQ83" s="364" t="s">
        <v>140</v>
      </c>
      <c r="TSR83" s="365">
        <v>0.5</v>
      </c>
      <c r="TSS83" s="366" t="e">
        <f>10/TSO81</f>
        <v>#DIV/0!</v>
      </c>
      <c r="TST83" s="367">
        <v>15.38</v>
      </c>
      <c r="TSU83" s="367" t="e">
        <f>TSR83*TSS83*TST83</f>
        <v>#DIV/0!</v>
      </c>
      <c r="TSV83" s="363" t="s">
        <v>153</v>
      </c>
      <c r="TSW83" s="363"/>
      <c r="TSX83" s="363"/>
      <c r="TSY83" s="364" t="s">
        <v>140</v>
      </c>
      <c r="TSZ83" s="365">
        <v>0.5</v>
      </c>
      <c r="TTA83" s="366" t="e">
        <f>10/TSW81</f>
        <v>#DIV/0!</v>
      </c>
      <c r="TTB83" s="367">
        <v>15.38</v>
      </c>
      <c r="TTC83" s="367" t="e">
        <f>TSZ83*TTA83*TTB83</f>
        <v>#DIV/0!</v>
      </c>
      <c r="TTD83" s="363" t="s">
        <v>153</v>
      </c>
      <c r="TTE83" s="363"/>
      <c r="TTF83" s="363"/>
      <c r="TTG83" s="364" t="s">
        <v>140</v>
      </c>
      <c r="TTH83" s="365">
        <v>0.5</v>
      </c>
      <c r="TTI83" s="366" t="e">
        <f>10/TTE81</f>
        <v>#DIV/0!</v>
      </c>
      <c r="TTJ83" s="367">
        <v>15.38</v>
      </c>
      <c r="TTK83" s="367" t="e">
        <f>TTH83*TTI83*TTJ83</f>
        <v>#DIV/0!</v>
      </c>
      <c r="TTL83" s="363" t="s">
        <v>153</v>
      </c>
      <c r="TTM83" s="363"/>
      <c r="TTN83" s="363"/>
      <c r="TTO83" s="364" t="s">
        <v>140</v>
      </c>
      <c r="TTP83" s="365">
        <v>0.5</v>
      </c>
      <c r="TTQ83" s="366" t="e">
        <f>10/TTM81</f>
        <v>#DIV/0!</v>
      </c>
      <c r="TTR83" s="367">
        <v>15.38</v>
      </c>
      <c r="TTS83" s="367" t="e">
        <f>TTP83*TTQ83*TTR83</f>
        <v>#DIV/0!</v>
      </c>
      <c r="TTT83" s="363" t="s">
        <v>153</v>
      </c>
      <c r="TTU83" s="363"/>
      <c r="TTV83" s="363"/>
      <c r="TTW83" s="364" t="s">
        <v>140</v>
      </c>
      <c r="TTX83" s="365">
        <v>0.5</v>
      </c>
      <c r="TTY83" s="366" t="e">
        <f>10/TTU81</f>
        <v>#DIV/0!</v>
      </c>
      <c r="TTZ83" s="367">
        <v>15.38</v>
      </c>
      <c r="TUA83" s="367" t="e">
        <f>TTX83*TTY83*TTZ83</f>
        <v>#DIV/0!</v>
      </c>
      <c r="TUB83" s="363" t="s">
        <v>153</v>
      </c>
      <c r="TUC83" s="363"/>
      <c r="TUD83" s="363"/>
      <c r="TUE83" s="364" t="s">
        <v>140</v>
      </c>
      <c r="TUF83" s="365">
        <v>0.5</v>
      </c>
      <c r="TUG83" s="366" t="e">
        <f>10/TUC81</f>
        <v>#DIV/0!</v>
      </c>
      <c r="TUH83" s="367">
        <v>15.38</v>
      </c>
      <c r="TUI83" s="367" t="e">
        <f>TUF83*TUG83*TUH83</f>
        <v>#DIV/0!</v>
      </c>
      <c r="TUJ83" s="363" t="s">
        <v>153</v>
      </c>
      <c r="TUK83" s="363"/>
      <c r="TUL83" s="363"/>
      <c r="TUM83" s="364" t="s">
        <v>140</v>
      </c>
      <c r="TUN83" s="365">
        <v>0.5</v>
      </c>
      <c r="TUO83" s="366" t="e">
        <f>10/TUK81</f>
        <v>#DIV/0!</v>
      </c>
      <c r="TUP83" s="367">
        <v>15.38</v>
      </c>
      <c r="TUQ83" s="367" t="e">
        <f>TUN83*TUO83*TUP83</f>
        <v>#DIV/0!</v>
      </c>
      <c r="TUR83" s="363" t="s">
        <v>153</v>
      </c>
      <c r="TUS83" s="363"/>
      <c r="TUT83" s="363"/>
      <c r="TUU83" s="364" t="s">
        <v>140</v>
      </c>
      <c r="TUV83" s="365">
        <v>0.5</v>
      </c>
      <c r="TUW83" s="366" t="e">
        <f>10/TUS81</f>
        <v>#DIV/0!</v>
      </c>
      <c r="TUX83" s="367">
        <v>15.38</v>
      </c>
      <c r="TUY83" s="367" t="e">
        <f>TUV83*TUW83*TUX83</f>
        <v>#DIV/0!</v>
      </c>
      <c r="TUZ83" s="363" t="s">
        <v>153</v>
      </c>
      <c r="TVA83" s="363"/>
      <c r="TVB83" s="363"/>
      <c r="TVC83" s="364" t="s">
        <v>140</v>
      </c>
      <c r="TVD83" s="365">
        <v>0.5</v>
      </c>
      <c r="TVE83" s="366" t="e">
        <f>10/TVA81</f>
        <v>#DIV/0!</v>
      </c>
      <c r="TVF83" s="367">
        <v>15.38</v>
      </c>
      <c r="TVG83" s="367" t="e">
        <f>TVD83*TVE83*TVF83</f>
        <v>#DIV/0!</v>
      </c>
      <c r="TVH83" s="363" t="s">
        <v>153</v>
      </c>
      <c r="TVI83" s="363"/>
      <c r="TVJ83" s="363"/>
      <c r="TVK83" s="364" t="s">
        <v>140</v>
      </c>
      <c r="TVL83" s="365">
        <v>0.5</v>
      </c>
      <c r="TVM83" s="366" t="e">
        <f>10/TVI81</f>
        <v>#DIV/0!</v>
      </c>
      <c r="TVN83" s="367">
        <v>15.38</v>
      </c>
      <c r="TVO83" s="367" t="e">
        <f>TVL83*TVM83*TVN83</f>
        <v>#DIV/0!</v>
      </c>
      <c r="TVP83" s="363" t="s">
        <v>153</v>
      </c>
      <c r="TVQ83" s="363"/>
      <c r="TVR83" s="363"/>
      <c r="TVS83" s="364" t="s">
        <v>140</v>
      </c>
      <c r="TVT83" s="365">
        <v>0.5</v>
      </c>
      <c r="TVU83" s="366" t="e">
        <f>10/TVQ81</f>
        <v>#DIV/0!</v>
      </c>
      <c r="TVV83" s="367">
        <v>15.38</v>
      </c>
      <c r="TVW83" s="367" t="e">
        <f>TVT83*TVU83*TVV83</f>
        <v>#DIV/0!</v>
      </c>
      <c r="TVX83" s="363" t="s">
        <v>153</v>
      </c>
      <c r="TVY83" s="363"/>
      <c r="TVZ83" s="363"/>
      <c r="TWA83" s="364" t="s">
        <v>140</v>
      </c>
      <c r="TWB83" s="365">
        <v>0.5</v>
      </c>
      <c r="TWC83" s="366" t="e">
        <f>10/TVY81</f>
        <v>#DIV/0!</v>
      </c>
      <c r="TWD83" s="367">
        <v>15.38</v>
      </c>
      <c r="TWE83" s="367" t="e">
        <f>TWB83*TWC83*TWD83</f>
        <v>#DIV/0!</v>
      </c>
      <c r="TWF83" s="363" t="s">
        <v>153</v>
      </c>
      <c r="TWG83" s="363"/>
      <c r="TWH83" s="363"/>
      <c r="TWI83" s="364" t="s">
        <v>140</v>
      </c>
      <c r="TWJ83" s="365">
        <v>0.5</v>
      </c>
      <c r="TWK83" s="366" t="e">
        <f>10/TWG81</f>
        <v>#DIV/0!</v>
      </c>
      <c r="TWL83" s="367">
        <v>15.38</v>
      </c>
      <c r="TWM83" s="367" t="e">
        <f>TWJ83*TWK83*TWL83</f>
        <v>#DIV/0!</v>
      </c>
      <c r="TWN83" s="363" t="s">
        <v>153</v>
      </c>
      <c r="TWO83" s="363"/>
      <c r="TWP83" s="363"/>
      <c r="TWQ83" s="364" t="s">
        <v>140</v>
      </c>
      <c r="TWR83" s="365">
        <v>0.5</v>
      </c>
      <c r="TWS83" s="366" t="e">
        <f>10/TWO81</f>
        <v>#DIV/0!</v>
      </c>
      <c r="TWT83" s="367">
        <v>15.38</v>
      </c>
      <c r="TWU83" s="367" t="e">
        <f>TWR83*TWS83*TWT83</f>
        <v>#DIV/0!</v>
      </c>
      <c r="TWV83" s="363" t="s">
        <v>153</v>
      </c>
      <c r="TWW83" s="363"/>
      <c r="TWX83" s="363"/>
      <c r="TWY83" s="364" t="s">
        <v>140</v>
      </c>
      <c r="TWZ83" s="365">
        <v>0.5</v>
      </c>
      <c r="TXA83" s="366" t="e">
        <f>10/TWW81</f>
        <v>#DIV/0!</v>
      </c>
      <c r="TXB83" s="367">
        <v>15.38</v>
      </c>
      <c r="TXC83" s="367" t="e">
        <f>TWZ83*TXA83*TXB83</f>
        <v>#DIV/0!</v>
      </c>
      <c r="TXD83" s="363" t="s">
        <v>153</v>
      </c>
      <c r="TXE83" s="363"/>
      <c r="TXF83" s="363"/>
      <c r="TXG83" s="364" t="s">
        <v>140</v>
      </c>
      <c r="TXH83" s="365">
        <v>0.5</v>
      </c>
      <c r="TXI83" s="366" t="e">
        <f>10/TXE81</f>
        <v>#DIV/0!</v>
      </c>
      <c r="TXJ83" s="367">
        <v>15.38</v>
      </c>
      <c r="TXK83" s="367" t="e">
        <f>TXH83*TXI83*TXJ83</f>
        <v>#DIV/0!</v>
      </c>
      <c r="TXL83" s="363" t="s">
        <v>153</v>
      </c>
      <c r="TXM83" s="363"/>
      <c r="TXN83" s="363"/>
      <c r="TXO83" s="364" t="s">
        <v>140</v>
      </c>
      <c r="TXP83" s="365">
        <v>0.5</v>
      </c>
      <c r="TXQ83" s="366" t="e">
        <f>10/TXM81</f>
        <v>#DIV/0!</v>
      </c>
      <c r="TXR83" s="367">
        <v>15.38</v>
      </c>
      <c r="TXS83" s="367" t="e">
        <f>TXP83*TXQ83*TXR83</f>
        <v>#DIV/0!</v>
      </c>
      <c r="TXT83" s="363" t="s">
        <v>153</v>
      </c>
      <c r="TXU83" s="363"/>
      <c r="TXV83" s="363"/>
      <c r="TXW83" s="364" t="s">
        <v>140</v>
      </c>
      <c r="TXX83" s="365">
        <v>0.5</v>
      </c>
      <c r="TXY83" s="366" t="e">
        <f>10/TXU81</f>
        <v>#DIV/0!</v>
      </c>
      <c r="TXZ83" s="367">
        <v>15.38</v>
      </c>
      <c r="TYA83" s="367" t="e">
        <f>TXX83*TXY83*TXZ83</f>
        <v>#DIV/0!</v>
      </c>
      <c r="TYB83" s="363" t="s">
        <v>153</v>
      </c>
      <c r="TYC83" s="363"/>
      <c r="TYD83" s="363"/>
      <c r="TYE83" s="364" t="s">
        <v>140</v>
      </c>
      <c r="TYF83" s="365">
        <v>0.5</v>
      </c>
      <c r="TYG83" s="366" t="e">
        <f>10/TYC81</f>
        <v>#DIV/0!</v>
      </c>
      <c r="TYH83" s="367">
        <v>15.38</v>
      </c>
      <c r="TYI83" s="367" t="e">
        <f>TYF83*TYG83*TYH83</f>
        <v>#DIV/0!</v>
      </c>
      <c r="TYJ83" s="363" t="s">
        <v>153</v>
      </c>
      <c r="TYK83" s="363"/>
      <c r="TYL83" s="363"/>
      <c r="TYM83" s="364" t="s">
        <v>140</v>
      </c>
      <c r="TYN83" s="365">
        <v>0.5</v>
      </c>
      <c r="TYO83" s="366" t="e">
        <f>10/TYK81</f>
        <v>#DIV/0!</v>
      </c>
      <c r="TYP83" s="367">
        <v>15.38</v>
      </c>
      <c r="TYQ83" s="367" t="e">
        <f>TYN83*TYO83*TYP83</f>
        <v>#DIV/0!</v>
      </c>
      <c r="TYR83" s="363" t="s">
        <v>153</v>
      </c>
      <c r="TYS83" s="363"/>
      <c r="TYT83" s="363"/>
      <c r="TYU83" s="364" t="s">
        <v>140</v>
      </c>
      <c r="TYV83" s="365">
        <v>0.5</v>
      </c>
      <c r="TYW83" s="366" t="e">
        <f>10/TYS81</f>
        <v>#DIV/0!</v>
      </c>
      <c r="TYX83" s="367">
        <v>15.38</v>
      </c>
      <c r="TYY83" s="367" t="e">
        <f>TYV83*TYW83*TYX83</f>
        <v>#DIV/0!</v>
      </c>
      <c r="TYZ83" s="363" t="s">
        <v>153</v>
      </c>
      <c r="TZA83" s="363"/>
      <c r="TZB83" s="363"/>
      <c r="TZC83" s="364" t="s">
        <v>140</v>
      </c>
      <c r="TZD83" s="365">
        <v>0.5</v>
      </c>
      <c r="TZE83" s="366" t="e">
        <f>10/TZA81</f>
        <v>#DIV/0!</v>
      </c>
      <c r="TZF83" s="367">
        <v>15.38</v>
      </c>
      <c r="TZG83" s="367" t="e">
        <f>TZD83*TZE83*TZF83</f>
        <v>#DIV/0!</v>
      </c>
      <c r="TZH83" s="363" t="s">
        <v>153</v>
      </c>
      <c r="TZI83" s="363"/>
      <c r="TZJ83" s="363"/>
      <c r="TZK83" s="364" t="s">
        <v>140</v>
      </c>
      <c r="TZL83" s="365">
        <v>0.5</v>
      </c>
      <c r="TZM83" s="366" t="e">
        <f>10/TZI81</f>
        <v>#DIV/0!</v>
      </c>
      <c r="TZN83" s="367">
        <v>15.38</v>
      </c>
      <c r="TZO83" s="367" t="e">
        <f>TZL83*TZM83*TZN83</f>
        <v>#DIV/0!</v>
      </c>
      <c r="TZP83" s="363" t="s">
        <v>153</v>
      </c>
      <c r="TZQ83" s="363"/>
      <c r="TZR83" s="363"/>
      <c r="TZS83" s="364" t="s">
        <v>140</v>
      </c>
      <c r="TZT83" s="365">
        <v>0.5</v>
      </c>
      <c r="TZU83" s="366" t="e">
        <f>10/TZQ81</f>
        <v>#DIV/0!</v>
      </c>
      <c r="TZV83" s="367">
        <v>15.38</v>
      </c>
      <c r="TZW83" s="367" t="e">
        <f>TZT83*TZU83*TZV83</f>
        <v>#DIV/0!</v>
      </c>
      <c r="TZX83" s="363" t="s">
        <v>153</v>
      </c>
      <c r="TZY83" s="363"/>
      <c r="TZZ83" s="363"/>
      <c r="UAA83" s="364" t="s">
        <v>140</v>
      </c>
      <c r="UAB83" s="365">
        <v>0.5</v>
      </c>
      <c r="UAC83" s="366" t="e">
        <f>10/TZY81</f>
        <v>#DIV/0!</v>
      </c>
      <c r="UAD83" s="367">
        <v>15.38</v>
      </c>
      <c r="UAE83" s="367" t="e">
        <f>UAB83*UAC83*UAD83</f>
        <v>#DIV/0!</v>
      </c>
      <c r="UAF83" s="363" t="s">
        <v>153</v>
      </c>
      <c r="UAG83" s="363"/>
      <c r="UAH83" s="363"/>
      <c r="UAI83" s="364" t="s">
        <v>140</v>
      </c>
      <c r="UAJ83" s="365">
        <v>0.5</v>
      </c>
      <c r="UAK83" s="366" t="e">
        <f>10/UAG81</f>
        <v>#DIV/0!</v>
      </c>
      <c r="UAL83" s="367">
        <v>15.38</v>
      </c>
      <c r="UAM83" s="367" t="e">
        <f>UAJ83*UAK83*UAL83</f>
        <v>#DIV/0!</v>
      </c>
      <c r="UAN83" s="363" t="s">
        <v>153</v>
      </c>
      <c r="UAO83" s="363"/>
      <c r="UAP83" s="363"/>
      <c r="UAQ83" s="364" t="s">
        <v>140</v>
      </c>
      <c r="UAR83" s="365">
        <v>0.5</v>
      </c>
      <c r="UAS83" s="366" t="e">
        <f>10/UAO81</f>
        <v>#DIV/0!</v>
      </c>
      <c r="UAT83" s="367">
        <v>15.38</v>
      </c>
      <c r="UAU83" s="367" t="e">
        <f>UAR83*UAS83*UAT83</f>
        <v>#DIV/0!</v>
      </c>
      <c r="UAV83" s="363" t="s">
        <v>153</v>
      </c>
      <c r="UAW83" s="363"/>
      <c r="UAX83" s="363"/>
      <c r="UAY83" s="364" t="s">
        <v>140</v>
      </c>
      <c r="UAZ83" s="365">
        <v>0.5</v>
      </c>
      <c r="UBA83" s="366" t="e">
        <f>10/UAW81</f>
        <v>#DIV/0!</v>
      </c>
      <c r="UBB83" s="367">
        <v>15.38</v>
      </c>
      <c r="UBC83" s="367" t="e">
        <f>UAZ83*UBA83*UBB83</f>
        <v>#DIV/0!</v>
      </c>
      <c r="UBD83" s="363" t="s">
        <v>153</v>
      </c>
      <c r="UBE83" s="363"/>
      <c r="UBF83" s="363"/>
      <c r="UBG83" s="364" t="s">
        <v>140</v>
      </c>
      <c r="UBH83" s="365">
        <v>0.5</v>
      </c>
      <c r="UBI83" s="366" t="e">
        <f>10/UBE81</f>
        <v>#DIV/0!</v>
      </c>
      <c r="UBJ83" s="367">
        <v>15.38</v>
      </c>
      <c r="UBK83" s="367" t="e">
        <f>UBH83*UBI83*UBJ83</f>
        <v>#DIV/0!</v>
      </c>
      <c r="UBL83" s="363" t="s">
        <v>153</v>
      </c>
      <c r="UBM83" s="363"/>
      <c r="UBN83" s="363"/>
      <c r="UBO83" s="364" t="s">
        <v>140</v>
      </c>
      <c r="UBP83" s="365">
        <v>0.5</v>
      </c>
      <c r="UBQ83" s="366" t="e">
        <f>10/UBM81</f>
        <v>#DIV/0!</v>
      </c>
      <c r="UBR83" s="367">
        <v>15.38</v>
      </c>
      <c r="UBS83" s="367" t="e">
        <f>UBP83*UBQ83*UBR83</f>
        <v>#DIV/0!</v>
      </c>
      <c r="UBT83" s="363" t="s">
        <v>153</v>
      </c>
      <c r="UBU83" s="363"/>
      <c r="UBV83" s="363"/>
      <c r="UBW83" s="364" t="s">
        <v>140</v>
      </c>
      <c r="UBX83" s="365">
        <v>0.5</v>
      </c>
      <c r="UBY83" s="366" t="e">
        <f>10/UBU81</f>
        <v>#DIV/0!</v>
      </c>
      <c r="UBZ83" s="367">
        <v>15.38</v>
      </c>
      <c r="UCA83" s="367" t="e">
        <f>UBX83*UBY83*UBZ83</f>
        <v>#DIV/0!</v>
      </c>
      <c r="UCB83" s="363" t="s">
        <v>153</v>
      </c>
      <c r="UCC83" s="363"/>
      <c r="UCD83" s="363"/>
      <c r="UCE83" s="364" t="s">
        <v>140</v>
      </c>
      <c r="UCF83" s="365">
        <v>0.5</v>
      </c>
      <c r="UCG83" s="366" t="e">
        <f>10/UCC81</f>
        <v>#DIV/0!</v>
      </c>
      <c r="UCH83" s="367">
        <v>15.38</v>
      </c>
      <c r="UCI83" s="367" t="e">
        <f>UCF83*UCG83*UCH83</f>
        <v>#DIV/0!</v>
      </c>
      <c r="UCJ83" s="363" t="s">
        <v>153</v>
      </c>
      <c r="UCK83" s="363"/>
      <c r="UCL83" s="363"/>
      <c r="UCM83" s="364" t="s">
        <v>140</v>
      </c>
      <c r="UCN83" s="365">
        <v>0.5</v>
      </c>
      <c r="UCO83" s="366" t="e">
        <f>10/UCK81</f>
        <v>#DIV/0!</v>
      </c>
      <c r="UCP83" s="367">
        <v>15.38</v>
      </c>
      <c r="UCQ83" s="367" t="e">
        <f>UCN83*UCO83*UCP83</f>
        <v>#DIV/0!</v>
      </c>
      <c r="UCR83" s="363" t="s">
        <v>153</v>
      </c>
      <c r="UCS83" s="363"/>
      <c r="UCT83" s="363"/>
      <c r="UCU83" s="364" t="s">
        <v>140</v>
      </c>
      <c r="UCV83" s="365">
        <v>0.5</v>
      </c>
      <c r="UCW83" s="366" t="e">
        <f>10/UCS81</f>
        <v>#DIV/0!</v>
      </c>
      <c r="UCX83" s="367">
        <v>15.38</v>
      </c>
      <c r="UCY83" s="367" t="e">
        <f>UCV83*UCW83*UCX83</f>
        <v>#DIV/0!</v>
      </c>
      <c r="UCZ83" s="363" t="s">
        <v>153</v>
      </c>
      <c r="UDA83" s="363"/>
      <c r="UDB83" s="363"/>
      <c r="UDC83" s="364" t="s">
        <v>140</v>
      </c>
      <c r="UDD83" s="365">
        <v>0.5</v>
      </c>
      <c r="UDE83" s="366" t="e">
        <f>10/UDA81</f>
        <v>#DIV/0!</v>
      </c>
      <c r="UDF83" s="367">
        <v>15.38</v>
      </c>
      <c r="UDG83" s="367" t="e">
        <f>UDD83*UDE83*UDF83</f>
        <v>#DIV/0!</v>
      </c>
      <c r="UDH83" s="363" t="s">
        <v>153</v>
      </c>
      <c r="UDI83" s="363"/>
      <c r="UDJ83" s="363"/>
      <c r="UDK83" s="364" t="s">
        <v>140</v>
      </c>
      <c r="UDL83" s="365">
        <v>0.5</v>
      </c>
      <c r="UDM83" s="366" t="e">
        <f>10/UDI81</f>
        <v>#DIV/0!</v>
      </c>
      <c r="UDN83" s="367">
        <v>15.38</v>
      </c>
      <c r="UDO83" s="367" t="e">
        <f>UDL83*UDM83*UDN83</f>
        <v>#DIV/0!</v>
      </c>
      <c r="UDP83" s="363" t="s">
        <v>153</v>
      </c>
      <c r="UDQ83" s="363"/>
      <c r="UDR83" s="363"/>
      <c r="UDS83" s="364" t="s">
        <v>140</v>
      </c>
      <c r="UDT83" s="365">
        <v>0.5</v>
      </c>
      <c r="UDU83" s="366" t="e">
        <f>10/UDQ81</f>
        <v>#DIV/0!</v>
      </c>
      <c r="UDV83" s="367">
        <v>15.38</v>
      </c>
      <c r="UDW83" s="367" t="e">
        <f>UDT83*UDU83*UDV83</f>
        <v>#DIV/0!</v>
      </c>
      <c r="UDX83" s="363" t="s">
        <v>153</v>
      </c>
      <c r="UDY83" s="363"/>
      <c r="UDZ83" s="363"/>
      <c r="UEA83" s="364" t="s">
        <v>140</v>
      </c>
      <c r="UEB83" s="365">
        <v>0.5</v>
      </c>
      <c r="UEC83" s="366" t="e">
        <f>10/UDY81</f>
        <v>#DIV/0!</v>
      </c>
      <c r="UED83" s="367">
        <v>15.38</v>
      </c>
      <c r="UEE83" s="367" t="e">
        <f>UEB83*UEC83*UED83</f>
        <v>#DIV/0!</v>
      </c>
      <c r="UEF83" s="363" t="s">
        <v>153</v>
      </c>
      <c r="UEG83" s="363"/>
      <c r="UEH83" s="363"/>
      <c r="UEI83" s="364" t="s">
        <v>140</v>
      </c>
      <c r="UEJ83" s="365">
        <v>0.5</v>
      </c>
      <c r="UEK83" s="366" t="e">
        <f>10/UEG81</f>
        <v>#DIV/0!</v>
      </c>
      <c r="UEL83" s="367">
        <v>15.38</v>
      </c>
      <c r="UEM83" s="367" t="e">
        <f>UEJ83*UEK83*UEL83</f>
        <v>#DIV/0!</v>
      </c>
      <c r="UEN83" s="363" t="s">
        <v>153</v>
      </c>
      <c r="UEO83" s="363"/>
      <c r="UEP83" s="363"/>
      <c r="UEQ83" s="364" t="s">
        <v>140</v>
      </c>
      <c r="UER83" s="365">
        <v>0.5</v>
      </c>
      <c r="UES83" s="366" t="e">
        <f>10/UEO81</f>
        <v>#DIV/0!</v>
      </c>
      <c r="UET83" s="367">
        <v>15.38</v>
      </c>
      <c r="UEU83" s="367" t="e">
        <f>UER83*UES83*UET83</f>
        <v>#DIV/0!</v>
      </c>
      <c r="UEV83" s="363" t="s">
        <v>153</v>
      </c>
      <c r="UEW83" s="363"/>
      <c r="UEX83" s="363"/>
      <c r="UEY83" s="364" t="s">
        <v>140</v>
      </c>
      <c r="UEZ83" s="365">
        <v>0.5</v>
      </c>
      <c r="UFA83" s="366" t="e">
        <f>10/UEW81</f>
        <v>#DIV/0!</v>
      </c>
      <c r="UFB83" s="367">
        <v>15.38</v>
      </c>
      <c r="UFC83" s="367" t="e">
        <f>UEZ83*UFA83*UFB83</f>
        <v>#DIV/0!</v>
      </c>
      <c r="UFD83" s="363" t="s">
        <v>153</v>
      </c>
      <c r="UFE83" s="363"/>
      <c r="UFF83" s="363"/>
      <c r="UFG83" s="364" t="s">
        <v>140</v>
      </c>
      <c r="UFH83" s="365">
        <v>0.5</v>
      </c>
      <c r="UFI83" s="366" t="e">
        <f>10/UFE81</f>
        <v>#DIV/0!</v>
      </c>
      <c r="UFJ83" s="367">
        <v>15.38</v>
      </c>
      <c r="UFK83" s="367" t="e">
        <f>UFH83*UFI83*UFJ83</f>
        <v>#DIV/0!</v>
      </c>
      <c r="UFL83" s="363" t="s">
        <v>153</v>
      </c>
      <c r="UFM83" s="363"/>
      <c r="UFN83" s="363"/>
      <c r="UFO83" s="364" t="s">
        <v>140</v>
      </c>
      <c r="UFP83" s="365">
        <v>0.5</v>
      </c>
      <c r="UFQ83" s="366" t="e">
        <f>10/UFM81</f>
        <v>#DIV/0!</v>
      </c>
      <c r="UFR83" s="367">
        <v>15.38</v>
      </c>
      <c r="UFS83" s="367" t="e">
        <f>UFP83*UFQ83*UFR83</f>
        <v>#DIV/0!</v>
      </c>
      <c r="UFT83" s="363" t="s">
        <v>153</v>
      </c>
      <c r="UFU83" s="363"/>
      <c r="UFV83" s="363"/>
      <c r="UFW83" s="364" t="s">
        <v>140</v>
      </c>
      <c r="UFX83" s="365">
        <v>0.5</v>
      </c>
      <c r="UFY83" s="366" t="e">
        <f>10/UFU81</f>
        <v>#DIV/0!</v>
      </c>
      <c r="UFZ83" s="367">
        <v>15.38</v>
      </c>
      <c r="UGA83" s="367" t="e">
        <f>UFX83*UFY83*UFZ83</f>
        <v>#DIV/0!</v>
      </c>
      <c r="UGB83" s="363" t="s">
        <v>153</v>
      </c>
      <c r="UGC83" s="363"/>
      <c r="UGD83" s="363"/>
      <c r="UGE83" s="364" t="s">
        <v>140</v>
      </c>
      <c r="UGF83" s="365">
        <v>0.5</v>
      </c>
      <c r="UGG83" s="366" t="e">
        <f>10/UGC81</f>
        <v>#DIV/0!</v>
      </c>
      <c r="UGH83" s="367">
        <v>15.38</v>
      </c>
      <c r="UGI83" s="367" t="e">
        <f>UGF83*UGG83*UGH83</f>
        <v>#DIV/0!</v>
      </c>
      <c r="UGJ83" s="363" t="s">
        <v>153</v>
      </c>
      <c r="UGK83" s="363"/>
      <c r="UGL83" s="363"/>
      <c r="UGM83" s="364" t="s">
        <v>140</v>
      </c>
      <c r="UGN83" s="365">
        <v>0.5</v>
      </c>
      <c r="UGO83" s="366" t="e">
        <f>10/UGK81</f>
        <v>#DIV/0!</v>
      </c>
      <c r="UGP83" s="367">
        <v>15.38</v>
      </c>
      <c r="UGQ83" s="367" t="e">
        <f>UGN83*UGO83*UGP83</f>
        <v>#DIV/0!</v>
      </c>
      <c r="UGR83" s="363" t="s">
        <v>153</v>
      </c>
      <c r="UGS83" s="363"/>
      <c r="UGT83" s="363"/>
      <c r="UGU83" s="364" t="s">
        <v>140</v>
      </c>
      <c r="UGV83" s="365">
        <v>0.5</v>
      </c>
      <c r="UGW83" s="366" t="e">
        <f>10/UGS81</f>
        <v>#DIV/0!</v>
      </c>
      <c r="UGX83" s="367">
        <v>15.38</v>
      </c>
      <c r="UGY83" s="367" t="e">
        <f>UGV83*UGW83*UGX83</f>
        <v>#DIV/0!</v>
      </c>
      <c r="UGZ83" s="363" t="s">
        <v>153</v>
      </c>
      <c r="UHA83" s="363"/>
      <c r="UHB83" s="363"/>
      <c r="UHC83" s="364" t="s">
        <v>140</v>
      </c>
      <c r="UHD83" s="365">
        <v>0.5</v>
      </c>
      <c r="UHE83" s="366" t="e">
        <f>10/UHA81</f>
        <v>#DIV/0!</v>
      </c>
      <c r="UHF83" s="367">
        <v>15.38</v>
      </c>
      <c r="UHG83" s="367" t="e">
        <f>UHD83*UHE83*UHF83</f>
        <v>#DIV/0!</v>
      </c>
      <c r="UHH83" s="363" t="s">
        <v>153</v>
      </c>
      <c r="UHI83" s="363"/>
      <c r="UHJ83" s="363"/>
      <c r="UHK83" s="364" t="s">
        <v>140</v>
      </c>
      <c r="UHL83" s="365">
        <v>0.5</v>
      </c>
      <c r="UHM83" s="366" t="e">
        <f>10/UHI81</f>
        <v>#DIV/0!</v>
      </c>
      <c r="UHN83" s="367">
        <v>15.38</v>
      </c>
      <c r="UHO83" s="367" t="e">
        <f>UHL83*UHM83*UHN83</f>
        <v>#DIV/0!</v>
      </c>
      <c r="UHP83" s="363" t="s">
        <v>153</v>
      </c>
      <c r="UHQ83" s="363"/>
      <c r="UHR83" s="363"/>
      <c r="UHS83" s="364" t="s">
        <v>140</v>
      </c>
      <c r="UHT83" s="365">
        <v>0.5</v>
      </c>
      <c r="UHU83" s="366" t="e">
        <f>10/UHQ81</f>
        <v>#DIV/0!</v>
      </c>
      <c r="UHV83" s="367">
        <v>15.38</v>
      </c>
      <c r="UHW83" s="367" t="e">
        <f>UHT83*UHU83*UHV83</f>
        <v>#DIV/0!</v>
      </c>
      <c r="UHX83" s="363" t="s">
        <v>153</v>
      </c>
      <c r="UHY83" s="363"/>
      <c r="UHZ83" s="363"/>
      <c r="UIA83" s="364" t="s">
        <v>140</v>
      </c>
      <c r="UIB83" s="365">
        <v>0.5</v>
      </c>
      <c r="UIC83" s="366" t="e">
        <f>10/UHY81</f>
        <v>#DIV/0!</v>
      </c>
      <c r="UID83" s="367">
        <v>15.38</v>
      </c>
      <c r="UIE83" s="367" t="e">
        <f>UIB83*UIC83*UID83</f>
        <v>#DIV/0!</v>
      </c>
      <c r="UIF83" s="363" t="s">
        <v>153</v>
      </c>
      <c r="UIG83" s="363"/>
      <c r="UIH83" s="363"/>
      <c r="UII83" s="364" t="s">
        <v>140</v>
      </c>
      <c r="UIJ83" s="365">
        <v>0.5</v>
      </c>
      <c r="UIK83" s="366" t="e">
        <f>10/UIG81</f>
        <v>#DIV/0!</v>
      </c>
      <c r="UIL83" s="367">
        <v>15.38</v>
      </c>
      <c r="UIM83" s="367" t="e">
        <f>UIJ83*UIK83*UIL83</f>
        <v>#DIV/0!</v>
      </c>
      <c r="UIN83" s="363" t="s">
        <v>153</v>
      </c>
      <c r="UIO83" s="363"/>
      <c r="UIP83" s="363"/>
      <c r="UIQ83" s="364" t="s">
        <v>140</v>
      </c>
      <c r="UIR83" s="365">
        <v>0.5</v>
      </c>
      <c r="UIS83" s="366" t="e">
        <f>10/UIO81</f>
        <v>#DIV/0!</v>
      </c>
      <c r="UIT83" s="367">
        <v>15.38</v>
      </c>
      <c r="UIU83" s="367" t="e">
        <f>UIR83*UIS83*UIT83</f>
        <v>#DIV/0!</v>
      </c>
      <c r="UIV83" s="363" t="s">
        <v>153</v>
      </c>
      <c r="UIW83" s="363"/>
      <c r="UIX83" s="363"/>
      <c r="UIY83" s="364" t="s">
        <v>140</v>
      </c>
      <c r="UIZ83" s="365">
        <v>0.5</v>
      </c>
      <c r="UJA83" s="366" t="e">
        <f>10/UIW81</f>
        <v>#DIV/0!</v>
      </c>
      <c r="UJB83" s="367">
        <v>15.38</v>
      </c>
      <c r="UJC83" s="367" t="e">
        <f>UIZ83*UJA83*UJB83</f>
        <v>#DIV/0!</v>
      </c>
      <c r="UJD83" s="363" t="s">
        <v>153</v>
      </c>
      <c r="UJE83" s="363"/>
      <c r="UJF83" s="363"/>
      <c r="UJG83" s="364" t="s">
        <v>140</v>
      </c>
      <c r="UJH83" s="365">
        <v>0.5</v>
      </c>
      <c r="UJI83" s="366" t="e">
        <f>10/UJE81</f>
        <v>#DIV/0!</v>
      </c>
      <c r="UJJ83" s="367">
        <v>15.38</v>
      </c>
      <c r="UJK83" s="367" t="e">
        <f>UJH83*UJI83*UJJ83</f>
        <v>#DIV/0!</v>
      </c>
      <c r="UJL83" s="363" t="s">
        <v>153</v>
      </c>
      <c r="UJM83" s="363"/>
      <c r="UJN83" s="363"/>
      <c r="UJO83" s="364" t="s">
        <v>140</v>
      </c>
      <c r="UJP83" s="365">
        <v>0.5</v>
      </c>
      <c r="UJQ83" s="366" t="e">
        <f>10/UJM81</f>
        <v>#DIV/0!</v>
      </c>
      <c r="UJR83" s="367">
        <v>15.38</v>
      </c>
      <c r="UJS83" s="367" t="e">
        <f>UJP83*UJQ83*UJR83</f>
        <v>#DIV/0!</v>
      </c>
      <c r="UJT83" s="363" t="s">
        <v>153</v>
      </c>
      <c r="UJU83" s="363"/>
      <c r="UJV83" s="363"/>
      <c r="UJW83" s="364" t="s">
        <v>140</v>
      </c>
      <c r="UJX83" s="365">
        <v>0.5</v>
      </c>
      <c r="UJY83" s="366" t="e">
        <f>10/UJU81</f>
        <v>#DIV/0!</v>
      </c>
      <c r="UJZ83" s="367">
        <v>15.38</v>
      </c>
      <c r="UKA83" s="367" t="e">
        <f>UJX83*UJY83*UJZ83</f>
        <v>#DIV/0!</v>
      </c>
      <c r="UKB83" s="363" t="s">
        <v>153</v>
      </c>
      <c r="UKC83" s="363"/>
      <c r="UKD83" s="363"/>
      <c r="UKE83" s="364" t="s">
        <v>140</v>
      </c>
      <c r="UKF83" s="365">
        <v>0.5</v>
      </c>
      <c r="UKG83" s="366" t="e">
        <f>10/UKC81</f>
        <v>#DIV/0!</v>
      </c>
      <c r="UKH83" s="367">
        <v>15.38</v>
      </c>
      <c r="UKI83" s="367" t="e">
        <f>UKF83*UKG83*UKH83</f>
        <v>#DIV/0!</v>
      </c>
      <c r="UKJ83" s="363" t="s">
        <v>153</v>
      </c>
      <c r="UKK83" s="363"/>
      <c r="UKL83" s="363"/>
      <c r="UKM83" s="364" t="s">
        <v>140</v>
      </c>
      <c r="UKN83" s="365">
        <v>0.5</v>
      </c>
      <c r="UKO83" s="366" t="e">
        <f>10/UKK81</f>
        <v>#DIV/0!</v>
      </c>
      <c r="UKP83" s="367">
        <v>15.38</v>
      </c>
      <c r="UKQ83" s="367" t="e">
        <f>UKN83*UKO83*UKP83</f>
        <v>#DIV/0!</v>
      </c>
      <c r="UKR83" s="363" t="s">
        <v>153</v>
      </c>
      <c r="UKS83" s="363"/>
      <c r="UKT83" s="363"/>
      <c r="UKU83" s="364" t="s">
        <v>140</v>
      </c>
      <c r="UKV83" s="365">
        <v>0.5</v>
      </c>
      <c r="UKW83" s="366" t="e">
        <f>10/UKS81</f>
        <v>#DIV/0!</v>
      </c>
      <c r="UKX83" s="367">
        <v>15.38</v>
      </c>
      <c r="UKY83" s="367" t="e">
        <f>UKV83*UKW83*UKX83</f>
        <v>#DIV/0!</v>
      </c>
      <c r="UKZ83" s="363" t="s">
        <v>153</v>
      </c>
      <c r="ULA83" s="363"/>
      <c r="ULB83" s="363"/>
      <c r="ULC83" s="364" t="s">
        <v>140</v>
      </c>
      <c r="ULD83" s="365">
        <v>0.5</v>
      </c>
      <c r="ULE83" s="366" t="e">
        <f>10/ULA81</f>
        <v>#DIV/0!</v>
      </c>
      <c r="ULF83" s="367">
        <v>15.38</v>
      </c>
      <c r="ULG83" s="367" t="e">
        <f>ULD83*ULE83*ULF83</f>
        <v>#DIV/0!</v>
      </c>
      <c r="ULH83" s="363" t="s">
        <v>153</v>
      </c>
      <c r="ULI83" s="363"/>
      <c r="ULJ83" s="363"/>
      <c r="ULK83" s="364" t="s">
        <v>140</v>
      </c>
      <c r="ULL83" s="365">
        <v>0.5</v>
      </c>
      <c r="ULM83" s="366" t="e">
        <f>10/ULI81</f>
        <v>#DIV/0!</v>
      </c>
      <c r="ULN83" s="367">
        <v>15.38</v>
      </c>
      <c r="ULO83" s="367" t="e">
        <f>ULL83*ULM83*ULN83</f>
        <v>#DIV/0!</v>
      </c>
      <c r="ULP83" s="363" t="s">
        <v>153</v>
      </c>
      <c r="ULQ83" s="363"/>
      <c r="ULR83" s="363"/>
      <c r="ULS83" s="364" t="s">
        <v>140</v>
      </c>
      <c r="ULT83" s="365">
        <v>0.5</v>
      </c>
      <c r="ULU83" s="366" t="e">
        <f>10/ULQ81</f>
        <v>#DIV/0!</v>
      </c>
      <c r="ULV83" s="367">
        <v>15.38</v>
      </c>
      <c r="ULW83" s="367" t="e">
        <f>ULT83*ULU83*ULV83</f>
        <v>#DIV/0!</v>
      </c>
      <c r="ULX83" s="363" t="s">
        <v>153</v>
      </c>
      <c r="ULY83" s="363"/>
      <c r="ULZ83" s="363"/>
      <c r="UMA83" s="364" t="s">
        <v>140</v>
      </c>
      <c r="UMB83" s="365">
        <v>0.5</v>
      </c>
      <c r="UMC83" s="366" t="e">
        <f>10/ULY81</f>
        <v>#DIV/0!</v>
      </c>
      <c r="UMD83" s="367">
        <v>15.38</v>
      </c>
      <c r="UME83" s="367" t="e">
        <f>UMB83*UMC83*UMD83</f>
        <v>#DIV/0!</v>
      </c>
      <c r="UMF83" s="363" t="s">
        <v>153</v>
      </c>
      <c r="UMG83" s="363"/>
      <c r="UMH83" s="363"/>
      <c r="UMI83" s="364" t="s">
        <v>140</v>
      </c>
      <c r="UMJ83" s="365">
        <v>0.5</v>
      </c>
      <c r="UMK83" s="366" t="e">
        <f>10/UMG81</f>
        <v>#DIV/0!</v>
      </c>
      <c r="UML83" s="367">
        <v>15.38</v>
      </c>
      <c r="UMM83" s="367" t="e">
        <f>UMJ83*UMK83*UML83</f>
        <v>#DIV/0!</v>
      </c>
      <c r="UMN83" s="363" t="s">
        <v>153</v>
      </c>
      <c r="UMO83" s="363"/>
      <c r="UMP83" s="363"/>
      <c r="UMQ83" s="364" t="s">
        <v>140</v>
      </c>
      <c r="UMR83" s="365">
        <v>0.5</v>
      </c>
      <c r="UMS83" s="366" t="e">
        <f>10/UMO81</f>
        <v>#DIV/0!</v>
      </c>
      <c r="UMT83" s="367">
        <v>15.38</v>
      </c>
      <c r="UMU83" s="367" t="e">
        <f>UMR83*UMS83*UMT83</f>
        <v>#DIV/0!</v>
      </c>
      <c r="UMV83" s="363" t="s">
        <v>153</v>
      </c>
      <c r="UMW83" s="363"/>
      <c r="UMX83" s="363"/>
      <c r="UMY83" s="364" t="s">
        <v>140</v>
      </c>
      <c r="UMZ83" s="365">
        <v>0.5</v>
      </c>
      <c r="UNA83" s="366" t="e">
        <f>10/UMW81</f>
        <v>#DIV/0!</v>
      </c>
      <c r="UNB83" s="367">
        <v>15.38</v>
      </c>
      <c r="UNC83" s="367" t="e">
        <f>UMZ83*UNA83*UNB83</f>
        <v>#DIV/0!</v>
      </c>
      <c r="UND83" s="363" t="s">
        <v>153</v>
      </c>
      <c r="UNE83" s="363"/>
      <c r="UNF83" s="363"/>
      <c r="UNG83" s="364" t="s">
        <v>140</v>
      </c>
      <c r="UNH83" s="365">
        <v>0.5</v>
      </c>
      <c r="UNI83" s="366" t="e">
        <f>10/UNE81</f>
        <v>#DIV/0!</v>
      </c>
      <c r="UNJ83" s="367">
        <v>15.38</v>
      </c>
      <c r="UNK83" s="367" t="e">
        <f>UNH83*UNI83*UNJ83</f>
        <v>#DIV/0!</v>
      </c>
      <c r="UNL83" s="363" t="s">
        <v>153</v>
      </c>
      <c r="UNM83" s="363"/>
      <c r="UNN83" s="363"/>
      <c r="UNO83" s="364" t="s">
        <v>140</v>
      </c>
      <c r="UNP83" s="365">
        <v>0.5</v>
      </c>
      <c r="UNQ83" s="366" t="e">
        <f>10/UNM81</f>
        <v>#DIV/0!</v>
      </c>
      <c r="UNR83" s="367">
        <v>15.38</v>
      </c>
      <c r="UNS83" s="367" t="e">
        <f>UNP83*UNQ83*UNR83</f>
        <v>#DIV/0!</v>
      </c>
      <c r="UNT83" s="363" t="s">
        <v>153</v>
      </c>
      <c r="UNU83" s="363"/>
      <c r="UNV83" s="363"/>
      <c r="UNW83" s="364" t="s">
        <v>140</v>
      </c>
      <c r="UNX83" s="365">
        <v>0.5</v>
      </c>
      <c r="UNY83" s="366" t="e">
        <f>10/UNU81</f>
        <v>#DIV/0!</v>
      </c>
      <c r="UNZ83" s="367">
        <v>15.38</v>
      </c>
      <c r="UOA83" s="367" t="e">
        <f>UNX83*UNY83*UNZ83</f>
        <v>#DIV/0!</v>
      </c>
      <c r="UOB83" s="363" t="s">
        <v>153</v>
      </c>
      <c r="UOC83" s="363"/>
      <c r="UOD83" s="363"/>
      <c r="UOE83" s="364" t="s">
        <v>140</v>
      </c>
      <c r="UOF83" s="365">
        <v>0.5</v>
      </c>
      <c r="UOG83" s="366" t="e">
        <f>10/UOC81</f>
        <v>#DIV/0!</v>
      </c>
      <c r="UOH83" s="367">
        <v>15.38</v>
      </c>
      <c r="UOI83" s="367" t="e">
        <f>UOF83*UOG83*UOH83</f>
        <v>#DIV/0!</v>
      </c>
      <c r="UOJ83" s="363" t="s">
        <v>153</v>
      </c>
      <c r="UOK83" s="363"/>
      <c r="UOL83" s="363"/>
      <c r="UOM83" s="364" t="s">
        <v>140</v>
      </c>
      <c r="UON83" s="365">
        <v>0.5</v>
      </c>
      <c r="UOO83" s="366" t="e">
        <f>10/UOK81</f>
        <v>#DIV/0!</v>
      </c>
      <c r="UOP83" s="367">
        <v>15.38</v>
      </c>
      <c r="UOQ83" s="367" t="e">
        <f>UON83*UOO83*UOP83</f>
        <v>#DIV/0!</v>
      </c>
      <c r="UOR83" s="363" t="s">
        <v>153</v>
      </c>
      <c r="UOS83" s="363"/>
      <c r="UOT83" s="363"/>
      <c r="UOU83" s="364" t="s">
        <v>140</v>
      </c>
      <c r="UOV83" s="365">
        <v>0.5</v>
      </c>
      <c r="UOW83" s="366" t="e">
        <f>10/UOS81</f>
        <v>#DIV/0!</v>
      </c>
      <c r="UOX83" s="367">
        <v>15.38</v>
      </c>
      <c r="UOY83" s="367" t="e">
        <f>UOV83*UOW83*UOX83</f>
        <v>#DIV/0!</v>
      </c>
      <c r="UOZ83" s="363" t="s">
        <v>153</v>
      </c>
      <c r="UPA83" s="363"/>
      <c r="UPB83" s="363"/>
      <c r="UPC83" s="364" t="s">
        <v>140</v>
      </c>
      <c r="UPD83" s="365">
        <v>0.5</v>
      </c>
      <c r="UPE83" s="366" t="e">
        <f>10/UPA81</f>
        <v>#DIV/0!</v>
      </c>
      <c r="UPF83" s="367">
        <v>15.38</v>
      </c>
      <c r="UPG83" s="367" t="e">
        <f>UPD83*UPE83*UPF83</f>
        <v>#DIV/0!</v>
      </c>
      <c r="UPH83" s="363" t="s">
        <v>153</v>
      </c>
      <c r="UPI83" s="363"/>
      <c r="UPJ83" s="363"/>
      <c r="UPK83" s="364" t="s">
        <v>140</v>
      </c>
      <c r="UPL83" s="365">
        <v>0.5</v>
      </c>
      <c r="UPM83" s="366" t="e">
        <f>10/UPI81</f>
        <v>#DIV/0!</v>
      </c>
      <c r="UPN83" s="367">
        <v>15.38</v>
      </c>
      <c r="UPO83" s="367" t="e">
        <f>UPL83*UPM83*UPN83</f>
        <v>#DIV/0!</v>
      </c>
      <c r="UPP83" s="363" t="s">
        <v>153</v>
      </c>
      <c r="UPQ83" s="363"/>
      <c r="UPR83" s="363"/>
      <c r="UPS83" s="364" t="s">
        <v>140</v>
      </c>
      <c r="UPT83" s="365">
        <v>0.5</v>
      </c>
      <c r="UPU83" s="366" t="e">
        <f>10/UPQ81</f>
        <v>#DIV/0!</v>
      </c>
      <c r="UPV83" s="367">
        <v>15.38</v>
      </c>
      <c r="UPW83" s="367" t="e">
        <f>UPT83*UPU83*UPV83</f>
        <v>#DIV/0!</v>
      </c>
      <c r="UPX83" s="363" t="s">
        <v>153</v>
      </c>
      <c r="UPY83" s="363"/>
      <c r="UPZ83" s="363"/>
      <c r="UQA83" s="364" t="s">
        <v>140</v>
      </c>
      <c r="UQB83" s="365">
        <v>0.5</v>
      </c>
      <c r="UQC83" s="366" t="e">
        <f>10/UPY81</f>
        <v>#DIV/0!</v>
      </c>
      <c r="UQD83" s="367">
        <v>15.38</v>
      </c>
      <c r="UQE83" s="367" t="e">
        <f>UQB83*UQC83*UQD83</f>
        <v>#DIV/0!</v>
      </c>
      <c r="UQF83" s="363" t="s">
        <v>153</v>
      </c>
      <c r="UQG83" s="363"/>
      <c r="UQH83" s="363"/>
      <c r="UQI83" s="364" t="s">
        <v>140</v>
      </c>
      <c r="UQJ83" s="365">
        <v>0.5</v>
      </c>
      <c r="UQK83" s="366" t="e">
        <f>10/UQG81</f>
        <v>#DIV/0!</v>
      </c>
      <c r="UQL83" s="367">
        <v>15.38</v>
      </c>
      <c r="UQM83" s="367" t="e">
        <f>UQJ83*UQK83*UQL83</f>
        <v>#DIV/0!</v>
      </c>
      <c r="UQN83" s="363" t="s">
        <v>153</v>
      </c>
      <c r="UQO83" s="363"/>
      <c r="UQP83" s="363"/>
      <c r="UQQ83" s="364" t="s">
        <v>140</v>
      </c>
      <c r="UQR83" s="365">
        <v>0.5</v>
      </c>
      <c r="UQS83" s="366" t="e">
        <f>10/UQO81</f>
        <v>#DIV/0!</v>
      </c>
      <c r="UQT83" s="367">
        <v>15.38</v>
      </c>
      <c r="UQU83" s="367" t="e">
        <f>UQR83*UQS83*UQT83</f>
        <v>#DIV/0!</v>
      </c>
      <c r="UQV83" s="363" t="s">
        <v>153</v>
      </c>
      <c r="UQW83" s="363"/>
      <c r="UQX83" s="363"/>
      <c r="UQY83" s="364" t="s">
        <v>140</v>
      </c>
      <c r="UQZ83" s="365">
        <v>0.5</v>
      </c>
      <c r="URA83" s="366" t="e">
        <f>10/UQW81</f>
        <v>#DIV/0!</v>
      </c>
      <c r="URB83" s="367">
        <v>15.38</v>
      </c>
      <c r="URC83" s="367" t="e">
        <f>UQZ83*URA83*URB83</f>
        <v>#DIV/0!</v>
      </c>
      <c r="URD83" s="363" t="s">
        <v>153</v>
      </c>
      <c r="URE83" s="363"/>
      <c r="URF83" s="363"/>
      <c r="URG83" s="364" t="s">
        <v>140</v>
      </c>
      <c r="URH83" s="365">
        <v>0.5</v>
      </c>
      <c r="URI83" s="366" t="e">
        <f>10/URE81</f>
        <v>#DIV/0!</v>
      </c>
      <c r="URJ83" s="367">
        <v>15.38</v>
      </c>
      <c r="URK83" s="367" t="e">
        <f>URH83*URI83*URJ83</f>
        <v>#DIV/0!</v>
      </c>
      <c r="URL83" s="363" t="s">
        <v>153</v>
      </c>
      <c r="URM83" s="363"/>
      <c r="URN83" s="363"/>
      <c r="URO83" s="364" t="s">
        <v>140</v>
      </c>
      <c r="URP83" s="365">
        <v>0.5</v>
      </c>
      <c r="URQ83" s="366" t="e">
        <f>10/URM81</f>
        <v>#DIV/0!</v>
      </c>
      <c r="URR83" s="367">
        <v>15.38</v>
      </c>
      <c r="URS83" s="367" t="e">
        <f>URP83*URQ83*URR83</f>
        <v>#DIV/0!</v>
      </c>
      <c r="URT83" s="363" t="s">
        <v>153</v>
      </c>
      <c r="URU83" s="363"/>
      <c r="URV83" s="363"/>
      <c r="URW83" s="364" t="s">
        <v>140</v>
      </c>
      <c r="URX83" s="365">
        <v>0.5</v>
      </c>
      <c r="URY83" s="366" t="e">
        <f>10/URU81</f>
        <v>#DIV/0!</v>
      </c>
      <c r="URZ83" s="367">
        <v>15.38</v>
      </c>
      <c r="USA83" s="367" t="e">
        <f>URX83*URY83*URZ83</f>
        <v>#DIV/0!</v>
      </c>
      <c r="USB83" s="363" t="s">
        <v>153</v>
      </c>
      <c r="USC83" s="363"/>
      <c r="USD83" s="363"/>
      <c r="USE83" s="364" t="s">
        <v>140</v>
      </c>
      <c r="USF83" s="365">
        <v>0.5</v>
      </c>
      <c r="USG83" s="366" t="e">
        <f>10/USC81</f>
        <v>#DIV/0!</v>
      </c>
      <c r="USH83" s="367">
        <v>15.38</v>
      </c>
      <c r="USI83" s="367" t="e">
        <f>USF83*USG83*USH83</f>
        <v>#DIV/0!</v>
      </c>
      <c r="USJ83" s="363" t="s">
        <v>153</v>
      </c>
      <c r="USK83" s="363"/>
      <c r="USL83" s="363"/>
      <c r="USM83" s="364" t="s">
        <v>140</v>
      </c>
      <c r="USN83" s="365">
        <v>0.5</v>
      </c>
      <c r="USO83" s="366" t="e">
        <f>10/USK81</f>
        <v>#DIV/0!</v>
      </c>
      <c r="USP83" s="367">
        <v>15.38</v>
      </c>
      <c r="USQ83" s="367" t="e">
        <f>USN83*USO83*USP83</f>
        <v>#DIV/0!</v>
      </c>
      <c r="USR83" s="363" t="s">
        <v>153</v>
      </c>
      <c r="USS83" s="363"/>
      <c r="UST83" s="363"/>
      <c r="USU83" s="364" t="s">
        <v>140</v>
      </c>
      <c r="USV83" s="365">
        <v>0.5</v>
      </c>
      <c r="USW83" s="366" t="e">
        <f>10/USS81</f>
        <v>#DIV/0!</v>
      </c>
      <c r="USX83" s="367">
        <v>15.38</v>
      </c>
      <c r="USY83" s="367" t="e">
        <f>USV83*USW83*USX83</f>
        <v>#DIV/0!</v>
      </c>
      <c r="USZ83" s="363" t="s">
        <v>153</v>
      </c>
      <c r="UTA83" s="363"/>
      <c r="UTB83" s="363"/>
      <c r="UTC83" s="364" t="s">
        <v>140</v>
      </c>
      <c r="UTD83" s="365">
        <v>0.5</v>
      </c>
      <c r="UTE83" s="366" t="e">
        <f>10/UTA81</f>
        <v>#DIV/0!</v>
      </c>
      <c r="UTF83" s="367">
        <v>15.38</v>
      </c>
      <c r="UTG83" s="367" t="e">
        <f>UTD83*UTE83*UTF83</f>
        <v>#DIV/0!</v>
      </c>
      <c r="UTH83" s="363" t="s">
        <v>153</v>
      </c>
      <c r="UTI83" s="363"/>
      <c r="UTJ83" s="363"/>
      <c r="UTK83" s="364" t="s">
        <v>140</v>
      </c>
      <c r="UTL83" s="365">
        <v>0.5</v>
      </c>
      <c r="UTM83" s="366" t="e">
        <f>10/UTI81</f>
        <v>#DIV/0!</v>
      </c>
      <c r="UTN83" s="367">
        <v>15.38</v>
      </c>
      <c r="UTO83" s="367" t="e">
        <f>UTL83*UTM83*UTN83</f>
        <v>#DIV/0!</v>
      </c>
      <c r="UTP83" s="363" t="s">
        <v>153</v>
      </c>
      <c r="UTQ83" s="363"/>
      <c r="UTR83" s="363"/>
      <c r="UTS83" s="364" t="s">
        <v>140</v>
      </c>
      <c r="UTT83" s="365">
        <v>0.5</v>
      </c>
      <c r="UTU83" s="366" t="e">
        <f>10/UTQ81</f>
        <v>#DIV/0!</v>
      </c>
      <c r="UTV83" s="367">
        <v>15.38</v>
      </c>
      <c r="UTW83" s="367" t="e">
        <f>UTT83*UTU83*UTV83</f>
        <v>#DIV/0!</v>
      </c>
      <c r="UTX83" s="363" t="s">
        <v>153</v>
      </c>
      <c r="UTY83" s="363"/>
      <c r="UTZ83" s="363"/>
      <c r="UUA83" s="364" t="s">
        <v>140</v>
      </c>
      <c r="UUB83" s="365">
        <v>0.5</v>
      </c>
      <c r="UUC83" s="366" t="e">
        <f>10/UTY81</f>
        <v>#DIV/0!</v>
      </c>
      <c r="UUD83" s="367">
        <v>15.38</v>
      </c>
      <c r="UUE83" s="367" t="e">
        <f>UUB83*UUC83*UUD83</f>
        <v>#DIV/0!</v>
      </c>
      <c r="UUF83" s="363" t="s">
        <v>153</v>
      </c>
      <c r="UUG83" s="363"/>
      <c r="UUH83" s="363"/>
      <c r="UUI83" s="364" t="s">
        <v>140</v>
      </c>
      <c r="UUJ83" s="365">
        <v>0.5</v>
      </c>
      <c r="UUK83" s="366" t="e">
        <f>10/UUG81</f>
        <v>#DIV/0!</v>
      </c>
      <c r="UUL83" s="367">
        <v>15.38</v>
      </c>
      <c r="UUM83" s="367" t="e">
        <f>UUJ83*UUK83*UUL83</f>
        <v>#DIV/0!</v>
      </c>
      <c r="UUN83" s="363" t="s">
        <v>153</v>
      </c>
      <c r="UUO83" s="363"/>
      <c r="UUP83" s="363"/>
      <c r="UUQ83" s="364" t="s">
        <v>140</v>
      </c>
      <c r="UUR83" s="365">
        <v>0.5</v>
      </c>
      <c r="UUS83" s="366" t="e">
        <f>10/UUO81</f>
        <v>#DIV/0!</v>
      </c>
      <c r="UUT83" s="367">
        <v>15.38</v>
      </c>
      <c r="UUU83" s="367" t="e">
        <f>UUR83*UUS83*UUT83</f>
        <v>#DIV/0!</v>
      </c>
      <c r="UUV83" s="363" t="s">
        <v>153</v>
      </c>
      <c r="UUW83" s="363"/>
      <c r="UUX83" s="363"/>
      <c r="UUY83" s="364" t="s">
        <v>140</v>
      </c>
      <c r="UUZ83" s="365">
        <v>0.5</v>
      </c>
      <c r="UVA83" s="366" t="e">
        <f>10/UUW81</f>
        <v>#DIV/0!</v>
      </c>
      <c r="UVB83" s="367">
        <v>15.38</v>
      </c>
      <c r="UVC83" s="367" t="e">
        <f>UUZ83*UVA83*UVB83</f>
        <v>#DIV/0!</v>
      </c>
      <c r="UVD83" s="363" t="s">
        <v>153</v>
      </c>
      <c r="UVE83" s="363"/>
      <c r="UVF83" s="363"/>
      <c r="UVG83" s="364" t="s">
        <v>140</v>
      </c>
      <c r="UVH83" s="365">
        <v>0.5</v>
      </c>
      <c r="UVI83" s="366" t="e">
        <f>10/UVE81</f>
        <v>#DIV/0!</v>
      </c>
      <c r="UVJ83" s="367">
        <v>15.38</v>
      </c>
      <c r="UVK83" s="367" t="e">
        <f>UVH83*UVI83*UVJ83</f>
        <v>#DIV/0!</v>
      </c>
      <c r="UVL83" s="363" t="s">
        <v>153</v>
      </c>
      <c r="UVM83" s="363"/>
      <c r="UVN83" s="363"/>
      <c r="UVO83" s="364" t="s">
        <v>140</v>
      </c>
      <c r="UVP83" s="365">
        <v>0.5</v>
      </c>
      <c r="UVQ83" s="366" t="e">
        <f>10/UVM81</f>
        <v>#DIV/0!</v>
      </c>
      <c r="UVR83" s="367">
        <v>15.38</v>
      </c>
      <c r="UVS83" s="367" t="e">
        <f>UVP83*UVQ83*UVR83</f>
        <v>#DIV/0!</v>
      </c>
      <c r="UVT83" s="363" t="s">
        <v>153</v>
      </c>
      <c r="UVU83" s="363"/>
      <c r="UVV83" s="363"/>
      <c r="UVW83" s="364" t="s">
        <v>140</v>
      </c>
      <c r="UVX83" s="365">
        <v>0.5</v>
      </c>
      <c r="UVY83" s="366" t="e">
        <f>10/UVU81</f>
        <v>#DIV/0!</v>
      </c>
      <c r="UVZ83" s="367">
        <v>15.38</v>
      </c>
      <c r="UWA83" s="367" t="e">
        <f>UVX83*UVY83*UVZ83</f>
        <v>#DIV/0!</v>
      </c>
      <c r="UWB83" s="363" t="s">
        <v>153</v>
      </c>
      <c r="UWC83" s="363"/>
      <c r="UWD83" s="363"/>
      <c r="UWE83" s="364" t="s">
        <v>140</v>
      </c>
      <c r="UWF83" s="365">
        <v>0.5</v>
      </c>
      <c r="UWG83" s="366" t="e">
        <f>10/UWC81</f>
        <v>#DIV/0!</v>
      </c>
      <c r="UWH83" s="367">
        <v>15.38</v>
      </c>
      <c r="UWI83" s="367" t="e">
        <f>UWF83*UWG83*UWH83</f>
        <v>#DIV/0!</v>
      </c>
      <c r="UWJ83" s="363" t="s">
        <v>153</v>
      </c>
      <c r="UWK83" s="363"/>
      <c r="UWL83" s="363"/>
      <c r="UWM83" s="364" t="s">
        <v>140</v>
      </c>
      <c r="UWN83" s="365">
        <v>0.5</v>
      </c>
      <c r="UWO83" s="366" t="e">
        <f>10/UWK81</f>
        <v>#DIV/0!</v>
      </c>
      <c r="UWP83" s="367">
        <v>15.38</v>
      </c>
      <c r="UWQ83" s="367" t="e">
        <f>UWN83*UWO83*UWP83</f>
        <v>#DIV/0!</v>
      </c>
      <c r="UWR83" s="363" t="s">
        <v>153</v>
      </c>
      <c r="UWS83" s="363"/>
      <c r="UWT83" s="363"/>
      <c r="UWU83" s="364" t="s">
        <v>140</v>
      </c>
      <c r="UWV83" s="365">
        <v>0.5</v>
      </c>
      <c r="UWW83" s="366" t="e">
        <f>10/UWS81</f>
        <v>#DIV/0!</v>
      </c>
      <c r="UWX83" s="367">
        <v>15.38</v>
      </c>
      <c r="UWY83" s="367" t="e">
        <f>UWV83*UWW83*UWX83</f>
        <v>#DIV/0!</v>
      </c>
      <c r="UWZ83" s="363" t="s">
        <v>153</v>
      </c>
      <c r="UXA83" s="363"/>
      <c r="UXB83" s="363"/>
      <c r="UXC83" s="364" t="s">
        <v>140</v>
      </c>
      <c r="UXD83" s="365">
        <v>0.5</v>
      </c>
      <c r="UXE83" s="366" t="e">
        <f>10/UXA81</f>
        <v>#DIV/0!</v>
      </c>
      <c r="UXF83" s="367">
        <v>15.38</v>
      </c>
      <c r="UXG83" s="367" t="e">
        <f>UXD83*UXE83*UXF83</f>
        <v>#DIV/0!</v>
      </c>
      <c r="UXH83" s="363" t="s">
        <v>153</v>
      </c>
      <c r="UXI83" s="363"/>
      <c r="UXJ83" s="363"/>
      <c r="UXK83" s="364" t="s">
        <v>140</v>
      </c>
      <c r="UXL83" s="365">
        <v>0.5</v>
      </c>
      <c r="UXM83" s="366" t="e">
        <f>10/UXI81</f>
        <v>#DIV/0!</v>
      </c>
      <c r="UXN83" s="367">
        <v>15.38</v>
      </c>
      <c r="UXO83" s="367" t="e">
        <f>UXL83*UXM83*UXN83</f>
        <v>#DIV/0!</v>
      </c>
      <c r="UXP83" s="363" t="s">
        <v>153</v>
      </c>
      <c r="UXQ83" s="363"/>
      <c r="UXR83" s="363"/>
      <c r="UXS83" s="364" t="s">
        <v>140</v>
      </c>
      <c r="UXT83" s="365">
        <v>0.5</v>
      </c>
      <c r="UXU83" s="366" t="e">
        <f>10/UXQ81</f>
        <v>#DIV/0!</v>
      </c>
      <c r="UXV83" s="367">
        <v>15.38</v>
      </c>
      <c r="UXW83" s="367" t="e">
        <f>UXT83*UXU83*UXV83</f>
        <v>#DIV/0!</v>
      </c>
      <c r="UXX83" s="363" t="s">
        <v>153</v>
      </c>
      <c r="UXY83" s="363"/>
      <c r="UXZ83" s="363"/>
      <c r="UYA83" s="364" t="s">
        <v>140</v>
      </c>
      <c r="UYB83" s="365">
        <v>0.5</v>
      </c>
      <c r="UYC83" s="366" t="e">
        <f>10/UXY81</f>
        <v>#DIV/0!</v>
      </c>
      <c r="UYD83" s="367">
        <v>15.38</v>
      </c>
      <c r="UYE83" s="367" t="e">
        <f>UYB83*UYC83*UYD83</f>
        <v>#DIV/0!</v>
      </c>
      <c r="UYF83" s="363" t="s">
        <v>153</v>
      </c>
      <c r="UYG83" s="363"/>
      <c r="UYH83" s="363"/>
      <c r="UYI83" s="364" t="s">
        <v>140</v>
      </c>
      <c r="UYJ83" s="365">
        <v>0.5</v>
      </c>
      <c r="UYK83" s="366" t="e">
        <f>10/UYG81</f>
        <v>#DIV/0!</v>
      </c>
      <c r="UYL83" s="367">
        <v>15.38</v>
      </c>
      <c r="UYM83" s="367" t="e">
        <f>UYJ83*UYK83*UYL83</f>
        <v>#DIV/0!</v>
      </c>
      <c r="UYN83" s="363" t="s">
        <v>153</v>
      </c>
      <c r="UYO83" s="363"/>
      <c r="UYP83" s="363"/>
      <c r="UYQ83" s="364" t="s">
        <v>140</v>
      </c>
      <c r="UYR83" s="365">
        <v>0.5</v>
      </c>
      <c r="UYS83" s="366" t="e">
        <f>10/UYO81</f>
        <v>#DIV/0!</v>
      </c>
      <c r="UYT83" s="367">
        <v>15.38</v>
      </c>
      <c r="UYU83" s="367" t="e">
        <f>UYR83*UYS83*UYT83</f>
        <v>#DIV/0!</v>
      </c>
      <c r="UYV83" s="363" t="s">
        <v>153</v>
      </c>
      <c r="UYW83" s="363"/>
      <c r="UYX83" s="363"/>
      <c r="UYY83" s="364" t="s">
        <v>140</v>
      </c>
      <c r="UYZ83" s="365">
        <v>0.5</v>
      </c>
      <c r="UZA83" s="366" t="e">
        <f>10/UYW81</f>
        <v>#DIV/0!</v>
      </c>
      <c r="UZB83" s="367">
        <v>15.38</v>
      </c>
      <c r="UZC83" s="367" t="e">
        <f>UYZ83*UZA83*UZB83</f>
        <v>#DIV/0!</v>
      </c>
      <c r="UZD83" s="363" t="s">
        <v>153</v>
      </c>
      <c r="UZE83" s="363"/>
      <c r="UZF83" s="363"/>
      <c r="UZG83" s="364" t="s">
        <v>140</v>
      </c>
      <c r="UZH83" s="365">
        <v>0.5</v>
      </c>
      <c r="UZI83" s="366" t="e">
        <f>10/UZE81</f>
        <v>#DIV/0!</v>
      </c>
      <c r="UZJ83" s="367">
        <v>15.38</v>
      </c>
      <c r="UZK83" s="367" t="e">
        <f>UZH83*UZI83*UZJ83</f>
        <v>#DIV/0!</v>
      </c>
      <c r="UZL83" s="363" t="s">
        <v>153</v>
      </c>
      <c r="UZM83" s="363"/>
      <c r="UZN83" s="363"/>
      <c r="UZO83" s="364" t="s">
        <v>140</v>
      </c>
      <c r="UZP83" s="365">
        <v>0.5</v>
      </c>
      <c r="UZQ83" s="366" t="e">
        <f>10/UZM81</f>
        <v>#DIV/0!</v>
      </c>
      <c r="UZR83" s="367">
        <v>15.38</v>
      </c>
      <c r="UZS83" s="367" t="e">
        <f>UZP83*UZQ83*UZR83</f>
        <v>#DIV/0!</v>
      </c>
      <c r="UZT83" s="363" t="s">
        <v>153</v>
      </c>
      <c r="UZU83" s="363"/>
      <c r="UZV83" s="363"/>
      <c r="UZW83" s="364" t="s">
        <v>140</v>
      </c>
      <c r="UZX83" s="365">
        <v>0.5</v>
      </c>
      <c r="UZY83" s="366" t="e">
        <f>10/UZU81</f>
        <v>#DIV/0!</v>
      </c>
      <c r="UZZ83" s="367">
        <v>15.38</v>
      </c>
      <c r="VAA83" s="367" t="e">
        <f>UZX83*UZY83*UZZ83</f>
        <v>#DIV/0!</v>
      </c>
      <c r="VAB83" s="363" t="s">
        <v>153</v>
      </c>
      <c r="VAC83" s="363"/>
      <c r="VAD83" s="363"/>
      <c r="VAE83" s="364" t="s">
        <v>140</v>
      </c>
      <c r="VAF83" s="365">
        <v>0.5</v>
      </c>
      <c r="VAG83" s="366" t="e">
        <f>10/VAC81</f>
        <v>#DIV/0!</v>
      </c>
      <c r="VAH83" s="367">
        <v>15.38</v>
      </c>
      <c r="VAI83" s="367" t="e">
        <f>VAF83*VAG83*VAH83</f>
        <v>#DIV/0!</v>
      </c>
      <c r="VAJ83" s="363" t="s">
        <v>153</v>
      </c>
      <c r="VAK83" s="363"/>
      <c r="VAL83" s="363"/>
      <c r="VAM83" s="364" t="s">
        <v>140</v>
      </c>
      <c r="VAN83" s="365">
        <v>0.5</v>
      </c>
      <c r="VAO83" s="366" t="e">
        <f>10/VAK81</f>
        <v>#DIV/0!</v>
      </c>
      <c r="VAP83" s="367">
        <v>15.38</v>
      </c>
      <c r="VAQ83" s="367" t="e">
        <f>VAN83*VAO83*VAP83</f>
        <v>#DIV/0!</v>
      </c>
      <c r="VAR83" s="363" t="s">
        <v>153</v>
      </c>
      <c r="VAS83" s="363"/>
      <c r="VAT83" s="363"/>
      <c r="VAU83" s="364" t="s">
        <v>140</v>
      </c>
      <c r="VAV83" s="365">
        <v>0.5</v>
      </c>
      <c r="VAW83" s="366" t="e">
        <f>10/VAS81</f>
        <v>#DIV/0!</v>
      </c>
      <c r="VAX83" s="367">
        <v>15.38</v>
      </c>
      <c r="VAY83" s="367" t="e">
        <f>VAV83*VAW83*VAX83</f>
        <v>#DIV/0!</v>
      </c>
      <c r="VAZ83" s="363" t="s">
        <v>153</v>
      </c>
      <c r="VBA83" s="363"/>
      <c r="VBB83" s="363"/>
      <c r="VBC83" s="364" t="s">
        <v>140</v>
      </c>
      <c r="VBD83" s="365">
        <v>0.5</v>
      </c>
      <c r="VBE83" s="366" t="e">
        <f>10/VBA81</f>
        <v>#DIV/0!</v>
      </c>
      <c r="VBF83" s="367">
        <v>15.38</v>
      </c>
      <c r="VBG83" s="367" t="e">
        <f>VBD83*VBE83*VBF83</f>
        <v>#DIV/0!</v>
      </c>
      <c r="VBH83" s="363" t="s">
        <v>153</v>
      </c>
      <c r="VBI83" s="363"/>
      <c r="VBJ83" s="363"/>
      <c r="VBK83" s="364" t="s">
        <v>140</v>
      </c>
      <c r="VBL83" s="365">
        <v>0.5</v>
      </c>
      <c r="VBM83" s="366" t="e">
        <f>10/VBI81</f>
        <v>#DIV/0!</v>
      </c>
      <c r="VBN83" s="367">
        <v>15.38</v>
      </c>
      <c r="VBO83" s="367" t="e">
        <f>VBL83*VBM83*VBN83</f>
        <v>#DIV/0!</v>
      </c>
      <c r="VBP83" s="363" t="s">
        <v>153</v>
      </c>
      <c r="VBQ83" s="363"/>
      <c r="VBR83" s="363"/>
      <c r="VBS83" s="364" t="s">
        <v>140</v>
      </c>
      <c r="VBT83" s="365">
        <v>0.5</v>
      </c>
      <c r="VBU83" s="366" t="e">
        <f>10/VBQ81</f>
        <v>#DIV/0!</v>
      </c>
      <c r="VBV83" s="367">
        <v>15.38</v>
      </c>
      <c r="VBW83" s="367" t="e">
        <f>VBT83*VBU83*VBV83</f>
        <v>#DIV/0!</v>
      </c>
      <c r="VBX83" s="363" t="s">
        <v>153</v>
      </c>
      <c r="VBY83" s="363"/>
      <c r="VBZ83" s="363"/>
      <c r="VCA83" s="364" t="s">
        <v>140</v>
      </c>
      <c r="VCB83" s="365">
        <v>0.5</v>
      </c>
      <c r="VCC83" s="366" t="e">
        <f>10/VBY81</f>
        <v>#DIV/0!</v>
      </c>
      <c r="VCD83" s="367">
        <v>15.38</v>
      </c>
      <c r="VCE83" s="367" t="e">
        <f>VCB83*VCC83*VCD83</f>
        <v>#DIV/0!</v>
      </c>
      <c r="VCF83" s="363" t="s">
        <v>153</v>
      </c>
      <c r="VCG83" s="363"/>
      <c r="VCH83" s="363"/>
      <c r="VCI83" s="364" t="s">
        <v>140</v>
      </c>
      <c r="VCJ83" s="365">
        <v>0.5</v>
      </c>
      <c r="VCK83" s="366" t="e">
        <f>10/VCG81</f>
        <v>#DIV/0!</v>
      </c>
      <c r="VCL83" s="367">
        <v>15.38</v>
      </c>
      <c r="VCM83" s="367" t="e">
        <f>VCJ83*VCK83*VCL83</f>
        <v>#DIV/0!</v>
      </c>
      <c r="VCN83" s="363" t="s">
        <v>153</v>
      </c>
      <c r="VCO83" s="363"/>
      <c r="VCP83" s="363"/>
      <c r="VCQ83" s="364" t="s">
        <v>140</v>
      </c>
      <c r="VCR83" s="365">
        <v>0.5</v>
      </c>
      <c r="VCS83" s="366" t="e">
        <f>10/VCO81</f>
        <v>#DIV/0!</v>
      </c>
      <c r="VCT83" s="367">
        <v>15.38</v>
      </c>
      <c r="VCU83" s="367" t="e">
        <f>VCR83*VCS83*VCT83</f>
        <v>#DIV/0!</v>
      </c>
      <c r="VCV83" s="363" t="s">
        <v>153</v>
      </c>
      <c r="VCW83" s="363"/>
      <c r="VCX83" s="363"/>
      <c r="VCY83" s="364" t="s">
        <v>140</v>
      </c>
      <c r="VCZ83" s="365">
        <v>0.5</v>
      </c>
      <c r="VDA83" s="366" t="e">
        <f>10/VCW81</f>
        <v>#DIV/0!</v>
      </c>
      <c r="VDB83" s="367">
        <v>15.38</v>
      </c>
      <c r="VDC83" s="367" t="e">
        <f>VCZ83*VDA83*VDB83</f>
        <v>#DIV/0!</v>
      </c>
      <c r="VDD83" s="363" t="s">
        <v>153</v>
      </c>
      <c r="VDE83" s="363"/>
      <c r="VDF83" s="363"/>
      <c r="VDG83" s="364" t="s">
        <v>140</v>
      </c>
      <c r="VDH83" s="365">
        <v>0.5</v>
      </c>
      <c r="VDI83" s="366" t="e">
        <f>10/VDE81</f>
        <v>#DIV/0!</v>
      </c>
      <c r="VDJ83" s="367">
        <v>15.38</v>
      </c>
      <c r="VDK83" s="367" t="e">
        <f>VDH83*VDI83*VDJ83</f>
        <v>#DIV/0!</v>
      </c>
      <c r="VDL83" s="363" t="s">
        <v>153</v>
      </c>
      <c r="VDM83" s="363"/>
      <c r="VDN83" s="363"/>
      <c r="VDO83" s="364" t="s">
        <v>140</v>
      </c>
      <c r="VDP83" s="365">
        <v>0.5</v>
      </c>
      <c r="VDQ83" s="366" t="e">
        <f>10/VDM81</f>
        <v>#DIV/0!</v>
      </c>
      <c r="VDR83" s="367">
        <v>15.38</v>
      </c>
      <c r="VDS83" s="367" t="e">
        <f>VDP83*VDQ83*VDR83</f>
        <v>#DIV/0!</v>
      </c>
      <c r="VDT83" s="363" t="s">
        <v>153</v>
      </c>
      <c r="VDU83" s="363"/>
      <c r="VDV83" s="363"/>
      <c r="VDW83" s="364" t="s">
        <v>140</v>
      </c>
      <c r="VDX83" s="365">
        <v>0.5</v>
      </c>
      <c r="VDY83" s="366" t="e">
        <f>10/VDU81</f>
        <v>#DIV/0!</v>
      </c>
      <c r="VDZ83" s="367">
        <v>15.38</v>
      </c>
      <c r="VEA83" s="367" t="e">
        <f>VDX83*VDY83*VDZ83</f>
        <v>#DIV/0!</v>
      </c>
      <c r="VEB83" s="363" t="s">
        <v>153</v>
      </c>
      <c r="VEC83" s="363"/>
      <c r="VED83" s="363"/>
      <c r="VEE83" s="364" t="s">
        <v>140</v>
      </c>
      <c r="VEF83" s="365">
        <v>0.5</v>
      </c>
      <c r="VEG83" s="366" t="e">
        <f>10/VEC81</f>
        <v>#DIV/0!</v>
      </c>
      <c r="VEH83" s="367">
        <v>15.38</v>
      </c>
      <c r="VEI83" s="367" t="e">
        <f>VEF83*VEG83*VEH83</f>
        <v>#DIV/0!</v>
      </c>
      <c r="VEJ83" s="363" t="s">
        <v>153</v>
      </c>
      <c r="VEK83" s="363"/>
      <c r="VEL83" s="363"/>
      <c r="VEM83" s="364" t="s">
        <v>140</v>
      </c>
      <c r="VEN83" s="365">
        <v>0.5</v>
      </c>
      <c r="VEO83" s="366" t="e">
        <f>10/VEK81</f>
        <v>#DIV/0!</v>
      </c>
      <c r="VEP83" s="367">
        <v>15.38</v>
      </c>
      <c r="VEQ83" s="367" t="e">
        <f>VEN83*VEO83*VEP83</f>
        <v>#DIV/0!</v>
      </c>
      <c r="VER83" s="363" t="s">
        <v>153</v>
      </c>
      <c r="VES83" s="363"/>
      <c r="VET83" s="363"/>
      <c r="VEU83" s="364" t="s">
        <v>140</v>
      </c>
      <c r="VEV83" s="365">
        <v>0.5</v>
      </c>
      <c r="VEW83" s="366" t="e">
        <f>10/VES81</f>
        <v>#DIV/0!</v>
      </c>
      <c r="VEX83" s="367">
        <v>15.38</v>
      </c>
      <c r="VEY83" s="367" t="e">
        <f>VEV83*VEW83*VEX83</f>
        <v>#DIV/0!</v>
      </c>
      <c r="VEZ83" s="363" t="s">
        <v>153</v>
      </c>
      <c r="VFA83" s="363"/>
      <c r="VFB83" s="363"/>
      <c r="VFC83" s="364" t="s">
        <v>140</v>
      </c>
      <c r="VFD83" s="365">
        <v>0.5</v>
      </c>
      <c r="VFE83" s="366" t="e">
        <f>10/VFA81</f>
        <v>#DIV/0!</v>
      </c>
      <c r="VFF83" s="367">
        <v>15.38</v>
      </c>
      <c r="VFG83" s="367" t="e">
        <f>VFD83*VFE83*VFF83</f>
        <v>#DIV/0!</v>
      </c>
      <c r="VFH83" s="363" t="s">
        <v>153</v>
      </c>
      <c r="VFI83" s="363"/>
      <c r="VFJ83" s="363"/>
      <c r="VFK83" s="364" t="s">
        <v>140</v>
      </c>
      <c r="VFL83" s="365">
        <v>0.5</v>
      </c>
      <c r="VFM83" s="366" t="e">
        <f>10/VFI81</f>
        <v>#DIV/0!</v>
      </c>
      <c r="VFN83" s="367">
        <v>15.38</v>
      </c>
      <c r="VFO83" s="367" t="e">
        <f>VFL83*VFM83*VFN83</f>
        <v>#DIV/0!</v>
      </c>
      <c r="VFP83" s="363" t="s">
        <v>153</v>
      </c>
      <c r="VFQ83" s="363"/>
      <c r="VFR83" s="363"/>
      <c r="VFS83" s="364" t="s">
        <v>140</v>
      </c>
      <c r="VFT83" s="365">
        <v>0.5</v>
      </c>
      <c r="VFU83" s="366" t="e">
        <f>10/VFQ81</f>
        <v>#DIV/0!</v>
      </c>
      <c r="VFV83" s="367">
        <v>15.38</v>
      </c>
      <c r="VFW83" s="367" t="e">
        <f>VFT83*VFU83*VFV83</f>
        <v>#DIV/0!</v>
      </c>
      <c r="VFX83" s="363" t="s">
        <v>153</v>
      </c>
      <c r="VFY83" s="363"/>
      <c r="VFZ83" s="363"/>
      <c r="VGA83" s="364" t="s">
        <v>140</v>
      </c>
      <c r="VGB83" s="365">
        <v>0.5</v>
      </c>
      <c r="VGC83" s="366" t="e">
        <f>10/VFY81</f>
        <v>#DIV/0!</v>
      </c>
      <c r="VGD83" s="367">
        <v>15.38</v>
      </c>
      <c r="VGE83" s="367" t="e">
        <f>VGB83*VGC83*VGD83</f>
        <v>#DIV/0!</v>
      </c>
      <c r="VGF83" s="363" t="s">
        <v>153</v>
      </c>
      <c r="VGG83" s="363"/>
      <c r="VGH83" s="363"/>
      <c r="VGI83" s="364" t="s">
        <v>140</v>
      </c>
      <c r="VGJ83" s="365">
        <v>0.5</v>
      </c>
      <c r="VGK83" s="366" t="e">
        <f>10/VGG81</f>
        <v>#DIV/0!</v>
      </c>
      <c r="VGL83" s="367">
        <v>15.38</v>
      </c>
      <c r="VGM83" s="367" t="e">
        <f>VGJ83*VGK83*VGL83</f>
        <v>#DIV/0!</v>
      </c>
      <c r="VGN83" s="363" t="s">
        <v>153</v>
      </c>
      <c r="VGO83" s="363"/>
      <c r="VGP83" s="363"/>
      <c r="VGQ83" s="364" t="s">
        <v>140</v>
      </c>
      <c r="VGR83" s="365">
        <v>0.5</v>
      </c>
      <c r="VGS83" s="366" t="e">
        <f>10/VGO81</f>
        <v>#DIV/0!</v>
      </c>
      <c r="VGT83" s="367">
        <v>15.38</v>
      </c>
      <c r="VGU83" s="367" t="e">
        <f>VGR83*VGS83*VGT83</f>
        <v>#DIV/0!</v>
      </c>
      <c r="VGV83" s="363" t="s">
        <v>153</v>
      </c>
      <c r="VGW83" s="363"/>
      <c r="VGX83" s="363"/>
      <c r="VGY83" s="364" t="s">
        <v>140</v>
      </c>
      <c r="VGZ83" s="365">
        <v>0.5</v>
      </c>
      <c r="VHA83" s="366" t="e">
        <f>10/VGW81</f>
        <v>#DIV/0!</v>
      </c>
      <c r="VHB83" s="367">
        <v>15.38</v>
      </c>
      <c r="VHC83" s="367" t="e">
        <f>VGZ83*VHA83*VHB83</f>
        <v>#DIV/0!</v>
      </c>
      <c r="VHD83" s="363" t="s">
        <v>153</v>
      </c>
      <c r="VHE83" s="363"/>
      <c r="VHF83" s="363"/>
      <c r="VHG83" s="364" t="s">
        <v>140</v>
      </c>
      <c r="VHH83" s="365">
        <v>0.5</v>
      </c>
      <c r="VHI83" s="366" t="e">
        <f>10/VHE81</f>
        <v>#DIV/0!</v>
      </c>
      <c r="VHJ83" s="367">
        <v>15.38</v>
      </c>
      <c r="VHK83" s="367" t="e">
        <f>VHH83*VHI83*VHJ83</f>
        <v>#DIV/0!</v>
      </c>
      <c r="VHL83" s="363" t="s">
        <v>153</v>
      </c>
      <c r="VHM83" s="363"/>
      <c r="VHN83" s="363"/>
      <c r="VHO83" s="364" t="s">
        <v>140</v>
      </c>
      <c r="VHP83" s="365">
        <v>0.5</v>
      </c>
      <c r="VHQ83" s="366" t="e">
        <f>10/VHM81</f>
        <v>#DIV/0!</v>
      </c>
      <c r="VHR83" s="367">
        <v>15.38</v>
      </c>
      <c r="VHS83" s="367" t="e">
        <f>VHP83*VHQ83*VHR83</f>
        <v>#DIV/0!</v>
      </c>
      <c r="VHT83" s="363" t="s">
        <v>153</v>
      </c>
      <c r="VHU83" s="363"/>
      <c r="VHV83" s="363"/>
      <c r="VHW83" s="364" t="s">
        <v>140</v>
      </c>
      <c r="VHX83" s="365">
        <v>0.5</v>
      </c>
      <c r="VHY83" s="366" t="e">
        <f>10/VHU81</f>
        <v>#DIV/0!</v>
      </c>
      <c r="VHZ83" s="367">
        <v>15.38</v>
      </c>
      <c r="VIA83" s="367" t="e">
        <f>VHX83*VHY83*VHZ83</f>
        <v>#DIV/0!</v>
      </c>
      <c r="VIB83" s="363" t="s">
        <v>153</v>
      </c>
      <c r="VIC83" s="363"/>
      <c r="VID83" s="363"/>
      <c r="VIE83" s="364" t="s">
        <v>140</v>
      </c>
      <c r="VIF83" s="365">
        <v>0.5</v>
      </c>
      <c r="VIG83" s="366" t="e">
        <f>10/VIC81</f>
        <v>#DIV/0!</v>
      </c>
      <c r="VIH83" s="367">
        <v>15.38</v>
      </c>
      <c r="VII83" s="367" t="e">
        <f>VIF83*VIG83*VIH83</f>
        <v>#DIV/0!</v>
      </c>
      <c r="VIJ83" s="363" t="s">
        <v>153</v>
      </c>
      <c r="VIK83" s="363"/>
      <c r="VIL83" s="363"/>
      <c r="VIM83" s="364" t="s">
        <v>140</v>
      </c>
      <c r="VIN83" s="365">
        <v>0.5</v>
      </c>
      <c r="VIO83" s="366" t="e">
        <f>10/VIK81</f>
        <v>#DIV/0!</v>
      </c>
      <c r="VIP83" s="367">
        <v>15.38</v>
      </c>
      <c r="VIQ83" s="367" t="e">
        <f>VIN83*VIO83*VIP83</f>
        <v>#DIV/0!</v>
      </c>
      <c r="VIR83" s="363" t="s">
        <v>153</v>
      </c>
      <c r="VIS83" s="363"/>
      <c r="VIT83" s="363"/>
      <c r="VIU83" s="364" t="s">
        <v>140</v>
      </c>
      <c r="VIV83" s="365">
        <v>0.5</v>
      </c>
      <c r="VIW83" s="366" t="e">
        <f>10/VIS81</f>
        <v>#DIV/0!</v>
      </c>
      <c r="VIX83" s="367">
        <v>15.38</v>
      </c>
      <c r="VIY83" s="367" t="e">
        <f>VIV83*VIW83*VIX83</f>
        <v>#DIV/0!</v>
      </c>
      <c r="VIZ83" s="363" t="s">
        <v>153</v>
      </c>
      <c r="VJA83" s="363"/>
      <c r="VJB83" s="363"/>
      <c r="VJC83" s="364" t="s">
        <v>140</v>
      </c>
      <c r="VJD83" s="365">
        <v>0.5</v>
      </c>
      <c r="VJE83" s="366" t="e">
        <f>10/VJA81</f>
        <v>#DIV/0!</v>
      </c>
      <c r="VJF83" s="367">
        <v>15.38</v>
      </c>
      <c r="VJG83" s="367" t="e">
        <f>VJD83*VJE83*VJF83</f>
        <v>#DIV/0!</v>
      </c>
      <c r="VJH83" s="363" t="s">
        <v>153</v>
      </c>
      <c r="VJI83" s="363"/>
      <c r="VJJ83" s="363"/>
      <c r="VJK83" s="364" t="s">
        <v>140</v>
      </c>
      <c r="VJL83" s="365">
        <v>0.5</v>
      </c>
      <c r="VJM83" s="366" t="e">
        <f>10/VJI81</f>
        <v>#DIV/0!</v>
      </c>
      <c r="VJN83" s="367">
        <v>15.38</v>
      </c>
      <c r="VJO83" s="367" t="e">
        <f>VJL83*VJM83*VJN83</f>
        <v>#DIV/0!</v>
      </c>
      <c r="VJP83" s="363" t="s">
        <v>153</v>
      </c>
      <c r="VJQ83" s="363"/>
      <c r="VJR83" s="363"/>
      <c r="VJS83" s="364" t="s">
        <v>140</v>
      </c>
      <c r="VJT83" s="365">
        <v>0.5</v>
      </c>
      <c r="VJU83" s="366" t="e">
        <f>10/VJQ81</f>
        <v>#DIV/0!</v>
      </c>
      <c r="VJV83" s="367">
        <v>15.38</v>
      </c>
      <c r="VJW83" s="367" t="e">
        <f>VJT83*VJU83*VJV83</f>
        <v>#DIV/0!</v>
      </c>
      <c r="VJX83" s="363" t="s">
        <v>153</v>
      </c>
      <c r="VJY83" s="363"/>
      <c r="VJZ83" s="363"/>
      <c r="VKA83" s="364" t="s">
        <v>140</v>
      </c>
      <c r="VKB83" s="365">
        <v>0.5</v>
      </c>
      <c r="VKC83" s="366" t="e">
        <f>10/VJY81</f>
        <v>#DIV/0!</v>
      </c>
      <c r="VKD83" s="367">
        <v>15.38</v>
      </c>
      <c r="VKE83" s="367" t="e">
        <f>VKB83*VKC83*VKD83</f>
        <v>#DIV/0!</v>
      </c>
      <c r="VKF83" s="363" t="s">
        <v>153</v>
      </c>
      <c r="VKG83" s="363"/>
      <c r="VKH83" s="363"/>
      <c r="VKI83" s="364" t="s">
        <v>140</v>
      </c>
      <c r="VKJ83" s="365">
        <v>0.5</v>
      </c>
      <c r="VKK83" s="366" t="e">
        <f>10/VKG81</f>
        <v>#DIV/0!</v>
      </c>
      <c r="VKL83" s="367">
        <v>15.38</v>
      </c>
      <c r="VKM83" s="367" t="e">
        <f>VKJ83*VKK83*VKL83</f>
        <v>#DIV/0!</v>
      </c>
      <c r="VKN83" s="363" t="s">
        <v>153</v>
      </c>
      <c r="VKO83" s="363"/>
      <c r="VKP83" s="363"/>
      <c r="VKQ83" s="364" t="s">
        <v>140</v>
      </c>
      <c r="VKR83" s="365">
        <v>0.5</v>
      </c>
      <c r="VKS83" s="366" t="e">
        <f>10/VKO81</f>
        <v>#DIV/0!</v>
      </c>
      <c r="VKT83" s="367">
        <v>15.38</v>
      </c>
      <c r="VKU83" s="367" t="e">
        <f>VKR83*VKS83*VKT83</f>
        <v>#DIV/0!</v>
      </c>
      <c r="VKV83" s="363" t="s">
        <v>153</v>
      </c>
      <c r="VKW83" s="363"/>
      <c r="VKX83" s="363"/>
      <c r="VKY83" s="364" t="s">
        <v>140</v>
      </c>
      <c r="VKZ83" s="365">
        <v>0.5</v>
      </c>
      <c r="VLA83" s="366" t="e">
        <f>10/VKW81</f>
        <v>#DIV/0!</v>
      </c>
      <c r="VLB83" s="367">
        <v>15.38</v>
      </c>
      <c r="VLC83" s="367" t="e">
        <f>VKZ83*VLA83*VLB83</f>
        <v>#DIV/0!</v>
      </c>
      <c r="VLD83" s="363" t="s">
        <v>153</v>
      </c>
      <c r="VLE83" s="363"/>
      <c r="VLF83" s="363"/>
      <c r="VLG83" s="364" t="s">
        <v>140</v>
      </c>
      <c r="VLH83" s="365">
        <v>0.5</v>
      </c>
      <c r="VLI83" s="366" t="e">
        <f>10/VLE81</f>
        <v>#DIV/0!</v>
      </c>
      <c r="VLJ83" s="367">
        <v>15.38</v>
      </c>
      <c r="VLK83" s="367" t="e">
        <f>VLH83*VLI83*VLJ83</f>
        <v>#DIV/0!</v>
      </c>
      <c r="VLL83" s="363" t="s">
        <v>153</v>
      </c>
      <c r="VLM83" s="363"/>
      <c r="VLN83" s="363"/>
      <c r="VLO83" s="364" t="s">
        <v>140</v>
      </c>
      <c r="VLP83" s="365">
        <v>0.5</v>
      </c>
      <c r="VLQ83" s="366" t="e">
        <f>10/VLM81</f>
        <v>#DIV/0!</v>
      </c>
      <c r="VLR83" s="367">
        <v>15.38</v>
      </c>
      <c r="VLS83" s="367" t="e">
        <f>VLP83*VLQ83*VLR83</f>
        <v>#DIV/0!</v>
      </c>
      <c r="VLT83" s="363" t="s">
        <v>153</v>
      </c>
      <c r="VLU83" s="363"/>
      <c r="VLV83" s="363"/>
      <c r="VLW83" s="364" t="s">
        <v>140</v>
      </c>
      <c r="VLX83" s="365">
        <v>0.5</v>
      </c>
      <c r="VLY83" s="366" t="e">
        <f>10/VLU81</f>
        <v>#DIV/0!</v>
      </c>
      <c r="VLZ83" s="367">
        <v>15.38</v>
      </c>
      <c r="VMA83" s="367" t="e">
        <f>VLX83*VLY83*VLZ83</f>
        <v>#DIV/0!</v>
      </c>
      <c r="VMB83" s="363" t="s">
        <v>153</v>
      </c>
      <c r="VMC83" s="363"/>
      <c r="VMD83" s="363"/>
      <c r="VME83" s="364" t="s">
        <v>140</v>
      </c>
      <c r="VMF83" s="365">
        <v>0.5</v>
      </c>
      <c r="VMG83" s="366" t="e">
        <f>10/VMC81</f>
        <v>#DIV/0!</v>
      </c>
      <c r="VMH83" s="367">
        <v>15.38</v>
      </c>
      <c r="VMI83" s="367" t="e">
        <f>VMF83*VMG83*VMH83</f>
        <v>#DIV/0!</v>
      </c>
      <c r="VMJ83" s="363" t="s">
        <v>153</v>
      </c>
      <c r="VMK83" s="363"/>
      <c r="VML83" s="363"/>
      <c r="VMM83" s="364" t="s">
        <v>140</v>
      </c>
      <c r="VMN83" s="365">
        <v>0.5</v>
      </c>
      <c r="VMO83" s="366" t="e">
        <f>10/VMK81</f>
        <v>#DIV/0!</v>
      </c>
      <c r="VMP83" s="367">
        <v>15.38</v>
      </c>
      <c r="VMQ83" s="367" t="e">
        <f>VMN83*VMO83*VMP83</f>
        <v>#DIV/0!</v>
      </c>
      <c r="VMR83" s="363" t="s">
        <v>153</v>
      </c>
      <c r="VMS83" s="363"/>
      <c r="VMT83" s="363"/>
      <c r="VMU83" s="364" t="s">
        <v>140</v>
      </c>
      <c r="VMV83" s="365">
        <v>0.5</v>
      </c>
      <c r="VMW83" s="366" t="e">
        <f>10/VMS81</f>
        <v>#DIV/0!</v>
      </c>
      <c r="VMX83" s="367">
        <v>15.38</v>
      </c>
      <c r="VMY83" s="367" t="e">
        <f>VMV83*VMW83*VMX83</f>
        <v>#DIV/0!</v>
      </c>
      <c r="VMZ83" s="363" t="s">
        <v>153</v>
      </c>
      <c r="VNA83" s="363"/>
      <c r="VNB83" s="363"/>
      <c r="VNC83" s="364" t="s">
        <v>140</v>
      </c>
      <c r="VND83" s="365">
        <v>0.5</v>
      </c>
      <c r="VNE83" s="366" t="e">
        <f>10/VNA81</f>
        <v>#DIV/0!</v>
      </c>
      <c r="VNF83" s="367">
        <v>15.38</v>
      </c>
      <c r="VNG83" s="367" t="e">
        <f>VND83*VNE83*VNF83</f>
        <v>#DIV/0!</v>
      </c>
      <c r="VNH83" s="363" t="s">
        <v>153</v>
      </c>
      <c r="VNI83" s="363"/>
      <c r="VNJ83" s="363"/>
      <c r="VNK83" s="364" t="s">
        <v>140</v>
      </c>
      <c r="VNL83" s="365">
        <v>0.5</v>
      </c>
      <c r="VNM83" s="366" t="e">
        <f>10/VNI81</f>
        <v>#DIV/0!</v>
      </c>
      <c r="VNN83" s="367">
        <v>15.38</v>
      </c>
      <c r="VNO83" s="367" t="e">
        <f>VNL83*VNM83*VNN83</f>
        <v>#DIV/0!</v>
      </c>
      <c r="VNP83" s="363" t="s">
        <v>153</v>
      </c>
      <c r="VNQ83" s="363"/>
      <c r="VNR83" s="363"/>
      <c r="VNS83" s="364" t="s">
        <v>140</v>
      </c>
      <c r="VNT83" s="365">
        <v>0.5</v>
      </c>
      <c r="VNU83" s="366" t="e">
        <f>10/VNQ81</f>
        <v>#DIV/0!</v>
      </c>
      <c r="VNV83" s="367">
        <v>15.38</v>
      </c>
      <c r="VNW83" s="367" t="e">
        <f>VNT83*VNU83*VNV83</f>
        <v>#DIV/0!</v>
      </c>
      <c r="VNX83" s="363" t="s">
        <v>153</v>
      </c>
      <c r="VNY83" s="363"/>
      <c r="VNZ83" s="363"/>
      <c r="VOA83" s="364" t="s">
        <v>140</v>
      </c>
      <c r="VOB83" s="365">
        <v>0.5</v>
      </c>
      <c r="VOC83" s="366" t="e">
        <f>10/VNY81</f>
        <v>#DIV/0!</v>
      </c>
      <c r="VOD83" s="367">
        <v>15.38</v>
      </c>
      <c r="VOE83" s="367" t="e">
        <f>VOB83*VOC83*VOD83</f>
        <v>#DIV/0!</v>
      </c>
      <c r="VOF83" s="363" t="s">
        <v>153</v>
      </c>
      <c r="VOG83" s="363"/>
      <c r="VOH83" s="363"/>
      <c r="VOI83" s="364" t="s">
        <v>140</v>
      </c>
      <c r="VOJ83" s="365">
        <v>0.5</v>
      </c>
      <c r="VOK83" s="366" t="e">
        <f>10/VOG81</f>
        <v>#DIV/0!</v>
      </c>
      <c r="VOL83" s="367">
        <v>15.38</v>
      </c>
      <c r="VOM83" s="367" t="e">
        <f>VOJ83*VOK83*VOL83</f>
        <v>#DIV/0!</v>
      </c>
      <c r="VON83" s="363" t="s">
        <v>153</v>
      </c>
      <c r="VOO83" s="363"/>
      <c r="VOP83" s="363"/>
      <c r="VOQ83" s="364" t="s">
        <v>140</v>
      </c>
      <c r="VOR83" s="365">
        <v>0.5</v>
      </c>
      <c r="VOS83" s="366" t="e">
        <f>10/VOO81</f>
        <v>#DIV/0!</v>
      </c>
      <c r="VOT83" s="367">
        <v>15.38</v>
      </c>
      <c r="VOU83" s="367" t="e">
        <f>VOR83*VOS83*VOT83</f>
        <v>#DIV/0!</v>
      </c>
      <c r="VOV83" s="363" t="s">
        <v>153</v>
      </c>
      <c r="VOW83" s="363"/>
      <c r="VOX83" s="363"/>
      <c r="VOY83" s="364" t="s">
        <v>140</v>
      </c>
      <c r="VOZ83" s="365">
        <v>0.5</v>
      </c>
      <c r="VPA83" s="366" t="e">
        <f>10/VOW81</f>
        <v>#DIV/0!</v>
      </c>
      <c r="VPB83" s="367">
        <v>15.38</v>
      </c>
      <c r="VPC83" s="367" t="e">
        <f>VOZ83*VPA83*VPB83</f>
        <v>#DIV/0!</v>
      </c>
      <c r="VPD83" s="363" t="s">
        <v>153</v>
      </c>
      <c r="VPE83" s="363"/>
      <c r="VPF83" s="363"/>
      <c r="VPG83" s="364" t="s">
        <v>140</v>
      </c>
      <c r="VPH83" s="365">
        <v>0.5</v>
      </c>
      <c r="VPI83" s="366" t="e">
        <f>10/VPE81</f>
        <v>#DIV/0!</v>
      </c>
      <c r="VPJ83" s="367">
        <v>15.38</v>
      </c>
      <c r="VPK83" s="367" t="e">
        <f>VPH83*VPI83*VPJ83</f>
        <v>#DIV/0!</v>
      </c>
      <c r="VPL83" s="363" t="s">
        <v>153</v>
      </c>
      <c r="VPM83" s="363"/>
      <c r="VPN83" s="363"/>
      <c r="VPO83" s="364" t="s">
        <v>140</v>
      </c>
      <c r="VPP83" s="365">
        <v>0.5</v>
      </c>
      <c r="VPQ83" s="366" t="e">
        <f>10/VPM81</f>
        <v>#DIV/0!</v>
      </c>
      <c r="VPR83" s="367">
        <v>15.38</v>
      </c>
      <c r="VPS83" s="367" t="e">
        <f>VPP83*VPQ83*VPR83</f>
        <v>#DIV/0!</v>
      </c>
      <c r="VPT83" s="363" t="s">
        <v>153</v>
      </c>
      <c r="VPU83" s="363"/>
      <c r="VPV83" s="363"/>
      <c r="VPW83" s="364" t="s">
        <v>140</v>
      </c>
      <c r="VPX83" s="365">
        <v>0.5</v>
      </c>
      <c r="VPY83" s="366" t="e">
        <f>10/VPU81</f>
        <v>#DIV/0!</v>
      </c>
      <c r="VPZ83" s="367">
        <v>15.38</v>
      </c>
      <c r="VQA83" s="367" t="e">
        <f>VPX83*VPY83*VPZ83</f>
        <v>#DIV/0!</v>
      </c>
      <c r="VQB83" s="363" t="s">
        <v>153</v>
      </c>
      <c r="VQC83" s="363"/>
      <c r="VQD83" s="363"/>
      <c r="VQE83" s="364" t="s">
        <v>140</v>
      </c>
      <c r="VQF83" s="365">
        <v>0.5</v>
      </c>
      <c r="VQG83" s="366" t="e">
        <f>10/VQC81</f>
        <v>#DIV/0!</v>
      </c>
      <c r="VQH83" s="367">
        <v>15.38</v>
      </c>
      <c r="VQI83" s="367" t="e">
        <f>VQF83*VQG83*VQH83</f>
        <v>#DIV/0!</v>
      </c>
      <c r="VQJ83" s="363" t="s">
        <v>153</v>
      </c>
      <c r="VQK83" s="363"/>
      <c r="VQL83" s="363"/>
      <c r="VQM83" s="364" t="s">
        <v>140</v>
      </c>
      <c r="VQN83" s="365">
        <v>0.5</v>
      </c>
      <c r="VQO83" s="366" t="e">
        <f>10/VQK81</f>
        <v>#DIV/0!</v>
      </c>
      <c r="VQP83" s="367">
        <v>15.38</v>
      </c>
      <c r="VQQ83" s="367" t="e">
        <f>VQN83*VQO83*VQP83</f>
        <v>#DIV/0!</v>
      </c>
      <c r="VQR83" s="363" t="s">
        <v>153</v>
      </c>
      <c r="VQS83" s="363"/>
      <c r="VQT83" s="363"/>
      <c r="VQU83" s="364" t="s">
        <v>140</v>
      </c>
      <c r="VQV83" s="365">
        <v>0.5</v>
      </c>
      <c r="VQW83" s="366" t="e">
        <f>10/VQS81</f>
        <v>#DIV/0!</v>
      </c>
      <c r="VQX83" s="367">
        <v>15.38</v>
      </c>
      <c r="VQY83" s="367" t="e">
        <f>VQV83*VQW83*VQX83</f>
        <v>#DIV/0!</v>
      </c>
      <c r="VQZ83" s="363" t="s">
        <v>153</v>
      </c>
      <c r="VRA83" s="363"/>
      <c r="VRB83" s="363"/>
      <c r="VRC83" s="364" t="s">
        <v>140</v>
      </c>
      <c r="VRD83" s="365">
        <v>0.5</v>
      </c>
      <c r="VRE83" s="366" t="e">
        <f>10/VRA81</f>
        <v>#DIV/0!</v>
      </c>
      <c r="VRF83" s="367">
        <v>15.38</v>
      </c>
      <c r="VRG83" s="367" t="e">
        <f>VRD83*VRE83*VRF83</f>
        <v>#DIV/0!</v>
      </c>
      <c r="VRH83" s="363" t="s">
        <v>153</v>
      </c>
      <c r="VRI83" s="363"/>
      <c r="VRJ83" s="363"/>
      <c r="VRK83" s="364" t="s">
        <v>140</v>
      </c>
      <c r="VRL83" s="365">
        <v>0.5</v>
      </c>
      <c r="VRM83" s="366" t="e">
        <f>10/VRI81</f>
        <v>#DIV/0!</v>
      </c>
      <c r="VRN83" s="367">
        <v>15.38</v>
      </c>
      <c r="VRO83" s="367" t="e">
        <f>VRL83*VRM83*VRN83</f>
        <v>#DIV/0!</v>
      </c>
      <c r="VRP83" s="363" t="s">
        <v>153</v>
      </c>
      <c r="VRQ83" s="363"/>
      <c r="VRR83" s="363"/>
      <c r="VRS83" s="364" t="s">
        <v>140</v>
      </c>
      <c r="VRT83" s="365">
        <v>0.5</v>
      </c>
      <c r="VRU83" s="366" t="e">
        <f>10/VRQ81</f>
        <v>#DIV/0!</v>
      </c>
      <c r="VRV83" s="367">
        <v>15.38</v>
      </c>
      <c r="VRW83" s="367" t="e">
        <f>VRT83*VRU83*VRV83</f>
        <v>#DIV/0!</v>
      </c>
      <c r="VRX83" s="363" t="s">
        <v>153</v>
      </c>
      <c r="VRY83" s="363"/>
      <c r="VRZ83" s="363"/>
      <c r="VSA83" s="364" t="s">
        <v>140</v>
      </c>
      <c r="VSB83" s="365">
        <v>0.5</v>
      </c>
      <c r="VSC83" s="366" t="e">
        <f>10/VRY81</f>
        <v>#DIV/0!</v>
      </c>
      <c r="VSD83" s="367">
        <v>15.38</v>
      </c>
      <c r="VSE83" s="367" t="e">
        <f>VSB83*VSC83*VSD83</f>
        <v>#DIV/0!</v>
      </c>
      <c r="VSF83" s="363" t="s">
        <v>153</v>
      </c>
      <c r="VSG83" s="363"/>
      <c r="VSH83" s="363"/>
      <c r="VSI83" s="364" t="s">
        <v>140</v>
      </c>
      <c r="VSJ83" s="365">
        <v>0.5</v>
      </c>
      <c r="VSK83" s="366" t="e">
        <f>10/VSG81</f>
        <v>#DIV/0!</v>
      </c>
      <c r="VSL83" s="367">
        <v>15.38</v>
      </c>
      <c r="VSM83" s="367" t="e">
        <f>VSJ83*VSK83*VSL83</f>
        <v>#DIV/0!</v>
      </c>
      <c r="VSN83" s="363" t="s">
        <v>153</v>
      </c>
      <c r="VSO83" s="363"/>
      <c r="VSP83" s="363"/>
      <c r="VSQ83" s="364" t="s">
        <v>140</v>
      </c>
      <c r="VSR83" s="365">
        <v>0.5</v>
      </c>
      <c r="VSS83" s="366" t="e">
        <f>10/VSO81</f>
        <v>#DIV/0!</v>
      </c>
      <c r="VST83" s="367">
        <v>15.38</v>
      </c>
      <c r="VSU83" s="367" t="e">
        <f>VSR83*VSS83*VST83</f>
        <v>#DIV/0!</v>
      </c>
      <c r="VSV83" s="363" t="s">
        <v>153</v>
      </c>
      <c r="VSW83" s="363"/>
      <c r="VSX83" s="363"/>
      <c r="VSY83" s="364" t="s">
        <v>140</v>
      </c>
      <c r="VSZ83" s="365">
        <v>0.5</v>
      </c>
      <c r="VTA83" s="366" t="e">
        <f>10/VSW81</f>
        <v>#DIV/0!</v>
      </c>
      <c r="VTB83" s="367">
        <v>15.38</v>
      </c>
      <c r="VTC83" s="367" t="e">
        <f>VSZ83*VTA83*VTB83</f>
        <v>#DIV/0!</v>
      </c>
      <c r="VTD83" s="363" t="s">
        <v>153</v>
      </c>
      <c r="VTE83" s="363"/>
      <c r="VTF83" s="363"/>
      <c r="VTG83" s="364" t="s">
        <v>140</v>
      </c>
      <c r="VTH83" s="365">
        <v>0.5</v>
      </c>
      <c r="VTI83" s="366" t="e">
        <f>10/VTE81</f>
        <v>#DIV/0!</v>
      </c>
      <c r="VTJ83" s="367">
        <v>15.38</v>
      </c>
      <c r="VTK83" s="367" t="e">
        <f>VTH83*VTI83*VTJ83</f>
        <v>#DIV/0!</v>
      </c>
      <c r="VTL83" s="363" t="s">
        <v>153</v>
      </c>
      <c r="VTM83" s="363"/>
      <c r="VTN83" s="363"/>
      <c r="VTO83" s="364" t="s">
        <v>140</v>
      </c>
      <c r="VTP83" s="365">
        <v>0.5</v>
      </c>
      <c r="VTQ83" s="366" t="e">
        <f>10/VTM81</f>
        <v>#DIV/0!</v>
      </c>
      <c r="VTR83" s="367">
        <v>15.38</v>
      </c>
      <c r="VTS83" s="367" t="e">
        <f>VTP83*VTQ83*VTR83</f>
        <v>#DIV/0!</v>
      </c>
      <c r="VTT83" s="363" t="s">
        <v>153</v>
      </c>
      <c r="VTU83" s="363"/>
      <c r="VTV83" s="363"/>
      <c r="VTW83" s="364" t="s">
        <v>140</v>
      </c>
      <c r="VTX83" s="365">
        <v>0.5</v>
      </c>
      <c r="VTY83" s="366" t="e">
        <f>10/VTU81</f>
        <v>#DIV/0!</v>
      </c>
      <c r="VTZ83" s="367">
        <v>15.38</v>
      </c>
      <c r="VUA83" s="367" t="e">
        <f>VTX83*VTY83*VTZ83</f>
        <v>#DIV/0!</v>
      </c>
      <c r="VUB83" s="363" t="s">
        <v>153</v>
      </c>
      <c r="VUC83" s="363"/>
      <c r="VUD83" s="363"/>
      <c r="VUE83" s="364" t="s">
        <v>140</v>
      </c>
      <c r="VUF83" s="365">
        <v>0.5</v>
      </c>
      <c r="VUG83" s="366" t="e">
        <f>10/VUC81</f>
        <v>#DIV/0!</v>
      </c>
      <c r="VUH83" s="367">
        <v>15.38</v>
      </c>
      <c r="VUI83" s="367" t="e">
        <f>VUF83*VUG83*VUH83</f>
        <v>#DIV/0!</v>
      </c>
      <c r="VUJ83" s="363" t="s">
        <v>153</v>
      </c>
      <c r="VUK83" s="363"/>
      <c r="VUL83" s="363"/>
      <c r="VUM83" s="364" t="s">
        <v>140</v>
      </c>
      <c r="VUN83" s="365">
        <v>0.5</v>
      </c>
      <c r="VUO83" s="366" t="e">
        <f>10/VUK81</f>
        <v>#DIV/0!</v>
      </c>
      <c r="VUP83" s="367">
        <v>15.38</v>
      </c>
      <c r="VUQ83" s="367" t="e">
        <f>VUN83*VUO83*VUP83</f>
        <v>#DIV/0!</v>
      </c>
      <c r="VUR83" s="363" t="s">
        <v>153</v>
      </c>
      <c r="VUS83" s="363"/>
      <c r="VUT83" s="363"/>
      <c r="VUU83" s="364" t="s">
        <v>140</v>
      </c>
      <c r="VUV83" s="365">
        <v>0.5</v>
      </c>
      <c r="VUW83" s="366" t="e">
        <f>10/VUS81</f>
        <v>#DIV/0!</v>
      </c>
      <c r="VUX83" s="367">
        <v>15.38</v>
      </c>
      <c r="VUY83" s="367" t="e">
        <f>VUV83*VUW83*VUX83</f>
        <v>#DIV/0!</v>
      </c>
      <c r="VUZ83" s="363" t="s">
        <v>153</v>
      </c>
      <c r="VVA83" s="363"/>
      <c r="VVB83" s="363"/>
      <c r="VVC83" s="364" t="s">
        <v>140</v>
      </c>
      <c r="VVD83" s="365">
        <v>0.5</v>
      </c>
      <c r="VVE83" s="366" t="e">
        <f>10/VVA81</f>
        <v>#DIV/0!</v>
      </c>
      <c r="VVF83" s="367">
        <v>15.38</v>
      </c>
      <c r="VVG83" s="367" t="e">
        <f>VVD83*VVE83*VVF83</f>
        <v>#DIV/0!</v>
      </c>
      <c r="VVH83" s="363" t="s">
        <v>153</v>
      </c>
      <c r="VVI83" s="363"/>
      <c r="VVJ83" s="363"/>
      <c r="VVK83" s="364" t="s">
        <v>140</v>
      </c>
      <c r="VVL83" s="365">
        <v>0.5</v>
      </c>
      <c r="VVM83" s="366" t="e">
        <f>10/VVI81</f>
        <v>#DIV/0!</v>
      </c>
      <c r="VVN83" s="367">
        <v>15.38</v>
      </c>
      <c r="VVO83" s="367" t="e">
        <f>VVL83*VVM83*VVN83</f>
        <v>#DIV/0!</v>
      </c>
      <c r="VVP83" s="363" t="s">
        <v>153</v>
      </c>
      <c r="VVQ83" s="363"/>
      <c r="VVR83" s="363"/>
      <c r="VVS83" s="364" t="s">
        <v>140</v>
      </c>
      <c r="VVT83" s="365">
        <v>0.5</v>
      </c>
      <c r="VVU83" s="366" t="e">
        <f>10/VVQ81</f>
        <v>#DIV/0!</v>
      </c>
      <c r="VVV83" s="367">
        <v>15.38</v>
      </c>
      <c r="VVW83" s="367" t="e">
        <f>VVT83*VVU83*VVV83</f>
        <v>#DIV/0!</v>
      </c>
      <c r="VVX83" s="363" t="s">
        <v>153</v>
      </c>
      <c r="VVY83" s="363"/>
      <c r="VVZ83" s="363"/>
      <c r="VWA83" s="364" t="s">
        <v>140</v>
      </c>
      <c r="VWB83" s="365">
        <v>0.5</v>
      </c>
      <c r="VWC83" s="366" t="e">
        <f>10/VVY81</f>
        <v>#DIV/0!</v>
      </c>
      <c r="VWD83" s="367">
        <v>15.38</v>
      </c>
      <c r="VWE83" s="367" t="e">
        <f>VWB83*VWC83*VWD83</f>
        <v>#DIV/0!</v>
      </c>
      <c r="VWF83" s="363" t="s">
        <v>153</v>
      </c>
      <c r="VWG83" s="363"/>
      <c r="VWH83" s="363"/>
      <c r="VWI83" s="364" t="s">
        <v>140</v>
      </c>
      <c r="VWJ83" s="365">
        <v>0.5</v>
      </c>
      <c r="VWK83" s="366" t="e">
        <f>10/VWG81</f>
        <v>#DIV/0!</v>
      </c>
      <c r="VWL83" s="367">
        <v>15.38</v>
      </c>
      <c r="VWM83" s="367" t="e">
        <f>VWJ83*VWK83*VWL83</f>
        <v>#DIV/0!</v>
      </c>
      <c r="VWN83" s="363" t="s">
        <v>153</v>
      </c>
      <c r="VWO83" s="363"/>
      <c r="VWP83" s="363"/>
      <c r="VWQ83" s="364" t="s">
        <v>140</v>
      </c>
      <c r="VWR83" s="365">
        <v>0.5</v>
      </c>
      <c r="VWS83" s="366" t="e">
        <f>10/VWO81</f>
        <v>#DIV/0!</v>
      </c>
      <c r="VWT83" s="367">
        <v>15.38</v>
      </c>
      <c r="VWU83" s="367" t="e">
        <f>VWR83*VWS83*VWT83</f>
        <v>#DIV/0!</v>
      </c>
      <c r="VWV83" s="363" t="s">
        <v>153</v>
      </c>
      <c r="VWW83" s="363"/>
      <c r="VWX83" s="363"/>
      <c r="VWY83" s="364" t="s">
        <v>140</v>
      </c>
      <c r="VWZ83" s="365">
        <v>0.5</v>
      </c>
      <c r="VXA83" s="366" t="e">
        <f>10/VWW81</f>
        <v>#DIV/0!</v>
      </c>
      <c r="VXB83" s="367">
        <v>15.38</v>
      </c>
      <c r="VXC83" s="367" t="e">
        <f>VWZ83*VXA83*VXB83</f>
        <v>#DIV/0!</v>
      </c>
      <c r="VXD83" s="363" t="s">
        <v>153</v>
      </c>
      <c r="VXE83" s="363"/>
      <c r="VXF83" s="363"/>
      <c r="VXG83" s="364" t="s">
        <v>140</v>
      </c>
      <c r="VXH83" s="365">
        <v>0.5</v>
      </c>
      <c r="VXI83" s="366" t="e">
        <f>10/VXE81</f>
        <v>#DIV/0!</v>
      </c>
      <c r="VXJ83" s="367">
        <v>15.38</v>
      </c>
      <c r="VXK83" s="367" t="e">
        <f>VXH83*VXI83*VXJ83</f>
        <v>#DIV/0!</v>
      </c>
      <c r="VXL83" s="363" t="s">
        <v>153</v>
      </c>
      <c r="VXM83" s="363"/>
      <c r="VXN83" s="363"/>
      <c r="VXO83" s="364" t="s">
        <v>140</v>
      </c>
      <c r="VXP83" s="365">
        <v>0.5</v>
      </c>
      <c r="VXQ83" s="366" t="e">
        <f>10/VXM81</f>
        <v>#DIV/0!</v>
      </c>
      <c r="VXR83" s="367">
        <v>15.38</v>
      </c>
      <c r="VXS83" s="367" t="e">
        <f>VXP83*VXQ83*VXR83</f>
        <v>#DIV/0!</v>
      </c>
      <c r="VXT83" s="363" t="s">
        <v>153</v>
      </c>
      <c r="VXU83" s="363"/>
      <c r="VXV83" s="363"/>
      <c r="VXW83" s="364" t="s">
        <v>140</v>
      </c>
      <c r="VXX83" s="365">
        <v>0.5</v>
      </c>
      <c r="VXY83" s="366" t="e">
        <f>10/VXU81</f>
        <v>#DIV/0!</v>
      </c>
      <c r="VXZ83" s="367">
        <v>15.38</v>
      </c>
      <c r="VYA83" s="367" t="e">
        <f>VXX83*VXY83*VXZ83</f>
        <v>#DIV/0!</v>
      </c>
      <c r="VYB83" s="363" t="s">
        <v>153</v>
      </c>
      <c r="VYC83" s="363"/>
      <c r="VYD83" s="363"/>
      <c r="VYE83" s="364" t="s">
        <v>140</v>
      </c>
      <c r="VYF83" s="365">
        <v>0.5</v>
      </c>
      <c r="VYG83" s="366" t="e">
        <f>10/VYC81</f>
        <v>#DIV/0!</v>
      </c>
      <c r="VYH83" s="367">
        <v>15.38</v>
      </c>
      <c r="VYI83" s="367" t="e">
        <f>VYF83*VYG83*VYH83</f>
        <v>#DIV/0!</v>
      </c>
      <c r="VYJ83" s="363" t="s">
        <v>153</v>
      </c>
      <c r="VYK83" s="363"/>
      <c r="VYL83" s="363"/>
      <c r="VYM83" s="364" t="s">
        <v>140</v>
      </c>
      <c r="VYN83" s="365">
        <v>0.5</v>
      </c>
      <c r="VYO83" s="366" t="e">
        <f>10/VYK81</f>
        <v>#DIV/0!</v>
      </c>
      <c r="VYP83" s="367">
        <v>15.38</v>
      </c>
      <c r="VYQ83" s="367" t="e">
        <f>VYN83*VYO83*VYP83</f>
        <v>#DIV/0!</v>
      </c>
      <c r="VYR83" s="363" t="s">
        <v>153</v>
      </c>
      <c r="VYS83" s="363"/>
      <c r="VYT83" s="363"/>
      <c r="VYU83" s="364" t="s">
        <v>140</v>
      </c>
      <c r="VYV83" s="365">
        <v>0.5</v>
      </c>
      <c r="VYW83" s="366" t="e">
        <f>10/VYS81</f>
        <v>#DIV/0!</v>
      </c>
      <c r="VYX83" s="367">
        <v>15.38</v>
      </c>
      <c r="VYY83" s="367" t="e">
        <f>VYV83*VYW83*VYX83</f>
        <v>#DIV/0!</v>
      </c>
      <c r="VYZ83" s="363" t="s">
        <v>153</v>
      </c>
      <c r="VZA83" s="363"/>
      <c r="VZB83" s="363"/>
      <c r="VZC83" s="364" t="s">
        <v>140</v>
      </c>
      <c r="VZD83" s="365">
        <v>0.5</v>
      </c>
      <c r="VZE83" s="366" t="e">
        <f>10/VZA81</f>
        <v>#DIV/0!</v>
      </c>
      <c r="VZF83" s="367">
        <v>15.38</v>
      </c>
      <c r="VZG83" s="367" t="e">
        <f>VZD83*VZE83*VZF83</f>
        <v>#DIV/0!</v>
      </c>
      <c r="VZH83" s="363" t="s">
        <v>153</v>
      </c>
      <c r="VZI83" s="363"/>
      <c r="VZJ83" s="363"/>
      <c r="VZK83" s="364" t="s">
        <v>140</v>
      </c>
      <c r="VZL83" s="365">
        <v>0.5</v>
      </c>
      <c r="VZM83" s="366" t="e">
        <f>10/VZI81</f>
        <v>#DIV/0!</v>
      </c>
      <c r="VZN83" s="367">
        <v>15.38</v>
      </c>
      <c r="VZO83" s="367" t="e">
        <f>VZL83*VZM83*VZN83</f>
        <v>#DIV/0!</v>
      </c>
      <c r="VZP83" s="363" t="s">
        <v>153</v>
      </c>
      <c r="VZQ83" s="363"/>
      <c r="VZR83" s="363"/>
      <c r="VZS83" s="364" t="s">
        <v>140</v>
      </c>
      <c r="VZT83" s="365">
        <v>0.5</v>
      </c>
      <c r="VZU83" s="366" t="e">
        <f>10/VZQ81</f>
        <v>#DIV/0!</v>
      </c>
      <c r="VZV83" s="367">
        <v>15.38</v>
      </c>
      <c r="VZW83" s="367" t="e">
        <f>VZT83*VZU83*VZV83</f>
        <v>#DIV/0!</v>
      </c>
      <c r="VZX83" s="363" t="s">
        <v>153</v>
      </c>
      <c r="VZY83" s="363"/>
      <c r="VZZ83" s="363"/>
      <c r="WAA83" s="364" t="s">
        <v>140</v>
      </c>
      <c r="WAB83" s="365">
        <v>0.5</v>
      </c>
      <c r="WAC83" s="366" t="e">
        <f>10/VZY81</f>
        <v>#DIV/0!</v>
      </c>
      <c r="WAD83" s="367">
        <v>15.38</v>
      </c>
      <c r="WAE83" s="367" t="e">
        <f>WAB83*WAC83*WAD83</f>
        <v>#DIV/0!</v>
      </c>
      <c r="WAF83" s="363" t="s">
        <v>153</v>
      </c>
      <c r="WAG83" s="363"/>
      <c r="WAH83" s="363"/>
      <c r="WAI83" s="364" t="s">
        <v>140</v>
      </c>
      <c r="WAJ83" s="365">
        <v>0.5</v>
      </c>
      <c r="WAK83" s="366" t="e">
        <f>10/WAG81</f>
        <v>#DIV/0!</v>
      </c>
      <c r="WAL83" s="367">
        <v>15.38</v>
      </c>
      <c r="WAM83" s="367" t="e">
        <f>WAJ83*WAK83*WAL83</f>
        <v>#DIV/0!</v>
      </c>
      <c r="WAN83" s="363" t="s">
        <v>153</v>
      </c>
      <c r="WAO83" s="363"/>
      <c r="WAP83" s="363"/>
      <c r="WAQ83" s="364" t="s">
        <v>140</v>
      </c>
      <c r="WAR83" s="365">
        <v>0.5</v>
      </c>
      <c r="WAS83" s="366" t="e">
        <f>10/WAO81</f>
        <v>#DIV/0!</v>
      </c>
      <c r="WAT83" s="367">
        <v>15.38</v>
      </c>
      <c r="WAU83" s="367" t="e">
        <f>WAR83*WAS83*WAT83</f>
        <v>#DIV/0!</v>
      </c>
      <c r="WAV83" s="363" t="s">
        <v>153</v>
      </c>
      <c r="WAW83" s="363"/>
      <c r="WAX83" s="363"/>
      <c r="WAY83" s="364" t="s">
        <v>140</v>
      </c>
      <c r="WAZ83" s="365">
        <v>0.5</v>
      </c>
      <c r="WBA83" s="366" t="e">
        <f>10/WAW81</f>
        <v>#DIV/0!</v>
      </c>
      <c r="WBB83" s="367">
        <v>15.38</v>
      </c>
      <c r="WBC83" s="367" t="e">
        <f>WAZ83*WBA83*WBB83</f>
        <v>#DIV/0!</v>
      </c>
      <c r="WBD83" s="363" t="s">
        <v>153</v>
      </c>
      <c r="WBE83" s="363"/>
      <c r="WBF83" s="363"/>
      <c r="WBG83" s="364" t="s">
        <v>140</v>
      </c>
      <c r="WBH83" s="365">
        <v>0.5</v>
      </c>
      <c r="WBI83" s="366" t="e">
        <f>10/WBE81</f>
        <v>#DIV/0!</v>
      </c>
      <c r="WBJ83" s="367">
        <v>15.38</v>
      </c>
      <c r="WBK83" s="367" t="e">
        <f>WBH83*WBI83*WBJ83</f>
        <v>#DIV/0!</v>
      </c>
      <c r="WBL83" s="363" t="s">
        <v>153</v>
      </c>
      <c r="WBM83" s="363"/>
      <c r="WBN83" s="363"/>
      <c r="WBO83" s="364" t="s">
        <v>140</v>
      </c>
      <c r="WBP83" s="365">
        <v>0.5</v>
      </c>
      <c r="WBQ83" s="366" t="e">
        <f>10/WBM81</f>
        <v>#DIV/0!</v>
      </c>
      <c r="WBR83" s="367">
        <v>15.38</v>
      </c>
      <c r="WBS83" s="367" t="e">
        <f>WBP83*WBQ83*WBR83</f>
        <v>#DIV/0!</v>
      </c>
      <c r="WBT83" s="363" t="s">
        <v>153</v>
      </c>
      <c r="WBU83" s="363"/>
      <c r="WBV83" s="363"/>
      <c r="WBW83" s="364" t="s">
        <v>140</v>
      </c>
      <c r="WBX83" s="365">
        <v>0.5</v>
      </c>
      <c r="WBY83" s="366" t="e">
        <f>10/WBU81</f>
        <v>#DIV/0!</v>
      </c>
      <c r="WBZ83" s="367">
        <v>15.38</v>
      </c>
      <c r="WCA83" s="367" t="e">
        <f>WBX83*WBY83*WBZ83</f>
        <v>#DIV/0!</v>
      </c>
      <c r="WCB83" s="363" t="s">
        <v>153</v>
      </c>
      <c r="WCC83" s="363"/>
      <c r="WCD83" s="363"/>
      <c r="WCE83" s="364" t="s">
        <v>140</v>
      </c>
      <c r="WCF83" s="365">
        <v>0.5</v>
      </c>
      <c r="WCG83" s="366" t="e">
        <f>10/WCC81</f>
        <v>#DIV/0!</v>
      </c>
      <c r="WCH83" s="367">
        <v>15.38</v>
      </c>
      <c r="WCI83" s="367" t="e">
        <f>WCF83*WCG83*WCH83</f>
        <v>#DIV/0!</v>
      </c>
      <c r="WCJ83" s="363" t="s">
        <v>153</v>
      </c>
      <c r="WCK83" s="363"/>
      <c r="WCL83" s="363"/>
      <c r="WCM83" s="364" t="s">
        <v>140</v>
      </c>
      <c r="WCN83" s="365">
        <v>0.5</v>
      </c>
      <c r="WCO83" s="366" t="e">
        <f>10/WCK81</f>
        <v>#DIV/0!</v>
      </c>
      <c r="WCP83" s="367">
        <v>15.38</v>
      </c>
      <c r="WCQ83" s="367" t="e">
        <f>WCN83*WCO83*WCP83</f>
        <v>#DIV/0!</v>
      </c>
      <c r="WCR83" s="363" t="s">
        <v>153</v>
      </c>
      <c r="WCS83" s="363"/>
      <c r="WCT83" s="363"/>
      <c r="WCU83" s="364" t="s">
        <v>140</v>
      </c>
      <c r="WCV83" s="365">
        <v>0.5</v>
      </c>
      <c r="WCW83" s="366" t="e">
        <f>10/WCS81</f>
        <v>#DIV/0!</v>
      </c>
      <c r="WCX83" s="367">
        <v>15.38</v>
      </c>
      <c r="WCY83" s="367" t="e">
        <f>WCV83*WCW83*WCX83</f>
        <v>#DIV/0!</v>
      </c>
      <c r="WCZ83" s="363" t="s">
        <v>153</v>
      </c>
      <c r="WDA83" s="363"/>
      <c r="WDB83" s="363"/>
      <c r="WDC83" s="364" t="s">
        <v>140</v>
      </c>
      <c r="WDD83" s="365">
        <v>0.5</v>
      </c>
      <c r="WDE83" s="366" t="e">
        <f>10/WDA81</f>
        <v>#DIV/0!</v>
      </c>
      <c r="WDF83" s="367">
        <v>15.38</v>
      </c>
      <c r="WDG83" s="367" t="e">
        <f>WDD83*WDE83*WDF83</f>
        <v>#DIV/0!</v>
      </c>
      <c r="WDH83" s="363" t="s">
        <v>153</v>
      </c>
      <c r="WDI83" s="363"/>
      <c r="WDJ83" s="363"/>
      <c r="WDK83" s="364" t="s">
        <v>140</v>
      </c>
      <c r="WDL83" s="365">
        <v>0.5</v>
      </c>
      <c r="WDM83" s="366" t="e">
        <f>10/WDI81</f>
        <v>#DIV/0!</v>
      </c>
      <c r="WDN83" s="367">
        <v>15.38</v>
      </c>
      <c r="WDO83" s="367" t="e">
        <f>WDL83*WDM83*WDN83</f>
        <v>#DIV/0!</v>
      </c>
      <c r="WDP83" s="363" t="s">
        <v>153</v>
      </c>
      <c r="WDQ83" s="363"/>
      <c r="WDR83" s="363"/>
      <c r="WDS83" s="364" t="s">
        <v>140</v>
      </c>
      <c r="WDT83" s="365">
        <v>0.5</v>
      </c>
      <c r="WDU83" s="366" t="e">
        <f>10/WDQ81</f>
        <v>#DIV/0!</v>
      </c>
      <c r="WDV83" s="367">
        <v>15.38</v>
      </c>
      <c r="WDW83" s="367" t="e">
        <f>WDT83*WDU83*WDV83</f>
        <v>#DIV/0!</v>
      </c>
      <c r="WDX83" s="363" t="s">
        <v>153</v>
      </c>
      <c r="WDY83" s="363"/>
      <c r="WDZ83" s="363"/>
      <c r="WEA83" s="364" t="s">
        <v>140</v>
      </c>
      <c r="WEB83" s="365">
        <v>0.5</v>
      </c>
      <c r="WEC83" s="366" t="e">
        <f>10/WDY81</f>
        <v>#DIV/0!</v>
      </c>
      <c r="WED83" s="367">
        <v>15.38</v>
      </c>
      <c r="WEE83" s="367" t="e">
        <f>WEB83*WEC83*WED83</f>
        <v>#DIV/0!</v>
      </c>
      <c r="WEF83" s="363" t="s">
        <v>153</v>
      </c>
      <c r="WEG83" s="363"/>
      <c r="WEH83" s="363"/>
      <c r="WEI83" s="364" t="s">
        <v>140</v>
      </c>
      <c r="WEJ83" s="365">
        <v>0.5</v>
      </c>
      <c r="WEK83" s="366" t="e">
        <f>10/WEG81</f>
        <v>#DIV/0!</v>
      </c>
      <c r="WEL83" s="367">
        <v>15.38</v>
      </c>
      <c r="WEM83" s="367" t="e">
        <f>WEJ83*WEK83*WEL83</f>
        <v>#DIV/0!</v>
      </c>
      <c r="WEN83" s="363" t="s">
        <v>153</v>
      </c>
      <c r="WEO83" s="363"/>
      <c r="WEP83" s="363"/>
      <c r="WEQ83" s="364" t="s">
        <v>140</v>
      </c>
      <c r="WER83" s="365">
        <v>0.5</v>
      </c>
      <c r="WES83" s="366" t="e">
        <f>10/WEO81</f>
        <v>#DIV/0!</v>
      </c>
      <c r="WET83" s="367">
        <v>15.38</v>
      </c>
      <c r="WEU83" s="367" t="e">
        <f>WER83*WES83*WET83</f>
        <v>#DIV/0!</v>
      </c>
      <c r="WEV83" s="363" t="s">
        <v>153</v>
      </c>
      <c r="WEW83" s="363"/>
      <c r="WEX83" s="363"/>
      <c r="WEY83" s="364" t="s">
        <v>140</v>
      </c>
      <c r="WEZ83" s="365">
        <v>0.5</v>
      </c>
      <c r="WFA83" s="366" t="e">
        <f>10/WEW81</f>
        <v>#DIV/0!</v>
      </c>
      <c r="WFB83" s="367">
        <v>15.38</v>
      </c>
      <c r="WFC83" s="367" t="e">
        <f>WEZ83*WFA83*WFB83</f>
        <v>#DIV/0!</v>
      </c>
      <c r="WFD83" s="363" t="s">
        <v>153</v>
      </c>
      <c r="WFE83" s="363"/>
      <c r="WFF83" s="363"/>
      <c r="WFG83" s="364" t="s">
        <v>140</v>
      </c>
      <c r="WFH83" s="365">
        <v>0.5</v>
      </c>
      <c r="WFI83" s="366" t="e">
        <f>10/WFE81</f>
        <v>#DIV/0!</v>
      </c>
      <c r="WFJ83" s="367">
        <v>15.38</v>
      </c>
      <c r="WFK83" s="367" t="e">
        <f>WFH83*WFI83*WFJ83</f>
        <v>#DIV/0!</v>
      </c>
      <c r="WFL83" s="363" t="s">
        <v>153</v>
      </c>
      <c r="WFM83" s="363"/>
      <c r="WFN83" s="363"/>
      <c r="WFO83" s="364" t="s">
        <v>140</v>
      </c>
      <c r="WFP83" s="365">
        <v>0.5</v>
      </c>
      <c r="WFQ83" s="366" t="e">
        <f>10/WFM81</f>
        <v>#DIV/0!</v>
      </c>
      <c r="WFR83" s="367">
        <v>15.38</v>
      </c>
      <c r="WFS83" s="367" t="e">
        <f>WFP83*WFQ83*WFR83</f>
        <v>#DIV/0!</v>
      </c>
      <c r="WFT83" s="363" t="s">
        <v>153</v>
      </c>
      <c r="WFU83" s="363"/>
      <c r="WFV83" s="363"/>
      <c r="WFW83" s="364" t="s">
        <v>140</v>
      </c>
      <c r="WFX83" s="365">
        <v>0.5</v>
      </c>
      <c r="WFY83" s="366" t="e">
        <f>10/WFU81</f>
        <v>#DIV/0!</v>
      </c>
      <c r="WFZ83" s="367">
        <v>15.38</v>
      </c>
      <c r="WGA83" s="367" t="e">
        <f>WFX83*WFY83*WFZ83</f>
        <v>#DIV/0!</v>
      </c>
      <c r="WGB83" s="363" t="s">
        <v>153</v>
      </c>
      <c r="WGC83" s="363"/>
      <c r="WGD83" s="363"/>
      <c r="WGE83" s="364" t="s">
        <v>140</v>
      </c>
      <c r="WGF83" s="365">
        <v>0.5</v>
      </c>
      <c r="WGG83" s="366" t="e">
        <f>10/WGC81</f>
        <v>#DIV/0!</v>
      </c>
      <c r="WGH83" s="367">
        <v>15.38</v>
      </c>
      <c r="WGI83" s="367" t="e">
        <f>WGF83*WGG83*WGH83</f>
        <v>#DIV/0!</v>
      </c>
      <c r="WGJ83" s="363" t="s">
        <v>153</v>
      </c>
      <c r="WGK83" s="363"/>
      <c r="WGL83" s="363"/>
      <c r="WGM83" s="364" t="s">
        <v>140</v>
      </c>
      <c r="WGN83" s="365">
        <v>0.5</v>
      </c>
      <c r="WGO83" s="366" t="e">
        <f>10/WGK81</f>
        <v>#DIV/0!</v>
      </c>
      <c r="WGP83" s="367">
        <v>15.38</v>
      </c>
      <c r="WGQ83" s="367" t="e">
        <f>WGN83*WGO83*WGP83</f>
        <v>#DIV/0!</v>
      </c>
      <c r="WGR83" s="363" t="s">
        <v>153</v>
      </c>
      <c r="WGS83" s="363"/>
      <c r="WGT83" s="363"/>
      <c r="WGU83" s="364" t="s">
        <v>140</v>
      </c>
      <c r="WGV83" s="365">
        <v>0.5</v>
      </c>
      <c r="WGW83" s="366" t="e">
        <f>10/WGS81</f>
        <v>#DIV/0!</v>
      </c>
      <c r="WGX83" s="367">
        <v>15.38</v>
      </c>
      <c r="WGY83" s="367" t="e">
        <f>WGV83*WGW83*WGX83</f>
        <v>#DIV/0!</v>
      </c>
      <c r="WGZ83" s="363" t="s">
        <v>153</v>
      </c>
      <c r="WHA83" s="363"/>
      <c r="WHB83" s="363"/>
      <c r="WHC83" s="364" t="s">
        <v>140</v>
      </c>
      <c r="WHD83" s="365">
        <v>0.5</v>
      </c>
      <c r="WHE83" s="366" t="e">
        <f>10/WHA81</f>
        <v>#DIV/0!</v>
      </c>
      <c r="WHF83" s="367">
        <v>15.38</v>
      </c>
      <c r="WHG83" s="367" t="e">
        <f>WHD83*WHE83*WHF83</f>
        <v>#DIV/0!</v>
      </c>
      <c r="WHH83" s="363" t="s">
        <v>153</v>
      </c>
      <c r="WHI83" s="363"/>
      <c r="WHJ83" s="363"/>
      <c r="WHK83" s="364" t="s">
        <v>140</v>
      </c>
      <c r="WHL83" s="365">
        <v>0.5</v>
      </c>
      <c r="WHM83" s="366" t="e">
        <f>10/WHI81</f>
        <v>#DIV/0!</v>
      </c>
      <c r="WHN83" s="367">
        <v>15.38</v>
      </c>
      <c r="WHO83" s="367" t="e">
        <f>WHL83*WHM83*WHN83</f>
        <v>#DIV/0!</v>
      </c>
      <c r="WHP83" s="363" t="s">
        <v>153</v>
      </c>
      <c r="WHQ83" s="363"/>
      <c r="WHR83" s="363"/>
      <c r="WHS83" s="364" t="s">
        <v>140</v>
      </c>
      <c r="WHT83" s="365">
        <v>0.5</v>
      </c>
      <c r="WHU83" s="366" t="e">
        <f>10/WHQ81</f>
        <v>#DIV/0!</v>
      </c>
      <c r="WHV83" s="367">
        <v>15.38</v>
      </c>
      <c r="WHW83" s="367" t="e">
        <f>WHT83*WHU83*WHV83</f>
        <v>#DIV/0!</v>
      </c>
      <c r="WHX83" s="363" t="s">
        <v>153</v>
      </c>
      <c r="WHY83" s="363"/>
      <c r="WHZ83" s="363"/>
      <c r="WIA83" s="364" t="s">
        <v>140</v>
      </c>
      <c r="WIB83" s="365">
        <v>0.5</v>
      </c>
      <c r="WIC83" s="366" t="e">
        <f>10/WHY81</f>
        <v>#DIV/0!</v>
      </c>
      <c r="WID83" s="367">
        <v>15.38</v>
      </c>
      <c r="WIE83" s="367" t="e">
        <f>WIB83*WIC83*WID83</f>
        <v>#DIV/0!</v>
      </c>
      <c r="WIF83" s="363" t="s">
        <v>153</v>
      </c>
      <c r="WIG83" s="363"/>
      <c r="WIH83" s="363"/>
      <c r="WII83" s="364" t="s">
        <v>140</v>
      </c>
      <c r="WIJ83" s="365">
        <v>0.5</v>
      </c>
      <c r="WIK83" s="366" t="e">
        <f>10/WIG81</f>
        <v>#DIV/0!</v>
      </c>
      <c r="WIL83" s="367">
        <v>15.38</v>
      </c>
      <c r="WIM83" s="367" t="e">
        <f>WIJ83*WIK83*WIL83</f>
        <v>#DIV/0!</v>
      </c>
      <c r="WIN83" s="363" t="s">
        <v>153</v>
      </c>
      <c r="WIO83" s="363"/>
      <c r="WIP83" s="363"/>
      <c r="WIQ83" s="364" t="s">
        <v>140</v>
      </c>
      <c r="WIR83" s="365">
        <v>0.5</v>
      </c>
      <c r="WIS83" s="366" t="e">
        <f>10/WIO81</f>
        <v>#DIV/0!</v>
      </c>
      <c r="WIT83" s="367">
        <v>15.38</v>
      </c>
      <c r="WIU83" s="367" t="e">
        <f>WIR83*WIS83*WIT83</f>
        <v>#DIV/0!</v>
      </c>
      <c r="WIV83" s="363" t="s">
        <v>153</v>
      </c>
      <c r="WIW83" s="363"/>
      <c r="WIX83" s="363"/>
      <c r="WIY83" s="364" t="s">
        <v>140</v>
      </c>
      <c r="WIZ83" s="365">
        <v>0.5</v>
      </c>
      <c r="WJA83" s="366" t="e">
        <f>10/WIW81</f>
        <v>#DIV/0!</v>
      </c>
      <c r="WJB83" s="367">
        <v>15.38</v>
      </c>
      <c r="WJC83" s="367" t="e">
        <f>WIZ83*WJA83*WJB83</f>
        <v>#DIV/0!</v>
      </c>
      <c r="WJD83" s="363" t="s">
        <v>153</v>
      </c>
      <c r="WJE83" s="363"/>
      <c r="WJF83" s="363"/>
      <c r="WJG83" s="364" t="s">
        <v>140</v>
      </c>
      <c r="WJH83" s="365">
        <v>0.5</v>
      </c>
      <c r="WJI83" s="366" t="e">
        <f>10/WJE81</f>
        <v>#DIV/0!</v>
      </c>
      <c r="WJJ83" s="367">
        <v>15.38</v>
      </c>
      <c r="WJK83" s="367" t="e">
        <f>WJH83*WJI83*WJJ83</f>
        <v>#DIV/0!</v>
      </c>
      <c r="WJL83" s="363" t="s">
        <v>153</v>
      </c>
      <c r="WJM83" s="363"/>
      <c r="WJN83" s="363"/>
      <c r="WJO83" s="364" t="s">
        <v>140</v>
      </c>
      <c r="WJP83" s="365">
        <v>0.5</v>
      </c>
      <c r="WJQ83" s="366" t="e">
        <f>10/WJM81</f>
        <v>#DIV/0!</v>
      </c>
      <c r="WJR83" s="367">
        <v>15.38</v>
      </c>
      <c r="WJS83" s="367" t="e">
        <f>WJP83*WJQ83*WJR83</f>
        <v>#DIV/0!</v>
      </c>
      <c r="WJT83" s="363" t="s">
        <v>153</v>
      </c>
      <c r="WJU83" s="363"/>
      <c r="WJV83" s="363"/>
      <c r="WJW83" s="364" t="s">
        <v>140</v>
      </c>
      <c r="WJX83" s="365">
        <v>0.5</v>
      </c>
      <c r="WJY83" s="366" t="e">
        <f>10/WJU81</f>
        <v>#DIV/0!</v>
      </c>
      <c r="WJZ83" s="367">
        <v>15.38</v>
      </c>
      <c r="WKA83" s="367" t="e">
        <f>WJX83*WJY83*WJZ83</f>
        <v>#DIV/0!</v>
      </c>
      <c r="WKB83" s="363" t="s">
        <v>153</v>
      </c>
      <c r="WKC83" s="363"/>
      <c r="WKD83" s="363"/>
      <c r="WKE83" s="364" t="s">
        <v>140</v>
      </c>
      <c r="WKF83" s="365">
        <v>0.5</v>
      </c>
      <c r="WKG83" s="366" t="e">
        <f>10/WKC81</f>
        <v>#DIV/0!</v>
      </c>
      <c r="WKH83" s="367">
        <v>15.38</v>
      </c>
      <c r="WKI83" s="367" t="e">
        <f>WKF83*WKG83*WKH83</f>
        <v>#DIV/0!</v>
      </c>
      <c r="WKJ83" s="363" t="s">
        <v>153</v>
      </c>
      <c r="WKK83" s="363"/>
      <c r="WKL83" s="363"/>
      <c r="WKM83" s="364" t="s">
        <v>140</v>
      </c>
      <c r="WKN83" s="365">
        <v>0.5</v>
      </c>
      <c r="WKO83" s="366" t="e">
        <f>10/WKK81</f>
        <v>#DIV/0!</v>
      </c>
      <c r="WKP83" s="367">
        <v>15.38</v>
      </c>
      <c r="WKQ83" s="367" t="e">
        <f>WKN83*WKO83*WKP83</f>
        <v>#DIV/0!</v>
      </c>
      <c r="WKR83" s="363" t="s">
        <v>153</v>
      </c>
      <c r="WKS83" s="363"/>
      <c r="WKT83" s="363"/>
      <c r="WKU83" s="364" t="s">
        <v>140</v>
      </c>
      <c r="WKV83" s="365">
        <v>0.5</v>
      </c>
      <c r="WKW83" s="366" t="e">
        <f>10/WKS81</f>
        <v>#DIV/0!</v>
      </c>
      <c r="WKX83" s="367">
        <v>15.38</v>
      </c>
      <c r="WKY83" s="367" t="e">
        <f>WKV83*WKW83*WKX83</f>
        <v>#DIV/0!</v>
      </c>
      <c r="WKZ83" s="363" t="s">
        <v>153</v>
      </c>
      <c r="WLA83" s="363"/>
      <c r="WLB83" s="363"/>
      <c r="WLC83" s="364" t="s">
        <v>140</v>
      </c>
      <c r="WLD83" s="365">
        <v>0.5</v>
      </c>
      <c r="WLE83" s="366" t="e">
        <f>10/WLA81</f>
        <v>#DIV/0!</v>
      </c>
      <c r="WLF83" s="367">
        <v>15.38</v>
      </c>
      <c r="WLG83" s="367" t="e">
        <f>WLD83*WLE83*WLF83</f>
        <v>#DIV/0!</v>
      </c>
      <c r="WLH83" s="363" t="s">
        <v>153</v>
      </c>
      <c r="WLI83" s="363"/>
      <c r="WLJ83" s="363"/>
      <c r="WLK83" s="364" t="s">
        <v>140</v>
      </c>
      <c r="WLL83" s="365">
        <v>0.5</v>
      </c>
      <c r="WLM83" s="366" t="e">
        <f>10/WLI81</f>
        <v>#DIV/0!</v>
      </c>
      <c r="WLN83" s="367">
        <v>15.38</v>
      </c>
      <c r="WLO83" s="367" t="e">
        <f>WLL83*WLM83*WLN83</f>
        <v>#DIV/0!</v>
      </c>
      <c r="WLP83" s="363" t="s">
        <v>153</v>
      </c>
      <c r="WLQ83" s="363"/>
      <c r="WLR83" s="363"/>
      <c r="WLS83" s="364" t="s">
        <v>140</v>
      </c>
      <c r="WLT83" s="365">
        <v>0.5</v>
      </c>
      <c r="WLU83" s="366" t="e">
        <f>10/WLQ81</f>
        <v>#DIV/0!</v>
      </c>
      <c r="WLV83" s="367">
        <v>15.38</v>
      </c>
      <c r="WLW83" s="367" t="e">
        <f>WLT83*WLU83*WLV83</f>
        <v>#DIV/0!</v>
      </c>
      <c r="WLX83" s="363" t="s">
        <v>153</v>
      </c>
      <c r="WLY83" s="363"/>
      <c r="WLZ83" s="363"/>
      <c r="WMA83" s="364" t="s">
        <v>140</v>
      </c>
      <c r="WMB83" s="365">
        <v>0.5</v>
      </c>
      <c r="WMC83" s="366" t="e">
        <f>10/WLY81</f>
        <v>#DIV/0!</v>
      </c>
      <c r="WMD83" s="367">
        <v>15.38</v>
      </c>
      <c r="WME83" s="367" t="e">
        <f>WMB83*WMC83*WMD83</f>
        <v>#DIV/0!</v>
      </c>
      <c r="WMF83" s="363" t="s">
        <v>153</v>
      </c>
      <c r="WMG83" s="363"/>
      <c r="WMH83" s="363"/>
      <c r="WMI83" s="364" t="s">
        <v>140</v>
      </c>
      <c r="WMJ83" s="365">
        <v>0.5</v>
      </c>
      <c r="WMK83" s="366" t="e">
        <f>10/WMG81</f>
        <v>#DIV/0!</v>
      </c>
      <c r="WML83" s="367">
        <v>15.38</v>
      </c>
      <c r="WMM83" s="367" t="e">
        <f>WMJ83*WMK83*WML83</f>
        <v>#DIV/0!</v>
      </c>
      <c r="WMN83" s="363" t="s">
        <v>153</v>
      </c>
      <c r="WMO83" s="363"/>
      <c r="WMP83" s="363"/>
      <c r="WMQ83" s="364" t="s">
        <v>140</v>
      </c>
      <c r="WMR83" s="365">
        <v>0.5</v>
      </c>
      <c r="WMS83" s="366" t="e">
        <f>10/WMO81</f>
        <v>#DIV/0!</v>
      </c>
      <c r="WMT83" s="367">
        <v>15.38</v>
      </c>
      <c r="WMU83" s="367" t="e">
        <f>WMR83*WMS83*WMT83</f>
        <v>#DIV/0!</v>
      </c>
      <c r="WMV83" s="363" t="s">
        <v>153</v>
      </c>
      <c r="WMW83" s="363"/>
      <c r="WMX83" s="363"/>
      <c r="WMY83" s="364" t="s">
        <v>140</v>
      </c>
      <c r="WMZ83" s="365">
        <v>0.5</v>
      </c>
      <c r="WNA83" s="366" t="e">
        <f>10/WMW81</f>
        <v>#DIV/0!</v>
      </c>
      <c r="WNB83" s="367">
        <v>15.38</v>
      </c>
      <c r="WNC83" s="367" t="e">
        <f>WMZ83*WNA83*WNB83</f>
        <v>#DIV/0!</v>
      </c>
      <c r="WND83" s="363" t="s">
        <v>153</v>
      </c>
      <c r="WNE83" s="363"/>
      <c r="WNF83" s="363"/>
      <c r="WNG83" s="364" t="s">
        <v>140</v>
      </c>
      <c r="WNH83" s="365">
        <v>0.5</v>
      </c>
      <c r="WNI83" s="366" t="e">
        <f>10/WNE81</f>
        <v>#DIV/0!</v>
      </c>
      <c r="WNJ83" s="367">
        <v>15.38</v>
      </c>
      <c r="WNK83" s="367" t="e">
        <f>WNH83*WNI83*WNJ83</f>
        <v>#DIV/0!</v>
      </c>
      <c r="WNL83" s="363" t="s">
        <v>153</v>
      </c>
      <c r="WNM83" s="363"/>
      <c r="WNN83" s="363"/>
      <c r="WNO83" s="364" t="s">
        <v>140</v>
      </c>
      <c r="WNP83" s="365">
        <v>0.5</v>
      </c>
      <c r="WNQ83" s="366" t="e">
        <f>10/WNM81</f>
        <v>#DIV/0!</v>
      </c>
      <c r="WNR83" s="367">
        <v>15.38</v>
      </c>
      <c r="WNS83" s="367" t="e">
        <f>WNP83*WNQ83*WNR83</f>
        <v>#DIV/0!</v>
      </c>
      <c r="WNT83" s="363" t="s">
        <v>153</v>
      </c>
      <c r="WNU83" s="363"/>
      <c r="WNV83" s="363"/>
      <c r="WNW83" s="364" t="s">
        <v>140</v>
      </c>
      <c r="WNX83" s="365">
        <v>0.5</v>
      </c>
      <c r="WNY83" s="366" t="e">
        <f>10/WNU81</f>
        <v>#DIV/0!</v>
      </c>
      <c r="WNZ83" s="367">
        <v>15.38</v>
      </c>
      <c r="WOA83" s="367" t="e">
        <f>WNX83*WNY83*WNZ83</f>
        <v>#DIV/0!</v>
      </c>
      <c r="WOB83" s="363" t="s">
        <v>153</v>
      </c>
      <c r="WOC83" s="363"/>
      <c r="WOD83" s="363"/>
      <c r="WOE83" s="364" t="s">
        <v>140</v>
      </c>
      <c r="WOF83" s="365">
        <v>0.5</v>
      </c>
      <c r="WOG83" s="366" t="e">
        <f>10/WOC81</f>
        <v>#DIV/0!</v>
      </c>
      <c r="WOH83" s="367">
        <v>15.38</v>
      </c>
      <c r="WOI83" s="367" t="e">
        <f>WOF83*WOG83*WOH83</f>
        <v>#DIV/0!</v>
      </c>
      <c r="WOJ83" s="363" t="s">
        <v>153</v>
      </c>
      <c r="WOK83" s="363"/>
      <c r="WOL83" s="363"/>
      <c r="WOM83" s="364" t="s">
        <v>140</v>
      </c>
      <c r="WON83" s="365">
        <v>0.5</v>
      </c>
      <c r="WOO83" s="366" t="e">
        <f>10/WOK81</f>
        <v>#DIV/0!</v>
      </c>
      <c r="WOP83" s="367">
        <v>15.38</v>
      </c>
      <c r="WOQ83" s="367" t="e">
        <f>WON83*WOO83*WOP83</f>
        <v>#DIV/0!</v>
      </c>
      <c r="WOR83" s="363" t="s">
        <v>153</v>
      </c>
      <c r="WOS83" s="363"/>
      <c r="WOT83" s="363"/>
      <c r="WOU83" s="364" t="s">
        <v>140</v>
      </c>
      <c r="WOV83" s="365">
        <v>0.5</v>
      </c>
      <c r="WOW83" s="366" t="e">
        <f>10/WOS81</f>
        <v>#DIV/0!</v>
      </c>
      <c r="WOX83" s="367">
        <v>15.38</v>
      </c>
      <c r="WOY83" s="367" t="e">
        <f>WOV83*WOW83*WOX83</f>
        <v>#DIV/0!</v>
      </c>
      <c r="WOZ83" s="363" t="s">
        <v>153</v>
      </c>
      <c r="WPA83" s="363"/>
      <c r="WPB83" s="363"/>
      <c r="WPC83" s="364" t="s">
        <v>140</v>
      </c>
      <c r="WPD83" s="365">
        <v>0.5</v>
      </c>
      <c r="WPE83" s="366" t="e">
        <f>10/WPA81</f>
        <v>#DIV/0!</v>
      </c>
      <c r="WPF83" s="367">
        <v>15.38</v>
      </c>
      <c r="WPG83" s="367" t="e">
        <f>WPD83*WPE83*WPF83</f>
        <v>#DIV/0!</v>
      </c>
      <c r="WPH83" s="363" t="s">
        <v>153</v>
      </c>
      <c r="WPI83" s="363"/>
      <c r="WPJ83" s="363"/>
      <c r="WPK83" s="364" t="s">
        <v>140</v>
      </c>
      <c r="WPL83" s="365">
        <v>0.5</v>
      </c>
      <c r="WPM83" s="366" t="e">
        <f>10/WPI81</f>
        <v>#DIV/0!</v>
      </c>
      <c r="WPN83" s="367">
        <v>15.38</v>
      </c>
      <c r="WPO83" s="367" t="e">
        <f>WPL83*WPM83*WPN83</f>
        <v>#DIV/0!</v>
      </c>
      <c r="WPP83" s="363" t="s">
        <v>153</v>
      </c>
      <c r="WPQ83" s="363"/>
      <c r="WPR83" s="363"/>
      <c r="WPS83" s="364" t="s">
        <v>140</v>
      </c>
      <c r="WPT83" s="365">
        <v>0.5</v>
      </c>
      <c r="WPU83" s="366" t="e">
        <f>10/WPQ81</f>
        <v>#DIV/0!</v>
      </c>
      <c r="WPV83" s="367">
        <v>15.38</v>
      </c>
      <c r="WPW83" s="367" t="e">
        <f>WPT83*WPU83*WPV83</f>
        <v>#DIV/0!</v>
      </c>
      <c r="WPX83" s="363" t="s">
        <v>153</v>
      </c>
      <c r="WPY83" s="363"/>
      <c r="WPZ83" s="363"/>
      <c r="WQA83" s="364" t="s">
        <v>140</v>
      </c>
      <c r="WQB83" s="365">
        <v>0.5</v>
      </c>
      <c r="WQC83" s="366" t="e">
        <f>10/WPY81</f>
        <v>#DIV/0!</v>
      </c>
      <c r="WQD83" s="367">
        <v>15.38</v>
      </c>
      <c r="WQE83" s="367" t="e">
        <f>WQB83*WQC83*WQD83</f>
        <v>#DIV/0!</v>
      </c>
      <c r="WQF83" s="363" t="s">
        <v>153</v>
      </c>
      <c r="WQG83" s="363"/>
      <c r="WQH83" s="363"/>
      <c r="WQI83" s="364" t="s">
        <v>140</v>
      </c>
      <c r="WQJ83" s="365">
        <v>0.5</v>
      </c>
      <c r="WQK83" s="366" t="e">
        <f>10/WQG81</f>
        <v>#DIV/0!</v>
      </c>
      <c r="WQL83" s="367">
        <v>15.38</v>
      </c>
      <c r="WQM83" s="367" t="e">
        <f>WQJ83*WQK83*WQL83</f>
        <v>#DIV/0!</v>
      </c>
      <c r="WQN83" s="363" t="s">
        <v>153</v>
      </c>
      <c r="WQO83" s="363"/>
      <c r="WQP83" s="363"/>
      <c r="WQQ83" s="364" t="s">
        <v>140</v>
      </c>
      <c r="WQR83" s="365">
        <v>0.5</v>
      </c>
      <c r="WQS83" s="366" t="e">
        <f>10/WQO81</f>
        <v>#DIV/0!</v>
      </c>
      <c r="WQT83" s="367">
        <v>15.38</v>
      </c>
      <c r="WQU83" s="367" t="e">
        <f>WQR83*WQS83*WQT83</f>
        <v>#DIV/0!</v>
      </c>
      <c r="WQV83" s="363" t="s">
        <v>153</v>
      </c>
      <c r="WQW83" s="363"/>
      <c r="WQX83" s="363"/>
      <c r="WQY83" s="364" t="s">
        <v>140</v>
      </c>
      <c r="WQZ83" s="365">
        <v>0.5</v>
      </c>
      <c r="WRA83" s="366" t="e">
        <f>10/WQW81</f>
        <v>#DIV/0!</v>
      </c>
      <c r="WRB83" s="367">
        <v>15.38</v>
      </c>
      <c r="WRC83" s="367" t="e">
        <f>WQZ83*WRA83*WRB83</f>
        <v>#DIV/0!</v>
      </c>
      <c r="WRD83" s="363" t="s">
        <v>153</v>
      </c>
      <c r="WRE83" s="363"/>
      <c r="WRF83" s="363"/>
      <c r="WRG83" s="364" t="s">
        <v>140</v>
      </c>
      <c r="WRH83" s="365">
        <v>0.5</v>
      </c>
      <c r="WRI83" s="366" t="e">
        <f>10/WRE81</f>
        <v>#DIV/0!</v>
      </c>
      <c r="WRJ83" s="367">
        <v>15.38</v>
      </c>
      <c r="WRK83" s="367" t="e">
        <f>WRH83*WRI83*WRJ83</f>
        <v>#DIV/0!</v>
      </c>
      <c r="WRL83" s="363" t="s">
        <v>153</v>
      </c>
      <c r="WRM83" s="363"/>
      <c r="WRN83" s="363"/>
      <c r="WRO83" s="364" t="s">
        <v>140</v>
      </c>
      <c r="WRP83" s="365">
        <v>0.5</v>
      </c>
      <c r="WRQ83" s="366" t="e">
        <f>10/WRM81</f>
        <v>#DIV/0!</v>
      </c>
      <c r="WRR83" s="367">
        <v>15.38</v>
      </c>
      <c r="WRS83" s="367" t="e">
        <f>WRP83*WRQ83*WRR83</f>
        <v>#DIV/0!</v>
      </c>
      <c r="WRT83" s="363" t="s">
        <v>153</v>
      </c>
      <c r="WRU83" s="363"/>
      <c r="WRV83" s="363"/>
      <c r="WRW83" s="364" t="s">
        <v>140</v>
      </c>
      <c r="WRX83" s="365">
        <v>0.5</v>
      </c>
      <c r="WRY83" s="366" t="e">
        <f>10/WRU81</f>
        <v>#DIV/0!</v>
      </c>
      <c r="WRZ83" s="367">
        <v>15.38</v>
      </c>
      <c r="WSA83" s="367" t="e">
        <f>WRX83*WRY83*WRZ83</f>
        <v>#DIV/0!</v>
      </c>
      <c r="WSB83" s="363" t="s">
        <v>153</v>
      </c>
      <c r="WSC83" s="363"/>
      <c r="WSD83" s="363"/>
      <c r="WSE83" s="364" t="s">
        <v>140</v>
      </c>
      <c r="WSF83" s="365">
        <v>0.5</v>
      </c>
      <c r="WSG83" s="366" t="e">
        <f>10/WSC81</f>
        <v>#DIV/0!</v>
      </c>
      <c r="WSH83" s="367">
        <v>15.38</v>
      </c>
      <c r="WSI83" s="367" t="e">
        <f>WSF83*WSG83*WSH83</f>
        <v>#DIV/0!</v>
      </c>
      <c r="WSJ83" s="363" t="s">
        <v>153</v>
      </c>
      <c r="WSK83" s="363"/>
      <c r="WSL83" s="363"/>
      <c r="WSM83" s="364" t="s">
        <v>140</v>
      </c>
      <c r="WSN83" s="365">
        <v>0.5</v>
      </c>
      <c r="WSO83" s="366" t="e">
        <f>10/WSK81</f>
        <v>#DIV/0!</v>
      </c>
      <c r="WSP83" s="367">
        <v>15.38</v>
      </c>
      <c r="WSQ83" s="367" t="e">
        <f>WSN83*WSO83*WSP83</f>
        <v>#DIV/0!</v>
      </c>
      <c r="WSR83" s="363" t="s">
        <v>153</v>
      </c>
      <c r="WSS83" s="363"/>
      <c r="WST83" s="363"/>
      <c r="WSU83" s="364" t="s">
        <v>140</v>
      </c>
      <c r="WSV83" s="365">
        <v>0.5</v>
      </c>
      <c r="WSW83" s="366" t="e">
        <f>10/WSS81</f>
        <v>#DIV/0!</v>
      </c>
      <c r="WSX83" s="367">
        <v>15.38</v>
      </c>
      <c r="WSY83" s="367" t="e">
        <f>WSV83*WSW83*WSX83</f>
        <v>#DIV/0!</v>
      </c>
      <c r="WSZ83" s="363" t="s">
        <v>153</v>
      </c>
      <c r="WTA83" s="363"/>
      <c r="WTB83" s="363"/>
      <c r="WTC83" s="364" t="s">
        <v>140</v>
      </c>
      <c r="WTD83" s="365">
        <v>0.5</v>
      </c>
      <c r="WTE83" s="366" t="e">
        <f>10/WTA81</f>
        <v>#DIV/0!</v>
      </c>
      <c r="WTF83" s="367">
        <v>15.38</v>
      </c>
      <c r="WTG83" s="367" t="e">
        <f>WTD83*WTE83*WTF83</f>
        <v>#DIV/0!</v>
      </c>
      <c r="WTH83" s="363" t="s">
        <v>153</v>
      </c>
      <c r="WTI83" s="363"/>
      <c r="WTJ83" s="363"/>
      <c r="WTK83" s="364" t="s">
        <v>140</v>
      </c>
      <c r="WTL83" s="365">
        <v>0.5</v>
      </c>
      <c r="WTM83" s="366" t="e">
        <f>10/WTI81</f>
        <v>#DIV/0!</v>
      </c>
      <c r="WTN83" s="367">
        <v>15.38</v>
      </c>
      <c r="WTO83" s="367" t="e">
        <f>WTL83*WTM83*WTN83</f>
        <v>#DIV/0!</v>
      </c>
      <c r="WTP83" s="363" t="s">
        <v>153</v>
      </c>
      <c r="WTQ83" s="363"/>
      <c r="WTR83" s="363"/>
      <c r="WTS83" s="364" t="s">
        <v>140</v>
      </c>
      <c r="WTT83" s="365">
        <v>0.5</v>
      </c>
      <c r="WTU83" s="366" t="e">
        <f>10/WTQ81</f>
        <v>#DIV/0!</v>
      </c>
      <c r="WTV83" s="367">
        <v>15.38</v>
      </c>
      <c r="WTW83" s="367" t="e">
        <f>WTT83*WTU83*WTV83</f>
        <v>#DIV/0!</v>
      </c>
      <c r="WTX83" s="363" t="s">
        <v>153</v>
      </c>
      <c r="WTY83" s="363"/>
      <c r="WTZ83" s="363"/>
      <c r="WUA83" s="364" t="s">
        <v>140</v>
      </c>
      <c r="WUB83" s="365">
        <v>0.5</v>
      </c>
      <c r="WUC83" s="366" t="e">
        <f>10/WTY81</f>
        <v>#DIV/0!</v>
      </c>
      <c r="WUD83" s="367">
        <v>15.38</v>
      </c>
      <c r="WUE83" s="367" t="e">
        <f>WUB83*WUC83*WUD83</f>
        <v>#DIV/0!</v>
      </c>
      <c r="WUF83" s="363" t="s">
        <v>153</v>
      </c>
      <c r="WUG83" s="363"/>
      <c r="WUH83" s="363"/>
      <c r="WUI83" s="364" t="s">
        <v>140</v>
      </c>
      <c r="WUJ83" s="365">
        <v>0.5</v>
      </c>
      <c r="WUK83" s="366" t="e">
        <f>10/WUG81</f>
        <v>#DIV/0!</v>
      </c>
      <c r="WUL83" s="367">
        <v>15.38</v>
      </c>
      <c r="WUM83" s="367" t="e">
        <f>WUJ83*WUK83*WUL83</f>
        <v>#DIV/0!</v>
      </c>
      <c r="WUN83" s="363" t="s">
        <v>153</v>
      </c>
      <c r="WUO83" s="363"/>
      <c r="WUP83" s="363"/>
      <c r="WUQ83" s="364" t="s">
        <v>140</v>
      </c>
      <c r="WUR83" s="365">
        <v>0.5</v>
      </c>
      <c r="WUS83" s="366" t="e">
        <f>10/WUO81</f>
        <v>#DIV/0!</v>
      </c>
      <c r="WUT83" s="367">
        <v>15.38</v>
      </c>
      <c r="WUU83" s="367" t="e">
        <f>WUR83*WUS83*WUT83</f>
        <v>#DIV/0!</v>
      </c>
      <c r="WUV83" s="363" t="s">
        <v>153</v>
      </c>
      <c r="WUW83" s="363"/>
      <c r="WUX83" s="363"/>
      <c r="WUY83" s="364" t="s">
        <v>140</v>
      </c>
      <c r="WUZ83" s="365">
        <v>0.5</v>
      </c>
      <c r="WVA83" s="366" t="e">
        <f>10/WUW81</f>
        <v>#DIV/0!</v>
      </c>
      <c r="WVB83" s="367">
        <v>15.38</v>
      </c>
      <c r="WVC83" s="367" t="e">
        <f>WUZ83*WVA83*WVB83</f>
        <v>#DIV/0!</v>
      </c>
      <c r="WVD83" s="363" t="s">
        <v>153</v>
      </c>
      <c r="WVE83" s="363"/>
      <c r="WVF83" s="363"/>
      <c r="WVG83" s="364" t="s">
        <v>140</v>
      </c>
      <c r="WVH83" s="365">
        <v>0.5</v>
      </c>
      <c r="WVI83" s="366" t="e">
        <f>10/WVE81</f>
        <v>#DIV/0!</v>
      </c>
      <c r="WVJ83" s="367">
        <v>15.38</v>
      </c>
      <c r="WVK83" s="367" t="e">
        <f>WVH83*WVI83*WVJ83</f>
        <v>#DIV/0!</v>
      </c>
      <c r="WVL83" s="363" t="s">
        <v>153</v>
      </c>
      <c r="WVM83" s="363"/>
      <c r="WVN83" s="363"/>
      <c r="WVO83" s="364" t="s">
        <v>140</v>
      </c>
      <c r="WVP83" s="365">
        <v>0.5</v>
      </c>
      <c r="WVQ83" s="366" t="e">
        <f>10/WVM81</f>
        <v>#DIV/0!</v>
      </c>
      <c r="WVR83" s="367">
        <v>15.38</v>
      </c>
      <c r="WVS83" s="367" t="e">
        <f>WVP83*WVQ83*WVR83</f>
        <v>#DIV/0!</v>
      </c>
      <c r="WVT83" s="363" t="s">
        <v>153</v>
      </c>
      <c r="WVU83" s="363"/>
      <c r="WVV83" s="363"/>
      <c r="WVW83" s="364" t="s">
        <v>140</v>
      </c>
      <c r="WVX83" s="365">
        <v>0.5</v>
      </c>
      <c r="WVY83" s="366" t="e">
        <f>10/WVU81</f>
        <v>#DIV/0!</v>
      </c>
      <c r="WVZ83" s="367">
        <v>15.38</v>
      </c>
      <c r="WWA83" s="367" t="e">
        <f>WVX83*WVY83*WVZ83</f>
        <v>#DIV/0!</v>
      </c>
      <c r="WWB83" s="363" t="s">
        <v>153</v>
      </c>
      <c r="WWC83" s="363"/>
      <c r="WWD83" s="363"/>
      <c r="WWE83" s="364" t="s">
        <v>140</v>
      </c>
      <c r="WWF83" s="365">
        <v>0.5</v>
      </c>
      <c r="WWG83" s="366" t="e">
        <f>10/WWC81</f>
        <v>#DIV/0!</v>
      </c>
      <c r="WWH83" s="367">
        <v>15.38</v>
      </c>
      <c r="WWI83" s="367" t="e">
        <f>WWF83*WWG83*WWH83</f>
        <v>#DIV/0!</v>
      </c>
      <c r="WWJ83" s="363" t="s">
        <v>153</v>
      </c>
      <c r="WWK83" s="363"/>
      <c r="WWL83" s="363"/>
      <c r="WWM83" s="364" t="s">
        <v>140</v>
      </c>
      <c r="WWN83" s="365">
        <v>0.5</v>
      </c>
      <c r="WWO83" s="366" t="e">
        <f>10/WWK81</f>
        <v>#DIV/0!</v>
      </c>
      <c r="WWP83" s="367">
        <v>15.38</v>
      </c>
      <c r="WWQ83" s="367" t="e">
        <f>WWN83*WWO83*WWP83</f>
        <v>#DIV/0!</v>
      </c>
      <c r="WWR83" s="363" t="s">
        <v>153</v>
      </c>
      <c r="WWS83" s="363"/>
      <c r="WWT83" s="363"/>
      <c r="WWU83" s="364" t="s">
        <v>140</v>
      </c>
      <c r="WWV83" s="365">
        <v>0.5</v>
      </c>
      <c r="WWW83" s="366" t="e">
        <f>10/WWS81</f>
        <v>#DIV/0!</v>
      </c>
      <c r="WWX83" s="367">
        <v>15.38</v>
      </c>
      <c r="WWY83" s="367" t="e">
        <f>WWV83*WWW83*WWX83</f>
        <v>#DIV/0!</v>
      </c>
      <c r="WWZ83" s="363" t="s">
        <v>153</v>
      </c>
      <c r="WXA83" s="363"/>
      <c r="WXB83" s="363"/>
      <c r="WXC83" s="364" t="s">
        <v>140</v>
      </c>
      <c r="WXD83" s="365">
        <v>0.5</v>
      </c>
      <c r="WXE83" s="366" t="e">
        <f>10/WXA81</f>
        <v>#DIV/0!</v>
      </c>
      <c r="WXF83" s="367">
        <v>15.38</v>
      </c>
      <c r="WXG83" s="367" t="e">
        <f>WXD83*WXE83*WXF83</f>
        <v>#DIV/0!</v>
      </c>
      <c r="WXH83" s="363" t="s">
        <v>153</v>
      </c>
      <c r="WXI83" s="363"/>
      <c r="WXJ83" s="363"/>
      <c r="WXK83" s="364" t="s">
        <v>140</v>
      </c>
      <c r="WXL83" s="365">
        <v>0.5</v>
      </c>
      <c r="WXM83" s="366" t="e">
        <f>10/WXI81</f>
        <v>#DIV/0!</v>
      </c>
      <c r="WXN83" s="367">
        <v>15.38</v>
      </c>
      <c r="WXO83" s="367" t="e">
        <f>WXL83*WXM83*WXN83</f>
        <v>#DIV/0!</v>
      </c>
      <c r="WXP83" s="363" t="s">
        <v>153</v>
      </c>
      <c r="WXQ83" s="363"/>
      <c r="WXR83" s="363"/>
      <c r="WXS83" s="364" t="s">
        <v>140</v>
      </c>
      <c r="WXT83" s="365">
        <v>0.5</v>
      </c>
      <c r="WXU83" s="366" t="e">
        <f>10/WXQ81</f>
        <v>#DIV/0!</v>
      </c>
      <c r="WXV83" s="367">
        <v>15.38</v>
      </c>
      <c r="WXW83" s="367" t="e">
        <f>WXT83*WXU83*WXV83</f>
        <v>#DIV/0!</v>
      </c>
      <c r="WXX83" s="363" t="s">
        <v>153</v>
      </c>
      <c r="WXY83" s="363"/>
      <c r="WXZ83" s="363"/>
      <c r="WYA83" s="364" t="s">
        <v>140</v>
      </c>
      <c r="WYB83" s="365">
        <v>0.5</v>
      </c>
      <c r="WYC83" s="366" t="e">
        <f>10/WXY81</f>
        <v>#DIV/0!</v>
      </c>
      <c r="WYD83" s="367">
        <v>15.38</v>
      </c>
      <c r="WYE83" s="367" t="e">
        <f>WYB83*WYC83*WYD83</f>
        <v>#DIV/0!</v>
      </c>
      <c r="WYF83" s="363" t="s">
        <v>153</v>
      </c>
      <c r="WYG83" s="363"/>
      <c r="WYH83" s="363"/>
      <c r="WYI83" s="364" t="s">
        <v>140</v>
      </c>
      <c r="WYJ83" s="365">
        <v>0.5</v>
      </c>
      <c r="WYK83" s="366" t="e">
        <f>10/WYG81</f>
        <v>#DIV/0!</v>
      </c>
      <c r="WYL83" s="367">
        <v>15.38</v>
      </c>
      <c r="WYM83" s="367" t="e">
        <f>WYJ83*WYK83*WYL83</f>
        <v>#DIV/0!</v>
      </c>
      <c r="WYN83" s="363" t="s">
        <v>153</v>
      </c>
      <c r="WYO83" s="363"/>
      <c r="WYP83" s="363"/>
      <c r="WYQ83" s="364" t="s">
        <v>140</v>
      </c>
      <c r="WYR83" s="365">
        <v>0.5</v>
      </c>
      <c r="WYS83" s="366" t="e">
        <f>10/WYO81</f>
        <v>#DIV/0!</v>
      </c>
      <c r="WYT83" s="367">
        <v>15.38</v>
      </c>
      <c r="WYU83" s="367" t="e">
        <f>WYR83*WYS83*WYT83</f>
        <v>#DIV/0!</v>
      </c>
      <c r="WYV83" s="363" t="s">
        <v>153</v>
      </c>
      <c r="WYW83" s="363"/>
      <c r="WYX83" s="363"/>
      <c r="WYY83" s="364" t="s">
        <v>140</v>
      </c>
      <c r="WYZ83" s="365">
        <v>0.5</v>
      </c>
      <c r="WZA83" s="366" t="e">
        <f>10/WYW81</f>
        <v>#DIV/0!</v>
      </c>
      <c r="WZB83" s="367">
        <v>15.38</v>
      </c>
      <c r="WZC83" s="367" t="e">
        <f>WYZ83*WZA83*WZB83</f>
        <v>#DIV/0!</v>
      </c>
      <c r="WZD83" s="363" t="s">
        <v>153</v>
      </c>
      <c r="WZE83" s="363"/>
      <c r="WZF83" s="363"/>
      <c r="WZG83" s="364" t="s">
        <v>140</v>
      </c>
      <c r="WZH83" s="365">
        <v>0.5</v>
      </c>
      <c r="WZI83" s="366" t="e">
        <f>10/WZE81</f>
        <v>#DIV/0!</v>
      </c>
      <c r="WZJ83" s="367">
        <v>15.38</v>
      </c>
      <c r="WZK83" s="367" t="e">
        <f>WZH83*WZI83*WZJ83</f>
        <v>#DIV/0!</v>
      </c>
      <c r="WZL83" s="363" t="s">
        <v>153</v>
      </c>
      <c r="WZM83" s="363"/>
      <c r="WZN83" s="363"/>
      <c r="WZO83" s="364" t="s">
        <v>140</v>
      </c>
      <c r="WZP83" s="365">
        <v>0.5</v>
      </c>
      <c r="WZQ83" s="366" t="e">
        <f>10/WZM81</f>
        <v>#DIV/0!</v>
      </c>
      <c r="WZR83" s="367">
        <v>15.38</v>
      </c>
      <c r="WZS83" s="367" t="e">
        <f>WZP83*WZQ83*WZR83</f>
        <v>#DIV/0!</v>
      </c>
      <c r="WZT83" s="363" t="s">
        <v>153</v>
      </c>
      <c r="WZU83" s="363"/>
      <c r="WZV83" s="363"/>
      <c r="WZW83" s="364" t="s">
        <v>140</v>
      </c>
      <c r="WZX83" s="365">
        <v>0.5</v>
      </c>
      <c r="WZY83" s="366" t="e">
        <f>10/WZU81</f>
        <v>#DIV/0!</v>
      </c>
      <c r="WZZ83" s="367">
        <v>15.38</v>
      </c>
      <c r="XAA83" s="367" t="e">
        <f>WZX83*WZY83*WZZ83</f>
        <v>#DIV/0!</v>
      </c>
      <c r="XAB83" s="363" t="s">
        <v>153</v>
      </c>
      <c r="XAC83" s="363"/>
      <c r="XAD83" s="363"/>
      <c r="XAE83" s="364" t="s">
        <v>140</v>
      </c>
      <c r="XAF83" s="365">
        <v>0.5</v>
      </c>
      <c r="XAG83" s="366" t="e">
        <f>10/XAC81</f>
        <v>#DIV/0!</v>
      </c>
      <c r="XAH83" s="367">
        <v>15.38</v>
      </c>
      <c r="XAI83" s="367" t="e">
        <f>XAF83*XAG83*XAH83</f>
        <v>#DIV/0!</v>
      </c>
      <c r="XAJ83" s="363" t="s">
        <v>153</v>
      </c>
      <c r="XAK83" s="363"/>
      <c r="XAL83" s="363"/>
      <c r="XAM83" s="364" t="s">
        <v>140</v>
      </c>
      <c r="XAN83" s="365">
        <v>0.5</v>
      </c>
      <c r="XAO83" s="366" t="e">
        <f>10/XAK81</f>
        <v>#DIV/0!</v>
      </c>
      <c r="XAP83" s="367">
        <v>15.38</v>
      </c>
      <c r="XAQ83" s="367" t="e">
        <f>XAN83*XAO83*XAP83</f>
        <v>#DIV/0!</v>
      </c>
      <c r="XAR83" s="363" t="s">
        <v>153</v>
      </c>
      <c r="XAS83" s="363"/>
      <c r="XAT83" s="363"/>
      <c r="XAU83" s="364" t="s">
        <v>140</v>
      </c>
      <c r="XAV83" s="365">
        <v>0.5</v>
      </c>
      <c r="XAW83" s="366" t="e">
        <f>10/XAS81</f>
        <v>#DIV/0!</v>
      </c>
      <c r="XAX83" s="367">
        <v>15.38</v>
      </c>
      <c r="XAY83" s="367" t="e">
        <f>XAV83*XAW83*XAX83</f>
        <v>#DIV/0!</v>
      </c>
      <c r="XAZ83" s="363" t="s">
        <v>153</v>
      </c>
      <c r="XBA83" s="363"/>
      <c r="XBB83" s="363"/>
      <c r="XBC83" s="364" t="s">
        <v>140</v>
      </c>
      <c r="XBD83" s="365">
        <v>0.5</v>
      </c>
      <c r="XBE83" s="366" t="e">
        <f>10/XBA81</f>
        <v>#DIV/0!</v>
      </c>
      <c r="XBF83" s="367">
        <v>15.38</v>
      </c>
      <c r="XBG83" s="367" t="e">
        <f>XBD83*XBE83*XBF83</f>
        <v>#DIV/0!</v>
      </c>
      <c r="XBH83" s="363" t="s">
        <v>153</v>
      </c>
      <c r="XBI83" s="363"/>
      <c r="XBJ83" s="363"/>
      <c r="XBK83" s="364" t="s">
        <v>140</v>
      </c>
      <c r="XBL83" s="365">
        <v>0.5</v>
      </c>
      <c r="XBM83" s="366" t="e">
        <f>10/XBI81</f>
        <v>#DIV/0!</v>
      </c>
      <c r="XBN83" s="367">
        <v>15.38</v>
      </c>
      <c r="XBO83" s="367" t="e">
        <f>XBL83*XBM83*XBN83</f>
        <v>#DIV/0!</v>
      </c>
      <c r="XBP83" s="363" t="s">
        <v>153</v>
      </c>
      <c r="XBQ83" s="363"/>
      <c r="XBR83" s="363"/>
      <c r="XBS83" s="364" t="s">
        <v>140</v>
      </c>
      <c r="XBT83" s="365">
        <v>0.5</v>
      </c>
      <c r="XBU83" s="366" t="e">
        <f>10/XBQ81</f>
        <v>#DIV/0!</v>
      </c>
      <c r="XBV83" s="367">
        <v>15.38</v>
      </c>
      <c r="XBW83" s="367" t="e">
        <f>XBT83*XBU83*XBV83</f>
        <v>#DIV/0!</v>
      </c>
    </row>
    <row r="84" spans="1:16299" x14ac:dyDescent="0.25">
      <c r="A84" s="363" t="s">
        <v>139</v>
      </c>
      <c r="D84" s="364" t="s">
        <v>140</v>
      </c>
      <c r="E84" s="365">
        <v>1</v>
      </c>
      <c r="F84" s="366">
        <f>10/B81</f>
        <v>2.5</v>
      </c>
      <c r="G84" s="367">
        <v>13.94</v>
      </c>
      <c r="H84" s="367">
        <f>E84*F84*G84</f>
        <v>34.85</v>
      </c>
    </row>
    <row r="85" spans="1:16299" x14ac:dyDescent="0.25">
      <c r="A85" s="363" t="s">
        <v>141</v>
      </c>
      <c r="D85" s="364" t="s">
        <v>140</v>
      </c>
      <c r="E85" s="365">
        <v>1</v>
      </c>
      <c r="F85" s="366">
        <f>10/B81</f>
        <v>2.5</v>
      </c>
      <c r="G85" s="316">
        <v>13</v>
      </c>
      <c r="H85" s="367">
        <f>E85*F85*G85</f>
        <v>32.5</v>
      </c>
    </row>
    <row r="86" spans="1:16299" ht="15" customHeight="1" x14ac:dyDescent="0.25">
      <c r="A86" s="295"/>
      <c r="B86" s="295"/>
      <c r="C86" s="295"/>
      <c r="D86" s="296"/>
      <c r="E86" s="326"/>
      <c r="F86" s="327"/>
      <c r="G86" s="297" t="s">
        <v>142</v>
      </c>
      <c r="H86" s="297">
        <f>SUM(H83:H85)</f>
        <v>86.575000000000003</v>
      </c>
    </row>
    <row r="88" spans="1:16299" x14ac:dyDescent="0.25">
      <c r="A88" s="363" t="s">
        <v>156</v>
      </c>
      <c r="D88" s="364" t="s">
        <v>157</v>
      </c>
      <c r="F88" s="366">
        <v>3</v>
      </c>
      <c r="G88" s="367">
        <f>H86</f>
        <v>86.575000000000003</v>
      </c>
      <c r="H88" s="367">
        <f>G88*F88/100</f>
        <v>2.5972500000000003</v>
      </c>
    </row>
    <row r="89" spans="1:16299" ht="15" customHeight="1" x14ac:dyDescent="0.25">
      <c r="A89" s="295"/>
      <c r="B89" s="295"/>
      <c r="C89" s="295"/>
      <c r="D89" s="296"/>
      <c r="E89" s="326"/>
      <c r="F89" s="327"/>
      <c r="G89" s="297" t="s">
        <v>145</v>
      </c>
      <c r="H89" s="297">
        <f>SUM(H88:H88)</f>
        <v>2.5972500000000003</v>
      </c>
    </row>
    <row r="92" spans="1:16299" ht="15" customHeight="1" x14ac:dyDescent="0.3">
      <c r="A92" s="291" t="s">
        <v>171</v>
      </c>
      <c r="B92" s="291"/>
      <c r="C92" s="291"/>
      <c r="D92" s="291"/>
      <c r="E92" s="291"/>
      <c r="F92" s="291"/>
      <c r="G92" s="291"/>
      <c r="H92" s="291"/>
    </row>
    <row r="93" spans="1:16299" ht="15" customHeight="1" x14ac:dyDescent="0.25">
      <c r="A93" s="281" t="s">
        <v>151</v>
      </c>
      <c r="B93" s="371">
        <v>4</v>
      </c>
      <c r="C93" s="281" t="s">
        <v>162</v>
      </c>
      <c r="D93" s="292"/>
      <c r="E93" s="323" t="s">
        <v>146</v>
      </c>
      <c r="F93" s="324"/>
      <c r="G93" s="293" t="s">
        <v>133</v>
      </c>
      <c r="H93" s="293">
        <f>H98+H101</f>
        <v>89.172250000000005</v>
      </c>
    </row>
    <row r="94" spans="1:16299" ht="15" customHeight="1" x14ac:dyDescent="0.25">
      <c r="A94" s="292" t="s">
        <v>134</v>
      </c>
      <c r="B94" s="292"/>
      <c r="C94" s="292"/>
      <c r="D94" s="292" t="s">
        <v>135</v>
      </c>
      <c r="E94" s="325" t="s">
        <v>136</v>
      </c>
      <c r="F94" s="325" t="s">
        <v>24</v>
      </c>
      <c r="G94" s="294" t="s">
        <v>137</v>
      </c>
      <c r="H94" s="294" t="s">
        <v>138</v>
      </c>
    </row>
    <row r="95" spans="1:16299" ht="15" customHeight="1" x14ac:dyDescent="0.25">
      <c r="A95" s="363" t="s">
        <v>153</v>
      </c>
      <c r="D95" s="364" t="s">
        <v>140</v>
      </c>
      <c r="E95" s="365">
        <v>0.5</v>
      </c>
      <c r="F95" s="366">
        <f>10/B93</f>
        <v>2.5</v>
      </c>
      <c r="G95" s="367">
        <v>15.38</v>
      </c>
      <c r="H95" s="367">
        <f>E95*F95*G95</f>
        <v>19.225000000000001</v>
      </c>
      <c r="I95" s="363"/>
      <c r="J95" s="367"/>
      <c r="K95" s="367"/>
      <c r="L95" s="363"/>
      <c r="M95" s="363"/>
      <c r="N95" s="363"/>
      <c r="O95" s="364"/>
      <c r="P95" s="365"/>
      <c r="Q95" s="366"/>
      <c r="R95" s="367"/>
      <c r="S95" s="367"/>
      <c r="T95" s="363"/>
      <c r="U95" s="363"/>
      <c r="V95" s="363"/>
      <c r="W95" s="364"/>
      <c r="X95" s="365"/>
      <c r="Y95" s="366"/>
      <c r="Z95" s="367"/>
      <c r="AA95" s="367">
        <f>X95*Y95*Z95</f>
        <v>0</v>
      </c>
      <c r="AB95" s="363" t="s">
        <v>153</v>
      </c>
      <c r="AC95" s="363"/>
      <c r="AD95" s="363"/>
      <c r="AE95" s="364" t="s">
        <v>140</v>
      </c>
      <c r="AF95" s="365">
        <v>0.5</v>
      </c>
      <c r="AG95" s="366" t="e">
        <f>10/AC93</f>
        <v>#DIV/0!</v>
      </c>
      <c r="AH95" s="367">
        <v>15.38</v>
      </c>
      <c r="AI95" s="367" t="e">
        <f>AF95*AG95*AH95</f>
        <v>#DIV/0!</v>
      </c>
      <c r="AJ95" s="363" t="s">
        <v>153</v>
      </c>
      <c r="AK95" s="363"/>
      <c r="AL95" s="363"/>
      <c r="AM95" s="364" t="s">
        <v>140</v>
      </c>
      <c r="AN95" s="365">
        <v>0.5</v>
      </c>
      <c r="AO95" s="366" t="e">
        <f>10/AK93</f>
        <v>#DIV/0!</v>
      </c>
      <c r="AP95" s="367">
        <v>15.38</v>
      </c>
      <c r="AQ95" s="367" t="e">
        <f>AN95*AO95*AP95</f>
        <v>#DIV/0!</v>
      </c>
      <c r="AR95" s="363" t="s">
        <v>153</v>
      </c>
      <c r="AS95" s="363"/>
      <c r="AT95" s="363"/>
      <c r="AU95" s="364" t="s">
        <v>140</v>
      </c>
      <c r="AV95" s="365">
        <v>0.5</v>
      </c>
      <c r="AW95" s="366" t="e">
        <f>10/AS93</f>
        <v>#DIV/0!</v>
      </c>
      <c r="AX95" s="367">
        <v>15.38</v>
      </c>
      <c r="AY95" s="367" t="e">
        <f>AV95*AW95*AX95</f>
        <v>#DIV/0!</v>
      </c>
      <c r="AZ95" s="363" t="s">
        <v>153</v>
      </c>
      <c r="BA95" s="363"/>
      <c r="BB95" s="363"/>
      <c r="BC95" s="364" t="s">
        <v>140</v>
      </c>
      <c r="BD95" s="365">
        <v>0.5</v>
      </c>
      <c r="BE95" s="366" t="e">
        <f>10/BA93</f>
        <v>#DIV/0!</v>
      </c>
      <c r="BF95" s="367">
        <v>15.38</v>
      </c>
      <c r="BG95" s="367" t="e">
        <f>BD95*BE95*BF95</f>
        <v>#DIV/0!</v>
      </c>
      <c r="BH95" s="363" t="s">
        <v>153</v>
      </c>
      <c r="BI95" s="363"/>
      <c r="BJ95" s="363"/>
      <c r="BK95" s="364" t="s">
        <v>140</v>
      </c>
      <c r="BL95" s="365">
        <v>0.5</v>
      </c>
      <c r="BM95" s="366" t="e">
        <f>10/BI93</f>
        <v>#DIV/0!</v>
      </c>
      <c r="BN95" s="367">
        <v>15.38</v>
      </c>
      <c r="BO95" s="367" t="e">
        <f>BL95*BM95*BN95</f>
        <v>#DIV/0!</v>
      </c>
      <c r="BP95" s="363" t="s">
        <v>153</v>
      </c>
      <c r="BQ95" s="363"/>
      <c r="BR95" s="363"/>
      <c r="BS95" s="364" t="s">
        <v>140</v>
      </c>
      <c r="BT95" s="365">
        <v>0.5</v>
      </c>
      <c r="BU95" s="366" t="e">
        <f>10/BQ93</f>
        <v>#DIV/0!</v>
      </c>
      <c r="BV95" s="367">
        <v>15.38</v>
      </c>
      <c r="BW95" s="367" t="e">
        <f>BT95*BU95*BV95</f>
        <v>#DIV/0!</v>
      </c>
      <c r="BX95" s="363" t="s">
        <v>153</v>
      </c>
      <c r="BY95" s="363"/>
      <c r="BZ95" s="363"/>
      <c r="CA95" s="364" t="s">
        <v>140</v>
      </c>
      <c r="CB95" s="365">
        <v>0.5</v>
      </c>
      <c r="CC95" s="366" t="e">
        <f>10/BY93</f>
        <v>#DIV/0!</v>
      </c>
      <c r="CD95" s="367">
        <v>15.38</v>
      </c>
      <c r="CE95" s="367" t="e">
        <f>CB95*CC95*CD95</f>
        <v>#DIV/0!</v>
      </c>
      <c r="CF95" s="363" t="s">
        <v>153</v>
      </c>
      <c r="CG95" s="363"/>
      <c r="CH95" s="363"/>
      <c r="CI95" s="364" t="s">
        <v>140</v>
      </c>
      <c r="CJ95" s="365">
        <v>0.5</v>
      </c>
      <c r="CK95" s="366" t="e">
        <f>10/CG93</f>
        <v>#DIV/0!</v>
      </c>
      <c r="CL95" s="367">
        <v>15.38</v>
      </c>
      <c r="CM95" s="367" t="e">
        <f>CJ95*CK95*CL95</f>
        <v>#DIV/0!</v>
      </c>
      <c r="CN95" s="363" t="s">
        <v>153</v>
      </c>
      <c r="CO95" s="363"/>
      <c r="CP95" s="363"/>
      <c r="CQ95" s="364" t="s">
        <v>140</v>
      </c>
      <c r="CR95" s="365">
        <v>0.5</v>
      </c>
      <c r="CS95" s="366" t="e">
        <f>10/CO93</f>
        <v>#DIV/0!</v>
      </c>
      <c r="CT95" s="367">
        <v>15.38</v>
      </c>
      <c r="CU95" s="367" t="e">
        <f>CR95*CS95*CT95</f>
        <v>#DIV/0!</v>
      </c>
      <c r="CV95" s="363" t="s">
        <v>153</v>
      </c>
      <c r="CW95" s="363"/>
      <c r="CX95" s="363"/>
      <c r="CY95" s="364" t="s">
        <v>140</v>
      </c>
      <c r="CZ95" s="365">
        <v>0.5</v>
      </c>
      <c r="DA95" s="366" t="e">
        <f>10/CW93</f>
        <v>#DIV/0!</v>
      </c>
      <c r="DB95" s="367">
        <v>15.38</v>
      </c>
      <c r="DC95" s="367" t="e">
        <f>CZ95*DA95*DB95</f>
        <v>#DIV/0!</v>
      </c>
      <c r="DD95" s="363" t="s">
        <v>153</v>
      </c>
      <c r="DE95" s="363"/>
      <c r="DF95" s="363"/>
      <c r="DG95" s="364" t="s">
        <v>140</v>
      </c>
      <c r="DH95" s="365">
        <v>0.5</v>
      </c>
      <c r="DI95" s="366" t="e">
        <f>10/DE93</f>
        <v>#DIV/0!</v>
      </c>
      <c r="DJ95" s="367">
        <v>15.38</v>
      </c>
      <c r="DK95" s="367" t="e">
        <f>DH95*DI95*DJ95</f>
        <v>#DIV/0!</v>
      </c>
      <c r="DL95" s="363" t="s">
        <v>153</v>
      </c>
      <c r="DM95" s="363"/>
      <c r="DN95" s="363"/>
      <c r="DO95" s="364" t="s">
        <v>140</v>
      </c>
      <c r="DP95" s="365">
        <v>0.5</v>
      </c>
      <c r="DQ95" s="366" t="e">
        <f>10/DM93</f>
        <v>#DIV/0!</v>
      </c>
      <c r="DR95" s="367">
        <v>15.38</v>
      </c>
      <c r="DS95" s="367" t="e">
        <f>DP95*DQ95*DR95</f>
        <v>#DIV/0!</v>
      </c>
      <c r="DT95" s="363" t="s">
        <v>153</v>
      </c>
      <c r="DU95" s="363"/>
      <c r="DV95" s="363"/>
      <c r="DW95" s="364" t="s">
        <v>140</v>
      </c>
      <c r="DX95" s="365">
        <v>0.5</v>
      </c>
      <c r="DY95" s="366" t="e">
        <f>10/DU93</f>
        <v>#DIV/0!</v>
      </c>
      <c r="DZ95" s="367">
        <v>15.38</v>
      </c>
      <c r="EA95" s="367" t="e">
        <f>DX95*DY95*DZ95</f>
        <v>#DIV/0!</v>
      </c>
      <c r="EB95" s="363" t="s">
        <v>153</v>
      </c>
      <c r="EC95" s="363"/>
      <c r="ED95" s="363"/>
      <c r="EE95" s="364" t="s">
        <v>140</v>
      </c>
      <c r="EF95" s="365">
        <v>0.5</v>
      </c>
      <c r="EG95" s="366" t="e">
        <f>10/EC93</f>
        <v>#DIV/0!</v>
      </c>
      <c r="EH95" s="367">
        <v>15.38</v>
      </c>
      <c r="EI95" s="367" t="e">
        <f>EF95*EG95*EH95</f>
        <v>#DIV/0!</v>
      </c>
      <c r="EJ95" s="363" t="s">
        <v>153</v>
      </c>
      <c r="EK95" s="363"/>
      <c r="EL95" s="363"/>
      <c r="EM95" s="364" t="s">
        <v>140</v>
      </c>
      <c r="EN95" s="365">
        <v>0.5</v>
      </c>
      <c r="EO95" s="366" t="e">
        <f>10/EK93</f>
        <v>#DIV/0!</v>
      </c>
      <c r="EP95" s="367">
        <v>15.38</v>
      </c>
      <c r="EQ95" s="367" t="e">
        <f>EN95*EO95*EP95</f>
        <v>#DIV/0!</v>
      </c>
      <c r="ER95" s="363" t="s">
        <v>153</v>
      </c>
      <c r="ES95" s="363"/>
      <c r="ET95" s="363"/>
      <c r="EU95" s="364" t="s">
        <v>140</v>
      </c>
      <c r="EV95" s="365">
        <v>0.5</v>
      </c>
      <c r="EW95" s="366" t="e">
        <f>10/ES93</f>
        <v>#DIV/0!</v>
      </c>
      <c r="EX95" s="367">
        <v>15.38</v>
      </c>
      <c r="EY95" s="367" t="e">
        <f>EV95*EW95*EX95</f>
        <v>#DIV/0!</v>
      </c>
      <c r="EZ95" s="363" t="s">
        <v>153</v>
      </c>
      <c r="FA95" s="363"/>
      <c r="FB95" s="363"/>
      <c r="FC95" s="364" t="s">
        <v>140</v>
      </c>
      <c r="FD95" s="365">
        <v>0.5</v>
      </c>
      <c r="FE95" s="366" t="e">
        <f>10/FA93</f>
        <v>#DIV/0!</v>
      </c>
      <c r="FF95" s="367">
        <v>15.38</v>
      </c>
      <c r="FG95" s="367" t="e">
        <f>FD95*FE95*FF95</f>
        <v>#DIV/0!</v>
      </c>
      <c r="FH95" s="363" t="s">
        <v>153</v>
      </c>
      <c r="FI95" s="363"/>
      <c r="FJ95" s="363"/>
      <c r="FK95" s="364" t="s">
        <v>140</v>
      </c>
      <c r="FL95" s="365">
        <v>0.5</v>
      </c>
      <c r="FM95" s="366" t="e">
        <f>10/FI93</f>
        <v>#DIV/0!</v>
      </c>
      <c r="FN95" s="367">
        <v>15.38</v>
      </c>
      <c r="FO95" s="367" t="e">
        <f>FL95*FM95*FN95</f>
        <v>#DIV/0!</v>
      </c>
      <c r="FP95" s="363" t="s">
        <v>153</v>
      </c>
      <c r="FQ95" s="363"/>
      <c r="FR95" s="363"/>
      <c r="FS95" s="364" t="s">
        <v>140</v>
      </c>
      <c r="FT95" s="365">
        <v>0.5</v>
      </c>
      <c r="FU95" s="366" t="e">
        <f>10/FQ93</f>
        <v>#DIV/0!</v>
      </c>
      <c r="FV95" s="367">
        <v>15.38</v>
      </c>
      <c r="FW95" s="367" t="e">
        <f>FT95*FU95*FV95</f>
        <v>#DIV/0!</v>
      </c>
      <c r="FX95" s="363" t="s">
        <v>153</v>
      </c>
      <c r="FY95" s="363"/>
      <c r="FZ95" s="363"/>
      <c r="GA95" s="364" t="s">
        <v>140</v>
      </c>
      <c r="GB95" s="365">
        <v>0.5</v>
      </c>
      <c r="GC95" s="366" t="e">
        <f>10/FY93</f>
        <v>#DIV/0!</v>
      </c>
      <c r="GD95" s="367">
        <v>15.38</v>
      </c>
      <c r="GE95" s="367" t="e">
        <f>GB95*GC95*GD95</f>
        <v>#DIV/0!</v>
      </c>
      <c r="GF95" s="363" t="s">
        <v>153</v>
      </c>
      <c r="GG95" s="363"/>
      <c r="GH95" s="363"/>
      <c r="GI95" s="364" t="s">
        <v>140</v>
      </c>
      <c r="GJ95" s="365">
        <v>0.5</v>
      </c>
      <c r="GK95" s="366" t="e">
        <f>10/GG93</f>
        <v>#DIV/0!</v>
      </c>
      <c r="GL95" s="367">
        <v>15.38</v>
      </c>
      <c r="GM95" s="367" t="e">
        <f>GJ95*GK95*GL95</f>
        <v>#DIV/0!</v>
      </c>
      <c r="GN95" s="363" t="s">
        <v>153</v>
      </c>
      <c r="GO95" s="363"/>
      <c r="GP95" s="363"/>
      <c r="GQ95" s="364" t="s">
        <v>140</v>
      </c>
      <c r="GR95" s="365">
        <v>0.5</v>
      </c>
      <c r="GS95" s="366" t="e">
        <f>10/GO93</f>
        <v>#DIV/0!</v>
      </c>
      <c r="GT95" s="367">
        <v>15.38</v>
      </c>
      <c r="GU95" s="367" t="e">
        <f>GR95*GS95*GT95</f>
        <v>#DIV/0!</v>
      </c>
      <c r="GV95" s="363" t="s">
        <v>153</v>
      </c>
      <c r="GW95" s="363"/>
      <c r="GX95" s="363"/>
      <c r="GY95" s="364" t="s">
        <v>140</v>
      </c>
      <c r="GZ95" s="365">
        <v>0.5</v>
      </c>
      <c r="HA95" s="366" t="e">
        <f>10/GW93</f>
        <v>#DIV/0!</v>
      </c>
      <c r="HB95" s="367">
        <v>15.38</v>
      </c>
      <c r="HC95" s="367" t="e">
        <f>GZ95*HA95*HB95</f>
        <v>#DIV/0!</v>
      </c>
      <c r="HD95" s="363" t="s">
        <v>153</v>
      </c>
      <c r="HE95" s="363"/>
      <c r="HF95" s="363"/>
      <c r="HG95" s="364" t="s">
        <v>140</v>
      </c>
      <c r="HH95" s="365">
        <v>0.5</v>
      </c>
      <c r="HI95" s="366" t="e">
        <f>10/HE93</f>
        <v>#DIV/0!</v>
      </c>
      <c r="HJ95" s="367">
        <v>15.38</v>
      </c>
      <c r="HK95" s="367" t="e">
        <f>HH95*HI95*HJ95</f>
        <v>#DIV/0!</v>
      </c>
      <c r="HL95" s="363" t="s">
        <v>153</v>
      </c>
      <c r="HM95" s="363"/>
      <c r="HN95" s="363"/>
      <c r="HO95" s="364" t="s">
        <v>140</v>
      </c>
      <c r="HP95" s="365">
        <v>0.5</v>
      </c>
      <c r="HQ95" s="366" t="e">
        <f>10/HM93</f>
        <v>#DIV/0!</v>
      </c>
      <c r="HR95" s="367">
        <v>15.38</v>
      </c>
      <c r="HS95" s="367" t="e">
        <f>HP95*HQ95*HR95</f>
        <v>#DIV/0!</v>
      </c>
      <c r="HT95" s="363" t="s">
        <v>153</v>
      </c>
      <c r="HU95" s="363"/>
      <c r="HV95" s="363"/>
      <c r="HW95" s="364" t="s">
        <v>140</v>
      </c>
      <c r="HX95" s="365">
        <v>0.5</v>
      </c>
      <c r="HY95" s="366" t="e">
        <f>10/HU93</f>
        <v>#DIV/0!</v>
      </c>
      <c r="HZ95" s="367">
        <v>15.38</v>
      </c>
      <c r="IA95" s="367" t="e">
        <f>HX95*HY95*HZ95</f>
        <v>#DIV/0!</v>
      </c>
      <c r="IB95" s="363" t="s">
        <v>153</v>
      </c>
      <c r="IC95" s="363"/>
      <c r="ID95" s="363"/>
      <c r="IE95" s="364" t="s">
        <v>140</v>
      </c>
      <c r="IF95" s="365">
        <v>0.5</v>
      </c>
      <c r="IG95" s="366" t="e">
        <f>10/IC93</f>
        <v>#DIV/0!</v>
      </c>
      <c r="IH95" s="367">
        <v>15.38</v>
      </c>
      <c r="II95" s="367" t="e">
        <f>IF95*IG95*IH95</f>
        <v>#DIV/0!</v>
      </c>
      <c r="IJ95" s="363" t="s">
        <v>153</v>
      </c>
      <c r="IK95" s="363"/>
      <c r="IL95" s="363"/>
      <c r="IM95" s="364" t="s">
        <v>140</v>
      </c>
      <c r="IN95" s="365">
        <v>0.5</v>
      </c>
      <c r="IO95" s="366" t="e">
        <f>10/IK93</f>
        <v>#DIV/0!</v>
      </c>
      <c r="IP95" s="367">
        <v>15.38</v>
      </c>
      <c r="IQ95" s="367" t="e">
        <f>IN95*IO95*IP95</f>
        <v>#DIV/0!</v>
      </c>
      <c r="IR95" s="363" t="s">
        <v>153</v>
      </c>
      <c r="IS95" s="363"/>
      <c r="IT95" s="363"/>
      <c r="IU95" s="364" t="s">
        <v>140</v>
      </c>
      <c r="IV95" s="365">
        <v>0.5</v>
      </c>
      <c r="IW95" s="366" t="e">
        <f>10/IS93</f>
        <v>#DIV/0!</v>
      </c>
      <c r="IX95" s="367">
        <v>15.38</v>
      </c>
      <c r="IY95" s="367" t="e">
        <f>IV95*IW95*IX95</f>
        <v>#DIV/0!</v>
      </c>
      <c r="IZ95" s="363" t="s">
        <v>153</v>
      </c>
      <c r="JA95" s="363"/>
      <c r="JB95" s="363"/>
      <c r="JC95" s="364" t="s">
        <v>140</v>
      </c>
      <c r="JD95" s="365">
        <v>0.5</v>
      </c>
      <c r="JE95" s="366" t="e">
        <f>10/JA93</f>
        <v>#DIV/0!</v>
      </c>
      <c r="JF95" s="367">
        <v>15.38</v>
      </c>
      <c r="JG95" s="367" t="e">
        <f>JD95*JE95*JF95</f>
        <v>#DIV/0!</v>
      </c>
      <c r="JH95" s="363" t="s">
        <v>153</v>
      </c>
      <c r="JI95" s="363"/>
      <c r="JJ95" s="363"/>
      <c r="JK95" s="364" t="s">
        <v>140</v>
      </c>
      <c r="JL95" s="365">
        <v>0.5</v>
      </c>
      <c r="JM95" s="366" t="e">
        <f>10/JI93</f>
        <v>#DIV/0!</v>
      </c>
      <c r="JN95" s="367">
        <v>15.38</v>
      </c>
      <c r="JO95" s="367" t="e">
        <f>JL95*JM95*JN95</f>
        <v>#DIV/0!</v>
      </c>
      <c r="JP95" s="363" t="s">
        <v>153</v>
      </c>
      <c r="JQ95" s="363"/>
      <c r="JR95" s="363"/>
      <c r="JS95" s="364" t="s">
        <v>140</v>
      </c>
      <c r="JT95" s="365">
        <v>0.5</v>
      </c>
      <c r="JU95" s="366" t="e">
        <f>10/JQ93</f>
        <v>#DIV/0!</v>
      </c>
      <c r="JV95" s="367">
        <v>15.38</v>
      </c>
      <c r="JW95" s="367" t="e">
        <f>JT95*JU95*JV95</f>
        <v>#DIV/0!</v>
      </c>
      <c r="JX95" s="363" t="s">
        <v>153</v>
      </c>
      <c r="JY95" s="363"/>
      <c r="JZ95" s="363"/>
      <c r="KA95" s="364" t="s">
        <v>140</v>
      </c>
      <c r="KB95" s="365">
        <v>0.5</v>
      </c>
      <c r="KC95" s="366" t="e">
        <f>10/JY93</f>
        <v>#DIV/0!</v>
      </c>
      <c r="KD95" s="367">
        <v>15.38</v>
      </c>
      <c r="KE95" s="367" t="e">
        <f>KB95*KC95*KD95</f>
        <v>#DIV/0!</v>
      </c>
      <c r="KF95" s="363" t="s">
        <v>153</v>
      </c>
      <c r="KG95" s="363"/>
      <c r="KH95" s="363"/>
      <c r="KI95" s="364" t="s">
        <v>140</v>
      </c>
      <c r="KJ95" s="365">
        <v>0.5</v>
      </c>
      <c r="KK95" s="366" t="e">
        <f>10/KG93</f>
        <v>#DIV/0!</v>
      </c>
      <c r="KL95" s="367">
        <v>15.38</v>
      </c>
      <c r="KM95" s="367" t="e">
        <f>KJ95*KK95*KL95</f>
        <v>#DIV/0!</v>
      </c>
      <c r="KN95" s="363" t="s">
        <v>153</v>
      </c>
      <c r="KO95" s="363"/>
      <c r="KP95" s="363"/>
      <c r="KQ95" s="364" t="s">
        <v>140</v>
      </c>
      <c r="KR95" s="365">
        <v>0.5</v>
      </c>
      <c r="KS95" s="366" t="e">
        <f>10/KO93</f>
        <v>#DIV/0!</v>
      </c>
      <c r="KT95" s="367">
        <v>15.38</v>
      </c>
      <c r="KU95" s="367" t="e">
        <f>KR95*KS95*KT95</f>
        <v>#DIV/0!</v>
      </c>
      <c r="KV95" s="363" t="s">
        <v>153</v>
      </c>
      <c r="KW95" s="363"/>
      <c r="KX95" s="363"/>
      <c r="KY95" s="364" t="s">
        <v>140</v>
      </c>
      <c r="KZ95" s="365">
        <v>0.5</v>
      </c>
      <c r="LA95" s="366" t="e">
        <f>10/KW93</f>
        <v>#DIV/0!</v>
      </c>
      <c r="LB95" s="367">
        <v>15.38</v>
      </c>
      <c r="LC95" s="367" t="e">
        <f>KZ95*LA95*LB95</f>
        <v>#DIV/0!</v>
      </c>
      <c r="LD95" s="363" t="s">
        <v>153</v>
      </c>
      <c r="LE95" s="363"/>
      <c r="LF95" s="363"/>
      <c r="LG95" s="364" t="s">
        <v>140</v>
      </c>
      <c r="LH95" s="365">
        <v>0.5</v>
      </c>
      <c r="LI95" s="366" t="e">
        <f>10/LE93</f>
        <v>#DIV/0!</v>
      </c>
      <c r="LJ95" s="367">
        <v>15.38</v>
      </c>
      <c r="LK95" s="367" t="e">
        <f>LH95*LI95*LJ95</f>
        <v>#DIV/0!</v>
      </c>
      <c r="LL95" s="363" t="s">
        <v>153</v>
      </c>
      <c r="LM95" s="363"/>
      <c r="LN95" s="363"/>
      <c r="LO95" s="364" t="s">
        <v>140</v>
      </c>
      <c r="LP95" s="365">
        <v>0.5</v>
      </c>
      <c r="LQ95" s="366" t="e">
        <f>10/LM93</f>
        <v>#DIV/0!</v>
      </c>
      <c r="LR95" s="367">
        <v>15.38</v>
      </c>
      <c r="LS95" s="367" t="e">
        <f>LP95*LQ95*LR95</f>
        <v>#DIV/0!</v>
      </c>
      <c r="LT95" s="363" t="s">
        <v>153</v>
      </c>
      <c r="LU95" s="363"/>
      <c r="LV95" s="363"/>
      <c r="LW95" s="364" t="s">
        <v>140</v>
      </c>
      <c r="LX95" s="365">
        <v>0.5</v>
      </c>
      <c r="LY95" s="366" t="e">
        <f>10/LU93</f>
        <v>#DIV/0!</v>
      </c>
      <c r="LZ95" s="367">
        <v>15.38</v>
      </c>
      <c r="MA95" s="367" t="e">
        <f>LX95*LY95*LZ95</f>
        <v>#DIV/0!</v>
      </c>
      <c r="MB95" s="363" t="s">
        <v>153</v>
      </c>
      <c r="MC95" s="363"/>
      <c r="MD95" s="363"/>
      <c r="ME95" s="364" t="s">
        <v>140</v>
      </c>
      <c r="MF95" s="365">
        <v>0.5</v>
      </c>
      <c r="MG95" s="366" t="e">
        <f>10/MC93</f>
        <v>#DIV/0!</v>
      </c>
      <c r="MH95" s="367">
        <v>15.38</v>
      </c>
      <c r="MI95" s="367" t="e">
        <f>MF95*MG95*MH95</f>
        <v>#DIV/0!</v>
      </c>
      <c r="MJ95" s="363" t="s">
        <v>153</v>
      </c>
      <c r="MK95" s="363"/>
      <c r="ML95" s="363"/>
      <c r="MM95" s="364" t="s">
        <v>140</v>
      </c>
      <c r="MN95" s="365">
        <v>0.5</v>
      </c>
      <c r="MO95" s="366" t="e">
        <f>10/MK93</f>
        <v>#DIV/0!</v>
      </c>
      <c r="MP95" s="367">
        <v>15.38</v>
      </c>
      <c r="MQ95" s="367" t="e">
        <f>MN95*MO95*MP95</f>
        <v>#DIV/0!</v>
      </c>
      <c r="MR95" s="363" t="s">
        <v>153</v>
      </c>
      <c r="MS95" s="363"/>
      <c r="MT95" s="363"/>
      <c r="MU95" s="364" t="s">
        <v>140</v>
      </c>
      <c r="MV95" s="365">
        <v>0.5</v>
      </c>
      <c r="MW95" s="366" t="e">
        <f>10/MS93</f>
        <v>#DIV/0!</v>
      </c>
      <c r="MX95" s="367">
        <v>15.38</v>
      </c>
      <c r="MY95" s="367" t="e">
        <f>MV95*MW95*MX95</f>
        <v>#DIV/0!</v>
      </c>
      <c r="MZ95" s="363" t="s">
        <v>153</v>
      </c>
      <c r="NA95" s="363"/>
      <c r="NB95" s="363"/>
      <c r="NC95" s="364" t="s">
        <v>140</v>
      </c>
      <c r="ND95" s="365">
        <v>0.5</v>
      </c>
      <c r="NE95" s="366" t="e">
        <f>10/NA93</f>
        <v>#DIV/0!</v>
      </c>
      <c r="NF95" s="367">
        <v>15.38</v>
      </c>
      <c r="NG95" s="367" t="e">
        <f>ND95*NE95*NF95</f>
        <v>#DIV/0!</v>
      </c>
      <c r="NH95" s="363" t="s">
        <v>153</v>
      </c>
      <c r="NI95" s="363"/>
      <c r="NJ95" s="363"/>
      <c r="NK95" s="364" t="s">
        <v>140</v>
      </c>
      <c r="NL95" s="365">
        <v>0.5</v>
      </c>
      <c r="NM95" s="366" t="e">
        <f>10/NI93</f>
        <v>#DIV/0!</v>
      </c>
      <c r="NN95" s="367">
        <v>15.38</v>
      </c>
      <c r="NO95" s="367" t="e">
        <f>NL95*NM95*NN95</f>
        <v>#DIV/0!</v>
      </c>
      <c r="NP95" s="363" t="s">
        <v>153</v>
      </c>
      <c r="NQ95" s="363"/>
      <c r="NR95" s="363"/>
      <c r="NS95" s="364" t="s">
        <v>140</v>
      </c>
      <c r="NT95" s="365">
        <v>0.5</v>
      </c>
      <c r="NU95" s="366" t="e">
        <f>10/NQ93</f>
        <v>#DIV/0!</v>
      </c>
      <c r="NV95" s="367">
        <v>15.38</v>
      </c>
      <c r="NW95" s="367" t="e">
        <f>NT95*NU95*NV95</f>
        <v>#DIV/0!</v>
      </c>
      <c r="NX95" s="363" t="s">
        <v>153</v>
      </c>
      <c r="NY95" s="363"/>
      <c r="NZ95" s="363"/>
      <c r="OA95" s="364" t="s">
        <v>140</v>
      </c>
      <c r="OB95" s="365">
        <v>0.5</v>
      </c>
      <c r="OC95" s="366" t="e">
        <f>10/NY93</f>
        <v>#DIV/0!</v>
      </c>
      <c r="OD95" s="367">
        <v>15.38</v>
      </c>
      <c r="OE95" s="367" t="e">
        <f>OB95*OC95*OD95</f>
        <v>#DIV/0!</v>
      </c>
      <c r="OF95" s="363" t="s">
        <v>153</v>
      </c>
      <c r="OG95" s="363"/>
      <c r="OH95" s="363"/>
      <c r="OI95" s="364" t="s">
        <v>140</v>
      </c>
      <c r="OJ95" s="365">
        <v>0.5</v>
      </c>
      <c r="OK95" s="366" t="e">
        <f>10/OG93</f>
        <v>#DIV/0!</v>
      </c>
      <c r="OL95" s="367">
        <v>15.38</v>
      </c>
      <c r="OM95" s="367" t="e">
        <f>OJ95*OK95*OL95</f>
        <v>#DIV/0!</v>
      </c>
      <c r="ON95" s="363" t="s">
        <v>153</v>
      </c>
      <c r="OO95" s="363"/>
      <c r="OP95" s="363"/>
      <c r="OQ95" s="364" t="s">
        <v>140</v>
      </c>
      <c r="OR95" s="365">
        <v>0.5</v>
      </c>
      <c r="OS95" s="366" t="e">
        <f>10/OO93</f>
        <v>#DIV/0!</v>
      </c>
      <c r="OT95" s="367">
        <v>15.38</v>
      </c>
      <c r="OU95" s="367" t="e">
        <f>OR95*OS95*OT95</f>
        <v>#DIV/0!</v>
      </c>
      <c r="OV95" s="363" t="s">
        <v>153</v>
      </c>
      <c r="OW95" s="363"/>
      <c r="OX95" s="363"/>
      <c r="OY95" s="364" t="s">
        <v>140</v>
      </c>
      <c r="OZ95" s="365">
        <v>0.5</v>
      </c>
      <c r="PA95" s="366" t="e">
        <f>10/OW93</f>
        <v>#DIV/0!</v>
      </c>
      <c r="PB95" s="367">
        <v>15.38</v>
      </c>
      <c r="PC95" s="367" t="e">
        <f>OZ95*PA95*PB95</f>
        <v>#DIV/0!</v>
      </c>
      <c r="PD95" s="363" t="s">
        <v>153</v>
      </c>
      <c r="PE95" s="363"/>
      <c r="PF95" s="363"/>
      <c r="PG95" s="364" t="s">
        <v>140</v>
      </c>
      <c r="PH95" s="365">
        <v>0.5</v>
      </c>
      <c r="PI95" s="366" t="e">
        <f>10/PE93</f>
        <v>#DIV/0!</v>
      </c>
      <c r="PJ95" s="367">
        <v>15.38</v>
      </c>
      <c r="PK95" s="367" t="e">
        <f>PH95*PI95*PJ95</f>
        <v>#DIV/0!</v>
      </c>
      <c r="PL95" s="363" t="s">
        <v>153</v>
      </c>
      <c r="PM95" s="363"/>
      <c r="PN95" s="363"/>
      <c r="PO95" s="364" t="s">
        <v>140</v>
      </c>
      <c r="PP95" s="365">
        <v>0.5</v>
      </c>
      <c r="PQ95" s="366" t="e">
        <f>10/PM93</f>
        <v>#DIV/0!</v>
      </c>
      <c r="PR95" s="367">
        <v>15.38</v>
      </c>
      <c r="PS95" s="367" t="e">
        <f>PP95*PQ95*PR95</f>
        <v>#DIV/0!</v>
      </c>
      <c r="PT95" s="363" t="s">
        <v>153</v>
      </c>
      <c r="PU95" s="363"/>
      <c r="PV95" s="363"/>
      <c r="PW95" s="364" t="s">
        <v>140</v>
      </c>
      <c r="PX95" s="365">
        <v>0.5</v>
      </c>
      <c r="PY95" s="366" t="e">
        <f>10/PU93</f>
        <v>#DIV/0!</v>
      </c>
      <c r="PZ95" s="367">
        <v>15.38</v>
      </c>
      <c r="QA95" s="367" t="e">
        <f>PX95*PY95*PZ95</f>
        <v>#DIV/0!</v>
      </c>
      <c r="QB95" s="363" t="s">
        <v>153</v>
      </c>
      <c r="QC95" s="363"/>
      <c r="QD95" s="363"/>
      <c r="QE95" s="364" t="s">
        <v>140</v>
      </c>
      <c r="QF95" s="365">
        <v>0.5</v>
      </c>
      <c r="QG95" s="366" t="e">
        <f>10/QC93</f>
        <v>#DIV/0!</v>
      </c>
      <c r="QH95" s="367">
        <v>15.38</v>
      </c>
      <c r="QI95" s="367" t="e">
        <f>QF95*QG95*QH95</f>
        <v>#DIV/0!</v>
      </c>
      <c r="QJ95" s="363" t="s">
        <v>153</v>
      </c>
      <c r="QK95" s="363"/>
      <c r="QL95" s="363"/>
      <c r="QM95" s="364" t="s">
        <v>140</v>
      </c>
      <c r="QN95" s="365">
        <v>0.5</v>
      </c>
      <c r="QO95" s="366" t="e">
        <f>10/QK93</f>
        <v>#DIV/0!</v>
      </c>
      <c r="QP95" s="367">
        <v>15.38</v>
      </c>
      <c r="QQ95" s="367" t="e">
        <f>QN95*QO95*QP95</f>
        <v>#DIV/0!</v>
      </c>
      <c r="QR95" s="363" t="s">
        <v>153</v>
      </c>
      <c r="QS95" s="363"/>
      <c r="QT95" s="363"/>
      <c r="QU95" s="364" t="s">
        <v>140</v>
      </c>
      <c r="QV95" s="365">
        <v>0.5</v>
      </c>
      <c r="QW95" s="366" t="e">
        <f>10/QS93</f>
        <v>#DIV/0!</v>
      </c>
      <c r="QX95" s="367">
        <v>15.38</v>
      </c>
      <c r="QY95" s="367" t="e">
        <f>QV95*QW95*QX95</f>
        <v>#DIV/0!</v>
      </c>
      <c r="QZ95" s="363" t="s">
        <v>153</v>
      </c>
      <c r="RA95" s="363"/>
      <c r="RB95" s="363"/>
      <c r="RC95" s="364" t="s">
        <v>140</v>
      </c>
      <c r="RD95" s="365">
        <v>0.5</v>
      </c>
      <c r="RE95" s="366" t="e">
        <f>10/RA93</f>
        <v>#DIV/0!</v>
      </c>
      <c r="RF95" s="367">
        <v>15.38</v>
      </c>
      <c r="RG95" s="367" t="e">
        <f>RD95*RE95*RF95</f>
        <v>#DIV/0!</v>
      </c>
      <c r="RH95" s="363" t="s">
        <v>153</v>
      </c>
      <c r="RI95" s="363"/>
      <c r="RJ95" s="363"/>
      <c r="RK95" s="364" t="s">
        <v>140</v>
      </c>
      <c r="RL95" s="365">
        <v>0.5</v>
      </c>
      <c r="RM95" s="366" t="e">
        <f>10/RI93</f>
        <v>#DIV/0!</v>
      </c>
      <c r="RN95" s="367">
        <v>15.38</v>
      </c>
      <c r="RO95" s="367" t="e">
        <f>RL95*RM95*RN95</f>
        <v>#DIV/0!</v>
      </c>
      <c r="RP95" s="363" t="s">
        <v>153</v>
      </c>
      <c r="RQ95" s="363"/>
      <c r="RR95" s="363"/>
      <c r="RS95" s="364" t="s">
        <v>140</v>
      </c>
      <c r="RT95" s="365">
        <v>0.5</v>
      </c>
      <c r="RU95" s="366" t="e">
        <f>10/RQ93</f>
        <v>#DIV/0!</v>
      </c>
      <c r="RV95" s="367">
        <v>15.38</v>
      </c>
      <c r="RW95" s="367" t="e">
        <f>RT95*RU95*RV95</f>
        <v>#DIV/0!</v>
      </c>
      <c r="RX95" s="363" t="s">
        <v>153</v>
      </c>
      <c r="RY95" s="363"/>
      <c r="RZ95" s="363"/>
      <c r="SA95" s="364" t="s">
        <v>140</v>
      </c>
      <c r="SB95" s="365">
        <v>0.5</v>
      </c>
      <c r="SC95" s="366" t="e">
        <f>10/RY93</f>
        <v>#DIV/0!</v>
      </c>
      <c r="SD95" s="367">
        <v>15.38</v>
      </c>
      <c r="SE95" s="367" t="e">
        <f>SB95*SC95*SD95</f>
        <v>#DIV/0!</v>
      </c>
      <c r="SF95" s="363" t="s">
        <v>153</v>
      </c>
      <c r="SG95" s="363"/>
      <c r="SH95" s="363"/>
      <c r="SI95" s="364" t="s">
        <v>140</v>
      </c>
      <c r="SJ95" s="365">
        <v>0.5</v>
      </c>
      <c r="SK95" s="366" t="e">
        <f>10/SG93</f>
        <v>#DIV/0!</v>
      </c>
      <c r="SL95" s="367">
        <v>15.38</v>
      </c>
      <c r="SM95" s="367" t="e">
        <f>SJ95*SK95*SL95</f>
        <v>#DIV/0!</v>
      </c>
      <c r="SN95" s="363" t="s">
        <v>153</v>
      </c>
      <c r="SO95" s="363"/>
      <c r="SP95" s="363"/>
      <c r="SQ95" s="364" t="s">
        <v>140</v>
      </c>
      <c r="SR95" s="365">
        <v>0.5</v>
      </c>
      <c r="SS95" s="366" t="e">
        <f>10/SO93</f>
        <v>#DIV/0!</v>
      </c>
      <c r="ST95" s="367">
        <v>15.38</v>
      </c>
      <c r="SU95" s="367" t="e">
        <f>SR95*SS95*ST95</f>
        <v>#DIV/0!</v>
      </c>
      <c r="SV95" s="363" t="s">
        <v>153</v>
      </c>
      <c r="SW95" s="363"/>
      <c r="SX95" s="363"/>
      <c r="SY95" s="364" t="s">
        <v>140</v>
      </c>
      <c r="SZ95" s="365">
        <v>0.5</v>
      </c>
      <c r="TA95" s="366" t="e">
        <f>10/SW93</f>
        <v>#DIV/0!</v>
      </c>
      <c r="TB95" s="367">
        <v>15.38</v>
      </c>
      <c r="TC95" s="367" t="e">
        <f>SZ95*TA95*TB95</f>
        <v>#DIV/0!</v>
      </c>
      <c r="TD95" s="363" t="s">
        <v>153</v>
      </c>
      <c r="TE95" s="363"/>
      <c r="TF95" s="363"/>
      <c r="TG95" s="364" t="s">
        <v>140</v>
      </c>
      <c r="TH95" s="365">
        <v>0.5</v>
      </c>
      <c r="TI95" s="366" t="e">
        <f>10/TE93</f>
        <v>#DIV/0!</v>
      </c>
      <c r="TJ95" s="367">
        <v>15.38</v>
      </c>
      <c r="TK95" s="367" t="e">
        <f>TH95*TI95*TJ95</f>
        <v>#DIV/0!</v>
      </c>
      <c r="TL95" s="363" t="s">
        <v>153</v>
      </c>
      <c r="TM95" s="363"/>
      <c r="TN95" s="363"/>
      <c r="TO95" s="364" t="s">
        <v>140</v>
      </c>
      <c r="TP95" s="365">
        <v>0.5</v>
      </c>
      <c r="TQ95" s="366" t="e">
        <f>10/TM93</f>
        <v>#DIV/0!</v>
      </c>
      <c r="TR95" s="367">
        <v>15.38</v>
      </c>
      <c r="TS95" s="367" t="e">
        <f>TP95*TQ95*TR95</f>
        <v>#DIV/0!</v>
      </c>
      <c r="TT95" s="363" t="s">
        <v>153</v>
      </c>
      <c r="TU95" s="363"/>
      <c r="TV95" s="363"/>
      <c r="TW95" s="364" t="s">
        <v>140</v>
      </c>
      <c r="TX95" s="365">
        <v>0.5</v>
      </c>
      <c r="TY95" s="366" t="e">
        <f>10/TU93</f>
        <v>#DIV/0!</v>
      </c>
      <c r="TZ95" s="367">
        <v>15.38</v>
      </c>
      <c r="UA95" s="367" t="e">
        <f>TX95*TY95*TZ95</f>
        <v>#DIV/0!</v>
      </c>
      <c r="UB95" s="363" t="s">
        <v>153</v>
      </c>
      <c r="UC95" s="363"/>
      <c r="UD95" s="363"/>
      <c r="UE95" s="364" t="s">
        <v>140</v>
      </c>
      <c r="UF95" s="365">
        <v>0.5</v>
      </c>
      <c r="UG95" s="366" t="e">
        <f>10/UC93</f>
        <v>#DIV/0!</v>
      </c>
      <c r="UH95" s="367">
        <v>15.38</v>
      </c>
      <c r="UI95" s="367" t="e">
        <f>UF95*UG95*UH95</f>
        <v>#DIV/0!</v>
      </c>
      <c r="UJ95" s="363" t="s">
        <v>153</v>
      </c>
      <c r="UK95" s="363"/>
      <c r="UL95" s="363"/>
      <c r="UM95" s="364" t="s">
        <v>140</v>
      </c>
      <c r="UN95" s="365">
        <v>0.5</v>
      </c>
      <c r="UO95" s="366" t="e">
        <f>10/UK93</f>
        <v>#DIV/0!</v>
      </c>
      <c r="UP95" s="367">
        <v>15.38</v>
      </c>
      <c r="UQ95" s="367" t="e">
        <f>UN95*UO95*UP95</f>
        <v>#DIV/0!</v>
      </c>
      <c r="UR95" s="363" t="s">
        <v>153</v>
      </c>
      <c r="US95" s="363"/>
      <c r="UT95" s="363"/>
      <c r="UU95" s="364" t="s">
        <v>140</v>
      </c>
      <c r="UV95" s="365">
        <v>0.5</v>
      </c>
      <c r="UW95" s="366" t="e">
        <f>10/US93</f>
        <v>#DIV/0!</v>
      </c>
      <c r="UX95" s="367">
        <v>15.38</v>
      </c>
      <c r="UY95" s="367" t="e">
        <f>UV95*UW95*UX95</f>
        <v>#DIV/0!</v>
      </c>
      <c r="UZ95" s="363" t="s">
        <v>153</v>
      </c>
      <c r="VA95" s="363"/>
      <c r="VB95" s="363"/>
      <c r="VC95" s="364" t="s">
        <v>140</v>
      </c>
      <c r="VD95" s="365">
        <v>0.5</v>
      </c>
      <c r="VE95" s="366" t="e">
        <f>10/VA93</f>
        <v>#DIV/0!</v>
      </c>
      <c r="VF95" s="367">
        <v>15.38</v>
      </c>
      <c r="VG95" s="367" t="e">
        <f>VD95*VE95*VF95</f>
        <v>#DIV/0!</v>
      </c>
      <c r="VH95" s="363" t="s">
        <v>153</v>
      </c>
      <c r="VI95" s="363"/>
      <c r="VJ95" s="363"/>
      <c r="VK95" s="364" t="s">
        <v>140</v>
      </c>
      <c r="VL95" s="365">
        <v>0.5</v>
      </c>
      <c r="VM95" s="366" t="e">
        <f>10/VI93</f>
        <v>#DIV/0!</v>
      </c>
      <c r="VN95" s="367">
        <v>15.38</v>
      </c>
      <c r="VO95" s="367" t="e">
        <f>VL95*VM95*VN95</f>
        <v>#DIV/0!</v>
      </c>
      <c r="VP95" s="363" t="s">
        <v>153</v>
      </c>
      <c r="VQ95" s="363"/>
      <c r="VR95" s="363"/>
      <c r="VS95" s="364" t="s">
        <v>140</v>
      </c>
      <c r="VT95" s="365">
        <v>0.5</v>
      </c>
      <c r="VU95" s="366" t="e">
        <f>10/VQ93</f>
        <v>#DIV/0!</v>
      </c>
      <c r="VV95" s="367">
        <v>15.38</v>
      </c>
      <c r="VW95" s="367" t="e">
        <f>VT95*VU95*VV95</f>
        <v>#DIV/0!</v>
      </c>
      <c r="VX95" s="363" t="s">
        <v>153</v>
      </c>
      <c r="VY95" s="363"/>
      <c r="VZ95" s="363"/>
      <c r="WA95" s="364" t="s">
        <v>140</v>
      </c>
      <c r="WB95" s="365">
        <v>0.5</v>
      </c>
      <c r="WC95" s="366" t="e">
        <f>10/VY93</f>
        <v>#DIV/0!</v>
      </c>
      <c r="WD95" s="367">
        <v>15.38</v>
      </c>
      <c r="WE95" s="367" t="e">
        <f>WB95*WC95*WD95</f>
        <v>#DIV/0!</v>
      </c>
      <c r="WF95" s="363" t="s">
        <v>153</v>
      </c>
      <c r="WG95" s="363"/>
      <c r="WH95" s="363"/>
      <c r="WI95" s="364" t="s">
        <v>140</v>
      </c>
      <c r="WJ95" s="365">
        <v>0.5</v>
      </c>
      <c r="WK95" s="366" t="e">
        <f>10/WG93</f>
        <v>#DIV/0!</v>
      </c>
      <c r="WL95" s="367">
        <v>15.38</v>
      </c>
      <c r="WM95" s="367" t="e">
        <f>WJ95*WK95*WL95</f>
        <v>#DIV/0!</v>
      </c>
      <c r="WN95" s="363" t="s">
        <v>153</v>
      </c>
      <c r="WO95" s="363"/>
      <c r="WP95" s="363"/>
      <c r="WQ95" s="364" t="s">
        <v>140</v>
      </c>
      <c r="WR95" s="365">
        <v>0.5</v>
      </c>
      <c r="WS95" s="366" t="e">
        <f>10/WO93</f>
        <v>#DIV/0!</v>
      </c>
      <c r="WT95" s="367">
        <v>15.38</v>
      </c>
      <c r="WU95" s="367" t="e">
        <f>WR95*WS95*WT95</f>
        <v>#DIV/0!</v>
      </c>
      <c r="WV95" s="363" t="s">
        <v>153</v>
      </c>
      <c r="WW95" s="363"/>
      <c r="WX95" s="363"/>
      <c r="WY95" s="364" t="s">
        <v>140</v>
      </c>
      <c r="WZ95" s="365">
        <v>0.5</v>
      </c>
      <c r="XA95" s="366" t="e">
        <f>10/WW93</f>
        <v>#DIV/0!</v>
      </c>
      <c r="XB95" s="367">
        <v>15.38</v>
      </c>
      <c r="XC95" s="367" t="e">
        <f>WZ95*XA95*XB95</f>
        <v>#DIV/0!</v>
      </c>
      <c r="XD95" s="363" t="s">
        <v>153</v>
      </c>
      <c r="XE95" s="363"/>
      <c r="XF95" s="363"/>
      <c r="XG95" s="364" t="s">
        <v>140</v>
      </c>
      <c r="XH95" s="365">
        <v>0.5</v>
      </c>
      <c r="XI95" s="366" t="e">
        <f>10/XE93</f>
        <v>#DIV/0!</v>
      </c>
      <c r="XJ95" s="367">
        <v>15.38</v>
      </c>
      <c r="XK95" s="367" t="e">
        <f>XH95*XI95*XJ95</f>
        <v>#DIV/0!</v>
      </c>
      <c r="XL95" s="363" t="s">
        <v>153</v>
      </c>
      <c r="XM95" s="363"/>
      <c r="XN95" s="363"/>
      <c r="XO95" s="364" t="s">
        <v>140</v>
      </c>
      <c r="XP95" s="365">
        <v>0.5</v>
      </c>
      <c r="XQ95" s="366" t="e">
        <f>10/XM93</f>
        <v>#DIV/0!</v>
      </c>
      <c r="XR95" s="367">
        <v>15.38</v>
      </c>
      <c r="XS95" s="367" t="e">
        <f>XP95*XQ95*XR95</f>
        <v>#DIV/0!</v>
      </c>
      <c r="XT95" s="363" t="s">
        <v>153</v>
      </c>
      <c r="XU95" s="363"/>
      <c r="XV95" s="363"/>
      <c r="XW95" s="364" t="s">
        <v>140</v>
      </c>
      <c r="XX95" s="365">
        <v>0.5</v>
      </c>
      <c r="XY95" s="366" t="e">
        <f>10/XU93</f>
        <v>#DIV/0!</v>
      </c>
      <c r="XZ95" s="367">
        <v>15.38</v>
      </c>
      <c r="YA95" s="367" t="e">
        <f>XX95*XY95*XZ95</f>
        <v>#DIV/0!</v>
      </c>
      <c r="YB95" s="363" t="s">
        <v>153</v>
      </c>
      <c r="YC95" s="363"/>
      <c r="YD95" s="363"/>
      <c r="YE95" s="364" t="s">
        <v>140</v>
      </c>
      <c r="YF95" s="365">
        <v>0.5</v>
      </c>
      <c r="YG95" s="366" t="e">
        <f>10/YC93</f>
        <v>#DIV/0!</v>
      </c>
      <c r="YH95" s="367">
        <v>15.38</v>
      </c>
      <c r="YI95" s="367" t="e">
        <f>YF95*YG95*YH95</f>
        <v>#DIV/0!</v>
      </c>
      <c r="YJ95" s="363" t="s">
        <v>153</v>
      </c>
      <c r="YK95" s="363"/>
      <c r="YL95" s="363"/>
      <c r="YM95" s="364" t="s">
        <v>140</v>
      </c>
      <c r="YN95" s="365">
        <v>0.5</v>
      </c>
      <c r="YO95" s="366" t="e">
        <f>10/YK93</f>
        <v>#DIV/0!</v>
      </c>
      <c r="YP95" s="367">
        <v>15.38</v>
      </c>
      <c r="YQ95" s="367" t="e">
        <f>YN95*YO95*YP95</f>
        <v>#DIV/0!</v>
      </c>
      <c r="YR95" s="363" t="s">
        <v>153</v>
      </c>
      <c r="YS95" s="363"/>
      <c r="YT95" s="363"/>
      <c r="YU95" s="364" t="s">
        <v>140</v>
      </c>
      <c r="YV95" s="365">
        <v>0.5</v>
      </c>
      <c r="YW95" s="366" t="e">
        <f>10/YS93</f>
        <v>#DIV/0!</v>
      </c>
      <c r="YX95" s="367">
        <v>15.38</v>
      </c>
      <c r="YY95" s="367" t="e">
        <f>YV95*YW95*YX95</f>
        <v>#DIV/0!</v>
      </c>
      <c r="YZ95" s="363" t="s">
        <v>153</v>
      </c>
      <c r="ZA95" s="363"/>
      <c r="ZB95" s="363"/>
      <c r="ZC95" s="364" t="s">
        <v>140</v>
      </c>
      <c r="ZD95" s="365">
        <v>0.5</v>
      </c>
      <c r="ZE95" s="366" t="e">
        <f>10/ZA93</f>
        <v>#DIV/0!</v>
      </c>
      <c r="ZF95" s="367">
        <v>15.38</v>
      </c>
      <c r="ZG95" s="367" t="e">
        <f>ZD95*ZE95*ZF95</f>
        <v>#DIV/0!</v>
      </c>
      <c r="ZH95" s="363" t="s">
        <v>153</v>
      </c>
      <c r="ZI95" s="363"/>
      <c r="ZJ95" s="363"/>
      <c r="ZK95" s="364" t="s">
        <v>140</v>
      </c>
      <c r="ZL95" s="365">
        <v>0.5</v>
      </c>
      <c r="ZM95" s="366" t="e">
        <f>10/ZI93</f>
        <v>#DIV/0!</v>
      </c>
      <c r="ZN95" s="367">
        <v>15.38</v>
      </c>
      <c r="ZO95" s="367" t="e">
        <f>ZL95*ZM95*ZN95</f>
        <v>#DIV/0!</v>
      </c>
      <c r="ZP95" s="363" t="s">
        <v>153</v>
      </c>
      <c r="ZQ95" s="363"/>
      <c r="ZR95" s="363"/>
      <c r="ZS95" s="364" t="s">
        <v>140</v>
      </c>
      <c r="ZT95" s="365">
        <v>0.5</v>
      </c>
      <c r="ZU95" s="366" t="e">
        <f>10/ZQ93</f>
        <v>#DIV/0!</v>
      </c>
      <c r="ZV95" s="367">
        <v>15.38</v>
      </c>
      <c r="ZW95" s="367" t="e">
        <f>ZT95*ZU95*ZV95</f>
        <v>#DIV/0!</v>
      </c>
      <c r="ZX95" s="363" t="s">
        <v>153</v>
      </c>
      <c r="ZY95" s="363"/>
      <c r="ZZ95" s="363"/>
      <c r="AAA95" s="364" t="s">
        <v>140</v>
      </c>
      <c r="AAB95" s="365">
        <v>0.5</v>
      </c>
      <c r="AAC95" s="366" t="e">
        <f>10/ZY93</f>
        <v>#DIV/0!</v>
      </c>
      <c r="AAD95" s="367">
        <v>15.38</v>
      </c>
      <c r="AAE95" s="367" t="e">
        <f>AAB95*AAC95*AAD95</f>
        <v>#DIV/0!</v>
      </c>
      <c r="AAF95" s="363" t="s">
        <v>153</v>
      </c>
      <c r="AAG95" s="363"/>
      <c r="AAH95" s="363"/>
      <c r="AAI95" s="364" t="s">
        <v>140</v>
      </c>
      <c r="AAJ95" s="365">
        <v>0.5</v>
      </c>
      <c r="AAK95" s="366" t="e">
        <f>10/AAG93</f>
        <v>#DIV/0!</v>
      </c>
      <c r="AAL95" s="367">
        <v>15.38</v>
      </c>
      <c r="AAM95" s="367" t="e">
        <f>AAJ95*AAK95*AAL95</f>
        <v>#DIV/0!</v>
      </c>
      <c r="AAN95" s="363" t="s">
        <v>153</v>
      </c>
      <c r="AAO95" s="363"/>
      <c r="AAP95" s="363"/>
      <c r="AAQ95" s="364" t="s">
        <v>140</v>
      </c>
      <c r="AAR95" s="365">
        <v>0.5</v>
      </c>
      <c r="AAS95" s="366" t="e">
        <f>10/AAO93</f>
        <v>#DIV/0!</v>
      </c>
      <c r="AAT95" s="367">
        <v>15.38</v>
      </c>
      <c r="AAU95" s="367" t="e">
        <f>AAR95*AAS95*AAT95</f>
        <v>#DIV/0!</v>
      </c>
      <c r="AAV95" s="363" t="s">
        <v>153</v>
      </c>
      <c r="AAW95" s="363"/>
      <c r="AAX95" s="363"/>
      <c r="AAY95" s="364" t="s">
        <v>140</v>
      </c>
      <c r="AAZ95" s="365">
        <v>0.5</v>
      </c>
      <c r="ABA95" s="366" t="e">
        <f>10/AAW93</f>
        <v>#DIV/0!</v>
      </c>
      <c r="ABB95" s="367">
        <v>15.38</v>
      </c>
      <c r="ABC95" s="367" t="e">
        <f>AAZ95*ABA95*ABB95</f>
        <v>#DIV/0!</v>
      </c>
      <c r="ABD95" s="363" t="s">
        <v>153</v>
      </c>
      <c r="ABE95" s="363"/>
      <c r="ABF95" s="363"/>
      <c r="ABG95" s="364" t="s">
        <v>140</v>
      </c>
      <c r="ABH95" s="365">
        <v>0.5</v>
      </c>
      <c r="ABI95" s="366" t="e">
        <f>10/ABE93</f>
        <v>#DIV/0!</v>
      </c>
      <c r="ABJ95" s="367">
        <v>15.38</v>
      </c>
      <c r="ABK95" s="367" t="e">
        <f>ABH95*ABI95*ABJ95</f>
        <v>#DIV/0!</v>
      </c>
      <c r="ABL95" s="363" t="s">
        <v>153</v>
      </c>
      <c r="ABM95" s="363"/>
      <c r="ABN95" s="363"/>
      <c r="ABO95" s="364" t="s">
        <v>140</v>
      </c>
      <c r="ABP95" s="365">
        <v>0.5</v>
      </c>
      <c r="ABQ95" s="366" t="e">
        <f>10/ABM93</f>
        <v>#DIV/0!</v>
      </c>
      <c r="ABR95" s="367">
        <v>15.38</v>
      </c>
      <c r="ABS95" s="367" t="e">
        <f>ABP95*ABQ95*ABR95</f>
        <v>#DIV/0!</v>
      </c>
      <c r="ABT95" s="363" t="s">
        <v>153</v>
      </c>
      <c r="ABU95" s="363"/>
      <c r="ABV95" s="363"/>
      <c r="ABW95" s="364" t="s">
        <v>140</v>
      </c>
      <c r="ABX95" s="365">
        <v>0.5</v>
      </c>
      <c r="ABY95" s="366" t="e">
        <f>10/ABU93</f>
        <v>#DIV/0!</v>
      </c>
      <c r="ABZ95" s="367">
        <v>15.38</v>
      </c>
      <c r="ACA95" s="367" t="e">
        <f>ABX95*ABY95*ABZ95</f>
        <v>#DIV/0!</v>
      </c>
      <c r="ACB95" s="363" t="s">
        <v>153</v>
      </c>
      <c r="ACC95" s="363"/>
      <c r="ACD95" s="363"/>
      <c r="ACE95" s="364" t="s">
        <v>140</v>
      </c>
      <c r="ACF95" s="365">
        <v>0.5</v>
      </c>
      <c r="ACG95" s="366" t="e">
        <f>10/ACC93</f>
        <v>#DIV/0!</v>
      </c>
      <c r="ACH95" s="367">
        <v>15.38</v>
      </c>
      <c r="ACI95" s="367" t="e">
        <f>ACF95*ACG95*ACH95</f>
        <v>#DIV/0!</v>
      </c>
      <c r="ACJ95" s="363" t="s">
        <v>153</v>
      </c>
      <c r="ACK95" s="363"/>
      <c r="ACL95" s="363"/>
      <c r="ACM95" s="364" t="s">
        <v>140</v>
      </c>
      <c r="ACN95" s="365">
        <v>0.5</v>
      </c>
      <c r="ACO95" s="366" t="e">
        <f>10/ACK93</f>
        <v>#DIV/0!</v>
      </c>
      <c r="ACP95" s="367">
        <v>15.38</v>
      </c>
      <c r="ACQ95" s="367" t="e">
        <f>ACN95*ACO95*ACP95</f>
        <v>#DIV/0!</v>
      </c>
      <c r="ACR95" s="363" t="s">
        <v>153</v>
      </c>
      <c r="ACS95" s="363"/>
      <c r="ACT95" s="363"/>
      <c r="ACU95" s="364" t="s">
        <v>140</v>
      </c>
      <c r="ACV95" s="365">
        <v>0.5</v>
      </c>
      <c r="ACW95" s="366" t="e">
        <f>10/ACS93</f>
        <v>#DIV/0!</v>
      </c>
      <c r="ACX95" s="367">
        <v>15.38</v>
      </c>
      <c r="ACY95" s="367" t="e">
        <f>ACV95*ACW95*ACX95</f>
        <v>#DIV/0!</v>
      </c>
      <c r="ACZ95" s="363" t="s">
        <v>153</v>
      </c>
      <c r="ADA95" s="363"/>
      <c r="ADB95" s="363"/>
      <c r="ADC95" s="364" t="s">
        <v>140</v>
      </c>
      <c r="ADD95" s="365">
        <v>0.5</v>
      </c>
      <c r="ADE95" s="366" t="e">
        <f>10/ADA93</f>
        <v>#DIV/0!</v>
      </c>
      <c r="ADF95" s="367">
        <v>15.38</v>
      </c>
      <c r="ADG95" s="367" t="e">
        <f>ADD95*ADE95*ADF95</f>
        <v>#DIV/0!</v>
      </c>
      <c r="ADH95" s="363" t="s">
        <v>153</v>
      </c>
      <c r="ADI95" s="363"/>
      <c r="ADJ95" s="363"/>
      <c r="ADK95" s="364" t="s">
        <v>140</v>
      </c>
      <c r="ADL95" s="365">
        <v>0.5</v>
      </c>
      <c r="ADM95" s="366" t="e">
        <f>10/ADI93</f>
        <v>#DIV/0!</v>
      </c>
      <c r="ADN95" s="367">
        <v>15.38</v>
      </c>
      <c r="ADO95" s="367" t="e">
        <f>ADL95*ADM95*ADN95</f>
        <v>#DIV/0!</v>
      </c>
      <c r="ADP95" s="363" t="s">
        <v>153</v>
      </c>
      <c r="ADQ95" s="363"/>
      <c r="ADR95" s="363"/>
      <c r="ADS95" s="364" t="s">
        <v>140</v>
      </c>
      <c r="ADT95" s="365">
        <v>0.5</v>
      </c>
      <c r="ADU95" s="366" t="e">
        <f>10/ADQ93</f>
        <v>#DIV/0!</v>
      </c>
      <c r="ADV95" s="367">
        <v>15.38</v>
      </c>
      <c r="ADW95" s="367" t="e">
        <f>ADT95*ADU95*ADV95</f>
        <v>#DIV/0!</v>
      </c>
      <c r="ADX95" s="363" t="s">
        <v>153</v>
      </c>
      <c r="ADY95" s="363"/>
      <c r="ADZ95" s="363"/>
      <c r="AEA95" s="364" t="s">
        <v>140</v>
      </c>
      <c r="AEB95" s="365">
        <v>0.5</v>
      </c>
      <c r="AEC95" s="366" t="e">
        <f>10/ADY93</f>
        <v>#DIV/0!</v>
      </c>
      <c r="AED95" s="367">
        <v>15.38</v>
      </c>
      <c r="AEE95" s="367" t="e">
        <f>AEB95*AEC95*AED95</f>
        <v>#DIV/0!</v>
      </c>
      <c r="AEF95" s="363" t="s">
        <v>153</v>
      </c>
      <c r="AEG95" s="363"/>
      <c r="AEH95" s="363"/>
      <c r="AEI95" s="364" t="s">
        <v>140</v>
      </c>
      <c r="AEJ95" s="365">
        <v>0.5</v>
      </c>
      <c r="AEK95" s="366" t="e">
        <f>10/AEG93</f>
        <v>#DIV/0!</v>
      </c>
      <c r="AEL95" s="367">
        <v>15.38</v>
      </c>
      <c r="AEM95" s="367" t="e">
        <f>AEJ95*AEK95*AEL95</f>
        <v>#DIV/0!</v>
      </c>
      <c r="AEN95" s="363" t="s">
        <v>153</v>
      </c>
      <c r="AEO95" s="363"/>
      <c r="AEP95" s="363"/>
      <c r="AEQ95" s="364" t="s">
        <v>140</v>
      </c>
      <c r="AER95" s="365">
        <v>0.5</v>
      </c>
      <c r="AES95" s="366" t="e">
        <f>10/AEO93</f>
        <v>#DIV/0!</v>
      </c>
      <c r="AET95" s="367">
        <v>15.38</v>
      </c>
      <c r="AEU95" s="367" t="e">
        <f>AER95*AES95*AET95</f>
        <v>#DIV/0!</v>
      </c>
      <c r="AEV95" s="363" t="s">
        <v>153</v>
      </c>
      <c r="AEW95" s="363"/>
      <c r="AEX95" s="363"/>
      <c r="AEY95" s="364" t="s">
        <v>140</v>
      </c>
      <c r="AEZ95" s="365">
        <v>0.5</v>
      </c>
      <c r="AFA95" s="366" t="e">
        <f>10/AEW93</f>
        <v>#DIV/0!</v>
      </c>
      <c r="AFB95" s="367">
        <v>15.38</v>
      </c>
      <c r="AFC95" s="367" t="e">
        <f>AEZ95*AFA95*AFB95</f>
        <v>#DIV/0!</v>
      </c>
      <c r="AFD95" s="363" t="s">
        <v>153</v>
      </c>
      <c r="AFE95" s="363"/>
      <c r="AFF95" s="363"/>
      <c r="AFG95" s="364" t="s">
        <v>140</v>
      </c>
      <c r="AFH95" s="365">
        <v>0.5</v>
      </c>
      <c r="AFI95" s="366" t="e">
        <f>10/AFE93</f>
        <v>#DIV/0!</v>
      </c>
      <c r="AFJ95" s="367">
        <v>15.38</v>
      </c>
      <c r="AFK95" s="367" t="e">
        <f>AFH95*AFI95*AFJ95</f>
        <v>#DIV/0!</v>
      </c>
      <c r="AFL95" s="363" t="s">
        <v>153</v>
      </c>
      <c r="AFM95" s="363"/>
      <c r="AFN95" s="363"/>
      <c r="AFO95" s="364" t="s">
        <v>140</v>
      </c>
      <c r="AFP95" s="365">
        <v>0.5</v>
      </c>
      <c r="AFQ95" s="366" t="e">
        <f>10/AFM93</f>
        <v>#DIV/0!</v>
      </c>
      <c r="AFR95" s="367">
        <v>15.38</v>
      </c>
      <c r="AFS95" s="367" t="e">
        <f>AFP95*AFQ95*AFR95</f>
        <v>#DIV/0!</v>
      </c>
      <c r="AFT95" s="363" t="s">
        <v>153</v>
      </c>
      <c r="AFU95" s="363"/>
      <c r="AFV95" s="363"/>
      <c r="AFW95" s="364" t="s">
        <v>140</v>
      </c>
      <c r="AFX95" s="365">
        <v>0.5</v>
      </c>
      <c r="AFY95" s="366" t="e">
        <f>10/AFU93</f>
        <v>#DIV/0!</v>
      </c>
      <c r="AFZ95" s="367">
        <v>15.38</v>
      </c>
      <c r="AGA95" s="367" t="e">
        <f>AFX95*AFY95*AFZ95</f>
        <v>#DIV/0!</v>
      </c>
      <c r="AGB95" s="363" t="s">
        <v>153</v>
      </c>
      <c r="AGC95" s="363"/>
      <c r="AGD95" s="363"/>
      <c r="AGE95" s="364" t="s">
        <v>140</v>
      </c>
      <c r="AGF95" s="365">
        <v>0.5</v>
      </c>
      <c r="AGG95" s="366" t="e">
        <f>10/AGC93</f>
        <v>#DIV/0!</v>
      </c>
      <c r="AGH95" s="367">
        <v>15.38</v>
      </c>
      <c r="AGI95" s="367" t="e">
        <f>AGF95*AGG95*AGH95</f>
        <v>#DIV/0!</v>
      </c>
      <c r="AGJ95" s="363" t="s">
        <v>153</v>
      </c>
      <c r="AGK95" s="363"/>
      <c r="AGL95" s="363"/>
      <c r="AGM95" s="364" t="s">
        <v>140</v>
      </c>
      <c r="AGN95" s="365">
        <v>0.5</v>
      </c>
      <c r="AGO95" s="366" t="e">
        <f>10/AGK93</f>
        <v>#DIV/0!</v>
      </c>
      <c r="AGP95" s="367">
        <v>15.38</v>
      </c>
      <c r="AGQ95" s="367" t="e">
        <f>AGN95*AGO95*AGP95</f>
        <v>#DIV/0!</v>
      </c>
      <c r="AGR95" s="363" t="s">
        <v>153</v>
      </c>
      <c r="AGS95" s="363"/>
      <c r="AGT95" s="363"/>
      <c r="AGU95" s="364" t="s">
        <v>140</v>
      </c>
      <c r="AGV95" s="365">
        <v>0.5</v>
      </c>
      <c r="AGW95" s="366" t="e">
        <f>10/AGS93</f>
        <v>#DIV/0!</v>
      </c>
      <c r="AGX95" s="367">
        <v>15.38</v>
      </c>
      <c r="AGY95" s="367" t="e">
        <f>AGV95*AGW95*AGX95</f>
        <v>#DIV/0!</v>
      </c>
      <c r="AGZ95" s="363" t="s">
        <v>153</v>
      </c>
      <c r="AHA95" s="363"/>
      <c r="AHB95" s="363"/>
      <c r="AHC95" s="364" t="s">
        <v>140</v>
      </c>
      <c r="AHD95" s="365">
        <v>0.5</v>
      </c>
      <c r="AHE95" s="366" t="e">
        <f>10/AHA93</f>
        <v>#DIV/0!</v>
      </c>
      <c r="AHF95" s="367">
        <v>15.38</v>
      </c>
      <c r="AHG95" s="367" t="e">
        <f>AHD95*AHE95*AHF95</f>
        <v>#DIV/0!</v>
      </c>
      <c r="AHH95" s="363" t="s">
        <v>153</v>
      </c>
      <c r="AHI95" s="363"/>
      <c r="AHJ95" s="363"/>
      <c r="AHK95" s="364" t="s">
        <v>140</v>
      </c>
      <c r="AHL95" s="365">
        <v>0.5</v>
      </c>
      <c r="AHM95" s="366" t="e">
        <f>10/AHI93</f>
        <v>#DIV/0!</v>
      </c>
      <c r="AHN95" s="367">
        <v>15.38</v>
      </c>
      <c r="AHO95" s="367" t="e">
        <f>AHL95*AHM95*AHN95</f>
        <v>#DIV/0!</v>
      </c>
      <c r="AHP95" s="363" t="s">
        <v>153</v>
      </c>
      <c r="AHQ95" s="363"/>
      <c r="AHR95" s="363"/>
      <c r="AHS95" s="364" t="s">
        <v>140</v>
      </c>
      <c r="AHT95" s="365">
        <v>0.5</v>
      </c>
      <c r="AHU95" s="366" t="e">
        <f>10/AHQ93</f>
        <v>#DIV/0!</v>
      </c>
      <c r="AHV95" s="367">
        <v>15.38</v>
      </c>
      <c r="AHW95" s="367" t="e">
        <f>AHT95*AHU95*AHV95</f>
        <v>#DIV/0!</v>
      </c>
      <c r="AHX95" s="363" t="s">
        <v>153</v>
      </c>
      <c r="AHY95" s="363"/>
      <c r="AHZ95" s="363"/>
      <c r="AIA95" s="364" t="s">
        <v>140</v>
      </c>
      <c r="AIB95" s="365">
        <v>0.5</v>
      </c>
      <c r="AIC95" s="366" t="e">
        <f>10/AHY93</f>
        <v>#DIV/0!</v>
      </c>
      <c r="AID95" s="367">
        <v>15.38</v>
      </c>
      <c r="AIE95" s="367" t="e">
        <f>AIB95*AIC95*AID95</f>
        <v>#DIV/0!</v>
      </c>
      <c r="AIF95" s="363" t="s">
        <v>153</v>
      </c>
      <c r="AIG95" s="363"/>
      <c r="AIH95" s="363"/>
      <c r="AII95" s="364" t="s">
        <v>140</v>
      </c>
      <c r="AIJ95" s="365">
        <v>0.5</v>
      </c>
      <c r="AIK95" s="366" t="e">
        <f>10/AIG93</f>
        <v>#DIV/0!</v>
      </c>
      <c r="AIL95" s="367">
        <v>15.38</v>
      </c>
      <c r="AIM95" s="367" t="e">
        <f>AIJ95*AIK95*AIL95</f>
        <v>#DIV/0!</v>
      </c>
      <c r="AIN95" s="363" t="s">
        <v>153</v>
      </c>
      <c r="AIO95" s="363"/>
      <c r="AIP95" s="363"/>
      <c r="AIQ95" s="364" t="s">
        <v>140</v>
      </c>
      <c r="AIR95" s="365">
        <v>0.5</v>
      </c>
      <c r="AIS95" s="366" t="e">
        <f>10/AIO93</f>
        <v>#DIV/0!</v>
      </c>
      <c r="AIT95" s="367">
        <v>15.38</v>
      </c>
      <c r="AIU95" s="367" t="e">
        <f>AIR95*AIS95*AIT95</f>
        <v>#DIV/0!</v>
      </c>
      <c r="AIV95" s="363" t="s">
        <v>153</v>
      </c>
      <c r="AIW95" s="363"/>
      <c r="AIX95" s="363"/>
      <c r="AIY95" s="364" t="s">
        <v>140</v>
      </c>
      <c r="AIZ95" s="365">
        <v>0.5</v>
      </c>
      <c r="AJA95" s="366" t="e">
        <f>10/AIW93</f>
        <v>#DIV/0!</v>
      </c>
      <c r="AJB95" s="367">
        <v>15.38</v>
      </c>
      <c r="AJC95" s="367" t="e">
        <f>AIZ95*AJA95*AJB95</f>
        <v>#DIV/0!</v>
      </c>
      <c r="AJD95" s="363" t="s">
        <v>153</v>
      </c>
      <c r="AJE95" s="363"/>
      <c r="AJF95" s="363"/>
      <c r="AJG95" s="364" t="s">
        <v>140</v>
      </c>
      <c r="AJH95" s="365">
        <v>0.5</v>
      </c>
      <c r="AJI95" s="366" t="e">
        <f>10/AJE93</f>
        <v>#DIV/0!</v>
      </c>
      <c r="AJJ95" s="367">
        <v>15.38</v>
      </c>
      <c r="AJK95" s="367" t="e">
        <f>AJH95*AJI95*AJJ95</f>
        <v>#DIV/0!</v>
      </c>
      <c r="AJL95" s="363" t="s">
        <v>153</v>
      </c>
      <c r="AJM95" s="363"/>
      <c r="AJN95" s="363"/>
      <c r="AJO95" s="364" t="s">
        <v>140</v>
      </c>
      <c r="AJP95" s="365">
        <v>0.5</v>
      </c>
      <c r="AJQ95" s="366" t="e">
        <f>10/AJM93</f>
        <v>#DIV/0!</v>
      </c>
      <c r="AJR95" s="367">
        <v>15.38</v>
      </c>
      <c r="AJS95" s="367" t="e">
        <f>AJP95*AJQ95*AJR95</f>
        <v>#DIV/0!</v>
      </c>
      <c r="AJT95" s="363" t="s">
        <v>153</v>
      </c>
      <c r="AJU95" s="363"/>
      <c r="AJV95" s="363"/>
      <c r="AJW95" s="364" t="s">
        <v>140</v>
      </c>
      <c r="AJX95" s="365">
        <v>0.5</v>
      </c>
      <c r="AJY95" s="366" t="e">
        <f>10/AJU93</f>
        <v>#DIV/0!</v>
      </c>
      <c r="AJZ95" s="367">
        <v>15.38</v>
      </c>
      <c r="AKA95" s="367" t="e">
        <f>AJX95*AJY95*AJZ95</f>
        <v>#DIV/0!</v>
      </c>
      <c r="AKB95" s="363" t="s">
        <v>153</v>
      </c>
      <c r="AKC95" s="363"/>
      <c r="AKD95" s="363"/>
      <c r="AKE95" s="364" t="s">
        <v>140</v>
      </c>
      <c r="AKF95" s="365">
        <v>0.5</v>
      </c>
      <c r="AKG95" s="366" t="e">
        <f>10/AKC93</f>
        <v>#DIV/0!</v>
      </c>
      <c r="AKH95" s="367">
        <v>15.38</v>
      </c>
      <c r="AKI95" s="367" t="e">
        <f>AKF95*AKG95*AKH95</f>
        <v>#DIV/0!</v>
      </c>
      <c r="AKJ95" s="363" t="s">
        <v>153</v>
      </c>
      <c r="AKK95" s="363"/>
      <c r="AKL95" s="363"/>
      <c r="AKM95" s="364" t="s">
        <v>140</v>
      </c>
      <c r="AKN95" s="365">
        <v>0.5</v>
      </c>
      <c r="AKO95" s="366" t="e">
        <f>10/AKK93</f>
        <v>#DIV/0!</v>
      </c>
      <c r="AKP95" s="367">
        <v>15.38</v>
      </c>
      <c r="AKQ95" s="367" t="e">
        <f>AKN95*AKO95*AKP95</f>
        <v>#DIV/0!</v>
      </c>
      <c r="AKR95" s="363" t="s">
        <v>153</v>
      </c>
      <c r="AKS95" s="363"/>
      <c r="AKT95" s="363"/>
      <c r="AKU95" s="364" t="s">
        <v>140</v>
      </c>
      <c r="AKV95" s="365">
        <v>0.5</v>
      </c>
      <c r="AKW95" s="366" t="e">
        <f>10/AKS93</f>
        <v>#DIV/0!</v>
      </c>
      <c r="AKX95" s="367">
        <v>15.38</v>
      </c>
      <c r="AKY95" s="367" t="e">
        <f>AKV95*AKW95*AKX95</f>
        <v>#DIV/0!</v>
      </c>
      <c r="AKZ95" s="363" t="s">
        <v>153</v>
      </c>
      <c r="ALA95" s="363"/>
      <c r="ALB95" s="363"/>
      <c r="ALC95" s="364" t="s">
        <v>140</v>
      </c>
      <c r="ALD95" s="365">
        <v>0.5</v>
      </c>
      <c r="ALE95" s="366" t="e">
        <f>10/ALA93</f>
        <v>#DIV/0!</v>
      </c>
      <c r="ALF95" s="367">
        <v>15.38</v>
      </c>
      <c r="ALG95" s="367" t="e">
        <f>ALD95*ALE95*ALF95</f>
        <v>#DIV/0!</v>
      </c>
      <c r="ALH95" s="363" t="s">
        <v>153</v>
      </c>
      <c r="ALI95" s="363"/>
      <c r="ALJ95" s="363"/>
      <c r="ALK95" s="364" t="s">
        <v>140</v>
      </c>
      <c r="ALL95" s="365">
        <v>0.5</v>
      </c>
      <c r="ALM95" s="366" t="e">
        <f>10/ALI93</f>
        <v>#DIV/0!</v>
      </c>
      <c r="ALN95" s="367">
        <v>15.38</v>
      </c>
      <c r="ALO95" s="367" t="e">
        <f>ALL95*ALM95*ALN95</f>
        <v>#DIV/0!</v>
      </c>
      <c r="ALP95" s="363" t="s">
        <v>153</v>
      </c>
      <c r="ALQ95" s="363"/>
      <c r="ALR95" s="363"/>
      <c r="ALS95" s="364" t="s">
        <v>140</v>
      </c>
      <c r="ALT95" s="365">
        <v>0.5</v>
      </c>
      <c r="ALU95" s="366" t="e">
        <f>10/ALQ93</f>
        <v>#DIV/0!</v>
      </c>
      <c r="ALV95" s="367">
        <v>15.38</v>
      </c>
      <c r="ALW95" s="367" t="e">
        <f>ALT95*ALU95*ALV95</f>
        <v>#DIV/0!</v>
      </c>
      <c r="ALX95" s="363" t="s">
        <v>153</v>
      </c>
      <c r="ALY95" s="363"/>
      <c r="ALZ95" s="363"/>
      <c r="AMA95" s="364" t="s">
        <v>140</v>
      </c>
      <c r="AMB95" s="365">
        <v>0.5</v>
      </c>
      <c r="AMC95" s="366" t="e">
        <f>10/ALY93</f>
        <v>#DIV/0!</v>
      </c>
      <c r="AMD95" s="367">
        <v>15.38</v>
      </c>
      <c r="AME95" s="367" t="e">
        <f>AMB95*AMC95*AMD95</f>
        <v>#DIV/0!</v>
      </c>
      <c r="AMF95" s="363" t="s">
        <v>153</v>
      </c>
      <c r="AMG95" s="363"/>
      <c r="AMH95" s="363"/>
      <c r="AMI95" s="364" t="s">
        <v>140</v>
      </c>
      <c r="AMJ95" s="365">
        <v>0.5</v>
      </c>
      <c r="AMK95" s="366" t="e">
        <f>10/AMG93</f>
        <v>#DIV/0!</v>
      </c>
      <c r="AML95" s="367">
        <v>15.38</v>
      </c>
      <c r="AMM95" s="367" t="e">
        <f>AMJ95*AMK95*AML95</f>
        <v>#DIV/0!</v>
      </c>
      <c r="AMN95" s="363" t="s">
        <v>153</v>
      </c>
      <c r="AMO95" s="363"/>
      <c r="AMP95" s="363"/>
      <c r="AMQ95" s="364" t="s">
        <v>140</v>
      </c>
      <c r="AMR95" s="365">
        <v>0.5</v>
      </c>
      <c r="AMS95" s="366" t="e">
        <f>10/AMO93</f>
        <v>#DIV/0!</v>
      </c>
      <c r="AMT95" s="367">
        <v>15.38</v>
      </c>
      <c r="AMU95" s="367" t="e">
        <f>AMR95*AMS95*AMT95</f>
        <v>#DIV/0!</v>
      </c>
      <c r="AMV95" s="363" t="s">
        <v>153</v>
      </c>
      <c r="AMW95" s="363"/>
      <c r="AMX95" s="363"/>
      <c r="AMY95" s="364" t="s">
        <v>140</v>
      </c>
      <c r="AMZ95" s="365">
        <v>0.5</v>
      </c>
      <c r="ANA95" s="366" t="e">
        <f>10/AMW93</f>
        <v>#DIV/0!</v>
      </c>
      <c r="ANB95" s="367">
        <v>15.38</v>
      </c>
      <c r="ANC95" s="367" t="e">
        <f>AMZ95*ANA95*ANB95</f>
        <v>#DIV/0!</v>
      </c>
      <c r="AND95" s="363" t="s">
        <v>153</v>
      </c>
      <c r="ANE95" s="363"/>
      <c r="ANF95" s="363"/>
      <c r="ANG95" s="364" t="s">
        <v>140</v>
      </c>
      <c r="ANH95" s="365">
        <v>0.5</v>
      </c>
      <c r="ANI95" s="366" t="e">
        <f>10/ANE93</f>
        <v>#DIV/0!</v>
      </c>
      <c r="ANJ95" s="367">
        <v>15.38</v>
      </c>
      <c r="ANK95" s="367" t="e">
        <f>ANH95*ANI95*ANJ95</f>
        <v>#DIV/0!</v>
      </c>
      <c r="ANL95" s="363" t="s">
        <v>153</v>
      </c>
      <c r="ANM95" s="363"/>
      <c r="ANN95" s="363"/>
      <c r="ANO95" s="364" t="s">
        <v>140</v>
      </c>
      <c r="ANP95" s="365">
        <v>0.5</v>
      </c>
      <c r="ANQ95" s="366" t="e">
        <f>10/ANM93</f>
        <v>#DIV/0!</v>
      </c>
      <c r="ANR95" s="367">
        <v>15.38</v>
      </c>
      <c r="ANS95" s="367" t="e">
        <f>ANP95*ANQ95*ANR95</f>
        <v>#DIV/0!</v>
      </c>
      <c r="ANT95" s="363" t="s">
        <v>153</v>
      </c>
      <c r="ANU95" s="363"/>
      <c r="ANV95" s="363"/>
      <c r="ANW95" s="364" t="s">
        <v>140</v>
      </c>
      <c r="ANX95" s="365">
        <v>0.5</v>
      </c>
      <c r="ANY95" s="366" t="e">
        <f>10/ANU93</f>
        <v>#DIV/0!</v>
      </c>
      <c r="ANZ95" s="367">
        <v>15.38</v>
      </c>
      <c r="AOA95" s="367" t="e">
        <f>ANX95*ANY95*ANZ95</f>
        <v>#DIV/0!</v>
      </c>
      <c r="AOB95" s="363" t="s">
        <v>153</v>
      </c>
      <c r="AOC95" s="363"/>
      <c r="AOD95" s="363"/>
      <c r="AOE95" s="364" t="s">
        <v>140</v>
      </c>
      <c r="AOF95" s="365">
        <v>0.5</v>
      </c>
      <c r="AOG95" s="366" t="e">
        <f>10/AOC93</f>
        <v>#DIV/0!</v>
      </c>
      <c r="AOH95" s="367">
        <v>15.38</v>
      </c>
      <c r="AOI95" s="367" t="e">
        <f>AOF95*AOG95*AOH95</f>
        <v>#DIV/0!</v>
      </c>
      <c r="AOJ95" s="363" t="s">
        <v>153</v>
      </c>
      <c r="AOK95" s="363"/>
      <c r="AOL95" s="363"/>
      <c r="AOM95" s="364" t="s">
        <v>140</v>
      </c>
      <c r="AON95" s="365">
        <v>0.5</v>
      </c>
      <c r="AOO95" s="366" t="e">
        <f>10/AOK93</f>
        <v>#DIV/0!</v>
      </c>
      <c r="AOP95" s="367">
        <v>15.38</v>
      </c>
      <c r="AOQ95" s="367" t="e">
        <f>AON95*AOO95*AOP95</f>
        <v>#DIV/0!</v>
      </c>
      <c r="AOR95" s="363" t="s">
        <v>153</v>
      </c>
      <c r="AOS95" s="363"/>
      <c r="AOT95" s="363"/>
      <c r="AOU95" s="364" t="s">
        <v>140</v>
      </c>
      <c r="AOV95" s="365">
        <v>0.5</v>
      </c>
      <c r="AOW95" s="366" t="e">
        <f>10/AOS93</f>
        <v>#DIV/0!</v>
      </c>
      <c r="AOX95" s="367">
        <v>15.38</v>
      </c>
      <c r="AOY95" s="367" t="e">
        <f>AOV95*AOW95*AOX95</f>
        <v>#DIV/0!</v>
      </c>
      <c r="AOZ95" s="363" t="s">
        <v>153</v>
      </c>
      <c r="APA95" s="363"/>
      <c r="APB95" s="363"/>
      <c r="APC95" s="364" t="s">
        <v>140</v>
      </c>
      <c r="APD95" s="365">
        <v>0.5</v>
      </c>
      <c r="APE95" s="366" t="e">
        <f>10/APA93</f>
        <v>#DIV/0!</v>
      </c>
      <c r="APF95" s="367">
        <v>15.38</v>
      </c>
      <c r="APG95" s="367" t="e">
        <f>APD95*APE95*APF95</f>
        <v>#DIV/0!</v>
      </c>
      <c r="APH95" s="363" t="s">
        <v>153</v>
      </c>
      <c r="API95" s="363"/>
      <c r="APJ95" s="363"/>
      <c r="APK95" s="364" t="s">
        <v>140</v>
      </c>
      <c r="APL95" s="365">
        <v>0.5</v>
      </c>
      <c r="APM95" s="366" t="e">
        <f>10/API93</f>
        <v>#DIV/0!</v>
      </c>
      <c r="APN95" s="367">
        <v>15.38</v>
      </c>
      <c r="APO95" s="367" t="e">
        <f>APL95*APM95*APN95</f>
        <v>#DIV/0!</v>
      </c>
      <c r="APP95" s="363" t="s">
        <v>153</v>
      </c>
      <c r="APQ95" s="363"/>
      <c r="APR95" s="363"/>
      <c r="APS95" s="364" t="s">
        <v>140</v>
      </c>
      <c r="APT95" s="365">
        <v>0.5</v>
      </c>
      <c r="APU95" s="366" t="e">
        <f>10/APQ93</f>
        <v>#DIV/0!</v>
      </c>
      <c r="APV95" s="367">
        <v>15.38</v>
      </c>
      <c r="APW95" s="367" t="e">
        <f>APT95*APU95*APV95</f>
        <v>#DIV/0!</v>
      </c>
      <c r="APX95" s="363" t="s">
        <v>153</v>
      </c>
      <c r="APY95" s="363"/>
      <c r="APZ95" s="363"/>
      <c r="AQA95" s="364" t="s">
        <v>140</v>
      </c>
      <c r="AQB95" s="365">
        <v>0.5</v>
      </c>
      <c r="AQC95" s="366" t="e">
        <f>10/APY93</f>
        <v>#DIV/0!</v>
      </c>
      <c r="AQD95" s="367">
        <v>15.38</v>
      </c>
      <c r="AQE95" s="367" t="e">
        <f>AQB95*AQC95*AQD95</f>
        <v>#DIV/0!</v>
      </c>
      <c r="AQF95" s="363" t="s">
        <v>153</v>
      </c>
      <c r="AQG95" s="363"/>
      <c r="AQH95" s="363"/>
      <c r="AQI95" s="364" t="s">
        <v>140</v>
      </c>
      <c r="AQJ95" s="365">
        <v>0.5</v>
      </c>
      <c r="AQK95" s="366" t="e">
        <f>10/AQG93</f>
        <v>#DIV/0!</v>
      </c>
      <c r="AQL95" s="367">
        <v>15.38</v>
      </c>
      <c r="AQM95" s="367" t="e">
        <f>AQJ95*AQK95*AQL95</f>
        <v>#DIV/0!</v>
      </c>
      <c r="AQN95" s="363" t="s">
        <v>153</v>
      </c>
      <c r="AQO95" s="363"/>
      <c r="AQP95" s="363"/>
      <c r="AQQ95" s="364" t="s">
        <v>140</v>
      </c>
      <c r="AQR95" s="365">
        <v>0.5</v>
      </c>
      <c r="AQS95" s="366" t="e">
        <f>10/AQO93</f>
        <v>#DIV/0!</v>
      </c>
      <c r="AQT95" s="367">
        <v>15.38</v>
      </c>
      <c r="AQU95" s="367" t="e">
        <f>AQR95*AQS95*AQT95</f>
        <v>#DIV/0!</v>
      </c>
      <c r="AQV95" s="363" t="s">
        <v>153</v>
      </c>
      <c r="AQW95" s="363"/>
      <c r="AQX95" s="363"/>
      <c r="AQY95" s="364" t="s">
        <v>140</v>
      </c>
      <c r="AQZ95" s="365">
        <v>0.5</v>
      </c>
      <c r="ARA95" s="366" t="e">
        <f>10/AQW93</f>
        <v>#DIV/0!</v>
      </c>
      <c r="ARB95" s="367">
        <v>15.38</v>
      </c>
      <c r="ARC95" s="367" t="e">
        <f>AQZ95*ARA95*ARB95</f>
        <v>#DIV/0!</v>
      </c>
      <c r="ARD95" s="363" t="s">
        <v>153</v>
      </c>
      <c r="ARE95" s="363"/>
      <c r="ARF95" s="363"/>
      <c r="ARG95" s="364" t="s">
        <v>140</v>
      </c>
      <c r="ARH95" s="365">
        <v>0.5</v>
      </c>
      <c r="ARI95" s="366" t="e">
        <f>10/ARE93</f>
        <v>#DIV/0!</v>
      </c>
      <c r="ARJ95" s="367">
        <v>15.38</v>
      </c>
      <c r="ARK95" s="367" t="e">
        <f>ARH95*ARI95*ARJ95</f>
        <v>#DIV/0!</v>
      </c>
      <c r="ARL95" s="363" t="s">
        <v>153</v>
      </c>
      <c r="ARM95" s="363"/>
      <c r="ARN95" s="363"/>
      <c r="ARO95" s="364" t="s">
        <v>140</v>
      </c>
      <c r="ARP95" s="365">
        <v>0.5</v>
      </c>
      <c r="ARQ95" s="366" t="e">
        <f>10/ARM93</f>
        <v>#DIV/0!</v>
      </c>
      <c r="ARR95" s="367">
        <v>15.38</v>
      </c>
      <c r="ARS95" s="367" t="e">
        <f>ARP95*ARQ95*ARR95</f>
        <v>#DIV/0!</v>
      </c>
      <c r="ART95" s="363" t="s">
        <v>153</v>
      </c>
      <c r="ARU95" s="363"/>
      <c r="ARV95" s="363"/>
      <c r="ARW95" s="364" t="s">
        <v>140</v>
      </c>
      <c r="ARX95" s="365">
        <v>0.5</v>
      </c>
      <c r="ARY95" s="366" t="e">
        <f>10/ARU93</f>
        <v>#DIV/0!</v>
      </c>
      <c r="ARZ95" s="367">
        <v>15.38</v>
      </c>
      <c r="ASA95" s="367" t="e">
        <f>ARX95*ARY95*ARZ95</f>
        <v>#DIV/0!</v>
      </c>
      <c r="ASB95" s="363" t="s">
        <v>153</v>
      </c>
      <c r="ASC95" s="363"/>
      <c r="ASD95" s="363"/>
      <c r="ASE95" s="364" t="s">
        <v>140</v>
      </c>
      <c r="ASF95" s="365">
        <v>0.5</v>
      </c>
      <c r="ASG95" s="366" t="e">
        <f>10/ASC93</f>
        <v>#DIV/0!</v>
      </c>
      <c r="ASH95" s="367">
        <v>15.38</v>
      </c>
      <c r="ASI95" s="367" t="e">
        <f>ASF95*ASG95*ASH95</f>
        <v>#DIV/0!</v>
      </c>
      <c r="ASJ95" s="363" t="s">
        <v>153</v>
      </c>
      <c r="ASK95" s="363"/>
      <c r="ASL95" s="363"/>
      <c r="ASM95" s="364" t="s">
        <v>140</v>
      </c>
      <c r="ASN95" s="365">
        <v>0.5</v>
      </c>
      <c r="ASO95" s="366" t="e">
        <f>10/ASK93</f>
        <v>#DIV/0!</v>
      </c>
      <c r="ASP95" s="367">
        <v>15.38</v>
      </c>
      <c r="ASQ95" s="367" t="e">
        <f>ASN95*ASO95*ASP95</f>
        <v>#DIV/0!</v>
      </c>
      <c r="ASR95" s="363" t="s">
        <v>153</v>
      </c>
      <c r="ASS95" s="363"/>
      <c r="AST95" s="363"/>
      <c r="ASU95" s="364" t="s">
        <v>140</v>
      </c>
      <c r="ASV95" s="365">
        <v>0.5</v>
      </c>
      <c r="ASW95" s="366" t="e">
        <f>10/ASS93</f>
        <v>#DIV/0!</v>
      </c>
      <c r="ASX95" s="367">
        <v>15.38</v>
      </c>
      <c r="ASY95" s="367" t="e">
        <f>ASV95*ASW95*ASX95</f>
        <v>#DIV/0!</v>
      </c>
      <c r="ASZ95" s="363" t="s">
        <v>153</v>
      </c>
      <c r="ATA95" s="363"/>
      <c r="ATB95" s="363"/>
      <c r="ATC95" s="364" t="s">
        <v>140</v>
      </c>
      <c r="ATD95" s="365">
        <v>0.5</v>
      </c>
      <c r="ATE95" s="366" t="e">
        <f>10/ATA93</f>
        <v>#DIV/0!</v>
      </c>
      <c r="ATF95" s="367">
        <v>15.38</v>
      </c>
      <c r="ATG95" s="367" t="e">
        <f>ATD95*ATE95*ATF95</f>
        <v>#DIV/0!</v>
      </c>
      <c r="ATH95" s="363" t="s">
        <v>153</v>
      </c>
      <c r="ATI95" s="363"/>
      <c r="ATJ95" s="363"/>
      <c r="ATK95" s="364" t="s">
        <v>140</v>
      </c>
      <c r="ATL95" s="365">
        <v>0.5</v>
      </c>
      <c r="ATM95" s="366" t="e">
        <f>10/ATI93</f>
        <v>#DIV/0!</v>
      </c>
      <c r="ATN95" s="367">
        <v>15.38</v>
      </c>
      <c r="ATO95" s="367" t="e">
        <f>ATL95*ATM95*ATN95</f>
        <v>#DIV/0!</v>
      </c>
      <c r="ATP95" s="363" t="s">
        <v>153</v>
      </c>
      <c r="ATQ95" s="363"/>
      <c r="ATR95" s="363"/>
      <c r="ATS95" s="364" t="s">
        <v>140</v>
      </c>
      <c r="ATT95" s="365">
        <v>0.5</v>
      </c>
      <c r="ATU95" s="366" t="e">
        <f>10/ATQ93</f>
        <v>#DIV/0!</v>
      </c>
      <c r="ATV95" s="367">
        <v>15.38</v>
      </c>
      <c r="ATW95" s="367" t="e">
        <f>ATT95*ATU95*ATV95</f>
        <v>#DIV/0!</v>
      </c>
      <c r="ATX95" s="363" t="s">
        <v>153</v>
      </c>
      <c r="ATY95" s="363"/>
      <c r="ATZ95" s="363"/>
      <c r="AUA95" s="364" t="s">
        <v>140</v>
      </c>
      <c r="AUB95" s="365">
        <v>0.5</v>
      </c>
      <c r="AUC95" s="366" t="e">
        <f>10/ATY93</f>
        <v>#DIV/0!</v>
      </c>
      <c r="AUD95" s="367">
        <v>15.38</v>
      </c>
      <c r="AUE95" s="367" t="e">
        <f>AUB95*AUC95*AUD95</f>
        <v>#DIV/0!</v>
      </c>
      <c r="AUF95" s="363" t="s">
        <v>153</v>
      </c>
      <c r="AUG95" s="363"/>
      <c r="AUH95" s="363"/>
      <c r="AUI95" s="364" t="s">
        <v>140</v>
      </c>
      <c r="AUJ95" s="365">
        <v>0.5</v>
      </c>
      <c r="AUK95" s="366" t="e">
        <f>10/AUG93</f>
        <v>#DIV/0!</v>
      </c>
      <c r="AUL95" s="367">
        <v>15.38</v>
      </c>
      <c r="AUM95" s="367" t="e">
        <f>AUJ95*AUK95*AUL95</f>
        <v>#DIV/0!</v>
      </c>
      <c r="AUN95" s="363" t="s">
        <v>153</v>
      </c>
      <c r="AUO95" s="363"/>
      <c r="AUP95" s="363"/>
      <c r="AUQ95" s="364" t="s">
        <v>140</v>
      </c>
      <c r="AUR95" s="365">
        <v>0.5</v>
      </c>
      <c r="AUS95" s="366" t="e">
        <f>10/AUO93</f>
        <v>#DIV/0!</v>
      </c>
      <c r="AUT95" s="367">
        <v>15.38</v>
      </c>
      <c r="AUU95" s="367" t="e">
        <f>AUR95*AUS95*AUT95</f>
        <v>#DIV/0!</v>
      </c>
      <c r="AUV95" s="363" t="s">
        <v>153</v>
      </c>
      <c r="AUW95" s="363"/>
      <c r="AUX95" s="363"/>
      <c r="AUY95" s="364" t="s">
        <v>140</v>
      </c>
      <c r="AUZ95" s="365">
        <v>0.5</v>
      </c>
      <c r="AVA95" s="366" t="e">
        <f>10/AUW93</f>
        <v>#DIV/0!</v>
      </c>
      <c r="AVB95" s="367">
        <v>15.38</v>
      </c>
      <c r="AVC95" s="367" t="e">
        <f>AUZ95*AVA95*AVB95</f>
        <v>#DIV/0!</v>
      </c>
      <c r="AVD95" s="363" t="s">
        <v>153</v>
      </c>
      <c r="AVE95" s="363"/>
      <c r="AVF95" s="363"/>
      <c r="AVG95" s="364" t="s">
        <v>140</v>
      </c>
      <c r="AVH95" s="365">
        <v>0.5</v>
      </c>
      <c r="AVI95" s="366" t="e">
        <f>10/AVE93</f>
        <v>#DIV/0!</v>
      </c>
      <c r="AVJ95" s="367">
        <v>15.38</v>
      </c>
      <c r="AVK95" s="367" t="e">
        <f>AVH95*AVI95*AVJ95</f>
        <v>#DIV/0!</v>
      </c>
      <c r="AVL95" s="363" t="s">
        <v>153</v>
      </c>
      <c r="AVM95" s="363"/>
      <c r="AVN95" s="363"/>
      <c r="AVO95" s="364" t="s">
        <v>140</v>
      </c>
      <c r="AVP95" s="365">
        <v>0.5</v>
      </c>
      <c r="AVQ95" s="366" t="e">
        <f>10/AVM93</f>
        <v>#DIV/0!</v>
      </c>
      <c r="AVR95" s="367">
        <v>15.38</v>
      </c>
      <c r="AVS95" s="367" t="e">
        <f>AVP95*AVQ95*AVR95</f>
        <v>#DIV/0!</v>
      </c>
      <c r="AVT95" s="363" t="s">
        <v>153</v>
      </c>
      <c r="AVU95" s="363"/>
      <c r="AVV95" s="363"/>
      <c r="AVW95" s="364" t="s">
        <v>140</v>
      </c>
      <c r="AVX95" s="365">
        <v>0.5</v>
      </c>
      <c r="AVY95" s="366" t="e">
        <f>10/AVU93</f>
        <v>#DIV/0!</v>
      </c>
      <c r="AVZ95" s="367">
        <v>15.38</v>
      </c>
      <c r="AWA95" s="367" t="e">
        <f>AVX95*AVY95*AVZ95</f>
        <v>#DIV/0!</v>
      </c>
      <c r="AWB95" s="363" t="s">
        <v>153</v>
      </c>
      <c r="AWC95" s="363"/>
      <c r="AWD95" s="363"/>
      <c r="AWE95" s="364" t="s">
        <v>140</v>
      </c>
      <c r="AWF95" s="365">
        <v>0.5</v>
      </c>
      <c r="AWG95" s="366" t="e">
        <f>10/AWC93</f>
        <v>#DIV/0!</v>
      </c>
      <c r="AWH95" s="367">
        <v>15.38</v>
      </c>
      <c r="AWI95" s="367" t="e">
        <f>AWF95*AWG95*AWH95</f>
        <v>#DIV/0!</v>
      </c>
      <c r="AWJ95" s="363" t="s">
        <v>153</v>
      </c>
      <c r="AWK95" s="363"/>
      <c r="AWL95" s="363"/>
      <c r="AWM95" s="364" t="s">
        <v>140</v>
      </c>
      <c r="AWN95" s="365">
        <v>0.5</v>
      </c>
      <c r="AWO95" s="366" t="e">
        <f>10/AWK93</f>
        <v>#DIV/0!</v>
      </c>
      <c r="AWP95" s="367">
        <v>15.38</v>
      </c>
      <c r="AWQ95" s="367" t="e">
        <f>AWN95*AWO95*AWP95</f>
        <v>#DIV/0!</v>
      </c>
      <c r="AWR95" s="363" t="s">
        <v>153</v>
      </c>
      <c r="AWS95" s="363"/>
      <c r="AWT95" s="363"/>
      <c r="AWU95" s="364" t="s">
        <v>140</v>
      </c>
      <c r="AWV95" s="365">
        <v>0.5</v>
      </c>
      <c r="AWW95" s="366" t="e">
        <f>10/AWS93</f>
        <v>#DIV/0!</v>
      </c>
      <c r="AWX95" s="367">
        <v>15.38</v>
      </c>
      <c r="AWY95" s="367" t="e">
        <f>AWV95*AWW95*AWX95</f>
        <v>#DIV/0!</v>
      </c>
      <c r="AWZ95" s="363" t="s">
        <v>153</v>
      </c>
      <c r="AXA95" s="363"/>
      <c r="AXB95" s="363"/>
      <c r="AXC95" s="364" t="s">
        <v>140</v>
      </c>
      <c r="AXD95" s="365">
        <v>0.5</v>
      </c>
      <c r="AXE95" s="366" t="e">
        <f>10/AXA93</f>
        <v>#DIV/0!</v>
      </c>
      <c r="AXF95" s="367">
        <v>15.38</v>
      </c>
      <c r="AXG95" s="367" t="e">
        <f>AXD95*AXE95*AXF95</f>
        <v>#DIV/0!</v>
      </c>
      <c r="AXH95" s="363" t="s">
        <v>153</v>
      </c>
      <c r="AXI95" s="363"/>
      <c r="AXJ95" s="363"/>
      <c r="AXK95" s="364" t="s">
        <v>140</v>
      </c>
      <c r="AXL95" s="365">
        <v>0.5</v>
      </c>
      <c r="AXM95" s="366" t="e">
        <f>10/AXI93</f>
        <v>#DIV/0!</v>
      </c>
      <c r="AXN95" s="367">
        <v>15.38</v>
      </c>
      <c r="AXO95" s="367" t="e">
        <f>AXL95*AXM95*AXN95</f>
        <v>#DIV/0!</v>
      </c>
      <c r="AXP95" s="363" t="s">
        <v>153</v>
      </c>
      <c r="AXQ95" s="363"/>
      <c r="AXR95" s="363"/>
      <c r="AXS95" s="364" t="s">
        <v>140</v>
      </c>
      <c r="AXT95" s="365">
        <v>0.5</v>
      </c>
      <c r="AXU95" s="366" t="e">
        <f>10/AXQ93</f>
        <v>#DIV/0!</v>
      </c>
      <c r="AXV95" s="367">
        <v>15.38</v>
      </c>
      <c r="AXW95" s="367" t="e">
        <f>AXT95*AXU95*AXV95</f>
        <v>#DIV/0!</v>
      </c>
      <c r="AXX95" s="363" t="s">
        <v>153</v>
      </c>
      <c r="AXY95" s="363"/>
      <c r="AXZ95" s="363"/>
      <c r="AYA95" s="364" t="s">
        <v>140</v>
      </c>
      <c r="AYB95" s="365">
        <v>0.5</v>
      </c>
      <c r="AYC95" s="366" t="e">
        <f>10/AXY93</f>
        <v>#DIV/0!</v>
      </c>
      <c r="AYD95" s="367">
        <v>15.38</v>
      </c>
      <c r="AYE95" s="367" t="e">
        <f>AYB95*AYC95*AYD95</f>
        <v>#DIV/0!</v>
      </c>
      <c r="AYF95" s="363" t="s">
        <v>153</v>
      </c>
      <c r="AYG95" s="363"/>
      <c r="AYH95" s="363"/>
      <c r="AYI95" s="364" t="s">
        <v>140</v>
      </c>
      <c r="AYJ95" s="365">
        <v>0.5</v>
      </c>
      <c r="AYK95" s="366" t="e">
        <f>10/AYG93</f>
        <v>#DIV/0!</v>
      </c>
      <c r="AYL95" s="367">
        <v>15.38</v>
      </c>
      <c r="AYM95" s="367" t="e">
        <f>AYJ95*AYK95*AYL95</f>
        <v>#DIV/0!</v>
      </c>
      <c r="AYN95" s="363" t="s">
        <v>153</v>
      </c>
      <c r="AYO95" s="363"/>
      <c r="AYP95" s="363"/>
      <c r="AYQ95" s="364" t="s">
        <v>140</v>
      </c>
      <c r="AYR95" s="365">
        <v>0.5</v>
      </c>
      <c r="AYS95" s="366" t="e">
        <f>10/AYO93</f>
        <v>#DIV/0!</v>
      </c>
      <c r="AYT95" s="367">
        <v>15.38</v>
      </c>
      <c r="AYU95" s="367" t="e">
        <f>AYR95*AYS95*AYT95</f>
        <v>#DIV/0!</v>
      </c>
      <c r="AYV95" s="363" t="s">
        <v>153</v>
      </c>
      <c r="AYW95" s="363"/>
      <c r="AYX95" s="363"/>
      <c r="AYY95" s="364" t="s">
        <v>140</v>
      </c>
      <c r="AYZ95" s="365">
        <v>0.5</v>
      </c>
      <c r="AZA95" s="366" t="e">
        <f>10/AYW93</f>
        <v>#DIV/0!</v>
      </c>
      <c r="AZB95" s="367">
        <v>15.38</v>
      </c>
      <c r="AZC95" s="367" t="e">
        <f>AYZ95*AZA95*AZB95</f>
        <v>#DIV/0!</v>
      </c>
      <c r="AZD95" s="363" t="s">
        <v>153</v>
      </c>
      <c r="AZE95" s="363"/>
      <c r="AZF95" s="363"/>
      <c r="AZG95" s="364" t="s">
        <v>140</v>
      </c>
      <c r="AZH95" s="365">
        <v>0.5</v>
      </c>
      <c r="AZI95" s="366" t="e">
        <f>10/AZE93</f>
        <v>#DIV/0!</v>
      </c>
      <c r="AZJ95" s="367">
        <v>15.38</v>
      </c>
      <c r="AZK95" s="367" t="e">
        <f>AZH95*AZI95*AZJ95</f>
        <v>#DIV/0!</v>
      </c>
      <c r="AZL95" s="363" t="s">
        <v>153</v>
      </c>
      <c r="AZM95" s="363"/>
      <c r="AZN95" s="363"/>
      <c r="AZO95" s="364" t="s">
        <v>140</v>
      </c>
      <c r="AZP95" s="365">
        <v>0.5</v>
      </c>
      <c r="AZQ95" s="366" t="e">
        <f>10/AZM93</f>
        <v>#DIV/0!</v>
      </c>
      <c r="AZR95" s="367">
        <v>15.38</v>
      </c>
      <c r="AZS95" s="367" t="e">
        <f>AZP95*AZQ95*AZR95</f>
        <v>#DIV/0!</v>
      </c>
      <c r="AZT95" s="363" t="s">
        <v>153</v>
      </c>
      <c r="AZU95" s="363"/>
      <c r="AZV95" s="363"/>
      <c r="AZW95" s="364" t="s">
        <v>140</v>
      </c>
      <c r="AZX95" s="365">
        <v>0.5</v>
      </c>
      <c r="AZY95" s="366" t="e">
        <f>10/AZU93</f>
        <v>#DIV/0!</v>
      </c>
      <c r="AZZ95" s="367">
        <v>15.38</v>
      </c>
      <c r="BAA95" s="367" t="e">
        <f>AZX95*AZY95*AZZ95</f>
        <v>#DIV/0!</v>
      </c>
      <c r="BAB95" s="363" t="s">
        <v>153</v>
      </c>
      <c r="BAC95" s="363"/>
      <c r="BAD95" s="363"/>
      <c r="BAE95" s="364" t="s">
        <v>140</v>
      </c>
      <c r="BAF95" s="365">
        <v>0.5</v>
      </c>
      <c r="BAG95" s="366" t="e">
        <f>10/BAC93</f>
        <v>#DIV/0!</v>
      </c>
      <c r="BAH95" s="367">
        <v>15.38</v>
      </c>
      <c r="BAI95" s="367" t="e">
        <f>BAF95*BAG95*BAH95</f>
        <v>#DIV/0!</v>
      </c>
      <c r="BAJ95" s="363" t="s">
        <v>153</v>
      </c>
      <c r="BAK95" s="363"/>
      <c r="BAL95" s="363"/>
      <c r="BAM95" s="364" t="s">
        <v>140</v>
      </c>
      <c r="BAN95" s="365">
        <v>0.5</v>
      </c>
      <c r="BAO95" s="366" t="e">
        <f>10/BAK93</f>
        <v>#DIV/0!</v>
      </c>
      <c r="BAP95" s="367">
        <v>15.38</v>
      </c>
      <c r="BAQ95" s="367" t="e">
        <f>BAN95*BAO95*BAP95</f>
        <v>#DIV/0!</v>
      </c>
      <c r="BAR95" s="363" t="s">
        <v>153</v>
      </c>
      <c r="BAS95" s="363"/>
      <c r="BAT95" s="363"/>
      <c r="BAU95" s="364" t="s">
        <v>140</v>
      </c>
      <c r="BAV95" s="365">
        <v>0.5</v>
      </c>
      <c r="BAW95" s="366" t="e">
        <f>10/BAS93</f>
        <v>#DIV/0!</v>
      </c>
      <c r="BAX95" s="367">
        <v>15.38</v>
      </c>
      <c r="BAY95" s="367" t="e">
        <f>BAV95*BAW95*BAX95</f>
        <v>#DIV/0!</v>
      </c>
      <c r="BAZ95" s="363" t="s">
        <v>153</v>
      </c>
      <c r="BBA95" s="363"/>
      <c r="BBB95" s="363"/>
      <c r="BBC95" s="364" t="s">
        <v>140</v>
      </c>
      <c r="BBD95" s="365">
        <v>0.5</v>
      </c>
      <c r="BBE95" s="366" t="e">
        <f>10/BBA93</f>
        <v>#DIV/0!</v>
      </c>
      <c r="BBF95" s="367">
        <v>15.38</v>
      </c>
      <c r="BBG95" s="367" t="e">
        <f>BBD95*BBE95*BBF95</f>
        <v>#DIV/0!</v>
      </c>
      <c r="BBH95" s="363" t="s">
        <v>153</v>
      </c>
      <c r="BBI95" s="363"/>
      <c r="BBJ95" s="363"/>
      <c r="BBK95" s="364" t="s">
        <v>140</v>
      </c>
      <c r="BBL95" s="365">
        <v>0.5</v>
      </c>
      <c r="BBM95" s="366" t="e">
        <f>10/BBI93</f>
        <v>#DIV/0!</v>
      </c>
      <c r="BBN95" s="367">
        <v>15.38</v>
      </c>
      <c r="BBO95" s="367" t="e">
        <f>BBL95*BBM95*BBN95</f>
        <v>#DIV/0!</v>
      </c>
      <c r="BBP95" s="363" t="s">
        <v>153</v>
      </c>
      <c r="BBQ95" s="363"/>
      <c r="BBR95" s="363"/>
      <c r="BBS95" s="364" t="s">
        <v>140</v>
      </c>
      <c r="BBT95" s="365">
        <v>0.5</v>
      </c>
      <c r="BBU95" s="366" t="e">
        <f>10/BBQ93</f>
        <v>#DIV/0!</v>
      </c>
      <c r="BBV95" s="367">
        <v>15.38</v>
      </c>
      <c r="BBW95" s="367" t="e">
        <f>BBT95*BBU95*BBV95</f>
        <v>#DIV/0!</v>
      </c>
      <c r="BBX95" s="363" t="s">
        <v>153</v>
      </c>
      <c r="BBY95" s="363"/>
      <c r="BBZ95" s="363"/>
      <c r="BCA95" s="364" t="s">
        <v>140</v>
      </c>
      <c r="BCB95" s="365">
        <v>0.5</v>
      </c>
      <c r="BCC95" s="366" t="e">
        <f>10/BBY93</f>
        <v>#DIV/0!</v>
      </c>
      <c r="BCD95" s="367">
        <v>15.38</v>
      </c>
      <c r="BCE95" s="367" t="e">
        <f>BCB95*BCC95*BCD95</f>
        <v>#DIV/0!</v>
      </c>
      <c r="BCF95" s="363" t="s">
        <v>153</v>
      </c>
      <c r="BCG95" s="363"/>
      <c r="BCH95" s="363"/>
      <c r="BCI95" s="364" t="s">
        <v>140</v>
      </c>
      <c r="BCJ95" s="365">
        <v>0.5</v>
      </c>
      <c r="BCK95" s="366" t="e">
        <f>10/BCG93</f>
        <v>#DIV/0!</v>
      </c>
      <c r="BCL95" s="367">
        <v>15.38</v>
      </c>
      <c r="BCM95" s="367" t="e">
        <f>BCJ95*BCK95*BCL95</f>
        <v>#DIV/0!</v>
      </c>
      <c r="BCN95" s="363" t="s">
        <v>153</v>
      </c>
      <c r="BCO95" s="363"/>
      <c r="BCP95" s="363"/>
      <c r="BCQ95" s="364" t="s">
        <v>140</v>
      </c>
      <c r="BCR95" s="365">
        <v>0.5</v>
      </c>
      <c r="BCS95" s="366" t="e">
        <f>10/BCO93</f>
        <v>#DIV/0!</v>
      </c>
      <c r="BCT95" s="367">
        <v>15.38</v>
      </c>
      <c r="BCU95" s="367" t="e">
        <f>BCR95*BCS95*BCT95</f>
        <v>#DIV/0!</v>
      </c>
      <c r="BCV95" s="363" t="s">
        <v>153</v>
      </c>
      <c r="BCW95" s="363"/>
      <c r="BCX95" s="363"/>
      <c r="BCY95" s="364" t="s">
        <v>140</v>
      </c>
      <c r="BCZ95" s="365">
        <v>0.5</v>
      </c>
      <c r="BDA95" s="366" t="e">
        <f>10/BCW93</f>
        <v>#DIV/0!</v>
      </c>
      <c r="BDB95" s="367">
        <v>15.38</v>
      </c>
      <c r="BDC95" s="367" t="e">
        <f>BCZ95*BDA95*BDB95</f>
        <v>#DIV/0!</v>
      </c>
      <c r="BDD95" s="363" t="s">
        <v>153</v>
      </c>
      <c r="BDE95" s="363"/>
      <c r="BDF95" s="363"/>
      <c r="BDG95" s="364" t="s">
        <v>140</v>
      </c>
      <c r="BDH95" s="365">
        <v>0.5</v>
      </c>
      <c r="BDI95" s="366" t="e">
        <f>10/BDE93</f>
        <v>#DIV/0!</v>
      </c>
      <c r="BDJ95" s="367">
        <v>15.38</v>
      </c>
      <c r="BDK95" s="367" t="e">
        <f>BDH95*BDI95*BDJ95</f>
        <v>#DIV/0!</v>
      </c>
      <c r="BDL95" s="363" t="s">
        <v>153</v>
      </c>
      <c r="BDM95" s="363"/>
      <c r="BDN95" s="363"/>
      <c r="BDO95" s="364" t="s">
        <v>140</v>
      </c>
      <c r="BDP95" s="365">
        <v>0.5</v>
      </c>
      <c r="BDQ95" s="366" t="e">
        <f>10/BDM93</f>
        <v>#DIV/0!</v>
      </c>
      <c r="BDR95" s="367">
        <v>15.38</v>
      </c>
      <c r="BDS95" s="367" t="e">
        <f>BDP95*BDQ95*BDR95</f>
        <v>#DIV/0!</v>
      </c>
      <c r="BDT95" s="363" t="s">
        <v>153</v>
      </c>
      <c r="BDU95" s="363"/>
      <c r="BDV95" s="363"/>
      <c r="BDW95" s="364" t="s">
        <v>140</v>
      </c>
      <c r="BDX95" s="365">
        <v>0.5</v>
      </c>
      <c r="BDY95" s="366" t="e">
        <f>10/BDU93</f>
        <v>#DIV/0!</v>
      </c>
      <c r="BDZ95" s="367">
        <v>15.38</v>
      </c>
      <c r="BEA95" s="367" t="e">
        <f>BDX95*BDY95*BDZ95</f>
        <v>#DIV/0!</v>
      </c>
      <c r="BEB95" s="363" t="s">
        <v>153</v>
      </c>
      <c r="BEC95" s="363"/>
      <c r="BED95" s="363"/>
      <c r="BEE95" s="364" t="s">
        <v>140</v>
      </c>
      <c r="BEF95" s="365">
        <v>0.5</v>
      </c>
      <c r="BEG95" s="366" t="e">
        <f>10/BEC93</f>
        <v>#DIV/0!</v>
      </c>
      <c r="BEH95" s="367">
        <v>15.38</v>
      </c>
      <c r="BEI95" s="367" t="e">
        <f>BEF95*BEG95*BEH95</f>
        <v>#DIV/0!</v>
      </c>
      <c r="BEJ95" s="363" t="s">
        <v>153</v>
      </c>
      <c r="BEK95" s="363"/>
      <c r="BEL95" s="363"/>
      <c r="BEM95" s="364" t="s">
        <v>140</v>
      </c>
      <c r="BEN95" s="365">
        <v>0.5</v>
      </c>
      <c r="BEO95" s="366" t="e">
        <f>10/BEK93</f>
        <v>#DIV/0!</v>
      </c>
      <c r="BEP95" s="367">
        <v>15.38</v>
      </c>
      <c r="BEQ95" s="367" t="e">
        <f>BEN95*BEO95*BEP95</f>
        <v>#DIV/0!</v>
      </c>
      <c r="BER95" s="363" t="s">
        <v>153</v>
      </c>
      <c r="BES95" s="363"/>
      <c r="BET95" s="363"/>
      <c r="BEU95" s="364" t="s">
        <v>140</v>
      </c>
      <c r="BEV95" s="365">
        <v>0.5</v>
      </c>
      <c r="BEW95" s="366" t="e">
        <f>10/BES93</f>
        <v>#DIV/0!</v>
      </c>
      <c r="BEX95" s="367">
        <v>15.38</v>
      </c>
      <c r="BEY95" s="367" t="e">
        <f>BEV95*BEW95*BEX95</f>
        <v>#DIV/0!</v>
      </c>
      <c r="BEZ95" s="363" t="s">
        <v>153</v>
      </c>
      <c r="BFA95" s="363"/>
      <c r="BFB95" s="363"/>
      <c r="BFC95" s="364" t="s">
        <v>140</v>
      </c>
      <c r="BFD95" s="365">
        <v>0.5</v>
      </c>
      <c r="BFE95" s="366" t="e">
        <f>10/BFA93</f>
        <v>#DIV/0!</v>
      </c>
      <c r="BFF95" s="367">
        <v>15.38</v>
      </c>
      <c r="BFG95" s="367" t="e">
        <f>BFD95*BFE95*BFF95</f>
        <v>#DIV/0!</v>
      </c>
      <c r="BFH95" s="363" t="s">
        <v>153</v>
      </c>
      <c r="BFI95" s="363"/>
      <c r="BFJ95" s="363"/>
      <c r="BFK95" s="364" t="s">
        <v>140</v>
      </c>
      <c r="BFL95" s="365">
        <v>0.5</v>
      </c>
      <c r="BFM95" s="366" t="e">
        <f>10/BFI93</f>
        <v>#DIV/0!</v>
      </c>
      <c r="BFN95" s="367">
        <v>15.38</v>
      </c>
      <c r="BFO95" s="367" t="e">
        <f>BFL95*BFM95*BFN95</f>
        <v>#DIV/0!</v>
      </c>
      <c r="BFP95" s="363" t="s">
        <v>153</v>
      </c>
      <c r="BFQ95" s="363"/>
      <c r="BFR95" s="363"/>
      <c r="BFS95" s="364" t="s">
        <v>140</v>
      </c>
      <c r="BFT95" s="365">
        <v>0.5</v>
      </c>
      <c r="BFU95" s="366" t="e">
        <f>10/BFQ93</f>
        <v>#DIV/0!</v>
      </c>
      <c r="BFV95" s="367">
        <v>15.38</v>
      </c>
      <c r="BFW95" s="367" t="e">
        <f>BFT95*BFU95*BFV95</f>
        <v>#DIV/0!</v>
      </c>
      <c r="BFX95" s="363" t="s">
        <v>153</v>
      </c>
      <c r="BFY95" s="363"/>
      <c r="BFZ95" s="363"/>
      <c r="BGA95" s="364" t="s">
        <v>140</v>
      </c>
      <c r="BGB95" s="365">
        <v>0.5</v>
      </c>
      <c r="BGC95" s="366" t="e">
        <f>10/BFY93</f>
        <v>#DIV/0!</v>
      </c>
      <c r="BGD95" s="367">
        <v>15.38</v>
      </c>
      <c r="BGE95" s="367" t="e">
        <f>BGB95*BGC95*BGD95</f>
        <v>#DIV/0!</v>
      </c>
      <c r="BGF95" s="363" t="s">
        <v>153</v>
      </c>
      <c r="BGG95" s="363"/>
      <c r="BGH95" s="363"/>
      <c r="BGI95" s="364" t="s">
        <v>140</v>
      </c>
      <c r="BGJ95" s="365">
        <v>0.5</v>
      </c>
      <c r="BGK95" s="366" t="e">
        <f>10/BGG93</f>
        <v>#DIV/0!</v>
      </c>
      <c r="BGL95" s="367">
        <v>15.38</v>
      </c>
      <c r="BGM95" s="367" t="e">
        <f>BGJ95*BGK95*BGL95</f>
        <v>#DIV/0!</v>
      </c>
      <c r="BGN95" s="363" t="s">
        <v>153</v>
      </c>
      <c r="BGO95" s="363"/>
      <c r="BGP95" s="363"/>
      <c r="BGQ95" s="364" t="s">
        <v>140</v>
      </c>
      <c r="BGR95" s="365">
        <v>0.5</v>
      </c>
      <c r="BGS95" s="366" t="e">
        <f>10/BGO93</f>
        <v>#DIV/0!</v>
      </c>
      <c r="BGT95" s="367">
        <v>15.38</v>
      </c>
      <c r="BGU95" s="367" t="e">
        <f>BGR95*BGS95*BGT95</f>
        <v>#DIV/0!</v>
      </c>
      <c r="BGV95" s="363" t="s">
        <v>153</v>
      </c>
      <c r="BGW95" s="363"/>
      <c r="BGX95" s="363"/>
      <c r="BGY95" s="364" t="s">
        <v>140</v>
      </c>
      <c r="BGZ95" s="365">
        <v>0.5</v>
      </c>
      <c r="BHA95" s="366" t="e">
        <f>10/BGW93</f>
        <v>#DIV/0!</v>
      </c>
      <c r="BHB95" s="367">
        <v>15.38</v>
      </c>
      <c r="BHC95" s="367" t="e">
        <f>BGZ95*BHA95*BHB95</f>
        <v>#DIV/0!</v>
      </c>
      <c r="BHD95" s="363" t="s">
        <v>153</v>
      </c>
      <c r="BHE95" s="363"/>
      <c r="BHF95" s="363"/>
      <c r="BHG95" s="364" t="s">
        <v>140</v>
      </c>
      <c r="BHH95" s="365">
        <v>0.5</v>
      </c>
      <c r="BHI95" s="366" t="e">
        <f>10/BHE93</f>
        <v>#DIV/0!</v>
      </c>
      <c r="BHJ95" s="367">
        <v>15.38</v>
      </c>
      <c r="BHK95" s="367" t="e">
        <f>BHH95*BHI95*BHJ95</f>
        <v>#DIV/0!</v>
      </c>
      <c r="BHL95" s="363" t="s">
        <v>153</v>
      </c>
      <c r="BHM95" s="363"/>
      <c r="BHN95" s="363"/>
      <c r="BHO95" s="364" t="s">
        <v>140</v>
      </c>
      <c r="BHP95" s="365">
        <v>0.5</v>
      </c>
      <c r="BHQ95" s="366" t="e">
        <f>10/BHM93</f>
        <v>#DIV/0!</v>
      </c>
      <c r="BHR95" s="367">
        <v>15.38</v>
      </c>
      <c r="BHS95" s="367" t="e">
        <f>BHP95*BHQ95*BHR95</f>
        <v>#DIV/0!</v>
      </c>
      <c r="BHT95" s="363" t="s">
        <v>153</v>
      </c>
      <c r="BHU95" s="363"/>
      <c r="BHV95" s="363"/>
      <c r="BHW95" s="364" t="s">
        <v>140</v>
      </c>
      <c r="BHX95" s="365">
        <v>0.5</v>
      </c>
      <c r="BHY95" s="366" t="e">
        <f>10/BHU93</f>
        <v>#DIV/0!</v>
      </c>
      <c r="BHZ95" s="367">
        <v>15.38</v>
      </c>
      <c r="BIA95" s="367" t="e">
        <f>BHX95*BHY95*BHZ95</f>
        <v>#DIV/0!</v>
      </c>
      <c r="BIB95" s="363" t="s">
        <v>153</v>
      </c>
      <c r="BIC95" s="363"/>
      <c r="BID95" s="363"/>
      <c r="BIE95" s="364" t="s">
        <v>140</v>
      </c>
      <c r="BIF95" s="365">
        <v>0.5</v>
      </c>
      <c r="BIG95" s="366" t="e">
        <f>10/BIC93</f>
        <v>#DIV/0!</v>
      </c>
      <c r="BIH95" s="367">
        <v>15.38</v>
      </c>
      <c r="BII95" s="367" t="e">
        <f>BIF95*BIG95*BIH95</f>
        <v>#DIV/0!</v>
      </c>
      <c r="BIJ95" s="363" t="s">
        <v>153</v>
      </c>
      <c r="BIK95" s="363"/>
      <c r="BIL95" s="363"/>
      <c r="BIM95" s="364" t="s">
        <v>140</v>
      </c>
      <c r="BIN95" s="365">
        <v>0.5</v>
      </c>
      <c r="BIO95" s="366" t="e">
        <f>10/BIK93</f>
        <v>#DIV/0!</v>
      </c>
      <c r="BIP95" s="367">
        <v>15.38</v>
      </c>
      <c r="BIQ95" s="367" t="e">
        <f>BIN95*BIO95*BIP95</f>
        <v>#DIV/0!</v>
      </c>
      <c r="BIR95" s="363" t="s">
        <v>153</v>
      </c>
      <c r="BIS95" s="363"/>
      <c r="BIT95" s="363"/>
      <c r="BIU95" s="364" t="s">
        <v>140</v>
      </c>
      <c r="BIV95" s="365">
        <v>0.5</v>
      </c>
      <c r="BIW95" s="366" t="e">
        <f>10/BIS93</f>
        <v>#DIV/0!</v>
      </c>
      <c r="BIX95" s="367">
        <v>15.38</v>
      </c>
      <c r="BIY95" s="367" t="e">
        <f>BIV95*BIW95*BIX95</f>
        <v>#DIV/0!</v>
      </c>
      <c r="BIZ95" s="363" t="s">
        <v>153</v>
      </c>
      <c r="BJA95" s="363"/>
      <c r="BJB95" s="363"/>
      <c r="BJC95" s="364" t="s">
        <v>140</v>
      </c>
      <c r="BJD95" s="365">
        <v>0.5</v>
      </c>
      <c r="BJE95" s="366" t="e">
        <f>10/BJA93</f>
        <v>#DIV/0!</v>
      </c>
      <c r="BJF95" s="367">
        <v>15.38</v>
      </c>
      <c r="BJG95" s="367" t="e">
        <f>BJD95*BJE95*BJF95</f>
        <v>#DIV/0!</v>
      </c>
      <c r="BJH95" s="363" t="s">
        <v>153</v>
      </c>
      <c r="BJI95" s="363"/>
      <c r="BJJ95" s="363"/>
      <c r="BJK95" s="364" t="s">
        <v>140</v>
      </c>
      <c r="BJL95" s="365">
        <v>0.5</v>
      </c>
      <c r="BJM95" s="366" t="e">
        <f>10/BJI93</f>
        <v>#DIV/0!</v>
      </c>
      <c r="BJN95" s="367">
        <v>15.38</v>
      </c>
      <c r="BJO95" s="367" t="e">
        <f>BJL95*BJM95*BJN95</f>
        <v>#DIV/0!</v>
      </c>
      <c r="BJP95" s="363" t="s">
        <v>153</v>
      </c>
      <c r="BJQ95" s="363"/>
      <c r="BJR95" s="363"/>
      <c r="BJS95" s="364" t="s">
        <v>140</v>
      </c>
      <c r="BJT95" s="365">
        <v>0.5</v>
      </c>
      <c r="BJU95" s="366" t="e">
        <f>10/BJQ93</f>
        <v>#DIV/0!</v>
      </c>
      <c r="BJV95" s="367">
        <v>15.38</v>
      </c>
      <c r="BJW95" s="367" t="e">
        <f>BJT95*BJU95*BJV95</f>
        <v>#DIV/0!</v>
      </c>
      <c r="BJX95" s="363" t="s">
        <v>153</v>
      </c>
      <c r="BJY95" s="363"/>
      <c r="BJZ95" s="363"/>
      <c r="BKA95" s="364" t="s">
        <v>140</v>
      </c>
      <c r="BKB95" s="365">
        <v>0.5</v>
      </c>
      <c r="BKC95" s="366" t="e">
        <f>10/BJY93</f>
        <v>#DIV/0!</v>
      </c>
      <c r="BKD95" s="367">
        <v>15.38</v>
      </c>
      <c r="BKE95" s="367" t="e">
        <f>BKB95*BKC95*BKD95</f>
        <v>#DIV/0!</v>
      </c>
      <c r="BKF95" s="363" t="s">
        <v>153</v>
      </c>
      <c r="BKG95" s="363"/>
      <c r="BKH95" s="363"/>
      <c r="BKI95" s="364" t="s">
        <v>140</v>
      </c>
      <c r="BKJ95" s="365">
        <v>0.5</v>
      </c>
      <c r="BKK95" s="366" t="e">
        <f>10/BKG93</f>
        <v>#DIV/0!</v>
      </c>
      <c r="BKL95" s="367">
        <v>15.38</v>
      </c>
      <c r="BKM95" s="367" t="e">
        <f>BKJ95*BKK95*BKL95</f>
        <v>#DIV/0!</v>
      </c>
      <c r="BKN95" s="363" t="s">
        <v>153</v>
      </c>
      <c r="BKO95" s="363"/>
      <c r="BKP95" s="363"/>
      <c r="BKQ95" s="364" t="s">
        <v>140</v>
      </c>
      <c r="BKR95" s="365">
        <v>0.5</v>
      </c>
      <c r="BKS95" s="366" t="e">
        <f>10/BKO93</f>
        <v>#DIV/0!</v>
      </c>
      <c r="BKT95" s="367">
        <v>15.38</v>
      </c>
      <c r="BKU95" s="367" t="e">
        <f>BKR95*BKS95*BKT95</f>
        <v>#DIV/0!</v>
      </c>
      <c r="BKV95" s="363" t="s">
        <v>153</v>
      </c>
      <c r="BKW95" s="363"/>
      <c r="BKX95" s="363"/>
      <c r="BKY95" s="364" t="s">
        <v>140</v>
      </c>
      <c r="BKZ95" s="365">
        <v>0.5</v>
      </c>
      <c r="BLA95" s="366" t="e">
        <f>10/BKW93</f>
        <v>#DIV/0!</v>
      </c>
      <c r="BLB95" s="367">
        <v>15.38</v>
      </c>
      <c r="BLC95" s="367" t="e">
        <f>BKZ95*BLA95*BLB95</f>
        <v>#DIV/0!</v>
      </c>
      <c r="BLD95" s="363" t="s">
        <v>153</v>
      </c>
      <c r="BLE95" s="363"/>
      <c r="BLF95" s="363"/>
      <c r="BLG95" s="364" t="s">
        <v>140</v>
      </c>
      <c r="BLH95" s="365">
        <v>0.5</v>
      </c>
      <c r="BLI95" s="366" t="e">
        <f>10/BLE93</f>
        <v>#DIV/0!</v>
      </c>
      <c r="BLJ95" s="367">
        <v>15.38</v>
      </c>
      <c r="BLK95" s="367" t="e">
        <f>BLH95*BLI95*BLJ95</f>
        <v>#DIV/0!</v>
      </c>
      <c r="BLL95" s="363" t="s">
        <v>153</v>
      </c>
      <c r="BLM95" s="363"/>
      <c r="BLN95" s="363"/>
      <c r="BLO95" s="364" t="s">
        <v>140</v>
      </c>
      <c r="BLP95" s="365">
        <v>0.5</v>
      </c>
      <c r="BLQ95" s="366" t="e">
        <f>10/BLM93</f>
        <v>#DIV/0!</v>
      </c>
      <c r="BLR95" s="367">
        <v>15.38</v>
      </c>
      <c r="BLS95" s="367" t="e">
        <f>BLP95*BLQ95*BLR95</f>
        <v>#DIV/0!</v>
      </c>
      <c r="BLT95" s="363" t="s">
        <v>153</v>
      </c>
      <c r="BLU95" s="363"/>
      <c r="BLV95" s="363"/>
      <c r="BLW95" s="364" t="s">
        <v>140</v>
      </c>
      <c r="BLX95" s="365">
        <v>0.5</v>
      </c>
      <c r="BLY95" s="366" t="e">
        <f>10/BLU93</f>
        <v>#DIV/0!</v>
      </c>
      <c r="BLZ95" s="367">
        <v>15.38</v>
      </c>
      <c r="BMA95" s="367" t="e">
        <f>BLX95*BLY95*BLZ95</f>
        <v>#DIV/0!</v>
      </c>
      <c r="BMB95" s="363" t="s">
        <v>153</v>
      </c>
      <c r="BMC95" s="363"/>
      <c r="BMD95" s="363"/>
      <c r="BME95" s="364" t="s">
        <v>140</v>
      </c>
      <c r="BMF95" s="365">
        <v>0.5</v>
      </c>
      <c r="BMG95" s="366" t="e">
        <f>10/BMC93</f>
        <v>#DIV/0!</v>
      </c>
      <c r="BMH95" s="367">
        <v>15.38</v>
      </c>
      <c r="BMI95" s="367" t="e">
        <f>BMF95*BMG95*BMH95</f>
        <v>#DIV/0!</v>
      </c>
      <c r="BMJ95" s="363" t="s">
        <v>153</v>
      </c>
      <c r="BMK95" s="363"/>
      <c r="BML95" s="363"/>
      <c r="BMM95" s="364" t="s">
        <v>140</v>
      </c>
      <c r="BMN95" s="365">
        <v>0.5</v>
      </c>
      <c r="BMO95" s="366" t="e">
        <f>10/BMK93</f>
        <v>#DIV/0!</v>
      </c>
      <c r="BMP95" s="367">
        <v>15.38</v>
      </c>
      <c r="BMQ95" s="367" t="e">
        <f>BMN95*BMO95*BMP95</f>
        <v>#DIV/0!</v>
      </c>
      <c r="BMR95" s="363" t="s">
        <v>153</v>
      </c>
      <c r="BMS95" s="363"/>
      <c r="BMT95" s="363"/>
      <c r="BMU95" s="364" t="s">
        <v>140</v>
      </c>
      <c r="BMV95" s="365">
        <v>0.5</v>
      </c>
      <c r="BMW95" s="366" t="e">
        <f>10/BMS93</f>
        <v>#DIV/0!</v>
      </c>
      <c r="BMX95" s="367">
        <v>15.38</v>
      </c>
      <c r="BMY95" s="367" t="e">
        <f>BMV95*BMW95*BMX95</f>
        <v>#DIV/0!</v>
      </c>
      <c r="BMZ95" s="363" t="s">
        <v>153</v>
      </c>
      <c r="BNA95" s="363"/>
      <c r="BNB95" s="363"/>
      <c r="BNC95" s="364" t="s">
        <v>140</v>
      </c>
      <c r="BND95" s="365">
        <v>0.5</v>
      </c>
      <c r="BNE95" s="366" t="e">
        <f>10/BNA93</f>
        <v>#DIV/0!</v>
      </c>
      <c r="BNF95" s="367">
        <v>15.38</v>
      </c>
      <c r="BNG95" s="367" t="e">
        <f>BND95*BNE95*BNF95</f>
        <v>#DIV/0!</v>
      </c>
      <c r="BNH95" s="363" t="s">
        <v>153</v>
      </c>
      <c r="BNI95" s="363"/>
      <c r="BNJ95" s="363"/>
      <c r="BNK95" s="364" t="s">
        <v>140</v>
      </c>
      <c r="BNL95" s="365">
        <v>0.5</v>
      </c>
      <c r="BNM95" s="366" t="e">
        <f>10/BNI93</f>
        <v>#DIV/0!</v>
      </c>
      <c r="BNN95" s="367">
        <v>15.38</v>
      </c>
      <c r="BNO95" s="367" t="e">
        <f>BNL95*BNM95*BNN95</f>
        <v>#DIV/0!</v>
      </c>
      <c r="BNP95" s="363" t="s">
        <v>153</v>
      </c>
      <c r="BNQ95" s="363"/>
      <c r="BNR95" s="363"/>
      <c r="BNS95" s="364" t="s">
        <v>140</v>
      </c>
      <c r="BNT95" s="365">
        <v>0.5</v>
      </c>
      <c r="BNU95" s="366" t="e">
        <f>10/BNQ93</f>
        <v>#DIV/0!</v>
      </c>
      <c r="BNV95" s="367">
        <v>15.38</v>
      </c>
      <c r="BNW95" s="367" t="e">
        <f>BNT95*BNU95*BNV95</f>
        <v>#DIV/0!</v>
      </c>
      <c r="BNX95" s="363" t="s">
        <v>153</v>
      </c>
      <c r="BNY95" s="363"/>
      <c r="BNZ95" s="363"/>
      <c r="BOA95" s="364" t="s">
        <v>140</v>
      </c>
      <c r="BOB95" s="365">
        <v>0.5</v>
      </c>
      <c r="BOC95" s="366" t="e">
        <f>10/BNY93</f>
        <v>#DIV/0!</v>
      </c>
      <c r="BOD95" s="367">
        <v>15.38</v>
      </c>
      <c r="BOE95" s="367" t="e">
        <f>BOB95*BOC95*BOD95</f>
        <v>#DIV/0!</v>
      </c>
      <c r="BOF95" s="363" t="s">
        <v>153</v>
      </c>
      <c r="BOG95" s="363"/>
      <c r="BOH95" s="363"/>
      <c r="BOI95" s="364" t="s">
        <v>140</v>
      </c>
      <c r="BOJ95" s="365">
        <v>0.5</v>
      </c>
      <c r="BOK95" s="366" t="e">
        <f>10/BOG93</f>
        <v>#DIV/0!</v>
      </c>
      <c r="BOL95" s="367">
        <v>15.38</v>
      </c>
      <c r="BOM95" s="367" t="e">
        <f>BOJ95*BOK95*BOL95</f>
        <v>#DIV/0!</v>
      </c>
      <c r="BON95" s="363" t="s">
        <v>153</v>
      </c>
      <c r="BOO95" s="363"/>
      <c r="BOP95" s="363"/>
      <c r="BOQ95" s="364" t="s">
        <v>140</v>
      </c>
      <c r="BOR95" s="365">
        <v>0.5</v>
      </c>
      <c r="BOS95" s="366" t="e">
        <f>10/BOO93</f>
        <v>#DIV/0!</v>
      </c>
      <c r="BOT95" s="367">
        <v>15.38</v>
      </c>
      <c r="BOU95" s="367" t="e">
        <f>BOR95*BOS95*BOT95</f>
        <v>#DIV/0!</v>
      </c>
      <c r="BOV95" s="363" t="s">
        <v>153</v>
      </c>
      <c r="BOW95" s="363"/>
      <c r="BOX95" s="363"/>
      <c r="BOY95" s="364" t="s">
        <v>140</v>
      </c>
      <c r="BOZ95" s="365">
        <v>0.5</v>
      </c>
      <c r="BPA95" s="366" t="e">
        <f>10/BOW93</f>
        <v>#DIV/0!</v>
      </c>
      <c r="BPB95" s="367">
        <v>15.38</v>
      </c>
      <c r="BPC95" s="367" t="e">
        <f>BOZ95*BPA95*BPB95</f>
        <v>#DIV/0!</v>
      </c>
      <c r="BPD95" s="363" t="s">
        <v>153</v>
      </c>
      <c r="BPE95" s="363"/>
      <c r="BPF95" s="363"/>
      <c r="BPG95" s="364" t="s">
        <v>140</v>
      </c>
      <c r="BPH95" s="365">
        <v>0.5</v>
      </c>
      <c r="BPI95" s="366" t="e">
        <f>10/BPE93</f>
        <v>#DIV/0!</v>
      </c>
      <c r="BPJ95" s="367">
        <v>15.38</v>
      </c>
      <c r="BPK95" s="367" t="e">
        <f>BPH95*BPI95*BPJ95</f>
        <v>#DIV/0!</v>
      </c>
      <c r="BPL95" s="363" t="s">
        <v>153</v>
      </c>
      <c r="BPM95" s="363"/>
      <c r="BPN95" s="363"/>
      <c r="BPO95" s="364" t="s">
        <v>140</v>
      </c>
      <c r="BPP95" s="365">
        <v>0.5</v>
      </c>
      <c r="BPQ95" s="366" t="e">
        <f>10/BPM93</f>
        <v>#DIV/0!</v>
      </c>
      <c r="BPR95" s="367">
        <v>15.38</v>
      </c>
      <c r="BPS95" s="367" t="e">
        <f>BPP95*BPQ95*BPR95</f>
        <v>#DIV/0!</v>
      </c>
      <c r="BPT95" s="363" t="s">
        <v>153</v>
      </c>
      <c r="BPU95" s="363"/>
      <c r="BPV95" s="363"/>
      <c r="BPW95" s="364" t="s">
        <v>140</v>
      </c>
      <c r="BPX95" s="365">
        <v>0.5</v>
      </c>
      <c r="BPY95" s="366" t="e">
        <f>10/BPU93</f>
        <v>#DIV/0!</v>
      </c>
      <c r="BPZ95" s="367">
        <v>15.38</v>
      </c>
      <c r="BQA95" s="367" t="e">
        <f>BPX95*BPY95*BPZ95</f>
        <v>#DIV/0!</v>
      </c>
      <c r="BQB95" s="363" t="s">
        <v>153</v>
      </c>
      <c r="BQC95" s="363"/>
      <c r="BQD95" s="363"/>
      <c r="BQE95" s="364" t="s">
        <v>140</v>
      </c>
      <c r="BQF95" s="365">
        <v>0.5</v>
      </c>
      <c r="BQG95" s="366" t="e">
        <f>10/BQC93</f>
        <v>#DIV/0!</v>
      </c>
      <c r="BQH95" s="367">
        <v>15.38</v>
      </c>
      <c r="BQI95" s="367" t="e">
        <f>BQF95*BQG95*BQH95</f>
        <v>#DIV/0!</v>
      </c>
      <c r="BQJ95" s="363" t="s">
        <v>153</v>
      </c>
      <c r="BQK95" s="363"/>
      <c r="BQL95" s="363"/>
      <c r="BQM95" s="364" t="s">
        <v>140</v>
      </c>
      <c r="BQN95" s="365">
        <v>0.5</v>
      </c>
      <c r="BQO95" s="366" t="e">
        <f>10/BQK93</f>
        <v>#DIV/0!</v>
      </c>
      <c r="BQP95" s="367">
        <v>15.38</v>
      </c>
      <c r="BQQ95" s="367" t="e">
        <f>BQN95*BQO95*BQP95</f>
        <v>#DIV/0!</v>
      </c>
      <c r="BQR95" s="363" t="s">
        <v>153</v>
      </c>
      <c r="BQS95" s="363"/>
      <c r="BQT95" s="363"/>
      <c r="BQU95" s="364" t="s">
        <v>140</v>
      </c>
      <c r="BQV95" s="365">
        <v>0.5</v>
      </c>
      <c r="BQW95" s="366" t="e">
        <f>10/BQS93</f>
        <v>#DIV/0!</v>
      </c>
      <c r="BQX95" s="367">
        <v>15.38</v>
      </c>
      <c r="BQY95" s="367" t="e">
        <f>BQV95*BQW95*BQX95</f>
        <v>#DIV/0!</v>
      </c>
      <c r="BQZ95" s="363" t="s">
        <v>153</v>
      </c>
      <c r="BRA95" s="363"/>
      <c r="BRB95" s="363"/>
      <c r="BRC95" s="364" t="s">
        <v>140</v>
      </c>
      <c r="BRD95" s="365">
        <v>0.5</v>
      </c>
      <c r="BRE95" s="366" t="e">
        <f>10/BRA93</f>
        <v>#DIV/0!</v>
      </c>
      <c r="BRF95" s="367">
        <v>15.38</v>
      </c>
      <c r="BRG95" s="367" t="e">
        <f>BRD95*BRE95*BRF95</f>
        <v>#DIV/0!</v>
      </c>
      <c r="BRH95" s="363" t="s">
        <v>153</v>
      </c>
      <c r="BRI95" s="363"/>
      <c r="BRJ95" s="363"/>
      <c r="BRK95" s="364" t="s">
        <v>140</v>
      </c>
      <c r="BRL95" s="365">
        <v>0.5</v>
      </c>
      <c r="BRM95" s="366" t="e">
        <f>10/BRI93</f>
        <v>#DIV/0!</v>
      </c>
      <c r="BRN95" s="367">
        <v>15.38</v>
      </c>
      <c r="BRO95" s="367" t="e">
        <f>BRL95*BRM95*BRN95</f>
        <v>#DIV/0!</v>
      </c>
      <c r="BRP95" s="363" t="s">
        <v>153</v>
      </c>
      <c r="BRQ95" s="363"/>
      <c r="BRR95" s="363"/>
      <c r="BRS95" s="364" t="s">
        <v>140</v>
      </c>
      <c r="BRT95" s="365">
        <v>0.5</v>
      </c>
      <c r="BRU95" s="366" t="e">
        <f>10/BRQ93</f>
        <v>#DIV/0!</v>
      </c>
      <c r="BRV95" s="367">
        <v>15.38</v>
      </c>
      <c r="BRW95" s="367" t="e">
        <f>BRT95*BRU95*BRV95</f>
        <v>#DIV/0!</v>
      </c>
      <c r="BRX95" s="363" t="s">
        <v>153</v>
      </c>
      <c r="BRY95" s="363"/>
      <c r="BRZ95" s="363"/>
      <c r="BSA95" s="364" t="s">
        <v>140</v>
      </c>
      <c r="BSB95" s="365">
        <v>0.5</v>
      </c>
      <c r="BSC95" s="366" t="e">
        <f>10/BRY93</f>
        <v>#DIV/0!</v>
      </c>
      <c r="BSD95" s="367">
        <v>15.38</v>
      </c>
      <c r="BSE95" s="367" t="e">
        <f>BSB95*BSC95*BSD95</f>
        <v>#DIV/0!</v>
      </c>
      <c r="BSF95" s="363" t="s">
        <v>153</v>
      </c>
      <c r="BSG95" s="363"/>
      <c r="BSH95" s="363"/>
      <c r="BSI95" s="364" t="s">
        <v>140</v>
      </c>
      <c r="BSJ95" s="365">
        <v>0.5</v>
      </c>
      <c r="BSK95" s="366" t="e">
        <f>10/BSG93</f>
        <v>#DIV/0!</v>
      </c>
      <c r="BSL95" s="367">
        <v>15.38</v>
      </c>
      <c r="BSM95" s="367" t="e">
        <f>BSJ95*BSK95*BSL95</f>
        <v>#DIV/0!</v>
      </c>
      <c r="BSN95" s="363" t="s">
        <v>153</v>
      </c>
      <c r="BSO95" s="363"/>
      <c r="BSP95" s="363"/>
      <c r="BSQ95" s="364" t="s">
        <v>140</v>
      </c>
      <c r="BSR95" s="365">
        <v>0.5</v>
      </c>
      <c r="BSS95" s="366" t="e">
        <f>10/BSO93</f>
        <v>#DIV/0!</v>
      </c>
      <c r="BST95" s="367">
        <v>15.38</v>
      </c>
      <c r="BSU95" s="367" t="e">
        <f>BSR95*BSS95*BST95</f>
        <v>#DIV/0!</v>
      </c>
      <c r="BSV95" s="363" t="s">
        <v>153</v>
      </c>
      <c r="BSW95" s="363"/>
      <c r="BSX95" s="363"/>
      <c r="BSY95" s="364" t="s">
        <v>140</v>
      </c>
      <c r="BSZ95" s="365">
        <v>0.5</v>
      </c>
      <c r="BTA95" s="366" t="e">
        <f>10/BSW93</f>
        <v>#DIV/0!</v>
      </c>
      <c r="BTB95" s="367">
        <v>15.38</v>
      </c>
      <c r="BTC95" s="367" t="e">
        <f>BSZ95*BTA95*BTB95</f>
        <v>#DIV/0!</v>
      </c>
      <c r="BTD95" s="363" t="s">
        <v>153</v>
      </c>
      <c r="BTE95" s="363"/>
      <c r="BTF95" s="363"/>
      <c r="BTG95" s="364" t="s">
        <v>140</v>
      </c>
      <c r="BTH95" s="365">
        <v>0.5</v>
      </c>
      <c r="BTI95" s="366" t="e">
        <f>10/BTE93</f>
        <v>#DIV/0!</v>
      </c>
      <c r="BTJ95" s="367">
        <v>15.38</v>
      </c>
      <c r="BTK95" s="367" t="e">
        <f>BTH95*BTI95*BTJ95</f>
        <v>#DIV/0!</v>
      </c>
      <c r="BTL95" s="363" t="s">
        <v>153</v>
      </c>
      <c r="BTM95" s="363"/>
      <c r="BTN95" s="363"/>
      <c r="BTO95" s="364" t="s">
        <v>140</v>
      </c>
      <c r="BTP95" s="365">
        <v>0.5</v>
      </c>
      <c r="BTQ95" s="366" t="e">
        <f>10/BTM93</f>
        <v>#DIV/0!</v>
      </c>
      <c r="BTR95" s="367">
        <v>15.38</v>
      </c>
      <c r="BTS95" s="367" t="e">
        <f>BTP95*BTQ95*BTR95</f>
        <v>#DIV/0!</v>
      </c>
      <c r="BTT95" s="363" t="s">
        <v>153</v>
      </c>
      <c r="BTU95" s="363"/>
      <c r="BTV95" s="363"/>
      <c r="BTW95" s="364" t="s">
        <v>140</v>
      </c>
      <c r="BTX95" s="365">
        <v>0.5</v>
      </c>
      <c r="BTY95" s="366" t="e">
        <f>10/BTU93</f>
        <v>#DIV/0!</v>
      </c>
      <c r="BTZ95" s="367">
        <v>15.38</v>
      </c>
      <c r="BUA95" s="367" t="e">
        <f>BTX95*BTY95*BTZ95</f>
        <v>#DIV/0!</v>
      </c>
      <c r="BUB95" s="363" t="s">
        <v>153</v>
      </c>
      <c r="BUC95" s="363"/>
      <c r="BUD95" s="363"/>
      <c r="BUE95" s="364" t="s">
        <v>140</v>
      </c>
      <c r="BUF95" s="365">
        <v>0.5</v>
      </c>
      <c r="BUG95" s="366" t="e">
        <f>10/BUC93</f>
        <v>#DIV/0!</v>
      </c>
      <c r="BUH95" s="367">
        <v>15.38</v>
      </c>
      <c r="BUI95" s="367" t="e">
        <f>BUF95*BUG95*BUH95</f>
        <v>#DIV/0!</v>
      </c>
      <c r="BUJ95" s="363" t="s">
        <v>153</v>
      </c>
      <c r="BUK95" s="363"/>
      <c r="BUL95" s="363"/>
      <c r="BUM95" s="364" t="s">
        <v>140</v>
      </c>
      <c r="BUN95" s="365">
        <v>0.5</v>
      </c>
      <c r="BUO95" s="366" t="e">
        <f>10/BUK93</f>
        <v>#DIV/0!</v>
      </c>
      <c r="BUP95" s="367">
        <v>15.38</v>
      </c>
      <c r="BUQ95" s="367" t="e">
        <f>BUN95*BUO95*BUP95</f>
        <v>#DIV/0!</v>
      </c>
      <c r="BUR95" s="363" t="s">
        <v>153</v>
      </c>
      <c r="BUS95" s="363"/>
      <c r="BUT95" s="363"/>
      <c r="BUU95" s="364" t="s">
        <v>140</v>
      </c>
      <c r="BUV95" s="365">
        <v>0.5</v>
      </c>
      <c r="BUW95" s="366" t="e">
        <f>10/BUS93</f>
        <v>#DIV/0!</v>
      </c>
      <c r="BUX95" s="367">
        <v>15.38</v>
      </c>
      <c r="BUY95" s="367" t="e">
        <f>BUV95*BUW95*BUX95</f>
        <v>#DIV/0!</v>
      </c>
      <c r="BUZ95" s="363" t="s">
        <v>153</v>
      </c>
      <c r="BVA95" s="363"/>
      <c r="BVB95" s="363"/>
      <c r="BVC95" s="364" t="s">
        <v>140</v>
      </c>
      <c r="BVD95" s="365">
        <v>0.5</v>
      </c>
      <c r="BVE95" s="366" t="e">
        <f>10/BVA93</f>
        <v>#DIV/0!</v>
      </c>
      <c r="BVF95" s="367">
        <v>15.38</v>
      </c>
      <c r="BVG95" s="367" t="e">
        <f>BVD95*BVE95*BVF95</f>
        <v>#DIV/0!</v>
      </c>
      <c r="BVH95" s="363" t="s">
        <v>153</v>
      </c>
      <c r="BVI95" s="363"/>
      <c r="BVJ95" s="363"/>
      <c r="BVK95" s="364" t="s">
        <v>140</v>
      </c>
      <c r="BVL95" s="365">
        <v>0.5</v>
      </c>
      <c r="BVM95" s="366" t="e">
        <f>10/BVI93</f>
        <v>#DIV/0!</v>
      </c>
      <c r="BVN95" s="367">
        <v>15.38</v>
      </c>
      <c r="BVO95" s="367" t="e">
        <f>BVL95*BVM95*BVN95</f>
        <v>#DIV/0!</v>
      </c>
      <c r="BVP95" s="363" t="s">
        <v>153</v>
      </c>
      <c r="BVQ95" s="363"/>
      <c r="BVR95" s="363"/>
      <c r="BVS95" s="364" t="s">
        <v>140</v>
      </c>
      <c r="BVT95" s="365">
        <v>0.5</v>
      </c>
      <c r="BVU95" s="366" t="e">
        <f>10/BVQ93</f>
        <v>#DIV/0!</v>
      </c>
      <c r="BVV95" s="367">
        <v>15.38</v>
      </c>
      <c r="BVW95" s="367" t="e">
        <f>BVT95*BVU95*BVV95</f>
        <v>#DIV/0!</v>
      </c>
      <c r="BVX95" s="363" t="s">
        <v>153</v>
      </c>
      <c r="BVY95" s="363"/>
      <c r="BVZ95" s="363"/>
      <c r="BWA95" s="364" t="s">
        <v>140</v>
      </c>
      <c r="BWB95" s="365">
        <v>0.5</v>
      </c>
      <c r="BWC95" s="366" t="e">
        <f>10/BVY93</f>
        <v>#DIV/0!</v>
      </c>
      <c r="BWD95" s="367">
        <v>15.38</v>
      </c>
      <c r="BWE95" s="367" t="e">
        <f>BWB95*BWC95*BWD95</f>
        <v>#DIV/0!</v>
      </c>
      <c r="BWF95" s="363" t="s">
        <v>153</v>
      </c>
      <c r="BWG95" s="363"/>
      <c r="BWH95" s="363"/>
      <c r="BWI95" s="364" t="s">
        <v>140</v>
      </c>
      <c r="BWJ95" s="365">
        <v>0.5</v>
      </c>
      <c r="BWK95" s="366" t="e">
        <f>10/BWG93</f>
        <v>#DIV/0!</v>
      </c>
      <c r="BWL95" s="367">
        <v>15.38</v>
      </c>
      <c r="BWM95" s="367" t="e">
        <f>BWJ95*BWK95*BWL95</f>
        <v>#DIV/0!</v>
      </c>
      <c r="BWN95" s="363" t="s">
        <v>153</v>
      </c>
      <c r="BWO95" s="363"/>
      <c r="BWP95" s="363"/>
      <c r="BWQ95" s="364" t="s">
        <v>140</v>
      </c>
      <c r="BWR95" s="365">
        <v>0.5</v>
      </c>
      <c r="BWS95" s="366" t="e">
        <f>10/BWO93</f>
        <v>#DIV/0!</v>
      </c>
      <c r="BWT95" s="367">
        <v>15.38</v>
      </c>
      <c r="BWU95" s="367" t="e">
        <f>BWR95*BWS95*BWT95</f>
        <v>#DIV/0!</v>
      </c>
      <c r="BWV95" s="363" t="s">
        <v>153</v>
      </c>
      <c r="BWW95" s="363"/>
      <c r="BWX95" s="363"/>
      <c r="BWY95" s="364" t="s">
        <v>140</v>
      </c>
      <c r="BWZ95" s="365">
        <v>0.5</v>
      </c>
      <c r="BXA95" s="366" t="e">
        <f>10/BWW93</f>
        <v>#DIV/0!</v>
      </c>
      <c r="BXB95" s="367">
        <v>15.38</v>
      </c>
      <c r="BXC95" s="367" t="e">
        <f>BWZ95*BXA95*BXB95</f>
        <v>#DIV/0!</v>
      </c>
      <c r="BXD95" s="363" t="s">
        <v>153</v>
      </c>
      <c r="BXE95" s="363"/>
      <c r="BXF95" s="363"/>
      <c r="BXG95" s="364" t="s">
        <v>140</v>
      </c>
      <c r="BXH95" s="365">
        <v>0.5</v>
      </c>
      <c r="BXI95" s="366" t="e">
        <f>10/BXE93</f>
        <v>#DIV/0!</v>
      </c>
      <c r="BXJ95" s="367">
        <v>15.38</v>
      </c>
      <c r="BXK95" s="367" t="e">
        <f>BXH95*BXI95*BXJ95</f>
        <v>#DIV/0!</v>
      </c>
      <c r="BXL95" s="363" t="s">
        <v>153</v>
      </c>
      <c r="BXM95" s="363"/>
      <c r="BXN95" s="363"/>
      <c r="BXO95" s="364" t="s">
        <v>140</v>
      </c>
      <c r="BXP95" s="365">
        <v>0.5</v>
      </c>
      <c r="BXQ95" s="366" t="e">
        <f>10/BXM93</f>
        <v>#DIV/0!</v>
      </c>
      <c r="BXR95" s="367">
        <v>15.38</v>
      </c>
      <c r="BXS95" s="367" t="e">
        <f>BXP95*BXQ95*BXR95</f>
        <v>#DIV/0!</v>
      </c>
      <c r="BXT95" s="363" t="s">
        <v>153</v>
      </c>
      <c r="BXU95" s="363"/>
      <c r="BXV95" s="363"/>
      <c r="BXW95" s="364" t="s">
        <v>140</v>
      </c>
      <c r="BXX95" s="365">
        <v>0.5</v>
      </c>
      <c r="BXY95" s="366" t="e">
        <f>10/BXU93</f>
        <v>#DIV/0!</v>
      </c>
      <c r="BXZ95" s="367">
        <v>15.38</v>
      </c>
      <c r="BYA95" s="367" t="e">
        <f>BXX95*BXY95*BXZ95</f>
        <v>#DIV/0!</v>
      </c>
      <c r="BYB95" s="363" t="s">
        <v>153</v>
      </c>
      <c r="BYC95" s="363"/>
      <c r="BYD95" s="363"/>
      <c r="BYE95" s="364" t="s">
        <v>140</v>
      </c>
      <c r="BYF95" s="365">
        <v>0.5</v>
      </c>
      <c r="BYG95" s="366" t="e">
        <f>10/BYC93</f>
        <v>#DIV/0!</v>
      </c>
      <c r="BYH95" s="367">
        <v>15.38</v>
      </c>
      <c r="BYI95" s="367" t="e">
        <f>BYF95*BYG95*BYH95</f>
        <v>#DIV/0!</v>
      </c>
      <c r="BYJ95" s="363" t="s">
        <v>153</v>
      </c>
      <c r="BYK95" s="363"/>
      <c r="BYL95" s="363"/>
      <c r="BYM95" s="364" t="s">
        <v>140</v>
      </c>
      <c r="BYN95" s="365">
        <v>0.5</v>
      </c>
      <c r="BYO95" s="366" t="e">
        <f>10/BYK93</f>
        <v>#DIV/0!</v>
      </c>
      <c r="BYP95" s="367">
        <v>15.38</v>
      </c>
      <c r="BYQ95" s="367" t="e">
        <f>BYN95*BYO95*BYP95</f>
        <v>#DIV/0!</v>
      </c>
      <c r="BYR95" s="363" t="s">
        <v>153</v>
      </c>
      <c r="BYS95" s="363"/>
      <c r="BYT95" s="363"/>
      <c r="BYU95" s="364" t="s">
        <v>140</v>
      </c>
      <c r="BYV95" s="365">
        <v>0.5</v>
      </c>
      <c r="BYW95" s="366" t="e">
        <f>10/BYS93</f>
        <v>#DIV/0!</v>
      </c>
      <c r="BYX95" s="367">
        <v>15.38</v>
      </c>
      <c r="BYY95" s="367" t="e">
        <f>BYV95*BYW95*BYX95</f>
        <v>#DIV/0!</v>
      </c>
      <c r="BYZ95" s="363" t="s">
        <v>153</v>
      </c>
      <c r="BZA95" s="363"/>
      <c r="BZB95" s="363"/>
      <c r="BZC95" s="364" t="s">
        <v>140</v>
      </c>
      <c r="BZD95" s="365">
        <v>0.5</v>
      </c>
      <c r="BZE95" s="366" t="e">
        <f>10/BZA93</f>
        <v>#DIV/0!</v>
      </c>
      <c r="BZF95" s="367">
        <v>15.38</v>
      </c>
      <c r="BZG95" s="367" t="e">
        <f>BZD95*BZE95*BZF95</f>
        <v>#DIV/0!</v>
      </c>
      <c r="BZH95" s="363" t="s">
        <v>153</v>
      </c>
      <c r="BZI95" s="363"/>
      <c r="BZJ95" s="363"/>
      <c r="BZK95" s="364" t="s">
        <v>140</v>
      </c>
      <c r="BZL95" s="365">
        <v>0.5</v>
      </c>
      <c r="BZM95" s="366" t="e">
        <f>10/BZI93</f>
        <v>#DIV/0!</v>
      </c>
      <c r="BZN95" s="367">
        <v>15.38</v>
      </c>
      <c r="BZO95" s="367" t="e">
        <f>BZL95*BZM95*BZN95</f>
        <v>#DIV/0!</v>
      </c>
      <c r="BZP95" s="363" t="s">
        <v>153</v>
      </c>
      <c r="BZQ95" s="363"/>
      <c r="BZR95" s="363"/>
      <c r="BZS95" s="364" t="s">
        <v>140</v>
      </c>
      <c r="BZT95" s="365">
        <v>0.5</v>
      </c>
      <c r="BZU95" s="366" t="e">
        <f>10/BZQ93</f>
        <v>#DIV/0!</v>
      </c>
      <c r="BZV95" s="367">
        <v>15.38</v>
      </c>
      <c r="BZW95" s="367" t="e">
        <f>BZT95*BZU95*BZV95</f>
        <v>#DIV/0!</v>
      </c>
      <c r="BZX95" s="363" t="s">
        <v>153</v>
      </c>
      <c r="BZY95" s="363"/>
      <c r="BZZ95" s="363"/>
      <c r="CAA95" s="364" t="s">
        <v>140</v>
      </c>
      <c r="CAB95" s="365">
        <v>0.5</v>
      </c>
      <c r="CAC95" s="366" t="e">
        <f>10/BZY93</f>
        <v>#DIV/0!</v>
      </c>
      <c r="CAD95" s="367">
        <v>15.38</v>
      </c>
      <c r="CAE95" s="367" t="e">
        <f>CAB95*CAC95*CAD95</f>
        <v>#DIV/0!</v>
      </c>
      <c r="CAF95" s="363" t="s">
        <v>153</v>
      </c>
      <c r="CAG95" s="363"/>
      <c r="CAH95" s="363"/>
      <c r="CAI95" s="364" t="s">
        <v>140</v>
      </c>
      <c r="CAJ95" s="365">
        <v>0.5</v>
      </c>
      <c r="CAK95" s="366" t="e">
        <f>10/CAG93</f>
        <v>#DIV/0!</v>
      </c>
      <c r="CAL95" s="367">
        <v>15.38</v>
      </c>
      <c r="CAM95" s="367" t="e">
        <f>CAJ95*CAK95*CAL95</f>
        <v>#DIV/0!</v>
      </c>
      <c r="CAN95" s="363" t="s">
        <v>153</v>
      </c>
      <c r="CAO95" s="363"/>
      <c r="CAP95" s="363"/>
      <c r="CAQ95" s="364" t="s">
        <v>140</v>
      </c>
      <c r="CAR95" s="365">
        <v>0.5</v>
      </c>
      <c r="CAS95" s="366" t="e">
        <f>10/CAO93</f>
        <v>#DIV/0!</v>
      </c>
      <c r="CAT95" s="367">
        <v>15.38</v>
      </c>
      <c r="CAU95" s="367" t="e">
        <f>CAR95*CAS95*CAT95</f>
        <v>#DIV/0!</v>
      </c>
      <c r="CAV95" s="363" t="s">
        <v>153</v>
      </c>
      <c r="CAW95" s="363"/>
      <c r="CAX95" s="363"/>
      <c r="CAY95" s="364" t="s">
        <v>140</v>
      </c>
      <c r="CAZ95" s="365">
        <v>0.5</v>
      </c>
      <c r="CBA95" s="366" t="e">
        <f>10/CAW93</f>
        <v>#DIV/0!</v>
      </c>
      <c r="CBB95" s="367">
        <v>15.38</v>
      </c>
      <c r="CBC95" s="367" t="e">
        <f>CAZ95*CBA95*CBB95</f>
        <v>#DIV/0!</v>
      </c>
      <c r="CBD95" s="363" t="s">
        <v>153</v>
      </c>
      <c r="CBE95" s="363"/>
      <c r="CBF95" s="363"/>
      <c r="CBG95" s="364" t="s">
        <v>140</v>
      </c>
      <c r="CBH95" s="365">
        <v>0.5</v>
      </c>
      <c r="CBI95" s="366" t="e">
        <f>10/CBE93</f>
        <v>#DIV/0!</v>
      </c>
      <c r="CBJ95" s="367">
        <v>15.38</v>
      </c>
      <c r="CBK95" s="367" t="e">
        <f>CBH95*CBI95*CBJ95</f>
        <v>#DIV/0!</v>
      </c>
      <c r="CBL95" s="363" t="s">
        <v>153</v>
      </c>
      <c r="CBM95" s="363"/>
      <c r="CBN95" s="363"/>
      <c r="CBO95" s="364" t="s">
        <v>140</v>
      </c>
      <c r="CBP95" s="365">
        <v>0.5</v>
      </c>
      <c r="CBQ95" s="366" t="e">
        <f>10/CBM93</f>
        <v>#DIV/0!</v>
      </c>
      <c r="CBR95" s="367">
        <v>15.38</v>
      </c>
      <c r="CBS95" s="367" t="e">
        <f>CBP95*CBQ95*CBR95</f>
        <v>#DIV/0!</v>
      </c>
      <c r="CBT95" s="363" t="s">
        <v>153</v>
      </c>
      <c r="CBU95" s="363"/>
      <c r="CBV95" s="363"/>
      <c r="CBW95" s="364" t="s">
        <v>140</v>
      </c>
      <c r="CBX95" s="365">
        <v>0.5</v>
      </c>
      <c r="CBY95" s="366" t="e">
        <f>10/CBU93</f>
        <v>#DIV/0!</v>
      </c>
      <c r="CBZ95" s="367">
        <v>15.38</v>
      </c>
      <c r="CCA95" s="367" t="e">
        <f>CBX95*CBY95*CBZ95</f>
        <v>#DIV/0!</v>
      </c>
      <c r="CCB95" s="363" t="s">
        <v>153</v>
      </c>
      <c r="CCC95" s="363"/>
      <c r="CCD95" s="363"/>
      <c r="CCE95" s="364" t="s">
        <v>140</v>
      </c>
      <c r="CCF95" s="365">
        <v>0.5</v>
      </c>
      <c r="CCG95" s="366" t="e">
        <f>10/CCC93</f>
        <v>#DIV/0!</v>
      </c>
      <c r="CCH95" s="367">
        <v>15.38</v>
      </c>
      <c r="CCI95" s="367" t="e">
        <f>CCF95*CCG95*CCH95</f>
        <v>#DIV/0!</v>
      </c>
      <c r="CCJ95" s="363" t="s">
        <v>153</v>
      </c>
      <c r="CCK95" s="363"/>
      <c r="CCL95" s="363"/>
      <c r="CCM95" s="364" t="s">
        <v>140</v>
      </c>
      <c r="CCN95" s="365">
        <v>0.5</v>
      </c>
      <c r="CCO95" s="366" t="e">
        <f>10/CCK93</f>
        <v>#DIV/0!</v>
      </c>
      <c r="CCP95" s="367">
        <v>15.38</v>
      </c>
      <c r="CCQ95" s="367" t="e">
        <f>CCN95*CCO95*CCP95</f>
        <v>#DIV/0!</v>
      </c>
      <c r="CCR95" s="363" t="s">
        <v>153</v>
      </c>
      <c r="CCS95" s="363"/>
      <c r="CCT95" s="363"/>
      <c r="CCU95" s="364" t="s">
        <v>140</v>
      </c>
      <c r="CCV95" s="365">
        <v>0.5</v>
      </c>
      <c r="CCW95" s="366" t="e">
        <f>10/CCS93</f>
        <v>#DIV/0!</v>
      </c>
      <c r="CCX95" s="367">
        <v>15.38</v>
      </c>
      <c r="CCY95" s="367" t="e">
        <f>CCV95*CCW95*CCX95</f>
        <v>#DIV/0!</v>
      </c>
      <c r="CCZ95" s="363" t="s">
        <v>153</v>
      </c>
      <c r="CDA95" s="363"/>
      <c r="CDB95" s="363"/>
      <c r="CDC95" s="364" t="s">
        <v>140</v>
      </c>
      <c r="CDD95" s="365">
        <v>0.5</v>
      </c>
      <c r="CDE95" s="366" t="e">
        <f>10/CDA93</f>
        <v>#DIV/0!</v>
      </c>
      <c r="CDF95" s="367">
        <v>15.38</v>
      </c>
      <c r="CDG95" s="367" t="e">
        <f>CDD95*CDE95*CDF95</f>
        <v>#DIV/0!</v>
      </c>
      <c r="CDH95" s="363" t="s">
        <v>153</v>
      </c>
      <c r="CDI95" s="363"/>
      <c r="CDJ95" s="363"/>
      <c r="CDK95" s="364" t="s">
        <v>140</v>
      </c>
      <c r="CDL95" s="365">
        <v>0.5</v>
      </c>
      <c r="CDM95" s="366" t="e">
        <f>10/CDI93</f>
        <v>#DIV/0!</v>
      </c>
      <c r="CDN95" s="367">
        <v>15.38</v>
      </c>
      <c r="CDO95" s="367" t="e">
        <f>CDL95*CDM95*CDN95</f>
        <v>#DIV/0!</v>
      </c>
      <c r="CDP95" s="363" t="s">
        <v>153</v>
      </c>
      <c r="CDQ95" s="363"/>
      <c r="CDR95" s="363"/>
      <c r="CDS95" s="364" t="s">
        <v>140</v>
      </c>
      <c r="CDT95" s="365">
        <v>0.5</v>
      </c>
      <c r="CDU95" s="366" t="e">
        <f>10/CDQ93</f>
        <v>#DIV/0!</v>
      </c>
      <c r="CDV95" s="367">
        <v>15.38</v>
      </c>
      <c r="CDW95" s="367" t="e">
        <f>CDT95*CDU95*CDV95</f>
        <v>#DIV/0!</v>
      </c>
      <c r="CDX95" s="363" t="s">
        <v>153</v>
      </c>
      <c r="CDY95" s="363"/>
      <c r="CDZ95" s="363"/>
      <c r="CEA95" s="364" t="s">
        <v>140</v>
      </c>
      <c r="CEB95" s="365">
        <v>0.5</v>
      </c>
      <c r="CEC95" s="366" t="e">
        <f>10/CDY93</f>
        <v>#DIV/0!</v>
      </c>
      <c r="CED95" s="367">
        <v>15.38</v>
      </c>
      <c r="CEE95" s="367" t="e">
        <f>CEB95*CEC95*CED95</f>
        <v>#DIV/0!</v>
      </c>
      <c r="CEF95" s="363" t="s">
        <v>153</v>
      </c>
      <c r="CEG95" s="363"/>
      <c r="CEH95" s="363"/>
      <c r="CEI95" s="364" t="s">
        <v>140</v>
      </c>
      <c r="CEJ95" s="365">
        <v>0.5</v>
      </c>
      <c r="CEK95" s="366" t="e">
        <f>10/CEG93</f>
        <v>#DIV/0!</v>
      </c>
      <c r="CEL95" s="367">
        <v>15.38</v>
      </c>
      <c r="CEM95" s="367" t="e">
        <f>CEJ95*CEK95*CEL95</f>
        <v>#DIV/0!</v>
      </c>
      <c r="CEN95" s="363" t="s">
        <v>153</v>
      </c>
      <c r="CEO95" s="363"/>
      <c r="CEP95" s="363"/>
      <c r="CEQ95" s="364" t="s">
        <v>140</v>
      </c>
      <c r="CER95" s="365">
        <v>0.5</v>
      </c>
      <c r="CES95" s="366" t="e">
        <f>10/CEO93</f>
        <v>#DIV/0!</v>
      </c>
      <c r="CET95" s="367">
        <v>15.38</v>
      </c>
      <c r="CEU95" s="367" t="e">
        <f>CER95*CES95*CET95</f>
        <v>#DIV/0!</v>
      </c>
      <c r="CEV95" s="363" t="s">
        <v>153</v>
      </c>
      <c r="CEW95" s="363"/>
      <c r="CEX95" s="363"/>
      <c r="CEY95" s="364" t="s">
        <v>140</v>
      </c>
      <c r="CEZ95" s="365">
        <v>0.5</v>
      </c>
      <c r="CFA95" s="366" t="e">
        <f>10/CEW93</f>
        <v>#DIV/0!</v>
      </c>
      <c r="CFB95" s="367">
        <v>15.38</v>
      </c>
      <c r="CFC95" s="367" t="e">
        <f>CEZ95*CFA95*CFB95</f>
        <v>#DIV/0!</v>
      </c>
      <c r="CFD95" s="363" t="s">
        <v>153</v>
      </c>
      <c r="CFE95" s="363"/>
      <c r="CFF95" s="363"/>
      <c r="CFG95" s="364" t="s">
        <v>140</v>
      </c>
      <c r="CFH95" s="365">
        <v>0.5</v>
      </c>
      <c r="CFI95" s="366" t="e">
        <f>10/CFE93</f>
        <v>#DIV/0!</v>
      </c>
      <c r="CFJ95" s="367">
        <v>15.38</v>
      </c>
      <c r="CFK95" s="367" t="e">
        <f>CFH95*CFI95*CFJ95</f>
        <v>#DIV/0!</v>
      </c>
      <c r="CFL95" s="363" t="s">
        <v>153</v>
      </c>
      <c r="CFM95" s="363"/>
      <c r="CFN95" s="363"/>
      <c r="CFO95" s="364" t="s">
        <v>140</v>
      </c>
      <c r="CFP95" s="365">
        <v>0.5</v>
      </c>
      <c r="CFQ95" s="366" t="e">
        <f>10/CFM93</f>
        <v>#DIV/0!</v>
      </c>
      <c r="CFR95" s="367">
        <v>15.38</v>
      </c>
      <c r="CFS95" s="367" t="e">
        <f>CFP95*CFQ95*CFR95</f>
        <v>#DIV/0!</v>
      </c>
      <c r="CFT95" s="363" t="s">
        <v>153</v>
      </c>
      <c r="CFU95" s="363"/>
      <c r="CFV95" s="363"/>
      <c r="CFW95" s="364" t="s">
        <v>140</v>
      </c>
      <c r="CFX95" s="365">
        <v>0.5</v>
      </c>
      <c r="CFY95" s="366" t="e">
        <f>10/CFU93</f>
        <v>#DIV/0!</v>
      </c>
      <c r="CFZ95" s="367">
        <v>15.38</v>
      </c>
      <c r="CGA95" s="367" t="e">
        <f>CFX95*CFY95*CFZ95</f>
        <v>#DIV/0!</v>
      </c>
      <c r="CGB95" s="363" t="s">
        <v>153</v>
      </c>
      <c r="CGC95" s="363"/>
      <c r="CGD95" s="363"/>
      <c r="CGE95" s="364" t="s">
        <v>140</v>
      </c>
      <c r="CGF95" s="365">
        <v>0.5</v>
      </c>
      <c r="CGG95" s="366" t="e">
        <f>10/CGC93</f>
        <v>#DIV/0!</v>
      </c>
      <c r="CGH95" s="367">
        <v>15.38</v>
      </c>
      <c r="CGI95" s="367" t="e">
        <f>CGF95*CGG95*CGH95</f>
        <v>#DIV/0!</v>
      </c>
      <c r="CGJ95" s="363" t="s">
        <v>153</v>
      </c>
      <c r="CGK95" s="363"/>
      <c r="CGL95" s="363"/>
      <c r="CGM95" s="364" t="s">
        <v>140</v>
      </c>
      <c r="CGN95" s="365">
        <v>0.5</v>
      </c>
      <c r="CGO95" s="366" t="e">
        <f>10/CGK93</f>
        <v>#DIV/0!</v>
      </c>
      <c r="CGP95" s="367">
        <v>15.38</v>
      </c>
      <c r="CGQ95" s="367" t="e">
        <f>CGN95*CGO95*CGP95</f>
        <v>#DIV/0!</v>
      </c>
      <c r="CGR95" s="363" t="s">
        <v>153</v>
      </c>
      <c r="CGS95" s="363"/>
      <c r="CGT95" s="363"/>
      <c r="CGU95" s="364" t="s">
        <v>140</v>
      </c>
      <c r="CGV95" s="365">
        <v>0.5</v>
      </c>
      <c r="CGW95" s="366" t="e">
        <f>10/CGS93</f>
        <v>#DIV/0!</v>
      </c>
      <c r="CGX95" s="367">
        <v>15.38</v>
      </c>
      <c r="CGY95" s="367" t="e">
        <f>CGV95*CGW95*CGX95</f>
        <v>#DIV/0!</v>
      </c>
      <c r="CGZ95" s="363" t="s">
        <v>153</v>
      </c>
      <c r="CHA95" s="363"/>
      <c r="CHB95" s="363"/>
      <c r="CHC95" s="364" t="s">
        <v>140</v>
      </c>
      <c r="CHD95" s="365">
        <v>0.5</v>
      </c>
      <c r="CHE95" s="366" t="e">
        <f>10/CHA93</f>
        <v>#DIV/0!</v>
      </c>
      <c r="CHF95" s="367">
        <v>15.38</v>
      </c>
      <c r="CHG95" s="367" t="e">
        <f>CHD95*CHE95*CHF95</f>
        <v>#DIV/0!</v>
      </c>
      <c r="CHH95" s="363" t="s">
        <v>153</v>
      </c>
      <c r="CHI95" s="363"/>
      <c r="CHJ95" s="363"/>
      <c r="CHK95" s="364" t="s">
        <v>140</v>
      </c>
      <c r="CHL95" s="365">
        <v>0.5</v>
      </c>
      <c r="CHM95" s="366" t="e">
        <f>10/CHI93</f>
        <v>#DIV/0!</v>
      </c>
      <c r="CHN95" s="367">
        <v>15.38</v>
      </c>
      <c r="CHO95" s="367" t="e">
        <f>CHL95*CHM95*CHN95</f>
        <v>#DIV/0!</v>
      </c>
      <c r="CHP95" s="363" t="s">
        <v>153</v>
      </c>
      <c r="CHQ95" s="363"/>
      <c r="CHR95" s="363"/>
      <c r="CHS95" s="364" t="s">
        <v>140</v>
      </c>
      <c r="CHT95" s="365">
        <v>0.5</v>
      </c>
      <c r="CHU95" s="366" t="e">
        <f>10/CHQ93</f>
        <v>#DIV/0!</v>
      </c>
      <c r="CHV95" s="367">
        <v>15.38</v>
      </c>
      <c r="CHW95" s="367" t="e">
        <f>CHT95*CHU95*CHV95</f>
        <v>#DIV/0!</v>
      </c>
      <c r="CHX95" s="363" t="s">
        <v>153</v>
      </c>
      <c r="CHY95" s="363"/>
      <c r="CHZ95" s="363"/>
      <c r="CIA95" s="364" t="s">
        <v>140</v>
      </c>
      <c r="CIB95" s="365">
        <v>0.5</v>
      </c>
      <c r="CIC95" s="366" t="e">
        <f>10/CHY93</f>
        <v>#DIV/0!</v>
      </c>
      <c r="CID95" s="367">
        <v>15.38</v>
      </c>
      <c r="CIE95" s="367" t="e">
        <f>CIB95*CIC95*CID95</f>
        <v>#DIV/0!</v>
      </c>
      <c r="CIF95" s="363" t="s">
        <v>153</v>
      </c>
      <c r="CIG95" s="363"/>
      <c r="CIH95" s="363"/>
      <c r="CII95" s="364" t="s">
        <v>140</v>
      </c>
      <c r="CIJ95" s="365">
        <v>0.5</v>
      </c>
      <c r="CIK95" s="366" t="e">
        <f>10/CIG93</f>
        <v>#DIV/0!</v>
      </c>
      <c r="CIL95" s="367">
        <v>15.38</v>
      </c>
      <c r="CIM95" s="367" t="e">
        <f>CIJ95*CIK95*CIL95</f>
        <v>#DIV/0!</v>
      </c>
      <c r="CIN95" s="363" t="s">
        <v>153</v>
      </c>
      <c r="CIO95" s="363"/>
      <c r="CIP95" s="363"/>
      <c r="CIQ95" s="364" t="s">
        <v>140</v>
      </c>
      <c r="CIR95" s="365">
        <v>0.5</v>
      </c>
      <c r="CIS95" s="366" t="e">
        <f>10/CIO93</f>
        <v>#DIV/0!</v>
      </c>
      <c r="CIT95" s="367">
        <v>15.38</v>
      </c>
      <c r="CIU95" s="367" t="e">
        <f>CIR95*CIS95*CIT95</f>
        <v>#DIV/0!</v>
      </c>
      <c r="CIV95" s="363" t="s">
        <v>153</v>
      </c>
      <c r="CIW95" s="363"/>
      <c r="CIX95" s="363"/>
      <c r="CIY95" s="364" t="s">
        <v>140</v>
      </c>
      <c r="CIZ95" s="365">
        <v>0.5</v>
      </c>
      <c r="CJA95" s="366" t="e">
        <f>10/CIW93</f>
        <v>#DIV/0!</v>
      </c>
      <c r="CJB95" s="367">
        <v>15.38</v>
      </c>
      <c r="CJC95" s="367" t="e">
        <f>CIZ95*CJA95*CJB95</f>
        <v>#DIV/0!</v>
      </c>
      <c r="CJD95" s="363" t="s">
        <v>153</v>
      </c>
      <c r="CJE95" s="363"/>
      <c r="CJF95" s="363"/>
      <c r="CJG95" s="364" t="s">
        <v>140</v>
      </c>
      <c r="CJH95" s="365">
        <v>0.5</v>
      </c>
      <c r="CJI95" s="366" t="e">
        <f>10/CJE93</f>
        <v>#DIV/0!</v>
      </c>
      <c r="CJJ95" s="367">
        <v>15.38</v>
      </c>
      <c r="CJK95" s="367" t="e">
        <f>CJH95*CJI95*CJJ95</f>
        <v>#DIV/0!</v>
      </c>
      <c r="CJL95" s="363" t="s">
        <v>153</v>
      </c>
      <c r="CJM95" s="363"/>
      <c r="CJN95" s="363"/>
      <c r="CJO95" s="364" t="s">
        <v>140</v>
      </c>
      <c r="CJP95" s="365">
        <v>0.5</v>
      </c>
      <c r="CJQ95" s="366" t="e">
        <f>10/CJM93</f>
        <v>#DIV/0!</v>
      </c>
      <c r="CJR95" s="367">
        <v>15.38</v>
      </c>
      <c r="CJS95" s="367" t="e">
        <f>CJP95*CJQ95*CJR95</f>
        <v>#DIV/0!</v>
      </c>
      <c r="CJT95" s="363" t="s">
        <v>153</v>
      </c>
      <c r="CJU95" s="363"/>
      <c r="CJV95" s="363"/>
      <c r="CJW95" s="364" t="s">
        <v>140</v>
      </c>
      <c r="CJX95" s="365">
        <v>0.5</v>
      </c>
      <c r="CJY95" s="366" t="e">
        <f>10/CJU93</f>
        <v>#DIV/0!</v>
      </c>
      <c r="CJZ95" s="367">
        <v>15.38</v>
      </c>
      <c r="CKA95" s="367" t="e">
        <f>CJX95*CJY95*CJZ95</f>
        <v>#DIV/0!</v>
      </c>
      <c r="CKB95" s="363" t="s">
        <v>153</v>
      </c>
      <c r="CKC95" s="363"/>
      <c r="CKD95" s="363"/>
      <c r="CKE95" s="364" t="s">
        <v>140</v>
      </c>
      <c r="CKF95" s="365">
        <v>0.5</v>
      </c>
      <c r="CKG95" s="366" t="e">
        <f>10/CKC93</f>
        <v>#DIV/0!</v>
      </c>
      <c r="CKH95" s="367">
        <v>15.38</v>
      </c>
      <c r="CKI95" s="367" t="e">
        <f>CKF95*CKG95*CKH95</f>
        <v>#DIV/0!</v>
      </c>
      <c r="CKJ95" s="363" t="s">
        <v>153</v>
      </c>
      <c r="CKK95" s="363"/>
      <c r="CKL95" s="363"/>
      <c r="CKM95" s="364" t="s">
        <v>140</v>
      </c>
      <c r="CKN95" s="365">
        <v>0.5</v>
      </c>
      <c r="CKO95" s="366" t="e">
        <f>10/CKK93</f>
        <v>#DIV/0!</v>
      </c>
      <c r="CKP95" s="367">
        <v>15.38</v>
      </c>
      <c r="CKQ95" s="367" t="e">
        <f>CKN95*CKO95*CKP95</f>
        <v>#DIV/0!</v>
      </c>
      <c r="CKR95" s="363" t="s">
        <v>153</v>
      </c>
      <c r="CKS95" s="363"/>
      <c r="CKT95" s="363"/>
      <c r="CKU95" s="364" t="s">
        <v>140</v>
      </c>
      <c r="CKV95" s="365">
        <v>0.5</v>
      </c>
      <c r="CKW95" s="366" t="e">
        <f>10/CKS93</f>
        <v>#DIV/0!</v>
      </c>
      <c r="CKX95" s="367">
        <v>15.38</v>
      </c>
      <c r="CKY95" s="367" t="e">
        <f>CKV95*CKW95*CKX95</f>
        <v>#DIV/0!</v>
      </c>
      <c r="CKZ95" s="363" t="s">
        <v>153</v>
      </c>
      <c r="CLA95" s="363"/>
      <c r="CLB95" s="363"/>
      <c r="CLC95" s="364" t="s">
        <v>140</v>
      </c>
      <c r="CLD95" s="365">
        <v>0.5</v>
      </c>
      <c r="CLE95" s="366" t="e">
        <f>10/CLA93</f>
        <v>#DIV/0!</v>
      </c>
      <c r="CLF95" s="367">
        <v>15.38</v>
      </c>
      <c r="CLG95" s="367" t="e">
        <f>CLD95*CLE95*CLF95</f>
        <v>#DIV/0!</v>
      </c>
      <c r="CLH95" s="363" t="s">
        <v>153</v>
      </c>
      <c r="CLI95" s="363"/>
      <c r="CLJ95" s="363"/>
      <c r="CLK95" s="364" t="s">
        <v>140</v>
      </c>
      <c r="CLL95" s="365">
        <v>0.5</v>
      </c>
      <c r="CLM95" s="366" t="e">
        <f>10/CLI93</f>
        <v>#DIV/0!</v>
      </c>
      <c r="CLN95" s="367">
        <v>15.38</v>
      </c>
      <c r="CLO95" s="367" t="e">
        <f>CLL95*CLM95*CLN95</f>
        <v>#DIV/0!</v>
      </c>
      <c r="CLP95" s="363" t="s">
        <v>153</v>
      </c>
      <c r="CLQ95" s="363"/>
      <c r="CLR95" s="363"/>
      <c r="CLS95" s="364" t="s">
        <v>140</v>
      </c>
      <c r="CLT95" s="365">
        <v>0.5</v>
      </c>
      <c r="CLU95" s="366" t="e">
        <f>10/CLQ93</f>
        <v>#DIV/0!</v>
      </c>
      <c r="CLV95" s="367">
        <v>15.38</v>
      </c>
      <c r="CLW95" s="367" t="e">
        <f>CLT95*CLU95*CLV95</f>
        <v>#DIV/0!</v>
      </c>
      <c r="CLX95" s="363" t="s">
        <v>153</v>
      </c>
      <c r="CLY95" s="363"/>
      <c r="CLZ95" s="363"/>
      <c r="CMA95" s="364" t="s">
        <v>140</v>
      </c>
      <c r="CMB95" s="365">
        <v>0.5</v>
      </c>
      <c r="CMC95" s="366" t="e">
        <f>10/CLY93</f>
        <v>#DIV/0!</v>
      </c>
      <c r="CMD95" s="367">
        <v>15.38</v>
      </c>
      <c r="CME95" s="367" t="e">
        <f>CMB95*CMC95*CMD95</f>
        <v>#DIV/0!</v>
      </c>
      <c r="CMF95" s="363" t="s">
        <v>153</v>
      </c>
      <c r="CMG95" s="363"/>
      <c r="CMH95" s="363"/>
      <c r="CMI95" s="364" t="s">
        <v>140</v>
      </c>
      <c r="CMJ95" s="365">
        <v>0.5</v>
      </c>
      <c r="CMK95" s="366" t="e">
        <f>10/CMG93</f>
        <v>#DIV/0!</v>
      </c>
      <c r="CML95" s="367">
        <v>15.38</v>
      </c>
      <c r="CMM95" s="367" t="e">
        <f>CMJ95*CMK95*CML95</f>
        <v>#DIV/0!</v>
      </c>
      <c r="CMN95" s="363" t="s">
        <v>153</v>
      </c>
      <c r="CMO95" s="363"/>
      <c r="CMP95" s="363"/>
      <c r="CMQ95" s="364" t="s">
        <v>140</v>
      </c>
      <c r="CMR95" s="365">
        <v>0.5</v>
      </c>
      <c r="CMS95" s="366" t="e">
        <f>10/CMO93</f>
        <v>#DIV/0!</v>
      </c>
      <c r="CMT95" s="367">
        <v>15.38</v>
      </c>
      <c r="CMU95" s="367" t="e">
        <f>CMR95*CMS95*CMT95</f>
        <v>#DIV/0!</v>
      </c>
      <c r="CMV95" s="363" t="s">
        <v>153</v>
      </c>
      <c r="CMW95" s="363"/>
      <c r="CMX95" s="363"/>
      <c r="CMY95" s="364" t="s">
        <v>140</v>
      </c>
      <c r="CMZ95" s="365">
        <v>0.5</v>
      </c>
      <c r="CNA95" s="366" t="e">
        <f>10/CMW93</f>
        <v>#DIV/0!</v>
      </c>
      <c r="CNB95" s="367">
        <v>15.38</v>
      </c>
      <c r="CNC95" s="367" t="e">
        <f>CMZ95*CNA95*CNB95</f>
        <v>#DIV/0!</v>
      </c>
      <c r="CND95" s="363" t="s">
        <v>153</v>
      </c>
      <c r="CNE95" s="363"/>
      <c r="CNF95" s="363"/>
      <c r="CNG95" s="364" t="s">
        <v>140</v>
      </c>
      <c r="CNH95" s="365">
        <v>0.5</v>
      </c>
      <c r="CNI95" s="366" t="e">
        <f>10/CNE93</f>
        <v>#DIV/0!</v>
      </c>
      <c r="CNJ95" s="367">
        <v>15.38</v>
      </c>
      <c r="CNK95" s="367" t="e">
        <f>CNH95*CNI95*CNJ95</f>
        <v>#DIV/0!</v>
      </c>
      <c r="CNL95" s="363" t="s">
        <v>153</v>
      </c>
      <c r="CNM95" s="363"/>
      <c r="CNN95" s="363"/>
      <c r="CNO95" s="364" t="s">
        <v>140</v>
      </c>
      <c r="CNP95" s="365">
        <v>0.5</v>
      </c>
      <c r="CNQ95" s="366" t="e">
        <f>10/CNM93</f>
        <v>#DIV/0!</v>
      </c>
      <c r="CNR95" s="367">
        <v>15.38</v>
      </c>
      <c r="CNS95" s="367" t="e">
        <f>CNP95*CNQ95*CNR95</f>
        <v>#DIV/0!</v>
      </c>
      <c r="CNT95" s="363" t="s">
        <v>153</v>
      </c>
      <c r="CNU95" s="363"/>
      <c r="CNV95" s="363"/>
      <c r="CNW95" s="364" t="s">
        <v>140</v>
      </c>
      <c r="CNX95" s="365">
        <v>0.5</v>
      </c>
      <c r="CNY95" s="366" t="e">
        <f>10/CNU93</f>
        <v>#DIV/0!</v>
      </c>
      <c r="CNZ95" s="367">
        <v>15.38</v>
      </c>
      <c r="COA95" s="367" t="e">
        <f>CNX95*CNY95*CNZ95</f>
        <v>#DIV/0!</v>
      </c>
      <c r="COB95" s="363" t="s">
        <v>153</v>
      </c>
      <c r="COC95" s="363"/>
      <c r="COD95" s="363"/>
      <c r="COE95" s="364" t="s">
        <v>140</v>
      </c>
      <c r="COF95" s="365">
        <v>0.5</v>
      </c>
      <c r="COG95" s="366" t="e">
        <f>10/COC93</f>
        <v>#DIV/0!</v>
      </c>
      <c r="COH95" s="367">
        <v>15.38</v>
      </c>
      <c r="COI95" s="367" t="e">
        <f>COF95*COG95*COH95</f>
        <v>#DIV/0!</v>
      </c>
      <c r="COJ95" s="363" t="s">
        <v>153</v>
      </c>
      <c r="COK95" s="363"/>
      <c r="COL95" s="363"/>
      <c r="COM95" s="364" t="s">
        <v>140</v>
      </c>
      <c r="CON95" s="365">
        <v>0.5</v>
      </c>
      <c r="COO95" s="366" t="e">
        <f>10/COK93</f>
        <v>#DIV/0!</v>
      </c>
      <c r="COP95" s="367">
        <v>15.38</v>
      </c>
      <c r="COQ95" s="367" t="e">
        <f>CON95*COO95*COP95</f>
        <v>#DIV/0!</v>
      </c>
      <c r="COR95" s="363" t="s">
        <v>153</v>
      </c>
      <c r="COS95" s="363"/>
      <c r="COT95" s="363"/>
      <c r="COU95" s="364" t="s">
        <v>140</v>
      </c>
      <c r="COV95" s="365">
        <v>0.5</v>
      </c>
      <c r="COW95" s="366" t="e">
        <f>10/COS93</f>
        <v>#DIV/0!</v>
      </c>
      <c r="COX95" s="367">
        <v>15.38</v>
      </c>
      <c r="COY95" s="367" t="e">
        <f>COV95*COW95*COX95</f>
        <v>#DIV/0!</v>
      </c>
      <c r="COZ95" s="363" t="s">
        <v>153</v>
      </c>
      <c r="CPA95" s="363"/>
      <c r="CPB95" s="363"/>
      <c r="CPC95" s="364" t="s">
        <v>140</v>
      </c>
      <c r="CPD95" s="365">
        <v>0.5</v>
      </c>
      <c r="CPE95" s="366" t="e">
        <f>10/CPA93</f>
        <v>#DIV/0!</v>
      </c>
      <c r="CPF95" s="367">
        <v>15.38</v>
      </c>
      <c r="CPG95" s="367" t="e">
        <f>CPD95*CPE95*CPF95</f>
        <v>#DIV/0!</v>
      </c>
      <c r="CPH95" s="363" t="s">
        <v>153</v>
      </c>
      <c r="CPI95" s="363"/>
      <c r="CPJ95" s="363"/>
      <c r="CPK95" s="364" t="s">
        <v>140</v>
      </c>
      <c r="CPL95" s="365">
        <v>0.5</v>
      </c>
      <c r="CPM95" s="366" t="e">
        <f>10/CPI93</f>
        <v>#DIV/0!</v>
      </c>
      <c r="CPN95" s="367">
        <v>15.38</v>
      </c>
      <c r="CPO95" s="367" t="e">
        <f>CPL95*CPM95*CPN95</f>
        <v>#DIV/0!</v>
      </c>
      <c r="CPP95" s="363" t="s">
        <v>153</v>
      </c>
      <c r="CPQ95" s="363"/>
      <c r="CPR95" s="363"/>
      <c r="CPS95" s="364" t="s">
        <v>140</v>
      </c>
      <c r="CPT95" s="365">
        <v>0.5</v>
      </c>
      <c r="CPU95" s="366" t="e">
        <f>10/CPQ93</f>
        <v>#DIV/0!</v>
      </c>
      <c r="CPV95" s="367">
        <v>15.38</v>
      </c>
      <c r="CPW95" s="367" t="e">
        <f>CPT95*CPU95*CPV95</f>
        <v>#DIV/0!</v>
      </c>
      <c r="CPX95" s="363" t="s">
        <v>153</v>
      </c>
      <c r="CPY95" s="363"/>
      <c r="CPZ95" s="363"/>
      <c r="CQA95" s="364" t="s">
        <v>140</v>
      </c>
      <c r="CQB95" s="365">
        <v>0.5</v>
      </c>
      <c r="CQC95" s="366" t="e">
        <f>10/CPY93</f>
        <v>#DIV/0!</v>
      </c>
      <c r="CQD95" s="367">
        <v>15.38</v>
      </c>
      <c r="CQE95" s="367" t="e">
        <f>CQB95*CQC95*CQD95</f>
        <v>#DIV/0!</v>
      </c>
      <c r="CQF95" s="363" t="s">
        <v>153</v>
      </c>
      <c r="CQG95" s="363"/>
      <c r="CQH95" s="363"/>
      <c r="CQI95" s="364" t="s">
        <v>140</v>
      </c>
      <c r="CQJ95" s="365">
        <v>0.5</v>
      </c>
      <c r="CQK95" s="366" t="e">
        <f>10/CQG93</f>
        <v>#DIV/0!</v>
      </c>
      <c r="CQL95" s="367">
        <v>15.38</v>
      </c>
      <c r="CQM95" s="367" t="e">
        <f>CQJ95*CQK95*CQL95</f>
        <v>#DIV/0!</v>
      </c>
      <c r="CQN95" s="363" t="s">
        <v>153</v>
      </c>
      <c r="CQO95" s="363"/>
      <c r="CQP95" s="363"/>
      <c r="CQQ95" s="364" t="s">
        <v>140</v>
      </c>
      <c r="CQR95" s="365">
        <v>0.5</v>
      </c>
      <c r="CQS95" s="366" t="e">
        <f>10/CQO93</f>
        <v>#DIV/0!</v>
      </c>
      <c r="CQT95" s="367">
        <v>15.38</v>
      </c>
      <c r="CQU95" s="367" t="e">
        <f>CQR95*CQS95*CQT95</f>
        <v>#DIV/0!</v>
      </c>
      <c r="CQV95" s="363" t="s">
        <v>153</v>
      </c>
      <c r="CQW95" s="363"/>
      <c r="CQX95" s="363"/>
      <c r="CQY95" s="364" t="s">
        <v>140</v>
      </c>
      <c r="CQZ95" s="365">
        <v>0.5</v>
      </c>
      <c r="CRA95" s="366" t="e">
        <f>10/CQW93</f>
        <v>#DIV/0!</v>
      </c>
      <c r="CRB95" s="367">
        <v>15.38</v>
      </c>
      <c r="CRC95" s="367" t="e">
        <f>CQZ95*CRA95*CRB95</f>
        <v>#DIV/0!</v>
      </c>
      <c r="CRD95" s="363" t="s">
        <v>153</v>
      </c>
      <c r="CRE95" s="363"/>
      <c r="CRF95" s="363"/>
      <c r="CRG95" s="364" t="s">
        <v>140</v>
      </c>
      <c r="CRH95" s="365">
        <v>0.5</v>
      </c>
      <c r="CRI95" s="366" t="e">
        <f>10/CRE93</f>
        <v>#DIV/0!</v>
      </c>
      <c r="CRJ95" s="367">
        <v>15.38</v>
      </c>
      <c r="CRK95" s="367" t="e">
        <f>CRH95*CRI95*CRJ95</f>
        <v>#DIV/0!</v>
      </c>
      <c r="CRL95" s="363" t="s">
        <v>153</v>
      </c>
      <c r="CRM95" s="363"/>
      <c r="CRN95" s="363"/>
      <c r="CRO95" s="364" t="s">
        <v>140</v>
      </c>
      <c r="CRP95" s="365">
        <v>0.5</v>
      </c>
      <c r="CRQ95" s="366" t="e">
        <f>10/CRM93</f>
        <v>#DIV/0!</v>
      </c>
      <c r="CRR95" s="367">
        <v>15.38</v>
      </c>
      <c r="CRS95" s="367" t="e">
        <f>CRP95*CRQ95*CRR95</f>
        <v>#DIV/0!</v>
      </c>
      <c r="CRT95" s="363" t="s">
        <v>153</v>
      </c>
      <c r="CRU95" s="363"/>
      <c r="CRV95" s="363"/>
      <c r="CRW95" s="364" t="s">
        <v>140</v>
      </c>
      <c r="CRX95" s="365">
        <v>0.5</v>
      </c>
      <c r="CRY95" s="366" t="e">
        <f>10/CRU93</f>
        <v>#DIV/0!</v>
      </c>
      <c r="CRZ95" s="367">
        <v>15.38</v>
      </c>
      <c r="CSA95" s="367" t="e">
        <f>CRX95*CRY95*CRZ95</f>
        <v>#DIV/0!</v>
      </c>
      <c r="CSB95" s="363" t="s">
        <v>153</v>
      </c>
      <c r="CSC95" s="363"/>
      <c r="CSD95" s="363"/>
      <c r="CSE95" s="364" t="s">
        <v>140</v>
      </c>
      <c r="CSF95" s="365">
        <v>0.5</v>
      </c>
      <c r="CSG95" s="366" t="e">
        <f>10/CSC93</f>
        <v>#DIV/0!</v>
      </c>
      <c r="CSH95" s="367">
        <v>15.38</v>
      </c>
      <c r="CSI95" s="367" t="e">
        <f>CSF95*CSG95*CSH95</f>
        <v>#DIV/0!</v>
      </c>
      <c r="CSJ95" s="363" t="s">
        <v>153</v>
      </c>
      <c r="CSK95" s="363"/>
      <c r="CSL95" s="363"/>
      <c r="CSM95" s="364" t="s">
        <v>140</v>
      </c>
      <c r="CSN95" s="365">
        <v>0.5</v>
      </c>
      <c r="CSO95" s="366" t="e">
        <f>10/CSK93</f>
        <v>#DIV/0!</v>
      </c>
      <c r="CSP95" s="367">
        <v>15.38</v>
      </c>
      <c r="CSQ95" s="367" t="e">
        <f>CSN95*CSO95*CSP95</f>
        <v>#DIV/0!</v>
      </c>
      <c r="CSR95" s="363" t="s">
        <v>153</v>
      </c>
      <c r="CSS95" s="363"/>
      <c r="CST95" s="363"/>
      <c r="CSU95" s="364" t="s">
        <v>140</v>
      </c>
      <c r="CSV95" s="365">
        <v>0.5</v>
      </c>
      <c r="CSW95" s="366" t="e">
        <f>10/CSS93</f>
        <v>#DIV/0!</v>
      </c>
      <c r="CSX95" s="367">
        <v>15.38</v>
      </c>
      <c r="CSY95" s="367" t="e">
        <f>CSV95*CSW95*CSX95</f>
        <v>#DIV/0!</v>
      </c>
      <c r="CSZ95" s="363" t="s">
        <v>153</v>
      </c>
      <c r="CTA95" s="363"/>
      <c r="CTB95" s="363"/>
      <c r="CTC95" s="364" t="s">
        <v>140</v>
      </c>
      <c r="CTD95" s="365">
        <v>0.5</v>
      </c>
      <c r="CTE95" s="366" t="e">
        <f>10/CTA93</f>
        <v>#DIV/0!</v>
      </c>
      <c r="CTF95" s="367">
        <v>15.38</v>
      </c>
      <c r="CTG95" s="367" t="e">
        <f>CTD95*CTE95*CTF95</f>
        <v>#DIV/0!</v>
      </c>
      <c r="CTH95" s="363" t="s">
        <v>153</v>
      </c>
      <c r="CTI95" s="363"/>
      <c r="CTJ95" s="363"/>
      <c r="CTK95" s="364" t="s">
        <v>140</v>
      </c>
      <c r="CTL95" s="365">
        <v>0.5</v>
      </c>
      <c r="CTM95" s="366" t="e">
        <f>10/CTI93</f>
        <v>#DIV/0!</v>
      </c>
      <c r="CTN95" s="367">
        <v>15.38</v>
      </c>
      <c r="CTO95" s="367" t="e">
        <f>CTL95*CTM95*CTN95</f>
        <v>#DIV/0!</v>
      </c>
      <c r="CTP95" s="363" t="s">
        <v>153</v>
      </c>
      <c r="CTQ95" s="363"/>
      <c r="CTR95" s="363"/>
      <c r="CTS95" s="364" t="s">
        <v>140</v>
      </c>
      <c r="CTT95" s="365">
        <v>0.5</v>
      </c>
      <c r="CTU95" s="366" t="e">
        <f>10/CTQ93</f>
        <v>#DIV/0!</v>
      </c>
      <c r="CTV95" s="367">
        <v>15.38</v>
      </c>
      <c r="CTW95" s="367" t="e">
        <f>CTT95*CTU95*CTV95</f>
        <v>#DIV/0!</v>
      </c>
      <c r="CTX95" s="363" t="s">
        <v>153</v>
      </c>
      <c r="CTY95" s="363"/>
      <c r="CTZ95" s="363"/>
      <c r="CUA95" s="364" t="s">
        <v>140</v>
      </c>
      <c r="CUB95" s="365">
        <v>0.5</v>
      </c>
      <c r="CUC95" s="366" t="e">
        <f>10/CTY93</f>
        <v>#DIV/0!</v>
      </c>
      <c r="CUD95" s="367">
        <v>15.38</v>
      </c>
      <c r="CUE95" s="367" t="e">
        <f>CUB95*CUC95*CUD95</f>
        <v>#DIV/0!</v>
      </c>
      <c r="CUF95" s="363" t="s">
        <v>153</v>
      </c>
      <c r="CUG95" s="363"/>
      <c r="CUH95" s="363"/>
      <c r="CUI95" s="364" t="s">
        <v>140</v>
      </c>
      <c r="CUJ95" s="365">
        <v>0.5</v>
      </c>
      <c r="CUK95" s="366" t="e">
        <f>10/CUG93</f>
        <v>#DIV/0!</v>
      </c>
      <c r="CUL95" s="367">
        <v>15.38</v>
      </c>
      <c r="CUM95" s="367" t="e">
        <f>CUJ95*CUK95*CUL95</f>
        <v>#DIV/0!</v>
      </c>
      <c r="CUN95" s="363" t="s">
        <v>153</v>
      </c>
      <c r="CUO95" s="363"/>
      <c r="CUP95" s="363"/>
      <c r="CUQ95" s="364" t="s">
        <v>140</v>
      </c>
      <c r="CUR95" s="365">
        <v>0.5</v>
      </c>
      <c r="CUS95" s="366" t="e">
        <f>10/CUO93</f>
        <v>#DIV/0!</v>
      </c>
      <c r="CUT95" s="367">
        <v>15.38</v>
      </c>
      <c r="CUU95" s="367" t="e">
        <f>CUR95*CUS95*CUT95</f>
        <v>#DIV/0!</v>
      </c>
      <c r="CUV95" s="363" t="s">
        <v>153</v>
      </c>
      <c r="CUW95" s="363"/>
      <c r="CUX95" s="363"/>
      <c r="CUY95" s="364" t="s">
        <v>140</v>
      </c>
      <c r="CUZ95" s="365">
        <v>0.5</v>
      </c>
      <c r="CVA95" s="366" t="e">
        <f>10/CUW93</f>
        <v>#DIV/0!</v>
      </c>
      <c r="CVB95" s="367">
        <v>15.38</v>
      </c>
      <c r="CVC95" s="367" t="e">
        <f>CUZ95*CVA95*CVB95</f>
        <v>#DIV/0!</v>
      </c>
      <c r="CVD95" s="363" t="s">
        <v>153</v>
      </c>
      <c r="CVE95" s="363"/>
      <c r="CVF95" s="363"/>
      <c r="CVG95" s="364" t="s">
        <v>140</v>
      </c>
      <c r="CVH95" s="365">
        <v>0.5</v>
      </c>
      <c r="CVI95" s="366" t="e">
        <f>10/CVE93</f>
        <v>#DIV/0!</v>
      </c>
      <c r="CVJ95" s="367">
        <v>15.38</v>
      </c>
      <c r="CVK95" s="367" t="e">
        <f>CVH95*CVI95*CVJ95</f>
        <v>#DIV/0!</v>
      </c>
      <c r="CVL95" s="363" t="s">
        <v>153</v>
      </c>
      <c r="CVM95" s="363"/>
      <c r="CVN95" s="363"/>
      <c r="CVO95" s="364" t="s">
        <v>140</v>
      </c>
      <c r="CVP95" s="365">
        <v>0.5</v>
      </c>
      <c r="CVQ95" s="366" t="e">
        <f>10/CVM93</f>
        <v>#DIV/0!</v>
      </c>
      <c r="CVR95" s="367">
        <v>15.38</v>
      </c>
      <c r="CVS95" s="367" t="e">
        <f>CVP95*CVQ95*CVR95</f>
        <v>#DIV/0!</v>
      </c>
      <c r="CVT95" s="363" t="s">
        <v>153</v>
      </c>
      <c r="CVU95" s="363"/>
      <c r="CVV95" s="363"/>
      <c r="CVW95" s="364" t="s">
        <v>140</v>
      </c>
      <c r="CVX95" s="365">
        <v>0.5</v>
      </c>
      <c r="CVY95" s="366" t="e">
        <f>10/CVU93</f>
        <v>#DIV/0!</v>
      </c>
      <c r="CVZ95" s="367">
        <v>15.38</v>
      </c>
      <c r="CWA95" s="367" t="e">
        <f>CVX95*CVY95*CVZ95</f>
        <v>#DIV/0!</v>
      </c>
      <c r="CWB95" s="363" t="s">
        <v>153</v>
      </c>
      <c r="CWC95" s="363"/>
      <c r="CWD95" s="363"/>
      <c r="CWE95" s="364" t="s">
        <v>140</v>
      </c>
      <c r="CWF95" s="365">
        <v>0.5</v>
      </c>
      <c r="CWG95" s="366" t="e">
        <f>10/CWC93</f>
        <v>#DIV/0!</v>
      </c>
      <c r="CWH95" s="367">
        <v>15.38</v>
      </c>
      <c r="CWI95" s="367" t="e">
        <f>CWF95*CWG95*CWH95</f>
        <v>#DIV/0!</v>
      </c>
      <c r="CWJ95" s="363" t="s">
        <v>153</v>
      </c>
      <c r="CWK95" s="363"/>
      <c r="CWL95" s="363"/>
      <c r="CWM95" s="364" t="s">
        <v>140</v>
      </c>
      <c r="CWN95" s="365">
        <v>0.5</v>
      </c>
      <c r="CWO95" s="366" t="e">
        <f>10/CWK93</f>
        <v>#DIV/0!</v>
      </c>
      <c r="CWP95" s="367">
        <v>15.38</v>
      </c>
      <c r="CWQ95" s="367" t="e">
        <f>CWN95*CWO95*CWP95</f>
        <v>#DIV/0!</v>
      </c>
      <c r="CWR95" s="363" t="s">
        <v>153</v>
      </c>
      <c r="CWS95" s="363"/>
      <c r="CWT95" s="363"/>
      <c r="CWU95" s="364" t="s">
        <v>140</v>
      </c>
      <c r="CWV95" s="365">
        <v>0.5</v>
      </c>
      <c r="CWW95" s="366" t="e">
        <f>10/CWS93</f>
        <v>#DIV/0!</v>
      </c>
      <c r="CWX95" s="367">
        <v>15.38</v>
      </c>
      <c r="CWY95" s="367" t="e">
        <f>CWV95*CWW95*CWX95</f>
        <v>#DIV/0!</v>
      </c>
      <c r="CWZ95" s="363" t="s">
        <v>153</v>
      </c>
      <c r="CXA95" s="363"/>
      <c r="CXB95" s="363"/>
      <c r="CXC95" s="364" t="s">
        <v>140</v>
      </c>
      <c r="CXD95" s="365">
        <v>0.5</v>
      </c>
      <c r="CXE95" s="366" t="e">
        <f>10/CXA93</f>
        <v>#DIV/0!</v>
      </c>
      <c r="CXF95" s="367">
        <v>15.38</v>
      </c>
      <c r="CXG95" s="367" t="e">
        <f>CXD95*CXE95*CXF95</f>
        <v>#DIV/0!</v>
      </c>
      <c r="CXH95" s="363" t="s">
        <v>153</v>
      </c>
      <c r="CXI95" s="363"/>
      <c r="CXJ95" s="363"/>
      <c r="CXK95" s="364" t="s">
        <v>140</v>
      </c>
      <c r="CXL95" s="365">
        <v>0.5</v>
      </c>
      <c r="CXM95" s="366" t="e">
        <f>10/CXI93</f>
        <v>#DIV/0!</v>
      </c>
      <c r="CXN95" s="367">
        <v>15.38</v>
      </c>
      <c r="CXO95" s="367" t="e">
        <f>CXL95*CXM95*CXN95</f>
        <v>#DIV/0!</v>
      </c>
      <c r="CXP95" s="363" t="s">
        <v>153</v>
      </c>
      <c r="CXQ95" s="363"/>
      <c r="CXR95" s="363"/>
      <c r="CXS95" s="364" t="s">
        <v>140</v>
      </c>
      <c r="CXT95" s="365">
        <v>0.5</v>
      </c>
      <c r="CXU95" s="366" t="e">
        <f>10/CXQ93</f>
        <v>#DIV/0!</v>
      </c>
      <c r="CXV95" s="367">
        <v>15.38</v>
      </c>
      <c r="CXW95" s="367" t="e">
        <f>CXT95*CXU95*CXV95</f>
        <v>#DIV/0!</v>
      </c>
      <c r="CXX95" s="363" t="s">
        <v>153</v>
      </c>
      <c r="CXY95" s="363"/>
      <c r="CXZ95" s="363"/>
      <c r="CYA95" s="364" t="s">
        <v>140</v>
      </c>
      <c r="CYB95" s="365">
        <v>0.5</v>
      </c>
      <c r="CYC95" s="366" t="e">
        <f>10/CXY93</f>
        <v>#DIV/0!</v>
      </c>
      <c r="CYD95" s="367">
        <v>15.38</v>
      </c>
      <c r="CYE95" s="367" t="e">
        <f>CYB95*CYC95*CYD95</f>
        <v>#DIV/0!</v>
      </c>
      <c r="CYF95" s="363" t="s">
        <v>153</v>
      </c>
      <c r="CYG95" s="363"/>
      <c r="CYH95" s="363"/>
      <c r="CYI95" s="364" t="s">
        <v>140</v>
      </c>
      <c r="CYJ95" s="365">
        <v>0.5</v>
      </c>
      <c r="CYK95" s="366" t="e">
        <f>10/CYG93</f>
        <v>#DIV/0!</v>
      </c>
      <c r="CYL95" s="367">
        <v>15.38</v>
      </c>
      <c r="CYM95" s="367" t="e">
        <f>CYJ95*CYK95*CYL95</f>
        <v>#DIV/0!</v>
      </c>
      <c r="CYN95" s="363" t="s">
        <v>153</v>
      </c>
      <c r="CYO95" s="363"/>
      <c r="CYP95" s="363"/>
      <c r="CYQ95" s="364" t="s">
        <v>140</v>
      </c>
      <c r="CYR95" s="365">
        <v>0.5</v>
      </c>
      <c r="CYS95" s="366" t="e">
        <f>10/CYO93</f>
        <v>#DIV/0!</v>
      </c>
      <c r="CYT95" s="367">
        <v>15.38</v>
      </c>
      <c r="CYU95" s="367" t="e">
        <f>CYR95*CYS95*CYT95</f>
        <v>#DIV/0!</v>
      </c>
      <c r="CYV95" s="363" t="s">
        <v>153</v>
      </c>
      <c r="CYW95" s="363"/>
      <c r="CYX95" s="363"/>
      <c r="CYY95" s="364" t="s">
        <v>140</v>
      </c>
      <c r="CYZ95" s="365">
        <v>0.5</v>
      </c>
      <c r="CZA95" s="366" t="e">
        <f>10/CYW93</f>
        <v>#DIV/0!</v>
      </c>
      <c r="CZB95" s="367">
        <v>15.38</v>
      </c>
      <c r="CZC95" s="367" t="e">
        <f>CYZ95*CZA95*CZB95</f>
        <v>#DIV/0!</v>
      </c>
      <c r="CZD95" s="363" t="s">
        <v>153</v>
      </c>
      <c r="CZE95" s="363"/>
      <c r="CZF95" s="363"/>
      <c r="CZG95" s="364" t="s">
        <v>140</v>
      </c>
      <c r="CZH95" s="365">
        <v>0.5</v>
      </c>
      <c r="CZI95" s="366" t="e">
        <f>10/CZE93</f>
        <v>#DIV/0!</v>
      </c>
      <c r="CZJ95" s="367">
        <v>15.38</v>
      </c>
      <c r="CZK95" s="367" t="e">
        <f>CZH95*CZI95*CZJ95</f>
        <v>#DIV/0!</v>
      </c>
      <c r="CZL95" s="363" t="s">
        <v>153</v>
      </c>
      <c r="CZM95" s="363"/>
      <c r="CZN95" s="363"/>
      <c r="CZO95" s="364" t="s">
        <v>140</v>
      </c>
      <c r="CZP95" s="365">
        <v>0.5</v>
      </c>
      <c r="CZQ95" s="366" t="e">
        <f>10/CZM93</f>
        <v>#DIV/0!</v>
      </c>
      <c r="CZR95" s="367">
        <v>15.38</v>
      </c>
      <c r="CZS95" s="367" t="e">
        <f>CZP95*CZQ95*CZR95</f>
        <v>#DIV/0!</v>
      </c>
      <c r="CZT95" s="363" t="s">
        <v>153</v>
      </c>
      <c r="CZU95" s="363"/>
      <c r="CZV95" s="363"/>
      <c r="CZW95" s="364" t="s">
        <v>140</v>
      </c>
      <c r="CZX95" s="365">
        <v>0.5</v>
      </c>
      <c r="CZY95" s="366" t="e">
        <f>10/CZU93</f>
        <v>#DIV/0!</v>
      </c>
      <c r="CZZ95" s="367">
        <v>15.38</v>
      </c>
      <c r="DAA95" s="367" t="e">
        <f>CZX95*CZY95*CZZ95</f>
        <v>#DIV/0!</v>
      </c>
      <c r="DAB95" s="363" t="s">
        <v>153</v>
      </c>
      <c r="DAC95" s="363"/>
      <c r="DAD95" s="363"/>
      <c r="DAE95" s="364" t="s">
        <v>140</v>
      </c>
      <c r="DAF95" s="365">
        <v>0.5</v>
      </c>
      <c r="DAG95" s="366" t="e">
        <f>10/DAC93</f>
        <v>#DIV/0!</v>
      </c>
      <c r="DAH95" s="367">
        <v>15.38</v>
      </c>
      <c r="DAI95" s="367" t="e">
        <f>DAF95*DAG95*DAH95</f>
        <v>#DIV/0!</v>
      </c>
      <c r="DAJ95" s="363" t="s">
        <v>153</v>
      </c>
      <c r="DAK95" s="363"/>
      <c r="DAL95" s="363"/>
      <c r="DAM95" s="364" t="s">
        <v>140</v>
      </c>
      <c r="DAN95" s="365">
        <v>0.5</v>
      </c>
      <c r="DAO95" s="366" t="e">
        <f>10/DAK93</f>
        <v>#DIV/0!</v>
      </c>
      <c r="DAP95" s="367">
        <v>15.38</v>
      </c>
      <c r="DAQ95" s="367" t="e">
        <f>DAN95*DAO95*DAP95</f>
        <v>#DIV/0!</v>
      </c>
      <c r="DAR95" s="363" t="s">
        <v>153</v>
      </c>
      <c r="DAS95" s="363"/>
      <c r="DAT95" s="363"/>
      <c r="DAU95" s="364" t="s">
        <v>140</v>
      </c>
      <c r="DAV95" s="365">
        <v>0.5</v>
      </c>
      <c r="DAW95" s="366" t="e">
        <f>10/DAS93</f>
        <v>#DIV/0!</v>
      </c>
      <c r="DAX95" s="367">
        <v>15.38</v>
      </c>
      <c r="DAY95" s="367" t="e">
        <f>DAV95*DAW95*DAX95</f>
        <v>#DIV/0!</v>
      </c>
      <c r="DAZ95" s="363" t="s">
        <v>153</v>
      </c>
      <c r="DBA95" s="363"/>
      <c r="DBB95" s="363"/>
      <c r="DBC95" s="364" t="s">
        <v>140</v>
      </c>
      <c r="DBD95" s="365">
        <v>0.5</v>
      </c>
      <c r="DBE95" s="366" t="e">
        <f>10/DBA93</f>
        <v>#DIV/0!</v>
      </c>
      <c r="DBF95" s="367">
        <v>15.38</v>
      </c>
      <c r="DBG95" s="367" t="e">
        <f>DBD95*DBE95*DBF95</f>
        <v>#DIV/0!</v>
      </c>
      <c r="DBH95" s="363" t="s">
        <v>153</v>
      </c>
      <c r="DBI95" s="363"/>
      <c r="DBJ95" s="363"/>
      <c r="DBK95" s="364" t="s">
        <v>140</v>
      </c>
      <c r="DBL95" s="365">
        <v>0.5</v>
      </c>
      <c r="DBM95" s="366" t="e">
        <f>10/DBI93</f>
        <v>#DIV/0!</v>
      </c>
      <c r="DBN95" s="367">
        <v>15.38</v>
      </c>
      <c r="DBO95" s="367" t="e">
        <f>DBL95*DBM95*DBN95</f>
        <v>#DIV/0!</v>
      </c>
      <c r="DBP95" s="363" t="s">
        <v>153</v>
      </c>
      <c r="DBQ95" s="363"/>
      <c r="DBR95" s="363"/>
      <c r="DBS95" s="364" t="s">
        <v>140</v>
      </c>
      <c r="DBT95" s="365">
        <v>0.5</v>
      </c>
      <c r="DBU95" s="366" t="e">
        <f>10/DBQ93</f>
        <v>#DIV/0!</v>
      </c>
      <c r="DBV95" s="367">
        <v>15.38</v>
      </c>
      <c r="DBW95" s="367" t="e">
        <f>DBT95*DBU95*DBV95</f>
        <v>#DIV/0!</v>
      </c>
      <c r="DBX95" s="363" t="s">
        <v>153</v>
      </c>
      <c r="DBY95" s="363"/>
      <c r="DBZ95" s="363"/>
      <c r="DCA95" s="364" t="s">
        <v>140</v>
      </c>
      <c r="DCB95" s="365">
        <v>0.5</v>
      </c>
      <c r="DCC95" s="366" t="e">
        <f>10/DBY93</f>
        <v>#DIV/0!</v>
      </c>
      <c r="DCD95" s="367">
        <v>15.38</v>
      </c>
      <c r="DCE95" s="367" t="e">
        <f>DCB95*DCC95*DCD95</f>
        <v>#DIV/0!</v>
      </c>
      <c r="DCF95" s="363" t="s">
        <v>153</v>
      </c>
      <c r="DCG95" s="363"/>
      <c r="DCH95" s="363"/>
      <c r="DCI95" s="364" t="s">
        <v>140</v>
      </c>
      <c r="DCJ95" s="365">
        <v>0.5</v>
      </c>
      <c r="DCK95" s="366" t="e">
        <f>10/DCG93</f>
        <v>#DIV/0!</v>
      </c>
      <c r="DCL95" s="367">
        <v>15.38</v>
      </c>
      <c r="DCM95" s="367" t="e">
        <f>DCJ95*DCK95*DCL95</f>
        <v>#DIV/0!</v>
      </c>
      <c r="DCN95" s="363" t="s">
        <v>153</v>
      </c>
      <c r="DCO95" s="363"/>
      <c r="DCP95" s="363"/>
      <c r="DCQ95" s="364" t="s">
        <v>140</v>
      </c>
      <c r="DCR95" s="365">
        <v>0.5</v>
      </c>
      <c r="DCS95" s="366" t="e">
        <f>10/DCO93</f>
        <v>#DIV/0!</v>
      </c>
      <c r="DCT95" s="367">
        <v>15.38</v>
      </c>
      <c r="DCU95" s="367" t="e">
        <f>DCR95*DCS95*DCT95</f>
        <v>#DIV/0!</v>
      </c>
      <c r="DCV95" s="363" t="s">
        <v>153</v>
      </c>
      <c r="DCW95" s="363"/>
      <c r="DCX95" s="363"/>
      <c r="DCY95" s="364" t="s">
        <v>140</v>
      </c>
      <c r="DCZ95" s="365">
        <v>0.5</v>
      </c>
      <c r="DDA95" s="366" t="e">
        <f>10/DCW93</f>
        <v>#DIV/0!</v>
      </c>
      <c r="DDB95" s="367">
        <v>15.38</v>
      </c>
      <c r="DDC95" s="367" t="e">
        <f>DCZ95*DDA95*DDB95</f>
        <v>#DIV/0!</v>
      </c>
      <c r="DDD95" s="363" t="s">
        <v>153</v>
      </c>
      <c r="DDE95" s="363"/>
      <c r="DDF95" s="363"/>
      <c r="DDG95" s="364" t="s">
        <v>140</v>
      </c>
      <c r="DDH95" s="365">
        <v>0.5</v>
      </c>
      <c r="DDI95" s="366" t="e">
        <f>10/DDE93</f>
        <v>#DIV/0!</v>
      </c>
      <c r="DDJ95" s="367">
        <v>15.38</v>
      </c>
      <c r="DDK95" s="367" t="e">
        <f>DDH95*DDI95*DDJ95</f>
        <v>#DIV/0!</v>
      </c>
      <c r="DDL95" s="363" t="s">
        <v>153</v>
      </c>
      <c r="DDM95" s="363"/>
      <c r="DDN95" s="363"/>
      <c r="DDO95" s="364" t="s">
        <v>140</v>
      </c>
      <c r="DDP95" s="365">
        <v>0.5</v>
      </c>
      <c r="DDQ95" s="366" t="e">
        <f>10/DDM93</f>
        <v>#DIV/0!</v>
      </c>
      <c r="DDR95" s="367">
        <v>15.38</v>
      </c>
      <c r="DDS95" s="367" t="e">
        <f>DDP95*DDQ95*DDR95</f>
        <v>#DIV/0!</v>
      </c>
      <c r="DDT95" s="363" t="s">
        <v>153</v>
      </c>
      <c r="DDU95" s="363"/>
      <c r="DDV95" s="363"/>
      <c r="DDW95" s="364" t="s">
        <v>140</v>
      </c>
      <c r="DDX95" s="365">
        <v>0.5</v>
      </c>
      <c r="DDY95" s="366" t="e">
        <f>10/DDU93</f>
        <v>#DIV/0!</v>
      </c>
      <c r="DDZ95" s="367">
        <v>15.38</v>
      </c>
      <c r="DEA95" s="367" t="e">
        <f>DDX95*DDY95*DDZ95</f>
        <v>#DIV/0!</v>
      </c>
      <c r="DEB95" s="363" t="s">
        <v>153</v>
      </c>
      <c r="DEC95" s="363"/>
      <c r="DED95" s="363"/>
      <c r="DEE95" s="364" t="s">
        <v>140</v>
      </c>
      <c r="DEF95" s="365">
        <v>0.5</v>
      </c>
      <c r="DEG95" s="366" t="e">
        <f>10/DEC93</f>
        <v>#DIV/0!</v>
      </c>
      <c r="DEH95" s="367">
        <v>15.38</v>
      </c>
      <c r="DEI95" s="367" t="e">
        <f>DEF95*DEG95*DEH95</f>
        <v>#DIV/0!</v>
      </c>
      <c r="DEJ95" s="363" t="s">
        <v>153</v>
      </c>
      <c r="DEK95" s="363"/>
      <c r="DEL95" s="363"/>
      <c r="DEM95" s="364" t="s">
        <v>140</v>
      </c>
      <c r="DEN95" s="365">
        <v>0.5</v>
      </c>
      <c r="DEO95" s="366" t="e">
        <f>10/DEK93</f>
        <v>#DIV/0!</v>
      </c>
      <c r="DEP95" s="367">
        <v>15.38</v>
      </c>
      <c r="DEQ95" s="367" t="e">
        <f>DEN95*DEO95*DEP95</f>
        <v>#DIV/0!</v>
      </c>
      <c r="DER95" s="363" t="s">
        <v>153</v>
      </c>
      <c r="DES95" s="363"/>
      <c r="DET95" s="363"/>
      <c r="DEU95" s="364" t="s">
        <v>140</v>
      </c>
      <c r="DEV95" s="365">
        <v>0.5</v>
      </c>
      <c r="DEW95" s="366" t="e">
        <f>10/DES93</f>
        <v>#DIV/0!</v>
      </c>
      <c r="DEX95" s="367">
        <v>15.38</v>
      </c>
      <c r="DEY95" s="367" t="e">
        <f>DEV95*DEW95*DEX95</f>
        <v>#DIV/0!</v>
      </c>
      <c r="DEZ95" s="363" t="s">
        <v>153</v>
      </c>
      <c r="DFA95" s="363"/>
      <c r="DFB95" s="363"/>
      <c r="DFC95" s="364" t="s">
        <v>140</v>
      </c>
      <c r="DFD95" s="365">
        <v>0.5</v>
      </c>
      <c r="DFE95" s="366" t="e">
        <f>10/DFA93</f>
        <v>#DIV/0!</v>
      </c>
      <c r="DFF95" s="367">
        <v>15.38</v>
      </c>
      <c r="DFG95" s="367" t="e">
        <f>DFD95*DFE95*DFF95</f>
        <v>#DIV/0!</v>
      </c>
      <c r="DFH95" s="363" t="s">
        <v>153</v>
      </c>
      <c r="DFI95" s="363"/>
      <c r="DFJ95" s="363"/>
      <c r="DFK95" s="364" t="s">
        <v>140</v>
      </c>
      <c r="DFL95" s="365">
        <v>0.5</v>
      </c>
      <c r="DFM95" s="366" t="e">
        <f>10/DFI93</f>
        <v>#DIV/0!</v>
      </c>
      <c r="DFN95" s="367">
        <v>15.38</v>
      </c>
      <c r="DFO95" s="367" t="e">
        <f>DFL95*DFM95*DFN95</f>
        <v>#DIV/0!</v>
      </c>
      <c r="DFP95" s="363" t="s">
        <v>153</v>
      </c>
      <c r="DFQ95" s="363"/>
      <c r="DFR95" s="363"/>
      <c r="DFS95" s="364" t="s">
        <v>140</v>
      </c>
      <c r="DFT95" s="365">
        <v>0.5</v>
      </c>
      <c r="DFU95" s="366" t="e">
        <f>10/DFQ93</f>
        <v>#DIV/0!</v>
      </c>
      <c r="DFV95" s="367">
        <v>15.38</v>
      </c>
      <c r="DFW95" s="367" t="e">
        <f>DFT95*DFU95*DFV95</f>
        <v>#DIV/0!</v>
      </c>
      <c r="DFX95" s="363" t="s">
        <v>153</v>
      </c>
      <c r="DFY95" s="363"/>
      <c r="DFZ95" s="363"/>
      <c r="DGA95" s="364" t="s">
        <v>140</v>
      </c>
      <c r="DGB95" s="365">
        <v>0.5</v>
      </c>
      <c r="DGC95" s="366" t="e">
        <f>10/DFY93</f>
        <v>#DIV/0!</v>
      </c>
      <c r="DGD95" s="367">
        <v>15.38</v>
      </c>
      <c r="DGE95" s="367" t="e">
        <f>DGB95*DGC95*DGD95</f>
        <v>#DIV/0!</v>
      </c>
      <c r="DGF95" s="363" t="s">
        <v>153</v>
      </c>
      <c r="DGG95" s="363"/>
      <c r="DGH95" s="363"/>
      <c r="DGI95" s="364" t="s">
        <v>140</v>
      </c>
      <c r="DGJ95" s="365">
        <v>0.5</v>
      </c>
      <c r="DGK95" s="366" t="e">
        <f>10/DGG93</f>
        <v>#DIV/0!</v>
      </c>
      <c r="DGL95" s="367">
        <v>15.38</v>
      </c>
      <c r="DGM95" s="367" t="e">
        <f>DGJ95*DGK95*DGL95</f>
        <v>#DIV/0!</v>
      </c>
      <c r="DGN95" s="363" t="s">
        <v>153</v>
      </c>
      <c r="DGO95" s="363"/>
      <c r="DGP95" s="363"/>
      <c r="DGQ95" s="364" t="s">
        <v>140</v>
      </c>
      <c r="DGR95" s="365">
        <v>0.5</v>
      </c>
      <c r="DGS95" s="366" t="e">
        <f>10/DGO93</f>
        <v>#DIV/0!</v>
      </c>
      <c r="DGT95" s="367">
        <v>15.38</v>
      </c>
      <c r="DGU95" s="367" t="e">
        <f>DGR95*DGS95*DGT95</f>
        <v>#DIV/0!</v>
      </c>
      <c r="DGV95" s="363" t="s">
        <v>153</v>
      </c>
      <c r="DGW95" s="363"/>
      <c r="DGX95" s="363"/>
      <c r="DGY95" s="364" t="s">
        <v>140</v>
      </c>
      <c r="DGZ95" s="365">
        <v>0.5</v>
      </c>
      <c r="DHA95" s="366" t="e">
        <f>10/DGW93</f>
        <v>#DIV/0!</v>
      </c>
      <c r="DHB95" s="367">
        <v>15.38</v>
      </c>
      <c r="DHC95" s="367" t="e">
        <f>DGZ95*DHA95*DHB95</f>
        <v>#DIV/0!</v>
      </c>
      <c r="DHD95" s="363" t="s">
        <v>153</v>
      </c>
      <c r="DHE95" s="363"/>
      <c r="DHF95" s="363"/>
      <c r="DHG95" s="364" t="s">
        <v>140</v>
      </c>
      <c r="DHH95" s="365">
        <v>0.5</v>
      </c>
      <c r="DHI95" s="366" t="e">
        <f>10/DHE93</f>
        <v>#DIV/0!</v>
      </c>
      <c r="DHJ95" s="367">
        <v>15.38</v>
      </c>
      <c r="DHK95" s="367" t="e">
        <f>DHH95*DHI95*DHJ95</f>
        <v>#DIV/0!</v>
      </c>
      <c r="DHL95" s="363" t="s">
        <v>153</v>
      </c>
      <c r="DHM95" s="363"/>
      <c r="DHN95" s="363"/>
      <c r="DHO95" s="364" t="s">
        <v>140</v>
      </c>
      <c r="DHP95" s="365">
        <v>0.5</v>
      </c>
      <c r="DHQ95" s="366" t="e">
        <f>10/DHM93</f>
        <v>#DIV/0!</v>
      </c>
      <c r="DHR95" s="367">
        <v>15.38</v>
      </c>
      <c r="DHS95" s="367" t="e">
        <f>DHP95*DHQ95*DHR95</f>
        <v>#DIV/0!</v>
      </c>
      <c r="DHT95" s="363" t="s">
        <v>153</v>
      </c>
      <c r="DHU95" s="363"/>
      <c r="DHV95" s="363"/>
      <c r="DHW95" s="364" t="s">
        <v>140</v>
      </c>
      <c r="DHX95" s="365">
        <v>0.5</v>
      </c>
      <c r="DHY95" s="366" t="e">
        <f>10/DHU93</f>
        <v>#DIV/0!</v>
      </c>
      <c r="DHZ95" s="367">
        <v>15.38</v>
      </c>
      <c r="DIA95" s="367" t="e">
        <f>DHX95*DHY95*DHZ95</f>
        <v>#DIV/0!</v>
      </c>
      <c r="DIB95" s="363" t="s">
        <v>153</v>
      </c>
      <c r="DIC95" s="363"/>
      <c r="DID95" s="363"/>
      <c r="DIE95" s="364" t="s">
        <v>140</v>
      </c>
      <c r="DIF95" s="365">
        <v>0.5</v>
      </c>
      <c r="DIG95" s="366" t="e">
        <f>10/DIC93</f>
        <v>#DIV/0!</v>
      </c>
      <c r="DIH95" s="367">
        <v>15.38</v>
      </c>
      <c r="DII95" s="367" t="e">
        <f>DIF95*DIG95*DIH95</f>
        <v>#DIV/0!</v>
      </c>
      <c r="DIJ95" s="363" t="s">
        <v>153</v>
      </c>
      <c r="DIK95" s="363"/>
      <c r="DIL95" s="363"/>
      <c r="DIM95" s="364" t="s">
        <v>140</v>
      </c>
      <c r="DIN95" s="365">
        <v>0.5</v>
      </c>
      <c r="DIO95" s="366" t="e">
        <f>10/DIK93</f>
        <v>#DIV/0!</v>
      </c>
      <c r="DIP95" s="367">
        <v>15.38</v>
      </c>
      <c r="DIQ95" s="367" t="e">
        <f>DIN95*DIO95*DIP95</f>
        <v>#DIV/0!</v>
      </c>
      <c r="DIR95" s="363" t="s">
        <v>153</v>
      </c>
      <c r="DIS95" s="363"/>
      <c r="DIT95" s="363"/>
      <c r="DIU95" s="364" t="s">
        <v>140</v>
      </c>
      <c r="DIV95" s="365">
        <v>0.5</v>
      </c>
      <c r="DIW95" s="366" t="e">
        <f>10/DIS93</f>
        <v>#DIV/0!</v>
      </c>
      <c r="DIX95" s="367">
        <v>15.38</v>
      </c>
      <c r="DIY95" s="367" t="e">
        <f>DIV95*DIW95*DIX95</f>
        <v>#DIV/0!</v>
      </c>
      <c r="DIZ95" s="363" t="s">
        <v>153</v>
      </c>
      <c r="DJA95" s="363"/>
      <c r="DJB95" s="363"/>
      <c r="DJC95" s="364" t="s">
        <v>140</v>
      </c>
      <c r="DJD95" s="365">
        <v>0.5</v>
      </c>
      <c r="DJE95" s="366" t="e">
        <f>10/DJA93</f>
        <v>#DIV/0!</v>
      </c>
      <c r="DJF95" s="367">
        <v>15.38</v>
      </c>
      <c r="DJG95" s="367" t="e">
        <f>DJD95*DJE95*DJF95</f>
        <v>#DIV/0!</v>
      </c>
      <c r="DJH95" s="363" t="s">
        <v>153</v>
      </c>
      <c r="DJI95" s="363"/>
      <c r="DJJ95" s="363"/>
      <c r="DJK95" s="364" t="s">
        <v>140</v>
      </c>
      <c r="DJL95" s="365">
        <v>0.5</v>
      </c>
      <c r="DJM95" s="366" t="e">
        <f>10/DJI93</f>
        <v>#DIV/0!</v>
      </c>
      <c r="DJN95" s="367">
        <v>15.38</v>
      </c>
      <c r="DJO95" s="367" t="e">
        <f>DJL95*DJM95*DJN95</f>
        <v>#DIV/0!</v>
      </c>
      <c r="DJP95" s="363" t="s">
        <v>153</v>
      </c>
      <c r="DJQ95" s="363"/>
      <c r="DJR95" s="363"/>
      <c r="DJS95" s="364" t="s">
        <v>140</v>
      </c>
      <c r="DJT95" s="365">
        <v>0.5</v>
      </c>
      <c r="DJU95" s="366" t="e">
        <f>10/DJQ93</f>
        <v>#DIV/0!</v>
      </c>
      <c r="DJV95" s="367">
        <v>15.38</v>
      </c>
      <c r="DJW95" s="367" t="e">
        <f>DJT95*DJU95*DJV95</f>
        <v>#DIV/0!</v>
      </c>
      <c r="DJX95" s="363" t="s">
        <v>153</v>
      </c>
      <c r="DJY95" s="363"/>
      <c r="DJZ95" s="363"/>
      <c r="DKA95" s="364" t="s">
        <v>140</v>
      </c>
      <c r="DKB95" s="365">
        <v>0.5</v>
      </c>
      <c r="DKC95" s="366" t="e">
        <f>10/DJY93</f>
        <v>#DIV/0!</v>
      </c>
      <c r="DKD95" s="367">
        <v>15.38</v>
      </c>
      <c r="DKE95" s="367" t="e">
        <f>DKB95*DKC95*DKD95</f>
        <v>#DIV/0!</v>
      </c>
      <c r="DKF95" s="363" t="s">
        <v>153</v>
      </c>
      <c r="DKG95" s="363"/>
      <c r="DKH95" s="363"/>
      <c r="DKI95" s="364" t="s">
        <v>140</v>
      </c>
      <c r="DKJ95" s="365">
        <v>0.5</v>
      </c>
      <c r="DKK95" s="366" t="e">
        <f>10/DKG93</f>
        <v>#DIV/0!</v>
      </c>
      <c r="DKL95" s="367">
        <v>15.38</v>
      </c>
      <c r="DKM95" s="367" t="e">
        <f>DKJ95*DKK95*DKL95</f>
        <v>#DIV/0!</v>
      </c>
      <c r="DKN95" s="363" t="s">
        <v>153</v>
      </c>
      <c r="DKO95" s="363"/>
      <c r="DKP95" s="363"/>
      <c r="DKQ95" s="364" t="s">
        <v>140</v>
      </c>
      <c r="DKR95" s="365">
        <v>0.5</v>
      </c>
      <c r="DKS95" s="366" t="e">
        <f>10/DKO93</f>
        <v>#DIV/0!</v>
      </c>
      <c r="DKT95" s="367">
        <v>15.38</v>
      </c>
      <c r="DKU95" s="367" t="e">
        <f>DKR95*DKS95*DKT95</f>
        <v>#DIV/0!</v>
      </c>
      <c r="DKV95" s="363" t="s">
        <v>153</v>
      </c>
      <c r="DKW95" s="363"/>
      <c r="DKX95" s="363"/>
      <c r="DKY95" s="364" t="s">
        <v>140</v>
      </c>
      <c r="DKZ95" s="365">
        <v>0.5</v>
      </c>
      <c r="DLA95" s="366" t="e">
        <f>10/DKW93</f>
        <v>#DIV/0!</v>
      </c>
      <c r="DLB95" s="367">
        <v>15.38</v>
      </c>
      <c r="DLC95" s="367" t="e">
        <f>DKZ95*DLA95*DLB95</f>
        <v>#DIV/0!</v>
      </c>
      <c r="DLD95" s="363" t="s">
        <v>153</v>
      </c>
      <c r="DLE95" s="363"/>
      <c r="DLF95" s="363"/>
      <c r="DLG95" s="364" t="s">
        <v>140</v>
      </c>
      <c r="DLH95" s="365">
        <v>0.5</v>
      </c>
      <c r="DLI95" s="366" t="e">
        <f>10/DLE93</f>
        <v>#DIV/0!</v>
      </c>
      <c r="DLJ95" s="367">
        <v>15.38</v>
      </c>
      <c r="DLK95" s="367" t="e">
        <f>DLH95*DLI95*DLJ95</f>
        <v>#DIV/0!</v>
      </c>
      <c r="DLL95" s="363" t="s">
        <v>153</v>
      </c>
      <c r="DLM95" s="363"/>
      <c r="DLN95" s="363"/>
      <c r="DLO95" s="364" t="s">
        <v>140</v>
      </c>
      <c r="DLP95" s="365">
        <v>0.5</v>
      </c>
      <c r="DLQ95" s="366" t="e">
        <f>10/DLM93</f>
        <v>#DIV/0!</v>
      </c>
      <c r="DLR95" s="367">
        <v>15.38</v>
      </c>
      <c r="DLS95" s="367" t="e">
        <f>DLP95*DLQ95*DLR95</f>
        <v>#DIV/0!</v>
      </c>
      <c r="DLT95" s="363" t="s">
        <v>153</v>
      </c>
      <c r="DLU95" s="363"/>
      <c r="DLV95" s="363"/>
      <c r="DLW95" s="364" t="s">
        <v>140</v>
      </c>
      <c r="DLX95" s="365">
        <v>0.5</v>
      </c>
      <c r="DLY95" s="366" t="e">
        <f>10/DLU93</f>
        <v>#DIV/0!</v>
      </c>
      <c r="DLZ95" s="367">
        <v>15.38</v>
      </c>
      <c r="DMA95" s="367" t="e">
        <f>DLX95*DLY95*DLZ95</f>
        <v>#DIV/0!</v>
      </c>
      <c r="DMB95" s="363" t="s">
        <v>153</v>
      </c>
      <c r="DMC95" s="363"/>
      <c r="DMD95" s="363"/>
      <c r="DME95" s="364" t="s">
        <v>140</v>
      </c>
      <c r="DMF95" s="365">
        <v>0.5</v>
      </c>
      <c r="DMG95" s="366" t="e">
        <f>10/DMC93</f>
        <v>#DIV/0!</v>
      </c>
      <c r="DMH95" s="367">
        <v>15.38</v>
      </c>
      <c r="DMI95" s="367" t="e">
        <f>DMF95*DMG95*DMH95</f>
        <v>#DIV/0!</v>
      </c>
      <c r="DMJ95" s="363" t="s">
        <v>153</v>
      </c>
      <c r="DMK95" s="363"/>
      <c r="DML95" s="363"/>
      <c r="DMM95" s="364" t="s">
        <v>140</v>
      </c>
      <c r="DMN95" s="365">
        <v>0.5</v>
      </c>
      <c r="DMO95" s="366" t="e">
        <f>10/DMK93</f>
        <v>#DIV/0!</v>
      </c>
      <c r="DMP95" s="367">
        <v>15.38</v>
      </c>
      <c r="DMQ95" s="367" t="e">
        <f>DMN95*DMO95*DMP95</f>
        <v>#DIV/0!</v>
      </c>
      <c r="DMR95" s="363" t="s">
        <v>153</v>
      </c>
      <c r="DMS95" s="363"/>
      <c r="DMT95" s="363"/>
      <c r="DMU95" s="364" t="s">
        <v>140</v>
      </c>
      <c r="DMV95" s="365">
        <v>0.5</v>
      </c>
      <c r="DMW95" s="366" t="e">
        <f>10/DMS93</f>
        <v>#DIV/0!</v>
      </c>
      <c r="DMX95" s="367">
        <v>15.38</v>
      </c>
      <c r="DMY95" s="367" t="e">
        <f>DMV95*DMW95*DMX95</f>
        <v>#DIV/0!</v>
      </c>
      <c r="DMZ95" s="363" t="s">
        <v>153</v>
      </c>
      <c r="DNA95" s="363"/>
      <c r="DNB95" s="363"/>
      <c r="DNC95" s="364" t="s">
        <v>140</v>
      </c>
      <c r="DND95" s="365">
        <v>0.5</v>
      </c>
      <c r="DNE95" s="366" t="e">
        <f>10/DNA93</f>
        <v>#DIV/0!</v>
      </c>
      <c r="DNF95" s="367">
        <v>15.38</v>
      </c>
      <c r="DNG95" s="367" t="e">
        <f>DND95*DNE95*DNF95</f>
        <v>#DIV/0!</v>
      </c>
      <c r="DNH95" s="363" t="s">
        <v>153</v>
      </c>
      <c r="DNI95" s="363"/>
      <c r="DNJ95" s="363"/>
      <c r="DNK95" s="364" t="s">
        <v>140</v>
      </c>
      <c r="DNL95" s="365">
        <v>0.5</v>
      </c>
      <c r="DNM95" s="366" t="e">
        <f>10/DNI93</f>
        <v>#DIV/0!</v>
      </c>
      <c r="DNN95" s="367">
        <v>15.38</v>
      </c>
      <c r="DNO95" s="367" t="e">
        <f>DNL95*DNM95*DNN95</f>
        <v>#DIV/0!</v>
      </c>
      <c r="DNP95" s="363" t="s">
        <v>153</v>
      </c>
      <c r="DNQ95" s="363"/>
      <c r="DNR95" s="363"/>
      <c r="DNS95" s="364" t="s">
        <v>140</v>
      </c>
      <c r="DNT95" s="365">
        <v>0.5</v>
      </c>
      <c r="DNU95" s="366" t="e">
        <f>10/DNQ93</f>
        <v>#DIV/0!</v>
      </c>
      <c r="DNV95" s="367">
        <v>15.38</v>
      </c>
      <c r="DNW95" s="367" t="e">
        <f>DNT95*DNU95*DNV95</f>
        <v>#DIV/0!</v>
      </c>
      <c r="DNX95" s="363" t="s">
        <v>153</v>
      </c>
      <c r="DNY95" s="363"/>
      <c r="DNZ95" s="363"/>
      <c r="DOA95" s="364" t="s">
        <v>140</v>
      </c>
      <c r="DOB95" s="365">
        <v>0.5</v>
      </c>
      <c r="DOC95" s="366" t="e">
        <f>10/DNY93</f>
        <v>#DIV/0!</v>
      </c>
      <c r="DOD95" s="367">
        <v>15.38</v>
      </c>
      <c r="DOE95" s="367" t="e">
        <f>DOB95*DOC95*DOD95</f>
        <v>#DIV/0!</v>
      </c>
      <c r="DOF95" s="363" t="s">
        <v>153</v>
      </c>
      <c r="DOG95" s="363"/>
      <c r="DOH95" s="363"/>
      <c r="DOI95" s="364" t="s">
        <v>140</v>
      </c>
      <c r="DOJ95" s="365">
        <v>0.5</v>
      </c>
      <c r="DOK95" s="366" t="e">
        <f>10/DOG93</f>
        <v>#DIV/0!</v>
      </c>
      <c r="DOL95" s="367">
        <v>15.38</v>
      </c>
      <c r="DOM95" s="367" t="e">
        <f>DOJ95*DOK95*DOL95</f>
        <v>#DIV/0!</v>
      </c>
      <c r="DON95" s="363" t="s">
        <v>153</v>
      </c>
      <c r="DOO95" s="363"/>
      <c r="DOP95" s="363"/>
      <c r="DOQ95" s="364" t="s">
        <v>140</v>
      </c>
      <c r="DOR95" s="365">
        <v>0.5</v>
      </c>
      <c r="DOS95" s="366" t="e">
        <f>10/DOO93</f>
        <v>#DIV/0!</v>
      </c>
      <c r="DOT95" s="367">
        <v>15.38</v>
      </c>
      <c r="DOU95" s="367" t="e">
        <f>DOR95*DOS95*DOT95</f>
        <v>#DIV/0!</v>
      </c>
      <c r="DOV95" s="363" t="s">
        <v>153</v>
      </c>
      <c r="DOW95" s="363"/>
      <c r="DOX95" s="363"/>
      <c r="DOY95" s="364" t="s">
        <v>140</v>
      </c>
      <c r="DOZ95" s="365">
        <v>0.5</v>
      </c>
      <c r="DPA95" s="366" t="e">
        <f>10/DOW93</f>
        <v>#DIV/0!</v>
      </c>
      <c r="DPB95" s="367">
        <v>15.38</v>
      </c>
      <c r="DPC95" s="367" t="e">
        <f>DOZ95*DPA95*DPB95</f>
        <v>#DIV/0!</v>
      </c>
      <c r="DPD95" s="363" t="s">
        <v>153</v>
      </c>
      <c r="DPE95" s="363"/>
      <c r="DPF95" s="363"/>
      <c r="DPG95" s="364" t="s">
        <v>140</v>
      </c>
      <c r="DPH95" s="365">
        <v>0.5</v>
      </c>
      <c r="DPI95" s="366" t="e">
        <f>10/DPE93</f>
        <v>#DIV/0!</v>
      </c>
      <c r="DPJ95" s="367">
        <v>15.38</v>
      </c>
      <c r="DPK95" s="367" t="e">
        <f>DPH95*DPI95*DPJ95</f>
        <v>#DIV/0!</v>
      </c>
      <c r="DPL95" s="363" t="s">
        <v>153</v>
      </c>
      <c r="DPM95" s="363"/>
      <c r="DPN95" s="363"/>
      <c r="DPO95" s="364" t="s">
        <v>140</v>
      </c>
      <c r="DPP95" s="365">
        <v>0.5</v>
      </c>
      <c r="DPQ95" s="366" t="e">
        <f>10/DPM93</f>
        <v>#DIV/0!</v>
      </c>
      <c r="DPR95" s="367">
        <v>15.38</v>
      </c>
      <c r="DPS95" s="367" t="e">
        <f>DPP95*DPQ95*DPR95</f>
        <v>#DIV/0!</v>
      </c>
      <c r="DPT95" s="363" t="s">
        <v>153</v>
      </c>
      <c r="DPU95" s="363"/>
      <c r="DPV95" s="363"/>
      <c r="DPW95" s="364" t="s">
        <v>140</v>
      </c>
      <c r="DPX95" s="365">
        <v>0.5</v>
      </c>
      <c r="DPY95" s="366" t="e">
        <f>10/DPU93</f>
        <v>#DIV/0!</v>
      </c>
      <c r="DPZ95" s="367">
        <v>15.38</v>
      </c>
      <c r="DQA95" s="367" t="e">
        <f>DPX95*DPY95*DPZ95</f>
        <v>#DIV/0!</v>
      </c>
      <c r="DQB95" s="363" t="s">
        <v>153</v>
      </c>
      <c r="DQC95" s="363"/>
      <c r="DQD95" s="363"/>
      <c r="DQE95" s="364" t="s">
        <v>140</v>
      </c>
      <c r="DQF95" s="365">
        <v>0.5</v>
      </c>
      <c r="DQG95" s="366" t="e">
        <f>10/DQC93</f>
        <v>#DIV/0!</v>
      </c>
      <c r="DQH95" s="367">
        <v>15.38</v>
      </c>
      <c r="DQI95" s="367" t="e">
        <f>DQF95*DQG95*DQH95</f>
        <v>#DIV/0!</v>
      </c>
      <c r="DQJ95" s="363" t="s">
        <v>153</v>
      </c>
      <c r="DQK95" s="363"/>
      <c r="DQL95" s="363"/>
      <c r="DQM95" s="364" t="s">
        <v>140</v>
      </c>
      <c r="DQN95" s="365">
        <v>0.5</v>
      </c>
      <c r="DQO95" s="366" t="e">
        <f>10/DQK93</f>
        <v>#DIV/0!</v>
      </c>
      <c r="DQP95" s="367">
        <v>15.38</v>
      </c>
      <c r="DQQ95" s="367" t="e">
        <f>DQN95*DQO95*DQP95</f>
        <v>#DIV/0!</v>
      </c>
      <c r="DQR95" s="363" t="s">
        <v>153</v>
      </c>
      <c r="DQS95" s="363"/>
      <c r="DQT95" s="363"/>
      <c r="DQU95" s="364" t="s">
        <v>140</v>
      </c>
      <c r="DQV95" s="365">
        <v>0.5</v>
      </c>
      <c r="DQW95" s="366" t="e">
        <f>10/DQS93</f>
        <v>#DIV/0!</v>
      </c>
      <c r="DQX95" s="367">
        <v>15.38</v>
      </c>
      <c r="DQY95" s="367" t="e">
        <f>DQV95*DQW95*DQX95</f>
        <v>#DIV/0!</v>
      </c>
      <c r="DQZ95" s="363" t="s">
        <v>153</v>
      </c>
      <c r="DRA95" s="363"/>
      <c r="DRB95" s="363"/>
      <c r="DRC95" s="364" t="s">
        <v>140</v>
      </c>
      <c r="DRD95" s="365">
        <v>0.5</v>
      </c>
      <c r="DRE95" s="366" t="e">
        <f>10/DRA93</f>
        <v>#DIV/0!</v>
      </c>
      <c r="DRF95" s="367">
        <v>15.38</v>
      </c>
      <c r="DRG95" s="367" t="e">
        <f>DRD95*DRE95*DRF95</f>
        <v>#DIV/0!</v>
      </c>
      <c r="DRH95" s="363" t="s">
        <v>153</v>
      </c>
      <c r="DRI95" s="363"/>
      <c r="DRJ95" s="363"/>
      <c r="DRK95" s="364" t="s">
        <v>140</v>
      </c>
      <c r="DRL95" s="365">
        <v>0.5</v>
      </c>
      <c r="DRM95" s="366" t="e">
        <f>10/DRI93</f>
        <v>#DIV/0!</v>
      </c>
      <c r="DRN95" s="367">
        <v>15.38</v>
      </c>
      <c r="DRO95" s="367" t="e">
        <f>DRL95*DRM95*DRN95</f>
        <v>#DIV/0!</v>
      </c>
      <c r="DRP95" s="363" t="s">
        <v>153</v>
      </c>
      <c r="DRQ95" s="363"/>
      <c r="DRR95" s="363"/>
      <c r="DRS95" s="364" t="s">
        <v>140</v>
      </c>
      <c r="DRT95" s="365">
        <v>0.5</v>
      </c>
      <c r="DRU95" s="366" t="e">
        <f>10/DRQ93</f>
        <v>#DIV/0!</v>
      </c>
      <c r="DRV95" s="367">
        <v>15.38</v>
      </c>
      <c r="DRW95" s="367" t="e">
        <f>DRT95*DRU95*DRV95</f>
        <v>#DIV/0!</v>
      </c>
      <c r="DRX95" s="363" t="s">
        <v>153</v>
      </c>
      <c r="DRY95" s="363"/>
      <c r="DRZ95" s="363"/>
      <c r="DSA95" s="364" t="s">
        <v>140</v>
      </c>
      <c r="DSB95" s="365">
        <v>0.5</v>
      </c>
      <c r="DSC95" s="366" t="e">
        <f>10/DRY93</f>
        <v>#DIV/0!</v>
      </c>
      <c r="DSD95" s="367">
        <v>15.38</v>
      </c>
      <c r="DSE95" s="367" t="e">
        <f>DSB95*DSC95*DSD95</f>
        <v>#DIV/0!</v>
      </c>
      <c r="DSF95" s="363" t="s">
        <v>153</v>
      </c>
      <c r="DSG95" s="363"/>
      <c r="DSH95" s="363"/>
      <c r="DSI95" s="364" t="s">
        <v>140</v>
      </c>
      <c r="DSJ95" s="365">
        <v>0.5</v>
      </c>
      <c r="DSK95" s="366" t="e">
        <f>10/DSG93</f>
        <v>#DIV/0!</v>
      </c>
      <c r="DSL95" s="367">
        <v>15.38</v>
      </c>
      <c r="DSM95" s="367" t="e">
        <f>DSJ95*DSK95*DSL95</f>
        <v>#DIV/0!</v>
      </c>
      <c r="DSN95" s="363" t="s">
        <v>153</v>
      </c>
      <c r="DSO95" s="363"/>
      <c r="DSP95" s="363"/>
      <c r="DSQ95" s="364" t="s">
        <v>140</v>
      </c>
      <c r="DSR95" s="365">
        <v>0.5</v>
      </c>
      <c r="DSS95" s="366" t="e">
        <f>10/DSO93</f>
        <v>#DIV/0!</v>
      </c>
      <c r="DST95" s="367">
        <v>15.38</v>
      </c>
      <c r="DSU95" s="367" t="e">
        <f>DSR95*DSS95*DST95</f>
        <v>#DIV/0!</v>
      </c>
      <c r="DSV95" s="363" t="s">
        <v>153</v>
      </c>
      <c r="DSW95" s="363"/>
      <c r="DSX95" s="363"/>
      <c r="DSY95" s="364" t="s">
        <v>140</v>
      </c>
      <c r="DSZ95" s="365">
        <v>0.5</v>
      </c>
      <c r="DTA95" s="366" t="e">
        <f>10/DSW93</f>
        <v>#DIV/0!</v>
      </c>
      <c r="DTB95" s="367">
        <v>15.38</v>
      </c>
      <c r="DTC95" s="367" t="e">
        <f>DSZ95*DTA95*DTB95</f>
        <v>#DIV/0!</v>
      </c>
      <c r="DTD95" s="363" t="s">
        <v>153</v>
      </c>
      <c r="DTE95" s="363"/>
      <c r="DTF95" s="363"/>
      <c r="DTG95" s="364" t="s">
        <v>140</v>
      </c>
      <c r="DTH95" s="365">
        <v>0.5</v>
      </c>
      <c r="DTI95" s="366" t="e">
        <f>10/DTE93</f>
        <v>#DIV/0!</v>
      </c>
      <c r="DTJ95" s="367">
        <v>15.38</v>
      </c>
      <c r="DTK95" s="367" t="e">
        <f>DTH95*DTI95*DTJ95</f>
        <v>#DIV/0!</v>
      </c>
      <c r="DTL95" s="363" t="s">
        <v>153</v>
      </c>
      <c r="DTM95" s="363"/>
      <c r="DTN95" s="363"/>
      <c r="DTO95" s="364" t="s">
        <v>140</v>
      </c>
      <c r="DTP95" s="365">
        <v>0.5</v>
      </c>
      <c r="DTQ95" s="366" t="e">
        <f>10/DTM93</f>
        <v>#DIV/0!</v>
      </c>
      <c r="DTR95" s="367">
        <v>15.38</v>
      </c>
      <c r="DTS95" s="367" t="e">
        <f>DTP95*DTQ95*DTR95</f>
        <v>#DIV/0!</v>
      </c>
      <c r="DTT95" s="363" t="s">
        <v>153</v>
      </c>
      <c r="DTU95" s="363"/>
      <c r="DTV95" s="363"/>
      <c r="DTW95" s="364" t="s">
        <v>140</v>
      </c>
      <c r="DTX95" s="365">
        <v>0.5</v>
      </c>
      <c r="DTY95" s="366" t="e">
        <f>10/DTU93</f>
        <v>#DIV/0!</v>
      </c>
      <c r="DTZ95" s="367">
        <v>15.38</v>
      </c>
      <c r="DUA95" s="367" t="e">
        <f>DTX95*DTY95*DTZ95</f>
        <v>#DIV/0!</v>
      </c>
      <c r="DUB95" s="363" t="s">
        <v>153</v>
      </c>
      <c r="DUC95" s="363"/>
      <c r="DUD95" s="363"/>
      <c r="DUE95" s="364" t="s">
        <v>140</v>
      </c>
      <c r="DUF95" s="365">
        <v>0.5</v>
      </c>
      <c r="DUG95" s="366" t="e">
        <f>10/DUC93</f>
        <v>#DIV/0!</v>
      </c>
      <c r="DUH95" s="367">
        <v>15.38</v>
      </c>
      <c r="DUI95" s="367" t="e">
        <f>DUF95*DUG95*DUH95</f>
        <v>#DIV/0!</v>
      </c>
      <c r="DUJ95" s="363" t="s">
        <v>153</v>
      </c>
      <c r="DUK95" s="363"/>
      <c r="DUL95" s="363"/>
      <c r="DUM95" s="364" t="s">
        <v>140</v>
      </c>
      <c r="DUN95" s="365">
        <v>0.5</v>
      </c>
      <c r="DUO95" s="366" t="e">
        <f>10/DUK93</f>
        <v>#DIV/0!</v>
      </c>
      <c r="DUP95" s="367">
        <v>15.38</v>
      </c>
      <c r="DUQ95" s="367" t="e">
        <f>DUN95*DUO95*DUP95</f>
        <v>#DIV/0!</v>
      </c>
      <c r="DUR95" s="363" t="s">
        <v>153</v>
      </c>
      <c r="DUS95" s="363"/>
      <c r="DUT95" s="363"/>
      <c r="DUU95" s="364" t="s">
        <v>140</v>
      </c>
      <c r="DUV95" s="365">
        <v>0.5</v>
      </c>
      <c r="DUW95" s="366" t="e">
        <f>10/DUS93</f>
        <v>#DIV/0!</v>
      </c>
      <c r="DUX95" s="367">
        <v>15.38</v>
      </c>
      <c r="DUY95" s="367" t="e">
        <f>DUV95*DUW95*DUX95</f>
        <v>#DIV/0!</v>
      </c>
      <c r="DUZ95" s="363" t="s">
        <v>153</v>
      </c>
      <c r="DVA95" s="363"/>
      <c r="DVB95" s="363"/>
      <c r="DVC95" s="364" t="s">
        <v>140</v>
      </c>
      <c r="DVD95" s="365">
        <v>0.5</v>
      </c>
      <c r="DVE95" s="366" t="e">
        <f>10/DVA93</f>
        <v>#DIV/0!</v>
      </c>
      <c r="DVF95" s="367">
        <v>15.38</v>
      </c>
      <c r="DVG95" s="367" t="e">
        <f>DVD95*DVE95*DVF95</f>
        <v>#DIV/0!</v>
      </c>
      <c r="DVH95" s="363" t="s">
        <v>153</v>
      </c>
      <c r="DVI95" s="363"/>
      <c r="DVJ95" s="363"/>
      <c r="DVK95" s="364" t="s">
        <v>140</v>
      </c>
      <c r="DVL95" s="365">
        <v>0.5</v>
      </c>
      <c r="DVM95" s="366" t="e">
        <f>10/DVI93</f>
        <v>#DIV/0!</v>
      </c>
      <c r="DVN95" s="367">
        <v>15.38</v>
      </c>
      <c r="DVO95" s="367" t="e">
        <f>DVL95*DVM95*DVN95</f>
        <v>#DIV/0!</v>
      </c>
      <c r="DVP95" s="363" t="s">
        <v>153</v>
      </c>
      <c r="DVQ95" s="363"/>
      <c r="DVR95" s="363"/>
      <c r="DVS95" s="364" t="s">
        <v>140</v>
      </c>
      <c r="DVT95" s="365">
        <v>0.5</v>
      </c>
      <c r="DVU95" s="366" t="e">
        <f>10/DVQ93</f>
        <v>#DIV/0!</v>
      </c>
      <c r="DVV95" s="367">
        <v>15.38</v>
      </c>
      <c r="DVW95" s="367" t="e">
        <f>DVT95*DVU95*DVV95</f>
        <v>#DIV/0!</v>
      </c>
      <c r="DVX95" s="363" t="s">
        <v>153</v>
      </c>
      <c r="DVY95" s="363"/>
      <c r="DVZ95" s="363"/>
      <c r="DWA95" s="364" t="s">
        <v>140</v>
      </c>
      <c r="DWB95" s="365">
        <v>0.5</v>
      </c>
      <c r="DWC95" s="366" t="e">
        <f>10/DVY93</f>
        <v>#DIV/0!</v>
      </c>
      <c r="DWD95" s="367">
        <v>15.38</v>
      </c>
      <c r="DWE95" s="367" t="e">
        <f>DWB95*DWC95*DWD95</f>
        <v>#DIV/0!</v>
      </c>
      <c r="DWF95" s="363" t="s">
        <v>153</v>
      </c>
      <c r="DWG95" s="363"/>
      <c r="DWH95" s="363"/>
      <c r="DWI95" s="364" t="s">
        <v>140</v>
      </c>
      <c r="DWJ95" s="365">
        <v>0.5</v>
      </c>
      <c r="DWK95" s="366" t="e">
        <f>10/DWG93</f>
        <v>#DIV/0!</v>
      </c>
      <c r="DWL95" s="367">
        <v>15.38</v>
      </c>
      <c r="DWM95" s="367" t="e">
        <f>DWJ95*DWK95*DWL95</f>
        <v>#DIV/0!</v>
      </c>
      <c r="DWN95" s="363" t="s">
        <v>153</v>
      </c>
      <c r="DWO95" s="363"/>
      <c r="DWP95" s="363"/>
      <c r="DWQ95" s="364" t="s">
        <v>140</v>
      </c>
      <c r="DWR95" s="365">
        <v>0.5</v>
      </c>
      <c r="DWS95" s="366" t="e">
        <f>10/DWO93</f>
        <v>#DIV/0!</v>
      </c>
      <c r="DWT95" s="367">
        <v>15.38</v>
      </c>
      <c r="DWU95" s="367" t="e">
        <f>DWR95*DWS95*DWT95</f>
        <v>#DIV/0!</v>
      </c>
      <c r="DWV95" s="363" t="s">
        <v>153</v>
      </c>
      <c r="DWW95" s="363"/>
      <c r="DWX95" s="363"/>
      <c r="DWY95" s="364" t="s">
        <v>140</v>
      </c>
      <c r="DWZ95" s="365">
        <v>0.5</v>
      </c>
      <c r="DXA95" s="366" t="e">
        <f>10/DWW93</f>
        <v>#DIV/0!</v>
      </c>
      <c r="DXB95" s="367">
        <v>15.38</v>
      </c>
      <c r="DXC95" s="367" t="e">
        <f>DWZ95*DXA95*DXB95</f>
        <v>#DIV/0!</v>
      </c>
      <c r="DXD95" s="363" t="s">
        <v>153</v>
      </c>
      <c r="DXE95" s="363"/>
      <c r="DXF95" s="363"/>
      <c r="DXG95" s="364" t="s">
        <v>140</v>
      </c>
      <c r="DXH95" s="365">
        <v>0.5</v>
      </c>
      <c r="DXI95" s="366" t="e">
        <f>10/DXE93</f>
        <v>#DIV/0!</v>
      </c>
      <c r="DXJ95" s="367">
        <v>15.38</v>
      </c>
      <c r="DXK95" s="367" t="e">
        <f>DXH95*DXI95*DXJ95</f>
        <v>#DIV/0!</v>
      </c>
      <c r="DXL95" s="363" t="s">
        <v>153</v>
      </c>
      <c r="DXM95" s="363"/>
      <c r="DXN95" s="363"/>
      <c r="DXO95" s="364" t="s">
        <v>140</v>
      </c>
      <c r="DXP95" s="365">
        <v>0.5</v>
      </c>
      <c r="DXQ95" s="366" t="e">
        <f>10/DXM93</f>
        <v>#DIV/0!</v>
      </c>
      <c r="DXR95" s="367">
        <v>15.38</v>
      </c>
      <c r="DXS95" s="367" t="e">
        <f>DXP95*DXQ95*DXR95</f>
        <v>#DIV/0!</v>
      </c>
      <c r="DXT95" s="363" t="s">
        <v>153</v>
      </c>
      <c r="DXU95" s="363"/>
      <c r="DXV95" s="363"/>
      <c r="DXW95" s="364" t="s">
        <v>140</v>
      </c>
      <c r="DXX95" s="365">
        <v>0.5</v>
      </c>
      <c r="DXY95" s="366" t="e">
        <f>10/DXU93</f>
        <v>#DIV/0!</v>
      </c>
      <c r="DXZ95" s="367">
        <v>15.38</v>
      </c>
      <c r="DYA95" s="367" t="e">
        <f>DXX95*DXY95*DXZ95</f>
        <v>#DIV/0!</v>
      </c>
      <c r="DYB95" s="363" t="s">
        <v>153</v>
      </c>
      <c r="DYC95" s="363"/>
      <c r="DYD95" s="363"/>
      <c r="DYE95" s="364" t="s">
        <v>140</v>
      </c>
      <c r="DYF95" s="365">
        <v>0.5</v>
      </c>
      <c r="DYG95" s="366" t="e">
        <f>10/DYC93</f>
        <v>#DIV/0!</v>
      </c>
      <c r="DYH95" s="367">
        <v>15.38</v>
      </c>
      <c r="DYI95" s="367" t="e">
        <f>DYF95*DYG95*DYH95</f>
        <v>#DIV/0!</v>
      </c>
      <c r="DYJ95" s="363" t="s">
        <v>153</v>
      </c>
      <c r="DYK95" s="363"/>
      <c r="DYL95" s="363"/>
      <c r="DYM95" s="364" t="s">
        <v>140</v>
      </c>
      <c r="DYN95" s="365">
        <v>0.5</v>
      </c>
      <c r="DYO95" s="366" t="e">
        <f>10/DYK93</f>
        <v>#DIV/0!</v>
      </c>
      <c r="DYP95" s="367">
        <v>15.38</v>
      </c>
      <c r="DYQ95" s="367" t="e">
        <f>DYN95*DYO95*DYP95</f>
        <v>#DIV/0!</v>
      </c>
      <c r="DYR95" s="363" t="s">
        <v>153</v>
      </c>
      <c r="DYS95" s="363"/>
      <c r="DYT95" s="363"/>
      <c r="DYU95" s="364" t="s">
        <v>140</v>
      </c>
      <c r="DYV95" s="365">
        <v>0.5</v>
      </c>
      <c r="DYW95" s="366" t="e">
        <f>10/DYS93</f>
        <v>#DIV/0!</v>
      </c>
      <c r="DYX95" s="367">
        <v>15.38</v>
      </c>
      <c r="DYY95" s="367" t="e">
        <f>DYV95*DYW95*DYX95</f>
        <v>#DIV/0!</v>
      </c>
      <c r="DYZ95" s="363" t="s">
        <v>153</v>
      </c>
      <c r="DZA95" s="363"/>
      <c r="DZB95" s="363"/>
      <c r="DZC95" s="364" t="s">
        <v>140</v>
      </c>
      <c r="DZD95" s="365">
        <v>0.5</v>
      </c>
      <c r="DZE95" s="366" t="e">
        <f>10/DZA93</f>
        <v>#DIV/0!</v>
      </c>
      <c r="DZF95" s="367">
        <v>15.38</v>
      </c>
      <c r="DZG95" s="367" t="e">
        <f>DZD95*DZE95*DZF95</f>
        <v>#DIV/0!</v>
      </c>
      <c r="DZH95" s="363" t="s">
        <v>153</v>
      </c>
      <c r="DZI95" s="363"/>
      <c r="DZJ95" s="363"/>
      <c r="DZK95" s="364" t="s">
        <v>140</v>
      </c>
      <c r="DZL95" s="365">
        <v>0.5</v>
      </c>
      <c r="DZM95" s="366" t="e">
        <f>10/DZI93</f>
        <v>#DIV/0!</v>
      </c>
      <c r="DZN95" s="367">
        <v>15.38</v>
      </c>
      <c r="DZO95" s="367" t="e">
        <f>DZL95*DZM95*DZN95</f>
        <v>#DIV/0!</v>
      </c>
      <c r="DZP95" s="363" t="s">
        <v>153</v>
      </c>
      <c r="DZQ95" s="363"/>
      <c r="DZR95" s="363"/>
      <c r="DZS95" s="364" t="s">
        <v>140</v>
      </c>
      <c r="DZT95" s="365">
        <v>0.5</v>
      </c>
      <c r="DZU95" s="366" t="e">
        <f>10/DZQ93</f>
        <v>#DIV/0!</v>
      </c>
      <c r="DZV95" s="367">
        <v>15.38</v>
      </c>
      <c r="DZW95" s="367" t="e">
        <f>DZT95*DZU95*DZV95</f>
        <v>#DIV/0!</v>
      </c>
      <c r="DZX95" s="363" t="s">
        <v>153</v>
      </c>
      <c r="DZY95" s="363"/>
      <c r="DZZ95" s="363"/>
      <c r="EAA95" s="364" t="s">
        <v>140</v>
      </c>
      <c r="EAB95" s="365">
        <v>0.5</v>
      </c>
      <c r="EAC95" s="366" t="e">
        <f>10/DZY93</f>
        <v>#DIV/0!</v>
      </c>
      <c r="EAD95" s="367">
        <v>15.38</v>
      </c>
      <c r="EAE95" s="367" t="e">
        <f>EAB95*EAC95*EAD95</f>
        <v>#DIV/0!</v>
      </c>
      <c r="EAF95" s="363" t="s">
        <v>153</v>
      </c>
      <c r="EAG95" s="363"/>
      <c r="EAH95" s="363"/>
      <c r="EAI95" s="364" t="s">
        <v>140</v>
      </c>
      <c r="EAJ95" s="365">
        <v>0.5</v>
      </c>
      <c r="EAK95" s="366" t="e">
        <f>10/EAG93</f>
        <v>#DIV/0!</v>
      </c>
      <c r="EAL95" s="367">
        <v>15.38</v>
      </c>
      <c r="EAM95" s="367" t="e">
        <f>EAJ95*EAK95*EAL95</f>
        <v>#DIV/0!</v>
      </c>
      <c r="EAN95" s="363" t="s">
        <v>153</v>
      </c>
      <c r="EAO95" s="363"/>
      <c r="EAP95" s="363"/>
      <c r="EAQ95" s="364" t="s">
        <v>140</v>
      </c>
      <c r="EAR95" s="365">
        <v>0.5</v>
      </c>
      <c r="EAS95" s="366" t="e">
        <f>10/EAO93</f>
        <v>#DIV/0!</v>
      </c>
      <c r="EAT95" s="367">
        <v>15.38</v>
      </c>
      <c r="EAU95" s="367" t="e">
        <f>EAR95*EAS95*EAT95</f>
        <v>#DIV/0!</v>
      </c>
      <c r="EAV95" s="363" t="s">
        <v>153</v>
      </c>
      <c r="EAW95" s="363"/>
      <c r="EAX95" s="363"/>
      <c r="EAY95" s="364" t="s">
        <v>140</v>
      </c>
      <c r="EAZ95" s="365">
        <v>0.5</v>
      </c>
      <c r="EBA95" s="366" t="e">
        <f>10/EAW93</f>
        <v>#DIV/0!</v>
      </c>
      <c r="EBB95" s="367">
        <v>15.38</v>
      </c>
      <c r="EBC95" s="367" t="e">
        <f>EAZ95*EBA95*EBB95</f>
        <v>#DIV/0!</v>
      </c>
      <c r="EBD95" s="363" t="s">
        <v>153</v>
      </c>
      <c r="EBE95" s="363"/>
      <c r="EBF95" s="363"/>
      <c r="EBG95" s="364" t="s">
        <v>140</v>
      </c>
      <c r="EBH95" s="365">
        <v>0.5</v>
      </c>
      <c r="EBI95" s="366" t="e">
        <f>10/EBE93</f>
        <v>#DIV/0!</v>
      </c>
      <c r="EBJ95" s="367">
        <v>15.38</v>
      </c>
      <c r="EBK95" s="367" t="e">
        <f>EBH95*EBI95*EBJ95</f>
        <v>#DIV/0!</v>
      </c>
      <c r="EBL95" s="363" t="s">
        <v>153</v>
      </c>
      <c r="EBM95" s="363"/>
      <c r="EBN95" s="363"/>
      <c r="EBO95" s="364" t="s">
        <v>140</v>
      </c>
      <c r="EBP95" s="365">
        <v>0.5</v>
      </c>
      <c r="EBQ95" s="366" t="e">
        <f>10/EBM93</f>
        <v>#DIV/0!</v>
      </c>
      <c r="EBR95" s="367">
        <v>15.38</v>
      </c>
      <c r="EBS95" s="367" t="e">
        <f>EBP95*EBQ95*EBR95</f>
        <v>#DIV/0!</v>
      </c>
      <c r="EBT95" s="363" t="s">
        <v>153</v>
      </c>
      <c r="EBU95" s="363"/>
      <c r="EBV95" s="363"/>
      <c r="EBW95" s="364" t="s">
        <v>140</v>
      </c>
      <c r="EBX95" s="365">
        <v>0.5</v>
      </c>
      <c r="EBY95" s="366" t="e">
        <f>10/EBU93</f>
        <v>#DIV/0!</v>
      </c>
      <c r="EBZ95" s="367">
        <v>15.38</v>
      </c>
      <c r="ECA95" s="367" t="e">
        <f>EBX95*EBY95*EBZ95</f>
        <v>#DIV/0!</v>
      </c>
      <c r="ECB95" s="363" t="s">
        <v>153</v>
      </c>
      <c r="ECC95" s="363"/>
      <c r="ECD95" s="363"/>
      <c r="ECE95" s="364" t="s">
        <v>140</v>
      </c>
      <c r="ECF95" s="365">
        <v>0.5</v>
      </c>
      <c r="ECG95" s="366" t="e">
        <f>10/ECC93</f>
        <v>#DIV/0!</v>
      </c>
      <c r="ECH95" s="367">
        <v>15.38</v>
      </c>
      <c r="ECI95" s="367" t="e">
        <f>ECF95*ECG95*ECH95</f>
        <v>#DIV/0!</v>
      </c>
      <c r="ECJ95" s="363" t="s">
        <v>153</v>
      </c>
      <c r="ECK95" s="363"/>
      <c r="ECL95" s="363"/>
      <c r="ECM95" s="364" t="s">
        <v>140</v>
      </c>
      <c r="ECN95" s="365">
        <v>0.5</v>
      </c>
      <c r="ECO95" s="366" t="e">
        <f>10/ECK93</f>
        <v>#DIV/0!</v>
      </c>
      <c r="ECP95" s="367">
        <v>15.38</v>
      </c>
      <c r="ECQ95" s="367" t="e">
        <f>ECN95*ECO95*ECP95</f>
        <v>#DIV/0!</v>
      </c>
      <c r="ECR95" s="363" t="s">
        <v>153</v>
      </c>
      <c r="ECS95" s="363"/>
      <c r="ECT95" s="363"/>
      <c r="ECU95" s="364" t="s">
        <v>140</v>
      </c>
      <c r="ECV95" s="365">
        <v>0.5</v>
      </c>
      <c r="ECW95" s="366" t="e">
        <f>10/ECS93</f>
        <v>#DIV/0!</v>
      </c>
      <c r="ECX95" s="367">
        <v>15.38</v>
      </c>
      <c r="ECY95" s="367" t="e">
        <f>ECV95*ECW95*ECX95</f>
        <v>#DIV/0!</v>
      </c>
      <c r="ECZ95" s="363" t="s">
        <v>153</v>
      </c>
      <c r="EDA95" s="363"/>
      <c r="EDB95" s="363"/>
      <c r="EDC95" s="364" t="s">
        <v>140</v>
      </c>
      <c r="EDD95" s="365">
        <v>0.5</v>
      </c>
      <c r="EDE95" s="366" t="e">
        <f>10/EDA93</f>
        <v>#DIV/0!</v>
      </c>
      <c r="EDF95" s="367">
        <v>15.38</v>
      </c>
      <c r="EDG95" s="367" t="e">
        <f>EDD95*EDE95*EDF95</f>
        <v>#DIV/0!</v>
      </c>
      <c r="EDH95" s="363" t="s">
        <v>153</v>
      </c>
      <c r="EDI95" s="363"/>
      <c r="EDJ95" s="363"/>
      <c r="EDK95" s="364" t="s">
        <v>140</v>
      </c>
      <c r="EDL95" s="365">
        <v>0.5</v>
      </c>
      <c r="EDM95" s="366" t="e">
        <f>10/EDI93</f>
        <v>#DIV/0!</v>
      </c>
      <c r="EDN95" s="367">
        <v>15.38</v>
      </c>
      <c r="EDO95" s="367" t="e">
        <f>EDL95*EDM95*EDN95</f>
        <v>#DIV/0!</v>
      </c>
      <c r="EDP95" s="363" t="s">
        <v>153</v>
      </c>
      <c r="EDQ95" s="363"/>
      <c r="EDR95" s="363"/>
      <c r="EDS95" s="364" t="s">
        <v>140</v>
      </c>
      <c r="EDT95" s="365">
        <v>0.5</v>
      </c>
      <c r="EDU95" s="366" t="e">
        <f>10/EDQ93</f>
        <v>#DIV/0!</v>
      </c>
      <c r="EDV95" s="367">
        <v>15.38</v>
      </c>
      <c r="EDW95" s="367" t="e">
        <f>EDT95*EDU95*EDV95</f>
        <v>#DIV/0!</v>
      </c>
      <c r="EDX95" s="363" t="s">
        <v>153</v>
      </c>
      <c r="EDY95" s="363"/>
      <c r="EDZ95" s="363"/>
      <c r="EEA95" s="364" t="s">
        <v>140</v>
      </c>
      <c r="EEB95" s="365">
        <v>0.5</v>
      </c>
      <c r="EEC95" s="366" t="e">
        <f>10/EDY93</f>
        <v>#DIV/0!</v>
      </c>
      <c r="EED95" s="367">
        <v>15.38</v>
      </c>
      <c r="EEE95" s="367" t="e">
        <f>EEB95*EEC95*EED95</f>
        <v>#DIV/0!</v>
      </c>
      <c r="EEF95" s="363" t="s">
        <v>153</v>
      </c>
      <c r="EEG95" s="363"/>
      <c r="EEH95" s="363"/>
      <c r="EEI95" s="364" t="s">
        <v>140</v>
      </c>
      <c r="EEJ95" s="365">
        <v>0.5</v>
      </c>
      <c r="EEK95" s="366" t="e">
        <f>10/EEG93</f>
        <v>#DIV/0!</v>
      </c>
      <c r="EEL95" s="367">
        <v>15.38</v>
      </c>
      <c r="EEM95" s="367" t="e">
        <f>EEJ95*EEK95*EEL95</f>
        <v>#DIV/0!</v>
      </c>
      <c r="EEN95" s="363" t="s">
        <v>153</v>
      </c>
      <c r="EEO95" s="363"/>
      <c r="EEP95" s="363"/>
      <c r="EEQ95" s="364" t="s">
        <v>140</v>
      </c>
      <c r="EER95" s="365">
        <v>0.5</v>
      </c>
      <c r="EES95" s="366" t="e">
        <f>10/EEO93</f>
        <v>#DIV/0!</v>
      </c>
      <c r="EET95" s="367">
        <v>15.38</v>
      </c>
      <c r="EEU95" s="367" t="e">
        <f>EER95*EES95*EET95</f>
        <v>#DIV/0!</v>
      </c>
      <c r="EEV95" s="363" t="s">
        <v>153</v>
      </c>
      <c r="EEW95" s="363"/>
      <c r="EEX95" s="363"/>
      <c r="EEY95" s="364" t="s">
        <v>140</v>
      </c>
      <c r="EEZ95" s="365">
        <v>0.5</v>
      </c>
      <c r="EFA95" s="366" t="e">
        <f>10/EEW93</f>
        <v>#DIV/0!</v>
      </c>
      <c r="EFB95" s="367">
        <v>15.38</v>
      </c>
      <c r="EFC95" s="367" t="e">
        <f>EEZ95*EFA95*EFB95</f>
        <v>#DIV/0!</v>
      </c>
      <c r="EFD95" s="363" t="s">
        <v>153</v>
      </c>
      <c r="EFE95" s="363"/>
      <c r="EFF95" s="363"/>
      <c r="EFG95" s="364" t="s">
        <v>140</v>
      </c>
      <c r="EFH95" s="365">
        <v>0.5</v>
      </c>
      <c r="EFI95" s="366" t="e">
        <f>10/EFE93</f>
        <v>#DIV/0!</v>
      </c>
      <c r="EFJ95" s="367">
        <v>15.38</v>
      </c>
      <c r="EFK95" s="367" t="e">
        <f>EFH95*EFI95*EFJ95</f>
        <v>#DIV/0!</v>
      </c>
      <c r="EFL95" s="363" t="s">
        <v>153</v>
      </c>
      <c r="EFM95" s="363"/>
      <c r="EFN95" s="363"/>
      <c r="EFO95" s="364" t="s">
        <v>140</v>
      </c>
      <c r="EFP95" s="365">
        <v>0.5</v>
      </c>
      <c r="EFQ95" s="366" t="e">
        <f>10/EFM93</f>
        <v>#DIV/0!</v>
      </c>
      <c r="EFR95" s="367">
        <v>15.38</v>
      </c>
      <c r="EFS95" s="367" t="e">
        <f>EFP95*EFQ95*EFR95</f>
        <v>#DIV/0!</v>
      </c>
      <c r="EFT95" s="363" t="s">
        <v>153</v>
      </c>
      <c r="EFU95" s="363"/>
      <c r="EFV95" s="363"/>
      <c r="EFW95" s="364" t="s">
        <v>140</v>
      </c>
      <c r="EFX95" s="365">
        <v>0.5</v>
      </c>
      <c r="EFY95" s="366" t="e">
        <f>10/EFU93</f>
        <v>#DIV/0!</v>
      </c>
      <c r="EFZ95" s="367">
        <v>15.38</v>
      </c>
      <c r="EGA95" s="367" t="e">
        <f>EFX95*EFY95*EFZ95</f>
        <v>#DIV/0!</v>
      </c>
      <c r="EGB95" s="363" t="s">
        <v>153</v>
      </c>
      <c r="EGC95" s="363"/>
      <c r="EGD95" s="363"/>
      <c r="EGE95" s="364" t="s">
        <v>140</v>
      </c>
      <c r="EGF95" s="365">
        <v>0.5</v>
      </c>
      <c r="EGG95" s="366" t="e">
        <f>10/EGC93</f>
        <v>#DIV/0!</v>
      </c>
      <c r="EGH95" s="367">
        <v>15.38</v>
      </c>
      <c r="EGI95" s="367" t="e">
        <f>EGF95*EGG95*EGH95</f>
        <v>#DIV/0!</v>
      </c>
      <c r="EGJ95" s="363" t="s">
        <v>153</v>
      </c>
      <c r="EGK95" s="363"/>
      <c r="EGL95" s="363"/>
      <c r="EGM95" s="364" t="s">
        <v>140</v>
      </c>
      <c r="EGN95" s="365">
        <v>0.5</v>
      </c>
      <c r="EGO95" s="366" t="e">
        <f>10/EGK93</f>
        <v>#DIV/0!</v>
      </c>
      <c r="EGP95" s="367">
        <v>15.38</v>
      </c>
      <c r="EGQ95" s="367" t="e">
        <f>EGN95*EGO95*EGP95</f>
        <v>#DIV/0!</v>
      </c>
      <c r="EGR95" s="363" t="s">
        <v>153</v>
      </c>
      <c r="EGS95" s="363"/>
      <c r="EGT95" s="363"/>
      <c r="EGU95" s="364" t="s">
        <v>140</v>
      </c>
      <c r="EGV95" s="365">
        <v>0.5</v>
      </c>
      <c r="EGW95" s="366" t="e">
        <f>10/EGS93</f>
        <v>#DIV/0!</v>
      </c>
      <c r="EGX95" s="367">
        <v>15.38</v>
      </c>
      <c r="EGY95" s="367" t="e">
        <f>EGV95*EGW95*EGX95</f>
        <v>#DIV/0!</v>
      </c>
      <c r="EGZ95" s="363" t="s">
        <v>153</v>
      </c>
      <c r="EHA95" s="363"/>
      <c r="EHB95" s="363"/>
      <c r="EHC95" s="364" t="s">
        <v>140</v>
      </c>
      <c r="EHD95" s="365">
        <v>0.5</v>
      </c>
      <c r="EHE95" s="366" t="e">
        <f>10/EHA93</f>
        <v>#DIV/0!</v>
      </c>
      <c r="EHF95" s="367">
        <v>15.38</v>
      </c>
      <c r="EHG95" s="367" t="e">
        <f>EHD95*EHE95*EHF95</f>
        <v>#DIV/0!</v>
      </c>
      <c r="EHH95" s="363" t="s">
        <v>153</v>
      </c>
      <c r="EHI95" s="363"/>
      <c r="EHJ95" s="363"/>
      <c r="EHK95" s="364" t="s">
        <v>140</v>
      </c>
      <c r="EHL95" s="365">
        <v>0.5</v>
      </c>
      <c r="EHM95" s="366" t="e">
        <f>10/EHI93</f>
        <v>#DIV/0!</v>
      </c>
      <c r="EHN95" s="367">
        <v>15.38</v>
      </c>
      <c r="EHO95" s="367" t="e">
        <f>EHL95*EHM95*EHN95</f>
        <v>#DIV/0!</v>
      </c>
      <c r="EHP95" s="363" t="s">
        <v>153</v>
      </c>
      <c r="EHQ95" s="363"/>
      <c r="EHR95" s="363"/>
      <c r="EHS95" s="364" t="s">
        <v>140</v>
      </c>
      <c r="EHT95" s="365">
        <v>0.5</v>
      </c>
      <c r="EHU95" s="366" t="e">
        <f>10/EHQ93</f>
        <v>#DIV/0!</v>
      </c>
      <c r="EHV95" s="367">
        <v>15.38</v>
      </c>
      <c r="EHW95" s="367" t="e">
        <f>EHT95*EHU95*EHV95</f>
        <v>#DIV/0!</v>
      </c>
      <c r="EHX95" s="363" t="s">
        <v>153</v>
      </c>
      <c r="EHY95" s="363"/>
      <c r="EHZ95" s="363"/>
      <c r="EIA95" s="364" t="s">
        <v>140</v>
      </c>
      <c r="EIB95" s="365">
        <v>0.5</v>
      </c>
      <c r="EIC95" s="366" t="e">
        <f>10/EHY93</f>
        <v>#DIV/0!</v>
      </c>
      <c r="EID95" s="367">
        <v>15.38</v>
      </c>
      <c r="EIE95" s="367" t="e">
        <f>EIB95*EIC95*EID95</f>
        <v>#DIV/0!</v>
      </c>
      <c r="EIF95" s="363" t="s">
        <v>153</v>
      </c>
      <c r="EIG95" s="363"/>
      <c r="EIH95" s="363"/>
      <c r="EII95" s="364" t="s">
        <v>140</v>
      </c>
      <c r="EIJ95" s="365">
        <v>0.5</v>
      </c>
      <c r="EIK95" s="366" t="e">
        <f>10/EIG93</f>
        <v>#DIV/0!</v>
      </c>
      <c r="EIL95" s="367">
        <v>15.38</v>
      </c>
      <c r="EIM95" s="367" t="e">
        <f>EIJ95*EIK95*EIL95</f>
        <v>#DIV/0!</v>
      </c>
      <c r="EIN95" s="363" t="s">
        <v>153</v>
      </c>
      <c r="EIO95" s="363"/>
      <c r="EIP95" s="363"/>
      <c r="EIQ95" s="364" t="s">
        <v>140</v>
      </c>
      <c r="EIR95" s="365">
        <v>0.5</v>
      </c>
      <c r="EIS95" s="366" t="e">
        <f>10/EIO93</f>
        <v>#DIV/0!</v>
      </c>
      <c r="EIT95" s="367">
        <v>15.38</v>
      </c>
      <c r="EIU95" s="367" t="e">
        <f>EIR95*EIS95*EIT95</f>
        <v>#DIV/0!</v>
      </c>
      <c r="EIV95" s="363" t="s">
        <v>153</v>
      </c>
      <c r="EIW95" s="363"/>
      <c r="EIX95" s="363"/>
      <c r="EIY95" s="364" t="s">
        <v>140</v>
      </c>
      <c r="EIZ95" s="365">
        <v>0.5</v>
      </c>
      <c r="EJA95" s="366" t="e">
        <f>10/EIW93</f>
        <v>#DIV/0!</v>
      </c>
      <c r="EJB95" s="367">
        <v>15.38</v>
      </c>
      <c r="EJC95" s="367" t="e">
        <f>EIZ95*EJA95*EJB95</f>
        <v>#DIV/0!</v>
      </c>
      <c r="EJD95" s="363" t="s">
        <v>153</v>
      </c>
      <c r="EJE95" s="363"/>
      <c r="EJF95" s="363"/>
      <c r="EJG95" s="364" t="s">
        <v>140</v>
      </c>
      <c r="EJH95" s="365">
        <v>0.5</v>
      </c>
      <c r="EJI95" s="366" t="e">
        <f>10/EJE93</f>
        <v>#DIV/0!</v>
      </c>
      <c r="EJJ95" s="367">
        <v>15.38</v>
      </c>
      <c r="EJK95" s="367" t="e">
        <f>EJH95*EJI95*EJJ95</f>
        <v>#DIV/0!</v>
      </c>
      <c r="EJL95" s="363" t="s">
        <v>153</v>
      </c>
      <c r="EJM95" s="363"/>
      <c r="EJN95" s="363"/>
      <c r="EJO95" s="364" t="s">
        <v>140</v>
      </c>
      <c r="EJP95" s="365">
        <v>0.5</v>
      </c>
      <c r="EJQ95" s="366" t="e">
        <f>10/EJM93</f>
        <v>#DIV/0!</v>
      </c>
      <c r="EJR95" s="367">
        <v>15.38</v>
      </c>
      <c r="EJS95" s="367" t="e">
        <f>EJP95*EJQ95*EJR95</f>
        <v>#DIV/0!</v>
      </c>
      <c r="EJT95" s="363" t="s">
        <v>153</v>
      </c>
      <c r="EJU95" s="363"/>
      <c r="EJV95" s="363"/>
      <c r="EJW95" s="364" t="s">
        <v>140</v>
      </c>
      <c r="EJX95" s="365">
        <v>0.5</v>
      </c>
      <c r="EJY95" s="366" t="e">
        <f>10/EJU93</f>
        <v>#DIV/0!</v>
      </c>
      <c r="EJZ95" s="367">
        <v>15.38</v>
      </c>
      <c r="EKA95" s="367" t="e">
        <f>EJX95*EJY95*EJZ95</f>
        <v>#DIV/0!</v>
      </c>
      <c r="EKB95" s="363" t="s">
        <v>153</v>
      </c>
      <c r="EKC95" s="363"/>
      <c r="EKD95" s="363"/>
      <c r="EKE95" s="364" t="s">
        <v>140</v>
      </c>
      <c r="EKF95" s="365">
        <v>0.5</v>
      </c>
      <c r="EKG95" s="366" t="e">
        <f>10/EKC93</f>
        <v>#DIV/0!</v>
      </c>
      <c r="EKH95" s="367">
        <v>15.38</v>
      </c>
      <c r="EKI95" s="367" t="e">
        <f>EKF95*EKG95*EKH95</f>
        <v>#DIV/0!</v>
      </c>
      <c r="EKJ95" s="363" t="s">
        <v>153</v>
      </c>
      <c r="EKK95" s="363"/>
      <c r="EKL95" s="363"/>
      <c r="EKM95" s="364" t="s">
        <v>140</v>
      </c>
      <c r="EKN95" s="365">
        <v>0.5</v>
      </c>
      <c r="EKO95" s="366" t="e">
        <f>10/EKK93</f>
        <v>#DIV/0!</v>
      </c>
      <c r="EKP95" s="367">
        <v>15.38</v>
      </c>
      <c r="EKQ95" s="367" t="e">
        <f>EKN95*EKO95*EKP95</f>
        <v>#DIV/0!</v>
      </c>
      <c r="EKR95" s="363" t="s">
        <v>153</v>
      </c>
      <c r="EKS95" s="363"/>
      <c r="EKT95" s="363"/>
      <c r="EKU95" s="364" t="s">
        <v>140</v>
      </c>
      <c r="EKV95" s="365">
        <v>0.5</v>
      </c>
      <c r="EKW95" s="366" t="e">
        <f>10/EKS93</f>
        <v>#DIV/0!</v>
      </c>
      <c r="EKX95" s="367">
        <v>15.38</v>
      </c>
      <c r="EKY95" s="367" t="e">
        <f>EKV95*EKW95*EKX95</f>
        <v>#DIV/0!</v>
      </c>
      <c r="EKZ95" s="363" t="s">
        <v>153</v>
      </c>
      <c r="ELA95" s="363"/>
      <c r="ELB95" s="363"/>
      <c r="ELC95" s="364" t="s">
        <v>140</v>
      </c>
      <c r="ELD95" s="365">
        <v>0.5</v>
      </c>
      <c r="ELE95" s="366" t="e">
        <f>10/ELA93</f>
        <v>#DIV/0!</v>
      </c>
      <c r="ELF95" s="367">
        <v>15.38</v>
      </c>
      <c r="ELG95" s="367" t="e">
        <f>ELD95*ELE95*ELF95</f>
        <v>#DIV/0!</v>
      </c>
      <c r="ELH95" s="363" t="s">
        <v>153</v>
      </c>
      <c r="ELI95" s="363"/>
      <c r="ELJ95" s="363"/>
      <c r="ELK95" s="364" t="s">
        <v>140</v>
      </c>
      <c r="ELL95" s="365">
        <v>0.5</v>
      </c>
      <c r="ELM95" s="366" t="e">
        <f>10/ELI93</f>
        <v>#DIV/0!</v>
      </c>
      <c r="ELN95" s="367">
        <v>15.38</v>
      </c>
      <c r="ELO95" s="367" t="e">
        <f>ELL95*ELM95*ELN95</f>
        <v>#DIV/0!</v>
      </c>
      <c r="ELP95" s="363" t="s">
        <v>153</v>
      </c>
      <c r="ELQ95" s="363"/>
      <c r="ELR95" s="363"/>
      <c r="ELS95" s="364" t="s">
        <v>140</v>
      </c>
      <c r="ELT95" s="365">
        <v>0.5</v>
      </c>
      <c r="ELU95" s="366" t="e">
        <f>10/ELQ93</f>
        <v>#DIV/0!</v>
      </c>
      <c r="ELV95" s="367">
        <v>15.38</v>
      </c>
      <c r="ELW95" s="367" t="e">
        <f>ELT95*ELU95*ELV95</f>
        <v>#DIV/0!</v>
      </c>
      <c r="ELX95" s="363" t="s">
        <v>153</v>
      </c>
      <c r="ELY95" s="363"/>
      <c r="ELZ95" s="363"/>
      <c r="EMA95" s="364" t="s">
        <v>140</v>
      </c>
      <c r="EMB95" s="365">
        <v>0.5</v>
      </c>
      <c r="EMC95" s="366" t="e">
        <f>10/ELY93</f>
        <v>#DIV/0!</v>
      </c>
      <c r="EMD95" s="367">
        <v>15.38</v>
      </c>
      <c r="EME95" s="367" t="e">
        <f>EMB95*EMC95*EMD95</f>
        <v>#DIV/0!</v>
      </c>
      <c r="EMF95" s="363" t="s">
        <v>153</v>
      </c>
      <c r="EMG95" s="363"/>
      <c r="EMH95" s="363"/>
      <c r="EMI95" s="364" t="s">
        <v>140</v>
      </c>
      <c r="EMJ95" s="365">
        <v>0.5</v>
      </c>
      <c r="EMK95" s="366" t="e">
        <f>10/EMG93</f>
        <v>#DIV/0!</v>
      </c>
      <c r="EML95" s="367">
        <v>15.38</v>
      </c>
      <c r="EMM95" s="367" t="e">
        <f>EMJ95*EMK95*EML95</f>
        <v>#DIV/0!</v>
      </c>
      <c r="EMN95" s="363" t="s">
        <v>153</v>
      </c>
      <c r="EMO95" s="363"/>
      <c r="EMP95" s="363"/>
      <c r="EMQ95" s="364" t="s">
        <v>140</v>
      </c>
      <c r="EMR95" s="365">
        <v>0.5</v>
      </c>
      <c r="EMS95" s="366" t="e">
        <f>10/EMO93</f>
        <v>#DIV/0!</v>
      </c>
      <c r="EMT95" s="367">
        <v>15.38</v>
      </c>
      <c r="EMU95" s="367" t="e">
        <f>EMR95*EMS95*EMT95</f>
        <v>#DIV/0!</v>
      </c>
      <c r="EMV95" s="363" t="s">
        <v>153</v>
      </c>
      <c r="EMW95" s="363"/>
      <c r="EMX95" s="363"/>
      <c r="EMY95" s="364" t="s">
        <v>140</v>
      </c>
      <c r="EMZ95" s="365">
        <v>0.5</v>
      </c>
      <c r="ENA95" s="366" t="e">
        <f>10/EMW93</f>
        <v>#DIV/0!</v>
      </c>
      <c r="ENB95" s="367">
        <v>15.38</v>
      </c>
      <c r="ENC95" s="367" t="e">
        <f>EMZ95*ENA95*ENB95</f>
        <v>#DIV/0!</v>
      </c>
      <c r="END95" s="363" t="s">
        <v>153</v>
      </c>
      <c r="ENE95" s="363"/>
      <c r="ENF95" s="363"/>
      <c r="ENG95" s="364" t="s">
        <v>140</v>
      </c>
      <c r="ENH95" s="365">
        <v>0.5</v>
      </c>
      <c r="ENI95" s="366" t="e">
        <f>10/ENE93</f>
        <v>#DIV/0!</v>
      </c>
      <c r="ENJ95" s="367">
        <v>15.38</v>
      </c>
      <c r="ENK95" s="367" t="e">
        <f>ENH95*ENI95*ENJ95</f>
        <v>#DIV/0!</v>
      </c>
      <c r="ENL95" s="363" t="s">
        <v>153</v>
      </c>
      <c r="ENM95" s="363"/>
      <c r="ENN95" s="363"/>
      <c r="ENO95" s="364" t="s">
        <v>140</v>
      </c>
      <c r="ENP95" s="365">
        <v>0.5</v>
      </c>
      <c r="ENQ95" s="366" t="e">
        <f>10/ENM93</f>
        <v>#DIV/0!</v>
      </c>
      <c r="ENR95" s="367">
        <v>15.38</v>
      </c>
      <c r="ENS95" s="367" t="e">
        <f>ENP95*ENQ95*ENR95</f>
        <v>#DIV/0!</v>
      </c>
      <c r="ENT95" s="363" t="s">
        <v>153</v>
      </c>
      <c r="ENU95" s="363"/>
      <c r="ENV95" s="363"/>
      <c r="ENW95" s="364" t="s">
        <v>140</v>
      </c>
      <c r="ENX95" s="365">
        <v>0.5</v>
      </c>
      <c r="ENY95" s="366" t="e">
        <f>10/ENU93</f>
        <v>#DIV/0!</v>
      </c>
      <c r="ENZ95" s="367">
        <v>15.38</v>
      </c>
      <c r="EOA95" s="367" t="e">
        <f>ENX95*ENY95*ENZ95</f>
        <v>#DIV/0!</v>
      </c>
      <c r="EOB95" s="363" t="s">
        <v>153</v>
      </c>
      <c r="EOC95" s="363"/>
      <c r="EOD95" s="363"/>
      <c r="EOE95" s="364" t="s">
        <v>140</v>
      </c>
      <c r="EOF95" s="365">
        <v>0.5</v>
      </c>
      <c r="EOG95" s="366" t="e">
        <f>10/EOC93</f>
        <v>#DIV/0!</v>
      </c>
      <c r="EOH95" s="367">
        <v>15.38</v>
      </c>
      <c r="EOI95" s="367" t="e">
        <f>EOF95*EOG95*EOH95</f>
        <v>#DIV/0!</v>
      </c>
      <c r="EOJ95" s="363" t="s">
        <v>153</v>
      </c>
      <c r="EOK95" s="363"/>
      <c r="EOL95" s="363"/>
      <c r="EOM95" s="364" t="s">
        <v>140</v>
      </c>
      <c r="EON95" s="365">
        <v>0.5</v>
      </c>
      <c r="EOO95" s="366" t="e">
        <f>10/EOK93</f>
        <v>#DIV/0!</v>
      </c>
      <c r="EOP95" s="367">
        <v>15.38</v>
      </c>
      <c r="EOQ95" s="367" t="e">
        <f>EON95*EOO95*EOP95</f>
        <v>#DIV/0!</v>
      </c>
      <c r="EOR95" s="363" t="s">
        <v>153</v>
      </c>
      <c r="EOS95" s="363"/>
      <c r="EOT95" s="363"/>
      <c r="EOU95" s="364" t="s">
        <v>140</v>
      </c>
      <c r="EOV95" s="365">
        <v>0.5</v>
      </c>
      <c r="EOW95" s="366" t="e">
        <f>10/EOS93</f>
        <v>#DIV/0!</v>
      </c>
      <c r="EOX95" s="367">
        <v>15.38</v>
      </c>
      <c r="EOY95" s="367" t="e">
        <f>EOV95*EOW95*EOX95</f>
        <v>#DIV/0!</v>
      </c>
      <c r="EOZ95" s="363" t="s">
        <v>153</v>
      </c>
      <c r="EPA95" s="363"/>
      <c r="EPB95" s="363"/>
      <c r="EPC95" s="364" t="s">
        <v>140</v>
      </c>
      <c r="EPD95" s="365">
        <v>0.5</v>
      </c>
      <c r="EPE95" s="366" t="e">
        <f>10/EPA93</f>
        <v>#DIV/0!</v>
      </c>
      <c r="EPF95" s="367">
        <v>15.38</v>
      </c>
      <c r="EPG95" s="367" t="e">
        <f>EPD95*EPE95*EPF95</f>
        <v>#DIV/0!</v>
      </c>
      <c r="EPH95" s="363" t="s">
        <v>153</v>
      </c>
      <c r="EPI95" s="363"/>
      <c r="EPJ95" s="363"/>
      <c r="EPK95" s="364" t="s">
        <v>140</v>
      </c>
      <c r="EPL95" s="365">
        <v>0.5</v>
      </c>
      <c r="EPM95" s="366" t="e">
        <f>10/EPI93</f>
        <v>#DIV/0!</v>
      </c>
      <c r="EPN95" s="367">
        <v>15.38</v>
      </c>
      <c r="EPO95" s="367" t="e">
        <f>EPL95*EPM95*EPN95</f>
        <v>#DIV/0!</v>
      </c>
      <c r="EPP95" s="363" t="s">
        <v>153</v>
      </c>
      <c r="EPQ95" s="363"/>
      <c r="EPR95" s="363"/>
      <c r="EPS95" s="364" t="s">
        <v>140</v>
      </c>
      <c r="EPT95" s="365">
        <v>0.5</v>
      </c>
      <c r="EPU95" s="366" t="e">
        <f>10/EPQ93</f>
        <v>#DIV/0!</v>
      </c>
      <c r="EPV95" s="367">
        <v>15.38</v>
      </c>
      <c r="EPW95" s="367" t="e">
        <f>EPT95*EPU95*EPV95</f>
        <v>#DIV/0!</v>
      </c>
      <c r="EPX95" s="363" t="s">
        <v>153</v>
      </c>
      <c r="EPY95" s="363"/>
      <c r="EPZ95" s="363"/>
      <c r="EQA95" s="364" t="s">
        <v>140</v>
      </c>
      <c r="EQB95" s="365">
        <v>0.5</v>
      </c>
      <c r="EQC95" s="366" t="e">
        <f>10/EPY93</f>
        <v>#DIV/0!</v>
      </c>
      <c r="EQD95" s="367">
        <v>15.38</v>
      </c>
      <c r="EQE95" s="367" t="e">
        <f>EQB95*EQC95*EQD95</f>
        <v>#DIV/0!</v>
      </c>
      <c r="EQF95" s="363" t="s">
        <v>153</v>
      </c>
      <c r="EQG95" s="363"/>
      <c r="EQH95" s="363"/>
      <c r="EQI95" s="364" t="s">
        <v>140</v>
      </c>
      <c r="EQJ95" s="365">
        <v>0.5</v>
      </c>
      <c r="EQK95" s="366" t="e">
        <f>10/EQG93</f>
        <v>#DIV/0!</v>
      </c>
      <c r="EQL95" s="367">
        <v>15.38</v>
      </c>
      <c r="EQM95" s="367" t="e">
        <f>EQJ95*EQK95*EQL95</f>
        <v>#DIV/0!</v>
      </c>
      <c r="EQN95" s="363" t="s">
        <v>153</v>
      </c>
      <c r="EQO95" s="363"/>
      <c r="EQP95" s="363"/>
      <c r="EQQ95" s="364" t="s">
        <v>140</v>
      </c>
      <c r="EQR95" s="365">
        <v>0.5</v>
      </c>
      <c r="EQS95" s="366" t="e">
        <f>10/EQO93</f>
        <v>#DIV/0!</v>
      </c>
      <c r="EQT95" s="367">
        <v>15.38</v>
      </c>
      <c r="EQU95" s="367" t="e">
        <f>EQR95*EQS95*EQT95</f>
        <v>#DIV/0!</v>
      </c>
      <c r="EQV95" s="363" t="s">
        <v>153</v>
      </c>
      <c r="EQW95" s="363"/>
      <c r="EQX95" s="363"/>
      <c r="EQY95" s="364" t="s">
        <v>140</v>
      </c>
      <c r="EQZ95" s="365">
        <v>0.5</v>
      </c>
      <c r="ERA95" s="366" t="e">
        <f>10/EQW93</f>
        <v>#DIV/0!</v>
      </c>
      <c r="ERB95" s="367">
        <v>15.38</v>
      </c>
      <c r="ERC95" s="367" t="e">
        <f>EQZ95*ERA95*ERB95</f>
        <v>#DIV/0!</v>
      </c>
      <c r="ERD95" s="363" t="s">
        <v>153</v>
      </c>
      <c r="ERE95" s="363"/>
      <c r="ERF95" s="363"/>
      <c r="ERG95" s="364" t="s">
        <v>140</v>
      </c>
      <c r="ERH95" s="365">
        <v>0.5</v>
      </c>
      <c r="ERI95" s="366" t="e">
        <f>10/ERE93</f>
        <v>#DIV/0!</v>
      </c>
      <c r="ERJ95" s="367">
        <v>15.38</v>
      </c>
      <c r="ERK95" s="367" t="e">
        <f>ERH95*ERI95*ERJ95</f>
        <v>#DIV/0!</v>
      </c>
      <c r="ERL95" s="363" t="s">
        <v>153</v>
      </c>
      <c r="ERM95" s="363"/>
      <c r="ERN95" s="363"/>
      <c r="ERO95" s="364" t="s">
        <v>140</v>
      </c>
      <c r="ERP95" s="365">
        <v>0.5</v>
      </c>
      <c r="ERQ95" s="366" t="e">
        <f>10/ERM93</f>
        <v>#DIV/0!</v>
      </c>
      <c r="ERR95" s="367">
        <v>15.38</v>
      </c>
      <c r="ERS95" s="367" t="e">
        <f>ERP95*ERQ95*ERR95</f>
        <v>#DIV/0!</v>
      </c>
      <c r="ERT95" s="363" t="s">
        <v>153</v>
      </c>
      <c r="ERU95" s="363"/>
      <c r="ERV95" s="363"/>
      <c r="ERW95" s="364" t="s">
        <v>140</v>
      </c>
      <c r="ERX95" s="365">
        <v>0.5</v>
      </c>
      <c r="ERY95" s="366" t="e">
        <f>10/ERU93</f>
        <v>#DIV/0!</v>
      </c>
      <c r="ERZ95" s="367">
        <v>15.38</v>
      </c>
      <c r="ESA95" s="367" t="e">
        <f>ERX95*ERY95*ERZ95</f>
        <v>#DIV/0!</v>
      </c>
      <c r="ESB95" s="363" t="s">
        <v>153</v>
      </c>
      <c r="ESC95" s="363"/>
      <c r="ESD95" s="363"/>
      <c r="ESE95" s="364" t="s">
        <v>140</v>
      </c>
      <c r="ESF95" s="365">
        <v>0.5</v>
      </c>
      <c r="ESG95" s="366" t="e">
        <f>10/ESC93</f>
        <v>#DIV/0!</v>
      </c>
      <c r="ESH95" s="367">
        <v>15.38</v>
      </c>
      <c r="ESI95" s="367" t="e">
        <f>ESF95*ESG95*ESH95</f>
        <v>#DIV/0!</v>
      </c>
      <c r="ESJ95" s="363" t="s">
        <v>153</v>
      </c>
      <c r="ESK95" s="363"/>
      <c r="ESL95" s="363"/>
      <c r="ESM95" s="364" t="s">
        <v>140</v>
      </c>
      <c r="ESN95" s="365">
        <v>0.5</v>
      </c>
      <c r="ESO95" s="366" t="e">
        <f>10/ESK93</f>
        <v>#DIV/0!</v>
      </c>
      <c r="ESP95" s="367">
        <v>15.38</v>
      </c>
      <c r="ESQ95" s="367" t="e">
        <f>ESN95*ESO95*ESP95</f>
        <v>#DIV/0!</v>
      </c>
      <c r="ESR95" s="363" t="s">
        <v>153</v>
      </c>
      <c r="ESS95" s="363"/>
      <c r="EST95" s="363"/>
      <c r="ESU95" s="364" t="s">
        <v>140</v>
      </c>
      <c r="ESV95" s="365">
        <v>0.5</v>
      </c>
      <c r="ESW95" s="366" t="e">
        <f>10/ESS93</f>
        <v>#DIV/0!</v>
      </c>
      <c r="ESX95" s="367">
        <v>15.38</v>
      </c>
      <c r="ESY95" s="367" t="e">
        <f>ESV95*ESW95*ESX95</f>
        <v>#DIV/0!</v>
      </c>
      <c r="ESZ95" s="363" t="s">
        <v>153</v>
      </c>
      <c r="ETA95" s="363"/>
      <c r="ETB95" s="363"/>
      <c r="ETC95" s="364" t="s">
        <v>140</v>
      </c>
      <c r="ETD95" s="365">
        <v>0.5</v>
      </c>
      <c r="ETE95" s="366" t="e">
        <f>10/ETA93</f>
        <v>#DIV/0!</v>
      </c>
      <c r="ETF95" s="367">
        <v>15.38</v>
      </c>
      <c r="ETG95" s="367" t="e">
        <f>ETD95*ETE95*ETF95</f>
        <v>#DIV/0!</v>
      </c>
      <c r="ETH95" s="363" t="s">
        <v>153</v>
      </c>
      <c r="ETI95" s="363"/>
      <c r="ETJ95" s="363"/>
      <c r="ETK95" s="364" t="s">
        <v>140</v>
      </c>
      <c r="ETL95" s="365">
        <v>0.5</v>
      </c>
      <c r="ETM95" s="366" t="e">
        <f>10/ETI93</f>
        <v>#DIV/0!</v>
      </c>
      <c r="ETN95" s="367">
        <v>15.38</v>
      </c>
      <c r="ETO95" s="367" t="e">
        <f>ETL95*ETM95*ETN95</f>
        <v>#DIV/0!</v>
      </c>
      <c r="ETP95" s="363" t="s">
        <v>153</v>
      </c>
      <c r="ETQ95" s="363"/>
      <c r="ETR95" s="363"/>
      <c r="ETS95" s="364" t="s">
        <v>140</v>
      </c>
      <c r="ETT95" s="365">
        <v>0.5</v>
      </c>
      <c r="ETU95" s="366" t="e">
        <f>10/ETQ93</f>
        <v>#DIV/0!</v>
      </c>
      <c r="ETV95" s="367">
        <v>15.38</v>
      </c>
      <c r="ETW95" s="367" t="e">
        <f>ETT95*ETU95*ETV95</f>
        <v>#DIV/0!</v>
      </c>
      <c r="ETX95" s="363" t="s">
        <v>153</v>
      </c>
      <c r="ETY95" s="363"/>
      <c r="ETZ95" s="363"/>
      <c r="EUA95" s="364" t="s">
        <v>140</v>
      </c>
      <c r="EUB95" s="365">
        <v>0.5</v>
      </c>
      <c r="EUC95" s="366" t="e">
        <f>10/ETY93</f>
        <v>#DIV/0!</v>
      </c>
      <c r="EUD95" s="367">
        <v>15.38</v>
      </c>
      <c r="EUE95" s="367" t="e">
        <f>EUB95*EUC95*EUD95</f>
        <v>#DIV/0!</v>
      </c>
      <c r="EUF95" s="363" t="s">
        <v>153</v>
      </c>
      <c r="EUG95" s="363"/>
      <c r="EUH95" s="363"/>
      <c r="EUI95" s="364" t="s">
        <v>140</v>
      </c>
      <c r="EUJ95" s="365">
        <v>0.5</v>
      </c>
      <c r="EUK95" s="366" t="e">
        <f>10/EUG93</f>
        <v>#DIV/0!</v>
      </c>
      <c r="EUL95" s="367">
        <v>15.38</v>
      </c>
      <c r="EUM95" s="367" t="e">
        <f>EUJ95*EUK95*EUL95</f>
        <v>#DIV/0!</v>
      </c>
      <c r="EUN95" s="363" t="s">
        <v>153</v>
      </c>
      <c r="EUO95" s="363"/>
      <c r="EUP95" s="363"/>
      <c r="EUQ95" s="364" t="s">
        <v>140</v>
      </c>
      <c r="EUR95" s="365">
        <v>0.5</v>
      </c>
      <c r="EUS95" s="366" t="e">
        <f>10/EUO93</f>
        <v>#DIV/0!</v>
      </c>
      <c r="EUT95" s="367">
        <v>15.38</v>
      </c>
      <c r="EUU95" s="367" t="e">
        <f>EUR95*EUS95*EUT95</f>
        <v>#DIV/0!</v>
      </c>
      <c r="EUV95" s="363" t="s">
        <v>153</v>
      </c>
      <c r="EUW95" s="363"/>
      <c r="EUX95" s="363"/>
      <c r="EUY95" s="364" t="s">
        <v>140</v>
      </c>
      <c r="EUZ95" s="365">
        <v>0.5</v>
      </c>
      <c r="EVA95" s="366" t="e">
        <f>10/EUW93</f>
        <v>#DIV/0!</v>
      </c>
      <c r="EVB95" s="367">
        <v>15.38</v>
      </c>
      <c r="EVC95" s="367" t="e">
        <f>EUZ95*EVA95*EVB95</f>
        <v>#DIV/0!</v>
      </c>
      <c r="EVD95" s="363" t="s">
        <v>153</v>
      </c>
      <c r="EVE95" s="363"/>
      <c r="EVF95" s="363"/>
      <c r="EVG95" s="364" t="s">
        <v>140</v>
      </c>
      <c r="EVH95" s="365">
        <v>0.5</v>
      </c>
      <c r="EVI95" s="366" t="e">
        <f>10/EVE93</f>
        <v>#DIV/0!</v>
      </c>
      <c r="EVJ95" s="367">
        <v>15.38</v>
      </c>
      <c r="EVK95" s="367" t="e">
        <f>EVH95*EVI95*EVJ95</f>
        <v>#DIV/0!</v>
      </c>
      <c r="EVL95" s="363" t="s">
        <v>153</v>
      </c>
      <c r="EVM95" s="363"/>
      <c r="EVN95" s="363"/>
      <c r="EVO95" s="364" t="s">
        <v>140</v>
      </c>
      <c r="EVP95" s="365">
        <v>0.5</v>
      </c>
      <c r="EVQ95" s="366" t="e">
        <f>10/EVM93</f>
        <v>#DIV/0!</v>
      </c>
      <c r="EVR95" s="367">
        <v>15.38</v>
      </c>
      <c r="EVS95" s="367" t="e">
        <f>EVP95*EVQ95*EVR95</f>
        <v>#DIV/0!</v>
      </c>
      <c r="EVT95" s="363" t="s">
        <v>153</v>
      </c>
      <c r="EVU95" s="363"/>
      <c r="EVV95" s="363"/>
      <c r="EVW95" s="364" t="s">
        <v>140</v>
      </c>
      <c r="EVX95" s="365">
        <v>0.5</v>
      </c>
      <c r="EVY95" s="366" t="e">
        <f>10/EVU93</f>
        <v>#DIV/0!</v>
      </c>
      <c r="EVZ95" s="367">
        <v>15.38</v>
      </c>
      <c r="EWA95" s="367" t="e">
        <f>EVX95*EVY95*EVZ95</f>
        <v>#DIV/0!</v>
      </c>
      <c r="EWB95" s="363" t="s">
        <v>153</v>
      </c>
      <c r="EWC95" s="363"/>
      <c r="EWD95" s="363"/>
      <c r="EWE95" s="364" t="s">
        <v>140</v>
      </c>
      <c r="EWF95" s="365">
        <v>0.5</v>
      </c>
      <c r="EWG95" s="366" t="e">
        <f>10/EWC93</f>
        <v>#DIV/0!</v>
      </c>
      <c r="EWH95" s="367">
        <v>15.38</v>
      </c>
      <c r="EWI95" s="367" t="e">
        <f>EWF95*EWG95*EWH95</f>
        <v>#DIV/0!</v>
      </c>
      <c r="EWJ95" s="363" t="s">
        <v>153</v>
      </c>
      <c r="EWK95" s="363"/>
      <c r="EWL95" s="363"/>
      <c r="EWM95" s="364" t="s">
        <v>140</v>
      </c>
      <c r="EWN95" s="365">
        <v>0.5</v>
      </c>
      <c r="EWO95" s="366" t="e">
        <f>10/EWK93</f>
        <v>#DIV/0!</v>
      </c>
      <c r="EWP95" s="367">
        <v>15.38</v>
      </c>
      <c r="EWQ95" s="367" t="e">
        <f>EWN95*EWO95*EWP95</f>
        <v>#DIV/0!</v>
      </c>
      <c r="EWR95" s="363" t="s">
        <v>153</v>
      </c>
      <c r="EWS95" s="363"/>
      <c r="EWT95" s="363"/>
      <c r="EWU95" s="364" t="s">
        <v>140</v>
      </c>
      <c r="EWV95" s="365">
        <v>0.5</v>
      </c>
      <c r="EWW95" s="366" t="e">
        <f>10/EWS93</f>
        <v>#DIV/0!</v>
      </c>
      <c r="EWX95" s="367">
        <v>15.38</v>
      </c>
      <c r="EWY95" s="367" t="e">
        <f>EWV95*EWW95*EWX95</f>
        <v>#DIV/0!</v>
      </c>
      <c r="EWZ95" s="363" t="s">
        <v>153</v>
      </c>
      <c r="EXA95" s="363"/>
      <c r="EXB95" s="363"/>
      <c r="EXC95" s="364" t="s">
        <v>140</v>
      </c>
      <c r="EXD95" s="365">
        <v>0.5</v>
      </c>
      <c r="EXE95" s="366" t="e">
        <f>10/EXA93</f>
        <v>#DIV/0!</v>
      </c>
      <c r="EXF95" s="367">
        <v>15.38</v>
      </c>
      <c r="EXG95" s="367" t="e">
        <f>EXD95*EXE95*EXF95</f>
        <v>#DIV/0!</v>
      </c>
      <c r="EXH95" s="363" t="s">
        <v>153</v>
      </c>
      <c r="EXI95" s="363"/>
      <c r="EXJ95" s="363"/>
      <c r="EXK95" s="364" t="s">
        <v>140</v>
      </c>
      <c r="EXL95" s="365">
        <v>0.5</v>
      </c>
      <c r="EXM95" s="366" t="e">
        <f>10/EXI93</f>
        <v>#DIV/0!</v>
      </c>
      <c r="EXN95" s="367">
        <v>15.38</v>
      </c>
      <c r="EXO95" s="367" t="e">
        <f>EXL95*EXM95*EXN95</f>
        <v>#DIV/0!</v>
      </c>
      <c r="EXP95" s="363" t="s">
        <v>153</v>
      </c>
      <c r="EXQ95" s="363"/>
      <c r="EXR95" s="363"/>
      <c r="EXS95" s="364" t="s">
        <v>140</v>
      </c>
      <c r="EXT95" s="365">
        <v>0.5</v>
      </c>
      <c r="EXU95" s="366" t="e">
        <f>10/EXQ93</f>
        <v>#DIV/0!</v>
      </c>
      <c r="EXV95" s="367">
        <v>15.38</v>
      </c>
      <c r="EXW95" s="367" t="e">
        <f>EXT95*EXU95*EXV95</f>
        <v>#DIV/0!</v>
      </c>
      <c r="EXX95" s="363" t="s">
        <v>153</v>
      </c>
      <c r="EXY95" s="363"/>
      <c r="EXZ95" s="363"/>
      <c r="EYA95" s="364" t="s">
        <v>140</v>
      </c>
      <c r="EYB95" s="365">
        <v>0.5</v>
      </c>
      <c r="EYC95" s="366" t="e">
        <f>10/EXY93</f>
        <v>#DIV/0!</v>
      </c>
      <c r="EYD95" s="367">
        <v>15.38</v>
      </c>
      <c r="EYE95" s="367" t="e">
        <f>EYB95*EYC95*EYD95</f>
        <v>#DIV/0!</v>
      </c>
      <c r="EYF95" s="363" t="s">
        <v>153</v>
      </c>
      <c r="EYG95" s="363"/>
      <c r="EYH95" s="363"/>
      <c r="EYI95" s="364" t="s">
        <v>140</v>
      </c>
      <c r="EYJ95" s="365">
        <v>0.5</v>
      </c>
      <c r="EYK95" s="366" t="e">
        <f>10/EYG93</f>
        <v>#DIV/0!</v>
      </c>
      <c r="EYL95" s="367">
        <v>15.38</v>
      </c>
      <c r="EYM95" s="367" t="e">
        <f>EYJ95*EYK95*EYL95</f>
        <v>#DIV/0!</v>
      </c>
      <c r="EYN95" s="363" t="s">
        <v>153</v>
      </c>
      <c r="EYO95" s="363"/>
      <c r="EYP95" s="363"/>
      <c r="EYQ95" s="364" t="s">
        <v>140</v>
      </c>
      <c r="EYR95" s="365">
        <v>0.5</v>
      </c>
      <c r="EYS95" s="366" t="e">
        <f>10/EYO93</f>
        <v>#DIV/0!</v>
      </c>
      <c r="EYT95" s="367">
        <v>15.38</v>
      </c>
      <c r="EYU95" s="367" t="e">
        <f>EYR95*EYS95*EYT95</f>
        <v>#DIV/0!</v>
      </c>
      <c r="EYV95" s="363" t="s">
        <v>153</v>
      </c>
      <c r="EYW95" s="363"/>
      <c r="EYX95" s="363"/>
      <c r="EYY95" s="364" t="s">
        <v>140</v>
      </c>
      <c r="EYZ95" s="365">
        <v>0.5</v>
      </c>
      <c r="EZA95" s="366" t="e">
        <f>10/EYW93</f>
        <v>#DIV/0!</v>
      </c>
      <c r="EZB95" s="367">
        <v>15.38</v>
      </c>
      <c r="EZC95" s="367" t="e">
        <f>EYZ95*EZA95*EZB95</f>
        <v>#DIV/0!</v>
      </c>
      <c r="EZD95" s="363" t="s">
        <v>153</v>
      </c>
      <c r="EZE95" s="363"/>
      <c r="EZF95" s="363"/>
      <c r="EZG95" s="364" t="s">
        <v>140</v>
      </c>
      <c r="EZH95" s="365">
        <v>0.5</v>
      </c>
      <c r="EZI95" s="366" t="e">
        <f>10/EZE93</f>
        <v>#DIV/0!</v>
      </c>
      <c r="EZJ95" s="367">
        <v>15.38</v>
      </c>
      <c r="EZK95" s="367" t="e">
        <f>EZH95*EZI95*EZJ95</f>
        <v>#DIV/0!</v>
      </c>
      <c r="EZL95" s="363" t="s">
        <v>153</v>
      </c>
      <c r="EZM95" s="363"/>
      <c r="EZN95" s="363"/>
      <c r="EZO95" s="364" t="s">
        <v>140</v>
      </c>
      <c r="EZP95" s="365">
        <v>0.5</v>
      </c>
      <c r="EZQ95" s="366" t="e">
        <f>10/EZM93</f>
        <v>#DIV/0!</v>
      </c>
      <c r="EZR95" s="367">
        <v>15.38</v>
      </c>
      <c r="EZS95" s="367" t="e">
        <f>EZP95*EZQ95*EZR95</f>
        <v>#DIV/0!</v>
      </c>
      <c r="EZT95" s="363" t="s">
        <v>153</v>
      </c>
      <c r="EZU95" s="363"/>
      <c r="EZV95" s="363"/>
      <c r="EZW95" s="364" t="s">
        <v>140</v>
      </c>
      <c r="EZX95" s="365">
        <v>0.5</v>
      </c>
      <c r="EZY95" s="366" t="e">
        <f>10/EZU93</f>
        <v>#DIV/0!</v>
      </c>
      <c r="EZZ95" s="367">
        <v>15.38</v>
      </c>
      <c r="FAA95" s="367" t="e">
        <f>EZX95*EZY95*EZZ95</f>
        <v>#DIV/0!</v>
      </c>
      <c r="FAB95" s="363" t="s">
        <v>153</v>
      </c>
      <c r="FAC95" s="363"/>
      <c r="FAD95" s="363"/>
      <c r="FAE95" s="364" t="s">
        <v>140</v>
      </c>
      <c r="FAF95" s="365">
        <v>0.5</v>
      </c>
      <c r="FAG95" s="366" t="e">
        <f>10/FAC93</f>
        <v>#DIV/0!</v>
      </c>
      <c r="FAH95" s="367">
        <v>15.38</v>
      </c>
      <c r="FAI95" s="367" t="e">
        <f>FAF95*FAG95*FAH95</f>
        <v>#DIV/0!</v>
      </c>
      <c r="FAJ95" s="363" t="s">
        <v>153</v>
      </c>
      <c r="FAK95" s="363"/>
      <c r="FAL95" s="363"/>
      <c r="FAM95" s="364" t="s">
        <v>140</v>
      </c>
      <c r="FAN95" s="365">
        <v>0.5</v>
      </c>
      <c r="FAO95" s="366" t="e">
        <f>10/FAK93</f>
        <v>#DIV/0!</v>
      </c>
      <c r="FAP95" s="367">
        <v>15.38</v>
      </c>
      <c r="FAQ95" s="367" t="e">
        <f>FAN95*FAO95*FAP95</f>
        <v>#DIV/0!</v>
      </c>
      <c r="FAR95" s="363" t="s">
        <v>153</v>
      </c>
      <c r="FAS95" s="363"/>
      <c r="FAT95" s="363"/>
      <c r="FAU95" s="364" t="s">
        <v>140</v>
      </c>
      <c r="FAV95" s="365">
        <v>0.5</v>
      </c>
      <c r="FAW95" s="366" t="e">
        <f>10/FAS93</f>
        <v>#DIV/0!</v>
      </c>
      <c r="FAX95" s="367">
        <v>15.38</v>
      </c>
      <c r="FAY95" s="367" t="e">
        <f>FAV95*FAW95*FAX95</f>
        <v>#DIV/0!</v>
      </c>
      <c r="FAZ95" s="363" t="s">
        <v>153</v>
      </c>
      <c r="FBA95" s="363"/>
      <c r="FBB95" s="363"/>
      <c r="FBC95" s="364" t="s">
        <v>140</v>
      </c>
      <c r="FBD95" s="365">
        <v>0.5</v>
      </c>
      <c r="FBE95" s="366" t="e">
        <f>10/FBA93</f>
        <v>#DIV/0!</v>
      </c>
      <c r="FBF95" s="367">
        <v>15.38</v>
      </c>
      <c r="FBG95" s="367" t="e">
        <f>FBD95*FBE95*FBF95</f>
        <v>#DIV/0!</v>
      </c>
      <c r="FBH95" s="363" t="s">
        <v>153</v>
      </c>
      <c r="FBI95" s="363"/>
      <c r="FBJ95" s="363"/>
      <c r="FBK95" s="364" t="s">
        <v>140</v>
      </c>
      <c r="FBL95" s="365">
        <v>0.5</v>
      </c>
      <c r="FBM95" s="366" t="e">
        <f>10/FBI93</f>
        <v>#DIV/0!</v>
      </c>
      <c r="FBN95" s="367">
        <v>15.38</v>
      </c>
      <c r="FBO95" s="367" t="e">
        <f>FBL95*FBM95*FBN95</f>
        <v>#DIV/0!</v>
      </c>
      <c r="FBP95" s="363" t="s">
        <v>153</v>
      </c>
      <c r="FBQ95" s="363"/>
      <c r="FBR95" s="363"/>
      <c r="FBS95" s="364" t="s">
        <v>140</v>
      </c>
      <c r="FBT95" s="365">
        <v>0.5</v>
      </c>
      <c r="FBU95" s="366" t="e">
        <f>10/FBQ93</f>
        <v>#DIV/0!</v>
      </c>
      <c r="FBV95" s="367">
        <v>15.38</v>
      </c>
      <c r="FBW95" s="367" t="e">
        <f>FBT95*FBU95*FBV95</f>
        <v>#DIV/0!</v>
      </c>
      <c r="FBX95" s="363" t="s">
        <v>153</v>
      </c>
      <c r="FBY95" s="363"/>
      <c r="FBZ95" s="363"/>
      <c r="FCA95" s="364" t="s">
        <v>140</v>
      </c>
      <c r="FCB95" s="365">
        <v>0.5</v>
      </c>
      <c r="FCC95" s="366" t="e">
        <f>10/FBY93</f>
        <v>#DIV/0!</v>
      </c>
      <c r="FCD95" s="367">
        <v>15.38</v>
      </c>
      <c r="FCE95" s="367" t="e">
        <f>FCB95*FCC95*FCD95</f>
        <v>#DIV/0!</v>
      </c>
      <c r="FCF95" s="363" t="s">
        <v>153</v>
      </c>
      <c r="FCG95" s="363"/>
      <c r="FCH95" s="363"/>
      <c r="FCI95" s="364" t="s">
        <v>140</v>
      </c>
      <c r="FCJ95" s="365">
        <v>0.5</v>
      </c>
      <c r="FCK95" s="366" t="e">
        <f>10/FCG93</f>
        <v>#DIV/0!</v>
      </c>
      <c r="FCL95" s="367">
        <v>15.38</v>
      </c>
      <c r="FCM95" s="367" t="e">
        <f>FCJ95*FCK95*FCL95</f>
        <v>#DIV/0!</v>
      </c>
      <c r="FCN95" s="363" t="s">
        <v>153</v>
      </c>
      <c r="FCO95" s="363"/>
      <c r="FCP95" s="363"/>
      <c r="FCQ95" s="364" t="s">
        <v>140</v>
      </c>
      <c r="FCR95" s="365">
        <v>0.5</v>
      </c>
      <c r="FCS95" s="366" t="e">
        <f>10/FCO93</f>
        <v>#DIV/0!</v>
      </c>
      <c r="FCT95" s="367">
        <v>15.38</v>
      </c>
      <c r="FCU95" s="367" t="e">
        <f>FCR95*FCS95*FCT95</f>
        <v>#DIV/0!</v>
      </c>
      <c r="FCV95" s="363" t="s">
        <v>153</v>
      </c>
      <c r="FCW95" s="363"/>
      <c r="FCX95" s="363"/>
      <c r="FCY95" s="364" t="s">
        <v>140</v>
      </c>
      <c r="FCZ95" s="365">
        <v>0.5</v>
      </c>
      <c r="FDA95" s="366" t="e">
        <f>10/FCW93</f>
        <v>#DIV/0!</v>
      </c>
      <c r="FDB95" s="367">
        <v>15.38</v>
      </c>
      <c r="FDC95" s="367" t="e">
        <f>FCZ95*FDA95*FDB95</f>
        <v>#DIV/0!</v>
      </c>
      <c r="FDD95" s="363" t="s">
        <v>153</v>
      </c>
      <c r="FDE95" s="363"/>
      <c r="FDF95" s="363"/>
      <c r="FDG95" s="364" t="s">
        <v>140</v>
      </c>
      <c r="FDH95" s="365">
        <v>0.5</v>
      </c>
      <c r="FDI95" s="366" t="e">
        <f>10/FDE93</f>
        <v>#DIV/0!</v>
      </c>
      <c r="FDJ95" s="367">
        <v>15.38</v>
      </c>
      <c r="FDK95" s="367" t="e">
        <f>FDH95*FDI95*FDJ95</f>
        <v>#DIV/0!</v>
      </c>
      <c r="FDL95" s="363" t="s">
        <v>153</v>
      </c>
      <c r="FDM95" s="363"/>
      <c r="FDN95" s="363"/>
      <c r="FDO95" s="364" t="s">
        <v>140</v>
      </c>
      <c r="FDP95" s="365">
        <v>0.5</v>
      </c>
      <c r="FDQ95" s="366" t="e">
        <f>10/FDM93</f>
        <v>#DIV/0!</v>
      </c>
      <c r="FDR95" s="367">
        <v>15.38</v>
      </c>
      <c r="FDS95" s="367" t="e">
        <f>FDP95*FDQ95*FDR95</f>
        <v>#DIV/0!</v>
      </c>
      <c r="FDT95" s="363" t="s">
        <v>153</v>
      </c>
      <c r="FDU95" s="363"/>
      <c r="FDV95" s="363"/>
      <c r="FDW95" s="364" t="s">
        <v>140</v>
      </c>
      <c r="FDX95" s="365">
        <v>0.5</v>
      </c>
      <c r="FDY95" s="366" t="e">
        <f>10/FDU93</f>
        <v>#DIV/0!</v>
      </c>
      <c r="FDZ95" s="367">
        <v>15.38</v>
      </c>
      <c r="FEA95" s="367" t="e">
        <f>FDX95*FDY95*FDZ95</f>
        <v>#DIV/0!</v>
      </c>
      <c r="FEB95" s="363" t="s">
        <v>153</v>
      </c>
      <c r="FEC95" s="363"/>
      <c r="FED95" s="363"/>
      <c r="FEE95" s="364" t="s">
        <v>140</v>
      </c>
      <c r="FEF95" s="365">
        <v>0.5</v>
      </c>
      <c r="FEG95" s="366" t="e">
        <f>10/FEC93</f>
        <v>#DIV/0!</v>
      </c>
      <c r="FEH95" s="367">
        <v>15.38</v>
      </c>
      <c r="FEI95" s="367" t="e">
        <f>FEF95*FEG95*FEH95</f>
        <v>#DIV/0!</v>
      </c>
      <c r="FEJ95" s="363" t="s">
        <v>153</v>
      </c>
      <c r="FEK95" s="363"/>
      <c r="FEL95" s="363"/>
      <c r="FEM95" s="364" t="s">
        <v>140</v>
      </c>
      <c r="FEN95" s="365">
        <v>0.5</v>
      </c>
      <c r="FEO95" s="366" t="e">
        <f>10/FEK93</f>
        <v>#DIV/0!</v>
      </c>
      <c r="FEP95" s="367">
        <v>15.38</v>
      </c>
      <c r="FEQ95" s="367" t="e">
        <f>FEN95*FEO95*FEP95</f>
        <v>#DIV/0!</v>
      </c>
      <c r="FER95" s="363" t="s">
        <v>153</v>
      </c>
      <c r="FES95" s="363"/>
      <c r="FET95" s="363"/>
      <c r="FEU95" s="364" t="s">
        <v>140</v>
      </c>
      <c r="FEV95" s="365">
        <v>0.5</v>
      </c>
      <c r="FEW95" s="366" t="e">
        <f>10/FES93</f>
        <v>#DIV/0!</v>
      </c>
      <c r="FEX95" s="367">
        <v>15.38</v>
      </c>
      <c r="FEY95" s="367" t="e">
        <f>FEV95*FEW95*FEX95</f>
        <v>#DIV/0!</v>
      </c>
      <c r="FEZ95" s="363" t="s">
        <v>153</v>
      </c>
      <c r="FFA95" s="363"/>
      <c r="FFB95" s="363"/>
      <c r="FFC95" s="364" t="s">
        <v>140</v>
      </c>
      <c r="FFD95" s="365">
        <v>0.5</v>
      </c>
      <c r="FFE95" s="366" t="e">
        <f>10/FFA93</f>
        <v>#DIV/0!</v>
      </c>
      <c r="FFF95" s="367">
        <v>15.38</v>
      </c>
      <c r="FFG95" s="367" t="e">
        <f>FFD95*FFE95*FFF95</f>
        <v>#DIV/0!</v>
      </c>
      <c r="FFH95" s="363" t="s">
        <v>153</v>
      </c>
      <c r="FFI95" s="363"/>
      <c r="FFJ95" s="363"/>
      <c r="FFK95" s="364" t="s">
        <v>140</v>
      </c>
      <c r="FFL95" s="365">
        <v>0.5</v>
      </c>
      <c r="FFM95" s="366" t="e">
        <f>10/FFI93</f>
        <v>#DIV/0!</v>
      </c>
      <c r="FFN95" s="367">
        <v>15.38</v>
      </c>
      <c r="FFO95" s="367" t="e">
        <f>FFL95*FFM95*FFN95</f>
        <v>#DIV/0!</v>
      </c>
      <c r="FFP95" s="363" t="s">
        <v>153</v>
      </c>
      <c r="FFQ95" s="363"/>
      <c r="FFR95" s="363"/>
      <c r="FFS95" s="364" t="s">
        <v>140</v>
      </c>
      <c r="FFT95" s="365">
        <v>0.5</v>
      </c>
      <c r="FFU95" s="366" t="e">
        <f>10/FFQ93</f>
        <v>#DIV/0!</v>
      </c>
      <c r="FFV95" s="367">
        <v>15.38</v>
      </c>
      <c r="FFW95" s="367" t="e">
        <f>FFT95*FFU95*FFV95</f>
        <v>#DIV/0!</v>
      </c>
      <c r="FFX95" s="363" t="s">
        <v>153</v>
      </c>
      <c r="FFY95" s="363"/>
      <c r="FFZ95" s="363"/>
      <c r="FGA95" s="364" t="s">
        <v>140</v>
      </c>
      <c r="FGB95" s="365">
        <v>0.5</v>
      </c>
      <c r="FGC95" s="366" t="e">
        <f>10/FFY93</f>
        <v>#DIV/0!</v>
      </c>
      <c r="FGD95" s="367">
        <v>15.38</v>
      </c>
      <c r="FGE95" s="367" t="e">
        <f>FGB95*FGC95*FGD95</f>
        <v>#DIV/0!</v>
      </c>
      <c r="FGF95" s="363" t="s">
        <v>153</v>
      </c>
      <c r="FGG95" s="363"/>
      <c r="FGH95" s="363"/>
      <c r="FGI95" s="364" t="s">
        <v>140</v>
      </c>
      <c r="FGJ95" s="365">
        <v>0.5</v>
      </c>
      <c r="FGK95" s="366" t="e">
        <f>10/FGG93</f>
        <v>#DIV/0!</v>
      </c>
      <c r="FGL95" s="367">
        <v>15.38</v>
      </c>
      <c r="FGM95" s="367" t="e">
        <f>FGJ95*FGK95*FGL95</f>
        <v>#DIV/0!</v>
      </c>
      <c r="FGN95" s="363" t="s">
        <v>153</v>
      </c>
      <c r="FGO95" s="363"/>
      <c r="FGP95" s="363"/>
      <c r="FGQ95" s="364" t="s">
        <v>140</v>
      </c>
      <c r="FGR95" s="365">
        <v>0.5</v>
      </c>
      <c r="FGS95" s="366" t="e">
        <f>10/FGO93</f>
        <v>#DIV/0!</v>
      </c>
      <c r="FGT95" s="367">
        <v>15.38</v>
      </c>
      <c r="FGU95" s="367" t="e">
        <f>FGR95*FGS95*FGT95</f>
        <v>#DIV/0!</v>
      </c>
      <c r="FGV95" s="363" t="s">
        <v>153</v>
      </c>
      <c r="FGW95" s="363"/>
      <c r="FGX95" s="363"/>
      <c r="FGY95" s="364" t="s">
        <v>140</v>
      </c>
      <c r="FGZ95" s="365">
        <v>0.5</v>
      </c>
      <c r="FHA95" s="366" t="e">
        <f>10/FGW93</f>
        <v>#DIV/0!</v>
      </c>
      <c r="FHB95" s="367">
        <v>15.38</v>
      </c>
      <c r="FHC95" s="367" t="e">
        <f>FGZ95*FHA95*FHB95</f>
        <v>#DIV/0!</v>
      </c>
      <c r="FHD95" s="363" t="s">
        <v>153</v>
      </c>
      <c r="FHE95" s="363"/>
      <c r="FHF95" s="363"/>
      <c r="FHG95" s="364" t="s">
        <v>140</v>
      </c>
      <c r="FHH95" s="365">
        <v>0.5</v>
      </c>
      <c r="FHI95" s="366" t="e">
        <f>10/FHE93</f>
        <v>#DIV/0!</v>
      </c>
      <c r="FHJ95" s="367">
        <v>15.38</v>
      </c>
      <c r="FHK95" s="367" t="e">
        <f>FHH95*FHI95*FHJ95</f>
        <v>#DIV/0!</v>
      </c>
      <c r="FHL95" s="363" t="s">
        <v>153</v>
      </c>
      <c r="FHM95" s="363"/>
      <c r="FHN95" s="363"/>
      <c r="FHO95" s="364" t="s">
        <v>140</v>
      </c>
      <c r="FHP95" s="365">
        <v>0.5</v>
      </c>
      <c r="FHQ95" s="366" t="e">
        <f>10/FHM93</f>
        <v>#DIV/0!</v>
      </c>
      <c r="FHR95" s="367">
        <v>15.38</v>
      </c>
      <c r="FHS95" s="367" t="e">
        <f>FHP95*FHQ95*FHR95</f>
        <v>#DIV/0!</v>
      </c>
      <c r="FHT95" s="363" t="s">
        <v>153</v>
      </c>
      <c r="FHU95" s="363"/>
      <c r="FHV95" s="363"/>
      <c r="FHW95" s="364" t="s">
        <v>140</v>
      </c>
      <c r="FHX95" s="365">
        <v>0.5</v>
      </c>
      <c r="FHY95" s="366" t="e">
        <f>10/FHU93</f>
        <v>#DIV/0!</v>
      </c>
      <c r="FHZ95" s="367">
        <v>15.38</v>
      </c>
      <c r="FIA95" s="367" t="e">
        <f>FHX95*FHY95*FHZ95</f>
        <v>#DIV/0!</v>
      </c>
      <c r="FIB95" s="363" t="s">
        <v>153</v>
      </c>
      <c r="FIC95" s="363"/>
      <c r="FID95" s="363"/>
      <c r="FIE95" s="364" t="s">
        <v>140</v>
      </c>
      <c r="FIF95" s="365">
        <v>0.5</v>
      </c>
      <c r="FIG95" s="366" t="e">
        <f>10/FIC93</f>
        <v>#DIV/0!</v>
      </c>
      <c r="FIH95" s="367">
        <v>15.38</v>
      </c>
      <c r="FII95" s="367" t="e">
        <f>FIF95*FIG95*FIH95</f>
        <v>#DIV/0!</v>
      </c>
      <c r="FIJ95" s="363" t="s">
        <v>153</v>
      </c>
      <c r="FIK95" s="363"/>
      <c r="FIL95" s="363"/>
      <c r="FIM95" s="364" t="s">
        <v>140</v>
      </c>
      <c r="FIN95" s="365">
        <v>0.5</v>
      </c>
      <c r="FIO95" s="366" t="e">
        <f>10/FIK93</f>
        <v>#DIV/0!</v>
      </c>
      <c r="FIP95" s="367">
        <v>15.38</v>
      </c>
      <c r="FIQ95" s="367" t="e">
        <f>FIN95*FIO95*FIP95</f>
        <v>#DIV/0!</v>
      </c>
      <c r="FIR95" s="363" t="s">
        <v>153</v>
      </c>
      <c r="FIS95" s="363"/>
      <c r="FIT95" s="363"/>
      <c r="FIU95" s="364" t="s">
        <v>140</v>
      </c>
      <c r="FIV95" s="365">
        <v>0.5</v>
      </c>
      <c r="FIW95" s="366" t="e">
        <f>10/FIS93</f>
        <v>#DIV/0!</v>
      </c>
      <c r="FIX95" s="367">
        <v>15.38</v>
      </c>
      <c r="FIY95" s="367" t="e">
        <f>FIV95*FIW95*FIX95</f>
        <v>#DIV/0!</v>
      </c>
      <c r="FIZ95" s="363" t="s">
        <v>153</v>
      </c>
      <c r="FJA95" s="363"/>
      <c r="FJB95" s="363"/>
      <c r="FJC95" s="364" t="s">
        <v>140</v>
      </c>
      <c r="FJD95" s="365">
        <v>0.5</v>
      </c>
      <c r="FJE95" s="366" t="e">
        <f>10/FJA93</f>
        <v>#DIV/0!</v>
      </c>
      <c r="FJF95" s="367">
        <v>15.38</v>
      </c>
      <c r="FJG95" s="367" t="e">
        <f>FJD95*FJE95*FJF95</f>
        <v>#DIV/0!</v>
      </c>
      <c r="FJH95" s="363" t="s">
        <v>153</v>
      </c>
      <c r="FJI95" s="363"/>
      <c r="FJJ95" s="363"/>
      <c r="FJK95" s="364" t="s">
        <v>140</v>
      </c>
      <c r="FJL95" s="365">
        <v>0.5</v>
      </c>
      <c r="FJM95" s="366" t="e">
        <f>10/FJI93</f>
        <v>#DIV/0!</v>
      </c>
      <c r="FJN95" s="367">
        <v>15.38</v>
      </c>
      <c r="FJO95" s="367" t="e">
        <f>FJL95*FJM95*FJN95</f>
        <v>#DIV/0!</v>
      </c>
      <c r="FJP95" s="363" t="s">
        <v>153</v>
      </c>
      <c r="FJQ95" s="363"/>
      <c r="FJR95" s="363"/>
      <c r="FJS95" s="364" t="s">
        <v>140</v>
      </c>
      <c r="FJT95" s="365">
        <v>0.5</v>
      </c>
      <c r="FJU95" s="366" t="e">
        <f>10/FJQ93</f>
        <v>#DIV/0!</v>
      </c>
      <c r="FJV95" s="367">
        <v>15.38</v>
      </c>
      <c r="FJW95" s="367" t="e">
        <f>FJT95*FJU95*FJV95</f>
        <v>#DIV/0!</v>
      </c>
      <c r="FJX95" s="363" t="s">
        <v>153</v>
      </c>
      <c r="FJY95" s="363"/>
      <c r="FJZ95" s="363"/>
      <c r="FKA95" s="364" t="s">
        <v>140</v>
      </c>
      <c r="FKB95" s="365">
        <v>0.5</v>
      </c>
      <c r="FKC95" s="366" t="e">
        <f>10/FJY93</f>
        <v>#DIV/0!</v>
      </c>
      <c r="FKD95" s="367">
        <v>15.38</v>
      </c>
      <c r="FKE95" s="367" t="e">
        <f>FKB95*FKC95*FKD95</f>
        <v>#DIV/0!</v>
      </c>
      <c r="FKF95" s="363" t="s">
        <v>153</v>
      </c>
      <c r="FKG95" s="363"/>
      <c r="FKH95" s="363"/>
      <c r="FKI95" s="364" t="s">
        <v>140</v>
      </c>
      <c r="FKJ95" s="365">
        <v>0.5</v>
      </c>
      <c r="FKK95" s="366" t="e">
        <f>10/FKG93</f>
        <v>#DIV/0!</v>
      </c>
      <c r="FKL95" s="367">
        <v>15.38</v>
      </c>
      <c r="FKM95" s="367" t="e">
        <f>FKJ95*FKK95*FKL95</f>
        <v>#DIV/0!</v>
      </c>
      <c r="FKN95" s="363" t="s">
        <v>153</v>
      </c>
      <c r="FKO95" s="363"/>
      <c r="FKP95" s="363"/>
      <c r="FKQ95" s="364" t="s">
        <v>140</v>
      </c>
      <c r="FKR95" s="365">
        <v>0.5</v>
      </c>
      <c r="FKS95" s="366" t="e">
        <f>10/FKO93</f>
        <v>#DIV/0!</v>
      </c>
      <c r="FKT95" s="367">
        <v>15.38</v>
      </c>
      <c r="FKU95" s="367" t="e">
        <f>FKR95*FKS95*FKT95</f>
        <v>#DIV/0!</v>
      </c>
      <c r="FKV95" s="363" t="s">
        <v>153</v>
      </c>
      <c r="FKW95" s="363"/>
      <c r="FKX95" s="363"/>
      <c r="FKY95" s="364" t="s">
        <v>140</v>
      </c>
      <c r="FKZ95" s="365">
        <v>0.5</v>
      </c>
      <c r="FLA95" s="366" t="e">
        <f>10/FKW93</f>
        <v>#DIV/0!</v>
      </c>
      <c r="FLB95" s="367">
        <v>15.38</v>
      </c>
      <c r="FLC95" s="367" t="e">
        <f>FKZ95*FLA95*FLB95</f>
        <v>#DIV/0!</v>
      </c>
      <c r="FLD95" s="363" t="s">
        <v>153</v>
      </c>
      <c r="FLE95" s="363"/>
      <c r="FLF95" s="363"/>
      <c r="FLG95" s="364" t="s">
        <v>140</v>
      </c>
      <c r="FLH95" s="365">
        <v>0.5</v>
      </c>
      <c r="FLI95" s="366" t="e">
        <f>10/FLE93</f>
        <v>#DIV/0!</v>
      </c>
      <c r="FLJ95" s="367">
        <v>15.38</v>
      </c>
      <c r="FLK95" s="367" t="e">
        <f>FLH95*FLI95*FLJ95</f>
        <v>#DIV/0!</v>
      </c>
      <c r="FLL95" s="363" t="s">
        <v>153</v>
      </c>
      <c r="FLM95" s="363"/>
      <c r="FLN95" s="363"/>
      <c r="FLO95" s="364" t="s">
        <v>140</v>
      </c>
      <c r="FLP95" s="365">
        <v>0.5</v>
      </c>
      <c r="FLQ95" s="366" t="e">
        <f>10/FLM93</f>
        <v>#DIV/0!</v>
      </c>
      <c r="FLR95" s="367">
        <v>15.38</v>
      </c>
      <c r="FLS95" s="367" t="e">
        <f>FLP95*FLQ95*FLR95</f>
        <v>#DIV/0!</v>
      </c>
      <c r="FLT95" s="363" t="s">
        <v>153</v>
      </c>
      <c r="FLU95" s="363"/>
      <c r="FLV95" s="363"/>
      <c r="FLW95" s="364" t="s">
        <v>140</v>
      </c>
      <c r="FLX95" s="365">
        <v>0.5</v>
      </c>
      <c r="FLY95" s="366" t="e">
        <f>10/FLU93</f>
        <v>#DIV/0!</v>
      </c>
      <c r="FLZ95" s="367">
        <v>15.38</v>
      </c>
      <c r="FMA95" s="367" t="e">
        <f>FLX95*FLY95*FLZ95</f>
        <v>#DIV/0!</v>
      </c>
      <c r="FMB95" s="363" t="s">
        <v>153</v>
      </c>
      <c r="FMC95" s="363"/>
      <c r="FMD95" s="363"/>
      <c r="FME95" s="364" t="s">
        <v>140</v>
      </c>
      <c r="FMF95" s="365">
        <v>0.5</v>
      </c>
      <c r="FMG95" s="366" t="e">
        <f>10/FMC93</f>
        <v>#DIV/0!</v>
      </c>
      <c r="FMH95" s="367">
        <v>15.38</v>
      </c>
      <c r="FMI95" s="367" t="e">
        <f>FMF95*FMG95*FMH95</f>
        <v>#DIV/0!</v>
      </c>
      <c r="FMJ95" s="363" t="s">
        <v>153</v>
      </c>
      <c r="FMK95" s="363"/>
      <c r="FML95" s="363"/>
      <c r="FMM95" s="364" t="s">
        <v>140</v>
      </c>
      <c r="FMN95" s="365">
        <v>0.5</v>
      </c>
      <c r="FMO95" s="366" t="e">
        <f>10/FMK93</f>
        <v>#DIV/0!</v>
      </c>
      <c r="FMP95" s="367">
        <v>15.38</v>
      </c>
      <c r="FMQ95" s="367" t="e">
        <f>FMN95*FMO95*FMP95</f>
        <v>#DIV/0!</v>
      </c>
      <c r="FMR95" s="363" t="s">
        <v>153</v>
      </c>
      <c r="FMS95" s="363"/>
      <c r="FMT95" s="363"/>
      <c r="FMU95" s="364" t="s">
        <v>140</v>
      </c>
      <c r="FMV95" s="365">
        <v>0.5</v>
      </c>
      <c r="FMW95" s="366" t="e">
        <f>10/FMS93</f>
        <v>#DIV/0!</v>
      </c>
      <c r="FMX95" s="367">
        <v>15.38</v>
      </c>
      <c r="FMY95" s="367" t="e">
        <f>FMV95*FMW95*FMX95</f>
        <v>#DIV/0!</v>
      </c>
      <c r="FMZ95" s="363" t="s">
        <v>153</v>
      </c>
      <c r="FNA95" s="363"/>
      <c r="FNB95" s="363"/>
      <c r="FNC95" s="364" t="s">
        <v>140</v>
      </c>
      <c r="FND95" s="365">
        <v>0.5</v>
      </c>
      <c r="FNE95" s="366" t="e">
        <f>10/FNA93</f>
        <v>#DIV/0!</v>
      </c>
      <c r="FNF95" s="367">
        <v>15.38</v>
      </c>
      <c r="FNG95" s="367" t="e">
        <f>FND95*FNE95*FNF95</f>
        <v>#DIV/0!</v>
      </c>
      <c r="FNH95" s="363" t="s">
        <v>153</v>
      </c>
      <c r="FNI95" s="363"/>
      <c r="FNJ95" s="363"/>
      <c r="FNK95" s="364" t="s">
        <v>140</v>
      </c>
      <c r="FNL95" s="365">
        <v>0.5</v>
      </c>
      <c r="FNM95" s="366" t="e">
        <f>10/FNI93</f>
        <v>#DIV/0!</v>
      </c>
      <c r="FNN95" s="367">
        <v>15.38</v>
      </c>
      <c r="FNO95" s="367" t="e">
        <f>FNL95*FNM95*FNN95</f>
        <v>#DIV/0!</v>
      </c>
      <c r="FNP95" s="363" t="s">
        <v>153</v>
      </c>
      <c r="FNQ95" s="363"/>
      <c r="FNR95" s="363"/>
      <c r="FNS95" s="364" t="s">
        <v>140</v>
      </c>
      <c r="FNT95" s="365">
        <v>0.5</v>
      </c>
      <c r="FNU95" s="366" t="e">
        <f>10/FNQ93</f>
        <v>#DIV/0!</v>
      </c>
      <c r="FNV95" s="367">
        <v>15.38</v>
      </c>
      <c r="FNW95" s="367" t="e">
        <f>FNT95*FNU95*FNV95</f>
        <v>#DIV/0!</v>
      </c>
      <c r="FNX95" s="363" t="s">
        <v>153</v>
      </c>
      <c r="FNY95" s="363"/>
      <c r="FNZ95" s="363"/>
      <c r="FOA95" s="364" t="s">
        <v>140</v>
      </c>
      <c r="FOB95" s="365">
        <v>0.5</v>
      </c>
      <c r="FOC95" s="366" t="e">
        <f>10/FNY93</f>
        <v>#DIV/0!</v>
      </c>
      <c r="FOD95" s="367">
        <v>15.38</v>
      </c>
      <c r="FOE95" s="367" t="e">
        <f>FOB95*FOC95*FOD95</f>
        <v>#DIV/0!</v>
      </c>
      <c r="FOF95" s="363" t="s">
        <v>153</v>
      </c>
      <c r="FOG95" s="363"/>
      <c r="FOH95" s="363"/>
      <c r="FOI95" s="364" t="s">
        <v>140</v>
      </c>
      <c r="FOJ95" s="365">
        <v>0.5</v>
      </c>
      <c r="FOK95" s="366" t="e">
        <f>10/FOG93</f>
        <v>#DIV/0!</v>
      </c>
      <c r="FOL95" s="367">
        <v>15.38</v>
      </c>
      <c r="FOM95" s="367" t="e">
        <f>FOJ95*FOK95*FOL95</f>
        <v>#DIV/0!</v>
      </c>
      <c r="FON95" s="363" t="s">
        <v>153</v>
      </c>
      <c r="FOO95" s="363"/>
      <c r="FOP95" s="363"/>
      <c r="FOQ95" s="364" t="s">
        <v>140</v>
      </c>
      <c r="FOR95" s="365">
        <v>0.5</v>
      </c>
      <c r="FOS95" s="366" t="e">
        <f>10/FOO93</f>
        <v>#DIV/0!</v>
      </c>
      <c r="FOT95" s="367">
        <v>15.38</v>
      </c>
      <c r="FOU95" s="367" t="e">
        <f>FOR95*FOS95*FOT95</f>
        <v>#DIV/0!</v>
      </c>
      <c r="FOV95" s="363" t="s">
        <v>153</v>
      </c>
      <c r="FOW95" s="363"/>
      <c r="FOX95" s="363"/>
      <c r="FOY95" s="364" t="s">
        <v>140</v>
      </c>
      <c r="FOZ95" s="365">
        <v>0.5</v>
      </c>
      <c r="FPA95" s="366" t="e">
        <f>10/FOW93</f>
        <v>#DIV/0!</v>
      </c>
      <c r="FPB95" s="367">
        <v>15.38</v>
      </c>
      <c r="FPC95" s="367" t="e">
        <f>FOZ95*FPA95*FPB95</f>
        <v>#DIV/0!</v>
      </c>
      <c r="FPD95" s="363" t="s">
        <v>153</v>
      </c>
      <c r="FPE95" s="363"/>
      <c r="FPF95" s="363"/>
      <c r="FPG95" s="364" t="s">
        <v>140</v>
      </c>
      <c r="FPH95" s="365">
        <v>0.5</v>
      </c>
      <c r="FPI95" s="366" t="e">
        <f>10/FPE93</f>
        <v>#DIV/0!</v>
      </c>
      <c r="FPJ95" s="367">
        <v>15.38</v>
      </c>
      <c r="FPK95" s="367" t="e">
        <f>FPH95*FPI95*FPJ95</f>
        <v>#DIV/0!</v>
      </c>
      <c r="FPL95" s="363" t="s">
        <v>153</v>
      </c>
      <c r="FPM95" s="363"/>
      <c r="FPN95" s="363"/>
      <c r="FPO95" s="364" t="s">
        <v>140</v>
      </c>
      <c r="FPP95" s="365">
        <v>0.5</v>
      </c>
      <c r="FPQ95" s="366" t="e">
        <f>10/FPM93</f>
        <v>#DIV/0!</v>
      </c>
      <c r="FPR95" s="367">
        <v>15.38</v>
      </c>
      <c r="FPS95" s="367" t="e">
        <f>FPP95*FPQ95*FPR95</f>
        <v>#DIV/0!</v>
      </c>
      <c r="FPT95" s="363" t="s">
        <v>153</v>
      </c>
      <c r="FPU95" s="363"/>
      <c r="FPV95" s="363"/>
      <c r="FPW95" s="364" t="s">
        <v>140</v>
      </c>
      <c r="FPX95" s="365">
        <v>0.5</v>
      </c>
      <c r="FPY95" s="366" t="e">
        <f>10/FPU93</f>
        <v>#DIV/0!</v>
      </c>
      <c r="FPZ95" s="367">
        <v>15.38</v>
      </c>
      <c r="FQA95" s="367" t="e">
        <f>FPX95*FPY95*FPZ95</f>
        <v>#DIV/0!</v>
      </c>
      <c r="FQB95" s="363" t="s">
        <v>153</v>
      </c>
      <c r="FQC95" s="363"/>
      <c r="FQD95" s="363"/>
      <c r="FQE95" s="364" t="s">
        <v>140</v>
      </c>
      <c r="FQF95" s="365">
        <v>0.5</v>
      </c>
      <c r="FQG95" s="366" t="e">
        <f>10/FQC93</f>
        <v>#DIV/0!</v>
      </c>
      <c r="FQH95" s="367">
        <v>15.38</v>
      </c>
      <c r="FQI95" s="367" t="e">
        <f>FQF95*FQG95*FQH95</f>
        <v>#DIV/0!</v>
      </c>
      <c r="FQJ95" s="363" t="s">
        <v>153</v>
      </c>
      <c r="FQK95" s="363"/>
      <c r="FQL95" s="363"/>
      <c r="FQM95" s="364" t="s">
        <v>140</v>
      </c>
      <c r="FQN95" s="365">
        <v>0.5</v>
      </c>
      <c r="FQO95" s="366" t="e">
        <f>10/FQK93</f>
        <v>#DIV/0!</v>
      </c>
      <c r="FQP95" s="367">
        <v>15.38</v>
      </c>
      <c r="FQQ95" s="367" t="e">
        <f>FQN95*FQO95*FQP95</f>
        <v>#DIV/0!</v>
      </c>
      <c r="FQR95" s="363" t="s">
        <v>153</v>
      </c>
      <c r="FQS95" s="363"/>
      <c r="FQT95" s="363"/>
      <c r="FQU95" s="364" t="s">
        <v>140</v>
      </c>
      <c r="FQV95" s="365">
        <v>0.5</v>
      </c>
      <c r="FQW95" s="366" t="e">
        <f>10/FQS93</f>
        <v>#DIV/0!</v>
      </c>
      <c r="FQX95" s="367">
        <v>15.38</v>
      </c>
      <c r="FQY95" s="367" t="e">
        <f>FQV95*FQW95*FQX95</f>
        <v>#DIV/0!</v>
      </c>
      <c r="FQZ95" s="363" t="s">
        <v>153</v>
      </c>
      <c r="FRA95" s="363"/>
      <c r="FRB95" s="363"/>
      <c r="FRC95" s="364" t="s">
        <v>140</v>
      </c>
      <c r="FRD95" s="365">
        <v>0.5</v>
      </c>
      <c r="FRE95" s="366" t="e">
        <f>10/FRA93</f>
        <v>#DIV/0!</v>
      </c>
      <c r="FRF95" s="367">
        <v>15.38</v>
      </c>
      <c r="FRG95" s="367" t="e">
        <f>FRD95*FRE95*FRF95</f>
        <v>#DIV/0!</v>
      </c>
      <c r="FRH95" s="363" t="s">
        <v>153</v>
      </c>
      <c r="FRI95" s="363"/>
      <c r="FRJ95" s="363"/>
      <c r="FRK95" s="364" t="s">
        <v>140</v>
      </c>
      <c r="FRL95" s="365">
        <v>0.5</v>
      </c>
      <c r="FRM95" s="366" t="e">
        <f>10/FRI93</f>
        <v>#DIV/0!</v>
      </c>
      <c r="FRN95" s="367">
        <v>15.38</v>
      </c>
      <c r="FRO95" s="367" t="e">
        <f>FRL95*FRM95*FRN95</f>
        <v>#DIV/0!</v>
      </c>
      <c r="FRP95" s="363" t="s">
        <v>153</v>
      </c>
      <c r="FRQ95" s="363"/>
      <c r="FRR95" s="363"/>
      <c r="FRS95" s="364" t="s">
        <v>140</v>
      </c>
      <c r="FRT95" s="365">
        <v>0.5</v>
      </c>
      <c r="FRU95" s="366" t="e">
        <f>10/FRQ93</f>
        <v>#DIV/0!</v>
      </c>
      <c r="FRV95" s="367">
        <v>15.38</v>
      </c>
      <c r="FRW95" s="367" t="e">
        <f>FRT95*FRU95*FRV95</f>
        <v>#DIV/0!</v>
      </c>
      <c r="FRX95" s="363" t="s">
        <v>153</v>
      </c>
      <c r="FRY95" s="363"/>
      <c r="FRZ95" s="363"/>
      <c r="FSA95" s="364" t="s">
        <v>140</v>
      </c>
      <c r="FSB95" s="365">
        <v>0.5</v>
      </c>
      <c r="FSC95" s="366" t="e">
        <f>10/FRY93</f>
        <v>#DIV/0!</v>
      </c>
      <c r="FSD95" s="367">
        <v>15.38</v>
      </c>
      <c r="FSE95" s="367" t="e">
        <f>FSB95*FSC95*FSD95</f>
        <v>#DIV/0!</v>
      </c>
      <c r="FSF95" s="363" t="s">
        <v>153</v>
      </c>
      <c r="FSG95" s="363"/>
      <c r="FSH95" s="363"/>
      <c r="FSI95" s="364" t="s">
        <v>140</v>
      </c>
      <c r="FSJ95" s="365">
        <v>0.5</v>
      </c>
      <c r="FSK95" s="366" t="e">
        <f>10/FSG93</f>
        <v>#DIV/0!</v>
      </c>
      <c r="FSL95" s="367">
        <v>15.38</v>
      </c>
      <c r="FSM95" s="367" t="e">
        <f>FSJ95*FSK95*FSL95</f>
        <v>#DIV/0!</v>
      </c>
      <c r="FSN95" s="363" t="s">
        <v>153</v>
      </c>
      <c r="FSO95" s="363"/>
      <c r="FSP95" s="363"/>
      <c r="FSQ95" s="364" t="s">
        <v>140</v>
      </c>
      <c r="FSR95" s="365">
        <v>0.5</v>
      </c>
      <c r="FSS95" s="366" t="e">
        <f>10/FSO93</f>
        <v>#DIV/0!</v>
      </c>
      <c r="FST95" s="367">
        <v>15.38</v>
      </c>
      <c r="FSU95" s="367" t="e">
        <f>FSR95*FSS95*FST95</f>
        <v>#DIV/0!</v>
      </c>
      <c r="FSV95" s="363" t="s">
        <v>153</v>
      </c>
      <c r="FSW95" s="363"/>
      <c r="FSX95" s="363"/>
      <c r="FSY95" s="364" t="s">
        <v>140</v>
      </c>
      <c r="FSZ95" s="365">
        <v>0.5</v>
      </c>
      <c r="FTA95" s="366" t="e">
        <f>10/FSW93</f>
        <v>#DIV/0!</v>
      </c>
      <c r="FTB95" s="367">
        <v>15.38</v>
      </c>
      <c r="FTC95" s="367" t="e">
        <f>FSZ95*FTA95*FTB95</f>
        <v>#DIV/0!</v>
      </c>
      <c r="FTD95" s="363" t="s">
        <v>153</v>
      </c>
      <c r="FTE95" s="363"/>
      <c r="FTF95" s="363"/>
      <c r="FTG95" s="364" t="s">
        <v>140</v>
      </c>
      <c r="FTH95" s="365">
        <v>0.5</v>
      </c>
      <c r="FTI95" s="366" t="e">
        <f>10/FTE93</f>
        <v>#DIV/0!</v>
      </c>
      <c r="FTJ95" s="367">
        <v>15.38</v>
      </c>
      <c r="FTK95" s="367" t="e">
        <f>FTH95*FTI95*FTJ95</f>
        <v>#DIV/0!</v>
      </c>
      <c r="FTL95" s="363" t="s">
        <v>153</v>
      </c>
      <c r="FTM95" s="363"/>
      <c r="FTN95" s="363"/>
      <c r="FTO95" s="364" t="s">
        <v>140</v>
      </c>
      <c r="FTP95" s="365">
        <v>0.5</v>
      </c>
      <c r="FTQ95" s="366" t="e">
        <f>10/FTM93</f>
        <v>#DIV/0!</v>
      </c>
      <c r="FTR95" s="367">
        <v>15.38</v>
      </c>
      <c r="FTS95" s="367" t="e">
        <f>FTP95*FTQ95*FTR95</f>
        <v>#DIV/0!</v>
      </c>
      <c r="FTT95" s="363" t="s">
        <v>153</v>
      </c>
      <c r="FTU95" s="363"/>
      <c r="FTV95" s="363"/>
      <c r="FTW95" s="364" t="s">
        <v>140</v>
      </c>
      <c r="FTX95" s="365">
        <v>0.5</v>
      </c>
      <c r="FTY95" s="366" t="e">
        <f>10/FTU93</f>
        <v>#DIV/0!</v>
      </c>
      <c r="FTZ95" s="367">
        <v>15.38</v>
      </c>
      <c r="FUA95" s="367" t="e">
        <f>FTX95*FTY95*FTZ95</f>
        <v>#DIV/0!</v>
      </c>
      <c r="FUB95" s="363" t="s">
        <v>153</v>
      </c>
      <c r="FUC95" s="363"/>
      <c r="FUD95" s="363"/>
      <c r="FUE95" s="364" t="s">
        <v>140</v>
      </c>
      <c r="FUF95" s="365">
        <v>0.5</v>
      </c>
      <c r="FUG95" s="366" t="e">
        <f>10/FUC93</f>
        <v>#DIV/0!</v>
      </c>
      <c r="FUH95" s="367">
        <v>15.38</v>
      </c>
      <c r="FUI95" s="367" t="e">
        <f>FUF95*FUG95*FUH95</f>
        <v>#DIV/0!</v>
      </c>
      <c r="FUJ95" s="363" t="s">
        <v>153</v>
      </c>
      <c r="FUK95" s="363"/>
      <c r="FUL95" s="363"/>
      <c r="FUM95" s="364" t="s">
        <v>140</v>
      </c>
      <c r="FUN95" s="365">
        <v>0.5</v>
      </c>
      <c r="FUO95" s="366" t="e">
        <f>10/FUK93</f>
        <v>#DIV/0!</v>
      </c>
      <c r="FUP95" s="367">
        <v>15.38</v>
      </c>
      <c r="FUQ95" s="367" t="e">
        <f>FUN95*FUO95*FUP95</f>
        <v>#DIV/0!</v>
      </c>
      <c r="FUR95" s="363" t="s">
        <v>153</v>
      </c>
      <c r="FUS95" s="363"/>
      <c r="FUT95" s="363"/>
      <c r="FUU95" s="364" t="s">
        <v>140</v>
      </c>
      <c r="FUV95" s="365">
        <v>0.5</v>
      </c>
      <c r="FUW95" s="366" t="e">
        <f>10/FUS93</f>
        <v>#DIV/0!</v>
      </c>
      <c r="FUX95" s="367">
        <v>15.38</v>
      </c>
      <c r="FUY95" s="367" t="e">
        <f>FUV95*FUW95*FUX95</f>
        <v>#DIV/0!</v>
      </c>
      <c r="FUZ95" s="363" t="s">
        <v>153</v>
      </c>
      <c r="FVA95" s="363"/>
      <c r="FVB95" s="363"/>
      <c r="FVC95" s="364" t="s">
        <v>140</v>
      </c>
      <c r="FVD95" s="365">
        <v>0.5</v>
      </c>
      <c r="FVE95" s="366" t="e">
        <f>10/FVA93</f>
        <v>#DIV/0!</v>
      </c>
      <c r="FVF95" s="367">
        <v>15.38</v>
      </c>
      <c r="FVG95" s="367" t="e">
        <f>FVD95*FVE95*FVF95</f>
        <v>#DIV/0!</v>
      </c>
      <c r="FVH95" s="363" t="s">
        <v>153</v>
      </c>
      <c r="FVI95" s="363"/>
      <c r="FVJ95" s="363"/>
      <c r="FVK95" s="364" t="s">
        <v>140</v>
      </c>
      <c r="FVL95" s="365">
        <v>0.5</v>
      </c>
      <c r="FVM95" s="366" t="e">
        <f>10/FVI93</f>
        <v>#DIV/0!</v>
      </c>
      <c r="FVN95" s="367">
        <v>15.38</v>
      </c>
      <c r="FVO95" s="367" t="e">
        <f>FVL95*FVM95*FVN95</f>
        <v>#DIV/0!</v>
      </c>
      <c r="FVP95" s="363" t="s">
        <v>153</v>
      </c>
      <c r="FVQ95" s="363"/>
      <c r="FVR95" s="363"/>
      <c r="FVS95" s="364" t="s">
        <v>140</v>
      </c>
      <c r="FVT95" s="365">
        <v>0.5</v>
      </c>
      <c r="FVU95" s="366" t="e">
        <f>10/FVQ93</f>
        <v>#DIV/0!</v>
      </c>
      <c r="FVV95" s="367">
        <v>15.38</v>
      </c>
      <c r="FVW95" s="367" t="e">
        <f>FVT95*FVU95*FVV95</f>
        <v>#DIV/0!</v>
      </c>
      <c r="FVX95" s="363" t="s">
        <v>153</v>
      </c>
      <c r="FVY95" s="363"/>
      <c r="FVZ95" s="363"/>
      <c r="FWA95" s="364" t="s">
        <v>140</v>
      </c>
      <c r="FWB95" s="365">
        <v>0.5</v>
      </c>
      <c r="FWC95" s="366" t="e">
        <f>10/FVY93</f>
        <v>#DIV/0!</v>
      </c>
      <c r="FWD95" s="367">
        <v>15.38</v>
      </c>
      <c r="FWE95" s="367" t="e">
        <f>FWB95*FWC95*FWD95</f>
        <v>#DIV/0!</v>
      </c>
      <c r="FWF95" s="363" t="s">
        <v>153</v>
      </c>
      <c r="FWG95" s="363"/>
      <c r="FWH95" s="363"/>
      <c r="FWI95" s="364" t="s">
        <v>140</v>
      </c>
      <c r="FWJ95" s="365">
        <v>0.5</v>
      </c>
      <c r="FWK95" s="366" t="e">
        <f>10/FWG93</f>
        <v>#DIV/0!</v>
      </c>
      <c r="FWL95" s="367">
        <v>15.38</v>
      </c>
      <c r="FWM95" s="367" t="e">
        <f>FWJ95*FWK95*FWL95</f>
        <v>#DIV/0!</v>
      </c>
      <c r="FWN95" s="363" t="s">
        <v>153</v>
      </c>
      <c r="FWO95" s="363"/>
      <c r="FWP95" s="363"/>
      <c r="FWQ95" s="364" t="s">
        <v>140</v>
      </c>
      <c r="FWR95" s="365">
        <v>0.5</v>
      </c>
      <c r="FWS95" s="366" t="e">
        <f>10/FWO93</f>
        <v>#DIV/0!</v>
      </c>
      <c r="FWT95" s="367">
        <v>15.38</v>
      </c>
      <c r="FWU95" s="367" t="e">
        <f>FWR95*FWS95*FWT95</f>
        <v>#DIV/0!</v>
      </c>
      <c r="FWV95" s="363" t="s">
        <v>153</v>
      </c>
      <c r="FWW95" s="363"/>
      <c r="FWX95" s="363"/>
      <c r="FWY95" s="364" t="s">
        <v>140</v>
      </c>
      <c r="FWZ95" s="365">
        <v>0.5</v>
      </c>
      <c r="FXA95" s="366" t="e">
        <f>10/FWW93</f>
        <v>#DIV/0!</v>
      </c>
      <c r="FXB95" s="367">
        <v>15.38</v>
      </c>
      <c r="FXC95" s="367" t="e">
        <f>FWZ95*FXA95*FXB95</f>
        <v>#DIV/0!</v>
      </c>
      <c r="FXD95" s="363" t="s">
        <v>153</v>
      </c>
      <c r="FXE95" s="363"/>
      <c r="FXF95" s="363"/>
      <c r="FXG95" s="364" t="s">
        <v>140</v>
      </c>
      <c r="FXH95" s="365">
        <v>0.5</v>
      </c>
      <c r="FXI95" s="366" t="e">
        <f>10/FXE93</f>
        <v>#DIV/0!</v>
      </c>
      <c r="FXJ95" s="367">
        <v>15.38</v>
      </c>
      <c r="FXK95" s="367" t="e">
        <f>FXH95*FXI95*FXJ95</f>
        <v>#DIV/0!</v>
      </c>
      <c r="FXL95" s="363" t="s">
        <v>153</v>
      </c>
      <c r="FXM95" s="363"/>
      <c r="FXN95" s="363"/>
      <c r="FXO95" s="364" t="s">
        <v>140</v>
      </c>
      <c r="FXP95" s="365">
        <v>0.5</v>
      </c>
      <c r="FXQ95" s="366" t="e">
        <f>10/FXM93</f>
        <v>#DIV/0!</v>
      </c>
      <c r="FXR95" s="367">
        <v>15.38</v>
      </c>
      <c r="FXS95" s="367" t="e">
        <f>FXP95*FXQ95*FXR95</f>
        <v>#DIV/0!</v>
      </c>
      <c r="FXT95" s="363" t="s">
        <v>153</v>
      </c>
      <c r="FXU95" s="363"/>
      <c r="FXV95" s="363"/>
      <c r="FXW95" s="364" t="s">
        <v>140</v>
      </c>
      <c r="FXX95" s="365">
        <v>0.5</v>
      </c>
      <c r="FXY95" s="366" t="e">
        <f>10/FXU93</f>
        <v>#DIV/0!</v>
      </c>
      <c r="FXZ95" s="367">
        <v>15.38</v>
      </c>
      <c r="FYA95" s="367" t="e">
        <f>FXX95*FXY95*FXZ95</f>
        <v>#DIV/0!</v>
      </c>
      <c r="FYB95" s="363" t="s">
        <v>153</v>
      </c>
      <c r="FYC95" s="363"/>
      <c r="FYD95" s="363"/>
      <c r="FYE95" s="364" t="s">
        <v>140</v>
      </c>
      <c r="FYF95" s="365">
        <v>0.5</v>
      </c>
      <c r="FYG95" s="366" t="e">
        <f>10/FYC93</f>
        <v>#DIV/0!</v>
      </c>
      <c r="FYH95" s="367">
        <v>15.38</v>
      </c>
      <c r="FYI95" s="367" t="e">
        <f>FYF95*FYG95*FYH95</f>
        <v>#DIV/0!</v>
      </c>
      <c r="FYJ95" s="363" t="s">
        <v>153</v>
      </c>
      <c r="FYK95" s="363"/>
      <c r="FYL95" s="363"/>
      <c r="FYM95" s="364" t="s">
        <v>140</v>
      </c>
      <c r="FYN95" s="365">
        <v>0.5</v>
      </c>
      <c r="FYO95" s="366" t="e">
        <f>10/FYK93</f>
        <v>#DIV/0!</v>
      </c>
      <c r="FYP95" s="367">
        <v>15.38</v>
      </c>
      <c r="FYQ95" s="367" t="e">
        <f>FYN95*FYO95*FYP95</f>
        <v>#DIV/0!</v>
      </c>
      <c r="FYR95" s="363" t="s">
        <v>153</v>
      </c>
      <c r="FYS95" s="363"/>
      <c r="FYT95" s="363"/>
      <c r="FYU95" s="364" t="s">
        <v>140</v>
      </c>
      <c r="FYV95" s="365">
        <v>0.5</v>
      </c>
      <c r="FYW95" s="366" t="e">
        <f>10/FYS93</f>
        <v>#DIV/0!</v>
      </c>
      <c r="FYX95" s="367">
        <v>15.38</v>
      </c>
      <c r="FYY95" s="367" t="e">
        <f>FYV95*FYW95*FYX95</f>
        <v>#DIV/0!</v>
      </c>
      <c r="FYZ95" s="363" t="s">
        <v>153</v>
      </c>
      <c r="FZA95" s="363"/>
      <c r="FZB95" s="363"/>
      <c r="FZC95" s="364" t="s">
        <v>140</v>
      </c>
      <c r="FZD95" s="365">
        <v>0.5</v>
      </c>
      <c r="FZE95" s="366" t="e">
        <f>10/FZA93</f>
        <v>#DIV/0!</v>
      </c>
      <c r="FZF95" s="367">
        <v>15.38</v>
      </c>
      <c r="FZG95" s="367" t="e">
        <f>FZD95*FZE95*FZF95</f>
        <v>#DIV/0!</v>
      </c>
      <c r="FZH95" s="363" t="s">
        <v>153</v>
      </c>
      <c r="FZI95" s="363"/>
      <c r="FZJ95" s="363"/>
      <c r="FZK95" s="364" t="s">
        <v>140</v>
      </c>
      <c r="FZL95" s="365">
        <v>0.5</v>
      </c>
      <c r="FZM95" s="366" t="e">
        <f>10/FZI93</f>
        <v>#DIV/0!</v>
      </c>
      <c r="FZN95" s="367">
        <v>15.38</v>
      </c>
      <c r="FZO95" s="367" t="e">
        <f>FZL95*FZM95*FZN95</f>
        <v>#DIV/0!</v>
      </c>
      <c r="FZP95" s="363" t="s">
        <v>153</v>
      </c>
      <c r="FZQ95" s="363"/>
      <c r="FZR95" s="363"/>
      <c r="FZS95" s="364" t="s">
        <v>140</v>
      </c>
      <c r="FZT95" s="365">
        <v>0.5</v>
      </c>
      <c r="FZU95" s="366" t="e">
        <f>10/FZQ93</f>
        <v>#DIV/0!</v>
      </c>
      <c r="FZV95" s="367">
        <v>15.38</v>
      </c>
      <c r="FZW95" s="367" t="e">
        <f>FZT95*FZU95*FZV95</f>
        <v>#DIV/0!</v>
      </c>
      <c r="FZX95" s="363" t="s">
        <v>153</v>
      </c>
      <c r="FZY95" s="363"/>
      <c r="FZZ95" s="363"/>
      <c r="GAA95" s="364" t="s">
        <v>140</v>
      </c>
      <c r="GAB95" s="365">
        <v>0.5</v>
      </c>
      <c r="GAC95" s="366" t="e">
        <f>10/FZY93</f>
        <v>#DIV/0!</v>
      </c>
      <c r="GAD95" s="367">
        <v>15.38</v>
      </c>
      <c r="GAE95" s="367" t="e">
        <f>GAB95*GAC95*GAD95</f>
        <v>#DIV/0!</v>
      </c>
      <c r="GAF95" s="363" t="s">
        <v>153</v>
      </c>
      <c r="GAG95" s="363"/>
      <c r="GAH95" s="363"/>
      <c r="GAI95" s="364" t="s">
        <v>140</v>
      </c>
      <c r="GAJ95" s="365">
        <v>0.5</v>
      </c>
      <c r="GAK95" s="366" t="e">
        <f>10/GAG93</f>
        <v>#DIV/0!</v>
      </c>
      <c r="GAL95" s="367">
        <v>15.38</v>
      </c>
      <c r="GAM95" s="367" t="e">
        <f>GAJ95*GAK95*GAL95</f>
        <v>#DIV/0!</v>
      </c>
      <c r="GAN95" s="363" t="s">
        <v>153</v>
      </c>
      <c r="GAO95" s="363"/>
      <c r="GAP95" s="363"/>
      <c r="GAQ95" s="364" t="s">
        <v>140</v>
      </c>
      <c r="GAR95" s="365">
        <v>0.5</v>
      </c>
      <c r="GAS95" s="366" t="e">
        <f>10/GAO93</f>
        <v>#DIV/0!</v>
      </c>
      <c r="GAT95" s="367">
        <v>15.38</v>
      </c>
      <c r="GAU95" s="367" t="e">
        <f>GAR95*GAS95*GAT95</f>
        <v>#DIV/0!</v>
      </c>
      <c r="GAV95" s="363" t="s">
        <v>153</v>
      </c>
      <c r="GAW95" s="363"/>
      <c r="GAX95" s="363"/>
      <c r="GAY95" s="364" t="s">
        <v>140</v>
      </c>
      <c r="GAZ95" s="365">
        <v>0.5</v>
      </c>
      <c r="GBA95" s="366" t="e">
        <f>10/GAW93</f>
        <v>#DIV/0!</v>
      </c>
      <c r="GBB95" s="367">
        <v>15.38</v>
      </c>
      <c r="GBC95" s="367" t="e">
        <f>GAZ95*GBA95*GBB95</f>
        <v>#DIV/0!</v>
      </c>
      <c r="GBD95" s="363" t="s">
        <v>153</v>
      </c>
      <c r="GBE95" s="363"/>
      <c r="GBF95" s="363"/>
      <c r="GBG95" s="364" t="s">
        <v>140</v>
      </c>
      <c r="GBH95" s="365">
        <v>0.5</v>
      </c>
      <c r="GBI95" s="366" t="e">
        <f>10/GBE93</f>
        <v>#DIV/0!</v>
      </c>
      <c r="GBJ95" s="367">
        <v>15.38</v>
      </c>
      <c r="GBK95" s="367" t="e">
        <f>GBH95*GBI95*GBJ95</f>
        <v>#DIV/0!</v>
      </c>
      <c r="GBL95" s="363" t="s">
        <v>153</v>
      </c>
      <c r="GBM95" s="363"/>
      <c r="GBN95" s="363"/>
      <c r="GBO95" s="364" t="s">
        <v>140</v>
      </c>
      <c r="GBP95" s="365">
        <v>0.5</v>
      </c>
      <c r="GBQ95" s="366" t="e">
        <f>10/GBM93</f>
        <v>#DIV/0!</v>
      </c>
      <c r="GBR95" s="367">
        <v>15.38</v>
      </c>
      <c r="GBS95" s="367" t="e">
        <f>GBP95*GBQ95*GBR95</f>
        <v>#DIV/0!</v>
      </c>
      <c r="GBT95" s="363" t="s">
        <v>153</v>
      </c>
      <c r="GBU95" s="363"/>
      <c r="GBV95" s="363"/>
      <c r="GBW95" s="364" t="s">
        <v>140</v>
      </c>
      <c r="GBX95" s="365">
        <v>0.5</v>
      </c>
      <c r="GBY95" s="366" t="e">
        <f>10/GBU93</f>
        <v>#DIV/0!</v>
      </c>
      <c r="GBZ95" s="367">
        <v>15.38</v>
      </c>
      <c r="GCA95" s="367" t="e">
        <f>GBX95*GBY95*GBZ95</f>
        <v>#DIV/0!</v>
      </c>
      <c r="GCB95" s="363" t="s">
        <v>153</v>
      </c>
      <c r="GCC95" s="363"/>
      <c r="GCD95" s="363"/>
      <c r="GCE95" s="364" t="s">
        <v>140</v>
      </c>
      <c r="GCF95" s="365">
        <v>0.5</v>
      </c>
      <c r="GCG95" s="366" t="e">
        <f>10/GCC93</f>
        <v>#DIV/0!</v>
      </c>
      <c r="GCH95" s="367">
        <v>15.38</v>
      </c>
      <c r="GCI95" s="367" t="e">
        <f>GCF95*GCG95*GCH95</f>
        <v>#DIV/0!</v>
      </c>
      <c r="GCJ95" s="363" t="s">
        <v>153</v>
      </c>
      <c r="GCK95" s="363"/>
      <c r="GCL95" s="363"/>
      <c r="GCM95" s="364" t="s">
        <v>140</v>
      </c>
      <c r="GCN95" s="365">
        <v>0.5</v>
      </c>
      <c r="GCO95" s="366" t="e">
        <f>10/GCK93</f>
        <v>#DIV/0!</v>
      </c>
      <c r="GCP95" s="367">
        <v>15.38</v>
      </c>
      <c r="GCQ95" s="367" t="e">
        <f>GCN95*GCO95*GCP95</f>
        <v>#DIV/0!</v>
      </c>
      <c r="GCR95" s="363" t="s">
        <v>153</v>
      </c>
      <c r="GCS95" s="363"/>
      <c r="GCT95" s="363"/>
      <c r="GCU95" s="364" t="s">
        <v>140</v>
      </c>
      <c r="GCV95" s="365">
        <v>0.5</v>
      </c>
      <c r="GCW95" s="366" t="e">
        <f>10/GCS93</f>
        <v>#DIV/0!</v>
      </c>
      <c r="GCX95" s="367">
        <v>15.38</v>
      </c>
      <c r="GCY95" s="367" t="e">
        <f>GCV95*GCW95*GCX95</f>
        <v>#DIV/0!</v>
      </c>
      <c r="GCZ95" s="363" t="s">
        <v>153</v>
      </c>
      <c r="GDA95" s="363"/>
      <c r="GDB95" s="363"/>
      <c r="GDC95" s="364" t="s">
        <v>140</v>
      </c>
      <c r="GDD95" s="365">
        <v>0.5</v>
      </c>
      <c r="GDE95" s="366" t="e">
        <f>10/GDA93</f>
        <v>#DIV/0!</v>
      </c>
      <c r="GDF95" s="367">
        <v>15.38</v>
      </c>
      <c r="GDG95" s="367" t="e">
        <f>GDD95*GDE95*GDF95</f>
        <v>#DIV/0!</v>
      </c>
      <c r="GDH95" s="363" t="s">
        <v>153</v>
      </c>
      <c r="GDI95" s="363"/>
      <c r="GDJ95" s="363"/>
      <c r="GDK95" s="364" t="s">
        <v>140</v>
      </c>
      <c r="GDL95" s="365">
        <v>0.5</v>
      </c>
      <c r="GDM95" s="366" t="e">
        <f>10/GDI93</f>
        <v>#DIV/0!</v>
      </c>
      <c r="GDN95" s="367">
        <v>15.38</v>
      </c>
      <c r="GDO95" s="367" t="e">
        <f>GDL95*GDM95*GDN95</f>
        <v>#DIV/0!</v>
      </c>
      <c r="GDP95" s="363" t="s">
        <v>153</v>
      </c>
      <c r="GDQ95" s="363"/>
      <c r="GDR95" s="363"/>
      <c r="GDS95" s="364" t="s">
        <v>140</v>
      </c>
      <c r="GDT95" s="365">
        <v>0.5</v>
      </c>
      <c r="GDU95" s="366" t="e">
        <f>10/GDQ93</f>
        <v>#DIV/0!</v>
      </c>
      <c r="GDV95" s="367">
        <v>15.38</v>
      </c>
      <c r="GDW95" s="367" t="e">
        <f>GDT95*GDU95*GDV95</f>
        <v>#DIV/0!</v>
      </c>
      <c r="GDX95" s="363" t="s">
        <v>153</v>
      </c>
      <c r="GDY95" s="363"/>
      <c r="GDZ95" s="363"/>
      <c r="GEA95" s="364" t="s">
        <v>140</v>
      </c>
      <c r="GEB95" s="365">
        <v>0.5</v>
      </c>
      <c r="GEC95" s="366" t="e">
        <f>10/GDY93</f>
        <v>#DIV/0!</v>
      </c>
      <c r="GED95" s="367">
        <v>15.38</v>
      </c>
      <c r="GEE95" s="367" t="e">
        <f>GEB95*GEC95*GED95</f>
        <v>#DIV/0!</v>
      </c>
      <c r="GEF95" s="363" t="s">
        <v>153</v>
      </c>
      <c r="GEG95" s="363"/>
      <c r="GEH95" s="363"/>
      <c r="GEI95" s="364" t="s">
        <v>140</v>
      </c>
      <c r="GEJ95" s="365">
        <v>0.5</v>
      </c>
      <c r="GEK95" s="366" t="e">
        <f>10/GEG93</f>
        <v>#DIV/0!</v>
      </c>
      <c r="GEL95" s="367">
        <v>15.38</v>
      </c>
      <c r="GEM95" s="367" t="e">
        <f>GEJ95*GEK95*GEL95</f>
        <v>#DIV/0!</v>
      </c>
      <c r="GEN95" s="363" t="s">
        <v>153</v>
      </c>
      <c r="GEO95" s="363"/>
      <c r="GEP95" s="363"/>
      <c r="GEQ95" s="364" t="s">
        <v>140</v>
      </c>
      <c r="GER95" s="365">
        <v>0.5</v>
      </c>
      <c r="GES95" s="366" t="e">
        <f>10/GEO93</f>
        <v>#DIV/0!</v>
      </c>
      <c r="GET95" s="367">
        <v>15.38</v>
      </c>
      <c r="GEU95" s="367" t="e">
        <f>GER95*GES95*GET95</f>
        <v>#DIV/0!</v>
      </c>
      <c r="GEV95" s="363" t="s">
        <v>153</v>
      </c>
      <c r="GEW95" s="363"/>
      <c r="GEX95" s="363"/>
      <c r="GEY95" s="364" t="s">
        <v>140</v>
      </c>
      <c r="GEZ95" s="365">
        <v>0.5</v>
      </c>
      <c r="GFA95" s="366" t="e">
        <f>10/GEW93</f>
        <v>#DIV/0!</v>
      </c>
      <c r="GFB95" s="367">
        <v>15.38</v>
      </c>
      <c r="GFC95" s="367" t="e">
        <f>GEZ95*GFA95*GFB95</f>
        <v>#DIV/0!</v>
      </c>
      <c r="GFD95" s="363" t="s">
        <v>153</v>
      </c>
      <c r="GFE95" s="363"/>
      <c r="GFF95" s="363"/>
      <c r="GFG95" s="364" t="s">
        <v>140</v>
      </c>
      <c r="GFH95" s="365">
        <v>0.5</v>
      </c>
      <c r="GFI95" s="366" t="e">
        <f>10/GFE93</f>
        <v>#DIV/0!</v>
      </c>
      <c r="GFJ95" s="367">
        <v>15.38</v>
      </c>
      <c r="GFK95" s="367" t="e">
        <f>GFH95*GFI95*GFJ95</f>
        <v>#DIV/0!</v>
      </c>
      <c r="GFL95" s="363" t="s">
        <v>153</v>
      </c>
      <c r="GFM95" s="363"/>
      <c r="GFN95" s="363"/>
      <c r="GFO95" s="364" t="s">
        <v>140</v>
      </c>
      <c r="GFP95" s="365">
        <v>0.5</v>
      </c>
      <c r="GFQ95" s="366" t="e">
        <f>10/GFM93</f>
        <v>#DIV/0!</v>
      </c>
      <c r="GFR95" s="367">
        <v>15.38</v>
      </c>
      <c r="GFS95" s="367" t="e">
        <f>GFP95*GFQ95*GFR95</f>
        <v>#DIV/0!</v>
      </c>
      <c r="GFT95" s="363" t="s">
        <v>153</v>
      </c>
      <c r="GFU95" s="363"/>
      <c r="GFV95" s="363"/>
      <c r="GFW95" s="364" t="s">
        <v>140</v>
      </c>
      <c r="GFX95" s="365">
        <v>0.5</v>
      </c>
      <c r="GFY95" s="366" t="e">
        <f>10/GFU93</f>
        <v>#DIV/0!</v>
      </c>
      <c r="GFZ95" s="367">
        <v>15.38</v>
      </c>
      <c r="GGA95" s="367" t="e">
        <f>GFX95*GFY95*GFZ95</f>
        <v>#DIV/0!</v>
      </c>
      <c r="GGB95" s="363" t="s">
        <v>153</v>
      </c>
      <c r="GGC95" s="363"/>
      <c r="GGD95" s="363"/>
      <c r="GGE95" s="364" t="s">
        <v>140</v>
      </c>
      <c r="GGF95" s="365">
        <v>0.5</v>
      </c>
      <c r="GGG95" s="366" t="e">
        <f>10/GGC93</f>
        <v>#DIV/0!</v>
      </c>
      <c r="GGH95" s="367">
        <v>15.38</v>
      </c>
      <c r="GGI95" s="367" t="e">
        <f>GGF95*GGG95*GGH95</f>
        <v>#DIV/0!</v>
      </c>
      <c r="GGJ95" s="363" t="s">
        <v>153</v>
      </c>
      <c r="GGK95" s="363"/>
      <c r="GGL95" s="363"/>
      <c r="GGM95" s="364" t="s">
        <v>140</v>
      </c>
      <c r="GGN95" s="365">
        <v>0.5</v>
      </c>
      <c r="GGO95" s="366" t="e">
        <f>10/GGK93</f>
        <v>#DIV/0!</v>
      </c>
      <c r="GGP95" s="367">
        <v>15.38</v>
      </c>
      <c r="GGQ95" s="367" t="e">
        <f>GGN95*GGO95*GGP95</f>
        <v>#DIV/0!</v>
      </c>
      <c r="GGR95" s="363" t="s">
        <v>153</v>
      </c>
      <c r="GGS95" s="363"/>
      <c r="GGT95" s="363"/>
      <c r="GGU95" s="364" t="s">
        <v>140</v>
      </c>
      <c r="GGV95" s="365">
        <v>0.5</v>
      </c>
      <c r="GGW95" s="366" t="e">
        <f>10/GGS93</f>
        <v>#DIV/0!</v>
      </c>
      <c r="GGX95" s="367">
        <v>15.38</v>
      </c>
      <c r="GGY95" s="367" t="e">
        <f>GGV95*GGW95*GGX95</f>
        <v>#DIV/0!</v>
      </c>
      <c r="GGZ95" s="363" t="s">
        <v>153</v>
      </c>
      <c r="GHA95" s="363"/>
      <c r="GHB95" s="363"/>
      <c r="GHC95" s="364" t="s">
        <v>140</v>
      </c>
      <c r="GHD95" s="365">
        <v>0.5</v>
      </c>
      <c r="GHE95" s="366" t="e">
        <f>10/GHA93</f>
        <v>#DIV/0!</v>
      </c>
      <c r="GHF95" s="367">
        <v>15.38</v>
      </c>
      <c r="GHG95" s="367" t="e">
        <f>GHD95*GHE95*GHF95</f>
        <v>#DIV/0!</v>
      </c>
      <c r="GHH95" s="363" t="s">
        <v>153</v>
      </c>
      <c r="GHI95" s="363"/>
      <c r="GHJ95" s="363"/>
      <c r="GHK95" s="364" t="s">
        <v>140</v>
      </c>
      <c r="GHL95" s="365">
        <v>0.5</v>
      </c>
      <c r="GHM95" s="366" t="e">
        <f>10/GHI93</f>
        <v>#DIV/0!</v>
      </c>
      <c r="GHN95" s="367">
        <v>15.38</v>
      </c>
      <c r="GHO95" s="367" t="e">
        <f>GHL95*GHM95*GHN95</f>
        <v>#DIV/0!</v>
      </c>
      <c r="GHP95" s="363" t="s">
        <v>153</v>
      </c>
      <c r="GHQ95" s="363"/>
      <c r="GHR95" s="363"/>
      <c r="GHS95" s="364" t="s">
        <v>140</v>
      </c>
      <c r="GHT95" s="365">
        <v>0.5</v>
      </c>
      <c r="GHU95" s="366" t="e">
        <f>10/GHQ93</f>
        <v>#DIV/0!</v>
      </c>
      <c r="GHV95" s="367">
        <v>15.38</v>
      </c>
      <c r="GHW95" s="367" t="e">
        <f>GHT95*GHU95*GHV95</f>
        <v>#DIV/0!</v>
      </c>
      <c r="GHX95" s="363" t="s">
        <v>153</v>
      </c>
      <c r="GHY95" s="363"/>
      <c r="GHZ95" s="363"/>
      <c r="GIA95" s="364" t="s">
        <v>140</v>
      </c>
      <c r="GIB95" s="365">
        <v>0.5</v>
      </c>
      <c r="GIC95" s="366" t="e">
        <f>10/GHY93</f>
        <v>#DIV/0!</v>
      </c>
      <c r="GID95" s="367">
        <v>15.38</v>
      </c>
      <c r="GIE95" s="367" t="e">
        <f>GIB95*GIC95*GID95</f>
        <v>#DIV/0!</v>
      </c>
      <c r="GIF95" s="363" t="s">
        <v>153</v>
      </c>
      <c r="GIG95" s="363"/>
      <c r="GIH95" s="363"/>
      <c r="GII95" s="364" t="s">
        <v>140</v>
      </c>
      <c r="GIJ95" s="365">
        <v>0.5</v>
      </c>
      <c r="GIK95" s="366" t="e">
        <f>10/GIG93</f>
        <v>#DIV/0!</v>
      </c>
      <c r="GIL95" s="367">
        <v>15.38</v>
      </c>
      <c r="GIM95" s="367" t="e">
        <f>GIJ95*GIK95*GIL95</f>
        <v>#DIV/0!</v>
      </c>
      <c r="GIN95" s="363" t="s">
        <v>153</v>
      </c>
      <c r="GIO95" s="363"/>
      <c r="GIP95" s="363"/>
      <c r="GIQ95" s="364" t="s">
        <v>140</v>
      </c>
      <c r="GIR95" s="365">
        <v>0.5</v>
      </c>
      <c r="GIS95" s="366" t="e">
        <f>10/GIO93</f>
        <v>#DIV/0!</v>
      </c>
      <c r="GIT95" s="367">
        <v>15.38</v>
      </c>
      <c r="GIU95" s="367" t="e">
        <f>GIR95*GIS95*GIT95</f>
        <v>#DIV/0!</v>
      </c>
      <c r="GIV95" s="363" t="s">
        <v>153</v>
      </c>
      <c r="GIW95" s="363"/>
      <c r="GIX95" s="363"/>
      <c r="GIY95" s="364" t="s">
        <v>140</v>
      </c>
      <c r="GIZ95" s="365">
        <v>0.5</v>
      </c>
      <c r="GJA95" s="366" t="e">
        <f>10/GIW93</f>
        <v>#DIV/0!</v>
      </c>
      <c r="GJB95" s="367">
        <v>15.38</v>
      </c>
      <c r="GJC95" s="367" t="e">
        <f>GIZ95*GJA95*GJB95</f>
        <v>#DIV/0!</v>
      </c>
      <c r="GJD95" s="363" t="s">
        <v>153</v>
      </c>
      <c r="GJE95" s="363"/>
      <c r="GJF95" s="363"/>
      <c r="GJG95" s="364" t="s">
        <v>140</v>
      </c>
      <c r="GJH95" s="365">
        <v>0.5</v>
      </c>
      <c r="GJI95" s="366" t="e">
        <f>10/GJE93</f>
        <v>#DIV/0!</v>
      </c>
      <c r="GJJ95" s="367">
        <v>15.38</v>
      </c>
      <c r="GJK95" s="367" t="e">
        <f>GJH95*GJI95*GJJ95</f>
        <v>#DIV/0!</v>
      </c>
      <c r="GJL95" s="363" t="s">
        <v>153</v>
      </c>
      <c r="GJM95" s="363"/>
      <c r="GJN95" s="363"/>
      <c r="GJO95" s="364" t="s">
        <v>140</v>
      </c>
      <c r="GJP95" s="365">
        <v>0.5</v>
      </c>
      <c r="GJQ95" s="366" t="e">
        <f>10/GJM93</f>
        <v>#DIV/0!</v>
      </c>
      <c r="GJR95" s="367">
        <v>15.38</v>
      </c>
      <c r="GJS95" s="367" t="e">
        <f>GJP95*GJQ95*GJR95</f>
        <v>#DIV/0!</v>
      </c>
      <c r="GJT95" s="363" t="s">
        <v>153</v>
      </c>
      <c r="GJU95" s="363"/>
      <c r="GJV95" s="363"/>
      <c r="GJW95" s="364" t="s">
        <v>140</v>
      </c>
      <c r="GJX95" s="365">
        <v>0.5</v>
      </c>
      <c r="GJY95" s="366" t="e">
        <f>10/GJU93</f>
        <v>#DIV/0!</v>
      </c>
      <c r="GJZ95" s="367">
        <v>15.38</v>
      </c>
      <c r="GKA95" s="367" t="e">
        <f>GJX95*GJY95*GJZ95</f>
        <v>#DIV/0!</v>
      </c>
      <c r="GKB95" s="363" t="s">
        <v>153</v>
      </c>
      <c r="GKC95" s="363"/>
      <c r="GKD95" s="363"/>
      <c r="GKE95" s="364" t="s">
        <v>140</v>
      </c>
      <c r="GKF95" s="365">
        <v>0.5</v>
      </c>
      <c r="GKG95" s="366" t="e">
        <f>10/GKC93</f>
        <v>#DIV/0!</v>
      </c>
      <c r="GKH95" s="367">
        <v>15.38</v>
      </c>
      <c r="GKI95" s="367" t="e">
        <f>GKF95*GKG95*GKH95</f>
        <v>#DIV/0!</v>
      </c>
      <c r="GKJ95" s="363" t="s">
        <v>153</v>
      </c>
      <c r="GKK95" s="363"/>
      <c r="GKL95" s="363"/>
      <c r="GKM95" s="364" t="s">
        <v>140</v>
      </c>
      <c r="GKN95" s="365">
        <v>0.5</v>
      </c>
      <c r="GKO95" s="366" t="e">
        <f>10/GKK93</f>
        <v>#DIV/0!</v>
      </c>
      <c r="GKP95" s="367">
        <v>15.38</v>
      </c>
      <c r="GKQ95" s="367" t="e">
        <f>GKN95*GKO95*GKP95</f>
        <v>#DIV/0!</v>
      </c>
      <c r="GKR95" s="363" t="s">
        <v>153</v>
      </c>
      <c r="GKS95" s="363"/>
      <c r="GKT95" s="363"/>
      <c r="GKU95" s="364" t="s">
        <v>140</v>
      </c>
      <c r="GKV95" s="365">
        <v>0.5</v>
      </c>
      <c r="GKW95" s="366" t="e">
        <f>10/GKS93</f>
        <v>#DIV/0!</v>
      </c>
      <c r="GKX95" s="367">
        <v>15.38</v>
      </c>
      <c r="GKY95" s="367" t="e">
        <f>GKV95*GKW95*GKX95</f>
        <v>#DIV/0!</v>
      </c>
      <c r="GKZ95" s="363" t="s">
        <v>153</v>
      </c>
      <c r="GLA95" s="363"/>
      <c r="GLB95" s="363"/>
      <c r="GLC95" s="364" t="s">
        <v>140</v>
      </c>
      <c r="GLD95" s="365">
        <v>0.5</v>
      </c>
      <c r="GLE95" s="366" t="e">
        <f>10/GLA93</f>
        <v>#DIV/0!</v>
      </c>
      <c r="GLF95" s="367">
        <v>15.38</v>
      </c>
      <c r="GLG95" s="367" t="e">
        <f>GLD95*GLE95*GLF95</f>
        <v>#DIV/0!</v>
      </c>
      <c r="GLH95" s="363" t="s">
        <v>153</v>
      </c>
      <c r="GLI95" s="363"/>
      <c r="GLJ95" s="363"/>
      <c r="GLK95" s="364" t="s">
        <v>140</v>
      </c>
      <c r="GLL95" s="365">
        <v>0.5</v>
      </c>
      <c r="GLM95" s="366" t="e">
        <f>10/GLI93</f>
        <v>#DIV/0!</v>
      </c>
      <c r="GLN95" s="367">
        <v>15.38</v>
      </c>
      <c r="GLO95" s="367" t="e">
        <f>GLL95*GLM95*GLN95</f>
        <v>#DIV/0!</v>
      </c>
      <c r="GLP95" s="363" t="s">
        <v>153</v>
      </c>
      <c r="GLQ95" s="363"/>
      <c r="GLR95" s="363"/>
      <c r="GLS95" s="364" t="s">
        <v>140</v>
      </c>
      <c r="GLT95" s="365">
        <v>0.5</v>
      </c>
      <c r="GLU95" s="366" t="e">
        <f>10/GLQ93</f>
        <v>#DIV/0!</v>
      </c>
      <c r="GLV95" s="367">
        <v>15.38</v>
      </c>
      <c r="GLW95" s="367" t="e">
        <f>GLT95*GLU95*GLV95</f>
        <v>#DIV/0!</v>
      </c>
      <c r="GLX95" s="363" t="s">
        <v>153</v>
      </c>
      <c r="GLY95" s="363"/>
      <c r="GLZ95" s="363"/>
      <c r="GMA95" s="364" t="s">
        <v>140</v>
      </c>
      <c r="GMB95" s="365">
        <v>0.5</v>
      </c>
      <c r="GMC95" s="366" t="e">
        <f>10/GLY93</f>
        <v>#DIV/0!</v>
      </c>
      <c r="GMD95" s="367">
        <v>15.38</v>
      </c>
      <c r="GME95" s="367" t="e">
        <f>GMB95*GMC95*GMD95</f>
        <v>#DIV/0!</v>
      </c>
      <c r="GMF95" s="363" t="s">
        <v>153</v>
      </c>
      <c r="GMG95" s="363"/>
      <c r="GMH95" s="363"/>
      <c r="GMI95" s="364" t="s">
        <v>140</v>
      </c>
      <c r="GMJ95" s="365">
        <v>0.5</v>
      </c>
      <c r="GMK95" s="366" t="e">
        <f>10/GMG93</f>
        <v>#DIV/0!</v>
      </c>
      <c r="GML95" s="367">
        <v>15.38</v>
      </c>
      <c r="GMM95" s="367" t="e">
        <f>GMJ95*GMK95*GML95</f>
        <v>#DIV/0!</v>
      </c>
      <c r="GMN95" s="363" t="s">
        <v>153</v>
      </c>
      <c r="GMO95" s="363"/>
      <c r="GMP95" s="363"/>
      <c r="GMQ95" s="364" t="s">
        <v>140</v>
      </c>
      <c r="GMR95" s="365">
        <v>0.5</v>
      </c>
      <c r="GMS95" s="366" t="e">
        <f>10/GMO93</f>
        <v>#DIV/0!</v>
      </c>
      <c r="GMT95" s="367">
        <v>15.38</v>
      </c>
      <c r="GMU95" s="367" t="e">
        <f>GMR95*GMS95*GMT95</f>
        <v>#DIV/0!</v>
      </c>
      <c r="GMV95" s="363" t="s">
        <v>153</v>
      </c>
      <c r="GMW95" s="363"/>
      <c r="GMX95" s="363"/>
      <c r="GMY95" s="364" t="s">
        <v>140</v>
      </c>
      <c r="GMZ95" s="365">
        <v>0.5</v>
      </c>
      <c r="GNA95" s="366" t="e">
        <f>10/GMW93</f>
        <v>#DIV/0!</v>
      </c>
      <c r="GNB95" s="367">
        <v>15.38</v>
      </c>
      <c r="GNC95" s="367" t="e">
        <f>GMZ95*GNA95*GNB95</f>
        <v>#DIV/0!</v>
      </c>
      <c r="GND95" s="363" t="s">
        <v>153</v>
      </c>
      <c r="GNE95" s="363"/>
      <c r="GNF95" s="363"/>
      <c r="GNG95" s="364" t="s">
        <v>140</v>
      </c>
      <c r="GNH95" s="365">
        <v>0.5</v>
      </c>
      <c r="GNI95" s="366" t="e">
        <f>10/GNE93</f>
        <v>#DIV/0!</v>
      </c>
      <c r="GNJ95" s="367">
        <v>15.38</v>
      </c>
      <c r="GNK95" s="367" t="e">
        <f>GNH95*GNI95*GNJ95</f>
        <v>#DIV/0!</v>
      </c>
      <c r="GNL95" s="363" t="s">
        <v>153</v>
      </c>
      <c r="GNM95" s="363"/>
      <c r="GNN95" s="363"/>
      <c r="GNO95" s="364" t="s">
        <v>140</v>
      </c>
      <c r="GNP95" s="365">
        <v>0.5</v>
      </c>
      <c r="GNQ95" s="366" t="e">
        <f>10/GNM93</f>
        <v>#DIV/0!</v>
      </c>
      <c r="GNR95" s="367">
        <v>15.38</v>
      </c>
      <c r="GNS95" s="367" t="e">
        <f>GNP95*GNQ95*GNR95</f>
        <v>#DIV/0!</v>
      </c>
      <c r="GNT95" s="363" t="s">
        <v>153</v>
      </c>
      <c r="GNU95" s="363"/>
      <c r="GNV95" s="363"/>
      <c r="GNW95" s="364" t="s">
        <v>140</v>
      </c>
      <c r="GNX95" s="365">
        <v>0.5</v>
      </c>
      <c r="GNY95" s="366" t="e">
        <f>10/GNU93</f>
        <v>#DIV/0!</v>
      </c>
      <c r="GNZ95" s="367">
        <v>15.38</v>
      </c>
      <c r="GOA95" s="367" t="e">
        <f>GNX95*GNY95*GNZ95</f>
        <v>#DIV/0!</v>
      </c>
      <c r="GOB95" s="363" t="s">
        <v>153</v>
      </c>
      <c r="GOC95" s="363"/>
      <c r="GOD95" s="363"/>
      <c r="GOE95" s="364" t="s">
        <v>140</v>
      </c>
      <c r="GOF95" s="365">
        <v>0.5</v>
      </c>
      <c r="GOG95" s="366" t="e">
        <f>10/GOC93</f>
        <v>#DIV/0!</v>
      </c>
      <c r="GOH95" s="367">
        <v>15.38</v>
      </c>
      <c r="GOI95" s="367" t="e">
        <f>GOF95*GOG95*GOH95</f>
        <v>#DIV/0!</v>
      </c>
      <c r="GOJ95" s="363" t="s">
        <v>153</v>
      </c>
      <c r="GOK95" s="363"/>
      <c r="GOL95" s="363"/>
      <c r="GOM95" s="364" t="s">
        <v>140</v>
      </c>
      <c r="GON95" s="365">
        <v>0.5</v>
      </c>
      <c r="GOO95" s="366" t="e">
        <f>10/GOK93</f>
        <v>#DIV/0!</v>
      </c>
      <c r="GOP95" s="367">
        <v>15.38</v>
      </c>
      <c r="GOQ95" s="367" t="e">
        <f>GON95*GOO95*GOP95</f>
        <v>#DIV/0!</v>
      </c>
      <c r="GOR95" s="363" t="s">
        <v>153</v>
      </c>
      <c r="GOS95" s="363"/>
      <c r="GOT95" s="363"/>
      <c r="GOU95" s="364" t="s">
        <v>140</v>
      </c>
      <c r="GOV95" s="365">
        <v>0.5</v>
      </c>
      <c r="GOW95" s="366" t="e">
        <f>10/GOS93</f>
        <v>#DIV/0!</v>
      </c>
      <c r="GOX95" s="367">
        <v>15.38</v>
      </c>
      <c r="GOY95" s="367" t="e">
        <f>GOV95*GOW95*GOX95</f>
        <v>#DIV/0!</v>
      </c>
      <c r="GOZ95" s="363" t="s">
        <v>153</v>
      </c>
      <c r="GPA95" s="363"/>
      <c r="GPB95" s="363"/>
      <c r="GPC95" s="364" t="s">
        <v>140</v>
      </c>
      <c r="GPD95" s="365">
        <v>0.5</v>
      </c>
      <c r="GPE95" s="366" t="e">
        <f>10/GPA93</f>
        <v>#DIV/0!</v>
      </c>
      <c r="GPF95" s="367">
        <v>15.38</v>
      </c>
      <c r="GPG95" s="367" t="e">
        <f>GPD95*GPE95*GPF95</f>
        <v>#DIV/0!</v>
      </c>
      <c r="GPH95" s="363" t="s">
        <v>153</v>
      </c>
      <c r="GPI95" s="363"/>
      <c r="GPJ95" s="363"/>
      <c r="GPK95" s="364" t="s">
        <v>140</v>
      </c>
      <c r="GPL95" s="365">
        <v>0.5</v>
      </c>
      <c r="GPM95" s="366" t="e">
        <f>10/GPI93</f>
        <v>#DIV/0!</v>
      </c>
      <c r="GPN95" s="367">
        <v>15.38</v>
      </c>
      <c r="GPO95" s="367" t="e">
        <f>GPL95*GPM95*GPN95</f>
        <v>#DIV/0!</v>
      </c>
      <c r="GPP95" s="363" t="s">
        <v>153</v>
      </c>
      <c r="GPQ95" s="363"/>
      <c r="GPR95" s="363"/>
      <c r="GPS95" s="364" t="s">
        <v>140</v>
      </c>
      <c r="GPT95" s="365">
        <v>0.5</v>
      </c>
      <c r="GPU95" s="366" t="e">
        <f>10/GPQ93</f>
        <v>#DIV/0!</v>
      </c>
      <c r="GPV95" s="367">
        <v>15.38</v>
      </c>
      <c r="GPW95" s="367" t="e">
        <f>GPT95*GPU95*GPV95</f>
        <v>#DIV/0!</v>
      </c>
      <c r="GPX95" s="363" t="s">
        <v>153</v>
      </c>
      <c r="GPY95" s="363"/>
      <c r="GPZ95" s="363"/>
      <c r="GQA95" s="364" t="s">
        <v>140</v>
      </c>
      <c r="GQB95" s="365">
        <v>0.5</v>
      </c>
      <c r="GQC95" s="366" t="e">
        <f>10/GPY93</f>
        <v>#DIV/0!</v>
      </c>
      <c r="GQD95" s="367">
        <v>15.38</v>
      </c>
      <c r="GQE95" s="367" t="e">
        <f>GQB95*GQC95*GQD95</f>
        <v>#DIV/0!</v>
      </c>
      <c r="GQF95" s="363" t="s">
        <v>153</v>
      </c>
      <c r="GQG95" s="363"/>
      <c r="GQH95" s="363"/>
      <c r="GQI95" s="364" t="s">
        <v>140</v>
      </c>
      <c r="GQJ95" s="365">
        <v>0.5</v>
      </c>
      <c r="GQK95" s="366" t="e">
        <f>10/GQG93</f>
        <v>#DIV/0!</v>
      </c>
      <c r="GQL95" s="367">
        <v>15.38</v>
      </c>
      <c r="GQM95" s="367" t="e">
        <f>GQJ95*GQK95*GQL95</f>
        <v>#DIV/0!</v>
      </c>
      <c r="GQN95" s="363" t="s">
        <v>153</v>
      </c>
      <c r="GQO95" s="363"/>
      <c r="GQP95" s="363"/>
      <c r="GQQ95" s="364" t="s">
        <v>140</v>
      </c>
      <c r="GQR95" s="365">
        <v>0.5</v>
      </c>
      <c r="GQS95" s="366" t="e">
        <f>10/GQO93</f>
        <v>#DIV/0!</v>
      </c>
      <c r="GQT95" s="367">
        <v>15.38</v>
      </c>
      <c r="GQU95" s="367" t="e">
        <f>GQR95*GQS95*GQT95</f>
        <v>#DIV/0!</v>
      </c>
      <c r="GQV95" s="363" t="s">
        <v>153</v>
      </c>
      <c r="GQW95" s="363"/>
      <c r="GQX95" s="363"/>
      <c r="GQY95" s="364" t="s">
        <v>140</v>
      </c>
      <c r="GQZ95" s="365">
        <v>0.5</v>
      </c>
      <c r="GRA95" s="366" t="e">
        <f>10/GQW93</f>
        <v>#DIV/0!</v>
      </c>
      <c r="GRB95" s="367">
        <v>15.38</v>
      </c>
      <c r="GRC95" s="367" t="e">
        <f>GQZ95*GRA95*GRB95</f>
        <v>#DIV/0!</v>
      </c>
      <c r="GRD95" s="363" t="s">
        <v>153</v>
      </c>
      <c r="GRE95" s="363"/>
      <c r="GRF95" s="363"/>
      <c r="GRG95" s="364" t="s">
        <v>140</v>
      </c>
      <c r="GRH95" s="365">
        <v>0.5</v>
      </c>
      <c r="GRI95" s="366" t="e">
        <f>10/GRE93</f>
        <v>#DIV/0!</v>
      </c>
      <c r="GRJ95" s="367">
        <v>15.38</v>
      </c>
      <c r="GRK95" s="367" t="e">
        <f>GRH95*GRI95*GRJ95</f>
        <v>#DIV/0!</v>
      </c>
      <c r="GRL95" s="363" t="s">
        <v>153</v>
      </c>
      <c r="GRM95" s="363"/>
      <c r="GRN95" s="363"/>
      <c r="GRO95" s="364" t="s">
        <v>140</v>
      </c>
      <c r="GRP95" s="365">
        <v>0.5</v>
      </c>
      <c r="GRQ95" s="366" t="e">
        <f>10/GRM93</f>
        <v>#DIV/0!</v>
      </c>
      <c r="GRR95" s="367">
        <v>15.38</v>
      </c>
      <c r="GRS95" s="367" t="e">
        <f>GRP95*GRQ95*GRR95</f>
        <v>#DIV/0!</v>
      </c>
      <c r="GRT95" s="363" t="s">
        <v>153</v>
      </c>
      <c r="GRU95" s="363"/>
      <c r="GRV95" s="363"/>
      <c r="GRW95" s="364" t="s">
        <v>140</v>
      </c>
      <c r="GRX95" s="365">
        <v>0.5</v>
      </c>
      <c r="GRY95" s="366" t="e">
        <f>10/GRU93</f>
        <v>#DIV/0!</v>
      </c>
      <c r="GRZ95" s="367">
        <v>15.38</v>
      </c>
      <c r="GSA95" s="367" t="e">
        <f>GRX95*GRY95*GRZ95</f>
        <v>#DIV/0!</v>
      </c>
      <c r="GSB95" s="363" t="s">
        <v>153</v>
      </c>
      <c r="GSC95" s="363"/>
      <c r="GSD95" s="363"/>
      <c r="GSE95" s="364" t="s">
        <v>140</v>
      </c>
      <c r="GSF95" s="365">
        <v>0.5</v>
      </c>
      <c r="GSG95" s="366" t="e">
        <f>10/GSC93</f>
        <v>#DIV/0!</v>
      </c>
      <c r="GSH95" s="367">
        <v>15.38</v>
      </c>
      <c r="GSI95" s="367" t="e">
        <f>GSF95*GSG95*GSH95</f>
        <v>#DIV/0!</v>
      </c>
      <c r="GSJ95" s="363" t="s">
        <v>153</v>
      </c>
      <c r="GSK95" s="363"/>
      <c r="GSL95" s="363"/>
      <c r="GSM95" s="364" t="s">
        <v>140</v>
      </c>
      <c r="GSN95" s="365">
        <v>0.5</v>
      </c>
      <c r="GSO95" s="366" t="e">
        <f>10/GSK93</f>
        <v>#DIV/0!</v>
      </c>
      <c r="GSP95" s="367">
        <v>15.38</v>
      </c>
      <c r="GSQ95" s="367" t="e">
        <f>GSN95*GSO95*GSP95</f>
        <v>#DIV/0!</v>
      </c>
      <c r="GSR95" s="363" t="s">
        <v>153</v>
      </c>
      <c r="GSS95" s="363"/>
      <c r="GST95" s="363"/>
      <c r="GSU95" s="364" t="s">
        <v>140</v>
      </c>
      <c r="GSV95" s="365">
        <v>0.5</v>
      </c>
      <c r="GSW95" s="366" t="e">
        <f>10/GSS93</f>
        <v>#DIV/0!</v>
      </c>
      <c r="GSX95" s="367">
        <v>15.38</v>
      </c>
      <c r="GSY95" s="367" t="e">
        <f>GSV95*GSW95*GSX95</f>
        <v>#DIV/0!</v>
      </c>
      <c r="GSZ95" s="363" t="s">
        <v>153</v>
      </c>
      <c r="GTA95" s="363"/>
      <c r="GTB95" s="363"/>
      <c r="GTC95" s="364" t="s">
        <v>140</v>
      </c>
      <c r="GTD95" s="365">
        <v>0.5</v>
      </c>
      <c r="GTE95" s="366" t="e">
        <f>10/GTA93</f>
        <v>#DIV/0!</v>
      </c>
      <c r="GTF95" s="367">
        <v>15.38</v>
      </c>
      <c r="GTG95" s="367" t="e">
        <f>GTD95*GTE95*GTF95</f>
        <v>#DIV/0!</v>
      </c>
      <c r="GTH95" s="363" t="s">
        <v>153</v>
      </c>
      <c r="GTI95" s="363"/>
      <c r="GTJ95" s="363"/>
      <c r="GTK95" s="364" t="s">
        <v>140</v>
      </c>
      <c r="GTL95" s="365">
        <v>0.5</v>
      </c>
      <c r="GTM95" s="366" t="e">
        <f>10/GTI93</f>
        <v>#DIV/0!</v>
      </c>
      <c r="GTN95" s="367">
        <v>15.38</v>
      </c>
      <c r="GTO95" s="367" t="e">
        <f>GTL95*GTM95*GTN95</f>
        <v>#DIV/0!</v>
      </c>
      <c r="GTP95" s="363" t="s">
        <v>153</v>
      </c>
      <c r="GTQ95" s="363"/>
      <c r="GTR95" s="363"/>
      <c r="GTS95" s="364" t="s">
        <v>140</v>
      </c>
      <c r="GTT95" s="365">
        <v>0.5</v>
      </c>
      <c r="GTU95" s="366" t="e">
        <f>10/GTQ93</f>
        <v>#DIV/0!</v>
      </c>
      <c r="GTV95" s="367">
        <v>15.38</v>
      </c>
      <c r="GTW95" s="367" t="e">
        <f>GTT95*GTU95*GTV95</f>
        <v>#DIV/0!</v>
      </c>
      <c r="GTX95" s="363" t="s">
        <v>153</v>
      </c>
      <c r="GTY95" s="363"/>
      <c r="GTZ95" s="363"/>
      <c r="GUA95" s="364" t="s">
        <v>140</v>
      </c>
      <c r="GUB95" s="365">
        <v>0.5</v>
      </c>
      <c r="GUC95" s="366" t="e">
        <f>10/GTY93</f>
        <v>#DIV/0!</v>
      </c>
      <c r="GUD95" s="367">
        <v>15.38</v>
      </c>
      <c r="GUE95" s="367" t="e">
        <f>GUB95*GUC95*GUD95</f>
        <v>#DIV/0!</v>
      </c>
      <c r="GUF95" s="363" t="s">
        <v>153</v>
      </c>
      <c r="GUG95" s="363"/>
      <c r="GUH95" s="363"/>
      <c r="GUI95" s="364" t="s">
        <v>140</v>
      </c>
      <c r="GUJ95" s="365">
        <v>0.5</v>
      </c>
      <c r="GUK95" s="366" t="e">
        <f>10/GUG93</f>
        <v>#DIV/0!</v>
      </c>
      <c r="GUL95" s="367">
        <v>15.38</v>
      </c>
      <c r="GUM95" s="367" t="e">
        <f>GUJ95*GUK95*GUL95</f>
        <v>#DIV/0!</v>
      </c>
      <c r="GUN95" s="363" t="s">
        <v>153</v>
      </c>
      <c r="GUO95" s="363"/>
      <c r="GUP95" s="363"/>
      <c r="GUQ95" s="364" t="s">
        <v>140</v>
      </c>
      <c r="GUR95" s="365">
        <v>0.5</v>
      </c>
      <c r="GUS95" s="366" t="e">
        <f>10/GUO93</f>
        <v>#DIV/0!</v>
      </c>
      <c r="GUT95" s="367">
        <v>15.38</v>
      </c>
      <c r="GUU95" s="367" t="e">
        <f>GUR95*GUS95*GUT95</f>
        <v>#DIV/0!</v>
      </c>
      <c r="GUV95" s="363" t="s">
        <v>153</v>
      </c>
      <c r="GUW95" s="363"/>
      <c r="GUX95" s="363"/>
      <c r="GUY95" s="364" t="s">
        <v>140</v>
      </c>
      <c r="GUZ95" s="365">
        <v>0.5</v>
      </c>
      <c r="GVA95" s="366" t="e">
        <f>10/GUW93</f>
        <v>#DIV/0!</v>
      </c>
      <c r="GVB95" s="367">
        <v>15.38</v>
      </c>
      <c r="GVC95" s="367" t="e">
        <f>GUZ95*GVA95*GVB95</f>
        <v>#DIV/0!</v>
      </c>
      <c r="GVD95" s="363" t="s">
        <v>153</v>
      </c>
      <c r="GVE95" s="363"/>
      <c r="GVF95" s="363"/>
      <c r="GVG95" s="364" t="s">
        <v>140</v>
      </c>
      <c r="GVH95" s="365">
        <v>0.5</v>
      </c>
      <c r="GVI95" s="366" t="e">
        <f>10/GVE93</f>
        <v>#DIV/0!</v>
      </c>
      <c r="GVJ95" s="367">
        <v>15.38</v>
      </c>
      <c r="GVK95" s="367" t="e">
        <f>GVH95*GVI95*GVJ95</f>
        <v>#DIV/0!</v>
      </c>
      <c r="GVL95" s="363" t="s">
        <v>153</v>
      </c>
      <c r="GVM95" s="363"/>
      <c r="GVN95" s="363"/>
      <c r="GVO95" s="364" t="s">
        <v>140</v>
      </c>
      <c r="GVP95" s="365">
        <v>0.5</v>
      </c>
      <c r="GVQ95" s="366" t="e">
        <f>10/GVM93</f>
        <v>#DIV/0!</v>
      </c>
      <c r="GVR95" s="367">
        <v>15.38</v>
      </c>
      <c r="GVS95" s="367" t="e">
        <f>GVP95*GVQ95*GVR95</f>
        <v>#DIV/0!</v>
      </c>
      <c r="GVT95" s="363" t="s">
        <v>153</v>
      </c>
      <c r="GVU95" s="363"/>
      <c r="GVV95" s="363"/>
      <c r="GVW95" s="364" t="s">
        <v>140</v>
      </c>
      <c r="GVX95" s="365">
        <v>0.5</v>
      </c>
      <c r="GVY95" s="366" t="e">
        <f>10/GVU93</f>
        <v>#DIV/0!</v>
      </c>
      <c r="GVZ95" s="367">
        <v>15.38</v>
      </c>
      <c r="GWA95" s="367" t="e">
        <f>GVX95*GVY95*GVZ95</f>
        <v>#DIV/0!</v>
      </c>
      <c r="GWB95" s="363" t="s">
        <v>153</v>
      </c>
      <c r="GWC95" s="363"/>
      <c r="GWD95" s="363"/>
      <c r="GWE95" s="364" t="s">
        <v>140</v>
      </c>
      <c r="GWF95" s="365">
        <v>0.5</v>
      </c>
      <c r="GWG95" s="366" t="e">
        <f>10/GWC93</f>
        <v>#DIV/0!</v>
      </c>
      <c r="GWH95" s="367">
        <v>15.38</v>
      </c>
      <c r="GWI95" s="367" t="e">
        <f>GWF95*GWG95*GWH95</f>
        <v>#DIV/0!</v>
      </c>
      <c r="GWJ95" s="363" t="s">
        <v>153</v>
      </c>
      <c r="GWK95" s="363"/>
      <c r="GWL95" s="363"/>
      <c r="GWM95" s="364" t="s">
        <v>140</v>
      </c>
      <c r="GWN95" s="365">
        <v>0.5</v>
      </c>
      <c r="GWO95" s="366" t="e">
        <f>10/GWK93</f>
        <v>#DIV/0!</v>
      </c>
      <c r="GWP95" s="367">
        <v>15.38</v>
      </c>
      <c r="GWQ95" s="367" t="e">
        <f>GWN95*GWO95*GWP95</f>
        <v>#DIV/0!</v>
      </c>
      <c r="GWR95" s="363" t="s">
        <v>153</v>
      </c>
      <c r="GWS95" s="363"/>
      <c r="GWT95" s="363"/>
      <c r="GWU95" s="364" t="s">
        <v>140</v>
      </c>
      <c r="GWV95" s="365">
        <v>0.5</v>
      </c>
      <c r="GWW95" s="366" t="e">
        <f>10/GWS93</f>
        <v>#DIV/0!</v>
      </c>
      <c r="GWX95" s="367">
        <v>15.38</v>
      </c>
      <c r="GWY95" s="367" t="e">
        <f>GWV95*GWW95*GWX95</f>
        <v>#DIV/0!</v>
      </c>
      <c r="GWZ95" s="363" t="s">
        <v>153</v>
      </c>
      <c r="GXA95" s="363"/>
      <c r="GXB95" s="363"/>
      <c r="GXC95" s="364" t="s">
        <v>140</v>
      </c>
      <c r="GXD95" s="365">
        <v>0.5</v>
      </c>
      <c r="GXE95" s="366" t="e">
        <f>10/GXA93</f>
        <v>#DIV/0!</v>
      </c>
      <c r="GXF95" s="367">
        <v>15.38</v>
      </c>
      <c r="GXG95" s="367" t="e">
        <f>GXD95*GXE95*GXF95</f>
        <v>#DIV/0!</v>
      </c>
      <c r="GXH95" s="363" t="s">
        <v>153</v>
      </c>
      <c r="GXI95" s="363"/>
      <c r="GXJ95" s="363"/>
      <c r="GXK95" s="364" t="s">
        <v>140</v>
      </c>
      <c r="GXL95" s="365">
        <v>0.5</v>
      </c>
      <c r="GXM95" s="366" t="e">
        <f>10/GXI93</f>
        <v>#DIV/0!</v>
      </c>
      <c r="GXN95" s="367">
        <v>15.38</v>
      </c>
      <c r="GXO95" s="367" t="e">
        <f>GXL95*GXM95*GXN95</f>
        <v>#DIV/0!</v>
      </c>
      <c r="GXP95" s="363" t="s">
        <v>153</v>
      </c>
      <c r="GXQ95" s="363"/>
      <c r="GXR95" s="363"/>
      <c r="GXS95" s="364" t="s">
        <v>140</v>
      </c>
      <c r="GXT95" s="365">
        <v>0.5</v>
      </c>
      <c r="GXU95" s="366" t="e">
        <f>10/GXQ93</f>
        <v>#DIV/0!</v>
      </c>
      <c r="GXV95" s="367">
        <v>15.38</v>
      </c>
      <c r="GXW95" s="367" t="e">
        <f>GXT95*GXU95*GXV95</f>
        <v>#DIV/0!</v>
      </c>
      <c r="GXX95" s="363" t="s">
        <v>153</v>
      </c>
      <c r="GXY95" s="363"/>
      <c r="GXZ95" s="363"/>
      <c r="GYA95" s="364" t="s">
        <v>140</v>
      </c>
      <c r="GYB95" s="365">
        <v>0.5</v>
      </c>
      <c r="GYC95" s="366" t="e">
        <f>10/GXY93</f>
        <v>#DIV/0!</v>
      </c>
      <c r="GYD95" s="367">
        <v>15.38</v>
      </c>
      <c r="GYE95" s="367" t="e">
        <f>GYB95*GYC95*GYD95</f>
        <v>#DIV/0!</v>
      </c>
      <c r="GYF95" s="363" t="s">
        <v>153</v>
      </c>
      <c r="GYG95" s="363"/>
      <c r="GYH95" s="363"/>
      <c r="GYI95" s="364" t="s">
        <v>140</v>
      </c>
      <c r="GYJ95" s="365">
        <v>0.5</v>
      </c>
      <c r="GYK95" s="366" t="e">
        <f>10/GYG93</f>
        <v>#DIV/0!</v>
      </c>
      <c r="GYL95" s="367">
        <v>15.38</v>
      </c>
      <c r="GYM95" s="367" t="e">
        <f>GYJ95*GYK95*GYL95</f>
        <v>#DIV/0!</v>
      </c>
      <c r="GYN95" s="363" t="s">
        <v>153</v>
      </c>
      <c r="GYO95" s="363"/>
      <c r="GYP95" s="363"/>
      <c r="GYQ95" s="364" t="s">
        <v>140</v>
      </c>
      <c r="GYR95" s="365">
        <v>0.5</v>
      </c>
      <c r="GYS95" s="366" t="e">
        <f>10/GYO93</f>
        <v>#DIV/0!</v>
      </c>
      <c r="GYT95" s="367">
        <v>15.38</v>
      </c>
      <c r="GYU95" s="367" t="e">
        <f>GYR95*GYS95*GYT95</f>
        <v>#DIV/0!</v>
      </c>
      <c r="GYV95" s="363" t="s">
        <v>153</v>
      </c>
      <c r="GYW95" s="363"/>
      <c r="GYX95" s="363"/>
      <c r="GYY95" s="364" t="s">
        <v>140</v>
      </c>
      <c r="GYZ95" s="365">
        <v>0.5</v>
      </c>
      <c r="GZA95" s="366" t="e">
        <f>10/GYW93</f>
        <v>#DIV/0!</v>
      </c>
      <c r="GZB95" s="367">
        <v>15.38</v>
      </c>
      <c r="GZC95" s="367" t="e">
        <f>GYZ95*GZA95*GZB95</f>
        <v>#DIV/0!</v>
      </c>
      <c r="GZD95" s="363" t="s">
        <v>153</v>
      </c>
      <c r="GZE95" s="363"/>
      <c r="GZF95" s="363"/>
      <c r="GZG95" s="364" t="s">
        <v>140</v>
      </c>
      <c r="GZH95" s="365">
        <v>0.5</v>
      </c>
      <c r="GZI95" s="366" t="e">
        <f>10/GZE93</f>
        <v>#DIV/0!</v>
      </c>
      <c r="GZJ95" s="367">
        <v>15.38</v>
      </c>
      <c r="GZK95" s="367" t="e">
        <f>GZH95*GZI95*GZJ95</f>
        <v>#DIV/0!</v>
      </c>
      <c r="GZL95" s="363" t="s">
        <v>153</v>
      </c>
      <c r="GZM95" s="363"/>
      <c r="GZN95" s="363"/>
      <c r="GZO95" s="364" t="s">
        <v>140</v>
      </c>
      <c r="GZP95" s="365">
        <v>0.5</v>
      </c>
      <c r="GZQ95" s="366" t="e">
        <f>10/GZM93</f>
        <v>#DIV/0!</v>
      </c>
      <c r="GZR95" s="367">
        <v>15.38</v>
      </c>
      <c r="GZS95" s="367" t="e">
        <f>GZP95*GZQ95*GZR95</f>
        <v>#DIV/0!</v>
      </c>
      <c r="GZT95" s="363" t="s">
        <v>153</v>
      </c>
      <c r="GZU95" s="363"/>
      <c r="GZV95" s="363"/>
      <c r="GZW95" s="364" t="s">
        <v>140</v>
      </c>
      <c r="GZX95" s="365">
        <v>0.5</v>
      </c>
      <c r="GZY95" s="366" t="e">
        <f>10/GZU93</f>
        <v>#DIV/0!</v>
      </c>
      <c r="GZZ95" s="367">
        <v>15.38</v>
      </c>
      <c r="HAA95" s="367" t="e">
        <f>GZX95*GZY95*GZZ95</f>
        <v>#DIV/0!</v>
      </c>
      <c r="HAB95" s="363" t="s">
        <v>153</v>
      </c>
      <c r="HAC95" s="363"/>
      <c r="HAD95" s="363"/>
      <c r="HAE95" s="364" t="s">
        <v>140</v>
      </c>
      <c r="HAF95" s="365">
        <v>0.5</v>
      </c>
      <c r="HAG95" s="366" t="e">
        <f>10/HAC93</f>
        <v>#DIV/0!</v>
      </c>
      <c r="HAH95" s="367">
        <v>15.38</v>
      </c>
      <c r="HAI95" s="367" t="e">
        <f>HAF95*HAG95*HAH95</f>
        <v>#DIV/0!</v>
      </c>
      <c r="HAJ95" s="363" t="s">
        <v>153</v>
      </c>
      <c r="HAK95" s="363"/>
      <c r="HAL95" s="363"/>
      <c r="HAM95" s="364" t="s">
        <v>140</v>
      </c>
      <c r="HAN95" s="365">
        <v>0.5</v>
      </c>
      <c r="HAO95" s="366" t="e">
        <f>10/HAK93</f>
        <v>#DIV/0!</v>
      </c>
      <c r="HAP95" s="367">
        <v>15.38</v>
      </c>
      <c r="HAQ95" s="367" t="e">
        <f>HAN95*HAO95*HAP95</f>
        <v>#DIV/0!</v>
      </c>
      <c r="HAR95" s="363" t="s">
        <v>153</v>
      </c>
      <c r="HAS95" s="363"/>
      <c r="HAT95" s="363"/>
      <c r="HAU95" s="364" t="s">
        <v>140</v>
      </c>
      <c r="HAV95" s="365">
        <v>0.5</v>
      </c>
      <c r="HAW95" s="366" t="e">
        <f>10/HAS93</f>
        <v>#DIV/0!</v>
      </c>
      <c r="HAX95" s="367">
        <v>15.38</v>
      </c>
      <c r="HAY95" s="367" t="e">
        <f>HAV95*HAW95*HAX95</f>
        <v>#DIV/0!</v>
      </c>
      <c r="HAZ95" s="363" t="s">
        <v>153</v>
      </c>
      <c r="HBA95" s="363"/>
      <c r="HBB95" s="363"/>
      <c r="HBC95" s="364" t="s">
        <v>140</v>
      </c>
      <c r="HBD95" s="365">
        <v>0.5</v>
      </c>
      <c r="HBE95" s="366" t="e">
        <f>10/HBA93</f>
        <v>#DIV/0!</v>
      </c>
      <c r="HBF95" s="367">
        <v>15.38</v>
      </c>
      <c r="HBG95" s="367" t="e">
        <f>HBD95*HBE95*HBF95</f>
        <v>#DIV/0!</v>
      </c>
      <c r="HBH95" s="363" t="s">
        <v>153</v>
      </c>
      <c r="HBI95" s="363"/>
      <c r="HBJ95" s="363"/>
      <c r="HBK95" s="364" t="s">
        <v>140</v>
      </c>
      <c r="HBL95" s="365">
        <v>0.5</v>
      </c>
      <c r="HBM95" s="366" t="e">
        <f>10/HBI93</f>
        <v>#DIV/0!</v>
      </c>
      <c r="HBN95" s="367">
        <v>15.38</v>
      </c>
      <c r="HBO95" s="367" t="e">
        <f>HBL95*HBM95*HBN95</f>
        <v>#DIV/0!</v>
      </c>
      <c r="HBP95" s="363" t="s">
        <v>153</v>
      </c>
      <c r="HBQ95" s="363"/>
      <c r="HBR95" s="363"/>
      <c r="HBS95" s="364" t="s">
        <v>140</v>
      </c>
      <c r="HBT95" s="365">
        <v>0.5</v>
      </c>
      <c r="HBU95" s="366" t="e">
        <f>10/HBQ93</f>
        <v>#DIV/0!</v>
      </c>
      <c r="HBV95" s="367">
        <v>15.38</v>
      </c>
      <c r="HBW95" s="367" t="e">
        <f>HBT95*HBU95*HBV95</f>
        <v>#DIV/0!</v>
      </c>
      <c r="HBX95" s="363" t="s">
        <v>153</v>
      </c>
      <c r="HBY95" s="363"/>
      <c r="HBZ95" s="363"/>
      <c r="HCA95" s="364" t="s">
        <v>140</v>
      </c>
      <c r="HCB95" s="365">
        <v>0.5</v>
      </c>
      <c r="HCC95" s="366" t="e">
        <f>10/HBY93</f>
        <v>#DIV/0!</v>
      </c>
      <c r="HCD95" s="367">
        <v>15.38</v>
      </c>
      <c r="HCE95" s="367" t="e">
        <f>HCB95*HCC95*HCD95</f>
        <v>#DIV/0!</v>
      </c>
      <c r="HCF95" s="363" t="s">
        <v>153</v>
      </c>
      <c r="HCG95" s="363"/>
      <c r="HCH95" s="363"/>
      <c r="HCI95" s="364" t="s">
        <v>140</v>
      </c>
      <c r="HCJ95" s="365">
        <v>0.5</v>
      </c>
      <c r="HCK95" s="366" t="e">
        <f>10/HCG93</f>
        <v>#DIV/0!</v>
      </c>
      <c r="HCL95" s="367">
        <v>15.38</v>
      </c>
      <c r="HCM95" s="367" t="e">
        <f>HCJ95*HCK95*HCL95</f>
        <v>#DIV/0!</v>
      </c>
      <c r="HCN95" s="363" t="s">
        <v>153</v>
      </c>
      <c r="HCO95" s="363"/>
      <c r="HCP95" s="363"/>
      <c r="HCQ95" s="364" t="s">
        <v>140</v>
      </c>
      <c r="HCR95" s="365">
        <v>0.5</v>
      </c>
      <c r="HCS95" s="366" t="e">
        <f>10/HCO93</f>
        <v>#DIV/0!</v>
      </c>
      <c r="HCT95" s="367">
        <v>15.38</v>
      </c>
      <c r="HCU95" s="367" t="e">
        <f>HCR95*HCS95*HCT95</f>
        <v>#DIV/0!</v>
      </c>
      <c r="HCV95" s="363" t="s">
        <v>153</v>
      </c>
      <c r="HCW95" s="363"/>
      <c r="HCX95" s="363"/>
      <c r="HCY95" s="364" t="s">
        <v>140</v>
      </c>
      <c r="HCZ95" s="365">
        <v>0.5</v>
      </c>
      <c r="HDA95" s="366" t="e">
        <f>10/HCW93</f>
        <v>#DIV/0!</v>
      </c>
      <c r="HDB95" s="367">
        <v>15.38</v>
      </c>
      <c r="HDC95" s="367" t="e">
        <f>HCZ95*HDA95*HDB95</f>
        <v>#DIV/0!</v>
      </c>
      <c r="HDD95" s="363" t="s">
        <v>153</v>
      </c>
      <c r="HDE95" s="363"/>
      <c r="HDF95" s="363"/>
      <c r="HDG95" s="364" t="s">
        <v>140</v>
      </c>
      <c r="HDH95" s="365">
        <v>0.5</v>
      </c>
      <c r="HDI95" s="366" t="e">
        <f>10/HDE93</f>
        <v>#DIV/0!</v>
      </c>
      <c r="HDJ95" s="367">
        <v>15.38</v>
      </c>
      <c r="HDK95" s="367" t="e">
        <f>HDH95*HDI95*HDJ95</f>
        <v>#DIV/0!</v>
      </c>
      <c r="HDL95" s="363" t="s">
        <v>153</v>
      </c>
      <c r="HDM95" s="363"/>
      <c r="HDN95" s="363"/>
      <c r="HDO95" s="364" t="s">
        <v>140</v>
      </c>
      <c r="HDP95" s="365">
        <v>0.5</v>
      </c>
      <c r="HDQ95" s="366" t="e">
        <f>10/HDM93</f>
        <v>#DIV/0!</v>
      </c>
      <c r="HDR95" s="367">
        <v>15.38</v>
      </c>
      <c r="HDS95" s="367" t="e">
        <f>HDP95*HDQ95*HDR95</f>
        <v>#DIV/0!</v>
      </c>
      <c r="HDT95" s="363" t="s">
        <v>153</v>
      </c>
      <c r="HDU95" s="363"/>
      <c r="HDV95" s="363"/>
      <c r="HDW95" s="364" t="s">
        <v>140</v>
      </c>
      <c r="HDX95" s="365">
        <v>0.5</v>
      </c>
      <c r="HDY95" s="366" t="e">
        <f>10/HDU93</f>
        <v>#DIV/0!</v>
      </c>
      <c r="HDZ95" s="367">
        <v>15.38</v>
      </c>
      <c r="HEA95" s="367" t="e">
        <f>HDX95*HDY95*HDZ95</f>
        <v>#DIV/0!</v>
      </c>
      <c r="HEB95" s="363" t="s">
        <v>153</v>
      </c>
      <c r="HEC95" s="363"/>
      <c r="HED95" s="363"/>
      <c r="HEE95" s="364" t="s">
        <v>140</v>
      </c>
      <c r="HEF95" s="365">
        <v>0.5</v>
      </c>
      <c r="HEG95" s="366" t="e">
        <f>10/HEC93</f>
        <v>#DIV/0!</v>
      </c>
      <c r="HEH95" s="367">
        <v>15.38</v>
      </c>
      <c r="HEI95" s="367" t="e">
        <f>HEF95*HEG95*HEH95</f>
        <v>#DIV/0!</v>
      </c>
      <c r="HEJ95" s="363" t="s">
        <v>153</v>
      </c>
      <c r="HEK95" s="363"/>
      <c r="HEL95" s="363"/>
      <c r="HEM95" s="364" t="s">
        <v>140</v>
      </c>
      <c r="HEN95" s="365">
        <v>0.5</v>
      </c>
      <c r="HEO95" s="366" t="e">
        <f>10/HEK93</f>
        <v>#DIV/0!</v>
      </c>
      <c r="HEP95" s="367">
        <v>15.38</v>
      </c>
      <c r="HEQ95" s="367" t="e">
        <f>HEN95*HEO95*HEP95</f>
        <v>#DIV/0!</v>
      </c>
      <c r="HER95" s="363" t="s">
        <v>153</v>
      </c>
      <c r="HES95" s="363"/>
      <c r="HET95" s="363"/>
      <c r="HEU95" s="364" t="s">
        <v>140</v>
      </c>
      <c r="HEV95" s="365">
        <v>0.5</v>
      </c>
      <c r="HEW95" s="366" t="e">
        <f>10/HES93</f>
        <v>#DIV/0!</v>
      </c>
      <c r="HEX95" s="367">
        <v>15.38</v>
      </c>
      <c r="HEY95" s="367" t="e">
        <f>HEV95*HEW95*HEX95</f>
        <v>#DIV/0!</v>
      </c>
      <c r="HEZ95" s="363" t="s">
        <v>153</v>
      </c>
      <c r="HFA95" s="363"/>
      <c r="HFB95" s="363"/>
      <c r="HFC95" s="364" t="s">
        <v>140</v>
      </c>
      <c r="HFD95" s="365">
        <v>0.5</v>
      </c>
      <c r="HFE95" s="366" t="e">
        <f>10/HFA93</f>
        <v>#DIV/0!</v>
      </c>
      <c r="HFF95" s="367">
        <v>15.38</v>
      </c>
      <c r="HFG95" s="367" t="e">
        <f>HFD95*HFE95*HFF95</f>
        <v>#DIV/0!</v>
      </c>
      <c r="HFH95" s="363" t="s">
        <v>153</v>
      </c>
      <c r="HFI95" s="363"/>
      <c r="HFJ95" s="363"/>
      <c r="HFK95" s="364" t="s">
        <v>140</v>
      </c>
      <c r="HFL95" s="365">
        <v>0.5</v>
      </c>
      <c r="HFM95" s="366" t="e">
        <f>10/HFI93</f>
        <v>#DIV/0!</v>
      </c>
      <c r="HFN95" s="367">
        <v>15.38</v>
      </c>
      <c r="HFO95" s="367" t="e">
        <f>HFL95*HFM95*HFN95</f>
        <v>#DIV/0!</v>
      </c>
      <c r="HFP95" s="363" t="s">
        <v>153</v>
      </c>
      <c r="HFQ95" s="363"/>
      <c r="HFR95" s="363"/>
      <c r="HFS95" s="364" t="s">
        <v>140</v>
      </c>
      <c r="HFT95" s="365">
        <v>0.5</v>
      </c>
      <c r="HFU95" s="366" t="e">
        <f>10/HFQ93</f>
        <v>#DIV/0!</v>
      </c>
      <c r="HFV95" s="367">
        <v>15.38</v>
      </c>
      <c r="HFW95" s="367" t="e">
        <f>HFT95*HFU95*HFV95</f>
        <v>#DIV/0!</v>
      </c>
      <c r="HFX95" s="363" t="s">
        <v>153</v>
      </c>
      <c r="HFY95" s="363"/>
      <c r="HFZ95" s="363"/>
      <c r="HGA95" s="364" t="s">
        <v>140</v>
      </c>
      <c r="HGB95" s="365">
        <v>0.5</v>
      </c>
      <c r="HGC95" s="366" t="e">
        <f>10/HFY93</f>
        <v>#DIV/0!</v>
      </c>
      <c r="HGD95" s="367">
        <v>15.38</v>
      </c>
      <c r="HGE95" s="367" t="e">
        <f>HGB95*HGC95*HGD95</f>
        <v>#DIV/0!</v>
      </c>
      <c r="HGF95" s="363" t="s">
        <v>153</v>
      </c>
      <c r="HGG95" s="363"/>
      <c r="HGH95" s="363"/>
      <c r="HGI95" s="364" t="s">
        <v>140</v>
      </c>
      <c r="HGJ95" s="365">
        <v>0.5</v>
      </c>
      <c r="HGK95" s="366" t="e">
        <f>10/HGG93</f>
        <v>#DIV/0!</v>
      </c>
      <c r="HGL95" s="367">
        <v>15.38</v>
      </c>
      <c r="HGM95" s="367" t="e">
        <f>HGJ95*HGK95*HGL95</f>
        <v>#DIV/0!</v>
      </c>
      <c r="HGN95" s="363" t="s">
        <v>153</v>
      </c>
      <c r="HGO95" s="363"/>
      <c r="HGP95" s="363"/>
      <c r="HGQ95" s="364" t="s">
        <v>140</v>
      </c>
      <c r="HGR95" s="365">
        <v>0.5</v>
      </c>
      <c r="HGS95" s="366" t="e">
        <f>10/HGO93</f>
        <v>#DIV/0!</v>
      </c>
      <c r="HGT95" s="367">
        <v>15.38</v>
      </c>
      <c r="HGU95" s="367" t="e">
        <f>HGR95*HGS95*HGT95</f>
        <v>#DIV/0!</v>
      </c>
      <c r="HGV95" s="363" t="s">
        <v>153</v>
      </c>
      <c r="HGW95" s="363"/>
      <c r="HGX95" s="363"/>
      <c r="HGY95" s="364" t="s">
        <v>140</v>
      </c>
      <c r="HGZ95" s="365">
        <v>0.5</v>
      </c>
      <c r="HHA95" s="366" t="e">
        <f>10/HGW93</f>
        <v>#DIV/0!</v>
      </c>
      <c r="HHB95" s="367">
        <v>15.38</v>
      </c>
      <c r="HHC95" s="367" t="e">
        <f>HGZ95*HHA95*HHB95</f>
        <v>#DIV/0!</v>
      </c>
      <c r="HHD95" s="363" t="s">
        <v>153</v>
      </c>
      <c r="HHE95" s="363"/>
      <c r="HHF95" s="363"/>
      <c r="HHG95" s="364" t="s">
        <v>140</v>
      </c>
      <c r="HHH95" s="365">
        <v>0.5</v>
      </c>
      <c r="HHI95" s="366" t="e">
        <f>10/HHE93</f>
        <v>#DIV/0!</v>
      </c>
      <c r="HHJ95" s="367">
        <v>15.38</v>
      </c>
      <c r="HHK95" s="367" t="e">
        <f>HHH95*HHI95*HHJ95</f>
        <v>#DIV/0!</v>
      </c>
      <c r="HHL95" s="363" t="s">
        <v>153</v>
      </c>
      <c r="HHM95" s="363"/>
      <c r="HHN95" s="363"/>
      <c r="HHO95" s="364" t="s">
        <v>140</v>
      </c>
      <c r="HHP95" s="365">
        <v>0.5</v>
      </c>
      <c r="HHQ95" s="366" t="e">
        <f>10/HHM93</f>
        <v>#DIV/0!</v>
      </c>
      <c r="HHR95" s="367">
        <v>15.38</v>
      </c>
      <c r="HHS95" s="367" t="e">
        <f>HHP95*HHQ95*HHR95</f>
        <v>#DIV/0!</v>
      </c>
      <c r="HHT95" s="363" t="s">
        <v>153</v>
      </c>
      <c r="HHU95" s="363"/>
      <c r="HHV95" s="363"/>
      <c r="HHW95" s="364" t="s">
        <v>140</v>
      </c>
      <c r="HHX95" s="365">
        <v>0.5</v>
      </c>
      <c r="HHY95" s="366" t="e">
        <f>10/HHU93</f>
        <v>#DIV/0!</v>
      </c>
      <c r="HHZ95" s="367">
        <v>15.38</v>
      </c>
      <c r="HIA95" s="367" t="e">
        <f>HHX95*HHY95*HHZ95</f>
        <v>#DIV/0!</v>
      </c>
      <c r="HIB95" s="363" t="s">
        <v>153</v>
      </c>
      <c r="HIC95" s="363"/>
      <c r="HID95" s="363"/>
      <c r="HIE95" s="364" t="s">
        <v>140</v>
      </c>
      <c r="HIF95" s="365">
        <v>0.5</v>
      </c>
      <c r="HIG95" s="366" t="e">
        <f>10/HIC93</f>
        <v>#DIV/0!</v>
      </c>
      <c r="HIH95" s="367">
        <v>15.38</v>
      </c>
      <c r="HII95" s="367" t="e">
        <f>HIF95*HIG95*HIH95</f>
        <v>#DIV/0!</v>
      </c>
      <c r="HIJ95" s="363" t="s">
        <v>153</v>
      </c>
      <c r="HIK95" s="363"/>
      <c r="HIL95" s="363"/>
      <c r="HIM95" s="364" t="s">
        <v>140</v>
      </c>
      <c r="HIN95" s="365">
        <v>0.5</v>
      </c>
      <c r="HIO95" s="366" t="e">
        <f>10/HIK93</f>
        <v>#DIV/0!</v>
      </c>
      <c r="HIP95" s="367">
        <v>15.38</v>
      </c>
      <c r="HIQ95" s="367" t="e">
        <f>HIN95*HIO95*HIP95</f>
        <v>#DIV/0!</v>
      </c>
      <c r="HIR95" s="363" t="s">
        <v>153</v>
      </c>
      <c r="HIS95" s="363"/>
      <c r="HIT95" s="363"/>
      <c r="HIU95" s="364" t="s">
        <v>140</v>
      </c>
      <c r="HIV95" s="365">
        <v>0.5</v>
      </c>
      <c r="HIW95" s="366" t="e">
        <f>10/HIS93</f>
        <v>#DIV/0!</v>
      </c>
      <c r="HIX95" s="367">
        <v>15.38</v>
      </c>
      <c r="HIY95" s="367" t="e">
        <f>HIV95*HIW95*HIX95</f>
        <v>#DIV/0!</v>
      </c>
      <c r="HIZ95" s="363" t="s">
        <v>153</v>
      </c>
      <c r="HJA95" s="363"/>
      <c r="HJB95" s="363"/>
      <c r="HJC95" s="364" t="s">
        <v>140</v>
      </c>
      <c r="HJD95" s="365">
        <v>0.5</v>
      </c>
      <c r="HJE95" s="366" t="e">
        <f>10/HJA93</f>
        <v>#DIV/0!</v>
      </c>
      <c r="HJF95" s="367">
        <v>15.38</v>
      </c>
      <c r="HJG95" s="367" t="e">
        <f>HJD95*HJE95*HJF95</f>
        <v>#DIV/0!</v>
      </c>
      <c r="HJH95" s="363" t="s">
        <v>153</v>
      </c>
      <c r="HJI95" s="363"/>
      <c r="HJJ95" s="363"/>
      <c r="HJK95" s="364" t="s">
        <v>140</v>
      </c>
      <c r="HJL95" s="365">
        <v>0.5</v>
      </c>
      <c r="HJM95" s="366" t="e">
        <f>10/HJI93</f>
        <v>#DIV/0!</v>
      </c>
      <c r="HJN95" s="367">
        <v>15.38</v>
      </c>
      <c r="HJO95" s="367" t="e">
        <f>HJL95*HJM95*HJN95</f>
        <v>#DIV/0!</v>
      </c>
      <c r="HJP95" s="363" t="s">
        <v>153</v>
      </c>
      <c r="HJQ95" s="363"/>
      <c r="HJR95" s="363"/>
      <c r="HJS95" s="364" t="s">
        <v>140</v>
      </c>
      <c r="HJT95" s="365">
        <v>0.5</v>
      </c>
      <c r="HJU95" s="366" t="e">
        <f>10/HJQ93</f>
        <v>#DIV/0!</v>
      </c>
      <c r="HJV95" s="367">
        <v>15.38</v>
      </c>
      <c r="HJW95" s="367" t="e">
        <f>HJT95*HJU95*HJV95</f>
        <v>#DIV/0!</v>
      </c>
      <c r="HJX95" s="363" t="s">
        <v>153</v>
      </c>
      <c r="HJY95" s="363"/>
      <c r="HJZ95" s="363"/>
      <c r="HKA95" s="364" t="s">
        <v>140</v>
      </c>
      <c r="HKB95" s="365">
        <v>0.5</v>
      </c>
      <c r="HKC95" s="366" t="e">
        <f>10/HJY93</f>
        <v>#DIV/0!</v>
      </c>
      <c r="HKD95" s="367">
        <v>15.38</v>
      </c>
      <c r="HKE95" s="367" t="e">
        <f>HKB95*HKC95*HKD95</f>
        <v>#DIV/0!</v>
      </c>
      <c r="HKF95" s="363" t="s">
        <v>153</v>
      </c>
      <c r="HKG95" s="363"/>
      <c r="HKH95" s="363"/>
      <c r="HKI95" s="364" t="s">
        <v>140</v>
      </c>
      <c r="HKJ95" s="365">
        <v>0.5</v>
      </c>
      <c r="HKK95" s="366" t="e">
        <f>10/HKG93</f>
        <v>#DIV/0!</v>
      </c>
      <c r="HKL95" s="367">
        <v>15.38</v>
      </c>
      <c r="HKM95" s="367" t="e">
        <f>HKJ95*HKK95*HKL95</f>
        <v>#DIV/0!</v>
      </c>
      <c r="HKN95" s="363" t="s">
        <v>153</v>
      </c>
      <c r="HKO95" s="363"/>
      <c r="HKP95" s="363"/>
      <c r="HKQ95" s="364" t="s">
        <v>140</v>
      </c>
      <c r="HKR95" s="365">
        <v>0.5</v>
      </c>
      <c r="HKS95" s="366" t="e">
        <f>10/HKO93</f>
        <v>#DIV/0!</v>
      </c>
      <c r="HKT95" s="367">
        <v>15.38</v>
      </c>
      <c r="HKU95" s="367" t="e">
        <f>HKR95*HKS95*HKT95</f>
        <v>#DIV/0!</v>
      </c>
      <c r="HKV95" s="363" t="s">
        <v>153</v>
      </c>
      <c r="HKW95" s="363"/>
      <c r="HKX95" s="363"/>
      <c r="HKY95" s="364" t="s">
        <v>140</v>
      </c>
      <c r="HKZ95" s="365">
        <v>0.5</v>
      </c>
      <c r="HLA95" s="366" t="e">
        <f>10/HKW93</f>
        <v>#DIV/0!</v>
      </c>
      <c r="HLB95" s="367">
        <v>15.38</v>
      </c>
      <c r="HLC95" s="367" t="e">
        <f>HKZ95*HLA95*HLB95</f>
        <v>#DIV/0!</v>
      </c>
      <c r="HLD95" s="363" t="s">
        <v>153</v>
      </c>
      <c r="HLE95" s="363"/>
      <c r="HLF95" s="363"/>
      <c r="HLG95" s="364" t="s">
        <v>140</v>
      </c>
      <c r="HLH95" s="365">
        <v>0.5</v>
      </c>
      <c r="HLI95" s="366" t="e">
        <f>10/HLE93</f>
        <v>#DIV/0!</v>
      </c>
      <c r="HLJ95" s="367">
        <v>15.38</v>
      </c>
      <c r="HLK95" s="367" t="e">
        <f>HLH95*HLI95*HLJ95</f>
        <v>#DIV/0!</v>
      </c>
      <c r="HLL95" s="363" t="s">
        <v>153</v>
      </c>
      <c r="HLM95" s="363"/>
      <c r="HLN95" s="363"/>
      <c r="HLO95" s="364" t="s">
        <v>140</v>
      </c>
      <c r="HLP95" s="365">
        <v>0.5</v>
      </c>
      <c r="HLQ95" s="366" t="e">
        <f>10/HLM93</f>
        <v>#DIV/0!</v>
      </c>
      <c r="HLR95" s="367">
        <v>15.38</v>
      </c>
      <c r="HLS95" s="367" t="e">
        <f>HLP95*HLQ95*HLR95</f>
        <v>#DIV/0!</v>
      </c>
      <c r="HLT95" s="363" t="s">
        <v>153</v>
      </c>
      <c r="HLU95" s="363"/>
      <c r="HLV95" s="363"/>
      <c r="HLW95" s="364" t="s">
        <v>140</v>
      </c>
      <c r="HLX95" s="365">
        <v>0.5</v>
      </c>
      <c r="HLY95" s="366" t="e">
        <f>10/HLU93</f>
        <v>#DIV/0!</v>
      </c>
      <c r="HLZ95" s="367">
        <v>15.38</v>
      </c>
      <c r="HMA95" s="367" t="e">
        <f>HLX95*HLY95*HLZ95</f>
        <v>#DIV/0!</v>
      </c>
      <c r="HMB95" s="363" t="s">
        <v>153</v>
      </c>
      <c r="HMC95" s="363"/>
      <c r="HMD95" s="363"/>
      <c r="HME95" s="364" t="s">
        <v>140</v>
      </c>
      <c r="HMF95" s="365">
        <v>0.5</v>
      </c>
      <c r="HMG95" s="366" t="e">
        <f>10/HMC93</f>
        <v>#DIV/0!</v>
      </c>
      <c r="HMH95" s="367">
        <v>15.38</v>
      </c>
      <c r="HMI95" s="367" t="e">
        <f>HMF95*HMG95*HMH95</f>
        <v>#DIV/0!</v>
      </c>
      <c r="HMJ95" s="363" t="s">
        <v>153</v>
      </c>
      <c r="HMK95" s="363"/>
      <c r="HML95" s="363"/>
      <c r="HMM95" s="364" t="s">
        <v>140</v>
      </c>
      <c r="HMN95" s="365">
        <v>0.5</v>
      </c>
      <c r="HMO95" s="366" t="e">
        <f>10/HMK93</f>
        <v>#DIV/0!</v>
      </c>
      <c r="HMP95" s="367">
        <v>15.38</v>
      </c>
      <c r="HMQ95" s="367" t="e">
        <f>HMN95*HMO95*HMP95</f>
        <v>#DIV/0!</v>
      </c>
      <c r="HMR95" s="363" t="s">
        <v>153</v>
      </c>
      <c r="HMS95" s="363"/>
      <c r="HMT95" s="363"/>
      <c r="HMU95" s="364" t="s">
        <v>140</v>
      </c>
      <c r="HMV95" s="365">
        <v>0.5</v>
      </c>
      <c r="HMW95" s="366" t="e">
        <f>10/HMS93</f>
        <v>#DIV/0!</v>
      </c>
      <c r="HMX95" s="367">
        <v>15.38</v>
      </c>
      <c r="HMY95" s="367" t="e">
        <f>HMV95*HMW95*HMX95</f>
        <v>#DIV/0!</v>
      </c>
      <c r="HMZ95" s="363" t="s">
        <v>153</v>
      </c>
      <c r="HNA95" s="363"/>
      <c r="HNB95" s="363"/>
      <c r="HNC95" s="364" t="s">
        <v>140</v>
      </c>
      <c r="HND95" s="365">
        <v>0.5</v>
      </c>
      <c r="HNE95" s="366" t="e">
        <f>10/HNA93</f>
        <v>#DIV/0!</v>
      </c>
      <c r="HNF95" s="367">
        <v>15.38</v>
      </c>
      <c r="HNG95" s="367" t="e">
        <f>HND95*HNE95*HNF95</f>
        <v>#DIV/0!</v>
      </c>
      <c r="HNH95" s="363" t="s">
        <v>153</v>
      </c>
      <c r="HNI95" s="363"/>
      <c r="HNJ95" s="363"/>
      <c r="HNK95" s="364" t="s">
        <v>140</v>
      </c>
      <c r="HNL95" s="365">
        <v>0.5</v>
      </c>
      <c r="HNM95" s="366" t="e">
        <f>10/HNI93</f>
        <v>#DIV/0!</v>
      </c>
      <c r="HNN95" s="367">
        <v>15.38</v>
      </c>
      <c r="HNO95" s="367" t="e">
        <f>HNL95*HNM95*HNN95</f>
        <v>#DIV/0!</v>
      </c>
      <c r="HNP95" s="363" t="s">
        <v>153</v>
      </c>
      <c r="HNQ95" s="363"/>
      <c r="HNR95" s="363"/>
      <c r="HNS95" s="364" t="s">
        <v>140</v>
      </c>
      <c r="HNT95" s="365">
        <v>0.5</v>
      </c>
      <c r="HNU95" s="366" t="e">
        <f>10/HNQ93</f>
        <v>#DIV/0!</v>
      </c>
      <c r="HNV95" s="367">
        <v>15.38</v>
      </c>
      <c r="HNW95" s="367" t="e">
        <f>HNT95*HNU95*HNV95</f>
        <v>#DIV/0!</v>
      </c>
      <c r="HNX95" s="363" t="s">
        <v>153</v>
      </c>
      <c r="HNY95" s="363"/>
      <c r="HNZ95" s="363"/>
      <c r="HOA95" s="364" t="s">
        <v>140</v>
      </c>
      <c r="HOB95" s="365">
        <v>0.5</v>
      </c>
      <c r="HOC95" s="366" t="e">
        <f>10/HNY93</f>
        <v>#DIV/0!</v>
      </c>
      <c r="HOD95" s="367">
        <v>15.38</v>
      </c>
      <c r="HOE95" s="367" t="e">
        <f>HOB95*HOC95*HOD95</f>
        <v>#DIV/0!</v>
      </c>
      <c r="HOF95" s="363" t="s">
        <v>153</v>
      </c>
      <c r="HOG95" s="363"/>
      <c r="HOH95" s="363"/>
      <c r="HOI95" s="364" t="s">
        <v>140</v>
      </c>
      <c r="HOJ95" s="365">
        <v>0.5</v>
      </c>
      <c r="HOK95" s="366" t="e">
        <f>10/HOG93</f>
        <v>#DIV/0!</v>
      </c>
      <c r="HOL95" s="367">
        <v>15.38</v>
      </c>
      <c r="HOM95" s="367" t="e">
        <f>HOJ95*HOK95*HOL95</f>
        <v>#DIV/0!</v>
      </c>
      <c r="HON95" s="363" t="s">
        <v>153</v>
      </c>
      <c r="HOO95" s="363"/>
      <c r="HOP95" s="363"/>
      <c r="HOQ95" s="364" t="s">
        <v>140</v>
      </c>
      <c r="HOR95" s="365">
        <v>0.5</v>
      </c>
      <c r="HOS95" s="366" t="e">
        <f>10/HOO93</f>
        <v>#DIV/0!</v>
      </c>
      <c r="HOT95" s="367">
        <v>15.38</v>
      </c>
      <c r="HOU95" s="367" t="e">
        <f>HOR95*HOS95*HOT95</f>
        <v>#DIV/0!</v>
      </c>
      <c r="HOV95" s="363" t="s">
        <v>153</v>
      </c>
      <c r="HOW95" s="363"/>
      <c r="HOX95" s="363"/>
      <c r="HOY95" s="364" t="s">
        <v>140</v>
      </c>
      <c r="HOZ95" s="365">
        <v>0.5</v>
      </c>
      <c r="HPA95" s="366" t="e">
        <f>10/HOW93</f>
        <v>#DIV/0!</v>
      </c>
      <c r="HPB95" s="367">
        <v>15.38</v>
      </c>
      <c r="HPC95" s="367" t="e">
        <f>HOZ95*HPA95*HPB95</f>
        <v>#DIV/0!</v>
      </c>
      <c r="HPD95" s="363" t="s">
        <v>153</v>
      </c>
      <c r="HPE95" s="363"/>
      <c r="HPF95" s="363"/>
      <c r="HPG95" s="364" t="s">
        <v>140</v>
      </c>
      <c r="HPH95" s="365">
        <v>0.5</v>
      </c>
      <c r="HPI95" s="366" t="e">
        <f>10/HPE93</f>
        <v>#DIV/0!</v>
      </c>
      <c r="HPJ95" s="367">
        <v>15.38</v>
      </c>
      <c r="HPK95" s="367" t="e">
        <f>HPH95*HPI95*HPJ95</f>
        <v>#DIV/0!</v>
      </c>
      <c r="HPL95" s="363" t="s">
        <v>153</v>
      </c>
      <c r="HPM95" s="363"/>
      <c r="HPN95" s="363"/>
      <c r="HPO95" s="364" t="s">
        <v>140</v>
      </c>
      <c r="HPP95" s="365">
        <v>0.5</v>
      </c>
      <c r="HPQ95" s="366" t="e">
        <f>10/HPM93</f>
        <v>#DIV/0!</v>
      </c>
      <c r="HPR95" s="367">
        <v>15.38</v>
      </c>
      <c r="HPS95" s="367" t="e">
        <f>HPP95*HPQ95*HPR95</f>
        <v>#DIV/0!</v>
      </c>
      <c r="HPT95" s="363" t="s">
        <v>153</v>
      </c>
      <c r="HPU95" s="363"/>
      <c r="HPV95" s="363"/>
      <c r="HPW95" s="364" t="s">
        <v>140</v>
      </c>
      <c r="HPX95" s="365">
        <v>0.5</v>
      </c>
      <c r="HPY95" s="366" t="e">
        <f>10/HPU93</f>
        <v>#DIV/0!</v>
      </c>
      <c r="HPZ95" s="367">
        <v>15.38</v>
      </c>
      <c r="HQA95" s="367" t="e">
        <f>HPX95*HPY95*HPZ95</f>
        <v>#DIV/0!</v>
      </c>
      <c r="HQB95" s="363" t="s">
        <v>153</v>
      </c>
      <c r="HQC95" s="363"/>
      <c r="HQD95" s="363"/>
      <c r="HQE95" s="364" t="s">
        <v>140</v>
      </c>
      <c r="HQF95" s="365">
        <v>0.5</v>
      </c>
      <c r="HQG95" s="366" t="e">
        <f>10/HQC93</f>
        <v>#DIV/0!</v>
      </c>
      <c r="HQH95" s="367">
        <v>15.38</v>
      </c>
      <c r="HQI95" s="367" t="e">
        <f>HQF95*HQG95*HQH95</f>
        <v>#DIV/0!</v>
      </c>
      <c r="HQJ95" s="363" t="s">
        <v>153</v>
      </c>
      <c r="HQK95" s="363"/>
      <c r="HQL95" s="363"/>
      <c r="HQM95" s="364" t="s">
        <v>140</v>
      </c>
      <c r="HQN95" s="365">
        <v>0.5</v>
      </c>
      <c r="HQO95" s="366" t="e">
        <f>10/HQK93</f>
        <v>#DIV/0!</v>
      </c>
      <c r="HQP95" s="367">
        <v>15.38</v>
      </c>
      <c r="HQQ95" s="367" t="e">
        <f>HQN95*HQO95*HQP95</f>
        <v>#DIV/0!</v>
      </c>
      <c r="HQR95" s="363" t="s">
        <v>153</v>
      </c>
      <c r="HQS95" s="363"/>
      <c r="HQT95" s="363"/>
      <c r="HQU95" s="364" t="s">
        <v>140</v>
      </c>
      <c r="HQV95" s="365">
        <v>0.5</v>
      </c>
      <c r="HQW95" s="366" t="e">
        <f>10/HQS93</f>
        <v>#DIV/0!</v>
      </c>
      <c r="HQX95" s="367">
        <v>15.38</v>
      </c>
      <c r="HQY95" s="367" t="e">
        <f>HQV95*HQW95*HQX95</f>
        <v>#DIV/0!</v>
      </c>
      <c r="HQZ95" s="363" t="s">
        <v>153</v>
      </c>
      <c r="HRA95" s="363"/>
      <c r="HRB95" s="363"/>
      <c r="HRC95" s="364" t="s">
        <v>140</v>
      </c>
      <c r="HRD95" s="365">
        <v>0.5</v>
      </c>
      <c r="HRE95" s="366" t="e">
        <f>10/HRA93</f>
        <v>#DIV/0!</v>
      </c>
      <c r="HRF95" s="367">
        <v>15.38</v>
      </c>
      <c r="HRG95" s="367" t="e">
        <f>HRD95*HRE95*HRF95</f>
        <v>#DIV/0!</v>
      </c>
      <c r="HRH95" s="363" t="s">
        <v>153</v>
      </c>
      <c r="HRI95" s="363"/>
      <c r="HRJ95" s="363"/>
      <c r="HRK95" s="364" t="s">
        <v>140</v>
      </c>
      <c r="HRL95" s="365">
        <v>0.5</v>
      </c>
      <c r="HRM95" s="366" t="e">
        <f>10/HRI93</f>
        <v>#DIV/0!</v>
      </c>
      <c r="HRN95" s="367">
        <v>15.38</v>
      </c>
      <c r="HRO95" s="367" t="e">
        <f>HRL95*HRM95*HRN95</f>
        <v>#DIV/0!</v>
      </c>
      <c r="HRP95" s="363" t="s">
        <v>153</v>
      </c>
      <c r="HRQ95" s="363"/>
      <c r="HRR95" s="363"/>
      <c r="HRS95" s="364" t="s">
        <v>140</v>
      </c>
      <c r="HRT95" s="365">
        <v>0.5</v>
      </c>
      <c r="HRU95" s="366" t="e">
        <f>10/HRQ93</f>
        <v>#DIV/0!</v>
      </c>
      <c r="HRV95" s="367">
        <v>15.38</v>
      </c>
      <c r="HRW95" s="367" t="e">
        <f>HRT95*HRU95*HRV95</f>
        <v>#DIV/0!</v>
      </c>
      <c r="HRX95" s="363" t="s">
        <v>153</v>
      </c>
      <c r="HRY95" s="363"/>
      <c r="HRZ95" s="363"/>
      <c r="HSA95" s="364" t="s">
        <v>140</v>
      </c>
      <c r="HSB95" s="365">
        <v>0.5</v>
      </c>
      <c r="HSC95" s="366" t="e">
        <f>10/HRY93</f>
        <v>#DIV/0!</v>
      </c>
      <c r="HSD95" s="367">
        <v>15.38</v>
      </c>
      <c r="HSE95" s="367" t="e">
        <f>HSB95*HSC95*HSD95</f>
        <v>#DIV/0!</v>
      </c>
      <c r="HSF95" s="363" t="s">
        <v>153</v>
      </c>
      <c r="HSG95" s="363"/>
      <c r="HSH95" s="363"/>
      <c r="HSI95" s="364" t="s">
        <v>140</v>
      </c>
      <c r="HSJ95" s="365">
        <v>0.5</v>
      </c>
      <c r="HSK95" s="366" t="e">
        <f>10/HSG93</f>
        <v>#DIV/0!</v>
      </c>
      <c r="HSL95" s="367">
        <v>15.38</v>
      </c>
      <c r="HSM95" s="367" t="e">
        <f>HSJ95*HSK95*HSL95</f>
        <v>#DIV/0!</v>
      </c>
      <c r="HSN95" s="363" t="s">
        <v>153</v>
      </c>
      <c r="HSO95" s="363"/>
      <c r="HSP95" s="363"/>
      <c r="HSQ95" s="364" t="s">
        <v>140</v>
      </c>
      <c r="HSR95" s="365">
        <v>0.5</v>
      </c>
      <c r="HSS95" s="366" t="e">
        <f>10/HSO93</f>
        <v>#DIV/0!</v>
      </c>
      <c r="HST95" s="367">
        <v>15.38</v>
      </c>
      <c r="HSU95" s="367" t="e">
        <f>HSR95*HSS95*HST95</f>
        <v>#DIV/0!</v>
      </c>
      <c r="HSV95" s="363" t="s">
        <v>153</v>
      </c>
      <c r="HSW95" s="363"/>
      <c r="HSX95" s="363"/>
      <c r="HSY95" s="364" t="s">
        <v>140</v>
      </c>
      <c r="HSZ95" s="365">
        <v>0.5</v>
      </c>
      <c r="HTA95" s="366" t="e">
        <f>10/HSW93</f>
        <v>#DIV/0!</v>
      </c>
      <c r="HTB95" s="367">
        <v>15.38</v>
      </c>
      <c r="HTC95" s="367" t="e">
        <f>HSZ95*HTA95*HTB95</f>
        <v>#DIV/0!</v>
      </c>
      <c r="HTD95" s="363" t="s">
        <v>153</v>
      </c>
      <c r="HTE95" s="363"/>
      <c r="HTF95" s="363"/>
      <c r="HTG95" s="364" t="s">
        <v>140</v>
      </c>
      <c r="HTH95" s="365">
        <v>0.5</v>
      </c>
      <c r="HTI95" s="366" t="e">
        <f>10/HTE93</f>
        <v>#DIV/0!</v>
      </c>
      <c r="HTJ95" s="367">
        <v>15.38</v>
      </c>
      <c r="HTK95" s="367" t="e">
        <f>HTH95*HTI95*HTJ95</f>
        <v>#DIV/0!</v>
      </c>
      <c r="HTL95" s="363" t="s">
        <v>153</v>
      </c>
      <c r="HTM95" s="363"/>
      <c r="HTN95" s="363"/>
      <c r="HTO95" s="364" t="s">
        <v>140</v>
      </c>
      <c r="HTP95" s="365">
        <v>0.5</v>
      </c>
      <c r="HTQ95" s="366" t="e">
        <f>10/HTM93</f>
        <v>#DIV/0!</v>
      </c>
      <c r="HTR95" s="367">
        <v>15.38</v>
      </c>
      <c r="HTS95" s="367" t="e">
        <f>HTP95*HTQ95*HTR95</f>
        <v>#DIV/0!</v>
      </c>
      <c r="HTT95" s="363" t="s">
        <v>153</v>
      </c>
      <c r="HTU95" s="363"/>
      <c r="HTV95" s="363"/>
      <c r="HTW95" s="364" t="s">
        <v>140</v>
      </c>
      <c r="HTX95" s="365">
        <v>0.5</v>
      </c>
      <c r="HTY95" s="366" t="e">
        <f>10/HTU93</f>
        <v>#DIV/0!</v>
      </c>
      <c r="HTZ95" s="367">
        <v>15.38</v>
      </c>
      <c r="HUA95" s="367" t="e">
        <f>HTX95*HTY95*HTZ95</f>
        <v>#DIV/0!</v>
      </c>
      <c r="HUB95" s="363" t="s">
        <v>153</v>
      </c>
      <c r="HUC95" s="363"/>
      <c r="HUD95" s="363"/>
      <c r="HUE95" s="364" t="s">
        <v>140</v>
      </c>
      <c r="HUF95" s="365">
        <v>0.5</v>
      </c>
      <c r="HUG95" s="366" t="e">
        <f>10/HUC93</f>
        <v>#DIV/0!</v>
      </c>
      <c r="HUH95" s="367">
        <v>15.38</v>
      </c>
      <c r="HUI95" s="367" t="e">
        <f>HUF95*HUG95*HUH95</f>
        <v>#DIV/0!</v>
      </c>
      <c r="HUJ95" s="363" t="s">
        <v>153</v>
      </c>
      <c r="HUK95" s="363"/>
      <c r="HUL95" s="363"/>
      <c r="HUM95" s="364" t="s">
        <v>140</v>
      </c>
      <c r="HUN95" s="365">
        <v>0.5</v>
      </c>
      <c r="HUO95" s="366" t="e">
        <f>10/HUK93</f>
        <v>#DIV/0!</v>
      </c>
      <c r="HUP95" s="367">
        <v>15.38</v>
      </c>
      <c r="HUQ95" s="367" t="e">
        <f>HUN95*HUO95*HUP95</f>
        <v>#DIV/0!</v>
      </c>
      <c r="HUR95" s="363" t="s">
        <v>153</v>
      </c>
      <c r="HUS95" s="363"/>
      <c r="HUT95" s="363"/>
      <c r="HUU95" s="364" t="s">
        <v>140</v>
      </c>
      <c r="HUV95" s="365">
        <v>0.5</v>
      </c>
      <c r="HUW95" s="366" t="e">
        <f>10/HUS93</f>
        <v>#DIV/0!</v>
      </c>
      <c r="HUX95" s="367">
        <v>15.38</v>
      </c>
      <c r="HUY95" s="367" t="e">
        <f>HUV95*HUW95*HUX95</f>
        <v>#DIV/0!</v>
      </c>
      <c r="HUZ95" s="363" t="s">
        <v>153</v>
      </c>
      <c r="HVA95" s="363"/>
      <c r="HVB95" s="363"/>
      <c r="HVC95" s="364" t="s">
        <v>140</v>
      </c>
      <c r="HVD95" s="365">
        <v>0.5</v>
      </c>
      <c r="HVE95" s="366" t="e">
        <f>10/HVA93</f>
        <v>#DIV/0!</v>
      </c>
      <c r="HVF95" s="367">
        <v>15.38</v>
      </c>
      <c r="HVG95" s="367" t="e">
        <f>HVD95*HVE95*HVF95</f>
        <v>#DIV/0!</v>
      </c>
      <c r="HVH95" s="363" t="s">
        <v>153</v>
      </c>
      <c r="HVI95" s="363"/>
      <c r="HVJ95" s="363"/>
      <c r="HVK95" s="364" t="s">
        <v>140</v>
      </c>
      <c r="HVL95" s="365">
        <v>0.5</v>
      </c>
      <c r="HVM95" s="366" t="e">
        <f>10/HVI93</f>
        <v>#DIV/0!</v>
      </c>
      <c r="HVN95" s="367">
        <v>15.38</v>
      </c>
      <c r="HVO95" s="367" t="e">
        <f>HVL95*HVM95*HVN95</f>
        <v>#DIV/0!</v>
      </c>
      <c r="HVP95" s="363" t="s">
        <v>153</v>
      </c>
      <c r="HVQ95" s="363"/>
      <c r="HVR95" s="363"/>
      <c r="HVS95" s="364" t="s">
        <v>140</v>
      </c>
      <c r="HVT95" s="365">
        <v>0.5</v>
      </c>
      <c r="HVU95" s="366" t="e">
        <f>10/HVQ93</f>
        <v>#DIV/0!</v>
      </c>
      <c r="HVV95" s="367">
        <v>15.38</v>
      </c>
      <c r="HVW95" s="367" t="e">
        <f>HVT95*HVU95*HVV95</f>
        <v>#DIV/0!</v>
      </c>
      <c r="HVX95" s="363" t="s">
        <v>153</v>
      </c>
      <c r="HVY95" s="363"/>
      <c r="HVZ95" s="363"/>
      <c r="HWA95" s="364" t="s">
        <v>140</v>
      </c>
      <c r="HWB95" s="365">
        <v>0.5</v>
      </c>
      <c r="HWC95" s="366" t="e">
        <f>10/HVY93</f>
        <v>#DIV/0!</v>
      </c>
      <c r="HWD95" s="367">
        <v>15.38</v>
      </c>
      <c r="HWE95" s="367" t="e">
        <f>HWB95*HWC95*HWD95</f>
        <v>#DIV/0!</v>
      </c>
      <c r="HWF95" s="363" t="s">
        <v>153</v>
      </c>
      <c r="HWG95" s="363"/>
      <c r="HWH95" s="363"/>
      <c r="HWI95" s="364" t="s">
        <v>140</v>
      </c>
      <c r="HWJ95" s="365">
        <v>0.5</v>
      </c>
      <c r="HWK95" s="366" t="e">
        <f>10/HWG93</f>
        <v>#DIV/0!</v>
      </c>
      <c r="HWL95" s="367">
        <v>15.38</v>
      </c>
      <c r="HWM95" s="367" t="e">
        <f>HWJ95*HWK95*HWL95</f>
        <v>#DIV/0!</v>
      </c>
      <c r="HWN95" s="363" t="s">
        <v>153</v>
      </c>
      <c r="HWO95" s="363"/>
      <c r="HWP95" s="363"/>
      <c r="HWQ95" s="364" t="s">
        <v>140</v>
      </c>
      <c r="HWR95" s="365">
        <v>0.5</v>
      </c>
      <c r="HWS95" s="366" t="e">
        <f>10/HWO93</f>
        <v>#DIV/0!</v>
      </c>
      <c r="HWT95" s="367">
        <v>15.38</v>
      </c>
      <c r="HWU95" s="367" t="e">
        <f>HWR95*HWS95*HWT95</f>
        <v>#DIV/0!</v>
      </c>
      <c r="HWV95" s="363" t="s">
        <v>153</v>
      </c>
      <c r="HWW95" s="363"/>
      <c r="HWX95" s="363"/>
      <c r="HWY95" s="364" t="s">
        <v>140</v>
      </c>
      <c r="HWZ95" s="365">
        <v>0.5</v>
      </c>
      <c r="HXA95" s="366" t="e">
        <f>10/HWW93</f>
        <v>#DIV/0!</v>
      </c>
      <c r="HXB95" s="367">
        <v>15.38</v>
      </c>
      <c r="HXC95" s="367" t="e">
        <f>HWZ95*HXA95*HXB95</f>
        <v>#DIV/0!</v>
      </c>
      <c r="HXD95" s="363" t="s">
        <v>153</v>
      </c>
      <c r="HXE95" s="363"/>
      <c r="HXF95" s="363"/>
      <c r="HXG95" s="364" t="s">
        <v>140</v>
      </c>
      <c r="HXH95" s="365">
        <v>0.5</v>
      </c>
      <c r="HXI95" s="366" t="e">
        <f>10/HXE93</f>
        <v>#DIV/0!</v>
      </c>
      <c r="HXJ95" s="367">
        <v>15.38</v>
      </c>
      <c r="HXK95" s="367" t="e">
        <f>HXH95*HXI95*HXJ95</f>
        <v>#DIV/0!</v>
      </c>
      <c r="HXL95" s="363" t="s">
        <v>153</v>
      </c>
      <c r="HXM95" s="363"/>
      <c r="HXN95" s="363"/>
      <c r="HXO95" s="364" t="s">
        <v>140</v>
      </c>
      <c r="HXP95" s="365">
        <v>0.5</v>
      </c>
      <c r="HXQ95" s="366" t="e">
        <f>10/HXM93</f>
        <v>#DIV/0!</v>
      </c>
      <c r="HXR95" s="367">
        <v>15.38</v>
      </c>
      <c r="HXS95" s="367" t="e">
        <f>HXP95*HXQ95*HXR95</f>
        <v>#DIV/0!</v>
      </c>
      <c r="HXT95" s="363" t="s">
        <v>153</v>
      </c>
      <c r="HXU95" s="363"/>
      <c r="HXV95" s="363"/>
      <c r="HXW95" s="364" t="s">
        <v>140</v>
      </c>
      <c r="HXX95" s="365">
        <v>0.5</v>
      </c>
      <c r="HXY95" s="366" t="e">
        <f>10/HXU93</f>
        <v>#DIV/0!</v>
      </c>
      <c r="HXZ95" s="367">
        <v>15.38</v>
      </c>
      <c r="HYA95" s="367" t="e">
        <f>HXX95*HXY95*HXZ95</f>
        <v>#DIV/0!</v>
      </c>
      <c r="HYB95" s="363" t="s">
        <v>153</v>
      </c>
      <c r="HYC95" s="363"/>
      <c r="HYD95" s="363"/>
      <c r="HYE95" s="364" t="s">
        <v>140</v>
      </c>
      <c r="HYF95" s="365">
        <v>0.5</v>
      </c>
      <c r="HYG95" s="366" t="e">
        <f>10/HYC93</f>
        <v>#DIV/0!</v>
      </c>
      <c r="HYH95" s="367">
        <v>15.38</v>
      </c>
      <c r="HYI95" s="367" t="e">
        <f>HYF95*HYG95*HYH95</f>
        <v>#DIV/0!</v>
      </c>
      <c r="HYJ95" s="363" t="s">
        <v>153</v>
      </c>
      <c r="HYK95" s="363"/>
      <c r="HYL95" s="363"/>
      <c r="HYM95" s="364" t="s">
        <v>140</v>
      </c>
      <c r="HYN95" s="365">
        <v>0.5</v>
      </c>
      <c r="HYO95" s="366" t="e">
        <f>10/HYK93</f>
        <v>#DIV/0!</v>
      </c>
      <c r="HYP95" s="367">
        <v>15.38</v>
      </c>
      <c r="HYQ95" s="367" t="e">
        <f>HYN95*HYO95*HYP95</f>
        <v>#DIV/0!</v>
      </c>
      <c r="HYR95" s="363" t="s">
        <v>153</v>
      </c>
      <c r="HYS95" s="363"/>
      <c r="HYT95" s="363"/>
      <c r="HYU95" s="364" t="s">
        <v>140</v>
      </c>
      <c r="HYV95" s="365">
        <v>0.5</v>
      </c>
      <c r="HYW95" s="366" t="e">
        <f>10/HYS93</f>
        <v>#DIV/0!</v>
      </c>
      <c r="HYX95" s="367">
        <v>15.38</v>
      </c>
      <c r="HYY95" s="367" t="e">
        <f>HYV95*HYW95*HYX95</f>
        <v>#DIV/0!</v>
      </c>
      <c r="HYZ95" s="363" t="s">
        <v>153</v>
      </c>
      <c r="HZA95" s="363"/>
      <c r="HZB95" s="363"/>
      <c r="HZC95" s="364" t="s">
        <v>140</v>
      </c>
      <c r="HZD95" s="365">
        <v>0.5</v>
      </c>
      <c r="HZE95" s="366" t="e">
        <f>10/HZA93</f>
        <v>#DIV/0!</v>
      </c>
      <c r="HZF95" s="367">
        <v>15.38</v>
      </c>
      <c r="HZG95" s="367" t="e">
        <f>HZD95*HZE95*HZF95</f>
        <v>#DIV/0!</v>
      </c>
      <c r="HZH95" s="363" t="s">
        <v>153</v>
      </c>
      <c r="HZI95" s="363"/>
      <c r="HZJ95" s="363"/>
      <c r="HZK95" s="364" t="s">
        <v>140</v>
      </c>
      <c r="HZL95" s="365">
        <v>0.5</v>
      </c>
      <c r="HZM95" s="366" t="e">
        <f>10/HZI93</f>
        <v>#DIV/0!</v>
      </c>
      <c r="HZN95" s="367">
        <v>15.38</v>
      </c>
      <c r="HZO95" s="367" t="e">
        <f>HZL95*HZM95*HZN95</f>
        <v>#DIV/0!</v>
      </c>
      <c r="HZP95" s="363" t="s">
        <v>153</v>
      </c>
      <c r="HZQ95" s="363"/>
      <c r="HZR95" s="363"/>
      <c r="HZS95" s="364" t="s">
        <v>140</v>
      </c>
      <c r="HZT95" s="365">
        <v>0.5</v>
      </c>
      <c r="HZU95" s="366" t="e">
        <f>10/HZQ93</f>
        <v>#DIV/0!</v>
      </c>
      <c r="HZV95" s="367">
        <v>15.38</v>
      </c>
      <c r="HZW95" s="367" t="e">
        <f>HZT95*HZU95*HZV95</f>
        <v>#DIV/0!</v>
      </c>
      <c r="HZX95" s="363" t="s">
        <v>153</v>
      </c>
      <c r="HZY95" s="363"/>
      <c r="HZZ95" s="363"/>
      <c r="IAA95" s="364" t="s">
        <v>140</v>
      </c>
      <c r="IAB95" s="365">
        <v>0.5</v>
      </c>
      <c r="IAC95" s="366" t="e">
        <f>10/HZY93</f>
        <v>#DIV/0!</v>
      </c>
      <c r="IAD95" s="367">
        <v>15.38</v>
      </c>
      <c r="IAE95" s="367" t="e">
        <f>IAB95*IAC95*IAD95</f>
        <v>#DIV/0!</v>
      </c>
      <c r="IAF95" s="363" t="s">
        <v>153</v>
      </c>
      <c r="IAG95" s="363"/>
      <c r="IAH95" s="363"/>
      <c r="IAI95" s="364" t="s">
        <v>140</v>
      </c>
      <c r="IAJ95" s="365">
        <v>0.5</v>
      </c>
      <c r="IAK95" s="366" t="e">
        <f>10/IAG93</f>
        <v>#DIV/0!</v>
      </c>
      <c r="IAL95" s="367">
        <v>15.38</v>
      </c>
      <c r="IAM95" s="367" t="e">
        <f>IAJ95*IAK95*IAL95</f>
        <v>#DIV/0!</v>
      </c>
      <c r="IAN95" s="363" t="s">
        <v>153</v>
      </c>
      <c r="IAO95" s="363"/>
      <c r="IAP95" s="363"/>
      <c r="IAQ95" s="364" t="s">
        <v>140</v>
      </c>
      <c r="IAR95" s="365">
        <v>0.5</v>
      </c>
      <c r="IAS95" s="366" t="e">
        <f>10/IAO93</f>
        <v>#DIV/0!</v>
      </c>
      <c r="IAT95" s="367">
        <v>15.38</v>
      </c>
      <c r="IAU95" s="367" t="e">
        <f>IAR95*IAS95*IAT95</f>
        <v>#DIV/0!</v>
      </c>
      <c r="IAV95" s="363" t="s">
        <v>153</v>
      </c>
      <c r="IAW95" s="363"/>
      <c r="IAX95" s="363"/>
      <c r="IAY95" s="364" t="s">
        <v>140</v>
      </c>
      <c r="IAZ95" s="365">
        <v>0.5</v>
      </c>
      <c r="IBA95" s="366" t="e">
        <f>10/IAW93</f>
        <v>#DIV/0!</v>
      </c>
      <c r="IBB95" s="367">
        <v>15.38</v>
      </c>
      <c r="IBC95" s="367" t="e">
        <f>IAZ95*IBA95*IBB95</f>
        <v>#DIV/0!</v>
      </c>
      <c r="IBD95" s="363" t="s">
        <v>153</v>
      </c>
      <c r="IBE95" s="363"/>
      <c r="IBF95" s="363"/>
      <c r="IBG95" s="364" t="s">
        <v>140</v>
      </c>
      <c r="IBH95" s="365">
        <v>0.5</v>
      </c>
      <c r="IBI95" s="366" t="e">
        <f>10/IBE93</f>
        <v>#DIV/0!</v>
      </c>
      <c r="IBJ95" s="367">
        <v>15.38</v>
      </c>
      <c r="IBK95" s="367" t="e">
        <f>IBH95*IBI95*IBJ95</f>
        <v>#DIV/0!</v>
      </c>
      <c r="IBL95" s="363" t="s">
        <v>153</v>
      </c>
      <c r="IBM95" s="363"/>
      <c r="IBN95" s="363"/>
      <c r="IBO95" s="364" t="s">
        <v>140</v>
      </c>
      <c r="IBP95" s="365">
        <v>0.5</v>
      </c>
      <c r="IBQ95" s="366" t="e">
        <f>10/IBM93</f>
        <v>#DIV/0!</v>
      </c>
      <c r="IBR95" s="367">
        <v>15.38</v>
      </c>
      <c r="IBS95" s="367" t="e">
        <f>IBP95*IBQ95*IBR95</f>
        <v>#DIV/0!</v>
      </c>
      <c r="IBT95" s="363" t="s">
        <v>153</v>
      </c>
      <c r="IBU95" s="363"/>
      <c r="IBV95" s="363"/>
      <c r="IBW95" s="364" t="s">
        <v>140</v>
      </c>
      <c r="IBX95" s="365">
        <v>0.5</v>
      </c>
      <c r="IBY95" s="366" t="e">
        <f>10/IBU93</f>
        <v>#DIV/0!</v>
      </c>
      <c r="IBZ95" s="367">
        <v>15.38</v>
      </c>
      <c r="ICA95" s="367" t="e">
        <f>IBX95*IBY95*IBZ95</f>
        <v>#DIV/0!</v>
      </c>
      <c r="ICB95" s="363" t="s">
        <v>153</v>
      </c>
      <c r="ICC95" s="363"/>
      <c r="ICD95" s="363"/>
      <c r="ICE95" s="364" t="s">
        <v>140</v>
      </c>
      <c r="ICF95" s="365">
        <v>0.5</v>
      </c>
      <c r="ICG95" s="366" t="e">
        <f>10/ICC93</f>
        <v>#DIV/0!</v>
      </c>
      <c r="ICH95" s="367">
        <v>15.38</v>
      </c>
      <c r="ICI95" s="367" t="e">
        <f>ICF95*ICG95*ICH95</f>
        <v>#DIV/0!</v>
      </c>
      <c r="ICJ95" s="363" t="s">
        <v>153</v>
      </c>
      <c r="ICK95" s="363"/>
      <c r="ICL95" s="363"/>
      <c r="ICM95" s="364" t="s">
        <v>140</v>
      </c>
      <c r="ICN95" s="365">
        <v>0.5</v>
      </c>
      <c r="ICO95" s="366" t="e">
        <f>10/ICK93</f>
        <v>#DIV/0!</v>
      </c>
      <c r="ICP95" s="367">
        <v>15.38</v>
      </c>
      <c r="ICQ95" s="367" t="e">
        <f>ICN95*ICO95*ICP95</f>
        <v>#DIV/0!</v>
      </c>
      <c r="ICR95" s="363" t="s">
        <v>153</v>
      </c>
      <c r="ICS95" s="363"/>
      <c r="ICT95" s="363"/>
      <c r="ICU95" s="364" t="s">
        <v>140</v>
      </c>
      <c r="ICV95" s="365">
        <v>0.5</v>
      </c>
      <c r="ICW95" s="366" t="e">
        <f>10/ICS93</f>
        <v>#DIV/0!</v>
      </c>
      <c r="ICX95" s="367">
        <v>15.38</v>
      </c>
      <c r="ICY95" s="367" t="e">
        <f>ICV95*ICW95*ICX95</f>
        <v>#DIV/0!</v>
      </c>
      <c r="ICZ95" s="363" t="s">
        <v>153</v>
      </c>
      <c r="IDA95" s="363"/>
      <c r="IDB95" s="363"/>
      <c r="IDC95" s="364" t="s">
        <v>140</v>
      </c>
      <c r="IDD95" s="365">
        <v>0.5</v>
      </c>
      <c r="IDE95" s="366" t="e">
        <f>10/IDA93</f>
        <v>#DIV/0!</v>
      </c>
      <c r="IDF95" s="367">
        <v>15.38</v>
      </c>
      <c r="IDG95" s="367" t="e">
        <f>IDD95*IDE95*IDF95</f>
        <v>#DIV/0!</v>
      </c>
      <c r="IDH95" s="363" t="s">
        <v>153</v>
      </c>
      <c r="IDI95" s="363"/>
      <c r="IDJ95" s="363"/>
      <c r="IDK95" s="364" t="s">
        <v>140</v>
      </c>
      <c r="IDL95" s="365">
        <v>0.5</v>
      </c>
      <c r="IDM95" s="366" t="e">
        <f>10/IDI93</f>
        <v>#DIV/0!</v>
      </c>
      <c r="IDN95" s="367">
        <v>15.38</v>
      </c>
      <c r="IDO95" s="367" t="e">
        <f>IDL95*IDM95*IDN95</f>
        <v>#DIV/0!</v>
      </c>
      <c r="IDP95" s="363" t="s">
        <v>153</v>
      </c>
      <c r="IDQ95" s="363"/>
      <c r="IDR95" s="363"/>
      <c r="IDS95" s="364" t="s">
        <v>140</v>
      </c>
      <c r="IDT95" s="365">
        <v>0.5</v>
      </c>
      <c r="IDU95" s="366" t="e">
        <f>10/IDQ93</f>
        <v>#DIV/0!</v>
      </c>
      <c r="IDV95" s="367">
        <v>15.38</v>
      </c>
      <c r="IDW95" s="367" t="e">
        <f>IDT95*IDU95*IDV95</f>
        <v>#DIV/0!</v>
      </c>
      <c r="IDX95" s="363" t="s">
        <v>153</v>
      </c>
      <c r="IDY95" s="363"/>
      <c r="IDZ95" s="363"/>
      <c r="IEA95" s="364" t="s">
        <v>140</v>
      </c>
      <c r="IEB95" s="365">
        <v>0.5</v>
      </c>
      <c r="IEC95" s="366" t="e">
        <f>10/IDY93</f>
        <v>#DIV/0!</v>
      </c>
      <c r="IED95" s="367">
        <v>15.38</v>
      </c>
      <c r="IEE95" s="367" t="e">
        <f>IEB95*IEC95*IED95</f>
        <v>#DIV/0!</v>
      </c>
      <c r="IEF95" s="363" t="s">
        <v>153</v>
      </c>
      <c r="IEG95" s="363"/>
      <c r="IEH95" s="363"/>
      <c r="IEI95" s="364" t="s">
        <v>140</v>
      </c>
      <c r="IEJ95" s="365">
        <v>0.5</v>
      </c>
      <c r="IEK95" s="366" t="e">
        <f>10/IEG93</f>
        <v>#DIV/0!</v>
      </c>
      <c r="IEL95" s="367">
        <v>15.38</v>
      </c>
      <c r="IEM95" s="367" t="e">
        <f>IEJ95*IEK95*IEL95</f>
        <v>#DIV/0!</v>
      </c>
      <c r="IEN95" s="363" t="s">
        <v>153</v>
      </c>
      <c r="IEO95" s="363"/>
      <c r="IEP95" s="363"/>
      <c r="IEQ95" s="364" t="s">
        <v>140</v>
      </c>
      <c r="IER95" s="365">
        <v>0.5</v>
      </c>
      <c r="IES95" s="366" t="e">
        <f>10/IEO93</f>
        <v>#DIV/0!</v>
      </c>
      <c r="IET95" s="367">
        <v>15.38</v>
      </c>
      <c r="IEU95" s="367" t="e">
        <f>IER95*IES95*IET95</f>
        <v>#DIV/0!</v>
      </c>
      <c r="IEV95" s="363" t="s">
        <v>153</v>
      </c>
      <c r="IEW95" s="363"/>
      <c r="IEX95" s="363"/>
      <c r="IEY95" s="364" t="s">
        <v>140</v>
      </c>
      <c r="IEZ95" s="365">
        <v>0.5</v>
      </c>
      <c r="IFA95" s="366" t="e">
        <f>10/IEW93</f>
        <v>#DIV/0!</v>
      </c>
      <c r="IFB95" s="367">
        <v>15.38</v>
      </c>
      <c r="IFC95" s="367" t="e">
        <f>IEZ95*IFA95*IFB95</f>
        <v>#DIV/0!</v>
      </c>
      <c r="IFD95" s="363" t="s">
        <v>153</v>
      </c>
      <c r="IFE95" s="363"/>
      <c r="IFF95" s="363"/>
      <c r="IFG95" s="364" t="s">
        <v>140</v>
      </c>
      <c r="IFH95" s="365">
        <v>0.5</v>
      </c>
      <c r="IFI95" s="366" t="e">
        <f>10/IFE93</f>
        <v>#DIV/0!</v>
      </c>
      <c r="IFJ95" s="367">
        <v>15.38</v>
      </c>
      <c r="IFK95" s="367" t="e">
        <f>IFH95*IFI95*IFJ95</f>
        <v>#DIV/0!</v>
      </c>
      <c r="IFL95" s="363" t="s">
        <v>153</v>
      </c>
      <c r="IFM95" s="363"/>
      <c r="IFN95" s="363"/>
      <c r="IFO95" s="364" t="s">
        <v>140</v>
      </c>
      <c r="IFP95" s="365">
        <v>0.5</v>
      </c>
      <c r="IFQ95" s="366" t="e">
        <f>10/IFM93</f>
        <v>#DIV/0!</v>
      </c>
      <c r="IFR95" s="367">
        <v>15.38</v>
      </c>
      <c r="IFS95" s="367" t="e">
        <f>IFP95*IFQ95*IFR95</f>
        <v>#DIV/0!</v>
      </c>
      <c r="IFT95" s="363" t="s">
        <v>153</v>
      </c>
      <c r="IFU95" s="363"/>
      <c r="IFV95" s="363"/>
      <c r="IFW95" s="364" t="s">
        <v>140</v>
      </c>
      <c r="IFX95" s="365">
        <v>0.5</v>
      </c>
      <c r="IFY95" s="366" t="e">
        <f>10/IFU93</f>
        <v>#DIV/0!</v>
      </c>
      <c r="IFZ95" s="367">
        <v>15.38</v>
      </c>
      <c r="IGA95" s="367" t="e">
        <f>IFX95*IFY95*IFZ95</f>
        <v>#DIV/0!</v>
      </c>
      <c r="IGB95" s="363" t="s">
        <v>153</v>
      </c>
      <c r="IGC95" s="363"/>
      <c r="IGD95" s="363"/>
      <c r="IGE95" s="364" t="s">
        <v>140</v>
      </c>
      <c r="IGF95" s="365">
        <v>0.5</v>
      </c>
      <c r="IGG95" s="366" t="e">
        <f>10/IGC93</f>
        <v>#DIV/0!</v>
      </c>
      <c r="IGH95" s="367">
        <v>15.38</v>
      </c>
      <c r="IGI95" s="367" t="e">
        <f>IGF95*IGG95*IGH95</f>
        <v>#DIV/0!</v>
      </c>
      <c r="IGJ95" s="363" t="s">
        <v>153</v>
      </c>
      <c r="IGK95" s="363"/>
      <c r="IGL95" s="363"/>
      <c r="IGM95" s="364" t="s">
        <v>140</v>
      </c>
      <c r="IGN95" s="365">
        <v>0.5</v>
      </c>
      <c r="IGO95" s="366" t="e">
        <f>10/IGK93</f>
        <v>#DIV/0!</v>
      </c>
      <c r="IGP95" s="367">
        <v>15.38</v>
      </c>
      <c r="IGQ95" s="367" t="e">
        <f>IGN95*IGO95*IGP95</f>
        <v>#DIV/0!</v>
      </c>
      <c r="IGR95" s="363" t="s">
        <v>153</v>
      </c>
      <c r="IGS95" s="363"/>
      <c r="IGT95" s="363"/>
      <c r="IGU95" s="364" t="s">
        <v>140</v>
      </c>
      <c r="IGV95" s="365">
        <v>0.5</v>
      </c>
      <c r="IGW95" s="366" t="e">
        <f>10/IGS93</f>
        <v>#DIV/0!</v>
      </c>
      <c r="IGX95" s="367">
        <v>15.38</v>
      </c>
      <c r="IGY95" s="367" t="e">
        <f>IGV95*IGW95*IGX95</f>
        <v>#DIV/0!</v>
      </c>
      <c r="IGZ95" s="363" t="s">
        <v>153</v>
      </c>
      <c r="IHA95" s="363"/>
      <c r="IHB95" s="363"/>
      <c r="IHC95" s="364" t="s">
        <v>140</v>
      </c>
      <c r="IHD95" s="365">
        <v>0.5</v>
      </c>
      <c r="IHE95" s="366" t="e">
        <f>10/IHA93</f>
        <v>#DIV/0!</v>
      </c>
      <c r="IHF95" s="367">
        <v>15.38</v>
      </c>
      <c r="IHG95" s="367" t="e">
        <f>IHD95*IHE95*IHF95</f>
        <v>#DIV/0!</v>
      </c>
      <c r="IHH95" s="363" t="s">
        <v>153</v>
      </c>
      <c r="IHI95" s="363"/>
      <c r="IHJ95" s="363"/>
      <c r="IHK95" s="364" t="s">
        <v>140</v>
      </c>
      <c r="IHL95" s="365">
        <v>0.5</v>
      </c>
      <c r="IHM95" s="366" t="e">
        <f>10/IHI93</f>
        <v>#DIV/0!</v>
      </c>
      <c r="IHN95" s="367">
        <v>15.38</v>
      </c>
      <c r="IHO95" s="367" t="e">
        <f>IHL95*IHM95*IHN95</f>
        <v>#DIV/0!</v>
      </c>
      <c r="IHP95" s="363" t="s">
        <v>153</v>
      </c>
      <c r="IHQ95" s="363"/>
      <c r="IHR95" s="363"/>
      <c r="IHS95" s="364" t="s">
        <v>140</v>
      </c>
      <c r="IHT95" s="365">
        <v>0.5</v>
      </c>
      <c r="IHU95" s="366" t="e">
        <f>10/IHQ93</f>
        <v>#DIV/0!</v>
      </c>
      <c r="IHV95" s="367">
        <v>15.38</v>
      </c>
      <c r="IHW95" s="367" t="e">
        <f>IHT95*IHU95*IHV95</f>
        <v>#DIV/0!</v>
      </c>
      <c r="IHX95" s="363" t="s">
        <v>153</v>
      </c>
      <c r="IHY95" s="363"/>
      <c r="IHZ95" s="363"/>
      <c r="IIA95" s="364" t="s">
        <v>140</v>
      </c>
      <c r="IIB95" s="365">
        <v>0.5</v>
      </c>
      <c r="IIC95" s="366" t="e">
        <f>10/IHY93</f>
        <v>#DIV/0!</v>
      </c>
      <c r="IID95" s="367">
        <v>15.38</v>
      </c>
      <c r="IIE95" s="367" t="e">
        <f>IIB95*IIC95*IID95</f>
        <v>#DIV/0!</v>
      </c>
      <c r="IIF95" s="363" t="s">
        <v>153</v>
      </c>
      <c r="IIG95" s="363"/>
      <c r="IIH95" s="363"/>
      <c r="III95" s="364" t="s">
        <v>140</v>
      </c>
      <c r="IIJ95" s="365">
        <v>0.5</v>
      </c>
      <c r="IIK95" s="366" t="e">
        <f>10/IIG93</f>
        <v>#DIV/0!</v>
      </c>
      <c r="IIL95" s="367">
        <v>15.38</v>
      </c>
      <c r="IIM95" s="367" t="e">
        <f>IIJ95*IIK95*IIL95</f>
        <v>#DIV/0!</v>
      </c>
      <c r="IIN95" s="363" t="s">
        <v>153</v>
      </c>
      <c r="IIO95" s="363"/>
      <c r="IIP95" s="363"/>
      <c r="IIQ95" s="364" t="s">
        <v>140</v>
      </c>
      <c r="IIR95" s="365">
        <v>0.5</v>
      </c>
      <c r="IIS95" s="366" t="e">
        <f>10/IIO93</f>
        <v>#DIV/0!</v>
      </c>
      <c r="IIT95" s="367">
        <v>15.38</v>
      </c>
      <c r="IIU95" s="367" t="e">
        <f>IIR95*IIS95*IIT95</f>
        <v>#DIV/0!</v>
      </c>
      <c r="IIV95" s="363" t="s">
        <v>153</v>
      </c>
      <c r="IIW95" s="363"/>
      <c r="IIX95" s="363"/>
      <c r="IIY95" s="364" t="s">
        <v>140</v>
      </c>
      <c r="IIZ95" s="365">
        <v>0.5</v>
      </c>
      <c r="IJA95" s="366" t="e">
        <f>10/IIW93</f>
        <v>#DIV/0!</v>
      </c>
      <c r="IJB95" s="367">
        <v>15.38</v>
      </c>
      <c r="IJC95" s="367" t="e">
        <f>IIZ95*IJA95*IJB95</f>
        <v>#DIV/0!</v>
      </c>
      <c r="IJD95" s="363" t="s">
        <v>153</v>
      </c>
      <c r="IJE95" s="363"/>
      <c r="IJF95" s="363"/>
      <c r="IJG95" s="364" t="s">
        <v>140</v>
      </c>
      <c r="IJH95" s="365">
        <v>0.5</v>
      </c>
      <c r="IJI95" s="366" t="e">
        <f>10/IJE93</f>
        <v>#DIV/0!</v>
      </c>
      <c r="IJJ95" s="367">
        <v>15.38</v>
      </c>
      <c r="IJK95" s="367" t="e">
        <f>IJH95*IJI95*IJJ95</f>
        <v>#DIV/0!</v>
      </c>
      <c r="IJL95" s="363" t="s">
        <v>153</v>
      </c>
      <c r="IJM95" s="363"/>
      <c r="IJN95" s="363"/>
      <c r="IJO95" s="364" t="s">
        <v>140</v>
      </c>
      <c r="IJP95" s="365">
        <v>0.5</v>
      </c>
      <c r="IJQ95" s="366" t="e">
        <f>10/IJM93</f>
        <v>#DIV/0!</v>
      </c>
      <c r="IJR95" s="367">
        <v>15.38</v>
      </c>
      <c r="IJS95" s="367" t="e">
        <f>IJP95*IJQ95*IJR95</f>
        <v>#DIV/0!</v>
      </c>
      <c r="IJT95" s="363" t="s">
        <v>153</v>
      </c>
      <c r="IJU95" s="363"/>
      <c r="IJV95" s="363"/>
      <c r="IJW95" s="364" t="s">
        <v>140</v>
      </c>
      <c r="IJX95" s="365">
        <v>0.5</v>
      </c>
      <c r="IJY95" s="366" t="e">
        <f>10/IJU93</f>
        <v>#DIV/0!</v>
      </c>
      <c r="IJZ95" s="367">
        <v>15.38</v>
      </c>
      <c r="IKA95" s="367" t="e">
        <f>IJX95*IJY95*IJZ95</f>
        <v>#DIV/0!</v>
      </c>
      <c r="IKB95" s="363" t="s">
        <v>153</v>
      </c>
      <c r="IKC95" s="363"/>
      <c r="IKD95" s="363"/>
      <c r="IKE95" s="364" t="s">
        <v>140</v>
      </c>
      <c r="IKF95" s="365">
        <v>0.5</v>
      </c>
      <c r="IKG95" s="366" t="e">
        <f>10/IKC93</f>
        <v>#DIV/0!</v>
      </c>
      <c r="IKH95" s="367">
        <v>15.38</v>
      </c>
      <c r="IKI95" s="367" t="e">
        <f>IKF95*IKG95*IKH95</f>
        <v>#DIV/0!</v>
      </c>
      <c r="IKJ95" s="363" t="s">
        <v>153</v>
      </c>
      <c r="IKK95" s="363"/>
      <c r="IKL95" s="363"/>
      <c r="IKM95" s="364" t="s">
        <v>140</v>
      </c>
      <c r="IKN95" s="365">
        <v>0.5</v>
      </c>
      <c r="IKO95" s="366" t="e">
        <f>10/IKK93</f>
        <v>#DIV/0!</v>
      </c>
      <c r="IKP95" s="367">
        <v>15.38</v>
      </c>
      <c r="IKQ95" s="367" t="e">
        <f>IKN95*IKO95*IKP95</f>
        <v>#DIV/0!</v>
      </c>
      <c r="IKR95" s="363" t="s">
        <v>153</v>
      </c>
      <c r="IKS95" s="363"/>
      <c r="IKT95" s="363"/>
      <c r="IKU95" s="364" t="s">
        <v>140</v>
      </c>
      <c r="IKV95" s="365">
        <v>0.5</v>
      </c>
      <c r="IKW95" s="366" t="e">
        <f>10/IKS93</f>
        <v>#DIV/0!</v>
      </c>
      <c r="IKX95" s="367">
        <v>15.38</v>
      </c>
      <c r="IKY95" s="367" t="e">
        <f>IKV95*IKW95*IKX95</f>
        <v>#DIV/0!</v>
      </c>
      <c r="IKZ95" s="363" t="s">
        <v>153</v>
      </c>
      <c r="ILA95" s="363"/>
      <c r="ILB95" s="363"/>
      <c r="ILC95" s="364" t="s">
        <v>140</v>
      </c>
      <c r="ILD95" s="365">
        <v>0.5</v>
      </c>
      <c r="ILE95" s="366" t="e">
        <f>10/ILA93</f>
        <v>#DIV/0!</v>
      </c>
      <c r="ILF95" s="367">
        <v>15.38</v>
      </c>
      <c r="ILG95" s="367" t="e">
        <f>ILD95*ILE95*ILF95</f>
        <v>#DIV/0!</v>
      </c>
      <c r="ILH95" s="363" t="s">
        <v>153</v>
      </c>
      <c r="ILI95" s="363"/>
      <c r="ILJ95" s="363"/>
      <c r="ILK95" s="364" t="s">
        <v>140</v>
      </c>
      <c r="ILL95" s="365">
        <v>0.5</v>
      </c>
      <c r="ILM95" s="366" t="e">
        <f>10/ILI93</f>
        <v>#DIV/0!</v>
      </c>
      <c r="ILN95" s="367">
        <v>15.38</v>
      </c>
      <c r="ILO95" s="367" t="e">
        <f>ILL95*ILM95*ILN95</f>
        <v>#DIV/0!</v>
      </c>
      <c r="ILP95" s="363" t="s">
        <v>153</v>
      </c>
      <c r="ILQ95" s="363"/>
      <c r="ILR95" s="363"/>
      <c r="ILS95" s="364" t="s">
        <v>140</v>
      </c>
      <c r="ILT95" s="365">
        <v>0.5</v>
      </c>
      <c r="ILU95" s="366" t="e">
        <f>10/ILQ93</f>
        <v>#DIV/0!</v>
      </c>
      <c r="ILV95" s="367">
        <v>15.38</v>
      </c>
      <c r="ILW95" s="367" t="e">
        <f>ILT95*ILU95*ILV95</f>
        <v>#DIV/0!</v>
      </c>
      <c r="ILX95" s="363" t="s">
        <v>153</v>
      </c>
      <c r="ILY95" s="363"/>
      <c r="ILZ95" s="363"/>
      <c r="IMA95" s="364" t="s">
        <v>140</v>
      </c>
      <c r="IMB95" s="365">
        <v>0.5</v>
      </c>
      <c r="IMC95" s="366" t="e">
        <f>10/ILY93</f>
        <v>#DIV/0!</v>
      </c>
      <c r="IMD95" s="367">
        <v>15.38</v>
      </c>
      <c r="IME95" s="367" t="e">
        <f>IMB95*IMC95*IMD95</f>
        <v>#DIV/0!</v>
      </c>
      <c r="IMF95" s="363" t="s">
        <v>153</v>
      </c>
      <c r="IMG95" s="363"/>
      <c r="IMH95" s="363"/>
      <c r="IMI95" s="364" t="s">
        <v>140</v>
      </c>
      <c r="IMJ95" s="365">
        <v>0.5</v>
      </c>
      <c r="IMK95" s="366" t="e">
        <f>10/IMG93</f>
        <v>#DIV/0!</v>
      </c>
      <c r="IML95" s="367">
        <v>15.38</v>
      </c>
      <c r="IMM95" s="367" t="e">
        <f>IMJ95*IMK95*IML95</f>
        <v>#DIV/0!</v>
      </c>
      <c r="IMN95" s="363" t="s">
        <v>153</v>
      </c>
      <c r="IMO95" s="363"/>
      <c r="IMP95" s="363"/>
      <c r="IMQ95" s="364" t="s">
        <v>140</v>
      </c>
      <c r="IMR95" s="365">
        <v>0.5</v>
      </c>
      <c r="IMS95" s="366" t="e">
        <f>10/IMO93</f>
        <v>#DIV/0!</v>
      </c>
      <c r="IMT95" s="367">
        <v>15.38</v>
      </c>
      <c r="IMU95" s="367" t="e">
        <f>IMR95*IMS95*IMT95</f>
        <v>#DIV/0!</v>
      </c>
      <c r="IMV95" s="363" t="s">
        <v>153</v>
      </c>
      <c r="IMW95" s="363"/>
      <c r="IMX95" s="363"/>
      <c r="IMY95" s="364" t="s">
        <v>140</v>
      </c>
      <c r="IMZ95" s="365">
        <v>0.5</v>
      </c>
      <c r="INA95" s="366" t="e">
        <f>10/IMW93</f>
        <v>#DIV/0!</v>
      </c>
      <c r="INB95" s="367">
        <v>15.38</v>
      </c>
      <c r="INC95" s="367" t="e">
        <f>IMZ95*INA95*INB95</f>
        <v>#DIV/0!</v>
      </c>
      <c r="IND95" s="363" t="s">
        <v>153</v>
      </c>
      <c r="INE95" s="363"/>
      <c r="INF95" s="363"/>
      <c r="ING95" s="364" t="s">
        <v>140</v>
      </c>
      <c r="INH95" s="365">
        <v>0.5</v>
      </c>
      <c r="INI95" s="366" t="e">
        <f>10/INE93</f>
        <v>#DIV/0!</v>
      </c>
      <c r="INJ95" s="367">
        <v>15.38</v>
      </c>
      <c r="INK95" s="367" t="e">
        <f>INH95*INI95*INJ95</f>
        <v>#DIV/0!</v>
      </c>
      <c r="INL95" s="363" t="s">
        <v>153</v>
      </c>
      <c r="INM95" s="363"/>
      <c r="INN95" s="363"/>
      <c r="INO95" s="364" t="s">
        <v>140</v>
      </c>
      <c r="INP95" s="365">
        <v>0.5</v>
      </c>
      <c r="INQ95" s="366" t="e">
        <f>10/INM93</f>
        <v>#DIV/0!</v>
      </c>
      <c r="INR95" s="367">
        <v>15.38</v>
      </c>
      <c r="INS95" s="367" t="e">
        <f>INP95*INQ95*INR95</f>
        <v>#DIV/0!</v>
      </c>
      <c r="INT95" s="363" t="s">
        <v>153</v>
      </c>
      <c r="INU95" s="363"/>
      <c r="INV95" s="363"/>
      <c r="INW95" s="364" t="s">
        <v>140</v>
      </c>
      <c r="INX95" s="365">
        <v>0.5</v>
      </c>
      <c r="INY95" s="366" t="e">
        <f>10/INU93</f>
        <v>#DIV/0!</v>
      </c>
      <c r="INZ95" s="367">
        <v>15.38</v>
      </c>
      <c r="IOA95" s="367" t="e">
        <f>INX95*INY95*INZ95</f>
        <v>#DIV/0!</v>
      </c>
      <c r="IOB95" s="363" t="s">
        <v>153</v>
      </c>
      <c r="IOC95" s="363"/>
      <c r="IOD95" s="363"/>
      <c r="IOE95" s="364" t="s">
        <v>140</v>
      </c>
      <c r="IOF95" s="365">
        <v>0.5</v>
      </c>
      <c r="IOG95" s="366" t="e">
        <f>10/IOC93</f>
        <v>#DIV/0!</v>
      </c>
      <c r="IOH95" s="367">
        <v>15.38</v>
      </c>
      <c r="IOI95" s="367" t="e">
        <f>IOF95*IOG95*IOH95</f>
        <v>#DIV/0!</v>
      </c>
      <c r="IOJ95" s="363" t="s">
        <v>153</v>
      </c>
      <c r="IOK95" s="363"/>
      <c r="IOL95" s="363"/>
      <c r="IOM95" s="364" t="s">
        <v>140</v>
      </c>
      <c r="ION95" s="365">
        <v>0.5</v>
      </c>
      <c r="IOO95" s="366" t="e">
        <f>10/IOK93</f>
        <v>#DIV/0!</v>
      </c>
      <c r="IOP95" s="367">
        <v>15.38</v>
      </c>
      <c r="IOQ95" s="367" t="e">
        <f>ION95*IOO95*IOP95</f>
        <v>#DIV/0!</v>
      </c>
      <c r="IOR95" s="363" t="s">
        <v>153</v>
      </c>
      <c r="IOS95" s="363"/>
      <c r="IOT95" s="363"/>
      <c r="IOU95" s="364" t="s">
        <v>140</v>
      </c>
      <c r="IOV95" s="365">
        <v>0.5</v>
      </c>
      <c r="IOW95" s="366" t="e">
        <f>10/IOS93</f>
        <v>#DIV/0!</v>
      </c>
      <c r="IOX95" s="367">
        <v>15.38</v>
      </c>
      <c r="IOY95" s="367" t="e">
        <f>IOV95*IOW95*IOX95</f>
        <v>#DIV/0!</v>
      </c>
      <c r="IOZ95" s="363" t="s">
        <v>153</v>
      </c>
      <c r="IPA95" s="363"/>
      <c r="IPB95" s="363"/>
      <c r="IPC95" s="364" t="s">
        <v>140</v>
      </c>
      <c r="IPD95" s="365">
        <v>0.5</v>
      </c>
      <c r="IPE95" s="366" t="e">
        <f>10/IPA93</f>
        <v>#DIV/0!</v>
      </c>
      <c r="IPF95" s="367">
        <v>15.38</v>
      </c>
      <c r="IPG95" s="367" t="e">
        <f>IPD95*IPE95*IPF95</f>
        <v>#DIV/0!</v>
      </c>
      <c r="IPH95" s="363" t="s">
        <v>153</v>
      </c>
      <c r="IPI95" s="363"/>
      <c r="IPJ95" s="363"/>
      <c r="IPK95" s="364" t="s">
        <v>140</v>
      </c>
      <c r="IPL95" s="365">
        <v>0.5</v>
      </c>
      <c r="IPM95" s="366" t="e">
        <f>10/IPI93</f>
        <v>#DIV/0!</v>
      </c>
      <c r="IPN95" s="367">
        <v>15.38</v>
      </c>
      <c r="IPO95" s="367" t="e">
        <f>IPL95*IPM95*IPN95</f>
        <v>#DIV/0!</v>
      </c>
      <c r="IPP95" s="363" t="s">
        <v>153</v>
      </c>
      <c r="IPQ95" s="363"/>
      <c r="IPR95" s="363"/>
      <c r="IPS95" s="364" t="s">
        <v>140</v>
      </c>
      <c r="IPT95" s="365">
        <v>0.5</v>
      </c>
      <c r="IPU95" s="366" t="e">
        <f>10/IPQ93</f>
        <v>#DIV/0!</v>
      </c>
      <c r="IPV95" s="367">
        <v>15.38</v>
      </c>
      <c r="IPW95" s="367" t="e">
        <f>IPT95*IPU95*IPV95</f>
        <v>#DIV/0!</v>
      </c>
      <c r="IPX95" s="363" t="s">
        <v>153</v>
      </c>
      <c r="IPY95" s="363"/>
      <c r="IPZ95" s="363"/>
      <c r="IQA95" s="364" t="s">
        <v>140</v>
      </c>
      <c r="IQB95" s="365">
        <v>0.5</v>
      </c>
      <c r="IQC95" s="366" t="e">
        <f>10/IPY93</f>
        <v>#DIV/0!</v>
      </c>
      <c r="IQD95" s="367">
        <v>15.38</v>
      </c>
      <c r="IQE95" s="367" t="e">
        <f>IQB95*IQC95*IQD95</f>
        <v>#DIV/0!</v>
      </c>
      <c r="IQF95" s="363" t="s">
        <v>153</v>
      </c>
      <c r="IQG95" s="363"/>
      <c r="IQH95" s="363"/>
      <c r="IQI95" s="364" t="s">
        <v>140</v>
      </c>
      <c r="IQJ95" s="365">
        <v>0.5</v>
      </c>
      <c r="IQK95" s="366" t="e">
        <f>10/IQG93</f>
        <v>#DIV/0!</v>
      </c>
      <c r="IQL95" s="367">
        <v>15.38</v>
      </c>
      <c r="IQM95" s="367" t="e">
        <f>IQJ95*IQK95*IQL95</f>
        <v>#DIV/0!</v>
      </c>
      <c r="IQN95" s="363" t="s">
        <v>153</v>
      </c>
      <c r="IQO95" s="363"/>
      <c r="IQP95" s="363"/>
      <c r="IQQ95" s="364" t="s">
        <v>140</v>
      </c>
      <c r="IQR95" s="365">
        <v>0.5</v>
      </c>
      <c r="IQS95" s="366" t="e">
        <f>10/IQO93</f>
        <v>#DIV/0!</v>
      </c>
      <c r="IQT95" s="367">
        <v>15.38</v>
      </c>
      <c r="IQU95" s="367" t="e">
        <f>IQR95*IQS95*IQT95</f>
        <v>#DIV/0!</v>
      </c>
      <c r="IQV95" s="363" t="s">
        <v>153</v>
      </c>
      <c r="IQW95" s="363"/>
      <c r="IQX95" s="363"/>
      <c r="IQY95" s="364" t="s">
        <v>140</v>
      </c>
      <c r="IQZ95" s="365">
        <v>0.5</v>
      </c>
      <c r="IRA95" s="366" t="e">
        <f>10/IQW93</f>
        <v>#DIV/0!</v>
      </c>
      <c r="IRB95" s="367">
        <v>15.38</v>
      </c>
      <c r="IRC95" s="367" t="e">
        <f>IQZ95*IRA95*IRB95</f>
        <v>#DIV/0!</v>
      </c>
      <c r="IRD95" s="363" t="s">
        <v>153</v>
      </c>
      <c r="IRE95" s="363"/>
      <c r="IRF95" s="363"/>
      <c r="IRG95" s="364" t="s">
        <v>140</v>
      </c>
      <c r="IRH95" s="365">
        <v>0.5</v>
      </c>
      <c r="IRI95" s="366" t="e">
        <f>10/IRE93</f>
        <v>#DIV/0!</v>
      </c>
      <c r="IRJ95" s="367">
        <v>15.38</v>
      </c>
      <c r="IRK95" s="367" t="e">
        <f>IRH95*IRI95*IRJ95</f>
        <v>#DIV/0!</v>
      </c>
      <c r="IRL95" s="363" t="s">
        <v>153</v>
      </c>
      <c r="IRM95" s="363"/>
      <c r="IRN95" s="363"/>
      <c r="IRO95" s="364" t="s">
        <v>140</v>
      </c>
      <c r="IRP95" s="365">
        <v>0.5</v>
      </c>
      <c r="IRQ95" s="366" t="e">
        <f>10/IRM93</f>
        <v>#DIV/0!</v>
      </c>
      <c r="IRR95" s="367">
        <v>15.38</v>
      </c>
      <c r="IRS95" s="367" t="e">
        <f>IRP95*IRQ95*IRR95</f>
        <v>#DIV/0!</v>
      </c>
      <c r="IRT95" s="363" t="s">
        <v>153</v>
      </c>
      <c r="IRU95" s="363"/>
      <c r="IRV95" s="363"/>
      <c r="IRW95" s="364" t="s">
        <v>140</v>
      </c>
      <c r="IRX95" s="365">
        <v>0.5</v>
      </c>
      <c r="IRY95" s="366" t="e">
        <f>10/IRU93</f>
        <v>#DIV/0!</v>
      </c>
      <c r="IRZ95" s="367">
        <v>15.38</v>
      </c>
      <c r="ISA95" s="367" t="e">
        <f>IRX95*IRY95*IRZ95</f>
        <v>#DIV/0!</v>
      </c>
      <c r="ISB95" s="363" t="s">
        <v>153</v>
      </c>
      <c r="ISC95" s="363"/>
      <c r="ISD95" s="363"/>
      <c r="ISE95" s="364" t="s">
        <v>140</v>
      </c>
      <c r="ISF95" s="365">
        <v>0.5</v>
      </c>
      <c r="ISG95" s="366" t="e">
        <f>10/ISC93</f>
        <v>#DIV/0!</v>
      </c>
      <c r="ISH95" s="367">
        <v>15.38</v>
      </c>
      <c r="ISI95" s="367" t="e">
        <f>ISF95*ISG95*ISH95</f>
        <v>#DIV/0!</v>
      </c>
      <c r="ISJ95" s="363" t="s">
        <v>153</v>
      </c>
      <c r="ISK95" s="363"/>
      <c r="ISL95" s="363"/>
      <c r="ISM95" s="364" t="s">
        <v>140</v>
      </c>
      <c r="ISN95" s="365">
        <v>0.5</v>
      </c>
      <c r="ISO95" s="366" t="e">
        <f>10/ISK93</f>
        <v>#DIV/0!</v>
      </c>
      <c r="ISP95" s="367">
        <v>15.38</v>
      </c>
      <c r="ISQ95" s="367" t="e">
        <f>ISN95*ISO95*ISP95</f>
        <v>#DIV/0!</v>
      </c>
      <c r="ISR95" s="363" t="s">
        <v>153</v>
      </c>
      <c r="ISS95" s="363"/>
      <c r="IST95" s="363"/>
      <c r="ISU95" s="364" t="s">
        <v>140</v>
      </c>
      <c r="ISV95" s="365">
        <v>0.5</v>
      </c>
      <c r="ISW95" s="366" t="e">
        <f>10/ISS93</f>
        <v>#DIV/0!</v>
      </c>
      <c r="ISX95" s="367">
        <v>15.38</v>
      </c>
      <c r="ISY95" s="367" t="e">
        <f>ISV95*ISW95*ISX95</f>
        <v>#DIV/0!</v>
      </c>
      <c r="ISZ95" s="363" t="s">
        <v>153</v>
      </c>
      <c r="ITA95" s="363"/>
      <c r="ITB95" s="363"/>
      <c r="ITC95" s="364" t="s">
        <v>140</v>
      </c>
      <c r="ITD95" s="365">
        <v>0.5</v>
      </c>
      <c r="ITE95" s="366" t="e">
        <f>10/ITA93</f>
        <v>#DIV/0!</v>
      </c>
      <c r="ITF95" s="367">
        <v>15.38</v>
      </c>
      <c r="ITG95" s="367" t="e">
        <f>ITD95*ITE95*ITF95</f>
        <v>#DIV/0!</v>
      </c>
      <c r="ITH95" s="363" t="s">
        <v>153</v>
      </c>
      <c r="ITI95" s="363"/>
      <c r="ITJ95" s="363"/>
      <c r="ITK95" s="364" t="s">
        <v>140</v>
      </c>
      <c r="ITL95" s="365">
        <v>0.5</v>
      </c>
      <c r="ITM95" s="366" t="e">
        <f>10/ITI93</f>
        <v>#DIV/0!</v>
      </c>
      <c r="ITN95" s="367">
        <v>15.38</v>
      </c>
      <c r="ITO95" s="367" t="e">
        <f>ITL95*ITM95*ITN95</f>
        <v>#DIV/0!</v>
      </c>
      <c r="ITP95" s="363" t="s">
        <v>153</v>
      </c>
      <c r="ITQ95" s="363"/>
      <c r="ITR95" s="363"/>
      <c r="ITS95" s="364" t="s">
        <v>140</v>
      </c>
      <c r="ITT95" s="365">
        <v>0.5</v>
      </c>
      <c r="ITU95" s="366" t="e">
        <f>10/ITQ93</f>
        <v>#DIV/0!</v>
      </c>
      <c r="ITV95" s="367">
        <v>15.38</v>
      </c>
      <c r="ITW95" s="367" t="e">
        <f>ITT95*ITU95*ITV95</f>
        <v>#DIV/0!</v>
      </c>
      <c r="ITX95" s="363" t="s">
        <v>153</v>
      </c>
      <c r="ITY95" s="363"/>
      <c r="ITZ95" s="363"/>
      <c r="IUA95" s="364" t="s">
        <v>140</v>
      </c>
      <c r="IUB95" s="365">
        <v>0.5</v>
      </c>
      <c r="IUC95" s="366" t="e">
        <f>10/ITY93</f>
        <v>#DIV/0!</v>
      </c>
      <c r="IUD95" s="367">
        <v>15.38</v>
      </c>
      <c r="IUE95" s="367" t="e">
        <f>IUB95*IUC95*IUD95</f>
        <v>#DIV/0!</v>
      </c>
      <c r="IUF95" s="363" t="s">
        <v>153</v>
      </c>
      <c r="IUG95" s="363"/>
      <c r="IUH95" s="363"/>
      <c r="IUI95" s="364" t="s">
        <v>140</v>
      </c>
      <c r="IUJ95" s="365">
        <v>0.5</v>
      </c>
      <c r="IUK95" s="366" t="e">
        <f>10/IUG93</f>
        <v>#DIV/0!</v>
      </c>
      <c r="IUL95" s="367">
        <v>15.38</v>
      </c>
      <c r="IUM95" s="367" t="e">
        <f>IUJ95*IUK95*IUL95</f>
        <v>#DIV/0!</v>
      </c>
      <c r="IUN95" s="363" t="s">
        <v>153</v>
      </c>
      <c r="IUO95" s="363"/>
      <c r="IUP95" s="363"/>
      <c r="IUQ95" s="364" t="s">
        <v>140</v>
      </c>
      <c r="IUR95" s="365">
        <v>0.5</v>
      </c>
      <c r="IUS95" s="366" t="e">
        <f>10/IUO93</f>
        <v>#DIV/0!</v>
      </c>
      <c r="IUT95" s="367">
        <v>15.38</v>
      </c>
      <c r="IUU95" s="367" t="e">
        <f>IUR95*IUS95*IUT95</f>
        <v>#DIV/0!</v>
      </c>
      <c r="IUV95" s="363" t="s">
        <v>153</v>
      </c>
      <c r="IUW95" s="363"/>
      <c r="IUX95" s="363"/>
      <c r="IUY95" s="364" t="s">
        <v>140</v>
      </c>
      <c r="IUZ95" s="365">
        <v>0.5</v>
      </c>
      <c r="IVA95" s="366" t="e">
        <f>10/IUW93</f>
        <v>#DIV/0!</v>
      </c>
      <c r="IVB95" s="367">
        <v>15.38</v>
      </c>
      <c r="IVC95" s="367" t="e">
        <f>IUZ95*IVA95*IVB95</f>
        <v>#DIV/0!</v>
      </c>
      <c r="IVD95" s="363" t="s">
        <v>153</v>
      </c>
      <c r="IVE95" s="363"/>
      <c r="IVF95" s="363"/>
      <c r="IVG95" s="364" t="s">
        <v>140</v>
      </c>
      <c r="IVH95" s="365">
        <v>0.5</v>
      </c>
      <c r="IVI95" s="366" t="e">
        <f>10/IVE93</f>
        <v>#DIV/0!</v>
      </c>
      <c r="IVJ95" s="367">
        <v>15.38</v>
      </c>
      <c r="IVK95" s="367" t="e">
        <f>IVH95*IVI95*IVJ95</f>
        <v>#DIV/0!</v>
      </c>
      <c r="IVL95" s="363" t="s">
        <v>153</v>
      </c>
      <c r="IVM95" s="363"/>
      <c r="IVN95" s="363"/>
      <c r="IVO95" s="364" t="s">
        <v>140</v>
      </c>
      <c r="IVP95" s="365">
        <v>0.5</v>
      </c>
      <c r="IVQ95" s="366" t="e">
        <f>10/IVM93</f>
        <v>#DIV/0!</v>
      </c>
      <c r="IVR95" s="367">
        <v>15.38</v>
      </c>
      <c r="IVS95" s="367" t="e">
        <f>IVP95*IVQ95*IVR95</f>
        <v>#DIV/0!</v>
      </c>
      <c r="IVT95" s="363" t="s">
        <v>153</v>
      </c>
      <c r="IVU95" s="363"/>
      <c r="IVV95" s="363"/>
      <c r="IVW95" s="364" t="s">
        <v>140</v>
      </c>
      <c r="IVX95" s="365">
        <v>0.5</v>
      </c>
      <c r="IVY95" s="366" t="e">
        <f>10/IVU93</f>
        <v>#DIV/0!</v>
      </c>
      <c r="IVZ95" s="367">
        <v>15.38</v>
      </c>
      <c r="IWA95" s="367" t="e">
        <f>IVX95*IVY95*IVZ95</f>
        <v>#DIV/0!</v>
      </c>
      <c r="IWB95" s="363" t="s">
        <v>153</v>
      </c>
      <c r="IWC95" s="363"/>
      <c r="IWD95" s="363"/>
      <c r="IWE95" s="364" t="s">
        <v>140</v>
      </c>
      <c r="IWF95" s="365">
        <v>0.5</v>
      </c>
      <c r="IWG95" s="366" t="e">
        <f>10/IWC93</f>
        <v>#DIV/0!</v>
      </c>
      <c r="IWH95" s="367">
        <v>15.38</v>
      </c>
      <c r="IWI95" s="367" t="e">
        <f>IWF95*IWG95*IWH95</f>
        <v>#DIV/0!</v>
      </c>
      <c r="IWJ95" s="363" t="s">
        <v>153</v>
      </c>
      <c r="IWK95" s="363"/>
      <c r="IWL95" s="363"/>
      <c r="IWM95" s="364" t="s">
        <v>140</v>
      </c>
      <c r="IWN95" s="365">
        <v>0.5</v>
      </c>
      <c r="IWO95" s="366" t="e">
        <f>10/IWK93</f>
        <v>#DIV/0!</v>
      </c>
      <c r="IWP95" s="367">
        <v>15.38</v>
      </c>
      <c r="IWQ95" s="367" t="e">
        <f>IWN95*IWO95*IWP95</f>
        <v>#DIV/0!</v>
      </c>
      <c r="IWR95" s="363" t="s">
        <v>153</v>
      </c>
      <c r="IWS95" s="363"/>
      <c r="IWT95" s="363"/>
      <c r="IWU95" s="364" t="s">
        <v>140</v>
      </c>
      <c r="IWV95" s="365">
        <v>0.5</v>
      </c>
      <c r="IWW95" s="366" t="e">
        <f>10/IWS93</f>
        <v>#DIV/0!</v>
      </c>
      <c r="IWX95" s="367">
        <v>15.38</v>
      </c>
      <c r="IWY95" s="367" t="e">
        <f>IWV95*IWW95*IWX95</f>
        <v>#DIV/0!</v>
      </c>
      <c r="IWZ95" s="363" t="s">
        <v>153</v>
      </c>
      <c r="IXA95" s="363"/>
      <c r="IXB95" s="363"/>
      <c r="IXC95" s="364" t="s">
        <v>140</v>
      </c>
      <c r="IXD95" s="365">
        <v>0.5</v>
      </c>
      <c r="IXE95" s="366" t="e">
        <f>10/IXA93</f>
        <v>#DIV/0!</v>
      </c>
      <c r="IXF95" s="367">
        <v>15.38</v>
      </c>
      <c r="IXG95" s="367" t="e">
        <f>IXD95*IXE95*IXF95</f>
        <v>#DIV/0!</v>
      </c>
      <c r="IXH95" s="363" t="s">
        <v>153</v>
      </c>
      <c r="IXI95" s="363"/>
      <c r="IXJ95" s="363"/>
      <c r="IXK95" s="364" t="s">
        <v>140</v>
      </c>
      <c r="IXL95" s="365">
        <v>0.5</v>
      </c>
      <c r="IXM95" s="366" t="e">
        <f>10/IXI93</f>
        <v>#DIV/0!</v>
      </c>
      <c r="IXN95" s="367">
        <v>15.38</v>
      </c>
      <c r="IXO95" s="367" t="e">
        <f>IXL95*IXM95*IXN95</f>
        <v>#DIV/0!</v>
      </c>
      <c r="IXP95" s="363" t="s">
        <v>153</v>
      </c>
      <c r="IXQ95" s="363"/>
      <c r="IXR95" s="363"/>
      <c r="IXS95" s="364" t="s">
        <v>140</v>
      </c>
      <c r="IXT95" s="365">
        <v>0.5</v>
      </c>
      <c r="IXU95" s="366" t="e">
        <f>10/IXQ93</f>
        <v>#DIV/0!</v>
      </c>
      <c r="IXV95" s="367">
        <v>15.38</v>
      </c>
      <c r="IXW95" s="367" t="e">
        <f>IXT95*IXU95*IXV95</f>
        <v>#DIV/0!</v>
      </c>
      <c r="IXX95" s="363" t="s">
        <v>153</v>
      </c>
      <c r="IXY95" s="363"/>
      <c r="IXZ95" s="363"/>
      <c r="IYA95" s="364" t="s">
        <v>140</v>
      </c>
      <c r="IYB95" s="365">
        <v>0.5</v>
      </c>
      <c r="IYC95" s="366" t="e">
        <f>10/IXY93</f>
        <v>#DIV/0!</v>
      </c>
      <c r="IYD95" s="367">
        <v>15.38</v>
      </c>
      <c r="IYE95" s="367" t="e">
        <f>IYB95*IYC95*IYD95</f>
        <v>#DIV/0!</v>
      </c>
      <c r="IYF95" s="363" t="s">
        <v>153</v>
      </c>
      <c r="IYG95" s="363"/>
      <c r="IYH95" s="363"/>
      <c r="IYI95" s="364" t="s">
        <v>140</v>
      </c>
      <c r="IYJ95" s="365">
        <v>0.5</v>
      </c>
      <c r="IYK95" s="366" t="e">
        <f>10/IYG93</f>
        <v>#DIV/0!</v>
      </c>
      <c r="IYL95" s="367">
        <v>15.38</v>
      </c>
      <c r="IYM95" s="367" t="e">
        <f>IYJ95*IYK95*IYL95</f>
        <v>#DIV/0!</v>
      </c>
      <c r="IYN95" s="363" t="s">
        <v>153</v>
      </c>
      <c r="IYO95" s="363"/>
      <c r="IYP95" s="363"/>
      <c r="IYQ95" s="364" t="s">
        <v>140</v>
      </c>
      <c r="IYR95" s="365">
        <v>0.5</v>
      </c>
      <c r="IYS95" s="366" t="e">
        <f>10/IYO93</f>
        <v>#DIV/0!</v>
      </c>
      <c r="IYT95" s="367">
        <v>15.38</v>
      </c>
      <c r="IYU95" s="367" t="e">
        <f>IYR95*IYS95*IYT95</f>
        <v>#DIV/0!</v>
      </c>
      <c r="IYV95" s="363" t="s">
        <v>153</v>
      </c>
      <c r="IYW95" s="363"/>
      <c r="IYX95" s="363"/>
      <c r="IYY95" s="364" t="s">
        <v>140</v>
      </c>
      <c r="IYZ95" s="365">
        <v>0.5</v>
      </c>
      <c r="IZA95" s="366" t="e">
        <f>10/IYW93</f>
        <v>#DIV/0!</v>
      </c>
      <c r="IZB95" s="367">
        <v>15.38</v>
      </c>
      <c r="IZC95" s="367" t="e">
        <f>IYZ95*IZA95*IZB95</f>
        <v>#DIV/0!</v>
      </c>
      <c r="IZD95" s="363" t="s">
        <v>153</v>
      </c>
      <c r="IZE95" s="363"/>
      <c r="IZF95" s="363"/>
      <c r="IZG95" s="364" t="s">
        <v>140</v>
      </c>
      <c r="IZH95" s="365">
        <v>0.5</v>
      </c>
      <c r="IZI95" s="366" t="e">
        <f>10/IZE93</f>
        <v>#DIV/0!</v>
      </c>
      <c r="IZJ95" s="367">
        <v>15.38</v>
      </c>
      <c r="IZK95" s="367" t="e">
        <f>IZH95*IZI95*IZJ95</f>
        <v>#DIV/0!</v>
      </c>
      <c r="IZL95" s="363" t="s">
        <v>153</v>
      </c>
      <c r="IZM95" s="363"/>
      <c r="IZN95" s="363"/>
      <c r="IZO95" s="364" t="s">
        <v>140</v>
      </c>
      <c r="IZP95" s="365">
        <v>0.5</v>
      </c>
      <c r="IZQ95" s="366" t="e">
        <f>10/IZM93</f>
        <v>#DIV/0!</v>
      </c>
      <c r="IZR95" s="367">
        <v>15.38</v>
      </c>
      <c r="IZS95" s="367" t="e">
        <f>IZP95*IZQ95*IZR95</f>
        <v>#DIV/0!</v>
      </c>
      <c r="IZT95" s="363" t="s">
        <v>153</v>
      </c>
      <c r="IZU95" s="363"/>
      <c r="IZV95" s="363"/>
      <c r="IZW95" s="364" t="s">
        <v>140</v>
      </c>
      <c r="IZX95" s="365">
        <v>0.5</v>
      </c>
      <c r="IZY95" s="366" t="e">
        <f>10/IZU93</f>
        <v>#DIV/0!</v>
      </c>
      <c r="IZZ95" s="367">
        <v>15.38</v>
      </c>
      <c r="JAA95" s="367" t="e">
        <f>IZX95*IZY95*IZZ95</f>
        <v>#DIV/0!</v>
      </c>
      <c r="JAB95" s="363" t="s">
        <v>153</v>
      </c>
      <c r="JAC95" s="363"/>
      <c r="JAD95" s="363"/>
      <c r="JAE95" s="364" t="s">
        <v>140</v>
      </c>
      <c r="JAF95" s="365">
        <v>0.5</v>
      </c>
      <c r="JAG95" s="366" t="e">
        <f>10/JAC93</f>
        <v>#DIV/0!</v>
      </c>
      <c r="JAH95" s="367">
        <v>15.38</v>
      </c>
      <c r="JAI95" s="367" t="e">
        <f>JAF95*JAG95*JAH95</f>
        <v>#DIV/0!</v>
      </c>
      <c r="JAJ95" s="363" t="s">
        <v>153</v>
      </c>
      <c r="JAK95" s="363"/>
      <c r="JAL95" s="363"/>
      <c r="JAM95" s="364" t="s">
        <v>140</v>
      </c>
      <c r="JAN95" s="365">
        <v>0.5</v>
      </c>
      <c r="JAO95" s="366" t="e">
        <f>10/JAK93</f>
        <v>#DIV/0!</v>
      </c>
      <c r="JAP95" s="367">
        <v>15.38</v>
      </c>
      <c r="JAQ95" s="367" t="e">
        <f>JAN95*JAO95*JAP95</f>
        <v>#DIV/0!</v>
      </c>
      <c r="JAR95" s="363" t="s">
        <v>153</v>
      </c>
      <c r="JAS95" s="363"/>
      <c r="JAT95" s="363"/>
      <c r="JAU95" s="364" t="s">
        <v>140</v>
      </c>
      <c r="JAV95" s="365">
        <v>0.5</v>
      </c>
      <c r="JAW95" s="366" t="e">
        <f>10/JAS93</f>
        <v>#DIV/0!</v>
      </c>
      <c r="JAX95" s="367">
        <v>15.38</v>
      </c>
      <c r="JAY95" s="367" t="e">
        <f>JAV95*JAW95*JAX95</f>
        <v>#DIV/0!</v>
      </c>
      <c r="JAZ95" s="363" t="s">
        <v>153</v>
      </c>
      <c r="JBA95" s="363"/>
      <c r="JBB95" s="363"/>
      <c r="JBC95" s="364" t="s">
        <v>140</v>
      </c>
      <c r="JBD95" s="365">
        <v>0.5</v>
      </c>
      <c r="JBE95" s="366" t="e">
        <f>10/JBA93</f>
        <v>#DIV/0!</v>
      </c>
      <c r="JBF95" s="367">
        <v>15.38</v>
      </c>
      <c r="JBG95" s="367" t="e">
        <f>JBD95*JBE95*JBF95</f>
        <v>#DIV/0!</v>
      </c>
      <c r="JBH95" s="363" t="s">
        <v>153</v>
      </c>
      <c r="JBI95" s="363"/>
      <c r="JBJ95" s="363"/>
      <c r="JBK95" s="364" t="s">
        <v>140</v>
      </c>
      <c r="JBL95" s="365">
        <v>0.5</v>
      </c>
      <c r="JBM95" s="366" t="e">
        <f>10/JBI93</f>
        <v>#DIV/0!</v>
      </c>
      <c r="JBN95" s="367">
        <v>15.38</v>
      </c>
      <c r="JBO95" s="367" t="e">
        <f>JBL95*JBM95*JBN95</f>
        <v>#DIV/0!</v>
      </c>
      <c r="JBP95" s="363" t="s">
        <v>153</v>
      </c>
      <c r="JBQ95" s="363"/>
      <c r="JBR95" s="363"/>
      <c r="JBS95" s="364" t="s">
        <v>140</v>
      </c>
      <c r="JBT95" s="365">
        <v>0.5</v>
      </c>
      <c r="JBU95" s="366" t="e">
        <f>10/JBQ93</f>
        <v>#DIV/0!</v>
      </c>
      <c r="JBV95" s="367">
        <v>15.38</v>
      </c>
      <c r="JBW95" s="367" t="e">
        <f>JBT95*JBU95*JBV95</f>
        <v>#DIV/0!</v>
      </c>
      <c r="JBX95" s="363" t="s">
        <v>153</v>
      </c>
      <c r="JBY95" s="363"/>
      <c r="JBZ95" s="363"/>
      <c r="JCA95" s="364" t="s">
        <v>140</v>
      </c>
      <c r="JCB95" s="365">
        <v>0.5</v>
      </c>
      <c r="JCC95" s="366" t="e">
        <f>10/JBY93</f>
        <v>#DIV/0!</v>
      </c>
      <c r="JCD95" s="367">
        <v>15.38</v>
      </c>
      <c r="JCE95" s="367" t="e">
        <f>JCB95*JCC95*JCD95</f>
        <v>#DIV/0!</v>
      </c>
      <c r="JCF95" s="363" t="s">
        <v>153</v>
      </c>
      <c r="JCG95" s="363"/>
      <c r="JCH95" s="363"/>
      <c r="JCI95" s="364" t="s">
        <v>140</v>
      </c>
      <c r="JCJ95" s="365">
        <v>0.5</v>
      </c>
      <c r="JCK95" s="366" t="e">
        <f>10/JCG93</f>
        <v>#DIV/0!</v>
      </c>
      <c r="JCL95" s="367">
        <v>15.38</v>
      </c>
      <c r="JCM95" s="367" t="e">
        <f>JCJ95*JCK95*JCL95</f>
        <v>#DIV/0!</v>
      </c>
      <c r="JCN95" s="363" t="s">
        <v>153</v>
      </c>
      <c r="JCO95" s="363"/>
      <c r="JCP95" s="363"/>
      <c r="JCQ95" s="364" t="s">
        <v>140</v>
      </c>
      <c r="JCR95" s="365">
        <v>0.5</v>
      </c>
      <c r="JCS95" s="366" t="e">
        <f>10/JCO93</f>
        <v>#DIV/0!</v>
      </c>
      <c r="JCT95" s="367">
        <v>15.38</v>
      </c>
      <c r="JCU95" s="367" t="e">
        <f>JCR95*JCS95*JCT95</f>
        <v>#DIV/0!</v>
      </c>
      <c r="JCV95" s="363" t="s">
        <v>153</v>
      </c>
      <c r="JCW95" s="363"/>
      <c r="JCX95" s="363"/>
      <c r="JCY95" s="364" t="s">
        <v>140</v>
      </c>
      <c r="JCZ95" s="365">
        <v>0.5</v>
      </c>
      <c r="JDA95" s="366" t="e">
        <f>10/JCW93</f>
        <v>#DIV/0!</v>
      </c>
      <c r="JDB95" s="367">
        <v>15.38</v>
      </c>
      <c r="JDC95" s="367" t="e">
        <f>JCZ95*JDA95*JDB95</f>
        <v>#DIV/0!</v>
      </c>
      <c r="JDD95" s="363" t="s">
        <v>153</v>
      </c>
      <c r="JDE95" s="363"/>
      <c r="JDF95" s="363"/>
      <c r="JDG95" s="364" t="s">
        <v>140</v>
      </c>
      <c r="JDH95" s="365">
        <v>0.5</v>
      </c>
      <c r="JDI95" s="366" t="e">
        <f>10/JDE93</f>
        <v>#DIV/0!</v>
      </c>
      <c r="JDJ95" s="367">
        <v>15.38</v>
      </c>
      <c r="JDK95" s="367" t="e">
        <f>JDH95*JDI95*JDJ95</f>
        <v>#DIV/0!</v>
      </c>
      <c r="JDL95" s="363" t="s">
        <v>153</v>
      </c>
      <c r="JDM95" s="363"/>
      <c r="JDN95" s="363"/>
      <c r="JDO95" s="364" t="s">
        <v>140</v>
      </c>
      <c r="JDP95" s="365">
        <v>0.5</v>
      </c>
      <c r="JDQ95" s="366" t="e">
        <f>10/JDM93</f>
        <v>#DIV/0!</v>
      </c>
      <c r="JDR95" s="367">
        <v>15.38</v>
      </c>
      <c r="JDS95" s="367" t="e">
        <f>JDP95*JDQ95*JDR95</f>
        <v>#DIV/0!</v>
      </c>
      <c r="JDT95" s="363" t="s">
        <v>153</v>
      </c>
      <c r="JDU95" s="363"/>
      <c r="JDV95" s="363"/>
      <c r="JDW95" s="364" t="s">
        <v>140</v>
      </c>
      <c r="JDX95" s="365">
        <v>0.5</v>
      </c>
      <c r="JDY95" s="366" t="e">
        <f>10/JDU93</f>
        <v>#DIV/0!</v>
      </c>
      <c r="JDZ95" s="367">
        <v>15.38</v>
      </c>
      <c r="JEA95" s="367" t="e">
        <f>JDX95*JDY95*JDZ95</f>
        <v>#DIV/0!</v>
      </c>
      <c r="JEB95" s="363" t="s">
        <v>153</v>
      </c>
      <c r="JEC95" s="363"/>
      <c r="JED95" s="363"/>
      <c r="JEE95" s="364" t="s">
        <v>140</v>
      </c>
      <c r="JEF95" s="365">
        <v>0.5</v>
      </c>
      <c r="JEG95" s="366" t="e">
        <f>10/JEC93</f>
        <v>#DIV/0!</v>
      </c>
      <c r="JEH95" s="367">
        <v>15.38</v>
      </c>
      <c r="JEI95" s="367" t="e">
        <f>JEF95*JEG95*JEH95</f>
        <v>#DIV/0!</v>
      </c>
      <c r="JEJ95" s="363" t="s">
        <v>153</v>
      </c>
      <c r="JEK95" s="363"/>
      <c r="JEL95" s="363"/>
      <c r="JEM95" s="364" t="s">
        <v>140</v>
      </c>
      <c r="JEN95" s="365">
        <v>0.5</v>
      </c>
      <c r="JEO95" s="366" t="e">
        <f>10/JEK93</f>
        <v>#DIV/0!</v>
      </c>
      <c r="JEP95" s="367">
        <v>15.38</v>
      </c>
      <c r="JEQ95" s="367" t="e">
        <f>JEN95*JEO95*JEP95</f>
        <v>#DIV/0!</v>
      </c>
      <c r="JER95" s="363" t="s">
        <v>153</v>
      </c>
      <c r="JES95" s="363"/>
      <c r="JET95" s="363"/>
      <c r="JEU95" s="364" t="s">
        <v>140</v>
      </c>
      <c r="JEV95" s="365">
        <v>0.5</v>
      </c>
      <c r="JEW95" s="366" t="e">
        <f>10/JES93</f>
        <v>#DIV/0!</v>
      </c>
      <c r="JEX95" s="367">
        <v>15.38</v>
      </c>
      <c r="JEY95" s="367" t="e">
        <f>JEV95*JEW95*JEX95</f>
        <v>#DIV/0!</v>
      </c>
      <c r="JEZ95" s="363" t="s">
        <v>153</v>
      </c>
      <c r="JFA95" s="363"/>
      <c r="JFB95" s="363"/>
      <c r="JFC95" s="364" t="s">
        <v>140</v>
      </c>
      <c r="JFD95" s="365">
        <v>0.5</v>
      </c>
      <c r="JFE95" s="366" t="e">
        <f>10/JFA93</f>
        <v>#DIV/0!</v>
      </c>
      <c r="JFF95" s="367">
        <v>15.38</v>
      </c>
      <c r="JFG95" s="367" t="e">
        <f>JFD95*JFE95*JFF95</f>
        <v>#DIV/0!</v>
      </c>
      <c r="JFH95" s="363" t="s">
        <v>153</v>
      </c>
      <c r="JFI95" s="363"/>
      <c r="JFJ95" s="363"/>
      <c r="JFK95" s="364" t="s">
        <v>140</v>
      </c>
      <c r="JFL95" s="365">
        <v>0.5</v>
      </c>
      <c r="JFM95" s="366" t="e">
        <f>10/JFI93</f>
        <v>#DIV/0!</v>
      </c>
      <c r="JFN95" s="367">
        <v>15.38</v>
      </c>
      <c r="JFO95" s="367" t="e">
        <f>JFL95*JFM95*JFN95</f>
        <v>#DIV/0!</v>
      </c>
      <c r="JFP95" s="363" t="s">
        <v>153</v>
      </c>
      <c r="JFQ95" s="363"/>
      <c r="JFR95" s="363"/>
      <c r="JFS95" s="364" t="s">
        <v>140</v>
      </c>
      <c r="JFT95" s="365">
        <v>0.5</v>
      </c>
      <c r="JFU95" s="366" t="e">
        <f>10/JFQ93</f>
        <v>#DIV/0!</v>
      </c>
      <c r="JFV95" s="367">
        <v>15.38</v>
      </c>
      <c r="JFW95" s="367" t="e">
        <f>JFT95*JFU95*JFV95</f>
        <v>#DIV/0!</v>
      </c>
      <c r="JFX95" s="363" t="s">
        <v>153</v>
      </c>
      <c r="JFY95" s="363"/>
      <c r="JFZ95" s="363"/>
      <c r="JGA95" s="364" t="s">
        <v>140</v>
      </c>
      <c r="JGB95" s="365">
        <v>0.5</v>
      </c>
      <c r="JGC95" s="366" t="e">
        <f>10/JFY93</f>
        <v>#DIV/0!</v>
      </c>
      <c r="JGD95" s="367">
        <v>15.38</v>
      </c>
      <c r="JGE95" s="367" t="e">
        <f>JGB95*JGC95*JGD95</f>
        <v>#DIV/0!</v>
      </c>
      <c r="JGF95" s="363" t="s">
        <v>153</v>
      </c>
      <c r="JGG95" s="363"/>
      <c r="JGH95" s="363"/>
      <c r="JGI95" s="364" t="s">
        <v>140</v>
      </c>
      <c r="JGJ95" s="365">
        <v>0.5</v>
      </c>
      <c r="JGK95" s="366" t="e">
        <f>10/JGG93</f>
        <v>#DIV/0!</v>
      </c>
      <c r="JGL95" s="367">
        <v>15.38</v>
      </c>
      <c r="JGM95" s="367" t="e">
        <f>JGJ95*JGK95*JGL95</f>
        <v>#DIV/0!</v>
      </c>
      <c r="JGN95" s="363" t="s">
        <v>153</v>
      </c>
      <c r="JGO95" s="363"/>
      <c r="JGP95" s="363"/>
      <c r="JGQ95" s="364" t="s">
        <v>140</v>
      </c>
      <c r="JGR95" s="365">
        <v>0.5</v>
      </c>
      <c r="JGS95" s="366" t="e">
        <f>10/JGO93</f>
        <v>#DIV/0!</v>
      </c>
      <c r="JGT95" s="367">
        <v>15.38</v>
      </c>
      <c r="JGU95" s="367" t="e">
        <f>JGR95*JGS95*JGT95</f>
        <v>#DIV/0!</v>
      </c>
      <c r="JGV95" s="363" t="s">
        <v>153</v>
      </c>
      <c r="JGW95" s="363"/>
      <c r="JGX95" s="363"/>
      <c r="JGY95" s="364" t="s">
        <v>140</v>
      </c>
      <c r="JGZ95" s="365">
        <v>0.5</v>
      </c>
      <c r="JHA95" s="366" t="e">
        <f>10/JGW93</f>
        <v>#DIV/0!</v>
      </c>
      <c r="JHB95" s="367">
        <v>15.38</v>
      </c>
      <c r="JHC95" s="367" t="e">
        <f>JGZ95*JHA95*JHB95</f>
        <v>#DIV/0!</v>
      </c>
      <c r="JHD95" s="363" t="s">
        <v>153</v>
      </c>
      <c r="JHE95" s="363"/>
      <c r="JHF95" s="363"/>
      <c r="JHG95" s="364" t="s">
        <v>140</v>
      </c>
      <c r="JHH95" s="365">
        <v>0.5</v>
      </c>
      <c r="JHI95" s="366" t="e">
        <f>10/JHE93</f>
        <v>#DIV/0!</v>
      </c>
      <c r="JHJ95" s="367">
        <v>15.38</v>
      </c>
      <c r="JHK95" s="367" t="e">
        <f>JHH95*JHI95*JHJ95</f>
        <v>#DIV/0!</v>
      </c>
      <c r="JHL95" s="363" t="s">
        <v>153</v>
      </c>
      <c r="JHM95" s="363"/>
      <c r="JHN95" s="363"/>
      <c r="JHO95" s="364" t="s">
        <v>140</v>
      </c>
      <c r="JHP95" s="365">
        <v>0.5</v>
      </c>
      <c r="JHQ95" s="366" t="e">
        <f>10/JHM93</f>
        <v>#DIV/0!</v>
      </c>
      <c r="JHR95" s="367">
        <v>15.38</v>
      </c>
      <c r="JHS95" s="367" t="e">
        <f>JHP95*JHQ95*JHR95</f>
        <v>#DIV/0!</v>
      </c>
      <c r="JHT95" s="363" t="s">
        <v>153</v>
      </c>
      <c r="JHU95" s="363"/>
      <c r="JHV95" s="363"/>
      <c r="JHW95" s="364" t="s">
        <v>140</v>
      </c>
      <c r="JHX95" s="365">
        <v>0.5</v>
      </c>
      <c r="JHY95" s="366" t="e">
        <f>10/JHU93</f>
        <v>#DIV/0!</v>
      </c>
      <c r="JHZ95" s="367">
        <v>15.38</v>
      </c>
      <c r="JIA95" s="367" t="e">
        <f>JHX95*JHY95*JHZ95</f>
        <v>#DIV/0!</v>
      </c>
      <c r="JIB95" s="363" t="s">
        <v>153</v>
      </c>
      <c r="JIC95" s="363"/>
      <c r="JID95" s="363"/>
      <c r="JIE95" s="364" t="s">
        <v>140</v>
      </c>
      <c r="JIF95" s="365">
        <v>0.5</v>
      </c>
      <c r="JIG95" s="366" t="e">
        <f>10/JIC93</f>
        <v>#DIV/0!</v>
      </c>
      <c r="JIH95" s="367">
        <v>15.38</v>
      </c>
      <c r="JII95" s="367" t="e">
        <f>JIF95*JIG95*JIH95</f>
        <v>#DIV/0!</v>
      </c>
      <c r="JIJ95" s="363" t="s">
        <v>153</v>
      </c>
      <c r="JIK95" s="363"/>
      <c r="JIL95" s="363"/>
      <c r="JIM95" s="364" t="s">
        <v>140</v>
      </c>
      <c r="JIN95" s="365">
        <v>0.5</v>
      </c>
      <c r="JIO95" s="366" t="e">
        <f>10/JIK93</f>
        <v>#DIV/0!</v>
      </c>
      <c r="JIP95" s="367">
        <v>15.38</v>
      </c>
      <c r="JIQ95" s="367" t="e">
        <f>JIN95*JIO95*JIP95</f>
        <v>#DIV/0!</v>
      </c>
      <c r="JIR95" s="363" t="s">
        <v>153</v>
      </c>
      <c r="JIS95" s="363"/>
      <c r="JIT95" s="363"/>
      <c r="JIU95" s="364" t="s">
        <v>140</v>
      </c>
      <c r="JIV95" s="365">
        <v>0.5</v>
      </c>
      <c r="JIW95" s="366" t="e">
        <f>10/JIS93</f>
        <v>#DIV/0!</v>
      </c>
      <c r="JIX95" s="367">
        <v>15.38</v>
      </c>
      <c r="JIY95" s="367" t="e">
        <f>JIV95*JIW95*JIX95</f>
        <v>#DIV/0!</v>
      </c>
      <c r="JIZ95" s="363" t="s">
        <v>153</v>
      </c>
      <c r="JJA95" s="363"/>
      <c r="JJB95" s="363"/>
      <c r="JJC95" s="364" t="s">
        <v>140</v>
      </c>
      <c r="JJD95" s="365">
        <v>0.5</v>
      </c>
      <c r="JJE95" s="366" t="e">
        <f>10/JJA93</f>
        <v>#DIV/0!</v>
      </c>
      <c r="JJF95" s="367">
        <v>15.38</v>
      </c>
      <c r="JJG95" s="367" t="e">
        <f>JJD95*JJE95*JJF95</f>
        <v>#DIV/0!</v>
      </c>
      <c r="JJH95" s="363" t="s">
        <v>153</v>
      </c>
      <c r="JJI95" s="363"/>
      <c r="JJJ95" s="363"/>
      <c r="JJK95" s="364" t="s">
        <v>140</v>
      </c>
      <c r="JJL95" s="365">
        <v>0.5</v>
      </c>
      <c r="JJM95" s="366" t="e">
        <f>10/JJI93</f>
        <v>#DIV/0!</v>
      </c>
      <c r="JJN95" s="367">
        <v>15.38</v>
      </c>
      <c r="JJO95" s="367" t="e">
        <f>JJL95*JJM95*JJN95</f>
        <v>#DIV/0!</v>
      </c>
      <c r="JJP95" s="363" t="s">
        <v>153</v>
      </c>
      <c r="JJQ95" s="363"/>
      <c r="JJR95" s="363"/>
      <c r="JJS95" s="364" t="s">
        <v>140</v>
      </c>
      <c r="JJT95" s="365">
        <v>0.5</v>
      </c>
      <c r="JJU95" s="366" t="e">
        <f>10/JJQ93</f>
        <v>#DIV/0!</v>
      </c>
      <c r="JJV95" s="367">
        <v>15.38</v>
      </c>
      <c r="JJW95" s="367" t="e">
        <f>JJT95*JJU95*JJV95</f>
        <v>#DIV/0!</v>
      </c>
      <c r="JJX95" s="363" t="s">
        <v>153</v>
      </c>
      <c r="JJY95" s="363"/>
      <c r="JJZ95" s="363"/>
      <c r="JKA95" s="364" t="s">
        <v>140</v>
      </c>
      <c r="JKB95" s="365">
        <v>0.5</v>
      </c>
      <c r="JKC95" s="366" t="e">
        <f>10/JJY93</f>
        <v>#DIV/0!</v>
      </c>
      <c r="JKD95" s="367">
        <v>15.38</v>
      </c>
      <c r="JKE95" s="367" t="e">
        <f>JKB95*JKC95*JKD95</f>
        <v>#DIV/0!</v>
      </c>
      <c r="JKF95" s="363" t="s">
        <v>153</v>
      </c>
      <c r="JKG95" s="363"/>
      <c r="JKH95" s="363"/>
      <c r="JKI95" s="364" t="s">
        <v>140</v>
      </c>
      <c r="JKJ95" s="365">
        <v>0.5</v>
      </c>
      <c r="JKK95" s="366" t="e">
        <f>10/JKG93</f>
        <v>#DIV/0!</v>
      </c>
      <c r="JKL95" s="367">
        <v>15.38</v>
      </c>
      <c r="JKM95" s="367" t="e">
        <f>JKJ95*JKK95*JKL95</f>
        <v>#DIV/0!</v>
      </c>
      <c r="JKN95" s="363" t="s">
        <v>153</v>
      </c>
      <c r="JKO95" s="363"/>
      <c r="JKP95" s="363"/>
      <c r="JKQ95" s="364" t="s">
        <v>140</v>
      </c>
      <c r="JKR95" s="365">
        <v>0.5</v>
      </c>
      <c r="JKS95" s="366" t="e">
        <f>10/JKO93</f>
        <v>#DIV/0!</v>
      </c>
      <c r="JKT95" s="367">
        <v>15.38</v>
      </c>
      <c r="JKU95" s="367" t="e">
        <f>JKR95*JKS95*JKT95</f>
        <v>#DIV/0!</v>
      </c>
      <c r="JKV95" s="363" t="s">
        <v>153</v>
      </c>
      <c r="JKW95" s="363"/>
      <c r="JKX95" s="363"/>
      <c r="JKY95" s="364" t="s">
        <v>140</v>
      </c>
      <c r="JKZ95" s="365">
        <v>0.5</v>
      </c>
      <c r="JLA95" s="366" t="e">
        <f>10/JKW93</f>
        <v>#DIV/0!</v>
      </c>
      <c r="JLB95" s="367">
        <v>15.38</v>
      </c>
      <c r="JLC95" s="367" t="e">
        <f>JKZ95*JLA95*JLB95</f>
        <v>#DIV/0!</v>
      </c>
      <c r="JLD95" s="363" t="s">
        <v>153</v>
      </c>
      <c r="JLE95" s="363"/>
      <c r="JLF95" s="363"/>
      <c r="JLG95" s="364" t="s">
        <v>140</v>
      </c>
      <c r="JLH95" s="365">
        <v>0.5</v>
      </c>
      <c r="JLI95" s="366" t="e">
        <f>10/JLE93</f>
        <v>#DIV/0!</v>
      </c>
      <c r="JLJ95" s="367">
        <v>15.38</v>
      </c>
      <c r="JLK95" s="367" t="e">
        <f>JLH95*JLI95*JLJ95</f>
        <v>#DIV/0!</v>
      </c>
      <c r="JLL95" s="363" t="s">
        <v>153</v>
      </c>
      <c r="JLM95" s="363"/>
      <c r="JLN95" s="363"/>
      <c r="JLO95" s="364" t="s">
        <v>140</v>
      </c>
      <c r="JLP95" s="365">
        <v>0.5</v>
      </c>
      <c r="JLQ95" s="366" t="e">
        <f>10/JLM93</f>
        <v>#DIV/0!</v>
      </c>
      <c r="JLR95" s="367">
        <v>15.38</v>
      </c>
      <c r="JLS95" s="367" t="e">
        <f>JLP95*JLQ95*JLR95</f>
        <v>#DIV/0!</v>
      </c>
      <c r="JLT95" s="363" t="s">
        <v>153</v>
      </c>
      <c r="JLU95" s="363"/>
      <c r="JLV95" s="363"/>
      <c r="JLW95" s="364" t="s">
        <v>140</v>
      </c>
      <c r="JLX95" s="365">
        <v>0.5</v>
      </c>
      <c r="JLY95" s="366" t="e">
        <f>10/JLU93</f>
        <v>#DIV/0!</v>
      </c>
      <c r="JLZ95" s="367">
        <v>15.38</v>
      </c>
      <c r="JMA95" s="367" t="e">
        <f>JLX95*JLY95*JLZ95</f>
        <v>#DIV/0!</v>
      </c>
      <c r="JMB95" s="363" t="s">
        <v>153</v>
      </c>
      <c r="JMC95" s="363"/>
      <c r="JMD95" s="363"/>
      <c r="JME95" s="364" t="s">
        <v>140</v>
      </c>
      <c r="JMF95" s="365">
        <v>0.5</v>
      </c>
      <c r="JMG95" s="366" t="e">
        <f>10/JMC93</f>
        <v>#DIV/0!</v>
      </c>
      <c r="JMH95" s="367">
        <v>15.38</v>
      </c>
      <c r="JMI95" s="367" t="e">
        <f>JMF95*JMG95*JMH95</f>
        <v>#DIV/0!</v>
      </c>
      <c r="JMJ95" s="363" t="s">
        <v>153</v>
      </c>
      <c r="JMK95" s="363"/>
      <c r="JML95" s="363"/>
      <c r="JMM95" s="364" t="s">
        <v>140</v>
      </c>
      <c r="JMN95" s="365">
        <v>0.5</v>
      </c>
      <c r="JMO95" s="366" t="e">
        <f>10/JMK93</f>
        <v>#DIV/0!</v>
      </c>
      <c r="JMP95" s="367">
        <v>15.38</v>
      </c>
      <c r="JMQ95" s="367" t="e">
        <f>JMN95*JMO95*JMP95</f>
        <v>#DIV/0!</v>
      </c>
      <c r="JMR95" s="363" t="s">
        <v>153</v>
      </c>
      <c r="JMS95" s="363"/>
      <c r="JMT95" s="363"/>
      <c r="JMU95" s="364" t="s">
        <v>140</v>
      </c>
      <c r="JMV95" s="365">
        <v>0.5</v>
      </c>
      <c r="JMW95" s="366" t="e">
        <f>10/JMS93</f>
        <v>#DIV/0!</v>
      </c>
      <c r="JMX95" s="367">
        <v>15.38</v>
      </c>
      <c r="JMY95" s="367" t="e">
        <f>JMV95*JMW95*JMX95</f>
        <v>#DIV/0!</v>
      </c>
      <c r="JMZ95" s="363" t="s">
        <v>153</v>
      </c>
      <c r="JNA95" s="363"/>
      <c r="JNB95" s="363"/>
      <c r="JNC95" s="364" t="s">
        <v>140</v>
      </c>
      <c r="JND95" s="365">
        <v>0.5</v>
      </c>
      <c r="JNE95" s="366" t="e">
        <f>10/JNA93</f>
        <v>#DIV/0!</v>
      </c>
      <c r="JNF95" s="367">
        <v>15.38</v>
      </c>
      <c r="JNG95" s="367" t="e">
        <f>JND95*JNE95*JNF95</f>
        <v>#DIV/0!</v>
      </c>
      <c r="JNH95" s="363" t="s">
        <v>153</v>
      </c>
      <c r="JNI95" s="363"/>
      <c r="JNJ95" s="363"/>
      <c r="JNK95" s="364" t="s">
        <v>140</v>
      </c>
      <c r="JNL95" s="365">
        <v>0.5</v>
      </c>
      <c r="JNM95" s="366" t="e">
        <f>10/JNI93</f>
        <v>#DIV/0!</v>
      </c>
      <c r="JNN95" s="367">
        <v>15.38</v>
      </c>
      <c r="JNO95" s="367" t="e">
        <f>JNL95*JNM95*JNN95</f>
        <v>#DIV/0!</v>
      </c>
      <c r="JNP95" s="363" t="s">
        <v>153</v>
      </c>
      <c r="JNQ95" s="363"/>
      <c r="JNR95" s="363"/>
      <c r="JNS95" s="364" t="s">
        <v>140</v>
      </c>
      <c r="JNT95" s="365">
        <v>0.5</v>
      </c>
      <c r="JNU95" s="366" t="e">
        <f>10/JNQ93</f>
        <v>#DIV/0!</v>
      </c>
      <c r="JNV95" s="367">
        <v>15.38</v>
      </c>
      <c r="JNW95" s="367" t="e">
        <f>JNT95*JNU95*JNV95</f>
        <v>#DIV/0!</v>
      </c>
      <c r="JNX95" s="363" t="s">
        <v>153</v>
      </c>
      <c r="JNY95" s="363"/>
      <c r="JNZ95" s="363"/>
      <c r="JOA95" s="364" t="s">
        <v>140</v>
      </c>
      <c r="JOB95" s="365">
        <v>0.5</v>
      </c>
      <c r="JOC95" s="366" t="e">
        <f>10/JNY93</f>
        <v>#DIV/0!</v>
      </c>
      <c r="JOD95" s="367">
        <v>15.38</v>
      </c>
      <c r="JOE95" s="367" t="e">
        <f>JOB95*JOC95*JOD95</f>
        <v>#DIV/0!</v>
      </c>
      <c r="JOF95" s="363" t="s">
        <v>153</v>
      </c>
      <c r="JOG95" s="363"/>
      <c r="JOH95" s="363"/>
      <c r="JOI95" s="364" t="s">
        <v>140</v>
      </c>
      <c r="JOJ95" s="365">
        <v>0.5</v>
      </c>
      <c r="JOK95" s="366" t="e">
        <f>10/JOG93</f>
        <v>#DIV/0!</v>
      </c>
      <c r="JOL95" s="367">
        <v>15.38</v>
      </c>
      <c r="JOM95" s="367" t="e">
        <f>JOJ95*JOK95*JOL95</f>
        <v>#DIV/0!</v>
      </c>
      <c r="JON95" s="363" t="s">
        <v>153</v>
      </c>
      <c r="JOO95" s="363"/>
      <c r="JOP95" s="363"/>
      <c r="JOQ95" s="364" t="s">
        <v>140</v>
      </c>
      <c r="JOR95" s="365">
        <v>0.5</v>
      </c>
      <c r="JOS95" s="366" t="e">
        <f>10/JOO93</f>
        <v>#DIV/0!</v>
      </c>
      <c r="JOT95" s="367">
        <v>15.38</v>
      </c>
      <c r="JOU95" s="367" t="e">
        <f>JOR95*JOS95*JOT95</f>
        <v>#DIV/0!</v>
      </c>
      <c r="JOV95" s="363" t="s">
        <v>153</v>
      </c>
      <c r="JOW95" s="363"/>
      <c r="JOX95" s="363"/>
      <c r="JOY95" s="364" t="s">
        <v>140</v>
      </c>
      <c r="JOZ95" s="365">
        <v>0.5</v>
      </c>
      <c r="JPA95" s="366" t="e">
        <f>10/JOW93</f>
        <v>#DIV/0!</v>
      </c>
      <c r="JPB95" s="367">
        <v>15.38</v>
      </c>
      <c r="JPC95" s="367" t="e">
        <f>JOZ95*JPA95*JPB95</f>
        <v>#DIV/0!</v>
      </c>
      <c r="JPD95" s="363" t="s">
        <v>153</v>
      </c>
      <c r="JPE95" s="363"/>
      <c r="JPF95" s="363"/>
      <c r="JPG95" s="364" t="s">
        <v>140</v>
      </c>
      <c r="JPH95" s="365">
        <v>0.5</v>
      </c>
      <c r="JPI95" s="366" t="e">
        <f>10/JPE93</f>
        <v>#DIV/0!</v>
      </c>
      <c r="JPJ95" s="367">
        <v>15.38</v>
      </c>
      <c r="JPK95" s="367" t="e">
        <f>JPH95*JPI95*JPJ95</f>
        <v>#DIV/0!</v>
      </c>
      <c r="JPL95" s="363" t="s">
        <v>153</v>
      </c>
      <c r="JPM95" s="363"/>
      <c r="JPN95" s="363"/>
      <c r="JPO95" s="364" t="s">
        <v>140</v>
      </c>
      <c r="JPP95" s="365">
        <v>0.5</v>
      </c>
      <c r="JPQ95" s="366" t="e">
        <f>10/JPM93</f>
        <v>#DIV/0!</v>
      </c>
      <c r="JPR95" s="367">
        <v>15.38</v>
      </c>
      <c r="JPS95" s="367" t="e">
        <f>JPP95*JPQ95*JPR95</f>
        <v>#DIV/0!</v>
      </c>
      <c r="JPT95" s="363" t="s">
        <v>153</v>
      </c>
      <c r="JPU95" s="363"/>
      <c r="JPV95" s="363"/>
      <c r="JPW95" s="364" t="s">
        <v>140</v>
      </c>
      <c r="JPX95" s="365">
        <v>0.5</v>
      </c>
      <c r="JPY95" s="366" t="e">
        <f>10/JPU93</f>
        <v>#DIV/0!</v>
      </c>
      <c r="JPZ95" s="367">
        <v>15.38</v>
      </c>
      <c r="JQA95" s="367" t="e">
        <f>JPX95*JPY95*JPZ95</f>
        <v>#DIV/0!</v>
      </c>
      <c r="JQB95" s="363" t="s">
        <v>153</v>
      </c>
      <c r="JQC95" s="363"/>
      <c r="JQD95" s="363"/>
      <c r="JQE95" s="364" t="s">
        <v>140</v>
      </c>
      <c r="JQF95" s="365">
        <v>0.5</v>
      </c>
      <c r="JQG95" s="366" t="e">
        <f>10/JQC93</f>
        <v>#DIV/0!</v>
      </c>
      <c r="JQH95" s="367">
        <v>15.38</v>
      </c>
      <c r="JQI95" s="367" t="e">
        <f>JQF95*JQG95*JQH95</f>
        <v>#DIV/0!</v>
      </c>
      <c r="JQJ95" s="363" t="s">
        <v>153</v>
      </c>
      <c r="JQK95" s="363"/>
      <c r="JQL95" s="363"/>
      <c r="JQM95" s="364" t="s">
        <v>140</v>
      </c>
      <c r="JQN95" s="365">
        <v>0.5</v>
      </c>
      <c r="JQO95" s="366" t="e">
        <f>10/JQK93</f>
        <v>#DIV/0!</v>
      </c>
      <c r="JQP95" s="367">
        <v>15.38</v>
      </c>
      <c r="JQQ95" s="367" t="e">
        <f>JQN95*JQO95*JQP95</f>
        <v>#DIV/0!</v>
      </c>
      <c r="JQR95" s="363" t="s">
        <v>153</v>
      </c>
      <c r="JQS95" s="363"/>
      <c r="JQT95" s="363"/>
      <c r="JQU95" s="364" t="s">
        <v>140</v>
      </c>
      <c r="JQV95" s="365">
        <v>0.5</v>
      </c>
      <c r="JQW95" s="366" t="e">
        <f>10/JQS93</f>
        <v>#DIV/0!</v>
      </c>
      <c r="JQX95" s="367">
        <v>15.38</v>
      </c>
      <c r="JQY95" s="367" t="e">
        <f>JQV95*JQW95*JQX95</f>
        <v>#DIV/0!</v>
      </c>
      <c r="JQZ95" s="363" t="s">
        <v>153</v>
      </c>
      <c r="JRA95" s="363"/>
      <c r="JRB95" s="363"/>
      <c r="JRC95" s="364" t="s">
        <v>140</v>
      </c>
      <c r="JRD95" s="365">
        <v>0.5</v>
      </c>
      <c r="JRE95" s="366" t="e">
        <f>10/JRA93</f>
        <v>#DIV/0!</v>
      </c>
      <c r="JRF95" s="367">
        <v>15.38</v>
      </c>
      <c r="JRG95" s="367" t="e">
        <f>JRD95*JRE95*JRF95</f>
        <v>#DIV/0!</v>
      </c>
      <c r="JRH95" s="363" t="s">
        <v>153</v>
      </c>
      <c r="JRI95" s="363"/>
      <c r="JRJ95" s="363"/>
      <c r="JRK95" s="364" t="s">
        <v>140</v>
      </c>
      <c r="JRL95" s="365">
        <v>0.5</v>
      </c>
      <c r="JRM95" s="366" t="e">
        <f>10/JRI93</f>
        <v>#DIV/0!</v>
      </c>
      <c r="JRN95" s="367">
        <v>15.38</v>
      </c>
      <c r="JRO95" s="367" t="e">
        <f>JRL95*JRM95*JRN95</f>
        <v>#DIV/0!</v>
      </c>
      <c r="JRP95" s="363" t="s">
        <v>153</v>
      </c>
      <c r="JRQ95" s="363"/>
      <c r="JRR95" s="363"/>
      <c r="JRS95" s="364" t="s">
        <v>140</v>
      </c>
      <c r="JRT95" s="365">
        <v>0.5</v>
      </c>
      <c r="JRU95" s="366" t="e">
        <f>10/JRQ93</f>
        <v>#DIV/0!</v>
      </c>
      <c r="JRV95" s="367">
        <v>15.38</v>
      </c>
      <c r="JRW95" s="367" t="e">
        <f>JRT95*JRU95*JRV95</f>
        <v>#DIV/0!</v>
      </c>
      <c r="JRX95" s="363" t="s">
        <v>153</v>
      </c>
      <c r="JRY95" s="363"/>
      <c r="JRZ95" s="363"/>
      <c r="JSA95" s="364" t="s">
        <v>140</v>
      </c>
      <c r="JSB95" s="365">
        <v>0.5</v>
      </c>
      <c r="JSC95" s="366" t="e">
        <f>10/JRY93</f>
        <v>#DIV/0!</v>
      </c>
      <c r="JSD95" s="367">
        <v>15.38</v>
      </c>
      <c r="JSE95" s="367" t="e">
        <f>JSB95*JSC95*JSD95</f>
        <v>#DIV/0!</v>
      </c>
      <c r="JSF95" s="363" t="s">
        <v>153</v>
      </c>
      <c r="JSG95" s="363"/>
      <c r="JSH95" s="363"/>
      <c r="JSI95" s="364" t="s">
        <v>140</v>
      </c>
      <c r="JSJ95" s="365">
        <v>0.5</v>
      </c>
      <c r="JSK95" s="366" t="e">
        <f>10/JSG93</f>
        <v>#DIV/0!</v>
      </c>
      <c r="JSL95" s="367">
        <v>15.38</v>
      </c>
      <c r="JSM95" s="367" t="e">
        <f>JSJ95*JSK95*JSL95</f>
        <v>#DIV/0!</v>
      </c>
      <c r="JSN95" s="363" t="s">
        <v>153</v>
      </c>
      <c r="JSO95" s="363"/>
      <c r="JSP95" s="363"/>
      <c r="JSQ95" s="364" t="s">
        <v>140</v>
      </c>
      <c r="JSR95" s="365">
        <v>0.5</v>
      </c>
      <c r="JSS95" s="366" t="e">
        <f>10/JSO93</f>
        <v>#DIV/0!</v>
      </c>
      <c r="JST95" s="367">
        <v>15.38</v>
      </c>
      <c r="JSU95" s="367" t="e">
        <f>JSR95*JSS95*JST95</f>
        <v>#DIV/0!</v>
      </c>
      <c r="JSV95" s="363" t="s">
        <v>153</v>
      </c>
      <c r="JSW95" s="363"/>
      <c r="JSX95" s="363"/>
      <c r="JSY95" s="364" t="s">
        <v>140</v>
      </c>
      <c r="JSZ95" s="365">
        <v>0.5</v>
      </c>
      <c r="JTA95" s="366" t="e">
        <f>10/JSW93</f>
        <v>#DIV/0!</v>
      </c>
      <c r="JTB95" s="367">
        <v>15.38</v>
      </c>
      <c r="JTC95" s="367" t="e">
        <f>JSZ95*JTA95*JTB95</f>
        <v>#DIV/0!</v>
      </c>
      <c r="JTD95" s="363" t="s">
        <v>153</v>
      </c>
      <c r="JTE95" s="363"/>
      <c r="JTF95" s="363"/>
      <c r="JTG95" s="364" t="s">
        <v>140</v>
      </c>
      <c r="JTH95" s="365">
        <v>0.5</v>
      </c>
      <c r="JTI95" s="366" t="e">
        <f>10/JTE93</f>
        <v>#DIV/0!</v>
      </c>
      <c r="JTJ95" s="367">
        <v>15.38</v>
      </c>
      <c r="JTK95" s="367" t="e">
        <f>JTH95*JTI95*JTJ95</f>
        <v>#DIV/0!</v>
      </c>
      <c r="JTL95" s="363" t="s">
        <v>153</v>
      </c>
      <c r="JTM95" s="363"/>
      <c r="JTN95" s="363"/>
      <c r="JTO95" s="364" t="s">
        <v>140</v>
      </c>
      <c r="JTP95" s="365">
        <v>0.5</v>
      </c>
      <c r="JTQ95" s="366" t="e">
        <f>10/JTM93</f>
        <v>#DIV/0!</v>
      </c>
      <c r="JTR95" s="367">
        <v>15.38</v>
      </c>
      <c r="JTS95" s="367" t="e">
        <f>JTP95*JTQ95*JTR95</f>
        <v>#DIV/0!</v>
      </c>
      <c r="JTT95" s="363" t="s">
        <v>153</v>
      </c>
      <c r="JTU95" s="363"/>
      <c r="JTV95" s="363"/>
      <c r="JTW95" s="364" t="s">
        <v>140</v>
      </c>
      <c r="JTX95" s="365">
        <v>0.5</v>
      </c>
      <c r="JTY95" s="366" t="e">
        <f>10/JTU93</f>
        <v>#DIV/0!</v>
      </c>
      <c r="JTZ95" s="367">
        <v>15.38</v>
      </c>
      <c r="JUA95" s="367" t="e">
        <f>JTX95*JTY95*JTZ95</f>
        <v>#DIV/0!</v>
      </c>
      <c r="JUB95" s="363" t="s">
        <v>153</v>
      </c>
      <c r="JUC95" s="363"/>
      <c r="JUD95" s="363"/>
      <c r="JUE95" s="364" t="s">
        <v>140</v>
      </c>
      <c r="JUF95" s="365">
        <v>0.5</v>
      </c>
      <c r="JUG95" s="366" t="e">
        <f>10/JUC93</f>
        <v>#DIV/0!</v>
      </c>
      <c r="JUH95" s="367">
        <v>15.38</v>
      </c>
      <c r="JUI95" s="367" t="e">
        <f>JUF95*JUG95*JUH95</f>
        <v>#DIV/0!</v>
      </c>
      <c r="JUJ95" s="363" t="s">
        <v>153</v>
      </c>
      <c r="JUK95" s="363"/>
      <c r="JUL95" s="363"/>
      <c r="JUM95" s="364" t="s">
        <v>140</v>
      </c>
      <c r="JUN95" s="365">
        <v>0.5</v>
      </c>
      <c r="JUO95" s="366" t="e">
        <f>10/JUK93</f>
        <v>#DIV/0!</v>
      </c>
      <c r="JUP95" s="367">
        <v>15.38</v>
      </c>
      <c r="JUQ95" s="367" t="e">
        <f>JUN95*JUO95*JUP95</f>
        <v>#DIV/0!</v>
      </c>
      <c r="JUR95" s="363" t="s">
        <v>153</v>
      </c>
      <c r="JUS95" s="363"/>
      <c r="JUT95" s="363"/>
      <c r="JUU95" s="364" t="s">
        <v>140</v>
      </c>
      <c r="JUV95" s="365">
        <v>0.5</v>
      </c>
      <c r="JUW95" s="366" t="e">
        <f>10/JUS93</f>
        <v>#DIV/0!</v>
      </c>
      <c r="JUX95" s="367">
        <v>15.38</v>
      </c>
      <c r="JUY95" s="367" t="e">
        <f>JUV95*JUW95*JUX95</f>
        <v>#DIV/0!</v>
      </c>
      <c r="JUZ95" s="363" t="s">
        <v>153</v>
      </c>
      <c r="JVA95" s="363"/>
      <c r="JVB95" s="363"/>
      <c r="JVC95" s="364" t="s">
        <v>140</v>
      </c>
      <c r="JVD95" s="365">
        <v>0.5</v>
      </c>
      <c r="JVE95" s="366" t="e">
        <f>10/JVA93</f>
        <v>#DIV/0!</v>
      </c>
      <c r="JVF95" s="367">
        <v>15.38</v>
      </c>
      <c r="JVG95" s="367" t="e">
        <f>JVD95*JVE95*JVF95</f>
        <v>#DIV/0!</v>
      </c>
      <c r="JVH95" s="363" t="s">
        <v>153</v>
      </c>
      <c r="JVI95" s="363"/>
      <c r="JVJ95" s="363"/>
      <c r="JVK95" s="364" t="s">
        <v>140</v>
      </c>
      <c r="JVL95" s="365">
        <v>0.5</v>
      </c>
      <c r="JVM95" s="366" t="e">
        <f>10/JVI93</f>
        <v>#DIV/0!</v>
      </c>
      <c r="JVN95" s="367">
        <v>15.38</v>
      </c>
      <c r="JVO95" s="367" t="e">
        <f>JVL95*JVM95*JVN95</f>
        <v>#DIV/0!</v>
      </c>
      <c r="JVP95" s="363" t="s">
        <v>153</v>
      </c>
      <c r="JVQ95" s="363"/>
      <c r="JVR95" s="363"/>
      <c r="JVS95" s="364" t="s">
        <v>140</v>
      </c>
      <c r="JVT95" s="365">
        <v>0.5</v>
      </c>
      <c r="JVU95" s="366" t="e">
        <f>10/JVQ93</f>
        <v>#DIV/0!</v>
      </c>
      <c r="JVV95" s="367">
        <v>15.38</v>
      </c>
      <c r="JVW95" s="367" t="e">
        <f>JVT95*JVU95*JVV95</f>
        <v>#DIV/0!</v>
      </c>
      <c r="JVX95" s="363" t="s">
        <v>153</v>
      </c>
      <c r="JVY95" s="363"/>
      <c r="JVZ95" s="363"/>
      <c r="JWA95" s="364" t="s">
        <v>140</v>
      </c>
      <c r="JWB95" s="365">
        <v>0.5</v>
      </c>
      <c r="JWC95" s="366" t="e">
        <f>10/JVY93</f>
        <v>#DIV/0!</v>
      </c>
      <c r="JWD95" s="367">
        <v>15.38</v>
      </c>
      <c r="JWE95" s="367" t="e">
        <f>JWB95*JWC95*JWD95</f>
        <v>#DIV/0!</v>
      </c>
      <c r="JWF95" s="363" t="s">
        <v>153</v>
      </c>
      <c r="JWG95" s="363"/>
      <c r="JWH95" s="363"/>
      <c r="JWI95" s="364" t="s">
        <v>140</v>
      </c>
      <c r="JWJ95" s="365">
        <v>0.5</v>
      </c>
      <c r="JWK95" s="366" t="e">
        <f>10/JWG93</f>
        <v>#DIV/0!</v>
      </c>
      <c r="JWL95" s="367">
        <v>15.38</v>
      </c>
      <c r="JWM95" s="367" t="e">
        <f>JWJ95*JWK95*JWL95</f>
        <v>#DIV/0!</v>
      </c>
      <c r="JWN95" s="363" t="s">
        <v>153</v>
      </c>
      <c r="JWO95" s="363"/>
      <c r="JWP95" s="363"/>
      <c r="JWQ95" s="364" t="s">
        <v>140</v>
      </c>
      <c r="JWR95" s="365">
        <v>0.5</v>
      </c>
      <c r="JWS95" s="366" t="e">
        <f>10/JWO93</f>
        <v>#DIV/0!</v>
      </c>
      <c r="JWT95" s="367">
        <v>15.38</v>
      </c>
      <c r="JWU95" s="367" t="e">
        <f>JWR95*JWS95*JWT95</f>
        <v>#DIV/0!</v>
      </c>
      <c r="JWV95" s="363" t="s">
        <v>153</v>
      </c>
      <c r="JWW95" s="363"/>
      <c r="JWX95" s="363"/>
      <c r="JWY95" s="364" t="s">
        <v>140</v>
      </c>
      <c r="JWZ95" s="365">
        <v>0.5</v>
      </c>
      <c r="JXA95" s="366" t="e">
        <f>10/JWW93</f>
        <v>#DIV/0!</v>
      </c>
      <c r="JXB95" s="367">
        <v>15.38</v>
      </c>
      <c r="JXC95" s="367" t="e">
        <f>JWZ95*JXA95*JXB95</f>
        <v>#DIV/0!</v>
      </c>
      <c r="JXD95" s="363" t="s">
        <v>153</v>
      </c>
      <c r="JXE95" s="363"/>
      <c r="JXF95" s="363"/>
      <c r="JXG95" s="364" t="s">
        <v>140</v>
      </c>
      <c r="JXH95" s="365">
        <v>0.5</v>
      </c>
      <c r="JXI95" s="366" t="e">
        <f>10/JXE93</f>
        <v>#DIV/0!</v>
      </c>
      <c r="JXJ95" s="367">
        <v>15.38</v>
      </c>
      <c r="JXK95" s="367" t="e">
        <f>JXH95*JXI95*JXJ95</f>
        <v>#DIV/0!</v>
      </c>
      <c r="JXL95" s="363" t="s">
        <v>153</v>
      </c>
      <c r="JXM95" s="363"/>
      <c r="JXN95" s="363"/>
      <c r="JXO95" s="364" t="s">
        <v>140</v>
      </c>
      <c r="JXP95" s="365">
        <v>0.5</v>
      </c>
      <c r="JXQ95" s="366" t="e">
        <f>10/JXM93</f>
        <v>#DIV/0!</v>
      </c>
      <c r="JXR95" s="367">
        <v>15.38</v>
      </c>
      <c r="JXS95" s="367" t="e">
        <f>JXP95*JXQ95*JXR95</f>
        <v>#DIV/0!</v>
      </c>
      <c r="JXT95" s="363" t="s">
        <v>153</v>
      </c>
      <c r="JXU95" s="363"/>
      <c r="JXV95" s="363"/>
      <c r="JXW95" s="364" t="s">
        <v>140</v>
      </c>
      <c r="JXX95" s="365">
        <v>0.5</v>
      </c>
      <c r="JXY95" s="366" t="e">
        <f>10/JXU93</f>
        <v>#DIV/0!</v>
      </c>
      <c r="JXZ95" s="367">
        <v>15.38</v>
      </c>
      <c r="JYA95" s="367" t="e">
        <f>JXX95*JXY95*JXZ95</f>
        <v>#DIV/0!</v>
      </c>
      <c r="JYB95" s="363" t="s">
        <v>153</v>
      </c>
      <c r="JYC95" s="363"/>
      <c r="JYD95" s="363"/>
      <c r="JYE95" s="364" t="s">
        <v>140</v>
      </c>
      <c r="JYF95" s="365">
        <v>0.5</v>
      </c>
      <c r="JYG95" s="366" t="e">
        <f>10/JYC93</f>
        <v>#DIV/0!</v>
      </c>
      <c r="JYH95" s="367">
        <v>15.38</v>
      </c>
      <c r="JYI95" s="367" t="e">
        <f>JYF95*JYG95*JYH95</f>
        <v>#DIV/0!</v>
      </c>
      <c r="JYJ95" s="363" t="s">
        <v>153</v>
      </c>
      <c r="JYK95" s="363"/>
      <c r="JYL95" s="363"/>
      <c r="JYM95" s="364" t="s">
        <v>140</v>
      </c>
      <c r="JYN95" s="365">
        <v>0.5</v>
      </c>
      <c r="JYO95" s="366" t="e">
        <f>10/JYK93</f>
        <v>#DIV/0!</v>
      </c>
      <c r="JYP95" s="367">
        <v>15.38</v>
      </c>
      <c r="JYQ95" s="367" t="e">
        <f>JYN95*JYO95*JYP95</f>
        <v>#DIV/0!</v>
      </c>
      <c r="JYR95" s="363" t="s">
        <v>153</v>
      </c>
      <c r="JYS95" s="363"/>
      <c r="JYT95" s="363"/>
      <c r="JYU95" s="364" t="s">
        <v>140</v>
      </c>
      <c r="JYV95" s="365">
        <v>0.5</v>
      </c>
      <c r="JYW95" s="366" t="e">
        <f>10/JYS93</f>
        <v>#DIV/0!</v>
      </c>
      <c r="JYX95" s="367">
        <v>15.38</v>
      </c>
      <c r="JYY95" s="367" t="e">
        <f>JYV95*JYW95*JYX95</f>
        <v>#DIV/0!</v>
      </c>
      <c r="JYZ95" s="363" t="s">
        <v>153</v>
      </c>
      <c r="JZA95" s="363"/>
      <c r="JZB95" s="363"/>
      <c r="JZC95" s="364" t="s">
        <v>140</v>
      </c>
      <c r="JZD95" s="365">
        <v>0.5</v>
      </c>
      <c r="JZE95" s="366" t="e">
        <f>10/JZA93</f>
        <v>#DIV/0!</v>
      </c>
      <c r="JZF95" s="367">
        <v>15.38</v>
      </c>
      <c r="JZG95" s="367" t="e">
        <f>JZD95*JZE95*JZF95</f>
        <v>#DIV/0!</v>
      </c>
      <c r="JZH95" s="363" t="s">
        <v>153</v>
      </c>
      <c r="JZI95" s="363"/>
      <c r="JZJ95" s="363"/>
      <c r="JZK95" s="364" t="s">
        <v>140</v>
      </c>
      <c r="JZL95" s="365">
        <v>0.5</v>
      </c>
      <c r="JZM95" s="366" t="e">
        <f>10/JZI93</f>
        <v>#DIV/0!</v>
      </c>
      <c r="JZN95" s="367">
        <v>15.38</v>
      </c>
      <c r="JZO95" s="367" t="e">
        <f>JZL95*JZM95*JZN95</f>
        <v>#DIV/0!</v>
      </c>
      <c r="JZP95" s="363" t="s">
        <v>153</v>
      </c>
      <c r="JZQ95" s="363"/>
      <c r="JZR95" s="363"/>
      <c r="JZS95" s="364" t="s">
        <v>140</v>
      </c>
      <c r="JZT95" s="365">
        <v>0.5</v>
      </c>
      <c r="JZU95" s="366" t="e">
        <f>10/JZQ93</f>
        <v>#DIV/0!</v>
      </c>
      <c r="JZV95" s="367">
        <v>15.38</v>
      </c>
      <c r="JZW95" s="367" t="e">
        <f>JZT95*JZU95*JZV95</f>
        <v>#DIV/0!</v>
      </c>
      <c r="JZX95" s="363" t="s">
        <v>153</v>
      </c>
      <c r="JZY95" s="363"/>
      <c r="JZZ95" s="363"/>
      <c r="KAA95" s="364" t="s">
        <v>140</v>
      </c>
      <c r="KAB95" s="365">
        <v>0.5</v>
      </c>
      <c r="KAC95" s="366" t="e">
        <f>10/JZY93</f>
        <v>#DIV/0!</v>
      </c>
      <c r="KAD95" s="367">
        <v>15.38</v>
      </c>
      <c r="KAE95" s="367" t="e">
        <f>KAB95*KAC95*KAD95</f>
        <v>#DIV/0!</v>
      </c>
      <c r="KAF95" s="363" t="s">
        <v>153</v>
      </c>
      <c r="KAG95" s="363"/>
      <c r="KAH95" s="363"/>
      <c r="KAI95" s="364" t="s">
        <v>140</v>
      </c>
      <c r="KAJ95" s="365">
        <v>0.5</v>
      </c>
      <c r="KAK95" s="366" t="e">
        <f>10/KAG93</f>
        <v>#DIV/0!</v>
      </c>
      <c r="KAL95" s="367">
        <v>15.38</v>
      </c>
      <c r="KAM95" s="367" t="e">
        <f>KAJ95*KAK95*KAL95</f>
        <v>#DIV/0!</v>
      </c>
      <c r="KAN95" s="363" t="s">
        <v>153</v>
      </c>
      <c r="KAO95" s="363"/>
      <c r="KAP95" s="363"/>
      <c r="KAQ95" s="364" t="s">
        <v>140</v>
      </c>
      <c r="KAR95" s="365">
        <v>0.5</v>
      </c>
      <c r="KAS95" s="366" t="e">
        <f>10/KAO93</f>
        <v>#DIV/0!</v>
      </c>
      <c r="KAT95" s="367">
        <v>15.38</v>
      </c>
      <c r="KAU95" s="367" t="e">
        <f>KAR95*KAS95*KAT95</f>
        <v>#DIV/0!</v>
      </c>
      <c r="KAV95" s="363" t="s">
        <v>153</v>
      </c>
      <c r="KAW95" s="363"/>
      <c r="KAX95" s="363"/>
      <c r="KAY95" s="364" t="s">
        <v>140</v>
      </c>
      <c r="KAZ95" s="365">
        <v>0.5</v>
      </c>
      <c r="KBA95" s="366" t="e">
        <f>10/KAW93</f>
        <v>#DIV/0!</v>
      </c>
      <c r="KBB95" s="367">
        <v>15.38</v>
      </c>
      <c r="KBC95" s="367" t="e">
        <f>KAZ95*KBA95*KBB95</f>
        <v>#DIV/0!</v>
      </c>
      <c r="KBD95" s="363" t="s">
        <v>153</v>
      </c>
      <c r="KBE95" s="363"/>
      <c r="KBF95" s="363"/>
      <c r="KBG95" s="364" t="s">
        <v>140</v>
      </c>
      <c r="KBH95" s="365">
        <v>0.5</v>
      </c>
      <c r="KBI95" s="366" t="e">
        <f>10/KBE93</f>
        <v>#DIV/0!</v>
      </c>
      <c r="KBJ95" s="367">
        <v>15.38</v>
      </c>
      <c r="KBK95" s="367" t="e">
        <f>KBH95*KBI95*KBJ95</f>
        <v>#DIV/0!</v>
      </c>
      <c r="KBL95" s="363" t="s">
        <v>153</v>
      </c>
      <c r="KBM95" s="363"/>
      <c r="KBN95" s="363"/>
      <c r="KBO95" s="364" t="s">
        <v>140</v>
      </c>
      <c r="KBP95" s="365">
        <v>0.5</v>
      </c>
      <c r="KBQ95" s="366" t="e">
        <f>10/KBM93</f>
        <v>#DIV/0!</v>
      </c>
      <c r="KBR95" s="367">
        <v>15.38</v>
      </c>
      <c r="KBS95" s="367" t="e">
        <f>KBP95*KBQ95*KBR95</f>
        <v>#DIV/0!</v>
      </c>
      <c r="KBT95" s="363" t="s">
        <v>153</v>
      </c>
      <c r="KBU95" s="363"/>
      <c r="KBV95" s="363"/>
      <c r="KBW95" s="364" t="s">
        <v>140</v>
      </c>
      <c r="KBX95" s="365">
        <v>0.5</v>
      </c>
      <c r="KBY95" s="366" t="e">
        <f>10/KBU93</f>
        <v>#DIV/0!</v>
      </c>
      <c r="KBZ95" s="367">
        <v>15.38</v>
      </c>
      <c r="KCA95" s="367" t="e">
        <f>KBX95*KBY95*KBZ95</f>
        <v>#DIV/0!</v>
      </c>
      <c r="KCB95" s="363" t="s">
        <v>153</v>
      </c>
      <c r="KCC95" s="363"/>
      <c r="KCD95" s="363"/>
      <c r="KCE95" s="364" t="s">
        <v>140</v>
      </c>
      <c r="KCF95" s="365">
        <v>0.5</v>
      </c>
      <c r="KCG95" s="366" t="e">
        <f>10/KCC93</f>
        <v>#DIV/0!</v>
      </c>
      <c r="KCH95" s="367">
        <v>15.38</v>
      </c>
      <c r="KCI95" s="367" t="e">
        <f>KCF95*KCG95*KCH95</f>
        <v>#DIV/0!</v>
      </c>
      <c r="KCJ95" s="363" t="s">
        <v>153</v>
      </c>
      <c r="KCK95" s="363"/>
      <c r="KCL95" s="363"/>
      <c r="KCM95" s="364" t="s">
        <v>140</v>
      </c>
      <c r="KCN95" s="365">
        <v>0.5</v>
      </c>
      <c r="KCO95" s="366" t="e">
        <f>10/KCK93</f>
        <v>#DIV/0!</v>
      </c>
      <c r="KCP95" s="367">
        <v>15.38</v>
      </c>
      <c r="KCQ95" s="367" t="e">
        <f>KCN95*KCO95*KCP95</f>
        <v>#DIV/0!</v>
      </c>
      <c r="KCR95" s="363" t="s">
        <v>153</v>
      </c>
      <c r="KCS95" s="363"/>
      <c r="KCT95" s="363"/>
      <c r="KCU95" s="364" t="s">
        <v>140</v>
      </c>
      <c r="KCV95" s="365">
        <v>0.5</v>
      </c>
      <c r="KCW95" s="366" t="e">
        <f>10/KCS93</f>
        <v>#DIV/0!</v>
      </c>
      <c r="KCX95" s="367">
        <v>15.38</v>
      </c>
      <c r="KCY95" s="367" t="e">
        <f>KCV95*KCW95*KCX95</f>
        <v>#DIV/0!</v>
      </c>
      <c r="KCZ95" s="363" t="s">
        <v>153</v>
      </c>
      <c r="KDA95" s="363"/>
      <c r="KDB95" s="363"/>
      <c r="KDC95" s="364" t="s">
        <v>140</v>
      </c>
      <c r="KDD95" s="365">
        <v>0.5</v>
      </c>
      <c r="KDE95" s="366" t="e">
        <f>10/KDA93</f>
        <v>#DIV/0!</v>
      </c>
      <c r="KDF95" s="367">
        <v>15.38</v>
      </c>
      <c r="KDG95" s="367" t="e">
        <f>KDD95*KDE95*KDF95</f>
        <v>#DIV/0!</v>
      </c>
      <c r="KDH95" s="363" t="s">
        <v>153</v>
      </c>
      <c r="KDI95" s="363"/>
      <c r="KDJ95" s="363"/>
      <c r="KDK95" s="364" t="s">
        <v>140</v>
      </c>
      <c r="KDL95" s="365">
        <v>0.5</v>
      </c>
      <c r="KDM95" s="366" t="e">
        <f>10/KDI93</f>
        <v>#DIV/0!</v>
      </c>
      <c r="KDN95" s="367">
        <v>15.38</v>
      </c>
      <c r="KDO95" s="367" t="e">
        <f>KDL95*KDM95*KDN95</f>
        <v>#DIV/0!</v>
      </c>
      <c r="KDP95" s="363" t="s">
        <v>153</v>
      </c>
      <c r="KDQ95" s="363"/>
      <c r="KDR95" s="363"/>
      <c r="KDS95" s="364" t="s">
        <v>140</v>
      </c>
      <c r="KDT95" s="365">
        <v>0.5</v>
      </c>
      <c r="KDU95" s="366" t="e">
        <f>10/KDQ93</f>
        <v>#DIV/0!</v>
      </c>
      <c r="KDV95" s="367">
        <v>15.38</v>
      </c>
      <c r="KDW95" s="367" t="e">
        <f>KDT95*KDU95*KDV95</f>
        <v>#DIV/0!</v>
      </c>
      <c r="KDX95" s="363" t="s">
        <v>153</v>
      </c>
      <c r="KDY95" s="363"/>
      <c r="KDZ95" s="363"/>
      <c r="KEA95" s="364" t="s">
        <v>140</v>
      </c>
      <c r="KEB95" s="365">
        <v>0.5</v>
      </c>
      <c r="KEC95" s="366" t="e">
        <f>10/KDY93</f>
        <v>#DIV/0!</v>
      </c>
      <c r="KED95" s="367">
        <v>15.38</v>
      </c>
      <c r="KEE95" s="367" t="e">
        <f>KEB95*KEC95*KED95</f>
        <v>#DIV/0!</v>
      </c>
      <c r="KEF95" s="363" t="s">
        <v>153</v>
      </c>
      <c r="KEG95" s="363"/>
      <c r="KEH95" s="363"/>
      <c r="KEI95" s="364" t="s">
        <v>140</v>
      </c>
      <c r="KEJ95" s="365">
        <v>0.5</v>
      </c>
      <c r="KEK95" s="366" t="e">
        <f>10/KEG93</f>
        <v>#DIV/0!</v>
      </c>
      <c r="KEL95" s="367">
        <v>15.38</v>
      </c>
      <c r="KEM95" s="367" t="e">
        <f>KEJ95*KEK95*KEL95</f>
        <v>#DIV/0!</v>
      </c>
      <c r="KEN95" s="363" t="s">
        <v>153</v>
      </c>
      <c r="KEO95" s="363"/>
      <c r="KEP95" s="363"/>
      <c r="KEQ95" s="364" t="s">
        <v>140</v>
      </c>
      <c r="KER95" s="365">
        <v>0.5</v>
      </c>
      <c r="KES95" s="366" t="e">
        <f>10/KEO93</f>
        <v>#DIV/0!</v>
      </c>
      <c r="KET95" s="367">
        <v>15.38</v>
      </c>
      <c r="KEU95" s="367" t="e">
        <f>KER95*KES95*KET95</f>
        <v>#DIV/0!</v>
      </c>
      <c r="KEV95" s="363" t="s">
        <v>153</v>
      </c>
      <c r="KEW95" s="363"/>
      <c r="KEX95" s="363"/>
      <c r="KEY95" s="364" t="s">
        <v>140</v>
      </c>
      <c r="KEZ95" s="365">
        <v>0.5</v>
      </c>
      <c r="KFA95" s="366" t="e">
        <f>10/KEW93</f>
        <v>#DIV/0!</v>
      </c>
      <c r="KFB95" s="367">
        <v>15.38</v>
      </c>
      <c r="KFC95" s="367" t="e">
        <f>KEZ95*KFA95*KFB95</f>
        <v>#DIV/0!</v>
      </c>
      <c r="KFD95" s="363" t="s">
        <v>153</v>
      </c>
      <c r="KFE95" s="363"/>
      <c r="KFF95" s="363"/>
      <c r="KFG95" s="364" t="s">
        <v>140</v>
      </c>
      <c r="KFH95" s="365">
        <v>0.5</v>
      </c>
      <c r="KFI95" s="366" t="e">
        <f>10/KFE93</f>
        <v>#DIV/0!</v>
      </c>
      <c r="KFJ95" s="367">
        <v>15.38</v>
      </c>
      <c r="KFK95" s="367" t="e">
        <f>KFH95*KFI95*KFJ95</f>
        <v>#DIV/0!</v>
      </c>
      <c r="KFL95" s="363" t="s">
        <v>153</v>
      </c>
      <c r="KFM95" s="363"/>
      <c r="KFN95" s="363"/>
      <c r="KFO95" s="364" t="s">
        <v>140</v>
      </c>
      <c r="KFP95" s="365">
        <v>0.5</v>
      </c>
      <c r="KFQ95" s="366" t="e">
        <f>10/KFM93</f>
        <v>#DIV/0!</v>
      </c>
      <c r="KFR95" s="367">
        <v>15.38</v>
      </c>
      <c r="KFS95" s="367" t="e">
        <f>KFP95*KFQ95*KFR95</f>
        <v>#DIV/0!</v>
      </c>
      <c r="KFT95" s="363" t="s">
        <v>153</v>
      </c>
      <c r="KFU95" s="363"/>
      <c r="KFV95" s="363"/>
      <c r="KFW95" s="364" t="s">
        <v>140</v>
      </c>
      <c r="KFX95" s="365">
        <v>0.5</v>
      </c>
      <c r="KFY95" s="366" t="e">
        <f>10/KFU93</f>
        <v>#DIV/0!</v>
      </c>
      <c r="KFZ95" s="367">
        <v>15.38</v>
      </c>
      <c r="KGA95" s="367" t="e">
        <f>KFX95*KFY95*KFZ95</f>
        <v>#DIV/0!</v>
      </c>
      <c r="KGB95" s="363" t="s">
        <v>153</v>
      </c>
      <c r="KGC95" s="363"/>
      <c r="KGD95" s="363"/>
      <c r="KGE95" s="364" t="s">
        <v>140</v>
      </c>
      <c r="KGF95" s="365">
        <v>0.5</v>
      </c>
      <c r="KGG95" s="366" t="e">
        <f>10/KGC93</f>
        <v>#DIV/0!</v>
      </c>
      <c r="KGH95" s="367">
        <v>15.38</v>
      </c>
      <c r="KGI95" s="367" t="e">
        <f>KGF95*KGG95*KGH95</f>
        <v>#DIV/0!</v>
      </c>
      <c r="KGJ95" s="363" t="s">
        <v>153</v>
      </c>
      <c r="KGK95" s="363"/>
      <c r="KGL95" s="363"/>
      <c r="KGM95" s="364" t="s">
        <v>140</v>
      </c>
      <c r="KGN95" s="365">
        <v>0.5</v>
      </c>
      <c r="KGO95" s="366" t="e">
        <f>10/KGK93</f>
        <v>#DIV/0!</v>
      </c>
      <c r="KGP95" s="367">
        <v>15.38</v>
      </c>
      <c r="KGQ95" s="367" t="e">
        <f>KGN95*KGO95*KGP95</f>
        <v>#DIV/0!</v>
      </c>
      <c r="KGR95" s="363" t="s">
        <v>153</v>
      </c>
      <c r="KGS95" s="363"/>
      <c r="KGT95" s="363"/>
      <c r="KGU95" s="364" t="s">
        <v>140</v>
      </c>
      <c r="KGV95" s="365">
        <v>0.5</v>
      </c>
      <c r="KGW95" s="366" t="e">
        <f>10/KGS93</f>
        <v>#DIV/0!</v>
      </c>
      <c r="KGX95" s="367">
        <v>15.38</v>
      </c>
      <c r="KGY95" s="367" t="e">
        <f>KGV95*KGW95*KGX95</f>
        <v>#DIV/0!</v>
      </c>
      <c r="KGZ95" s="363" t="s">
        <v>153</v>
      </c>
      <c r="KHA95" s="363"/>
      <c r="KHB95" s="363"/>
      <c r="KHC95" s="364" t="s">
        <v>140</v>
      </c>
      <c r="KHD95" s="365">
        <v>0.5</v>
      </c>
      <c r="KHE95" s="366" t="e">
        <f>10/KHA93</f>
        <v>#DIV/0!</v>
      </c>
      <c r="KHF95" s="367">
        <v>15.38</v>
      </c>
      <c r="KHG95" s="367" t="e">
        <f>KHD95*KHE95*KHF95</f>
        <v>#DIV/0!</v>
      </c>
      <c r="KHH95" s="363" t="s">
        <v>153</v>
      </c>
      <c r="KHI95" s="363"/>
      <c r="KHJ95" s="363"/>
      <c r="KHK95" s="364" t="s">
        <v>140</v>
      </c>
      <c r="KHL95" s="365">
        <v>0.5</v>
      </c>
      <c r="KHM95" s="366" t="e">
        <f>10/KHI93</f>
        <v>#DIV/0!</v>
      </c>
      <c r="KHN95" s="367">
        <v>15.38</v>
      </c>
      <c r="KHO95" s="367" t="e">
        <f>KHL95*KHM95*KHN95</f>
        <v>#DIV/0!</v>
      </c>
      <c r="KHP95" s="363" t="s">
        <v>153</v>
      </c>
      <c r="KHQ95" s="363"/>
      <c r="KHR95" s="363"/>
      <c r="KHS95" s="364" t="s">
        <v>140</v>
      </c>
      <c r="KHT95" s="365">
        <v>0.5</v>
      </c>
      <c r="KHU95" s="366" t="e">
        <f>10/KHQ93</f>
        <v>#DIV/0!</v>
      </c>
      <c r="KHV95" s="367">
        <v>15.38</v>
      </c>
      <c r="KHW95" s="367" t="e">
        <f>KHT95*KHU95*KHV95</f>
        <v>#DIV/0!</v>
      </c>
      <c r="KHX95" s="363" t="s">
        <v>153</v>
      </c>
      <c r="KHY95" s="363"/>
      <c r="KHZ95" s="363"/>
      <c r="KIA95" s="364" t="s">
        <v>140</v>
      </c>
      <c r="KIB95" s="365">
        <v>0.5</v>
      </c>
      <c r="KIC95" s="366" t="e">
        <f>10/KHY93</f>
        <v>#DIV/0!</v>
      </c>
      <c r="KID95" s="367">
        <v>15.38</v>
      </c>
      <c r="KIE95" s="367" t="e">
        <f>KIB95*KIC95*KID95</f>
        <v>#DIV/0!</v>
      </c>
      <c r="KIF95" s="363" t="s">
        <v>153</v>
      </c>
      <c r="KIG95" s="363"/>
      <c r="KIH95" s="363"/>
      <c r="KII95" s="364" t="s">
        <v>140</v>
      </c>
      <c r="KIJ95" s="365">
        <v>0.5</v>
      </c>
      <c r="KIK95" s="366" t="e">
        <f>10/KIG93</f>
        <v>#DIV/0!</v>
      </c>
      <c r="KIL95" s="367">
        <v>15.38</v>
      </c>
      <c r="KIM95" s="367" t="e">
        <f>KIJ95*KIK95*KIL95</f>
        <v>#DIV/0!</v>
      </c>
      <c r="KIN95" s="363" t="s">
        <v>153</v>
      </c>
      <c r="KIO95" s="363"/>
      <c r="KIP95" s="363"/>
      <c r="KIQ95" s="364" t="s">
        <v>140</v>
      </c>
      <c r="KIR95" s="365">
        <v>0.5</v>
      </c>
      <c r="KIS95" s="366" t="e">
        <f>10/KIO93</f>
        <v>#DIV/0!</v>
      </c>
      <c r="KIT95" s="367">
        <v>15.38</v>
      </c>
      <c r="KIU95" s="367" t="e">
        <f>KIR95*KIS95*KIT95</f>
        <v>#DIV/0!</v>
      </c>
      <c r="KIV95" s="363" t="s">
        <v>153</v>
      </c>
      <c r="KIW95" s="363"/>
      <c r="KIX95" s="363"/>
      <c r="KIY95" s="364" t="s">
        <v>140</v>
      </c>
      <c r="KIZ95" s="365">
        <v>0.5</v>
      </c>
      <c r="KJA95" s="366" t="e">
        <f>10/KIW93</f>
        <v>#DIV/0!</v>
      </c>
      <c r="KJB95" s="367">
        <v>15.38</v>
      </c>
      <c r="KJC95" s="367" t="e">
        <f>KIZ95*KJA95*KJB95</f>
        <v>#DIV/0!</v>
      </c>
      <c r="KJD95" s="363" t="s">
        <v>153</v>
      </c>
      <c r="KJE95" s="363"/>
      <c r="KJF95" s="363"/>
      <c r="KJG95" s="364" t="s">
        <v>140</v>
      </c>
      <c r="KJH95" s="365">
        <v>0.5</v>
      </c>
      <c r="KJI95" s="366" t="e">
        <f>10/KJE93</f>
        <v>#DIV/0!</v>
      </c>
      <c r="KJJ95" s="367">
        <v>15.38</v>
      </c>
      <c r="KJK95" s="367" t="e">
        <f>KJH95*KJI95*KJJ95</f>
        <v>#DIV/0!</v>
      </c>
      <c r="KJL95" s="363" t="s">
        <v>153</v>
      </c>
      <c r="KJM95" s="363"/>
      <c r="KJN95" s="363"/>
      <c r="KJO95" s="364" t="s">
        <v>140</v>
      </c>
      <c r="KJP95" s="365">
        <v>0.5</v>
      </c>
      <c r="KJQ95" s="366" t="e">
        <f>10/KJM93</f>
        <v>#DIV/0!</v>
      </c>
      <c r="KJR95" s="367">
        <v>15.38</v>
      </c>
      <c r="KJS95" s="367" t="e">
        <f>KJP95*KJQ95*KJR95</f>
        <v>#DIV/0!</v>
      </c>
      <c r="KJT95" s="363" t="s">
        <v>153</v>
      </c>
      <c r="KJU95" s="363"/>
      <c r="KJV95" s="363"/>
      <c r="KJW95" s="364" t="s">
        <v>140</v>
      </c>
      <c r="KJX95" s="365">
        <v>0.5</v>
      </c>
      <c r="KJY95" s="366" t="e">
        <f>10/KJU93</f>
        <v>#DIV/0!</v>
      </c>
      <c r="KJZ95" s="367">
        <v>15.38</v>
      </c>
      <c r="KKA95" s="367" t="e">
        <f>KJX95*KJY95*KJZ95</f>
        <v>#DIV/0!</v>
      </c>
      <c r="KKB95" s="363" t="s">
        <v>153</v>
      </c>
      <c r="KKC95" s="363"/>
      <c r="KKD95" s="363"/>
      <c r="KKE95" s="364" t="s">
        <v>140</v>
      </c>
      <c r="KKF95" s="365">
        <v>0.5</v>
      </c>
      <c r="KKG95" s="366" t="e">
        <f>10/KKC93</f>
        <v>#DIV/0!</v>
      </c>
      <c r="KKH95" s="367">
        <v>15.38</v>
      </c>
      <c r="KKI95" s="367" t="e">
        <f>KKF95*KKG95*KKH95</f>
        <v>#DIV/0!</v>
      </c>
      <c r="KKJ95" s="363" t="s">
        <v>153</v>
      </c>
      <c r="KKK95" s="363"/>
      <c r="KKL95" s="363"/>
      <c r="KKM95" s="364" t="s">
        <v>140</v>
      </c>
      <c r="KKN95" s="365">
        <v>0.5</v>
      </c>
      <c r="KKO95" s="366" t="e">
        <f>10/KKK93</f>
        <v>#DIV/0!</v>
      </c>
      <c r="KKP95" s="367">
        <v>15.38</v>
      </c>
      <c r="KKQ95" s="367" t="e">
        <f>KKN95*KKO95*KKP95</f>
        <v>#DIV/0!</v>
      </c>
      <c r="KKR95" s="363" t="s">
        <v>153</v>
      </c>
      <c r="KKS95" s="363"/>
      <c r="KKT95" s="363"/>
      <c r="KKU95" s="364" t="s">
        <v>140</v>
      </c>
      <c r="KKV95" s="365">
        <v>0.5</v>
      </c>
      <c r="KKW95" s="366" t="e">
        <f>10/KKS93</f>
        <v>#DIV/0!</v>
      </c>
      <c r="KKX95" s="367">
        <v>15.38</v>
      </c>
      <c r="KKY95" s="367" t="e">
        <f>KKV95*KKW95*KKX95</f>
        <v>#DIV/0!</v>
      </c>
      <c r="KKZ95" s="363" t="s">
        <v>153</v>
      </c>
      <c r="KLA95" s="363"/>
      <c r="KLB95" s="363"/>
      <c r="KLC95" s="364" t="s">
        <v>140</v>
      </c>
      <c r="KLD95" s="365">
        <v>0.5</v>
      </c>
      <c r="KLE95" s="366" t="e">
        <f>10/KLA93</f>
        <v>#DIV/0!</v>
      </c>
      <c r="KLF95" s="367">
        <v>15.38</v>
      </c>
      <c r="KLG95" s="367" t="e">
        <f>KLD95*KLE95*KLF95</f>
        <v>#DIV/0!</v>
      </c>
      <c r="KLH95" s="363" t="s">
        <v>153</v>
      </c>
      <c r="KLI95" s="363"/>
      <c r="KLJ95" s="363"/>
      <c r="KLK95" s="364" t="s">
        <v>140</v>
      </c>
      <c r="KLL95" s="365">
        <v>0.5</v>
      </c>
      <c r="KLM95" s="366" t="e">
        <f>10/KLI93</f>
        <v>#DIV/0!</v>
      </c>
      <c r="KLN95" s="367">
        <v>15.38</v>
      </c>
      <c r="KLO95" s="367" t="e">
        <f>KLL95*KLM95*KLN95</f>
        <v>#DIV/0!</v>
      </c>
      <c r="KLP95" s="363" t="s">
        <v>153</v>
      </c>
      <c r="KLQ95" s="363"/>
      <c r="KLR95" s="363"/>
      <c r="KLS95" s="364" t="s">
        <v>140</v>
      </c>
      <c r="KLT95" s="365">
        <v>0.5</v>
      </c>
      <c r="KLU95" s="366" t="e">
        <f>10/KLQ93</f>
        <v>#DIV/0!</v>
      </c>
      <c r="KLV95" s="367">
        <v>15.38</v>
      </c>
      <c r="KLW95" s="367" t="e">
        <f>KLT95*KLU95*KLV95</f>
        <v>#DIV/0!</v>
      </c>
      <c r="KLX95" s="363" t="s">
        <v>153</v>
      </c>
      <c r="KLY95" s="363"/>
      <c r="KLZ95" s="363"/>
      <c r="KMA95" s="364" t="s">
        <v>140</v>
      </c>
      <c r="KMB95" s="365">
        <v>0.5</v>
      </c>
      <c r="KMC95" s="366" t="e">
        <f>10/KLY93</f>
        <v>#DIV/0!</v>
      </c>
      <c r="KMD95" s="367">
        <v>15.38</v>
      </c>
      <c r="KME95" s="367" t="e">
        <f>KMB95*KMC95*KMD95</f>
        <v>#DIV/0!</v>
      </c>
      <c r="KMF95" s="363" t="s">
        <v>153</v>
      </c>
      <c r="KMG95" s="363"/>
      <c r="KMH95" s="363"/>
      <c r="KMI95" s="364" t="s">
        <v>140</v>
      </c>
      <c r="KMJ95" s="365">
        <v>0.5</v>
      </c>
      <c r="KMK95" s="366" t="e">
        <f>10/KMG93</f>
        <v>#DIV/0!</v>
      </c>
      <c r="KML95" s="367">
        <v>15.38</v>
      </c>
      <c r="KMM95" s="367" t="e">
        <f>KMJ95*KMK95*KML95</f>
        <v>#DIV/0!</v>
      </c>
      <c r="KMN95" s="363" t="s">
        <v>153</v>
      </c>
      <c r="KMO95" s="363"/>
      <c r="KMP95" s="363"/>
      <c r="KMQ95" s="364" t="s">
        <v>140</v>
      </c>
      <c r="KMR95" s="365">
        <v>0.5</v>
      </c>
      <c r="KMS95" s="366" t="e">
        <f>10/KMO93</f>
        <v>#DIV/0!</v>
      </c>
      <c r="KMT95" s="367">
        <v>15.38</v>
      </c>
      <c r="KMU95" s="367" t="e">
        <f>KMR95*KMS95*KMT95</f>
        <v>#DIV/0!</v>
      </c>
      <c r="KMV95" s="363" t="s">
        <v>153</v>
      </c>
      <c r="KMW95" s="363"/>
      <c r="KMX95" s="363"/>
      <c r="KMY95" s="364" t="s">
        <v>140</v>
      </c>
      <c r="KMZ95" s="365">
        <v>0.5</v>
      </c>
      <c r="KNA95" s="366" t="e">
        <f>10/KMW93</f>
        <v>#DIV/0!</v>
      </c>
      <c r="KNB95" s="367">
        <v>15.38</v>
      </c>
      <c r="KNC95" s="367" t="e">
        <f>KMZ95*KNA95*KNB95</f>
        <v>#DIV/0!</v>
      </c>
      <c r="KND95" s="363" t="s">
        <v>153</v>
      </c>
      <c r="KNE95" s="363"/>
      <c r="KNF95" s="363"/>
      <c r="KNG95" s="364" t="s">
        <v>140</v>
      </c>
      <c r="KNH95" s="365">
        <v>0.5</v>
      </c>
      <c r="KNI95" s="366" t="e">
        <f>10/KNE93</f>
        <v>#DIV/0!</v>
      </c>
      <c r="KNJ95" s="367">
        <v>15.38</v>
      </c>
      <c r="KNK95" s="367" t="e">
        <f>KNH95*KNI95*KNJ95</f>
        <v>#DIV/0!</v>
      </c>
      <c r="KNL95" s="363" t="s">
        <v>153</v>
      </c>
      <c r="KNM95" s="363"/>
      <c r="KNN95" s="363"/>
      <c r="KNO95" s="364" t="s">
        <v>140</v>
      </c>
      <c r="KNP95" s="365">
        <v>0.5</v>
      </c>
      <c r="KNQ95" s="366" t="e">
        <f>10/KNM93</f>
        <v>#DIV/0!</v>
      </c>
      <c r="KNR95" s="367">
        <v>15.38</v>
      </c>
      <c r="KNS95" s="367" t="e">
        <f>KNP95*KNQ95*KNR95</f>
        <v>#DIV/0!</v>
      </c>
      <c r="KNT95" s="363" t="s">
        <v>153</v>
      </c>
      <c r="KNU95" s="363"/>
      <c r="KNV95" s="363"/>
      <c r="KNW95" s="364" t="s">
        <v>140</v>
      </c>
      <c r="KNX95" s="365">
        <v>0.5</v>
      </c>
      <c r="KNY95" s="366" t="e">
        <f>10/KNU93</f>
        <v>#DIV/0!</v>
      </c>
      <c r="KNZ95" s="367">
        <v>15.38</v>
      </c>
      <c r="KOA95" s="367" t="e">
        <f>KNX95*KNY95*KNZ95</f>
        <v>#DIV/0!</v>
      </c>
      <c r="KOB95" s="363" t="s">
        <v>153</v>
      </c>
      <c r="KOC95" s="363"/>
      <c r="KOD95" s="363"/>
      <c r="KOE95" s="364" t="s">
        <v>140</v>
      </c>
      <c r="KOF95" s="365">
        <v>0.5</v>
      </c>
      <c r="KOG95" s="366" t="e">
        <f>10/KOC93</f>
        <v>#DIV/0!</v>
      </c>
      <c r="KOH95" s="367">
        <v>15.38</v>
      </c>
      <c r="KOI95" s="367" t="e">
        <f>KOF95*KOG95*KOH95</f>
        <v>#DIV/0!</v>
      </c>
      <c r="KOJ95" s="363" t="s">
        <v>153</v>
      </c>
      <c r="KOK95" s="363"/>
      <c r="KOL95" s="363"/>
      <c r="KOM95" s="364" t="s">
        <v>140</v>
      </c>
      <c r="KON95" s="365">
        <v>0.5</v>
      </c>
      <c r="KOO95" s="366" t="e">
        <f>10/KOK93</f>
        <v>#DIV/0!</v>
      </c>
      <c r="KOP95" s="367">
        <v>15.38</v>
      </c>
      <c r="KOQ95" s="367" t="e">
        <f>KON95*KOO95*KOP95</f>
        <v>#DIV/0!</v>
      </c>
      <c r="KOR95" s="363" t="s">
        <v>153</v>
      </c>
      <c r="KOS95" s="363"/>
      <c r="KOT95" s="363"/>
      <c r="KOU95" s="364" t="s">
        <v>140</v>
      </c>
      <c r="KOV95" s="365">
        <v>0.5</v>
      </c>
      <c r="KOW95" s="366" t="e">
        <f>10/KOS93</f>
        <v>#DIV/0!</v>
      </c>
      <c r="KOX95" s="367">
        <v>15.38</v>
      </c>
      <c r="KOY95" s="367" t="e">
        <f>KOV95*KOW95*KOX95</f>
        <v>#DIV/0!</v>
      </c>
      <c r="KOZ95" s="363" t="s">
        <v>153</v>
      </c>
      <c r="KPA95" s="363"/>
      <c r="KPB95" s="363"/>
      <c r="KPC95" s="364" t="s">
        <v>140</v>
      </c>
      <c r="KPD95" s="365">
        <v>0.5</v>
      </c>
      <c r="KPE95" s="366" t="e">
        <f>10/KPA93</f>
        <v>#DIV/0!</v>
      </c>
      <c r="KPF95" s="367">
        <v>15.38</v>
      </c>
      <c r="KPG95" s="367" t="e">
        <f>KPD95*KPE95*KPF95</f>
        <v>#DIV/0!</v>
      </c>
      <c r="KPH95" s="363" t="s">
        <v>153</v>
      </c>
      <c r="KPI95" s="363"/>
      <c r="KPJ95" s="363"/>
      <c r="KPK95" s="364" t="s">
        <v>140</v>
      </c>
      <c r="KPL95" s="365">
        <v>0.5</v>
      </c>
      <c r="KPM95" s="366" t="e">
        <f>10/KPI93</f>
        <v>#DIV/0!</v>
      </c>
      <c r="KPN95" s="367">
        <v>15.38</v>
      </c>
      <c r="KPO95" s="367" t="e">
        <f>KPL95*KPM95*KPN95</f>
        <v>#DIV/0!</v>
      </c>
      <c r="KPP95" s="363" t="s">
        <v>153</v>
      </c>
      <c r="KPQ95" s="363"/>
      <c r="KPR95" s="363"/>
      <c r="KPS95" s="364" t="s">
        <v>140</v>
      </c>
      <c r="KPT95" s="365">
        <v>0.5</v>
      </c>
      <c r="KPU95" s="366" t="e">
        <f>10/KPQ93</f>
        <v>#DIV/0!</v>
      </c>
      <c r="KPV95" s="367">
        <v>15.38</v>
      </c>
      <c r="KPW95" s="367" t="e">
        <f>KPT95*KPU95*KPV95</f>
        <v>#DIV/0!</v>
      </c>
      <c r="KPX95" s="363" t="s">
        <v>153</v>
      </c>
      <c r="KPY95" s="363"/>
      <c r="KPZ95" s="363"/>
      <c r="KQA95" s="364" t="s">
        <v>140</v>
      </c>
      <c r="KQB95" s="365">
        <v>0.5</v>
      </c>
      <c r="KQC95" s="366" t="e">
        <f>10/KPY93</f>
        <v>#DIV/0!</v>
      </c>
      <c r="KQD95" s="367">
        <v>15.38</v>
      </c>
      <c r="KQE95" s="367" t="e">
        <f>KQB95*KQC95*KQD95</f>
        <v>#DIV/0!</v>
      </c>
      <c r="KQF95" s="363" t="s">
        <v>153</v>
      </c>
      <c r="KQG95" s="363"/>
      <c r="KQH95" s="363"/>
      <c r="KQI95" s="364" t="s">
        <v>140</v>
      </c>
      <c r="KQJ95" s="365">
        <v>0.5</v>
      </c>
      <c r="KQK95" s="366" t="e">
        <f>10/KQG93</f>
        <v>#DIV/0!</v>
      </c>
      <c r="KQL95" s="367">
        <v>15.38</v>
      </c>
      <c r="KQM95" s="367" t="e">
        <f>KQJ95*KQK95*KQL95</f>
        <v>#DIV/0!</v>
      </c>
      <c r="KQN95" s="363" t="s">
        <v>153</v>
      </c>
      <c r="KQO95" s="363"/>
      <c r="KQP95" s="363"/>
      <c r="KQQ95" s="364" t="s">
        <v>140</v>
      </c>
      <c r="KQR95" s="365">
        <v>0.5</v>
      </c>
      <c r="KQS95" s="366" t="e">
        <f>10/KQO93</f>
        <v>#DIV/0!</v>
      </c>
      <c r="KQT95" s="367">
        <v>15.38</v>
      </c>
      <c r="KQU95" s="367" t="e">
        <f>KQR95*KQS95*KQT95</f>
        <v>#DIV/0!</v>
      </c>
      <c r="KQV95" s="363" t="s">
        <v>153</v>
      </c>
      <c r="KQW95" s="363"/>
      <c r="KQX95" s="363"/>
      <c r="KQY95" s="364" t="s">
        <v>140</v>
      </c>
      <c r="KQZ95" s="365">
        <v>0.5</v>
      </c>
      <c r="KRA95" s="366" t="e">
        <f>10/KQW93</f>
        <v>#DIV/0!</v>
      </c>
      <c r="KRB95" s="367">
        <v>15.38</v>
      </c>
      <c r="KRC95" s="367" t="e">
        <f>KQZ95*KRA95*KRB95</f>
        <v>#DIV/0!</v>
      </c>
      <c r="KRD95" s="363" t="s">
        <v>153</v>
      </c>
      <c r="KRE95" s="363"/>
      <c r="KRF95" s="363"/>
      <c r="KRG95" s="364" t="s">
        <v>140</v>
      </c>
      <c r="KRH95" s="365">
        <v>0.5</v>
      </c>
      <c r="KRI95" s="366" t="e">
        <f>10/KRE93</f>
        <v>#DIV/0!</v>
      </c>
      <c r="KRJ95" s="367">
        <v>15.38</v>
      </c>
      <c r="KRK95" s="367" t="e">
        <f>KRH95*KRI95*KRJ95</f>
        <v>#DIV/0!</v>
      </c>
      <c r="KRL95" s="363" t="s">
        <v>153</v>
      </c>
      <c r="KRM95" s="363"/>
      <c r="KRN95" s="363"/>
      <c r="KRO95" s="364" t="s">
        <v>140</v>
      </c>
      <c r="KRP95" s="365">
        <v>0.5</v>
      </c>
      <c r="KRQ95" s="366" t="e">
        <f>10/KRM93</f>
        <v>#DIV/0!</v>
      </c>
      <c r="KRR95" s="367">
        <v>15.38</v>
      </c>
      <c r="KRS95" s="367" t="e">
        <f>KRP95*KRQ95*KRR95</f>
        <v>#DIV/0!</v>
      </c>
      <c r="KRT95" s="363" t="s">
        <v>153</v>
      </c>
      <c r="KRU95" s="363"/>
      <c r="KRV95" s="363"/>
      <c r="KRW95" s="364" t="s">
        <v>140</v>
      </c>
      <c r="KRX95" s="365">
        <v>0.5</v>
      </c>
      <c r="KRY95" s="366" t="e">
        <f>10/KRU93</f>
        <v>#DIV/0!</v>
      </c>
      <c r="KRZ95" s="367">
        <v>15.38</v>
      </c>
      <c r="KSA95" s="367" t="e">
        <f>KRX95*KRY95*KRZ95</f>
        <v>#DIV/0!</v>
      </c>
      <c r="KSB95" s="363" t="s">
        <v>153</v>
      </c>
      <c r="KSC95" s="363"/>
      <c r="KSD95" s="363"/>
      <c r="KSE95" s="364" t="s">
        <v>140</v>
      </c>
      <c r="KSF95" s="365">
        <v>0.5</v>
      </c>
      <c r="KSG95" s="366" t="e">
        <f>10/KSC93</f>
        <v>#DIV/0!</v>
      </c>
      <c r="KSH95" s="367">
        <v>15.38</v>
      </c>
      <c r="KSI95" s="367" t="e">
        <f>KSF95*KSG95*KSH95</f>
        <v>#DIV/0!</v>
      </c>
      <c r="KSJ95" s="363" t="s">
        <v>153</v>
      </c>
      <c r="KSK95" s="363"/>
      <c r="KSL95" s="363"/>
      <c r="KSM95" s="364" t="s">
        <v>140</v>
      </c>
      <c r="KSN95" s="365">
        <v>0.5</v>
      </c>
      <c r="KSO95" s="366" t="e">
        <f>10/KSK93</f>
        <v>#DIV/0!</v>
      </c>
      <c r="KSP95" s="367">
        <v>15.38</v>
      </c>
      <c r="KSQ95" s="367" t="e">
        <f>KSN95*KSO95*KSP95</f>
        <v>#DIV/0!</v>
      </c>
      <c r="KSR95" s="363" t="s">
        <v>153</v>
      </c>
      <c r="KSS95" s="363"/>
      <c r="KST95" s="363"/>
      <c r="KSU95" s="364" t="s">
        <v>140</v>
      </c>
      <c r="KSV95" s="365">
        <v>0.5</v>
      </c>
      <c r="KSW95" s="366" t="e">
        <f>10/KSS93</f>
        <v>#DIV/0!</v>
      </c>
      <c r="KSX95" s="367">
        <v>15.38</v>
      </c>
      <c r="KSY95" s="367" t="e">
        <f>KSV95*KSW95*KSX95</f>
        <v>#DIV/0!</v>
      </c>
      <c r="KSZ95" s="363" t="s">
        <v>153</v>
      </c>
      <c r="KTA95" s="363"/>
      <c r="KTB95" s="363"/>
      <c r="KTC95" s="364" t="s">
        <v>140</v>
      </c>
      <c r="KTD95" s="365">
        <v>0.5</v>
      </c>
      <c r="KTE95" s="366" t="e">
        <f>10/KTA93</f>
        <v>#DIV/0!</v>
      </c>
      <c r="KTF95" s="367">
        <v>15.38</v>
      </c>
      <c r="KTG95" s="367" t="e">
        <f>KTD95*KTE95*KTF95</f>
        <v>#DIV/0!</v>
      </c>
      <c r="KTH95" s="363" t="s">
        <v>153</v>
      </c>
      <c r="KTI95" s="363"/>
      <c r="KTJ95" s="363"/>
      <c r="KTK95" s="364" t="s">
        <v>140</v>
      </c>
      <c r="KTL95" s="365">
        <v>0.5</v>
      </c>
      <c r="KTM95" s="366" t="e">
        <f>10/KTI93</f>
        <v>#DIV/0!</v>
      </c>
      <c r="KTN95" s="367">
        <v>15.38</v>
      </c>
      <c r="KTO95" s="367" t="e">
        <f>KTL95*KTM95*KTN95</f>
        <v>#DIV/0!</v>
      </c>
      <c r="KTP95" s="363" t="s">
        <v>153</v>
      </c>
      <c r="KTQ95" s="363"/>
      <c r="KTR95" s="363"/>
      <c r="KTS95" s="364" t="s">
        <v>140</v>
      </c>
      <c r="KTT95" s="365">
        <v>0.5</v>
      </c>
      <c r="KTU95" s="366" t="e">
        <f>10/KTQ93</f>
        <v>#DIV/0!</v>
      </c>
      <c r="KTV95" s="367">
        <v>15.38</v>
      </c>
      <c r="KTW95" s="367" t="e">
        <f>KTT95*KTU95*KTV95</f>
        <v>#DIV/0!</v>
      </c>
      <c r="KTX95" s="363" t="s">
        <v>153</v>
      </c>
      <c r="KTY95" s="363"/>
      <c r="KTZ95" s="363"/>
      <c r="KUA95" s="364" t="s">
        <v>140</v>
      </c>
      <c r="KUB95" s="365">
        <v>0.5</v>
      </c>
      <c r="KUC95" s="366" t="e">
        <f>10/KTY93</f>
        <v>#DIV/0!</v>
      </c>
      <c r="KUD95" s="367">
        <v>15.38</v>
      </c>
      <c r="KUE95" s="367" t="e">
        <f>KUB95*KUC95*KUD95</f>
        <v>#DIV/0!</v>
      </c>
      <c r="KUF95" s="363" t="s">
        <v>153</v>
      </c>
      <c r="KUG95" s="363"/>
      <c r="KUH95" s="363"/>
      <c r="KUI95" s="364" t="s">
        <v>140</v>
      </c>
      <c r="KUJ95" s="365">
        <v>0.5</v>
      </c>
      <c r="KUK95" s="366" t="e">
        <f>10/KUG93</f>
        <v>#DIV/0!</v>
      </c>
      <c r="KUL95" s="367">
        <v>15.38</v>
      </c>
      <c r="KUM95" s="367" t="e">
        <f>KUJ95*KUK95*KUL95</f>
        <v>#DIV/0!</v>
      </c>
      <c r="KUN95" s="363" t="s">
        <v>153</v>
      </c>
      <c r="KUO95" s="363"/>
      <c r="KUP95" s="363"/>
      <c r="KUQ95" s="364" t="s">
        <v>140</v>
      </c>
      <c r="KUR95" s="365">
        <v>0.5</v>
      </c>
      <c r="KUS95" s="366" t="e">
        <f>10/KUO93</f>
        <v>#DIV/0!</v>
      </c>
      <c r="KUT95" s="367">
        <v>15.38</v>
      </c>
      <c r="KUU95" s="367" t="e">
        <f>KUR95*KUS95*KUT95</f>
        <v>#DIV/0!</v>
      </c>
      <c r="KUV95" s="363" t="s">
        <v>153</v>
      </c>
      <c r="KUW95" s="363"/>
      <c r="KUX95" s="363"/>
      <c r="KUY95" s="364" t="s">
        <v>140</v>
      </c>
      <c r="KUZ95" s="365">
        <v>0.5</v>
      </c>
      <c r="KVA95" s="366" t="e">
        <f>10/KUW93</f>
        <v>#DIV/0!</v>
      </c>
      <c r="KVB95" s="367">
        <v>15.38</v>
      </c>
      <c r="KVC95" s="367" t="e">
        <f>KUZ95*KVA95*KVB95</f>
        <v>#DIV/0!</v>
      </c>
      <c r="KVD95" s="363" t="s">
        <v>153</v>
      </c>
      <c r="KVE95" s="363"/>
      <c r="KVF95" s="363"/>
      <c r="KVG95" s="364" t="s">
        <v>140</v>
      </c>
      <c r="KVH95" s="365">
        <v>0.5</v>
      </c>
      <c r="KVI95" s="366" t="e">
        <f>10/KVE93</f>
        <v>#DIV/0!</v>
      </c>
      <c r="KVJ95" s="367">
        <v>15.38</v>
      </c>
      <c r="KVK95" s="367" t="e">
        <f>KVH95*KVI95*KVJ95</f>
        <v>#DIV/0!</v>
      </c>
      <c r="KVL95" s="363" t="s">
        <v>153</v>
      </c>
      <c r="KVM95" s="363"/>
      <c r="KVN95" s="363"/>
      <c r="KVO95" s="364" t="s">
        <v>140</v>
      </c>
      <c r="KVP95" s="365">
        <v>0.5</v>
      </c>
      <c r="KVQ95" s="366" t="e">
        <f>10/KVM93</f>
        <v>#DIV/0!</v>
      </c>
      <c r="KVR95" s="367">
        <v>15.38</v>
      </c>
      <c r="KVS95" s="367" t="e">
        <f>KVP95*KVQ95*KVR95</f>
        <v>#DIV/0!</v>
      </c>
      <c r="KVT95" s="363" t="s">
        <v>153</v>
      </c>
      <c r="KVU95" s="363"/>
      <c r="KVV95" s="363"/>
      <c r="KVW95" s="364" t="s">
        <v>140</v>
      </c>
      <c r="KVX95" s="365">
        <v>0.5</v>
      </c>
      <c r="KVY95" s="366" t="e">
        <f>10/KVU93</f>
        <v>#DIV/0!</v>
      </c>
      <c r="KVZ95" s="367">
        <v>15.38</v>
      </c>
      <c r="KWA95" s="367" t="e">
        <f>KVX95*KVY95*KVZ95</f>
        <v>#DIV/0!</v>
      </c>
      <c r="KWB95" s="363" t="s">
        <v>153</v>
      </c>
      <c r="KWC95" s="363"/>
      <c r="KWD95" s="363"/>
      <c r="KWE95" s="364" t="s">
        <v>140</v>
      </c>
      <c r="KWF95" s="365">
        <v>0.5</v>
      </c>
      <c r="KWG95" s="366" t="e">
        <f>10/KWC93</f>
        <v>#DIV/0!</v>
      </c>
      <c r="KWH95" s="367">
        <v>15.38</v>
      </c>
      <c r="KWI95" s="367" t="e">
        <f>KWF95*KWG95*KWH95</f>
        <v>#DIV/0!</v>
      </c>
      <c r="KWJ95" s="363" t="s">
        <v>153</v>
      </c>
      <c r="KWK95" s="363"/>
      <c r="KWL95" s="363"/>
      <c r="KWM95" s="364" t="s">
        <v>140</v>
      </c>
      <c r="KWN95" s="365">
        <v>0.5</v>
      </c>
      <c r="KWO95" s="366" t="e">
        <f>10/KWK93</f>
        <v>#DIV/0!</v>
      </c>
      <c r="KWP95" s="367">
        <v>15.38</v>
      </c>
      <c r="KWQ95" s="367" t="e">
        <f>KWN95*KWO95*KWP95</f>
        <v>#DIV/0!</v>
      </c>
      <c r="KWR95" s="363" t="s">
        <v>153</v>
      </c>
      <c r="KWS95" s="363"/>
      <c r="KWT95" s="363"/>
      <c r="KWU95" s="364" t="s">
        <v>140</v>
      </c>
      <c r="KWV95" s="365">
        <v>0.5</v>
      </c>
      <c r="KWW95" s="366" t="e">
        <f>10/KWS93</f>
        <v>#DIV/0!</v>
      </c>
      <c r="KWX95" s="367">
        <v>15.38</v>
      </c>
      <c r="KWY95" s="367" t="e">
        <f>KWV95*KWW95*KWX95</f>
        <v>#DIV/0!</v>
      </c>
      <c r="KWZ95" s="363" t="s">
        <v>153</v>
      </c>
      <c r="KXA95" s="363"/>
      <c r="KXB95" s="363"/>
      <c r="KXC95" s="364" t="s">
        <v>140</v>
      </c>
      <c r="KXD95" s="365">
        <v>0.5</v>
      </c>
      <c r="KXE95" s="366" t="e">
        <f>10/KXA93</f>
        <v>#DIV/0!</v>
      </c>
      <c r="KXF95" s="367">
        <v>15.38</v>
      </c>
      <c r="KXG95" s="367" t="e">
        <f>KXD95*KXE95*KXF95</f>
        <v>#DIV/0!</v>
      </c>
      <c r="KXH95" s="363" t="s">
        <v>153</v>
      </c>
      <c r="KXI95" s="363"/>
      <c r="KXJ95" s="363"/>
      <c r="KXK95" s="364" t="s">
        <v>140</v>
      </c>
      <c r="KXL95" s="365">
        <v>0.5</v>
      </c>
      <c r="KXM95" s="366" t="e">
        <f>10/KXI93</f>
        <v>#DIV/0!</v>
      </c>
      <c r="KXN95" s="367">
        <v>15.38</v>
      </c>
      <c r="KXO95" s="367" t="e">
        <f>KXL95*KXM95*KXN95</f>
        <v>#DIV/0!</v>
      </c>
      <c r="KXP95" s="363" t="s">
        <v>153</v>
      </c>
      <c r="KXQ95" s="363"/>
      <c r="KXR95" s="363"/>
      <c r="KXS95" s="364" t="s">
        <v>140</v>
      </c>
      <c r="KXT95" s="365">
        <v>0.5</v>
      </c>
      <c r="KXU95" s="366" t="e">
        <f>10/KXQ93</f>
        <v>#DIV/0!</v>
      </c>
      <c r="KXV95" s="367">
        <v>15.38</v>
      </c>
      <c r="KXW95" s="367" t="e">
        <f>KXT95*KXU95*KXV95</f>
        <v>#DIV/0!</v>
      </c>
      <c r="KXX95" s="363" t="s">
        <v>153</v>
      </c>
      <c r="KXY95" s="363"/>
      <c r="KXZ95" s="363"/>
      <c r="KYA95" s="364" t="s">
        <v>140</v>
      </c>
      <c r="KYB95" s="365">
        <v>0.5</v>
      </c>
      <c r="KYC95" s="366" t="e">
        <f>10/KXY93</f>
        <v>#DIV/0!</v>
      </c>
      <c r="KYD95" s="367">
        <v>15.38</v>
      </c>
      <c r="KYE95" s="367" t="e">
        <f>KYB95*KYC95*KYD95</f>
        <v>#DIV/0!</v>
      </c>
      <c r="KYF95" s="363" t="s">
        <v>153</v>
      </c>
      <c r="KYG95" s="363"/>
      <c r="KYH95" s="363"/>
      <c r="KYI95" s="364" t="s">
        <v>140</v>
      </c>
      <c r="KYJ95" s="365">
        <v>0.5</v>
      </c>
      <c r="KYK95" s="366" t="e">
        <f>10/KYG93</f>
        <v>#DIV/0!</v>
      </c>
      <c r="KYL95" s="367">
        <v>15.38</v>
      </c>
      <c r="KYM95" s="367" t="e">
        <f>KYJ95*KYK95*KYL95</f>
        <v>#DIV/0!</v>
      </c>
      <c r="KYN95" s="363" t="s">
        <v>153</v>
      </c>
      <c r="KYO95" s="363"/>
      <c r="KYP95" s="363"/>
      <c r="KYQ95" s="364" t="s">
        <v>140</v>
      </c>
      <c r="KYR95" s="365">
        <v>0.5</v>
      </c>
      <c r="KYS95" s="366" t="e">
        <f>10/KYO93</f>
        <v>#DIV/0!</v>
      </c>
      <c r="KYT95" s="367">
        <v>15.38</v>
      </c>
      <c r="KYU95" s="367" t="e">
        <f>KYR95*KYS95*KYT95</f>
        <v>#DIV/0!</v>
      </c>
      <c r="KYV95" s="363" t="s">
        <v>153</v>
      </c>
      <c r="KYW95" s="363"/>
      <c r="KYX95" s="363"/>
      <c r="KYY95" s="364" t="s">
        <v>140</v>
      </c>
      <c r="KYZ95" s="365">
        <v>0.5</v>
      </c>
      <c r="KZA95" s="366" t="e">
        <f>10/KYW93</f>
        <v>#DIV/0!</v>
      </c>
      <c r="KZB95" s="367">
        <v>15.38</v>
      </c>
      <c r="KZC95" s="367" t="e">
        <f>KYZ95*KZA95*KZB95</f>
        <v>#DIV/0!</v>
      </c>
      <c r="KZD95" s="363" t="s">
        <v>153</v>
      </c>
      <c r="KZE95" s="363"/>
      <c r="KZF95" s="363"/>
      <c r="KZG95" s="364" t="s">
        <v>140</v>
      </c>
      <c r="KZH95" s="365">
        <v>0.5</v>
      </c>
      <c r="KZI95" s="366" t="e">
        <f>10/KZE93</f>
        <v>#DIV/0!</v>
      </c>
      <c r="KZJ95" s="367">
        <v>15.38</v>
      </c>
      <c r="KZK95" s="367" t="e">
        <f>KZH95*KZI95*KZJ95</f>
        <v>#DIV/0!</v>
      </c>
      <c r="KZL95" s="363" t="s">
        <v>153</v>
      </c>
      <c r="KZM95" s="363"/>
      <c r="KZN95" s="363"/>
      <c r="KZO95" s="364" t="s">
        <v>140</v>
      </c>
      <c r="KZP95" s="365">
        <v>0.5</v>
      </c>
      <c r="KZQ95" s="366" t="e">
        <f>10/KZM93</f>
        <v>#DIV/0!</v>
      </c>
      <c r="KZR95" s="367">
        <v>15.38</v>
      </c>
      <c r="KZS95" s="367" t="e">
        <f>KZP95*KZQ95*KZR95</f>
        <v>#DIV/0!</v>
      </c>
      <c r="KZT95" s="363" t="s">
        <v>153</v>
      </c>
      <c r="KZU95" s="363"/>
      <c r="KZV95" s="363"/>
      <c r="KZW95" s="364" t="s">
        <v>140</v>
      </c>
      <c r="KZX95" s="365">
        <v>0.5</v>
      </c>
      <c r="KZY95" s="366" t="e">
        <f>10/KZU93</f>
        <v>#DIV/0!</v>
      </c>
      <c r="KZZ95" s="367">
        <v>15.38</v>
      </c>
      <c r="LAA95" s="367" t="e">
        <f>KZX95*KZY95*KZZ95</f>
        <v>#DIV/0!</v>
      </c>
      <c r="LAB95" s="363" t="s">
        <v>153</v>
      </c>
      <c r="LAC95" s="363"/>
      <c r="LAD95" s="363"/>
      <c r="LAE95" s="364" t="s">
        <v>140</v>
      </c>
      <c r="LAF95" s="365">
        <v>0.5</v>
      </c>
      <c r="LAG95" s="366" t="e">
        <f>10/LAC93</f>
        <v>#DIV/0!</v>
      </c>
      <c r="LAH95" s="367">
        <v>15.38</v>
      </c>
      <c r="LAI95" s="367" t="e">
        <f>LAF95*LAG95*LAH95</f>
        <v>#DIV/0!</v>
      </c>
      <c r="LAJ95" s="363" t="s">
        <v>153</v>
      </c>
      <c r="LAK95" s="363"/>
      <c r="LAL95" s="363"/>
      <c r="LAM95" s="364" t="s">
        <v>140</v>
      </c>
      <c r="LAN95" s="365">
        <v>0.5</v>
      </c>
      <c r="LAO95" s="366" t="e">
        <f>10/LAK93</f>
        <v>#DIV/0!</v>
      </c>
      <c r="LAP95" s="367">
        <v>15.38</v>
      </c>
      <c r="LAQ95" s="367" t="e">
        <f>LAN95*LAO95*LAP95</f>
        <v>#DIV/0!</v>
      </c>
      <c r="LAR95" s="363" t="s">
        <v>153</v>
      </c>
      <c r="LAS95" s="363"/>
      <c r="LAT95" s="363"/>
      <c r="LAU95" s="364" t="s">
        <v>140</v>
      </c>
      <c r="LAV95" s="365">
        <v>0.5</v>
      </c>
      <c r="LAW95" s="366" t="e">
        <f>10/LAS93</f>
        <v>#DIV/0!</v>
      </c>
      <c r="LAX95" s="367">
        <v>15.38</v>
      </c>
      <c r="LAY95" s="367" t="e">
        <f>LAV95*LAW95*LAX95</f>
        <v>#DIV/0!</v>
      </c>
      <c r="LAZ95" s="363" t="s">
        <v>153</v>
      </c>
      <c r="LBA95" s="363"/>
      <c r="LBB95" s="363"/>
      <c r="LBC95" s="364" t="s">
        <v>140</v>
      </c>
      <c r="LBD95" s="365">
        <v>0.5</v>
      </c>
      <c r="LBE95" s="366" t="e">
        <f>10/LBA93</f>
        <v>#DIV/0!</v>
      </c>
      <c r="LBF95" s="367">
        <v>15.38</v>
      </c>
      <c r="LBG95" s="367" t="e">
        <f>LBD95*LBE95*LBF95</f>
        <v>#DIV/0!</v>
      </c>
      <c r="LBH95" s="363" t="s">
        <v>153</v>
      </c>
      <c r="LBI95" s="363"/>
      <c r="LBJ95" s="363"/>
      <c r="LBK95" s="364" t="s">
        <v>140</v>
      </c>
      <c r="LBL95" s="365">
        <v>0.5</v>
      </c>
      <c r="LBM95" s="366" t="e">
        <f>10/LBI93</f>
        <v>#DIV/0!</v>
      </c>
      <c r="LBN95" s="367">
        <v>15.38</v>
      </c>
      <c r="LBO95" s="367" t="e">
        <f>LBL95*LBM95*LBN95</f>
        <v>#DIV/0!</v>
      </c>
      <c r="LBP95" s="363" t="s">
        <v>153</v>
      </c>
      <c r="LBQ95" s="363"/>
      <c r="LBR95" s="363"/>
      <c r="LBS95" s="364" t="s">
        <v>140</v>
      </c>
      <c r="LBT95" s="365">
        <v>0.5</v>
      </c>
      <c r="LBU95" s="366" t="e">
        <f>10/LBQ93</f>
        <v>#DIV/0!</v>
      </c>
      <c r="LBV95" s="367">
        <v>15.38</v>
      </c>
      <c r="LBW95" s="367" t="e">
        <f>LBT95*LBU95*LBV95</f>
        <v>#DIV/0!</v>
      </c>
      <c r="LBX95" s="363" t="s">
        <v>153</v>
      </c>
      <c r="LBY95" s="363"/>
      <c r="LBZ95" s="363"/>
      <c r="LCA95" s="364" t="s">
        <v>140</v>
      </c>
      <c r="LCB95" s="365">
        <v>0.5</v>
      </c>
      <c r="LCC95" s="366" t="e">
        <f>10/LBY93</f>
        <v>#DIV/0!</v>
      </c>
      <c r="LCD95" s="367">
        <v>15.38</v>
      </c>
      <c r="LCE95" s="367" t="e">
        <f>LCB95*LCC95*LCD95</f>
        <v>#DIV/0!</v>
      </c>
      <c r="LCF95" s="363" t="s">
        <v>153</v>
      </c>
      <c r="LCG95" s="363"/>
      <c r="LCH95" s="363"/>
      <c r="LCI95" s="364" t="s">
        <v>140</v>
      </c>
      <c r="LCJ95" s="365">
        <v>0.5</v>
      </c>
      <c r="LCK95" s="366" t="e">
        <f>10/LCG93</f>
        <v>#DIV/0!</v>
      </c>
      <c r="LCL95" s="367">
        <v>15.38</v>
      </c>
      <c r="LCM95" s="367" t="e">
        <f>LCJ95*LCK95*LCL95</f>
        <v>#DIV/0!</v>
      </c>
      <c r="LCN95" s="363" t="s">
        <v>153</v>
      </c>
      <c r="LCO95" s="363"/>
      <c r="LCP95" s="363"/>
      <c r="LCQ95" s="364" t="s">
        <v>140</v>
      </c>
      <c r="LCR95" s="365">
        <v>0.5</v>
      </c>
      <c r="LCS95" s="366" t="e">
        <f>10/LCO93</f>
        <v>#DIV/0!</v>
      </c>
      <c r="LCT95" s="367">
        <v>15.38</v>
      </c>
      <c r="LCU95" s="367" t="e">
        <f>LCR95*LCS95*LCT95</f>
        <v>#DIV/0!</v>
      </c>
      <c r="LCV95" s="363" t="s">
        <v>153</v>
      </c>
      <c r="LCW95" s="363"/>
      <c r="LCX95" s="363"/>
      <c r="LCY95" s="364" t="s">
        <v>140</v>
      </c>
      <c r="LCZ95" s="365">
        <v>0.5</v>
      </c>
      <c r="LDA95" s="366" t="e">
        <f>10/LCW93</f>
        <v>#DIV/0!</v>
      </c>
      <c r="LDB95" s="367">
        <v>15.38</v>
      </c>
      <c r="LDC95" s="367" t="e">
        <f>LCZ95*LDA95*LDB95</f>
        <v>#DIV/0!</v>
      </c>
      <c r="LDD95" s="363" t="s">
        <v>153</v>
      </c>
      <c r="LDE95" s="363"/>
      <c r="LDF95" s="363"/>
      <c r="LDG95" s="364" t="s">
        <v>140</v>
      </c>
      <c r="LDH95" s="365">
        <v>0.5</v>
      </c>
      <c r="LDI95" s="366" t="e">
        <f>10/LDE93</f>
        <v>#DIV/0!</v>
      </c>
      <c r="LDJ95" s="367">
        <v>15.38</v>
      </c>
      <c r="LDK95" s="367" t="e">
        <f>LDH95*LDI95*LDJ95</f>
        <v>#DIV/0!</v>
      </c>
      <c r="LDL95" s="363" t="s">
        <v>153</v>
      </c>
      <c r="LDM95" s="363"/>
      <c r="LDN95" s="363"/>
      <c r="LDO95" s="364" t="s">
        <v>140</v>
      </c>
      <c r="LDP95" s="365">
        <v>0.5</v>
      </c>
      <c r="LDQ95" s="366" t="e">
        <f>10/LDM93</f>
        <v>#DIV/0!</v>
      </c>
      <c r="LDR95" s="367">
        <v>15.38</v>
      </c>
      <c r="LDS95" s="367" t="e">
        <f>LDP95*LDQ95*LDR95</f>
        <v>#DIV/0!</v>
      </c>
      <c r="LDT95" s="363" t="s">
        <v>153</v>
      </c>
      <c r="LDU95" s="363"/>
      <c r="LDV95" s="363"/>
      <c r="LDW95" s="364" t="s">
        <v>140</v>
      </c>
      <c r="LDX95" s="365">
        <v>0.5</v>
      </c>
      <c r="LDY95" s="366" t="e">
        <f>10/LDU93</f>
        <v>#DIV/0!</v>
      </c>
      <c r="LDZ95" s="367">
        <v>15.38</v>
      </c>
      <c r="LEA95" s="367" t="e">
        <f>LDX95*LDY95*LDZ95</f>
        <v>#DIV/0!</v>
      </c>
      <c r="LEB95" s="363" t="s">
        <v>153</v>
      </c>
      <c r="LEC95" s="363"/>
      <c r="LED95" s="363"/>
      <c r="LEE95" s="364" t="s">
        <v>140</v>
      </c>
      <c r="LEF95" s="365">
        <v>0.5</v>
      </c>
      <c r="LEG95" s="366" t="e">
        <f>10/LEC93</f>
        <v>#DIV/0!</v>
      </c>
      <c r="LEH95" s="367">
        <v>15.38</v>
      </c>
      <c r="LEI95" s="367" t="e">
        <f>LEF95*LEG95*LEH95</f>
        <v>#DIV/0!</v>
      </c>
      <c r="LEJ95" s="363" t="s">
        <v>153</v>
      </c>
      <c r="LEK95" s="363"/>
      <c r="LEL95" s="363"/>
      <c r="LEM95" s="364" t="s">
        <v>140</v>
      </c>
      <c r="LEN95" s="365">
        <v>0.5</v>
      </c>
      <c r="LEO95" s="366" t="e">
        <f>10/LEK93</f>
        <v>#DIV/0!</v>
      </c>
      <c r="LEP95" s="367">
        <v>15.38</v>
      </c>
      <c r="LEQ95" s="367" t="e">
        <f>LEN95*LEO95*LEP95</f>
        <v>#DIV/0!</v>
      </c>
      <c r="LER95" s="363" t="s">
        <v>153</v>
      </c>
      <c r="LES95" s="363"/>
      <c r="LET95" s="363"/>
      <c r="LEU95" s="364" t="s">
        <v>140</v>
      </c>
      <c r="LEV95" s="365">
        <v>0.5</v>
      </c>
      <c r="LEW95" s="366" t="e">
        <f>10/LES93</f>
        <v>#DIV/0!</v>
      </c>
      <c r="LEX95" s="367">
        <v>15.38</v>
      </c>
      <c r="LEY95" s="367" t="e">
        <f>LEV95*LEW95*LEX95</f>
        <v>#DIV/0!</v>
      </c>
      <c r="LEZ95" s="363" t="s">
        <v>153</v>
      </c>
      <c r="LFA95" s="363"/>
      <c r="LFB95" s="363"/>
      <c r="LFC95" s="364" t="s">
        <v>140</v>
      </c>
      <c r="LFD95" s="365">
        <v>0.5</v>
      </c>
      <c r="LFE95" s="366" t="e">
        <f>10/LFA93</f>
        <v>#DIV/0!</v>
      </c>
      <c r="LFF95" s="367">
        <v>15.38</v>
      </c>
      <c r="LFG95" s="367" t="e">
        <f>LFD95*LFE95*LFF95</f>
        <v>#DIV/0!</v>
      </c>
      <c r="LFH95" s="363" t="s">
        <v>153</v>
      </c>
      <c r="LFI95" s="363"/>
      <c r="LFJ95" s="363"/>
      <c r="LFK95" s="364" t="s">
        <v>140</v>
      </c>
      <c r="LFL95" s="365">
        <v>0.5</v>
      </c>
      <c r="LFM95" s="366" t="e">
        <f>10/LFI93</f>
        <v>#DIV/0!</v>
      </c>
      <c r="LFN95" s="367">
        <v>15.38</v>
      </c>
      <c r="LFO95" s="367" t="e">
        <f>LFL95*LFM95*LFN95</f>
        <v>#DIV/0!</v>
      </c>
      <c r="LFP95" s="363" t="s">
        <v>153</v>
      </c>
      <c r="LFQ95" s="363"/>
      <c r="LFR95" s="363"/>
      <c r="LFS95" s="364" t="s">
        <v>140</v>
      </c>
      <c r="LFT95" s="365">
        <v>0.5</v>
      </c>
      <c r="LFU95" s="366" t="e">
        <f>10/LFQ93</f>
        <v>#DIV/0!</v>
      </c>
      <c r="LFV95" s="367">
        <v>15.38</v>
      </c>
      <c r="LFW95" s="367" t="e">
        <f>LFT95*LFU95*LFV95</f>
        <v>#DIV/0!</v>
      </c>
      <c r="LFX95" s="363" t="s">
        <v>153</v>
      </c>
      <c r="LFY95" s="363"/>
      <c r="LFZ95" s="363"/>
      <c r="LGA95" s="364" t="s">
        <v>140</v>
      </c>
      <c r="LGB95" s="365">
        <v>0.5</v>
      </c>
      <c r="LGC95" s="366" t="e">
        <f>10/LFY93</f>
        <v>#DIV/0!</v>
      </c>
      <c r="LGD95" s="367">
        <v>15.38</v>
      </c>
      <c r="LGE95" s="367" t="e">
        <f>LGB95*LGC95*LGD95</f>
        <v>#DIV/0!</v>
      </c>
      <c r="LGF95" s="363" t="s">
        <v>153</v>
      </c>
      <c r="LGG95" s="363"/>
      <c r="LGH95" s="363"/>
      <c r="LGI95" s="364" t="s">
        <v>140</v>
      </c>
      <c r="LGJ95" s="365">
        <v>0.5</v>
      </c>
      <c r="LGK95" s="366" t="e">
        <f>10/LGG93</f>
        <v>#DIV/0!</v>
      </c>
      <c r="LGL95" s="367">
        <v>15.38</v>
      </c>
      <c r="LGM95" s="367" t="e">
        <f>LGJ95*LGK95*LGL95</f>
        <v>#DIV/0!</v>
      </c>
      <c r="LGN95" s="363" t="s">
        <v>153</v>
      </c>
      <c r="LGO95" s="363"/>
      <c r="LGP95" s="363"/>
      <c r="LGQ95" s="364" t="s">
        <v>140</v>
      </c>
      <c r="LGR95" s="365">
        <v>0.5</v>
      </c>
      <c r="LGS95" s="366" t="e">
        <f>10/LGO93</f>
        <v>#DIV/0!</v>
      </c>
      <c r="LGT95" s="367">
        <v>15.38</v>
      </c>
      <c r="LGU95" s="367" t="e">
        <f>LGR95*LGS95*LGT95</f>
        <v>#DIV/0!</v>
      </c>
      <c r="LGV95" s="363" t="s">
        <v>153</v>
      </c>
      <c r="LGW95" s="363"/>
      <c r="LGX95" s="363"/>
      <c r="LGY95" s="364" t="s">
        <v>140</v>
      </c>
      <c r="LGZ95" s="365">
        <v>0.5</v>
      </c>
      <c r="LHA95" s="366" t="e">
        <f>10/LGW93</f>
        <v>#DIV/0!</v>
      </c>
      <c r="LHB95" s="367">
        <v>15.38</v>
      </c>
      <c r="LHC95" s="367" t="e">
        <f>LGZ95*LHA95*LHB95</f>
        <v>#DIV/0!</v>
      </c>
      <c r="LHD95" s="363" t="s">
        <v>153</v>
      </c>
      <c r="LHE95" s="363"/>
      <c r="LHF95" s="363"/>
      <c r="LHG95" s="364" t="s">
        <v>140</v>
      </c>
      <c r="LHH95" s="365">
        <v>0.5</v>
      </c>
      <c r="LHI95" s="366" t="e">
        <f>10/LHE93</f>
        <v>#DIV/0!</v>
      </c>
      <c r="LHJ95" s="367">
        <v>15.38</v>
      </c>
      <c r="LHK95" s="367" t="e">
        <f>LHH95*LHI95*LHJ95</f>
        <v>#DIV/0!</v>
      </c>
      <c r="LHL95" s="363" t="s">
        <v>153</v>
      </c>
      <c r="LHM95" s="363"/>
      <c r="LHN95" s="363"/>
      <c r="LHO95" s="364" t="s">
        <v>140</v>
      </c>
      <c r="LHP95" s="365">
        <v>0.5</v>
      </c>
      <c r="LHQ95" s="366" t="e">
        <f>10/LHM93</f>
        <v>#DIV/0!</v>
      </c>
      <c r="LHR95" s="367">
        <v>15.38</v>
      </c>
      <c r="LHS95" s="367" t="e">
        <f>LHP95*LHQ95*LHR95</f>
        <v>#DIV/0!</v>
      </c>
      <c r="LHT95" s="363" t="s">
        <v>153</v>
      </c>
      <c r="LHU95" s="363"/>
      <c r="LHV95" s="363"/>
      <c r="LHW95" s="364" t="s">
        <v>140</v>
      </c>
      <c r="LHX95" s="365">
        <v>0.5</v>
      </c>
      <c r="LHY95" s="366" t="e">
        <f>10/LHU93</f>
        <v>#DIV/0!</v>
      </c>
      <c r="LHZ95" s="367">
        <v>15.38</v>
      </c>
      <c r="LIA95" s="367" t="e">
        <f>LHX95*LHY95*LHZ95</f>
        <v>#DIV/0!</v>
      </c>
      <c r="LIB95" s="363" t="s">
        <v>153</v>
      </c>
      <c r="LIC95" s="363"/>
      <c r="LID95" s="363"/>
      <c r="LIE95" s="364" t="s">
        <v>140</v>
      </c>
      <c r="LIF95" s="365">
        <v>0.5</v>
      </c>
      <c r="LIG95" s="366" t="e">
        <f>10/LIC93</f>
        <v>#DIV/0!</v>
      </c>
      <c r="LIH95" s="367">
        <v>15.38</v>
      </c>
      <c r="LII95" s="367" t="e">
        <f>LIF95*LIG95*LIH95</f>
        <v>#DIV/0!</v>
      </c>
      <c r="LIJ95" s="363" t="s">
        <v>153</v>
      </c>
      <c r="LIK95" s="363"/>
      <c r="LIL95" s="363"/>
      <c r="LIM95" s="364" t="s">
        <v>140</v>
      </c>
      <c r="LIN95" s="365">
        <v>0.5</v>
      </c>
      <c r="LIO95" s="366" t="e">
        <f>10/LIK93</f>
        <v>#DIV/0!</v>
      </c>
      <c r="LIP95" s="367">
        <v>15.38</v>
      </c>
      <c r="LIQ95" s="367" t="e">
        <f>LIN95*LIO95*LIP95</f>
        <v>#DIV/0!</v>
      </c>
      <c r="LIR95" s="363" t="s">
        <v>153</v>
      </c>
      <c r="LIS95" s="363"/>
      <c r="LIT95" s="363"/>
      <c r="LIU95" s="364" t="s">
        <v>140</v>
      </c>
      <c r="LIV95" s="365">
        <v>0.5</v>
      </c>
      <c r="LIW95" s="366" t="e">
        <f>10/LIS93</f>
        <v>#DIV/0!</v>
      </c>
      <c r="LIX95" s="367">
        <v>15.38</v>
      </c>
      <c r="LIY95" s="367" t="e">
        <f>LIV95*LIW95*LIX95</f>
        <v>#DIV/0!</v>
      </c>
      <c r="LIZ95" s="363" t="s">
        <v>153</v>
      </c>
      <c r="LJA95" s="363"/>
      <c r="LJB95" s="363"/>
      <c r="LJC95" s="364" t="s">
        <v>140</v>
      </c>
      <c r="LJD95" s="365">
        <v>0.5</v>
      </c>
      <c r="LJE95" s="366" t="e">
        <f>10/LJA93</f>
        <v>#DIV/0!</v>
      </c>
      <c r="LJF95" s="367">
        <v>15.38</v>
      </c>
      <c r="LJG95" s="367" t="e">
        <f>LJD95*LJE95*LJF95</f>
        <v>#DIV/0!</v>
      </c>
      <c r="LJH95" s="363" t="s">
        <v>153</v>
      </c>
      <c r="LJI95" s="363"/>
      <c r="LJJ95" s="363"/>
      <c r="LJK95" s="364" t="s">
        <v>140</v>
      </c>
      <c r="LJL95" s="365">
        <v>0.5</v>
      </c>
      <c r="LJM95" s="366" t="e">
        <f>10/LJI93</f>
        <v>#DIV/0!</v>
      </c>
      <c r="LJN95" s="367">
        <v>15.38</v>
      </c>
      <c r="LJO95" s="367" t="e">
        <f>LJL95*LJM95*LJN95</f>
        <v>#DIV/0!</v>
      </c>
      <c r="LJP95" s="363" t="s">
        <v>153</v>
      </c>
      <c r="LJQ95" s="363"/>
      <c r="LJR95" s="363"/>
      <c r="LJS95" s="364" t="s">
        <v>140</v>
      </c>
      <c r="LJT95" s="365">
        <v>0.5</v>
      </c>
      <c r="LJU95" s="366" t="e">
        <f>10/LJQ93</f>
        <v>#DIV/0!</v>
      </c>
      <c r="LJV95" s="367">
        <v>15.38</v>
      </c>
      <c r="LJW95" s="367" t="e">
        <f>LJT95*LJU95*LJV95</f>
        <v>#DIV/0!</v>
      </c>
      <c r="LJX95" s="363" t="s">
        <v>153</v>
      </c>
      <c r="LJY95" s="363"/>
      <c r="LJZ95" s="363"/>
      <c r="LKA95" s="364" t="s">
        <v>140</v>
      </c>
      <c r="LKB95" s="365">
        <v>0.5</v>
      </c>
      <c r="LKC95" s="366" t="e">
        <f>10/LJY93</f>
        <v>#DIV/0!</v>
      </c>
      <c r="LKD95" s="367">
        <v>15.38</v>
      </c>
      <c r="LKE95" s="367" t="e">
        <f>LKB95*LKC95*LKD95</f>
        <v>#DIV/0!</v>
      </c>
      <c r="LKF95" s="363" t="s">
        <v>153</v>
      </c>
      <c r="LKG95" s="363"/>
      <c r="LKH95" s="363"/>
      <c r="LKI95" s="364" t="s">
        <v>140</v>
      </c>
      <c r="LKJ95" s="365">
        <v>0.5</v>
      </c>
      <c r="LKK95" s="366" t="e">
        <f>10/LKG93</f>
        <v>#DIV/0!</v>
      </c>
      <c r="LKL95" s="367">
        <v>15.38</v>
      </c>
      <c r="LKM95" s="367" t="e">
        <f>LKJ95*LKK95*LKL95</f>
        <v>#DIV/0!</v>
      </c>
      <c r="LKN95" s="363" t="s">
        <v>153</v>
      </c>
      <c r="LKO95" s="363"/>
      <c r="LKP95" s="363"/>
      <c r="LKQ95" s="364" t="s">
        <v>140</v>
      </c>
      <c r="LKR95" s="365">
        <v>0.5</v>
      </c>
      <c r="LKS95" s="366" t="e">
        <f>10/LKO93</f>
        <v>#DIV/0!</v>
      </c>
      <c r="LKT95" s="367">
        <v>15.38</v>
      </c>
      <c r="LKU95" s="367" t="e">
        <f>LKR95*LKS95*LKT95</f>
        <v>#DIV/0!</v>
      </c>
      <c r="LKV95" s="363" t="s">
        <v>153</v>
      </c>
      <c r="LKW95" s="363"/>
      <c r="LKX95" s="363"/>
      <c r="LKY95" s="364" t="s">
        <v>140</v>
      </c>
      <c r="LKZ95" s="365">
        <v>0.5</v>
      </c>
      <c r="LLA95" s="366" t="e">
        <f>10/LKW93</f>
        <v>#DIV/0!</v>
      </c>
      <c r="LLB95" s="367">
        <v>15.38</v>
      </c>
      <c r="LLC95" s="367" t="e">
        <f>LKZ95*LLA95*LLB95</f>
        <v>#DIV/0!</v>
      </c>
      <c r="LLD95" s="363" t="s">
        <v>153</v>
      </c>
      <c r="LLE95" s="363"/>
      <c r="LLF95" s="363"/>
      <c r="LLG95" s="364" t="s">
        <v>140</v>
      </c>
      <c r="LLH95" s="365">
        <v>0.5</v>
      </c>
      <c r="LLI95" s="366" t="e">
        <f>10/LLE93</f>
        <v>#DIV/0!</v>
      </c>
      <c r="LLJ95" s="367">
        <v>15.38</v>
      </c>
      <c r="LLK95" s="367" t="e">
        <f>LLH95*LLI95*LLJ95</f>
        <v>#DIV/0!</v>
      </c>
      <c r="LLL95" s="363" t="s">
        <v>153</v>
      </c>
      <c r="LLM95" s="363"/>
      <c r="LLN95" s="363"/>
      <c r="LLO95" s="364" t="s">
        <v>140</v>
      </c>
      <c r="LLP95" s="365">
        <v>0.5</v>
      </c>
      <c r="LLQ95" s="366" t="e">
        <f>10/LLM93</f>
        <v>#DIV/0!</v>
      </c>
      <c r="LLR95" s="367">
        <v>15.38</v>
      </c>
      <c r="LLS95" s="367" t="e">
        <f>LLP95*LLQ95*LLR95</f>
        <v>#DIV/0!</v>
      </c>
      <c r="LLT95" s="363" t="s">
        <v>153</v>
      </c>
      <c r="LLU95" s="363"/>
      <c r="LLV95" s="363"/>
      <c r="LLW95" s="364" t="s">
        <v>140</v>
      </c>
      <c r="LLX95" s="365">
        <v>0.5</v>
      </c>
      <c r="LLY95" s="366" t="e">
        <f>10/LLU93</f>
        <v>#DIV/0!</v>
      </c>
      <c r="LLZ95" s="367">
        <v>15.38</v>
      </c>
      <c r="LMA95" s="367" t="e">
        <f>LLX95*LLY95*LLZ95</f>
        <v>#DIV/0!</v>
      </c>
      <c r="LMB95" s="363" t="s">
        <v>153</v>
      </c>
      <c r="LMC95" s="363"/>
      <c r="LMD95" s="363"/>
      <c r="LME95" s="364" t="s">
        <v>140</v>
      </c>
      <c r="LMF95" s="365">
        <v>0.5</v>
      </c>
      <c r="LMG95" s="366" t="e">
        <f>10/LMC93</f>
        <v>#DIV/0!</v>
      </c>
      <c r="LMH95" s="367">
        <v>15.38</v>
      </c>
      <c r="LMI95" s="367" t="e">
        <f>LMF95*LMG95*LMH95</f>
        <v>#DIV/0!</v>
      </c>
      <c r="LMJ95" s="363" t="s">
        <v>153</v>
      </c>
      <c r="LMK95" s="363"/>
      <c r="LML95" s="363"/>
      <c r="LMM95" s="364" t="s">
        <v>140</v>
      </c>
      <c r="LMN95" s="365">
        <v>0.5</v>
      </c>
      <c r="LMO95" s="366" t="e">
        <f>10/LMK93</f>
        <v>#DIV/0!</v>
      </c>
      <c r="LMP95" s="367">
        <v>15.38</v>
      </c>
      <c r="LMQ95" s="367" t="e">
        <f>LMN95*LMO95*LMP95</f>
        <v>#DIV/0!</v>
      </c>
      <c r="LMR95" s="363" t="s">
        <v>153</v>
      </c>
      <c r="LMS95" s="363"/>
      <c r="LMT95" s="363"/>
      <c r="LMU95" s="364" t="s">
        <v>140</v>
      </c>
      <c r="LMV95" s="365">
        <v>0.5</v>
      </c>
      <c r="LMW95" s="366" t="e">
        <f>10/LMS93</f>
        <v>#DIV/0!</v>
      </c>
      <c r="LMX95" s="367">
        <v>15.38</v>
      </c>
      <c r="LMY95" s="367" t="e">
        <f>LMV95*LMW95*LMX95</f>
        <v>#DIV/0!</v>
      </c>
      <c r="LMZ95" s="363" t="s">
        <v>153</v>
      </c>
      <c r="LNA95" s="363"/>
      <c r="LNB95" s="363"/>
      <c r="LNC95" s="364" t="s">
        <v>140</v>
      </c>
      <c r="LND95" s="365">
        <v>0.5</v>
      </c>
      <c r="LNE95" s="366" t="e">
        <f>10/LNA93</f>
        <v>#DIV/0!</v>
      </c>
      <c r="LNF95" s="367">
        <v>15.38</v>
      </c>
      <c r="LNG95" s="367" t="e">
        <f>LND95*LNE95*LNF95</f>
        <v>#DIV/0!</v>
      </c>
      <c r="LNH95" s="363" t="s">
        <v>153</v>
      </c>
      <c r="LNI95" s="363"/>
      <c r="LNJ95" s="363"/>
      <c r="LNK95" s="364" t="s">
        <v>140</v>
      </c>
      <c r="LNL95" s="365">
        <v>0.5</v>
      </c>
      <c r="LNM95" s="366" t="e">
        <f>10/LNI93</f>
        <v>#DIV/0!</v>
      </c>
      <c r="LNN95" s="367">
        <v>15.38</v>
      </c>
      <c r="LNO95" s="367" t="e">
        <f>LNL95*LNM95*LNN95</f>
        <v>#DIV/0!</v>
      </c>
      <c r="LNP95" s="363" t="s">
        <v>153</v>
      </c>
      <c r="LNQ95" s="363"/>
      <c r="LNR95" s="363"/>
      <c r="LNS95" s="364" t="s">
        <v>140</v>
      </c>
      <c r="LNT95" s="365">
        <v>0.5</v>
      </c>
      <c r="LNU95" s="366" t="e">
        <f>10/LNQ93</f>
        <v>#DIV/0!</v>
      </c>
      <c r="LNV95" s="367">
        <v>15.38</v>
      </c>
      <c r="LNW95" s="367" t="e">
        <f>LNT95*LNU95*LNV95</f>
        <v>#DIV/0!</v>
      </c>
      <c r="LNX95" s="363" t="s">
        <v>153</v>
      </c>
      <c r="LNY95" s="363"/>
      <c r="LNZ95" s="363"/>
      <c r="LOA95" s="364" t="s">
        <v>140</v>
      </c>
      <c r="LOB95" s="365">
        <v>0.5</v>
      </c>
      <c r="LOC95" s="366" t="e">
        <f>10/LNY93</f>
        <v>#DIV/0!</v>
      </c>
      <c r="LOD95" s="367">
        <v>15.38</v>
      </c>
      <c r="LOE95" s="367" t="e">
        <f>LOB95*LOC95*LOD95</f>
        <v>#DIV/0!</v>
      </c>
      <c r="LOF95" s="363" t="s">
        <v>153</v>
      </c>
      <c r="LOG95" s="363"/>
      <c r="LOH95" s="363"/>
      <c r="LOI95" s="364" t="s">
        <v>140</v>
      </c>
      <c r="LOJ95" s="365">
        <v>0.5</v>
      </c>
      <c r="LOK95" s="366" t="e">
        <f>10/LOG93</f>
        <v>#DIV/0!</v>
      </c>
      <c r="LOL95" s="367">
        <v>15.38</v>
      </c>
      <c r="LOM95" s="367" t="e">
        <f>LOJ95*LOK95*LOL95</f>
        <v>#DIV/0!</v>
      </c>
      <c r="LON95" s="363" t="s">
        <v>153</v>
      </c>
      <c r="LOO95" s="363"/>
      <c r="LOP95" s="363"/>
      <c r="LOQ95" s="364" t="s">
        <v>140</v>
      </c>
      <c r="LOR95" s="365">
        <v>0.5</v>
      </c>
      <c r="LOS95" s="366" t="e">
        <f>10/LOO93</f>
        <v>#DIV/0!</v>
      </c>
      <c r="LOT95" s="367">
        <v>15.38</v>
      </c>
      <c r="LOU95" s="367" t="e">
        <f>LOR95*LOS95*LOT95</f>
        <v>#DIV/0!</v>
      </c>
      <c r="LOV95" s="363" t="s">
        <v>153</v>
      </c>
      <c r="LOW95" s="363"/>
      <c r="LOX95" s="363"/>
      <c r="LOY95" s="364" t="s">
        <v>140</v>
      </c>
      <c r="LOZ95" s="365">
        <v>0.5</v>
      </c>
      <c r="LPA95" s="366" t="e">
        <f>10/LOW93</f>
        <v>#DIV/0!</v>
      </c>
      <c r="LPB95" s="367">
        <v>15.38</v>
      </c>
      <c r="LPC95" s="367" t="e">
        <f>LOZ95*LPA95*LPB95</f>
        <v>#DIV/0!</v>
      </c>
      <c r="LPD95" s="363" t="s">
        <v>153</v>
      </c>
      <c r="LPE95" s="363"/>
      <c r="LPF95" s="363"/>
      <c r="LPG95" s="364" t="s">
        <v>140</v>
      </c>
      <c r="LPH95" s="365">
        <v>0.5</v>
      </c>
      <c r="LPI95" s="366" t="e">
        <f>10/LPE93</f>
        <v>#DIV/0!</v>
      </c>
      <c r="LPJ95" s="367">
        <v>15.38</v>
      </c>
      <c r="LPK95" s="367" t="e">
        <f>LPH95*LPI95*LPJ95</f>
        <v>#DIV/0!</v>
      </c>
      <c r="LPL95" s="363" t="s">
        <v>153</v>
      </c>
      <c r="LPM95" s="363"/>
      <c r="LPN95" s="363"/>
      <c r="LPO95" s="364" t="s">
        <v>140</v>
      </c>
      <c r="LPP95" s="365">
        <v>0.5</v>
      </c>
      <c r="LPQ95" s="366" t="e">
        <f>10/LPM93</f>
        <v>#DIV/0!</v>
      </c>
      <c r="LPR95" s="367">
        <v>15.38</v>
      </c>
      <c r="LPS95" s="367" t="e">
        <f>LPP95*LPQ95*LPR95</f>
        <v>#DIV/0!</v>
      </c>
      <c r="LPT95" s="363" t="s">
        <v>153</v>
      </c>
      <c r="LPU95" s="363"/>
      <c r="LPV95" s="363"/>
      <c r="LPW95" s="364" t="s">
        <v>140</v>
      </c>
      <c r="LPX95" s="365">
        <v>0.5</v>
      </c>
      <c r="LPY95" s="366" t="e">
        <f>10/LPU93</f>
        <v>#DIV/0!</v>
      </c>
      <c r="LPZ95" s="367">
        <v>15.38</v>
      </c>
      <c r="LQA95" s="367" t="e">
        <f>LPX95*LPY95*LPZ95</f>
        <v>#DIV/0!</v>
      </c>
      <c r="LQB95" s="363" t="s">
        <v>153</v>
      </c>
      <c r="LQC95" s="363"/>
      <c r="LQD95" s="363"/>
      <c r="LQE95" s="364" t="s">
        <v>140</v>
      </c>
      <c r="LQF95" s="365">
        <v>0.5</v>
      </c>
      <c r="LQG95" s="366" t="e">
        <f>10/LQC93</f>
        <v>#DIV/0!</v>
      </c>
      <c r="LQH95" s="367">
        <v>15.38</v>
      </c>
      <c r="LQI95" s="367" t="e">
        <f>LQF95*LQG95*LQH95</f>
        <v>#DIV/0!</v>
      </c>
      <c r="LQJ95" s="363" t="s">
        <v>153</v>
      </c>
      <c r="LQK95" s="363"/>
      <c r="LQL95" s="363"/>
      <c r="LQM95" s="364" t="s">
        <v>140</v>
      </c>
      <c r="LQN95" s="365">
        <v>0.5</v>
      </c>
      <c r="LQO95" s="366" t="e">
        <f>10/LQK93</f>
        <v>#DIV/0!</v>
      </c>
      <c r="LQP95" s="367">
        <v>15.38</v>
      </c>
      <c r="LQQ95" s="367" t="e">
        <f>LQN95*LQO95*LQP95</f>
        <v>#DIV/0!</v>
      </c>
      <c r="LQR95" s="363" t="s">
        <v>153</v>
      </c>
      <c r="LQS95" s="363"/>
      <c r="LQT95" s="363"/>
      <c r="LQU95" s="364" t="s">
        <v>140</v>
      </c>
      <c r="LQV95" s="365">
        <v>0.5</v>
      </c>
      <c r="LQW95" s="366" t="e">
        <f>10/LQS93</f>
        <v>#DIV/0!</v>
      </c>
      <c r="LQX95" s="367">
        <v>15.38</v>
      </c>
      <c r="LQY95" s="367" t="e">
        <f>LQV95*LQW95*LQX95</f>
        <v>#DIV/0!</v>
      </c>
      <c r="LQZ95" s="363" t="s">
        <v>153</v>
      </c>
      <c r="LRA95" s="363"/>
      <c r="LRB95" s="363"/>
      <c r="LRC95" s="364" t="s">
        <v>140</v>
      </c>
      <c r="LRD95" s="365">
        <v>0.5</v>
      </c>
      <c r="LRE95" s="366" t="e">
        <f>10/LRA93</f>
        <v>#DIV/0!</v>
      </c>
      <c r="LRF95" s="367">
        <v>15.38</v>
      </c>
      <c r="LRG95" s="367" t="e">
        <f>LRD95*LRE95*LRF95</f>
        <v>#DIV/0!</v>
      </c>
      <c r="LRH95" s="363" t="s">
        <v>153</v>
      </c>
      <c r="LRI95" s="363"/>
      <c r="LRJ95" s="363"/>
      <c r="LRK95" s="364" t="s">
        <v>140</v>
      </c>
      <c r="LRL95" s="365">
        <v>0.5</v>
      </c>
      <c r="LRM95" s="366" t="e">
        <f>10/LRI93</f>
        <v>#DIV/0!</v>
      </c>
      <c r="LRN95" s="367">
        <v>15.38</v>
      </c>
      <c r="LRO95" s="367" t="e">
        <f>LRL95*LRM95*LRN95</f>
        <v>#DIV/0!</v>
      </c>
      <c r="LRP95" s="363" t="s">
        <v>153</v>
      </c>
      <c r="LRQ95" s="363"/>
      <c r="LRR95" s="363"/>
      <c r="LRS95" s="364" t="s">
        <v>140</v>
      </c>
      <c r="LRT95" s="365">
        <v>0.5</v>
      </c>
      <c r="LRU95" s="366" t="e">
        <f>10/LRQ93</f>
        <v>#DIV/0!</v>
      </c>
      <c r="LRV95" s="367">
        <v>15.38</v>
      </c>
      <c r="LRW95" s="367" t="e">
        <f>LRT95*LRU95*LRV95</f>
        <v>#DIV/0!</v>
      </c>
      <c r="LRX95" s="363" t="s">
        <v>153</v>
      </c>
      <c r="LRY95" s="363"/>
      <c r="LRZ95" s="363"/>
      <c r="LSA95" s="364" t="s">
        <v>140</v>
      </c>
      <c r="LSB95" s="365">
        <v>0.5</v>
      </c>
      <c r="LSC95" s="366" t="e">
        <f>10/LRY93</f>
        <v>#DIV/0!</v>
      </c>
      <c r="LSD95" s="367">
        <v>15.38</v>
      </c>
      <c r="LSE95" s="367" t="e">
        <f>LSB95*LSC95*LSD95</f>
        <v>#DIV/0!</v>
      </c>
      <c r="LSF95" s="363" t="s">
        <v>153</v>
      </c>
      <c r="LSG95" s="363"/>
      <c r="LSH95" s="363"/>
      <c r="LSI95" s="364" t="s">
        <v>140</v>
      </c>
      <c r="LSJ95" s="365">
        <v>0.5</v>
      </c>
      <c r="LSK95" s="366" t="e">
        <f>10/LSG93</f>
        <v>#DIV/0!</v>
      </c>
      <c r="LSL95" s="367">
        <v>15.38</v>
      </c>
      <c r="LSM95" s="367" t="e">
        <f>LSJ95*LSK95*LSL95</f>
        <v>#DIV/0!</v>
      </c>
      <c r="LSN95" s="363" t="s">
        <v>153</v>
      </c>
      <c r="LSO95" s="363"/>
      <c r="LSP95" s="363"/>
      <c r="LSQ95" s="364" t="s">
        <v>140</v>
      </c>
      <c r="LSR95" s="365">
        <v>0.5</v>
      </c>
      <c r="LSS95" s="366" t="e">
        <f>10/LSO93</f>
        <v>#DIV/0!</v>
      </c>
      <c r="LST95" s="367">
        <v>15.38</v>
      </c>
      <c r="LSU95" s="367" t="e">
        <f>LSR95*LSS95*LST95</f>
        <v>#DIV/0!</v>
      </c>
      <c r="LSV95" s="363" t="s">
        <v>153</v>
      </c>
      <c r="LSW95" s="363"/>
      <c r="LSX95" s="363"/>
      <c r="LSY95" s="364" t="s">
        <v>140</v>
      </c>
      <c r="LSZ95" s="365">
        <v>0.5</v>
      </c>
      <c r="LTA95" s="366" t="e">
        <f>10/LSW93</f>
        <v>#DIV/0!</v>
      </c>
      <c r="LTB95" s="367">
        <v>15.38</v>
      </c>
      <c r="LTC95" s="367" t="e">
        <f>LSZ95*LTA95*LTB95</f>
        <v>#DIV/0!</v>
      </c>
      <c r="LTD95" s="363" t="s">
        <v>153</v>
      </c>
      <c r="LTE95" s="363"/>
      <c r="LTF95" s="363"/>
      <c r="LTG95" s="364" t="s">
        <v>140</v>
      </c>
      <c r="LTH95" s="365">
        <v>0.5</v>
      </c>
      <c r="LTI95" s="366" t="e">
        <f>10/LTE93</f>
        <v>#DIV/0!</v>
      </c>
      <c r="LTJ95" s="367">
        <v>15.38</v>
      </c>
      <c r="LTK95" s="367" t="e">
        <f>LTH95*LTI95*LTJ95</f>
        <v>#DIV/0!</v>
      </c>
      <c r="LTL95" s="363" t="s">
        <v>153</v>
      </c>
      <c r="LTM95" s="363"/>
      <c r="LTN95" s="363"/>
      <c r="LTO95" s="364" t="s">
        <v>140</v>
      </c>
      <c r="LTP95" s="365">
        <v>0.5</v>
      </c>
      <c r="LTQ95" s="366" t="e">
        <f>10/LTM93</f>
        <v>#DIV/0!</v>
      </c>
      <c r="LTR95" s="367">
        <v>15.38</v>
      </c>
      <c r="LTS95" s="367" t="e">
        <f>LTP95*LTQ95*LTR95</f>
        <v>#DIV/0!</v>
      </c>
      <c r="LTT95" s="363" t="s">
        <v>153</v>
      </c>
      <c r="LTU95" s="363"/>
      <c r="LTV95" s="363"/>
      <c r="LTW95" s="364" t="s">
        <v>140</v>
      </c>
      <c r="LTX95" s="365">
        <v>0.5</v>
      </c>
      <c r="LTY95" s="366" t="e">
        <f>10/LTU93</f>
        <v>#DIV/0!</v>
      </c>
      <c r="LTZ95" s="367">
        <v>15.38</v>
      </c>
      <c r="LUA95" s="367" t="e">
        <f>LTX95*LTY95*LTZ95</f>
        <v>#DIV/0!</v>
      </c>
      <c r="LUB95" s="363" t="s">
        <v>153</v>
      </c>
      <c r="LUC95" s="363"/>
      <c r="LUD95" s="363"/>
      <c r="LUE95" s="364" t="s">
        <v>140</v>
      </c>
      <c r="LUF95" s="365">
        <v>0.5</v>
      </c>
      <c r="LUG95" s="366" t="e">
        <f>10/LUC93</f>
        <v>#DIV/0!</v>
      </c>
      <c r="LUH95" s="367">
        <v>15.38</v>
      </c>
      <c r="LUI95" s="367" t="e">
        <f>LUF95*LUG95*LUH95</f>
        <v>#DIV/0!</v>
      </c>
      <c r="LUJ95" s="363" t="s">
        <v>153</v>
      </c>
      <c r="LUK95" s="363"/>
      <c r="LUL95" s="363"/>
      <c r="LUM95" s="364" t="s">
        <v>140</v>
      </c>
      <c r="LUN95" s="365">
        <v>0.5</v>
      </c>
      <c r="LUO95" s="366" t="e">
        <f>10/LUK93</f>
        <v>#DIV/0!</v>
      </c>
      <c r="LUP95" s="367">
        <v>15.38</v>
      </c>
      <c r="LUQ95" s="367" t="e">
        <f>LUN95*LUO95*LUP95</f>
        <v>#DIV/0!</v>
      </c>
      <c r="LUR95" s="363" t="s">
        <v>153</v>
      </c>
      <c r="LUS95" s="363"/>
      <c r="LUT95" s="363"/>
      <c r="LUU95" s="364" t="s">
        <v>140</v>
      </c>
      <c r="LUV95" s="365">
        <v>0.5</v>
      </c>
      <c r="LUW95" s="366" t="e">
        <f>10/LUS93</f>
        <v>#DIV/0!</v>
      </c>
      <c r="LUX95" s="367">
        <v>15.38</v>
      </c>
      <c r="LUY95" s="367" t="e">
        <f>LUV95*LUW95*LUX95</f>
        <v>#DIV/0!</v>
      </c>
      <c r="LUZ95" s="363" t="s">
        <v>153</v>
      </c>
      <c r="LVA95" s="363"/>
      <c r="LVB95" s="363"/>
      <c r="LVC95" s="364" t="s">
        <v>140</v>
      </c>
      <c r="LVD95" s="365">
        <v>0.5</v>
      </c>
      <c r="LVE95" s="366" t="e">
        <f>10/LVA93</f>
        <v>#DIV/0!</v>
      </c>
      <c r="LVF95" s="367">
        <v>15.38</v>
      </c>
      <c r="LVG95" s="367" t="e">
        <f>LVD95*LVE95*LVF95</f>
        <v>#DIV/0!</v>
      </c>
      <c r="LVH95" s="363" t="s">
        <v>153</v>
      </c>
      <c r="LVI95" s="363"/>
      <c r="LVJ95" s="363"/>
      <c r="LVK95" s="364" t="s">
        <v>140</v>
      </c>
      <c r="LVL95" s="365">
        <v>0.5</v>
      </c>
      <c r="LVM95" s="366" t="e">
        <f>10/LVI93</f>
        <v>#DIV/0!</v>
      </c>
      <c r="LVN95" s="367">
        <v>15.38</v>
      </c>
      <c r="LVO95" s="367" t="e">
        <f>LVL95*LVM95*LVN95</f>
        <v>#DIV/0!</v>
      </c>
      <c r="LVP95" s="363" t="s">
        <v>153</v>
      </c>
      <c r="LVQ95" s="363"/>
      <c r="LVR95" s="363"/>
      <c r="LVS95" s="364" t="s">
        <v>140</v>
      </c>
      <c r="LVT95" s="365">
        <v>0.5</v>
      </c>
      <c r="LVU95" s="366" t="e">
        <f>10/LVQ93</f>
        <v>#DIV/0!</v>
      </c>
      <c r="LVV95" s="367">
        <v>15.38</v>
      </c>
      <c r="LVW95" s="367" t="e">
        <f>LVT95*LVU95*LVV95</f>
        <v>#DIV/0!</v>
      </c>
      <c r="LVX95" s="363" t="s">
        <v>153</v>
      </c>
      <c r="LVY95" s="363"/>
      <c r="LVZ95" s="363"/>
      <c r="LWA95" s="364" t="s">
        <v>140</v>
      </c>
      <c r="LWB95" s="365">
        <v>0.5</v>
      </c>
      <c r="LWC95" s="366" t="e">
        <f>10/LVY93</f>
        <v>#DIV/0!</v>
      </c>
      <c r="LWD95" s="367">
        <v>15.38</v>
      </c>
      <c r="LWE95" s="367" t="e">
        <f>LWB95*LWC95*LWD95</f>
        <v>#DIV/0!</v>
      </c>
      <c r="LWF95" s="363" t="s">
        <v>153</v>
      </c>
      <c r="LWG95" s="363"/>
      <c r="LWH95" s="363"/>
      <c r="LWI95" s="364" t="s">
        <v>140</v>
      </c>
      <c r="LWJ95" s="365">
        <v>0.5</v>
      </c>
      <c r="LWK95" s="366" t="e">
        <f>10/LWG93</f>
        <v>#DIV/0!</v>
      </c>
      <c r="LWL95" s="367">
        <v>15.38</v>
      </c>
      <c r="LWM95" s="367" t="e">
        <f>LWJ95*LWK95*LWL95</f>
        <v>#DIV/0!</v>
      </c>
      <c r="LWN95" s="363" t="s">
        <v>153</v>
      </c>
      <c r="LWO95" s="363"/>
      <c r="LWP95" s="363"/>
      <c r="LWQ95" s="364" t="s">
        <v>140</v>
      </c>
      <c r="LWR95" s="365">
        <v>0.5</v>
      </c>
      <c r="LWS95" s="366" t="e">
        <f>10/LWO93</f>
        <v>#DIV/0!</v>
      </c>
      <c r="LWT95" s="367">
        <v>15.38</v>
      </c>
      <c r="LWU95" s="367" t="e">
        <f>LWR95*LWS95*LWT95</f>
        <v>#DIV/0!</v>
      </c>
      <c r="LWV95" s="363" t="s">
        <v>153</v>
      </c>
      <c r="LWW95" s="363"/>
      <c r="LWX95" s="363"/>
      <c r="LWY95" s="364" t="s">
        <v>140</v>
      </c>
      <c r="LWZ95" s="365">
        <v>0.5</v>
      </c>
      <c r="LXA95" s="366" t="e">
        <f>10/LWW93</f>
        <v>#DIV/0!</v>
      </c>
      <c r="LXB95" s="367">
        <v>15.38</v>
      </c>
      <c r="LXC95" s="367" t="e">
        <f>LWZ95*LXA95*LXB95</f>
        <v>#DIV/0!</v>
      </c>
      <c r="LXD95" s="363" t="s">
        <v>153</v>
      </c>
      <c r="LXE95" s="363"/>
      <c r="LXF95" s="363"/>
      <c r="LXG95" s="364" t="s">
        <v>140</v>
      </c>
      <c r="LXH95" s="365">
        <v>0.5</v>
      </c>
      <c r="LXI95" s="366" t="e">
        <f>10/LXE93</f>
        <v>#DIV/0!</v>
      </c>
      <c r="LXJ95" s="367">
        <v>15.38</v>
      </c>
      <c r="LXK95" s="367" t="e">
        <f>LXH95*LXI95*LXJ95</f>
        <v>#DIV/0!</v>
      </c>
      <c r="LXL95" s="363" t="s">
        <v>153</v>
      </c>
      <c r="LXM95" s="363"/>
      <c r="LXN95" s="363"/>
      <c r="LXO95" s="364" t="s">
        <v>140</v>
      </c>
      <c r="LXP95" s="365">
        <v>0.5</v>
      </c>
      <c r="LXQ95" s="366" t="e">
        <f>10/LXM93</f>
        <v>#DIV/0!</v>
      </c>
      <c r="LXR95" s="367">
        <v>15.38</v>
      </c>
      <c r="LXS95" s="367" t="e">
        <f>LXP95*LXQ95*LXR95</f>
        <v>#DIV/0!</v>
      </c>
      <c r="LXT95" s="363" t="s">
        <v>153</v>
      </c>
      <c r="LXU95" s="363"/>
      <c r="LXV95" s="363"/>
      <c r="LXW95" s="364" t="s">
        <v>140</v>
      </c>
      <c r="LXX95" s="365">
        <v>0.5</v>
      </c>
      <c r="LXY95" s="366" t="e">
        <f>10/LXU93</f>
        <v>#DIV/0!</v>
      </c>
      <c r="LXZ95" s="367">
        <v>15.38</v>
      </c>
      <c r="LYA95" s="367" t="e">
        <f>LXX95*LXY95*LXZ95</f>
        <v>#DIV/0!</v>
      </c>
      <c r="LYB95" s="363" t="s">
        <v>153</v>
      </c>
      <c r="LYC95" s="363"/>
      <c r="LYD95" s="363"/>
      <c r="LYE95" s="364" t="s">
        <v>140</v>
      </c>
      <c r="LYF95" s="365">
        <v>0.5</v>
      </c>
      <c r="LYG95" s="366" t="e">
        <f>10/LYC93</f>
        <v>#DIV/0!</v>
      </c>
      <c r="LYH95" s="367">
        <v>15.38</v>
      </c>
      <c r="LYI95" s="367" t="e">
        <f>LYF95*LYG95*LYH95</f>
        <v>#DIV/0!</v>
      </c>
      <c r="LYJ95" s="363" t="s">
        <v>153</v>
      </c>
      <c r="LYK95" s="363"/>
      <c r="LYL95" s="363"/>
      <c r="LYM95" s="364" t="s">
        <v>140</v>
      </c>
      <c r="LYN95" s="365">
        <v>0.5</v>
      </c>
      <c r="LYO95" s="366" t="e">
        <f>10/LYK93</f>
        <v>#DIV/0!</v>
      </c>
      <c r="LYP95" s="367">
        <v>15.38</v>
      </c>
      <c r="LYQ95" s="367" t="e">
        <f>LYN95*LYO95*LYP95</f>
        <v>#DIV/0!</v>
      </c>
      <c r="LYR95" s="363" t="s">
        <v>153</v>
      </c>
      <c r="LYS95" s="363"/>
      <c r="LYT95" s="363"/>
      <c r="LYU95" s="364" t="s">
        <v>140</v>
      </c>
      <c r="LYV95" s="365">
        <v>0.5</v>
      </c>
      <c r="LYW95" s="366" t="e">
        <f>10/LYS93</f>
        <v>#DIV/0!</v>
      </c>
      <c r="LYX95" s="367">
        <v>15.38</v>
      </c>
      <c r="LYY95" s="367" t="e">
        <f>LYV95*LYW95*LYX95</f>
        <v>#DIV/0!</v>
      </c>
      <c r="LYZ95" s="363" t="s">
        <v>153</v>
      </c>
      <c r="LZA95" s="363"/>
      <c r="LZB95" s="363"/>
      <c r="LZC95" s="364" t="s">
        <v>140</v>
      </c>
      <c r="LZD95" s="365">
        <v>0.5</v>
      </c>
      <c r="LZE95" s="366" t="e">
        <f>10/LZA93</f>
        <v>#DIV/0!</v>
      </c>
      <c r="LZF95" s="367">
        <v>15.38</v>
      </c>
      <c r="LZG95" s="367" t="e">
        <f>LZD95*LZE95*LZF95</f>
        <v>#DIV/0!</v>
      </c>
      <c r="LZH95" s="363" t="s">
        <v>153</v>
      </c>
      <c r="LZI95" s="363"/>
      <c r="LZJ95" s="363"/>
      <c r="LZK95" s="364" t="s">
        <v>140</v>
      </c>
      <c r="LZL95" s="365">
        <v>0.5</v>
      </c>
      <c r="LZM95" s="366" t="e">
        <f>10/LZI93</f>
        <v>#DIV/0!</v>
      </c>
      <c r="LZN95" s="367">
        <v>15.38</v>
      </c>
      <c r="LZO95" s="367" t="e">
        <f>LZL95*LZM95*LZN95</f>
        <v>#DIV/0!</v>
      </c>
      <c r="LZP95" s="363" t="s">
        <v>153</v>
      </c>
      <c r="LZQ95" s="363"/>
      <c r="LZR95" s="363"/>
      <c r="LZS95" s="364" t="s">
        <v>140</v>
      </c>
      <c r="LZT95" s="365">
        <v>0.5</v>
      </c>
      <c r="LZU95" s="366" t="e">
        <f>10/LZQ93</f>
        <v>#DIV/0!</v>
      </c>
      <c r="LZV95" s="367">
        <v>15.38</v>
      </c>
      <c r="LZW95" s="367" t="e">
        <f>LZT95*LZU95*LZV95</f>
        <v>#DIV/0!</v>
      </c>
      <c r="LZX95" s="363" t="s">
        <v>153</v>
      </c>
      <c r="LZY95" s="363"/>
      <c r="LZZ95" s="363"/>
      <c r="MAA95" s="364" t="s">
        <v>140</v>
      </c>
      <c r="MAB95" s="365">
        <v>0.5</v>
      </c>
      <c r="MAC95" s="366" t="e">
        <f>10/LZY93</f>
        <v>#DIV/0!</v>
      </c>
      <c r="MAD95" s="367">
        <v>15.38</v>
      </c>
      <c r="MAE95" s="367" t="e">
        <f>MAB95*MAC95*MAD95</f>
        <v>#DIV/0!</v>
      </c>
      <c r="MAF95" s="363" t="s">
        <v>153</v>
      </c>
      <c r="MAG95" s="363"/>
      <c r="MAH95" s="363"/>
      <c r="MAI95" s="364" t="s">
        <v>140</v>
      </c>
      <c r="MAJ95" s="365">
        <v>0.5</v>
      </c>
      <c r="MAK95" s="366" t="e">
        <f>10/MAG93</f>
        <v>#DIV/0!</v>
      </c>
      <c r="MAL95" s="367">
        <v>15.38</v>
      </c>
      <c r="MAM95" s="367" t="e">
        <f>MAJ95*MAK95*MAL95</f>
        <v>#DIV/0!</v>
      </c>
      <c r="MAN95" s="363" t="s">
        <v>153</v>
      </c>
      <c r="MAO95" s="363"/>
      <c r="MAP95" s="363"/>
      <c r="MAQ95" s="364" t="s">
        <v>140</v>
      </c>
      <c r="MAR95" s="365">
        <v>0.5</v>
      </c>
      <c r="MAS95" s="366" t="e">
        <f>10/MAO93</f>
        <v>#DIV/0!</v>
      </c>
      <c r="MAT95" s="367">
        <v>15.38</v>
      </c>
      <c r="MAU95" s="367" t="e">
        <f>MAR95*MAS95*MAT95</f>
        <v>#DIV/0!</v>
      </c>
      <c r="MAV95" s="363" t="s">
        <v>153</v>
      </c>
      <c r="MAW95" s="363"/>
      <c r="MAX95" s="363"/>
      <c r="MAY95" s="364" t="s">
        <v>140</v>
      </c>
      <c r="MAZ95" s="365">
        <v>0.5</v>
      </c>
      <c r="MBA95" s="366" t="e">
        <f>10/MAW93</f>
        <v>#DIV/0!</v>
      </c>
      <c r="MBB95" s="367">
        <v>15.38</v>
      </c>
      <c r="MBC95" s="367" t="e">
        <f>MAZ95*MBA95*MBB95</f>
        <v>#DIV/0!</v>
      </c>
      <c r="MBD95" s="363" t="s">
        <v>153</v>
      </c>
      <c r="MBE95" s="363"/>
      <c r="MBF95" s="363"/>
      <c r="MBG95" s="364" t="s">
        <v>140</v>
      </c>
      <c r="MBH95" s="365">
        <v>0.5</v>
      </c>
      <c r="MBI95" s="366" t="e">
        <f>10/MBE93</f>
        <v>#DIV/0!</v>
      </c>
      <c r="MBJ95" s="367">
        <v>15.38</v>
      </c>
      <c r="MBK95" s="367" t="e">
        <f>MBH95*MBI95*MBJ95</f>
        <v>#DIV/0!</v>
      </c>
      <c r="MBL95" s="363" t="s">
        <v>153</v>
      </c>
      <c r="MBM95" s="363"/>
      <c r="MBN95" s="363"/>
      <c r="MBO95" s="364" t="s">
        <v>140</v>
      </c>
      <c r="MBP95" s="365">
        <v>0.5</v>
      </c>
      <c r="MBQ95" s="366" t="e">
        <f>10/MBM93</f>
        <v>#DIV/0!</v>
      </c>
      <c r="MBR95" s="367">
        <v>15.38</v>
      </c>
      <c r="MBS95" s="367" t="e">
        <f>MBP95*MBQ95*MBR95</f>
        <v>#DIV/0!</v>
      </c>
      <c r="MBT95" s="363" t="s">
        <v>153</v>
      </c>
      <c r="MBU95" s="363"/>
      <c r="MBV95" s="363"/>
      <c r="MBW95" s="364" t="s">
        <v>140</v>
      </c>
      <c r="MBX95" s="365">
        <v>0.5</v>
      </c>
      <c r="MBY95" s="366" t="e">
        <f>10/MBU93</f>
        <v>#DIV/0!</v>
      </c>
      <c r="MBZ95" s="367">
        <v>15.38</v>
      </c>
      <c r="MCA95" s="367" t="e">
        <f>MBX95*MBY95*MBZ95</f>
        <v>#DIV/0!</v>
      </c>
      <c r="MCB95" s="363" t="s">
        <v>153</v>
      </c>
      <c r="MCC95" s="363"/>
      <c r="MCD95" s="363"/>
      <c r="MCE95" s="364" t="s">
        <v>140</v>
      </c>
      <c r="MCF95" s="365">
        <v>0.5</v>
      </c>
      <c r="MCG95" s="366" t="e">
        <f>10/MCC93</f>
        <v>#DIV/0!</v>
      </c>
      <c r="MCH95" s="367">
        <v>15.38</v>
      </c>
      <c r="MCI95" s="367" t="e">
        <f>MCF95*MCG95*MCH95</f>
        <v>#DIV/0!</v>
      </c>
      <c r="MCJ95" s="363" t="s">
        <v>153</v>
      </c>
      <c r="MCK95" s="363"/>
      <c r="MCL95" s="363"/>
      <c r="MCM95" s="364" t="s">
        <v>140</v>
      </c>
      <c r="MCN95" s="365">
        <v>0.5</v>
      </c>
      <c r="MCO95" s="366" t="e">
        <f>10/MCK93</f>
        <v>#DIV/0!</v>
      </c>
      <c r="MCP95" s="367">
        <v>15.38</v>
      </c>
      <c r="MCQ95" s="367" t="e">
        <f>MCN95*MCO95*MCP95</f>
        <v>#DIV/0!</v>
      </c>
      <c r="MCR95" s="363" t="s">
        <v>153</v>
      </c>
      <c r="MCS95" s="363"/>
      <c r="MCT95" s="363"/>
      <c r="MCU95" s="364" t="s">
        <v>140</v>
      </c>
      <c r="MCV95" s="365">
        <v>0.5</v>
      </c>
      <c r="MCW95" s="366" t="e">
        <f>10/MCS93</f>
        <v>#DIV/0!</v>
      </c>
      <c r="MCX95" s="367">
        <v>15.38</v>
      </c>
      <c r="MCY95" s="367" t="e">
        <f>MCV95*MCW95*MCX95</f>
        <v>#DIV/0!</v>
      </c>
      <c r="MCZ95" s="363" t="s">
        <v>153</v>
      </c>
      <c r="MDA95" s="363"/>
      <c r="MDB95" s="363"/>
      <c r="MDC95" s="364" t="s">
        <v>140</v>
      </c>
      <c r="MDD95" s="365">
        <v>0.5</v>
      </c>
      <c r="MDE95" s="366" t="e">
        <f>10/MDA93</f>
        <v>#DIV/0!</v>
      </c>
      <c r="MDF95" s="367">
        <v>15.38</v>
      </c>
      <c r="MDG95" s="367" t="e">
        <f>MDD95*MDE95*MDF95</f>
        <v>#DIV/0!</v>
      </c>
      <c r="MDH95" s="363" t="s">
        <v>153</v>
      </c>
      <c r="MDI95" s="363"/>
      <c r="MDJ95" s="363"/>
      <c r="MDK95" s="364" t="s">
        <v>140</v>
      </c>
      <c r="MDL95" s="365">
        <v>0.5</v>
      </c>
      <c r="MDM95" s="366" t="e">
        <f>10/MDI93</f>
        <v>#DIV/0!</v>
      </c>
      <c r="MDN95" s="367">
        <v>15.38</v>
      </c>
      <c r="MDO95" s="367" t="e">
        <f>MDL95*MDM95*MDN95</f>
        <v>#DIV/0!</v>
      </c>
      <c r="MDP95" s="363" t="s">
        <v>153</v>
      </c>
      <c r="MDQ95" s="363"/>
      <c r="MDR95" s="363"/>
      <c r="MDS95" s="364" t="s">
        <v>140</v>
      </c>
      <c r="MDT95" s="365">
        <v>0.5</v>
      </c>
      <c r="MDU95" s="366" t="e">
        <f>10/MDQ93</f>
        <v>#DIV/0!</v>
      </c>
      <c r="MDV95" s="367">
        <v>15.38</v>
      </c>
      <c r="MDW95" s="367" t="e">
        <f>MDT95*MDU95*MDV95</f>
        <v>#DIV/0!</v>
      </c>
      <c r="MDX95" s="363" t="s">
        <v>153</v>
      </c>
      <c r="MDY95" s="363"/>
      <c r="MDZ95" s="363"/>
      <c r="MEA95" s="364" t="s">
        <v>140</v>
      </c>
      <c r="MEB95" s="365">
        <v>0.5</v>
      </c>
      <c r="MEC95" s="366" t="e">
        <f>10/MDY93</f>
        <v>#DIV/0!</v>
      </c>
      <c r="MED95" s="367">
        <v>15.38</v>
      </c>
      <c r="MEE95" s="367" t="e">
        <f>MEB95*MEC95*MED95</f>
        <v>#DIV/0!</v>
      </c>
      <c r="MEF95" s="363" t="s">
        <v>153</v>
      </c>
      <c r="MEG95" s="363"/>
      <c r="MEH95" s="363"/>
      <c r="MEI95" s="364" t="s">
        <v>140</v>
      </c>
      <c r="MEJ95" s="365">
        <v>0.5</v>
      </c>
      <c r="MEK95" s="366" t="e">
        <f>10/MEG93</f>
        <v>#DIV/0!</v>
      </c>
      <c r="MEL95" s="367">
        <v>15.38</v>
      </c>
      <c r="MEM95" s="367" t="e">
        <f>MEJ95*MEK95*MEL95</f>
        <v>#DIV/0!</v>
      </c>
      <c r="MEN95" s="363" t="s">
        <v>153</v>
      </c>
      <c r="MEO95" s="363"/>
      <c r="MEP95" s="363"/>
      <c r="MEQ95" s="364" t="s">
        <v>140</v>
      </c>
      <c r="MER95" s="365">
        <v>0.5</v>
      </c>
      <c r="MES95" s="366" t="e">
        <f>10/MEO93</f>
        <v>#DIV/0!</v>
      </c>
      <c r="MET95" s="367">
        <v>15.38</v>
      </c>
      <c r="MEU95" s="367" t="e">
        <f>MER95*MES95*MET95</f>
        <v>#DIV/0!</v>
      </c>
      <c r="MEV95" s="363" t="s">
        <v>153</v>
      </c>
      <c r="MEW95" s="363"/>
      <c r="MEX95" s="363"/>
      <c r="MEY95" s="364" t="s">
        <v>140</v>
      </c>
      <c r="MEZ95" s="365">
        <v>0.5</v>
      </c>
      <c r="MFA95" s="366" t="e">
        <f>10/MEW93</f>
        <v>#DIV/0!</v>
      </c>
      <c r="MFB95" s="367">
        <v>15.38</v>
      </c>
      <c r="MFC95" s="367" t="e">
        <f>MEZ95*MFA95*MFB95</f>
        <v>#DIV/0!</v>
      </c>
      <c r="MFD95" s="363" t="s">
        <v>153</v>
      </c>
      <c r="MFE95" s="363"/>
      <c r="MFF95" s="363"/>
      <c r="MFG95" s="364" t="s">
        <v>140</v>
      </c>
      <c r="MFH95" s="365">
        <v>0.5</v>
      </c>
      <c r="MFI95" s="366" t="e">
        <f>10/MFE93</f>
        <v>#DIV/0!</v>
      </c>
      <c r="MFJ95" s="367">
        <v>15.38</v>
      </c>
      <c r="MFK95" s="367" t="e">
        <f>MFH95*MFI95*MFJ95</f>
        <v>#DIV/0!</v>
      </c>
      <c r="MFL95" s="363" t="s">
        <v>153</v>
      </c>
      <c r="MFM95" s="363"/>
      <c r="MFN95" s="363"/>
      <c r="MFO95" s="364" t="s">
        <v>140</v>
      </c>
      <c r="MFP95" s="365">
        <v>0.5</v>
      </c>
      <c r="MFQ95" s="366" t="e">
        <f>10/MFM93</f>
        <v>#DIV/0!</v>
      </c>
      <c r="MFR95" s="367">
        <v>15.38</v>
      </c>
      <c r="MFS95" s="367" t="e">
        <f>MFP95*MFQ95*MFR95</f>
        <v>#DIV/0!</v>
      </c>
      <c r="MFT95" s="363" t="s">
        <v>153</v>
      </c>
      <c r="MFU95" s="363"/>
      <c r="MFV95" s="363"/>
      <c r="MFW95" s="364" t="s">
        <v>140</v>
      </c>
      <c r="MFX95" s="365">
        <v>0.5</v>
      </c>
      <c r="MFY95" s="366" t="e">
        <f>10/MFU93</f>
        <v>#DIV/0!</v>
      </c>
      <c r="MFZ95" s="367">
        <v>15.38</v>
      </c>
      <c r="MGA95" s="367" t="e">
        <f>MFX95*MFY95*MFZ95</f>
        <v>#DIV/0!</v>
      </c>
      <c r="MGB95" s="363" t="s">
        <v>153</v>
      </c>
      <c r="MGC95" s="363"/>
      <c r="MGD95" s="363"/>
      <c r="MGE95" s="364" t="s">
        <v>140</v>
      </c>
      <c r="MGF95" s="365">
        <v>0.5</v>
      </c>
      <c r="MGG95" s="366" t="e">
        <f>10/MGC93</f>
        <v>#DIV/0!</v>
      </c>
      <c r="MGH95" s="367">
        <v>15.38</v>
      </c>
      <c r="MGI95" s="367" t="e">
        <f>MGF95*MGG95*MGH95</f>
        <v>#DIV/0!</v>
      </c>
      <c r="MGJ95" s="363" t="s">
        <v>153</v>
      </c>
      <c r="MGK95" s="363"/>
      <c r="MGL95" s="363"/>
      <c r="MGM95" s="364" t="s">
        <v>140</v>
      </c>
      <c r="MGN95" s="365">
        <v>0.5</v>
      </c>
      <c r="MGO95" s="366" t="e">
        <f>10/MGK93</f>
        <v>#DIV/0!</v>
      </c>
      <c r="MGP95" s="367">
        <v>15.38</v>
      </c>
      <c r="MGQ95" s="367" t="e">
        <f>MGN95*MGO95*MGP95</f>
        <v>#DIV/0!</v>
      </c>
      <c r="MGR95" s="363" t="s">
        <v>153</v>
      </c>
      <c r="MGS95" s="363"/>
      <c r="MGT95" s="363"/>
      <c r="MGU95" s="364" t="s">
        <v>140</v>
      </c>
      <c r="MGV95" s="365">
        <v>0.5</v>
      </c>
      <c r="MGW95" s="366" t="e">
        <f>10/MGS93</f>
        <v>#DIV/0!</v>
      </c>
      <c r="MGX95" s="367">
        <v>15.38</v>
      </c>
      <c r="MGY95" s="367" t="e">
        <f>MGV95*MGW95*MGX95</f>
        <v>#DIV/0!</v>
      </c>
      <c r="MGZ95" s="363" t="s">
        <v>153</v>
      </c>
      <c r="MHA95" s="363"/>
      <c r="MHB95" s="363"/>
      <c r="MHC95" s="364" t="s">
        <v>140</v>
      </c>
      <c r="MHD95" s="365">
        <v>0.5</v>
      </c>
      <c r="MHE95" s="366" t="e">
        <f>10/MHA93</f>
        <v>#DIV/0!</v>
      </c>
      <c r="MHF95" s="367">
        <v>15.38</v>
      </c>
      <c r="MHG95" s="367" t="e">
        <f>MHD95*MHE95*MHF95</f>
        <v>#DIV/0!</v>
      </c>
      <c r="MHH95" s="363" t="s">
        <v>153</v>
      </c>
      <c r="MHI95" s="363"/>
      <c r="MHJ95" s="363"/>
      <c r="MHK95" s="364" t="s">
        <v>140</v>
      </c>
      <c r="MHL95" s="365">
        <v>0.5</v>
      </c>
      <c r="MHM95" s="366" t="e">
        <f>10/MHI93</f>
        <v>#DIV/0!</v>
      </c>
      <c r="MHN95" s="367">
        <v>15.38</v>
      </c>
      <c r="MHO95" s="367" t="e">
        <f>MHL95*MHM95*MHN95</f>
        <v>#DIV/0!</v>
      </c>
      <c r="MHP95" s="363" t="s">
        <v>153</v>
      </c>
      <c r="MHQ95" s="363"/>
      <c r="MHR95" s="363"/>
      <c r="MHS95" s="364" t="s">
        <v>140</v>
      </c>
      <c r="MHT95" s="365">
        <v>0.5</v>
      </c>
      <c r="MHU95" s="366" t="e">
        <f>10/MHQ93</f>
        <v>#DIV/0!</v>
      </c>
      <c r="MHV95" s="367">
        <v>15.38</v>
      </c>
      <c r="MHW95" s="367" t="e">
        <f>MHT95*MHU95*MHV95</f>
        <v>#DIV/0!</v>
      </c>
      <c r="MHX95" s="363" t="s">
        <v>153</v>
      </c>
      <c r="MHY95" s="363"/>
      <c r="MHZ95" s="363"/>
      <c r="MIA95" s="364" t="s">
        <v>140</v>
      </c>
      <c r="MIB95" s="365">
        <v>0.5</v>
      </c>
      <c r="MIC95" s="366" t="e">
        <f>10/MHY93</f>
        <v>#DIV/0!</v>
      </c>
      <c r="MID95" s="367">
        <v>15.38</v>
      </c>
      <c r="MIE95" s="367" t="e">
        <f>MIB95*MIC95*MID95</f>
        <v>#DIV/0!</v>
      </c>
      <c r="MIF95" s="363" t="s">
        <v>153</v>
      </c>
      <c r="MIG95" s="363"/>
      <c r="MIH95" s="363"/>
      <c r="MII95" s="364" t="s">
        <v>140</v>
      </c>
      <c r="MIJ95" s="365">
        <v>0.5</v>
      </c>
      <c r="MIK95" s="366" t="e">
        <f>10/MIG93</f>
        <v>#DIV/0!</v>
      </c>
      <c r="MIL95" s="367">
        <v>15.38</v>
      </c>
      <c r="MIM95" s="367" t="e">
        <f>MIJ95*MIK95*MIL95</f>
        <v>#DIV/0!</v>
      </c>
      <c r="MIN95" s="363" t="s">
        <v>153</v>
      </c>
      <c r="MIO95" s="363"/>
      <c r="MIP95" s="363"/>
      <c r="MIQ95" s="364" t="s">
        <v>140</v>
      </c>
      <c r="MIR95" s="365">
        <v>0.5</v>
      </c>
      <c r="MIS95" s="366" t="e">
        <f>10/MIO93</f>
        <v>#DIV/0!</v>
      </c>
      <c r="MIT95" s="367">
        <v>15.38</v>
      </c>
      <c r="MIU95" s="367" t="e">
        <f>MIR95*MIS95*MIT95</f>
        <v>#DIV/0!</v>
      </c>
      <c r="MIV95" s="363" t="s">
        <v>153</v>
      </c>
      <c r="MIW95" s="363"/>
      <c r="MIX95" s="363"/>
      <c r="MIY95" s="364" t="s">
        <v>140</v>
      </c>
      <c r="MIZ95" s="365">
        <v>0.5</v>
      </c>
      <c r="MJA95" s="366" t="e">
        <f>10/MIW93</f>
        <v>#DIV/0!</v>
      </c>
      <c r="MJB95" s="367">
        <v>15.38</v>
      </c>
      <c r="MJC95" s="367" t="e">
        <f>MIZ95*MJA95*MJB95</f>
        <v>#DIV/0!</v>
      </c>
      <c r="MJD95" s="363" t="s">
        <v>153</v>
      </c>
      <c r="MJE95" s="363"/>
      <c r="MJF95" s="363"/>
      <c r="MJG95" s="364" t="s">
        <v>140</v>
      </c>
      <c r="MJH95" s="365">
        <v>0.5</v>
      </c>
      <c r="MJI95" s="366" t="e">
        <f>10/MJE93</f>
        <v>#DIV/0!</v>
      </c>
      <c r="MJJ95" s="367">
        <v>15.38</v>
      </c>
      <c r="MJK95" s="367" t="e">
        <f>MJH95*MJI95*MJJ95</f>
        <v>#DIV/0!</v>
      </c>
      <c r="MJL95" s="363" t="s">
        <v>153</v>
      </c>
      <c r="MJM95" s="363"/>
      <c r="MJN95" s="363"/>
      <c r="MJO95" s="364" t="s">
        <v>140</v>
      </c>
      <c r="MJP95" s="365">
        <v>0.5</v>
      </c>
      <c r="MJQ95" s="366" t="e">
        <f>10/MJM93</f>
        <v>#DIV/0!</v>
      </c>
      <c r="MJR95" s="367">
        <v>15.38</v>
      </c>
      <c r="MJS95" s="367" t="e">
        <f>MJP95*MJQ95*MJR95</f>
        <v>#DIV/0!</v>
      </c>
      <c r="MJT95" s="363" t="s">
        <v>153</v>
      </c>
      <c r="MJU95" s="363"/>
      <c r="MJV95" s="363"/>
      <c r="MJW95" s="364" t="s">
        <v>140</v>
      </c>
      <c r="MJX95" s="365">
        <v>0.5</v>
      </c>
      <c r="MJY95" s="366" t="e">
        <f>10/MJU93</f>
        <v>#DIV/0!</v>
      </c>
      <c r="MJZ95" s="367">
        <v>15.38</v>
      </c>
      <c r="MKA95" s="367" t="e">
        <f>MJX95*MJY95*MJZ95</f>
        <v>#DIV/0!</v>
      </c>
      <c r="MKB95" s="363" t="s">
        <v>153</v>
      </c>
      <c r="MKC95" s="363"/>
      <c r="MKD95" s="363"/>
      <c r="MKE95" s="364" t="s">
        <v>140</v>
      </c>
      <c r="MKF95" s="365">
        <v>0.5</v>
      </c>
      <c r="MKG95" s="366" t="e">
        <f>10/MKC93</f>
        <v>#DIV/0!</v>
      </c>
      <c r="MKH95" s="367">
        <v>15.38</v>
      </c>
      <c r="MKI95" s="367" t="e">
        <f>MKF95*MKG95*MKH95</f>
        <v>#DIV/0!</v>
      </c>
      <c r="MKJ95" s="363" t="s">
        <v>153</v>
      </c>
      <c r="MKK95" s="363"/>
      <c r="MKL95" s="363"/>
      <c r="MKM95" s="364" t="s">
        <v>140</v>
      </c>
      <c r="MKN95" s="365">
        <v>0.5</v>
      </c>
      <c r="MKO95" s="366" t="e">
        <f>10/MKK93</f>
        <v>#DIV/0!</v>
      </c>
      <c r="MKP95" s="367">
        <v>15.38</v>
      </c>
      <c r="MKQ95" s="367" t="e">
        <f>MKN95*MKO95*MKP95</f>
        <v>#DIV/0!</v>
      </c>
      <c r="MKR95" s="363" t="s">
        <v>153</v>
      </c>
      <c r="MKS95" s="363"/>
      <c r="MKT95" s="363"/>
      <c r="MKU95" s="364" t="s">
        <v>140</v>
      </c>
      <c r="MKV95" s="365">
        <v>0.5</v>
      </c>
      <c r="MKW95" s="366" t="e">
        <f>10/MKS93</f>
        <v>#DIV/0!</v>
      </c>
      <c r="MKX95" s="367">
        <v>15.38</v>
      </c>
      <c r="MKY95" s="367" t="e">
        <f>MKV95*MKW95*MKX95</f>
        <v>#DIV/0!</v>
      </c>
      <c r="MKZ95" s="363" t="s">
        <v>153</v>
      </c>
      <c r="MLA95" s="363"/>
      <c r="MLB95" s="363"/>
      <c r="MLC95" s="364" t="s">
        <v>140</v>
      </c>
      <c r="MLD95" s="365">
        <v>0.5</v>
      </c>
      <c r="MLE95" s="366" t="e">
        <f>10/MLA93</f>
        <v>#DIV/0!</v>
      </c>
      <c r="MLF95" s="367">
        <v>15.38</v>
      </c>
      <c r="MLG95" s="367" t="e">
        <f>MLD95*MLE95*MLF95</f>
        <v>#DIV/0!</v>
      </c>
      <c r="MLH95" s="363" t="s">
        <v>153</v>
      </c>
      <c r="MLI95" s="363"/>
      <c r="MLJ95" s="363"/>
      <c r="MLK95" s="364" t="s">
        <v>140</v>
      </c>
      <c r="MLL95" s="365">
        <v>0.5</v>
      </c>
      <c r="MLM95" s="366" t="e">
        <f>10/MLI93</f>
        <v>#DIV/0!</v>
      </c>
      <c r="MLN95" s="367">
        <v>15.38</v>
      </c>
      <c r="MLO95" s="367" t="e">
        <f>MLL95*MLM95*MLN95</f>
        <v>#DIV/0!</v>
      </c>
      <c r="MLP95" s="363" t="s">
        <v>153</v>
      </c>
      <c r="MLQ95" s="363"/>
      <c r="MLR95" s="363"/>
      <c r="MLS95" s="364" t="s">
        <v>140</v>
      </c>
      <c r="MLT95" s="365">
        <v>0.5</v>
      </c>
      <c r="MLU95" s="366" t="e">
        <f>10/MLQ93</f>
        <v>#DIV/0!</v>
      </c>
      <c r="MLV95" s="367">
        <v>15.38</v>
      </c>
      <c r="MLW95" s="367" t="e">
        <f>MLT95*MLU95*MLV95</f>
        <v>#DIV/0!</v>
      </c>
      <c r="MLX95" s="363" t="s">
        <v>153</v>
      </c>
      <c r="MLY95" s="363"/>
      <c r="MLZ95" s="363"/>
      <c r="MMA95" s="364" t="s">
        <v>140</v>
      </c>
      <c r="MMB95" s="365">
        <v>0.5</v>
      </c>
      <c r="MMC95" s="366" t="e">
        <f>10/MLY93</f>
        <v>#DIV/0!</v>
      </c>
      <c r="MMD95" s="367">
        <v>15.38</v>
      </c>
      <c r="MME95" s="367" t="e">
        <f>MMB95*MMC95*MMD95</f>
        <v>#DIV/0!</v>
      </c>
      <c r="MMF95" s="363" t="s">
        <v>153</v>
      </c>
      <c r="MMG95" s="363"/>
      <c r="MMH95" s="363"/>
      <c r="MMI95" s="364" t="s">
        <v>140</v>
      </c>
      <c r="MMJ95" s="365">
        <v>0.5</v>
      </c>
      <c r="MMK95" s="366" t="e">
        <f>10/MMG93</f>
        <v>#DIV/0!</v>
      </c>
      <c r="MML95" s="367">
        <v>15.38</v>
      </c>
      <c r="MMM95" s="367" t="e">
        <f>MMJ95*MMK95*MML95</f>
        <v>#DIV/0!</v>
      </c>
      <c r="MMN95" s="363" t="s">
        <v>153</v>
      </c>
      <c r="MMO95" s="363"/>
      <c r="MMP95" s="363"/>
      <c r="MMQ95" s="364" t="s">
        <v>140</v>
      </c>
      <c r="MMR95" s="365">
        <v>0.5</v>
      </c>
      <c r="MMS95" s="366" t="e">
        <f>10/MMO93</f>
        <v>#DIV/0!</v>
      </c>
      <c r="MMT95" s="367">
        <v>15.38</v>
      </c>
      <c r="MMU95" s="367" t="e">
        <f>MMR95*MMS95*MMT95</f>
        <v>#DIV/0!</v>
      </c>
      <c r="MMV95" s="363" t="s">
        <v>153</v>
      </c>
      <c r="MMW95" s="363"/>
      <c r="MMX95" s="363"/>
      <c r="MMY95" s="364" t="s">
        <v>140</v>
      </c>
      <c r="MMZ95" s="365">
        <v>0.5</v>
      </c>
      <c r="MNA95" s="366" t="e">
        <f>10/MMW93</f>
        <v>#DIV/0!</v>
      </c>
      <c r="MNB95" s="367">
        <v>15.38</v>
      </c>
      <c r="MNC95" s="367" t="e">
        <f>MMZ95*MNA95*MNB95</f>
        <v>#DIV/0!</v>
      </c>
      <c r="MND95" s="363" t="s">
        <v>153</v>
      </c>
      <c r="MNE95" s="363"/>
      <c r="MNF95" s="363"/>
      <c r="MNG95" s="364" t="s">
        <v>140</v>
      </c>
      <c r="MNH95" s="365">
        <v>0.5</v>
      </c>
      <c r="MNI95" s="366" t="e">
        <f>10/MNE93</f>
        <v>#DIV/0!</v>
      </c>
      <c r="MNJ95" s="367">
        <v>15.38</v>
      </c>
      <c r="MNK95" s="367" t="e">
        <f>MNH95*MNI95*MNJ95</f>
        <v>#DIV/0!</v>
      </c>
      <c r="MNL95" s="363" t="s">
        <v>153</v>
      </c>
      <c r="MNM95" s="363"/>
      <c r="MNN95" s="363"/>
      <c r="MNO95" s="364" t="s">
        <v>140</v>
      </c>
      <c r="MNP95" s="365">
        <v>0.5</v>
      </c>
      <c r="MNQ95" s="366" t="e">
        <f>10/MNM93</f>
        <v>#DIV/0!</v>
      </c>
      <c r="MNR95" s="367">
        <v>15.38</v>
      </c>
      <c r="MNS95" s="367" t="e">
        <f>MNP95*MNQ95*MNR95</f>
        <v>#DIV/0!</v>
      </c>
      <c r="MNT95" s="363" t="s">
        <v>153</v>
      </c>
      <c r="MNU95" s="363"/>
      <c r="MNV95" s="363"/>
      <c r="MNW95" s="364" t="s">
        <v>140</v>
      </c>
      <c r="MNX95" s="365">
        <v>0.5</v>
      </c>
      <c r="MNY95" s="366" t="e">
        <f>10/MNU93</f>
        <v>#DIV/0!</v>
      </c>
      <c r="MNZ95" s="367">
        <v>15.38</v>
      </c>
      <c r="MOA95" s="367" t="e">
        <f>MNX95*MNY95*MNZ95</f>
        <v>#DIV/0!</v>
      </c>
      <c r="MOB95" s="363" t="s">
        <v>153</v>
      </c>
      <c r="MOC95" s="363"/>
      <c r="MOD95" s="363"/>
      <c r="MOE95" s="364" t="s">
        <v>140</v>
      </c>
      <c r="MOF95" s="365">
        <v>0.5</v>
      </c>
      <c r="MOG95" s="366" t="e">
        <f>10/MOC93</f>
        <v>#DIV/0!</v>
      </c>
      <c r="MOH95" s="367">
        <v>15.38</v>
      </c>
      <c r="MOI95" s="367" t="e">
        <f>MOF95*MOG95*MOH95</f>
        <v>#DIV/0!</v>
      </c>
      <c r="MOJ95" s="363" t="s">
        <v>153</v>
      </c>
      <c r="MOK95" s="363"/>
      <c r="MOL95" s="363"/>
      <c r="MOM95" s="364" t="s">
        <v>140</v>
      </c>
      <c r="MON95" s="365">
        <v>0.5</v>
      </c>
      <c r="MOO95" s="366" t="e">
        <f>10/MOK93</f>
        <v>#DIV/0!</v>
      </c>
      <c r="MOP95" s="367">
        <v>15.38</v>
      </c>
      <c r="MOQ95" s="367" t="e">
        <f>MON95*MOO95*MOP95</f>
        <v>#DIV/0!</v>
      </c>
      <c r="MOR95" s="363" t="s">
        <v>153</v>
      </c>
      <c r="MOS95" s="363"/>
      <c r="MOT95" s="363"/>
      <c r="MOU95" s="364" t="s">
        <v>140</v>
      </c>
      <c r="MOV95" s="365">
        <v>0.5</v>
      </c>
      <c r="MOW95" s="366" t="e">
        <f>10/MOS93</f>
        <v>#DIV/0!</v>
      </c>
      <c r="MOX95" s="367">
        <v>15.38</v>
      </c>
      <c r="MOY95" s="367" t="e">
        <f>MOV95*MOW95*MOX95</f>
        <v>#DIV/0!</v>
      </c>
      <c r="MOZ95" s="363" t="s">
        <v>153</v>
      </c>
      <c r="MPA95" s="363"/>
      <c r="MPB95" s="363"/>
      <c r="MPC95" s="364" t="s">
        <v>140</v>
      </c>
      <c r="MPD95" s="365">
        <v>0.5</v>
      </c>
      <c r="MPE95" s="366" t="e">
        <f>10/MPA93</f>
        <v>#DIV/0!</v>
      </c>
      <c r="MPF95" s="367">
        <v>15.38</v>
      </c>
      <c r="MPG95" s="367" t="e">
        <f>MPD95*MPE95*MPF95</f>
        <v>#DIV/0!</v>
      </c>
      <c r="MPH95" s="363" t="s">
        <v>153</v>
      </c>
      <c r="MPI95" s="363"/>
      <c r="MPJ95" s="363"/>
      <c r="MPK95" s="364" t="s">
        <v>140</v>
      </c>
      <c r="MPL95" s="365">
        <v>0.5</v>
      </c>
      <c r="MPM95" s="366" t="e">
        <f>10/MPI93</f>
        <v>#DIV/0!</v>
      </c>
      <c r="MPN95" s="367">
        <v>15.38</v>
      </c>
      <c r="MPO95" s="367" t="e">
        <f>MPL95*MPM95*MPN95</f>
        <v>#DIV/0!</v>
      </c>
      <c r="MPP95" s="363" t="s">
        <v>153</v>
      </c>
      <c r="MPQ95" s="363"/>
      <c r="MPR95" s="363"/>
      <c r="MPS95" s="364" t="s">
        <v>140</v>
      </c>
      <c r="MPT95" s="365">
        <v>0.5</v>
      </c>
      <c r="MPU95" s="366" t="e">
        <f>10/MPQ93</f>
        <v>#DIV/0!</v>
      </c>
      <c r="MPV95" s="367">
        <v>15.38</v>
      </c>
      <c r="MPW95" s="367" t="e">
        <f>MPT95*MPU95*MPV95</f>
        <v>#DIV/0!</v>
      </c>
      <c r="MPX95" s="363" t="s">
        <v>153</v>
      </c>
      <c r="MPY95" s="363"/>
      <c r="MPZ95" s="363"/>
      <c r="MQA95" s="364" t="s">
        <v>140</v>
      </c>
      <c r="MQB95" s="365">
        <v>0.5</v>
      </c>
      <c r="MQC95" s="366" t="e">
        <f>10/MPY93</f>
        <v>#DIV/0!</v>
      </c>
      <c r="MQD95" s="367">
        <v>15.38</v>
      </c>
      <c r="MQE95" s="367" t="e">
        <f>MQB95*MQC95*MQD95</f>
        <v>#DIV/0!</v>
      </c>
      <c r="MQF95" s="363" t="s">
        <v>153</v>
      </c>
      <c r="MQG95" s="363"/>
      <c r="MQH95" s="363"/>
      <c r="MQI95" s="364" t="s">
        <v>140</v>
      </c>
      <c r="MQJ95" s="365">
        <v>0.5</v>
      </c>
      <c r="MQK95" s="366" t="e">
        <f>10/MQG93</f>
        <v>#DIV/0!</v>
      </c>
      <c r="MQL95" s="367">
        <v>15.38</v>
      </c>
      <c r="MQM95" s="367" t="e">
        <f>MQJ95*MQK95*MQL95</f>
        <v>#DIV/0!</v>
      </c>
      <c r="MQN95" s="363" t="s">
        <v>153</v>
      </c>
      <c r="MQO95" s="363"/>
      <c r="MQP95" s="363"/>
      <c r="MQQ95" s="364" t="s">
        <v>140</v>
      </c>
      <c r="MQR95" s="365">
        <v>0.5</v>
      </c>
      <c r="MQS95" s="366" t="e">
        <f>10/MQO93</f>
        <v>#DIV/0!</v>
      </c>
      <c r="MQT95" s="367">
        <v>15.38</v>
      </c>
      <c r="MQU95" s="367" t="e">
        <f>MQR95*MQS95*MQT95</f>
        <v>#DIV/0!</v>
      </c>
      <c r="MQV95" s="363" t="s">
        <v>153</v>
      </c>
      <c r="MQW95" s="363"/>
      <c r="MQX95" s="363"/>
      <c r="MQY95" s="364" t="s">
        <v>140</v>
      </c>
      <c r="MQZ95" s="365">
        <v>0.5</v>
      </c>
      <c r="MRA95" s="366" t="e">
        <f>10/MQW93</f>
        <v>#DIV/0!</v>
      </c>
      <c r="MRB95" s="367">
        <v>15.38</v>
      </c>
      <c r="MRC95" s="367" t="e">
        <f>MQZ95*MRA95*MRB95</f>
        <v>#DIV/0!</v>
      </c>
      <c r="MRD95" s="363" t="s">
        <v>153</v>
      </c>
      <c r="MRE95" s="363"/>
      <c r="MRF95" s="363"/>
      <c r="MRG95" s="364" t="s">
        <v>140</v>
      </c>
      <c r="MRH95" s="365">
        <v>0.5</v>
      </c>
      <c r="MRI95" s="366" t="e">
        <f>10/MRE93</f>
        <v>#DIV/0!</v>
      </c>
      <c r="MRJ95" s="367">
        <v>15.38</v>
      </c>
      <c r="MRK95" s="367" t="e">
        <f>MRH95*MRI95*MRJ95</f>
        <v>#DIV/0!</v>
      </c>
      <c r="MRL95" s="363" t="s">
        <v>153</v>
      </c>
      <c r="MRM95" s="363"/>
      <c r="MRN95" s="363"/>
      <c r="MRO95" s="364" t="s">
        <v>140</v>
      </c>
      <c r="MRP95" s="365">
        <v>0.5</v>
      </c>
      <c r="MRQ95" s="366" t="e">
        <f>10/MRM93</f>
        <v>#DIV/0!</v>
      </c>
      <c r="MRR95" s="367">
        <v>15.38</v>
      </c>
      <c r="MRS95" s="367" t="e">
        <f>MRP95*MRQ95*MRR95</f>
        <v>#DIV/0!</v>
      </c>
      <c r="MRT95" s="363" t="s">
        <v>153</v>
      </c>
      <c r="MRU95" s="363"/>
      <c r="MRV95" s="363"/>
      <c r="MRW95" s="364" t="s">
        <v>140</v>
      </c>
      <c r="MRX95" s="365">
        <v>0.5</v>
      </c>
      <c r="MRY95" s="366" t="e">
        <f>10/MRU93</f>
        <v>#DIV/0!</v>
      </c>
      <c r="MRZ95" s="367">
        <v>15.38</v>
      </c>
      <c r="MSA95" s="367" t="e">
        <f>MRX95*MRY95*MRZ95</f>
        <v>#DIV/0!</v>
      </c>
      <c r="MSB95" s="363" t="s">
        <v>153</v>
      </c>
      <c r="MSC95" s="363"/>
      <c r="MSD95" s="363"/>
      <c r="MSE95" s="364" t="s">
        <v>140</v>
      </c>
      <c r="MSF95" s="365">
        <v>0.5</v>
      </c>
      <c r="MSG95" s="366" t="e">
        <f>10/MSC93</f>
        <v>#DIV/0!</v>
      </c>
      <c r="MSH95" s="367">
        <v>15.38</v>
      </c>
      <c r="MSI95" s="367" t="e">
        <f>MSF95*MSG95*MSH95</f>
        <v>#DIV/0!</v>
      </c>
      <c r="MSJ95" s="363" t="s">
        <v>153</v>
      </c>
      <c r="MSK95" s="363"/>
      <c r="MSL95" s="363"/>
      <c r="MSM95" s="364" t="s">
        <v>140</v>
      </c>
      <c r="MSN95" s="365">
        <v>0.5</v>
      </c>
      <c r="MSO95" s="366" t="e">
        <f>10/MSK93</f>
        <v>#DIV/0!</v>
      </c>
      <c r="MSP95" s="367">
        <v>15.38</v>
      </c>
      <c r="MSQ95" s="367" t="e">
        <f>MSN95*MSO95*MSP95</f>
        <v>#DIV/0!</v>
      </c>
      <c r="MSR95" s="363" t="s">
        <v>153</v>
      </c>
      <c r="MSS95" s="363"/>
      <c r="MST95" s="363"/>
      <c r="MSU95" s="364" t="s">
        <v>140</v>
      </c>
      <c r="MSV95" s="365">
        <v>0.5</v>
      </c>
      <c r="MSW95" s="366" t="e">
        <f>10/MSS93</f>
        <v>#DIV/0!</v>
      </c>
      <c r="MSX95" s="367">
        <v>15.38</v>
      </c>
      <c r="MSY95" s="367" t="e">
        <f>MSV95*MSW95*MSX95</f>
        <v>#DIV/0!</v>
      </c>
      <c r="MSZ95" s="363" t="s">
        <v>153</v>
      </c>
      <c r="MTA95" s="363"/>
      <c r="MTB95" s="363"/>
      <c r="MTC95" s="364" t="s">
        <v>140</v>
      </c>
      <c r="MTD95" s="365">
        <v>0.5</v>
      </c>
      <c r="MTE95" s="366" t="e">
        <f>10/MTA93</f>
        <v>#DIV/0!</v>
      </c>
      <c r="MTF95" s="367">
        <v>15.38</v>
      </c>
      <c r="MTG95" s="367" t="e">
        <f>MTD95*MTE95*MTF95</f>
        <v>#DIV/0!</v>
      </c>
      <c r="MTH95" s="363" t="s">
        <v>153</v>
      </c>
      <c r="MTI95" s="363"/>
      <c r="MTJ95" s="363"/>
      <c r="MTK95" s="364" t="s">
        <v>140</v>
      </c>
      <c r="MTL95" s="365">
        <v>0.5</v>
      </c>
      <c r="MTM95" s="366" t="e">
        <f>10/MTI93</f>
        <v>#DIV/0!</v>
      </c>
      <c r="MTN95" s="367">
        <v>15.38</v>
      </c>
      <c r="MTO95" s="367" t="e">
        <f>MTL95*MTM95*MTN95</f>
        <v>#DIV/0!</v>
      </c>
      <c r="MTP95" s="363" t="s">
        <v>153</v>
      </c>
      <c r="MTQ95" s="363"/>
      <c r="MTR95" s="363"/>
      <c r="MTS95" s="364" t="s">
        <v>140</v>
      </c>
      <c r="MTT95" s="365">
        <v>0.5</v>
      </c>
      <c r="MTU95" s="366" t="e">
        <f>10/MTQ93</f>
        <v>#DIV/0!</v>
      </c>
      <c r="MTV95" s="367">
        <v>15.38</v>
      </c>
      <c r="MTW95" s="367" t="e">
        <f>MTT95*MTU95*MTV95</f>
        <v>#DIV/0!</v>
      </c>
      <c r="MTX95" s="363" t="s">
        <v>153</v>
      </c>
      <c r="MTY95" s="363"/>
      <c r="MTZ95" s="363"/>
      <c r="MUA95" s="364" t="s">
        <v>140</v>
      </c>
      <c r="MUB95" s="365">
        <v>0.5</v>
      </c>
      <c r="MUC95" s="366" t="e">
        <f>10/MTY93</f>
        <v>#DIV/0!</v>
      </c>
      <c r="MUD95" s="367">
        <v>15.38</v>
      </c>
      <c r="MUE95" s="367" t="e">
        <f>MUB95*MUC95*MUD95</f>
        <v>#DIV/0!</v>
      </c>
      <c r="MUF95" s="363" t="s">
        <v>153</v>
      </c>
      <c r="MUG95" s="363"/>
      <c r="MUH95" s="363"/>
      <c r="MUI95" s="364" t="s">
        <v>140</v>
      </c>
      <c r="MUJ95" s="365">
        <v>0.5</v>
      </c>
      <c r="MUK95" s="366" t="e">
        <f>10/MUG93</f>
        <v>#DIV/0!</v>
      </c>
      <c r="MUL95" s="367">
        <v>15.38</v>
      </c>
      <c r="MUM95" s="367" t="e">
        <f>MUJ95*MUK95*MUL95</f>
        <v>#DIV/0!</v>
      </c>
      <c r="MUN95" s="363" t="s">
        <v>153</v>
      </c>
      <c r="MUO95" s="363"/>
      <c r="MUP95" s="363"/>
      <c r="MUQ95" s="364" t="s">
        <v>140</v>
      </c>
      <c r="MUR95" s="365">
        <v>0.5</v>
      </c>
      <c r="MUS95" s="366" t="e">
        <f>10/MUO93</f>
        <v>#DIV/0!</v>
      </c>
      <c r="MUT95" s="367">
        <v>15.38</v>
      </c>
      <c r="MUU95" s="367" t="e">
        <f>MUR95*MUS95*MUT95</f>
        <v>#DIV/0!</v>
      </c>
      <c r="MUV95" s="363" t="s">
        <v>153</v>
      </c>
      <c r="MUW95" s="363"/>
      <c r="MUX95" s="363"/>
      <c r="MUY95" s="364" t="s">
        <v>140</v>
      </c>
      <c r="MUZ95" s="365">
        <v>0.5</v>
      </c>
      <c r="MVA95" s="366" t="e">
        <f>10/MUW93</f>
        <v>#DIV/0!</v>
      </c>
      <c r="MVB95" s="367">
        <v>15.38</v>
      </c>
      <c r="MVC95" s="367" t="e">
        <f>MUZ95*MVA95*MVB95</f>
        <v>#DIV/0!</v>
      </c>
      <c r="MVD95" s="363" t="s">
        <v>153</v>
      </c>
      <c r="MVE95" s="363"/>
      <c r="MVF95" s="363"/>
      <c r="MVG95" s="364" t="s">
        <v>140</v>
      </c>
      <c r="MVH95" s="365">
        <v>0.5</v>
      </c>
      <c r="MVI95" s="366" t="e">
        <f>10/MVE93</f>
        <v>#DIV/0!</v>
      </c>
      <c r="MVJ95" s="367">
        <v>15.38</v>
      </c>
      <c r="MVK95" s="367" t="e">
        <f>MVH95*MVI95*MVJ95</f>
        <v>#DIV/0!</v>
      </c>
      <c r="MVL95" s="363" t="s">
        <v>153</v>
      </c>
      <c r="MVM95" s="363"/>
      <c r="MVN95" s="363"/>
      <c r="MVO95" s="364" t="s">
        <v>140</v>
      </c>
      <c r="MVP95" s="365">
        <v>0.5</v>
      </c>
      <c r="MVQ95" s="366" t="e">
        <f>10/MVM93</f>
        <v>#DIV/0!</v>
      </c>
      <c r="MVR95" s="367">
        <v>15.38</v>
      </c>
      <c r="MVS95" s="367" t="e">
        <f>MVP95*MVQ95*MVR95</f>
        <v>#DIV/0!</v>
      </c>
      <c r="MVT95" s="363" t="s">
        <v>153</v>
      </c>
      <c r="MVU95" s="363"/>
      <c r="MVV95" s="363"/>
      <c r="MVW95" s="364" t="s">
        <v>140</v>
      </c>
      <c r="MVX95" s="365">
        <v>0.5</v>
      </c>
      <c r="MVY95" s="366" t="e">
        <f>10/MVU93</f>
        <v>#DIV/0!</v>
      </c>
      <c r="MVZ95" s="367">
        <v>15.38</v>
      </c>
      <c r="MWA95" s="367" t="e">
        <f>MVX95*MVY95*MVZ95</f>
        <v>#DIV/0!</v>
      </c>
      <c r="MWB95" s="363" t="s">
        <v>153</v>
      </c>
      <c r="MWC95" s="363"/>
      <c r="MWD95" s="363"/>
      <c r="MWE95" s="364" t="s">
        <v>140</v>
      </c>
      <c r="MWF95" s="365">
        <v>0.5</v>
      </c>
      <c r="MWG95" s="366" t="e">
        <f>10/MWC93</f>
        <v>#DIV/0!</v>
      </c>
      <c r="MWH95" s="367">
        <v>15.38</v>
      </c>
      <c r="MWI95" s="367" t="e">
        <f>MWF95*MWG95*MWH95</f>
        <v>#DIV/0!</v>
      </c>
      <c r="MWJ95" s="363" t="s">
        <v>153</v>
      </c>
      <c r="MWK95" s="363"/>
      <c r="MWL95" s="363"/>
      <c r="MWM95" s="364" t="s">
        <v>140</v>
      </c>
      <c r="MWN95" s="365">
        <v>0.5</v>
      </c>
      <c r="MWO95" s="366" t="e">
        <f>10/MWK93</f>
        <v>#DIV/0!</v>
      </c>
      <c r="MWP95" s="367">
        <v>15.38</v>
      </c>
      <c r="MWQ95" s="367" t="e">
        <f>MWN95*MWO95*MWP95</f>
        <v>#DIV/0!</v>
      </c>
      <c r="MWR95" s="363" t="s">
        <v>153</v>
      </c>
      <c r="MWS95" s="363"/>
      <c r="MWT95" s="363"/>
      <c r="MWU95" s="364" t="s">
        <v>140</v>
      </c>
      <c r="MWV95" s="365">
        <v>0.5</v>
      </c>
      <c r="MWW95" s="366" t="e">
        <f>10/MWS93</f>
        <v>#DIV/0!</v>
      </c>
      <c r="MWX95" s="367">
        <v>15.38</v>
      </c>
      <c r="MWY95" s="367" t="e">
        <f>MWV95*MWW95*MWX95</f>
        <v>#DIV/0!</v>
      </c>
      <c r="MWZ95" s="363" t="s">
        <v>153</v>
      </c>
      <c r="MXA95" s="363"/>
      <c r="MXB95" s="363"/>
      <c r="MXC95" s="364" t="s">
        <v>140</v>
      </c>
      <c r="MXD95" s="365">
        <v>0.5</v>
      </c>
      <c r="MXE95" s="366" t="e">
        <f>10/MXA93</f>
        <v>#DIV/0!</v>
      </c>
      <c r="MXF95" s="367">
        <v>15.38</v>
      </c>
      <c r="MXG95" s="367" t="e">
        <f>MXD95*MXE95*MXF95</f>
        <v>#DIV/0!</v>
      </c>
      <c r="MXH95" s="363" t="s">
        <v>153</v>
      </c>
      <c r="MXI95" s="363"/>
      <c r="MXJ95" s="363"/>
      <c r="MXK95" s="364" t="s">
        <v>140</v>
      </c>
      <c r="MXL95" s="365">
        <v>0.5</v>
      </c>
      <c r="MXM95" s="366" t="e">
        <f>10/MXI93</f>
        <v>#DIV/0!</v>
      </c>
      <c r="MXN95" s="367">
        <v>15.38</v>
      </c>
      <c r="MXO95" s="367" t="e">
        <f>MXL95*MXM95*MXN95</f>
        <v>#DIV/0!</v>
      </c>
      <c r="MXP95" s="363" t="s">
        <v>153</v>
      </c>
      <c r="MXQ95" s="363"/>
      <c r="MXR95" s="363"/>
      <c r="MXS95" s="364" t="s">
        <v>140</v>
      </c>
      <c r="MXT95" s="365">
        <v>0.5</v>
      </c>
      <c r="MXU95" s="366" t="e">
        <f>10/MXQ93</f>
        <v>#DIV/0!</v>
      </c>
      <c r="MXV95" s="367">
        <v>15.38</v>
      </c>
      <c r="MXW95" s="367" t="e">
        <f>MXT95*MXU95*MXV95</f>
        <v>#DIV/0!</v>
      </c>
      <c r="MXX95" s="363" t="s">
        <v>153</v>
      </c>
      <c r="MXY95" s="363"/>
      <c r="MXZ95" s="363"/>
      <c r="MYA95" s="364" t="s">
        <v>140</v>
      </c>
      <c r="MYB95" s="365">
        <v>0.5</v>
      </c>
      <c r="MYC95" s="366" t="e">
        <f>10/MXY93</f>
        <v>#DIV/0!</v>
      </c>
      <c r="MYD95" s="367">
        <v>15.38</v>
      </c>
      <c r="MYE95" s="367" t="e">
        <f>MYB95*MYC95*MYD95</f>
        <v>#DIV/0!</v>
      </c>
      <c r="MYF95" s="363" t="s">
        <v>153</v>
      </c>
      <c r="MYG95" s="363"/>
      <c r="MYH95" s="363"/>
      <c r="MYI95" s="364" t="s">
        <v>140</v>
      </c>
      <c r="MYJ95" s="365">
        <v>0.5</v>
      </c>
      <c r="MYK95" s="366" t="e">
        <f>10/MYG93</f>
        <v>#DIV/0!</v>
      </c>
      <c r="MYL95" s="367">
        <v>15.38</v>
      </c>
      <c r="MYM95" s="367" t="e">
        <f>MYJ95*MYK95*MYL95</f>
        <v>#DIV/0!</v>
      </c>
      <c r="MYN95" s="363" t="s">
        <v>153</v>
      </c>
      <c r="MYO95" s="363"/>
      <c r="MYP95" s="363"/>
      <c r="MYQ95" s="364" t="s">
        <v>140</v>
      </c>
      <c r="MYR95" s="365">
        <v>0.5</v>
      </c>
      <c r="MYS95" s="366" t="e">
        <f>10/MYO93</f>
        <v>#DIV/0!</v>
      </c>
      <c r="MYT95" s="367">
        <v>15.38</v>
      </c>
      <c r="MYU95" s="367" t="e">
        <f>MYR95*MYS95*MYT95</f>
        <v>#DIV/0!</v>
      </c>
      <c r="MYV95" s="363" t="s">
        <v>153</v>
      </c>
      <c r="MYW95" s="363"/>
      <c r="MYX95" s="363"/>
      <c r="MYY95" s="364" t="s">
        <v>140</v>
      </c>
      <c r="MYZ95" s="365">
        <v>0.5</v>
      </c>
      <c r="MZA95" s="366" t="e">
        <f>10/MYW93</f>
        <v>#DIV/0!</v>
      </c>
      <c r="MZB95" s="367">
        <v>15.38</v>
      </c>
      <c r="MZC95" s="367" t="e">
        <f>MYZ95*MZA95*MZB95</f>
        <v>#DIV/0!</v>
      </c>
      <c r="MZD95" s="363" t="s">
        <v>153</v>
      </c>
      <c r="MZE95" s="363"/>
      <c r="MZF95" s="363"/>
      <c r="MZG95" s="364" t="s">
        <v>140</v>
      </c>
      <c r="MZH95" s="365">
        <v>0.5</v>
      </c>
      <c r="MZI95" s="366" t="e">
        <f>10/MZE93</f>
        <v>#DIV/0!</v>
      </c>
      <c r="MZJ95" s="367">
        <v>15.38</v>
      </c>
      <c r="MZK95" s="367" t="e">
        <f>MZH95*MZI95*MZJ95</f>
        <v>#DIV/0!</v>
      </c>
      <c r="MZL95" s="363" t="s">
        <v>153</v>
      </c>
      <c r="MZM95" s="363"/>
      <c r="MZN95" s="363"/>
      <c r="MZO95" s="364" t="s">
        <v>140</v>
      </c>
      <c r="MZP95" s="365">
        <v>0.5</v>
      </c>
      <c r="MZQ95" s="366" t="e">
        <f>10/MZM93</f>
        <v>#DIV/0!</v>
      </c>
      <c r="MZR95" s="367">
        <v>15.38</v>
      </c>
      <c r="MZS95" s="367" t="e">
        <f>MZP95*MZQ95*MZR95</f>
        <v>#DIV/0!</v>
      </c>
      <c r="MZT95" s="363" t="s">
        <v>153</v>
      </c>
      <c r="MZU95" s="363"/>
      <c r="MZV95" s="363"/>
      <c r="MZW95" s="364" t="s">
        <v>140</v>
      </c>
      <c r="MZX95" s="365">
        <v>0.5</v>
      </c>
      <c r="MZY95" s="366" t="e">
        <f>10/MZU93</f>
        <v>#DIV/0!</v>
      </c>
      <c r="MZZ95" s="367">
        <v>15.38</v>
      </c>
      <c r="NAA95" s="367" t="e">
        <f>MZX95*MZY95*MZZ95</f>
        <v>#DIV/0!</v>
      </c>
      <c r="NAB95" s="363" t="s">
        <v>153</v>
      </c>
      <c r="NAC95" s="363"/>
      <c r="NAD95" s="363"/>
      <c r="NAE95" s="364" t="s">
        <v>140</v>
      </c>
      <c r="NAF95" s="365">
        <v>0.5</v>
      </c>
      <c r="NAG95" s="366" t="e">
        <f>10/NAC93</f>
        <v>#DIV/0!</v>
      </c>
      <c r="NAH95" s="367">
        <v>15.38</v>
      </c>
      <c r="NAI95" s="367" t="e">
        <f>NAF95*NAG95*NAH95</f>
        <v>#DIV/0!</v>
      </c>
      <c r="NAJ95" s="363" t="s">
        <v>153</v>
      </c>
      <c r="NAK95" s="363"/>
      <c r="NAL95" s="363"/>
      <c r="NAM95" s="364" t="s">
        <v>140</v>
      </c>
      <c r="NAN95" s="365">
        <v>0.5</v>
      </c>
      <c r="NAO95" s="366" t="e">
        <f>10/NAK93</f>
        <v>#DIV/0!</v>
      </c>
      <c r="NAP95" s="367">
        <v>15.38</v>
      </c>
      <c r="NAQ95" s="367" t="e">
        <f>NAN95*NAO95*NAP95</f>
        <v>#DIV/0!</v>
      </c>
      <c r="NAR95" s="363" t="s">
        <v>153</v>
      </c>
      <c r="NAS95" s="363"/>
      <c r="NAT95" s="363"/>
      <c r="NAU95" s="364" t="s">
        <v>140</v>
      </c>
      <c r="NAV95" s="365">
        <v>0.5</v>
      </c>
      <c r="NAW95" s="366" t="e">
        <f>10/NAS93</f>
        <v>#DIV/0!</v>
      </c>
      <c r="NAX95" s="367">
        <v>15.38</v>
      </c>
      <c r="NAY95" s="367" t="e">
        <f>NAV95*NAW95*NAX95</f>
        <v>#DIV/0!</v>
      </c>
      <c r="NAZ95" s="363" t="s">
        <v>153</v>
      </c>
      <c r="NBA95" s="363"/>
      <c r="NBB95" s="363"/>
      <c r="NBC95" s="364" t="s">
        <v>140</v>
      </c>
      <c r="NBD95" s="365">
        <v>0.5</v>
      </c>
      <c r="NBE95" s="366" t="e">
        <f>10/NBA93</f>
        <v>#DIV/0!</v>
      </c>
      <c r="NBF95" s="367">
        <v>15.38</v>
      </c>
      <c r="NBG95" s="367" t="e">
        <f>NBD95*NBE95*NBF95</f>
        <v>#DIV/0!</v>
      </c>
      <c r="NBH95" s="363" t="s">
        <v>153</v>
      </c>
      <c r="NBI95" s="363"/>
      <c r="NBJ95" s="363"/>
      <c r="NBK95" s="364" t="s">
        <v>140</v>
      </c>
      <c r="NBL95" s="365">
        <v>0.5</v>
      </c>
      <c r="NBM95" s="366" t="e">
        <f>10/NBI93</f>
        <v>#DIV/0!</v>
      </c>
      <c r="NBN95" s="367">
        <v>15.38</v>
      </c>
      <c r="NBO95" s="367" t="e">
        <f>NBL95*NBM95*NBN95</f>
        <v>#DIV/0!</v>
      </c>
      <c r="NBP95" s="363" t="s">
        <v>153</v>
      </c>
      <c r="NBQ95" s="363"/>
      <c r="NBR95" s="363"/>
      <c r="NBS95" s="364" t="s">
        <v>140</v>
      </c>
      <c r="NBT95" s="365">
        <v>0.5</v>
      </c>
      <c r="NBU95" s="366" t="e">
        <f>10/NBQ93</f>
        <v>#DIV/0!</v>
      </c>
      <c r="NBV95" s="367">
        <v>15.38</v>
      </c>
      <c r="NBW95" s="367" t="e">
        <f>NBT95*NBU95*NBV95</f>
        <v>#DIV/0!</v>
      </c>
      <c r="NBX95" s="363" t="s">
        <v>153</v>
      </c>
      <c r="NBY95" s="363"/>
      <c r="NBZ95" s="363"/>
      <c r="NCA95" s="364" t="s">
        <v>140</v>
      </c>
      <c r="NCB95" s="365">
        <v>0.5</v>
      </c>
      <c r="NCC95" s="366" t="e">
        <f>10/NBY93</f>
        <v>#DIV/0!</v>
      </c>
      <c r="NCD95" s="367">
        <v>15.38</v>
      </c>
      <c r="NCE95" s="367" t="e">
        <f>NCB95*NCC95*NCD95</f>
        <v>#DIV/0!</v>
      </c>
      <c r="NCF95" s="363" t="s">
        <v>153</v>
      </c>
      <c r="NCG95" s="363"/>
      <c r="NCH95" s="363"/>
      <c r="NCI95" s="364" t="s">
        <v>140</v>
      </c>
      <c r="NCJ95" s="365">
        <v>0.5</v>
      </c>
      <c r="NCK95" s="366" t="e">
        <f>10/NCG93</f>
        <v>#DIV/0!</v>
      </c>
      <c r="NCL95" s="367">
        <v>15.38</v>
      </c>
      <c r="NCM95" s="367" t="e">
        <f>NCJ95*NCK95*NCL95</f>
        <v>#DIV/0!</v>
      </c>
      <c r="NCN95" s="363" t="s">
        <v>153</v>
      </c>
      <c r="NCO95" s="363"/>
      <c r="NCP95" s="363"/>
      <c r="NCQ95" s="364" t="s">
        <v>140</v>
      </c>
      <c r="NCR95" s="365">
        <v>0.5</v>
      </c>
      <c r="NCS95" s="366" t="e">
        <f>10/NCO93</f>
        <v>#DIV/0!</v>
      </c>
      <c r="NCT95" s="367">
        <v>15.38</v>
      </c>
      <c r="NCU95" s="367" t="e">
        <f>NCR95*NCS95*NCT95</f>
        <v>#DIV/0!</v>
      </c>
      <c r="NCV95" s="363" t="s">
        <v>153</v>
      </c>
      <c r="NCW95" s="363"/>
      <c r="NCX95" s="363"/>
      <c r="NCY95" s="364" t="s">
        <v>140</v>
      </c>
      <c r="NCZ95" s="365">
        <v>0.5</v>
      </c>
      <c r="NDA95" s="366" t="e">
        <f>10/NCW93</f>
        <v>#DIV/0!</v>
      </c>
      <c r="NDB95" s="367">
        <v>15.38</v>
      </c>
      <c r="NDC95" s="367" t="e">
        <f>NCZ95*NDA95*NDB95</f>
        <v>#DIV/0!</v>
      </c>
      <c r="NDD95" s="363" t="s">
        <v>153</v>
      </c>
      <c r="NDE95" s="363"/>
      <c r="NDF95" s="363"/>
      <c r="NDG95" s="364" t="s">
        <v>140</v>
      </c>
      <c r="NDH95" s="365">
        <v>0.5</v>
      </c>
      <c r="NDI95" s="366" t="e">
        <f>10/NDE93</f>
        <v>#DIV/0!</v>
      </c>
      <c r="NDJ95" s="367">
        <v>15.38</v>
      </c>
      <c r="NDK95" s="367" t="e">
        <f>NDH95*NDI95*NDJ95</f>
        <v>#DIV/0!</v>
      </c>
      <c r="NDL95" s="363" t="s">
        <v>153</v>
      </c>
      <c r="NDM95" s="363"/>
      <c r="NDN95" s="363"/>
      <c r="NDO95" s="364" t="s">
        <v>140</v>
      </c>
      <c r="NDP95" s="365">
        <v>0.5</v>
      </c>
      <c r="NDQ95" s="366" t="e">
        <f>10/NDM93</f>
        <v>#DIV/0!</v>
      </c>
      <c r="NDR95" s="367">
        <v>15.38</v>
      </c>
      <c r="NDS95" s="367" t="e">
        <f>NDP95*NDQ95*NDR95</f>
        <v>#DIV/0!</v>
      </c>
      <c r="NDT95" s="363" t="s">
        <v>153</v>
      </c>
      <c r="NDU95" s="363"/>
      <c r="NDV95" s="363"/>
      <c r="NDW95" s="364" t="s">
        <v>140</v>
      </c>
      <c r="NDX95" s="365">
        <v>0.5</v>
      </c>
      <c r="NDY95" s="366" t="e">
        <f>10/NDU93</f>
        <v>#DIV/0!</v>
      </c>
      <c r="NDZ95" s="367">
        <v>15.38</v>
      </c>
      <c r="NEA95" s="367" t="e">
        <f>NDX95*NDY95*NDZ95</f>
        <v>#DIV/0!</v>
      </c>
      <c r="NEB95" s="363" t="s">
        <v>153</v>
      </c>
      <c r="NEC95" s="363"/>
      <c r="NED95" s="363"/>
      <c r="NEE95" s="364" t="s">
        <v>140</v>
      </c>
      <c r="NEF95" s="365">
        <v>0.5</v>
      </c>
      <c r="NEG95" s="366" t="e">
        <f>10/NEC93</f>
        <v>#DIV/0!</v>
      </c>
      <c r="NEH95" s="367">
        <v>15.38</v>
      </c>
      <c r="NEI95" s="367" t="e">
        <f>NEF95*NEG95*NEH95</f>
        <v>#DIV/0!</v>
      </c>
      <c r="NEJ95" s="363" t="s">
        <v>153</v>
      </c>
      <c r="NEK95" s="363"/>
      <c r="NEL95" s="363"/>
      <c r="NEM95" s="364" t="s">
        <v>140</v>
      </c>
      <c r="NEN95" s="365">
        <v>0.5</v>
      </c>
      <c r="NEO95" s="366" t="e">
        <f>10/NEK93</f>
        <v>#DIV/0!</v>
      </c>
      <c r="NEP95" s="367">
        <v>15.38</v>
      </c>
      <c r="NEQ95" s="367" t="e">
        <f>NEN95*NEO95*NEP95</f>
        <v>#DIV/0!</v>
      </c>
      <c r="NER95" s="363" t="s">
        <v>153</v>
      </c>
      <c r="NES95" s="363"/>
      <c r="NET95" s="363"/>
      <c r="NEU95" s="364" t="s">
        <v>140</v>
      </c>
      <c r="NEV95" s="365">
        <v>0.5</v>
      </c>
      <c r="NEW95" s="366" t="e">
        <f>10/NES93</f>
        <v>#DIV/0!</v>
      </c>
      <c r="NEX95" s="367">
        <v>15.38</v>
      </c>
      <c r="NEY95" s="367" t="e">
        <f>NEV95*NEW95*NEX95</f>
        <v>#DIV/0!</v>
      </c>
      <c r="NEZ95" s="363" t="s">
        <v>153</v>
      </c>
      <c r="NFA95" s="363"/>
      <c r="NFB95" s="363"/>
      <c r="NFC95" s="364" t="s">
        <v>140</v>
      </c>
      <c r="NFD95" s="365">
        <v>0.5</v>
      </c>
      <c r="NFE95" s="366" t="e">
        <f>10/NFA93</f>
        <v>#DIV/0!</v>
      </c>
      <c r="NFF95" s="367">
        <v>15.38</v>
      </c>
      <c r="NFG95" s="367" t="e">
        <f>NFD95*NFE95*NFF95</f>
        <v>#DIV/0!</v>
      </c>
      <c r="NFH95" s="363" t="s">
        <v>153</v>
      </c>
      <c r="NFI95" s="363"/>
      <c r="NFJ95" s="363"/>
      <c r="NFK95" s="364" t="s">
        <v>140</v>
      </c>
      <c r="NFL95" s="365">
        <v>0.5</v>
      </c>
      <c r="NFM95" s="366" t="e">
        <f>10/NFI93</f>
        <v>#DIV/0!</v>
      </c>
      <c r="NFN95" s="367">
        <v>15.38</v>
      </c>
      <c r="NFO95" s="367" t="e">
        <f>NFL95*NFM95*NFN95</f>
        <v>#DIV/0!</v>
      </c>
      <c r="NFP95" s="363" t="s">
        <v>153</v>
      </c>
      <c r="NFQ95" s="363"/>
      <c r="NFR95" s="363"/>
      <c r="NFS95" s="364" t="s">
        <v>140</v>
      </c>
      <c r="NFT95" s="365">
        <v>0.5</v>
      </c>
      <c r="NFU95" s="366" t="e">
        <f>10/NFQ93</f>
        <v>#DIV/0!</v>
      </c>
      <c r="NFV95" s="367">
        <v>15.38</v>
      </c>
      <c r="NFW95" s="367" t="e">
        <f>NFT95*NFU95*NFV95</f>
        <v>#DIV/0!</v>
      </c>
      <c r="NFX95" s="363" t="s">
        <v>153</v>
      </c>
      <c r="NFY95" s="363"/>
      <c r="NFZ95" s="363"/>
      <c r="NGA95" s="364" t="s">
        <v>140</v>
      </c>
      <c r="NGB95" s="365">
        <v>0.5</v>
      </c>
      <c r="NGC95" s="366" t="e">
        <f>10/NFY93</f>
        <v>#DIV/0!</v>
      </c>
      <c r="NGD95" s="367">
        <v>15.38</v>
      </c>
      <c r="NGE95" s="367" t="e">
        <f>NGB95*NGC95*NGD95</f>
        <v>#DIV/0!</v>
      </c>
      <c r="NGF95" s="363" t="s">
        <v>153</v>
      </c>
      <c r="NGG95" s="363"/>
      <c r="NGH95" s="363"/>
      <c r="NGI95" s="364" t="s">
        <v>140</v>
      </c>
      <c r="NGJ95" s="365">
        <v>0.5</v>
      </c>
      <c r="NGK95" s="366" t="e">
        <f>10/NGG93</f>
        <v>#DIV/0!</v>
      </c>
      <c r="NGL95" s="367">
        <v>15.38</v>
      </c>
      <c r="NGM95" s="367" t="e">
        <f>NGJ95*NGK95*NGL95</f>
        <v>#DIV/0!</v>
      </c>
      <c r="NGN95" s="363" t="s">
        <v>153</v>
      </c>
      <c r="NGO95" s="363"/>
      <c r="NGP95" s="363"/>
      <c r="NGQ95" s="364" t="s">
        <v>140</v>
      </c>
      <c r="NGR95" s="365">
        <v>0.5</v>
      </c>
      <c r="NGS95" s="366" t="e">
        <f>10/NGO93</f>
        <v>#DIV/0!</v>
      </c>
      <c r="NGT95" s="367">
        <v>15.38</v>
      </c>
      <c r="NGU95" s="367" t="e">
        <f>NGR95*NGS95*NGT95</f>
        <v>#DIV/0!</v>
      </c>
      <c r="NGV95" s="363" t="s">
        <v>153</v>
      </c>
      <c r="NGW95" s="363"/>
      <c r="NGX95" s="363"/>
      <c r="NGY95" s="364" t="s">
        <v>140</v>
      </c>
      <c r="NGZ95" s="365">
        <v>0.5</v>
      </c>
      <c r="NHA95" s="366" t="e">
        <f>10/NGW93</f>
        <v>#DIV/0!</v>
      </c>
      <c r="NHB95" s="367">
        <v>15.38</v>
      </c>
      <c r="NHC95" s="367" t="e">
        <f>NGZ95*NHA95*NHB95</f>
        <v>#DIV/0!</v>
      </c>
      <c r="NHD95" s="363" t="s">
        <v>153</v>
      </c>
      <c r="NHE95" s="363"/>
      <c r="NHF95" s="363"/>
      <c r="NHG95" s="364" t="s">
        <v>140</v>
      </c>
      <c r="NHH95" s="365">
        <v>0.5</v>
      </c>
      <c r="NHI95" s="366" t="e">
        <f>10/NHE93</f>
        <v>#DIV/0!</v>
      </c>
      <c r="NHJ95" s="367">
        <v>15.38</v>
      </c>
      <c r="NHK95" s="367" t="e">
        <f>NHH95*NHI95*NHJ95</f>
        <v>#DIV/0!</v>
      </c>
      <c r="NHL95" s="363" t="s">
        <v>153</v>
      </c>
      <c r="NHM95" s="363"/>
      <c r="NHN95" s="363"/>
      <c r="NHO95" s="364" t="s">
        <v>140</v>
      </c>
      <c r="NHP95" s="365">
        <v>0.5</v>
      </c>
      <c r="NHQ95" s="366" t="e">
        <f>10/NHM93</f>
        <v>#DIV/0!</v>
      </c>
      <c r="NHR95" s="367">
        <v>15.38</v>
      </c>
      <c r="NHS95" s="367" t="e">
        <f>NHP95*NHQ95*NHR95</f>
        <v>#DIV/0!</v>
      </c>
      <c r="NHT95" s="363" t="s">
        <v>153</v>
      </c>
      <c r="NHU95" s="363"/>
      <c r="NHV95" s="363"/>
      <c r="NHW95" s="364" t="s">
        <v>140</v>
      </c>
      <c r="NHX95" s="365">
        <v>0.5</v>
      </c>
      <c r="NHY95" s="366" t="e">
        <f>10/NHU93</f>
        <v>#DIV/0!</v>
      </c>
      <c r="NHZ95" s="367">
        <v>15.38</v>
      </c>
      <c r="NIA95" s="367" t="e">
        <f>NHX95*NHY95*NHZ95</f>
        <v>#DIV/0!</v>
      </c>
      <c r="NIB95" s="363" t="s">
        <v>153</v>
      </c>
      <c r="NIC95" s="363"/>
      <c r="NID95" s="363"/>
      <c r="NIE95" s="364" t="s">
        <v>140</v>
      </c>
      <c r="NIF95" s="365">
        <v>0.5</v>
      </c>
      <c r="NIG95" s="366" t="e">
        <f>10/NIC93</f>
        <v>#DIV/0!</v>
      </c>
      <c r="NIH95" s="367">
        <v>15.38</v>
      </c>
      <c r="NII95" s="367" t="e">
        <f>NIF95*NIG95*NIH95</f>
        <v>#DIV/0!</v>
      </c>
      <c r="NIJ95" s="363" t="s">
        <v>153</v>
      </c>
      <c r="NIK95" s="363"/>
      <c r="NIL95" s="363"/>
      <c r="NIM95" s="364" t="s">
        <v>140</v>
      </c>
      <c r="NIN95" s="365">
        <v>0.5</v>
      </c>
      <c r="NIO95" s="366" t="e">
        <f>10/NIK93</f>
        <v>#DIV/0!</v>
      </c>
      <c r="NIP95" s="367">
        <v>15.38</v>
      </c>
      <c r="NIQ95" s="367" t="e">
        <f>NIN95*NIO95*NIP95</f>
        <v>#DIV/0!</v>
      </c>
      <c r="NIR95" s="363" t="s">
        <v>153</v>
      </c>
      <c r="NIS95" s="363"/>
      <c r="NIT95" s="363"/>
      <c r="NIU95" s="364" t="s">
        <v>140</v>
      </c>
      <c r="NIV95" s="365">
        <v>0.5</v>
      </c>
      <c r="NIW95" s="366" t="e">
        <f>10/NIS93</f>
        <v>#DIV/0!</v>
      </c>
      <c r="NIX95" s="367">
        <v>15.38</v>
      </c>
      <c r="NIY95" s="367" t="e">
        <f>NIV95*NIW95*NIX95</f>
        <v>#DIV/0!</v>
      </c>
      <c r="NIZ95" s="363" t="s">
        <v>153</v>
      </c>
      <c r="NJA95" s="363"/>
      <c r="NJB95" s="363"/>
      <c r="NJC95" s="364" t="s">
        <v>140</v>
      </c>
      <c r="NJD95" s="365">
        <v>0.5</v>
      </c>
      <c r="NJE95" s="366" t="e">
        <f>10/NJA93</f>
        <v>#DIV/0!</v>
      </c>
      <c r="NJF95" s="367">
        <v>15.38</v>
      </c>
      <c r="NJG95" s="367" t="e">
        <f>NJD95*NJE95*NJF95</f>
        <v>#DIV/0!</v>
      </c>
      <c r="NJH95" s="363" t="s">
        <v>153</v>
      </c>
      <c r="NJI95" s="363"/>
      <c r="NJJ95" s="363"/>
      <c r="NJK95" s="364" t="s">
        <v>140</v>
      </c>
      <c r="NJL95" s="365">
        <v>0.5</v>
      </c>
      <c r="NJM95" s="366" t="e">
        <f>10/NJI93</f>
        <v>#DIV/0!</v>
      </c>
      <c r="NJN95" s="367">
        <v>15.38</v>
      </c>
      <c r="NJO95" s="367" t="e">
        <f>NJL95*NJM95*NJN95</f>
        <v>#DIV/0!</v>
      </c>
      <c r="NJP95" s="363" t="s">
        <v>153</v>
      </c>
      <c r="NJQ95" s="363"/>
      <c r="NJR95" s="363"/>
      <c r="NJS95" s="364" t="s">
        <v>140</v>
      </c>
      <c r="NJT95" s="365">
        <v>0.5</v>
      </c>
      <c r="NJU95" s="366" t="e">
        <f>10/NJQ93</f>
        <v>#DIV/0!</v>
      </c>
      <c r="NJV95" s="367">
        <v>15.38</v>
      </c>
      <c r="NJW95" s="367" t="e">
        <f>NJT95*NJU95*NJV95</f>
        <v>#DIV/0!</v>
      </c>
      <c r="NJX95" s="363" t="s">
        <v>153</v>
      </c>
      <c r="NJY95" s="363"/>
      <c r="NJZ95" s="363"/>
      <c r="NKA95" s="364" t="s">
        <v>140</v>
      </c>
      <c r="NKB95" s="365">
        <v>0.5</v>
      </c>
      <c r="NKC95" s="366" t="e">
        <f>10/NJY93</f>
        <v>#DIV/0!</v>
      </c>
      <c r="NKD95" s="367">
        <v>15.38</v>
      </c>
      <c r="NKE95" s="367" t="e">
        <f>NKB95*NKC95*NKD95</f>
        <v>#DIV/0!</v>
      </c>
      <c r="NKF95" s="363" t="s">
        <v>153</v>
      </c>
      <c r="NKG95" s="363"/>
      <c r="NKH95" s="363"/>
      <c r="NKI95" s="364" t="s">
        <v>140</v>
      </c>
      <c r="NKJ95" s="365">
        <v>0.5</v>
      </c>
      <c r="NKK95" s="366" t="e">
        <f>10/NKG93</f>
        <v>#DIV/0!</v>
      </c>
      <c r="NKL95" s="367">
        <v>15.38</v>
      </c>
      <c r="NKM95" s="367" t="e">
        <f>NKJ95*NKK95*NKL95</f>
        <v>#DIV/0!</v>
      </c>
      <c r="NKN95" s="363" t="s">
        <v>153</v>
      </c>
      <c r="NKO95" s="363"/>
      <c r="NKP95" s="363"/>
      <c r="NKQ95" s="364" t="s">
        <v>140</v>
      </c>
      <c r="NKR95" s="365">
        <v>0.5</v>
      </c>
      <c r="NKS95" s="366" t="e">
        <f>10/NKO93</f>
        <v>#DIV/0!</v>
      </c>
      <c r="NKT95" s="367">
        <v>15.38</v>
      </c>
      <c r="NKU95" s="367" t="e">
        <f>NKR95*NKS95*NKT95</f>
        <v>#DIV/0!</v>
      </c>
      <c r="NKV95" s="363" t="s">
        <v>153</v>
      </c>
      <c r="NKW95" s="363"/>
      <c r="NKX95" s="363"/>
      <c r="NKY95" s="364" t="s">
        <v>140</v>
      </c>
      <c r="NKZ95" s="365">
        <v>0.5</v>
      </c>
      <c r="NLA95" s="366" t="e">
        <f>10/NKW93</f>
        <v>#DIV/0!</v>
      </c>
      <c r="NLB95" s="367">
        <v>15.38</v>
      </c>
      <c r="NLC95" s="367" t="e">
        <f>NKZ95*NLA95*NLB95</f>
        <v>#DIV/0!</v>
      </c>
      <c r="NLD95" s="363" t="s">
        <v>153</v>
      </c>
      <c r="NLE95" s="363"/>
      <c r="NLF95" s="363"/>
      <c r="NLG95" s="364" t="s">
        <v>140</v>
      </c>
      <c r="NLH95" s="365">
        <v>0.5</v>
      </c>
      <c r="NLI95" s="366" t="e">
        <f>10/NLE93</f>
        <v>#DIV/0!</v>
      </c>
      <c r="NLJ95" s="367">
        <v>15.38</v>
      </c>
      <c r="NLK95" s="367" t="e">
        <f>NLH95*NLI95*NLJ95</f>
        <v>#DIV/0!</v>
      </c>
      <c r="NLL95" s="363" t="s">
        <v>153</v>
      </c>
      <c r="NLM95" s="363"/>
      <c r="NLN95" s="363"/>
      <c r="NLO95" s="364" t="s">
        <v>140</v>
      </c>
      <c r="NLP95" s="365">
        <v>0.5</v>
      </c>
      <c r="NLQ95" s="366" t="e">
        <f>10/NLM93</f>
        <v>#DIV/0!</v>
      </c>
      <c r="NLR95" s="367">
        <v>15.38</v>
      </c>
      <c r="NLS95" s="367" t="e">
        <f>NLP95*NLQ95*NLR95</f>
        <v>#DIV/0!</v>
      </c>
      <c r="NLT95" s="363" t="s">
        <v>153</v>
      </c>
      <c r="NLU95" s="363"/>
      <c r="NLV95" s="363"/>
      <c r="NLW95" s="364" t="s">
        <v>140</v>
      </c>
      <c r="NLX95" s="365">
        <v>0.5</v>
      </c>
      <c r="NLY95" s="366" t="e">
        <f>10/NLU93</f>
        <v>#DIV/0!</v>
      </c>
      <c r="NLZ95" s="367">
        <v>15.38</v>
      </c>
      <c r="NMA95" s="367" t="e">
        <f>NLX95*NLY95*NLZ95</f>
        <v>#DIV/0!</v>
      </c>
      <c r="NMB95" s="363" t="s">
        <v>153</v>
      </c>
      <c r="NMC95" s="363"/>
      <c r="NMD95" s="363"/>
      <c r="NME95" s="364" t="s">
        <v>140</v>
      </c>
      <c r="NMF95" s="365">
        <v>0.5</v>
      </c>
      <c r="NMG95" s="366" t="e">
        <f>10/NMC93</f>
        <v>#DIV/0!</v>
      </c>
      <c r="NMH95" s="367">
        <v>15.38</v>
      </c>
      <c r="NMI95" s="367" t="e">
        <f>NMF95*NMG95*NMH95</f>
        <v>#DIV/0!</v>
      </c>
      <c r="NMJ95" s="363" t="s">
        <v>153</v>
      </c>
      <c r="NMK95" s="363"/>
      <c r="NML95" s="363"/>
      <c r="NMM95" s="364" t="s">
        <v>140</v>
      </c>
      <c r="NMN95" s="365">
        <v>0.5</v>
      </c>
      <c r="NMO95" s="366" t="e">
        <f>10/NMK93</f>
        <v>#DIV/0!</v>
      </c>
      <c r="NMP95" s="367">
        <v>15.38</v>
      </c>
      <c r="NMQ95" s="367" t="e">
        <f>NMN95*NMO95*NMP95</f>
        <v>#DIV/0!</v>
      </c>
      <c r="NMR95" s="363" t="s">
        <v>153</v>
      </c>
      <c r="NMS95" s="363"/>
      <c r="NMT95" s="363"/>
      <c r="NMU95" s="364" t="s">
        <v>140</v>
      </c>
      <c r="NMV95" s="365">
        <v>0.5</v>
      </c>
      <c r="NMW95" s="366" t="e">
        <f>10/NMS93</f>
        <v>#DIV/0!</v>
      </c>
      <c r="NMX95" s="367">
        <v>15.38</v>
      </c>
      <c r="NMY95" s="367" t="e">
        <f>NMV95*NMW95*NMX95</f>
        <v>#DIV/0!</v>
      </c>
      <c r="NMZ95" s="363" t="s">
        <v>153</v>
      </c>
      <c r="NNA95" s="363"/>
      <c r="NNB95" s="363"/>
      <c r="NNC95" s="364" t="s">
        <v>140</v>
      </c>
      <c r="NND95" s="365">
        <v>0.5</v>
      </c>
      <c r="NNE95" s="366" t="e">
        <f>10/NNA93</f>
        <v>#DIV/0!</v>
      </c>
      <c r="NNF95" s="367">
        <v>15.38</v>
      </c>
      <c r="NNG95" s="367" t="e">
        <f>NND95*NNE95*NNF95</f>
        <v>#DIV/0!</v>
      </c>
      <c r="NNH95" s="363" t="s">
        <v>153</v>
      </c>
      <c r="NNI95" s="363"/>
      <c r="NNJ95" s="363"/>
      <c r="NNK95" s="364" t="s">
        <v>140</v>
      </c>
      <c r="NNL95" s="365">
        <v>0.5</v>
      </c>
      <c r="NNM95" s="366" t="e">
        <f>10/NNI93</f>
        <v>#DIV/0!</v>
      </c>
      <c r="NNN95" s="367">
        <v>15.38</v>
      </c>
      <c r="NNO95" s="367" t="e">
        <f>NNL95*NNM95*NNN95</f>
        <v>#DIV/0!</v>
      </c>
      <c r="NNP95" s="363" t="s">
        <v>153</v>
      </c>
      <c r="NNQ95" s="363"/>
      <c r="NNR95" s="363"/>
      <c r="NNS95" s="364" t="s">
        <v>140</v>
      </c>
      <c r="NNT95" s="365">
        <v>0.5</v>
      </c>
      <c r="NNU95" s="366" t="e">
        <f>10/NNQ93</f>
        <v>#DIV/0!</v>
      </c>
      <c r="NNV95" s="367">
        <v>15.38</v>
      </c>
      <c r="NNW95" s="367" t="e">
        <f>NNT95*NNU95*NNV95</f>
        <v>#DIV/0!</v>
      </c>
      <c r="NNX95" s="363" t="s">
        <v>153</v>
      </c>
      <c r="NNY95" s="363"/>
      <c r="NNZ95" s="363"/>
      <c r="NOA95" s="364" t="s">
        <v>140</v>
      </c>
      <c r="NOB95" s="365">
        <v>0.5</v>
      </c>
      <c r="NOC95" s="366" t="e">
        <f>10/NNY93</f>
        <v>#DIV/0!</v>
      </c>
      <c r="NOD95" s="367">
        <v>15.38</v>
      </c>
      <c r="NOE95" s="367" t="e">
        <f>NOB95*NOC95*NOD95</f>
        <v>#DIV/0!</v>
      </c>
      <c r="NOF95" s="363" t="s">
        <v>153</v>
      </c>
      <c r="NOG95" s="363"/>
      <c r="NOH95" s="363"/>
      <c r="NOI95" s="364" t="s">
        <v>140</v>
      </c>
      <c r="NOJ95" s="365">
        <v>0.5</v>
      </c>
      <c r="NOK95" s="366" t="e">
        <f>10/NOG93</f>
        <v>#DIV/0!</v>
      </c>
      <c r="NOL95" s="367">
        <v>15.38</v>
      </c>
      <c r="NOM95" s="367" t="e">
        <f>NOJ95*NOK95*NOL95</f>
        <v>#DIV/0!</v>
      </c>
      <c r="NON95" s="363" t="s">
        <v>153</v>
      </c>
      <c r="NOO95" s="363"/>
      <c r="NOP95" s="363"/>
      <c r="NOQ95" s="364" t="s">
        <v>140</v>
      </c>
      <c r="NOR95" s="365">
        <v>0.5</v>
      </c>
      <c r="NOS95" s="366" t="e">
        <f>10/NOO93</f>
        <v>#DIV/0!</v>
      </c>
      <c r="NOT95" s="367">
        <v>15.38</v>
      </c>
      <c r="NOU95" s="367" t="e">
        <f>NOR95*NOS95*NOT95</f>
        <v>#DIV/0!</v>
      </c>
      <c r="NOV95" s="363" t="s">
        <v>153</v>
      </c>
      <c r="NOW95" s="363"/>
      <c r="NOX95" s="363"/>
      <c r="NOY95" s="364" t="s">
        <v>140</v>
      </c>
      <c r="NOZ95" s="365">
        <v>0.5</v>
      </c>
      <c r="NPA95" s="366" t="e">
        <f>10/NOW93</f>
        <v>#DIV/0!</v>
      </c>
      <c r="NPB95" s="367">
        <v>15.38</v>
      </c>
      <c r="NPC95" s="367" t="e">
        <f>NOZ95*NPA95*NPB95</f>
        <v>#DIV/0!</v>
      </c>
      <c r="NPD95" s="363" t="s">
        <v>153</v>
      </c>
      <c r="NPE95" s="363"/>
      <c r="NPF95" s="363"/>
      <c r="NPG95" s="364" t="s">
        <v>140</v>
      </c>
      <c r="NPH95" s="365">
        <v>0.5</v>
      </c>
      <c r="NPI95" s="366" t="e">
        <f>10/NPE93</f>
        <v>#DIV/0!</v>
      </c>
      <c r="NPJ95" s="367">
        <v>15.38</v>
      </c>
      <c r="NPK95" s="367" t="e">
        <f>NPH95*NPI95*NPJ95</f>
        <v>#DIV/0!</v>
      </c>
      <c r="NPL95" s="363" t="s">
        <v>153</v>
      </c>
      <c r="NPM95" s="363"/>
      <c r="NPN95" s="363"/>
      <c r="NPO95" s="364" t="s">
        <v>140</v>
      </c>
      <c r="NPP95" s="365">
        <v>0.5</v>
      </c>
      <c r="NPQ95" s="366" t="e">
        <f>10/NPM93</f>
        <v>#DIV/0!</v>
      </c>
      <c r="NPR95" s="367">
        <v>15.38</v>
      </c>
      <c r="NPS95" s="367" t="e">
        <f>NPP95*NPQ95*NPR95</f>
        <v>#DIV/0!</v>
      </c>
      <c r="NPT95" s="363" t="s">
        <v>153</v>
      </c>
      <c r="NPU95" s="363"/>
      <c r="NPV95" s="363"/>
      <c r="NPW95" s="364" t="s">
        <v>140</v>
      </c>
      <c r="NPX95" s="365">
        <v>0.5</v>
      </c>
      <c r="NPY95" s="366" t="e">
        <f>10/NPU93</f>
        <v>#DIV/0!</v>
      </c>
      <c r="NPZ95" s="367">
        <v>15.38</v>
      </c>
      <c r="NQA95" s="367" t="e">
        <f>NPX95*NPY95*NPZ95</f>
        <v>#DIV/0!</v>
      </c>
      <c r="NQB95" s="363" t="s">
        <v>153</v>
      </c>
      <c r="NQC95" s="363"/>
      <c r="NQD95" s="363"/>
      <c r="NQE95" s="364" t="s">
        <v>140</v>
      </c>
      <c r="NQF95" s="365">
        <v>0.5</v>
      </c>
      <c r="NQG95" s="366" t="e">
        <f>10/NQC93</f>
        <v>#DIV/0!</v>
      </c>
      <c r="NQH95" s="367">
        <v>15.38</v>
      </c>
      <c r="NQI95" s="367" t="e">
        <f>NQF95*NQG95*NQH95</f>
        <v>#DIV/0!</v>
      </c>
      <c r="NQJ95" s="363" t="s">
        <v>153</v>
      </c>
      <c r="NQK95" s="363"/>
      <c r="NQL95" s="363"/>
      <c r="NQM95" s="364" t="s">
        <v>140</v>
      </c>
      <c r="NQN95" s="365">
        <v>0.5</v>
      </c>
      <c r="NQO95" s="366" t="e">
        <f>10/NQK93</f>
        <v>#DIV/0!</v>
      </c>
      <c r="NQP95" s="367">
        <v>15.38</v>
      </c>
      <c r="NQQ95" s="367" t="e">
        <f>NQN95*NQO95*NQP95</f>
        <v>#DIV/0!</v>
      </c>
      <c r="NQR95" s="363" t="s">
        <v>153</v>
      </c>
      <c r="NQS95" s="363"/>
      <c r="NQT95" s="363"/>
      <c r="NQU95" s="364" t="s">
        <v>140</v>
      </c>
      <c r="NQV95" s="365">
        <v>0.5</v>
      </c>
      <c r="NQW95" s="366" t="e">
        <f>10/NQS93</f>
        <v>#DIV/0!</v>
      </c>
      <c r="NQX95" s="367">
        <v>15.38</v>
      </c>
      <c r="NQY95" s="367" t="e">
        <f>NQV95*NQW95*NQX95</f>
        <v>#DIV/0!</v>
      </c>
      <c r="NQZ95" s="363" t="s">
        <v>153</v>
      </c>
      <c r="NRA95" s="363"/>
      <c r="NRB95" s="363"/>
      <c r="NRC95" s="364" t="s">
        <v>140</v>
      </c>
      <c r="NRD95" s="365">
        <v>0.5</v>
      </c>
      <c r="NRE95" s="366" t="e">
        <f>10/NRA93</f>
        <v>#DIV/0!</v>
      </c>
      <c r="NRF95" s="367">
        <v>15.38</v>
      </c>
      <c r="NRG95" s="367" t="e">
        <f>NRD95*NRE95*NRF95</f>
        <v>#DIV/0!</v>
      </c>
      <c r="NRH95" s="363" t="s">
        <v>153</v>
      </c>
      <c r="NRI95" s="363"/>
      <c r="NRJ95" s="363"/>
      <c r="NRK95" s="364" t="s">
        <v>140</v>
      </c>
      <c r="NRL95" s="365">
        <v>0.5</v>
      </c>
      <c r="NRM95" s="366" t="e">
        <f>10/NRI93</f>
        <v>#DIV/0!</v>
      </c>
      <c r="NRN95" s="367">
        <v>15.38</v>
      </c>
      <c r="NRO95" s="367" t="e">
        <f>NRL95*NRM95*NRN95</f>
        <v>#DIV/0!</v>
      </c>
      <c r="NRP95" s="363" t="s">
        <v>153</v>
      </c>
      <c r="NRQ95" s="363"/>
      <c r="NRR95" s="363"/>
      <c r="NRS95" s="364" t="s">
        <v>140</v>
      </c>
      <c r="NRT95" s="365">
        <v>0.5</v>
      </c>
      <c r="NRU95" s="366" t="e">
        <f>10/NRQ93</f>
        <v>#DIV/0!</v>
      </c>
      <c r="NRV95" s="367">
        <v>15.38</v>
      </c>
      <c r="NRW95" s="367" t="e">
        <f>NRT95*NRU95*NRV95</f>
        <v>#DIV/0!</v>
      </c>
      <c r="NRX95" s="363" t="s">
        <v>153</v>
      </c>
      <c r="NRY95" s="363"/>
      <c r="NRZ95" s="363"/>
      <c r="NSA95" s="364" t="s">
        <v>140</v>
      </c>
      <c r="NSB95" s="365">
        <v>0.5</v>
      </c>
      <c r="NSC95" s="366" t="e">
        <f>10/NRY93</f>
        <v>#DIV/0!</v>
      </c>
      <c r="NSD95" s="367">
        <v>15.38</v>
      </c>
      <c r="NSE95" s="367" t="e">
        <f>NSB95*NSC95*NSD95</f>
        <v>#DIV/0!</v>
      </c>
      <c r="NSF95" s="363" t="s">
        <v>153</v>
      </c>
      <c r="NSG95" s="363"/>
      <c r="NSH95" s="363"/>
      <c r="NSI95" s="364" t="s">
        <v>140</v>
      </c>
      <c r="NSJ95" s="365">
        <v>0.5</v>
      </c>
      <c r="NSK95" s="366" t="e">
        <f>10/NSG93</f>
        <v>#DIV/0!</v>
      </c>
      <c r="NSL95" s="367">
        <v>15.38</v>
      </c>
      <c r="NSM95" s="367" t="e">
        <f>NSJ95*NSK95*NSL95</f>
        <v>#DIV/0!</v>
      </c>
      <c r="NSN95" s="363" t="s">
        <v>153</v>
      </c>
      <c r="NSO95" s="363"/>
      <c r="NSP95" s="363"/>
      <c r="NSQ95" s="364" t="s">
        <v>140</v>
      </c>
      <c r="NSR95" s="365">
        <v>0.5</v>
      </c>
      <c r="NSS95" s="366" t="e">
        <f>10/NSO93</f>
        <v>#DIV/0!</v>
      </c>
      <c r="NST95" s="367">
        <v>15.38</v>
      </c>
      <c r="NSU95" s="367" t="e">
        <f>NSR95*NSS95*NST95</f>
        <v>#DIV/0!</v>
      </c>
      <c r="NSV95" s="363" t="s">
        <v>153</v>
      </c>
      <c r="NSW95" s="363"/>
      <c r="NSX95" s="363"/>
      <c r="NSY95" s="364" t="s">
        <v>140</v>
      </c>
      <c r="NSZ95" s="365">
        <v>0.5</v>
      </c>
      <c r="NTA95" s="366" t="e">
        <f>10/NSW93</f>
        <v>#DIV/0!</v>
      </c>
      <c r="NTB95" s="367">
        <v>15.38</v>
      </c>
      <c r="NTC95" s="367" t="e">
        <f>NSZ95*NTA95*NTB95</f>
        <v>#DIV/0!</v>
      </c>
      <c r="NTD95" s="363" t="s">
        <v>153</v>
      </c>
      <c r="NTE95" s="363"/>
      <c r="NTF95" s="363"/>
      <c r="NTG95" s="364" t="s">
        <v>140</v>
      </c>
      <c r="NTH95" s="365">
        <v>0.5</v>
      </c>
      <c r="NTI95" s="366" t="e">
        <f>10/NTE93</f>
        <v>#DIV/0!</v>
      </c>
      <c r="NTJ95" s="367">
        <v>15.38</v>
      </c>
      <c r="NTK95" s="367" t="e">
        <f>NTH95*NTI95*NTJ95</f>
        <v>#DIV/0!</v>
      </c>
      <c r="NTL95" s="363" t="s">
        <v>153</v>
      </c>
      <c r="NTM95" s="363"/>
      <c r="NTN95" s="363"/>
      <c r="NTO95" s="364" t="s">
        <v>140</v>
      </c>
      <c r="NTP95" s="365">
        <v>0.5</v>
      </c>
      <c r="NTQ95" s="366" t="e">
        <f>10/NTM93</f>
        <v>#DIV/0!</v>
      </c>
      <c r="NTR95" s="367">
        <v>15.38</v>
      </c>
      <c r="NTS95" s="367" t="e">
        <f>NTP95*NTQ95*NTR95</f>
        <v>#DIV/0!</v>
      </c>
      <c r="NTT95" s="363" t="s">
        <v>153</v>
      </c>
      <c r="NTU95" s="363"/>
      <c r="NTV95" s="363"/>
      <c r="NTW95" s="364" t="s">
        <v>140</v>
      </c>
      <c r="NTX95" s="365">
        <v>0.5</v>
      </c>
      <c r="NTY95" s="366" t="e">
        <f>10/NTU93</f>
        <v>#DIV/0!</v>
      </c>
      <c r="NTZ95" s="367">
        <v>15.38</v>
      </c>
      <c r="NUA95" s="367" t="e">
        <f>NTX95*NTY95*NTZ95</f>
        <v>#DIV/0!</v>
      </c>
      <c r="NUB95" s="363" t="s">
        <v>153</v>
      </c>
      <c r="NUC95" s="363"/>
      <c r="NUD95" s="363"/>
      <c r="NUE95" s="364" t="s">
        <v>140</v>
      </c>
      <c r="NUF95" s="365">
        <v>0.5</v>
      </c>
      <c r="NUG95" s="366" t="e">
        <f>10/NUC93</f>
        <v>#DIV/0!</v>
      </c>
      <c r="NUH95" s="367">
        <v>15.38</v>
      </c>
      <c r="NUI95" s="367" t="e">
        <f>NUF95*NUG95*NUH95</f>
        <v>#DIV/0!</v>
      </c>
      <c r="NUJ95" s="363" t="s">
        <v>153</v>
      </c>
      <c r="NUK95" s="363"/>
      <c r="NUL95" s="363"/>
      <c r="NUM95" s="364" t="s">
        <v>140</v>
      </c>
      <c r="NUN95" s="365">
        <v>0.5</v>
      </c>
      <c r="NUO95" s="366" t="e">
        <f>10/NUK93</f>
        <v>#DIV/0!</v>
      </c>
      <c r="NUP95" s="367">
        <v>15.38</v>
      </c>
      <c r="NUQ95" s="367" t="e">
        <f>NUN95*NUO95*NUP95</f>
        <v>#DIV/0!</v>
      </c>
      <c r="NUR95" s="363" t="s">
        <v>153</v>
      </c>
      <c r="NUS95" s="363"/>
      <c r="NUT95" s="363"/>
      <c r="NUU95" s="364" t="s">
        <v>140</v>
      </c>
      <c r="NUV95" s="365">
        <v>0.5</v>
      </c>
      <c r="NUW95" s="366" t="e">
        <f>10/NUS93</f>
        <v>#DIV/0!</v>
      </c>
      <c r="NUX95" s="367">
        <v>15.38</v>
      </c>
      <c r="NUY95" s="367" t="e">
        <f>NUV95*NUW95*NUX95</f>
        <v>#DIV/0!</v>
      </c>
      <c r="NUZ95" s="363" t="s">
        <v>153</v>
      </c>
      <c r="NVA95" s="363"/>
      <c r="NVB95" s="363"/>
      <c r="NVC95" s="364" t="s">
        <v>140</v>
      </c>
      <c r="NVD95" s="365">
        <v>0.5</v>
      </c>
      <c r="NVE95" s="366" t="e">
        <f>10/NVA93</f>
        <v>#DIV/0!</v>
      </c>
      <c r="NVF95" s="367">
        <v>15.38</v>
      </c>
      <c r="NVG95" s="367" t="e">
        <f>NVD95*NVE95*NVF95</f>
        <v>#DIV/0!</v>
      </c>
      <c r="NVH95" s="363" t="s">
        <v>153</v>
      </c>
      <c r="NVI95" s="363"/>
      <c r="NVJ95" s="363"/>
      <c r="NVK95" s="364" t="s">
        <v>140</v>
      </c>
      <c r="NVL95" s="365">
        <v>0.5</v>
      </c>
      <c r="NVM95" s="366" t="e">
        <f>10/NVI93</f>
        <v>#DIV/0!</v>
      </c>
      <c r="NVN95" s="367">
        <v>15.38</v>
      </c>
      <c r="NVO95" s="367" t="e">
        <f>NVL95*NVM95*NVN95</f>
        <v>#DIV/0!</v>
      </c>
      <c r="NVP95" s="363" t="s">
        <v>153</v>
      </c>
      <c r="NVQ95" s="363"/>
      <c r="NVR95" s="363"/>
      <c r="NVS95" s="364" t="s">
        <v>140</v>
      </c>
      <c r="NVT95" s="365">
        <v>0.5</v>
      </c>
      <c r="NVU95" s="366" t="e">
        <f>10/NVQ93</f>
        <v>#DIV/0!</v>
      </c>
      <c r="NVV95" s="367">
        <v>15.38</v>
      </c>
      <c r="NVW95" s="367" t="e">
        <f>NVT95*NVU95*NVV95</f>
        <v>#DIV/0!</v>
      </c>
      <c r="NVX95" s="363" t="s">
        <v>153</v>
      </c>
      <c r="NVY95" s="363"/>
      <c r="NVZ95" s="363"/>
      <c r="NWA95" s="364" t="s">
        <v>140</v>
      </c>
      <c r="NWB95" s="365">
        <v>0.5</v>
      </c>
      <c r="NWC95" s="366" t="e">
        <f>10/NVY93</f>
        <v>#DIV/0!</v>
      </c>
      <c r="NWD95" s="367">
        <v>15.38</v>
      </c>
      <c r="NWE95" s="367" t="e">
        <f>NWB95*NWC95*NWD95</f>
        <v>#DIV/0!</v>
      </c>
      <c r="NWF95" s="363" t="s">
        <v>153</v>
      </c>
      <c r="NWG95" s="363"/>
      <c r="NWH95" s="363"/>
      <c r="NWI95" s="364" t="s">
        <v>140</v>
      </c>
      <c r="NWJ95" s="365">
        <v>0.5</v>
      </c>
      <c r="NWK95" s="366" t="e">
        <f>10/NWG93</f>
        <v>#DIV/0!</v>
      </c>
      <c r="NWL95" s="367">
        <v>15.38</v>
      </c>
      <c r="NWM95" s="367" t="e">
        <f>NWJ95*NWK95*NWL95</f>
        <v>#DIV/0!</v>
      </c>
      <c r="NWN95" s="363" t="s">
        <v>153</v>
      </c>
      <c r="NWO95" s="363"/>
      <c r="NWP95" s="363"/>
      <c r="NWQ95" s="364" t="s">
        <v>140</v>
      </c>
      <c r="NWR95" s="365">
        <v>0.5</v>
      </c>
      <c r="NWS95" s="366" t="e">
        <f>10/NWO93</f>
        <v>#DIV/0!</v>
      </c>
      <c r="NWT95" s="367">
        <v>15.38</v>
      </c>
      <c r="NWU95" s="367" t="e">
        <f>NWR95*NWS95*NWT95</f>
        <v>#DIV/0!</v>
      </c>
      <c r="NWV95" s="363" t="s">
        <v>153</v>
      </c>
      <c r="NWW95" s="363"/>
      <c r="NWX95" s="363"/>
      <c r="NWY95" s="364" t="s">
        <v>140</v>
      </c>
      <c r="NWZ95" s="365">
        <v>0.5</v>
      </c>
      <c r="NXA95" s="366" t="e">
        <f>10/NWW93</f>
        <v>#DIV/0!</v>
      </c>
      <c r="NXB95" s="367">
        <v>15.38</v>
      </c>
      <c r="NXC95" s="367" t="e">
        <f>NWZ95*NXA95*NXB95</f>
        <v>#DIV/0!</v>
      </c>
      <c r="NXD95" s="363" t="s">
        <v>153</v>
      </c>
      <c r="NXE95" s="363"/>
      <c r="NXF95" s="363"/>
      <c r="NXG95" s="364" t="s">
        <v>140</v>
      </c>
      <c r="NXH95" s="365">
        <v>0.5</v>
      </c>
      <c r="NXI95" s="366" t="e">
        <f>10/NXE93</f>
        <v>#DIV/0!</v>
      </c>
      <c r="NXJ95" s="367">
        <v>15.38</v>
      </c>
      <c r="NXK95" s="367" t="e">
        <f>NXH95*NXI95*NXJ95</f>
        <v>#DIV/0!</v>
      </c>
      <c r="NXL95" s="363" t="s">
        <v>153</v>
      </c>
      <c r="NXM95" s="363"/>
      <c r="NXN95" s="363"/>
      <c r="NXO95" s="364" t="s">
        <v>140</v>
      </c>
      <c r="NXP95" s="365">
        <v>0.5</v>
      </c>
      <c r="NXQ95" s="366" t="e">
        <f>10/NXM93</f>
        <v>#DIV/0!</v>
      </c>
      <c r="NXR95" s="367">
        <v>15.38</v>
      </c>
      <c r="NXS95" s="367" t="e">
        <f>NXP95*NXQ95*NXR95</f>
        <v>#DIV/0!</v>
      </c>
      <c r="NXT95" s="363" t="s">
        <v>153</v>
      </c>
      <c r="NXU95" s="363"/>
      <c r="NXV95" s="363"/>
      <c r="NXW95" s="364" t="s">
        <v>140</v>
      </c>
      <c r="NXX95" s="365">
        <v>0.5</v>
      </c>
      <c r="NXY95" s="366" t="e">
        <f>10/NXU93</f>
        <v>#DIV/0!</v>
      </c>
      <c r="NXZ95" s="367">
        <v>15.38</v>
      </c>
      <c r="NYA95" s="367" t="e">
        <f>NXX95*NXY95*NXZ95</f>
        <v>#DIV/0!</v>
      </c>
      <c r="NYB95" s="363" t="s">
        <v>153</v>
      </c>
      <c r="NYC95" s="363"/>
      <c r="NYD95" s="363"/>
      <c r="NYE95" s="364" t="s">
        <v>140</v>
      </c>
      <c r="NYF95" s="365">
        <v>0.5</v>
      </c>
      <c r="NYG95" s="366" t="e">
        <f>10/NYC93</f>
        <v>#DIV/0!</v>
      </c>
      <c r="NYH95" s="367">
        <v>15.38</v>
      </c>
      <c r="NYI95" s="367" t="e">
        <f>NYF95*NYG95*NYH95</f>
        <v>#DIV/0!</v>
      </c>
      <c r="NYJ95" s="363" t="s">
        <v>153</v>
      </c>
      <c r="NYK95" s="363"/>
      <c r="NYL95" s="363"/>
      <c r="NYM95" s="364" t="s">
        <v>140</v>
      </c>
      <c r="NYN95" s="365">
        <v>0.5</v>
      </c>
      <c r="NYO95" s="366" t="e">
        <f>10/NYK93</f>
        <v>#DIV/0!</v>
      </c>
      <c r="NYP95" s="367">
        <v>15.38</v>
      </c>
      <c r="NYQ95" s="367" t="e">
        <f>NYN95*NYO95*NYP95</f>
        <v>#DIV/0!</v>
      </c>
      <c r="NYR95" s="363" t="s">
        <v>153</v>
      </c>
      <c r="NYS95" s="363"/>
      <c r="NYT95" s="363"/>
      <c r="NYU95" s="364" t="s">
        <v>140</v>
      </c>
      <c r="NYV95" s="365">
        <v>0.5</v>
      </c>
      <c r="NYW95" s="366" t="e">
        <f>10/NYS93</f>
        <v>#DIV/0!</v>
      </c>
      <c r="NYX95" s="367">
        <v>15.38</v>
      </c>
      <c r="NYY95" s="367" t="e">
        <f>NYV95*NYW95*NYX95</f>
        <v>#DIV/0!</v>
      </c>
      <c r="NYZ95" s="363" t="s">
        <v>153</v>
      </c>
      <c r="NZA95" s="363"/>
      <c r="NZB95" s="363"/>
      <c r="NZC95" s="364" t="s">
        <v>140</v>
      </c>
      <c r="NZD95" s="365">
        <v>0.5</v>
      </c>
      <c r="NZE95" s="366" t="e">
        <f>10/NZA93</f>
        <v>#DIV/0!</v>
      </c>
      <c r="NZF95" s="367">
        <v>15.38</v>
      </c>
      <c r="NZG95" s="367" t="e">
        <f>NZD95*NZE95*NZF95</f>
        <v>#DIV/0!</v>
      </c>
      <c r="NZH95" s="363" t="s">
        <v>153</v>
      </c>
      <c r="NZI95" s="363"/>
      <c r="NZJ95" s="363"/>
      <c r="NZK95" s="364" t="s">
        <v>140</v>
      </c>
      <c r="NZL95" s="365">
        <v>0.5</v>
      </c>
      <c r="NZM95" s="366" t="e">
        <f>10/NZI93</f>
        <v>#DIV/0!</v>
      </c>
      <c r="NZN95" s="367">
        <v>15.38</v>
      </c>
      <c r="NZO95" s="367" t="e">
        <f>NZL95*NZM95*NZN95</f>
        <v>#DIV/0!</v>
      </c>
      <c r="NZP95" s="363" t="s">
        <v>153</v>
      </c>
      <c r="NZQ95" s="363"/>
      <c r="NZR95" s="363"/>
      <c r="NZS95" s="364" t="s">
        <v>140</v>
      </c>
      <c r="NZT95" s="365">
        <v>0.5</v>
      </c>
      <c r="NZU95" s="366" t="e">
        <f>10/NZQ93</f>
        <v>#DIV/0!</v>
      </c>
      <c r="NZV95" s="367">
        <v>15.38</v>
      </c>
      <c r="NZW95" s="367" t="e">
        <f>NZT95*NZU95*NZV95</f>
        <v>#DIV/0!</v>
      </c>
      <c r="NZX95" s="363" t="s">
        <v>153</v>
      </c>
      <c r="NZY95" s="363"/>
      <c r="NZZ95" s="363"/>
      <c r="OAA95" s="364" t="s">
        <v>140</v>
      </c>
      <c r="OAB95" s="365">
        <v>0.5</v>
      </c>
      <c r="OAC95" s="366" t="e">
        <f>10/NZY93</f>
        <v>#DIV/0!</v>
      </c>
      <c r="OAD95" s="367">
        <v>15.38</v>
      </c>
      <c r="OAE95" s="367" t="e">
        <f>OAB95*OAC95*OAD95</f>
        <v>#DIV/0!</v>
      </c>
      <c r="OAF95" s="363" t="s">
        <v>153</v>
      </c>
      <c r="OAG95" s="363"/>
      <c r="OAH95" s="363"/>
      <c r="OAI95" s="364" t="s">
        <v>140</v>
      </c>
      <c r="OAJ95" s="365">
        <v>0.5</v>
      </c>
      <c r="OAK95" s="366" t="e">
        <f>10/OAG93</f>
        <v>#DIV/0!</v>
      </c>
      <c r="OAL95" s="367">
        <v>15.38</v>
      </c>
      <c r="OAM95" s="367" t="e">
        <f>OAJ95*OAK95*OAL95</f>
        <v>#DIV/0!</v>
      </c>
      <c r="OAN95" s="363" t="s">
        <v>153</v>
      </c>
      <c r="OAO95" s="363"/>
      <c r="OAP95" s="363"/>
      <c r="OAQ95" s="364" t="s">
        <v>140</v>
      </c>
      <c r="OAR95" s="365">
        <v>0.5</v>
      </c>
      <c r="OAS95" s="366" t="e">
        <f>10/OAO93</f>
        <v>#DIV/0!</v>
      </c>
      <c r="OAT95" s="367">
        <v>15.38</v>
      </c>
      <c r="OAU95" s="367" t="e">
        <f>OAR95*OAS95*OAT95</f>
        <v>#DIV/0!</v>
      </c>
      <c r="OAV95" s="363" t="s">
        <v>153</v>
      </c>
      <c r="OAW95" s="363"/>
      <c r="OAX95" s="363"/>
      <c r="OAY95" s="364" t="s">
        <v>140</v>
      </c>
      <c r="OAZ95" s="365">
        <v>0.5</v>
      </c>
      <c r="OBA95" s="366" t="e">
        <f>10/OAW93</f>
        <v>#DIV/0!</v>
      </c>
      <c r="OBB95" s="367">
        <v>15.38</v>
      </c>
      <c r="OBC95" s="367" t="e">
        <f>OAZ95*OBA95*OBB95</f>
        <v>#DIV/0!</v>
      </c>
      <c r="OBD95" s="363" t="s">
        <v>153</v>
      </c>
      <c r="OBE95" s="363"/>
      <c r="OBF95" s="363"/>
      <c r="OBG95" s="364" t="s">
        <v>140</v>
      </c>
      <c r="OBH95" s="365">
        <v>0.5</v>
      </c>
      <c r="OBI95" s="366" t="e">
        <f>10/OBE93</f>
        <v>#DIV/0!</v>
      </c>
      <c r="OBJ95" s="367">
        <v>15.38</v>
      </c>
      <c r="OBK95" s="367" t="e">
        <f>OBH95*OBI95*OBJ95</f>
        <v>#DIV/0!</v>
      </c>
      <c r="OBL95" s="363" t="s">
        <v>153</v>
      </c>
      <c r="OBM95" s="363"/>
      <c r="OBN95" s="363"/>
      <c r="OBO95" s="364" t="s">
        <v>140</v>
      </c>
      <c r="OBP95" s="365">
        <v>0.5</v>
      </c>
      <c r="OBQ95" s="366" t="e">
        <f>10/OBM93</f>
        <v>#DIV/0!</v>
      </c>
      <c r="OBR95" s="367">
        <v>15.38</v>
      </c>
      <c r="OBS95" s="367" t="e">
        <f>OBP95*OBQ95*OBR95</f>
        <v>#DIV/0!</v>
      </c>
      <c r="OBT95" s="363" t="s">
        <v>153</v>
      </c>
      <c r="OBU95" s="363"/>
      <c r="OBV95" s="363"/>
      <c r="OBW95" s="364" t="s">
        <v>140</v>
      </c>
      <c r="OBX95" s="365">
        <v>0.5</v>
      </c>
      <c r="OBY95" s="366" t="e">
        <f>10/OBU93</f>
        <v>#DIV/0!</v>
      </c>
      <c r="OBZ95" s="367">
        <v>15.38</v>
      </c>
      <c r="OCA95" s="367" t="e">
        <f>OBX95*OBY95*OBZ95</f>
        <v>#DIV/0!</v>
      </c>
      <c r="OCB95" s="363" t="s">
        <v>153</v>
      </c>
      <c r="OCC95" s="363"/>
      <c r="OCD95" s="363"/>
      <c r="OCE95" s="364" t="s">
        <v>140</v>
      </c>
      <c r="OCF95" s="365">
        <v>0.5</v>
      </c>
      <c r="OCG95" s="366" t="e">
        <f>10/OCC93</f>
        <v>#DIV/0!</v>
      </c>
      <c r="OCH95" s="367">
        <v>15.38</v>
      </c>
      <c r="OCI95" s="367" t="e">
        <f>OCF95*OCG95*OCH95</f>
        <v>#DIV/0!</v>
      </c>
      <c r="OCJ95" s="363" t="s">
        <v>153</v>
      </c>
      <c r="OCK95" s="363"/>
      <c r="OCL95" s="363"/>
      <c r="OCM95" s="364" t="s">
        <v>140</v>
      </c>
      <c r="OCN95" s="365">
        <v>0.5</v>
      </c>
      <c r="OCO95" s="366" t="e">
        <f>10/OCK93</f>
        <v>#DIV/0!</v>
      </c>
      <c r="OCP95" s="367">
        <v>15.38</v>
      </c>
      <c r="OCQ95" s="367" t="e">
        <f>OCN95*OCO95*OCP95</f>
        <v>#DIV/0!</v>
      </c>
      <c r="OCR95" s="363" t="s">
        <v>153</v>
      </c>
      <c r="OCS95" s="363"/>
      <c r="OCT95" s="363"/>
      <c r="OCU95" s="364" t="s">
        <v>140</v>
      </c>
      <c r="OCV95" s="365">
        <v>0.5</v>
      </c>
      <c r="OCW95" s="366" t="e">
        <f>10/OCS93</f>
        <v>#DIV/0!</v>
      </c>
      <c r="OCX95" s="367">
        <v>15.38</v>
      </c>
      <c r="OCY95" s="367" t="e">
        <f>OCV95*OCW95*OCX95</f>
        <v>#DIV/0!</v>
      </c>
      <c r="OCZ95" s="363" t="s">
        <v>153</v>
      </c>
      <c r="ODA95" s="363"/>
      <c r="ODB95" s="363"/>
      <c r="ODC95" s="364" t="s">
        <v>140</v>
      </c>
      <c r="ODD95" s="365">
        <v>0.5</v>
      </c>
      <c r="ODE95" s="366" t="e">
        <f>10/ODA93</f>
        <v>#DIV/0!</v>
      </c>
      <c r="ODF95" s="367">
        <v>15.38</v>
      </c>
      <c r="ODG95" s="367" t="e">
        <f>ODD95*ODE95*ODF95</f>
        <v>#DIV/0!</v>
      </c>
      <c r="ODH95" s="363" t="s">
        <v>153</v>
      </c>
      <c r="ODI95" s="363"/>
      <c r="ODJ95" s="363"/>
      <c r="ODK95" s="364" t="s">
        <v>140</v>
      </c>
      <c r="ODL95" s="365">
        <v>0.5</v>
      </c>
      <c r="ODM95" s="366" t="e">
        <f>10/ODI93</f>
        <v>#DIV/0!</v>
      </c>
      <c r="ODN95" s="367">
        <v>15.38</v>
      </c>
      <c r="ODO95" s="367" t="e">
        <f>ODL95*ODM95*ODN95</f>
        <v>#DIV/0!</v>
      </c>
      <c r="ODP95" s="363" t="s">
        <v>153</v>
      </c>
      <c r="ODQ95" s="363"/>
      <c r="ODR95" s="363"/>
      <c r="ODS95" s="364" t="s">
        <v>140</v>
      </c>
      <c r="ODT95" s="365">
        <v>0.5</v>
      </c>
      <c r="ODU95" s="366" t="e">
        <f>10/ODQ93</f>
        <v>#DIV/0!</v>
      </c>
      <c r="ODV95" s="367">
        <v>15.38</v>
      </c>
      <c r="ODW95" s="367" t="e">
        <f>ODT95*ODU95*ODV95</f>
        <v>#DIV/0!</v>
      </c>
      <c r="ODX95" s="363" t="s">
        <v>153</v>
      </c>
      <c r="ODY95" s="363"/>
      <c r="ODZ95" s="363"/>
      <c r="OEA95" s="364" t="s">
        <v>140</v>
      </c>
      <c r="OEB95" s="365">
        <v>0.5</v>
      </c>
      <c r="OEC95" s="366" t="e">
        <f>10/ODY93</f>
        <v>#DIV/0!</v>
      </c>
      <c r="OED95" s="367">
        <v>15.38</v>
      </c>
      <c r="OEE95" s="367" t="e">
        <f>OEB95*OEC95*OED95</f>
        <v>#DIV/0!</v>
      </c>
      <c r="OEF95" s="363" t="s">
        <v>153</v>
      </c>
      <c r="OEG95" s="363"/>
      <c r="OEH95" s="363"/>
      <c r="OEI95" s="364" t="s">
        <v>140</v>
      </c>
      <c r="OEJ95" s="365">
        <v>0.5</v>
      </c>
      <c r="OEK95" s="366" t="e">
        <f>10/OEG93</f>
        <v>#DIV/0!</v>
      </c>
      <c r="OEL95" s="367">
        <v>15.38</v>
      </c>
      <c r="OEM95" s="367" t="e">
        <f>OEJ95*OEK95*OEL95</f>
        <v>#DIV/0!</v>
      </c>
      <c r="OEN95" s="363" t="s">
        <v>153</v>
      </c>
      <c r="OEO95" s="363"/>
      <c r="OEP95" s="363"/>
      <c r="OEQ95" s="364" t="s">
        <v>140</v>
      </c>
      <c r="OER95" s="365">
        <v>0.5</v>
      </c>
      <c r="OES95" s="366" t="e">
        <f>10/OEO93</f>
        <v>#DIV/0!</v>
      </c>
      <c r="OET95" s="367">
        <v>15.38</v>
      </c>
      <c r="OEU95" s="367" t="e">
        <f>OER95*OES95*OET95</f>
        <v>#DIV/0!</v>
      </c>
      <c r="OEV95" s="363" t="s">
        <v>153</v>
      </c>
      <c r="OEW95" s="363"/>
      <c r="OEX95" s="363"/>
      <c r="OEY95" s="364" t="s">
        <v>140</v>
      </c>
      <c r="OEZ95" s="365">
        <v>0.5</v>
      </c>
      <c r="OFA95" s="366" t="e">
        <f>10/OEW93</f>
        <v>#DIV/0!</v>
      </c>
      <c r="OFB95" s="367">
        <v>15.38</v>
      </c>
      <c r="OFC95" s="367" t="e">
        <f>OEZ95*OFA95*OFB95</f>
        <v>#DIV/0!</v>
      </c>
      <c r="OFD95" s="363" t="s">
        <v>153</v>
      </c>
      <c r="OFE95" s="363"/>
      <c r="OFF95" s="363"/>
      <c r="OFG95" s="364" t="s">
        <v>140</v>
      </c>
      <c r="OFH95" s="365">
        <v>0.5</v>
      </c>
      <c r="OFI95" s="366" t="e">
        <f>10/OFE93</f>
        <v>#DIV/0!</v>
      </c>
      <c r="OFJ95" s="367">
        <v>15.38</v>
      </c>
      <c r="OFK95" s="367" t="e">
        <f>OFH95*OFI95*OFJ95</f>
        <v>#DIV/0!</v>
      </c>
      <c r="OFL95" s="363" t="s">
        <v>153</v>
      </c>
      <c r="OFM95" s="363"/>
      <c r="OFN95" s="363"/>
      <c r="OFO95" s="364" t="s">
        <v>140</v>
      </c>
      <c r="OFP95" s="365">
        <v>0.5</v>
      </c>
      <c r="OFQ95" s="366" t="e">
        <f>10/OFM93</f>
        <v>#DIV/0!</v>
      </c>
      <c r="OFR95" s="367">
        <v>15.38</v>
      </c>
      <c r="OFS95" s="367" t="e">
        <f>OFP95*OFQ95*OFR95</f>
        <v>#DIV/0!</v>
      </c>
      <c r="OFT95" s="363" t="s">
        <v>153</v>
      </c>
      <c r="OFU95" s="363"/>
      <c r="OFV95" s="363"/>
      <c r="OFW95" s="364" t="s">
        <v>140</v>
      </c>
      <c r="OFX95" s="365">
        <v>0.5</v>
      </c>
      <c r="OFY95" s="366" t="e">
        <f>10/OFU93</f>
        <v>#DIV/0!</v>
      </c>
      <c r="OFZ95" s="367">
        <v>15.38</v>
      </c>
      <c r="OGA95" s="367" t="e">
        <f>OFX95*OFY95*OFZ95</f>
        <v>#DIV/0!</v>
      </c>
      <c r="OGB95" s="363" t="s">
        <v>153</v>
      </c>
      <c r="OGC95" s="363"/>
      <c r="OGD95" s="363"/>
      <c r="OGE95" s="364" t="s">
        <v>140</v>
      </c>
      <c r="OGF95" s="365">
        <v>0.5</v>
      </c>
      <c r="OGG95" s="366" t="e">
        <f>10/OGC93</f>
        <v>#DIV/0!</v>
      </c>
      <c r="OGH95" s="367">
        <v>15.38</v>
      </c>
      <c r="OGI95" s="367" t="e">
        <f>OGF95*OGG95*OGH95</f>
        <v>#DIV/0!</v>
      </c>
      <c r="OGJ95" s="363" t="s">
        <v>153</v>
      </c>
      <c r="OGK95" s="363"/>
      <c r="OGL95" s="363"/>
      <c r="OGM95" s="364" t="s">
        <v>140</v>
      </c>
      <c r="OGN95" s="365">
        <v>0.5</v>
      </c>
      <c r="OGO95" s="366" t="e">
        <f>10/OGK93</f>
        <v>#DIV/0!</v>
      </c>
      <c r="OGP95" s="367">
        <v>15.38</v>
      </c>
      <c r="OGQ95" s="367" t="e">
        <f>OGN95*OGO95*OGP95</f>
        <v>#DIV/0!</v>
      </c>
      <c r="OGR95" s="363" t="s">
        <v>153</v>
      </c>
      <c r="OGS95" s="363"/>
      <c r="OGT95" s="363"/>
      <c r="OGU95" s="364" t="s">
        <v>140</v>
      </c>
      <c r="OGV95" s="365">
        <v>0.5</v>
      </c>
      <c r="OGW95" s="366" t="e">
        <f>10/OGS93</f>
        <v>#DIV/0!</v>
      </c>
      <c r="OGX95" s="367">
        <v>15.38</v>
      </c>
      <c r="OGY95" s="367" t="e">
        <f>OGV95*OGW95*OGX95</f>
        <v>#DIV/0!</v>
      </c>
      <c r="OGZ95" s="363" t="s">
        <v>153</v>
      </c>
      <c r="OHA95" s="363"/>
      <c r="OHB95" s="363"/>
      <c r="OHC95" s="364" t="s">
        <v>140</v>
      </c>
      <c r="OHD95" s="365">
        <v>0.5</v>
      </c>
      <c r="OHE95" s="366" t="e">
        <f>10/OHA93</f>
        <v>#DIV/0!</v>
      </c>
      <c r="OHF95" s="367">
        <v>15.38</v>
      </c>
      <c r="OHG95" s="367" t="e">
        <f>OHD95*OHE95*OHF95</f>
        <v>#DIV/0!</v>
      </c>
      <c r="OHH95" s="363" t="s">
        <v>153</v>
      </c>
      <c r="OHI95" s="363"/>
      <c r="OHJ95" s="363"/>
      <c r="OHK95" s="364" t="s">
        <v>140</v>
      </c>
      <c r="OHL95" s="365">
        <v>0.5</v>
      </c>
      <c r="OHM95" s="366" t="e">
        <f>10/OHI93</f>
        <v>#DIV/0!</v>
      </c>
      <c r="OHN95" s="367">
        <v>15.38</v>
      </c>
      <c r="OHO95" s="367" t="e">
        <f>OHL95*OHM95*OHN95</f>
        <v>#DIV/0!</v>
      </c>
      <c r="OHP95" s="363" t="s">
        <v>153</v>
      </c>
      <c r="OHQ95" s="363"/>
      <c r="OHR95" s="363"/>
      <c r="OHS95" s="364" t="s">
        <v>140</v>
      </c>
      <c r="OHT95" s="365">
        <v>0.5</v>
      </c>
      <c r="OHU95" s="366" t="e">
        <f>10/OHQ93</f>
        <v>#DIV/0!</v>
      </c>
      <c r="OHV95" s="367">
        <v>15.38</v>
      </c>
      <c r="OHW95" s="367" t="e">
        <f>OHT95*OHU95*OHV95</f>
        <v>#DIV/0!</v>
      </c>
      <c r="OHX95" s="363" t="s">
        <v>153</v>
      </c>
      <c r="OHY95" s="363"/>
      <c r="OHZ95" s="363"/>
      <c r="OIA95" s="364" t="s">
        <v>140</v>
      </c>
      <c r="OIB95" s="365">
        <v>0.5</v>
      </c>
      <c r="OIC95" s="366" t="e">
        <f>10/OHY93</f>
        <v>#DIV/0!</v>
      </c>
      <c r="OID95" s="367">
        <v>15.38</v>
      </c>
      <c r="OIE95" s="367" t="e">
        <f>OIB95*OIC95*OID95</f>
        <v>#DIV/0!</v>
      </c>
      <c r="OIF95" s="363" t="s">
        <v>153</v>
      </c>
      <c r="OIG95" s="363"/>
      <c r="OIH95" s="363"/>
      <c r="OII95" s="364" t="s">
        <v>140</v>
      </c>
      <c r="OIJ95" s="365">
        <v>0.5</v>
      </c>
      <c r="OIK95" s="366" t="e">
        <f>10/OIG93</f>
        <v>#DIV/0!</v>
      </c>
      <c r="OIL95" s="367">
        <v>15.38</v>
      </c>
      <c r="OIM95" s="367" t="e">
        <f>OIJ95*OIK95*OIL95</f>
        <v>#DIV/0!</v>
      </c>
      <c r="OIN95" s="363" t="s">
        <v>153</v>
      </c>
      <c r="OIO95" s="363"/>
      <c r="OIP95" s="363"/>
      <c r="OIQ95" s="364" t="s">
        <v>140</v>
      </c>
      <c r="OIR95" s="365">
        <v>0.5</v>
      </c>
      <c r="OIS95" s="366" t="e">
        <f>10/OIO93</f>
        <v>#DIV/0!</v>
      </c>
      <c r="OIT95" s="367">
        <v>15.38</v>
      </c>
      <c r="OIU95" s="367" t="e">
        <f>OIR95*OIS95*OIT95</f>
        <v>#DIV/0!</v>
      </c>
      <c r="OIV95" s="363" t="s">
        <v>153</v>
      </c>
      <c r="OIW95" s="363"/>
      <c r="OIX95" s="363"/>
      <c r="OIY95" s="364" t="s">
        <v>140</v>
      </c>
      <c r="OIZ95" s="365">
        <v>0.5</v>
      </c>
      <c r="OJA95" s="366" t="e">
        <f>10/OIW93</f>
        <v>#DIV/0!</v>
      </c>
      <c r="OJB95" s="367">
        <v>15.38</v>
      </c>
      <c r="OJC95" s="367" t="e">
        <f>OIZ95*OJA95*OJB95</f>
        <v>#DIV/0!</v>
      </c>
      <c r="OJD95" s="363" t="s">
        <v>153</v>
      </c>
      <c r="OJE95" s="363"/>
      <c r="OJF95" s="363"/>
      <c r="OJG95" s="364" t="s">
        <v>140</v>
      </c>
      <c r="OJH95" s="365">
        <v>0.5</v>
      </c>
      <c r="OJI95" s="366" t="e">
        <f>10/OJE93</f>
        <v>#DIV/0!</v>
      </c>
      <c r="OJJ95" s="367">
        <v>15.38</v>
      </c>
      <c r="OJK95" s="367" t="e">
        <f>OJH95*OJI95*OJJ95</f>
        <v>#DIV/0!</v>
      </c>
      <c r="OJL95" s="363" t="s">
        <v>153</v>
      </c>
      <c r="OJM95" s="363"/>
      <c r="OJN95" s="363"/>
      <c r="OJO95" s="364" t="s">
        <v>140</v>
      </c>
      <c r="OJP95" s="365">
        <v>0.5</v>
      </c>
      <c r="OJQ95" s="366" t="e">
        <f>10/OJM93</f>
        <v>#DIV/0!</v>
      </c>
      <c r="OJR95" s="367">
        <v>15.38</v>
      </c>
      <c r="OJS95" s="367" t="e">
        <f>OJP95*OJQ95*OJR95</f>
        <v>#DIV/0!</v>
      </c>
      <c r="OJT95" s="363" t="s">
        <v>153</v>
      </c>
      <c r="OJU95" s="363"/>
      <c r="OJV95" s="363"/>
      <c r="OJW95" s="364" t="s">
        <v>140</v>
      </c>
      <c r="OJX95" s="365">
        <v>0.5</v>
      </c>
      <c r="OJY95" s="366" t="e">
        <f>10/OJU93</f>
        <v>#DIV/0!</v>
      </c>
      <c r="OJZ95" s="367">
        <v>15.38</v>
      </c>
      <c r="OKA95" s="367" t="e">
        <f>OJX95*OJY95*OJZ95</f>
        <v>#DIV/0!</v>
      </c>
      <c r="OKB95" s="363" t="s">
        <v>153</v>
      </c>
      <c r="OKC95" s="363"/>
      <c r="OKD95" s="363"/>
      <c r="OKE95" s="364" t="s">
        <v>140</v>
      </c>
      <c r="OKF95" s="365">
        <v>0.5</v>
      </c>
      <c r="OKG95" s="366" t="e">
        <f>10/OKC93</f>
        <v>#DIV/0!</v>
      </c>
      <c r="OKH95" s="367">
        <v>15.38</v>
      </c>
      <c r="OKI95" s="367" t="e">
        <f>OKF95*OKG95*OKH95</f>
        <v>#DIV/0!</v>
      </c>
      <c r="OKJ95" s="363" t="s">
        <v>153</v>
      </c>
      <c r="OKK95" s="363"/>
      <c r="OKL95" s="363"/>
      <c r="OKM95" s="364" t="s">
        <v>140</v>
      </c>
      <c r="OKN95" s="365">
        <v>0.5</v>
      </c>
      <c r="OKO95" s="366" t="e">
        <f>10/OKK93</f>
        <v>#DIV/0!</v>
      </c>
      <c r="OKP95" s="367">
        <v>15.38</v>
      </c>
      <c r="OKQ95" s="367" t="e">
        <f>OKN95*OKO95*OKP95</f>
        <v>#DIV/0!</v>
      </c>
      <c r="OKR95" s="363" t="s">
        <v>153</v>
      </c>
      <c r="OKS95" s="363"/>
      <c r="OKT95" s="363"/>
      <c r="OKU95" s="364" t="s">
        <v>140</v>
      </c>
      <c r="OKV95" s="365">
        <v>0.5</v>
      </c>
      <c r="OKW95" s="366" t="e">
        <f>10/OKS93</f>
        <v>#DIV/0!</v>
      </c>
      <c r="OKX95" s="367">
        <v>15.38</v>
      </c>
      <c r="OKY95" s="367" t="e">
        <f>OKV95*OKW95*OKX95</f>
        <v>#DIV/0!</v>
      </c>
      <c r="OKZ95" s="363" t="s">
        <v>153</v>
      </c>
      <c r="OLA95" s="363"/>
      <c r="OLB95" s="363"/>
      <c r="OLC95" s="364" t="s">
        <v>140</v>
      </c>
      <c r="OLD95" s="365">
        <v>0.5</v>
      </c>
      <c r="OLE95" s="366" t="e">
        <f>10/OLA93</f>
        <v>#DIV/0!</v>
      </c>
      <c r="OLF95" s="367">
        <v>15.38</v>
      </c>
      <c r="OLG95" s="367" t="e">
        <f>OLD95*OLE95*OLF95</f>
        <v>#DIV/0!</v>
      </c>
      <c r="OLH95" s="363" t="s">
        <v>153</v>
      </c>
      <c r="OLI95" s="363"/>
      <c r="OLJ95" s="363"/>
      <c r="OLK95" s="364" t="s">
        <v>140</v>
      </c>
      <c r="OLL95" s="365">
        <v>0.5</v>
      </c>
      <c r="OLM95" s="366" t="e">
        <f>10/OLI93</f>
        <v>#DIV/0!</v>
      </c>
      <c r="OLN95" s="367">
        <v>15.38</v>
      </c>
      <c r="OLO95" s="367" t="e">
        <f>OLL95*OLM95*OLN95</f>
        <v>#DIV/0!</v>
      </c>
      <c r="OLP95" s="363" t="s">
        <v>153</v>
      </c>
      <c r="OLQ95" s="363"/>
      <c r="OLR95" s="363"/>
      <c r="OLS95" s="364" t="s">
        <v>140</v>
      </c>
      <c r="OLT95" s="365">
        <v>0.5</v>
      </c>
      <c r="OLU95" s="366" t="e">
        <f>10/OLQ93</f>
        <v>#DIV/0!</v>
      </c>
      <c r="OLV95" s="367">
        <v>15.38</v>
      </c>
      <c r="OLW95" s="367" t="e">
        <f>OLT95*OLU95*OLV95</f>
        <v>#DIV/0!</v>
      </c>
      <c r="OLX95" s="363" t="s">
        <v>153</v>
      </c>
      <c r="OLY95" s="363"/>
      <c r="OLZ95" s="363"/>
      <c r="OMA95" s="364" t="s">
        <v>140</v>
      </c>
      <c r="OMB95" s="365">
        <v>0.5</v>
      </c>
      <c r="OMC95" s="366" t="e">
        <f>10/OLY93</f>
        <v>#DIV/0!</v>
      </c>
      <c r="OMD95" s="367">
        <v>15.38</v>
      </c>
      <c r="OME95" s="367" t="e">
        <f>OMB95*OMC95*OMD95</f>
        <v>#DIV/0!</v>
      </c>
      <c r="OMF95" s="363" t="s">
        <v>153</v>
      </c>
      <c r="OMG95" s="363"/>
      <c r="OMH95" s="363"/>
      <c r="OMI95" s="364" t="s">
        <v>140</v>
      </c>
      <c r="OMJ95" s="365">
        <v>0.5</v>
      </c>
      <c r="OMK95" s="366" t="e">
        <f>10/OMG93</f>
        <v>#DIV/0!</v>
      </c>
      <c r="OML95" s="367">
        <v>15.38</v>
      </c>
      <c r="OMM95" s="367" t="e">
        <f>OMJ95*OMK95*OML95</f>
        <v>#DIV/0!</v>
      </c>
      <c r="OMN95" s="363" t="s">
        <v>153</v>
      </c>
      <c r="OMO95" s="363"/>
      <c r="OMP95" s="363"/>
      <c r="OMQ95" s="364" t="s">
        <v>140</v>
      </c>
      <c r="OMR95" s="365">
        <v>0.5</v>
      </c>
      <c r="OMS95" s="366" t="e">
        <f>10/OMO93</f>
        <v>#DIV/0!</v>
      </c>
      <c r="OMT95" s="367">
        <v>15.38</v>
      </c>
      <c r="OMU95" s="367" t="e">
        <f>OMR95*OMS95*OMT95</f>
        <v>#DIV/0!</v>
      </c>
      <c r="OMV95" s="363" t="s">
        <v>153</v>
      </c>
      <c r="OMW95" s="363"/>
      <c r="OMX95" s="363"/>
      <c r="OMY95" s="364" t="s">
        <v>140</v>
      </c>
      <c r="OMZ95" s="365">
        <v>0.5</v>
      </c>
      <c r="ONA95" s="366" t="e">
        <f>10/OMW93</f>
        <v>#DIV/0!</v>
      </c>
      <c r="ONB95" s="367">
        <v>15.38</v>
      </c>
      <c r="ONC95" s="367" t="e">
        <f>OMZ95*ONA95*ONB95</f>
        <v>#DIV/0!</v>
      </c>
      <c r="OND95" s="363" t="s">
        <v>153</v>
      </c>
      <c r="ONE95" s="363"/>
      <c r="ONF95" s="363"/>
      <c r="ONG95" s="364" t="s">
        <v>140</v>
      </c>
      <c r="ONH95" s="365">
        <v>0.5</v>
      </c>
      <c r="ONI95" s="366" t="e">
        <f>10/ONE93</f>
        <v>#DIV/0!</v>
      </c>
      <c r="ONJ95" s="367">
        <v>15.38</v>
      </c>
      <c r="ONK95" s="367" t="e">
        <f>ONH95*ONI95*ONJ95</f>
        <v>#DIV/0!</v>
      </c>
      <c r="ONL95" s="363" t="s">
        <v>153</v>
      </c>
      <c r="ONM95" s="363"/>
      <c r="ONN95" s="363"/>
      <c r="ONO95" s="364" t="s">
        <v>140</v>
      </c>
      <c r="ONP95" s="365">
        <v>0.5</v>
      </c>
      <c r="ONQ95" s="366" t="e">
        <f>10/ONM93</f>
        <v>#DIV/0!</v>
      </c>
      <c r="ONR95" s="367">
        <v>15.38</v>
      </c>
      <c r="ONS95" s="367" t="e">
        <f>ONP95*ONQ95*ONR95</f>
        <v>#DIV/0!</v>
      </c>
      <c r="ONT95" s="363" t="s">
        <v>153</v>
      </c>
      <c r="ONU95" s="363"/>
      <c r="ONV95" s="363"/>
      <c r="ONW95" s="364" t="s">
        <v>140</v>
      </c>
      <c r="ONX95" s="365">
        <v>0.5</v>
      </c>
      <c r="ONY95" s="366" t="e">
        <f>10/ONU93</f>
        <v>#DIV/0!</v>
      </c>
      <c r="ONZ95" s="367">
        <v>15.38</v>
      </c>
      <c r="OOA95" s="367" t="e">
        <f>ONX95*ONY95*ONZ95</f>
        <v>#DIV/0!</v>
      </c>
      <c r="OOB95" s="363" t="s">
        <v>153</v>
      </c>
      <c r="OOC95" s="363"/>
      <c r="OOD95" s="363"/>
      <c r="OOE95" s="364" t="s">
        <v>140</v>
      </c>
      <c r="OOF95" s="365">
        <v>0.5</v>
      </c>
      <c r="OOG95" s="366" t="e">
        <f>10/OOC93</f>
        <v>#DIV/0!</v>
      </c>
      <c r="OOH95" s="367">
        <v>15.38</v>
      </c>
      <c r="OOI95" s="367" t="e">
        <f>OOF95*OOG95*OOH95</f>
        <v>#DIV/0!</v>
      </c>
      <c r="OOJ95" s="363" t="s">
        <v>153</v>
      </c>
      <c r="OOK95" s="363"/>
      <c r="OOL95" s="363"/>
      <c r="OOM95" s="364" t="s">
        <v>140</v>
      </c>
      <c r="OON95" s="365">
        <v>0.5</v>
      </c>
      <c r="OOO95" s="366" t="e">
        <f>10/OOK93</f>
        <v>#DIV/0!</v>
      </c>
      <c r="OOP95" s="367">
        <v>15.38</v>
      </c>
      <c r="OOQ95" s="367" t="e">
        <f>OON95*OOO95*OOP95</f>
        <v>#DIV/0!</v>
      </c>
      <c r="OOR95" s="363" t="s">
        <v>153</v>
      </c>
      <c r="OOS95" s="363"/>
      <c r="OOT95" s="363"/>
      <c r="OOU95" s="364" t="s">
        <v>140</v>
      </c>
      <c r="OOV95" s="365">
        <v>0.5</v>
      </c>
      <c r="OOW95" s="366" t="e">
        <f>10/OOS93</f>
        <v>#DIV/0!</v>
      </c>
      <c r="OOX95" s="367">
        <v>15.38</v>
      </c>
      <c r="OOY95" s="367" t="e">
        <f>OOV95*OOW95*OOX95</f>
        <v>#DIV/0!</v>
      </c>
      <c r="OOZ95" s="363" t="s">
        <v>153</v>
      </c>
      <c r="OPA95" s="363"/>
      <c r="OPB95" s="363"/>
      <c r="OPC95" s="364" t="s">
        <v>140</v>
      </c>
      <c r="OPD95" s="365">
        <v>0.5</v>
      </c>
      <c r="OPE95" s="366" t="e">
        <f>10/OPA93</f>
        <v>#DIV/0!</v>
      </c>
      <c r="OPF95" s="367">
        <v>15.38</v>
      </c>
      <c r="OPG95" s="367" t="e">
        <f>OPD95*OPE95*OPF95</f>
        <v>#DIV/0!</v>
      </c>
      <c r="OPH95" s="363" t="s">
        <v>153</v>
      </c>
      <c r="OPI95" s="363"/>
      <c r="OPJ95" s="363"/>
      <c r="OPK95" s="364" t="s">
        <v>140</v>
      </c>
      <c r="OPL95" s="365">
        <v>0.5</v>
      </c>
      <c r="OPM95" s="366" t="e">
        <f>10/OPI93</f>
        <v>#DIV/0!</v>
      </c>
      <c r="OPN95" s="367">
        <v>15.38</v>
      </c>
      <c r="OPO95" s="367" t="e">
        <f>OPL95*OPM95*OPN95</f>
        <v>#DIV/0!</v>
      </c>
      <c r="OPP95" s="363" t="s">
        <v>153</v>
      </c>
      <c r="OPQ95" s="363"/>
      <c r="OPR95" s="363"/>
      <c r="OPS95" s="364" t="s">
        <v>140</v>
      </c>
      <c r="OPT95" s="365">
        <v>0.5</v>
      </c>
      <c r="OPU95" s="366" t="e">
        <f>10/OPQ93</f>
        <v>#DIV/0!</v>
      </c>
      <c r="OPV95" s="367">
        <v>15.38</v>
      </c>
      <c r="OPW95" s="367" t="e">
        <f>OPT95*OPU95*OPV95</f>
        <v>#DIV/0!</v>
      </c>
      <c r="OPX95" s="363" t="s">
        <v>153</v>
      </c>
      <c r="OPY95" s="363"/>
      <c r="OPZ95" s="363"/>
      <c r="OQA95" s="364" t="s">
        <v>140</v>
      </c>
      <c r="OQB95" s="365">
        <v>0.5</v>
      </c>
      <c r="OQC95" s="366" t="e">
        <f>10/OPY93</f>
        <v>#DIV/0!</v>
      </c>
      <c r="OQD95" s="367">
        <v>15.38</v>
      </c>
      <c r="OQE95" s="367" t="e">
        <f>OQB95*OQC95*OQD95</f>
        <v>#DIV/0!</v>
      </c>
      <c r="OQF95" s="363" t="s">
        <v>153</v>
      </c>
      <c r="OQG95" s="363"/>
      <c r="OQH95" s="363"/>
      <c r="OQI95" s="364" t="s">
        <v>140</v>
      </c>
      <c r="OQJ95" s="365">
        <v>0.5</v>
      </c>
      <c r="OQK95" s="366" t="e">
        <f>10/OQG93</f>
        <v>#DIV/0!</v>
      </c>
      <c r="OQL95" s="367">
        <v>15.38</v>
      </c>
      <c r="OQM95" s="367" t="e">
        <f>OQJ95*OQK95*OQL95</f>
        <v>#DIV/0!</v>
      </c>
      <c r="OQN95" s="363" t="s">
        <v>153</v>
      </c>
      <c r="OQO95" s="363"/>
      <c r="OQP95" s="363"/>
      <c r="OQQ95" s="364" t="s">
        <v>140</v>
      </c>
      <c r="OQR95" s="365">
        <v>0.5</v>
      </c>
      <c r="OQS95" s="366" t="e">
        <f>10/OQO93</f>
        <v>#DIV/0!</v>
      </c>
      <c r="OQT95" s="367">
        <v>15.38</v>
      </c>
      <c r="OQU95" s="367" t="e">
        <f>OQR95*OQS95*OQT95</f>
        <v>#DIV/0!</v>
      </c>
      <c r="OQV95" s="363" t="s">
        <v>153</v>
      </c>
      <c r="OQW95" s="363"/>
      <c r="OQX95" s="363"/>
      <c r="OQY95" s="364" t="s">
        <v>140</v>
      </c>
      <c r="OQZ95" s="365">
        <v>0.5</v>
      </c>
      <c r="ORA95" s="366" t="e">
        <f>10/OQW93</f>
        <v>#DIV/0!</v>
      </c>
      <c r="ORB95" s="367">
        <v>15.38</v>
      </c>
      <c r="ORC95" s="367" t="e">
        <f>OQZ95*ORA95*ORB95</f>
        <v>#DIV/0!</v>
      </c>
      <c r="ORD95" s="363" t="s">
        <v>153</v>
      </c>
      <c r="ORE95" s="363"/>
      <c r="ORF95" s="363"/>
      <c r="ORG95" s="364" t="s">
        <v>140</v>
      </c>
      <c r="ORH95" s="365">
        <v>0.5</v>
      </c>
      <c r="ORI95" s="366" t="e">
        <f>10/ORE93</f>
        <v>#DIV/0!</v>
      </c>
      <c r="ORJ95" s="367">
        <v>15.38</v>
      </c>
      <c r="ORK95" s="367" t="e">
        <f>ORH95*ORI95*ORJ95</f>
        <v>#DIV/0!</v>
      </c>
      <c r="ORL95" s="363" t="s">
        <v>153</v>
      </c>
      <c r="ORM95" s="363"/>
      <c r="ORN95" s="363"/>
      <c r="ORO95" s="364" t="s">
        <v>140</v>
      </c>
      <c r="ORP95" s="365">
        <v>0.5</v>
      </c>
      <c r="ORQ95" s="366" t="e">
        <f>10/ORM93</f>
        <v>#DIV/0!</v>
      </c>
      <c r="ORR95" s="367">
        <v>15.38</v>
      </c>
      <c r="ORS95" s="367" t="e">
        <f>ORP95*ORQ95*ORR95</f>
        <v>#DIV/0!</v>
      </c>
      <c r="ORT95" s="363" t="s">
        <v>153</v>
      </c>
      <c r="ORU95" s="363"/>
      <c r="ORV95" s="363"/>
      <c r="ORW95" s="364" t="s">
        <v>140</v>
      </c>
      <c r="ORX95" s="365">
        <v>0.5</v>
      </c>
      <c r="ORY95" s="366" t="e">
        <f>10/ORU93</f>
        <v>#DIV/0!</v>
      </c>
      <c r="ORZ95" s="367">
        <v>15.38</v>
      </c>
      <c r="OSA95" s="367" t="e">
        <f>ORX95*ORY95*ORZ95</f>
        <v>#DIV/0!</v>
      </c>
      <c r="OSB95" s="363" t="s">
        <v>153</v>
      </c>
      <c r="OSC95" s="363"/>
      <c r="OSD95" s="363"/>
      <c r="OSE95" s="364" t="s">
        <v>140</v>
      </c>
      <c r="OSF95" s="365">
        <v>0.5</v>
      </c>
      <c r="OSG95" s="366" t="e">
        <f>10/OSC93</f>
        <v>#DIV/0!</v>
      </c>
      <c r="OSH95" s="367">
        <v>15.38</v>
      </c>
      <c r="OSI95" s="367" t="e">
        <f>OSF95*OSG95*OSH95</f>
        <v>#DIV/0!</v>
      </c>
      <c r="OSJ95" s="363" t="s">
        <v>153</v>
      </c>
      <c r="OSK95" s="363"/>
      <c r="OSL95" s="363"/>
      <c r="OSM95" s="364" t="s">
        <v>140</v>
      </c>
      <c r="OSN95" s="365">
        <v>0.5</v>
      </c>
      <c r="OSO95" s="366" t="e">
        <f>10/OSK93</f>
        <v>#DIV/0!</v>
      </c>
      <c r="OSP95" s="367">
        <v>15.38</v>
      </c>
      <c r="OSQ95" s="367" t="e">
        <f>OSN95*OSO95*OSP95</f>
        <v>#DIV/0!</v>
      </c>
      <c r="OSR95" s="363" t="s">
        <v>153</v>
      </c>
      <c r="OSS95" s="363"/>
      <c r="OST95" s="363"/>
      <c r="OSU95" s="364" t="s">
        <v>140</v>
      </c>
      <c r="OSV95" s="365">
        <v>0.5</v>
      </c>
      <c r="OSW95" s="366" t="e">
        <f>10/OSS93</f>
        <v>#DIV/0!</v>
      </c>
      <c r="OSX95" s="367">
        <v>15.38</v>
      </c>
      <c r="OSY95" s="367" t="e">
        <f>OSV95*OSW95*OSX95</f>
        <v>#DIV/0!</v>
      </c>
      <c r="OSZ95" s="363" t="s">
        <v>153</v>
      </c>
      <c r="OTA95" s="363"/>
      <c r="OTB95" s="363"/>
      <c r="OTC95" s="364" t="s">
        <v>140</v>
      </c>
      <c r="OTD95" s="365">
        <v>0.5</v>
      </c>
      <c r="OTE95" s="366" t="e">
        <f>10/OTA93</f>
        <v>#DIV/0!</v>
      </c>
      <c r="OTF95" s="367">
        <v>15.38</v>
      </c>
      <c r="OTG95" s="367" t="e">
        <f>OTD95*OTE95*OTF95</f>
        <v>#DIV/0!</v>
      </c>
      <c r="OTH95" s="363" t="s">
        <v>153</v>
      </c>
      <c r="OTI95" s="363"/>
      <c r="OTJ95" s="363"/>
      <c r="OTK95" s="364" t="s">
        <v>140</v>
      </c>
      <c r="OTL95" s="365">
        <v>0.5</v>
      </c>
      <c r="OTM95" s="366" t="e">
        <f>10/OTI93</f>
        <v>#DIV/0!</v>
      </c>
      <c r="OTN95" s="367">
        <v>15.38</v>
      </c>
      <c r="OTO95" s="367" t="e">
        <f>OTL95*OTM95*OTN95</f>
        <v>#DIV/0!</v>
      </c>
      <c r="OTP95" s="363" t="s">
        <v>153</v>
      </c>
      <c r="OTQ95" s="363"/>
      <c r="OTR95" s="363"/>
      <c r="OTS95" s="364" t="s">
        <v>140</v>
      </c>
      <c r="OTT95" s="365">
        <v>0.5</v>
      </c>
      <c r="OTU95" s="366" t="e">
        <f>10/OTQ93</f>
        <v>#DIV/0!</v>
      </c>
      <c r="OTV95" s="367">
        <v>15.38</v>
      </c>
      <c r="OTW95" s="367" t="e">
        <f>OTT95*OTU95*OTV95</f>
        <v>#DIV/0!</v>
      </c>
      <c r="OTX95" s="363" t="s">
        <v>153</v>
      </c>
      <c r="OTY95" s="363"/>
      <c r="OTZ95" s="363"/>
      <c r="OUA95" s="364" t="s">
        <v>140</v>
      </c>
      <c r="OUB95" s="365">
        <v>0.5</v>
      </c>
      <c r="OUC95" s="366" t="e">
        <f>10/OTY93</f>
        <v>#DIV/0!</v>
      </c>
      <c r="OUD95" s="367">
        <v>15.38</v>
      </c>
      <c r="OUE95" s="367" t="e">
        <f>OUB95*OUC95*OUD95</f>
        <v>#DIV/0!</v>
      </c>
      <c r="OUF95" s="363" t="s">
        <v>153</v>
      </c>
      <c r="OUG95" s="363"/>
      <c r="OUH95" s="363"/>
      <c r="OUI95" s="364" t="s">
        <v>140</v>
      </c>
      <c r="OUJ95" s="365">
        <v>0.5</v>
      </c>
      <c r="OUK95" s="366" t="e">
        <f>10/OUG93</f>
        <v>#DIV/0!</v>
      </c>
      <c r="OUL95" s="367">
        <v>15.38</v>
      </c>
      <c r="OUM95" s="367" t="e">
        <f>OUJ95*OUK95*OUL95</f>
        <v>#DIV/0!</v>
      </c>
      <c r="OUN95" s="363" t="s">
        <v>153</v>
      </c>
      <c r="OUO95" s="363"/>
      <c r="OUP95" s="363"/>
      <c r="OUQ95" s="364" t="s">
        <v>140</v>
      </c>
      <c r="OUR95" s="365">
        <v>0.5</v>
      </c>
      <c r="OUS95" s="366" t="e">
        <f>10/OUO93</f>
        <v>#DIV/0!</v>
      </c>
      <c r="OUT95" s="367">
        <v>15.38</v>
      </c>
      <c r="OUU95" s="367" t="e">
        <f>OUR95*OUS95*OUT95</f>
        <v>#DIV/0!</v>
      </c>
      <c r="OUV95" s="363" t="s">
        <v>153</v>
      </c>
      <c r="OUW95" s="363"/>
      <c r="OUX95" s="363"/>
      <c r="OUY95" s="364" t="s">
        <v>140</v>
      </c>
      <c r="OUZ95" s="365">
        <v>0.5</v>
      </c>
      <c r="OVA95" s="366" t="e">
        <f>10/OUW93</f>
        <v>#DIV/0!</v>
      </c>
      <c r="OVB95" s="367">
        <v>15.38</v>
      </c>
      <c r="OVC95" s="367" t="e">
        <f>OUZ95*OVA95*OVB95</f>
        <v>#DIV/0!</v>
      </c>
      <c r="OVD95" s="363" t="s">
        <v>153</v>
      </c>
      <c r="OVE95" s="363"/>
      <c r="OVF95" s="363"/>
      <c r="OVG95" s="364" t="s">
        <v>140</v>
      </c>
      <c r="OVH95" s="365">
        <v>0.5</v>
      </c>
      <c r="OVI95" s="366" t="e">
        <f>10/OVE93</f>
        <v>#DIV/0!</v>
      </c>
      <c r="OVJ95" s="367">
        <v>15.38</v>
      </c>
      <c r="OVK95" s="367" t="e">
        <f>OVH95*OVI95*OVJ95</f>
        <v>#DIV/0!</v>
      </c>
      <c r="OVL95" s="363" t="s">
        <v>153</v>
      </c>
      <c r="OVM95" s="363"/>
      <c r="OVN95" s="363"/>
      <c r="OVO95" s="364" t="s">
        <v>140</v>
      </c>
      <c r="OVP95" s="365">
        <v>0.5</v>
      </c>
      <c r="OVQ95" s="366" t="e">
        <f>10/OVM93</f>
        <v>#DIV/0!</v>
      </c>
      <c r="OVR95" s="367">
        <v>15.38</v>
      </c>
      <c r="OVS95" s="367" t="e">
        <f>OVP95*OVQ95*OVR95</f>
        <v>#DIV/0!</v>
      </c>
      <c r="OVT95" s="363" t="s">
        <v>153</v>
      </c>
      <c r="OVU95" s="363"/>
      <c r="OVV95" s="363"/>
      <c r="OVW95" s="364" t="s">
        <v>140</v>
      </c>
      <c r="OVX95" s="365">
        <v>0.5</v>
      </c>
      <c r="OVY95" s="366" t="e">
        <f>10/OVU93</f>
        <v>#DIV/0!</v>
      </c>
      <c r="OVZ95" s="367">
        <v>15.38</v>
      </c>
      <c r="OWA95" s="367" t="e">
        <f>OVX95*OVY95*OVZ95</f>
        <v>#DIV/0!</v>
      </c>
      <c r="OWB95" s="363" t="s">
        <v>153</v>
      </c>
      <c r="OWC95" s="363"/>
      <c r="OWD95" s="363"/>
      <c r="OWE95" s="364" t="s">
        <v>140</v>
      </c>
      <c r="OWF95" s="365">
        <v>0.5</v>
      </c>
      <c r="OWG95" s="366" t="e">
        <f>10/OWC93</f>
        <v>#DIV/0!</v>
      </c>
      <c r="OWH95" s="367">
        <v>15.38</v>
      </c>
      <c r="OWI95" s="367" t="e">
        <f>OWF95*OWG95*OWH95</f>
        <v>#DIV/0!</v>
      </c>
      <c r="OWJ95" s="363" t="s">
        <v>153</v>
      </c>
      <c r="OWK95" s="363"/>
      <c r="OWL95" s="363"/>
      <c r="OWM95" s="364" t="s">
        <v>140</v>
      </c>
      <c r="OWN95" s="365">
        <v>0.5</v>
      </c>
      <c r="OWO95" s="366" t="e">
        <f>10/OWK93</f>
        <v>#DIV/0!</v>
      </c>
      <c r="OWP95" s="367">
        <v>15.38</v>
      </c>
      <c r="OWQ95" s="367" t="e">
        <f>OWN95*OWO95*OWP95</f>
        <v>#DIV/0!</v>
      </c>
      <c r="OWR95" s="363" t="s">
        <v>153</v>
      </c>
      <c r="OWS95" s="363"/>
      <c r="OWT95" s="363"/>
      <c r="OWU95" s="364" t="s">
        <v>140</v>
      </c>
      <c r="OWV95" s="365">
        <v>0.5</v>
      </c>
      <c r="OWW95" s="366" t="e">
        <f>10/OWS93</f>
        <v>#DIV/0!</v>
      </c>
      <c r="OWX95" s="367">
        <v>15.38</v>
      </c>
      <c r="OWY95" s="367" t="e">
        <f>OWV95*OWW95*OWX95</f>
        <v>#DIV/0!</v>
      </c>
      <c r="OWZ95" s="363" t="s">
        <v>153</v>
      </c>
      <c r="OXA95" s="363"/>
      <c r="OXB95" s="363"/>
      <c r="OXC95" s="364" t="s">
        <v>140</v>
      </c>
      <c r="OXD95" s="365">
        <v>0.5</v>
      </c>
      <c r="OXE95" s="366" t="e">
        <f>10/OXA93</f>
        <v>#DIV/0!</v>
      </c>
      <c r="OXF95" s="367">
        <v>15.38</v>
      </c>
      <c r="OXG95" s="367" t="e">
        <f>OXD95*OXE95*OXF95</f>
        <v>#DIV/0!</v>
      </c>
      <c r="OXH95" s="363" t="s">
        <v>153</v>
      </c>
      <c r="OXI95" s="363"/>
      <c r="OXJ95" s="363"/>
      <c r="OXK95" s="364" t="s">
        <v>140</v>
      </c>
      <c r="OXL95" s="365">
        <v>0.5</v>
      </c>
      <c r="OXM95" s="366" t="e">
        <f>10/OXI93</f>
        <v>#DIV/0!</v>
      </c>
      <c r="OXN95" s="367">
        <v>15.38</v>
      </c>
      <c r="OXO95" s="367" t="e">
        <f>OXL95*OXM95*OXN95</f>
        <v>#DIV/0!</v>
      </c>
      <c r="OXP95" s="363" t="s">
        <v>153</v>
      </c>
      <c r="OXQ95" s="363"/>
      <c r="OXR95" s="363"/>
      <c r="OXS95" s="364" t="s">
        <v>140</v>
      </c>
      <c r="OXT95" s="365">
        <v>0.5</v>
      </c>
      <c r="OXU95" s="366" t="e">
        <f>10/OXQ93</f>
        <v>#DIV/0!</v>
      </c>
      <c r="OXV95" s="367">
        <v>15.38</v>
      </c>
      <c r="OXW95" s="367" t="e">
        <f>OXT95*OXU95*OXV95</f>
        <v>#DIV/0!</v>
      </c>
      <c r="OXX95" s="363" t="s">
        <v>153</v>
      </c>
      <c r="OXY95" s="363"/>
      <c r="OXZ95" s="363"/>
      <c r="OYA95" s="364" t="s">
        <v>140</v>
      </c>
      <c r="OYB95" s="365">
        <v>0.5</v>
      </c>
      <c r="OYC95" s="366" t="e">
        <f>10/OXY93</f>
        <v>#DIV/0!</v>
      </c>
      <c r="OYD95" s="367">
        <v>15.38</v>
      </c>
      <c r="OYE95" s="367" t="e">
        <f>OYB95*OYC95*OYD95</f>
        <v>#DIV/0!</v>
      </c>
      <c r="OYF95" s="363" t="s">
        <v>153</v>
      </c>
      <c r="OYG95" s="363"/>
      <c r="OYH95" s="363"/>
      <c r="OYI95" s="364" t="s">
        <v>140</v>
      </c>
      <c r="OYJ95" s="365">
        <v>0.5</v>
      </c>
      <c r="OYK95" s="366" t="e">
        <f>10/OYG93</f>
        <v>#DIV/0!</v>
      </c>
      <c r="OYL95" s="367">
        <v>15.38</v>
      </c>
      <c r="OYM95" s="367" t="e">
        <f>OYJ95*OYK95*OYL95</f>
        <v>#DIV/0!</v>
      </c>
      <c r="OYN95" s="363" t="s">
        <v>153</v>
      </c>
      <c r="OYO95" s="363"/>
      <c r="OYP95" s="363"/>
      <c r="OYQ95" s="364" t="s">
        <v>140</v>
      </c>
      <c r="OYR95" s="365">
        <v>0.5</v>
      </c>
      <c r="OYS95" s="366" t="e">
        <f>10/OYO93</f>
        <v>#DIV/0!</v>
      </c>
      <c r="OYT95" s="367">
        <v>15.38</v>
      </c>
      <c r="OYU95" s="367" t="e">
        <f>OYR95*OYS95*OYT95</f>
        <v>#DIV/0!</v>
      </c>
      <c r="OYV95" s="363" t="s">
        <v>153</v>
      </c>
      <c r="OYW95" s="363"/>
      <c r="OYX95" s="363"/>
      <c r="OYY95" s="364" t="s">
        <v>140</v>
      </c>
      <c r="OYZ95" s="365">
        <v>0.5</v>
      </c>
      <c r="OZA95" s="366" t="e">
        <f>10/OYW93</f>
        <v>#DIV/0!</v>
      </c>
      <c r="OZB95" s="367">
        <v>15.38</v>
      </c>
      <c r="OZC95" s="367" t="e">
        <f>OYZ95*OZA95*OZB95</f>
        <v>#DIV/0!</v>
      </c>
      <c r="OZD95" s="363" t="s">
        <v>153</v>
      </c>
      <c r="OZE95" s="363"/>
      <c r="OZF95" s="363"/>
      <c r="OZG95" s="364" t="s">
        <v>140</v>
      </c>
      <c r="OZH95" s="365">
        <v>0.5</v>
      </c>
      <c r="OZI95" s="366" t="e">
        <f>10/OZE93</f>
        <v>#DIV/0!</v>
      </c>
      <c r="OZJ95" s="367">
        <v>15.38</v>
      </c>
      <c r="OZK95" s="367" t="e">
        <f>OZH95*OZI95*OZJ95</f>
        <v>#DIV/0!</v>
      </c>
      <c r="OZL95" s="363" t="s">
        <v>153</v>
      </c>
      <c r="OZM95" s="363"/>
      <c r="OZN95" s="363"/>
      <c r="OZO95" s="364" t="s">
        <v>140</v>
      </c>
      <c r="OZP95" s="365">
        <v>0.5</v>
      </c>
      <c r="OZQ95" s="366" t="e">
        <f>10/OZM93</f>
        <v>#DIV/0!</v>
      </c>
      <c r="OZR95" s="367">
        <v>15.38</v>
      </c>
      <c r="OZS95" s="367" t="e">
        <f>OZP95*OZQ95*OZR95</f>
        <v>#DIV/0!</v>
      </c>
      <c r="OZT95" s="363" t="s">
        <v>153</v>
      </c>
      <c r="OZU95" s="363"/>
      <c r="OZV95" s="363"/>
      <c r="OZW95" s="364" t="s">
        <v>140</v>
      </c>
      <c r="OZX95" s="365">
        <v>0.5</v>
      </c>
      <c r="OZY95" s="366" t="e">
        <f>10/OZU93</f>
        <v>#DIV/0!</v>
      </c>
      <c r="OZZ95" s="367">
        <v>15.38</v>
      </c>
      <c r="PAA95" s="367" t="e">
        <f>OZX95*OZY95*OZZ95</f>
        <v>#DIV/0!</v>
      </c>
      <c r="PAB95" s="363" t="s">
        <v>153</v>
      </c>
      <c r="PAC95" s="363"/>
      <c r="PAD95" s="363"/>
      <c r="PAE95" s="364" t="s">
        <v>140</v>
      </c>
      <c r="PAF95" s="365">
        <v>0.5</v>
      </c>
      <c r="PAG95" s="366" t="e">
        <f>10/PAC93</f>
        <v>#DIV/0!</v>
      </c>
      <c r="PAH95" s="367">
        <v>15.38</v>
      </c>
      <c r="PAI95" s="367" t="e">
        <f>PAF95*PAG95*PAH95</f>
        <v>#DIV/0!</v>
      </c>
      <c r="PAJ95" s="363" t="s">
        <v>153</v>
      </c>
      <c r="PAK95" s="363"/>
      <c r="PAL95" s="363"/>
      <c r="PAM95" s="364" t="s">
        <v>140</v>
      </c>
      <c r="PAN95" s="365">
        <v>0.5</v>
      </c>
      <c r="PAO95" s="366" t="e">
        <f>10/PAK93</f>
        <v>#DIV/0!</v>
      </c>
      <c r="PAP95" s="367">
        <v>15.38</v>
      </c>
      <c r="PAQ95" s="367" t="e">
        <f>PAN95*PAO95*PAP95</f>
        <v>#DIV/0!</v>
      </c>
      <c r="PAR95" s="363" t="s">
        <v>153</v>
      </c>
      <c r="PAS95" s="363"/>
      <c r="PAT95" s="363"/>
      <c r="PAU95" s="364" t="s">
        <v>140</v>
      </c>
      <c r="PAV95" s="365">
        <v>0.5</v>
      </c>
      <c r="PAW95" s="366" t="e">
        <f>10/PAS93</f>
        <v>#DIV/0!</v>
      </c>
      <c r="PAX95" s="367">
        <v>15.38</v>
      </c>
      <c r="PAY95" s="367" t="e">
        <f>PAV95*PAW95*PAX95</f>
        <v>#DIV/0!</v>
      </c>
      <c r="PAZ95" s="363" t="s">
        <v>153</v>
      </c>
      <c r="PBA95" s="363"/>
      <c r="PBB95" s="363"/>
      <c r="PBC95" s="364" t="s">
        <v>140</v>
      </c>
      <c r="PBD95" s="365">
        <v>0.5</v>
      </c>
      <c r="PBE95" s="366" t="e">
        <f>10/PBA93</f>
        <v>#DIV/0!</v>
      </c>
      <c r="PBF95" s="367">
        <v>15.38</v>
      </c>
      <c r="PBG95" s="367" t="e">
        <f>PBD95*PBE95*PBF95</f>
        <v>#DIV/0!</v>
      </c>
      <c r="PBH95" s="363" t="s">
        <v>153</v>
      </c>
      <c r="PBI95" s="363"/>
      <c r="PBJ95" s="363"/>
      <c r="PBK95" s="364" t="s">
        <v>140</v>
      </c>
      <c r="PBL95" s="365">
        <v>0.5</v>
      </c>
      <c r="PBM95" s="366" t="e">
        <f>10/PBI93</f>
        <v>#DIV/0!</v>
      </c>
      <c r="PBN95" s="367">
        <v>15.38</v>
      </c>
      <c r="PBO95" s="367" t="e">
        <f>PBL95*PBM95*PBN95</f>
        <v>#DIV/0!</v>
      </c>
      <c r="PBP95" s="363" t="s">
        <v>153</v>
      </c>
      <c r="PBQ95" s="363"/>
      <c r="PBR95" s="363"/>
      <c r="PBS95" s="364" t="s">
        <v>140</v>
      </c>
      <c r="PBT95" s="365">
        <v>0.5</v>
      </c>
      <c r="PBU95" s="366" t="e">
        <f>10/PBQ93</f>
        <v>#DIV/0!</v>
      </c>
      <c r="PBV95" s="367">
        <v>15.38</v>
      </c>
      <c r="PBW95" s="367" t="e">
        <f>PBT95*PBU95*PBV95</f>
        <v>#DIV/0!</v>
      </c>
      <c r="PBX95" s="363" t="s">
        <v>153</v>
      </c>
      <c r="PBY95" s="363"/>
      <c r="PBZ95" s="363"/>
      <c r="PCA95" s="364" t="s">
        <v>140</v>
      </c>
      <c r="PCB95" s="365">
        <v>0.5</v>
      </c>
      <c r="PCC95" s="366" t="e">
        <f>10/PBY93</f>
        <v>#DIV/0!</v>
      </c>
      <c r="PCD95" s="367">
        <v>15.38</v>
      </c>
      <c r="PCE95" s="367" t="e">
        <f>PCB95*PCC95*PCD95</f>
        <v>#DIV/0!</v>
      </c>
      <c r="PCF95" s="363" t="s">
        <v>153</v>
      </c>
      <c r="PCG95" s="363"/>
      <c r="PCH95" s="363"/>
      <c r="PCI95" s="364" t="s">
        <v>140</v>
      </c>
      <c r="PCJ95" s="365">
        <v>0.5</v>
      </c>
      <c r="PCK95" s="366" t="e">
        <f>10/PCG93</f>
        <v>#DIV/0!</v>
      </c>
      <c r="PCL95" s="367">
        <v>15.38</v>
      </c>
      <c r="PCM95" s="367" t="e">
        <f>PCJ95*PCK95*PCL95</f>
        <v>#DIV/0!</v>
      </c>
      <c r="PCN95" s="363" t="s">
        <v>153</v>
      </c>
      <c r="PCO95" s="363"/>
      <c r="PCP95" s="363"/>
      <c r="PCQ95" s="364" t="s">
        <v>140</v>
      </c>
      <c r="PCR95" s="365">
        <v>0.5</v>
      </c>
      <c r="PCS95" s="366" t="e">
        <f>10/PCO93</f>
        <v>#DIV/0!</v>
      </c>
      <c r="PCT95" s="367">
        <v>15.38</v>
      </c>
      <c r="PCU95" s="367" t="e">
        <f>PCR95*PCS95*PCT95</f>
        <v>#DIV/0!</v>
      </c>
      <c r="PCV95" s="363" t="s">
        <v>153</v>
      </c>
      <c r="PCW95" s="363"/>
      <c r="PCX95" s="363"/>
      <c r="PCY95" s="364" t="s">
        <v>140</v>
      </c>
      <c r="PCZ95" s="365">
        <v>0.5</v>
      </c>
      <c r="PDA95" s="366" t="e">
        <f>10/PCW93</f>
        <v>#DIV/0!</v>
      </c>
      <c r="PDB95" s="367">
        <v>15.38</v>
      </c>
      <c r="PDC95" s="367" t="e">
        <f>PCZ95*PDA95*PDB95</f>
        <v>#DIV/0!</v>
      </c>
      <c r="PDD95" s="363" t="s">
        <v>153</v>
      </c>
      <c r="PDE95" s="363"/>
      <c r="PDF95" s="363"/>
      <c r="PDG95" s="364" t="s">
        <v>140</v>
      </c>
      <c r="PDH95" s="365">
        <v>0.5</v>
      </c>
      <c r="PDI95" s="366" t="e">
        <f>10/PDE93</f>
        <v>#DIV/0!</v>
      </c>
      <c r="PDJ95" s="367">
        <v>15.38</v>
      </c>
      <c r="PDK95" s="367" t="e">
        <f>PDH95*PDI95*PDJ95</f>
        <v>#DIV/0!</v>
      </c>
      <c r="PDL95" s="363" t="s">
        <v>153</v>
      </c>
      <c r="PDM95" s="363"/>
      <c r="PDN95" s="363"/>
      <c r="PDO95" s="364" t="s">
        <v>140</v>
      </c>
      <c r="PDP95" s="365">
        <v>0.5</v>
      </c>
      <c r="PDQ95" s="366" t="e">
        <f>10/PDM93</f>
        <v>#DIV/0!</v>
      </c>
      <c r="PDR95" s="367">
        <v>15.38</v>
      </c>
      <c r="PDS95" s="367" t="e">
        <f>PDP95*PDQ95*PDR95</f>
        <v>#DIV/0!</v>
      </c>
      <c r="PDT95" s="363" t="s">
        <v>153</v>
      </c>
      <c r="PDU95" s="363"/>
      <c r="PDV95" s="363"/>
      <c r="PDW95" s="364" t="s">
        <v>140</v>
      </c>
      <c r="PDX95" s="365">
        <v>0.5</v>
      </c>
      <c r="PDY95" s="366" t="e">
        <f>10/PDU93</f>
        <v>#DIV/0!</v>
      </c>
      <c r="PDZ95" s="367">
        <v>15.38</v>
      </c>
      <c r="PEA95" s="367" t="e">
        <f>PDX95*PDY95*PDZ95</f>
        <v>#DIV/0!</v>
      </c>
      <c r="PEB95" s="363" t="s">
        <v>153</v>
      </c>
      <c r="PEC95" s="363"/>
      <c r="PED95" s="363"/>
      <c r="PEE95" s="364" t="s">
        <v>140</v>
      </c>
      <c r="PEF95" s="365">
        <v>0.5</v>
      </c>
      <c r="PEG95" s="366" t="e">
        <f>10/PEC93</f>
        <v>#DIV/0!</v>
      </c>
      <c r="PEH95" s="367">
        <v>15.38</v>
      </c>
      <c r="PEI95" s="367" t="e">
        <f>PEF95*PEG95*PEH95</f>
        <v>#DIV/0!</v>
      </c>
      <c r="PEJ95" s="363" t="s">
        <v>153</v>
      </c>
      <c r="PEK95" s="363"/>
      <c r="PEL95" s="363"/>
      <c r="PEM95" s="364" t="s">
        <v>140</v>
      </c>
      <c r="PEN95" s="365">
        <v>0.5</v>
      </c>
      <c r="PEO95" s="366" t="e">
        <f>10/PEK93</f>
        <v>#DIV/0!</v>
      </c>
      <c r="PEP95" s="367">
        <v>15.38</v>
      </c>
      <c r="PEQ95" s="367" t="e">
        <f>PEN95*PEO95*PEP95</f>
        <v>#DIV/0!</v>
      </c>
      <c r="PER95" s="363" t="s">
        <v>153</v>
      </c>
      <c r="PES95" s="363"/>
      <c r="PET95" s="363"/>
      <c r="PEU95" s="364" t="s">
        <v>140</v>
      </c>
      <c r="PEV95" s="365">
        <v>0.5</v>
      </c>
      <c r="PEW95" s="366" t="e">
        <f>10/PES93</f>
        <v>#DIV/0!</v>
      </c>
      <c r="PEX95" s="367">
        <v>15.38</v>
      </c>
      <c r="PEY95" s="367" t="e">
        <f>PEV95*PEW95*PEX95</f>
        <v>#DIV/0!</v>
      </c>
      <c r="PEZ95" s="363" t="s">
        <v>153</v>
      </c>
      <c r="PFA95" s="363"/>
      <c r="PFB95" s="363"/>
      <c r="PFC95" s="364" t="s">
        <v>140</v>
      </c>
      <c r="PFD95" s="365">
        <v>0.5</v>
      </c>
      <c r="PFE95" s="366" t="e">
        <f>10/PFA93</f>
        <v>#DIV/0!</v>
      </c>
      <c r="PFF95" s="367">
        <v>15.38</v>
      </c>
      <c r="PFG95" s="367" t="e">
        <f>PFD95*PFE95*PFF95</f>
        <v>#DIV/0!</v>
      </c>
      <c r="PFH95" s="363" t="s">
        <v>153</v>
      </c>
      <c r="PFI95" s="363"/>
      <c r="PFJ95" s="363"/>
      <c r="PFK95" s="364" t="s">
        <v>140</v>
      </c>
      <c r="PFL95" s="365">
        <v>0.5</v>
      </c>
      <c r="PFM95" s="366" t="e">
        <f>10/PFI93</f>
        <v>#DIV/0!</v>
      </c>
      <c r="PFN95" s="367">
        <v>15.38</v>
      </c>
      <c r="PFO95" s="367" t="e">
        <f>PFL95*PFM95*PFN95</f>
        <v>#DIV/0!</v>
      </c>
      <c r="PFP95" s="363" t="s">
        <v>153</v>
      </c>
      <c r="PFQ95" s="363"/>
      <c r="PFR95" s="363"/>
      <c r="PFS95" s="364" t="s">
        <v>140</v>
      </c>
      <c r="PFT95" s="365">
        <v>0.5</v>
      </c>
      <c r="PFU95" s="366" t="e">
        <f>10/PFQ93</f>
        <v>#DIV/0!</v>
      </c>
      <c r="PFV95" s="367">
        <v>15.38</v>
      </c>
      <c r="PFW95" s="367" t="e">
        <f>PFT95*PFU95*PFV95</f>
        <v>#DIV/0!</v>
      </c>
      <c r="PFX95" s="363" t="s">
        <v>153</v>
      </c>
      <c r="PFY95" s="363"/>
      <c r="PFZ95" s="363"/>
      <c r="PGA95" s="364" t="s">
        <v>140</v>
      </c>
      <c r="PGB95" s="365">
        <v>0.5</v>
      </c>
      <c r="PGC95" s="366" t="e">
        <f>10/PFY93</f>
        <v>#DIV/0!</v>
      </c>
      <c r="PGD95" s="367">
        <v>15.38</v>
      </c>
      <c r="PGE95" s="367" t="e">
        <f>PGB95*PGC95*PGD95</f>
        <v>#DIV/0!</v>
      </c>
      <c r="PGF95" s="363" t="s">
        <v>153</v>
      </c>
      <c r="PGG95" s="363"/>
      <c r="PGH95" s="363"/>
      <c r="PGI95" s="364" t="s">
        <v>140</v>
      </c>
      <c r="PGJ95" s="365">
        <v>0.5</v>
      </c>
      <c r="PGK95" s="366" t="e">
        <f>10/PGG93</f>
        <v>#DIV/0!</v>
      </c>
      <c r="PGL95" s="367">
        <v>15.38</v>
      </c>
      <c r="PGM95" s="367" t="e">
        <f>PGJ95*PGK95*PGL95</f>
        <v>#DIV/0!</v>
      </c>
      <c r="PGN95" s="363" t="s">
        <v>153</v>
      </c>
      <c r="PGO95" s="363"/>
      <c r="PGP95" s="363"/>
      <c r="PGQ95" s="364" t="s">
        <v>140</v>
      </c>
      <c r="PGR95" s="365">
        <v>0.5</v>
      </c>
      <c r="PGS95" s="366" t="e">
        <f>10/PGO93</f>
        <v>#DIV/0!</v>
      </c>
      <c r="PGT95" s="367">
        <v>15.38</v>
      </c>
      <c r="PGU95" s="367" t="e">
        <f>PGR95*PGS95*PGT95</f>
        <v>#DIV/0!</v>
      </c>
      <c r="PGV95" s="363" t="s">
        <v>153</v>
      </c>
      <c r="PGW95" s="363"/>
      <c r="PGX95" s="363"/>
      <c r="PGY95" s="364" t="s">
        <v>140</v>
      </c>
      <c r="PGZ95" s="365">
        <v>0.5</v>
      </c>
      <c r="PHA95" s="366" t="e">
        <f>10/PGW93</f>
        <v>#DIV/0!</v>
      </c>
      <c r="PHB95" s="367">
        <v>15.38</v>
      </c>
      <c r="PHC95" s="367" t="e">
        <f>PGZ95*PHA95*PHB95</f>
        <v>#DIV/0!</v>
      </c>
      <c r="PHD95" s="363" t="s">
        <v>153</v>
      </c>
      <c r="PHE95" s="363"/>
      <c r="PHF95" s="363"/>
      <c r="PHG95" s="364" t="s">
        <v>140</v>
      </c>
      <c r="PHH95" s="365">
        <v>0.5</v>
      </c>
      <c r="PHI95" s="366" t="e">
        <f>10/PHE93</f>
        <v>#DIV/0!</v>
      </c>
      <c r="PHJ95" s="367">
        <v>15.38</v>
      </c>
      <c r="PHK95" s="367" t="e">
        <f>PHH95*PHI95*PHJ95</f>
        <v>#DIV/0!</v>
      </c>
      <c r="PHL95" s="363" t="s">
        <v>153</v>
      </c>
      <c r="PHM95" s="363"/>
      <c r="PHN95" s="363"/>
      <c r="PHO95" s="364" t="s">
        <v>140</v>
      </c>
      <c r="PHP95" s="365">
        <v>0.5</v>
      </c>
      <c r="PHQ95" s="366" t="e">
        <f>10/PHM93</f>
        <v>#DIV/0!</v>
      </c>
      <c r="PHR95" s="367">
        <v>15.38</v>
      </c>
      <c r="PHS95" s="367" t="e">
        <f>PHP95*PHQ95*PHR95</f>
        <v>#DIV/0!</v>
      </c>
      <c r="PHT95" s="363" t="s">
        <v>153</v>
      </c>
      <c r="PHU95" s="363"/>
      <c r="PHV95" s="363"/>
      <c r="PHW95" s="364" t="s">
        <v>140</v>
      </c>
      <c r="PHX95" s="365">
        <v>0.5</v>
      </c>
      <c r="PHY95" s="366" t="e">
        <f>10/PHU93</f>
        <v>#DIV/0!</v>
      </c>
      <c r="PHZ95" s="367">
        <v>15.38</v>
      </c>
      <c r="PIA95" s="367" t="e">
        <f>PHX95*PHY95*PHZ95</f>
        <v>#DIV/0!</v>
      </c>
      <c r="PIB95" s="363" t="s">
        <v>153</v>
      </c>
      <c r="PIC95" s="363"/>
      <c r="PID95" s="363"/>
      <c r="PIE95" s="364" t="s">
        <v>140</v>
      </c>
      <c r="PIF95" s="365">
        <v>0.5</v>
      </c>
      <c r="PIG95" s="366" t="e">
        <f>10/PIC93</f>
        <v>#DIV/0!</v>
      </c>
      <c r="PIH95" s="367">
        <v>15.38</v>
      </c>
      <c r="PII95" s="367" t="e">
        <f>PIF95*PIG95*PIH95</f>
        <v>#DIV/0!</v>
      </c>
      <c r="PIJ95" s="363" t="s">
        <v>153</v>
      </c>
      <c r="PIK95" s="363"/>
      <c r="PIL95" s="363"/>
      <c r="PIM95" s="364" t="s">
        <v>140</v>
      </c>
      <c r="PIN95" s="365">
        <v>0.5</v>
      </c>
      <c r="PIO95" s="366" t="e">
        <f>10/PIK93</f>
        <v>#DIV/0!</v>
      </c>
      <c r="PIP95" s="367">
        <v>15.38</v>
      </c>
      <c r="PIQ95" s="367" t="e">
        <f>PIN95*PIO95*PIP95</f>
        <v>#DIV/0!</v>
      </c>
      <c r="PIR95" s="363" t="s">
        <v>153</v>
      </c>
      <c r="PIS95" s="363"/>
      <c r="PIT95" s="363"/>
      <c r="PIU95" s="364" t="s">
        <v>140</v>
      </c>
      <c r="PIV95" s="365">
        <v>0.5</v>
      </c>
      <c r="PIW95" s="366" t="e">
        <f>10/PIS93</f>
        <v>#DIV/0!</v>
      </c>
      <c r="PIX95" s="367">
        <v>15.38</v>
      </c>
      <c r="PIY95" s="367" t="e">
        <f>PIV95*PIW95*PIX95</f>
        <v>#DIV/0!</v>
      </c>
      <c r="PIZ95" s="363" t="s">
        <v>153</v>
      </c>
      <c r="PJA95" s="363"/>
      <c r="PJB95" s="363"/>
      <c r="PJC95" s="364" t="s">
        <v>140</v>
      </c>
      <c r="PJD95" s="365">
        <v>0.5</v>
      </c>
      <c r="PJE95" s="366" t="e">
        <f>10/PJA93</f>
        <v>#DIV/0!</v>
      </c>
      <c r="PJF95" s="367">
        <v>15.38</v>
      </c>
      <c r="PJG95" s="367" t="e">
        <f>PJD95*PJE95*PJF95</f>
        <v>#DIV/0!</v>
      </c>
      <c r="PJH95" s="363" t="s">
        <v>153</v>
      </c>
      <c r="PJI95" s="363"/>
      <c r="PJJ95" s="363"/>
      <c r="PJK95" s="364" t="s">
        <v>140</v>
      </c>
      <c r="PJL95" s="365">
        <v>0.5</v>
      </c>
      <c r="PJM95" s="366" t="e">
        <f>10/PJI93</f>
        <v>#DIV/0!</v>
      </c>
      <c r="PJN95" s="367">
        <v>15.38</v>
      </c>
      <c r="PJO95" s="367" t="e">
        <f>PJL95*PJM95*PJN95</f>
        <v>#DIV/0!</v>
      </c>
      <c r="PJP95" s="363" t="s">
        <v>153</v>
      </c>
      <c r="PJQ95" s="363"/>
      <c r="PJR95" s="363"/>
      <c r="PJS95" s="364" t="s">
        <v>140</v>
      </c>
      <c r="PJT95" s="365">
        <v>0.5</v>
      </c>
      <c r="PJU95" s="366" t="e">
        <f>10/PJQ93</f>
        <v>#DIV/0!</v>
      </c>
      <c r="PJV95" s="367">
        <v>15.38</v>
      </c>
      <c r="PJW95" s="367" t="e">
        <f>PJT95*PJU95*PJV95</f>
        <v>#DIV/0!</v>
      </c>
      <c r="PJX95" s="363" t="s">
        <v>153</v>
      </c>
      <c r="PJY95" s="363"/>
      <c r="PJZ95" s="363"/>
      <c r="PKA95" s="364" t="s">
        <v>140</v>
      </c>
      <c r="PKB95" s="365">
        <v>0.5</v>
      </c>
      <c r="PKC95" s="366" t="e">
        <f>10/PJY93</f>
        <v>#DIV/0!</v>
      </c>
      <c r="PKD95" s="367">
        <v>15.38</v>
      </c>
      <c r="PKE95" s="367" t="e">
        <f>PKB95*PKC95*PKD95</f>
        <v>#DIV/0!</v>
      </c>
      <c r="PKF95" s="363" t="s">
        <v>153</v>
      </c>
      <c r="PKG95" s="363"/>
      <c r="PKH95" s="363"/>
      <c r="PKI95" s="364" t="s">
        <v>140</v>
      </c>
      <c r="PKJ95" s="365">
        <v>0.5</v>
      </c>
      <c r="PKK95" s="366" t="e">
        <f>10/PKG93</f>
        <v>#DIV/0!</v>
      </c>
      <c r="PKL95" s="367">
        <v>15.38</v>
      </c>
      <c r="PKM95" s="367" t="e">
        <f>PKJ95*PKK95*PKL95</f>
        <v>#DIV/0!</v>
      </c>
      <c r="PKN95" s="363" t="s">
        <v>153</v>
      </c>
      <c r="PKO95" s="363"/>
      <c r="PKP95" s="363"/>
      <c r="PKQ95" s="364" t="s">
        <v>140</v>
      </c>
      <c r="PKR95" s="365">
        <v>0.5</v>
      </c>
      <c r="PKS95" s="366" t="e">
        <f>10/PKO93</f>
        <v>#DIV/0!</v>
      </c>
      <c r="PKT95" s="367">
        <v>15.38</v>
      </c>
      <c r="PKU95" s="367" t="e">
        <f>PKR95*PKS95*PKT95</f>
        <v>#DIV/0!</v>
      </c>
      <c r="PKV95" s="363" t="s">
        <v>153</v>
      </c>
      <c r="PKW95" s="363"/>
      <c r="PKX95" s="363"/>
      <c r="PKY95" s="364" t="s">
        <v>140</v>
      </c>
      <c r="PKZ95" s="365">
        <v>0.5</v>
      </c>
      <c r="PLA95" s="366" t="e">
        <f>10/PKW93</f>
        <v>#DIV/0!</v>
      </c>
      <c r="PLB95" s="367">
        <v>15.38</v>
      </c>
      <c r="PLC95" s="367" t="e">
        <f>PKZ95*PLA95*PLB95</f>
        <v>#DIV/0!</v>
      </c>
      <c r="PLD95" s="363" t="s">
        <v>153</v>
      </c>
      <c r="PLE95" s="363"/>
      <c r="PLF95" s="363"/>
      <c r="PLG95" s="364" t="s">
        <v>140</v>
      </c>
      <c r="PLH95" s="365">
        <v>0.5</v>
      </c>
      <c r="PLI95" s="366" t="e">
        <f>10/PLE93</f>
        <v>#DIV/0!</v>
      </c>
      <c r="PLJ95" s="367">
        <v>15.38</v>
      </c>
      <c r="PLK95" s="367" t="e">
        <f>PLH95*PLI95*PLJ95</f>
        <v>#DIV/0!</v>
      </c>
      <c r="PLL95" s="363" t="s">
        <v>153</v>
      </c>
      <c r="PLM95" s="363"/>
      <c r="PLN95" s="363"/>
      <c r="PLO95" s="364" t="s">
        <v>140</v>
      </c>
      <c r="PLP95" s="365">
        <v>0.5</v>
      </c>
      <c r="PLQ95" s="366" t="e">
        <f>10/PLM93</f>
        <v>#DIV/0!</v>
      </c>
      <c r="PLR95" s="367">
        <v>15.38</v>
      </c>
      <c r="PLS95" s="367" t="e">
        <f>PLP95*PLQ95*PLR95</f>
        <v>#DIV/0!</v>
      </c>
      <c r="PLT95" s="363" t="s">
        <v>153</v>
      </c>
      <c r="PLU95" s="363"/>
      <c r="PLV95" s="363"/>
      <c r="PLW95" s="364" t="s">
        <v>140</v>
      </c>
      <c r="PLX95" s="365">
        <v>0.5</v>
      </c>
      <c r="PLY95" s="366" t="e">
        <f>10/PLU93</f>
        <v>#DIV/0!</v>
      </c>
      <c r="PLZ95" s="367">
        <v>15.38</v>
      </c>
      <c r="PMA95" s="367" t="e">
        <f>PLX95*PLY95*PLZ95</f>
        <v>#DIV/0!</v>
      </c>
      <c r="PMB95" s="363" t="s">
        <v>153</v>
      </c>
      <c r="PMC95" s="363"/>
      <c r="PMD95" s="363"/>
      <c r="PME95" s="364" t="s">
        <v>140</v>
      </c>
      <c r="PMF95" s="365">
        <v>0.5</v>
      </c>
      <c r="PMG95" s="366" t="e">
        <f>10/PMC93</f>
        <v>#DIV/0!</v>
      </c>
      <c r="PMH95" s="367">
        <v>15.38</v>
      </c>
      <c r="PMI95" s="367" t="e">
        <f>PMF95*PMG95*PMH95</f>
        <v>#DIV/0!</v>
      </c>
      <c r="PMJ95" s="363" t="s">
        <v>153</v>
      </c>
      <c r="PMK95" s="363"/>
      <c r="PML95" s="363"/>
      <c r="PMM95" s="364" t="s">
        <v>140</v>
      </c>
      <c r="PMN95" s="365">
        <v>0.5</v>
      </c>
      <c r="PMO95" s="366" t="e">
        <f>10/PMK93</f>
        <v>#DIV/0!</v>
      </c>
      <c r="PMP95" s="367">
        <v>15.38</v>
      </c>
      <c r="PMQ95" s="367" t="e">
        <f>PMN95*PMO95*PMP95</f>
        <v>#DIV/0!</v>
      </c>
      <c r="PMR95" s="363" t="s">
        <v>153</v>
      </c>
      <c r="PMS95" s="363"/>
      <c r="PMT95" s="363"/>
      <c r="PMU95" s="364" t="s">
        <v>140</v>
      </c>
      <c r="PMV95" s="365">
        <v>0.5</v>
      </c>
      <c r="PMW95" s="366" t="e">
        <f>10/PMS93</f>
        <v>#DIV/0!</v>
      </c>
      <c r="PMX95" s="367">
        <v>15.38</v>
      </c>
      <c r="PMY95" s="367" t="e">
        <f>PMV95*PMW95*PMX95</f>
        <v>#DIV/0!</v>
      </c>
      <c r="PMZ95" s="363" t="s">
        <v>153</v>
      </c>
      <c r="PNA95" s="363"/>
      <c r="PNB95" s="363"/>
      <c r="PNC95" s="364" t="s">
        <v>140</v>
      </c>
      <c r="PND95" s="365">
        <v>0.5</v>
      </c>
      <c r="PNE95" s="366" t="e">
        <f>10/PNA93</f>
        <v>#DIV/0!</v>
      </c>
      <c r="PNF95" s="367">
        <v>15.38</v>
      </c>
      <c r="PNG95" s="367" t="e">
        <f>PND95*PNE95*PNF95</f>
        <v>#DIV/0!</v>
      </c>
      <c r="PNH95" s="363" t="s">
        <v>153</v>
      </c>
      <c r="PNI95" s="363"/>
      <c r="PNJ95" s="363"/>
      <c r="PNK95" s="364" t="s">
        <v>140</v>
      </c>
      <c r="PNL95" s="365">
        <v>0.5</v>
      </c>
      <c r="PNM95" s="366" t="e">
        <f>10/PNI93</f>
        <v>#DIV/0!</v>
      </c>
      <c r="PNN95" s="367">
        <v>15.38</v>
      </c>
      <c r="PNO95" s="367" t="e">
        <f>PNL95*PNM95*PNN95</f>
        <v>#DIV/0!</v>
      </c>
      <c r="PNP95" s="363" t="s">
        <v>153</v>
      </c>
      <c r="PNQ95" s="363"/>
      <c r="PNR95" s="363"/>
      <c r="PNS95" s="364" t="s">
        <v>140</v>
      </c>
      <c r="PNT95" s="365">
        <v>0.5</v>
      </c>
      <c r="PNU95" s="366" t="e">
        <f>10/PNQ93</f>
        <v>#DIV/0!</v>
      </c>
      <c r="PNV95" s="367">
        <v>15.38</v>
      </c>
      <c r="PNW95" s="367" t="e">
        <f>PNT95*PNU95*PNV95</f>
        <v>#DIV/0!</v>
      </c>
      <c r="PNX95" s="363" t="s">
        <v>153</v>
      </c>
      <c r="PNY95" s="363"/>
      <c r="PNZ95" s="363"/>
      <c r="POA95" s="364" t="s">
        <v>140</v>
      </c>
      <c r="POB95" s="365">
        <v>0.5</v>
      </c>
      <c r="POC95" s="366" t="e">
        <f>10/PNY93</f>
        <v>#DIV/0!</v>
      </c>
      <c r="POD95" s="367">
        <v>15.38</v>
      </c>
      <c r="POE95" s="367" t="e">
        <f>POB95*POC95*POD95</f>
        <v>#DIV/0!</v>
      </c>
      <c r="POF95" s="363" t="s">
        <v>153</v>
      </c>
      <c r="POG95" s="363"/>
      <c r="POH95" s="363"/>
      <c r="POI95" s="364" t="s">
        <v>140</v>
      </c>
      <c r="POJ95" s="365">
        <v>0.5</v>
      </c>
      <c r="POK95" s="366" t="e">
        <f>10/POG93</f>
        <v>#DIV/0!</v>
      </c>
      <c r="POL95" s="367">
        <v>15.38</v>
      </c>
      <c r="POM95" s="367" t="e">
        <f>POJ95*POK95*POL95</f>
        <v>#DIV/0!</v>
      </c>
      <c r="PON95" s="363" t="s">
        <v>153</v>
      </c>
      <c r="POO95" s="363"/>
      <c r="POP95" s="363"/>
      <c r="POQ95" s="364" t="s">
        <v>140</v>
      </c>
      <c r="POR95" s="365">
        <v>0.5</v>
      </c>
      <c r="POS95" s="366" t="e">
        <f>10/POO93</f>
        <v>#DIV/0!</v>
      </c>
      <c r="POT95" s="367">
        <v>15.38</v>
      </c>
      <c r="POU95" s="367" t="e">
        <f>POR95*POS95*POT95</f>
        <v>#DIV/0!</v>
      </c>
      <c r="POV95" s="363" t="s">
        <v>153</v>
      </c>
      <c r="POW95" s="363"/>
      <c r="POX95" s="363"/>
      <c r="POY95" s="364" t="s">
        <v>140</v>
      </c>
      <c r="POZ95" s="365">
        <v>0.5</v>
      </c>
      <c r="PPA95" s="366" t="e">
        <f>10/POW93</f>
        <v>#DIV/0!</v>
      </c>
      <c r="PPB95" s="367">
        <v>15.38</v>
      </c>
      <c r="PPC95" s="367" t="e">
        <f>POZ95*PPA95*PPB95</f>
        <v>#DIV/0!</v>
      </c>
      <c r="PPD95" s="363" t="s">
        <v>153</v>
      </c>
      <c r="PPE95" s="363"/>
      <c r="PPF95" s="363"/>
      <c r="PPG95" s="364" t="s">
        <v>140</v>
      </c>
      <c r="PPH95" s="365">
        <v>0.5</v>
      </c>
      <c r="PPI95" s="366" t="e">
        <f>10/PPE93</f>
        <v>#DIV/0!</v>
      </c>
      <c r="PPJ95" s="367">
        <v>15.38</v>
      </c>
      <c r="PPK95" s="367" t="e">
        <f>PPH95*PPI95*PPJ95</f>
        <v>#DIV/0!</v>
      </c>
      <c r="PPL95" s="363" t="s">
        <v>153</v>
      </c>
      <c r="PPM95" s="363"/>
      <c r="PPN95" s="363"/>
      <c r="PPO95" s="364" t="s">
        <v>140</v>
      </c>
      <c r="PPP95" s="365">
        <v>0.5</v>
      </c>
      <c r="PPQ95" s="366" t="e">
        <f>10/PPM93</f>
        <v>#DIV/0!</v>
      </c>
      <c r="PPR95" s="367">
        <v>15.38</v>
      </c>
      <c r="PPS95" s="367" t="e">
        <f>PPP95*PPQ95*PPR95</f>
        <v>#DIV/0!</v>
      </c>
      <c r="PPT95" s="363" t="s">
        <v>153</v>
      </c>
      <c r="PPU95" s="363"/>
      <c r="PPV95" s="363"/>
      <c r="PPW95" s="364" t="s">
        <v>140</v>
      </c>
      <c r="PPX95" s="365">
        <v>0.5</v>
      </c>
      <c r="PPY95" s="366" t="e">
        <f>10/PPU93</f>
        <v>#DIV/0!</v>
      </c>
      <c r="PPZ95" s="367">
        <v>15.38</v>
      </c>
      <c r="PQA95" s="367" t="e">
        <f>PPX95*PPY95*PPZ95</f>
        <v>#DIV/0!</v>
      </c>
      <c r="PQB95" s="363" t="s">
        <v>153</v>
      </c>
      <c r="PQC95" s="363"/>
      <c r="PQD95" s="363"/>
      <c r="PQE95" s="364" t="s">
        <v>140</v>
      </c>
      <c r="PQF95" s="365">
        <v>0.5</v>
      </c>
      <c r="PQG95" s="366" t="e">
        <f>10/PQC93</f>
        <v>#DIV/0!</v>
      </c>
      <c r="PQH95" s="367">
        <v>15.38</v>
      </c>
      <c r="PQI95" s="367" t="e">
        <f>PQF95*PQG95*PQH95</f>
        <v>#DIV/0!</v>
      </c>
      <c r="PQJ95" s="363" t="s">
        <v>153</v>
      </c>
      <c r="PQK95" s="363"/>
      <c r="PQL95" s="363"/>
      <c r="PQM95" s="364" t="s">
        <v>140</v>
      </c>
      <c r="PQN95" s="365">
        <v>0.5</v>
      </c>
      <c r="PQO95" s="366" t="e">
        <f>10/PQK93</f>
        <v>#DIV/0!</v>
      </c>
      <c r="PQP95" s="367">
        <v>15.38</v>
      </c>
      <c r="PQQ95" s="367" t="e">
        <f>PQN95*PQO95*PQP95</f>
        <v>#DIV/0!</v>
      </c>
      <c r="PQR95" s="363" t="s">
        <v>153</v>
      </c>
      <c r="PQS95" s="363"/>
      <c r="PQT95" s="363"/>
      <c r="PQU95" s="364" t="s">
        <v>140</v>
      </c>
      <c r="PQV95" s="365">
        <v>0.5</v>
      </c>
      <c r="PQW95" s="366" t="e">
        <f>10/PQS93</f>
        <v>#DIV/0!</v>
      </c>
      <c r="PQX95" s="367">
        <v>15.38</v>
      </c>
      <c r="PQY95" s="367" t="e">
        <f>PQV95*PQW95*PQX95</f>
        <v>#DIV/0!</v>
      </c>
      <c r="PQZ95" s="363" t="s">
        <v>153</v>
      </c>
      <c r="PRA95" s="363"/>
      <c r="PRB95" s="363"/>
      <c r="PRC95" s="364" t="s">
        <v>140</v>
      </c>
      <c r="PRD95" s="365">
        <v>0.5</v>
      </c>
      <c r="PRE95" s="366" t="e">
        <f>10/PRA93</f>
        <v>#DIV/0!</v>
      </c>
      <c r="PRF95" s="367">
        <v>15.38</v>
      </c>
      <c r="PRG95" s="367" t="e">
        <f>PRD95*PRE95*PRF95</f>
        <v>#DIV/0!</v>
      </c>
      <c r="PRH95" s="363" t="s">
        <v>153</v>
      </c>
      <c r="PRI95" s="363"/>
      <c r="PRJ95" s="363"/>
      <c r="PRK95" s="364" t="s">
        <v>140</v>
      </c>
      <c r="PRL95" s="365">
        <v>0.5</v>
      </c>
      <c r="PRM95" s="366" t="e">
        <f>10/PRI93</f>
        <v>#DIV/0!</v>
      </c>
      <c r="PRN95" s="367">
        <v>15.38</v>
      </c>
      <c r="PRO95" s="367" t="e">
        <f>PRL95*PRM95*PRN95</f>
        <v>#DIV/0!</v>
      </c>
      <c r="PRP95" s="363" t="s">
        <v>153</v>
      </c>
      <c r="PRQ95" s="363"/>
      <c r="PRR95" s="363"/>
      <c r="PRS95" s="364" t="s">
        <v>140</v>
      </c>
      <c r="PRT95" s="365">
        <v>0.5</v>
      </c>
      <c r="PRU95" s="366" t="e">
        <f>10/PRQ93</f>
        <v>#DIV/0!</v>
      </c>
      <c r="PRV95" s="367">
        <v>15.38</v>
      </c>
      <c r="PRW95" s="367" t="e">
        <f>PRT95*PRU95*PRV95</f>
        <v>#DIV/0!</v>
      </c>
      <c r="PRX95" s="363" t="s">
        <v>153</v>
      </c>
      <c r="PRY95" s="363"/>
      <c r="PRZ95" s="363"/>
      <c r="PSA95" s="364" t="s">
        <v>140</v>
      </c>
      <c r="PSB95" s="365">
        <v>0.5</v>
      </c>
      <c r="PSC95" s="366" t="e">
        <f>10/PRY93</f>
        <v>#DIV/0!</v>
      </c>
      <c r="PSD95" s="367">
        <v>15.38</v>
      </c>
      <c r="PSE95" s="367" t="e">
        <f>PSB95*PSC95*PSD95</f>
        <v>#DIV/0!</v>
      </c>
      <c r="PSF95" s="363" t="s">
        <v>153</v>
      </c>
      <c r="PSG95" s="363"/>
      <c r="PSH95" s="363"/>
      <c r="PSI95" s="364" t="s">
        <v>140</v>
      </c>
      <c r="PSJ95" s="365">
        <v>0.5</v>
      </c>
      <c r="PSK95" s="366" t="e">
        <f>10/PSG93</f>
        <v>#DIV/0!</v>
      </c>
      <c r="PSL95" s="367">
        <v>15.38</v>
      </c>
      <c r="PSM95" s="367" t="e">
        <f>PSJ95*PSK95*PSL95</f>
        <v>#DIV/0!</v>
      </c>
      <c r="PSN95" s="363" t="s">
        <v>153</v>
      </c>
      <c r="PSO95" s="363"/>
      <c r="PSP95" s="363"/>
      <c r="PSQ95" s="364" t="s">
        <v>140</v>
      </c>
      <c r="PSR95" s="365">
        <v>0.5</v>
      </c>
      <c r="PSS95" s="366" t="e">
        <f>10/PSO93</f>
        <v>#DIV/0!</v>
      </c>
      <c r="PST95" s="367">
        <v>15.38</v>
      </c>
      <c r="PSU95" s="367" t="e">
        <f>PSR95*PSS95*PST95</f>
        <v>#DIV/0!</v>
      </c>
      <c r="PSV95" s="363" t="s">
        <v>153</v>
      </c>
      <c r="PSW95" s="363"/>
      <c r="PSX95" s="363"/>
      <c r="PSY95" s="364" t="s">
        <v>140</v>
      </c>
      <c r="PSZ95" s="365">
        <v>0.5</v>
      </c>
      <c r="PTA95" s="366" t="e">
        <f>10/PSW93</f>
        <v>#DIV/0!</v>
      </c>
      <c r="PTB95" s="367">
        <v>15.38</v>
      </c>
      <c r="PTC95" s="367" t="e">
        <f>PSZ95*PTA95*PTB95</f>
        <v>#DIV/0!</v>
      </c>
      <c r="PTD95" s="363" t="s">
        <v>153</v>
      </c>
      <c r="PTE95" s="363"/>
      <c r="PTF95" s="363"/>
      <c r="PTG95" s="364" t="s">
        <v>140</v>
      </c>
      <c r="PTH95" s="365">
        <v>0.5</v>
      </c>
      <c r="PTI95" s="366" t="e">
        <f>10/PTE93</f>
        <v>#DIV/0!</v>
      </c>
      <c r="PTJ95" s="367">
        <v>15.38</v>
      </c>
      <c r="PTK95" s="367" t="e">
        <f>PTH95*PTI95*PTJ95</f>
        <v>#DIV/0!</v>
      </c>
      <c r="PTL95" s="363" t="s">
        <v>153</v>
      </c>
      <c r="PTM95" s="363"/>
      <c r="PTN95" s="363"/>
      <c r="PTO95" s="364" t="s">
        <v>140</v>
      </c>
      <c r="PTP95" s="365">
        <v>0.5</v>
      </c>
      <c r="PTQ95" s="366" t="e">
        <f>10/PTM93</f>
        <v>#DIV/0!</v>
      </c>
      <c r="PTR95" s="367">
        <v>15.38</v>
      </c>
      <c r="PTS95" s="367" t="e">
        <f>PTP95*PTQ95*PTR95</f>
        <v>#DIV/0!</v>
      </c>
      <c r="PTT95" s="363" t="s">
        <v>153</v>
      </c>
      <c r="PTU95" s="363"/>
      <c r="PTV95" s="363"/>
      <c r="PTW95" s="364" t="s">
        <v>140</v>
      </c>
      <c r="PTX95" s="365">
        <v>0.5</v>
      </c>
      <c r="PTY95" s="366" t="e">
        <f>10/PTU93</f>
        <v>#DIV/0!</v>
      </c>
      <c r="PTZ95" s="367">
        <v>15.38</v>
      </c>
      <c r="PUA95" s="367" t="e">
        <f>PTX95*PTY95*PTZ95</f>
        <v>#DIV/0!</v>
      </c>
      <c r="PUB95" s="363" t="s">
        <v>153</v>
      </c>
      <c r="PUC95" s="363"/>
      <c r="PUD95" s="363"/>
      <c r="PUE95" s="364" t="s">
        <v>140</v>
      </c>
      <c r="PUF95" s="365">
        <v>0.5</v>
      </c>
      <c r="PUG95" s="366" t="e">
        <f>10/PUC93</f>
        <v>#DIV/0!</v>
      </c>
      <c r="PUH95" s="367">
        <v>15.38</v>
      </c>
      <c r="PUI95" s="367" t="e">
        <f>PUF95*PUG95*PUH95</f>
        <v>#DIV/0!</v>
      </c>
      <c r="PUJ95" s="363" t="s">
        <v>153</v>
      </c>
      <c r="PUK95" s="363"/>
      <c r="PUL95" s="363"/>
      <c r="PUM95" s="364" t="s">
        <v>140</v>
      </c>
      <c r="PUN95" s="365">
        <v>0.5</v>
      </c>
      <c r="PUO95" s="366" t="e">
        <f>10/PUK93</f>
        <v>#DIV/0!</v>
      </c>
      <c r="PUP95" s="367">
        <v>15.38</v>
      </c>
      <c r="PUQ95" s="367" t="e">
        <f>PUN95*PUO95*PUP95</f>
        <v>#DIV/0!</v>
      </c>
      <c r="PUR95" s="363" t="s">
        <v>153</v>
      </c>
      <c r="PUS95" s="363"/>
      <c r="PUT95" s="363"/>
      <c r="PUU95" s="364" t="s">
        <v>140</v>
      </c>
      <c r="PUV95" s="365">
        <v>0.5</v>
      </c>
      <c r="PUW95" s="366" t="e">
        <f>10/PUS93</f>
        <v>#DIV/0!</v>
      </c>
      <c r="PUX95" s="367">
        <v>15.38</v>
      </c>
      <c r="PUY95" s="367" t="e">
        <f>PUV95*PUW95*PUX95</f>
        <v>#DIV/0!</v>
      </c>
      <c r="PUZ95" s="363" t="s">
        <v>153</v>
      </c>
      <c r="PVA95" s="363"/>
      <c r="PVB95" s="363"/>
      <c r="PVC95" s="364" t="s">
        <v>140</v>
      </c>
      <c r="PVD95" s="365">
        <v>0.5</v>
      </c>
      <c r="PVE95" s="366" t="e">
        <f>10/PVA93</f>
        <v>#DIV/0!</v>
      </c>
      <c r="PVF95" s="367">
        <v>15.38</v>
      </c>
      <c r="PVG95" s="367" t="e">
        <f>PVD95*PVE95*PVF95</f>
        <v>#DIV/0!</v>
      </c>
      <c r="PVH95" s="363" t="s">
        <v>153</v>
      </c>
      <c r="PVI95" s="363"/>
      <c r="PVJ95" s="363"/>
      <c r="PVK95" s="364" t="s">
        <v>140</v>
      </c>
      <c r="PVL95" s="365">
        <v>0.5</v>
      </c>
      <c r="PVM95" s="366" t="e">
        <f>10/PVI93</f>
        <v>#DIV/0!</v>
      </c>
      <c r="PVN95" s="367">
        <v>15.38</v>
      </c>
      <c r="PVO95" s="367" t="e">
        <f>PVL95*PVM95*PVN95</f>
        <v>#DIV/0!</v>
      </c>
      <c r="PVP95" s="363" t="s">
        <v>153</v>
      </c>
      <c r="PVQ95" s="363"/>
      <c r="PVR95" s="363"/>
      <c r="PVS95" s="364" t="s">
        <v>140</v>
      </c>
      <c r="PVT95" s="365">
        <v>0.5</v>
      </c>
      <c r="PVU95" s="366" t="e">
        <f>10/PVQ93</f>
        <v>#DIV/0!</v>
      </c>
      <c r="PVV95" s="367">
        <v>15.38</v>
      </c>
      <c r="PVW95" s="367" t="e">
        <f>PVT95*PVU95*PVV95</f>
        <v>#DIV/0!</v>
      </c>
      <c r="PVX95" s="363" t="s">
        <v>153</v>
      </c>
      <c r="PVY95" s="363"/>
      <c r="PVZ95" s="363"/>
      <c r="PWA95" s="364" t="s">
        <v>140</v>
      </c>
      <c r="PWB95" s="365">
        <v>0.5</v>
      </c>
      <c r="PWC95" s="366" t="e">
        <f>10/PVY93</f>
        <v>#DIV/0!</v>
      </c>
      <c r="PWD95" s="367">
        <v>15.38</v>
      </c>
      <c r="PWE95" s="367" t="e">
        <f>PWB95*PWC95*PWD95</f>
        <v>#DIV/0!</v>
      </c>
      <c r="PWF95" s="363" t="s">
        <v>153</v>
      </c>
      <c r="PWG95" s="363"/>
      <c r="PWH95" s="363"/>
      <c r="PWI95" s="364" t="s">
        <v>140</v>
      </c>
      <c r="PWJ95" s="365">
        <v>0.5</v>
      </c>
      <c r="PWK95" s="366" t="e">
        <f>10/PWG93</f>
        <v>#DIV/0!</v>
      </c>
      <c r="PWL95" s="367">
        <v>15.38</v>
      </c>
      <c r="PWM95" s="367" t="e">
        <f>PWJ95*PWK95*PWL95</f>
        <v>#DIV/0!</v>
      </c>
      <c r="PWN95" s="363" t="s">
        <v>153</v>
      </c>
      <c r="PWO95" s="363"/>
      <c r="PWP95" s="363"/>
      <c r="PWQ95" s="364" t="s">
        <v>140</v>
      </c>
      <c r="PWR95" s="365">
        <v>0.5</v>
      </c>
      <c r="PWS95" s="366" t="e">
        <f>10/PWO93</f>
        <v>#DIV/0!</v>
      </c>
      <c r="PWT95" s="367">
        <v>15.38</v>
      </c>
      <c r="PWU95" s="367" t="e">
        <f>PWR95*PWS95*PWT95</f>
        <v>#DIV/0!</v>
      </c>
      <c r="PWV95" s="363" t="s">
        <v>153</v>
      </c>
      <c r="PWW95" s="363"/>
      <c r="PWX95" s="363"/>
      <c r="PWY95" s="364" t="s">
        <v>140</v>
      </c>
      <c r="PWZ95" s="365">
        <v>0.5</v>
      </c>
      <c r="PXA95" s="366" t="e">
        <f>10/PWW93</f>
        <v>#DIV/0!</v>
      </c>
      <c r="PXB95" s="367">
        <v>15.38</v>
      </c>
      <c r="PXC95" s="367" t="e">
        <f>PWZ95*PXA95*PXB95</f>
        <v>#DIV/0!</v>
      </c>
      <c r="PXD95" s="363" t="s">
        <v>153</v>
      </c>
      <c r="PXE95" s="363"/>
      <c r="PXF95" s="363"/>
      <c r="PXG95" s="364" t="s">
        <v>140</v>
      </c>
      <c r="PXH95" s="365">
        <v>0.5</v>
      </c>
      <c r="PXI95" s="366" t="e">
        <f>10/PXE93</f>
        <v>#DIV/0!</v>
      </c>
      <c r="PXJ95" s="367">
        <v>15.38</v>
      </c>
      <c r="PXK95" s="367" t="e">
        <f>PXH95*PXI95*PXJ95</f>
        <v>#DIV/0!</v>
      </c>
      <c r="PXL95" s="363" t="s">
        <v>153</v>
      </c>
      <c r="PXM95" s="363"/>
      <c r="PXN95" s="363"/>
      <c r="PXO95" s="364" t="s">
        <v>140</v>
      </c>
      <c r="PXP95" s="365">
        <v>0.5</v>
      </c>
      <c r="PXQ95" s="366" t="e">
        <f>10/PXM93</f>
        <v>#DIV/0!</v>
      </c>
      <c r="PXR95" s="367">
        <v>15.38</v>
      </c>
      <c r="PXS95" s="367" t="e">
        <f>PXP95*PXQ95*PXR95</f>
        <v>#DIV/0!</v>
      </c>
      <c r="PXT95" s="363" t="s">
        <v>153</v>
      </c>
      <c r="PXU95" s="363"/>
      <c r="PXV95" s="363"/>
      <c r="PXW95" s="364" t="s">
        <v>140</v>
      </c>
      <c r="PXX95" s="365">
        <v>0.5</v>
      </c>
      <c r="PXY95" s="366" t="e">
        <f>10/PXU93</f>
        <v>#DIV/0!</v>
      </c>
      <c r="PXZ95" s="367">
        <v>15.38</v>
      </c>
      <c r="PYA95" s="367" t="e">
        <f>PXX95*PXY95*PXZ95</f>
        <v>#DIV/0!</v>
      </c>
      <c r="PYB95" s="363" t="s">
        <v>153</v>
      </c>
      <c r="PYC95" s="363"/>
      <c r="PYD95" s="363"/>
      <c r="PYE95" s="364" t="s">
        <v>140</v>
      </c>
      <c r="PYF95" s="365">
        <v>0.5</v>
      </c>
      <c r="PYG95" s="366" t="e">
        <f>10/PYC93</f>
        <v>#DIV/0!</v>
      </c>
      <c r="PYH95" s="367">
        <v>15.38</v>
      </c>
      <c r="PYI95" s="367" t="e">
        <f>PYF95*PYG95*PYH95</f>
        <v>#DIV/0!</v>
      </c>
      <c r="PYJ95" s="363" t="s">
        <v>153</v>
      </c>
      <c r="PYK95" s="363"/>
      <c r="PYL95" s="363"/>
      <c r="PYM95" s="364" t="s">
        <v>140</v>
      </c>
      <c r="PYN95" s="365">
        <v>0.5</v>
      </c>
      <c r="PYO95" s="366" t="e">
        <f>10/PYK93</f>
        <v>#DIV/0!</v>
      </c>
      <c r="PYP95" s="367">
        <v>15.38</v>
      </c>
      <c r="PYQ95" s="367" t="e">
        <f>PYN95*PYO95*PYP95</f>
        <v>#DIV/0!</v>
      </c>
      <c r="PYR95" s="363" t="s">
        <v>153</v>
      </c>
      <c r="PYS95" s="363"/>
      <c r="PYT95" s="363"/>
      <c r="PYU95" s="364" t="s">
        <v>140</v>
      </c>
      <c r="PYV95" s="365">
        <v>0.5</v>
      </c>
      <c r="PYW95" s="366" t="e">
        <f>10/PYS93</f>
        <v>#DIV/0!</v>
      </c>
      <c r="PYX95" s="367">
        <v>15.38</v>
      </c>
      <c r="PYY95" s="367" t="e">
        <f>PYV95*PYW95*PYX95</f>
        <v>#DIV/0!</v>
      </c>
      <c r="PYZ95" s="363" t="s">
        <v>153</v>
      </c>
      <c r="PZA95" s="363"/>
      <c r="PZB95" s="363"/>
      <c r="PZC95" s="364" t="s">
        <v>140</v>
      </c>
      <c r="PZD95" s="365">
        <v>0.5</v>
      </c>
      <c r="PZE95" s="366" t="e">
        <f>10/PZA93</f>
        <v>#DIV/0!</v>
      </c>
      <c r="PZF95" s="367">
        <v>15.38</v>
      </c>
      <c r="PZG95" s="367" t="e">
        <f>PZD95*PZE95*PZF95</f>
        <v>#DIV/0!</v>
      </c>
      <c r="PZH95" s="363" t="s">
        <v>153</v>
      </c>
      <c r="PZI95" s="363"/>
      <c r="PZJ95" s="363"/>
      <c r="PZK95" s="364" t="s">
        <v>140</v>
      </c>
      <c r="PZL95" s="365">
        <v>0.5</v>
      </c>
      <c r="PZM95" s="366" t="e">
        <f>10/PZI93</f>
        <v>#DIV/0!</v>
      </c>
      <c r="PZN95" s="367">
        <v>15.38</v>
      </c>
      <c r="PZO95" s="367" t="e">
        <f>PZL95*PZM95*PZN95</f>
        <v>#DIV/0!</v>
      </c>
      <c r="PZP95" s="363" t="s">
        <v>153</v>
      </c>
      <c r="PZQ95" s="363"/>
      <c r="PZR95" s="363"/>
      <c r="PZS95" s="364" t="s">
        <v>140</v>
      </c>
      <c r="PZT95" s="365">
        <v>0.5</v>
      </c>
      <c r="PZU95" s="366" t="e">
        <f>10/PZQ93</f>
        <v>#DIV/0!</v>
      </c>
      <c r="PZV95" s="367">
        <v>15.38</v>
      </c>
      <c r="PZW95" s="367" t="e">
        <f>PZT95*PZU95*PZV95</f>
        <v>#DIV/0!</v>
      </c>
      <c r="PZX95" s="363" t="s">
        <v>153</v>
      </c>
      <c r="PZY95" s="363"/>
      <c r="PZZ95" s="363"/>
      <c r="QAA95" s="364" t="s">
        <v>140</v>
      </c>
      <c r="QAB95" s="365">
        <v>0.5</v>
      </c>
      <c r="QAC95" s="366" t="e">
        <f>10/PZY93</f>
        <v>#DIV/0!</v>
      </c>
      <c r="QAD95" s="367">
        <v>15.38</v>
      </c>
      <c r="QAE95" s="367" t="e">
        <f>QAB95*QAC95*QAD95</f>
        <v>#DIV/0!</v>
      </c>
      <c r="QAF95" s="363" t="s">
        <v>153</v>
      </c>
      <c r="QAG95" s="363"/>
      <c r="QAH95" s="363"/>
      <c r="QAI95" s="364" t="s">
        <v>140</v>
      </c>
      <c r="QAJ95" s="365">
        <v>0.5</v>
      </c>
      <c r="QAK95" s="366" t="e">
        <f>10/QAG93</f>
        <v>#DIV/0!</v>
      </c>
      <c r="QAL95" s="367">
        <v>15.38</v>
      </c>
      <c r="QAM95" s="367" t="e">
        <f>QAJ95*QAK95*QAL95</f>
        <v>#DIV/0!</v>
      </c>
      <c r="QAN95" s="363" t="s">
        <v>153</v>
      </c>
      <c r="QAO95" s="363"/>
      <c r="QAP95" s="363"/>
      <c r="QAQ95" s="364" t="s">
        <v>140</v>
      </c>
      <c r="QAR95" s="365">
        <v>0.5</v>
      </c>
      <c r="QAS95" s="366" t="e">
        <f>10/QAO93</f>
        <v>#DIV/0!</v>
      </c>
      <c r="QAT95" s="367">
        <v>15.38</v>
      </c>
      <c r="QAU95" s="367" t="e">
        <f>QAR95*QAS95*QAT95</f>
        <v>#DIV/0!</v>
      </c>
      <c r="QAV95" s="363" t="s">
        <v>153</v>
      </c>
      <c r="QAW95" s="363"/>
      <c r="QAX95" s="363"/>
      <c r="QAY95" s="364" t="s">
        <v>140</v>
      </c>
      <c r="QAZ95" s="365">
        <v>0.5</v>
      </c>
      <c r="QBA95" s="366" t="e">
        <f>10/QAW93</f>
        <v>#DIV/0!</v>
      </c>
      <c r="QBB95" s="367">
        <v>15.38</v>
      </c>
      <c r="QBC95" s="367" t="e">
        <f>QAZ95*QBA95*QBB95</f>
        <v>#DIV/0!</v>
      </c>
      <c r="QBD95" s="363" t="s">
        <v>153</v>
      </c>
      <c r="QBE95" s="363"/>
      <c r="QBF95" s="363"/>
      <c r="QBG95" s="364" t="s">
        <v>140</v>
      </c>
      <c r="QBH95" s="365">
        <v>0.5</v>
      </c>
      <c r="QBI95" s="366" t="e">
        <f>10/QBE93</f>
        <v>#DIV/0!</v>
      </c>
      <c r="QBJ95" s="367">
        <v>15.38</v>
      </c>
      <c r="QBK95" s="367" t="e">
        <f>QBH95*QBI95*QBJ95</f>
        <v>#DIV/0!</v>
      </c>
      <c r="QBL95" s="363" t="s">
        <v>153</v>
      </c>
      <c r="QBM95" s="363"/>
      <c r="QBN95" s="363"/>
      <c r="QBO95" s="364" t="s">
        <v>140</v>
      </c>
      <c r="QBP95" s="365">
        <v>0.5</v>
      </c>
      <c r="QBQ95" s="366" t="e">
        <f>10/QBM93</f>
        <v>#DIV/0!</v>
      </c>
      <c r="QBR95" s="367">
        <v>15.38</v>
      </c>
      <c r="QBS95" s="367" t="e">
        <f>QBP95*QBQ95*QBR95</f>
        <v>#DIV/0!</v>
      </c>
      <c r="QBT95" s="363" t="s">
        <v>153</v>
      </c>
      <c r="QBU95" s="363"/>
      <c r="QBV95" s="363"/>
      <c r="QBW95" s="364" t="s">
        <v>140</v>
      </c>
      <c r="QBX95" s="365">
        <v>0.5</v>
      </c>
      <c r="QBY95" s="366" t="e">
        <f>10/QBU93</f>
        <v>#DIV/0!</v>
      </c>
      <c r="QBZ95" s="367">
        <v>15.38</v>
      </c>
      <c r="QCA95" s="367" t="e">
        <f>QBX95*QBY95*QBZ95</f>
        <v>#DIV/0!</v>
      </c>
      <c r="QCB95" s="363" t="s">
        <v>153</v>
      </c>
      <c r="QCC95" s="363"/>
      <c r="QCD95" s="363"/>
      <c r="QCE95" s="364" t="s">
        <v>140</v>
      </c>
      <c r="QCF95" s="365">
        <v>0.5</v>
      </c>
      <c r="QCG95" s="366" t="e">
        <f>10/QCC93</f>
        <v>#DIV/0!</v>
      </c>
      <c r="QCH95" s="367">
        <v>15.38</v>
      </c>
      <c r="QCI95" s="367" t="e">
        <f>QCF95*QCG95*QCH95</f>
        <v>#DIV/0!</v>
      </c>
      <c r="QCJ95" s="363" t="s">
        <v>153</v>
      </c>
      <c r="QCK95" s="363"/>
      <c r="QCL95" s="363"/>
      <c r="QCM95" s="364" t="s">
        <v>140</v>
      </c>
      <c r="QCN95" s="365">
        <v>0.5</v>
      </c>
      <c r="QCO95" s="366" t="e">
        <f>10/QCK93</f>
        <v>#DIV/0!</v>
      </c>
      <c r="QCP95" s="367">
        <v>15.38</v>
      </c>
      <c r="QCQ95" s="367" t="e">
        <f>QCN95*QCO95*QCP95</f>
        <v>#DIV/0!</v>
      </c>
      <c r="QCR95" s="363" t="s">
        <v>153</v>
      </c>
      <c r="QCS95" s="363"/>
      <c r="QCT95" s="363"/>
      <c r="QCU95" s="364" t="s">
        <v>140</v>
      </c>
      <c r="QCV95" s="365">
        <v>0.5</v>
      </c>
      <c r="QCW95" s="366" t="e">
        <f>10/QCS93</f>
        <v>#DIV/0!</v>
      </c>
      <c r="QCX95" s="367">
        <v>15.38</v>
      </c>
      <c r="QCY95" s="367" t="e">
        <f>QCV95*QCW95*QCX95</f>
        <v>#DIV/0!</v>
      </c>
      <c r="QCZ95" s="363" t="s">
        <v>153</v>
      </c>
      <c r="QDA95" s="363"/>
      <c r="QDB95" s="363"/>
      <c r="QDC95" s="364" t="s">
        <v>140</v>
      </c>
      <c r="QDD95" s="365">
        <v>0.5</v>
      </c>
      <c r="QDE95" s="366" t="e">
        <f>10/QDA93</f>
        <v>#DIV/0!</v>
      </c>
      <c r="QDF95" s="367">
        <v>15.38</v>
      </c>
      <c r="QDG95" s="367" t="e">
        <f>QDD95*QDE95*QDF95</f>
        <v>#DIV/0!</v>
      </c>
      <c r="QDH95" s="363" t="s">
        <v>153</v>
      </c>
      <c r="QDI95" s="363"/>
      <c r="QDJ95" s="363"/>
      <c r="QDK95" s="364" t="s">
        <v>140</v>
      </c>
      <c r="QDL95" s="365">
        <v>0.5</v>
      </c>
      <c r="QDM95" s="366" t="e">
        <f>10/QDI93</f>
        <v>#DIV/0!</v>
      </c>
      <c r="QDN95" s="367">
        <v>15.38</v>
      </c>
      <c r="QDO95" s="367" t="e">
        <f>QDL95*QDM95*QDN95</f>
        <v>#DIV/0!</v>
      </c>
      <c r="QDP95" s="363" t="s">
        <v>153</v>
      </c>
      <c r="QDQ95" s="363"/>
      <c r="QDR95" s="363"/>
      <c r="QDS95" s="364" t="s">
        <v>140</v>
      </c>
      <c r="QDT95" s="365">
        <v>0.5</v>
      </c>
      <c r="QDU95" s="366" t="e">
        <f>10/QDQ93</f>
        <v>#DIV/0!</v>
      </c>
      <c r="QDV95" s="367">
        <v>15.38</v>
      </c>
      <c r="QDW95" s="367" t="e">
        <f>QDT95*QDU95*QDV95</f>
        <v>#DIV/0!</v>
      </c>
      <c r="QDX95" s="363" t="s">
        <v>153</v>
      </c>
      <c r="QDY95" s="363"/>
      <c r="QDZ95" s="363"/>
      <c r="QEA95" s="364" t="s">
        <v>140</v>
      </c>
      <c r="QEB95" s="365">
        <v>0.5</v>
      </c>
      <c r="QEC95" s="366" t="e">
        <f>10/QDY93</f>
        <v>#DIV/0!</v>
      </c>
      <c r="QED95" s="367">
        <v>15.38</v>
      </c>
      <c r="QEE95" s="367" t="e">
        <f>QEB95*QEC95*QED95</f>
        <v>#DIV/0!</v>
      </c>
      <c r="QEF95" s="363" t="s">
        <v>153</v>
      </c>
      <c r="QEG95" s="363"/>
      <c r="QEH95" s="363"/>
      <c r="QEI95" s="364" t="s">
        <v>140</v>
      </c>
      <c r="QEJ95" s="365">
        <v>0.5</v>
      </c>
      <c r="QEK95" s="366" t="e">
        <f>10/QEG93</f>
        <v>#DIV/0!</v>
      </c>
      <c r="QEL95" s="367">
        <v>15.38</v>
      </c>
      <c r="QEM95" s="367" t="e">
        <f>QEJ95*QEK95*QEL95</f>
        <v>#DIV/0!</v>
      </c>
      <c r="QEN95" s="363" t="s">
        <v>153</v>
      </c>
      <c r="QEO95" s="363"/>
      <c r="QEP95" s="363"/>
      <c r="QEQ95" s="364" t="s">
        <v>140</v>
      </c>
      <c r="QER95" s="365">
        <v>0.5</v>
      </c>
      <c r="QES95" s="366" t="e">
        <f>10/QEO93</f>
        <v>#DIV/0!</v>
      </c>
      <c r="QET95" s="367">
        <v>15.38</v>
      </c>
      <c r="QEU95" s="367" t="e">
        <f>QER95*QES95*QET95</f>
        <v>#DIV/0!</v>
      </c>
      <c r="QEV95" s="363" t="s">
        <v>153</v>
      </c>
      <c r="QEW95" s="363"/>
      <c r="QEX95" s="363"/>
      <c r="QEY95" s="364" t="s">
        <v>140</v>
      </c>
      <c r="QEZ95" s="365">
        <v>0.5</v>
      </c>
      <c r="QFA95" s="366" t="e">
        <f>10/QEW93</f>
        <v>#DIV/0!</v>
      </c>
      <c r="QFB95" s="367">
        <v>15.38</v>
      </c>
      <c r="QFC95" s="367" t="e">
        <f>QEZ95*QFA95*QFB95</f>
        <v>#DIV/0!</v>
      </c>
      <c r="QFD95" s="363" t="s">
        <v>153</v>
      </c>
      <c r="QFE95" s="363"/>
      <c r="QFF95" s="363"/>
      <c r="QFG95" s="364" t="s">
        <v>140</v>
      </c>
      <c r="QFH95" s="365">
        <v>0.5</v>
      </c>
      <c r="QFI95" s="366" t="e">
        <f>10/QFE93</f>
        <v>#DIV/0!</v>
      </c>
      <c r="QFJ95" s="367">
        <v>15.38</v>
      </c>
      <c r="QFK95" s="367" t="e">
        <f>QFH95*QFI95*QFJ95</f>
        <v>#DIV/0!</v>
      </c>
      <c r="QFL95" s="363" t="s">
        <v>153</v>
      </c>
      <c r="QFM95" s="363"/>
      <c r="QFN95" s="363"/>
      <c r="QFO95" s="364" t="s">
        <v>140</v>
      </c>
      <c r="QFP95" s="365">
        <v>0.5</v>
      </c>
      <c r="QFQ95" s="366" t="e">
        <f>10/QFM93</f>
        <v>#DIV/0!</v>
      </c>
      <c r="QFR95" s="367">
        <v>15.38</v>
      </c>
      <c r="QFS95" s="367" t="e">
        <f>QFP95*QFQ95*QFR95</f>
        <v>#DIV/0!</v>
      </c>
      <c r="QFT95" s="363" t="s">
        <v>153</v>
      </c>
      <c r="QFU95" s="363"/>
      <c r="QFV95" s="363"/>
      <c r="QFW95" s="364" t="s">
        <v>140</v>
      </c>
      <c r="QFX95" s="365">
        <v>0.5</v>
      </c>
      <c r="QFY95" s="366" t="e">
        <f>10/QFU93</f>
        <v>#DIV/0!</v>
      </c>
      <c r="QFZ95" s="367">
        <v>15.38</v>
      </c>
      <c r="QGA95" s="367" t="e">
        <f>QFX95*QFY95*QFZ95</f>
        <v>#DIV/0!</v>
      </c>
      <c r="QGB95" s="363" t="s">
        <v>153</v>
      </c>
      <c r="QGC95" s="363"/>
      <c r="QGD95" s="363"/>
      <c r="QGE95" s="364" t="s">
        <v>140</v>
      </c>
      <c r="QGF95" s="365">
        <v>0.5</v>
      </c>
      <c r="QGG95" s="366" t="e">
        <f>10/QGC93</f>
        <v>#DIV/0!</v>
      </c>
      <c r="QGH95" s="367">
        <v>15.38</v>
      </c>
      <c r="QGI95" s="367" t="e">
        <f>QGF95*QGG95*QGH95</f>
        <v>#DIV/0!</v>
      </c>
      <c r="QGJ95" s="363" t="s">
        <v>153</v>
      </c>
      <c r="QGK95" s="363"/>
      <c r="QGL95" s="363"/>
      <c r="QGM95" s="364" t="s">
        <v>140</v>
      </c>
      <c r="QGN95" s="365">
        <v>0.5</v>
      </c>
      <c r="QGO95" s="366" t="e">
        <f>10/QGK93</f>
        <v>#DIV/0!</v>
      </c>
      <c r="QGP95" s="367">
        <v>15.38</v>
      </c>
      <c r="QGQ95" s="367" t="e">
        <f>QGN95*QGO95*QGP95</f>
        <v>#DIV/0!</v>
      </c>
      <c r="QGR95" s="363" t="s">
        <v>153</v>
      </c>
      <c r="QGS95" s="363"/>
      <c r="QGT95" s="363"/>
      <c r="QGU95" s="364" t="s">
        <v>140</v>
      </c>
      <c r="QGV95" s="365">
        <v>0.5</v>
      </c>
      <c r="QGW95" s="366" t="e">
        <f>10/QGS93</f>
        <v>#DIV/0!</v>
      </c>
      <c r="QGX95" s="367">
        <v>15.38</v>
      </c>
      <c r="QGY95" s="367" t="e">
        <f>QGV95*QGW95*QGX95</f>
        <v>#DIV/0!</v>
      </c>
      <c r="QGZ95" s="363" t="s">
        <v>153</v>
      </c>
      <c r="QHA95" s="363"/>
      <c r="QHB95" s="363"/>
      <c r="QHC95" s="364" t="s">
        <v>140</v>
      </c>
      <c r="QHD95" s="365">
        <v>0.5</v>
      </c>
      <c r="QHE95" s="366" t="e">
        <f>10/QHA93</f>
        <v>#DIV/0!</v>
      </c>
      <c r="QHF95" s="367">
        <v>15.38</v>
      </c>
      <c r="QHG95" s="367" t="e">
        <f>QHD95*QHE95*QHF95</f>
        <v>#DIV/0!</v>
      </c>
      <c r="QHH95" s="363" t="s">
        <v>153</v>
      </c>
      <c r="QHI95" s="363"/>
      <c r="QHJ95" s="363"/>
      <c r="QHK95" s="364" t="s">
        <v>140</v>
      </c>
      <c r="QHL95" s="365">
        <v>0.5</v>
      </c>
      <c r="QHM95" s="366" t="e">
        <f>10/QHI93</f>
        <v>#DIV/0!</v>
      </c>
      <c r="QHN95" s="367">
        <v>15.38</v>
      </c>
      <c r="QHO95" s="367" t="e">
        <f>QHL95*QHM95*QHN95</f>
        <v>#DIV/0!</v>
      </c>
      <c r="QHP95" s="363" t="s">
        <v>153</v>
      </c>
      <c r="QHQ95" s="363"/>
      <c r="QHR95" s="363"/>
      <c r="QHS95" s="364" t="s">
        <v>140</v>
      </c>
      <c r="QHT95" s="365">
        <v>0.5</v>
      </c>
      <c r="QHU95" s="366" t="e">
        <f>10/QHQ93</f>
        <v>#DIV/0!</v>
      </c>
      <c r="QHV95" s="367">
        <v>15.38</v>
      </c>
      <c r="QHW95" s="367" t="e">
        <f>QHT95*QHU95*QHV95</f>
        <v>#DIV/0!</v>
      </c>
      <c r="QHX95" s="363" t="s">
        <v>153</v>
      </c>
      <c r="QHY95" s="363"/>
      <c r="QHZ95" s="363"/>
      <c r="QIA95" s="364" t="s">
        <v>140</v>
      </c>
      <c r="QIB95" s="365">
        <v>0.5</v>
      </c>
      <c r="QIC95" s="366" t="e">
        <f>10/QHY93</f>
        <v>#DIV/0!</v>
      </c>
      <c r="QID95" s="367">
        <v>15.38</v>
      </c>
      <c r="QIE95" s="367" t="e">
        <f>QIB95*QIC95*QID95</f>
        <v>#DIV/0!</v>
      </c>
      <c r="QIF95" s="363" t="s">
        <v>153</v>
      </c>
      <c r="QIG95" s="363"/>
      <c r="QIH95" s="363"/>
      <c r="QII95" s="364" t="s">
        <v>140</v>
      </c>
      <c r="QIJ95" s="365">
        <v>0.5</v>
      </c>
      <c r="QIK95" s="366" t="e">
        <f>10/QIG93</f>
        <v>#DIV/0!</v>
      </c>
      <c r="QIL95" s="367">
        <v>15.38</v>
      </c>
      <c r="QIM95" s="367" t="e">
        <f>QIJ95*QIK95*QIL95</f>
        <v>#DIV/0!</v>
      </c>
      <c r="QIN95" s="363" t="s">
        <v>153</v>
      </c>
      <c r="QIO95" s="363"/>
      <c r="QIP95" s="363"/>
      <c r="QIQ95" s="364" t="s">
        <v>140</v>
      </c>
      <c r="QIR95" s="365">
        <v>0.5</v>
      </c>
      <c r="QIS95" s="366" t="e">
        <f>10/QIO93</f>
        <v>#DIV/0!</v>
      </c>
      <c r="QIT95" s="367">
        <v>15.38</v>
      </c>
      <c r="QIU95" s="367" t="e">
        <f>QIR95*QIS95*QIT95</f>
        <v>#DIV/0!</v>
      </c>
      <c r="QIV95" s="363" t="s">
        <v>153</v>
      </c>
      <c r="QIW95" s="363"/>
      <c r="QIX95" s="363"/>
      <c r="QIY95" s="364" t="s">
        <v>140</v>
      </c>
      <c r="QIZ95" s="365">
        <v>0.5</v>
      </c>
      <c r="QJA95" s="366" t="e">
        <f>10/QIW93</f>
        <v>#DIV/0!</v>
      </c>
      <c r="QJB95" s="367">
        <v>15.38</v>
      </c>
      <c r="QJC95" s="367" t="e">
        <f>QIZ95*QJA95*QJB95</f>
        <v>#DIV/0!</v>
      </c>
      <c r="QJD95" s="363" t="s">
        <v>153</v>
      </c>
      <c r="QJE95" s="363"/>
      <c r="QJF95" s="363"/>
      <c r="QJG95" s="364" t="s">
        <v>140</v>
      </c>
      <c r="QJH95" s="365">
        <v>0.5</v>
      </c>
      <c r="QJI95" s="366" t="e">
        <f>10/QJE93</f>
        <v>#DIV/0!</v>
      </c>
      <c r="QJJ95" s="367">
        <v>15.38</v>
      </c>
      <c r="QJK95" s="367" t="e">
        <f>QJH95*QJI95*QJJ95</f>
        <v>#DIV/0!</v>
      </c>
      <c r="QJL95" s="363" t="s">
        <v>153</v>
      </c>
      <c r="QJM95" s="363"/>
      <c r="QJN95" s="363"/>
      <c r="QJO95" s="364" t="s">
        <v>140</v>
      </c>
      <c r="QJP95" s="365">
        <v>0.5</v>
      </c>
      <c r="QJQ95" s="366" t="e">
        <f>10/QJM93</f>
        <v>#DIV/0!</v>
      </c>
      <c r="QJR95" s="367">
        <v>15.38</v>
      </c>
      <c r="QJS95" s="367" t="e">
        <f>QJP95*QJQ95*QJR95</f>
        <v>#DIV/0!</v>
      </c>
      <c r="QJT95" s="363" t="s">
        <v>153</v>
      </c>
      <c r="QJU95" s="363"/>
      <c r="QJV95" s="363"/>
      <c r="QJW95" s="364" t="s">
        <v>140</v>
      </c>
      <c r="QJX95" s="365">
        <v>0.5</v>
      </c>
      <c r="QJY95" s="366" t="e">
        <f>10/QJU93</f>
        <v>#DIV/0!</v>
      </c>
      <c r="QJZ95" s="367">
        <v>15.38</v>
      </c>
      <c r="QKA95" s="367" t="e">
        <f>QJX95*QJY95*QJZ95</f>
        <v>#DIV/0!</v>
      </c>
      <c r="QKB95" s="363" t="s">
        <v>153</v>
      </c>
      <c r="QKC95" s="363"/>
      <c r="QKD95" s="363"/>
      <c r="QKE95" s="364" t="s">
        <v>140</v>
      </c>
      <c r="QKF95" s="365">
        <v>0.5</v>
      </c>
      <c r="QKG95" s="366" t="e">
        <f>10/QKC93</f>
        <v>#DIV/0!</v>
      </c>
      <c r="QKH95" s="367">
        <v>15.38</v>
      </c>
      <c r="QKI95" s="367" t="e">
        <f>QKF95*QKG95*QKH95</f>
        <v>#DIV/0!</v>
      </c>
      <c r="QKJ95" s="363" t="s">
        <v>153</v>
      </c>
      <c r="QKK95" s="363"/>
      <c r="QKL95" s="363"/>
      <c r="QKM95" s="364" t="s">
        <v>140</v>
      </c>
      <c r="QKN95" s="365">
        <v>0.5</v>
      </c>
      <c r="QKO95" s="366" t="e">
        <f>10/QKK93</f>
        <v>#DIV/0!</v>
      </c>
      <c r="QKP95" s="367">
        <v>15.38</v>
      </c>
      <c r="QKQ95" s="367" t="e">
        <f>QKN95*QKO95*QKP95</f>
        <v>#DIV/0!</v>
      </c>
      <c r="QKR95" s="363" t="s">
        <v>153</v>
      </c>
      <c r="QKS95" s="363"/>
      <c r="QKT95" s="363"/>
      <c r="QKU95" s="364" t="s">
        <v>140</v>
      </c>
      <c r="QKV95" s="365">
        <v>0.5</v>
      </c>
      <c r="QKW95" s="366" t="e">
        <f>10/QKS93</f>
        <v>#DIV/0!</v>
      </c>
      <c r="QKX95" s="367">
        <v>15.38</v>
      </c>
      <c r="QKY95" s="367" t="e">
        <f>QKV95*QKW95*QKX95</f>
        <v>#DIV/0!</v>
      </c>
      <c r="QKZ95" s="363" t="s">
        <v>153</v>
      </c>
      <c r="QLA95" s="363"/>
      <c r="QLB95" s="363"/>
      <c r="QLC95" s="364" t="s">
        <v>140</v>
      </c>
      <c r="QLD95" s="365">
        <v>0.5</v>
      </c>
      <c r="QLE95" s="366" t="e">
        <f>10/QLA93</f>
        <v>#DIV/0!</v>
      </c>
      <c r="QLF95" s="367">
        <v>15.38</v>
      </c>
      <c r="QLG95" s="367" t="e">
        <f>QLD95*QLE95*QLF95</f>
        <v>#DIV/0!</v>
      </c>
      <c r="QLH95" s="363" t="s">
        <v>153</v>
      </c>
      <c r="QLI95" s="363"/>
      <c r="QLJ95" s="363"/>
      <c r="QLK95" s="364" t="s">
        <v>140</v>
      </c>
      <c r="QLL95" s="365">
        <v>0.5</v>
      </c>
      <c r="QLM95" s="366" t="e">
        <f>10/QLI93</f>
        <v>#DIV/0!</v>
      </c>
      <c r="QLN95" s="367">
        <v>15.38</v>
      </c>
      <c r="QLO95" s="367" t="e">
        <f>QLL95*QLM95*QLN95</f>
        <v>#DIV/0!</v>
      </c>
      <c r="QLP95" s="363" t="s">
        <v>153</v>
      </c>
      <c r="QLQ95" s="363"/>
      <c r="QLR95" s="363"/>
      <c r="QLS95" s="364" t="s">
        <v>140</v>
      </c>
      <c r="QLT95" s="365">
        <v>0.5</v>
      </c>
      <c r="QLU95" s="366" t="e">
        <f>10/QLQ93</f>
        <v>#DIV/0!</v>
      </c>
      <c r="QLV95" s="367">
        <v>15.38</v>
      </c>
      <c r="QLW95" s="367" t="e">
        <f>QLT95*QLU95*QLV95</f>
        <v>#DIV/0!</v>
      </c>
      <c r="QLX95" s="363" t="s">
        <v>153</v>
      </c>
      <c r="QLY95" s="363"/>
      <c r="QLZ95" s="363"/>
      <c r="QMA95" s="364" t="s">
        <v>140</v>
      </c>
      <c r="QMB95" s="365">
        <v>0.5</v>
      </c>
      <c r="QMC95" s="366" t="e">
        <f>10/QLY93</f>
        <v>#DIV/0!</v>
      </c>
      <c r="QMD95" s="367">
        <v>15.38</v>
      </c>
      <c r="QME95" s="367" t="e">
        <f>QMB95*QMC95*QMD95</f>
        <v>#DIV/0!</v>
      </c>
      <c r="QMF95" s="363" t="s">
        <v>153</v>
      </c>
      <c r="QMG95" s="363"/>
      <c r="QMH95" s="363"/>
      <c r="QMI95" s="364" t="s">
        <v>140</v>
      </c>
      <c r="QMJ95" s="365">
        <v>0.5</v>
      </c>
      <c r="QMK95" s="366" t="e">
        <f>10/QMG93</f>
        <v>#DIV/0!</v>
      </c>
      <c r="QML95" s="367">
        <v>15.38</v>
      </c>
      <c r="QMM95" s="367" t="e">
        <f>QMJ95*QMK95*QML95</f>
        <v>#DIV/0!</v>
      </c>
      <c r="QMN95" s="363" t="s">
        <v>153</v>
      </c>
      <c r="QMO95" s="363"/>
      <c r="QMP95" s="363"/>
      <c r="QMQ95" s="364" t="s">
        <v>140</v>
      </c>
      <c r="QMR95" s="365">
        <v>0.5</v>
      </c>
      <c r="QMS95" s="366" t="e">
        <f>10/QMO93</f>
        <v>#DIV/0!</v>
      </c>
      <c r="QMT95" s="367">
        <v>15.38</v>
      </c>
      <c r="QMU95" s="367" t="e">
        <f>QMR95*QMS95*QMT95</f>
        <v>#DIV/0!</v>
      </c>
      <c r="QMV95" s="363" t="s">
        <v>153</v>
      </c>
      <c r="QMW95" s="363"/>
      <c r="QMX95" s="363"/>
      <c r="QMY95" s="364" t="s">
        <v>140</v>
      </c>
      <c r="QMZ95" s="365">
        <v>0.5</v>
      </c>
      <c r="QNA95" s="366" t="e">
        <f>10/QMW93</f>
        <v>#DIV/0!</v>
      </c>
      <c r="QNB95" s="367">
        <v>15.38</v>
      </c>
      <c r="QNC95" s="367" t="e">
        <f>QMZ95*QNA95*QNB95</f>
        <v>#DIV/0!</v>
      </c>
      <c r="QND95" s="363" t="s">
        <v>153</v>
      </c>
      <c r="QNE95" s="363"/>
      <c r="QNF95" s="363"/>
      <c r="QNG95" s="364" t="s">
        <v>140</v>
      </c>
      <c r="QNH95" s="365">
        <v>0.5</v>
      </c>
      <c r="QNI95" s="366" t="e">
        <f>10/QNE93</f>
        <v>#DIV/0!</v>
      </c>
      <c r="QNJ95" s="367">
        <v>15.38</v>
      </c>
      <c r="QNK95" s="367" t="e">
        <f>QNH95*QNI95*QNJ95</f>
        <v>#DIV/0!</v>
      </c>
      <c r="QNL95" s="363" t="s">
        <v>153</v>
      </c>
      <c r="QNM95" s="363"/>
      <c r="QNN95" s="363"/>
      <c r="QNO95" s="364" t="s">
        <v>140</v>
      </c>
      <c r="QNP95" s="365">
        <v>0.5</v>
      </c>
      <c r="QNQ95" s="366" t="e">
        <f>10/QNM93</f>
        <v>#DIV/0!</v>
      </c>
      <c r="QNR95" s="367">
        <v>15.38</v>
      </c>
      <c r="QNS95" s="367" t="e">
        <f>QNP95*QNQ95*QNR95</f>
        <v>#DIV/0!</v>
      </c>
      <c r="QNT95" s="363" t="s">
        <v>153</v>
      </c>
      <c r="QNU95" s="363"/>
      <c r="QNV95" s="363"/>
      <c r="QNW95" s="364" t="s">
        <v>140</v>
      </c>
      <c r="QNX95" s="365">
        <v>0.5</v>
      </c>
      <c r="QNY95" s="366" t="e">
        <f>10/QNU93</f>
        <v>#DIV/0!</v>
      </c>
      <c r="QNZ95" s="367">
        <v>15.38</v>
      </c>
      <c r="QOA95" s="367" t="e">
        <f>QNX95*QNY95*QNZ95</f>
        <v>#DIV/0!</v>
      </c>
      <c r="QOB95" s="363" t="s">
        <v>153</v>
      </c>
      <c r="QOC95" s="363"/>
      <c r="QOD95" s="363"/>
      <c r="QOE95" s="364" t="s">
        <v>140</v>
      </c>
      <c r="QOF95" s="365">
        <v>0.5</v>
      </c>
      <c r="QOG95" s="366" t="e">
        <f>10/QOC93</f>
        <v>#DIV/0!</v>
      </c>
      <c r="QOH95" s="367">
        <v>15.38</v>
      </c>
      <c r="QOI95" s="367" t="e">
        <f>QOF95*QOG95*QOH95</f>
        <v>#DIV/0!</v>
      </c>
      <c r="QOJ95" s="363" t="s">
        <v>153</v>
      </c>
      <c r="QOK95" s="363"/>
      <c r="QOL95" s="363"/>
      <c r="QOM95" s="364" t="s">
        <v>140</v>
      </c>
      <c r="QON95" s="365">
        <v>0.5</v>
      </c>
      <c r="QOO95" s="366" t="e">
        <f>10/QOK93</f>
        <v>#DIV/0!</v>
      </c>
      <c r="QOP95" s="367">
        <v>15.38</v>
      </c>
      <c r="QOQ95" s="367" t="e">
        <f>QON95*QOO95*QOP95</f>
        <v>#DIV/0!</v>
      </c>
      <c r="QOR95" s="363" t="s">
        <v>153</v>
      </c>
      <c r="QOS95" s="363"/>
      <c r="QOT95" s="363"/>
      <c r="QOU95" s="364" t="s">
        <v>140</v>
      </c>
      <c r="QOV95" s="365">
        <v>0.5</v>
      </c>
      <c r="QOW95" s="366" t="e">
        <f>10/QOS93</f>
        <v>#DIV/0!</v>
      </c>
      <c r="QOX95" s="367">
        <v>15.38</v>
      </c>
      <c r="QOY95" s="367" t="e">
        <f>QOV95*QOW95*QOX95</f>
        <v>#DIV/0!</v>
      </c>
      <c r="QOZ95" s="363" t="s">
        <v>153</v>
      </c>
      <c r="QPA95" s="363"/>
      <c r="QPB95" s="363"/>
      <c r="QPC95" s="364" t="s">
        <v>140</v>
      </c>
      <c r="QPD95" s="365">
        <v>0.5</v>
      </c>
      <c r="QPE95" s="366" t="e">
        <f>10/QPA93</f>
        <v>#DIV/0!</v>
      </c>
      <c r="QPF95" s="367">
        <v>15.38</v>
      </c>
      <c r="QPG95" s="367" t="e">
        <f>QPD95*QPE95*QPF95</f>
        <v>#DIV/0!</v>
      </c>
      <c r="QPH95" s="363" t="s">
        <v>153</v>
      </c>
      <c r="QPI95" s="363"/>
      <c r="QPJ95" s="363"/>
      <c r="QPK95" s="364" t="s">
        <v>140</v>
      </c>
      <c r="QPL95" s="365">
        <v>0.5</v>
      </c>
      <c r="QPM95" s="366" t="e">
        <f>10/QPI93</f>
        <v>#DIV/0!</v>
      </c>
      <c r="QPN95" s="367">
        <v>15.38</v>
      </c>
      <c r="QPO95" s="367" t="e">
        <f>QPL95*QPM95*QPN95</f>
        <v>#DIV/0!</v>
      </c>
      <c r="QPP95" s="363" t="s">
        <v>153</v>
      </c>
      <c r="QPQ95" s="363"/>
      <c r="QPR95" s="363"/>
      <c r="QPS95" s="364" t="s">
        <v>140</v>
      </c>
      <c r="QPT95" s="365">
        <v>0.5</v>
      </c>
      <c r="QPU95" s="366" t="e">
        <f>10/QPQ93</f>
        <v>#DIV/0!</v>
      </c>
      <c r="QPV95" s="367">
        <v>15.38</v>
      </c>
      <c r="QPW95" s="367" t="e">
        <f>QPT95*QPU95*QPV95</f>
        <v>#DIV/0!</v>
      </c>
      <c r="QPX95" s="363" t="s">
        <v>153</v>
      </c>
      <c r="QPY95" s="363"/>
      <c r="QPZ95" s="363"/>
      <c r="QQA95" s="364" t="s">
        <v>140</v>
      </c>
      <c r="QQB95" s="365">
        <v>0.5</v>
      </c>
      <c r="QQC95" s="366" t="e">
        <f>10/QPY93</f>
        <v>#DIV/0!</v>
      </c>
      <c r="QQD95" s="367">
        <v>15.38</v>
      </c>
      <c r="QQE95" s="367" t="e">
        <f>QQB95*QQC95*QQD95</f>
        <v>#DIV/0!</v>
      </c>
      <c r="QQF95" s="363" t="s">
        <v>153</v>
      </c>
      <c r="QQG95" s="363"/>
      <c r="QQH95" s="363"/>
      <c r="QQI95" s="364" t="s">
        <v>140</v>
      </c>
      <c r="QQJ95" s="365">
        <v>0.5</v>
      </c>
      <c r="QQK95" s="366" t="e">
        <f>10/QQG93</f>
        <v>#DIV/0!</v>
      </c>
      <c r="QQL95" s="367">
        <v>15.38</v>
      </c>
      <c r="QQM95" s="367" t="e">
        <f>QQJ95*QQK95*QQL95</f>
        <v>#DIV/0!</v>
      </c>
      <c r="QQN95" s="363" t="s">
        <v>153</v>
      </c>
      <c r="QQO95" s="363"/>
      <c r="QQP95" s="363"/>
      <c r="QQQ95" s="364" t="s">
        <v>140</v>
      </c>
      <c r="QQR95" s="365">
        <v>0.5</v>
      </c>
      <c r="QQS95" s="366" t="e">
        <f>10/QQO93</f>
        <v>#DIV/0!</v>
      </c>
      <c r="QQT95" s="367">
        <v>15.38</v>
      </c>
      <c r="QQU95" s="367" t="e">
        <f>QQR95*QQS95*QQT95</f>
        <v>#DIV/0!</v>
      </c>
      <c r="QQV95" s="363" t="s">
        <v>153</v>
      </c>
      <c r="QQW95" s="363"/>
      <c r="QQX95" s="363"/>
      <c r="QQY95" s="364" t="s">
        <v>140</v>
      </c>
      <c r="QQZ95" s="365">
        <v>0.5</v>
      </c>
      <c r="QRA95" s="366" t="e">
        <f>10/QQW93</f>
        <v>#DIV/0!</v>
      </c>
      <c r="QRB95" s="367">
        <v>15.38</v>
      </c>
      <c r="QRC95" s="367" t="e">
        <f>QQZ95*QRA95*QRB95</f>
        <v>#DIV/0!</v>
      </c>
      <c r="QRD95" s="363" t="s">
        <v>153</v>
      </c>
      <c r="QRE95" s="363"/>
      <c r="QRF95" s="363"/>
      <c r="QRG95" s="364" t="s">
        <v>140</v>
      </c>
      <c r="QRH95" s="365">
        <v>0.5</v>
      </c>
      <c r="QRI95" s="366" t="e">
        <f>10/QRE93</f>
        <v>#DIV/0!</v>
      </c>
      <c r="QRJ95" s="367">
        <v>15.38</v>
      </c>
      <c r="QRK95" s="367" t="e">
        <f>QRH95*QRI95*QRJ95</f>
        <v>#DIV/0!</v>
      </c>
      <c r="QRL95" s="363" t="s">
        <v>153</v>
      </c>
      <c r="QRM95" s="363"/>
      <c r="QRN95" s="363"/>
      <c r="QRO95" s="364" t="s">
        <v>140</v>
      </c>
      <c r="QRP95" s="365">
        <v>0.5</v>
      </c>
      <c r="QRQ95" s="366" t="e">
        <f>10/QRM93</f>
        <v>#DIV/0!</v>
      </c>
      <c r="QRR95" s="367">
        <v>15.38</v>
      </c>
      <c r="QRS95" s="367" t="e">
        <f>QRP95*QRQ95*QRR95</f>
        <v>#DIV/0!</v>
      </c>
      <c r="QRT95" s="363" t="s">
        <v>153</v>
      </c>
      <c r="QRU95" s="363"/>
      <c r="QRV95" s="363"/>
      <c r="QRW95" s="364" t="s">
        <v>140</v>
      </c>
      <c r="QRX95" s="365">
        <v>0.5</v>
      </c>
      <c r="QRY95" s="366" t="e">
        <f>10/QRU93</f>
        <v>#DIV/0!</v>
      </c>
      <c r="QRZ95" s="367">
        <v>15.38</v>
      </c>
      <c r="QSA95" s="367" t="e">
        <f>QRX95*QRY95*QRZ95</f>
        <v>#DIV/0!</v>
      </c>
      <c r="QSB95" s="363" t="s">
        <v>153</v>
      </c>
      <c r="QSC95" s="363"/>
      <c r="QSD95" s="363"/>
      <c r="QSE95" s="364" t="s">
        <v>140</v>
      </c>
      <c r="QSF95" s="365">
        <v>0.5</v>
      </c>
      <c r="QSG95" s="366" t="e">
        <f>10/QSC93</f>
        <v>#DIV/0!</v>
      </c>
      <c r="QSH95" s="367">
        <v>15.38</v>
      </c>
      <c r="QSI95" s="367" t="e">
        <f>QSF95*QSG95*QSH95</f>
        <v>#DIV/0!</v>
      </c>
      <c r="QSJ95" s="363" t="s">
        <v>153</v>
      </c>
      <c r="QSK95" s="363"/>
      <c r="QSL95" s="363"/>
      <c r="QSM95" s="364" t="s">
        <v>140</v>
      </c>
      <c r="QSN95" s="365">
        <v>0.5</v>
      </c>
      <c r="QSO95" s="366" t="e">
        <f>10/QSK93</f>
        <v>#DIV/0!</v>
      </c>
      <c r="QSP95" s="367">
        <v>15.38</v>
      </c>
      <c r="QSQ95" s="367" t="e">
        <f>QSN95*QSO95*QSP95</f>
        <v>#DIV/0!</v>
      </c>
      <c r="QSR95" s="363" t="s">
        <v>153</v>
      </c>
      <c r="QSS95" s="363"/>
      <c r="QST95" s="363"/>
      <c r="QSU95" s="364" t="s">
        <v>140</v>
      </c>
      <c r="QSV95" s="365">
        <v>0.5</v>
      </c>
      <c r="QSW95" s="366" t="e">
        <f>10/QSS93</f>
        <v>#DIV/0!</v>
      </c>
      <c r="QSX95" s="367">
        <v>15.38</v>
      </c>
      <c r="QSY95" s="367" t="e">
        <f>QSV95*QSW95*QSX95</f>
        <v>#DIV/0!</v>
      </c>
      <c r="QSZ95" s="363" t="s">
        <v>153</v>
      </c>
      <c r="QTA95" s="363"/>
      <c r="QTB95" s="363"/>
      <c r="QTC95" s="364" t="s">
        <v>140</v>
      </c>
      <c r="QTD95" s="365">
        <v>0.5</v>
      </c>
      <c r="QTE95" s="366" t="e">
        <f>10/QTA93</f>
        <v>#DIV/0!</v>
      </c>
      <c r="QTF95" s="367">
        <v>15.38</v>
      </c>
      <c r="QTG95" s="367" t="e">
        <f>QTD95*QTE95*QTF95</f>
        <v>#DIV/0!</v>
      </c>
      <c r="QTH95" s="363" t="s">
        <v>153</v>
      </c>
      <c r="QTI95" s="363"/>
      <c r="QTJ95" s="363"/>
      <c r="QTK95" s="364" t="s">
        <v>140</v>
      </c>
      <c r="QTL95" s="365">
        <v>0.5</v>
      </c>
      <c r="QTM95" s="366" t="e">
        <f>10/QTI93</f>
        <v>#DIV/0!</v>
      </c>
      <c r="QTN95" s="367">
        <v>15.38</v>
      </c>
      <c r="QTO95" s="367" t="e">
        <f>QTL95*QTM95*QTN95</f>
        <v>#DIV/0!</v>
      </c>
      <c r="QTP95" s="363" t="s">
        <v>153</v>
      </c>
      <c r="QTQ95" s="363"/>
      <c r="QTR95" s="363"/>
      <c r="QTS95" s="364" t="s">
        <v>140</v>
      </c>
      <c r="QTT95" s="365">
        <v>0.5</v>
      </c>
      <c r="QTU95" s="366" t="e">
        <f>10/QTQ93</f>
        <v>#DIV/0!</v>
      </c>
      <c r="QTV95" s="367">
        <v>15.38</v>
      </c>
      <c r="QTW95" s="367" t="e">
        <f>QTT95*QTU95*QTV95</f>
        <v>#DIV/0!</v>
      </c>
      <c r="QTX95" s="363" t="s">
        <v>153</v>
      </c>
      <c r="QTY95" s="363"/>
      <c r="QTZ95" s="363"/>
      <c r="QUA95" s="364" t="s">
        <v>140</v>
      </c>
      <c r="QUB95" s="365">
        <v>0.5</v>
      </c>
      <c r="QUC95" s="366" t="e">
        <f>10/QTY93</f>
        <v>#DIV/0!</v>
      </c>
      <c r="QUD95" s="367">
        <v>15.38</v>
      </c>
      <c r="QUE95" s="367" t="e">
        <f>QUB95*QUC95*QUD95</f>
        <v>#DIV/0!</v>
      </c>
      <c r="QUF95" s="363" t="s">
        <v>153</v>
      </c>
      <c r="QUG95" s="363"/>
      <c r="QUH95" s="363"/>
      <c r="QUI95" s="364" t="s">
        <v>140</v>
      </c>
      <c r="QUJ95" s="365">
        <v>0.5</v>
      </c>
      <c r="QUK95" s="366" t="e">
        <f>10/QUG93</f>
        <v>#DIV/0!</v>
      </c>
      <c r="QUL95" s="367">
        <v>15.38</v>
      </c>
      <c r="QUM95" s="367" t="e">
        <f>QUJ95*QUK95*QUL95</f>
        <v>#DIV/0!</v>
      </c>
      <c r="QUN95" s="363" t="s">
        <v>153</v>
      </c>
      <c r="QUO95" s="363"/>
      <c r="QUP95" s="363"/>
      <c r="QUQ95" s="364" t="s">
        <v>140</v>
      </c>
      <c r="QUR95" s="365">
        <v>0.5</v>
      </c>
      <c r="QUS95" s="366" t="e">
        <f>10/QUO93</f>
        <v>#DIV/0!</v>
      </c>
      <c r="QUT95" s="367">
        <v>15.38</v>
      </c>
      <c r="QUU95" s="367" t="e">
        <f>QUR95*QUS95*QUT95</f>
        <v>#DIV/0!</v>
      </c>
      <c r="QUV95" s="363" t="s">
        <v>153</v>
      </c>
      <c r="QUW95" s="363"/>
      <c r="QUX95" s="363"/>
      <c r="QUY95" s="364" t="s">
        <v>140</v>
      </c>
      <c r="QUZ95" s="365">
        <v>0.5</v>
      </c>
      <c r="QVA95" s="366" t="e">
        <f>10/QUW93</f>
        <v>#DIV/0!</v>
      </c>
      <c r="QVB95" s="367">
        <v>15.38</v>
      </c>
      <c r="QVC95" s="367" t="e">
        <f>QUZ95*QVA95*QVB95</f>
        <v>#DIV/0!</v>
      </c>
      <c r="QVD95" s="363" t="s">
        <v>153</v>
      </c>
      <c r="QVE95" s="363"/>
      <c r="QVF95" s="363"/>
      <c r="QVG95" s="364" t="s">
        <v>140</v>
      </c>
      <c r="QVH95" s="365">
        <v>0.5</v>
      </c>
      <c r="QVI95" s="366" t="e">
        <f>10/QVE93</f>
        <v>#DIV/0!</v>
      </c>
      <c r="QVJ95" s="367">
        <v>15.38</v>
      </c>
      <c r="QVK95" s="367" t="e">
        <f>QVH95*QVI95*QVJ95</f>
        <v>#DIV/0!</v>
      </c>
      <c r="QVL95" s="363" t="s">
        <v>153</v>
      </c>
      <c r="QVM95" s="363"/>
      <c r="QVN95" s="363"/>
      <c r="QVO95" s="364" t="s">
        <v>140</v>
      </c>
      <c r="QVP95" s="365">
        <v>0.5</v>
      </c>
      <c r="QVQ95" s="366" t="e">
        <f>10/QVM93</f>
        <v>#DIV/0!</v>
      </c>
      <c r="QVR95" s="367">
        <v>15.38</v>
      </c>
      <c r="QVS95" s="367" t="e">
        <f>QVP95*QVQ95*QVR95</f>
        <v>#DIV/0!</v>
      </c>
      <c r="QVT95" s="363" t="s">
        <v>153</v>
      </c>
      <c r="QVU95" s="363"/>
      <c r="QVV95" s="363"/>
      <c r="QVW95" s="364" t="s">
        <v>140</v>
      </c>
      <c r="QVX95" s="365">
        <v>0.5</v>
      </c>
      <c r="QVY95" s="366" t="e">
        <f>10/QVU93</f>
        <v>#DIV/0!</v>
      </c>
      <c r="QVZ95" s="367">
        <v>15.38</v>
      </c>
      <c r="QWA95" s="367" t="e">
        <f>QVX95*QVY95*QVZ95</f>
        <v>#DIV/0!</v>
      </c>
      <c r="QWB95" s="363" t="s">
        <v>153</v>
      </c>
      <c r="QWC95" s="363"/>
      <c r="QWD95" s="363"/>
      <c r="QWE95" s="364" t="s">
        <v>140</v>
      </c>
      <c r="QWF95" s="365">
        <v>0.5</v>
      </c>
      <c r="QWG95" s="366" t="e">
        <f>10/QWC93</f>
        <v>#DIV/0!</v>
      </c>
      <c r="QWH95" s="367">
        <v>15.38</v>
      </c>
      <c r="QWI95" s="367" t="e">
        <f>QWF95*QWG95*QWH95</f>
        <v>#DIV/0!</v>
      </c>
      <c r="QWJ95" s="363" t="s">
        <v>153</v>
      </c>
      <c r="QWK95" s="363"/>
      <c r="QWL95" s="363"/>
      <c r="QWM95" s="364" t="s">
        <v>140</v>
      </c>
      <c r="QWN95" s="365">
        <v>0.5</v>
      </c>
      <c r="QWO95" s="366" t="e">
        <f>10/QWK93</f>
        <v>#DIV/0!</v>
      </c>
      <c r="QWP95" s="367">
        <v>15.38</v>
      </c>
      <c r="QWQ95" s="367" t="e">
        <f>QWN95*QWO95*QWP95</f>
        <v>#DIV/0!</v>
      </c>
      <c r="QWR95" s="363" t="s">
        <v>153</v>
      </c>
      <c r="QWS95" s="363"/>
      <c r="QWT95" s="363"/>
      <c r="QWU95" s="364" t="s">
        <v>140</v>
      </c>
      <c r="QWV95" s="365">
        <v>0.5</v>
      </c>
      <c r="QWW95" s="366" t="e">
        <f>10/QWS93</f>
        <v>#DIV/0!</v>
      </c>
      <c r="QWX95" s="367">
        <v>15.38</v>
      </c>
      <c r="QWY95" s="367" t="e">
        <f>QWV95*QWW95*QWX95</f>
        <v>#DIV/0!</v>
      </c>
      <c r="QWZ95" s="363" t="s">
        <v>153</v>
      </c>
      <c r="QXA95" s="363"/>
      <c r="QXB95" s="363"/>
      <c r="QXC95" s="364" t="s">
        <v>140</v>
      </c>
      <c r="QXD95" s="365">
        <v>0.5</v>
      </c>
      <c r="QXE95" s="366" t="e">
        <f>10/QXA93</f>
        <v>#DIV/0!</v>
      </c>
      <c r="QXF95" s="367">
        <v>15.38</v>
      </c>
      <c r="QXG95" s="367" t="e">
        <f>QXD95*QXE95*QXF95</f>
        <v>#DIV/0!</v>
      </c>
      <c r="QXH95" s="363" t="s">
        <v>153</v>
      </c>
      <c r="QXI95" s="363"/>
      <c r="QXJ95" s="363"/>
      <c r="QXK95" s="364" t="s">
        <v>140</v>
      </c>
      <c r="QXL95" s="365">
        <v>0.5</v>
      </c>
      <c r="QXM95" s="366" t="e">
        <f>10/QXI93</f>
        <v>#DIV/0!</v>
      </c>
      <c r="QXN95" s="367">
        <v>15.38</v>
      </c>
      <c r="QXO95" s="367" t="e">
        <f>QXL95*QXM95*QXN95</f>
        <v>#DIV/0!</v>
      </c>
      <c r="QXP95" s="363" t="s">
        <v>153</v>
      </c>
      <c r="QXQ95" s="363"/>
      <c r="QXR95" s="363"/>
      <c r="QXS95" s="364" t="s">
        <v>140</v>
      </c>
      <c r="QXT95" s="365">
        <v>0.5</v>
      </c>
      <c r="QXU95" s="366" t="e">
        <f>10/QXQ93</f>
        <v>#DIV/0!</v>
      </c>
      <c r="QXV95" s="367">
        <v>15.38</v>
      </c>
      <c r="QXW95" s="367" t="e">
        <f>QXT95*QXU95*QXV95</f>
        <v>#DIV/0!</v>
      </c>
      <c r="QXX95" s="363" t="s">
        <v>153</v>
      </c>
      <c r="QXY95" s="363"/>
      <c r="QXZ95" s="363"/>
      <c r="QYA95" s="364" t="s">
        <v>140</v>
      </c>
      <c r="QYB95" s="365">
        <v>0.5</v>
      </c>
      <c r="QYC95" s="366" t="e">
        <f>10/QXY93</f>
        <v>#DIV/0!</v>
      </c>
      <c r="QYD95" s="367">
        <v>15.38</v>
      </c>
      <c r="QYE95" s="367" t="e">
        <f>QYB95*QYC95*QYD95</f>
        <v>#DIV/0!</v>
      </c>
      <c r="QYF95" s="363" t="s">
        <v>153</v>
      </c>
      <c r="QYG95" s="363"/>
      <c r="QYH95" s="363"/>
      <c r="QYI95" s="364" t="s">
        <v>140</v>
      </c>
      <c r="QYJ95" s="365">
        <v>0.5</v>
      </c>
      <c r="QYK95" s="366" t="e">
        <f>10/QYG93</f>
        <v>#DIV/0!</v>
      </c>
      <c r="QYL95" s="367">
        <v>15.38</v>
      </c>
      <c r="QYM95" s="367" t="e">
        <f>QYJ95*QYK95*QYL95</f>
        <v>#DIV/0!</v>
      </c>
      <c r="QYN95" s="363" t="s">
        <v>153</v>
      </c>
      <c r="QYO95" s="363"/>
      <c r="QYP95" s="363"/>
      <c r="QYQ95" s="364" t="s">
        <v>140</v>
      </c>
      <c r="QYR95" s="365">
        <v>0.5</v>
      </c>
      <c r="QYS95" s="366" t="e">
        <f>10/QYO93</f>
        <v>#DIV/0!</v>
      </c>
      <c r="QYT95" s="367">
        <v>15.38</v>
      </c>
      <c r="QYU95" s="367" t="e">
        <f>QYR95*QYS95*QYT95</f>
        <v>#DIV/0!</v>
      </c>
      <c r="QYV95" s="363" t="s">
        <v>153</v>
      </c>
      <c r="QYW95" s="363"/>
      <c r="QYX95" s="363"/>
      <c r="QYY95" s="364" t="s">
        <v>140</v>
      </c>
      <c r="QYZ95" s="365">
        <v>0.5</v>
      </c>
      <c r="QZA95" s="366" t="e">
        <f>10/QYW93</f>
        <v>#DIV/0!</v>
      </c>
      <c r="QZB95" s="367">
        <v>15.38</v>
      </c>
      <c r="QZC95" s="367" t="e">
        <f>QYZ95*QZA95*QZB95</f>
        <v>#DIV/0!</v>
      </c>
      <c r="QZD95" s="363" t="s">
        <v>153</v>
      </c>
      <c r="QZE95" s="363"/>
      <c r="QZF95" s="363"/>
      <c r="QZG95" s="364" t="s">
        <v>140</v>
      </c>
      <c r="QZH95" s="365">
        <v>0.5</v>
      </c>
      <c r="QZI95" s="366" t="e">
        <f>10/QZE93</f>
        <v>#DIV/0!</v>
      </c>
      <c r="QZJ95" s="367">
        <v>15.38</v>
      </c>
      <c r="QZK95" s="367" t="e">
        <f>QZH95*QZI95*QZJ95</f>
        <v>#DIV/0!</v>
      </c>
      <c r="QZL95" s="363" t="s">
        <v>153</v>
      </c>
      <c r="QZM95" s="363"/>
      <c r="QZN95" s="363"/>
      <c r="QZO95" s="364" t="s">
        <v>140</v>
      </c>
      <c r="QZP95" s="365">
        <v>0.5</v>
      </c>
      <c r="QZQ95" s="366" t="e">
        <f>10/QZM93</f>
        <v>#DIV/0!</v>
      </c>
      <c r="QZR95" s="367">
        <v>15.38</v>
      </c>
      <c r="QZS95" s="367" t="e">
        <f>QZP95*QZQ95*QZR95</f>
        <v>#DIV/0!</v>
      </c>
      <c r="QZT95" s="363" t="s">
        <v>153</v>
      </c>
      <c r="QZU95" s="363"/>
      <c r="QZV95" s="363"/>
      <c r="QZW95" s="364" t="s">
        <v>140</v>
      </c>
      <c r="QZX95" s="365">
        <v>0.5</v>
      </c>
      <c r="QZY95" s="366" t="e">
        <f>10/QZU93</f>
        <v>#DIV/0!</v>
      </c>
      <c r="QZZ95" s="367">
        <v>15.38</v>
      </c>
      <c r="RAA95" s="367" t="e">
        <f>QZX95*QZY95*QZZ95</f>
        <v>#DIV/0!</v>
      </c>
      <c r="RAB95" s="363" t="s">
        <v>153</v>
      </c>
      <c r="RAC95" s="363"/>
      <c r="RAD95" s="363"/>
      <c r="RAE95" s="364" t="s">
        <v>140</v>
      </c>
      <c r="RAF95" s="365">
        <v>0.5</v>
      </c>
      <c r="RAG95" s="366" t="e">
        <f>10/RAC93</f>
        <v>#DIV/0!</v>
      </c>
      <c r="RAH95" s="367">
        <v>15.38</v>
      </c>
      <c r="RAI95" s="367" t="e">
        <f>RAF95*RAG95*RAH95</f>
        <v>#DIV/0!</v>
      </c>
      <c r="RAJ95" s="363" t="s">
        <v>153</v>
      </c>
      <c r="RAK95" s="363"/>
      <c r="RAL95" s="363"/>
      <c r="RAM95" s="364" t="s">
        <v>140</v>
      </c>
      <c r="RAN95" s="365">
        <v>0.5</v>
      </c>
      <c r="RAO95" s="366" t="e">
        <f>10/RAK93</f>
        <v>#DIV/0!</v>
      </c>
      <c r="RAP95" s="367">
        <v>15.38</v>
      </c>
      <c r="RAQ95" s="367" t="e">
        <f>RAN95*RAO95*RAP95</f>
        <v>#DIV/0!</v>
      </c>
      <c r="RAR95" s="363" t="s">
        <v>153</v>
      </c>
      <c r="RAS95" s="363"/>
      <c r="RAT95" s="363"/>
      <c r="RAU95" s="364" t="s">
        <v>140</v>
      </c>
      <c r="RAV95" s="365">
        <v>0.5</v>
      </c>
      <c r="RAW95" s="366" t="e">
        <f>10/RAS93</f>
        <v>#DIV/0!</v>
      </c>
      <c r="RAX95" s="367">
        <v>15.38</v>
      </c>
      <c r="RAY95" s="367" t="e">
        <f>RAV95*RAW95*RAX95</f>
        <v>#DIV/0!</v>
      </c>
      <c r="RAZ95" s="363" t="s">
        <v>153</v>
      </c>
      <c r="RBA95" s="363"/>
      <c r="RBB95" s="363"/>
      <c r="RBC95" s="364" t="s">
        <v>140</v>
      </c>
      <c r="RBD95" s="365">
        <v>0.5</v>
      </c>
      <c r="RBE95" s="366" t="e">
        <f>10/RBA93</f>
        <v>#DIV/0!</v>
      </c>
      <c r="RBF95" s="367">
        <v>15.38</v>
      </c>
      <c r="RBG95" s="367" t="e">
        <f>RBD95*RBE95*RBF95</f>
        <v>#DIV/0!</v>
      </c>
      <c r="RBH95" s="363" t="s">
        <v>153</v>
      </c>
      <c r="RBI95" s="363"/>
      <c r="RBJ95" s="363"/>
      <c r="RBK95" s="364" t="s">
        <v>140</v>
      </c>
      <c r="RBL95" s="365">
        <v>0.5</v>
      </c>
      <c r="RBM95" s="366" t="e">
        <f>10/RBI93</f>
        <v>#DIV/0!</v>
      </c>
      <c r="RBN95" s="367">
        <v>15.38</v>
      </c>
      <c r="RBO95" s="367" t="e">
        <f>RBL95*RBM95*RBN95</f>
        <v>#DIV/0!</v>
      </c>
      <c r="RBP95" s="363" t="s">
        <v>153</v>
      </c>
      <c r="RBQ95" s="363"/>
      <c r="RBR95" s="363"/>
      <c r="RBS95" s="364" t="s">
        <v>140</v>
      </c>
      <c r="RBT95" s="365">
        <v>0.5</v>
      </c>
      <c r="RBU95" s="366" t="e">
        <f>10/RBQ93</f>
        <v>#DIV/0!</v>
      </c>
      <c r="RBV95" s="367">
        <v>15.38</v>
      </c>
      <c r="RBW95" s="367" t="e">
        <f>RBT95*RBU95*RBV95</f>
        <v>#DIV/0!</v>
      </c>
      <c r="RBX95" s="363" t="s">
        <v>153</v>
      </c>
      <c r="RBY95" s="363"/>
      <c r="RBZ95" s="363"/>
      <c r="RCA95" s="364" t="s">
        <v>140</v>
      </c>
      <c r="RCB95" s="365">
        <v>0.5</v>
      </c>
      <c r="RCC95" s="366" t="e">
        <f>10/RBY93</f>
        <v>#DIV/0!</v>
      </c>
      <c r="RCD95" s="367">
        <v>15.38</v>
      </c>
      <c r="RCE95" s="367" t="e">
        <f>RCB95*RCC95*RCD95</f>
        <v>#DIV/0!</v>
      </c>
      <c r="RCF95" s="363" t="s">
        <v>153</v>
      </c>
      <c r="RCG95" s="363"/>
      <c r="RCH95" s="363"/>
      <c r="RCI95" s="364" t="s">
        <v>140</v>
      </c>
      <c r="RCJ95" s="365">
        <v>0.5</v>
      </c>
      <c r="RCK95" s="366" t="e">
        <f>10/RCG93</f>
        <v>#DIV/0!</v>
      </c>
      <c r="RCL95" s="367">
        <v>15.38</v>
      </c>
      <c r="RCM95" s="367" t="e">
        <f>RCJ95*RCK95*RCL95</f>
        <v>#DIV/0!</v>
      </c>
      <c r="RCN95" s="363" t="s">
        <v>153</v>
      </c>
      <c r="RCO95" s="363"/>
      <c r="RCP95" s="363"/>
      <c r="RCQ95" s="364" t="s">
        <v>140</v>
      </c>
      <c r="RCR95" s="365">
        <v>0.5</v>
      </c>
      <c r="RCS95" s="366" t="e">
        <f>10/RCO93</f>
        <v>#DIV/0!</v>
      </c>
      <c r="RCT95" s="367">
        <v>15.38</v>
      </c>
      <c r="RCU95" s="367" t="e">
        <f>RCR95*RCS95*RCT95</f>
        <v>#DIV/0!</v>
      </c>
      <c r="RCV95" s="363" t="s">
        <v>153</v>
      </c>
      <c r="RCW95" s="363"/>
      <c r="RCX95" s="363"/>
      <c r="RCY95" s="364" t="s">
        <v>140</v>
      </c>
      <c r="RCZ95" s="365">
        <v>0.5</v>
      </c>
      <c r="RDA95" s="366" t="e">
        <f>10/RCW93</f>
        <v>#DIV/0!</v>
      </c>
      <c r="RDB95" s="367">
        <v>15.38</v>
      </c>
      <c r="RDC95" s="367" t="e">
        <f>RCZ95*RDA95*RDB95</f>
        <v>#DIV/0!</v>
      </c>
      <c r="RDD95" s="363" t="s">
        <v>153</v>
      </c>
      <c r="RDE95" s="363"/>
      <c r="RDF95" s="363"/>
      <c r="RDG95" s="364" t="s">
        <v>140</v>
      </c>
      <c r="RDH95" s="365">
        <v>0.5</v>
      </c>
      <c r="RDI95" s="366" t="e">
        <f>10/RDE93</f>
        <v>#DIV/0!</v>
      </c>
      <c r="RDJ95" s="367">
        <v>15.38</v>
      </c>
      <c r="RDK95" s="367" t="e">
        <f>RDH95*RDI95*RDJ95</f>
        <v>#DIV/0!</v>
      </c>
      <c r="RDL95" s="363" t="s">
        <v>153</v>
      </c>
      <c r="RDM95" s="363"/>
      <c r="RDN95" s="363"/>
      <c r="RDO95" s="364" t="s">
        <v>140</v>
      </c>
      <c r="RDP95" s="365">
        <v>0.5</v>
      </c>
      <c r="RDQ95" s="366" t="e">
        <f>10/RDM93</f>
        <v>#DIV/0!</v>
      </c>
      <c r="RDR95" s="367">
        <v>15.38</v>
      </c>
      <c r="RDS95" s="367" t="e">
        <f>RDP95*RDQ95*RDR95</f>
        <v>#DIV/0!</v>
      </c>
      <c r="RDT95" s="363" t="s">
        <v>153</v>
      </c>
      <c r="RDU95" s="363"/>
      <c r="RDV95" s="363"/>
      <c r="RDW95" s="364" t="s">
        <v>140</v>
      </c>
      <c r="RDX95" s="365">
        <v>0.5</v>
      </c>
      <c r="RDY95" s="366" t="e">
        <f>10/RDU93</f>
        <v>#DIV/0!</v>
      </c>
      <c r="RDZ95" s="367">
        <v>15.38</v>
      </c>
      <c r="REA95" s="367" t="e">
        <f>RDX95*RDY95*RDZ95</f>
        <v>#DIV/0!</v>
      </c>
      <c r="REB95" s="363" t="s">
        <v>153</v>
      </c>
      <c r="REC95" s="363"/>
      <c r="RED95" s="363"/>
      <c r="REE95" s="364" t="s">
        <v>140</v>
      </c>
      <c r="REF95" s="365">
        <v>0.5</v>
      </c>
      <c r="REG95" s="366" t="e">
        <f>10/REC93</f>
        <v>#DIV/0!</v>
      </c>
      <c r="REH95" s="367">
        <v>15.38</v>
      </c>
      <c r="REI95" s="367" t="e">
        <f>REF95*REG95*REH95</f>
        <v>#DIV/0!</v>
      </c>
      <c r="REJ95" s="363" t="s">
        <v>153</v>
      </c>
      <c r="REK95" s="363"/>
      <c r="REL95" s="363"/>
      <c r="REM95" s="364" t="s">
        <v>140</v>
      </c>
      <c r="REN95" s="365">
        <v>0.5</v>
      </c>
      <c r="REO95" s="366" t="e">
        <f>10/REK93</f>
        <v>#DIV/0!</v>
      </c>
      <c r="REP95" s="367">
        <v>15.38</v>
      </c>
      <c r="REQ95" s="367" t="e">
        <f>REN95*REO95*REP95</f>
        <v>#DIV/0!</v>
      </c>
      <c r="RER95" s="363" t="s">
        <v>153</v>
      </c>
      <c r="RES95" s="363"/>
      <c r="RET95" s="363"/>
      <c r="REU95" s="364" t="s">
        <v>140</v>
      </c>
      <c r="REV95" s="365">
        <v>0.5</v>
      </c>
      <c r="REW95" s="366" t="e">
        <f>10/RES93</f>
        <v>#DIV/0!</v>
      </c>
      <c r="REX95" s="367">
        <v>15.38</v>
      </c>
      <c r="REY95" s="367" t="e">
        <f>REV95*REW95*REX95</f>
        <v>#DIV/0!</v>
      </c>
      <c r="REZ95" s="363" t="s">
        <v>153</v>
      </c>
      <c r="RFA95" s="363"/>
      <c r="RFB95" s="363"/>
      <c r="RFC95" s="364" t="s">
        <v>140</v>
      </c>
      <c r="RFD95" s="365">
        <v>0.5</v>
      </c>
      <c r="RFE95" s="366" t="e">
        <f>10/RFA93</f>
        <v>#DIV/0!</v>
      </c>
      <c r="RFF95" s="367">
        <v>15.38</v>
      </c>
      <c r="RFG95" s="367" t="e">
        <f>RFD95*RFE95*RFF95</f>
        <v>#DIV/0!</v>
      </c>
      <c r="RFH95" s="363" t="s">
        <v>153</v>
      </c>
      <c r="RFI95" s="363"/>
      <c r="RFJ95" s="363"/>
      <c r="RFK95" s="364" t="s">
        <v>140</v>
      </c>
      <c r="RFL95" s="365">
        <v>0.5</v>
      </c>
      <c r="RFM95" s="366" t="e">
        <f>10/RFI93</f>
        <v>#DIV/0!</v>
      </c>
      <c r="RFN95" s="367">
        <v>15.38</v>
      </c>
      <c r="RFO95" s="367" t="e">
        <f>RFL95*RFM95*RFN95</f>
        <v>#DIV/0!</v>
      </c>
      <c r="RFP95" s="363" t="s">
        <v>153</v>
      </c>
      <c r="RFQ95" s="363"/>
      <c r="RFR95" s="363"/>
      <c r="RFS95" s="364" t="s">
        <v>140</v>
      </c>
      <c r="RFT95" s="365">
        <v>0.5</v>
      </c>
      <c r="RFU95" s="366" t="e">
        <f>10/RFQ93</f>
        <v>#DIV/0!</v>
      </c>
      <c r="RFV95" s="367">
        <v>15.38</v>
      </c>
      <c r="RFW95" s="367" t="e">
        <f>RFT95*RFU95*RFV95</f>
        <v>#DIV/0!</v>
      </c>
      <c r="RFX95" s="363" t="s">
        <v>153</v>
      </c>
      <c r="RFY95" s="363"/>
      <c r="RFZ95" s="363"/>
      <c r="RGA95" s="364" t="s">
        <v>140</v>
      </c>
      <c r="RGB95" s="365">
        <v>0.5</v>
      </c>
      <c r="RGC95" s="366" t="e">
        <f>10/RFY93</f>
        <v>#DIV/0!</v>
      </c>
      <c r="RGD95" s="367">
        <v>15.38</v>
      </c>
      <c r="RGE95" s="367" t="e">
        <f>RGB95*RGC95*RGD95</f>
        <v>#DIV/0!</v>
      </c>
      <c r="RGF95" s="363" t="s">
        <v>153</v>
      </c>
      <c r="RGG95" s="363"/>
      <c r="RGH95" s="363"/>
      <c r="RGI95" s="364" t="s">
        <v>140</v>
      </c>
      <c r="RGJ95" s="365">
        <v>0.5</v>
      </c>
      <c r="RGK95" s="366" t="e">
        <f>10/RGG93</f>
        <v>#DIV/0!</v>
      </c>
      <c r="RGL95" s="367">
        <v>15.38</v>
      </c>
      <c r="RGM95" s="367" t="e">
        <f>RGJ95*RGK95*RGL95</f>
        <v>#DIV/0!</v>
      </c>
      <c r="RGN95" s="363" t="s">
        <v>153</v>
      </c>
      <c r="RGO95" s="363"/>
      <c r="RGP95" s="363"/>
      <c r="RGQ95" s="364" t="s">
        <v>140</v>
      </c>
      <c r="RGR95" s="365">
        <v>0.5</v>
      </c>
      <c r="RGS95" s="366" t="e">
        <f>10/RGO93</f>
        <v>#DIV/0!</v>
      </c>
      <c r="RGT95" s="367">
        <v>15.38</v>
      </c>
      <c r="RGU95" s="367" t="e">
        <f>RGR95*RGS95*RGT95</f>
        <v>#DIV/0!</v>
      </c>
      <c r="RGV95" s="363" t="s">
        <v>153</v>
      </c>
      <c r="RGW95" s="363"/>
      <c r="RGX95" s="363"/>
      <c r="RGY95" s="364" t="s">
        <v>140</v>
      </c>
      <c r="RGZ95" s="365">
        <v>0.5</v>
      </c>
      <c r="RHA95" s="366" t="e">
        <f>10/RGW93</f>
        <v>#DIV/0!</v>
      </c>
      <c r="RHB95" s="367">
        <v>15.38</v>
      </c>
      <c r="RHC95" s="367" t="e">
        <f>RGZ95*RHA95*RHB95</f>
        <v>#DIV/0!</v>
      </c>
      <c r="RHD95" s="363" t="s">
        <v>153</v>
      </c>
      <c r="RHE95" s="363"/>
      <c r="RHF95" s="363"/>
      <c r="RHG95" s="364" t="s">
        <v>140</v>
      </c>
      <c r="RHH95" s="365">
        <v>0.5</v>
      </c>
      <c r="RHI95" s="366" t="e">
        <f>10/RHE93</f>
        <v>#DIV/0!</v>
      </c>
      <c r="RHJ95" s="367">
        <v>15.38</v>
      </c>
      <c r="RHK95" s="367" t="e">
        <f>RHH95*RHI95*RHJ95</f>
        <v>#DIV/0!</v>
      </c>
      <c r="RHL95" s="363" t="s">
        <v>153</v>
      </c>
      <c r="RHM95" s="363"/>
      <c r="RHN95" s="363"/>
      <c r="RHO95" s="364" t="s">
        <v>140</v>
      </c>
      <c r="RHP95" s="365">
        <v>0.5</v>
      </c>
      <c r="RHQ95" s="366" t="e">
        <f>10/RHM93</f>
        <v>#DIV/0!</v>
      </c>
      <c r="RHR95" s="367">
        <v>15.38</v>
      </c>
      <c r="RHS95" s="367" t="e">
        <f>RHP95*RHQ95*RHR95</f>
        <v>#DIV/0!</v>
      </c>
      <c r="RHT95" s="363" t="s">
        <v>153</v>
      </c>
      <c r="RHU95" s="363"/>
      <c r="RHV95" s="363"/>
      <c r="RHW95" s="364" t="s">
        <v>140</v>
      </c>
      <c r="RHX95" s="365">
        <v>0.5</v>
      </c>
      <c r="RHY95" s="366" t="e">
        <f>10/RHU93</f>
        <v>#DIV/0!</v>
      </c>
      <c r="RHZ95" s="367">
        <v>15.38</v>
      </c>
      <c r="RIA95" s="367" t="e">
        <f>RHX95*RHY95*RHZ95</f>
        <v>#DIV/0!</v>
      </c>
      <c r="RIB95" s="363" t="s">
        <v>153</v>
      </c>
      <c r="RIC95" s="363"/>
      <c r="RID95" s="363"/>
      <c r="RIE95" s="364" t="s">
        <v>140</v>
      </c>
      <c r="RIF95" s="365">
        <v>0.5</v>
      </c>
      <c r="RIG95" s="366" t="e">
        <f>10/RIC93</f>
        <v>#DIV/0!</v>
      </c>
      <c r="RIH95" s="367">
        <v>15.38</v>
      </c>
      <c r="RII95" s="367" t="e">
        <f>RIF95*RIG95*RIH95</f>
        <v>#DIV/0!</v>
      </c>
      <c r="RIJ95" s="363" t="s">
        <v>153</v>
      </c>
      <c r="RIK95" s="363"/>
      <c r="RIL95" s="363"/>
      <c r="RIM95" s="364" t="s">
        <v>140</v>
      </c>
      <c r="RIN95" s="365">
        <v>0.5</v>
      </c>
      <c r="RIO95" s="366" t="e">
        <f>10/RIK93</f>
        <v>#DIV/0!</v>
      </c>
      <c r="RIP95" s="367">
        <v>15.38</v>
      </c>
      <c r="RIQ95" s="367" t="e">
        <f>RIN95*RIO95*RIP95</f>
        <v>#DIV/0!</v>
      </c>
      <c r="RIR95" s="363" t="s">
        <v>153</v>
      </c>
      <c r="RIS95" s="363"/>
      <c r="RIT95" s="363"/>
      <c r="RIU95" s="364" t="s">
        <v>140</v>
      </c>
      <c r="RIV95" s="365">
        <v>0.5</v>
      </c>
      <c r="RIW95" s="366" t="e">
        <f>10/RIS93</f>
        <v>#DIV/0!</v>
      </c>
      <c r="RIX95" s="367">
        <v>15.38</v>
      </c>
      <c r="RIY95" s="367" t="e">
        <f>RIV95*RIW95*RIX95</f>
        <v>#DIV/0!</v>
      </c>
      <c r="RIZ95" s="363" t="s">
        <v>153</v>
      </c>
      <c r="RJA95" s="363"/>
      <c r="RJB95" s="363"/>
      <c r="RJC95" s="364" t="s">
        <v>140</v>
      </c>
      <c r="RJD95" s="365">
        <v>0.5</v>
      </c>
      <c r="RJE95" s="366" t="e">
        <f>10/RJA93</f>
        <v>#DIV/0!</v>
      </c>
      <c r="RJF95" s="367">
        <v>15.38</v>
      </c>
      <c r="RJG95" s="367" t="e">
        <f>RJD95*RJE95*RJF95</f>
        <v>#DIV/0!</v>
      </c>
      <c r="RJH95" s="363" t="s">
        <v>153</v>
      </c>
      <c r="RJI95" s="363"/>
      <c r="RJJ95" s="363"/>
      <c r="RJK95" s="364" t="s">
        <v>140</v>
      </c>
      <c r="RJL95" s="365">
        <v>0.5</v>
      </c>
      <c r="RJM95" s="366" t="e">
        <f>10/RJI93</f>
        <v>#DIV/0!</v>
      </c>
      <c r="RJN95" s="367">
        <v>15.38</v>
      </c>
      <c r="RJO95" s="367" t="e">
        <f>RJL95*RJM95*RJN95</f>
        <v>#DIV/0!</v>
      </c>
      <c r="RJP95" s="363" t="s">
        <v>153</v>
      </c>
      <c r="RJQ95" s="363"/>
      <c r="RJR95" s="363"/>
      <c r="RJS95" s="364" t="s">
        <v>140</v>
      </c>
      <c r="RJT95" s="365">
        <v>0.5</v>
      </c>
      <c r="RJU95" s="366" t="e">
        <f>10/RJQ93</f>
        <v>#DIV/0!</v>
      </c>
      <c r="RJV95" s="367">
        <v>15.38</v>
      </c>
      <c r="RJW95" s="367" t="e">
        <f>RJT95*RJU95*RJV95</f>
        <v>#DIV/0!</v>
      </c>
      <c r="RJX95" s="363" t="s">
        <v>153</v>
      </c>
      <c r="RJY95" s="363"/>
      <c r="RJZ95" s="363"/>
      <c r="RKA95" s="364" t="s">
        <v>140</v>
      </c>
      <c r="RKB95" s="365">
        <v>0.5</v>
      </c>
      <c r="RKC95" s="366" t="e">
        <f>10/RJY93</f>
        <v>#DIV/0!</v>
      </c>
      <c r="RKD95" s="367">
        <v>15.38</v>
      </c>
      <c r="RKE95" s="367" t="e">
        <f>RKB95*RKC95*RKD95</f>
        <v>#DIV/0!</v>
      </c>
      <c r="RKF95" s="363" t="s">
        <v>153</v>
      </c>
      <c r="RKG95" s="363"/>
      <c r="RKH95" s="363"/>
      <c r="RKI95" s="364" t="s">
        <v>140</v>
      </c>
      <c r="RKJ95" s="365">
        <v>0.5</v>
      </c>
      <c r="RKK95" s="366" t="e">
        <f>10/RKG93</f>
        <v>#DIV/0!</v>
      </c>
      <c r="RKL95" s="367">
        <v>15.38</v>
      </c>
      <c r="RKM95" s="367" t="e">
        <f>RKJ95*RKK95*RKL95</f>
        <v>#DIV/0!</v>
      </c>
      <c r="RKN95" s="363" t="s">
        <v>153</v>
      </c>
      <c r="RKO95" s="363"/>
      <c r="RKP95" s="363"/>
      <c r="RKQ95" s="364" t="s">
        <v>140</v>
      </c>
      <c r="RKR95" s="365">
        <v>0.5</v>
      </c>
      <c r="RKS95" s="366" t="e">
        <f>10/RKO93</f>
        <v>#DIV/0!</v>
      </c>
      <c r="RKT95" s="367">
        <v>15.38</v>
      </c>
      <c r="RKU95" s="367" t="e">
        <f>RKR95*RKS95*RKT95</f>
        <v>#DIV/0!</v>
      </c>
      <c r="RKV95" s="363" t="s">
        <v>153</v>
      </c>
      <c r="RKW95" s="363"/>
      <c r="RKX95" s="363"/>
      <c r="RKY95" s="364" t="s">
        <v>140</v>
      </c>
      <c r="RKZ95" s="365">
        <v>0.5</v>
      </c>
      <c r="RLA95" s="366" t="e">
        <f>10/RKW93</f>
        <v>#DIV/0!</v>
      </c>
      <c r="RLB95" s="367">
        <v>15.38</v>
      </c>
      <c r="RLC95" s="367" t="e">
        <f>RKZ95*RLA95*RLB95</f>
        <v>#DIV/0!</v>
      </c>
      <c r="RLD95" s="363" t="s">
        <v>153</v>
      </c>
      <c r="RLE95" s="363"/>
      <c r="RLF95" s="363"/>
      <c r="RLG95" s="364" t="s">
        <v>140</v>
      </c>
      <c r="RLH95" s="365">
        <v>0.5</v>
      </c>
      <c r="RLI95" s="366" t="e">
        <f>10/RLE93</f>
        <v>#DIV/0!</v>
      </c>
      <c r="RLJ95" s="367">
        <v>15.38</v>
      </c>
      <c r="RLK95" s="367" t="e">
        <f>RLH95*RLI95*RLJ95</f>
        <v>#DIV/0!</v>
      </c>
      <c r="RLL95" s="363" t="s">
        <v>153</v>
      </c>
      <c r="RLM95" s="363"/>
      <c r="RLN95" s="363"/>
      <c r="RLO95" s="364" t="s">
        <v>140</v>
      </c>
      <c r="RLP95" s="365">
        <v>0.5</v>
      </c>
      <c r="RLQ95" s="366" t="e">
        <f>10/RLM93</f>
        <v>#DIV/0!</v>
      </c>
      <c r="RLR95" s="367">
        <v>15.38</v>
      </c>
      <c r="RLS95" s="367" t="e">
        <f>RLP95*RLQ95*RLR95</f>
        <v>#DIV/0!</v>
      </c>
      <c r="RLT95" s="363" t="s">
        <v>153</v>
      </c>
      <c r="RLU95" s="363"/>
      <c r="RLV95" s="363"/>
      <c r="RLW95" s="364" t="s">
        <v>140</v>
      </c>
      <c r="RLX95" s="365">
        <v>0.5</v>
      </c>
      <c r="RLY95" s="366" t="e">
        <f>10/RLU93</f>
        <v>#DIV/0!</v>
      </c>
      <c r="RLZ95" s="367">
        <v>15.38</v>
      </c>
      <c r="RMA95" s="367" t="e">
        <f>RLX95*RLY95*RLZ95</f>
        <v>#DIV/0!</v>
      </c>
      <c r="RMB95" s="363" t="s">
        <v>153</v>
      </c>
      <c r="RMC95" s="363"/>
      <c r="RMD95" s="363"/>
      <c r="RME95" s="364" t="s">
        <v>140</v>
      </c>
      <c r="RMF95" s="365">
        <v>0.5</v>
      </c>
      <c r="RMG95" s="366" t="e">
        <f>10/RMC93</f>
        <v>#DIV/0!</v>
      </c>
      <c r="RMH95" s="367">
        <v>15.38</v>
      </c>
      <c r="RMI95" s="367" t="e">
        <f>RMF95*RMG95*RMH95</f>
        <v>#DIV/0!</v>
      </c>
      <c r="RMJ95" s="363" t="s">
        <v>153</v>
      </c>
      <c r="RMK95" s="363"/>
      <c r="RML95" s="363"/>
      <c r="RMM95" s="364" t="s">
        <v>140</v>
      </c>
      <c r="RMN95" s="365">
        <v>0.5</v>
      </c>
      <c r="RMO95" s="366" t="e">
        <f>10/RMK93</f>
        <v>#DIV/0!</v>
      </c>
      <c r="RMP95" s="367">
        <v>15.38</v>
      </c>
      <c r="RMQ95" s="367" t="e">
        <f>RMN95*RMO95*RMP95</f>
        <v>#DIV/0!</v>
      </c>
      <c r="RMR95" s="363" t="s">
        <v>153</v>
      </c>
      <c r="RMS95" s="363"/>
      <c r="RMT95" s="363"/>
      <c r="RMU95" s="364" t="s">
        <v>140</v>
      </c>
      <c r="RMV95" s="365">
        <v>0.5</v>
      </c>
      <c r="RMW95" s="366" t="e">
        <f>10/RMS93</f>
        <v>#DIV/0!</v>
      </c>
      <c r="RMX95" s="367">
        <v>15.38</v>
      </c>
      <c r="RMY95" s="367" t="e">
        <f>RMV95*RMW95*RMX95</f>
        <v>#DIV/0!</v>
      </c>
      <c r="RMZ95" s="363" t="s">
        <v>153</v>
      </c>
      <c r="RNA95" s="363"/>
      <c r="RNB95" s="363"/>
      <c r="RNC95" s="364" t="s">
        <v>140</v>
      </c>
      <c r="RND95" s="365">
        <v>0.5</v>
      </c>
      <c r="RNE95" s="366" t="e">
        <f>10/RNA93</f>
        <v>#DIV/0!</v>
      </c>
      <c r="RNF95" s="367">
        <v>15.38</v>
      </c>
      <c r="RNG95" s="367" t="e">
        <f>RND95*RNE95*RNF95</f>
        <v>#DIV/0!</v>
      </c>
      <c r="RNH95" s="363" t="s">
        <v>153</v>
      </c>
      <c r="RNI95" s="363"/>
      <c r="RNJ95" s="363"/>
      <c r="RNK95" s="364" t="s">
        <v>140</v>
      </c>
      <c r="RNL95" s="365">
        <v>0.5</v>
      </c>
      <c r="RNM95" s="366" t="e">
        <f>10/RNI93</f>
        <v>#DIV/0!</v>
      </c>
      <c r="RNN95" s="367">
        <v>15.38</v>
      </c>
      <c r="RNO95" s="367" t="e">
        <f>RNL95*RNM95*RNN95</f>
        <v>#DIV/0!</v>
      </c>
      <c r="RNP95" s="363" t="s">
        <v>153</v>
      </c>
      <c r="RNQ95" s="363"/>
      <c r="RNR95" s="363"/>
      <c r="RNS95" s="364" t="s">
        <v>140</v>
      </c>
      <c r="RNT95" s="365">
        <v>0.5</v>
      </c>
      <c r="RNU95" s="366" t="e">
        <f>10/RNQ93</f>
        <v>#DIV/0!</v>
      </c>
      <c r="RNV95" s="367">
        <v>15.38</v>
      </c>
      <c r="RNW95" s="367" t="e">
        <f>RNT95*RNU95*RNV95</f>
        <v>#DIV/0!</v>
      </c>
      <c r="RNX95" s="363" t="s">
        <v>153</v>
      </c>
      <c r="RNY95" s="363"/>
      <c r="RNZ95" s="363"/>
      <c r="ROA95" s="364" t="s">
        <v>140</v>
      </c>
      <c r="ROB95" s="365">
        <v>0.5</v>
      </c>
      <c r="ROC95" s="366" t="e">
        <f>10/RNY93</f>
        <v>#DIV/0!</v>
      </c>
      <c r="ROD95" s="367">
        <v>15.38</v>
      </c>
      <c r="ROE95" s="367" t="e">
        <f>ROB95*ROC95*ROD95</f>
        <v>#DIV/0!</v>
      </c>
      <c r="ROF95" s="363" t="s">
        <v>153</v>
      </c>
      <c r="ROG95" s="363"/>
      <c r="ROH95" s="363"/>
      <c r="ROI95" s="364" t="s">
        <v>140</v>
      </c>
      <c r="ROJ95" s="365">
        <v>0.5</v>
      </c>
      <c r="ROK95" s="366" t="e">
        <f>10/ROG93</f>
        <v>#DIV/0!</v>
      </c>
      <c r="ROL95" s="367">
        <v>15.38</v>
      </c>
      <c r="ROM95" s="367" t="e">
        <f>ROJ95*ROK95*ROL95</f>
        <v>#DIV/0!</v>
      </c>
      <c r="RON95" s="363" t="s">
        <v>153</v>
      </c>
      <c r="ROO95" s="363"/>
      <c r="ROP95" s="363"/>
      <c r="ROQ95" s="364" t="s">
        <v>140</v>
      </c>
      <c r="ROR95" s="365">
        <v>0.5</v>
      </c>
      <c r="ROS95" s="366" t="e">
        <f>10/ROO93</f>
        <v>#DIV/0!</v>
      </c>
      <c r="ROT95" s="367">
        <v>15.38</v>
      </c>
      <c r="ROU95" s="367" t="e">
        <f>ROR95*ROS95*ROT95</f>
        <v>#DIV/0!</v>
      </c>
      <c r="ROV95" s="363" t="s">
        <v>153</v>
      </c>
      <c r="ROW95" s="363"/>
      <c r="ROX95" s="363"/>
      <c r="ROY95" s="364" t="s">
        <v>140</v>
      </c>
      <c r="ROZ95" s="365">
        <v>0.5</v>
      </c>
      <c r="RPA95" s="366" t="e">
        <f>10/ROW93</f>
        <v>#DIV/0!</v>
      </c>
      <c r="RPB95" s="367">
        <v>15.38</v>
      </c>
      <c r="RPC95" s="367" t="e">
        <f>ROZ95*RPA95*RPB95</f>
        <v>#DIV/0!</v>
      </c>
      <c r="RPD95" s="363" t="s">
        <v>153</v>
      </c>
      <c r="RPE95" s="363"/>
      <c r="RPF95" s="363"/>
      <c r="RPG95" s="364" t="s">
        <v>140</v>
      </c>
      <c r="RPH95" s="365">
        <v>0.5</v>
      </c>
      <c r="RPI95" s="366" t="e">
        <f>10/RPE93</f>
        <v>#DIV/0!</v>
      </c>
      <c r="RPJ95" s="367">
        <v>15.38</v>
      </c>
      <c r="RPK95" s="367" t="e">
        <f>RPH95*RPI95*RPJ95</f>
        <v>#DIV/0!</v>
      </c>
      <c r="RPL95" s="363" t="s">
        <v>153</v>
      </c>
      <c r="RPM95" s="363"/>
      <c r="RPN95" s="363"/>
      <c r="RPO95" s="364" t="s">
        <v>140</v>
      </c>
      <c r="RPP95" s="365">
        <v>0.5</v>
      </c>
      <c r="RPQ95" s="366" t="e">
        <f>10/RPM93</f>
        <v>#DIV/0!</v>
      </c>
      <c r="RPR95" s="367">
        <v>15.38</v>
      </c>
      <c r="RPS95" s="367" t="e">
        <f>RPP95*RPQ95*RPR95</f>
        <v>#DIV/0!</v>
      </c>
      <c r="RPT95" s="363" t="s">
        <v>153</v>
      </c>
      <c r="RPU95" s="363"/>
      <c r="RPV95" s="363"/>
      <c r="RPW95" s="364" t="s">
        <v>140</v>
      </c>
      <c r="RPX95" s="365">
        <v>0.5</v>
      </c>
      <c r="RPY95" s="366" t="e">
        <f>10/RPU93</f>
        <v>#DIV/0!</v>
      </c>
      <c r="RPZ95" s="367">
        <v>15.38</v>
      </c>
      <c r="RQA95" s="367" t="e">
        <f>RPX95*RPY95*RPZ95</f>
        <v>#DIV/0!</v>
      </c>
      <c r="RQB95" s="363" t="s">
        <v>153</v>
      </c>
      <c r="RQC95" s="363"/>
      <c r="RQD95" s="363"/>
      <c r="RQE95" s="364" t="s">
        <v>140</v>
      </c>
      <c r="RQF95" s="365">
        <v>0.5</v>
      </c>
      <c r="RQG95" s="366" t="e">
        <f>10/RQC93</f>
        <v>#DIV/0!</v>
      </c>
      <c r="RQH95" s="367">
        <v>15.38</v>
      </c>
      <c r="RQI95" s="367" t="e">
        <f>RQF95*RQG95*RQH95</f>
        <v>#DIV/0!</v>
      </c>
      <c r="RQJ95" s="363" t="s">
        <v>153</v>
      </c>
      <c r="RQK95" s="363"/>
      <c r="RQL95" s="363"/>
      <c r="RQM95" s="364" t="s">
        <v>140</v>
      </c>
      <c r="RQN95" s="365">
        <v>0.5</v>
      </c>
      <c r="RQO95" s="366" t="e">
        <f>10/RQK93</f>
        <v>#DIV/0!</v>
      </c>
      <c r="RQP95" s="367">
        <v>15.38</v>
      </c>
      <c r="RQQ95" s="367" t="e">
        <f>RQN95*RQO95*RQP95</f>
        <v>#DIV/0!</v>
      </c>
      <c r="RQR95" s="363" t="s">
        <v>153</v>
      </c>
      <c r="RQS95" s="363"/>
      <c r="RQT95" s="363"/>
      <c r="RQU95" s="364" t="s">
        <v>140</v>
      </c>
      <c r="RQV95" s="365">
        <v>0.5</v>
      </c>
      <c r="RQW95" s="366" t="e">
        <f>10/RQS93</f>
        <v>#DIV/0!</v>
      </c>
      <c r="RQX95" s="367">
        <v>15.38</v>
      </c>
      <c r="RQY95" s="367" t="e">
        <f>RQV95*RQW95*RQX95</f>
        <v>#DIV/0!</v>
      </c>
      <c r="RQZ95" s="363" t="s">
        <v>153</v>
      </c>
      <c r="RRA95" s="363"/>
      <c r="RRB95" s="363"/>
      <c r="RRC95" s="364" t="s">
        <v>140</v>
      </c>
      <c r="RRD95" s="365">
        <v>0.5</v>
      </c>
      <c r="RRE95" s="366" t="e">
        <f>10/RRA93</f>
        <v>#DIV/0!</v>
      </c>
      <c r="RRF95" s="367">
        <v>15.38</v>
      </c>
      <c r="RRG95" s="367" t="e">
        <f>RRD95*RRE95*RRF95</f>
        <v>#DIV/0!</v>
      </c>
      <c r="RRH95" s="363" t="s">
        <v>153</v>
      </c>
      <c r="RRI95" s="363"/>
      <c r="RRJ95" s="363"/>
      <c r="RRK95" s="364" t="s">
        <v>140</v>
      </c>
      <c r="RRL95" s="365">
        <v>0.5</v>
      </c>
      <c r="RRM95" s="366" t="e">
        <f>10/RRI93</f>
        <v>#DIV/0!</v>
      </c>
      <c r="RRN95" s="367">
        <v>15.38</v>
      </c>
      <c r="RRO95" s="367" t="e">
        <f>RRL95*RRM95*RRN95</f>
        <v>#DIV/0!</v>
      </c>
      <c r="RRP95" s="363" t="s">
        <v>153</v>
      </c>
      <c r="RRQ95" s="363"/>
      <c r="RRR95" s="363"/>
      <c r="RRS95" s="364" t="s">
        <v>140</v>
      </c>
      <c r="RRT95" s="365">
        <v>0.5</v>
      </c>
      <c r="RRU95" s="366" t="e">
        <f>10/RRQ93</f>
        <v>#DIV/0!</v>
      </c>
      <c r="RRV95" s="367">
        <v>15.38</v>
      </c>
      <c r="RRW95" s="367" t="e">
        <f>RRT95*RRU95*RRV95</f>
        <v>#DIV/0!</v>
      </c>
      <c r="RRX95" s="363" t="s">
        <v>153</v>
      </c>
      <c r="RRY95" s="363"/>
      <c r="RRZ95" s="363"/>
      <c r="RSA95" s="364" t="s">
        <v>140</v>
      </c>
      <c r="RSB95" s="365">
        <v>0.5</v>
      </c>
      <c r="RSC95" s="366" t="e">
        <f>10/RRY93</f>
        <v>#DIV/0!</v>
      </c>
      <c r="RSD95" s="367">
        <v>15.38</v>
      </c>
      <c r="RSE95" s="367" t="e">
        <f>RSB95*RSC95*RSD95</f>
        <v>#DIV/0!</v>
      </c>
      <c r="RSF95" s="363" t="s">
        <v>153</v>
      </c>
      <c r="RSG95" s="363"/>
      <c r="RSH95" s="363"/>
      <c r="RSI95" s="364" t="s">
        <v>140</v>
      </c>
      <c r="RSJ95" s="365">
        <v>0.5</v>
      </c>
      <c r="RSK95" s="366" t="e">
        <f>10/RSG93</f>
        <v>#DIV/0!</v>
      </c>
      <c r="RSL95" s="367">
        <v>15.38</v>
      </c>
      <c r="RSM95" s="367" t="e">
        <f>RSJ95*RSK95*RSL95</f>
        <v>#DIV/0!</v>
      </c>
      <c r="RSN95" s="363" t="s">
        <v>153</v>
      </c>
      <c r="RSO95" s="363"/>
      <c r="RSP95" s="363"/>
      <c r="RSQ95" s="364" t="s">
        <v>140</v>
      </c>
      <c r="RSR95" s="365">
        <v>0.5</v>
      </c>
      <c r="RSS95" s="366" t="e">
        <f>10/RSO93</f>
        <v>#DIV/0!</v>
      </c>
      <c r="RST95" s="367">
        <v>15.38</v>
      </c>
      <c r="RSU95" s="367" t="e">
        <f>RSR95*RSS95*RST95</f>
        <v>#DIV/0!</v>
      </c>
      <c r="RSV95" s="363" t="s">
        <v>153</v>
      </c>
      <c r="RSW95" s="363"/>
      <c r="RSX95" s="363"/>
      <c r="RSY95" s="364" t="s">
        <v>140</v>
      </c>
      <c r="RSZ95" s="365">
        <v>0.5</v>
      </c>
      <c r="RTA95" s="366" t="e">
        <f>10/RSW93</f>
        <v>#DIV/0!</v>
      </c>
      <c r="RTB95" s="367">
        <v>15.38</v>
      </c>
      <c r="RTC95" s="367" t="e">
        <f>RSZ95*RTA95*RTB95</f>
        <v>#DIV/0!</v>
      </c>
      <c r="RTD95" s="363" t="s">
        <v>153</v>
      </c>
      <c r="RTE95" s="363"/>
      <c r="RTF95" s="363"/>
      <c r="RTG95" s="364" t="s">
        <v>140</v>
      </c>
      <c r="RTH95" s="365">
        <v>0.5</v>
      </c>
      <c r="RTI95" s="366" t="e">
        <f>10/RTE93</f>
        <v>#DIV/0!</v>
      </c>
      <c r="RTJ95" s="367">
        <v>15.38</v>
      </c>
      <c r="RTK95" s="367" t="e">
        <f>RTH95*RTI95*RTJ95</f>
        <v>#DIV/0!</v>
      </c>
      <c r="RTL95" s="363" t="s">
        <v>153</v>
      </c>
      <c r="RTM95" s="363"/>
      <c r="RTN95" s="363"/>
      <c r="RTO95" s="364" t="s">
        <v>140</v>
      </c>
      <c r="RTP95" s="365">
        <v>0.5</v>
      </c>
      <c r="RTQ95" s="366" t="e">
        <f>10/RTM93</f>
        <v>#DIV/0!</v>
      </c>
      <c r="RTR95" s="367">
        <v>15.38</v>
      </c>
      <c r="RTS95" s="367" t="e">
        <f>RTP95*RTQ95*RTR95</f>
        <v>#DIV/0!</v>
      </c>
      <c r="RTT95" s="363" t="s">
        <v>153</v>
      </c>
      <c r="RTU95" s="363"/>
      <c r="RTV95" s="363"/>
      <c r="RTW95" s="364" t="s">
        <v>140</v>
      </c>
      <c r="RTX95" s="365">
        <v>0.5</v>
      </c>
      <c r="RTY95" s="366" t="e">
        <f>10/RTU93</f>
        <v>#DIV/0!</v>
      </c>
      <c r="RTZ95" s="367">
        <v>15.38</v>
      </c>
      <c r="RUA95" s="367" t="e">
        <f>RTX95*RTY95*RTZ95</f>
        <v>#DIV/0!</v>
      </c>
      <c r="RUB95" s="363" t="s">
        <v>153</v>
      </c>
      <c r="RUC95" s="363"/>
      <c r="RUD95" s="363"/>
      <c r="RUE95" s="364" t="s">
        <v>140</v>
      </c>
      <c r="RUF95" s="365">
        <v>0.5</v>
      </c>
      <c r="RUG95" s="366" t="e">
        <f>10/RUC93</f>
        <v>#DIV/0!</v>
      </c>
      <c r="RUH95" s="367">
        <v>15.38</v>
      </c>
      <c r="RUI95" s="367" t="e">
        <f>RUF95*RUG95*RUH95</f>
        <v>#DIV/0!</v>
      </c>
      <c r="RUJ95" s="363" t="s">
        <v>153</v>
      </c>
      <c r="RUK95" s="363"/>
      <c r="RUL95" s="363"/>
      <c r="RUM95" s="364" t="s">
        <v>140</v>
      </c>
      <c r="RUN95" s="365">
        <v>0.5</v>
      </c>
      <c r="RUO95" s="366" t="e">
        <f>10/RUK93</f>
        <v>#DIV/0!</v>
      </c>
      <c r="RUP95" s="367">
        <v>15.38</v>
      </c>
      <c r="RUQ95" s="367" t="e">
        <f>RUN95*RUO95*RUP95</f>
        <v>#DIV/0!</v>
      </c>
      <c r="RUR95" s="363" t="s">
        <v>153</v>
      </c>
      <c r="RUS95" s="363"/>
      <c r="RUT95" s="363"/>
      <c r="RUU95" s="364" t="s">
        <v>140</v>
      </c>
      <c r="RUV95" s="365">
        <v>0.5</v>
      </c>
      <c r="RUW95" s="366" t="e">
        <f>10/RUS93</f>
        <v>#DIV/0!</v>
      </c>
      <c r="RUX95" s="367">
        <v>15.38</v>
      </c>
      <c r="RUY95" s="367" t="e">
        <f>RUV95*RUW95*RUX95</f>
        <v>#DIV/0!</v>
      </c>
      <c r="RUZ95" s="363" t="s">
        <v>153</v>
      </c>
      <c r="RVA95" s="363"/>
      <c r="RVB95" s="363"/>
      <c r="RVC95" s="364" t="s">
        <v>140</v>
      </c>
      <c r="RVD95" s="365">
        <v>0.5</v>
      </c>
      <c r="RVE95" s="366" t="e">
        <f>10/RVA93</f>
        <v>#DIV/0!</v>
      </c>
      <c r="RVF95" s="367">
        <v>15.38</v>
      </c>
      <c r="RVG95" s="367" t="e">
        <f>RVD95*RVE95*RVF95</f>
        <v>#DIV/0!</v>
      </c>
      <c r="RVH95" s="363" t="s">
        <v>153</v>
      </c>
      <c r="RVI95" s="363"/>
      <c r="RVJ95" s="363"/>
      <c r="RVK95" s="364" t="s">
        <v>140</v>
      </c>
      <c r="RVL95" s="365">
        <v>0.5</v>
      </c>
      <c r="RVM95" s="366" t="e">
        <f>10/RVI93</f>
        <v>#DIV/0!</v>
      </c>
      <c r="RVN95" s="367">
        <v>15.38</v>
      </c>
      <c r="RVO95" s="367" t="e">
        <f>RVL95*RVM95*RVN95</f>
        <v>#DIV/0!</v>
      </c>
      <c r="RVP95" s="363" t="s">
        <v>153</v>
      </c>
      <c r="RVQ95" s="363"/>
      <c r="RVR95" s="363"/>
      <c r="RVS95" s="364" t="s">
        <v>140</v>
      </c>
      <c r="RVT95" s="365">
        <v>0.5</v>
      </c>
      <c r="RVU95" s="366" t="e">
        <f>10/RVQ93</f>
        <v>#DIV/0!</v>
      </c>
      <c r="RVV95" s="367">
        <v>15.38</v>
      </c>
      <c r="RVW95" s="367" t="e">
        <f>RVT95*RVU95*RVV95</f>
        <v>#DIV/0!</v>
      </c>
      <c r="RVX95" s="363" t="s">
        <v>153</v>
      </c>
      <c r="RVY95" s="363"/>
      <c r="RVZ95" s="363"/>
      <c r="RWA95" s="364" t="s">
        <v>140</v>
      </c>
      <c r="RWB95" s="365">
        <v>0.5</v>
      </c>
      <c r="RWC95" s="366" t="e">
        <f>10/RVY93</f>
        <v>#DIV/0!</v>
      </c>
      <c r="RWD95" s="367">
        <v>15.38</v>
      </c>
      <c r="RWE95" s="367" t="e">
        <f>RWB95*RWC95*RWD95</f>
        <v>#DIV/0!</v>
      </c>
      <c r="RWF95" s="363" t="s">
        <v>153</v>
      </c>
      <c r="RWG95" s="363"/>
      <c r="RWH95" s="363"/>
      <c r="RWI95" s="364" t="s">
        <v>140</v>
      </c>
      <c r="RWJ95" s="365">
        <v>0.5</v>
      </c>
      <c r="RWK95" s="366" t="e">
        <f>10/RWG93</f>
        <v>#DIV/0!</v>
      </c>
      <c r="RWL95" s="367">
        <v>15.38</v>
      </c>
      <c r="RWM95" s="367" t="e">
        <f>RWJ95*RWK95*RWL95</f>
        <v>#DIV/0!</v>
      </c>
      <c r="RWN95" s="363" t="s">
        <v>153</v>
      </c>
      <c r="RWO95" s="363"/>
      <c r="RWP95" s="363"/>
      <c r="RWQ95" s="364" t="s">
        <v>140</v>
      </c>
      <c r="RWR95" s="365">
        <v>0.5</v>
      </c>
      <c r="RWS95" s="366" t="e">
        <f>10/RWO93</f>
        <v>#DIV/0!</v>
      </c>
      <c r="RWT95" s="367">
        <v>15.38</v>
      </c>
      <c r="RWU95" s="367" t="e">
        <f>RWR95*RWS95*RWT95</f>
        <v>#DIV/0!</v>
      </c>
      <c r="RWV95" s="363" t="s">
        <v>153</v>
      </c>
      <c r="RWW95" s="363"/>
      <c r="RWX95" s="363"/>
      <c r="RWY95" s="364" t="s">
        <v>140</v>
      </c>
      <c r="RWZ95" s="365">
        <v>0.5</v>
      </c>
      <c r="RXA95" s="366" t="e">
        <f>10/RWW93</f>
        <v>#DIV/0!</v>
      </c>
      <c r="RXB95" s="367">
        <v>15.38</v>
      </c>
      <c r="RXC95" s="367" t="e">
        <f>RWZ95*RXA95*RXB95</f>
        <v>#DIV/0!</v>
      </c>
      <c r="RXD95" s="363" t="s">
        <v>153</v>
      </c>
      <c r="RXE95" s="363"/>
      <c r="RXF95" s="363"/>
      <c r="RXG95" s="364" t="s">
        <v>140</v>
      </c>
      <c r="RXH95" s="365">
        <v>0.5</v>
      </c>
      <c r="RXI95" s="366" t="e">
        <f>10/RXE93</f>
        <v>#DIV/0!</v>
      </c>
      <c r="RXJ95" s="367">
        <v>15.38</v>
      </c>
      <c r="RXK95" s="367" t="e">
        <f>RXH95*RXI95*RXJ95</f>
        <v>#DIV/0!</v>
      </c>
      <c r="RXL95" s="363" t="s">
        <v>153</v>
      </c>
      <c r="RXM95" s="363"/>
      <c r="RXN95" s="363"/>
      <c r="RXO95" s="364" t="s">
        <v>140</v>
      </c>
      <c r="RXP95" s="365">
        <v>0.5</v>
      </c>
      <c r="RXQ95" s="366" t="e">
        <f>10/RXM93</f>
        <v>#DIV/0!</v>
      </c>
      <c r="RXR95" s="367">
        <v>15.38</v>
      </c>
      <c r="RXS95" s="367" t="e">
        <f>RXP95*RXQ95*RXR95</f>
        <v>#DIV/0!</v>
      </c>
      <c r="RXT95" s="363" t="s">
        <v>153</v>
      </c>
      <c r="RXU95" s="363"/>
      <c r="RXV95" s="363"/>
      <c r="RXW95" s="364" t="s">
        <v>140</v>
      </c>
      <c r="RXX95" s="365">
        <v>0.5</v>
      </c>
      <c r="RXY95" s="366" t="e">
        <f>10/RXU93</f>
        <v>#DIV/0!</v>
      </c>
      <c r="RXZ95" s="367">
        <v>15.38</v>
      </c>
      <c r="RYA95" s="367" t="e">
        <f>RXX95*RXY95*RXZ95</f>
        <v>#DIV/0!</v>
      </c>
      <c r="RYB95" s="363" t="s">
        <v>153</v>
      </c>
      <c r="RYC95" s="363"/>
      <c r="RYD95" s="363"/>
      <c r="RYE95" s="364" t="s">
        <v>140</v>
      </c>
      <c r="RYF95" s="365">
        <v>0.5</v>
      </c>
      <c r="RYG95" s="366" t="e">
        <f>10/RYC93</f>
        <v>#DIV/0!</v>
      </c>
      <c r="RYH95" s="367">
        <v>15.38</v>
      </c>
      <c r="RYI95" s="367" t="e">
        <f>RYF95*RYG95*RYH95</f>
        <v>#DIV/0!</v>
      </c>
      <c r="RYJ95" s="363" t="s">
        <v>153</v>
      </c>
      <c r="RYK95" s="363"/>
      <c r="RYL95" s="363"/>
      <c r="RYM95" s="364" t="s">
        <v>140</v>
      </c>
      <c r="RYN95" s="365">
        <v>0.5</v>
      </c>
      <c r="RYO95" s="366" t="e">
        <f>10/RYK93</f>
        <v>#DIV/0!</v>
      </c>
      <c r="RYP95" s="367">
        <v>15.38</v>
      </c>
      <c r="RYQ95" s="367" t="e">
        <f>RYN95*RYO95*RYP95</f>
        <v>#DIV/0!</v>
      </c>
      <c r="RYR95" s="363" t="s">
        <v>153</v>
      </c>
      <c r="RYS95" s="363"/>
      <c r="RYT95" s="363"/>
      <c r="RYU95" s="364" t="s">
        <v>140</v>
      </c>
      <c r="RYV95" s="365">
        <v>0.5</v>
      </c>
      <c r="RYW95" s="366" t="e">
        <f>10/RYS93</f>
        <v>#DIV/0!</v>
      </c>
      <c r="RYX95" s="367">
        <v>15.38</v>
      </c>
      <c r="RYY95" s="367" t="e">
        <f>RYV95*RYW95*RYX95</f>
        <v>#DIV/0!</v>
      </c>
      <c r="RYZ95" s="363" t="s">
        <v>153</v>
      </c>
      <c r="RZA95" s="363"/>
      <c r="RZB95" s="363"/>
      <c r="RZC95" s="364" t="s">
        <v>140</v>
      </c>
      <c r="RZD95" s="365">
        <v>0.5</v>
      </c>
      <c r="RZE95" s="366" t="e">
        <f>10/RZA93</f>
        <v>#DIV/0!</v>
      </c>
      <c r="RZF95" s="367">
        <v>15.38</v>
      </c>
      <c r="RZG95" s="367" t="e">
        <f>RZD95*RZE95*RZF95</f>
        <v>#DIV/0!</v>
      </c>
      <c r="RZH95" s="363" t="s">
        <v>153</v>
      </c>
      <c r="RZI95" s="363"/>
      <c r="RZJ95" s="363"/>
      <c r="RZK95" s="364" t="s">
        <v>140</v>
      </c>
      <c r="RZL95" s="365">
        <v>0.5</v>
      </c>
      <c r="RZM95" s="366" t="e">
        <f>10/RZI93</f>
        <v>#DIV/0!</v>
      </c>
      <c r="RZN95" s="367">
        <v>15.38</v>
      </c>
      <c r="RZO95" s="367" t="e">
        <f>RZL95*RZM95*RZN95</f>
        <v>#DIV/0!</v>
      </c>
      <c r="RZP95" s="363" t="s">
        <v>153</v>
      </c>
      <c r="RZQ95" s="363"/>
      <c r="RZR95" s="363"/>
      <c r="RZS95" s="364" t="s">
        <v>140</v>
      </c>
      <c r="RZT95" s="365">
        <v>0.5</v>
      </c>
      <c r="RZU95" s="366" t="e">
        <f>10/RZQ93</f>
        <v>#DIV/0!</v>
      </c>
      <c r="RZV95" s="367">
        <v>15.38</v>
      </c>
      <c r="RZW95" s="367" t="e">
        <f>RZT95*RZU95*RZV95</f>
        <v>#DIV/0!</v>
      </c>
      <c r="RZX95" s="363" t="s">
        <v>153</v>
      </c>
      <c r="RZY95" s="363"/>
      <c r="RZZ95" s="363"/>
      <c r="SAA95" s="364" t="s">
        <v>140</v>
      </c>
      <c r="SAB95" s="365">
        <v>0.5</v>
      </c>
      <c r="SAC95" s="366" t="e">
        <f>10/RZY93</f>
        <v>#DIV/0!</v>
      </c>
      <c r="SAD95" s="367">
        <v>15.38</v>
      </c>
      <c r="SAE95" s="367" t="e">
        <f>SAB95*SAC95*SAD95</f>
        <v>#DIV/0!</v>
      </c>
      <c r="SAF95" s="363" t="s">
        <v>153</v>
      </c>
      <c r="SAG95" s="363"/>
      <c r="SAH95" s="363"/>
      <c r="SAI95" s="364" t="s">
        <v>140</v>
      </c>
      <c r="SAJ95" s="365">
        <v>0.5</v>
      </c>
      <c r="SAK95" s="366" t="e">
        <f>10/SAG93</f>
        <v>#DIV/0!</v>
      </c>
      <c r="SAL95" s="367">
        <v>15.38</v>
      </c>
      <c r="SAM95" s="367" t="e">
        <f>SAJ95*SAK95*SAL95</f>
        <v>#DIV/0!</v>
      </c>
      <c r="SAN95" s="363" t="s">
        <v>153</v>
      </c>
      <c r="SAO95" s="363"/>
      <c r="SAP95" s="363"/>
      <c r="SAQ95" s="364" t="s">
        <v>140</v>
      </c>
      <c r="SAR95" s="365">
        <v>0.5</v>
      </c>
      <c r="SAS95" s="366" t="e">
        <f>10/SAO93</f>
        <v>#DIV/0!</v>
      </c>
      <c r="SAT95" s="367">
        <v>15.38</v>
      </c>
      <c r="SAU95" s="367" t="e">
        <f>SAR95*SAS95*SAT95</f>
        <v>#DIV/0!</v>
      </c>
      <c r="SAV95" s="363" t="s">
        <v>153</v>
      </c>
      <c r="SAW95" s="363"/>
      <c r="SAX95" s="363"/>
      <c r="SAY95" s="364" t="s">
        <v>140</v>
      </c>
      <c r="SAZ95" s="365">
        <v>0.5</v>
      </c>
      <c r="SBA95" s="366" t="e">
        <f>10/SAW93</f>
        <v>#DIV/0!</v>
      </c>
      <c r="SBB95" s="367">
        <v>15.38</v>
      </c>
      <c r="SBC95" s="367" t="e">
        <f>SAZ95*SBA95*SBB95</f>
        <v>#DIV/0!</v>
      </c>
      <c r="SBD95" s="363" t="s">
        <v>153</v>
      </c>
      <c r="SBE95" s="363"/>
      <c r="SBF95" s="363"/>
      <c r="SBG95" s="364" t="s">
        <v>140</v>
      </c>
      <c r="SBH95" s="365">
        <v>0.5</v>
      </c>
      <c r="SBI95" s="366" t="e">
        <f>10/SBE93</f>
        <v>#DIV/0!</v>
      </c>
      <c r="SBJ95" s="367">
        <v>15.38</v>
      </c>
      <c r="SBK95" s="367" t="e">
        <f>SBH95*SBI95*SBJ95</f>
        <v>#DIV/0!</v>
      </c>
      <c r="SBL95" s="363" t="s">
        <v>153</v>
      </c>
      <c r="SBM95" s="363"/>
      <c r="SBN95" s="363"/>
      <c r="SBO95" s="364" t="s">
        <v>140</v>
      </c>
      <c r="SBP95" s="365">
        <v>0.5</v>
      </c>
      <c r="SBQ95" s="366" t="e">
        <f>10/SBM93</f>
        <v>#DIV/0!</v>
      </c>
      <c r="SBR95" s="367">
        <v>15.38</v>
      </c>
      <c r="SBS95" s="367" t="e">
        <f>SBP95*SBQ95*SBR95</f>
        <v>#DIV/0!</v>
      </c>
      <c r="SBT95" s="363" t="s">
        <v>153</v>
      </c>
      <c r="SBU95" s="363"/>
      <c r="SBV95" s="363"/>
      <c r="SBW95" s="364" t="s">
        <v>140</v>
      </c>
      <c r="SBX95" s="365">
        <v>0.5</v>
      </c>
      <c r="SBY95" s="366" t="e">
        <f>10/SBU93</f>
        <v>#DIV/0!</v>
      </c>
      <c r="SBZ95" s="367">
        <v>15.38</v>
      </c>
      <c r="SCA95" s="367" t="e">
        <f>SBX95*SBY95*SBZ95</f>
        <v>#DIV/0!</v>
      </c>
      <c r="SCB95" s="363" t="s">
        <v>153</v>
      </c>
      <c r="SCC95" s="363"/>
      <c r="SCD95" s="363"/>
      <c r="SCE95" s="364" t="s">
        <v>140</v>
      </c>
      <c r="SCF95" s="365">
        <v>0.5</v>
      </c>
      <c r="SCG95" s="366" t="e">
        <f>10/SCC93</f>
        <v>#DIV/0!</v>
      </c>
      <c r="SCH95" s="367">
        <v>15.38</v>
      </c>
      <c r="SCI95" s="367" t="e">
        <f>SCF95*SCG95*SCH95</f>
        <v>#DIV/0!</v>
      </c>
      <c r="SCJ95" s="363" t="s">
        <v>153</v>
      </c>
      <c r="SCK95" s="363"/>
      <c r="SCL95" s="363"/>
      <c r="SCM95" s="364" t="s">
        <v>140</v>
      </c>
      <c r="SCN95" s="365">
        <v>0.5</v>
      </c>
      <c r="SCO95" s="366" t="e">
        <f>10/SCK93</f>
        <v>#DIV/0!</v>
      </c>
      <c r="SCP95" s="367">
        <v>15.38</v>
      </c>
      <c r="SCQ95" s="367" t="e">
        <f>SCN95*SCO95*SCP95</f>
        <v>#DIV/0!</v>
      </c>
      <c r="SCR95" s="363" t="s">
        <v>153</v>
      </c>
      <c r="SCS95" s="363"/>
      <c r="SCT95" s="363"/>
      <c r="SCU95" s="364" t="s">
        <v>140</v>
      </c>
      <c r="SCV95" s="365">
        <v>0.5</v>
      </c>
      <c r="SCW95" s="366" t="e">
        <f>10/SCS93</f>
        <v>#DIV/0!</v>
      </c>
      <c r="SCX95" s="367">
        <v>15.38</v>
      </c>
      <c r="SCY95" s="367" t="e">
        <f>SCV95*SCW95*SCX95</f>
        <v>#DIV/0!</v>
      </c>
      <c r="SCZ95" s="363" t="s">
        <v>153</v>
      </c>
      <c r="SDA95" s="363"/>
      <c r="SDB95" s="363"/>
      <c r="SDC95" s="364" t="s">
        <v>140</v>
      </c>
      <c r="SDD95" s="365">
        <v>0.5</v>
      </c>
      <c r="SDE95" s="366" t="e">
        <f>10/SDA93</f>
        <v>#DIV/0!</v>
      </c>
      <c r="SDF95" s="367">
        <v>15.38</v>
      </c>
      <c r="SDG95" s="367" t="e">
        <f>SDD95*SDE95*SDF95</f>
        <v>#DIV/0!</v>
      </c>
      <c r="SDH95" s="363" t="s">
        <v>153</v>
      </c>
      <c r="SDI95" s="363"/>
      <c r="SDJ95" s="363"/>
      <c r="SDK95" s="364" t="s">
        <v>140</v>
      </c>
      <c r="SDL95" s="365">
        <v>0.5</v>
      </c>
      <c r="SDM95" s="366" t="e">
        <f>10/SDI93</f>
        <v>#DIV/0!</v>
      </c>
      <c r="SDN95" s="367">
        <v>15.38</v>
      </c>
      <c r="SDO95" s="367" t="e">
        <f>SDL95*SDM95*SDN95</f>
        <v>#DIV/0!</v>
      </c>
      <c r="SDP95" s="363" t="s">
        <v>153</v>
      </c>
      <c r="SDQ95" s="363"/>
      <c r="SDR95" s="363"/>
      <c r="SDS95" s="364" t="s">
        <v>140</v>
      </c>
      <c r="SDT95" s="365">
        <v>0.5</v>
      </c>
      <c r="SDU95" s="366" t="e">
        <f>10/SDQ93</f>
        <v>#DIV/0!</v>
      </c>
      <c r="SDV95" s="367">
        <v>15.38</v>
      </c>
      <c r="SDW95" s="367" t="e">
        <f>SDT95*SDU95*SDV95</f>
        <v>#DIV/0!</v>
      </c>
      <c r="SDX95" s="363" t="s">
        <v>153</v>
      </c>
      <c r="SDY95" s="363"/>
      <c r="SDZ95" s="363"/>
      <c r="SEA95" s="364" t="s">
        <v>140</v>
      </c>
      <c r="SEB95" s="365">
        <v>0.5</v>
      </c>
      <c r="SEC95" s="366" t="e">
        <f>10/SDY93</f>
        <v>#DIV/0!</v>
      </c>
      <c r="SED95" s="367">
        <v>15.38</v>
      </c>
      <c r="SEE95" s="367" t="e">
        <f>SEB95*SEC95*SED95</f>
        <v>#DIV/0!</v>
      </c>
      <c r="SEF95" s="363" t="s">
        <v>153</v>
      </c>
      <c r="SEG95" s="363"/>
      <c r="SEH95" s="363"/>
      <c r="SEI95" s="364" t="s">
        <v>140</v>
      </c>
      <c r="SEJ95" s="365">
        <v>0.5</v>
      </c>
      <c r="SEK95" s="366" t="e">
        <f>10/SEG93</f>
        <v>#DIV/0!</v>
      </c>
      <c r="SEL95" s="367">
        <v>15.38</v>
      </c>
      <c r="SEM95" s="367" t="e">
        <f>SEJ95*SEK95*SEL95</f>
        <v>#DIV/0!</v>
      </c>
      <c r="SEN95" s="363" t="s">
        <v>153</v>
      </c>
      <c r="SEO95" s="363"/>
      <c r="SEP95" s="363"/>
      <c r="SEQ95" s="364" t="s">
        <v>140</v>
      </c>
      <c r="SER95" s="365">
        <v>0.5</v>
      </c>
      <c r="SES95" s="366" t="e">
        <f>10/SEO93</f>
        <v>#DIV/0!</v>
      </c>
      <c r="SET95" s="367">
        <v>15.38</v>
      </c>
      <c r="SEU95" s="367" t="e">
        <f>SER95*SES95*SET95</f>
        <v>#DIV/0!</v>
      </c>
      <c r="SEV95" s="363" t="s">
        <v>153</v>
      </c>
      <c r="SEW95" s="363"/>
      <c r="SEX95" s="363"/>
      <c r="SEY95" s="364" t="s">
        <v>140</v>
      </c>
      <c r="SEZ95" s="365">
        <v>0.5</v>
      </c>
      <c r="SFA95" s="366" t="e">
        <f>10/SEW93</f>
        <v>#DIV/0!</v>
      </c>
      <c r="SFB95" s="367">
        <v>15.38</v>
      </c>
      <c r="SFC95" s="367" t="e">
        <f>SEZ95*SFA95*SFB95</f>
        <v>#DIV/0!</v>
      </c>
      <c r="SFD95" s="363" t="s">
        <v>153</v>
      </c>
      <c r="SFE95" s="363"/>
      <c r="SFF95" s="363"/>
      <c r="SFG95" s="364" t="s">
        <v>140</v>
      </c>
      <c r="SFH95" s="365">
        <v>0.5</v>
      </c>
      <c r="SFI95" s="366" t="e">
        <f>10/SFE93</f>
        <v>#DIV/0!</v>
      </c>
      <c r="SFJ95" s="367">
        <v>15.38</v>
      </c>
      <c r="SFK95" s="367" t="e">
        <f>SFH95*SFI95*SFJ95</f>
        <v>#DIV/0!</v>
      </c>
      <c r="SFL95" s="363" t="s">
        <v>153</v>
      </c>
      <c r="SFM95" s="363"/>
      <c r="SFN95" s="363"/>
      <c r="SFO95" s="364" t="s">
        <v>140</v>
      </c>
      <c r="SFP95" s="365">
        <v>0.5</v>
      </c>
      <c r="SFQ95" s="366" t="e">
        <f>10/SFM93</f>
        <v>#DIV/0!</v>
      </c>
      <c r="SFR95" s="367">
        <v>15.38</v>
      </c>
      <c r="SFS95" s="367" t="e">
        <f>SFP95*SFQ95*SFR95</f>
        <v>#DIV/0!</v>
      </c>
      <c r="SFT95" s="363" t="s">
        <v>153</v>
      </c>
      <c r="SFU95" s="363"/>
      <c r="SFV95" s="363"/>
      <c r="SFW95" s="364" t="s">
        <v>140</v>
      </c>
      <c r="SFX95" s="365">
        <v>0.5</v>
      </c>
      <c r="SFY95" s="366" t="e">
        <f>10/SFU93</f>
        <v>#DIV/0!</v>
      </c>
      <c r="SFZ95" s="367">
        <v>15.38</v>
      </c>
      <c r="SGA95" s="367" t="e">
        <f>SFX95*SFY95*SFZ95</f>
        <v>#DIV/0!</v>
      </c>
      <c r="SGB95" s="363" t="s">
        <v>153</v>
      </c>
      <c r="SGC95" s="363"/>
      <c r="SGD95" s="363"/>
      <c r="SGE95" s="364" t="s">
        <v>140</v>
      </c>
      <c r="SGF95" s="365">
        <v>0.5</v>
      </c>
      <c r="SGG95" s="366" t="e">
        <f>10/SGC93</f>
        <v>#DIV/0!</v>
      </c>
      <c r="SGH95" s="367">
        <v>15.38</v>
      </c>
      <c r="SGI95" s="367" t="e">
        <f>SGF95*SGG95*SGH95</f>
        <v>#DIV/0!</v>
      </c>
      <c r="SGJ95" s="363" t="s">
        <v>153</v>
      </c>
      <c r="SGK95" s="363"/>
      <c r="SGL95" s="363"/>
      <c r="SGM95" s="364" t="s">
        <v>140</v>
      </c>
      <c r="SGN95" s="365">
        <v>0.5</v>
      </c>
      <c r="SGO95" s="366" t="e">
        <f>10/SGK93</f>
        <v>#DIV/0!</v>
      </c>
      <c r="SGP95" s="367">
        <v>15.38</v>
      </c>
      <c r="SGQ95" s="367" t="e">
        <f>SGN95*SGO95*SGP95</f>
        <v>#DIV/0!</v>
      </c>
      <c r="SGR95" s="363" t="s">
        <v>153</v>
      </c>
      <c r="SGS95" s="363"/>
      <c r="SGT95" s="363"/>
      <c r="SGU95" s="364" t="s">
        <v>140</v>
      </c>
      <c r="SGV95" s="365">
        <v>0.5</v>
      </c>
      <c r="SGW95" s="366" t="e">
        <f>10/SGS93</f>
        <v>#DIV/0!</v>
      </c>
      <c r="SGX95" s="367">
        <v>15.38</v>
      </c>
      <c r="SGY95" s="367" t="e">
        <f>SGV95*SGW95*SGX95</f>
        <v>#DIV/0!</v>
      </c>
      <c r="SGZ95" s="363" t="s">
        <v>153</v>
      </c>
      <c r="SHA95" s="363"/>
      <c r="SHB95" s="363"/>
      <c r="SHC95" s="364" t="s">
        <v>140</v>
      </c>
      <c r="SHD95" s="365">
        <v>0.5</v>
      </c>
      <c r="SHE95" s="366" t="e">
        <f>10/SHA93</f>
        <v>#DIV/0!</v>
      </c>
      <c r="SHF95" s="367">
        <v>15.38</v>
      </c>
      <c r="SHG95" s="367" t="e">
        <f>SHD95*SHE95*SHF95</f>
        <v>#DIV/0!</v>
      </c>
      <c r="SHH95" s="363" t="s">
        <v>153</v>
      </c>
      <c r="SHI95" s="363"/>
      <c r="SHJ95" s="363"/>
      <c r="SHK95" s="364" t="s">
        <v>140</v>
      </c>
      <c r="SHL95" s="365">
        <v>0.5</v>
      </c>
      <c r="SHM95" s="366" t="e">
        <f>10/SHI93</f>
        <v>#DIV/0!</v>
      </c>
      <c r="SHN95" s="367">
        <v>15.38</v>
      </c>
      <c r="SHO95" s="367" t="e">
        <f>SHL95*SHM95*SHN95</f>
        <v>#DIV/0!</v>
      </c>
      <c r="SHP95" s="363" t="s">
        <v>153</v>
      </c>
      <c r="SHQ95" s="363"/>
      <c r="SHR95" s="363"/>
      <c r="SHS95" s="364" t="s">
        <v>140</v>
      </c>
      <c r="SHT95" s="365">
        <v>0.5</v>
      </c>
      <c r="SHU95" s="366" t="e">
        <f>10/SHQ93</f>
        <v>#DIV/0!</v>
      </c>
      <c r="SHV95" s="367">
        <v>15.38</v>
      </c>
      <c r="SHW95" s="367" t="e">
        <f>SHT95*SHU95*SHV95</f>
        <v>#DIV/0!</v>
      </c>
      <c r="SHX95" s="363" t="s">
        <v>153</v>
      </c>
      <c r="SHY95" s="363"/>
      <c r="SHZ95" s="363"/>
      <c r="SIA95" s="364" t="s">
        <v>140</v>
      </c>
      <c r="SIB95" s="365">
        <v>0.5</v>
      </c>
      <c r="SIC95" s="366" t="e">
        <f>10/SHY93</f>
        <v>#DIV/0!</v>
      </c>
      <c r="SID95" s="367">
        <v>15.38</v>
      </c>
      <c r="SIE95" s="367" t="e">
        <f>SIB95*SIC95*SID95</f>
        <v>#DIV/0!</v>
      </c>
      <c r="SIF95" s="363" t="s">
        <v>153</v>
      </c>
      <c r="SIG95" s="363"/>
      <c r="SIH95" s="363"/>
      <c r="SII95" s="364" t="s">
        <v>140</v>
      </c>
      <c r="SIJ95" s="365">
        <v>0.5</v>
      </c>
      <c r="SIK95" s="366" t="e">
        <f>10/SIG93</f>
        <v>#DIV/0!</v>
      </c>
      <c r="SIL95" s="367">
        <v>15.38</v>
      </c>
      <c r="SIM95" s="367" t="e">
        <f>SIJ95*SIK95*SIL95</f>
        <v>#DIV/0!</v>
      </c>
      <c r="SIN95" s="363" t="s">
        <v>153</v>
      </c>
      <c r="SIO95" s="363"/>
      <c r="SIP95" s="363"/>
      <c r="SIQ95" s="364" t="s">
        <v>140</v>
      </c>
      <c r="SIR95" s="365">
        <v>0.5</v>
      </c>
      <c r="SIS95" s="366" t="e">
        <f>10/SIO93</f>
        <v>#DIV/0!</v>
      </c>
      <c r="SIT95" s="367">
        <v>15.38</v>
      </c>
      <c r="SIU95" s="367" t="e">
        <f>SIR95*SIS95*SIT95</f>
        <v>#DIV/0!</v>
      </c>
      <c r="SIV95" s="363" t="s">
        <v>153</v>
      </c>
      <c r="SIW95" s="363"/>
      <c r="SIX95" s="363"/>
      <c r="SIY95" s="364" t="s">
        <v>140</v>
      </c>
      <c r="SIZ95" s="365">
        <v>0.5</v>
      </c>
      <c r="SJA95" s="366" t="e">
        <f>10/SIW93</f>
        <v>#DIV/0!</v>
      </c>
      <c r="SJB95" s="367">
        <v>15.38</v>
      </c>
      <c r="SJC95" s="367" t="e">
        <f>SIZ95*SJA95*SJB95</f>
        <v>#DIV/0!</v>
      </c>
      <c r="SJD95" s="363" t="s">
        <v>153</v>
      </c>
      <c r="SJE95" s="363"/>
      <c r="SJF95" s="363"/>
      <c r="SJG95" s="364" t="s">
        <v>140</v>
      </c>
      <c r="SJH95" s="365">
        <v>0.5</v>
      </c>
      <c r="SJI95" s="366" t="e">
        <f>10/SJE93</f>
        <v>#DIV/0!</v>
      </c>
      <c r="SJJ95" s="367">
        <v>15.38</v>
      </c>
      <c r="SJK95" s="367" t="e">
        <f>SJH95*SJI95*SJJ95</f>
        <v>#DIV/0!</v>
      </c>
      <c r="SJL95" s="363" t="s">
        <v>153</v>
      </c>
      <c r="SJM95" s="363"/>
      <c r="SJN95" s="363"/>
      <c r="SJO95" s="364" t="s">
        <v>140</v>
      </c>
      <c r="SJP95" s="365">
        <v>0.5</v>
      </c>
      <c r="SJQ95" s="366" t="e">
        <f>10/SJM93</f>
        <v>#DIV/0!</v>
      </c>
      <c r="SJR95" s="367">
        <v>15.38</v>
      </c>
      <c r="SJS95" s="367" t="e">
        <f>SJP95*SJQ95*SJR95</f>
        <v>#DIV/0!</v>
      </c>
      <c r="SJT95" s="363" t="s">
        <v>153</v>
      </c>
      <c r="SJU95" s="363"/>
      <c r="SJV95" s="363"/>
      <c r="SJW95" s="364" t="s">
        <v>140</v>
      </c>
      <c r="SJX95" s="365">
        <v>0.5</v>
      </c>
      <c r="SJY95" s="366" t="e">
        <f>10/SJU93</f>
        <v>#DIV/0!</v>
      </c>
      <c r="SJZ95" s="367">
        <v>15.38</v>
      </c>
      <c r="SKA95" s="367" t="e">
        <f>SJX95*SJY95*SJZ95</f>
        <v>#DIV/0!</v>
      </c>
      <c r="SKB95" s="363" t="s">
        <v>153</v>
      </c>
      <c r="SKC95" s="363"/>
      <c r="SKD95" s="363"/>
      <c r="SKE95" s="364" t="s">
        <v>140</v>
      </c>
      <c r="SKF95" s="365">
        <v>0.5</v>
      </c>
      <c r="SKG95" s="366" t="e">
        <f>10/SKC93</f>
        <v>#DIV/0!</v>
      </c>
      <c r="SKH95" s="367">
        <v>15.38</v>
      </c>
      <c r="SKI95" s="367" t="e">
        <f>SKF95*SKG95*SKH95</f>
        <v>#DIV/0!</v>
      </c>
      <c r="SKJ95" s="363" t="s">
        <v>153</v>
      </c>
      <c r="SKK95" s="363"/>
      <c r="SKL95" s="363"/>
      <c r="SKM95" s="364" t="s">
        <v>140</v>
      </c>
      <c r="SKN95" s="365">
        <v>0.5</v>
      </c>
      <c r="SKO95" s="366" t="e">
        <f>10/SKK93</f>
        <v>#DIV/0!</v>
      </c>
      <c r="SKP95" s="367">
        <v>15.38</v>
      </c>
      <c r="SKQ95" s="367" t="e">
        <f>SKN95*SKO95*SKP95</f>
        <v>#DIV/0!</v>
      </c>
      <c r="SKR95" s="363" t="s">
        <v>153</v>
      </c>
      <c r="SKS95" s="363"/>
      <c r="SKT95" s="363"/>
      <c r="SKU95" s="364" t="s">
        <v>140</v>
      </c>
      <c r="SKV95" s="365">
        <v>0.5</v>
      </c>
      <c r="SKW95" s="366" t="e">
        <f>10/SKS93</f>
        <v>#DIV/0!</v>
      </c>
      <c r="SKX95" s="367">
        <v>15.38</v>
      </c>
      <c r="SKY95" s="367" t="e">
        <f>SKV95*SKW95*SKX95</f>
        <v>#DIV/0!</v>
      </c>
      <c r="SKZ95" s="363" t="s">
        <v>153</v>
      </c>
      <c r="SLA95" s="363"/>
      <c r="SLB95" s="363"/>
      <c r="SLC95" s="364" t="s">
        <v>140</v>
      </c>
      <c r="SLD95" s="365">
        <v>0.5</v>
      </c>
      <c r="SLE95" s="366" t="e">
        <f>10/SLA93</f>
        <v>#DIV/0!</v>
      </c>
      <c r="SLF95" s="367">
        <v>15.38</v>
      </c>
      <c r="SLG95" s="367" t="e">
        <f>SLD95*SLE95*SLF95</f>
        <v>#DIV/0!</v>
      </c>
      <c r="SLH95" s="363" t="s">
        <v>153</v>
      </c>
      <c r="SLI95" s="363"/>
      <c r="SLJ95" s="363"/>
      <c r="SLK95" s="364" t="s">
        <v>140</v>
      </c>
      <c r="SLL95" s="365">
        <v>0.5</v>
      </c>
      <c r="SLM95" s="366" t="e">
        <f>10/SLI93</f>
        <v>#DIV/0!</v>
      </c>
      <c r="SLN95" s="367">
        <v>15.38</v>
      </c>
      <c r="SLO95" s="367" t="e">
        <f>SLL95*SLM95*SLN95</f>
        <v>#DIV/0!</v>
      </c>
      <c r="SLP95" s="363" t="s">
        <v>153</v>
      </c>
      <c r="SLQ95" s="363"/>
      <c r="SLR95" s="363"/>
      <c r="SLS95" s="364" t="s">
        <v>140</v>
      </c>
      <c r="SLT95" s="365">
        <v>0.5</v>
      </c>
      <c r="SLU95" s="366" t="e">
        <f>10/SLQ93</f>
        <v>#DIV/0!</v>
      </c>
      <c r="SLV95" s="367">
        <v>15.38</v>
      </c>
      <c r="SLW95" s="367" t="e">
        <f>SLT95*SLU95*SLV95</f>
        <v>#DIV/0!</v>
      </c>
      <c r="SLX95" s="363" t="s">
        <v>153</v>
      </c>
      <c r="SLY95" s="363"/>
      <c r="SLZ95" s="363"/>
      <c r="SMA95" s="364" t="s">
        <v>140</v>
      </c>
      <c r="SMB95" s="365">
        <v>0.5</v>
      </c>
      <c r="SMC95" s="366" t="e">
        <f>10/SLY93</f>
        <v>#DIV/0!</v>
      </c>
      <c r="SMD95" s="367">
        <v>15.38</v>
      </c>
      <c r="SME95" s="367" t="e">
        <f>SMB95*SMC95*SMD95</f>
        <v>#DIV/0!</v>
      </c>
      <c r="SMF95" s="363" t="s">
        <v>153</v>
      </c>
      <c r="SMG95" s="363"/>
      <c r="SMH95" s="363"/>
      <c r="SMI95" s="364" t="s">
        <v>140</v>
      </c>
      <c r="SMJ95" s="365">
        <v>0.5</v>
      </c>
      <c r="SMK95" s="366" t="e">
        <f>10/SMG93</f>
        <v>#DIV/0!</v>
      </c>
      <c r="SML95" s="367">
        <v>15.38</v>
      </c>
      <c r="SMM95" s="367" t="e">
        <f>SMJ95*SMK95*SML95</f>
        <v>#DIV/0!</v>
      </c>
      <c r="SMN95" s="363" t="s">
        <v>153</v>
      </c>
      <c r="SMO95" s="363"/>
      <c r="SMP95" s="363"/>
      <c r="SMQ95" s="364" t="s">
        <v>140</v>
      </c>
      <c r="SMR95" s="365">
        <v>0.5</v>
      </c>
      <c r="SMS95" s="366" t="e">
        <f>10/SMO93</f>
        <v>#DIV/0!</v>
      </c>
      <c r="SMT95" s="367">
        <v>15.38</v>
      </c>
      <c r="SMU95" s="367" t="e">
        <f>SMR95*SMS95*SMT95</f>
        <v>#DIV/0!</v>
      </c>
      <c r="SMV95" s="363" t="s">
        <v>153</v>
      </c>
      <c r="SMW95" s="363"/>
      <c r="SMX95" s="363"/>
      <c r="SMY95" s="364" t="s">
        <v>140</v>
      </c>
      <c r="SMZ95" s="365">
        <v>0.5</v>
      </c>
      <c r="SNA95" s="366" t="e">
        <f>10/SMW93</f>
        <v>#DIV/0!</v>
      </c>
      <c r="SNB95" s="367">
        <v>15.38</v>
      </c>
      <c r="SNC95" s="367" t="e">
        <f>SMZ95*SNA95*SNB95</f>
        <v>#DIV/0!</v>
      </c>
      <c r="SND95" s="363" t="s">
        <v>153</v>
      </c>
      <c r="SNE95" s="363"/>
      <c r="SNF95" s="363"/>
      <c r="SNG95" s="364" t="s">
        <v>140</v>
      </c>
      <c r="SNH95" s="365">
        <v>0.5</v>
      </c>
      <c r="SNI95" s="366" t="e">
        <f>10/SNE93</f>
        <v>#DIV/0!</v>
      </c>
      <c r="SNJ95" s="367">
        <v>15.38</v>
      </c>
      <c r="SNK95" s="367" t="e">
        <f>SNH95*SNI95*SNJ95</f>
        <v>#DIV/0!</v>
      </c>
      <c r="SNL95" s="363" t="s">
        <v>153</v>
      </c>
      <c r="SNM95" s="363"/>
      <c r="SNN95" s="363"/>
      <c r="SNO95" s="364" t="s">
        <v>140</v>
      </c>
      <c r="SNP95" s="365">
        <v>0.5</v>
      </c>
      <c r="SNQ95" s="366" t="e">
        <f>10/SNM93</f>
        <v>#DIV/0!</v>
      </c>
      <c r="SNR95" s="367">
        <v>15.38</v>
      </c>
      <c r="SNS95" s="367" t="e">
        <f>SNP95*SNQ95*SNR95</f>
        <v>#DIV/0!</v>
      </c>
      <c r="SNT95" s="363" t="s">
        <v>153</v>
      </c>
      <c r="SNU95" s="363"/>
      <c r="SNV95" s="363"/>
      <c r="SNW95" s="364" t="s">
        <v>140</v>
      </c>
      <c r="SNX95" s="365">
        <v>0.5</v>
      </c>
      <c r="SNY95" s="366" t="e">
        <f>10/SNU93</f>
        <v>#DIV/0!</v>
      </c>
      <c r="SNZ95" s="367">
        <v>15.38</v>
      </c>
      <c r="SOA95" s="367" t="e">
        <f>SNX95*SNY95*SNZ95</f>
        <v>#DIV/0!</v>
      </c>
      <c r="SOB95" s="363" t="s">
        <v>153</v>
      </c>
      <c r="SOC95" s="363"/>
      <c r="SOD95" s="363"/>
      <c r="SOE95" s="364" t="s">
        <v>140</v>
      </c>
      <c r="SOF95" s="365">
        <v>0.5</v>
      </c>
      <c r="SOG95" s="366" t="e">
        <f>10/SOC93</f>
        <v>#DIV/0!</v>
      </c>
      <c r="SOH95" s="367">
        <v>15.38</v>
      </c>
      <c r="SOI95" s="367" t="e">
        <f>SOF95*SOG95*SOH95</f>
        <v>#DIV/0!</v>
      </c>
      <c r="SOJ95" s="363" t="s">
        <v>153</v>
      </c>
      <c r="SOK95" s="363"/>
      <c r="SOL95" s="363"/>
      <c r="SOM95" s="364" t="s">
        <v>140</v>
      </c>
      <c r="SON95" s="365">
        <v>0.5</v>
      </c>
      <c r="SOO95" s="366" t="e">
        <f>10/SOK93</f>
        <v>#DIV/0!</v>
      </c>
      <c r="SOP95" s="367">
        <v>15.38</v>
      </c>
      <c r="SOQ95" s="367" t="e">
        <f>SON95*SOO95*SOP95</f>
        <v>#DIV/0!</v>
      </c>
      <c r="SOR95" s="363" t="s">
        <v>153</v>
      </c>
      <c r="SOS95" s="363"/>
      <c r="SOT95" s="363"/>
      <c r="SOU95" s="364" t="s">
        <v>140</v>
      </c>
      <c r="SOV95" s="365">
        <v>0.5</v>
      </c>
      <c r="SOW95" s="366" t="e">
        <f>10/SOS93</f>
        <v>#DIV/0!</v>
      </c>
      <c r="SOX95" s="367">
        <v>15.38</v>
      </c>
      <c r="SOY95" s="367" t="e">
        <f>SOV95*SOW95*SOX95</f>
        <v>#DIV/0!</v>
      </c>
      <c r="SOZ95" s="363" t="s">
        <v>153</v>
      </c>
      <c r="SPA95" s="363"/>
      <c r="SPB95" s="363"/>
      <c r="SPC95" s="364" t="s">
        <v>140</v>
      </c>
      <c r="SPD95" s="365">
        <v>0.5</v>
      </c>
      <c r="SPE95" s="366" t="e">
        <f>10/SPA93</f>
        <v>#DIV/0!</v>
      </c>
      <c r="SPF95" s="367">
        <v>15.38</v>
      </c>
      <c r="SPG95" s="367" t="e">
        <f>SPD95*SPE95*SPF95</f>
        <v>#DIV/0!</v>
      </c>
      <c r="SPH95" s="363" t="s">
        <v>153</v>
      </c>
      <c r="SPI95" s="363"/>
      <c r="SPJ95" s="363"/>
      <c r="SPK95" s="364" t="s">
        <v>140</v>
      </c>
      <c r="SPL95" s="365">
        <v>0.5</v>
      </c>
      <c r="SPM95" s="366" t="e">
        <f>10/SPI93</f>
        <v>#DIV/0!</v>
      </c>
      <c r="SPN95" s="367">
        <v>15.38</v>
      </c>
      <c r="SPO95" s="367" t="e">
        <f>SPL95*SPM95*SPN95</f>
        <v>#DIV/0!</v>
      </c>
      <c r="SPP95" s="363" t="s">
        <v>153</v>
      </c>
      <c r="SPQ95" s="363"/>
      <c r="SPR95" s="363"/>
      <c r="SPS95" s="364" t="s">
        <v>140</v>
      </c>
      <c r="SPT95" s="365">
        <v>0.5</v>
      </c>
      <c r="SPU95" s="366" t="e">
        <f>10/SPQ93</f>
        <v>#DIV/0!</v>
      </c>
      <c r="SPV95" s="367">
        <v>15.38</v>
      </c>
      <c r="SPW95" s="367" t="e">
        <f>SPT95*SPU95*SPV95</f>
        <v>#DIV/0!</v>
      </c>
      <c r="SPX95" s="363" t="s">
        <v>153</v>
      </c>
      <c r="SPY95" s="363"/>
      <c r="SPZ95" s="363"/>
      <c r="SQA95" s="364" t="s">
        <v>140</v>
      </c>
      <c r="SQB95" s="365">
        <v>0.5</v>
      </c>
      <c r="SQC95" s="366" t="e">
        <f>10/SPY93</f>
        <v>#DIV/0!</v>
      </c>
      <c r="SQD95" s="367">
        <v>15.38</v>
      </c>
      <c r="SQE95" s="367" t="e">
        <f>SQB95*SQC95*SQD95</f>
        <v>#DIV/0!</v>
      </c>
      <c r="SQF95" s="363" t="s">
        <v>153</v>
      </c>
      <c r="SQG95" s="363"/>
      <c r="SQH95" s="363"/>
      <c r="SQI95" s="364" t="s">
        <v>140</v>
      </c>
      <c r="SQJ95" s="365">
        <v>0.5</v>
      </c>
      <c r="SQK95" s="366" t="e">
        <f>10/SQG93</f>
        <v>#DIV/0!</v>
      </c>
      <c r="SQL95" s="367">
        <v>15.38</v>
      </c>
      <c r="SQM95" s="367" t="e">
        <f>SQJ95*SQK95*SQL95</f>
        <v>#DIV/0!</v>
      </c>
      <c r="SQN95" s="363" t="s">
        <v>153</v>
      </c>
      <c r="SQO95" s="363"/>
      <c r="SQP95" s="363"/>
      <c r="SQQ95" s="364" t="s">
        <v>140</v>
      </c>
      <c r="SQR95" s="365">
        <v>0.5</v>
      </c>
      <c r="SQS95" s="366" t="e">
        <f>10/SQO93</f>
        <v>#DIV/0!</v>
      </c>
      <c r="SQT95" s="367">
        <v>15.38</v>
      </c>
      <c r="SQU95" s="367" t="e">
        <f>SQR95*SQS95*SQT95</f>
        <v>#DIV/0!</v>
      </c>
      <c r="SQV95" s="363" t="s">
        <v>153</v>
      </c>
      <c r="SQW95" s="363"/>
      <c r="SQX95" s="363"/>
      <c r="SQY95" s="364" t="s">
        <v>140</v>
      </c>
      <c r="SQZ95" s="365">
        <v>0.5</v>
      </c>
      <c r="SRA95" s="366" t="e">
        <f>10/SQW93</f>
        <v>#DIV/0!</v>
      </c>
      <c r="SRB95" s="367">
        <v>15.38</v>
      </c>
      <c r="SRC95" s="367" t="e">
        <f>SQZ95*SRA95*SRB95</f>
        <v>#DIV/0!</v>
      </c>
      <c r="SRD95" s="363" t="s">
        <v>153</v>
      </c>
      <c r="SRE95" s="363"/>
      <c r="SRF95" s="363"/>
      <c r="SRG95" s="364" t="s">
        <v>140</v>
      </c>
      <c r="SRH95" s="365">
        <v>0.5</v>
      </c>
      <c r="SRI95" s="366" t="e">
        <f>10/SRE93</f>
        <v>#DIV/0!</v>
      </c>
      <c r="SRJ95" s="367">
        <v>15.38</v>
      </c>
      <c r="SRK95" s="367" t="e">
        <f>SRH95*SRI95*SRJ95</f>
        <v>#DIV/0!</v>
      </c>
      <c r="SRL95" s="363" t="s">
        <v>153</v>
      </c>
      <c r="SRM95" s="363"/>
      <c r="SRN95" s="363"/>
      <c r="SRO95" s="364" t="s">
        <v>140</v>
      </c>
      <c r="SRP95" s="365">
        <v>0.5</v>
      </c>
      <c r="SRQ95" s="366" t="e">
        <f>10/SRM93</f>
        <v>#DIV/0!</v>
      </c>
      <c r="SRR95" s="367">
        <v>15.38</v>
      </c>
      <c r="SRS95" s="367" t="e">
        <f>SRP95*SRQ95*SRR95</f>
        <v>#DIV/0!</v>
      </c>
      <c r="SRT95" s="363" t="s">
        <v>153</v>
      </c>
      <c r="SRU95" s="363"/>
      <c r="SRV95" s="363"/>
      <c r="SRW95" s="364" t="s">
        <v>140</v>
      </c>
      <c r="SRX95" s="365">
        <v>0.5</v>
      </c>
      <c r="SRY95" s="366" t="e">
        <f>10/SRU93</f>
        <v>#DIV/0!</v>
      </c>
      <c r="SRZ95" s="367">
        <v>15.38</v>
      </c>
      <c r="SSA95" s="367" t="e">
        <f>SRX95*SRY95*SRZ95</f>
        <v>#DIV/0!</v>
      </c>
      <c r="SSB95" s="363" t="s">
        <v>153</v>
      </c>
      <c r="SSC95" s="363"/>
      <c r="SSD95" s="363"/>
      <c r="SSE95" s="364" t="s">
        <v>140</v>
      </c>
      <c r="SSF95" s="365">
        <v>0.5</v>
      </c>
      <c r="SSG95" s="366" t="e">
        <f>10/SSC93</f>
        <v>#DIV/0!</v>
      </c>
      <c r="SSH95" s="367">
        <v>15.38</v>
      </c>
      <c r="SSI95" s="367" t="e">
        <f>SSF95*SSG95*SSH95</f>
        <v>#DIV/0!</v>
      </c>
      <c r="SSJ95" s="363" t="s">
        <v>153</v>
      </c>
      <c r="SSK95" s="363"/>
      <c r="SSL95" s="363"/>
      <c r="SSM95" s="364" t="s">
        <v>140</v>
      </c>
      <c r="SSN95" s="365">
        <v>0.5</v>
      </c>
      <c r="SSO95" s="366" t="e">
        <f>10/SSK93</f>
        <v>#DIV/0!</v>
      </c>
      <c r="SSP95" s="367">
        <v>15.38</v>
      </c>
      <c r="SSQ95" s="367" t="e">
        <f>SSN95*SSO95*SSP95</f>
        <v>#DIV/0!</v>
      </c>
      <c r="SSR95" s="363" t="s">
        <v>153</v>
      </c>
      <c r="SSS95" s="363"/>
      <c r="SST95" s="363"/>
      <c r="SSU95" s="364" t="s">
        <v>140</v>
      </c>
      <c r="SSV95" s="365">
        <v>0.5</v>
      </c>
      <c r="SSW95" s="366" t="e">
        <f>10/SSS93</f>
        <v>#DIV/0!</v>
      </c>
      <c r="SSX95" s="367">
        <v>15.38</v>
      </c>
      <c r="SSY95" s="367" t="e">
        <f>SSV95*SSW95*SSX95</f>
        <v>#DIV/0!</v>
      </c>
      <c r="SSZ95" s="363" t="s">
        <v>153</v>
      </c>
      <c r="STA95" s="363"/>
      <c r="STB95" s="363"/>
      <c r="STC95" s="364" t="s">
        <v>140</v>
      </c>
      <c r="STD95" s="365">
        <v>0.5</v>
      </c>
      <c r="STE95" s="366" t="e">
        <f>10/STA93</f>
        <v>#DIV/0!</v>
      </c>
      <c r="STF95" s="367">
        <v>15.38</v>
      </c>
      <c r="STG95" s="367" t="e">
        <f>STD95*STE95*STF95</f>
        <v>#DIV/0!</v>
      </c>
      <c r="STH95" s="363" t="s">
        <v>153</v>
      </c>
      <c r="STI95" s="363"/>
      <c r="STJ95" s="363"/>
      <c r="STK95" s="364" t="s">
        <v>140</v>
      </c>
      <c r="STL95" s="365">
        <v>0.5</v>
      </c>
      <c r="STM95" s="366" t="e">
        <f>10/STI93</f>
        <v>#DIV/0!</v>
      </c>
      <c r="STN95" s="367">
        <v>15.38</v>
      </c>
      <c r="STO95" s="367" t="e">
        <f>STL95*STM95*STN95</f>
        <v>#DIV/0!</v>
      </c>
      <c r="STP95" s="363" t="s">
        <v>153</v>
      </c>
      <c r="STQ95" s="363"/>
      <c r="STR95" s="363"/>
      <c r="STS95" s="364" t="s">
        <v>140</v>
      </c>
      <c r="STT95" s="365">
        <v>0.5</v>
      </c>
      <c r="STU95" s="366" t="e">
        <f>10/STQ93</f>
        <v>#DIV/0!</v>
      </c>
      <c r="STV95" s="367">
        <v>15.38</v>
      </c>
      <c r="STW95" s="367" t="e">
        <f>STT95*STU95*STV95</f>
        <v>#DIV/0!</v>
      </c>
      <c r="STX95" s="363" t="s">
        <v>153</v>
      </c>
      <c r="STY95" s="363"/>
      <c r="STZ95" s="363"/>
      <c r="SUA95" s="364" t="s">
        <v>140</v>
      </c>
      <c r="SUB95" s="365">
        <v>0.5</v>
      </c>
      <c r="SUC95" s="366" t="e">
        <f>10/STY93</f>
        <v>#DIV/0!</v>
      </c>
      <c r="SUD95" s="367">
        <v>15.38</v>
      </c>
      <c r="SUE95" s="367" t="e">
        <f>SUB95*SUC95*SUD95</f>
        <v>#DIV/0!</v>
      </c>
      <c r="SUF95" s="363" t="s">
        <v>153</v>
      </c>
      <c r="SUG95" s="363"/>
      <c r="SUH95" s="363"/>
      <c r="SUI95" s="364" t="s">
        <v>140</v>
      </c>
      <c r="SUJ95" s="365">
        <v>0.5</v>
      </c>
      <c r="SUK95" s="366" t="e">
        <f>10/SUG93</f>
        <v>#DIV/0!</v>
      </c>
      <c r="SUL95" s="367">
        <v>15.38</v>
      </c>
      <c r="SUM95" s="367" t="e">
        <f>SUJ95*SUK95*SUL95</f>
        <v>#DIV/0!</v>
      </c>
      <c r="SUN95" s="363" t="s">
        <v>153</v>
      </c>
      <c r="SUO95" s="363"/>
      <c r="SUP95" s="363"/>
      <c r="SUQ95" s="364" t="s">
        <v>140</v>
      </c>
      <c r="SUR95" s="365">
        <v>0.5</v>
      </c>
      <c r="SUS95" s="366" t="e">
        <f>10/SUO93</f>
        <v>#DIV/0!</v>
      </c>
      <c r="SUT95" s="367">
        <v>15.38</v>
      </c>
      <c r="SUU95" s="367" t="e">
        <f>SUR95*SUS95*SUT95</f>
        <v>#DIV/0!</v>
      </c>
      <c r="SUV95" s="363" t="s">
        <v>153</v>
      </c>
      <c r="SUW95" s="363"/>
      <c r="SUX95" s="363"/>
      <c r="SUY95" s="364" t="s">
        <v>140</v>
      </c>
      <c r="SUZ95" s="365">
        <v>0.5</v>
      </c>
      <c r="SVA95" s="366" t="e">
        <f>10/SUW93</f>
        <v>#DIV/0!</v>
      </c>
      <c r="SVB95" s="367">
        <v>15.38</v>
      </c>
      <c r="SVC95" s="367" t="e">
        <f>SUZ95*SVA95*SVB95</f>
        <v>#DIV/0!</v>
      </c>
      <c r="SVD95" s="363" t="s">
        <v>153</v>
      </c>
      <c r="SVE95" s="363"/>
      <c r="SVF95" s="363"/>
      <c r="SVG95" s="364" t="s">
        <v>140</v>
      </c>
      <c r="SVH95" s="365">
        <v>0.5</v>
      </c>
      <c r="SVI95" s="366" t="e">
        <f>10/SVE93</f>
        <v>#DIV/0!</v>
      </c>
      <c r="SVJ95" s="367">
        <v>15.38</v>
      </c>
      <c r="SVK95" s="367" t="e">
        <f>SVH95*SVI95*SVJ95</f>
        <v>#DIV/0!</v>
      </c>
      <c r="SVL95" s="363" t="s">
        <v>153</v>
      </c>
      <c r="SVM95" s="363"/>
      <c r="SVN95" s="363"/>
      <c r="SVO95" s="364" t="s">
        <v>140</v>
      </c>
      <c r="SVP95" s="365">
        <v>0.5</v>
      </c>
      <c r="SVQ95" s="366" t="e">
        <f>10/SVM93</f>
        <v>#DIV/0!</v>
      </c>
      <c r="SVR95" s="367">
        <v>15.38</v>
      </c>
      <c r="SVS95" s="367" t="e">
        <f>SVP95*SVQ95*SVR95</f>
        <v>#DIV/0!</v>
      </c>
      <c r="SVT95" s="363" t="s">
        <v>153</v>
      </c>
      <c r="SVU95" s="363"/>
      <c r="SVV95" s="363"/>
      <c r="SVW95" s="364" t="s">
        <v>140</v>
      </c>
      <c r="SVX95" s="365">
        <v>0.5</v>
      </c>
      <c r="SVY95" s="366" t="e">
        <f>10/SVU93</f>
        <v>#DIV/0!</v>
      </c>
      <c r="SVZ95" s="367">
        <v>15.38</v>
      </c>
      <c r="SWA95" s="367" t="e">
        <f>SVX95*SVY95*SVZ95</f>
        <v>#DIV/0!</v>
      </c>
      <c r="SWB95" s="363" t="s">
        <v>153</v>
      </c>
      <c r="SWC95" s="363"/>
      <c r="SWD95" s="363"/>
      <c r="SWE95" s="364" t="s">
        <v>140</v>
      </c>
      <c r="SWF95" s="365">
        <v>0.5</v>
      </c>
      <c r="SWG95" s="366" t="e">
        <f>10/SWC93</f>
        <v>#DIV/0!</v>
      </c>
      <c r="SWH95" s="367">
        <v>15.38</v>
      </c>
      <c r="SWI95" s="367" t="e">
        <f>SWF95*SWG95*SWH95</f>
        <v>#DIV/0!</v>
      </c>
      <c r="SWJ95" s="363" t="s">
        <v>153</v>
      </c>
      <c r="SWK95" s="363"/>
      <c r="SWL95" s="363"/>
      <c r="SWM95" s="364" t="s">
        <v>140</v>
      </c>
      <c r="SWN95" s="365">
        <v>0.5</v>
      </c>
      <c r="SWO95" s="366" t="e">
        <f>10/SWK93</f>
        <v>#DIV/0!</v>
      </c>
      <c r="SWP95" s="367">
        <v>15.38</v>
      </c>
      <c r="SWQ95" s="367" t="e">
        <f>SWN95*SWO95*SWP95</f>
        <v>#DIV/0!</v>
      </c>
      <c r="SWR95" s="363" t="s">
        <v>153</v>
      </c>
      <c r="SWS95" s="363"/>
      <c r="SWT95" s="363"/>
      <c r="SWU95" s="364" t="s">
        <v>140</v>
      </c>
      <c r="SWV95" s="365">
        <v>0.5</v>
      </c>
      <c r="SWW95" s="366" t="e">
        <f>10/SWS93</f>
        <v>#DIV/0!</v>
      </c>
      <c r="SWX95" s="367">
        <v>15.38</v>
      </c>
      <c r="SWY95" s="367" t="e">
        <f>SWV95*SWW95*SWX95</f>
        <v>#DIV/0!</v>
      </c>
      <c r="SWZ95" s="363" t="s">
        <v>153</v>
      </c>
      <c r="SXA95" s="363"/>
      <c r="SXB95" s="363"/>
      <c r="SXC95" s="364" t="s">
        <v>140</v>
      </c>
      <c r="SXD95" s="365">
        <v>0.5</v>
      </c>
      <c r="SXE95" s="366" t="e">
        <f>10/SXA93</f>
        <v>#DIV/0!</v>
      </c>
      <c r="SXF95" s="367">
        <v>15.38</v>
      </c>
      <c r="SXG95" s="367" t="e">
        <f>SXD95*SXE95*SXF95</f>
        <v>#DIV/0!</v>
      </c>
      <c r="SXH95" s="363" t="s">
        <v>153</v>
      </c>
      <c r="SXI95" s="363"/>
      <c r="SXJ95" s="363"/>
      <c r="SXK95" s="364" t="s">
        <v>140</v>
      </c>
      <c r="SXL95" s="365">
        <v>0.5</v>
      </c>
      <c r="SXM95" s="366" t="e">
        <f>10/SXI93</f>
        <v>#DIV/0!</v>
      </c>
      <c r="SXN95" s="367">
        <v>15.38</v>
      </c>
      <c r="SXO95" s="367" t="e">
        <f>SXL95*SXM95*SXN95</f>
        <v>#DIV/0!</v>
      </c>
      <c r="SXP95" s="363" t="s">
        <v>153</v>
      </c>
      <c r="SXQ95" s="363"/>
      <c r="SXR95" s="363"/>
      <c r="SXS95" s="364" t="s">
        <v>140</v>
      </c>
      <c r="SXT95" s="365">
        <v>0.5</v>
      </c>
      <c r="SXU95" s="366" t="e">
        <f>10/SXQ93</f>
        <v>#DIV/0!</v>
      </c>
      <c r="SXV95" s="367">
        <v>15.38</v>
      </c>
      <c r="SXW95" s="367" t="e">
        <f>SXT95*SXU95*SXV95</f>
        <v>#DIV/0!</v>
      </c>
      <c r="SXX95" s="363" t="s">
        <v>153</v>
      </c>
      <c r="SXY95" s="363"/>
      <c r="SXZ95" s="363"/>
      <c r="SYA95" s="364" t="s">
        <v>140</v>
      </c>
      <c r="SYB95" s="365">
        <v>0.5</v>
      </c>
      <c r="SYC95" s="366" t="e">
        <f>10/SXY93</f>
        <v>#DIV/0!</v>
      </c>
      <c r="SYD95" s="367">
        <v>15.38</v>
      </c>
      <c r="SYE95" s="367" t="e">
        <f>SYB95*SYC95*SYD95</f>
        <v>#DIV/0!</v>
      </c>
      <c r="SYF95" s="363" t="s">
        <v>153</v>
      </c>
      <c r="SYG95" s="363"/>
      <c r="SYH95" s="363"/>
      <c r="SYI95" s="364" t="s">
        <v>140</v>
      </c>
      <c r="SYJ95" s="365">
        <v>0.5</v>
      </c>
      <c r="SYK95" s="366" t="e">
        <f>10/SYG93</f>
        <v>#DIV/0!</v>
      </c>
      <c r="SYL95" s="367">
        <v>15.38</v>
      </c>
      <c r="SYM95" s="367" t="e">
        <f>SYJ95*SYK95*SYL95</f>
        <v>#DIV/0!</v>
      </c>
      <c r="SYN95" s="363" t="s">
        <v>153</v>
      </c>
      <c r="SYO95" s="363"/>
      <c r="SYP95" s="363"/>
      <c r="SYQ95" s="364" t="s">
        <v>140</v>
      </c>
      <c r="SYR95" s="365">
        <v>0.5</v>
      </c>
      <c r="SYS95" s="366" t="e">
        <f>10/SYO93</f>
        <v>#DIV/0!</v>
      </c>
      <c r="SYT95" s="367">
        <v>15.38</v>
      </c>
      <c r="SYU95" s="367" t="e">
        <f>SYR95*SYS95*SYT95</f>
        <v>#DIV/0!</v>
      </c>
      <c r="SYV95" s="363" t="s">
        <v>153</v>
      </c>
      <c r="SYW95" s="363"/>
      <c r="SYX95" s="363"/>
      <c r="SYY95" s="364" t="s">
        <v>140</v>
      </c>
      <c r="SYZ95" s="365">
        <v>0.5</v>
      </c>
      <c r="SZA95" s="366" t="e">
        <f>10/SYW93</f>
        <v>#DIV/0!</v>
      </c>
      <c r="SZB95" s="367">
        <v>15.38</v>
      </c>
      <c r="SZC95" s="367" t="e">
        <f>SYZ95*SZA95*SZB95</f>
        <v>#DIV/0!</v>
      </c>
      <c r="SZD95" s="363" t="s">
        <v>153</v>
      </c>
      <c r="SZE95" s="363"/>
      <c r="SZF95" s="363"/>
      <c r="SZG95" s="364" t="s">
        <v>140</v>
      </c>
      <c r="SZH95" s="365">
        <v>0.5</v>
      </c>
      <c r="SZI95" s="366" t="e">
        <f>10/SZE93</f>
        <v>#DIV/0!</v>
      </c>
      <c r="SZJ95" s="367">
        <v>15.38</v>
      </c>
      <c r="SZK95" s="367" t="e">
        <f>SZH95*SZI95*SZJ95</f>
        <v>#DIV/0!</v>
      </c>
      <c r="SZL95" s="363" t="s">
        <v>153</v>
      </c>
      <c r="SZM95" s="363"/>
      <c r="SZN95" s="363"/>
      <c r="SZO95" s="364" t="s">
        <v>140</v>
      </c>
      <c r="SZP95" s="365">
        <v>0.5</v>
      </c>
      <c r="SZQ95" s="366" t="e">
        <f>10/SZM93</f>
        <v>#DIV/0!</v>
      </c>
      <c r="SZR95" s="367">
        <v>15.38</v>
      </c>
      <c r="SZS95" s="367" t="e">
        <f>SZP95*SZQ95*SZR95</f>
        <v>#DIV/0!</v>
      </c>
      <c r="SZT95" s="363" t="s">
        <v>153</v>
      </c>
      <c r="SZU95" s="363"/>
      <c r="SZV95" s="363"/>
      <c r="SZW95" s="364" t="s">
        <v>140</v>
      </c>
      <c r="SZX95" s="365">
        <v>0.5</v>
      </c>
      <c r="SZY95" s="366" t="e">
        <f>10/SZU93</f>
        <v>#DIV/0!</v>
      </c>
      <c r="SZZ95" s="367">
        <v>15.38</v>
      </c>
      <c r="TAA95" s="367" t="e">
        <f>SZX95*SZY95*SZZ95</f>
        <v>#DIV/0!</v>
      </c>
      <c r="TAB95" s="363" t="s">
        <v>153</v>
      </c>
      <c r="TAC95" s="363"/>
      <c r="TAD95" s="363"/>
      <c r="TAE95" s="364" t="s">
        <v>140</v>
      </c>
      <c r="TAF95" s="365">
        <v>0.5</v>
      </c>
      <c r="TAG95" s="366" t="e">
        <f>10/TAC93</f>
        <v>#DIV/0!</v>
      </c>
      <c r="TAH95" s="367">
        <v>15.38</v>
      </c>
      <c r="TAI95" s="367" t="e">
        <f>TAF95*TAG95*TAH95</f>
        <v>#DIV/0!</v>
      </c>
      <c r="TAJ95" s="363" t="s">
        <v>153</v>
      </c>
      <c r="TAK95" s="363"/>
      <c r="TAL95" s="363"/>
      <c r="TAM95" s="364" t="s">
        <v>140</v>
      </c>
      <c r="TAN95" s="365">
        <v>0.5</v>
      </c>
      <c r="TAO95" s="366" t="e">
        <f>10/TAK93</f>
        <v>#DIV/0!</v>
      </c>
      <c r="TAP95" s="367">
        <v>15.38</v>
      </c>
      <c r="TAQ95" s="367" t="e">
        <f>TAN95*TAO95*TAP95</f>
        <v>#DIV/0!</v>
      </c>
      <c r="TAR95" s="363" t="s">
        <v>153</v>
      </c>
      <c r="TAS95" s="363"/>
      <c r="TAT95" s="363"/>
      <c r="TAU95" s="364" t="s">
        <v>140</v>
      </c>
      <c r="TAV95" s="365">
        <v>0.5</v>
      </c>
      <c r="TAW95" s="366" t="e">
        <f>10/TAS93</f>
        <v>#DIV/0!</v>
      </c>
      <c r="TAX95" s="367">
        <v>15.38</v>
      </c>
      <c r="TAY95" s="367" t="e">
        <f>TAV95*TAW95*TAX95</f>
        <v>#DIV/0!</v>
      </c>
      <c r="TAZ95" s="363" t="s">
        <v>153</v>
      </c>
      <c r="TBA95" s="363"/>
      <c r="TBB95" s="363"/>
      <c r="TBC95" s="364" t="s">
        <v>140</v>
      </c>
      <c r="TBD95" s="365">
        <v>0.5</v>
      </c>
      <c r="TBE95" s="366" t="e">
        <f>10/TBA93</f>
        <v>#DIV/0!</v>
      </c>
      <c r="TBF95" s="367">
        <v>15.38</v>
      </c>
      <c r="TBG95" s="367" t="e">
        <f>TBD95*TBE95*TBF95</f>
        <v>#DIV/0!</v>
      </c>
      <c r="TBH95" s="363" t="s">
        <v>153</v>
      </c>
      <c r="TBI95" s="363"/>
      <c r="TBJ95" s="363"/>
      <c r="TBK95" s="364" t="s">
        <v>140</v>
      </c>
      <c r="TBL95" s="365">
        <v>0.5</v>
      </c>
      <c r="TBM95" s="366" t="e">
        <f>10/TBI93</f>
        <v>#DIV/0!</v>
      </c>
      <c r="TBN95" s="367">
        <v>15.38</v>
      </c>
      <c r="TBO95" s="367" t="e">
        <f>TBL95*TBM95*TBN95</f>
        <v>#DIV/0!</v>
      </c>
      <c r="TBP95" s="363" t="s">
        <v>153</v>
      </c>
      <c r="TBQ95" s="363"/>
      <c r="TBR95" s="363"/>
      <c r="TBS95" s="364" t="s">
        <v>140</v>
      </c>
      <c r="TBT95" s="365">
        <v>0.5</v>
      </c>
      <c r="TBU95" s="366" t="e">
        <f>10/TBQ93</f>
        <v>#DIV/0!</v>
      </c>
      <c r="TBV95" s="367">
        <v>15.38</v>
      </c>
      <c r="TBW95" s="367" t="e">
        <f>TBT95*TBU95*TBV95</f>
        <v>#DIV/0!</v>
      </c>
      <c r="TBX95" s="363" t="s">
        <v>153</v>
      </c>
      <c r="TBY95" s="363"/>
      <c r="TBZ95" s="363"/>
      <c r="TCA95" s="364" t="s">
        <v>140</v>
      </c>
      <c r="TCB95" s="365">
        <v>0.5</v>
      </c>
      <c r="TCC95" s="366" t="e">
        <f>10/TBY93</f>
        <v>#DIV/0!</v>
      </c>
      <c r="TCD95" s="367">
        <v>15.38</v>
      </c>
      <c r="TCE95" s="367" t="e">
        <f>TCB95*TCC95*TCD95</f>
        <v>#DIV/0!</v>
      </c>
      <c r="TCF95" s="363" t="s">
        <v>153</v>
      </c>
      <c r="TCG95" s="363"/>
      <c r="TCH95" s="363"/>
      <c r="TCI95" s="364" t="s">
        <v>140</v>
      </c>
      <c r="TCJ95" s="365">
        <v>0.5</v>
      </c>
      <c r="TCK95" s="366" t="e">
        <f>10/TCG93</f>
        <v>#DIV/0!</v>
      </c>
      <c r="TCL95" s="367">
        <v>15.38</v>
      </c>
      <c r="TCM95" s="367" t="e">
        <f>TCJ95*TCK95*TCL95</f>
        <v>#DIV/0!</v>
      </c>
      <c r="TCN95" s="363" t="s">
        <v>153</v>
      </c>
      <c r="TCO95" s="363"/>
      <c r="TCP95" s="363"/>
      <c r="TCQ95" s="364" t="s">
        <v>140</v>
      </c>
      <c r="TCR95" s="365">
        <v>0.5</v>
      </c>
      <c r="TCS95" s="366" t="e">
        <f>10/TCO93</f>
        <v>#DIV/0!</v>
      </c>
      <c r="TCT95" s="367">
        <v>15.38</v>
      </c>
      <c r="TCU95" s="367" t="e">
        <f>TCR95*TCS95*TCT95</f>
        <v>#DIV/0!</v>
      </c>
      <c r="TCV95" s="363" t="s">
        <v>153</v>
      </c>
      <c r="TCW95" s="363"/>
      <c r="TCX95" s="363"/>
      <c r="TCY95" s="364" t="s">
        <v>140</v>
      </c>
      <c r="TCZ95" s="365">
        <v>0.5</v>
      </c>
      <c r="TDA95" s="366" t="e">
        <f>10/TCW93</f>
        <v>#DIV/0!</v>
      </c>
      <c r="TDB95" s="367">
        <v>15.38</v>
      </c>
      <c r="TDC95" s="367" t="e">
        <f>TCZ95*TDA95*TDB95</f>
        <v>#DIV/0!</v>
      </c>
      <c r="TDD95" s="363" t="s">
        <v>153</v>
      </c>
      <c r="TDE95" s="363"/>
      <c r="TDF95" s="363"/>
      <c r="TDG95" s="364" t="s">
        <v>140</v>
      </c>
      <c r="TDH95" s="365">
        <v>0.5</v>
      </c>
      <c r="TDI95" s="366" t="e">
        <f>10/TDE93</f>
        <v>#DIV/0!</v>
      </c>
      <c r="TDJ95" s="367">
        <v>15.38</v>
      </c>
      <c r="TDK95" s="367" t="e">
        <f>TDH95*TDI95*TDJ95</f>
        <v>#DIV/0!</v>
      </c>
      <c r="TDL95" s="363" t="s">
        <v>153</v>
      </c>
      <c r="TDM95" s="363"/>
      <c r="TDN95" s="363"/>
      <c r="TDO95" s="364" t="s">
        <v>140</v>
      </c>
      <c r="TDP95" s="365">
        <v>0.5</v>
      </c>
      <c r="TDQ95" s="366" t="e">
        <f>10/TDM93</f>
        <v>#DIV/0!</v>
      </c>
      <c r="TDR95" s="367">
        <v>15.38</v>
      </c>
      <c r="TDS95" s="367" t="e">
        <f>TDP95*TDQ95*TDR95</f>
        <v>#DIV/0!</v>
      </c>
      <c r="TDT95" s="363" t="s">
        <v>153</v>
      </c>
      <c r="TDU95" s="363"/>
      <c r="TDV95" s="363"/>
      <c r="TDW95" s="364" t="s">
        <v>140</v>
      </c>
      <c r="TDX95" s="365">
        <v>0.5</v>
      </c>
      <c r="TDY95" s="366" t="e">
        <f>10/TDU93</f>
        <v>#DIV/0!</v>
      </c>
      <c r="TDZ95" s="367">
        <v>15.38</v>
      </c>
      <c r="TEA95" s="367" t="e">
        <f>TDX95*TDY95*TDZ95</f>
        <v>#DIV/0!</v>
      </c>
      <c r="TEB95" s="363" t="s">
        <v>153</v>
      </c>
      <c r="TEC95" s="363"/>
      <c r="TED95" s="363"/>
      <c r="TEE95" s="364" t="s">
        <v>140</v>
      </c>
      <c r="TEF95" s="365">
        <v>0.5</v>
      </c>
      <c r="TEG95" s="366" t="e">
        <f>10/TEC93</f>
        <v>#DIV/0!</v>
      </c>
      <c r="TEH95" s="367">
        <v>15.38</v>
      </c>
      <c r="TEI95" s="367" t="e">
        <f>TEF95*TEG95*TEH95</f>
        <v>#DIV/0!</v>
      </c>
      <c r="TEJ95" s="363" t="s">
        <v>153</v>
      </c>
      <c r="TEK95" s="363"/>
      <c r="TEL95" s="363"/>
      <c r="TEM95" s="364" t="s">
        <v>140</v>
      </c>
      <c r="TEN95" s="365">
        <v>0.5</v>
      </c>
      <c r="TEO95" s="366" t="e">
        <f>10/TEK93</f>
        <v>#DIV/0!</v>
      </c>
      <c r="TEP95" s="367">
        <v>15.38</v>
      </c>
      <c r="TEQ95" s="367" t="e">
        <f>TEN95*TEO95*TEP95</f>
        <v>#DIV/0!</v>
      </c>
      <c r="TER95" s="363" t="s">
        <v>153</v>
      </c>
      <c r="TES95" s="363"/>
      <c r="TET95" s="363"/>
      <c r="TEU95" s="364" t="s">
        <v>140</v>
      </c>
      <c r="TEV95" s="365">
        <v>0.5</v>
      </c>
      <c r="TEW95" s="366" t="e">
        <f>10/TES93</f>
        <v>#DIV/0!</v>
      </c>
      <c r="TEX95" s="367">
        <v>15.38</v>
      </c>
      <c r="TEY95" s="367" t="e">
        <f>TEV95*TEW95*TEX95</f>
        <v>#DIV/0!</v>
      </c>
      <c r="TEZ95" s="363" t="s">
        <v>153</v>
      </c>
      <c r="TFA95" s="363"/>
      <c r="TFB95" s="363"/>
      <c r="TFC95" s="364" t="s">
        <v>140</v>
      </c>
      <c r="TFD95" s="365">
        <v>0.5</v>
      </c>
      <c r="TFE95" s="366" t="e">
        <f>10/TFA93</f>
        <v>#DIV/0!</v>
      </c>
      <c r="TFF95" s="367">
        <v>15.38</v>
      </c>
      <c r="TFG95" s="367" t="e">
        <f>TFD95*TFE95*TFF95</f>
        <v>#DIV/0!</v>
      </c>
      <c r="TFH95" s="363" t="s">
        <v>153</v>
      </c>
      <c r="TFI95" s="363"/>
      <c r="TFJ95" s="363"/>
      <c r="TFK95" s="364" t="s">
        <v>140</v>
      </c>
      <c r="TFL95" s="365">
        <v>0.5</v>
      </c>
      <c r="TFM95" s="366" t="e">
        <f>10/TFI93</f>
        <v>#DIV/0!</v>
      </c>
      <c r="TFN95" s="367">
        <v>15.38</v>
      </c>
      <c r="TFO95" s="367" t="e">
        <f>TFL95*TFM95*TFN95</f>
        <v>#DIV/0!</v>
      </c>
      <c r="TFP95" s="363" t="s">
        <v>153</v>
      </c>
      <c r="TFQ95" s="363"/>
      <c r="TFR95" s="363"/>
      <c r="TFS95" s="364" t="s">
        <v>140</v>
      </c>
      <c r="TFT95" s="365">
        <v>0.5</v>
      </c>
      <c r="TFU95" s="366" t="e">
        <f>10/TFQ93</f>
        <v>#DIV/0!</v>
      </c>
      <c r="TFV95" s="367">
        <v>15.38</v>
      </c>
      <c r="TFW95" s="367" t="e">
        <f>TFT95*TFU95*TFV95</f>
        <v>#DIV/0!</v>
      </c>
      <c r="TFX95" s="363" t="s">
        <v>153</v>
      </c>
      <c r="TFY95" s="363"/>
      <c r="TFZ95" s="363"/>
      <c r="TGA95" s="364" t="s">
        <v>140</v>
      </c>
      <c r="TGB95" s="365">
        <v>0.5</v>
      </c>
      <c r="TGC95" s="366" t="e">
        <f>10/TFY93</f>
        <v>#DIV/0!</v>
      </c>
      <c r="TGD95" s="367">
        <v>15.38</v>
      </c>
      <c r="TGE95" s="367" t="e">
        <f>TGB95*TGC95*TGD95</f>
        <v>#DIV/0!</v>
      </c>
      <c r="TGF95" s="363" t="s">
        <v>153</v>
      </c>
      <c r="TGG95" s="363"/>
      <c r="TGH95" s="363"/>
      <c r="TGI95" s="364" t="s">
        <v>140</v>
      </c>
      <c r="TGJ95" s="365">
        <v>0.5</v>
      </c>
      <c r="TGK95" s="366" t="e">
        <f>10/TGG93</f>
        <v>#DIV/0!</v>
      </c>
      <c r="TGL95" s="367">
        <v>15.38</v>
      </c>
      <c r="TGM95" s="367" t="e">
        <f>TGJ95*TGK95*TGL95</f>
        <v>#DIV/0!</v>
      </c>
      <c r="TGN95" s="363" t="s">
        <v>153</v>
      </c>
      <c r="TGO95" s="363"/>
      <c r="TGP95" s="363"/>
      <c r="TGQ95" s="364" t="s">
        <v>140</v>
      </c>
      <c r="TGR95" s="365">
        <v>0.5</v>
      </c>
      <c r="TGS95" s="366" t="e">
        <f>10/TGO93</f>
        <v>#DIV/0!</v>
      </c>
      <c r="TGT95" s="367">
        <v>15.38</v>
      </c>
      <c r="TGU95" s="367" t="e">
        <f>TGR95*TGS95*TGT95</f>
        <v>#DIV/0!</v>
      </c>
      <c r="TGV95" s="363" t="s">
        <v>153</v>
      </c>
      <c r="TGW95" s="363"/>
      <c r="TGX95" s="363"/>
      <c r="TGY95" s="364" t="s">
        <v>140</v>
      </c>
      <c r="TGZ95" s="365">
        <v>0.5</v>
      </c>
      <c r="THA95" s="366" t="e">
        <f>10/TGW93</f>
        <v>#DIV/0!</v>
      </c>
      <c r="THB95" s="367">
        <v>15.38</v>
      </c>
      <c r="THC95" s="367" t="e">
        <f>TGZ95*THA95*THB95</f>
        <v>#DIV/0!</v>
      </c>
      <c r="THD95" s="363" t="s">
        <v>153</v>
      </c>
      <c r="THE95" s="363"/>
      <c r="THF95" s="363"/>
      <c r="THG95" s="364" t="s">
        <v>140</v>
      </c>
      <c r="THH95" s="365">
        <v>0.5</v>
      </c>
      <c r="THI95" s="366" t="e">
        <f>10/THE93</f>
        <v>#DIV/0!</v>
      </c>
      <c r="THJ95" s="367">
        <v>15.38</v>
      </c>
      <c r="THK95" s="367" t="e">
        <f>THH95*THI95*THJ95</f>
        <v>#DIV/0!</v>
      </c>
      <c r="THL95" s="363" t="s">
        <v>153</v>
      </c>
      <c r="THM95" s="363"/>
      <c r="THN95" s="363"/>
      <c r="THO95" s="364" t="s">
        <v>140</v>
      </c>
      <c r="THP95" s="365">
        <v>0.5</v>
      </c>
      <c r="THQ95" s="366" t="e">
        <f>10/THM93</f>
        <v>#DIV/0!</v>
      </c>
      <c r="THR95" s="367">
        <v>15.38</v>
      </c>
      <c r="THS95" s="367" t="e">
        <f>THP95*THQ95*THR95</f>
        <v>#DIV/0!</v>
      </c>
      <c r="THT95" s="363" t="s">
        <v>153</v>
      </c>
      <c r="THU95" s="363"/>
      <c r="THV95" s="363"/>
      <c r="THW95" s="364" t="s">
        <v>140</v>
      </c>
      <c r="THX95" s="365">
        <v>0.5</v>
      </c>
      <c r="THY95" s="366" t="e">
        <f>10/THU93</f>
        <v>#DIV/0!</v>
      </c>
      <c r="THZ95" s="367">
        <v>15.38</v>
      </c>
      <c r="TIA95" s="367" t="e">
        <f>THX95*THY95*THZ95</f>
        <v>#DIV/0!</v>
      </c>
      <c r="TIB95" s="363" t="s">
        <v>153</v>
      </c>
      <c r="TIC95" s="363"/>
      <c r="TID95" s="363"/>
      <c r="TIE95" s="364" t="s">
        <v>140</v>
      </c>
      <c r="TIF95" s="365">
        <v>0.5</v>
      </c>
      <c r="TIG95" s="366" t="e">
        <f>10/TIC93</f>
        <v>#DIV/0!</v>
      </c>
      <c r="TIH95" s="367">
        <v>15.38</v>
      </c>
      <c r="TII95" s="367" t="e">
        <f>TIF95*TIG95*TIH95</f>
        <v>#DIV/0!</v>
      </c>
      <c r="TIJ95" s="363" t="s">
        <v>153</v>
      </c>
      <c r="TIK95" s="363"/>
      <c r="TIL95" s="363"/>
      <c r="TIM95" s="364" t="s">
        <v>140</v>
      </c>
      <c r="TIN95" s="365">
        <v>0.5</v>
      </c>
      <c r="TIO95" s="366" t="e">
        <f>10/TIK93</f>
        <v>#DIV/0!</v>
      </c>
      <c r="TIP95" s="367">
        <v>15.38</v>
      </c>
      <c r="TIQ95" s="367" t="e">
        <f>TIN95*TIO95*TIP95</f>
        <v>#DIV/0!</v>
      </c>
      <c r="TIR95" s="363" t="s">
        <v>153</v>
      </c>
      <c r="TIS95" s="363"/>
      <c r="TIT95" s="363"/>
      <c r="TIU95" s="364" t="s">
        <v>140</v>
      </c>
      <c r="TIV95" s="365">
        <v>0.5</v>
      </c>
      <c r="TIW95" s="366" t="e">
        <f>10/TIS93</f>
        <v>#DIV/0!</v>
      </c>
      <c r="TIX95" s="367">
        <v>15.38</v>
      </c>
      <c r="TIY95" s="367" t="e">
        <f>TIV95*TIW95*TIX95</f>
        <v>#DIV/0!</v>
      </c>
      <c r="TIZ95" s="363" t="s">
        <v>153</v>
      </c>
      <c r="TJA95" s="363"/>
      <c r="TJB95" s="363"/>
      <c r="TJC95" s="364" t="s">
        <v>140</v>
      </c>
      <c r="TJD95" s="365">
        <v>0.5</v>
      </c>
      <c r="TJE95" s="366" t="e">
        <f>10/TJA93</f>
        <v>#DIV/0!</v>
      </c>
      <c r="TJF95" s="367">
        <v>15.38</v>
      </c>
      <c r="TJG95" s="367" t="e">
        <f>TJD95*TJE95*TJF95</f>
        <v>#DIV/0!</v>
      </c>
      <c r="TJH95" s="363" t="s">
        <v>153</v>
      </c>
      <c r="TJI95" s="363"/>
      <c r="TJJ95" s="363"/>
      <c r="TJK95" s="364" t="s">
        <v>140</v>
      </c>
      <c r="TJL95" s="365">
        <v>0.5</v>
      </c>
      <c r="TJM95" s="366" t="e">
        <f>10/TJI93</f>
        <v>#DIV/0!</v>
      </c>
      <c r="TJN95" s="367">
        <v>15.38</v>
      </c>
      <c r="TJO95" s="367" t="e">
        <f>TJL95*TJM95*TJN95</f>
        <v>#DIV/0!</v>
      </c>
      <c r="TJP95" s="363" t="s">
        <v>153</v>
      </c>
      <c r="TJQ95" s="363"/>
      <c r="TJR95" s="363"/>
      <c r="TJS95" s="364" t="s">
        <v>140</v>
      </c>
      <c r="TJT95" s="365">
        <v>0.5</v>
      </c>
      <c r="TJU95" s="366" t="e">
        <f>10/TJQ93</f>
        <v>#DIV/0!</v>
      </c>
      <c r="TJV95" s="367">
        <v>15.38</v>
      </c>
      <c r="TJW95" s="367" t="e">
        <f>TJT95*TJU95*TJV95</f>
        <v>#DIV/0!</v>
      </c>
      <c r="TJX95" s="363" t="s">
        <v>153</v>
      </c>
      <c r="TJY95" s="363"/>
      <c r="TJZ95" s="363"/>
      <c r="TKA95" s="364" t="s">
        <v>140</v>
      </c>
      <c r="TKB95" s="365">
        <v>0.5</v>
      </c>
      <c r="TKC95" s="366" t="e">
        <f>10/TJY93</f>
        <v>#DIV/0!</v>
      </c>
      <c r="TKD95" s="367">
        <v>15.38</v>
      </c>
      <c r="TKE95" s="367" t="e">
        <f>TKB95*TKC95*TKD95</f>
        <v>#DIV/0!</v>
      </c>
      <c r="TKF95" s="363" t="s">
        <v>153</v>
      </c>
      <c r="TKG95" s="363"/>
      <c r="TKH95" s="363"/>
      <c r="TKI95" s="364" t="s">
        <v>140</v>
      </c>
      <c r="TKJ95" s="365">
        <v>0.5</v>
      </c>
      <c r="TKK95" s="366" t="e">
        <f>10/TKG93</f>
        <v>#DIV/0!</v>
      </c>
      <c r="TKL95" s="367">
        <v>15.38</v>
      </c>
      <c r="TKM95" s="367" t="e">
        <f>TKJ95*TKK95*TKL95</f>
        <v>#DIV/0!</v>
      </c>
      <c r="TKN95" s="363" t="s">
        <v>153</v>
      </c>
      <c r="TKO95" s="363"/>
      <c r="TKP95" s="363"/>
      <c r="TKQ95" s="364" t="s">
        <v>140</v>
      </c>
      <c r="TKR95" s="365">
        <v>0.5</v>
      </c>
      <c r="TKS95" s="366" t="e">
        <f>10/TKO93</f>
        <v>#DIV/0!</v>
      </c>
      <c r="TKT95" s="367">
        <v>15.38</v>
      </c>
      <c r="TKU95" s="367" t="e">
        <f>TKR95*TKS95*TKT95</f>
        <v>#DIV/0!</v>
      </c>
      <c r="TKV95" s="363" t="s">
        <v>153</v>
      </c>
      <c r="TKW95" s="363"/>
      <c r="TKX95" s="363"/>
      <c r="TKY95" s="364" t="s">
        <v>140</v>
      </c>
      <c r="TKZ95" s="365">
        <v>0.5</v>
      </c>
      <c r="TLA95" s="366" t="e">
        <f>10/TKW93</f>
        <v>#DIV/0!</v>
      </c>
      <c r="TLB95" s="367">
        <v>15.38</v>
      </c>
      <c r="TLC95" s="367" t="e">
        <f>TKZ95*TLA95*TLB95</f>
        <v>#DIV/0!</v>
      </c>
      <c r="TLD95" s="363" t="s">
        <v>153</v>
      </c>
      <c r="TLE95" s="363"/>
      <c r="TLF95" s="363"/>
      <c r="TLG95" s="364" t="s">
        <v>140</v>
      </c>
      <c r="TLH95" s="365">
        <v>0.5</v>
      </c>
      <c r="TLI95" s="366" t="e">
        <f>10/TLE93</f>
        <v>#DIV/0!</v>
      </c>
      <c r="TLJ95" s="367">
        <v>15.38</v>
      </c>
      <c r="TLK95" s="367" t="e">
        <f>TLH95*TLI95*TLJ95</f>
        <v>#DIV/0!</v>
      </c>
      <c r="TLL95" s="363" t="s">
        <v>153</v>
      </c>
      <c r="TLM95" s="363"/>
      <c r="TLN95" s="363"/>
      <c r="TLO95" s="364" t="s">
        <v>140</v>
      </c>
      <c r="TLP95" s="365">
        <v>0.5</v>
      </c>
      <c r="TLQ95" s="366" t="e">
        <f>10/TLM93</f>
        <v>#DIV/0!</v>
      </c>
      <c r="TLR95" s="367">
        <v>15.38</v>
      </c>
      <c r="TLS95" s="367" t="e">
        <f>TLP95*TLQ95*TLR95</f>
        <v>#DIV/0!</v>
      </c>
      <c r="TLT95" s="363" t="s">
        <v>153</v>
      </c>
      <c r="TLU95" s="363"/>
      <c r="TLV95" s="363"/>
      <c r="TLW95" s="364" t="s">
        <v>140</v>
      </c>
      <c r="TLX95" s="365">
        <v>0.5</v>
      </c>
      <c r="TLY95" s="366" t="e">
        <f>10/TLU93</f>
        <v>#DIV/0!</v>
      </c>
      <c r="TLZ95" s="367">
        <v>15.38</v>
      </c>
      <c r="TMA95" s="367" t="e">
        <f>TLX95*TLY95*TLZ95</f>
        <v>#DIV/0!</v>
      </c>
      <c r="TMB95" s="363" t="s">
        <v>153</v>
      </c>
      <c r="TMC95" s="363"/>
      <c r="TMD95" s="363"/>
      <c r="TME95" s="364" t="s">
        <v>140</v>
      </c>
      <c r="TMF95" s="365">
        <v>0.5</v>
      </c>
      <c r="TMG95" s="366" t="e">
        <f>10/TMC93</f>
        <v>#DIV/0!</v>
      </c>
      <c r="TMH95" s="367">
        <v>15.38</v>
      </c>
      <c r="TMI95" s="367" t="e">
        <f>TMF95*TMG95*TMH95</f>
        <v>#DIV/0!</v>
      </c>
      <c r="TMJ95" s="363" t="s">
        <v>153</v>
      </c>
      <c r="TMK95" s="363"/>
      <c r="TML95" s="363"/>
      <c r="TMM95" s="364" t="s">
        <v>140</v>
      </c>
      <c r="TMN95" s="365">
        <v>0.5</v>
      </c>
      <c r="TMO95" s="366" t="e">
        <f>10/TMK93</f>
        <v>#DIV/0!</v>
      </c>
      <c r="TMP95" s="367">
        <v>15.38</v>
      </c>
      <c r="TMQ95" s="367" t="e">
        <f>TMN95*TMO95*TMP95</f>
        <v>#DIV/0!</v>
      </c>
      <c r="TMR95" s="363" t="s">
        <v>153</v>
      </c>
      <c r="TMS95" s="363"/>
      <c r="TMT95" s="363"/>
      <c r="TMU95" s="364" t="s">
        <v>140</v>
      </c>
      <c r="TMV95" s="365">
        <v>0.5</v>
      </c>
      <c r="TMW95" s="366" t="e">
        <f>10/TMS93</f>
        <v>#DIV/0!</v>
      </c>
      <c r="TMX95" s="367">
        <v>15.38</v>
      </c>
      <c r="TMY95" s="367" t="e">
        <f>TMV95*TMW95*TMX95</f>
        <v>#DIV/0!</v>
      </c>
      <c r="TMZ95" s="363" t="s">
        <v>153</v>
      </c>
      <c r="TNA95" s="363"/>
      <c r="TNB95" s="363"/>
      <c r="TNC95" s="364" t="s">
        <v>140</v>
      </c>
      <c r="TND95" s="365">
        <v>0.5</v>
      </c>
      <c r="TNE95" s="366" t="e">
        <f>10/TNA93</f>
        <v>#DIV/0!</v>
      </c>
      <c r="TNF95" s="367">
        <v>15.38</v>
      </c>
      <c r="TNG95" s="367" t="e">
        <f>TND95*TNE95*TNF95</f>
        <v>#DIV/0!</v>
      </c>
      <c r="TNH95" s="363" t="s">
        <v>153</v>
      </c>
      <c r="TNI95" s="363"/>
      <c r="TNJ95" s="363"/>
      <c r="TNK95" s="364" t="s">
        <v>140</v>
      </c>
      <c r="TNL95" s="365">
        <v>0.5</v>
      </c>
      <c r="TNM95" s="366" t="e">
        <f>10/TNI93</f>
        <v>#DIV/0!</v>
      </c>
      <c r="TNN95" s="367">
        <v>15.38</v>
      </c>
      <c r="TNO95" s="367" t="e">
        <f>TNL95*TNM95*TNN95</f>
        <v>#DIV/0!</v>
      </c>
      <c r="TNP95" s="363" t="s">
        <v>153</v>
      </c>
      <c r="TNQ95" s="363"/>
      <c r="TNR95" s="363"/>
      <c r="TNS95" s="364" t="s">
        <v>140</v>
      </c>
      <c r="TNT95" s="365">
        <v>0.5</v>
      </c>
      <c r="TNU95" s="366" t="e">
        <f>10/TNQ93</f>
        <v>#DIV/0!</v>
      </c>
      <c r="TNV95" s="367">
        <v>15.38</v>
      </c>
      <c r="TNW95" s="367" t="e">
        <f>TNT95*TNU95*TNV95</f>
        <v>#DIV/0!</v>
      </c>
      <c r="TNX95" s="363" t="s">
        <v>153</v>
      </c>
      <c r="TNY95" s="363"/>
      <c r="TNZ95" s="363"/>
      <c r="TOA95" s="364" t="s">
        <v>140</v>
      </c>
      <c r="TOB95" s="365">
        <v>0.5</v>
      </c>
      <c r="TOC95" s="366" t="e">
        <f>10/TNY93</f>
        <v>#DIV/0!</v>
      </c>
      <c r="TOD95" s="367">
        <v>15.38</v>
      </c>
      <c r="TOE95" s="367" t="e">
        <f>TOB95*TOC95*TOD95</f>
        <v>#DIV/0!</v>
      </c>
      <c r="TOF95" s="363" t="s">
        <v>153</v>
      </c>
      <c r="TOG95" s="363"/>
      <c r="TOH95" s="363"/>
      <c r="TOI95" s="364" t="s">
        <v>140</v>
      </c>
      <c r="TOJ95" s="365">
        <v>0.5</v>
      </c>
      <c r="TOK95" s="366" t="e">
        <f>10/TOG93</f>
        <v>#DIV/0!</v>
      </c>
      <c r="TOL95" s="367">
        <v>15.38</v>
      </c>
      <c r="TOM95" s="367" t="e">
        <f>TOJ95*TOK95*TOL95</f>
        <v>#DIV/0!</v>
      </c>
      <c r="TON95" s="363" t="s">
        <v>153</v>
      </c>
      <c r="TOO95" s="363"/>
      <c r="TOP95" s="363"/>
      <c r="TOQ95" s="364" t="s">
        <v>140</v>
      </c>
      <c r="TOR95" s="365">
        <v>0.5</v>
      </c>
      <c r="TOS95" s="366" t="e">
        <f>10/TOO93</f>
        <v>#DIV/0!</v>
      </c>
      <c r="TOT95" s="367">
        <v>15.38</v>
      </c>
      <c r="TOU95" s="367" t="e">
        <f>TOR95*TOS95*TOT95</f>
        <v>#DIV/0!</v>
      </c>
      <c r="TOV95" s="363" t="s">
        <v>153</v>
      </c>
      <c r="TOW95" s="363"/>
      <c r="TOX95" s="363"/>
      <c r="TOY95" s="364" t="s">
        <v>140</v>
      </c>
      <c r="TOZ95" s="365">
        <v>0.5</v>
      </c>
      <c r="TPA95" s="366" t="e">
        <f>10/TOW93</f>
        <v>#DIV/0!</v>
      </c>
      <c r="TPB95" s="367">
        <v>15.38</v>
      </c>
      <c r="TPC95" s="367" t="e">
        <f>TOZ95*TPA95*TPB95</f>
        <v>#DIV/0!</v>
      </c>
      <c r="TPD95" s="363" t="s">
        <v>153</v>
      </c>
      <c r="TPE95" s="363"/>
      <c r="TPF95" s="363"/>
      <c r="TPG95" s="364" t="s">
        <v>140</v>
      </c>
      <c r="TPH95" s="365">
        <v>0.5</v>
      </c>
      <c r="TPI95" s="366" t="e">
        <f>10/TPE93</f>
        <v>#DIV/0!</v>
      </c>
      <c r="TPJ95" s="367">
        <v>15.38</v>
      </c>
      <c r="TPK95" s="367" t="e">
        <f>TPH95*TPI95*TPJ95</f>
        <v>#DIV/0!</v>
      </c>
      <c r="TPL95" s="363" t="s">
        <v>153</v>
      </c>
      <c r="TPM95" s="363"/>
      <c r="TPN95" s="363"/>
      <c r="TPO95" s="364" t="s">
        <v>140</v>
      </c>
      <c r="TPP95" s="365">
        <v>0.5</v>
      </c>
      <c r="TPQ95" s="366" t="e">
        <f>10/TPM93</f>
        <v>#DIV/0!</v>
      </c>
      <c r="TPR95" s="367">
        <v>15.38</v>
      </c>
      <c r="TPS95" s="367" t="e">
        <f>TPP95*TPQ95*TPR95</f>
        <v>#DIV/0!</v>
      </c>
      <c r="TPT95" s="363" t="s">
        <v>153</v>
      </c>
      <c r="TPU95" s="363"/>
      <c r="TPV95" s="363"/>
      <c r="TPW95" s="364" t="s">
        <v>140</v>
      </c>
      <c r="TPX95" s="365">
        <v>0.5</v>
      </c>
      <c r="TPY95" s="366" t="e">
        <f>10/TPU93</f>
        <v>#DIV/0!</v>
      </c>
      <c r="TPZ95" s="367">
        <v>15.38</v>
      </c>
      <c r="TQA95" s="367" t="e">
        <f>TPX95*TPY95*TPZ95</f>
        <v>#DIV/0!</v>
      </c>
      <c r="TQB95" s="363" t="s">
        <v>153</v>
      </c>
      <c r="TQC95" s="363"/>
      <c r="TQD95" s="363"/>
      <c r="TQE95" s="364" t="s">
        <v>140</v>
      </c>
      <c r="TQF95" s="365">
        <v>0.5</v>
      </c>
      <c r="TQG95" s="366" t="e">
        <f>10/TQC93</f>
        <v>#DIV/0!</v>
      </c>
      <c r="TQH95" s="367">
        <v>15.38</v>
      </c>
      <c r="TQI95" s="367" t="e">
        <f>TQF95*TQG95*TQH95</f>
        <v>#DIV/0!</v>
      </c>
      <c r="TQJ95" s="363" t="s">
        <v>153</v>
      </c>
      <c r="TQK95" s="363"/>
      <c r="TQL95" s="363"/>
      <c r="TQM95" s="364" t="s">
        <v>140</v>
      </c>
      <c r="TQN95" s="365">
        <v>0.5</v>
      </c>
      <c r="TQO95" s="366" t="e">
        <f>10/TQK93</f>
        <v>#DIV/0!</v>
      </c>
      <c r="TQP95" s="367">
        <v>15.38</v>
      </c>
      <c r="TQQ95" s="367" t="e">
        <f>TQN95*TQO95*TQP95</f>
        <v>#DIV/0!</v>
      </c>
      <c r="TQR95" s="363" t="s">
        <v>153</v>
      </c>
      <c r="TQS95" s="363"/>
      <c r="TQT95" s="363"/>
      <c r="TQU95" s="364" t="s">
        <v>140</v>
      </c>
      <c r="TQV95" s="365">
        <v>0.5</v>
      </c>
      <c r="TQW95" s="366" t="e">
        <f>10/TQS93</f>
        <v>#DIV/0!</v>
      </c>
      <c r="TQX95" s="367">
        <v>15.38</v>
      </c>
      <c r="TQY95" s="367" t="e">
        <f>TQV95*TQW95*TQX95</f>
        <v>#DIV/0!</v>
      </c>
      <c r="TQZ95" s="363" t="s">
        <v>153</v>
      </c>
      <c r="TRA95" s="363"/>
      <c r="TRB95" s="363"/>
      <c r="TRC95" s="364" t="s">
        <v>140</v>
      </c>
      <c r="TRD95" s="365">
        <v>0.5</v>
      </c>
      <c r="TRE95" s="366" t="e">
        <f>10/TRA93</f>
        <v>#DIV/0!</v>
      </c>
      <c r="TRF95" s="367">
        <v>15.38</v>
      </c>
      <c r="TRG95" s="367" t="e">
        <f>TRD95*TRE95*TRF95</f>
        <v>#DIV/0!</v>
      </c>
      <c r="TRH95" s="363" t="s">
        <v>153</v>
      </c>
      <c r="TRI95" s="363"/>
      <c r="TRJ95" s="363"/>
      <c r="TRK95" s="364" t="s">
        <v>140</v>
      </c>
      <c r="TRL95" s="365">
        <v>0.5</v>
      </c>
      <c r="TRM95" s="366" t="e">
        <f>10/TRI93</f>
        <v>#DIV/0!</v>
      </c>
      <c r="TRN95" s="367">
        <v>15.38</v>
      </c>
      <c r="TRO95" s="367" t="e">
        <f>TRL95*TRM95*TRN95</f>
        <v>#DIV/0!</v>
      </c>
      <c r="TRP95" s="363" t="s">
        <v>153</v>
      </c>
      <c r="TRQ95" s="363"/>
      <c r="TRR95" s="363"/>
      <c r="TRS95" s="364" t="s">
        <v>140</v>
      </c>
      <c r="TRT95" s="365">
        <v>0.5</v>
      </c>
      <c r="TRU95" s="366" t="e">
        <f>10/TRQ93</f>
        <v>#DIV/0!</v>
      </c>
      <c r="TRV95" s="367">
        <v>15.38</v>
      </c>
      <c r="TRW95" s="367" t="e">
        <f>TRT95*TRU95*TRV95</f>
        <v>#DIV/0!</v>
      </c>
      <c r="TRX95" s="363" t="s">
        <v>153</v>
      </c>
      <c r="TRY95" s="363"/>
      <c r="TRZ95" s="363"/>
      <c r="TSA95" s="364" t="s">
        <v>140</v>
      </c>
      <c r="TSB95" s="365">
        <v>0.5</v>
      </c>
      <c r="TSC95" s="366" t="e">
        <f>10/TRY93</f>
        <v>#DIV/0!</v>
      </c>
      <c r="TSD95" s="367">
        <v>15.38</v>
      </c>
      <c r="TSE95" s="367" t="e">
        <f>TSB95*TSC95*TSD95</f>
        <v>#DIV/0!</v>
      </c>
      <c r="TSF95" s="363" t="s">
        <v>153</v>
      </c>
      <c r="TSG95" s="363"/>
      <c r="TSH95" s="363"/>
      <c r="TSI95" s="364" t="s">
        <v>140</v>
      </c>
      <c r="TSJ95" s="365">
        <v>0.5</v>
      </c>
      <c r="TSK95" s="366" t="e">
        <f>10/TSG93</f>
        <v>#DIV/0!</v>
      </c>
      <c r="TSL95" s="367">
        <v>15.38</v>
      </c>
      <c r="TSM95" s="367" t="e">
        <f>TSJ95*TSK95*TSL95</f>
        <v>#DIV/0!</v>
      </c>
      <c r="TSN95" s="363" t="s">
        <v>153</v>
      </c>
      <c r="TSO95" s="363"/>
      <c r="TSP95" s="363"/>
      <c r="TSQ95" s="364" t="s">
        <v>140</v>
      </c>
      <c r="TSR95" s="365">
        <v>0.5</v>
      </c>
      <c r="TSS95" s="366" t="e">
        <f>10/TSO93</f>
        <v>#DIV/0!</v>
      </c>
      <c r="TST95" s="367">
        <v>15.38</v>
      </c>
      <c r="TSU95" s="367" t="e">
        <f>TSR95*TSS95*TST95</f>
        <v>#DIV/0!</v>
      </c>
      <c r="TSV95" s="363" t="s">
        <v>153</v>
      </c>
      <c r="TSW95" s="363"/>
      <c r="TSX95" s="363"/>
      <c r="TSY95" s="364" t="s">
        <v>140</v>
      </c>
      <c r="TSZ95" s="365">
        <v>0.5</v>
      </c>
      <c r="TTA95" s="366" t="e">
        <f>10/TSW93</f>
        <v>#DIV/0!</v>
      </c>
      <c r="TTB95" s="367">
        <v>15.38</v>
      </c>
      <c r="TTC95" s="367" t="e">
        <f>TSZ95*TTA95*TTB95</f>
        <v>#DIV/0!</v>
      </c>
      <c r="TTD95" s="363" t="s">
        <v>153</v>
      </c>
      <c r="TTE95" s="363"/>
      <c r="TTF95" s="363"/>
      <c r="TTG95" s="364" t="s">
        <v>140</v>
      </c>
      <c r="TTH95" s="365">
        <v>0.5</v>
      </c>
      <c r="TTI95" s="366" t="e">
        <f>10/TTE93</f>
        <v>#DIV/0!</v>
      </c>
      <c r="TTJ95" s="367">
        <v>15.38</v>
      </c>
      <c r="TTK95" s="367" t="e">
        <f>TTH95*TTI95*TTJ95</f>
        <v>#DIV/0!</v>
      </c>
      <c r="TTL95" s="363" t="s">
        <v>153</v>
      </c>
      <c r="TTM95" s="363"/>
      <c r="TTN95" s="363"/>
      <c r="TTO95" s="364" t="s">
        <v>140</v>
      </c>
      <c r="TTP95" s="365">
        <v>0.5</v>
      </c>
      <c r="TTQ95" s="366" t="e">
        <f>10/TTM93</f>
        <v>#DIV/0!</v>
      </c>
      <c r="TTR95" s="367">
        <v>15.38</v>
      </c>
      <c r="TTS95" s="367" t="e">
        <f>TTP95*TTQ95*TTR95</f>
        <v>#DIV/0!</v>
      </c>
      <c r="TTT95" s="363" t="s">
        <v>153</v>
      </c>
      <c r="TTU95" s="363"/>
      <c r="TTV95" s="363"/>
      <c r="TTW95" s="364" t="s">
        <v>140</v>
      </c>
      <c r="TTX95" s="365">
        <v>0.5</v>
      </c>
      <c r="TTY95" s="366" t="e">
        <f>10/TTU93</f>
        <v>#DIV/0!</v>
      </c>
      <c r="TTZ95" s="367">
        <v>15.38</v>
      </c>
      <c r="TUA95" s="367" t="e">
        <f>TTX95*TTY95*TTZ95</f>
        <v>#DIV/0!</v>
      </c>
      <c r="TUB95" s="363" t="s">
        <v>153</v>
      </c>
      <c r="TUC95" s="363"/>
      <c r="TUD95" s="363"/>
      <c r="TUE95" s="364" t="s">
        <v>140</v>
      </c>
      <c r="TUF95" s="365">
        <v>0.5</v>
      </c>
      <c r="TUG95" s="366" t="e">
        <f>10/TUC93</f>
        <v>#DIV/0!</v>
      </c>
      <c r="TUH95" s="367">
        <v>15.38</v>
      </c>
      <c r="TUI95" s="367" t="e">
        <f>TUF95*TUG95*TUH95</f>
        <v>#DIV/0!</v>
      </c>
      <c r="TUJ95" s="363" t="s">
        <v>153</v>
      </c>
      <c r="TUK95" s="363"/>
      <c r="TUL95" s="363"/>
      <c r="TUM95" s="364" t="s">
        <v>140</v>
      </c>
      <c r="TUN95" s="365">
        <v>0.5</v>
      </c>
      <c r="TUO95" s="366" t="e">
        <f>10/TUK93</f>
        <v>#DIV/0!</v>
      </c>
      <c r="TUP95" s="367">
        <v>15.38</v>
      </c>
      <c r="TUQ95" s="367" t="e">
        <f>TUN95*TUO95*TUP95</f>
        <v>#DIV/0!</v>
      </c>
      <c r="TUR95" s="363" t="s">
        <v>153</v>
      </c>
      <c r="TUS95" s="363"/>
      <c r="TUT95" s="363"/>
      <c r="TUU95" s="364" t="s">
        <v>140</v>
      </c>
      <c r="TUV95" s="365">
        <v>0.5</v>
      </c>
      <c r="TUW95" s="366" t="e">
        <f>10/TUS93</f>
        <v>#DIV/0!</v>
      </c>
      <c r="TUX95" s="367">
        <v>15.38</v>
      </c>
      <c r="TUY95" s="367" t="e">
        <f>TUV95*TUW95*TUX95</f>
        <v>#DIV/0!</v>
      </c>
      <c r="TUZ95" s="363" t="s">
        <v>153</v>
      </c>
      <c r="TVA95" s="363"/>
      <c r="TVB95" s="363"/>
      <c r="TVC95" s="364" t="s">
        <v>140</v>
      </c>
      <c r="TVD95" s="365">
        <v>0.5</v>
      </c>
      <c r="TVE95" s="366" t="e">
        <f>10/TVA93</f>
        <v>#DIV/0!</v>
      </c>
      <c r="TVF95" s="367">
        <v>15.38</v>
      </c>
      <c r="TVG95" s="367" t="e">
        <f>TVD95*TVE95*TVF95</f>
        <v>#DIV/0!</v>
      </c>
      <c r="TVH95" s="363" t="s">
        <v>153</v>
      </c>
      <c r="TVI95" s="363"/>
      <c r="TVJ95" s="363"/>
      <c r="TVK95" s="364" t="s">
        <v>140</v>
      </c>
      <c r="TVL95" s="365">
        <v>0.5</v>
      </c>
      <c r="TVM95" s="366" t="e">
        <f>10/TVI93</f>
        <v>#DIV/0!</v>
      </c>
      <c r="TVN95" s="367">
        <v>15.38</v>
      </c>
      <c r="TVO95" s="367" t="e">
        <f>TVL95*TVM95*TVN95</f>
        <v>#DIV/0!</v>
      </c>
      <c r="TVP95" s="363" t="s">
        <v>153</v>
      </c>
      <c r="TVQ95" s="363"/>
      <c r="TVR95" s="363"/>
      <c r="TVS95" s="364" t="s">
        <v>140</v>
      </c>
      <c r="TVT95" s="365">
        <v>0.5</v>
      </c>
      <c r="TVU95" s="366" t="e">
        <f>10/TVQ93</f>
        <v>#DIV/0!</v>
      </c>
      <c r="TVV95" s="367">
        <v>15.38</v>
      </c>
      <c r="TVW95" s="367" t="e">
        <f>TVT95*TVU95*TVV95</f>
        <v>#DIV/0!</v>
      </c>
      <c r="TVX95" s="363" t="s">
        <v>153</v>
      </c>
      <c r="TVY95" s="363"/>
      <c r="TVZ95" s="363"/>
      <c r="TWA95" s="364" t="s">
        <v>140</v>
      </c>
      <c r="TWB95" s="365">
        <v>0.5</v>
      </c>
      <c r="TWC95" s="366" t="e">
        <f>10/TVY93</f>
        <v>#DIV/0!</v>
      </c>
      <c r="TWD95" s="367">
        <v>15.38</v>
      </c>
      <c r="TWE95" s="367" t="e">
        <f>TWB95*TWC95*TWD95</f>
        <v>#DIV/0!</v>
      </c>
      <c r="TWF95" s="363" t="s">
        <v>153</v>
      </c>
      <c r="TWG95" s="363"/>
      <c r="TWH95" s="363"/>
      <c r="TWI95" s="364" t="s">
        <v>140</v>
      </c>
      <c r="TWJ95" s="365">
        <v>0.5</v>
      </c>
      <c r="TWK95" s="366" t="e">
        <f>10/TWG93</f>
        <v>#DIV/0!</v>
      </c>
      <c r="TWL95" s="367">
        <v>15.38</v>
      </c>
      <c r="TWM95" s="367" t="e">
        <f>TWJ95*TWK95*TWL95</f>
        <v>#DIV/0!</v>
      </c>
      <c r="TWN95" s="363" t="s">
        <v>153</v>
      </c>
      <c r="TWO95" s="363"/>
      <c r="TWP95" s="363"/>
      <c r="TWQ95" s="364" t="s">
        <v>140</v>
      </c>
      <c r="TWR95" s="365">
        <v>0.5</v>
      </c>
      <c r="TWS95" s="366" t="e">
        <f>10/TWO93</f>
        <v>#DIV/0!</v>
      </c>
      <c r="TWT95" s="367">
        <v>15.38</v>
      </c>
      <c r="TWU95" s="367" t="e">
        <f>TWR95*TWS95*TWT95</f>
        <v>#DIV/0!</v>
      </c>
      <c r="TWV95" s="363" t="s">
        <v>153</v>
      </c>
      <c r="TWW95" s="363"/>
      <c r="TWX95" s="363"/>
      <c r="TWY95" s="364" t="s">
        <v>140</v>
      </c>
      <c r="TWZ95" s="365">
        <v>0.5</v>
      </c>
      <c r="TXA95" s="366" t="e">
        <f>10/TWW93</f>
        <v>#DIV/0!</v>
      </c>
      <c r="TXB95" s="367">
        <v>15.38</v>
      </c>
      <c r="TXC95" s="367" t="e">
        <f>TWZ95*TXA95*TXB95</f>
        <v>#DIV/0!</v>
      </c>
      <c r="TXD95" s="363" t="s">
        <v>153</v>
      </c>
      <c r="TXE95" s="363"/>
      <c r="TXF95" s="363"/>
      <c r="TXG95" s="364" t="s">
        <v>140</v>
      </c>
      <c r="TXH95" s="365">
        <v>0.5</v>
      </c>
      <c r="TXI95" s="366" t="e">
        <f>10/TXE93</f>
        <v>#DIV/0!</v>
      </c>
      <c r="TXJ95" s="367">
        <v>15.38</v>
      </c>
      <c r="TXK95" s="367" t="e">
        <f>TXH95*TXI95*TXJ95</f>
        <v>#DIV/0!</v>
      </c>
      <c r="TXL95" s="363" t="s">
        <v>153</v>
      </c>
      <c r="TXM95" s="363"/>
      <c r="TXN95" s="363"/>
      <c r="TXO95" s="364" t="s">
        <v>140</v>
      </c>
      <c r="TXP95" s="365">
        <v>0.5</v>
      </c>
      <c r="TXQ95" s="366" t="e">
        <f>10/TXM93</f>
        <v>#DIV/0!</v>
      </c>
      <c r="TXR95" s="367">
        <v>15.38</v>
      </c>
      <c r="TXS95" s="367" t="e">
        <f>TXP95*TXQ95*TXR95</f>
        <v>#DIV/0!</v>
      </c>
      <c r="TXT95" s="363" t="s">
        <v>153</v>
      </c>
      <c r="TXU95" s="363"/>
      <c r="TXV95" s="363"/>
      <c r="TXW95" s="364" t="s">
        <v>140</v>
      </c>
      <c r="TXX95" s="365">
        <v>0.5</v>
      </c>
      <c r="TXY95" s="366" t="e">
        <f>10/TXU93</f>
        <v>#DIV/0!</v>
      </c>
      <c r="TXZ95" s="367">
        <v>15.38</v>
      </c>
      <c r="TYA95" s="367" t="e">
        <f>TXX95*TXY95*TXZ95</f>
        <v>#DIV/0!</v>
      </c>
      <c r="TYB95" s="363" t="s">
        <v>153</v>
      </c>
      <c r="TYC95" s="363"/>
      <c r="TYD95" s="363"/>
      <c r="TYE95" s="364" t="s">
        <v>140</v>
      </c>
      <c r="TYF95" s="365">
        <v>0.5</v>
      </c>
      <c r="TYG95" s="366" t="e">
        <f>10/TYC93</f>
        <v>#DIV/0!</v>
      </c>
      <c r="TYH95" s="367">
        <v>15.38</v>
      </c>
      <c r="TYI95" s="367" t="e">
        <f>TYF95*TYG95*TYH95</f>
        <v>#DIV/0!</v>
      </c>
      <c r="TYJ95" s="363" t="s">
        <v>153</v>
      </c>
      <c r="TYK95" s="363"/>
      <c r="TYL95" s="363"/>
      <c r="TYM95" s="364" t="s">
        <v>140</v>
      </c>
      <c r="TYN95" s="365">
        <v>0.5</v>
      </c>
      <c r="TYO95" s="366" t="e">
        <f>10/TYK93</f>
        <v>#DIV/0!</v>
      </c>
      <c r="TYP95" s="367">
        <v>15.38</v>
      </c>
      <c r="TYQ95" s="367" t="e">
        <f>TYN95*TYO95*TYP95</f>
        <v>#DIV/0!</v>
      </c>
      <c r="TYR95" s="363" t="s">
        <v>153</v>
      </c>
      <c r="TYS95" s="363"/>
      <c r="TYT95" s="363"/>
      <c r="TYU95" s="364" t="s">
        <v>140</v>
      </c>
      <c r="TYV95" s="365">
        <v>0.5</v>
      </c>
      <c r="TYW95" s="366" t="e">
        <f>10/TYS93</f>
        <v>#DIV/0!</v>
      </c>
      <c r="TYX95" s="367">
        <v>15.38</v>
      </c>
      <c r="TYY95" s="367" t="e">
        <f>TYV95*TYW95*TYX95</f>
        <v>#DIV/0!</v>
      </c>
      <c r="TYZ95" s="363" t="s">
        <v>153</v>
      </c>
      <c r="TZA95" s="363"/>
      <c r="TZB95" s="363"/>
      <c r="TZC95" s="364" t="s">
        <v>140</v>
      </c>
      <c r="TZD95" s="365">
        <v>0.5</v>
      </c>
      <c r="TZE95" s="366" t="e">
        <f>10/TZA93</f>
        <v>#DIV/0!</v>
      </c>
      <c r="TZF95" s="367">
        <v>15.38</v>
      </c>
      <c r="TZG95" s="367" t="e">
        <f>TZD95*TZE95*TZF95</f>
        <v>#DIV/0!</v>
      </c>
      <c r="TZH95" s="363" t="s">
        <v>153</v>
      </c>
      <c r="TZI95" s="363"/>
      <c r="TZJ95" s="363"/>
      <c r="TZK95" s="364" t="s">
        <v>140</v>
      </c>
      <c r="TZL95" s="365">
        <v>0.5</v>
      </c>
      <c r="TZM95" s="366" t="e">
        <f>10/TZI93</f>
        <v>#DIV/0!</v>
      </c>
      <c r="TZN95" s="367">
        <v>15.38</v>
      </c>
      <c r="TZO95" s="367" t="e">
        <f>TZL95*TZM95*TZN95</f>
        <v>#DIV/0!</v>
      </c>
      <c r="TZP95" s="363" t="s">
        <v>153</v>
      </c>
      <c r="TZQ95" s="363"/>
      <c r="TZR95" s="363"/>
      <c r="TZS95" s="364" t="s">
        <v>140</v>
      </c>
      <c r="TZT95" s="365">
        <v>0.5</v>
      </c>
      <c r="TZU95" s="366" t="e">
        <f>10/TZQ93</f>
        <v>#DIV/0!</v>
      </c>
      <c r="TZV95" s="367">
        <v>15.38</v>
      </c>
      <c r="TZW95" s="367" t="e">
        <f>TZT95*TZU95*TZV95</f>
        <v>#DIV/0!</v>
      </c>
      <c r="TZX95" s="363" t="s">
        <v>153</v>
      </c>
      <c r="TZY95" s="363"/>
      <c r="TZZ95" s="363"/>
      <c r="UAA95" s="364" t="s">
        <v>140</v>
      </c>
      <c r="UAB95" s="365">
        <v>0.5</v>
      </c>
      <c r="UAC95" s="366" t="e">
        <f>10/TZY93</f>
        <v>#DIV/0!</v>
      </c>
      <c r="UAD95" s="367">
        <v>15.38</v>
      </c>
      <c r="UAE95" s="367" t="e">
        <f>UAB95*UAC95*UAD95</f>
        <v>#DIV/0!</v>
      </c>
      <c r="UAF95" s="363" t="s">
        <v>153</v>
      </c>
      <c r="UAG95" s="363"/>
      <c r="UAH95" s="363"/>
      <c r="UAI95" s="364" t="s">
        <v>140</v>
      </c>
      <c r="UAJ95" s="365">
        <v>0.5</v>
      </c>
      <c r="UAK95" s="366" t="e">
        <f>10/UAG93</f>
        <v>#DIV/0!</v>
      </c>
      <c r="UAL95" s="367">
        <v>15.38</v>
      </c>
      <c r="UAM95" s="367" t="e">
        <f>UAJ95*UAK95*UAL95</f>
        <v>#DIV/0!</v>
      </c>
      <c r="UAN95" s="363" t="s">
        <v>153</v>
      </c>
      <c r="UAO95" s="363"/>
      <c r="UAP95" s="363"/>
      <c r="UAQ95" s="364" t="s">
        <v>140</v>
      </c>
      <c r="UAR95" s="365">
        <v>0.5</v>
      </c>
      <c r="UAS95" s="366" t="e">
        <f>10/UAO93</f>
        <v>#DIV/0!</v>
      </c>
      <c r="UAT95" s="367">
        <v>15.38</v>
      </c>
      <c r="UAU95" s="367" t="e">
        <f>UAR95*UAS95*UAT95</f>
        <v>#DIV/0!</v>
      </c>
      <c r="UAV95" s="363" t="s">
        <v>153</v>
      </c>
      <c r="UAW95" s="363"/>
      <c r="UAX95" s="363"/>
      <c r="UAY95" s="364" t="s">
        <v>140</v>
      </c>
      <c r="UAZ95" s="365">
        <v>0.5</v>
      </c>
      <c r="UBA95" s="366" t="e">
        <f>10/UAW93</f>
        <v>#DIV/0!</v>
      </c>
      <c r="UBB95" s="367">
        <v>15.38</v>
      </c>
      <c r="UBC95" s="367" t="e">
        <f>UAZ95*UBA95*UBB95</f>
        <v>#DIV/0!</v>
      </c>
      <c r="UBD95" s="363" t="s">
        <v>153</v>
      </c>
      <c r="UBE95" s="363"/>
      <c r="UBF95" s="363"/>
      <c r="UBG95" s="364" t="s">
        <v>140</v>
      </c>
      <c r="UBH95" s="365">
        <v>0.5</v>
      </c>
      <c r="UBI95" s="366" t="e">
        <f>10/UBE93</f>
        <v>#DIV/0!</v>
      </c>
      <c r="UBJ95" s="367">
        <v>15.38</v>
      </c>
      <c r="UBK95" s="367" t="e">
        <f>UBH95*UBI95*UBJ95</f>
        <v>#DIV/0!</v>
      </c>
      <c r="UBL95" s="363" t="s">
        <v>153</v>
      </c>
      <c r="UBM95" s="363"/>
      <c r="UBN95" s="363"/>
      <c r="UBO95" s="364" t="s">
        <v>140</v>
      </c>
      <c r="UBP95" s="365">
        <v>0.5</v>
      </c>
      <c r="UBQ95" s="366" t="e">
        <f>10/UBM93</f>
        <v>#DIV/0!</v>
      </c>
      <c r="UBR95" s="367">
        <v>15.38</v>
      </c>
      <c r="UBS95" s="367" t="e">
        <f>UBP95*UBQ95*UBR95</f>
        <v>#DIV/0!</v>
      </c>
      <c r="UBT95" s="363" t="s">
        <v>153</v>
      </c>
      <c r="UBU95" s="363"/>
      <c r="UBV95" s="363"/>
      <c r="UBW95" s="364" t="s">
        <v>140</v>
      </c>
      <c r="UBX95" s="365">
        <v>0.5</v>
      </c>
      <c r="UBY95" s="366" t="e">
        <f>10/UBU93</f>
        <v>#DIV/0!</v>
      </c>
      <c r="UBZ95" s="367">
        <v>15.38</v>
      </c>
      <c r="UCA95" s="367" t="e">
        <f>UBX95*UBY95*UBZ95</f>
        <v>#DIV/0!</v>
      </c>
      <c r="UCB95" s="363" t="s">
        <v>153</v>
      </c>
      <c r="UCC95" s="363"/>
      <c r="UCD95" s="363"/>
      <c r="UCE95" s="364" t="s">
        <v>140</v>
      </c>
      <c r="UCF95" s="365">
        <v>0.5</v>
      </c>
      <c r="UCG95" s="366" t="e">
        <f>10/UCC93</f>
        <v>#DIV/0!</v>
      </c>
      <c r="UCH95" s="367">
        <v>15.38</v>
      </c>
      <c r="UCI95" s="367" t="e">
        <f>UCF95*UCG95*UCH95</f>
        <v>#DIV/0!</v>
      </c>
      <c r="UCJ95" s="363" t="s">
        <v>153</v>
      </c>
      <c r="UCK95" s="363"/>
      <c r="UCL95" s="363"/>
      <c r="UCM95" s="364" t="s">
        <v>140</v>
      </c>
      <c r="UCN95" s="365">
        <v>0.5</v>
      </c>
      <c r="UCO95" s="366" t="e">
        <f>10/UCK93</f>
        <v>#DIV/0!</v>
      </c>
      <c r="UCP95" s="367">
        <v>15.38</v>
      </c>
      <c r="UCQ95" s="367" t="e">
        <f>UCN95*UCO95*UCP95</f>
        <v>#DIV/0!</v>
      </c>
      <c r="UCR95" s="363" t="s">
        <v>153</v>
      </c>
      <c r="UCS95" s="363"/>
      <c r="UCT95" s="363"/>
      <c r="UCU95" s="364" t="s">
        <v>140</v>
      </c>
      <c r="UCV95" s="365">
        <v>0.5</v>
      </c>
      <c r="UCW95" s="366" t="e">
        <f>10/UCS93</f>
        <v>#DIV/0!</v>
      </c>
      <c r="UCX95" s="367">
        <v>15.38</v>
      </c>
      <c r="UCY95" s="367" t="e">
        <f>UCV95*UCW95*UCX95</f>
        <v>#DIV/0!</v>
      </c>
      <c r="UCZ95" s="363" t="s">
        <v>153</v>
      </c>
      <c r="UDA95" s="363"/>
      <c r="UDB95" s="363"/>
      <c r="UDC95" s="364" t="s">
        <v>140</v>
      </c>
      <c r="UDD95" s="365">
        <v>0.5</v>
      </c>
      <c r="UDE95" s="366" t="e">
        <f>10/UDA93</f>
        <v>#DIV/0!</v>
      </c>
      <c r="UDF95" s="367">
        <v>15.38</v>
      </c>
      <c r="UDG95" s="367" t="e">
        <f>UDD95*UDE95*UDF95</f>
        <v>#DIV/0!</v>
      </c>
      <c r="UDH95" s="363" t="s">
        <v>153</v>
      </c>
      <c r="UDI95" s="363"/>
      <c r="UDJ95" s="363"/>
      <c r="UDK95" s="364" t="s">
        <v>140</v>
      </c>
      <c r="UDL95" s="365">
        <v>0.5</v>
      </c>
      <c r="UDM95" s="366" t="e">
        <f>10/UDI93</f>
        <v>#DIV/0!</v>
      </c>
      <c r="UDN95" s="367">
        <v>15.38</v>
      </c>
      <c r="UDO95" s="367" t="e">
        <f>UDL95*UDM95*UDN95</f>
        <v>#DIV/0!</v>
      </c>
      <c r="UDP95" s="363" t="s">
        <v>153</v>
      </c>
      <c r="UDQ95" s="363"/>
      <c r="UDR95" s="363"/>
      <c r="UDS95" s="364" t="s">
        <v>140</v>
      </c>
      <c r="UDT95" s="365">
        <v>0.5</v>
      </c>
      <c r="UDU95" s="366" t="e">
        <f>10/UDQ93</f>
        <v>#DIV/0!</v>
      </c>
      <c r="UDV95" s="367">
        <v>15.38</v>
      </c>
      <c r="UDW95" s="367" t="e">
        <f>UDT95*UDU95*UDV95</f>
        <v>#DIV/0!</v>
      </c>
      <c r="UDX95" s="363" t="s">
        <v>153</v>
      </c>
      <c r="UDY95" s="363"/>
      <c r="UDZ95" s="363"/>
      <c r="UEA95" s="364" t="s">
        <v>140</v>
      </c>
      <c r="UEB95" s="365">
        <v>0.5</v>
      </c>
      <c r="UEC95" s="366" t="e">
        <f>10/UDY93</f>
        <v>#DIV/0!</v>
      </c>
      <c r="UED95" s="367">
        <v>15.38</v>
      </c>
      <c r="UEE95" s="367" t="e">
        <f>UEB95*UEC95*UED95</f>
        <v>#DIV/0!</v>
      </c>
      <c r="UEF95" s="363" t="s">
        <v>153</v>
      </c>
      <c r="UEG95" s="363"/>
      <c r="UEH95" s="363"/>
      <c r="UEI95" s="364" t="s">
        <v>140</v>
      </c>
      <c r="UEJ95" s="365">
        <v>0.5</v>
      </c>
      <c r="UEK95" s="366" t="e">
        <f>10/UEG93</f>
        <v>#DIV/0!</v>
      </c>
      <c r="UEL95" s="367">
        <v>15.38</v>
      </c>
      <c r="UEM95" s="367" t="e">
        <f>UEJ95*UEK95*UEL95</f>
        <v>#DIV/0!</v>
      </c>
      <c r="UEN95" s="363" t="s">
        <v>153</v>
      </c>
      <c r="UEO95" s="363"/>
      <c r="UEP95" s="363"/>
      <c r="UEQ95" s="364" t="s">
        <v>140</v>
      </c>
      <c r="UER95" s="365">
        <v>0.5</v>
      </c>
      <c r="UES95" s="366" t="e">
        <f>10/UEO93</f>
        <v>#DIV/0!</v>
      </c>
      <c r="UET95" s="367">
        <v>15.38</v>
      </c>
      <c r="UEU95" s="367" t="e">
        <f>UER95*UES95*UET95</f>
        <v>#DIV/0!</v>
      </c>
      <c r="UEV95" s="363" t="s">
        <v>153</v>
      </c>
      <c r="UEW95" s="363"/>
      <c r="UEX95" s="363"/>
      <c r="UEY95" s="364" t="s">
        <v>140</v>
      </c>
      <c r="UEZ95" s="365">
        <v>0.5</v>
      </c>
      <c r="UFA95" s="366" t="e">
        <f>10/UEW93</f>
        <v>#DIV/0!</v>
      </c>
      <c r="UFB95" s="367">
        <v>15.38</v>
      </c>
      <c r="UFC95" s="367" t="e">
        <f>UEZ95*UFA95*UFB95</f>
        <v>#DIV/0!</v>
      </c>
      <c r="UFD95" s="363" t="s">
        <v>153</v>
      </c>
      <c r="UFE95" s="363"/>
      <c r="UFF95" s="363"/>
      <c r="UFG95" s="364" t="s">
        <v>140</v>
      </c>
      <c r="UFH95" s="365">
        <v>0.5</v>
      </c>
      <c r="UFI95" s="366" t="e">
        <f>10/UFE93</f>
        <v>#DIV/0!</v>
      </c>
      <c r="UFJ95" s="367">
        <v>15.38</v>
      </c>
      <c r="UFK95" s="367" t="e">
        <f>UFH95*UFI95*UFJ95</f>
        <v>#DIV/0!</v>
      </c>
      <c r="UFL95" s="363" t="s">
        <v>153</v>
      </c>
      <c r="UFM95" s="363"/>
      <c r="UFN95" s="363"/>
      <c r="UFO95" s="364" t="s">
        <v>140</v>
      </c>
      <c r="UFP95" s="365">
        <v>0.5</v>
      </c>
      <c r="UFQ95" s="366" t="e">
        <f>10/UFM93</f>
        <v>#DIV/0!</v>
      </c>
      <c r="UFR95" s="367">
        <v>15.38</v>
      </c>
      <c r="UFS95" s="367" t="e">
        <f>UFP95*UFQ95*UFR95</f>
        <v>#DIV/0!</v>
      </c>
      <c r="UFT95" s="363" t="s">
        <v>153</v>
      </c>
      <c r="UFU95" s="363"/>
      <c r="UFV95" s="363"/>
      <c r="UFW95" s="364" t="s">
        <v>140</v>
      </c>
      <c r="UFX95" s="365">
        <v>0.5</v>
      </c>
      <c r="UFY95" s="366" t="e">
        <f>10/UFU93</f>
        <v>#DIV/0!</v>
      </c>
      <c r="UFZ95" s="367">
        <v>15.38</v>
      </c>
      <c r="UGA95" s="367" t="e">
        <f>UFX95*UFY95*UFZ95</f>
        <v>#DIV/0!</v>
      </c>
      <c r="UGB95" s="363" t="s">
        <v>153</v>
      </c>
      <c r="UGC95" s="363"/>
      <c r="UGD95" s="363"/>
      <c r="UGE95" s="364" t="s">
        <v>140</v>
      </c>
      <c r="UGF95" s="365">
        <v>0.5</v>
      </c>
      <c r="UGG95" s="366" t="e">
        <f>10/UGC93</f>
        <v>#DIV/0!</v>
      </c>
      <c r="UGH95" s="367">
        <v>15.38</v>
      </c>
      <c r="UGI95" s="367" t="e">
        <f>UGF95*UGG95*UGH95</f>
        <v>#DIV/0!</v>
      </c>
      <c r="UGJ95" s="363" t="s">
        <v>153</v>
      </c>
      <c r="UGK95" s="363"/>
      <c r="UGL95" s="363"/>
      <c r="UGM95" s="364" t="s">
        <v>140</v>
      </c>
      <c r="UGN95" s="365">
        <v>0.5</v>
      </c>
      <c r="UGO95" s="366" t="e">
        <f>10/UGK93</f>
        <v>#DIV/0!</v>
      </c>
      <c r="UGP95" s="367">
        <v>15.38</v>
      </c>
      <c r="UGQ95" s="367" t="e">
        <f>UGN95*UGO95*UGP95</f>
        <v>#DIV/0!</v>
      </c>
      <c r="UGR95" s="363" t="s">
        <v>153</v>
      </c>
      <c r="UGS95" s="363"/>
      <c r="UGT95" s="363"/>
      <c r="UGU95" s="364" t="s">
        <v>140</v>
      </c>
      <c r="UGV95" s="365">
        <v>0.5</v>
      </c>
      <c r="UGW95" s="366" t="e">
        <f>10/UGS93</f>
        <v>#DIV/0!</v>
      </c>
      <c r="UGX95" s="367">
        <v>15.38</v>
      </c>
      <c r="UGY95" s="367" t="e">
        <f>UGV95*UGW95*UGX95</f>
        <v>#DIV/0!</v>
      </c>
      <c r="UGZ95" s="363" t="s">
        <v>153</v>
      </c>
      <c r="UHA95" s="363"/>
      <c r="UHB95" s="363"/>
      <c r="UHC95" s="364" t="s">
        <v>140</v>
      </c>
      <c r="UHD95" s="365">
        <v>0.5</v>
      </c>
      <c r="UHE95" s="366" t="e">
        <f>10/UHA93</f>
        <v>#DIV/0!</v>
      </c>
      <c r="UHF95" s="367">
        <v>15.38</v>
      </c>
      <c r="UHG95" s="367" t="e">
        <f>UHD95*UHE95*UHF95</f>
        <v>#DIV/0!</v>
      </c>
      <c r="UHH95" s="363" t="s">
        <v>153</v>
      </c>
      <c r="UHI95" s="363"/>
      <c r="UHJ95" s="363"/>
      <c r="UHK95" s="364" t="s">
        <v>140</v>
      </c>
      <c r="UHL95" s="365">
        <v>0.5</v>
      </c>
      <c r="UHM95" s="366" t="e">
        <f>10/UHI93</f>
        <v>#DIV/0!</v>
      </c>
      <c r="UHN95" s="367">
        <v>15.38</v>
      </c>
      <c r="UHO95" s="367" t="e">
        <f>UHL95*UHM95*UHN95</f>
        <v>#DIV/0!</v>
      </c>
      <c r="UHP95" s="363" t="s">
        <v>153</v>
      </c>
      <c r="UHQ95" s="363"/>
      <c r="UHR95" s="363"/>
      <c r="UHS95" s="364" t="s">
        <v>140</v>
      </c>
      <c r="UHT95" s="365">
        <v>0.5</v>
      </c>
      <c r="UHU95" s="366" t="e">
        <f>10/UHQ93</f>
        <v>#DIV/0!</v>
      </c>
      <c r="UHV95" s="367">
        <v>15.38</v>
      </c>
      <c r="UHW95" s="367" t="e">
        <f>UHT95*UHU95*UHV95</f>
        <v>#DIV/0!</v>
      </c>
      <c r="UHX95" s="363" t="s">
        <v>153</v>
      </c>
      <c r="UHY95" s="363"/>
      <c r="UHZ95" s="363"/>
      <c r="UIA95" s="364" t="s">
        <v>140</v>
      </c>
      <c r="UIB95" s="365">
        <v>0.5</v>
      </c>
      <c r="UIC95" s="366" t="e">
        <f>10/UHY93</f>
        <v>#DIV/0!</v>
      </c>
      <c r="UID95" s="367">
        <v>15.38</v>
      </c>
      <c r="UIE95" s="367" t="e">
        <f>UIB95*UIC95*UID95</f>
        <v>#DIV/0!</v>
      </c>
      <c r="UIF95" s="363" t="s">
        <v>153</v>
      </c>
      <c r="UIG95" s="363"/>
      <c r="UIH95" s="363"/>
      <c r="UII95" s="364" t="s">
        <v>140</v>
      </c>
      <c r="UIJ95" s="365">
        <v>0.5</v>
      </c>
      <c r="UIK95" s="366" t="e">
        <f>10/UIG93</f>
        <v>#DIV/0!</v>
      </c>
      <c r="UIL95" s="367">
        <v>15.38</v>
      </c>
      <c r="UIM95" s="367" t="e">
        <f>UIJ95*UIK95*UIL95</f>
        <v>#DIV/0!</v>
      </c>
      <c r="UIN95" s="363" t="s">
        <v>153</v>
      </c>
      <c r="UIO95" s="363"/>
      <c r="UIP95" s="363"/>
      <c r="UIQ95" s="364" t="s">
        <v>140</v>
      </c>
      <c r="UIR95" s="365">
        <v>0.5</v>
      </c>
      <c r="UIS95" s="366" t="e">
        <f>10/UIO93</f>
        <v>#DIV/0!</v>
      </c>
      <c r="UIT95" s="367">
        <v>15.38</v>
      </c>
      <c r="UIU95" s="367" t="e">
        <f>UIR95*UIS95*UIT95</f>
        <v>#DIV/0!</v>
      </c>
      <c r="UIV95" s="363" t="s">
        <v>153</v>
      </c>
      <c r="UIW95" s="363"/>
      <c r="UIX95" s="363"/>
      <c r="UIY95" s="364" t="s">
        <v>140</v>
      </c>
      <c r="UIZ95" s="365">
        <v>0.5</v>
      </c>
      <c r="UJA95" s="366" t="e">
        <f>10/UIW93</f>
        <v>#DIV/0!</v>
      </c>
      <c r="UJB95" s="367">
        <v>15.38</v>
      </c>
      <c r="UJC95" s="367" t="e">
        <f>UIZ95*UJA95*UJB95</f>
        <v>#DIV/0!</v>
      </c>
      <c r="UJD95" s="363" t="s">
        <v>153</v>
      </c>
      <c r="UJE95" s="363"/>
      <c r="UJF95" s="363"/>
      <c r="UJG95" s="364" t="s">
        <v>140</v>
      </c>
      <c r="UJH95" s="365">
        <v>0.5</v>
      </c>
      <c r="UJI95" s="366" t="e">
        <f>10/UJE93</f>
        <v>#DIV/0!</v>
      </c>
      <c r="UJJ95" s="367">
        <v>15.38</v>
      </c>
      <c r="UJK95" s="367" t="e">
        <f>UJH95*UJI95*UJJ95</f>
        <v>#DIV/0!</v>
      </c>
      <c r="UJL95" s="363" t="s">
        <v>153</v>
      </c>
      <c r="UJM95" s="363"/>
      <c r="UJN95" s="363"/>
      <c r="UJO95" s="364" t="s">
        <v>140</v>
      </c>
      <c r="UJP95" s="365">
        <v>0.5</v>
      </c>
      <c r="UJQ95" s="366" t="e">
        <f>10/UJM93</f>
        <v>#DIV/0!</v>
      </c>
      <c r="UJR95" s="367">
        <v>15.38</v>
      </c>
      <c r="UJS95" s="367" t="e">
        <f>UJP95*UJQ95*UJR95</f>
        <v>#DIV/0!</v>
      </c>
      <c r="UJT95" s="363" t="s">
        <v>153</v>
      </c>
      <c r="UJU95" s="363"/>
      <c r="UJV95" s="363"/>
      <c r="UJW95" s="364" t="s">
        <v>140</v>
      </c>
      <c r="UJX95" s="365">
        <v>0.5</v>
      </c>
      <c r="UJY95" s="366" t="e">
        <f>10/UJU93</f>
        <v>#DIV/0!</v>
      </c>
      <c r="UJZ95" s="367">
        <v>15.38</v>
      </c>
      <c r="UKA95" s="367" t="e">
        <f>UJX95*UJY95*UJZ95</f>
        <v>#DIV/0!</v>
      </c>
      <c r="UKB95" s="363" t="s">
        <v>153</v>
      </c>
      <c r="UKC95" s="363"/>
      <c r="UKD95" s="363"/>
      <c r="UKE95" s="364" t="s">
        <v>140</v>
      </c>
      <c r="UKF95" s="365">
        <v>0.5</v>
      </c>
      <c r="UKG95" s="366" t="e">
        <f>10/UKC93</f>
        <v>#DIV/0!</v>
      </c>
      <c r="UKH95" s="367">
        <v>15.38</v>
      </c>
      <c r="UKI95" s="367" t="e">
        <f>UKF95*UKG95*UKH95</f>
        <v>#DIV/0!</v>
      </c>
      <c r="UKJ95" s="363" t="s">
        <v>153</v>
      </c>
      <c r="UKK95" s="363"/>
      <c r="UKL95" s="363"/>
      <c r="UKM95" s="364" t="s">
        <v>140</v>
      </c>
      <c r="UKN95" s="365">
        <v>0.5</v>
      </c>
      <c r="UKO95" s="366" t="e">
        <f>10/UKK93</f>
        <v>#DIV/0!</v>
      </c>
      <c r="UKP95" s="367">
        <v>15.38</v>
      </c>
      <c r="UKQ95" s="367" t="e">
        <f>UKN95*UKO95*UKP95</f>
        <v>#DIV/0!</v>
      </c>
      <c r="UKR95" s="363" t="s">
        <v>153</v>
      </c>
      <c r="UKS95" s="363"/>
      <c r="UKT95" s="363"/>
      <c r="UKU95" s="364" t="s">
        <v>140</v>
      </c>
      <c r="UKV95" s="365">
        <v>0.5</v>
      </c>
      <c r="UKW95" s="366" t="e">
        <f>10/UKS93</f>
        <v>#DIV/0!</v>
      </c>
      <c r="UKX95" s="367">
        <v>15.38</v>
      </c>
      <c r="UKY95" s="367" t="e">
        <f>UKV95*UKW95*UKX95</f>
        <v>#DIV/0!</v>
      </c>
      <c r="UKZ95" s="363" t="s">
        <v>153</v>
      </c>
      <c r="ULA95" s="363"/>
      <c r="ULB95" s="363"/>
      <c r="ULC95" s="364" t="s">
        <v>140</v>
      </c>
      <c r="ULD95" s="365">
        <v>0.5</v>
      </c>
      <c r="ULE95" s="366" t="e">
        <f>10/ULA93</f>
        <v>#DIV/0!</v>
      </c>
      <c r="ULF95" s="367">
        <v>15.38</v>
      </c>
      <c r="ULG95" s="367" t="e">
        <f>ULD95*ULE95*ULF95</f>
        <v>#DIV/0!</v>
      </c>
      <c r="ULH95" s="363" t="s">
        <v>153</v>
      </c>
      <c r="ULI95" s="363"/>
      <c r="ULJ95" s="363"/>
      <c r="ULK95" s="364" t="s">
        <v>140</v>
      </c>
      <c r="ULL95" s="365">
        <v>0.5</v>
      </c>
      <c r="ULM95" s="366" t="e">
        <f>10/ULI93</f>
        <v>#DIV/0!</v>
      </c>
      <c r="ULN95" s="367">
        <v>15.38</v>
      </c>
      <c r="ULO95" s="367" t="e">
        <f>ULL95*ULM95*ULN95</f>
        <v>#DIV/0!</v>
      </c>
      <c r="ULP95" s="363" t="s">
        <v>153</v>
      </c>
      <c r="ULQ95" s="363"/>
      <c r="ULR95" s="363"/>
      <c r="ULS95" s="364" t="s">
        <v>140</v>
      </c>
      <c r="ULT95" s="365">
        <v>0.5</v>
      </c>
      <c r="ULU95" s="366" t="e">
        <f>10/ULQ93</f>
        <v>#DIV/0!</v>
      </c>
      <c r="ULV95" s="367">
        <v>15.38</v>
      </c>
      <c r="ULW95" s="367" t="e">
        <f>ULT95*ULU95*ULV95</f>
        <v>#DIV/0!</v>
      </c>
      <c r="ULX95" s="363" t="s">
        <v>153</v>
      </c>
      <c r="ULY95" s="363"/>
      <c r="ULZ95" s="363"/>
      <c r="UMA95" s="364" t="s">
        <v>140</v>
      </c>
      <c r="UMB95" s="365">
        <v>0.5</v>
      </c>
      <c r="UMC95" s="366" t="e">
        <f>10/ULY93</f>
        <v>#DIV/0!</v>
      </c>
      <c r="UMD95" s="367">
        <v>15.38</v>
      </c>
      <c r="UME95" s="367" t="e">
        <f>UMB95*UMC95*UMD95</f>
        <v>#DIV/0!</v>
      </c>
      <c r="UMF95" s="363" t="s">
        <v>153</v>
      </c>
      <c r="UMG95" s="363"/>
      <c r="UMH95" s="363"/>
      <c r="UMI95" s="364" t="s">
        <v>140</v>
      </c>
      <c r="UMJ95" s="365">
        <v>0.5</v>
      </c>
      <c r="UMK95" s="366" t="e">
        <f>10/UMG93</f>
        <v>#DIV/0!</v>
      </c>
      <c r="UML95" s="367">
        <v>15.38</v>
      </c>
      <c r="UMM95" s="367" t="e">
        <f>UMJ95*UMK95*UML95</f>
        <v>#DIV/0!</v>
      </c>
      <c r="UMN95" s="363" t="s">
        <v>153</v>
      </c>
      <c r="UMO95" s="363"/>
      <c r="UMP95" s="363"/>
      <c r="UMQ95" s="364" t="s">
        <v>140</v>
      </c>
      <c r="UMR95" s="365">
        <v>0.5</v>
      </c>
      <c r="UMS95" s="366" t="e">
        <f>10/UMO93</f>
        <v>#DIV/0!</v>
      </c>
      <c r="UMT95" s="367">
        <v>15.38</v>
      </c>
      <c r="UMU95" s="367" t="e">
        <f>UMR95*UMS95*UMT95</f>
        <v>#DIV/0!</v>
      </c>
      <c r="UMV95" s="363" t="s">
        <v>153</v>
      </c>
      <c r="UMW95" s="363"/>
      <c r="UMX95" s="363"/>
      <c r="UMY95" s="364" t="s">
        <v>140</v>
      </c>
      <c r="UMZ95" s="365">
        <v>0.5</v>
      </c>
      <c r="UNA95" s="366" t="e">
        <f>10/UMW93</f>
        <v>#DIV/0!</v>
      </c>
      <c r="UNB95" s="367">
        <v>15.38</v>
      </c>
      <c r="UNC95" s="367" t="e">
        <f>UMZ95*UNA95*UNB95</f>
        <v>#DIV/0!</v>
      </c>
      <c r="UND95" s="363" t="s">
        <v>153</v>
      </c>
      <c r="UNE95" s="363"/>
      <c r="UNF95" s="363"/>
      <c r="UNG95" s="364" t="s">
        <v>140</v>
      </c>
      <c r="UNH95" s="365">
        <v>0.5</v>
      </c>
      <c r="UNI95" s="366" t="e">
        <f>10/UNE93</f>
        <v>#DIV/0!</v>
      </c>
      <c r="UNJ95" s="367">
        <v>15.38</v>
      </c>
      <c r="UNK95" s="367" t="e">
        <f>UNH95*UNI95*UNJ95</f>
        <v>#DIV/0!</v>
      </c>
      <c r="UNL95" s="363" t="s">
        <v>153</v>
      </c>
      <c r="UNM95" s="363"/>
      <c r="UNN95" s="363"/>
      <c r="UNO95" s="364" t="s">
        <v>140</v>
      </c>
      <c r="UNP95" s="365">
        <v>0.5</v>
      </c>
      <c r="UNQ95" s="366" t="e">
        <f>10/UNM93</f>
        <v>#DIV/0!</v>
      </c>
      <c r="UNR95" s="367">
        <v>15.38</v>
      </c>
      <c r="UNS95" s="367" t="e">
        <f>UNP95*UNQ95*UNR95</f>
        <v>#DIV/0!</v>
      </c>
      <c r="UNT95" s="363" t="s">
        <v>153</v>
      </c>
      <c r="UNU95" s="363"/>
      <c r="UNV95" s="363"/>
      <c r="UNW95" s="364" t="s">
        <v>140</v>
      </c>
      <c r="UNX95" s="365">
        <v>0.5</v>
      </c>
      <c r="UNY95" s="366" t="e">
        <f>10/UNU93</f>
        <v>#DIV/0!</v>
      </c>
      <c r="UNZ95" s="367">
        <v>15.38</v>
      </c>
      <c r="UOA95" s="367" t="e">
        <f>UNX95*UNY95*UNZ95</f>
        <v>#DIV/0!</v>
      </c>
      <c r="UOB95" s="363" t="s">
        <v>153</v>
      </c>
      <c r="UOC95" s="363"/>
      <c r="UOD95" s="363"/>
      <c r="UOE95" s="364" t="s">
        <v>140</v>
      </c>
      <c r="UOF95" s="365">
        <v>0.5</v>
      </c>
      <c r="UOG95" s="366" t="e">
        <f>10/UOC93</f>
        <v>#DIV/0!</v>
      </c>
      <c r="UOH95" s="367">
        <v>15.38</v>
      </c>
      <c r="UOI95" s="367" t="e">
        <f>UOF95*UOG95*UOH95</f>
        <v>#DIV/0!</v>
      </c>
      <c r="UOJ95" s="363" t="s">
        <v>153</v>
      </c>
      <c r="UOK95" s="363"/>
      <c r="UOL95" s="363"/>
      <c r="UOM95" s="364" t="s">
        <v>140</v>
      </c>
      <c r="UON95" s="365">
        <v>0.5</v>
      </c>
      <c r="UOO95" s="366" t="e">
        <f>10/UOK93</f>
        <v>#DIV/0!</v>
      </c>
      <c r="UOP95" s="367">
        <v>15.38</v>
      </c>
      <c r="UOQ95" s="367" t="e">
        <f>UON95*UOO95*UOP95</f>
        <v>#DIV/0!</v>
      </c>
      <c r="UOR95" s="363" t="s">
        <v>153</v>
      </c>
      <c r="UOS95" s="363"/>
      <c r="UOT95" s="363"/>
      <c r="UOU95" s="364" t="s">
        <v>140</v>
      </c>
      <c r="UOV95" s="365">
        <v>0.5</v>
      </c>
      <c r="UOW95" s="366" t="e">
        <f>10/UOS93</f>
        <v>#DIV/0!</v>
      </c>
      <c r="UOX95" s="367">
        <v>15.38</v>
      </c>
      <c r="UOY95" s="367" t="e">
        <f>UOV95*UOW95*UOX95</f>
        <v>#DIV/0!</v>
      </c>
      <c r="UOZ95" s="363" t="s">
        <v>153</v>
      </c>
      <c r="UPA95" s="363"/>
      <c r="UPB95" s="363"/>
      <c r="UPC95" s="364" t="s">
        <v>140</v>
      </c>
      <c r="UPD95" s="365">
        <v>0.5</v>
      </c>
      <c r="UPE95" s="366" t="e">
        <f>10/UPA93</f>
        <v>#DIV/0!</v>
      </c>
      <c r="UPF95" s="367">
        <v>15.38</v>
      </c>
      <c r="UPG95" s="367" t="e">
        <f>UPD95*UPE95*UPF95</f>
        <v>#DIV/0!</v>
      </c>
      <c r="UPH95" s="363" t="s">
        <v>153</v>
      </c>
      <c r="UPI95" s="363"/>
      <c r="UPJ95" s="363"/>
      <c r="UPK95" s="364" t="s">
        <v>140</v>
      </c>
      <c r="UPL95" s="365">
        <v>0.5</v>
      </c>
      <c r="UPM95" s="366" t="e">
        <f>10/UPI93</f>
        <v>#DIV/0!</v>
      </c>
      <c r="UPN95" s="367">
        <v>15.38</v>
      </c>
      <c r="UPO95" s="367" t="e">
        <f>UPL95*UPM95*UPN95</f>
        <v>#DIV/0!</v>
      </c>
      <c r="UPP95" s="363" t="s">
        <v>153</v>
      </c>
      <c r="UPQ95" s="363"/>
      <c r="UPR95" s="363"/>
      <c r="UPS95" s="364" t="s">
        <v>140</v>
      </c>
      <c r="UPT95" s="365">
        <v>0.5</v>
      </c>
      <c r="UPU95" s="366" t="e">
        <f>10/UPQ93</f>
        <v>#DIV/0!</v>
      </c>
      <c r="UPV95" s="367">
        <v>15.38</v>
      </c>
      <c r="UPW95" s="367" t="e">
        <f>UPT95*UPU95*UPV95</f>
        <v>#DIV/0!</v>
      </c>
      <c r="UPX95" s="363" t="s">
        <v>153</v>
      </c>
      <c r="UPY95" s="363"/>
      <c r="UPZ95" s="363"/>
      <c r="UQA95" s="364" t="s">
        <v>140</v>
      </c>
      <c r="UQB95" s="365">
        <v>0.5</v>
      </c>
      <c r="UQC95" s="366" t="e">
        <f>10/UPY93</f>
        <v>#DIV/0!</v>
      </c>
      <c r="UQD95" s="367">
        <v>15.38</v>
      </c>
      <c r="UQE95" s="367" t="e">
        <f>UQB95*UQC95*UQD95</f>
        <v>#DIV/0!</v>
      </c>
      <c r="UQF95" s="363" t="s">
        <v>153</v>
      </c>
      <c r="UQG95" s="363"/>
      <c r="UQH95" s="363"/>
      <c r="UQI95" s="364" t="s">
        <v>140</v>
      </c>
      <c r="UQJ95" s="365">
        <v>0.5</v>
      </c>
      <c r="UQK95" s="366" t="e">
        <f>10/UQG93</f>
        <v>#DIV/0!</v>
      </c>
      <c r="UQL95" s="367">
        <v>15.38</v>
      </c>
      <c r="UQM95" s="367" t="e">
        <f>UQJ95*UQK95*UQL95</f>
        <v>#DIV/0!</v>
      </c>
      <c r="UQN95" s="363" t="s">
        <v>153</v>
      </c>
      <c r="UQO95" s="363"/>
      <c r="UQP95" s="363"/>
      <c r="UQQ95" s="364" t="s">
        <v>140</v>
      </c>
      <c r="UQR95" s="365">
        <v>0.5</v>
      </c>
      <c r="UQS95" s="366" t="e">
        <f>10/UQO93</f>
        <v>#DIV/0!</v>
      </c>
      <c r="UQT95" s="367">
        <v>15.38</v>
      </c>
      <c r="UQU95" s="367" t="e">
        <f>UQR95*UQS95*UQT95</f>
        <v>#DIV/0!</v>
      </c>
      <c r="UQV95" s="363" t="s">
        <v>153</v>
      </c>
      <c r="UQW95" s="363"/>
      <c r="UQX95" s="363"/>
      <c r="UQY95" s="364" t="s">
        <v>140</v>
      </c>
      <c r="UQZ95" s="365">
        <v>0.5</v>
      </c>
      <c r="URA95" s="366" t="e">
        <f>10/UQW93</f>
        <v>#DIV/0!</v>
      </c>
      <c r="URB95" s="367">
        <v>15.38</v>
      </c>
      <c r="URC95" s="367" t="e">
        <f>UQZ95*URA95*URB95</f>
        <v>#DIV/0!</v>
      </c>
      <c r="URD95" s="363" t="s">
        <v>153</v>
      </c>
      <c r="URE95" s="363"/>
      <c r="URF95" s="363"/>
      <c r="URG95" s="364" t="s">
        <v>140</v>
      </c>
      <c r="URH95" s="365">
        <v>0.5</v>
      </c>
      <c r="URI95" s="366" t="e">
        <f>10/URE93</f>
        <v>#DIV/0!</v>
      </c>
      <c r="URJ95" s="367">
        <v>15.38</v>
      </c>
      <c r="URK95" s="367" t="e">
        <f>URH95*URI95*URJ95</f>
        <v>#DIV/0!</v>
      </c>
      <c r="URL95" s="363" t="s">
        <v>153</v>
      </c>
      <c r="URM95" s="363"/>
      <c r="URN95" s="363"/>
      <c r="URO95" s="364" t="s">
        <v>140</v>
      </c>
      <c r="URP95" s="365">
        <v>0.5</v>
      </c>
      <c r="URQ95" s="366" t="e">
        <f>10/URM93</f>
        <v>#DIV/0!</v>
      </c>
      <c r="URR95" s="367">
        <v>15.38</v>
      </c>
      <c r="URS95" s="367" t="e">
        <f>URP95*URQ95*URR95</f>
        <v>#DIV/0!</v>
      </c>
      <c r="URT95" s="363" t="s">
        <v>153</v>
      </c>
      <c r="URU95" s="363"/>
      <c r="URV95" s="363"/>
      <c r="URW95" s="364" t="s">
        <v>140</v>
      </c>
      <c r="URX95" s="365">
        <v>0.5</v>
      </c>
      <c r="URY95" s="366" t="e">
        <f>10/URU93</f>
        <v>#DIV/0!</v>
      </c>
      <c r="URZ95" s="367">
        <v>15.38</v>
      </c>
      <c r="USA95" s="367" t="e">
        <f>URX95*URY95*URZ95</f>
        <v>#DIV/0!</v>
      </c>
      <c r="USB95" s="363" t="s">
        <v>153</v>
      </c>
      <c r="USC95" s="363"/>
      <c r="USD95" s="363"/>
      <c r="USE95" s="364" t="s">
        <v>140</v>
      </c>
      <c r="USF95" s="365">
        <v>0.5</v>
      </c>
      <c r="USG95" s="366" t="e">
        <f>10/USC93</f>
        <v>#DIV/0!</v>
      </c>
      <c r="USH95" s="367">
        <v>15.38</v>
      </c>
      <c r="USI95" s="367" t="e">
        <f>USF95*USG95*USH95</f>
        <v>#DIV/0!</v>
      </c>
      <c r="USJ95" s="363" t="s">
        <v>153</v>
      </c>
      <c r="USK95" s="363"/>
      <c r="USL95" s="363"/>
      <c r="USM95" s="364" t="s">
        <v>140</v>
      </c>
      <c r="USN95" s="365">
        <v>0.5</v>
      </c>
      <c r="USO95" s="366" t="e">
        <f>10/USK93</f>
        <v>#DIV/0!</v>
      </c>
      <c r="USP95" s="367">
        <v>15.38</v>
      </c>
      <c r="USQ95" s="367" t="e">
        <f>USN95*USO95*USP95</f>
        <v>#DIV/0!</v>
      </c>
      <c r="USR95" s="363" t="s">
        <v>153</v>
      </c>
      <c r="USS95" s="363"/>
      <c r="UST95" s="363"/>
      <c r="USU95" s="364" t="s">
        <v>140</v>
      </c>
      <c r="USV95" s="365">
        <v>0.5</v>
      </c>
      <c r="USW95" s="366" t="e">
        <f>10/USS93</f>
        <v>#DIV/0!</v>
      </c>
      <c r="USX95" s="367">
        <v>15.38</v>
      </c>
      <c r="USY95" s="367" t="e">
        <f>USV95*USW95*USX95</f>
        <v>#DIV/0!</v>
      </c>
      <c r="USZ95" s="363" t="s">
        <v>153</v>
      </c>
      <c r="UTA95" s="363"/>
      <c r="UTB95" s="363"/>
      <c r="UTC95" s="364" t="s">
        <v>140</v>
      </c>
      <c r="UTD95" s="365">
        <v>0.5</v>
      </c>
      <c r="UTE95" s="366" t="e">
        <f>10/UTA93</f>
        <v>#DIV/0!</v>
      </c>
      <c r="UTF95" s="367">
        <v>15.38</v>
      </c>
      <c r="UTG95" s="367" t="e">
        <f>UTD95*UTE95*UTF95</f>
        <v>#DIV/0!</v>
      </c>
      <c r="UTH95" s="363" t="s">
        <v>153</v>
      </c>
      <c r="UTI95" s="363"/>
      <c r="UTJ95" s="363"/>
      <c r="UTK95" s="364" t="s">
        <v>140</v>
      </c>
      <c r="UTL95" s="365">
        <v>0.5</v>
      </c>
      <c r="UTM95" s="366" t="e">
        <f>10/UTI93</f>
        <v>#DIV/0!</v>
      </c>
      <c r="UTN95" s="367">
        <v>15.38</v>
      </c>
      <c r="UTO95" s="367" t="e">
        <f>UTL95*UTM95*UTN95</f>
        <v>#DIV/0!</v>
      </c>
      <c r="UTP95" s="363" t="s">
        <v>153</v>
      </c>
      <c r="UTQ95" s="363"/>
      <c r="UTR95" s="363"/>
      <c r="UTS95" s="364" t="s">
        <v>140</v>
      </c>
      <c r="UTT95" s="365">
        <v>0.5</v>
      </c>
      <c r="UTU95" s="366" t="e">
        <f>10/UTQ93</f>
        <v>#DIV/0!</v>
      </c>
      <c r="UTV95" s="367">
        <v>15.38</v>
      </c>
      <c r="UTW95" s="367" t="e">
        <f>UTT95*UTU95*UTV95</f>
        <v>#DIV/0!</v>
      </c>
      <c r="UTX95" s="363" t="s">
        <v>153</v>
      </c>
      <c r="UTY95" s="363"/>
      <c r="UTZ95" s="363"/>
      <c r="UUA95" s="364" t="s">
        <v>140</v>
      </c>
      <c r="UUB95" s="365">
        <v>0.5</v>
      </c>
      <c r="UUC95" s="366" t="e">
        <f>10/UTY93</f>
        <v>#DIV/0!</v>
      </c>
      <c r="UUD95" s="367">
        <v>15.38</v>
      </c>
      <c r="UUE95" s="367" t="e">
        <f>UUB95*UUC95*UUD95</f>
        <v>#DIV/0!</v>
      </c>
      <c r="UUF95" s="363" t="s">
        <v>153</v>
      </c>
      <c r="UUG95" s="363"/>
      <c r="UUH95" s="363"/>
      <c r="UUI95" s="364" t="s">
        <v>140</v>
      </c>
      <c r="UUJ95" s="365">
        <v>0.5</v>
      </c>
      <c r="UUK95" s="366" t="e">
        <f>10/UUG93</f>
        <v>#DIV/0!</v>
      </c>
      <c r="UUL95" s="367">
        <v>15.38</v>
      </c>
      <c r="UUM95" s="367" t="e">
        <f>UUJ95*UUK95*UUL95</f>
        <v>#DIV/0!</v>
      </c>
      <c r="UUN95" s="363" t="s">
        <v>153</v>
      </c>
      <c r="UUO95" s="363"/>
      <c r="UUP95" s="363"/>
      <c r="UUQ95" s="364" t="s">
        <v>140</v>
      </c>
      <c r="UUR95" s="365">
        <v>0.5</v>
      </c>
      <c r="UUS95" s="366" t="e">
        <f>10/UUO93</f>
        <v>#DIV/0!</v>
      </c>
      <c r="UUT95" s="367">
        <v>15.38</v>
      </c>
      <c r="UUU95" s="367" t="e">
        <f>UUR95*UUS95*UUT95</f>
        <v>#DIV/0!</v>
      </c>
      <c r="UUV95" s="363" t="s">
        <v>153</v>
      </c>
      <c r="UUW95" s="363"/>
      <c r="UUX95" s="363"/>
      <c r="UUY95" s="364" t="s">
        <v>140</v>
      </c>
      <c r="UUZ95" s="365">
        <v>0.5</v>
      </c>
      <c r="UVA95" s="366" t="e">
        <f>10/UUW93</f>
        <v>#DIV/0!</v>
      </c>
      <c r="UVB95" s="367">
        <v>15.38</v>
      </c>
      <c r="UVC95" s="367" t="e">
        <f>UUZ95*UVA95*UVB95</f>
        <v>#DIV/0!</v>
      </c>
      <c r="UVD95" s="363" t="s">
        <v>153</v>
      </c>
      <c r="UVE95" s="363"/>
      <c r="UVF95" s="363"/>
      <c r="UVG95" s="364" t="s">
        <v>140</v>
      </c>
      <c r="UVH95" s="365">
        <v>0.5</v>
      </c>
      <c r="UVI95" s="366" t="e">
        <f>10/UVE93</f>
        <v>#DIV/0!</v>
      </c>
      <c r="UVJ95" s="367">
        <v>15.38</v>
      </c>
      <c r="UVK95" s="367" t="e">
        <f>UVH95*UVI95*UVJ95</f>
        <v>#DIV/0!</v>
      </c>
      <c r="UVL95" s="363" t="s">
        <v>153</v>
      </c>
      <c r="UVM95" s="363"/>
      <c r="UVN95" s="363"/>
      <c r="UVO95" s="364" t="s">
        <v>140</v>
      </c>
      <c r="UVP95" s="365">
        <v>0.5</v>
      </c>
      <c r="UVQ95" s="366" t="e">
        <f>10/UVM93</f>
        <v>#DIV/0!</v>
      </c>
      <c r="UVR95" s="367">
        <v>15.38</v>
      </c>
      <c r="UVS95" s="367" t="e">
        <f>UVP95*UVQ95*UVR95</f>
        <v>#DIV/0!</v>
      </c>
      <c r="UVT95" s="363" t="s">
        <v>153</v>
      </c>
      <c r="UVU95" s="363"/>
      <c r="UVV95" s="363"/>
      <c r="UVW95" s="364" t="s">
        <v>140</v>
      </c>
      <c r="UVX95" s="365">
        <v>0.5</v>
      </c>
      <c r="UVY95" s="366" t="e">
        <f>10/UVU93</f>
        <v>#DIV/0!</v>
      </c>
      <c r="UVZ95" s="367">
        <v>15.38</v>
      </c>
      <c r="UWA95" s="367" t="e">
        <f>UVX95*UVY95*UVZ95</f>
        <v>#DIV/0!</v>
      </c>
      <c r="UWB95" s="363" t="s">
        <v>153</v>
      </c>
      <c r="UWC95" s="363"/>
      <c r="UWD95" s="363"/>
      <c r="UWE95" s="364" t="s">
        <v>140</v>
      </c>
      <c r="UWF95" s="365">
        <v>0.5</v>
      </c>
      <c r="UWG95" s="366" t="e">
        <f>10/UWC93</f>
        <v>#DIV/0!</v>
      </c>
      <c r="UWH95" s="367">
        <v>15.38</v>
      </c>
      <c r="UWI95" s="367" t="e">
        <f>UWF95*UWG95*UWH95</f>
        <v>#DIV/0!</v>
      </c>
      <c r="UWJ95" s="363" t="s">
        <v>153</v>
      </c>
      <c r="UWK95" s="363"/>
      <c r="UWL95" s="363"/>
      <c r="UWM95" s="364" t="s">
        <v>140</v>
      </c>
      <c r="UWN95" s="365">
        <v>0.5</v>
      </c>
      <c r="UWO95" s="366" t="e">
        <f>10/UWK93</f>
        <v>#DIV/0!</v>
      </c>
      <c r="UWP95" s="367">
        <v>15.38</v>
      </c>
      <c r="UWQ95" s="367" t="e">
        <f>UWN95*UWO95*UWP95</f>
        <v>#DIV/0!</v>
      </c>
      <c r="UWR95" s="363" t="s">
        <v>153</v>
      </c>
      <c r="UWS95" s="363"/>
      <c r="UWT95" s="363"/>
      <c r="UWU95" s="364" t="s">
        <v>140</v>
      </c>
      <c r="UWV95" s="365">
        <v>0.5</v>
      </c>
      <c r="UWW95" s="366" t="e">
        <f>10/UWS93</f>
        <v>#DIV/0!</v>
      </c>
      <c r="UWX95" s="367">
        <v>15.38</v>
      </c>
      <c r="UWY95" s="367" t="e">
        <f>UWV95*UWW95*UWX95</f>
        <v>#DIV/0!</v>
      </c>
      <c r="UWZ95" s="363" t="s">
        <v>153</v>
      </c>
      <c r="UXA95" s="363"/>
      <c r="UXB95" s="363"/>
      <c r="UXC95" s="364" t="s">
        <v>140</v>
      </c>
      <c r="UXD95" s="365">
        <v>0.5</v>
      </c>
      <c r="UXE95" s="366" t="e">
        <f>10/UXA93</f>
        <v>#DIV/0!</v>
      </c>
      <c r="UXF95" s="367">
        <v>15.38</v>
      </c>
      <c r="UXG95" s="367" t="e">
        <f>UXD95*UXE95*UXF95</f>
        <v>#DIV/0!</v>
      </c>
      <c r="UXH95" s="363" t="s">
        <v>153</v>
      </c>
      <c r="UXI95" s="363"/>
      <c r="UXJ95" s="363"/>
      <c r="UXK95" s="364" t="s">
        <v>140</v>
      </c>
      <c r="UXL95" s="365">
        <v>0.5</v>
      </c>
      <c r="UXM95" s="366" t="e">
        <f>10/UXI93</f>
        <v>#DIV/0!</v>
      </c>
      <c r="UXN95" s="367">
        <v>15.38</v>
      </c>
      <c r="UXO95" s="367" t="e">
        <f>UXL95*UXM95*UXN95</f>
        <v>#DIV/0!</v>
      </c>
      <c r="UXP95" s="363" t="s">
        <v>153</v>
      </c>
      <c r="UXQ95" s="363"/>
      <c r="UXR95" s="363"/>
      <c r="UXS95" s="364" t="s">
        <v>140</v>
      </c>
      <c r="UXT95" s="365">
        <v>0.5</v>
      </c>
      <c r="UXU95" s="366" t="e">
        <f>10/UXQ93</f>
        <v>#DIV/0!</v>
      </c>
      <c r="UXV95" s="367">
        <v>15.38</v>
      </c>
      <c r="UXW95" s="367" t="e">
        <f>UXT95*UXU95*UXV95</f>
        <v>#DIV/0!</v>
      </c>
      <c r="UXX95" s="363" t="s">
        <v>153</v>
      </c>
      <c r="UXY95" s="363"/>
      <c r="UXZ95" s="363"/>
      <c r="UYA95" s="364" t="s">
        <v>140</v>
      </c>
      <c r="UYB95" s="365">
        <v>0.5</v>
      </c>
      <c r="UYC95" s="366" t="e">
        <f>10/UXY93</f>
        <v>#DIV/0!</v>
      </c>
      <c r="UYD95" s="367">
        <v>15.38</v>
      </c>
      <c r="UYE95" s="367" t="e">
        <f>UYB95*UYC95*UYD95</f>
        <v>#DIV/0!</v>
      </c>
      <c r="UYF95" s="363" t="s">
        <v>153</v>
      </c>
      <c r="UYG95" s="363"/>
      <c r="UYH95" s="363"/>
      <c r="UYI95" s="364" t="s">
        <v>140</v>
      </c>
      <c r="UYJ95" s="365">
        <v>0.5</v>
      </c>
      <c r="UYK95" s="366" t="e">
        <f>10/UYG93</f>
        <v>#DIV/0!</v>
      </c>
      <c r="UYL95" s="367">
        <v>15.38</v>
      </c>
      <c r="UYM95" s="367" t="e">
        <f>UYJ95*UYK95*UYL95</f>
        <v>#DIV/0!</v>
      </c>
      <c r="UYN95" s="363" t="s">
        <v>153</v>
      </c>
      <c r="UYO95" s="363"/>
      <c r="UYP95" s="363"/>
      <c r="UYQ95" s="364" t="s">
        <v>140</v>
      </c>
      <c r="UYR95" s="365">
        <v>0.5</v>
      </c>
      <c r="UYS95" s="366" t="e">
        <f>10/UYO93</f>
        <v>#DIV/0!</v>
      </c>
      <c r="UYT95" s="367">
        <v>15.38</v>
      </c>
      <c r="UYU95" s="367" t="e">
        <f>UYR95*UYS95*UYT95</f>
        <v>#DIV/0!</v>
      </c>
      <c r="UYV95" s="363" t="s">
        <v>153</v>
      </c>
      <c r="UYW95" s="363"/>
      <c r="UYX95" s="363"/>
      <c r="UYY95" s="364" t="s">
        <v>140</v>
      </c>
      <c r="UYZ95" s="365">
        <v>0.5</v>
      </c>
      <c r="UZA95" s="366" t="e">
        <f>10/UYW93</f>
        <v>#DIV/0!</v>
      </c>
      <c r="UZB95" s="367">
        <v>15.38</v>
      </c>
      <c r="UZC95" s="367" t="e">
        <f>UYZ95*UZA95*UZB95</f>
        <v>#DIV/0!</v>
      </c>
      <c r="UZD95" s="363" t="s">
        <v>153</v>
      </c>
      <c r="UZE95" s="363"/>
      <c r="UZF95" s="363"/>
      <c r="UZG95" s="364" t="s">
        <v>140</v>
      </c>
      <c r="UZH95" s="365">
        <v>0.5</v>
      </c>
      <c r="UZI95" s="366" t="e">
        <f>10/UZE93</f>
        <v>#DIV/0!</v>
      </c>
      <c r="UZJ95" s="367">
        <v>15.38</v>
      </c>
      <c r="UZK95" s="367" t="e">
        <f>UZH95*UZI95*UZJ95</f>
        <v>#DIV/0!</v>
      </c>
      <c r="UZL95" s="363" t="s">
        <v>153</v>
      </c>
      <c r="UZM95" s="363"/>
      <c r="UZN95" s="363"/>
      <c r="UZO95" s="364" t="s">
        <v>140</v>
      </c>
      <c r="UZP95" s="365">
        <v>0.5</v>
      </c>
      <c r="UZQ95" s="366" t="e">
        <f>10/UZM93</f>
        <v>#DIV/0!</v>
      </c>
      <c r="UZR95" s="367">
        <v>15.38</v>
      </c>
      <c r="UZS95" s="367" t="e">
        <f>UZP95*UZQ95*UZR95</f>
        <v>#DIV/0!</v>
      </c>
      <c r="UZT95" s="363" t="s">
        <v>153</v>
      </c>
      <c r="UZU95" s="363"/>
      <c r="UZV95" s="363"/>
      <c r="UZW95" s="364" t="s">
        <v>140</v>
      </c>
      <c r="UZX95" s="365">
        <v>0.5</v>
      </c>
      <c r="UZY95" s="366" t="e">
        <f>10/UZU93</f>
        <v>#DIV/0!</v>
      </c>
      <c r="UZZ95" s="367">
        <v>15.38</v>
      </c>
      <c r="VAA95" s="367" t="e">
        <f>UZX95*UZY95*UZZ95</f>
        <v>#DIV/0!</v>
      </c>
      <c r="VAB95" s="363" t="s">
        <v>153</v>
      </c>
      <c r="VAC95" s="363"/>
      <c r="VAD95" s="363"/>
      <c r="VAE95" s="364" t="s">
        <v>140</v>
      </c>
      <c r="VAF95" s="365">
        <v>0.5</v>
      </c>
      <c r="VAG95" s="366" t="e">
        <f>10/VAC93</f>
        <v>#DIV/0!</v>
      </c>
      <c r="VAH95" s="367">
        <v>15.38</v>
      </c>
      <c r="VAI95" s="367" t="e">
        <f>VAF95*VAG95*VAH95</f>
        <v>#DIV/0!</v>
      </c>
      <c r="VAJ95" s="363" t="s">
        <v>153</v>
      </c>
      <c r="VAK95" s="363"/>
      <c r="VAL95" s="363"/>
      <c r="VAM95" s="364" t="s">
        <v>140</v>
      </c>
      <c r="VAN95" s="365">
        <v>0.5</v>
      </c>
      <c r="VAO95" s="366" t="e">
        <f>10/VAK93</f>
        <v>#DIV/0!</v>
      </c>
      <c r="VAP95" s="367">
        <v>15.38</v>
      </c>
      <c r="VAQ95" s="367" t="e">
        <f>VAN95*VAO95*VAP95</f>
        <v>#DIV/0!</v>
      </c>
      <c r="VAR95" s="363" t="s">
        <v>153</v>
      </c>
      <c r="VAS95" s="363"/>
      <c r="VAT95" s="363"/>
      <c r="VAU95" s="364" t="s">
        <v>140</v>
      </c>
      <c r="VAV95" s="365">
        <v>0.5</v>
      </c>
      <c r="VAW95" s="366" t="e">
        <f>10/VAS93</f>
        <v>#DIV/0!</v>
      </c>
      <c r="VAX95" s="367">
        <v>15.38</v>
      </c>
      <c r="VAY95" s="367" t="e">
        <f>VAV95*VAW95*VAX95</f>
        <v>#DIV/0!</v>
      </c>
      <c r="VAZ95" s="363" t="s">
        <v>153</v>
      </c>
      <c r="VBA95" s="363"/>
      <c r="VBB95" s="363"/>
      <c r="VBC95" s="364" t="s">
        <v>140</v>
      </c>
      <c r="VBD95" s="365">
        <v>0.5</v>
      </c>
      <c r="VBE95" s="366" t="e">
        <f>10/VBA93</f>
        <v>#DIV/0!</v>
      </c>
      <c r="VBF95" s="367">
        <v>15.38</v>
      </c>
      <c r="VBG95" s="367" t="e">
        <f>VBD95*VBE95*VBF95</f>
        <v>#DIV/0!</v>
      </c>
      <c r="VBH95" s="363" t="s">
        <v>153</v>
      </c>
      <c r="VBI95" s="363"/>
      <c r="VBJ95" s="363"/>
      <c r="VBK95" s="364" t="s">
        <v>140</v>
      </c>
      <c r="VBL95" s="365">
        <v>0.5</v>
      </c>
      <c r="VBM95" s="366" t="e">
        <f>10/VBI93</f>
        <v>#DIV/0!</v>
      </c>
      <c r="VBN95" s="367">
        <v>15.38</v>
      </c>
      <c r="VBO95" s="367" t="e">
        <f>VBL95*VBM95*VBN95</f>
        <v>#DIV/0!</v>
      </c>
      <c r="VBP95" s="363" t="s">
        <v>153</v>
      </c>
      <c r="VBQ95" s="363"/>
      <c r="VBR95" s="363"/>
      <c r="VBS95" s="364" t="s">
        <v>140</v>
      </c>
      <c r="VBT95" s="365">
        <v>0.5</v>
      </c>
      <c r="VBU95" s="366" t="e">
        <f>10/VBQ93</f>
        <v>#DIV/0!</v>
      </c>
      <c r="VBV95" s="367">
        <v>15.38</v>
      </c>
      <c r="VBW95" s="367" t="e">
        <f>VBT95*VBU95*VBV95</f>
        <v>#DIV/0!</v>
      </c>
      <c r="VBX95" s="363" t="s">
        <v>153</v>
      </c>
      <c r="VBY95" s="363"/>
      <c r="VBZ95" s="363"/>
      <c r="VCA95" s="364" t="s">
        <v>140</v>
      </c>
      <c r="VCB95" s="365">
        <v>0.5</v>
      </c>
      <c r="VCC95" s="366" t="e">
        <f>10/VBY93</f>
        <v>#DIV/0!</v>
      </c>
      <c r="VCD95" s="367">
        <v>15.38</v>
      </c>
      <c r="VCE95" s="367" t="e">
        <f>VCB95*VCC95*VCD95</f>
        <v>#DIV/0!</v>
      </c>
      <c r="VCF95" s="363" t="s">
        <v>153</v>
      </c>
      <c r="VCG95" s="363"/>
      <c r="VCH95" s="363"/>
      <c r="VCI95" s="364" t="s">
        <v>140</v>
      </c>
      <c r="VCJ95" s="365">
        <v>0.5</v>
      </c>
      <c r="VCK95" s="366" t="e">
        <f>10/VCG93</f>
        <v>#DIV/0!</v>
      </c>
      <c r="VCL95" s="367">
        <v>15.38</v>
      </c>
      <c r="VCM95" s="367" t="e">
        <f>VCJ95*VCK95*VCL95</f>
        <v>#DIV/0!</v>
      </c>
      <c r="VCN95" s="363" t="s">
        <v>153</v>
      </c>
      <c r="VCO95" s="363"/>
      <c r="VCP95" s="363"/>
      <c r="VCQ95" s="364" t="s">
        <v>140</v>
      </c>
      <c r="VCR95" s="365">
        <v>0.5</v>
      </c>
      <c r="VCS95" s="366" t="e">
        <f>10/VCO93</f>
        <v>#DIV/0!</v>
      </c>
      <c r="VCT95" s="367">
        <v>15.38</v>
      </c>
      <c r="VCU95" s="367" t="e">
        <f>VCR95*VCS95*VCT95</f>
        <v>#DIV/0!</v>
      </c>
      <c r="VCV95" s="363" t="s">
        <v>153</v>
      </c>
      <c r="VCW95" s="363"/>
      <c r="VCX95" s="363"/>
      <c r="VCY95" s="364" t="s">
        <v>140</v>
      </c>
      <c r="VCZ95" s="365">
        <v>0.5</v>
      </c>
      <c r="VDA95" s="366" t="e">
        <f>10/VCW93</f>
        <v>#DIV/0!</v>
      </c>
      <c r="VDB95" s="367">
        <v>15.38</v>
      </c>
      <c r="VDC95" s="367" t="e">
        <f>VCZ95*VDA95*VDB95</f>
        <v>#DIV/0!</v>
      </c>
      <c r="VDD95" s="363" t="s">
        <v>153</v>
      </c>
      <c r="VDE95" s="363"/>
      <c r="VDF95" s="363"/>
      <c r="VDG95" s="364" t="s">
        <v>140</v>
      </c>
      <c r="VDH95" s="365">
        <v>0.5</v>
      </c>
      <c r="VDI95" s="366" t="e">
        <f>10/VDE93</f>
        <v>#DIV/0!</v>
      </c>
      <c r="VDJ95" s="367">
        <v>15.38</v>
      </c>
      <c r="VDK95" s="367" t="e">
        <f>VDH95*VDI95*VDJ95</f>
        <v>#DIV/0!</v>
      </c>
      <c r="VDL95" s="363" t="s">
        <v>153</v>
      </c>
      <c r="VDM95" s="363"/>
      <c r="VDN95" s="363"/>
      <c r="VDO95" s="364" t="s">
        <v>140</v>
      </c>
      <c r="VDP95" s="365">
        <v>0.5</v>
      </c>
      <c r="VDQ95" s="366" t="e">
        <f>10/VDM93</f>
        <v>#DIV/0!</v>
      </c>
      <c r="VDR95" s="367">
        <v>15.38</v>
      </c>
      <c r="VDS95" s="367" t="e">
        <f>VDP95*VDQ95*VDR95</f>
        <v>#DIV/0!</v>
      </c>
      <c r="VDT95" s="363" t="s">
        <v>153</v>
      </c>
      <c r="VDU95" s="363"/>
      <c r="VDV95" s="363"/>
      <c r="VDW95" s="364" t="s">
        <v>140</v>
      </c>
      <c r="VDX95" s="365">
        <v>0.5</v>
      </c>
      <c r="VDY95" s="366" t="e">
        <f>10/VDU93</f>
        <v>#DIV/0!</v>
      </c>
      <c r="VDZ95" s="367">
        <v>15.38</v>
      </c>
      <c r="VEA95" s="367" t="e">
        <f>VDX95*VDY95*VDZ95</f>
        <v>#DIV/0!</v>
      </c>
      <c r="VEB95" s="363" t="s">
        <v>153</v>
      </c>
      <c r="VEC95" s="363"/>
      <c r="VED95" s="363"/>
      <c r="VEE95" s="364" t="s">
        <v>140</v>
      </c>
      <c r="VEF95" s="365">
        <v>0.5</v>
      </c>
      <c r="VEG95" s="366" t="e">
        <f>10/VEC93</f>
        <v>#DIV/0!</v>
      </c>
      <c r="VEH95" s="367">
        <v>15.38</v>
      </c>
      <c r="VEI95" s="367" t="e">
        <f>VEF95*VEG95*VEH95</f>
        <v>#DIV/0!</v>
      </c>
      <c r="VEJ95" s="363" t="s">
        <v>153</v>
      </c>
      <c r="VEK95" s="363"/>
      <c r="VEL95" s="363"/>
      <c r="VEM95" s="364" t="s">
        <v>140</v>
      </c>
      <c r="VEN95" s="365">
        <v>0.5</v>
      </c>
      <c r="VEO95" s="366" t="e">
        <f>10/VEK93</f>
        <v>#DIV/0!</v>
      </c>
      <c r="VEP95" s="367">
        <v>15.38</v>
      </c>
      <c r="VEQ95" s="367" t="e">
        <f>VEN95*VEO95*VEP95</f>
        <v>#DIV/0!</v>
      </c>
      <c r="VER95" s="363" t="s">
        <v>153</v>
      </c>
      <c r="VES95" s="363"/>
      <c r="VET95" s="363"/>
      <c r="VEU95" s="364" t="s">
        <v>140</v>
      </c>
      <c r="VEV95" s="365">
        <v>0.5</v>
      </c>
      <c r="VEW95" s="366" t="e">
        <f>10/VES93</f>
        <v>#DIV/0!</v>
      </c>
      <c r="VEX95" s="367">
        <v>15.38</v>
      </c>
      <c r="VEY95" s="367" t="e">
        <f>VEV95*VEW95*VEX95</f>
        <v>#DIV/0!</v>
      </c>
      <c r="VEZ95" s="363" t="s">
        <v>153</v>
      </c>
      <c r="VFA95" s="363"/>
      <c r="VFB95" s="363"/>
      <c r="VFC95" s="364" t="s">
        <v>140</v>
      </c>
      <c r="VFD95" s="365">
        <v>0.5</v>
      </c>
      <c r="VFE95" s="366" t="e">
        <f>10/VFA93</f>
        <v>#DIV/0!</v>
      </c>
      <c r="VFF95" s="367">
        <v>15.38</v>
      </c>
      <c r="VFG95" s="367" t="e">
        <f>VFD95*VFE95*VFF95</f>
        <v>#DIV/0!</v>
      </c>
      <c r="VFH95" s="363" t="s">
        <v>153</v>
      </c>
      <c r="VFI95" s="363"/>
      <c r="VFJ95" s="363"/>
      <c r="VFK95" s="364" t="s">
        <v>140</v>
      </c>
      <c r="VFL95" s="365">
        <v>0.5</v>
      </c>
      <c r="VFM95" s="366" t="e">
        <f>10/VFI93</f>
        <v>#DIV/0!</v>
      </c>
      <c r="VFN95" s="367">
        <v>15.38</v>
      </c>
      <c r="VFO95" s="367" t="e">
        <f>VFL95*VFM95*VFN95</f>
        <v>#DIV/0!</v>
      </c>
      <c r="VFP95" s="363" t="s">
        <v>153</v>
      </c>
      <c r="VFQ95" s="363"/>
      <c r="VFR95" s="363"/>
      <c r="VFS95" s="364" t="s">
        <v>140</v>
      </c>
      <c r="VFT95" s="365">
        <v>0.5</v>
      </c>
      <c r="VFU95" s="366" t="e">
        <f>10/VFQ93</f>
        <v>#DIV/0!</v>
      </c>
      <c r="VFV95" s="367">
        <v>15.38</v>
      </c>
      <c r="VFW95" s="367" t="e">
        <f>VFT95*VFU95*VFV95</f>
        <v>#DIV/0!</v>
      </c>
      <c r="VFX95" s="363" t="s">
        <v>153</v>
      </c>
      <c r="VFY95" s="363"/>
      <c r="VFZ95" s="363"/>
      <c r="VGA95" s="364" t="s">
        <v>140</v>
      </c>
      <c r="VGB95" s="365">
        <v>0.5</v>
      </c>
      <c r="VGC95" s="366" t="e">
        <f>10/VFY93</f>
        <v>#DIV/0!</v>
      </c>
      <c r="VGD95" s="367">
        <v>15.38</v>
      </c>
      <c r="VGE95" s="367" t="e">
        <f>VGB95*VGC95*VGD95</f>
        <v>#DIV/0!</v>
      </c>
      <c r="VGF95" s="363" t="s">
        <v>153</v>
      </c>
      <c r="VGG95" s="363"/>
      <c r="VGH95" s="363"/>
      <c r="VGI95" s="364" t="s">
        <v>140</v>
      </c>
      <c r="VGJ95" s="365">
        <v>0.5</v>
      </c>
      <c r="VGK95" s="366" t="e">
        <f>10/VGG93</f>
        <v>#DIV/0!</v>
      </c>
      <c r="VGL95" s="367">
        <v>15.38</v>
      </c>
      <c r="VGM95" s="367" t="e">
        <f>VGJ95*VGK95*VGL95</f>
        <v>#DIV/0!</v>
      </c>
      <c r="VGN95" s="363" t="s">
        <v>153</v>
      </c>
      <c r="VGO95" s="363"/>
      <c r="VGP95" s="363"/>
      <c r="VGQ95" s="364" t="s">
        <v>140</v>
      </c>
      <c r="VGR95" s="365">
        <v>0.5</v>
      </c>
      <c r="VGS95" s="366" t="e">
        <f>10/VGO93</f>
        <v>#DIV/0!</v>
      </c>
      <c r="VGT95" s="367">
        <v>15.38</v>
      </c>
      <c r="VGU95" s="367" t="e">
        <f>VGR95*VGS95*VGT95</f>
        <v>#DIV/0!</v>
      </c>
      <c r="VGV95" s="363" t="s">
        <v>153</v>
      </c>
      <c r="VGW95" s="363"/>
      <c r="VGX95" s="363"/>
      <c r="VGY95" s="364" t="s">
        <v>140</v>
      </c>
      <c r="VGZ95" s="365">
        <v>0.5</v>
      </c>
      <c r="VHA95" s="366" t="e">
        <f>10/VGW93</f>
        <v>#DIV/0!</v>
      </c>
      <c r="VHB95" s="367">
        <v>15.38</v>
      </c>
      <c r="VHC95" s="367" t="e">
        <f>VGZ95*VHA95*VHB95</f>
        <v>#DIV/0!</v>
      </c>
      <c r="VHD95" s="363" t="s">
        <v>153</v>
      </c>
      <c r="VHE95" s="363"/>
      <c r="VHF95" s="363"/>
      <c r="VHG95" s="364" t="s">
        <v>140</v>
      </c>
      <c r="VHH95" s="365">
        <v>0.5</v>
      </c>
      <c r="VHI95" s="366" t="e">
        <f>10/VHE93</f>
        <v>#DIV/0!</v>
      </c>
      <c r="VHJ95" s="367">
        <v>15.38</v>
      </c>
      <c r="VHK95" s="367" t="e">
        <f>VHH95*VHI95*VHJ95</f>
        <v>#DIV/0!</v>
      </c>
      <c r="VHL95" s="363" t="s">
        <v>153</v>
      </c>
      <c r="VHM95" s="363"/>
      <c r="VHN95" s="363"/>
      <c r="VHO95" s="364" t="s">
        <v>140</v>
      </c>
      <c r="VHP95" s="365">
        <v>0.5</v>
      </c>
      <c r="VHQ95" s="366" t="e">
        <f>10/VHM93</f>
        <v>#DIV/0!</v>
      </c>
      <c r="VHR95" s="367">
        <v>15.38</v>
      </c>
      <c r="VHS95" s="367" t="e">
        <f>VHP95*VHQ95*VHR95</f>
        <v>#DIV/0!</v>
      </c>
      <c r="VHT95" s="363" t="s">
        <v>153</v>
      </c>
      <c r="VHU95" s="363"/>
      <c r="VHV95" s="363"/>
      <c r="VHW95" s="364" t="s">
        <v>140</v>
      </c>
      <c r="VHX95" s="365">
        <v>0.5</v>
      </c>
      <c r="VHY95" s="366" t="e">
        <f>10/VHU93</f>
        <v>#DIV/0!</v>
      </c>
      <c r="VHZ95" s="367">
        <v>15.38</v>
      </c>
      <c r="VIA95" s="367" t="e">
        <f>VHX95*VHY95*VHZ95</f>
        <v>#DIV/0!</v>
      </c>
      <c r="VIB95" s="363" t="s">
        <v>153</v>
      </c>
      <c r="VIC95" s="363"/>
      <c r="VID95" s="363"/>
      <c r="VIE95" s="364" t="s">
        <v>140</v>
      </c>
      <c r="VIF95" s="365">
        <v>0.5</v>
      </c>
      <c r="VIG95" s="366" t="e">
        <f>10/VIC93</f>
        <v>#DIV/0!</v>
      </c>
      <c r="VIH95" s="367">
        <v>15.38</v>
      </c>
      <c r="VII95" s="367" t="e">
        <f>VIF95*VIG95*VIH95</f>
        <v>#DIV/0!</v>
      </c>
      <c r="VIJ95" s="363" t="s">
        <v>153</v>
      </c>
      <c r="VIK95" s="363"/>
      <c r="VIL95" s="363"/>
      <c r="VIM95" s="364" t="s">
        <v>140</v>
      </c>
      <c r="VIN95" s="365">
        <v>0.5</v>
      </c>
      <c r="VIO95" s="366" t="e">
        <f>10/VIK93</f>
        <v>#DIV/0!</v>
      </c>
      <c r="VIP95" s="367">
        <v>15.38</v>
      </c>
      <c r="VIQ95" s="367" t="e">
        <f>VIN95*VIO95*VIP95</f>
        <v>#DIV/0!</v>
      </c>
      <c r="VIR95" s="363" t="s">
        <v>153</v>
      </c>
      <c r="VIS95" s="363"/>
      <c r="VIT95" s="363"/>
      <c r="VIU95" s="364" t="s">
        <v>140</v>
      </c>
      <c r="VIV95" s="365">
        <v>0.5</v>
      </c>
      <c r="VIW95" s="366" t="e">
        <f>10/VIS93</f>
        <v>#DIV/0!</v>
      </c>
      <c r="VIX95" s="367">
        <v>15.38</v>
      </c>
      <c r="VIY95" s="367" t="e">
        <f>VIV95*VIW95*VIX95</f>
        <v>#DIV/0!</v>
      </c>
      <c r="VIZ95" s="363" t="s">
        <v>153</v>
      </c>
      <c r="VJA95" s="363"/>
      <c r="VJB95" s="363"/>
      <c r="VJC95" s="364" t="s">
        <v>140</v>
      </c>
      <c r="VJD95" s="365">
        <v>0.5</v>
      </c>
      <c r="VJE95" s="366" t="e">
        <f>10/VJA93</f>
        <v>#DIV/0!</v>
      </c>
      <c r="VJF95" s="367">
        <v>15.38</v>
      </c>
      <c r="VJG95" s="367" t="e">
        <f>VJD95*VJE95*VJF95</f>
        <v>#DIV/0!</v>
      </c>
      <c r="VJH95" s="363" t="s">
        <v>153</v>
      </c>
      <c r="VJI95" s="363"/>
      <c r="VJJ95" s="363"/>
      <c r="VJK95" s="364" t="s">
        <v>140</v>
      </c>
      <c r="VJL95" s="365">
        <v>0.5</v>
      </c>
      <c r="VJM95" s="366" t="e">
        <f>10/VJI93</f>
        <v>#DIV/0!</v>
      </c>
      <c r="VJN95" s="367">
        <v>15.38</v>
      </c>
      <c r="VJO95" s="367" t="e">
        <f>VJL95*VJM95*VJN95</f>
        <v>#DIV/0!</v>
      </c>
      <c r="VJP95" s="363" t="s">
        <v>153</v>
      </c>
      <c r="VJQ95" s="363"/>
      <c r="VJR95" s="363"/>
      <c r="VJS95" s="364" t="s">
        <v>140</v>
      </c>
      <c r="VJT95" s="365">
        <v>0.5</v>
      </c>
      <c r="VJU95" s="366" t="e">
        <f>10/VJQ93</f>
        <v>#DIV/0!</v>
      </c>
      <c r="VJV95" s="367">
        <v>15.38</v>
      </c>
      <c r="VJW95" s="367" t="e">
        <f>VJT95*VJU95*VJV95</f>
        <v>#DIV/0!</v>
      </c>
      <c r="VJX95" s="363" t="s">
        <v>153</v>
      </c>
      <c r="VJY95" s="363"/>
      <c r="VJZ95" s="363"/>
      <c r="VKA95" s="364" t="s">
        <v>140</v>
      </c>
      <c r="VKB95" s="365">
        <v>0.5</v>
      </c>
      <c r="VKC95" s="366" t="e">
        <f>10/VJY93</f>
        <v>#DIV/0!</v>
      </c>
      <c r="VKD95" s="367">
        <v>15.38</v>
      </c>
      <c r="VKE95" s="367" t="e">
        <f>VKB95*VKC95*VKD95</f>
        <v>#DIV/0!</v>
      </c>
      <c r="VKF95" s="363" t="s">
        <v>153</v>
      </c>
      <c r="VKG95" s="363"/>
      <c r="VKH95" s="363"/>
      <c r="VKI95" s="364" t="s">
        <v>140</v>
      </c>
      <c r="VKJ95" s="365">
        <v>0.5</v>
      </c>
      <c r="VKK95" s="366" t="e">
        <f>10/VKG93</f>
        <v>#DIV/0!</v>
      </c>
      <c r="VKL95" s="367">
        <v>15.38</v>
      </c>
      <c r="VKM95" s="367" t="e">
        <f>VKJ95*VKK95*VKL95</f>
        <v>#DIV/0!</v>
      </c>
      <c r="VKN95" s="363" t="s">
        <v>153</v>
      </c>
      <c r="VKO95" s="363"/>
      <c r="VKP95" s="363"/>
      <c r="VKQ95" s="364" t="s">
        <v>140</v>
      </c>
      <c r="VKR95" s="365">
        <v>0.5</v>
      </c>
      <c r="VKS95" s="366" t="e">
        <f>10/VKO93</f>
        <v>#DIV/0!</v>
      </c>
      <c r="VKT95" s="367">
        <v>15.38</v>
      </c>
      <c r="VKU95" s="367" t="e">
        <f>VKR95*VKS95*VKT95</f>
        <v>#DIV/0!</v>
      </c>
      <c r="VKV95" s="363" t="s">
        <v>153</v>
      </c>
      <c r="VKW95" s="363"/>
      <c r="VKX95" s="363"/>
      <c r="VKY95" s="364" t="s">
        <v>140</v>
      </c>
      <c r="VKZ95" s="365">
        <v>0.5</v>
      </c>
      <c r="VLA95" s="366" t="e">
        <f>10/VKW93</f>
        <v>#DIV/0!</v>
      </c>
      <c r="VLB95" s="367">
        <v>15.38</v>
      </c>
      <c r="VLC95" s="367" t="e">
        <f>VKZ95*VLA95*VLB95</f>
        <v>#DIV/0!</v>
      </c>
      <c r="VLD95" s="363" t="s">
        <v>153</v>
      </c>
      <c r="VLE95" s="363"/>
      <c r="VLF95" s="363"/>
      <c r="VLG95" s="364" t="s">
        <v>140</v>
      </c>
      <c r="VLH95" s="365">
        <v>0.5</v>
      </c>
      <c r="VLI95" s="366" t="e">
        <f>10/VLE93</f>
        <v>#DIV/0!</v>
      </c>
      <c r="VLJ95" s="367">
        <v>15.38</v>
      </c>
      <c r="VLK95" s="367" t="e">
        <f>VLH95*VLI95*VLJ95</f>
        <v>#DIV/0!</v>
      </c>
      <c r="VLL95" s="363" t="s">
        <v>153</v>
      </c>
      <c r="VLM95" s="363"/>
      <c r="VLN95" s="363"/>
      <c r="VLO95" s="364" t="s">
        <v>140</v>
      </c>
      <c r="VLP95" s="365">
        <v>0.5</v>
      </c>
      <c r="VLQ95" s="366" t="e">
        <f>10/VLM93</f>
        <v>#DIV/0!</v>
      </c>
      <c r="VLR95" s="367">
        <v>15.38</v>
      </c>
      <c r="VLS95" s="367" t="e">
        <f>VLP95*VLQ95*VLR95</f>
        <v>#DIV/0!</v>
      </c>
      <c r="VLT95" s="363" t="s">
        <v>153</v>
      </c>
      <c r="VLU95" s="363"/>
      <c r="VLV95" s="363"/>
      <c r="VLW95" s="364" t="s">
        <v>140</v>
      </c>
      <c r="VLX95" s="365">
        <v>0.5</v>
      </c>
      <c r="VLY95" s="366" t="e">
        <f>10/VLU93</f>
        <v>#DIV/0!</v>
      </c>
      <c r="VLZ95" s="367">
        <v>15.38</v>
      </c>
      <c r="VMA95" s="367" t="e">
        <f>VLX95*VLY95*VLZ95</f>
        <v>#DIV/0!</v>
      </c>
      <c r="VMB95" s="363" t="s">
        <v>153</v>
      </c>
      <c r="VMC95" s="363"/>
      <c r="VMD95" s="363"/>
      <c r="VME95" s="364" t="s">
        <v>140</v>
      </c>
      <c r="VMF95" s="365">
        <v>0.5</v>
      </c>
      <c r="VMG95" s="366" t="e">
        <f>10/VMC93</f>
        <v>#DIV/0!</v>
      </c>
      <c r="VMH95" s="367">
        <v>15.38</v>
      </c>
      <c r="VMI95" s="367" t="e">
        <f>VMF95*VMG95*VMH95</f>
        <v>#DIV/0!</v>
      </c>
      <c r="VMJ95" s="363" t="s">
        <v>153</v>
      </c>
      <c r="VMK95" s="363"/>
      <c r="VML95" s="363"/>
      <c r="VMM95" s="364" t="s">
        <v>140</v>
      </c>
      <c r="VMN95" s="365">
        <v>0.5</v>
      </c>
      <c r="VMO95" s="366" t="e">
        <f>10/VMK93</f>
        <v>#DIV/0!</v>
      </c>
      <c r="VMP95" s="367">
        <v>15.38</v>
      </c>
      <c r="VMQ95" s="367" t="e">
        <f>VMN95*VMO95*VMP95</f>
        <v>#DIV/0!</v>
      </c>
      <c r="VMR95" s="363" t="s">
        <v>153</v>
      </c>
      <c r="VMS95" s="363"/>
      <c r="VMT95" s="363"/>
      <c r="VMU95" s="364" t="s">
        <v>140</v>
      </c>
      <c r="VMV95" s="365">
        <v>0.5</v>
      </c>
      <c r="VMW95" s="366" t="e">
        <f>10/VMS93</f>
        <v>#DIV/0!</v>
      </c>
      <c r="VMX95" s="367">
        <v>15.38</v>
      </c>
      <c r="VMY95" s="367" t="e">
        <f>VMV95*VMW95*VMX95</f>
        <v>#DIV/0!</v>
      </c>
      <c r="VMZ95" s="363" t="s">
        <v>153</v>
      </c>
      <c r="VNA95" s="363"/>
      <c r="VNB95" s="363"/>
      <c r="VNC95" s="364" t="s">
        <v>140</v>
      </c>
      <c r="VND95" s="365">
        <v>0.5</v>
      </c>
      <c r="VNE95" s="366" t="e">
        <f>10/VNA93</f>
        <v>#DIV/0!</v>
      </c>
      <c r="VNF95" s="367">
        <v>15.38</v>
      </c>
      <c r="VNG95" s="367" t="e">
        <f>VND95*VNE95*VNF95</f>
        <v>#DIV/0!</v>
      </c>
      <c r="VNH95" s="363" t="s">
        <v>153</v>
      </c>
      <c r="VNI95" s="363"/>
      <c r="VNJ95" s="363"/>
      <c r="VNK95" s="364" t="s">
        <v>140</v>
      </c>
      <c r="VNL95" s="365">
        <v>0.5</v>
      </c>
      <c r="VNM95" s="366" t="e">
        <f>10/VNI93</f>
        <v>#DIV/0!</v>
      </c>
      <c r="VNN95" s="367">
        <v>15.38</v>
      </c>
      <c r="VNO95" s="367" t="e">
        <f>VNL95*VNM95*VNN95</f>
        <v>#DIV/0!</v>
      </c>
      <c r="VNP95" s="363" t="s">
        <v>153</v>
      </c>
      <c r="VNQ95" s="363"/>
      <c r="VNR95" s="363"/>
      <c r="VNS95" s="364" t="s">
        <v>140</v>
      </c>
      <c r="VNT95" s="365">
        <v>0.5</v>
      </c>
      <c r="VNU95" s="366" t="e">
        <f>10/VNQ93</f>
        <v>#DIV/0!</v>
      </c>
      <c r="VNV95" s="367">
        <v>15.38</v>
      </c>
      <c r="VNW95" s="367" t="e">
        <f>VNT95*VNU95*VNV95</f>
        <v>#DIV/0!</v>
      </c>
      <c r="VNX95" s="363" t="s">
        <v>153</v>
      </c>
      <c r="VNY95" s="363"/>
      <c r="VNZ95" s="363"/>
      <c r="VOA95" s="364" t="s">
        <v>140</v>
      </c>
      <c r="VOB95" s="365">
        <v>0.5</v>
      </c>
      <c r="VOC95" s="366" t="e">
        <f>10/VNY93</f>
        <v>#DIV/0!</v>
      </c>
      <c r="VOD95" s="367">
        <v>15.38</v>
      </c>
      <c r="VOE95" s="367" t="e">
        <f>VOB95*VOC95*VOD95</f>
        <v>#DIV/0!</v>
      </c>
      <c r="VOF95" s="363" t="s">
        <v>153</v>
      </c>
      <c r="VOG95" s="363"/>
      <c r="VOH95" s="363"/>
      <c r="VOI95" s="364" t="s">
        <v>140</v>
      </c>
      <c r="VOJ95" s="365">
        <v>0.5</v>
      </c>
      <c r="VOK95" s="366" t="e">
        <f>10/VOG93</f>
        <v>#DIV/0!</v>
      </c>
      <c r="VOL95" s="367">
        <v>15.38</v>
      </c>
      <c r="VOM95" s="367" t="e">
        <f>VOJ95*VOK95*VOL95</f>
        <v>#DIV/0!</v>
      </c>
      <c r="VON95" s="363" t="s">
        <v>153</v>
      </c>
      <c r="VOO95" s="363"/>
      <c r="VOP95" s="363"/>
      <c r="VOQ95" s="364" t="s">
        <v>140</v>
      </c>
      <c r="VOR95" s="365">
        <v>0.5</v>
      </c>
      <c r="VOS95" s="366" t="e">
        <f>10/VOO93</f>
        <v>#DIV/0!</v>
      </c>
      <c r="VOT95" s="367">
        <v>15.38</v>
      </c>
      <c r="VOU95" s="367" t="e">
        <f>VOR95*VOS95*VOT95</f>
        <v>#DIV/0!</v>
      </c>
      <c r="VOV95" s="363" t="s">
        <v>153</v>
      </c>
      <c r="VOW95" s="363"/>
      <c r="VOX95" s="363"/>
      <c r="VOY95" s="364" t="s">
        <v>140</v>
      </c>
      <c r="VOZ95" s="365">
        <v>0.5</v>
      </c>
      <c r="VPA95" s="366" t="e">
        <f>10/VOW93</f>
        <v>#DIV/0!</v>
      </c>
      <c r="VPB95" s="367">
        <v>15.38</v>
      </c>
      <c r="VPC95" s="367" t="e">
        <f>VOZ95*VPA95*VPB95</f>
        <v>#DIV/0!</v>
      </c>
      <c r="VPD95" s="363" t="s">
        <v>153</v>
      </c>
      <c r="VPE95" s="363"/>
      <c r="VPF95" s="363"/>
      <c r="VPG95" s="364" t="s">
        <v>140</v>
      </c>
      <c r="VPH95" s="365">
        <v>0.5</v>
      </c>
      <c r="VPI95" s="366" t="e">
        <f>10/VPE93</f>
        <v>#DIV/0!</v>
      </c>
      <c r="VPJ95" s="367">
        <v>15.38</v>
      </c>
      <c r="VPK95" s="367" t="e">
        <f>VPH95*VPI95*VPJ95</f>
        <v>#DIV/0!</v>
      </c>
      <c r="VPL95" s="363" t="s">
        <v>153</v>
      </c>
      <c r="VPM95" s="363"/>
      <c r="VPN95" s="363"/>
      <c r="VPO95" s="364" t="s">
        <v>140</v>
      </c>
      <c r="VPP95" s="365">
        <v>0.5</v>
      </c>
      <c r="VPQ95" s="366" t="e">
        <f>10/VPM93</f>
        <v>#DIV/0!</v>
      </c>
      <c r="VPR95" s="367">
        <v>15.38</v>
      </c>
      <c r="VPS95" s="367" t="e">
        <f>VPP95*VPQ95*VPR95</f>
        <v>#DIV/0!</v>
      </c>
      <c r="VPT95" s="363" t="s">
        <v>153</v>
      </c>
      <c r="VPU95" s="363"/>
      <c r="VPV95" s="363"/>
      <c r="VPW95" s="364" t="s">
        <v>140</v>
      </c>
      <c r="VPX95" s="365">
        <v>0.5</v>
      </c>
      <c r="VPY95" s="366" t="e">
        <f>10/VPU93</f>
        <v>#DIV/0!</v>
      </c>
      <c r="VPZ95" s="367">
        <v>15.38</v>
      </c>
      <c r="VQA95" s="367" t="e">
        <f>VPX95*VPY95*VPZ95</f>
        <v>#DIV/0!</v>
      </c>
      <c r="VQB95" s="363" t="s">
        <v>153</v>
      </c>
      <c r="VQC95" s="363"/>
      <c r="VQD95" s="363"/>
      <c r="VQE95" s="364" t="s">
        <v>140</v>
      </c>
      <c r="VQF95" s="365">
        <v>0.5</v>
      </c>
      <c r="VQG95" s="366" t="e">
        <f>10/VQC93</f>
        <v>#DIV/0!</v>
      </c>
      <c r="VQH95" s="367">
        <v>15.38</v>
      </c>
      <c r="VQI95" s="367" t="e">
        <f>VQF95*VQG95*VQH95</f>
        <v>#DIV/0!</v>
      </c>
      <c r="VQJ95" s="363" t="s">
        <v>153</v>
      </c>
      <c r="VQK95" s="363"/>
      <c r="VQL95" s="363"/>
      <c r="VQM95" s="364" t="s">
        <v>140</v>
      </c>
      <c r="VQN95" s="365">
        <v>0.5</v>
      </c>
      <c r="VQO95" s="366" t="e">
        <f>10/VQK93</f>
        <v>#DIV/0!</v>
      </c>
      <c r="VQP95" s="367">
        <v>15.38</v>
      </c>
      <c r="VQQ95" s="367" t="e">
        <f>VQN95*VQO95*VQP95</f>
        <v>#DIV/0!</v>
      </c>
      <c r="VQR95" s="363" t="s">
        <v>153</v>
      </c>
      <c r="VQS95" s="363"/>
      <c r="VQT95" s="363"/>
      <c r="VQU95" s="364" t="s">
        <v>140</v>
      </c>
      <c r="VQV95" s="365">
        <v>0.5</v>
      </c>
      <c r="VQW95" s="366" t="e">
        <f>10/VQS93</f>
        <v>#DIV/0!</v>
      </c>
      <c r="VQX95" s="367">
        <v>15.38</v>
      </c>
      <c r="VQY95" s="367" t="e">
        <f>VQV95*VQW95*VQX95</f>
        <v>#DIV/0!</v>
      </c>
      <c r="VQZ95" s="363" t="s">
        <v>153</v>
      </c>
      <c r="VRA95" s="363"/>
      <c r="VRB95" s="363"/>
      <c r="VRC95" s="364" t="s">
        <v>140</v>
      </c>
      <c r="VRD95" s="365">
        <v>0.5</v>
      </c>
      <c r="VRE95" s="366" t="e">
        <f>10/VRA93</f>
        <v>#DIV/0!</v>
      </c>
      <c r="VRF95" s="367">
        <v>15.38</v>
      </c>
      <c r="VRG95" s="367" t="e">
        <f>VRD95*VRE95*VRF95</f>
        <v>#DIV/0!</v>
      </c>
      <c r="VRH95" s="363" t="s">
        <v>153</v>
      </c>
      <c r="VRI95" s="363"/>
      <c r="VRJ95" s="363"/>
      <c r="VRK95" s="364" t="s">
        <v>140</v>
      </c>
      <c r="VRL95" s="365">
        <v>0.5</v>
      </c>
      <c r="VRM95" s="366" t="e">
        <f>10/VRI93</f>
        <v>#DIV/0!</v>
      </c>
      <c r="VRN95" s="367">
        <v>15.38</v>
      </c>
      <c r="VRO95" s="367" t="e">
        <f>VRL95*VRM95*VRN95</f>
        <v>#DIV/0!</v>
      </c>
      <c r="VRP95" s="363" t="s">
        <v>153</v>
      </c>
      <c r="VRQ95" s="363"/>
      <c r="VRR95" s="363"/>
      <c r="VRS95" s="364" t="s">
        <v>140</v>
      </c>
      <c r="VRT95" s="365">
        <v>0.5</v>
      </c>
      <c r="VRU95" s="366" t="e">
        <f>10/VRQ93</f>
        <v>#DIV/0!</v>
      </c>
      <c r="VRV95" s="367">
        <v>15.38</v>
      </c>
      <c r="VRW95" s="367" t="e">
        <f>VRT95*VRU95*VRV95</f>
        <v>#DIV/0!</v>
      </c>
      <c r="VRX95" s="363" t="s">
        <v>153</v>
      </c>
      <c r="VRY95" s="363"/>
      <c r="VRZ95" s="363"/>
      <c r="VSA95" s="364" t="s">
        <v>140</v>
      </c>
      <c r="VSB95" s="365">
        <v>0.5</v>
      </c>
      <c r="VSC95" s="366" t="e">
        <f>10/VRY93</f>
        <v>#DIV/0!</v>
      </c>
      <c r="VSD95" s="367">
        <v>15.38</v>
      </c>
      <c r="VSE95" s="367" t="e">
        <f>VSB95*VSC95*VSD95</f>
        <v>#DIV/0!</v>
      </c>
      <c r="VSF95" s="363" t="s">
        <v>153</v>
      </c>
      <c r="VSG95" s="363"/>
      <c r="VSH95" s="363"/>
      <c r="VSI95" s="364" t="s">
        <v>140</v>
      </c>
      <c r="VSJ95" s="365">
        <v>0.5</v>
      </c>
      <c r="VSK95" s="366" t="e">
        <f>10/VSG93</f>
        <v>#DIV/0!</v>
      </c>
      <c r="VSL95" s="367">
        <v>15.38</v>
      </c>
      <c r="VSM95" s="367" t="e">
        <f>VSJ95*VSK95*VSL95</f>
        <v>#DIV/0!</v>
      </c>
      <c r="VSN95" s="363" t="s">
        <v>153</v>
      </c>
      <c r="VSO95" s="363"/>
      <c r="VSP95" s="363"/>
      <c r="VSQ95" s="364" t="s">
        <v>140</v>
      </c>
      <c r="VSR95" s="365">
        <v>0.5</v>
      </c>
      <c r="VSS95" s="366" t="e">
        <f>10/VSO93</f>
        <v>#DIV/0!</v>
      </c>
      <c r="VST95" s="367">
        <v>15.38</v>
      </c>
      <c r="VSU95" s="367" t="e">
        <f>VSR95*VSS95*VST95</f>
        <v>#DIV/0!</v>
      </c>
      <c r="VSV95" s="363" t="s">
        <v>153</v>
      </c>
      <c r="VSW95" s="363"/>
      <c r="VSX95" s="363"/>
      <c r="VSY95" s="364" t="s">
        <v>140</v>
      </c>
      <c r="VSZ95" s="365">
        <v>0.5</v>
      </c>
      <c r="VTA95" s="366" t="e">
        <f>10/VSW93</f>
        <v>#DIV/0!</v>
      </c>
      <c r="VTB95" s="367">
        <v>15.38</v>
      </c>
      <c r="VTC95" s="367" t="e">
        <f>VSZ95*VTA95*VTB95</f>
        <v>#DIV/0!</v>
      </c>
      <c r="VTD95" s="363" t="s">
        <v>153</v>
      </c>
      <c r="VTE95" s="363"/>
      <c r="VTF95" s="363"/>
      <c r="VTG95" s="364" t="s">
        <v>140</v>
      </c>
      <c r="VTH95" s="365">
        <v>0.5</v>
      </c>
      <c r="VTI95" s="366" t="e">
        <f>10/VTE93</f>
        <v>#DIV/0!</v>
      </c>
      <c r="VTJ95" s="367">
        <v>15.38</v>
      </c>
      <c r="VTK95" s="367" t="e">
        <f>VTH95*VTI95*VTJ95</f>
        <v>#DIV/0!</v>
      </c>
      <c r="VTL95" s="363" t="s">
        <v>153</v>
      </c>
      <c r="VTM95" s="363"/>
      <c r="VTN95" s="363"/>
      <c r="VTO95" s="364" t="s">
        <v>140</v>
      </c>
      <c r="VTP95" s="365">
        <v>0.5</v>
      </c>
      <c r="VTQ95" s="366" t="e">
        <f>10/VTM93</f>
        <v>#DIV/0!</v>
      </c>
      <c r="VTR95" s="367">
        <v>15.38</v>
      </c>
      <c r="VTS95" s="367" t="e">
        <f>VTP95*VTQ95*VTR95</f>
        <v>#DIV/0!</v>
      </c>
      <c r="VTT95" s="363" t="s">
        <v>153</v>
      </c>
      <c r="VTU95" s="363"/>
      <c r="VTV95" s="363"/>
      <c r="VTW95" s="364" t="s">
        <v>140</v>
      </c>
      <c r="VTX95" s="365">
        <v>0.5</v>
      </c>
      <c r="VTY95" s="366" t="e">
        <f>10/VTU93</f>
        <v>#DIV/0!</v>
      </c>
      <c r="VTZ95" s="367">
        <v>15.38</v>
      </c>
      <c r="VUA95" s="367" t="e">
        <f>VTX95*VTY95*VTZ95</f>
        <v>#DIV/0!</v>
      </c>
      <c r="VUB95" s="363" t="s">
        <v>153</v>
      </c>
      <c r="VUC95" s="363"/>
      <c r="VUD95" s="363"/>
      <c r="VUE95" s="364" t="s">
        <v>140</v>
      </c>
      <c r="VUF95" s="365">
        <v>0.5</v>
      </c>
      <c r="VUG95" s="366" t="e">
        <f>10/VUC93</f>
        <v>#DIV/0!</v>
      </c>
      <c r="VUH95" s="367">
        <v>15.38</v>
      </c>
      <c r="VUI95" s="367" t="e">
        <f>VUF95*VUG95*VUH95</f>
        <v>#DIV/0!</v>
      </c>
      <c r="VUJ95" s="363" t="s">
        <v>153</v>
      </c>
      <c r="VUK95" s="363"/>
      <c r="VUL95" s="363"/>
      <c r="VUM95" s="364" t="s">
        <v>140</v>
      </c>
      <c r="VUN95" s="365">
        <v>0.5</v>
      </c>
      <c r="VUO95" s="366" t="e">
        <f>10/VUK93</f>
        <v>#DIV/0!</v>
      </c>
      <c r="VUP95" s="367">
        <v>15.38</v>
      </c>
      <c r="VUQ95" s="367" t="e">
        <f>VUN95*VUO95*VUP95</f>
        <v>#DIV/0!</v>
      </c>
      <c r="VUR95" s="363" t="s">
        <v>153</v>
      </c>
      <c r="VUS95" s="363"/>
      <c r="VUT95" s="363"/>
      <c r="VUU95" s="364" t="s">
        <v>140</v>
      </c>
      <c r="VUV95" s="365">
        <v>0.5</v>
      </c>
      <c r="VUW95" s="366" t="e">
        <f>10/VUS93</f>
        <v>#DIV/0!</v>
      </c>
      <c r="VUX95" s="367">
        <v>15.38</v>
      </c>
      <c r="VUY95" s="367" t="e">
        <f>VUV95*VUW95*VUX95</f>
        <v>#DIV/0!</v>
      </c>
      <c r="VUZ95" s="363" t="s">
        <v>153</v>
      </c>
      <c r="VVA95" s="363"/>
      <c r="VVB95" s="363"/>
      <c r="VVC95" s="364" t="s">
        <v>140</v>
      </c>
      <c r="VVD95" s="365">
        <v>0.5</v>
      </c>
      <c r="VVE95" s="366" t="e">
        <f>10/VVA93</f>
        <v>#DIV/0!</v>
      </c>
      <c r="VVF95" s="367">
        <v>15.38</v>
      </c>
      <c r="VVG95" s="367" t="e">
        <f>VVD95*VVE95*VVF95</f>
        <v>#DIV/0!</v>
      </c>
      <c r="VVH95" s="363" t="s">
        <v>153</v>
      </c>
      <c r="VVI95" s="363"/>
      <c r="VVJ95" s="363"/>
      <c r="VVK95" s="364" t="s">
        <v>140</v>
      </c>
      <c r="VVL95" s="365">
        <v>0.5</v>
      </c>
      <c r="VVM95" s="366" t="e">
        <f>10/VVI93</f>
        <v>#DIV/0!</v>
      </c>
      <c r="VVN95" s="367">
        <v>15.38</v>
      </c>
      <c r="VVO95" s="367" t="e">
        <f>VVL95*VVM95*VVN95</f>
        <v>#DIV/0!</v>
      </c>
      <c r="VVP95" s="363" t="s">
        <v>153</v>
      </c>
      <c r="VVQ95" s="363"/>
      <c r="VVR95" s="363"/>
      <c r="VVS95" s="364" t="s">
        <v>140</v>
      </c>
      <c r="VVT95" s="365">
        <v>0.5</v>
      </c>
      <c r="VVU95" s="366" t="e">
        <f>10/VVQ93</f>
        <v>#DIV/0!</v>
      </c>
      <c r="VVV95" s="367">
        <v>15.38</v>
      </c>
      <c r="VVW95" s="367" t="e">
        <f>VVT95*VVU95*VVV95</f>
        <v>#DIV/0!</v>
      </c>
      <c r="VVX95" s="363" t="s">
        <v>153</v>
      </c>
      <c r="VVY95" s="363"/>
      <c r="VVZ95" s="363"/>
      <c r="VWA95" s="364" t="s">
        <v>140</v>
      </c>
      <c r="VWB95" s="365">
        <v>0.5</v>
      </c>
      <c r="VWC95" s="366" t="e">
        <f>10/VVY93</f>
        <v>#DIV/0!</v>
      </c>
      <c r="VWD95" s="367">
        <v>15.38</v>
      </c>
      <c r="VWE95" s="367" t="e">
        <f>VWB95*VWC95*VWD95</f>
        <v>#DIV/0!</v>
      </c>
      <c r="VWF95" s="363" t="s">
        <v>153</v>
      </c>
      <c r="VWG95" s="363"/>
      <c r="VWH95" s="363"/>
      <c r="VWI95" s="364" t="s">
        <v>140</v>
      </c>
      <c r="VWJ95" s="365">
        <v>0.5</v>
      </c>
      <c r="VWK95" s="366" t="e">
        <f>10/VWG93</f>
        <v>#DIV/0!</v>
      </c>
      <c r="VWL95" s="367">
        <v>15.38</v>
      </c>
      <c r="VWM95" s="367" t="e">
        <f>VWJ95*VWK95*VWL95</f>
        <v>#DIV/0!</v>
      </c>
      <c r="VWN95" s="363" t="s">
        <v>153</v>
      </c>
      <c r="VWO95" s="363"/>
      <c r="VWP95" s="363"/>
      <c r="VWQ95" s="364" t="s">
        <v>140</v>
      </c>
      <c r="VWR95" s="365">
        <v>0.5</v>
      </c>
      <c r="VWS95" s="366" t="e">
        <f>10/VWO93</f>
        <v>#DIV/0!</v>
      </c>
      <c r="VWT95" s="367">
        <v>15.38</v>
      </c>
      <c r="VWU95" s="367" t="e">
        <f>VWR95*VWS95*VWT95</f>
        <v>#DIV/0!</v>
      </c>
      <c r="VWV95" s="363" t="s">
        <v>153</v>
      </c>
      <c r="VWW95" s="363"/>
      <c r="VWX95" s="363"/>
      <c r="VWY95" s="364" t="s">
        <v>140</v>
      </c>
      <c r="VWZ95" s="365">
        <v>0.5</v>
      </c>
      <c r="VXA95" s="366" t="e">
        <f>10/VWW93</f>
        <v>#DIV/0!</v>
      </c>
      <c r="VXB95" s="367">
        <v>15.38</v>
      </c>
      <c r="VXC95" s="367" t="e">
        <f>VWZ95*VXA95*VXB95</f>
        <v>#DIV/0!</v>
      </c>
      <c r="VXD95" s="363" t="s">
        <v>153</v>
      </c>
      <c r="VXE95" s="363"/>
      <c r="VXF95" s="363"/>
      <c r="VXG95" s="364" t="s">
        <v>140</v>
      </c>
      <c r="VXH95" s="365">
        <v>0.5</v>
      </c>
      <c r="VXI95" s="366" t="e">
        <f>10/VXE93</f>
        <v>#DIV/0!</v>
      </c>
      <c r="VXJ95" s="367">
        <v>15.38</v>
      </c>
      <c r="VXK95" s="367" t="e">
        <f>VXH95*VXI95*VXJ95</f>
        <v>#DIV/0!</v>
      </c>
      <c r="VXL95" s="363" t="s">
        <v>153</v>
      </c>
      <c r="VXM95" s="363"/>
      <c r="VXN95" s="363"/>
      <c r="VXO95" s="364" t="s">
        <v>140</v>
      </c>
      <c r="VXP95" s="365">
        <v>0.5</v>
      </c>
      <c r="VXQ95" s="366" t="e">
        <f>10/VXM93</f>
        <v>#DIV/0!</v>
      </c>
      <c r="VXR95" s="367">
        <v>15.38</v>
      </c>
      <c r="VXS95" s="367" t="e">
        <f>VXP95*VXQ95*VXR95</f>
        <v>#DIV/0!</v>
      </c>
      <c r="VXT95" s="363" t="s">
        <v>153</v>
      </c>
      <c r="VXU95" s="363"/>
      <c r="VXV95" s="363"/>
      <c r="VXW95" s="364" t="s">
        <v>140</v>
      </c>
      <c r="VXX95" s="365">
        <v>0.5</v>
      </c>
      <c r="VXY95" s="366" t="e">
        <f>10/VXU93</f>
        <v>#DIV/0!</v>
      </c>
      <c r="VXZ95" s="367">
        <v>15.38</v>
      </c>
      <c r="VYA95" s="367" t="e">
        <f>VXX95*VXY95*VXZ95</f>
        <v>#DIV/0!</v>
      </c>
      <c r="VYB95" s="363" t="s">
        <v>153</v>
      </c>
      <c r="VYC95" s="363"/>
      <c r="VYD95" s="363"/>
      <c r="VYE95" s="364" t="s">
        <v>140</v>
      </c>
      <c r="VYF95" s="365">
        <v>0.5</v>
      </c>
      <c r="VYG95" s="366" t="e">
        <f>10/VYC93</f>
        <v>#DIV/0!</v>
      </c>
      <c r="VYH95" s="367">
        <v>15.38</v>
      </c>
      <c r="VYI95" s="367" t="e">
        <f>VYF95*VYG95*VYH95</f>
        <v>#DIV/0!</v>
      </c>
      <c r="VYJ95" s="363" t="s">
        <v>153</v>
      </c>
      <c r="VYK95" s="363"/>
      <c r="VYL95" s="363"/>
      <c r="VYM95" s="364" t="s">
        <v>140</v>
      </c>
      <c r="VYN95" s="365">
        <v>0.5</v>
      </c>
      <c r="VYO95" s="366" t="e">
        <f>10/VYK93</f>
        <v>#DIV/0!</v>
      </c>
      <c r="VYP95" s="367">
        <v>15.38</v>
      </c>
      <c r="VYQ95" s="367" t="e">
        <f>VYN95*VYO95*VYP95</f>
        <v>#DIV/0!</v>
      </c>
      <c r="VYR95" s="363" t="s">
        <v>153</v>
      </c>
      <c r="VYS95" s="363"/>
      <c r="VYT95" s="363"/>
      <c r="VYU95" s="364" t="s">
        <v>140</v>
      </c>
      <c r="VYV95" s="365">
        <v>0.5</v>
      </c>
      <c r="VYW95" s="366" t="e">
        <f>10/VYS93</f>
        <v>#DIV/0!</v>
      </c>
      <c r="VYX95" s="367">
        <v>15.38</v>
      </c>
      <c r="VYY95" s="367" t="e">
        <f>VYV95*VYW95*VYX95</f>
        <v>#DIV/0!</v>
      </c>
      <c r="VYZ95" s="363" t="s">
        <v>153</v>
      </c>
      <c r="VZA95" s="363"/>
      <c r="VZB95" s="363"/>
      <c r="VZC95" s="364" t="s">
        <v>140</v>
      </c>
      <c r="VZD95" s="365">
        <v>0.5</v>
      </c>
      <c r="VZE95" s="366" t="e">
        <f>10/VZA93</f>
        <v>#DIV/0!</v>
      </c>
      <c r="VZF95" s="367">
        <v>15.38</v>
      </c>
      <c r="VZG95" s="367" t="e">
        <f>VZD95*VZE95*VZF95</f>
        <v>#DIV/0!</v>
      </c>
      <c r="VZH95" s="363" t="s">
        <v>153</v>
      </c>
      <c r="VZI95" s="363"/>
      <c r="VZJ95" s="363"/>
      <c r="VZK95" s="364" t="s">
        <v>140</v>
      </c>
      <c r="VZL95" s="365">
        <v>0.5</v>
      </c>
      <c r="VZM95" s="366" t="e">
        <f>10/VZI93</f>
        <v>#DIV/0!</v>
      </c>
      <c r="VZN95" s="367">
        <v>15.38</v>
      </c>
      <c r="VZO95" s="367" t="e">
        <f>VZL95*VZM95*VZN95</f>
        <v>#DIV/0!</v>
      </c>
      <c r="VZP95" s="363" t="s">
        <v>153</v>
      </c>
      <c r="VZQ95" s="363"/>
      <c r="VZR95" s="363"/>
      <c r="VZS95" s="364" t="s">
        <v>140</v>
      </c>
      <c r="VZT95" s="365">
        <v>0.5</v>
      </c>
      <c r="VZU95" s="366" t="e">
        <f>10/VZQ93</f>
        <v>#DIV/0!</v>
      </c>
      <c r="VZV95" s="367">
        <v>15.38</v>
      </c>
      <c r="VZW95" s="367" t="e">
        <f>VZT95*VZU95*VZV95</f>
        <v>#DIV/0!</v>
      </c>
      <c r="VZX95" s="363" t="s">
        <v>153</v>
      </c>
      <c r="VZY95" s="363"/>
      <c r="VZZ95" s="363"/>
      <c r="WAA95" s="364" t="s">
        <v>140</v>
      </c>
      <c r="WAB95" s="365">
        <v>0.5</v>
      </c>
      <c r="WAC95" s="366" t="e">
        <f>10/VZY93</f>
        <v>#DIV/0!</v>
      </c>
      <c r="WAD95" s="367">
        <v>15.38</v>
      </c>
      <c r="WAE95" s="367" t="e">
        <f>WAB95*WAC95*WAD95</f>
        <v>#DIV/0!</v>
      </c>
      <c r="WAF95" s="363" t="s">
        <v>153</v>
      </c>
      <c r="WAG95" s="363"/>
      <c r="WAH95" s="363"/>
      <c r="WAI95" s="364" t="s">
        <v>140</v>
      </c>
      <c r="WAJ95" s="365">
        <v>0.5</v>
      </c>
      <c r="WAK95" s="366" t="e">
        <f>10/WAG93</f>
        <v>#DIV/0!</v>
      </c>
      <c r="WAL95" s="367">
        <v>15.38</v>
      </c>
      <c r="WAM95" s="367" t="e">
        <f>WAJ95*WAK95*WAL95</f>
        <v>#DIV/0!</v>
      </c>
      <c r="WAN95" s="363" t="s">
        <v>153</v>
      </c>
      <c r="WAO95" s="363"/>
      <c r="WAP95" s="363"/>
      <c r="WAQ95" s="364" t="s">
        <v>140</v>
      </c>
      <c r="WAR95" s="365">
        <v>0.5</v>
      </c>
      <c r="WAS95" s="366" t="e">
        <f>10/WAO93</f>
        <v>#DIV/0!</v>
      </c>
      <c r="WAT95" s="367">
        <v>15.38</v>
      </c>
      <c r="WAU95" s="367" t="e">
        <f>WAR95*WAS95*WAT95</f>
        <v>#DIV/0!</v>
      </c>
      <c r="WAV95" s="363" t="s">
        <v>153</v>
      </c>
      <c r="WAW95" s="363"/>
      <c r="WAX95" s="363"/>
      <c r="WAY95" s="364" t="s">
        <v>140</v>
      </c>
      <c r="WAZ95" s="365">
        <v>0.5</v>
      </c>
      <c r="WBA95" s="366" t="e">
        <f>10/WAW93</f>
        <v>#DIV/0!</v>
      </c>
      <c r="WBB95" s="367">
        <v>15.38</v>
      </c>
      <c r="WBC95" s="367" t="e">
        <f>WAZ95*WBA95*WBB95</f>
        <v>#DIV/0!</v>
      </c>
      <c r="WBD95" s="363" t="s">
        <v>153</v>
      </c>
      <c r="WBE95" s="363"/>
      <c r="WBF95" s="363"/>
      <c r="WBG95" s="364" t="s">
        <v>140</v>
      </c>
      <c r="WBH95" s="365">
        <v>0.5</v>
      </c>
      <c r="WBI95" s="366" t="e">
        <f>10/WBE93</f>
        <v>#DIV/0!</v>
      </c>
      <c r="WBJ95" s="367">
        <v>15.38</v>
      </c>
      <c r="WBK95" s="367" t="e">
        <f>WBH95*WBI95*WBJ95</f>
        <v>#DIV/0!</v>
      </c>
      <c r="WBL95" s="363" t="s">
        <v>153</v>
      </c>
      <c r="WBM95" s="363"/>
      <c r="WBN95" s="363"/>
      <c r="WBO95" s="364" t="s">
        <v>140</v>
      </c>
      <c r="WBP95" s="365">
        <v>0.5</v>
      </c>
      <c r="WBQ95" s="366" t="e">
        <f>10/WBM93</f>
        <v>#DIV/0!</v>
      </c>
      <c r="WBR95" s="367">
        <v>15.38</v>
      </c>
      <c r="WBS95" s="367" t="e">
        <f>WBP95*WBQ95*WBR95</f>
        <v>#DIV/0!</v>
      </c>
      <c r="WBT95" s="363" t="s">
        <v>153</v>
      </c>
      <c r="WBU95" s="363"/>
      <c r="WBV95" s="363"/>
      <c r="WBW95" s="364" t="s">
        <v>140</v>
      </c>
      <c r="WBX95" s="365">
        <v>0.5</v>
      </c>
      <c r="WBY95" s="366" t="e">
        <f>10/WBU93</f>
        <v>#DIV/0!</v>
      </c>
      <c r="WBZ95" s="367">
        <v>15.38</v>
      </c>
      <c r="WCA95" s="367" t="e">
        <f>WBX95*WBY95*WBZ95</f>
        <v>#DIV/0!</v>
      </c>
      <c r="WCB95" s="363" t="s">
        <v>153</v>
      </c>
      <c r="WCC95" s="363"/>
      <c r="WCD95" s="363"/>
      <c r="WCE95" s="364" t="s">
        <v>140</v>
      </c>
      <c r="WCF95" s="365">
        <v>0.5</v>
      </c>
      <c r="WCG95" s="366" t="e">
        <f>10/WCC93</f>
        <v>#DIV/0!</v>
      </c>
      <c r="WCH95" s="367">
        <v>15.38</v>
      </c>
      <c r="WCI95" s="367" t="e">
        <f>WCF95*WCG95*WCH95</f>
        <v>#DIV/0!</v>
      </c>
      <c r="WCJ95" s="363" t="s">
        <v>153</v>
      </c>
      <c r="WCK95" s="363"/>
      <c r="WCL95" s="363"/>
      <c r="WCM95" s="364" t="s">
        <v>140</v>
      </c>
      <c r="WCN95" s="365">
        <v>0.5</v>
      </c>
      <c r="WCO95" s="366" t="e">
        <f>10/WCK93</f>
        <v>#DIV/0!</v>
      </c>
      <c r="WCP95" s="367">
        <v>15.38</v>
      </c>
      <c r="WCQ95" s="367" t="e">
        <f>WCN95*WCO95*WCP95</f>
        <v>#DIV/0!</v>
      </c>
      <c r="WCR95" s="363" t="s">
        <v>153</v>
      </c>
      <c r="WCS95" s="363"/>
      <c r="WCT95" s="363"/>
      <c r="WCU95" s="364" t="s">
        <v>140</v>
      </c>
      <c r="WCV95" s="365">
        <v>0.5</v>
      </c>
      <c r="WCW95" s="366" t="e">
        <f>10/WCS93</f>
        <v>#DIV/0!</v>
      </c>
      <c r="WCX95" s="367">
        <v>15.38</v>
      </c>
      <c r="WCY95" s="367" t="e">
        <f>WCV95*WCW95*WCX95</f>
        <v>#DIV/0!</v>
      </c>
      <c r="WCZ95" s="363" t="s">
        <v>153</v>
      </c>
      <c r="WDA95" s="363"/>
      <c r="WDB95" s="363"/>
      <c r="WDC95" s="364" t="s">
        <v>140</v>
      </c>
      <c r="WDD95" s="365">
        <v>0.5</v>
      </c>
      <c r="WDE95" s="366" t="e">
        <f>10/WDA93</f>
        <v>#DIV/0!</v>
      </c>
      <c r="WDF95" s="367">
        <v>15.38</v>
      </c>
      <c r="WDG95" s="367" t="e">
        <f>WDD95*WDE95*WDF95</f>
        <v>#DIV/0!</v>
      </c>
      <c r="WDH95" s="363" t="s">
        <v>153</v>
      </c>
      <c r="WDI95" s="363"/>
      <c r="WDJ95" s="363"/>
      <c r="WDK95" s="364" t="s">
        <v>140</v>
      </c>
      <c r="WDL95" s="365">
        <v>0.5</v>
      </c>
      <c r="WDM95" s="366" t="e">
        <f>10/WDI93</f>
        <v>#DIV/0!</v>
      </c>
      <c r="WDN95" s="367">
        <v>15.38</v>
      </c>
      <c r="WDO95" s="367" t="e">
        <f>WDL95*WDM95*WDN95</f>
        <v>#DIV/0!</v>
      </c>
      <c r="WDP95" s="363" t="s">
        <v>153</v>
      </c>
      <c r="WDQ95" s="363"/>
      <c r="WDR95" s="363"/>
      <c r="WDS95" s="364" t="s">
        <v>140</v>
      </c>
      <c r="WDT95" s="365">
        <v>0.5</v>
      </c>
      <c r="WDU95" s="366" t="e">
        <f>10/WDQ93</f>
        <v>#DIV/0!</v>
      </c>
      <c r="WDV95" s="367">
        <v>15.38</v>
      </c>
      <c r="WDW95" s="367" t="e">
        <f>WDT95*WDU95*WDV95</f>
        <v>#DIV/0!</v>
      </c>
      <c r="WDX95" s="363" t="s">
        <v>153</v>
      </c>
      <c r="WDY95" s="363"/>
      <c r="WDZ95" s="363"/>
      <c r="WEA95" s="364" t="s">
        <v>140</v>
      </c>
      <c r="WEB95" s="365">
        <v>0.5</v>
      </c>
      <c r="WEC95" s="366" t="e">
        <f>10/WDY93</f>
        <v>#DIV/0!</v>
      </c>
      <c r="WED95" s="367">
        <v>15.38</v>
      </c>
      <c r="WEE95" s="367" t="e">
        <f>WEB95*WEC95*WED95</f>
        <v>#DIV/0!</v>
      </c>
      <c r="WEF95" s="363" t="s">
        <v>153</v>
      </c>
      <c r="WEG95" s="363"/>
      <c r="WEH95" s="363"/>
      <c r="WEI95" s="364" t="s">
        <v>140</v>
      </c>
      <c r="WEJ95" s="365">
        <v>0.5</v>
      </c>
      <c r="WEK95" s="366" t="e">
        <f>10/WEG93</f>
        <v>#DIV/0!</v>
      </c>
      <c r="WEL95" s="367">
        <v>15.38</v>
      </c>
      <c r="WEM95" s="367" t="e">
        <f>WEJ95*WEK95*WEL95</f>
        <v>#DIV/0!</v>
      </c>
      <c r="WEN95" s="363" t="s">
        <v>153</v>
      </c>
      <c r="WEO95" s="363"/>
      <c r="WEP95" s="363"/>
      <c r="WEQ95" s="364" t="s">
        <v>140</v>
      </c>
      <c r="WER95" s="365">
        <v>0.5</v>
      </c>
      <c r="WES95" s="366" t="e">
        <f>10/WEO93</f>
        <v>#DIV/0!</v>
      </c>
      <c r="WET95" s="367">
        <v>15.38</v>
      </c>
      <c r="WEU95" s="367" t="e">
        <f>WER95*WES95*WET95</f>
        <v>#DIV/0!</v>
      </c>
      <c r="WEV95" s="363" t="s">
        <v>153</v>
      </c>
      <c r="WEW95" s="363"/>
      <c r="WEX95" s="363"/>
      <c r="WEY95" s="364" t="s">
        <v>140</v>
      </c>
      <c r="WEZ95" s="365">
        <v>0.5</v>
      </c>
      <c r="WFA95" s="366" t="e">
        <f>10/WEW93</f>
        <v>#DIV/0!</v>
      </c>
      <c r="WFB95" s="367">
        <v>15.38</v>
      </c>
      <c r="WFC95" s="367" t="e">
        <f>WEZ95*WFA95*WFB95</f>
        <v>#DIV/0!</v>
      </c>
      <c r="WFD95" s="363" t="s">
        <v>153</v>
      </c>
      <c r="WFE95" s="363"/>
      <c r="WFF95" s="363"/>
      <c r="WFG95" s="364" t="s">
        <v>140</v>
      </c>
      <c r="WFH95" s="365">
        <v>0.5</v>
      </c>
      <c r="WFI95" s="366" t="e">
        <f>10/WFE93</f>
        <v>#DIV/0!</v>
      </c>
      <c r="WFJ95" s="367">
        <v>15.38</v>
      </c>
      <c r="WFK95" s="367" t="e">
        <f>WFH95*WFI95*WFJ95</f>
        <v>#DIV/0!</v>
      </c>
      <c r="WFL95" s="363" t="s">
        <v>153</v>
      </c>
      <c r="WFM95" s="363"/>
      <c r="WFN95" s="363"/>
      <c r="WFO95" s="364" t="s">
        <v>140</v>
      </c>
      <c r="WFP95" s="365">
        <v>0.5</v>
      </c>
      <c r="WFQ95" s="366" t="e">
        <f>10/WFM93</f>
        <v>#DIV/0!</v>
      </c>
      <c r="WFR95" s="367">
        <v>15.38</v>
      </c>
      <c r="WFS95" s="367" t="e">
        <f>WFP95*WFQ95*WFR95</f>
        <v>#DIV/0!</v>
      </c>
      <c r="WFT95" s="363" t="s">
        <v>153</v>
      </c>
      <c r="WFU95" s="363"/>
      <c r="WFV95" s="363"/>
      <c r="WFW95" s="364" t="s">
        <v>140</v>
      </c>
      <c r="WFX95" s="365">
        <v>0.5</v>
      </c>
      <c r="WFY95" s="366" t="e">
        <f>10/WFU93</f>
        <v>#DIV/0!</v>
      </c>
      <c r="WFZ95" s="367">
        <v>15.38</v>
      </c>
      <c r="WGA95" s="367" t="e">
        <f>WFX95*WFY95*WFZ95</f>
        <v>#DIV/0!</v>
      </c>
      <c r="WGB95" s="363" t="s">
        <v>153</v>
      </c>
      <c r="WGC95" s="363"/>
      <c r="WGD95" s="363"/>
      <c r="WGE95" s="364" t="s">
        <v>140</v>
      </c>
      <c r="WGF95" s="365">
        <v>0.5</v>
      </c>
      <c r="WGG95" s="366" t="e">
        <f>10/WGC93</f>
        <v>#DIV/0!</v>
      </c>
      <c r="WGH95" s="367">
        <v>15.38</v>
      </c>
      <c r="WGI95" s="367" t="e">
        <f>WGF95*WGG95*WGH95</f>
        <v>#DIV/0!</v>
      </c>
      <c r="WGJ95" s="363" t="s">
        <v>153</v>
      </c>
      <c r="WGK95" s="363"/>
      <c r="WGL95" s="363"/>
      <c r="WGM95" s="364" t="s">
        <v>140</v>
      </c>
      <c r="WGN95" s="365">
        <v>0.5</v>
      </c>
      <c r="WGO95" s="366" t="e">
        <f>10/WGK93</f>
        <v>#DIV/0!</v>
      </c>
      <c r="WGP95" s="367">
        <v>15.38</v>
      </c>
      <c r="WGQ95" s="367" t="e">
        <f>WGN95*WGO95*WGP95</f>
        <v>#DIV/0!</v>
      </c>
      <c r="WGR95" s="363" t="s">
        <v>153</v>
      </c>
      <c r="WGS95" s="363"/>
      <c r="WGT95" s="363"/>
      <c r="WGU95" s="364" t="s">
        <v>140</v>
      </c>
      <c r="WGV95" s="365">
        <v>0.5</v>
      </c>
      <c r="WGW95" s="366" t="e">
        <f>10/WGS93</f>
        <v>#DIV/0!</v>
      </c>
      <c r="WGX95" s="367">
        <v>15.38</v>
      </c>
      <c r="WGY95" s="367" t="e">
        <f>WGV95*WGW95*WGX95</f>
        <v>#DIV/0!</v>
      </c>
      <c r="WGZ95" s="363" t="s">
        <v>153</v>
      </c>
      <c r="WHA95" s="363"/>
      <c r="WHB95" s="363"/>
      <c r="WHC95" s="364" t="s">
        <v>140</v>
      </c>
      <c r="WHD95" s="365">
        <v>0.5</v>
      </c>
      <c r="WHE95" s="366" t="e">
        <f>10/WHA93</f>
        <v>#DIV/0!</v>
      </c>
      <c r="WHF95" s="367">
        <v>15.38</v>
      </c>
      <c r="WHG95" s="367" t="e">
        <f>WHD95*WHE95*WHF95</f>
        <v>#DIV/0!</v>
      </c>
      <c r="WHH95" s="363" t="s">
        <v>153</v>
      </c>
      <c r="WHI95" s="363"/>
      <c r="WHJ95" s="363"/>
      <c r="WHK95" s="364" t="s">
        <v>140</v>
      </c>
      <c r="WHL95" s="365">
        <v>0.5</v>
      </c>
      <c r="WHM95" s="366" t="e">
        <f>10/WHI93</f>
        <v>#DIV/0!</v>
      </c>
      <c r="WHN95" s="367">
        <v>15.38</v>
      </c>
      <c r="WHO95" s="367" t="e">
        <f>WHL95*WHM95*WHN95</f>
        <v>#DIV/0!</v>
      </c>
      <c r="WHP95" s="363" t="s">
        <v>153</v>
      </c>
      <c r="WHQ95" s="363"/>
      <c r="WHR95" s="363"/>
      <c r="WHS95" s="364" t="s">
        <v>140</v>
      </c>
      <c r="WHT95" s="365">
        <v>0.5</v>
      </c>
      <c r="WHU95" s="366" t="e">
        <f>10/WHQ93</f>
        <v>#DIV/0!</v>
      </c>
      <c r="WHV95" s="367">
        <v>15.38</v>
      </c>
      <c r="WHW95" s="367" t="e">
        <f>WHT95*WHU95*WHV95</f>
        <v>#DIV/0!</v>
      </c>
      <c r="WHX95" s="363" t="s">
        <v>153</v>
      </c>
      <c r="WHY95" s="363"/>
      <c r="WHZ95" s="363"/>
      <c r="WIA95" s="364" t="s">
        <v>140</v>
      </c>
      <c r="WIB95" s="365">
        <v>0.5</v>
      </c>
      <c r="WIC95" s="366" t="e">
        <f>10/WHY93</f>
        <v>#DIV/0!</v>
      </c>
      <c r="WID95" s="367">
        <v>15.38</v>
      </c>
      <c r="WIE95" s="367" t="e">
        <f>WIB95*WIC95*WID95</f>
        <v>#DIV/0!</v>
      </c>
      <c r="WIF95" s="363" t="s">
        <v>153</v>
      </c>
      <c r="WIG95" s="363"/>
      <c r="WIH95" s="363"/>
      <c r="WII95" s="364" t="s">
        <v>140</v>
      </c>
      <c r="WIJ95" s="365">
        <v>0.5</v>
      </c>
      <c r="WIK95" s="366" t="e">
        <f>10/WIG93</f>
        <v>#DIV/0!</v>
      </c>
      <c r="WIL95" s="367">
        <v>15.38</v>
      </c>
      <c r="WIM95" s="367" t="e">
        <f>WIJ95*WIK95*WIL95</f>
        <v>#DIV/0!</v>
      </c>
      <c r="WIN95" s="363" t="s">
        <v>153</v>
      </c>
      <c r="WIO95" s="363"/>
      <c r="WIP95" s="363"/>
      <c r="WIQ95" s="364" t="s">
        <v>140</v>
      </c>
      <c r="WIR95" s="365">
        <v>0.5</v>
      </c>
      <c r="WIS95" s="366" t="e">
        <f>10/WIO93</f>
        <v>#DIV/0!</v>
      </c>
      <c r="WIT95" s="367">
        <v>15.38</v>
      </c>
      <c r="WIU95" s="367" t="e">
        <f>WIR95*WIS95*WIT95</f>
        <v>#DIV/0!</v>
      </c>
      <c r="WIV95" s="363" t="s">
        <v>153</v>
      </c>
      <c r="WIW95" s="363"/>
      <c r="WIX95" s="363"/>
      <c r="WIY95" s="364" t="s">
        <v>140</v>
      </c>
      <c r="WIZ95" s="365">
        <v>0.5</v>
      </c>
      <c r="WJA95" s="366" t="e">
        <f>10/WIW93</f>
        <v>#DIV/0!</v>
      </c>
      <c r="WJB95" s="367">
        <v>15.38</v>
      </c>
      <c r="WJC95" s="367" t="e">
        <f>WIZ95*WJA95*WJB95</f>
        <v>#DIV/0!</v>
      </c>
      <c r="WJD95" s="363" t="s">
        <v>153</v>
      </c>
      <c r="WJE95" s="363"/>
      <c r="WJF95" s="363"/>
      <c r="WJG95" s="364" t="s">
        <v>140</v>
      </c>
      <c r="WJH95" s="365">
        <v>0.5</v>
      </c>
      <c r="WJI95" s="366" t="e">
        <f>10/WJE93</f>
        <v>#DIV/0!</v>
      </c>
      <c r="WJJ95" s="367">
        <v>15.38</v>
      </c>
      <c r="WJK95" s="367" t="e">
        <f>WJH95*WJI95*WJJ95</f>
        <v>#DIV/0!</v>
      </c>
      <c r="WJL95" s="363" t="s">
        <v>153</v>
      </c>
      <c r="WJM95" s="363"/>
      <c r="WJN95" s="363"/>
      <c r="WJO95" s="364" t="s">
        <v>140</v>
      </c>
      <c r="WJP95" s="365">
        <v>0.5</v>
      </c>
      <c r="WJQ95" s="366" t="e">
        <f>10/WJM93</f>
        <v>#DIV/0!</v>
      </c>
      <c r="WJR95" s="367">
        <v>15.38</v>
      </c>
      <c r="WJS95" s="367" t="e">
        <f>WJP95*WJQ95*WJR95</f>
        <v>#DIV/0!</v>
      </c>
      <c r="WJT95" s="363" t="s">
        <v>153</v>
      </c>
      <c r="WJU95" s="363"/>
      <c r="WJV95" s="363"/>
      <c r="WJW95" s="364" t="s">
        <v>140</v>
      </c>
      <c r="WJX95" s="365">
        <v>0.5</v>
      </c>
      <c r="WJY95" s="366" t="e">
        <f>10/WJU93</f>
        <v>#DIV/0!</v>
      </c>
      <c r="WJZ95" s="367">
        <v>15.38</v>
      </c>
      <c r="WKA95" s="367" t="e">
        <f>WJX95*WJY95*WJZ95</f>
        <v>#DIV/0!</v>
      </c>
      <c r="WKB95" s="363" t="s">
        <v>153</v>
      </c>
      <c r="WKC95" s="363"/>
      <c r="WKD95" s="363"/>
      <c r="WKE95" s="364" t="s">
        <v>140</v>
      </c>
      <c r="WKF95" s="365">
        <v>0.5</v>
      </c>
      <c r="WKG95" s="366" t="e">
        <f>10/WKC93</f>
        <v>#DIV/0!</v>
      </c>
      <c r="WKH95" s="367">
        <v>15.38</v>
      </c>
      <c r="WKI95" s="367" t="e">
        <f>WKF95*WKG95*WKH95</f>
        <v>#DIV/0!</v>
      </c>
      <c r="WKJ95" s="363" t="s">
        <v>153</v>
      </c>
      <c r="WKK95" s="363"/>
      <c r="WKL95" s="363"/>
      <c r="WKM95" s="364" t="s">
        <v>140</v>
      </c>
      <c r="WKN95" s="365">
        <v>0.5</v>
      </c>
      <c r="WKO95" s="366" t="e">
        <f>10/WKK93</f>
        <v>#DIV/0!</v>
      </c>
      <c r="WKP95" s="367">
        <v>15.38</v>
      </c>
      <c r="WKQ95" s="367" t="e">
        <f>WKN95*WKO95*WKP95</f>
        <v>#DIV/0!</v>
      </c>
      <c r="WKR95" s="363" t="s">
        <v>153</v>
      </c>
      <c r="WKS95" s="363"/>
      <c r="WKT95" s="363"/>
      <c r="WKU95" s="364" t="s">
        <v>140</v>
      </c>
      <c r="WKV95" s="365">
        <v>0.5</v>
      </c>
      <c r="WKW95" s="366" t="e">
        <f>10/WKS93</f>
        <v>#DIV/0!</v>
      </c>
      <c r="WKX95" s="367">
        <v>15.38</v>
      </c>
      <c r="WKY95" s="367" t="e">
        <f>WKV95*WKW95*WKX95</f>
        <v>#DIV/0!</v>
      </c>
      <c r="WKZ95" s="363" t="s">
        <v>153</v>
      </c>
      <c r="WLA95" s="363"/>
      <c r="WLB95" s="363"/>
      <c r="WLC95" s="364" t="s">
        <v>140</v>
      </c>
      <c r="WLD95" s="365">
        <v>0.5</v>
      </c>
      <c r="WLE95" s="366" t="e">
        <f>10/WLA93</f>
        <v>#DIV/0!</v>
      </c>
      <c r="WLF95" s="367">
        <v>15.38</v>
      </c>
      <c r="WLG95" s="367" t="e">
        <f>WLD95*WLE95*WLF95</f>
        <v>#DIV/0!</v>
      </c>
      <c r="WLH95" s="363" t="s">
        <v>153</v>
      </c>
      <c r="WLI95" s="363"/>
      <c r="WLJ95" s="363"/>
      <c r="WLK95" s="364" t="s">
        <v>140</v>
      </c>
      <c r="WLL95" s="365">
        <v>0.5</v>
      </c>
      <c r="WLM95" s="366" t="e">
        <f>10/WLI93</f>
        <v>#DIV/0!</v>
      </c>
      <c r="WLN95" s="367">
        <v>15.38</v>
      </c>
      <c r="WLO95" s="367" t="e">
        <f>WLL95*WLM95*WLN95</f>
        <v>#DIV/0!</v>
      </c>
      <c r="WLP95" s="363" t="s">
        <v>153</v>
      </c>
      <c r="WLQ95" s="363"/>
      <c r="WLR95" s="363"/>
      <c r="WLS95" s="364" t="s">
        <v>140</v>
      </c>
      <c r="WLT95" s="365">
        <v>0.5</v>
      </c>
      <c r="WLU95" s="366" t="e">
        <f>10/WLQ93</f>
        <v>#DIV/0!</v>
      </c>
      <c r="WLV95" s="367">
        <v>15.38</v>
      </c>
      <c r="WLW95" s="367" t="e">
        <f>WLT95*WLU95*WLV95</f>
        <v>#DIV/0!</v>
      </c>
      <c r="WLX95" s="363" t="s">
        <v>153</v>
      </c>
      <c r="WLY95" s="363"/>
      <c r="WLZ95" s="363"/>
      <c r="WMA95" s="364" t="s">
        <v>140</v>
      </c>
      <c r="WMB95" s="365">
        <v>0.5</v>
      </c>
      <c r="WMC95" s="366" t="e">
        <f>10/WLY93</f>
        <v>#DIV/0!</v>
      </c>
      <c r="WMD95" s="367">
        <v>15.38</v>
      </c>
      <c r="WME95" s="367" t="e">
        <f>WMB95*WMC95*WMD95</f>
        <v>#DIV/0!</v>
      </c>
      <c r="WMF95" s="363" t="s">
        <v>153</v>
      </c>
      <c r="WMG95" s="363"/>
      <c r="WMH95" s="363"/>
      <c r="WMI95" s="364" t="s">
        <v>140</v>
      </c>
      <c r="WMJ95" s="365">
        <v>0.5</v>
      </c>
      <c r="WMK95" s="366" t="e">
        <f>10/WMG93</f>
        <v>#DIV/0!</v>
      </c>
      <c r="WML95" s="367">
        <v>15.38</v>
      </c>
      <c r="WMM95" s="367" t="e">
        <f>WMJ95*WMK95*WML95</f>
        <v>#DIV/0!</v>
      </c>
      <c r="WMN95" s="363" t="s">
        <v>153</v>
      </c>
      <c r="WMO95" s="363"/>
      <c r="WMP95" s="363"/>
      <c r="WMQ95" s="364" t="s">
        <v>140</v>
      </c>
      <c r="WMR95" s="365">
        <v>0.5</v>
      </c>
      <c r="WMS95" s="366" t="e">
        <f>10/WMO93</f>
        <v>#DIV/0!</v>
      </c>
      <c r="WMT95" s="367">
        <v>15.38</v>
      </c>
      <c r="WMU95" s="367" t="e">
        <f>WMR95*WMS95*WMT95</f>
        <v>#DIV/0!</v>
      </c>
      <c r="WMV95" s="363" t="s">
        <v>153</v>
      </c>
      <c r="WMW95" s="363"/>
      <c r="WMX95" s="363"/>
      <c r="WMY95" s="364" t="s">
        <v>140</v>
      </c>
      <c r="WMZ95" s="365">
        <v>0.5</v>
      </c>
      <c r="WNA95" s="366" t="e">
        <f>10/WMW93</f>
        <v>#DIV/0!</v>
      </c>
      <c r="WNB95" s="367">
        <v>15.38</v>
      </c>
      <c r="WNC95" s="367" t="e">
        <f>WMZ95*WNA95*WNB95</f>
        <v>#DIV/0!</v>
      </c>
      <c r="WND95" s="363" t="s">
        <v>153</v>
      </c>
      <c r="WNE95" s="363"/>
      <c r="WNF95" s="363"/>
      <c r="WNG95" s="364" t="s">
        <v>140</v>
      </c>
      <c r="WNH95" s="365">
        <v>0.5</v>
      </c>
      <c r="WNI95" s="366" t="e">
        <f>10/WNE93</f>
        <v>#DIV/0!</v>
      </c>
      <c r="WNJ95" s="367">
        <v>15.38</v>
      </c>
      <c r="WNK95" s="367" t="e">
        <f>WNH95*WNI95*WNJ95</f>
        <v>#DIV/0!</v>
      </c>
      <c r="WNL95" s="363" t="s">
        <v>153</v>
      </c>
      <c r="WNM95" s="363"/>
      <c r="WNN95" s="363"/>
      <c r="WNO95" s="364" t="s">
        <v>140</v>
      </c>
      <c r="WNP95" s="365">
        <v>0.5</v>
      </c>
      <c r="WNQ95" s="366" t="e">
        <f>10/WNM93</f>
        <v>#DIV/0!</v>
      </c>
      <c r="WNR95" s="367">
        <v>15.38</v>
      </c>
      <c r="WNS95" s="367" t="e">
        <f>WNP95*WNQ95*WNR95</f>
        <v>#DIV/0!</v>
      </c>
      <c r="WNT95" s="363" t="s">
        <v>153</v>
      </c>
      <c r="WNU95" s="363"/>
      <c r="WNV95" s="363"/>
      <c r="WNW95" s="364" t="s">
        <v>140</v>
      </c>
      <c r="WNX95" s="365">
        <v>0.5</v>
      </c>
      <c r="WNY95" s="366" t="e">
        <f>10/WNU93</f>
        <v>#DIV/0!</v>
      </c>
      <c r="WNZ95" s="367">
        <v>15.38</v>
      </c>
      <c r="WOA95" s="367" t="e">
        <f>WNX95*WNY95*WNZ95</f>
        <v>#DIV/0!</v>
      </c>
      <c r="WOB95" s="363" t="s">
        <v>153</v>
      </c>
      <c r="WOC95" s="363"/>
      <c r="WOD95" s="363"/>
      <c r="WOE95" s="364" t="s">
        <v>140</v>
      </c>
      <c r="WOF95" s="365">
        <v>0.5</v>
      </c>
      <c r="WOG95" s="366" t="e">
        <f>10/WOC93</f>
        <v>#DIV/0!</v>
      </c>
      <c r="WOH95" s="367">
        <v>15.38</v>
      </c>
      <c r="WOI95" s="367" t="e">
        <f>WOF95*WOG95*WOH95</f>
        <v>#DIV/0!</v>
      </c>
      <c r="WOJ95" s="363" t="s">
        <v>153</v>
      </c>
      <c r="WOK95" s="363"/>
      <c r="WOL95" s="363"/>
      <c r="WOM95" s="364" t="s">
        <v>140</v>
      </c>
      <c r="WON95" s="365">
        <v>0.5</v>
      </c>
      <c r="WOO95" s="366" t="e">
        <f>10/WOK93</f>
        <v>#DIV/0!</v>
      </c>
      <c r="WOP95" s="367">
        <v>15.38</v>
      </c>
      <c r="WOQ95" s="367" t="e">
        <f>WON95*WOO95*WOP95</f>
        <v>#DIV/0!</v>
      </c>
      <c r="WOR95" s="363" t="s">
        <v>153</v>
      </c>
      <c r="WOS95" s="363"/>
      <c r="WOT95" s="363"/>
      <c r="WOU95" s="364" t="s">
        <v>140</v>
      </c>
      <c r="WOV95" s="365">
        <v>0.5</v>
      </c>
      <c r="WOW95" s="366" t="e">
        <f>10/WOS93</f>
        <v>#DIV/0!</v>
      </c>
      <c r="WOX95" s="367">
        <v>15.38</v>
      </c>
      <c r="WOY95" s="367" t="e">
        <f>WOV95*WOW95*WOX95</f>
        <v>#DIV/0!</v>
      </c>
      <c r="WOZ95" s="363" t="s">
        <v>153</v>
      </c>
      <c r="WPA95" s="363"/>
      <c r="WPB95" s="363"/>
      <c r="WPC95" s="364" t="s">
        <v>140</v>
      </c>
      <c r="WPD95" s="365">
        <v>0.5</v>
      </c>
      <c r="WPE95" s="366" t="e">
        <f>10/WPA93</f>
        <v>#DIV/0!</v>
      </c>
      <c r="WPF95" s="367">
        <v>15.38</v>
      </c>
      <c r="WPG95" s="367" t="e">
        <f>WPD95*WPE95*WPF95</f>
        <v>#DIV/0!</v>
      </c>
      <c r="WPH95" s="363" t="s">
        <v>153</v>
      </c>
      <c r="WPI95" s="363"/>
      <c r="WPJ95" s="363"/>
      <c r="WPK95" s="364" t="s">
        <v>140</v>
      </c>
      <c r="WPL95" s="365">
        <v>0.5</v>
      </c>
      <c r="WPM95" s="366" t="e">
        <f>10/WPI93</f>
        <v>#DIV/0!</v>
      </c>
      <c r="WPN95" s="367">
        <v>15.38</v>
      </c>
      <c r="WPO95" s="367" t="e">
        <f>WPL95*WPM95*WPN95</f>
        <v>#DIV/0!</v>
      </c>
      <c r="WPP95" s="363" t="s">
        <v>153</v>
      </c>
      <c r="WPQ95" s="363"/>
      <c r="WPR95" s="363"/>
      <c r="WPS95" s="364" t="s">
        <v>140</v>
      </c>
      <c r="WPT95" s="365">
        <v>0.5</v>
      </c>
      <c r="WPU95" s="366" t="e">
        <f>10/WPQ93</f>
        <v>#DIV/0!</v>
      </c>
      <c r="WPV95" s="367">
        <v>15.38</v>
      </c>
      <c r="WPW95" s="367" t="e">
        <f>WPT95*WPU95*WPV95</f>
        <v>#DIV/0!</v>
      </c>
      <c r="WPX95" s="363" t="s">
        <v>153</v>
      </c>
      <c r="WPY95" s="363"/>
      <c r="WPZ95" s="363"/>
      <c r="WQA95" s="364" t="s">
        <v>140</v>
      </c>
      <c r="WQB95" s="365">
        <v>0.5</v>
      </c>
      <c r="WQC95" s="366" t="e">
        <f>10/WPY93</f>
        <v>#DIV/0!</v>
      </c>
      <c r="WQD95" s="367">
        <v>15.38</v>
      </c>
      <c r="WQE95" s="367" t="e">
        <f>WQB95*WQC95*WQD95</f>
        <v>#DIV/0!</v>
      </c>
      <c r="WQF95" s="363" t="s">
        <v>153</v>
      </c>
      <c r="WQG95" s="363"/>
      <c r="WQH95" s="363"/>
      <c r="WQI95" s="364" t="s">
        <v>140</v>
      </c>
      <c r="WQJ95" s="365">
        <v>0.5</v>
      </c>
      <c r="WQK95" s="366" t="e">
        <f>10/WQG93</f>
        <v>#DIV/0!</v>
      </c>
      <c r="WQL95" s="367">
        <v>15.38</v>
      </c>
      <c r="WQM95" s="367" t="e">
        <f>WQJ95*WQK95*WQL95</f>
        <v>#DIV/0!</v>
      </c>
      <c r="WQN95" s="363" t="s">
        <v>153</v>
      </c>
      <c r="WQO95" s="363"/>
      <c r="WQP95" s="363"/>
      <c r="WQQ95" s="364" t="s">
        <v>140</v>
      </c>
      <c r="WQR95" s="365">
        <v>0.5</v>
      </c>
      <c r="WQS95" s="366" t="e">
        <f>10/WQO93</f>
        <v>#DIV/0!</v>
      </c>
      <c r="WQT95" s="367">
        <v>15.38</v>
      </c>
      <c r="WQU95" s="367" t="e">
        <f>WQR95*WQS95*WQT95</f>
        <v>#DIV/0!</v>
      </c>
      <c r="WQV95" s="363" t="s">
        <v>153</v>
      </c>
      <c r="WQW95" s="363"/>
      <c r="WQX95" s="363"/>
      <c r="WQY95" s="364" t="s">
        <v>140</v>
      </c>
      <c r="WQZ95" s="365">
        <v>0.5</v>
      </c>
      <c r="WRA95" s="366" t="e">
        <f>10/WQW93</f>
        <v>#DIV/0!</v>
      </c>
      <c r="WRB95" s="367">
        <v>15.38</v>
      </c>
      <c r="WRC95" s="367" t="e">
        <f>WQZ95*WRA95*WRB95</f>
        <v>#DIV/0!</v>
      </c>
      <c r="WRD95" s="363" t="s">
        <v>153</v>
      </c>
      <c r="WRE95" s="363"/>
      <c r="WRF95" s="363"/>
      <c r="WRG95" s="364" t="s">
        <v>140</v>
      </c>
      <c r="WRH95" s="365">
        <v>0.5</v>
      </c>
      <c r="WRI95" s="366" t="e">
        <f>10/WRE93</f>
        <v>#DIV/0!</v>
      </c>
      <c r="WRJ95" s="367">
        <v>15.38</v>
      </c>
      <c r="WRK95" s="367" t="e">
        <f>WRH95*WRI95*WRJ95</f>
        <v>#DIV/0!</v>
      </c>
      <c r="WRL95" s="363" t="s">
        <v>153</v>
      </c>
      <c r="WRM95" s="363"/>
      <c r="WRN95" s="363"/>
      <c r="WRO95" s="364" t="s">
        <v>140</v>
      </c>
      <c r="WRP95" s="365">
        <v>0.5</v>
      </c>
      <c r="WRQ95" s="366" t="e">
        <f>10/WRM93</f>
        <v>#DIV/0!</v>
      </c>
      <c r="WRR95" s="367">
        <v>15.38</v>
      </c>
      <c r="WRS95" s="367" t="e">
        <f>WRP95*WRQ95*WRR95</f>
        <v>#DIV/0!</v>
      </c>
      <c r="WRT95" s="363" t="s">
        <v>153</v>
      </c>
      <c r="WRU95" s="363"/>
      <c r="WRV95" s="363"/>
      <c r="WRW95" s="364" t="s">
        <v>140</v>
      </c>
      <c r="WRX95" s="365">
        <v>0.5</v>
      </c>
      <c r="WRY95" s="366" t="e">
        <f>10/WRU93</f>
        <v>#DIV/0!</v>
      </c>
      <c r="WRZ95" s="367">
        <v>15.38</v>
      </c>
      <c r="WSA95" s="367" t="e">
        <f>WRX95*WRY95*WRZ95</f>
        <v>#DIV/0!</v>
      </c>
      <c r="WSB95" s="363" t="s">
        <v>153</v>
      </c>
      <c r="WSC95" s="363"/>
      <c r="WSD95" s="363"/>
      <c r="WSE95" s="364" t="s">
        <v>140</v>
      </c>
      <c r="WSF95" s="365">
        <v>0.5</v>
      </c>
      <c r="WSG95" s="366" t="e">
        <f>10/WSC93</f>
        <v>#DIV/0!</v>
      </c>
      <c r="WSH95" s="367">
        <v>15.38</v>
      </c>
      <c r="WSI95" s="367" t="e">
        <f>WSF95*WSG95*WSH95</f>
        <v>#DIV/0!</v>
      </c>
      <c r="WSJ95" s="363" t="s">
        <v>153</v>
      </c>
      <c r="WSK95" s="363"/>
      <c r="WSL95" s="363"/>
      <c r="WSM95" s="364" t="s">
        <v>140</v>
      </c>
      <c r="WSN95" s="365">
        <v>0.5</v>
      </c>
      <c r="WSO95" s="366" t="e">
        <f>10/WSK93</f>
        <v>#DIV/0!</v>
      </c>
      <c r="WSP95" s="367">
        <v>15.38</v>
      </c>
      <c r="WSQ95" s="367" t="e">
        <f>WSN95*WSO95*WSP95</f>
        <v>#DIV/0!</v>
      </c>
      <c r="WSR95" s="363" t="s">
        <v>153</v>
      </c>
      <c r="WSS95" s="363"/>
      <c r="WST95" s="363"/>
      <c r="WSU95" s="364" t="s">
        <v>140</v>
      </c>
      <c r="WSV95" s="365">
        <v>0.5</v>
      </c>
      <c r="WSW95" s="366" t="e">
        <f>10/WSS93</f>
        <v>#DIV/0!</v>
      </c>
      <c r="WSX95" s="367">
        <v>15.38</v>
      </c>
      <c r="WSY95" s="367" t="e">
        <f>WSV95*WSW95*WSX95</f>
        <v>#DIV/0!</v>
      </c>
      <c r="WSZ95" s="363" t="s">
        <v>153</v>
      </c>
      <c r="WTA95" s="363"/>
      <c r="WTB95" s="363"/>
      <c r="WTC95" s="364" t="s">
        <v>140</v>
      </c>
      <c r="WTD95" s="365">
        <v>0.5</v>
      </c>
      <c r="WTE95" s="366" t="e">
        <f>10/WTA93</f>
        <v>#DIV/0!</v>
      </c>
      <c r="WTF95" s="367">
        <v>15.38</v>
      </c>
      <c r="WTG95" s="367" t="e">
        <f>WTD95*WTE95*WTF95</f>
        <v>#DIV/0!</v>
      </c>
      <c r="WTH95" s="363" t="s">
        <v>153</v>
      </c>
      <c r="WTI95" s="363"/>
      <c r="WTJ95" s="363"/>
      <c r="WTK95" s="364" t="s">
        <v>140</v>
      </c>
      <c r="WTL95" s="365">
        <v>0.5</v>
      </c>
      <c r="WTM95" s="366" t="e">
        <f>10/WTI93</f>
        <v>#DIV/0!</v>
      </c>
      <c r="WTN95" s="367">
        <v>15.38</v>
      </c>
      <c r="WTO95" s="367" t="e">
        <f>WTL95*WTM95*WTN95</f>
        <v>#DIV/0!</v>
      </c>
      <c r="WTP95" s="363" t="s">
        <v>153</v>
      </c>
      <c r="WTQ95" s="363"/>
      <c r="WTR95" s="363"/>
      <c r="WTS95" s="364" t="s">
        <v>140</v>
      </c>
      <c r="WTT95" s="365">
        <v>0.5</v>
      </c>
      <c r="WTU95" s="366" t="e">
        <f>10/WTQ93</f>
        <v>#DIV/0!</v>
      </c>
      <c r="WTV95" s="367">
        <v>15.38</v>
      </c>
      <c r="WTW95" s="367" t="e">
        <f>WTT95*WTU95*WTV95</f>
        <v>#DIV/0!</v>
      </c>
      <c r="WTX95" s="363" t="s">
        <v>153</v>
      </c>
      <c r="WTY95" s="363"/>
      <c r="WTZ95" s="363"/>
      <c r="WUA95" s="364" t="s">
        <v>140</v>
      </c>
      <c r="WUB95" s="365">
        <v>0.5</v>
      </c>
      <c r="WUC95" s="366" t="e">
        <f>10/WTY93</f>
        <v>#DIV/0!</v>
      </c>
      <c r="WUD95" s="367">
        <v>15.38</v>
      </c>
      <c r="WUE95" s="367" t="e">
        <f>WUB95*WUC95*WUD95</f>
        <v>#DIV/0!</v>
      </c>
      <c r="WUF95" s="363" t="s">
        <v>153</v>
      </c>
      <c r="WUG95" s="363"/>
      <c r="WUH95" s="363"/>
      <c r="WUI95" s="364" t="s">
        <v>140</v>
      </c>
      <c r="WUJ95" s="365">
        <v>0.5</v>
      </c>
      <c r="WUK95" s="366" t="e">
        <f>10/WUG93</f>
        <v>#DIV/0!</v>
      </c>
      <c r="WUL95" s="367">
        <v>15.38</v>
      </c>
      <c r="WUM95" s="367" t="e">
        <f>WUJ95*WUK95*WUL95</f>
        <v>#DIV/0!</v>
      </c>
      <c r="WUN95" s="363" t="s">
        <v>153</v>
      </c>
      <c r="WUO95" s="363"/>
      <c r="WUP95" s="363"/>
      <c r="WUQ95" s="364" t="s">
        <v>140</v>
      </c>
      <c r="WUR95" s="365">
        <v>0.5</v>
      </c>
      <c r="WUS95" s="366" t="e">
        <f>10/WUO93</f>
        <v>#DIV/0!</v>
      </c>
      <c r="WUT95" s="367">
        <v>15.38</v>
      </c>
      <c r="WUU95" s="367" t="e">
        <f>WUR95*WUS95*WUT95</f>
        <v>#DIV/0!</v>
      </c>
      <c r="WUV95" s="363" t="s">
        <v>153</v>
      </c>
      <c r="WUW95" s="363"/>
      <c r="WUX95" s="363"/>
      <c r="WUY95" s="364" t="s">
        <v>140</v>
      </c>
      <c r="WUZ95" s="365">
        <v>0.5</v>
      </c>
      <c r="WVA95" s="366" t="e">
        <f>10/WUW93</f>
        <v>#DIV/0!</v>
      </c>
      <c r="WVB95" s="367">
        <v>15.38</v>
      </c>
      <c r="WVC95" s="367" t="e">
        <f>WUZ95*WVA95*WVB95</f>
        <v>#DIV/0!</v>
      </c>
      <c r="WVD95" s="363" t="s">
        <v>153</v>
      </c>
      <c r="WVE95" s="363"/>
      <c r="WVF95" s="363"/>
      <c r="WVG95" s="364" t="s">
        <v>140</v>
      </c>
      <c r="WVH95" s="365">
        <v>0.5</v>
      </c>
      <c r="WVI95" s="366" t="e">
        <f>10/WVE93</f>
        <v>#DIV/0!</v>
      </c>
      <c r="WVJ95" s="367">
        <v>15.38</v>
      </c>
      <c r="WVK95" s="367" t="e">
        <f>WVH95*WVI95*WVJ95</f>
        <v>#DIV/0!</v>
      </c>
      <c r="WVL95" s="363" t="s">
        <v>153</v>
      </c>
      <c r="WVM95" s="363"/>
      <c r="WVN95" s="363"/>
      <c r="WVO95" s="364" t="s">
        <v>140</v>
      </c>
      <c r="WVP95" s="365">
        <v>0.5</v>
      </c>
      <c r="WVQ95" s="366" t="e">
        <f>10/WVM93</f>
        <v>#DIV/0!</v>
      </c>
      <c r="WVR95" s="367">
        <v>15.38</v>
      </c>
      <c r="WVS95" s="367" t="e">
        <f>WVP95*WVQ95*WVR95</f>
        <v>#DIV/0!</v>
      </c>
      <c r="WVT95" s="363" t="s">
        <v>153</v>
      </c>
      <c r="WVU95" s="363"/>
      <c r="WVV95" s="363"/>
      <c r="WVW95" s="364" t="s">
        <v>140</v>
      </c>
      <c r="WVX95" s="365">
        <v>0.5</v>
      </c>
      <c r="WVY95" s="366" t="e">
        <f>10/WVU93</f>
        <v>#DIV/0!</v>
      </c>
      <c r="WVZ95" s="367">
        <v>15.38</v>
      </c>
      <c r="WWA95" s="367" t="e">
        <f>WVX95*WVY95*WVZ95</f>
        <v>#DIV/0!</v>
      </c>
      <c r="WWB95" s="363" t="s">
        <v>153</v>
      </c>
      <c r="WWC95" s="363"/>
      <c r="WWD95" s="363"/>
      <c r="WWE95" s="364" t="s">
        <v>140</v>
      </c>
      <c r="WWF95" s="365">
        <v>0.5</v>
      </c>
      <c r="WWG95" s="366" t="e">
        <f>10/WWC93</f>
        <v>#DIV/0!</v>
      </c>
      <c r="WWH95" s="367">
        <v>15.38</v>
      </c>
      <c r="WWI95" s="367" t="e">
        <f>WWF95*WWG95*WWH95</f>
        <v>#DIV/0!</v>
      </c>
      <c r="WWJ95" s="363" t="s">
        <v>153</v>
      </c>
      <c r="WWK95" s="363"/>
      <c r="WWL95" s="363"/>
      <c r="WWM95" s="364" t="s">
        <v>140</v>
      </c>
      <c r="WWN95" s="365">
        <v>0.5</v>
      </c>
      <c r="WWO95" s="366" t="e">
        <f>10/WWK93</f>
        <v>#DIV/0!</v>
      </c>
      <c r="WWP95" s="367">
        <v>15.38</v>
      </c>
      <c r="WWQ95" s="367" t="e">
        <f>WWN95*WWO95*WWP95</f>
        <v>#DIV/0!</v>
      </c>
      <c r="WWR95" s="363" t="s">
        <v>153</v>
      </c>
      <c r="WWS95" s="363"/>
      <c r="WWT95" s="363"/>
      <c r="WWU95" s="364" t="s">
        <v>140</v>
      </c>
      <c r="WWV95" s="365">
        <v>0.5</v>
      </c>
      <c r="WWW95" s="366" t="e">
        <f>10/WWS93</f>
        <v>#DIV/0!</v>
      </c>
      <c r="WWX95" s="367">
        <v>15.38</v>
      </c>
      <c r="WWY95" s="367" t="e">
        <f>WWV95*WWW95*WWX95</f>
        <v>#DIV/0!</v>
      </c>
      <c r="WWZ95" s="363" t="s">
        <v>153</v>
      </c>
      <c r="WXA95" s="363"/>
      <c r="WXB95" s="363"/>
      <c r="WXC95" s="364" t="s">
        <v>140</v>
      </c>
      <c r="WXD95" s="365">
        <v>0.5</v>
      </c>
      <c r="WXE95" s="366" t="e">
        <f>10/WXA93</f>
        <v>#DIV/0!</v>
      </c>
      <c r="WXF95" s="367">
        <v>15.38</v>
      </c>
      <c r="WXG95" s="367" t="e">
        <f>WXD95*WXE95*WXF95</f>
        <v>#DIV/0!</v>
      </c>
      <c r="WXH95" s="363" t="s">
        <v>153</v>
      </c>
      <c r="WXI95" s="363"/>
      <c r="WXJ95" s="363"/>
      <c r="WXK95" s="364" t="s">
        <v>140</v>
      </c>
      <c r="WXL95" s="365">
        <v>0.5</v>
      </c>
      <c r="WXM95" s="366" t="e">
        <f>10/WXI93</f>
        <v>#DIV/0!</v>
      </c>
      <c r="WXN95" s="367">
        <v>15.38</v>
      </c>
      <c r="WXO95" s="367" t="e">
        <f>WXL95*WXM95*WXN95</f>
        <v>#DIV/0!</v>
      </c>
      <c r="WXP95" s="363" t="s">
        <v>153</v>
      </c>
      <c r="WXQ95" s="363"/>
      <c r="WXR95" s="363"/>
      <c r="WXS95" s="364" t="s">
        <v>140</v>
      </c>
      <c r="WXT95" s="365">
        <v>0.5</v>
      </c>
      <c r="WXU95" s="366" t="e">
        <f>10/WXQ93</f>
        <v>#DIV/0!</v>
      </c>
      <c r="WXV95" s="367">
        <v>15.38</v>
      </c>
      <c r="WXW95" s="367" t="e">
        <f>WXT95*WXU95*WXV95</f>
        <v>#DIV/0!</v>
      </c>
      <c r="WXX95" s="363" t="s">
        <v>153</v>
      </c>
      <c r="WXY95" s="363"/>
      <c r="WXZ95" s="363"/>
      <c r="WYA95" s="364" t="s">
        <v>140</v>
      </c>
      <c r="WYB95" s="365">
        <v>0.5</v>
      </c>
      <c r="WYC95" s="366" t="e">
        <f>10/WXY93</f>
        <v>#DIV/0!</v>
      </c>
      <c r="WYD95" s="367">
        <v>15.38</v>
      </c>
      <c r="WYE95" s="367" t="e">
        <f>WYB95*WYC95*WYD95</f>
        <v>#DIV/0!</v>
      </c>
      <c r="WYF95" s="363" t="s">
        <v>153</v>
      </c>
      <c r="WYG95" s="363"/>
      <c r="WYH95" s="363"/>
      <c r="WYI95" s="364" t="s">
        <v>140</v>
      </c>
      <c r="WYJ95" s="365">
        <v>0.5</v>
      </c>
      <c r="WYK95" s="366" t="e">
        <f>10/WYG93</f>
        <v>#DIV/0!</v>
      </c>
      <c r="WYL95" s="367">
        <v>15.38</v>
      </c>
      <c r="WYM95" s="367" t="e">
        <f>WYJ95*WYK95*WYL95</f>
        <v>#DIV/0!</v>
      </c>
      <c r="WYN95" s="363" t="s">
        <v>153</v>
      </c>
      <c r="WYO95" s="363"/>
      <c r="WYP95" s="363"/>
      <c r="WYQ95" s="364" t="s">
        <v>140</v>
      </c>
      <c r="WYR95" s="365">
        <v>0.5</v>
      </c>
      <c r="WYS95" s="366" t="e">
        <f>10/WYO93</f>
        <v>#DIV/0!</v>
      </c>
      <c r="WYT95" s="367">
        <v>15.38</v>
      </c>
      <c r="WYU95" s="367" t="e">
        <f>WYR95*WYS95*WYT95</f>
        <v>#DIV/0!</v>
      </c>
      <c r="WYV95" s="363" t="s">
        <v>153</v>
      </c>
      <c r="WYW95" s="363"/>
      <c r="WYX95" s="363"/>
      <c r="WYY95" s="364" t="s">
        <v>140</v>
      </c>
      <c r="WYZ95" s="365">
        <v>0.5</v>
      </c>
      <c r="WZA95" s="366" t="e">
        <f>10/WYW93</f>
        <v>#DIV/0!</v>
      </c>
      <c r="WZB95" s="367">
        <v>15.38</v>
      </c>
      <c r="WZC95" s="367" t="e">
        <f>WYZ95*WZA95*WZB95</f>
        <v>#DIV/0!</v>
      </c>
      <c r="WZD95" s="363" t="s">
        <v>153</v>
      </c>
      <c r="WZE95" s="363"/>
      <c r="WZF95" s="363"/>
      <c r="WZG95" s="364" t="s">
        <v>140</v>
      </c>
      <c r="WZH95" s="365">
        <v>0.5</v>
      </c>
      <c r="WZI95" s="366" t="e">
        <f>10/WZE93</f>
        <v>#DIV/0!</v>
      </c>
      <c r="WZJ95" s="367">
        <v>15.38</v>
      </c>
      <c r="WZK95" s="367" t="e">
        <f>WZH95*WZI95*WZJ95</f>
        <v>#DIV/0!</v>
      </c>
      <c r="WZL95" s="363" t="s">
        <v>153</v>
      </c>
      <c r="WZM95" s="363"/>
      <c r="WZN95" s="363"/>
      <c r="WZO95" s="364" t="s">
        <v>140</v>
      </c>
      <c r="WZP95" s="365">
        <v>0.5</v>
      </c>
      <c r="WZQ95" s="366" t="e">
        <f>10/WZM93</f>
        <v>#DIV/0!</v>
      </c>
      <c r="WZR95" s="367">
        <v>15.38</v>
      </c>
      <c r="WZS95" s="367" t="e">
        <f>WZP95*WZQ95*WZR95</f>
        <v>#DIV/0!</v>
      </c>
      <c r="WZT95" s="363" t="s">
        <v>153</v>
      </c>
      <c r="WZU95" s="363"/>
      <c r="WZV95" s="363"/>
      <c r="WZW95" s="364" t="s">
        <v>140</v>
      </c>
      <c r="WZX95" s="365">
        <v>0.5</v>
      </c>
      <c r="WZY95" s="366" t="e">
        <f>10/WZU93</f>
        <v>#DIV/0!</v>
      </c>
      <c r="WZZ95" s="367">
        <v>15.38</v>
      </c>
      <c r="XAA95" s="367" t="e">
        <f>WZX95*WZY95*WZZ95</f>
        <v>#DIV/0!</v>
      </c>
      <c r="XAB95" s="363" t="s">
        <v>153</v>
      </c>
      <c r="XAC95" s="363"/>
      <c r="XAD95" s="363"/>
      <c r="XAE95" s="364" t="s">
        <v>140</v>
      </c>
      <c r="XAF95" s="365">
        <v>0.5</v>
      </c>
      <c r="XAG95" s="366" t="e">
        <f>10/XAC93</f>
        <v>#DIV/0!</v>
      </c>
      <c r="XAH95" s="367">
        <v>15.38</v>
      </c>
      <c r="XAI95" s="367" t="e">
        <f>XAF95*XAG95*XAH95</f>
        <v>#DIV/0!</v>
      </c>
      <c r="XAJ95" s="363" t="s">
        <v>153</v>
      </c>
      <c r="XAK95" s="363"/>
      <c r="XAL95" s="363"/>
      <c r="XAM95" s="364" t="s">
        <v>140</v>
      </c>
      <c r="XAN95" s="365">
        <v>0.5</v>
      </c>
      <c r="XAO95" s="366" t="e">
        <f>10/XAK93</f>
        <v>#DIV/0!</v>
      </c>
      <c r="XAP95" s="367">
        <v>15.38</v>
      </c>
      <c r="XAQ95" s="367" t="e">
        <f>XAN95*XAO95*XAP95</f>
        <v>#DIV/0!</v>
      </c>
      <c r="XAR95" s="363" t="s">
        <v>153</v>
      </c>
      <c r="XAS95" s="363"/>
      <c r="XAT95" s="363"/>
      <c r="XAU95" s="364" t="s">
        <v>140</v>
      </c>
      <c r="XAV95" s="365">
        <v>0.5</v>
      </c>
      <c r="XAW95" s="366" t="e">
        <f>10/XAS93</f>
        <v>#DIV/0!</v>
      </c>
      <c r="XAX95" s="367">
        <v>15.38</v>
      </c>
      <c r="XAY95" s="367" t="e">
        <f>XAV95*XAW95*XAX95</f>
        <v>#DIV/0!</v>
      </c>
      <c r="XAZ95" s="363" t="s">
        <v>153</v>
      </c>
      <c r="XBA95" s="363"/>
      <c r="XBB95" s="363"/>
      <c r="XBC95" s="364" t="s">
        <v>140</v>
      </c>
      <c r="XBD95" s="365">
        <v>0.5</v>
      </c>
      <c r="XBE95" s="366" t="e">
        <f>10/XBA93</f>
        <v>#DIV/0!</v>
      </c>
      <c r="XBF95" s="367">
        <v>15.38</v>
      </c>
      <c r="XBG95" s="367" t="e">
        <f>XBD95*XBE95*XBF95</f>
        <v>#DIV/0!</v>
      </c>
      <c r="XBH95" s="363" t="s">
        <v>153</v>
      </c>
      <c r="XBI95" s="363"/>
      <c r="XBJ95" s="363"/>
      <c r="XBK95" s="364" t="s">
        <v>140</v>
      </c>
      <c r="XBL95" s="365">
        <v>0.5</v>
      </c>
      <c r="XBM95" s="366" t="e">
        <f>10/XBI93</f>
        <v>#DIV/0!</v>
      </c>
      <c r="XBN95" s="367">
        <v>15.38</v>
      </c>
      <c r="XBO95" s="367" t="e">
        <f>XBL95*XBM95*XBN95</f>
        <v>#DIV/0!</v>
      </c>
      <c r="XBP95" s="363" t="s">
        <v>153</v>
      </c>
      <c r="XBQ95" s="363"/>
      <c r="XBR95" s="363"/>
      <c r="XBS95" s="364" t="s">
        <v>140</v>
      </c>
      <c r="XBT95" s="365">
        <v>0.5</v>
      </c>
      <c r="XBU95" s="366" t="e">
        <f>10/XBQ93</f>
        <v>#DIV/0!</v>
      </c>
      <c r="XBV95" s="367">
        <v>15.38</v>
      </c>
      <c r="XBW95" s="367" t="e">
        <f>XBT95*XBU95*XBV95</f>
        <v>#DIV/0!</v>
      </c>
    </row>
    <row r="96" spans="1:16299" x14ac:dyDescent="0.25">
      <c r="A96" s="363" t="s">
        <v>139</v>
      </c>
      <c r="D96" s="364" t="s">
        <v>140</v>
      </c>
      <c r="E96" s="365">
        <v>1</v>
      </c>
      <c r="F96" s="366">
        <f>10/B93</f>
        <v>2.5</v>
      </c>
      <c r="G96" s="367">
        <v>13.94</v>
      </c>
      <c r="H96" s="367">
        <f>E96*F96*G96</f>
        <v>34.85</v>
      </c>
    </row>
    <row r="97" spans="1:8" x14ac:dyDescent="0.25">
      <c r="A97" s="363" t="s">
        <v>141</v>
      </c>
      <c r="D97" s="364" t="s">
        <v>140</v>
      </c>
      <c r="E97" s="365">
        <v>1</v>
      </c>
      <c r="F97" s="366">
        <f>10/B93</f>
        <v>2.5</v>
      </c>
      <c r="G97" s="316">
        <v>13</v>
      </c>
      <c r="H97" s="367">
        <f>E97*F97*G97</f>
        <v>32.5</v>
      </c>
    </row>
    <row r="98" spans="1:8" ht="15" customHeight="1" x14ac:dyDescent="0.25">
      <c r="A98" s="295"/>
      <c r="B98" s="295"/>
      <c r="C98" s="295"/>
      <c r="D98" s="296"/>
      <c r="E98" s="326"/>
      <c r="F98" s="327"/>
      <c r="G98" s="297" t="s">
        <v>142</v>
      </c>
      <c r="H98" s="297">
        <f>SUM(H95:H97)</f>
        <v>86.575000000000003</v>
      </c>
    </row>
    <row r="100" spans="1:8" x14ac:dyDescent="0.25">
      <c r="A100" s="363" t="s">
        <v>156</v>
      </c>
      <c r="D100" s="364" t="s">
        <v>157</v>
      </c>
      <c r="F100" s="366">
        <v>3</v>
      </c>
      <c r="G100" s="367">
        <f>H98</f>
        <v>86.575000000000003</v>
      </c>
      <c r="H100" s="367">
        <f>G100*F100/100</f>
        <v>2.5972500000000003</v>
      </c>
    </row>
    <row r="101" spans="1:8" ht="15" customHeight="1" x14ac:dyDescent="0.25">
      <c r="A101" s="295"/>
      <c r="B101" s="295"/>
      <c r="C101" s="295"/>
      <c r="D101" s="296"/>
      <c r="E101" s="326"/>
      <c r="F101" s="327"/>
      <c r="G101" s="297" t="s">
        <v>145</v>
      </c>
      <c r="H101" s="297">
        <f>SUM(H100:H100)</f>
        <v>2.5972500000000003</v>
      </c>
    </row>
    <row r="104" spans="1:8" ht="15" customHeight="1" x14ac:dyDescent="0.3">
      <c r="A104" s="291" t="s">
        <v>172</v>
      </c>
      <c r="B104" s="291"/>
      <c r="C104" s="291"/>
      <c r="D104" s="291"/>
      <c r="E104" s="291"/>
      <c r="F104" s="291"/>
      <c r="G104" s="291"/>
      <c r="H104" s="291"/>
    </row>
    <row r="105" spans="1:8" ht="15" customHeight="1" x14ac:dyDescent="0.25">
      <c r="A105" s="281" t="s">
        <v>151</v>
      </c>
      <c r="B105" s="371">
        <v>1</v>
      </c>
      <c r="C105" s="281" t="s">
        <v>152</v>
      </c>
      <c r="D105" s="292"/>
      <c r="E105" s="323" t="s">
        <v>149</v>
      </c>
      <c r="F105" s="324"/>
      <c r="G105" s="293" t="s">
        <v>133</v>
      </c>
      <c r="H105" s="293">
        <f>H108</f>
        <v>800</v>
      </c>
    </row>
    <row r="106" spans="1:8" ht="15" customHeight="1" x14ac:dyDescent="0.25">
      <c r="A106" s="292" t="s">
        <v>134</v>
      </c>
      <c r="B106" s="292"/>
      <c r="C106" s="292"/>
      <c r="D106" s="292" t="s">
        <v>135</v>
      </c>
      <c r="E106" s="325" t="s">
        <v>136</v>
      </c>
      <c r="F106" s="325" t="s">
        <v>24</v>
      </c>
      <c r="G106" s="294" t="s">
        <v>137</v>
      </c>
      <c r="H106" s="294" t="s">
        <v>138</v>
      </c>
    </row>
    <row r="107" spans="1:8" x14ac:dyDescent="0.25">
      <c r="A107" s="363" t="s">
        <v>173</v>
      </c>
      <c r="D107" s="364" t="s">
        <v>30</v>
      </c>
      <c r="F107" s="366">
        <v>1</v>
      </c>
      <c r="G107" s="367">
        <v>800</v>
      </c>
      <c r="H107" s="367">
        <f>F107*G107</f>
        <v>800</v>
      </c>
    </row>
    <row r="108" spans="1:8" ht="15" customHeight="1" x14ac:dyDescent="0.25">
      <c r="A108" s="295"/>
      <c r="B108" s="295"/>
      <c r="C108" s="295"/>
      <c r="D108" s="296"/>
      <c r="E108" s="326"/>
      <c r="F108" s="327"/>
      <c r="G108" s="297" t="s">
        <v>174</v>
      </c>
      <c r="H108" s="297">
        <f>SUM(H107:H107)</f>
        <v>800</v>
      </c>
    </row>
    <row r="111" spans="1:8" ht="15" customHeight="1" x14ac:dyDescent="0.3">
      <c r="A111" s="291" t="s">
        <v>175</v>
      </c>
      <c r="B111" s="291"/>
      <c r="C111" s="291"/>
      <c r="D111" s="291"/>
      <c r="E111" s="291"/>
      <c r="F111" s="291"/>
      <c r="G111" s="291"/>
      <c r="H111" s="291"/>
    </row>
    <row r="112" spans="1:8" ht="15" customHeight="1" x14ac:dyDescent="0.25">
      <c r="A112" s="281" t="s">
        <v>151</v>
      </c>
      <c r="B112" s="371">
        <v>3</v>
      </c>
      <c r="C112" s="281" t="s">
        <v>152</v>
      </c>
      <c r="D112" s="292"/>
      <c r="E112" s="323" t="s">
        <v>149</v>
      </c>
      <c r="F112" s="324"/>
      <c r="G112" s="293" t="s">
        <v>133</v>
      </c>
      <c r="H112" s="293">
        <f>H117+H120</f>
        <v>118.89633333333333</v>
      </c>
    </row>
    <row r="113" spans="1:16299" ht="15" customHeight="1" x14ac:dyDescent="0.25">
      <c r="A113" s="292" t="s">
        <v>134</v>
      </c>
      <c r="B113" s="292"/>
      <c r="C113" s="292"/>
      <c r="D113" s="292" t="s">
        <v>135</v>
      </c>
      <c r="E113" s="325" t="s">
        <v>136</v>
      </c>
      <c r="F113" s="325" t="s">
        <v>24</v>
      </c>
      <c r="G113" s="294" t="s">
        <v>137</v>
      </c>
      <c r="H113" s="294" t="s">
        <v>138</v>
      </c>
    </row>
    <row r="114" spans="1:16299" ht="15" customHeight="1" x14ac:dyDescent="0.25">
      <c r="A114" s="363" t="s">
        <v>153</v>
      </c>
      <c r="D114" s="364" t="s">
        <v>140</v>
      </c>
      <c r="E114" s="365">
        <v>0.5</v>
      </c>
      <c r="F114" s="366">
        <f>10/B112</f>
        <v>3.3333333333333335</v>
      </c>
      <c r="G114" s="367">
        <v>15.38</v>
      </c>
      <c r="H114" s="367">
        <f>E114*F114*G114</f>
        <v>25.633333333333336</v>
      </c>
      <c r="I114" s="363"/>
      <c r="J114" s="367"/>
      <c r="K114" s="367"/>
      <c r="L114" s="363"/>
      <c r="M114" s="363"/>
      <c r="N114" s="363"/>
      <c r="O114" s="364"/>
      <c r="P114" s="365"/>
      <c r="Q114" s="366"/>
      <c r="R114" s="367"/>
      <c r="S114" s="367"/>
      <c r="T114" s="363"/>
      <c r="U114" s="363"/>
      <c r="V114" s="363"/>
      <c r="W114" s="364"/>
      <c r="X114" s="365"/>
      <c r="Y114" s="366"/>
      <c r="Z114" s="367"/>
      <c r="AA114" s="367">
        <f>X114*Y114*Z114</f>
        <v>0</v>
      </c>
      <c r="AB114" s="363" t="s">
        <v>153</v>
      </c>
      <c r="AC114" s="363"/>
      <c r="AD114" s="363"/>
      <c r="AE114" s="364" t="s">
        <v>140</v>
      </c>
      <c r="AF114" s="365">
        <v>0.5</v>
      </c>
      <c r="AG114" s="366" t="e">
        <f>10/AC112</f>
        <v>#DIV/0!</v>
      </c>
      <c r="AH114" s="367">
        <v>15.38</v>
      </c>
      <c r="AI114" s="367" t="e">
        <f>AF114*AG114*AH114</f>
        <v>#DIV/0!</v>
      </c>
      <c r="AJ114" s="363" t="s">
        <v>153</v>
      </c>
      <c r="AK114" s="363"/>
      <c r="AL114" s="363"/>
      <c r="AM114" s="364" t="s">
        <v>140</v>
      </c>
      <c r="AN114" s="365">
        <v>0.5</v>
      </c>
      <c r="AO114" s="366" t="e">
        <f>10/AK112</f>
        <v>#DIV/0!</v>
      </c>
      <c r="AP114" s="367">
        <v>15.38</v>
      </c>
      <c r="AQ114" s="367" t="e">
        <f>AN114*AO114*AP114</f>
        <v>#DIV/0!</v>
      </c>
      <c r="AR114" s="363" t="s">
        <v>153</v>
      </c>
      <c r="AS114" s="363"/>
      <c r="AT114" s="363"/>
      <c r="AU114" s="364" t="s">
        <v>140</v>
      </c>
      <c r="AV114" s="365">
        <v>0.5</v>
      </c>
      <c r="AW114" s="366" t="e">
        <f>10/AS112</f>
        <v>#DIV/0!</v>
      </c>
      <c r="AX114" s="367">
        <v>15.38</v>
      </c>
      <c r="AY114" s="367" t="e">
        <f>AV114*AW114*AX114</f>
        <v>#DIV/0!</v>
      </c>
      <c r="AZ114" s="363" t="s">
        <v>153</v>
      </c>
      <c r="BA114" s="363"/>
      <c r="BB114" s="363"/>
      <c r="BC114" s="364" t="s">
        <v>140</v>
      </c>
      <c r="BD114" s="365">
        <v>0.5</v>
      </c>
      <c r="BE114" s="366" t="e">
        <f>10/BA112</f>
        <v>#DIV/0!</v>
      </c>
      <c r="BF114" s="367">
        <v>15.38</v>
      </c>
      <c r="BG114" s="367" t="e">
        <f>BD114*BE114*BF114</f>
        <v>#DIV/0!</v>
      </c>
      <c r="BH114" s="363" t="s">
        <v>153</v>
      </c>
      <c r="BI114" s="363"/>
      <c r="BJ114" s="363"/>
      <c r="BK114" s="364" t="s">
        <v>140</v>
      </c>
      <c r="BL114" s="365">
        <v>0.5</v>
      </c>
      <c r="BM114" s="366" t="e">
        <f>10/BI112</f>
        <v>#DIV/0!</v>
      </c>
      <c r="BN114" s="367">
        <v>15.38</v>
      </c>
      <c r="BO114" s="367" t="e">
        <f>BL114*BM114*BN114</f>
        <v>#DIV/0!</v>
      </c>
      <c r="BP114" s="363" t="s">
        <v>153</v>
      </c>
      <c r="BQ114" s="363"/>
      <c r="BR114" s="363"/>
      <c r="BS114" s="364" t="s">
        <v>140</v>
      </c>
      <c r="BT114" s="365">
        <v>0.5</v>
      </c>
      <c r="BU114" s="366" t="e">
        <f>10/BQ112</f>
        <v>#DIV/0!</v>
      </c>
      <c r="BV114" s="367">
        <v>15.38</v>
      </c>
      <c r="BW114" s="367" t="e">
        <f>BT114*BU114*BV114</f>
        <v>#DIV/0!</v>
      </c>
      <c r="BX114" s="363" t="s">
        <v>153</v>
      </c>
      <c r="BY114" s="363"/>
      <c r="BZ114" s="363"/>
      <c r="CA114" s="364" t="s">
        <v>140</v>
      </c>
      <c r="CB114" s="365">
        <v>0.5</v>
      </c>
      <c r="CC114" s="366" t="e">
        <f>10/BY112</f>
        <v>#DIV/0!</v>
      </c>
      <c r="CD114" s="367">
        <v>15.38</v>
      </c>
      <c r="CE114" s="367" t="e">
        <f>CB114*CC114*CD114</f>
        <v>#DIV/0!</v>
      </c>
      <c r="CF114" s="363" t="s">
        <v>153</v>
      </c>
      <c r="CG114" s="363"/>
      <c r="CH114" s="363"/>
      <c r="CI114" s="364" t="s">
        <v>140</v>
      </c>
      <c r="CJ114" s="365">
        <v>0.5</v>
      </c>
      <c r="CK114" s="366" t="e">
        <f>10/CG112</f>
        <v>#DIV/0!</v>
      </c>
      <c r="CL114" s="367">
        <v>15.38</v>
      </c>
      <c r="CM114" s="367" t="e">
        <f>CJ114*CK114*CL114</f>
        <v>#DIV/0!</v>
      </c>
      <c r="CN114" s="363" t="s">
        <v>153</v>
      </c>
      <c r="CO114" s="363"/>
      <c r="CP114" s="363"/>
      <c r="CQ114" s="364" t="s">
        <v>140</v>
      </c>
      <c r="CR114" s="365">
        <v>0.5</v>
      </c>
      <c r="CS114" s="366" t="e">
        <f>10/CO112</f>
        <v>#DIV/0!</v>
      </c>
      <c r="CT114" s="367">
        <v>15.38</v>
      </c>
      <c r="CU114" s="367" t="e">
        <f>CR114*CS114*CT114</f>
        <v>#DIV/0!</v>
      </c>
      <c r="CV114" s="363" t="s">
        <v>153</v>
      </c>
      <c r="CW114" s="363"/>
      <c r="CX114" s="363"/>
      <c r="CY114" s="364" t="s">
        <v>140</v>
      </c>
      <c r="CZ114" s="365">
        <v>0.5</v>
      </c>
      <c r="DA114" s="366" t="e">
        <f>10/CW112</f>
        <v>#DIV/0!</v>
      </c>
      <c r="DB114" s="367">
        <v>15.38</v>
      </c>
      <c r="DC114" s="367" t="e">
        <f>CZ114*DA114*DB114</f>
        <v>#DIV/0!</v>
      </c>
      <c r="DD114" s="363" t="s">
        <v>153</v>
      </c>
      <c r="DE114" s="363"/>
      <c r="DF114" s="363"/>
      <c r="DG114" s="364" t="s">
        <v>140</v>
      </c>
      <c r="DH114" s="365">
        <v>0.5</v>
      </c>
      <c r="DI114" s="366" t="e">
        <f>10/DE112</f>
        <v>#DIV/0!</v>
      </c>
      <c r="DJ114" s="367">
        <v>15.38</v>
      </c>
      <c r="DK114" s="367" t="e">
        <f>DH114*DI114*DJ114</f>
        <v>#DIV/0!</v>
      </c>
      <c r="DL114" s="363" t="s">
        <v>153</v>
      </c>
      <c r="DM114" s="363"/>
      <c r="DN114" s="363"/>
      <c r="DO114" s="364" t="s">
        <v>140</v>
      </c>
      <c r="DP114" s="365">
        <v>0.5</v>
      </c>
      <c r="DQ114" s="366" t="e">
        <f>10/DM112</f>
        <v>#DIV/0!</v>
      </c>
      <c r="DR114" s="367">
        <v>15.38</v>
      </c>
      <c r="DS114" s="367" t="e">
        <f>DP114*DQ114*DR114</f>
        <v>#DIV/0!</v>
      </c>
      <c r="DT114" s="363" t="s">
        <v>153</v>
      </c>
      <c r="DU114" s="363"/>
      <c r="DV114" s="363"/>
      <c r="DW114" s="364" t="s">
        <v>140</v>
      </c>
      <c r="DX114" s="365">
        <v>0.5</v>
      </c>
      <c r="DY114" s="366" t="e">
        <f>10/DU112</f>
        <v>#DIV/0!</v>
      </c>
      <c r="DZ114" s="367">
        <v>15.38</v>
      </c>
      <c r="EA114" s="367" t="e">
        <f>DX114*DY114*DZ114</f>
        <v>#DIV/0!</v>
      </c>
      <c r="EB114" s="363" t="s">
        <v>153</v>
      </c>
      <c r="EC114" s="363"/>
      <c r="ED114" s="363"/>
      <c r="EE114" s="364" t="s">
        <v>140</v>
      </c>
      <c r="EF114" s="365">
        <v>0.5</v>
      </c>
      <c r="EG114" s="366" t="e">
        <f>10/EC112</f>
        <v>#DIV/0!</v>
      </c>
      <c r="EH114" s="367">
        <v>15.38</v>
      </c>
      <c r="EI114" s="367" t="e">
        <f>EF114*EG114*EH114</f>
        <v>#DIV/0!</v>
      </c>
      <c r="EJ114" s="363" t="s">
        <v>153</v>
      </c>
      <c r="EK114" s="363"/>
      <c r="EL114" s="363"/>
      <c r="EM114" s="364" t="s">
        <v>140</v>
      </c>
      <c r="EN114" s="365">
        <v>0.5</v>
      </c>
      <c r="EO114" s="366" t="e">
        <f>10/EK112</f>
        <v>#DIV/0!</v>
      </c>
      <c r="EP114" s="367">
        <v>15.38</v>
      </c>
      <c r="EQ114" s="367" t="e">
        <f>EN114*EO114*EP114</f>
        <v>#DIV/0!</v>
      </c>
      <c r="ER114" s="363" t="s">
        <v>153</v>
      </c>
      <c r="ES114" s="363"/>
      <c r="ET114" s="363"/>
      <c r="EU114" s="364" t="s">
        <v>140</v>
      </c>
      <c r="EV114" s="365">
        <v>0.5</v>
      </c>
      <c r="EW114" s="366" t="e">
        <f>10/ES112</f>
        <v>#DIV/0!</v>
      </c>
      <c r="EX114" s="367">
        <v>15.38</v>
      </c>
      <c r="EY114" s="367" t="e">
        <f>EV114*EW114*EX114</f>
        <v>#DIV/0!</v>
      </c>
      <c r="EZ114" s="363" t="s">
        <v>153</v>
      </c>
      <c r="FA114" s="363"/>
      <c r="FB114" s="363"/>
      <c r="FC114" s="364" t="s">
        <v>140</v>
      </c>
      <c r="FD114" s="365">
        <v>0.5</v>
      </c>
      <c r="FE114" s="366" t="e">
        <f>10/FA112</f>
        <v>#DIV/0!</v>
      </c>
      <c r="FF114" s="367">
        <v>15.38</v>
      </c>
      <c r="FG114" s="367" t="e">
        <f>FD114*FE114*FF114</f>
        <v>#DIV/0!</v>
      </c>
      <c r="FH114" s="363" t="s">
        <v>153</v>
      </c>
      <c r="FI114" s="363"/>
      <c r="FJ114" s="363"/>
      <c r="FK114" s="364" t="s">
        <v>140</v>
      </c>
      <c r="FL114" s="365">
        <v>0.5</v>
      </c>
      <c r="FM114" s="366" t="e">
        <f>10/FI112</f>
        <v>#DIV/0!</v>
      </c>
      <c r="FN114" s="367">
        <v>15.38</v>
      </c>
      <c r="FO114" s="367" t="e">
        <f>FL114*FM114*FN114</f>
        <v>#DIV/0!</v>
      </c>
      <c r="FP114" s="363" t="s">
        <v>153</v>
      </c>
      <c r="FQ114" s="363"/>
      <c r="FR114" s="363"/>
      <c r="FS114" s="364" t="s">
        <v>140</v>
      </c>
      <c r="FT114" s="365">
        <v>0.5</v>
      </c>
      <c r="FU114" s="366" t="e">
        <f>10/FQ112</f>
        <v>#DIV/0!</v>
      </c>
      <c r="FV114" s="367">
        <v>15.38</v>
      </c>
      <c r="FW114" s="367" t="e">
        <f>FT114*FU114*FV114</f>
        <v>#DIV/0!</v>
      </c>
      <c r="FX114" s="363" t="s">
        <v>153</v>
      </c>
      <c r="FY114" s="363"/>
      <c r="FZ114" s="363"/>
      <c r="GA114" s="364" t="s">
        <v>140</v>
      </c>
      <c r="GB114" s="365">
        <v>0.5</v>
      </c>
      <c r="GC114" s="366" t="e">
        <f>10/FY112</f>
        <v>#DIV/0!</v>
      </c>
      <c r="GD114" s="367">
        <v>15.38</v>
      </c>
      <c r="GE114" s="367" t="e">
        <f>GB114*GC114*GD114</f>
        <v>#DIV/0!</v>
      </c>
      <c r="GF114" s="363" t="s">
        <v>153</v>
      </c>
      <c r="GG114" s="363"/>
      <c r="GH114" s="363"/>
      <c r="GI114" s="364" t="s">
        <v>140</v>
      </c>
      <c r="GJ114" s="365">
        <v>0.5</v>
      </c>
      <c r="GK114" s="366" t="e">
        <f>10/GG112</f>
        <v>#DIV/0!</v>
      </c>
      <c r="GL114" s="367">
        <v>15.38</v>
      </c>
      <c r="GM114" s="367" t="e">
        <f>GJ114*GK114*GL114</f>
        <v>#DIV/0!</v>
      </c>
      <c r="GN114" s="363" t="s">
        <v>153</v>
      </c>
      <c r="GO114" s="363"/>
      <c r="GP114" s="363"/>
      <c r="GQ114" s="364" t="s">
        <v>140</v>
      </c>
      <c r="GR114" s="365">
        <v>0.5</v>
      </c>
      <c r="GS114" s="366" t="e">
        <f>10/GO112</f>
        <v>#DIV/0!</v>
      </c>
      <c r="GT114" s="367">
        <v>15.38</v>
      </c>
      <c r="GU114" s="367" t="e">
        <f>GR114*GS114*GT114</f>
        <v>#DIV/0!</v>
      </c>
      <c r="GV114" s="363" t="s">
        <v>153</v>
      </c>
      <c r="GW114" s="363"/>
      <c r="GX114" s="363"/>
      <c r="GY114" s="364" t="s">
        <v>140</v>
      </c>
      <c r="GZ114" s="365">
        <v>0.5</v>
      </c>
      <c r="HA114" s="366" t="e">
        <f>10/GW112</f>
        <v>#DIV/0!</v>
      </c>
      <c r="HB114" s="367">
        <v>15.38</v>
      </c>
      <c r="HC114" s="367" t="e">
        <f>GZ114*HA114*HB114</f>
        <v>#DIV/0!</v>
      </c>
      <c r="HD114" s="363" t="s">
        <v>153</v>
      </c>
      <c r="HE114" s="363"/>
      <c r="HF114" s="363"/>
      <c r="HG114" s="364" t="s">
        <v>140</v>
      </c>
      <c r="HH114" s="365">
        <v>0.5</v>
      </c>
      <c r="HI114" s="366" t="e">
        <f>10/HE112</f>
        <v>#DIV/0!</v>
      </c>
      <c r="HJ114" s="367">
        <v>15.38</v>
      </c>
      <c r="HK114" s="367" t="e">
        <f>HH114*HI114*HJ114</f>
        <v>#DIV/0!</v>
      </c>
      <c r="HL114" s="363" t="s">
        <v>153</v>
      </c>
      <c r="HM114" s="363"/>
      <c r="HN114" s="363"/>
      <c r="HO114" s="364" t="s">
        <v>140</v>
      </c>
      <c r="HP114" s="365">
        <v>0.5</v>
      </c>
      <c r="HQ114" s="366" t="e">
        <f>10/HM112</f>
        <v>#DIV/0!</v>
      </c>
      <c r="HR114" s="367">
        <v>15.38</v>
      </c>
      <c r="HS114" s="367" t="e">
        <f>HP114*HQ114*HR114</f>
        <v>#DIV/0!</v>
      </c>
      <c r="HT114" s="363" t="s">
        <v>153</v>
      </c>
      <c r="HU114" s="363"/>
      <c r="HV114" s="363"/>
      <c r="HW114" s="364" t="s">
        <v>140</v>
      </c>
      <c r="HX114" s="365">
        <v>0.5</v>
      </c>
      <c r="HY114" s="366" t="e">
        <f>10/HU112</f>
        <v>#DIV/0!</v>
      </c>
      <c r="HZ114" s="367">
        <v>15.38</v>
      </c>
      <c r="IA114" s="367" t="e">
        <f>HX114*HY114*HZ114</f>
        <v>#DIV/0!</v>
      </c>
      <c r="IB114" s="363" t="s">
        <v>153</v>
      </c>
      <c r="IC114" s="363"/>
      <c r="ID114" s="363"/>
      <c r="IE114" s="364" t="s">
        <v>140</v>
      </c>
      <c r="IF114" s="365">
        <v>0.5</v>
      </c>
      <c r="IG114" s="366" t="e">
        <f>10/IC112</f>
        <v>#DIV/0!</v>
      </c>
      <c r="IH114" s="367">
        <v>15.38</v>
      </c>
      <c r="II114" s="367" t="e">
        <f>IF114*IG114*IH114</f>
        <v>#DIV/0!</v>
      </c>
      <c r="IJ114" s="363" t="s">
        <v>153</v>
      </c>
      <c r="IK114" s="363"/>
      <c r="IL114" s="363"/>
      <c r="IM114" s="364" t="s">
        <v>140</v>
      </c>
      <c r="IN114" s="365">
        <v>0.5</v>
      </c>
      <c r="IO114" s="366" t="e">
        <f>10/IK112</f>
        <v>#DIV/0!</v>
      </c>
      <c r="IP114" s="367">
        <v>15.38</v>
      </c>
      <c r="IQ114" s="367" t="e">
        <f>IN114*IO114*IP114</f>
        <v>#DIV/0!</v>
      </c>
      <c r="IR114" s="363" t="s">
        <v>153</v>
      </c>
      <c r="IS114" s="363"/>
      <c r="IT114" s="363"/>
      <c r="IU114" s="364" t="s">
        <v>140</v>
      </c>
      <c r="IV114" s="365">
        <v>0.5</v>
      </c>
      <c r="IW114" s="366" t="e">
        <f>10/IS112</f>
        <v>#DIV/0!</v>
      </c>
      <c r="IX114" s="367">
        <v>15.38</v>
      </c>
      <c r="IY114" s="367" t="e">
        <f>IV114*IW114*IX114</f>
        <v>#DIV/0!</v>
      </c>
      <c r="IZ114" s="363" t="s">
        <v>153</v>
      </c>
      <c r="JA114" s="363"/>
      <c r="JB114" s="363"/>
      <c r="JC114" s="364" t="s">
        <v>140</v>
      </c>
      <c r="JD114" s="365">
        <v>0.5</v>
      </c>
      <c r="JE114" s="366" t="e">
        <f>10/JA112</f>
        <v>#DIV/0!</v>
      </c>
      <c r="JF114" s="367">
        <v>15.38</v>
      </c>
      <c r="JG114" s="367" t="e">
        <f>JD114*JE114*JF114</f>
        <v>#DIV/0!</v>
      </c>
      <c r="JH114" s="363" t="s">
        <v>153</v>
      </c>
      <c r="JI114" s="363"/>
      <c r="JJ114" s="363"/>
      <c r="JK114" s="364" t="s">
        <v>140</v>
      </c>
      <c r="JL114" s="365">
        <v>0.5</v>
      </c>
      <c r="JM114" s="366" t="e">
        <f>10/JI112</f>
        <v>#DIV/0!</v>
      </c>
      <c r="JN114" s="367">
        <v>15.38</v>
      </c>
      <c r="JO114" s="367" t="e">
        <f>JL114*JM114*JN114</f>
        <v>#DIV/0!</v>
      </c>
      <c r="JP114" s="363" t="s">
        <v>153</v>
      </c>
      <c r="JQ114" s="363"/>
      <c r="JR114" s="363"/>
      <c r="JS114" s="364" t="s">
        <v>140</v>
      </c>
      <c r="JT114" s="365">
        <v>0.5</v>
      </c>
      <c r="JU114" s="366" t="e">
        <f>10/JQ112</f>
        <v>#DIV/0!</v>
      </c>
      <c r="JV114" s="367">
        <v>15.38</v>
      </c>
      <c r="JW114" s="367" t="e">
        <f>JT114*JU114*JV114</f>
        <v>#DIV/0!</v>
      </c>
      <c r="JX114" s="363" t="s">
        <v>153</v>
      </c>
      <c r="JY114" s="363"/>
      <c r="JZ114" s="363"/>
      <c r="KA114" s="364" t="s">
        <v>140</v>
      </c>
      <c r="KB114" s="365">
        <v>0.5</v>
      </c>
      <c r="KC114" s="366" t="e">
        <f>10/JY112</f>
        <v>#DIV/0!</v>
      </c>
      <c r="KD114" s="367">
        <v>15.38</v>
      </c>
      <c r="KE114" s="367" t="e">
        <f>KB114*KC114*KD114</f>
        <v>#DIV/0!</v>
      </c>
      <c r="KF114" s="363" t="s">
        <v>153</v>
      </c>
      <c r="KG114" s="363"/>
      <c r="KH114" s="363"/>
      <c r="KI114" s="364" t="s">
        <v>140</v>
      </c>
      <c r="KJ114" s="365">
        <v>0.5</v>
      </c>
      <c r="KK114" s="366" t="e">
        <f>10/KG112</f>
        <v>#DIV/0!</v>
      </c>
      <c r="KL114" s="367">
        <v>15.38</v>
      </c>
      <c r="KM114" s="367" t="e">
        <f>KJ114*KK114*KL114</f>
        <v>#DIV/0!</v>
      </c>
      <c r="KN114" s="363" t="s">
        <v>153</v>
      </c>
      <c r="KO114" s="363"/>
      <c r="KP114" s="363"/>
      <c r="KQ114" s="364" t="s">
        <v>140</v>
      </c>
      <c r="KR114" s="365">
        <v>0.5</v>
      </c>
      <c r="KS114" s="366" t="e">
        <f>10/KO112</f>
        <v>#DIV/0!</v>
      </c>
      <c r="KT114" s="367">
        <v>15.38</v>
      </c>
      <c r="KU114" s="367" t="e">
        <f>KR114*KS114*KT114</f>
        <v>#DIV/0!</v>
      </c>
      <c r="KV114" s="363" t="s">
        <v>153</v>
      </c>
      <c r="KW114" s="363"/>
      <c r="KX114" s="363"/>
      <c r="KY114" s="364" t="s">
        <v>140</v>
      </c>
      <c r="KZ114" s="365">
        <v>0.5</v>
      </c>
      <c r="LA114" s="366" t="e">
        <f>10/KW112</f>
        <v>#DIV/0!</v>
      </c>
      <c r="LB114" s="367">
        <v>15.38</v>
      </c>
      <c r="LC114" s="367" t="e">
        <f>KZ114*LA114*LB114</f>
        <v>#DIV/0!</v>
      </c>
      <c r="LD114" s="363" t="s">
        <v>153</v>
      </c>
      <c r="LE114" s="363"/>
      <c r="LF114" s="363"/>
      <c r="LG114" s="364" t="s">
        <v>140</v>
      </c>
      <c r="LH114" s="365">
        <v>0.5</v>
      </c>
      <c r="LI114" s="366" t="e">
        <f>10/LE112</f>
        <v>#DIV/0!</v>
      </c>
      <c r="LJ114" s="367">
        <v>15.38</v>
      </c>
      <c r="LK114" s="367" t="e">
        <f>LH114*LI114*LJ114</f>
        <v>#DIV/0!</v>
      </c>
      <c r="LL114" s="363" t="s">
        <v>153</v>
      </c>
      <c r="LM114" s="363"/>
      <c r="LN114" s="363"/>
      <c r="LO114" s="364" t="s">
        <v>140</v>
      </c>
      <c r="LP114" s="365">
        <v>0.5</v>
      </c>
      <c r="LQ114" s="366" t="e">
        <f>10/LM112</f>
        <v>#DIV/0!</v>
      </c>
      <c r="LR114" s="367">
        <v>15.38</v>
      </c>
      <c r="LS114" s="367" t="e">
        <f>LP114*LQ114*LR114</f>
        <v>#DIV/0!</v>
      </c>
      <c r="LT114" s="363" t="s">
        <v>153</v>
      </c>
      <c r="LU114" s="363"/>
      <c r="LV114" s="363"/>
      <c r="LW114" s="364" t="s">
        <v>140</v>
      </c>
      <c r="LX114" s="365">
        <v>0.5</v>
      </c>
      <c r="LY114" s="366" t="e">
        <f>10/LU112</f>
        <v>#DIV/0!</v>
      </c>
      <c r="LZ114" s="367">
        <v>15.38</v>
      </c>
      <c r="MA114" s="367" t="e">
        <f>LX114*LY114*LZ114</f>
        <v>#DIV/0!</v>
      </c>
      <c r="MB114" s="363" t="s">
        <v>153</v>
      </c>
      <c r="MC114" s="363"/>
      <c r="MD114" s="363"/>
      <c r="ME114" s="364" t="s">
        <v>140</v>
      </c>
      <c r="MF114" s="365">
        <v>0.5</v>
      </c>
      <c r="MG114" s="366" t="e">
        <f>10/MC112</f>
        <v>#DIV/0!</v>
      </c>
      <c r="MH114" s="367">
        <v>15.38</v>
      </c>
      <c r="MI114" s="367" t="e">
        <f>MF114*MG114*MH114</f>
        <v>#DIV/0!</v>
      </c>
      <c r="MJ114" s="363" t="s">
        <v>153</v>
      </c>
      <c r="MK114" s="363"/>
      <c r="ML114" s="363"/>
      <c r="MM114" s="364" t="s">
        <v>140</v>
      </c>
      <c r="MN114" s="365">
        <v>0.5</v>
      </c>
      <c r="MO114" s="366" t="e">
        <f>10/MK112</f>
        <v>#DIV/0!</v>
      </c>
      <c r="MP114" s="367">
        <v>15.38</v>
      </c>
      <c r="MQ114" s="367" t="e">
        <f>MN114*MO114*MP114</f>
        <v>#DIV/0!</v>
      </c>
      <c r="MR114" s="363" t="s">
        <v>153</v>
      </c>
      <c r="MS114" s="363"/>
      <c r="MT114" s="363"/>
      <c r="MU114" s="364" t="s">
        <v>140</v>
      </c>
      <c r="MV114" s="365">
        <v>0.5</v>
      </c>
      <c r="MW114" s="366" t="e">
        <f>10/MS112</f>
        <v>#DIV/0!</v>
      </c>
      <c r="MX114" s="367">
        <v>15.38</v>
      </c>
      <c r="MY114" s="367" t="e">
        <f>MV114*MW114*MX114</f>
        <v>#DIV/0!</v>
      </c>
      <c r="MZ114" s="363" t="s">
        <v>153</v>
      </c>
      <c r="NA114" s="363"/>
      <c r="NB114" s="363"/>
      <c r="NC114" s="364" t="s">
        <v>140</v>
      </c>
      <c r="ND114" s="365">
        <v>0.5</v>
      </c>
      <c r="NE114" s="366" t="e">
        <f>10/NA112</f>
        <v>#DIV/0!</v>
      </c>
      <c r="NF114" s="367">
        <v>15.38</v>
      </c>
      <c r="NG114" s="367" t="e">
        <f>ND114*NE114*NF114</f>
        <v>#DIV/0!</v>
      </c>
      <c r="NH114" s="363" t="s">
        <v>153</v>
      </c>
      <c r="NI114" s="363"/>
      <c r="NJ114" s="363"/>
      <c r="NK114" s="364" t="s">
        <v>140</v>
      </c>
      <c r="NL114" s="365">
        <v>0.5</v>
      </c>
      <c r="NM114" s="366" t="e">
        <f>10/NI112</f>
        <v>#DIV/0!</v>
      </c>
      <c r="NN114" s="367">
        <v>15.38</v>
      </c>
      <c r="NO114" s="367" t="e">
        <f>NL114*NM114*NN114</f>
        <v>#DIV/0!</v>
      </c>
      <c r="NP114" s="363" t="s">
        <v>153</v>
      </c>
      <c r="NQ114" s="363"/>
      <c r="NR114" s="363"/>
      <c r="NS114" s="364" t="s">
        <v>140</v>
      </c>
      <c r="NT114" s="365">
        <v>0.5</v>
      </c>
      <c r="NU114" s="366" t="e">
        <f>10/NQ112</f>
        <v>#DIV/0!</v>
      </c>
      <c r="NV114" s="367">
        <v>15.38</v>
      </c>
      <c r="NW114" s="367" t="e">
        <f>NT114*NU114*NV114</f>
        <v>#DIV/0!</v>
      </c>
      <c r="NX114" s="363" t="s">
        <v>153</v>
      </c>
      <c r="NY114" s="363"/>
      <c r="NZ114" s="363"/>
      <c r="OA114" s="364" t="s">
        <v>140</v>
      </c>
      <c r="OB114" s="365">
        <v>0.5</v>
      </c>
      <c r="OC114" s="366" t="e">
        <f>10/NY112</f>
        <v>#DIV/0!</v>
      </c>
      <c r="OD114" s="367">
        <v>15.38</v>
      </c>
      <c r="OE114" s="367" t="e">
        <f>OB114*OC114*OD114</f>
        <v>#DIV/0!</v>
      </c>
      <c r="OF114" s="363" t="s">
        <v>153</v>
      </c>
      <c r="OG114" s="363"/>
      <c r="OH114" s="363"/>
      <c r="OI114" s="364" t="s">
        <v>140</v>
      </c>
      <c r="OJ114" s="365">
        <v>0.5</v>
      </c>
      <c r="OK114" s="366" t="e">
        <f>10/OG112</f>
        <v>#DIV/0!</v>
      </c>
      <c r="OL114" s="367">
        <v>15.38</v>
      </c>
      <c r="OM114" s="367" t="e">
        <f>OJ114*OK114*OL114</f>
        <v>#DIV/0!</v>
      </c>
      <c r="ON114" s="363" t="s">
        <v>153</v>
      </c>
      <c r="OO114" s="363"/>
      <c r="OP114" s="363"/>
      <c r="OQ114" s="364" t="s">
        <v>140</v>
      </c>
      <c r="OR114" s="365">
        <v>0.5</v>
      </c>
      <c r="OS114" s="366" t="e">
        <f>10/OO112</f>
        <v>#DIV/0!</v>
      </c>
      <c r="OT114" s="367">
        <v>15.38</v>
      </c>
      <c r="OU114" s="367" t="e">
        <f>OR114*OS114*OT114</f>
        <v>#DIV/0!</v>
      </c>
      <c r="OV114" s="363" t="s">
        <v>153</v>
      </c>
      <c r="OW114" s="363"/>
      <c r="OX114" s="363"/>
      <c r="OY114" s="364" t="s">
        <v>140</v>
      </c>
      <c r="OZ114" s="365">
        <v>0.5</v>
      </c>
      <c r="PA114" s="366" t="e">
        <f>10/OW112</f>
        <v>#DIV/0!</v>
      </c>
      <c r="PB114" s="367">
        <v>15.38</v>
      </c>
      <c r="PC114" s="367" t="e">
        <f>OZ114*PA114*PB114</f>
        <v>#DIV/0!</v>
      </c>
      <c r="PD114" s="363" t="s">
        <v>153</v>
      </c>
      <c r="PE114" s="363"/>
      <c r="PF114" s="363"/>
      <c r="PG114" s="364" t="s">
        <v>140</v>
      </c>
      <c r="PH114" s="365">
        <v>0.5</v>
      </c>
      <c r="PI114" s="366" t="e">
        <f>10/PE112</f>
        <v>#DIV/0!</v>
      </c>
      <c r="PJ114" s="367">
        <v>15.38</v>
      </c>
      <c r="PK114" s="367" t="e">
        <f>PH114*PI114*PJ114</f>
        <v>#DIV/0!</v>
      </c>
      <c r="PL114" s="363" t="s">
        <v>153</v>
      </c>
      <c r="PM114" s="363"/>
      <c r="PN114" s="363"/>
      <c r="PO114" s="364" t="s">
        <v>140</v>
      </c>
      <c r="PP114" s="365">
        <v>0.5</v>
      </c>
      <c r="PQ114" s="366" t="e">
        <f>10/PM112</f>
        <v>#DIV/0!</v>
      </c>
      <c r="PR114" s="367">
        <v>15.38</v>
      </c>
      <c r="PS114" s="367" t="e">
        <f>PP114*PQ114*PR114</f>
        <v>#DIV/0!</v>
      </c>
      <c r="PT114" s="363" t="s">
        <v>153</v>
      </c>
      <c r="PU114" s="363"/>
      <c r="PV114" s="363"/>
      <c r="PW114" s="364" t="s">
        <v>140</v>
      </c>
      <c r="PX114" s="365">
        <v>0.5</v>
      </c>
      <c r="PY114" s="366" t="e">
        <f>10/PU112</f>
        <v>#DIV/0!</v>
      </c>
      <c r="PZ114" s="367">
        <v>15.38</v>
      </c>
      <c r="QA114" s="367" t="e">
        <f>PX114*PY114*PZ114</f>
        <v>#DIV/0!</v>
      </c>
      <c r="QB114" s="363" t="s">
        <v>153</v>
      </c>
      <c r="QC114" s="363"/>
      <c r="QD114" s="363"/>
      <c r="QE114" s="364" t="s">
        <v>140</v>
      </c>
      <c r="QF114" s="365">
        <v>0.5</v>
      </c>
      <c r="QG114" s="366" t="e">
        <f>10/QC112</f>
        <v>#DIV/0!</v>
      </c>
      <c r="QH114" s="367">
        <v>15.38</v>
      </c>
      <c r="QI114" s="367" t="e">
        <f>QF114*QG114*QH114</f>
        <v>#DIV/0!</v>
      </c>
      <c r="QJ114" s="363" t="s">
        <v>153</v>
      </c>
      <c r="QK114" s="363"/>
      <c r="QL114" s="363"/>
      <c r="QM114" s="364" t="s">
        <v>140</v>
      </c>
      <c r="QN114" s="365">
        <v>0.5</v>
      </c>
      <c r="QO114" s="366" t="e">
        <f>10/QK112</f>
        <v>#DIV/0!</v>
      </c>
      <c r="QP114" s="367">
        <v>15.38</v>
      </c>
      <c r="QQ114" s="367" t="e">
        <f>QN114*QO114*QP114</f>
        <v>#DIV/0!</v>
      </c>
      <c r="QR114" s="363" t="s">
        <v>153</v>
      </c>
      <c r="QS114" s="363"/>
      <c r="QT114" s="363"/>
      <c r="QU114" s="364" t="s">
        <v>140</v>
      </c>
      <c r="QV114" s="365">
        <v>0.5</v>
      </c>
      <c r="QW114" s="366" t="e">
        <f>10/QS112</f>
        <v>#DIV/0!</v>
      </c>
      <c r="QX114" s="367">
        <v>15.38</v>
      </c>
      <c r="QY114" s="367" t="e">
        <f>QV114*QW114*QX114</f>
        <v>#DIV/0!</v>
      </c>
      <c r="QZ114" s="363" t="s">
        <v>153</v>
      </c>
      <c r="RA114" s="363"/>
      <c r="RB114" s="363"/>
      <c r="RC114" s="364" t="s">
        <v>140</v>
      </c>
      <c r="RD114" s="365">
        <v>0.5</v>
      </c>
      <c r="RE114" s="366" t="e">
        <f>10/RA112</f>
        <v>#DIV/0!</v>
      </c>
      <c r="RF114" s="367">
        <v>15.38</v>
      </c>
      <c r="RG114" s="367" t="e">
        <f>RD114*RE114*RF114</f>
        <v>#DIV/0!</v>
      </c>
      <c r="RH114" s="363" t="s">
        <v>153</v>
      </c>
      <c r="RI114" s="363"/>
      <c r="RJ114" s="363"/>
      <c r="RK114" s="364" t="s">
        <v>140</v>
      </c>
      <c r="RL114" s="365">
        <v>0.5</v>
      </c>
      <c r="RM114" s="366" t="e">
        <f>10/RI112</f>
        <v>#DIV/0!</v>
      </c>
      <c r="RN114" s="367">
        <v>15.38</v>
      </c>
      <c r="RO114" s="367" t="e">
        <f>RL114*RM114*RN114</f>
        <v>#DIV/0!</v>
      </c>
      <c r="RP114" s="363" t="s">
        <v>153</v>
      </c>
      <c r="RQ114" s="363"/>
      <c r="RR114" s="363"/>
      <c r="RS114" s="364" t="s">
        <v>140</v>
      </c>
      <c r="RT114" s="365">
        <v>0.5</v>
      </c>
      <c r="RU114" s="366" t="e">
        <f>10/RQ112</f>
        <v>#DIV/0!</v>
      </c>
      <c r="RV114" s="367">
        <v>15.38</v>
      </c>
      <c r="RW114" s="367" t="e">
        <f>RT114*RU114*RV114</f>
        <v>#DIV/0!</v>
      </c>
      <c r="RX114" s="363" t="s">
        <v>153</v>
      </c>
      <c r="RY114" s="363"/>
      <c r="RZ114" s="363"/>
      <c r="SA114" s="364" t="s">
        <v>140</v>
      </c>
      <c r="SB114" s="365">
        <v>0.5</v>
      </c>
      <c r="SC114" s="366" t="e">
        <f>10/RY112</f>
        <v>#DIV/0!</v>
      </c>
      <c r="SD114" s="367">
        <v>15.38</v>
      </c>
      <c r="SE114" s="367" t="e">
        <f>SB114*SC114*SD114</f>
        <v>#DIV/0!</v>
      </c>
      <c r="SF114" s="363" t="s">
        <v>153</v>
      </c>
      <c r="SG114" s="363"/>
      <c r="SH114" s="363"/>
      <c r="SI114" s="364" t="s">
        <v>140</v>
      </c>
      <c r="SJ114" s="365">
        <v>0.5</v>
      </c>
      <c r="SK114" s="366" t="e">
        <f>10/SG112</f>
        <v>#DIV/0!</v>
      </c>
      <c r="SL114" s="367">
        <v>15.38</v>
      </c>
      <c r="SM114" s="367" t="e">
        <f>SJ114*SK114*SL114</f>
        <v>#DIV/0!</v>
      </c>
      <c r="SN114" s="363" t="s">
        <v>153</v>
      </c>
      <c r="SO114" s="363"/>
      <c r="SP114" s="363"/>
      <c r="SQ114" s="364" t="s">
        <v>140</v>
      </c>
      <c r="SR114" s="365">
        <v>0.5</v>
      </c>
      <c r="SS114" s="366" t="e">
        <f>10/SO112</f>
        <v>#DIV/0!</v>
      </c>
      <c r="ST114" s="367">
        <v>15.38</v>
      </c>
      <c r="SU114" s="367" t="e">
        <f>SR114*SS114*ST114</f>
        <v>#DIV/0!</v>
      </c>
      <c r="SV114" s="363" t="s">
        <v>153</v>
      </c>
      <c r="SW114" s="363"/>
      <c r="SX114" s="363"/>
      <c r="SY114" s="364" t="s">
        <v>140</v>
      </c>
      <c r="SZ114" s="365">
        <v>0.5</v>
      </c>
      <c r="TA114" s="366" t="e">
        <f>10/SW112</f>
        <v>#DIV/0!</v>
      </c>
      <c r="TB114" s="367">
        <v>15.38</v>
      </c>
      <c r="TC114" s="367" t="e">
        <f>SZ114*TA114*TB114</f>
        <v>#DIV/0!</v>
      </c>
      <c r="TD114" s="363" t="s">
        <v>153</v>
      </c>
      <c r="TE114" s="363"/>
      <c r="TF114" s="363"/>
      <c r="TG114" s="364" t="s">
        <v>140</v>
      </c>
      <c r="TH114" s="365">
        <v>0.5</v>
      </c>
      <c r="TI114" s="366" t="e">
        <f>10/TE112</f>
        <v>#DIV/0!</v>
      </c>
      <c r="TJ114" s="367">
        <v>15.38</v>
      </c>
      <c r="TK114" s="367" t="e">
        <f>TH114*TI114*TJ114</f>
        <v>#DIV/0!</v>
      </c>
      <c r="TL114" s="363" t="s">
        <v>153</v>
      </c>
      <c r="TM114" s="363"/>
      <c r="TN114" s="363"/>
      <c r="TO114" s="364" t="s">
        <v>140</v>
      </c>
      <c r="TP114" s="365">
        <v>0.5</v>
      </c>
      <c r="TQ114" s="366" t="e">
        <f>10/TM112</f>
        <v>#DIV/0!</v>
      </c>
      <c r="TR114" s="367">
        <v>15.38</v>
      </c>
      <c r="TS114" s="367" t="e">
        <f>TP114*TQ114*TR114</f>
        <v>#DIV/0!</v>
      </c>
      <c r="TT114" s="363" t="s">
        <v>153</v>
      </c>
      <c r="TU114" s="363"/>
      <c r="TV114" s="363"/>
      <c r="TW114" s="364" t="s">
        <v>140</v>
      </c>
      <c r="TX114" s="365">
        <v>0.5</v>
      </c>
      <c r="TY114" s="366" t="e">
        <f>10/TU112</f>
        <v>#DIV/0!</v>
      </c>
      <c r="TZ114" s="367">
        <v>15.38</v>
      </c>
      <c r="UA114" s="367" t="e">
        <f>TX114*TY114*TZ114</f>
        <v>#DIV/0!</v>
      </c>
      <c r="UB114" s="363" t="s">
        <v>153</v>
      </c>
      <c r="UC114" s="363"/>
      <c r="UD114" s="363"/>
      <c r="UE114" s="364" t="s">
        <v>140</v>
      </c>
      <c r="UF114" s="365">
        <v>0.5</v>
      </c>
      <c r="UG114" s="366" t="e">
        <f>10/UC112</f>
        <v>#DIV/0!</v>
      </c>
      <c r="UH114" s="367">
        <v>15.38</v>
      </c>
      <c r="UI114" s="367" t="e">
        <f>UF114*UG114*UH114</f>
        <v>#DIV/0!</v>
      </c>
      <c r="UJ114" s="363" t="s">
        <v>153</v>
      </c>
      <c r="UK114" s="363"/>
      <c r="UL114" s="363"/>
      <c r="UM114" s="364" t="s">
        <v>140</v>
      </c>
      <c r="UN114" s="365">
        <v>0.5</v>
      </c>
      <c r="UO114" s="366" t="e">
        <f>10/UK112</f>
        <v>#DIV/0!</v>
      </c>
      <c r="UP114" s="367">
        <v>15.38</v>
      </c>
      <c r="UQ114" s="367" t="e">
        <f>UN114*UO114*UP114</f>
        <v>#DIV/0!</v>
      </c>
      <c r="UR114" s="363" t="s">
        <v>153</v>
      </c>
      <c r="US114" s="363"/>
      <c r="UT114" s="363"/>
      <c r="UU114" s="364" t="s">
        <v>140</v>
      </c>
      <c r="UV114" s="365">
        <v>0.5</v>
      </c>
      <c r="UW114" s="366" t="e">
        <f>10/US112</f>
        <v>#DIV/0!</v>
      </c>
      <c r="UX114" s="367">
        <v>15.38</v>
      </c>
      <c r="UY114" s="367" t="e">
        <f>UV114*UW114*UX114</f>
        <v>#DIV/0!</v>
      </c>
      <c r="UZ114" s="363" t="s">
        <v>153</v>
      </c>
      <c r="VA114" s="363"/>
      <c r="VB114" s="363"/>
      <c r="VC114" s="364" t="s">
        <v>140</v>
      </c>
      <c r="VD114" s="365">
        <v>0.5</v>
      </c>
      <c r="VE114" s="366" t="e">
        <f>10/VA112</f>
        <v>#DIV/0!</v>
      </c>
      <c r="VF114" s="367">
        <v>15.38</v>
      </c>
      <c r="VG114" s="367" t="e">
        <f>VD114*VE114*VF114</f>
        <v>#DIV/0!</v>
      </c>
      <c r="VH114" s="363" t="s">
        <v>153</v>
      </c>
      <c r="VI114" s="363"/>
      <c r="VJ114" s="363"/>
      <c r="VK114" s="364" t="s">
        <v>140</v>
      </c>
      <c r="VL114" s="365">
        <v>0.5</v>
      </c>
      <c r="VM114" s="366" t="e">
        <f>10/VI112</f>
        <v>#DIV/0!</v>
      </c>
      <c r="VN114" s="367">
        <v>15.38</v>
      </c>
      <c r="VO114" s="367" t="e">
        <f>VL114*VM114*VN114</f>
        <v>#DIV/0!</v>
      </c>
      <c r="VP114" s="363" t="s">
        <v>153</v>
      </c>
      <c r="VQ114" s="363"/>
      <c r="VR114" s="363"/>
      <c r="VS114" s="364" t="s">
        <v>140</v>
      </c>
      <c r="VT114" s="365">
        <v>0.5</v>
      </c>
      <c r="VU114" s="366" t="e">
        <f>10/VQ112</f>
        <v>#DIV/0!</v>
      </c>
      <c r="VV114" s="367">
        <v>15.38</v>
      </c>
      <c r="VW114" s="367" t="e">
        <f>VT114*VU114*VV114</f>
        <v>#DIV/0!</v>
      </c>
      <c r="VX114" s="363" t="s">
        <v>153</v>
      </c>
      <c r="VY114" s="363"/>
      <c r="VZ114" s="363"/>
      <c r="WA114" s="364" t="s">
        <v>140</v>
      </c>
      <c r="WB114" s="365">
        <v>0.5</v>
      </c>
      <c r="WC114" s="366" t="e">
        <f>10/VY112</f>
        <v>#DIV/0!</v>
      </c>
      <c r="WD114" s="367">
        <v>15.38</v>
      </c>
      <c r="WE114" s="367" t="e">
        <f>WB114*WC114*WD114</f>
        <v>#DIV/0!</v>
      </c>
      <c r="WF114" s="363" t="s">
        <v>153</v>
      </c>
      <c r="WG114" s="363"/>
      <c r="WH114" s="363"/>
      <c r="WI114" s="364" t="s">
        <v>140</v>
      </c>
      <c r="WJ114" s="365">
        <v>0.5</v>
      </c>
      <c r="WK114" s="366" t="e">
        <f>10/WG112</f>
        <v>#DIV/0!</v>
      </c>
      <c r="WL114" s="367">
        <v>15.38</v>
      </c>
      <c r="WM114" s="367" t="e">
        <f>WJ114*WK114*WL114</f>
        <v>#DIV/0!</v>
      </c>
      <c r="WN114" s="363" t="s">
        <v>153</v>
      </c>
      <c r="WO114" s="363"/>
      <c r="WP114" s="363"/>
      <c r="WQ114" s="364" t="s">
        <v>140</v>
      </c>
      <c r="WR114" s="365">
        <v>0.5</v>
      </c>
      <c r="WS114" s="366" t="e">
        <f>10/WO112</f>
        <v>#DIV/0!</v>
      </c>
      <c r="WT114" s="367">
        <v>15.38</v>
      </c>
      <c r="WU114" s="367" t="e">
        <f>WR114*WS114*WT114</f>
        <v>#DIV/0!</v>
      </c>
      <c r="WV114" s="363" t="s">
        <v>153</v>
      </c>
      <c r="WW114" s="363"/>
      <c r="WX114" s="363"/>
      <c r="WY114" s="364" t="s">
        <v>140</v>
      </c>
      <c r="WZ114" s="365">
        <v>0.5</v>
      </c>
      <c r="XA114" s="366" t="e">
        <f>10/WW112</f>
        <v>#DIV/0!</v>
      </c>
      <c r="XB114" s="367">
        <v>15.38</v>
      </c>
      <c r="XC114" s="367" t="e">
        <f>WZ114*XA114*XB114</f>
        <v>#DIV/0!</v>
      </c>
      <c r="XD114" s="363" t="s">
        <v>153</v>
      </c>
      <c r="XE114" s="363"/>
      <c r="XF114" s="363"/>
      <c r="XG114" s="364" t="s">
        <v>140</v>
      </c>
      <c r="XH114" s="365">
        <v>0.5</v>
      </c>
      <c r="XI114" s="366" t="e">
        <f>10/XE112</f>
        <v>#DIV/0!</v>
      </c>
      <c r="XJ114" s="367">
        <v>15.38</v>
      </c>
      <c r="XK114" s="367" t="e">
        <f>XH114*XI114*XJ114</f>
        <v>#DIV/0!</v>
      </c>
      <c r="XL114" s="363" t="s">
        <v>153</v>
      </c>
      <c r="XM114" s="363"/>
      <c r="XN114" s="363"/>
      <c r="XO114" s="364" t="s">
        <v>140</v>
      </c>
      <c r="XP114" s="365">
        <v>0.5</v>
      </c>
      <c r="XQ114" s="366" t="e">
        <f>10/XM112</f>
        <v>#DIV/0!</v>
      </c>
      <c r="XR114" s="367">
        <v>15.38</v>
      </c>
      <c r="XS114" s="367" t="e">
        <f>XP114*XQ114*XR114</f>
        <v>#DIV/0!</v>
      </c>
      <c r="XT114" s="363" t="s">
        <v>153</v>
      </c>
      <c r="XU114" s="363"/>
      <c r="XV114" s="363"/>
      <c r="XW114" s="364" t="s">
        <v>140</v>
      </c>
      <c r="XX114" s="365">
        <v>0.5</v>
      </c>
      <c r="XY114" s="366" t="e">
        <f>10/XU112</f>
        <v>#DIV/0!</v>
      </c>
      <c r="XZ114" s="367">
        <v>15.38</v>
      </c>
      <c r="YA114" s="367" t="e">
        <f>XX114*XY114*XZ114</f>
        <v>#DIV/0!</v>
      </c>
      <c r="YB114" s="363" t="s">
        <v>153</v>
      </c>
      <c r="YC114" s="363"/>
      <c r="YD114" s="363"/>
      <c r="YE114" s="364" t="s">
        <v>140</v>
      </c>
      <c r="YF114" s="365">
        <v>0.5</v>
      </c>
      <c r="YG114" s="366" t="e">
        <f>10/YC112</f>
        <v>#DIV/0!</v>
      </c>
      <c r="YH114" s="367">
        <v>15.38</v>
      </c>
      <c r="YI114" s="367" t="e">
        <f>YF114*YG114*YH114</f>
        <v>#DIV/0!</v>
      </c>
      <c r="YJ114" s="363" t="s">
        <v>153</v>
      </c>
      <c r="YK114" s="363"/>
      <c r="YL114" s="363"/>
      <c r="YM114" s="364" t="s">
        <v>140</v>
      </c>
      <c r="YN114" s="365">
        <v>0.5</v>
      </c>
      <c r="YO114" s="366" t="e">
        <f>10/YK112</f>
        <v>#DIV/0!</v>
      </c>
      <c r="YP114" s="367">
        <v>15.38</v>
      </c>
      <c r="YQ114" s="367" t="e">
        <f>YN114*YO114*YP114</f>
        <v>#DIV/0!</v>
      </c>
      <c r="YR114" s="363" t="s">
        <v>153</v>
      </c>
      <c r="YS114" s="363"/>
      <c r="YT114" s="363"/>
      <c r="YU114" s="364" t="s">
        <v>140</v>
      </c>
      <c r="YV114" s="365">
        <v>0.5</v>
      </c>
      <c r="YW114" s="366" t="e">
        <f>10/YS112</f>
        <v>#DIV/0!</v>
      </c>
      <c r="YX114" s="367">
        <v>15.38</v>
      </c>
      <c r="YY114" s="367" t="e">
        <f>YV114*YW114*YX114</f>
        <v>#DIV/0!</v>
      </c>
      <c r="YZ114" s="363" t="s">
        <v>153</v>
      </c>
      <c r="ZA114" s="363"/>
      <c r="ZB114" s="363"/>
      <c r="ZC114" s="364" t="s">
        <v>140</v>
      </c>
      <c r="ZD114" s="365">
        <v>0.5</v>
      </c>
      <c r="ZE114" s="366" t="e">
        <f>10/ZA112</f>
        <v>#DIV/0!</v>
      </c>
      <c r="ZF114" s="367">
        <v>15.38</v>
      </c>
      <c r="ZG114" s="367" t="e">
        <f>ZD114*ZE114*ZF114</f>
        <v>#DIV/0!</v>
      </c>
      <c r="ZH114" s="363" t="s">
        <v>153</v>
      </c>
      <c r="ZI114" s="363"/>
      <c r="ZJ114" s="363"/>
      <c r="ZK114" s="364" t="s">
        <v>140</v>
      </c>
      <c r="ZL114" s="365">
        <v>0.5</v>
      </c>
      <c r="ZM114" s="366" t="e">
        <f>10/ZI112</f>
        <v>#DIV/0!</v>
      </c>
      <c r="ZN114" s="367">
        <v>15.38</v>
      </c>
      <c r="ZO114" s="367" t="e">
        <f>ZL114*ZM114*ZN114</f>
        <v>#DIV/0!</v>
      </c>
      <c r="ZP114" s="363" t="s">
        <v>153</v>
      </c>
      <c r="ZQ114" s="363"/>
      <c r="ZR114" s="363"/>
      <c r="ZS114" s="364" t="s">
        <v>140</v>
      </c>
      <c r="ZT114" s="365">
        <v>0.5</v>
      </c>
      <c r="ZU114" s="366" t="e">
        <f>10/ZQ112</f>
        <v>#DIV/0!</v>
      </c>
      <c r="ZV114" s="367">
        <v>15.38</v>
      </c>
      <c r="ZW114" s="367" t="e">
        <f>ZT114*ZU114*ZV114</f>
        <v>#DIV/0!</v>
      </c>
      <c r="ZX114" s="363" t="s">
        <v>153</v>
      </c>
      <c r="ZY114" s="363"/>
      <c r="ZZ114" s="363"/>
      <c r="AAA114" s="364" t="s">
        <v>140</v>
      </c>
      <c r="AAB114" s="365">
        <v>0.5</v>
      </c>
      <c r="AAC114" s="366" t="e">
        <f>10/ZY112</f>
        <v>#DIV/0!</v>
      </c>
      <c r="AAD114" s="367">
        <v>15.38</v>
      </c>
      <c r="AAE114" s="367" t="e">
        <f>AAB114*AAC114*AAD114</f>
        <v>#DIV/0!</v>
      </c>
      <c r="AAF114" s="363" t="s">
        <v>153</v>
      </c>
      <c r="AAG114" s="363"/>
      <c r="AAH114" s="363"/>
      <c r="AAI114" s="364" t="s">
        <v>140</v>
      </c>
      <c r="AAJ114" s="365">
        <v>0.5</v>
      </c>
      <c r="AAK114" s="366" t="e">
        <f>10/AAG112</f>
        <v>#DIV/0!</v>
      </c>
      <c r="AAL114" s="367">
        <v>15.38</v>
      </c>
      <c r="AAM114" s="367" t="e">
        <f>AAJ114*AAK114*AAL114</f>
        <v>#DIV/0!</v>
      </c>
      <c r="AAN114" s="363" t="s">
        <v>153</v>
      </c>
      <c r="AAO114" s="363"/>
      <c r="AAP114" s="363"/>
      <c r="AAQ114" s="364" t="s">
        <v>140</v>
      </c>
      <c r="AAR114" s="365">
        <v>0.5</v>
      </c>
      <c r="AAS114" s="366" t="e">
        <f>10/AAO112</f>
        <v>#DIV/0!</v>
      </c>
      <c r="AAT114" s="367">
        <v>15.38</v>
      </c>
      <c r="AAU114" s="367" t="e">
        <f>AAR114*AAS114*AAT114</f>
        <v>#DIV/0!</v>
      </c>
      <c r="AAV114" s="363" t="s">
        <v>153</v>
      </c>
      <c r="AAW114" s="363"/>
      <c r="AAX114" s="363"/>
      <c r="AAY114" s="364" t="s">
        <v>140</v>
      </c>
      <c r="AAZ114" s="365">
        <v>0.5</v>
      </c>
      <c r="ABA114" s="366" t="e">
        <f>10/AAW112</f>
        <v>#DIV/0!</v>
      </c>
      <c r="ABB114" s="367">
        <v>15.38</v>
      </c>
      <c r="ABC114" s="367" t="e">
        <f>AAZ114*ABA114*ABB114</f>
        <v>#DIV/0!</v>
      </c>
      <c r="ABD114" s="363" t="s">
        <v>153</v>
      </c>
      <c r="ABE114" s="363"/>
      <c r="ABF114" s="363"/>
      <c r="ABG114" s="364" t="s">
        <v>140</v>
      </c>
      <c r="ABH114" s="365">
        <v>0.5</v>
      </c>
      <c r="ABI114" s="366" t="e">
        <f>10/ABE112</f>
        <v>#DIV/0!</v>
      </c>
      <c r="ABJ114" s="367">
        <v>15.38</v>
      </c>
      <c r="ABK114" s="367" t="e">
        <f>ABH114*ABI114*ABJ114</f>
        <v>#DIV/0!</v>
      </c>
      <c r="ABL114" s="363" t="s">
        <v>153</v>
      </c>
      <c r="ABM114" s="363"/>
      <c r="ABN114" s="363"/>
      <c r="ABO114" s="364" t="s">
        <v>140</v>
      </c>
      <c r="ABP114" s="365">
        <v>0.5</v>
      </c>
      <c r="ABQ114" s="366" t="e">
        <f>10/ABM112</f>
        <v>#DIV/0!</v>
      </c>
      <c r="ABR114" s="367">
        <v>15.38</v>
      </c>
      <c r="ABS114" s="367" t="e">
        <f>ABP114*ABQ114*ABR114</f>
        <v>#DIV/0!</v>
      </c>
      <c r="ABT114" s="363" t="s">
        <v>153</v>
      </c>
      <c r="ABU114" s="363"/>
      <c r="ABV114" s="363"/>
      <c r="ABW114" s="364" t="s">
        <v>140</v>
      </c>
      <c r="ABX114" s="365">
        <v>0.5</v>
      </c>
      <c r="ABY114" s="366" t="e">
        <f>10/ABU112</f>
        <v>#DIV/0!</v>
      </c>
      <c r="ABZ114" s="367">
        <v>15.38</v>
      </c>
      <c r="ACA114" s="367" t="e">
        <f>ABX114*ABY114*ABZ114</f>
        <v>#DIV/0!</v>
      </c>
      <c r="ACB114" s="363" t="s">
        <v>153</v>
      </c>
      <c r="ACC114" s="363"/>
      <c r="ACD114" s="363"/>
      <c r="ACE114" s="364" t="s">
        <v>140</v>
      </c>
      <c r="ACF114" s="365">
        <v>0.5</v>
      </c>
      <c r="ACG114" s="366" t="e">
        <f>10/ACC112</f>
        <v>#DIV/0!</v>
      </c>
      <c r="ACH114" s="367">
        <v>15.38</v>
      </c>
      <c r="ACI114" s="367" t="e">
        <f>ACF114*ACG114*ACH114</f>
        <v>#DIV/0!</v>
      </c>
      <c r="ACJ114" s="363" t="s">
        <v>153</v>
      </c>
      <c r="ACK114" s="363"/>
      <c r="ACL114" s="363"/>
      <c r="ACM114" s="364" t="s">
        <v>140</v>
      </c>
      <c r="ACN114" s="365">
        <v>0.5</v>
      </c>
      <c r="ACO114" s="366" t="e">
        <f>10/ACK112</f>
        <v>#DIV/0!</v>
      </c>
      <c r="ACP114" s="367">
        <v>15.38</v>
      </c>
      <c r="ACQ114" s="367" t="e">
        <f>ACN114*ACO114*ACP114</f>
        <v>#DIV/0!</v>
      </c>
      <c r="ACR114" s="363" t="s">
        <v>153</v>
      </c>
      <c r="ACS114" s="363"/>
      <c r="ACT114" s="363"/>
      <c r="ACU114" s="364" t="s">
        <v>140</v>
      </c>
      <c r="ACV114" s="365">
        <v>0.5</v>
      </c>
      <c r="ACW114" s="366" t="e">
        <f>10/ACS112</f>
        <v>#DIV/0!</v>
      </c>
      <c r="ACX114" s="367">
        <v>15.38</v>
      </c>
      <c r="ACY114" s="367" t="e">
        <f>ACV114*ACW114*ACX114</f>
        <v>#DIV/0!</v>
      </c>
      <c r="ACZ114" s="363" t="s">
        <v>153</v>
      </c>
      <c r="ADA114" s="363"/>
      <c r="ADB114" s="363"/>
      <c r="ADC114" s="364" t="s">
        <v>140</v>
      </c>
      <c r="ADD114" s="365">
        <v>0.5</v>
      </c>
      <c r="ADE114" s="366" t="e">
        <f>10/ADA112</f>
        <v>#DIV/0!</v>
      </c>
      <c r="ADF114" s="367">
        <v>15.38</v>
      </c>
      <c r="ADG114" s="367" t="e">
        <f>ADD114*ADE114*ADF114</f>
        <v>#DIV/0!</v>
      </c>
      <c r="ADH114" s="363" t="s">
        <v>153</v>
      </c>
      <c r="ADI114" s="363"/>
      <c r="ADJ114" s="363"/>
      <c r="ADK114" s="364" t="s">
        <v>140</v>
      </c>
      <c r="ADL114" s="365">
        <v>0.5</v>
      </c>
      <c r="ADM114" s="366" t="e">
        <f>10/ADI112</f>
        <v>#DIV/0!</v>
      </c>
      <c r="ADN114" s="367">
        <v>15.38</v>
      </c>
      <c r="ADO114" s="367" t="e">
        <f>ADL114*ADM114*ADN114</f>
        <v>#DIV/0!</v>
      </c>
      <c r="ADP114" s="363" t="s">
        <v>153</v>
      </c>
      <c r="ADQ114" s="363"/>
      <c r="ADR114" s="363"/>
      <c r="ADS114" s="364" t="s">
        <v>140</v>
      </c>
      <c r="ADT114" s="365">
        <v>0.5</v>
      </c>
      <c r="ADU114" s="366" t="e">
        <f>10/ADQ112</f>
        <v>#DIV/0!</v>
      </c>
      <c r="ADV114" s="367">
        <v>15.38</v>
      </c>
      <c r="ADW114" s="367" t="e">
        <f>ADT114*ADU114*ADV114</f>
        <v>#DIV/0!</v>
      </c>
      <c r="ADX114" s="363" t="s">
        <v>153</v>
      </c>
      <c r="ADY114" s="363"/>
      <c r="ADZ114" s="363"/>
      <c r="AEA114" s="364" t="s">
        <v>140</v>
      </c>
      <c r="AEB114" s="365">
        <v>0.5</v>
      </c>
      <c r="AEC114" s="366" t="e">
        <f>10/ADY112</f>
        <v>#DIV/0!</v>
      </c>
      <c r="AED114" s="367">
        <v>15.38</v>
      </c>
      <c r="AEE114" s="367" t="e">
        <f>AEB114*AEC114*AED114</f>
        <v>#DIV/0!</v>
      </c>
      <c r="AEF114" s="363" t="s">
        <v>153</v>
      </c>
      <c r="AEG114" s="363"/>
      <c r="AEH114" s="363"/>
      <c r="AEI114" s="364" t="s">
        <v>140</v>
      </c>
      <c r="AEJ114" s="365">
        <v>0.5</v>
      </c>
      <c r="AEK114" s="366" t="e">
        <f>10/AEG112</f>
        <v>#DIV/0!</v>
      </c>
      <c r="AEL114" s="367">
        <v>15.38</v>
      </c>
      <c r="AEM114" s="367" t="e">
        <f>AEJ114*AEK114*AEL114</f>
        <v>#DIV/0!</v>
      </c>
      <c r="AEN114" s="363" t="s">
        <v>153</v>
      </c>
      <c r="AEO114" s="363"/>
      <c r="AEP114" s="363"/>
      <c r="AEQ114" s="364" t="s">
        <v>140</v>
      </c>
      <c r="AER114" s="365">
        <v>0.5</v>
      </c>
      <c r="AES114" s="366" t="e">
        <f>10/AEO112</f>
        <v>#DIV/0!</v>
      </c>
      <c r="AET114" s="367">
        <v>15.38</v>
      </c>
      <c r="AEU114" s="367" t="e">
        <f>AER114*AES114*AET114</f>
        <v>#DIV/0!</v>
      </c>
      <c r="AEV114" s="363" t="s">
        <v>153</v>
      </c>
      <c r="AEW114" s="363"/>
      <c r="AEX114" s="363"/>
      <c r="AEY114" s="364" t="s">
        <v>140</v>
      </c>
      <c r="AEZ114" s="365">
        <v>0.5</v>
      </c>
      <c r="AFA114" s="366" t="e">
        <f>10/AEW112</f>
        <v>#DIV/0!</v>
      </c>
      <c r="AFB114" s="367">
        <v>15.38</v>
      </c>
      <c r="AFC114" s="367" t="e">
        <f>AEZ114*AFA114*AFB114</f>
        <v>#DIV/0!</v>
      </c>
      <c r="AFD114" s="363" t="s">
        <v>153</v>
      </c>
      <c r="AFE114" s="363"/>
      <c r="AFF114" s="363"/>
      <c r="AFG114" s="364" t="s">
        <v>140</v>
      </c>
      <c r="AFH114" s="365">
        <v>0.5</v>
      </c>
      <c r="AFI114" s="366" t="e">
        <f>10/AFE112</f>
        <v>#DIV/0!</v>
      </c>
      <c r="AFJ114" s="367">
        <v>15.38</v>
      </c>
      <c r="AFK114" s="367" t="e">
        <f>AFH114*AFI114*AFJ114</f>
        <v>#DIV/0!</v>
      </c>
      <c r="AFL114" s="363" t="s">
        <v>153</v>
      </c>
      <c r="AFM114" s="363"/>
      <c r="AFN114" s="363"/>
      <c r="AFO114" s="364" t="s">
        <v>140</v>
      </c>
      <c r="AFP114" s="365">
        <v>0.5</v>
      </c>
      <c r="AFQ114" s="366" t="e">
        <f>10/AFM112</f>
        <v>#DIV/0!</v>
      </c>
      <c r="AFR114" s="367">
        <v>15.38</v>
      </c>
      <c r="AFS114" s="367" t="e">
        <f>AFP114*AFQ114*AFR114</f>
        <v>#DIV/0!</v>
      </c>
      <c r="AFT114" s="363" t="s">
        <v>153</v>
      </c>
      <c r="AFU114" s="363"/>
      <c r="AFV114" s="363"/>
      <c r="AFW114" s="364" t="s">
        <v>140</v>
      </c>
      <c r="AFX114" s="365">
        <v>0.5</v>
      </c>
      <c r="AFY114" s="366" t="e">
        <f>10/AFU112</f>
        <v>#DIV/0!</v>
      </c>
      <c r="AFZ114" s="367">
        <v>15.38</v>
      </c>
      <c r="AGA114" s="367" t="e">
        <f>AFX114*AFY114*AFZ114</f>
        <v>#DIV/0!</v>
      </c>
      <c r="AGB114" s="363" t="s">
        <v>153</v>
      </c>
      <c r="AGC114" s="363"/>
      <c r="AGD114" s="363"/>
      <c r="AGE114" s="364" t="s">
        <v>140</v>
      </c>
      <c r="AGF114" s="365">
        <v>0.5</v>
      </c>
      <c r="AGG114" s="366" t="e">
        <f>10/AGC112</f>
        <v>#DIV/0!</v>
      </c>
      <c r="AGH114" s="367">
        <v>15.38</v>
      </c>
      <c r="AGI114" s="367" t="e">
        <f>AGF114*AGG114*AGH114</f>
        <v>#DIV/0!</v>
      </c>
      <c r="AGJ114" s="363" t="s">
        <v>153</v>
      </c>
      <c r="AGK114" s="363"/>
      <c r="AGL114" s="363"/>
      <c r="AGM114" s="364" t="s">
        <v>140</v>
      </c>
      <c r="AGN114" s="365">
        <v>0.5</v>
      </c>
      <c r="AGO114" s="366" t="e">
        <f>10/AGK112</f>
        <v>#DIV/0!</v>
      </c>
      <c r="AGP114" s="367">
        <v>15.38</v>
      </c>
      <c r="AGQ114" s="367" t="e">
        <f>AGN114*AGO114*AGP114</f>
        <v>#DIV/0!</v>
      </c>
      <c r="AGR114" s="363" t="s">
        <v>153</v>
      </c>
      <c r="AGS114" s="363"/>
      <c r="AGT114" s="363"/>
      <c r="AGU114" s="364" t="s">
        <v>140</v>
      </c>
      <c r="AGV114" s="365">
        <v>0.5</v>
      </c>
      <c r="AGW114" s="366" t="e">
        <f>10/AGS112</f>
        <v>#DIV/0!</v>
      </c>
      <c r="AGX114" s="367">
        <v>15.38</v>
      </c>
      <c r="AGY114" s="367" t="e">
        <f>AGV114*AGW114*AGX114</f>
        <v>#DIV/0!</v>
      </c>
      <c r="AGZ114" s="363" t="s">
        <v>153</v>
      </c>
      <c r="AHA114" s="363"/>
      <c r="AHB114" s="363"/>
      <c r="AHC114" s="364" t="s">
        <v>140</v>
      </c>
      <c r="AHD114" s="365">
        <v>0.5</v>
      </c>
      <c r="AHE114" s="366" t="e">
        <f>10/AHA112</f>
        <v>#DIV/0!</v>
      </c>
      <c r="AHF114" s="367">
        <v>15.38</v>
      </c>
      <c r="AHG114" s="367" t="e">
        <f>AHD114*AHE114*AHF114</f>
        <v>#DIV/0!</v>
      </c>
      <c r="AHH114" s="363" t="s">
        <v>153</v>
      </c>
      <c r="AHI114" s="363"/>
      <c r="AHJ114" s="363"/>
      <c r="AHK114" s="364" t="s">
        <v>140</v>
      </c>
      <c r="AHL114" s="365">
        <v>0.5</v>
      </c>
      <c r="AHM114" s="366" t="e">
        <f>10/AHI112</f>
        <v>#DIV/0!</v>
      </c>
      <c r="AHN114" s="367">
        <v>15.38</v>
      </c>
      <c r="AHO114" s="367" t="e">
        <f>AHL114*AHM114*AHN114</f>
        <v>#DIV/0!</v>
      </c>
      <c r="AHP114" s="363" t="s">
        <v>153</v>
      </c>
      <c r="AHQ114" s="363"/>
      <c r="AHR114" s="363"/>
      <c r="AHS114" s="364" t="s">
        <v>140</v>
      </c>
      <c r="AHT114" s="365">
        <v>0.5</v>
      </c>
      <c r="AHU114" s="366" t="e">
        <f>10/AHQ112</f>
        <v>#DIV/0!</v>
      </c>
      <c r="AHV114" s="367">
        <v>15.38</v>
      </c>
      <c r="AHW114" s="367" t="e">
        <f>AHT114*AHU114*AHV114</f>
        <v>#DIV/0!</v>
      </c>
      <c r="AHX114" s="363" t="s">
        <v>153</v>
      </c>
      <c r="AHY114" s="363"/>
      <c r="AHZ114" s="363"/>
      <c r="AIA114" s="364" t="s">
        <v>140</v>
      </c>
      <c r="AIB114" s="365">
        <v>0.5</v>
      </c>
      <c r="AIC114" s="366" t="e">
        <f>10/AHY112</f>
        <v>#DIV/0!</v>
      </c>
      <c r="AID114" s="367">
        <v>15.38</v>
      </c>
      <c r="AIE114" s="367" t="e">
        <f>AIB114*AIC114*AID114</f>
        <v>#DIV/0!</v>
      </c>
      <c r="AIF114" s="363" t="s">
        <v>153</v>
      </c>
      <c r="AIG114" s="363"/>
      <c r="AIH114" s="363"/>
      <c r="AII114" s="364" t="s">
        <v>140</v>
      </c>
      <c r="AIJ114" s="365">
        <v>0.5</v>
      </c>
      <c r="AIK114" s="366" t="e">
        <f>10/AIG112</f>
        <v>#DIV/0!</v>
      </c>
      <c r="AIL114" s="367">
        <v>15.38</v>
      </c>
      <c r="AIM114" s="367" t="e">
        <f>AIJ114*AIK114*AIL114</f>
        <v>#DIV/0!</v>
      </c>
      <c r="AIN114" s="363" t="s">
        <v>153</v>
      </c>
      <c r="AIO114" s="363"/>
      <c r="AIP114" s="363"/>
      <c r="AIQ114" s="364" t="s">
        <v>140</v>
      </c>
      <c r="AIR114" s="365">
        <v>0.5</v>
      </c>
      <c r="AIS114" s="366" t="e">
        <f>10/AIO112</f>
        <v>#DIV/0!</v>
      </c>
      <c r="AIT114" s="367">
        <v>15.38</v>
      </c>
      <c r="AIU114" s="367" t="e">
        <f>AIR114*AIS114*AIT114</f>
        <v>#DIV/0!</v>
      </c>
      <c r="AIV114" s="363" t="s">
        <v>153</v>
      </c>
      <c r="AIW114" s="363"/>
      <c r="AIX114" s="363"/>
      <c r="AIY114" s="364" t="s">
        <v>140</v>
      </c>
      <c r="AIZ114" s="365">
        <v>0.5</v>
      </c>
      <c r="AJA114" s="366" t="e">
        <f>10/AIW112</f>
        <v>#DIV/0!</v>
      </c>
      <c r="AJB114" s="367">
        <v>15.38</v>
      </c>
      <c r="AJC114" s="367" t="e">
        <f>AIZ114*AJA114*AJB114</f>
        <v>#DIV/0!</v>
      </c>
      <c r="AJD114" s="363" t="s">
        <v>153</v>
      </c>
      <c r="AJE114" s="363"/>
      <c r="AJF114" s="363"/>
      <c r="AJG114" s="364" t="s">
        <v>140</v>
      </c>
      <c r="AJH114" s="365">
        <v>0.5</v>
      </c>
      <c r="AJI114" s="366" t="e">
        <f>10/AJE112</f>
        <v>#DIV/0!</v>
      </c>
      <c r="AJJ114" s="367">
        <v>15.38</v>
      </c>
      <c r="AJK114" s="367" t="e">
        <f>AJH114*AJI114*AJJ114</f>
        <v>#DIV/0!</v>
      </c>
      <c r="AJL114" s="363" t="s">
        <v>153</v>
      </c>
      <c r="AJM114" s="363"/>
      <c r="AJN114" s="363"/>
      <c r="AJO114" s="364" t="s">
        <v>140</v>
      </c>
      <c r="AJP114" s="365">
        <v>0.5</v>
      </c>
      <c r="AJQ114" s="366" t="e">
        <f>10/AJM112</f>
        <v>#DIV/0!</v>
      </c>
      <c r="AJR114" s="367">
        <v>15.38</v>
      </c>
      <c r="AJS114" s="367" t="e">
        <f>AJP114*AJQ114*AJR114</f>
        <v>#DIV/0!</v>
      </c>
      <c r="AJT114" s="363" t="s">
        <v>153</v>
      </c>
      <c r="AJU114" s="363"/>
      <c r="AJV114" s="363"/>
      <c r="AJW114" s="364" t="s">
        <v>140</v>
      </c>
      <c r="AJX114" s="365">
        <v>0.5</v>
      </c>
      <c r="AJY114" s="366" t="e">
        <f>10/AJU112</f>
        <v>#DIV/0!</v>
      </c>
      <c r="AJZ114" s="367">
        <v>15.38</v>
      </c>
      <c r="AKA114" s="367" t="e">
        <f>AJX114*AJY114*AJZ114</f>
        <v>#DIV/0!</v>
      </c>
      <c r="AKB114" s="363" t="s">
        <v>153</v>
      </c>
      <c r="AKC114" s="363"/>
      <c r="AKD114" s="363"/>
      <c r="AKE114" s="364" t="s">
        <v>140</v>
      </c>
      <c r="AKF114" s="365">
        <v>0.5</v>
      </c>
      <c r="AKG114" s="366" t="e">
        <f>10/AKC112</f>
        <v>#DIV/0!</v>
      </c>
      <c r="AKH114" s="367">
        <v>15.38</v>
      </c>
      <c r="AKI114" s="367" t="e">
        <f>AKF114*AKG114*AKH114</f>
        <v>#DIV/0!</v>
      </c>
      <c r="AKJ114" s="363" t="s">
        <v>153</v>
      </c>
      <c r="AKK114" s="363"/>
      <c r="AKL114" s="363"/>
      <c r="AKM114" s="364" t="s">
        <v>140</v>
      </c>
      <c r="AKN114" s="365">
        <v>0.5</v>
      </c>
      <c r="AKO114" s="366" t="e">
        <f>10/AKK112</f>
        <v>#DIV/0!</v>
      </c>
      <c r="AKP114" s="367">
        <v>15.38</v>
      </c>
      <c r="AKQ114" s="367" t="e">
        <f>AKN114*AKO114*AKP114</f>
        <v>#DIV/0!</v>
      </c>
      <c r="AKR114" s="363" t="s">
        <v>153</v>
      </c>
      <c r="AKS114" s="363"/>
      <c r="AKT114" s="363"/>
      <c r="AKU114" s="364" t="s">
        <v>140</v>
      </c>
      <c r="AKV114" s="365">
        <v>0.5</v>
      </c>
      <c r="AKW114" s="366" t="e">
        <f>10/AKS112</f>
        <v>#DIV/0!</v>
      </c>
      <c r="AKX114" s="367">
        <v>15.38</v>
      </c>
      <c r="AKY114" s="367" t="e">
        <f>AKV114*AKW114*AKX114</f>
        <v>#DIV/0!</v>
      </c>
      <c r="AKZ114" s="363" t="s">
        <v>153</v>
      </c>
      <c r="ALA114" s="363"/>
      <c r="ALB114" s="363"/>
      <c r="ALC114" s="364" t="s">
        <v>140</v>
      </c>
      <c r="ALD114" s="365">
        <v>0.5</v>
      </c>
      <c r="ALE114" s="366" t="e">
        <f>10/ALA112</f>
        <v>#DIV/0!</v>
      </c>
      <c r="ALF114" s="367">
        <v>15.38</v>
      </c>
      <c r="ALG114" s="367" t="e">
        <f>ALD114*ALE114*ALF114</f>
        <v>#DIV/0!</v>
      </c>
      <c r="ALH114" s="363" t="s">
        <v>153</v>
      </c>
      <c r="ALI114" s="363"/>
      <c r="ALJ114" s="363"/>
      <c r="ALK114" s="364" t="s">
        <v>140</v>
      </c>
      <c r="ALL114" s="365">
        <v>0.5</v>
      </c>
      <c r="ALM114" s="366" t="e">
        <f>10/ALI112</f>
        <v>#DIV/0!</v>
      </c>
      <c r="ALN114" s="367">
        <v>15.38</v>
      </c>
      <c r="ALO114" s="367" t="e">
        <f>ALL114*ALM114*ALN114</f>
        <v>#DIV/0!</v>
      </c>
      <c r="ALP114" s="363" t="s">
        <v>153</v>
      </c>
      <c r="ALQ114" s="363"/>
      <c r="ALR114" s="363"/>
      <c r="ALS114" s="364" t="s">
        <v>140</v>
      </c>
      <c r="ALT114" s="365">
        <v>0.5</v>
      </c>
      <c r="ALU114" s="366" t="e">
        <f>10/ALQ112</f>
        <v>#DIV/0!</v>
      </c>
      <c r="ALV114" s="367">
        <v>15.38</v>
      </c>
      <c r="ALW114" s="367" t="e">
        <f>ALT114*ALU114*ALV114</f>
        <v>#DIV/0!</v>
      </c>
      <c r="ALX114" s="363" t="s">
        <v>153</v>
      </c>
      <c r="ALY114" s="363"/>
      <c r="ALZ114" s="363"/>
      <c r="AMA114" s="364" t="s">
        <v>140</v>
      </c>
      <c r="AMB114" s="365">
        <v>0.5</v>
      </c>
      <c r="AMC114" s="366" t="e">
        <f>10/ALY112</f>
        <v>#DIV/0!</v>
      </c>
      <c r="AMD114" s="367">
        <v>15.38</v>
      </c>
      <c r="AME114" s="367" t="e">
        <f>AMB114*AMC114*AMD114</f>
        <v>#DIV/0!</v>
      </c>
      <c r="AMF114" s="363" t="s">
        <v>153</v>
      </c>
      <c r="AMG114" s="363"/>
      <c r="AMH114" s="363"/>
      <c r="AMI114" s="364" t="s">
        <v>140</v>
      </c>
      <c r="AMJ114" s="365">
        <v>0.5</v>
      </c>
      <c r="AMK114" s="366" t="e">
        <f>10/AMG112</f>
        <v>#DIV/0!</v>
      </c>
      <c r="AML114" s="367">
        <v>15.38</v>
      </c>
      <c r="AMM114" s="367" t="e">
        <f>AMJ114*AMK114*AML114</f>
        <v>#DIV/0!</v>
      </c>
      <c r="AMN114" s="363" t="s">
        <v>153</v>
      </c>
      <c r="AMO114" s="363"/>
      <c r="AMP114" s="363"/>
      <c r="AMQ114" s="364" t="s">
        <v>140</v>
      </c>
      <c r="AMR114" s="365">
        <v>0.5</v>
      </c>
      <c r="AMS114" s="366" t="e">
        <f>10/AMO112</f>
        <v>#DIV/0!</v>
      </c>
      <c r="AMT114" s="367">
        <v>15.38</v>
      </c>
      <c r="AMU114" s="367" t="e">
        <f>AMR114*AMS114*AMT114</f>
        <v>#DIV/0!</v>
      </c>
      <c r="AMV114" s="363" t="s">
        <v>153</v>
      </c>
      <c r="AMW114" s="363"/>
      <c r="AMX114" s="363"/>
      <c r="AMY114" s="364" t="s">
        <v>140</v>
      </c>
      <c r="AMZ114" s="365">
        <v>0.5</v>
      </c>
      <c r="ANA114" s="366" t="e">
        <f>10/AMW112</f>
        <v>#DIV/0!</v>
      </c>
      <c r="ANB114" s="367">
        <v>15.38</v>
      </c>
      <c r="ANC114" s="367" t="e">
        <f>AMZ114*ANA114*ANB114</f>
        <v>#DIV/0!</v>
      </c>
      <c r="AND114" s="363" t="s">
        <v>153</v>
      </c>
      <c r="ANE114" s="363"/>
      <c r="ANF114" s="363"/>
      <c r="ANG114" s="364" t="s">
        <v>140</v>
      </c>
      <c r="ANH114" s="365">
        <v>0.5</v>
      </c>
      <c r="ANI114" s="366" t="e">
        <f>10/ANE112</f>
        <v>#DIV/0!</v>
      </c>
      <c r="ANJ114" s="367">
        <v>15.38</v>
      </c>
      <c r="ANK114" s="367" t="e">
        <f>ANH114*ANI114*ANJ114</f>
        <v>#DIV/0!</v>
      </c>
      <c r="ANL114" s="363" t="s">
        <v>153</v>
      </c>
      <c r="ANM114" s="363"/>
      <c r="ANN114" s="363"/>
      <c r="ANO114" s="364" t="s">
        <v>140</v>
      </c>
      <c r="ANP114" s="365">
        <v>0.5</v>
      </c>
      <c r="ANQ114" s="366" t="e">
        <f>10/ANM112</f>
        <v>#DIV/0!</v>
      </c>
      <c r="ANR114" s="367">
        <v>15.38</v>
      </c>
      <c r="ANS114" s="367" t="e">
        <f>ANP114*ANQ114*ANR114</f>
        <v>#DIV/0!</v>
      </c>
      <c r="ANT114" s="363" t="s">
        <v>153</v>
      </c>
      <c r="ANU114" s="363"/>
      <c r="ANV114" s="363"/>
      <c r="ANW114" s="364" t="s">
        <v>140</v>
      </c>
      <c r="ANX114" s="365">
        <v>0.5</v>
      </c>
      <c r="ANY114" s="366" t="e">
        <f>10/ANU112</f>
        <v>#DIV/0!</v>
      </c>
      <c r="ANZ114" s="367">
        <v>15.38</v>
      </c>
      <c r="AOA114" s="367" t="e">
        <f>ANX114*ANY114*ANZ114</f>
        <v>#DIV/0!</v>
      </c>
      <c r="AOB114" s="363" t="s">
        <v>153</v>
      </c>
      <c r="AOC114" s="363"/>
      <c r="AOD114" s="363"/>
      <c r="AOE114" s="364" t="s">
        <v>140</v>
      </c>
      <c r="AOF114" s="365">
        <v>0.5</v>
      </c>
      <c r="AOG114" s="366" t="e">
        <f>10/AOC112</f>
        <v>#DIV/0!</v>
      </c>
      <c r="AOH114" s="367">
        <v>15.38</v>
      </c>
      <c r="AOI114" s="367" t="e">
        <f>AOF114*AOG114*AOH114</f>
        <v>#DIV/0!</v>
      </c>
      <c r="AOJ114" s="363" t="s">
        <v>153</v>
      </c>
      <c r="AOK114" s="363"/>
      <c r="AOL114" s="363"/>
      <c r="AOM114" s="364" t="s">
        <v>140</v>
      </c>
      <c r="AON114" s="365">
        <v>0.5</v>
      </c>
      <c r="AOO114" s="366" t="e">
        <f>10/AOK112</f>
        <v>#DIV/0!</v>
      </c>
      <c r="AOP114" s="367">
        <v>15.38</v>
      </c>
      <c r="AOQ114" s="367" t="e">
        <f>AON114*AOO114*AOP114</f>
        <v>#DIV/0!</v>
      </c>
      <c r="AOR114" s="363" t="s">
        <v>153</v>
      </c>
      <c r="AOS114" s="363"/>
      <c r="AOT114" s="363"/>
      <c r="AOU114" s="364" t="s">
        <v>140</v>
      </c>
      <c r="AOV114" s="365">
        <v>0.5</v>
      </c>
      <c r="AOW114" s="366" t="e">
        <f>10/AOS112</f>
        <v>#DIV/0!</v>
      </c>
      <c r="AOX114" s="367">
        <v>15.38</v>
      </c>
      <c r="AOY114" s="367" t="e">
        <f>AOV114*AOW114*AOX114</f>
        <v>#DIV/0!</v>
      </c>
      <c r="AOZ114" s="363" t="s">
        <v>153</v>
      </c>
      <c r="APA114" s="363"/>
      <c r="APB114" s="363"/>
      <c r="APC114" s="364" t="s">
        <v>140</v>
      </c>
      <c r="APD114" s="365">
        <v>0.5</v>
      </c>
      <c r="APE114" s="366" t="e">
        <f>10/APA112</f>
        <v>#DIV/0!</v>
      </c>
      <c r="APF114" s="367">
        <v>15.38</v>
      </c>
      <c r="APG114" s="367" t="e">
        <f>APD114*APE114*APF114</f>
        <v>#DIV/0!</v>
      </c>
      <c r="APH114" s="363" t="s">
        <v>153</v>
      </c>
      <c r="API114" s="363"/>
      <c r="APJ114" s="363"/>
      <c r="APK114" s="364" t="s">
        <v>140</v>
      </c>
      <c r="APL114" s="365">
        <v>0.5</v>
      </c>
      <c r="APM114" s="366" t="e">
        <f>10/API112</f>
        <v>#DIV/0!</v>
      </c>
      <c r="APN114" s="367">
        <v>15.38</v>
      </c>
      <c r="APO114" s="367" t="e">
        <f>APL114*APM114*APN114</f>
        <v>#DIV/0!</v>
      </c>
      <c r="APP114" s="363" t="s">
        <v>153</v>
      </c>
      <c r="APQ114" s="363"/>
      <c r="APR114" s="363"/>
      <c r="APS114" s="364" t="s">
        <v>140</v>
      </c>
      <c r="APT114" s="365">
        <v>0.5</v>
      </c>
      <c r="APU114" s="366" t="e">
        <f>10/APQ112</f>
        <v>#DIV/0!</v>
      </c>
      <c r="APV114" s="367">
        <v>15.38</v>
      </c>
      <c r="APW114" s="367" t="e">
        <f>APT114*APU114*APV114</f>
        <v>#DIV/0!</v>
      </c>
      <c r="APX114" s="363" t="s">
        <v>153</v>
      </c>
      <c r="APY114" s="363"/>
      <c r="APZ114" s="363"/>
      <c r="AQA114" s="364" t="s">
        <v>140</v>
      </c>
      <c r="AQB114" s="365">
        <v>0.5</v>
      </c>
      <c r="AQC114" s="366" t="e">
        <f>10/APY112</f>
        <v>#DIV/0!</v>
      </c>
      <c r="AQD114" s="367">
        <v>15.38</v>
      </c>
      <c r="AQE114" s="367" t="e">
        <f>AQB114*AQC114*AQD114</f>
        <v>#DIV/0!</v>
      </c>
      <c r="AQF114" s="363" t="s">
        <v>153</v>
      </c>
      <c r="AQG114" s="363"/>
      <c r="AQH114" s="363"/>
      <c r="AQI114" s="364" t="s">
        <v>140</v>
      </c>
      <c r="AQJ114" s="365">
        <v>0.5</v>
      </c>
      <c r="AQK114" s="366" t="e">
        <f>10/AQG112</f>
        <v>#DIV/0!</v>
      </c>
      <c r="AQL114" s="367">
        <v>15.38</v>
      </c>
      <c r="AQM114" s="367" t="e">
        <f>AQJ114*AQK114*AQL114</f>
        <v>#DIV/0!</v>
      </c>
      <c r="AQN114" s="363" t="s">
        <v>153</v>
      </c>
      <c r="AQO114" s="363"/>
      <c r="AQP114" s="363"/>
      <c r="AQQ114" s="364" t="s">
        <v>140</v>
      </c>
      <c r="AQR114" s="365">
        <v>0.5</v>
      </c>
      <c r="AQS114" s="366" t="e">
        <f>10/AQO112</f>
        <v>#DIV/0!</v>
      </c>
      <c r="AQT114" s="367">
        <v>15.38</v>
      </c>
      <c r="AQU114" s="367" t="e">
        <f>AQR114*AQS114*AQT114</f>
        <v>#DIV/0!</v>
      </c>
      <c r="AQV114" s="363" t="s">
        <v>153</v>
      </c>
      <c r="AQW114" s="363"/>
      <c r="AQX114" s="363"/>
      <c r="AQY114" s="364" t="s">
        <v>140</v>
      </c>
      <c r="AQZ114" s="365">
        <v>0.5</v>
      </c>
      <c r="ARA114" s="366" t="e">
        <f>10/AQW112</f>
        <v>#DIV/0!</v>
      </c>
      <c r="ARB114" s="367">
        <v>15.38</v>
      </c>
      <c r="ARC114" s="367" t="e">
        <f>AQZ114*ARA114*ARB114</f>
        <v>#DIV/0!</v>
      </c>
      <c r="ARD114" s="363" t="s">
        <v>153</v>
      </c>
      <c r="ARE114" s="363"/>
      <c r="ARF114" s="363"/>
      <c r="ARG114" s="364" t="s">
        <v>140</v>
      </c>
      <c r="ARH114" s="365">
        <v>0.5</v>
      </c>
      <c r="ARI114" s="366" t="e">
        <f>10/ARE112</f>
        <v>#DIV/0!</v>
      </c>
      <c r="ARJ114" s="367">
        <v>15.38</v>
      </c>
      <c r="ARK114" s="367" t="e">
        <f>ARH114*ARI114*ARJ114</f>
        <v>#DIV/0!</v>
      </c>
      <c r="ARL114" s="363" t="s">
        <v>153</v>
      </c>
      <c r="ARM114" s="363"/>
      <c r="ARN114" s="363"/>
      <c r="ARO114" s="364" t="s">
        <v>140</v>
      </c>
      <c r="ARP114" s="365">
        <v>0.5</v>
      </c>
      <c r="ARQ114" s="366" t="e">
        <f>10/ARM112</f>
        <v>#DIV/0!</v>
      </c>
      <c r="ARR114" s="367">
        <v>15.38</v>
      </c>
      <c r="ARS114" s="367" t="e">
        <f>ARP114*ARQ114*ARR114</f>
        <v>#DIV/0!</v>
      </c>
      <c r="ART114" s="363" t="s">
        <v>153</v>
      </c>
      <c r="ARU114" s="363"/>
      <c r="ARV114" s="363"/>
      <c r="ARW114" s="364" t="s">
        <v>140</v>
      </c>
      <c r="ARX114" s="365">
        <v>0.5</v>
      </c>
      <c r="ARY114" s="366" t="e">
        <f>10/ARU112</f>
        <v>#DIV/0!</v>
      </c>
      <c r="ARZ114" s="367">
        <v>15.38</v>
      </c>
      <c r="ASA114" s="367" t="e">
        <f>ARX114*ARY114*ARZ114</f>
        <v>#DIV/0!</v>
      </c>
      <c r="ASB114" s="363" t="s">
        <v>153</v>
      </c>
      <c r="ASC114" s="363"/>
      <c r="ASD114" s="363"/>
      <c r="ASE114" s="364" t="s">
        <v>140</v>
      </c>
      <c r="ASF114" s="365">
        <v>0.5</v>
      </c>
      <c r="ASG114" s="366" t="e">
        <f>10/ASC112</f>
        <v>#DIV/0!</v>
      </c>
      <c r="ASH114" s="367">
        <v>15.38</v>
      </c>
      <c r="ASI114" s="367" t="e">
        <f>ASF114*ASG114*ASH114</f>
        <v>#DIV/0!</v>
      </c>
      <c r="ASJ114" s="363" t="s">
        <v>153</v>
      </c>
      <c r="ASK114" s="363"/>
      <c r="ASL114" s="363"/>
      <c r="ASM114" s="364" t="s">
        <v>140</v>
      </c>
      <c r="ASN114" s="365">
        <v>0.5</v>
      </c>
      <c r="ASO114" s="366" t="e">
        <f>10/ASK112</f>
        <v>#DIV/0!</v>
      </c>
      <c r="ASP114" s="367">
        <v>15.38</v>
      </c>
      <c r="ASQ114" s="367" t="e">
        <f>ASN114*ASO114*ASP114</f>
        <v>#DIV/0!</v>
      </c>
      <c r="ASR114" s="363" t="s">
        <v>153</v>
      </c>
      <c r="ASS114" s="363"/>
      <c r="AST114" s="363"/>
      <c r="ASU114" s="364" t="s">
        <v>140</v>
      </c>
      <c r="ASV114" s="365">
        <v>0.5</v>
      </c>
      <c r="ASW114" s="366" t="e">
        <f>10/ASS112</f>
        <v>#DIV/0!</v>
      </c>
      <c r="ASX114" s="367">
        <v>15.38</v>
      </c>
      <c r="ASY114" s="367" t="e">
        <f>ASV114*ASW114*ASX114</f>
        <v>#DIV/0!</v>
      </c>
      <c r="ASZ114" s="363" t="s">
        <v>153</v>
      </c>
      <c r="ATA114" s="363"/>
      <c r="ATB114" s="363"/>
      <c r="ATC114" s="364" t="s">
        <v>140</v>
      </c>
      <c r="ATD114" s="365">
        <v>0.5</v>
      </c>
      <c r="ATE114" s="366" t="e">
        <f>10/ATA112</f>
        <v>#DIV/0!</v>
      </c>
      <c r="ATF114" s="367">
        <v>15.38</v>
      </c>
      <c r="ATG114" s="367" t="e">
        <f>ATD114*ATE114*ATF114</f>
        <v>#DIV/0!</v>
      </c>
      <c r="ATH114" s="363" t="s">
        <v>153</v>
      </c>
      <c r="ATI114" s="363"/>
      <c r="ATJ114" s="363"/>
      <c r="ATK114" s="364" t="s">
        <v>140</v>
      </c>
      <c r="ATL114" s="365">
        <v>0.5</v>
      </c>
      <c r="ATM114" s="366" t="e">
        <f>10/ATI112</f>
        <v>#DIV/0!</v>
      </c>
      <c r="ATN114" s="367">
        <v>15.38</v>
      </c>
      <c r="ATO114" s="367" t="e">
        <f>ATL114*ATM114*ATN114</f>
        <v>#DIV/0!</v>
      </c>
      <c r="ATP114" s="363" t="s">
        <v>153</v>
      </c>
      <c r="ATQ114" s="363"/>
      <c r="ATR114" s="363"/>
      <c r="ATS114" s="364" t="s">
        <v>140</v>
      </c>
      <c r="ATT114" s="365">
        <v>0.5</v>
      </c>
      <c r="ATU114" s="366" t="e">
        <f>10/ATQ112</f>
        <v>#DIV/0!</v>
      </c>
      <c r="ATV114" s="367">
        <v>15.38</v>
      </c>
      <c r="ATW114" s="367" t="e">
        <f>ATT114*ATU114*ATV114</f>
        <v>#DIV/0!</v>
      </c>
      <c r="ATX114" s="363" t="s">
        <v>153</v>
      </c>
      <c r="ATY114" s="363"/>
      <c r="ATZ114" s="363"/>
      <c r="AUA114" s="364" t="s">
        <v>140</v>
      </c>
      <c r="AUB114" s="365">
        <v>0.5</v>
      </c>
      <c r="AUC114" s="366" t="e">
        <f>10/ATY112</f>
        <v>#DIV/0!</v>
      </c>
      <c r="AUD114" s="367">
        <v>15.38</v>
      </c>
      <c r="AUE114" s="367" t="e">
        <f>AUB114*AUC114*AUD114</f>
        <v>#DIV/0!</v>
      </c>
      <c r="AUF114" s="363" t="s">
        <v>153</v>
      </c>
      <c r="AUG114" s="363"/>
      <c r="AUH114" s="363"/>
      <c r="AUI114" s="364" t="s">
        <v>140</v>
      </c>
      <c r="AUJ114" s="365">
        <v>0.5</v>
      </c>
      <c r="AUK114" s="366" t="e">
        <f>10/AUG112</f>
        <v>#DIV/0!</v>
      </c>
      <c r="AUL114" s="367">
        <v>15.38</v>
      </c>
      <c r="AUM114" s="367" t="e">
        <f>AUJ114*AUK114*AUL114</f>
        <v>#DIV/0!</v>
      </c>
      <c r="AUN114" s="363" t="s">
        <v>153</v>
      </c>
      <c r="AUO114" s="363"/>
      <c r="AUP114" s="363"/>
      <c r="AUQ114" s="364" t="s">
        <v>140</v>
      </c>
      <c r="AUR114" s="365">
        <v>0.5</v>
      </c>
      <c r="AUS114" s="366" t="e">
        <f>10/AUO112</f>
        <v>#DIV/0!</v>
      </c>
      <c r="AUT114" s="367">
        <v>15.38</v>
      </c>
      <c r="AUU114" s="367" t="e">
        <f>AUR114*AUS114*AUT114</f>
        <v>#DIV/0!</v>
      </c>
      <c r="AUV114" s="363" t="s">
        <v>153</v>
      </c>
      <c r="AUW114" s="363"/>
      <c r="AUX114" s="363"/>
      <c r="AUY114" s="364" t="s">
        <v>140</v>
      </c>
      <c r="AUZ114" s="365">
        <v>0.5</v>
      </c>
      <c r="AVA114" s="366" t="e">
        <f>10/AUW112</f>
        <v>#DIV/0!</v>
      </c>
      <c r="AVB114" s="367">
        <v>15.38</v>
      </c>
      <c r="AVC114" s="367" t="e">
        <f>AUZ114*AVA114*AVB114</f>
        <v>#DIV/0!</v>
      </c>
      <c r="AVD114" s="363" t="s">
        <v>153</v>
      </c>
      <c r="AVE114" s="363"/>
      <c r="AVF114" s="363"/>
      <c r="AVG114" s="364" t="s">
        <v>140</v>
      </c>
      <c r="AVH114" s="365">
        <v>0.5</v>
      </c>
      <c r="AVI114" s="366" t="e">
        <f>10/AVE112</f>
        <v>#DIV/0!</v>
      </c>
      <c r="AVJ114" s="367">
        <v>15.38</v>
      </c>
      <c r="AVK114" s="367" t="e">
        <f>AVH114*AVI114*AVJ114</f>
        <v>#DIV/0!</v>
      </c>
      <c r="AVL114" s="363" t="s">
        <v>153</v>
      </c>
      <c r="AVM114" s="363"/>
      <c r="AVN114" s="363"/>
      <c r="AVO114" s="364" t="s">
        <v>140</v>
      </c>
      <c r="AVP114" s="365">
        <v>0.5</v>
      </c>
      <c r="AVQ114" s="366" t="e">
        <f>10/AVM112</f>
        <v>#DIV/0!</v>
      </c>
      <c r="AVR114" s="367">
        <v>15.38</v>
      </c>
      <c r="AVS114" s="367" t="e">
        <f>AVP114*AVQ114*AVR114</f>
        <v>#DIV/0!</v>
      </c>
      <c r="AVT114" s="363" t="s">
        <v>153</v>
      </c>
      <c r="AVU114" s="363"/>
      <c r="AVV114" s="363"/>
      <c r="AVW114" s="364" t="s">
        <v>140</v>
      </c>
      <c r="AVX114" s="365">
        <v>0.5</v>
      </c>
      <c r="AVY114" s="366" t="e">
        <f>10/AVU112</f>
        <v>#DIV/0!</v>
      </c>
      <c r="AVZ114" s="367">
        <v>15.38</v>
      </c>
      <c r="AWA114" s="367" t="e">
        <f>AVX114*AVY114*AVZ114</f>
        <v>#DIV/0!</v>
      </c>
      <c r="AWB114" s="363" t="s">
        <v>153</v>
      </c>
      <c r="AWC114" s="363"/>
      <c r="AWD114" s="363"/>
      <c r="AWE114" s="364" t="s">
        <v>140</v>
      </c>
      <c r="AWF114" s="365">
        <v>0.5</v>
      </c>
      <c r="AWG114" s="366" t="e">
        <f>10/AWC112</f>
        <v>#DIV/0!</v>
      </c>
      <c r="AWH114" s="367">
        <v>15.38</v>
      </c>
      <c r="AWI114" s="367" t="e">
        <f>AWF114*AWG114*AWH114</f>
        <v>#DIV/0!</v>
      </c>
      <c r="AWJ114" s="363" t="s">
        <v>153</v>
      </c>
      <c r="AWK114" s="363"/>
      <c r="AWL114" s="363"/>
      <c r="AWM114" s="364" t="s">
        <v>140</v>
      </c>
      <c r="AWN114" s="365">
        <v>0.5</v>
      </c>
      <c r="AWO114" s="366" t="e">
        <f>10/AWK112</f>
        <v>#DIV/0!</v>
      </c>
      <c r="AWP114" s="367">
        <v>15.38</v>
      </c>
      <c r="AWQ114" s="367" t="e">
        <f>AWN114*AWO114*AWP114</f>
        <v>#DIV/0!</v>
      </c>
      <c r="AWR114" s="363" t="s">
        <v>153</v>
      </c>
      <c r="AWS114" s="363"/>
      <c r="AWT114" s="363"/>
      <c r="AWU114" s="364" t="s">
        <v>140</v>
      </c>
      <c r="AWV114" s="365">
        <v>0.5</v>
      </c>
      <c r="AWW114" s="366" t="e">
        <f>10/AWS112</f>
        <v>#DIV/0!</v>
      </c>
      <c r="AWX114" s="367">
        <v>15.38</v>
      </c>
      <c r="AWY114" s="367" t="e">
        <f>AWV114*AWW114*AWX114</f>
        <v>#DIV/0!</v>
      </c>
      <c r="AWZ114" s="363" t="s">
        <v>153</v>
      </c>
      <c r="AXA114" s="363"/>
      <c r="AXB114" s="363"/>
      <c r="AXC114" s="364" t="s">
        <v>140</v>
      </c>
      <c r="AXD114" s="365">
        <v>0.5</v>
      </c>
      <c r="AXE114" s="366" t="e">
        <f>10/AXA112</f>
        <v>#DIV/0!</v>
      </c>
      <c r="AXF114" s="367">
        <v>15.38</v>
      </c>
      <c r="AXG114" s="367" t="e">
        <f>AXD114*AXE114*AXF114</f>
        <v>#DIV/0!</v>
      </c>
      <c r="AXH114" s="363" t="s">
        <v>153</v>
      </c>
      <c r="AXI114" s="363"/>
      <c r="AXJ114" s="363"/>
      <c r="AXK114" s="364" t="s">
        <v>140</v>
      </c>
      <c r="AXL114" s="365">
        <v>0.5</v>
      </c>
      <c r="AXM114" s="366" t="e">
        <f>10/AXI112</f>
        <v>#DIV/0!</v>
      </c>
      <c r="AXN114" s="367">
        <v>15.38</v>
      </c>
      <c r="AXO114" s="367" t="e">
        <f>AXL114*AXM114*AXN114</f>
        <v>#DIV/0!</v>
      </c>
      <c r="AXP114" s="363" t="s">
        <v>153</v>
      </c>
      <c r="AXQ114" s="363"/>
      <c r="AXR114" s="363"/>
      <c r="AXS114" s="364" t="s">
        <v>140</v>
      </c>
      <c r="AXT114" s="365">
        <v>0.5</v>
      </c>
      <c r="AXU114" s="366" t="e">
        <f>10/AXQ112</f>
        <v>#DIV/0!</v>
      </c>
      <c r="AXV114" s="367">
        <v>15.38</v>
      </c>
      <c r="AXW114" s="367" t="e">
        <f>AXT114*AXU114*AXV114</f>
        <v>#DIV/0!</v>
      </c>
      <c r="AXX114" s="363" t="s">
        <v>153</v>
      </c>
      <c r="AXY114" s="363"/>
      <c r="AXZ114" s="363"/>
      <c r="AYA114" s="364" t="s">
        <v>140</v>
      </c>
      <c r="AYB114" s="365">
        <v>0.5</v>
      </c>
      <c r="AYC114" s="366" t="e">
        <f>10/AXY112</f>
        <v>#DIV/0!</v>
      </c>
      <c r="AYD114" s="367">
        <v>15.38</v>
      </c>
      <c r="AYE114" s="367" t="e">
        <f>AYB114*AYC114*AYD114</f>
        <v>#DIV/0!</v>
      </c>
      <c r="AYF114" s="363" t="s">
        <v>153</v>
      </c>
      <c r="AYG114" s="363"/>
      <c r="AYH114" s="363"/>
      <c r="AYI114" s="364" t="s">
        <v>140</v>
      </c>
      <c r="AYJ114" s="365">
        <v>0.5</v>
      </c>
      <c r="AYK114" s="366" t="e">
        <f>10/AYG112</f>
        <v>#DIV/0!</v>
      </c>
      <c r="AYL114" s="367">
        <v>15.38</v>
      </c>
      <c r="AYM114" s="367" t="e">
        <f>AYJ114*AYK114*AYL114</f>
        <v>#DIV/0!</v>
      </c>
      <c r="AYN114" s="363" t="s">
        <v>153</v>
      </c>
      <c r="AYO114" s="363"/>
      <c r="AYP114" s="363"/>
      <c r="AYQ114" s="364" t="s">
        <v>140</v>
      </c>
      <c r="AYR114" s="365">
        <v>0.5</v>
      </c>
      <c r="AYS114" s="366" t="e">
        <f>10/AYO112</f>
        <v>#DIV/0!</v>
      </c>
      <c r="AYT114" s="367">
        <v>15.38</v>
      </c>
      <c r="AYU114" s="367" t="e">
        <f>AYR114*AYS114*AYT114</f>
        <v>#DIV/0!</v>
      </c>
      <c r="AYV114" s="363" t="s">
        <v>153</v>
      </c>
      <c r="AYW114" s="363"/>
      <c r="AYX114" s="363"/>
      <c r="AYY114" s="364" t="s">
        <v>140</v>
      </c>
      <c r="AYZ114" s="365">
        <v>0.5</v>
      </c>
      <c r="AZA114" s="366" t="e">
        <f>10/AYW112</f>
        <v>#DIV/0!</v>
      </c>
      <c r="AZB114" s="367">
        <v>15.38</v>
      </c>
      <c r="AZC114" s="367" t="e">
        <f>AYZ114*AZA114*AZB114</f>
        <v>#DIV/0!</v>
      </c>
      <c r="AZD114" s="363" t="s">
        <v>153</v>
      </c>
      <c r="AZE114" s="363"/>
      <c r="AZF114" s="363"/>
      <c r="AZG114" s="364" t="s">
        <v>140</v>
      </c>
      <c r="AZH114" s="365">
        <v>0.5</v>
      </c>
      <c r="AZI114" s="366" t="e">
        <f>10/AZE112</f>
        <v>#DIV/0!</v>
      </c>
      <c r="AZJ114" s="367">
        <v>15.38</v>
      </c>
      <c r="AZK114" s="367" t="e">
        <f>AZH114*AZI114*AZJ114</f>
        <v>#DIV/0!</v>
      </c>
      <c r="AZL114" s="363" t="s">
        <v>153</v>
      </c>
      <c r="AZM114" s="363"/>
      <c r="AZN114" s="363"/>
      <c r="AZO114" s="364" t="s">
        <v>140</v>
      </c>
      <c r="AZP114" s="365">
        <v>0.5</v>
      </c>
      <c r="AZQ114" s="366" t="e">
        <f>10/AZM112</f>
        <v>#DIV/0!</v>
      </c>
      <c r="AZR114" s="367">
        <v>15.38</v>
      </c>
      <c r="AZS114" s="367" t="e">
        <f>AZP114*AZQ114*AZR114</f>
        <v>#DIV/0!</v>
      </c>
      <c r="AZT114" s="363" t="s">
        <v>153</v>
      </c>
      <c r="AZU114" s="363"/>
      <c r="AZV114" s="363"/>
      <c r="AZW114" s="364" t="s">
        <v>140</v>
      </c>
      <c r="AZX114" s="365">
        <v>0.5</v>
      </c>
      <c r="AZY114" s="366" t="e">
        <f>10/AZU112</f>
        <v>#DIV/0!</v>
      </c>
      <c r="AZZ114" s="367">
        <v>15.38</v>
      </c>
      <c r="BAA114" s="367" t="e">
        <f>AZX114*AZY114*AZZ114</f>
        <v>#DIV/0!</v>
      </c>
      <c r="BAB114" s="363" t="s">
        <v>153</v>
      </c>
      <c r="BAC114" s="363"/>
      <c r="BAD114" s="363"/>
      <c r="BAE114" s="364" t="s">
        <v>140</v>
      </c>
      <c r="BAF114" s="365">
        <v>0.5</v>
      </c>
      <c r="BAG114" s="366" t="e">
        <f>10/BAC112</f>
        <v>#DIV/0!</v>
      </c>
      <c r="BAH114" s="367">
        <v>15.38</v>
      </c>
      <c r="BAI114" s="367" t="e">
        <f>BAF114*BAG114*BAH114</f>
        <v>#DIV/0!</v>
      </c>
      <c r="BAJ114" s="363" t="s">
        <v>153</v>
      </c>
      <c r="BAK114" s="363"/>
      <c r="BAL114" s="363"/>
      <c r="BAM114" s="364" t="s">
        <v>140</v>
      </c>
      <c r="BAN114" s="365">
        <v>0.5</v>
      </c>
      <c r="BAO114" s="366" t="e">
        <f>10/BAK112</f>
        <v>#DIV/0!</v>
      </c>
      <c r="BAP114" s="367">
        <v>15.38</v>
      </c>
      <c r="BAQ114" s="367" t="e">
        <f>BAN114*BAO114*BAP114</f>
        <v>#DIV/0!</v>
      </c>
      <c r="BAR114" s="363" t="s">
        <v>153</v>
      </c>
      <c r="BAS114" s="363"/>
      <c r="BAT114" s="363"/>
      <c r="BAU114" s="364" t="s">
        <v>140</v>
      </c>
      <c r="BAV114" s="365">
        <v>0.5</v>
      </c>
      <c r="BAW114" s="366" t="e">
        <f>10/BAS112</f>
        <v>#DIV/0!</v>
      </c>
      <c r="BAX114" s="367">
        <v>15.38</v>
      </c>
      <c r="BAY114" s="367" t="e">
        <f>BAV114*BAW114*BAX114</f>
        <v>#DIV/0!</v>
      </c>
      <c r="BAZ114" s="363" t="s">
        <v>153</v>
      </c>
      <c r="BBA114" s="363"/>
      <c r="BBB114" s="363"/>
      <c r="BBC114" s="364" t="s">
        <v>140</v>
      </c>
      <c r="BBD114" s="365">
        <v>0.5</v>
      </c>
      <c r="BBE114" s="366" t="e">
        <f>10/BBA112</f>
        <v>#DIV/0!</v>
      </c>
      <c r="BBF114" s="367">
        <v>15.38</v>
      </c>
      <c r="BBG114" s="367" t="e">
        <f>BBD114*BBE114*BBF114</f>
        <v>#DIV/0!</v>
      </c>
      <c r="BBH114" s="363" t="s">
        <v>153</v>
      </c>
      <c r="BBI114" s="363"/>
      <c r="BBJ114" s="363"/>
      <c r="BBK114" s="364" t="s">
        <v>140</v>
      </c>
      <c r="BBL114" s="365">
        <v>0.5</v>
      </c>
      <c r="BBM114" s="366" t="e">
        <f>10/BBI112</f>
        <v>#DIV/0!</v>
      </c>
      <c r="BBN114" s="367">
        <v>15.38</v>
      </c>
      <c r="BBO114" s="367" t="e">
        <f>BBL114*BBM114*BBN114</f>
        <v>#DIV/0!</v>
      </c>
      <c r="BBP114" s="363" t="s">
        <v>153</v>
      </c>
      <c r="BBQ114" s="363"/>
      <c r="BBR114" s="363"/>
      <c r="BBS114" s="364" t="s">
        <v>140</v>
      </c>
      <c r="BBT114" s="365">
        <v>0.5</v>
      </c>
      <c r="BBU114" s="366" t="e">
        <f>10/BBQ112</f>
        <v>#DIV/0!</v>
      </c>
      <c r="BBV114" s="367">
        <v>15.38</v>
      </c>
      <c r="BBW114" s="367" t="e">
        <f>BBT114*BBU114*BBV114</f>
        <v>#DIV/0!</v>
      </c>
      <c r="BBX114" s="363" t="s">
        <v>153</v>
      </c>
      <c r="BBY114" s="363"/>
      <c r="BBZ114" s="363"/>
      <c r="BCA114" s="364" t="s">
        <v>140</v>
      </c>
      <c r="BCB114" s="365">
        <v>0.5</v>
      </c>
      <c r="BCC114" s="366" t="e">
        <f>10/BBY112</f>
        <v>#DIV/0!</v>
      </c>
      <c r="BCD114" s="367">
        <v>15.38</v>
      </c>
      <c r="BCE114" s="367" t="e">
        <f>BCB114*BCC114*BCD114</f>
        <v>#DIV/0!</v>
      </c>
      <c r="BCF114" s="363" t="s">
        <v>153</v>
      </c>
      <c r="BCG114" s="363"/>
      <c r="BCH114" s="363"/>
      <c r="BCI114" s="364" t="s">
        <v>140</v>
      </c>
      <c r="BCJ114" s="365">
        <v>0.5</v>
      </c>
      <c r="BCK114" s="366" t="e">
        <f>10/BCG112</f>
        <v>#DIV/0!</v>
      </c>
      <c r="BCL114" s="367">
        <v>15.38</v>
      </c>
      <c r="BCM114" s="367" t="e">
        <f>BCJ114*BCK114*BCL114</f>
        <v>#DIV/0!</v>
      </c>
      <c r="BCN114" s="363" t="s">
        <v>153</v>
      </c>
      <c r="BCO114" s="363"/>
      <c r="BCP114" s="363"/>
      <c r="BCQ114" s="364" t="s">
        <v>140</v>
      </c>
      <c r="BCR114" s="365">
        <v>0.5</v>
      </c>
      <c r="BCS114" s="366" t="e">
        <f>10/BCO112</f>
        <v>#DIV/0!</v>
      </c>
      <c r="BCT114" s="367">
        <v>15.38</v>
      </c>
      <c r="BCU114" s="367" t="e">
        <f>BCR114*BCS114*BCT114</f>
        <v>#DIV/0!</v>
      </c>
      <c r="BCV114" s="363" t="s">
        <v>153</v>
      </c>
      <c r="BCW114" s="363"/>
      <c r="BCX114" s="363"/>
      <c r="BCY114" s="364" t="s">
        <v>140</v>
      </c>
      <c r="BCZ114" s="365">
        <v>0.5</v>
      </c>
      <c r="BDA114" s="366" t="e">
        <f>10/BCW112</f>
        <v>#DIV/0!</v>
      </c>
      <c r="BDB114" s="367">
        <v>15.38</v>
      </c>
      <c r="BDC114" s="367" t="e">
        <f>BCZ114*BDA114*BDB114</f>
        <v>#DIV/0!</v>
      </c>
      <c r="BDD114" s="363" t="s">
        <v>153</v>
      </c>
      <c r="BDE114" s="363"/>
      <c r="BDF114" s="363"/>
      <c r="BDG114" s="364" t="s">
        <v>140</v>
      </c>
      <c r="BDH114" s="365">
        <v>0.5</v>
      </c>
      <c r="BDI114" s="366" t="e">
        <f>10/BDE112</f>
        <v>#DIV/0!</v>
      </c>
      <c r="BDJ114" s="367">
        <v>15.38</v>
      </c>
      <c r="BDK114" s="367" t="e">
        <f>BDH114*BDI114*BDJ114</f>
        <v>#DIV/0!</v>
      </c>
      <c r="BDL114" s="363" t="s">
        <v>153</v>
      </c>
      <c r="BDM114" s="363"/>
      <c r="BDN114" s="363"/>
      <c r="BDO114" s="364" t="s">
        <v>140</v>
      </c>
      <c r="BDP114" s="365">
        <v>0.5</v>
      </c>
      <c r="BDQ114" s="366" t="e">
        <f>10/BDM112</f>
        <v>#DIV/0!</v>
      </c>
      <c r="BDR114" s="367">
        <v>15.38</v>
      </c>
      <c r="BDS114" s="367" t="e">
        <f>BDP114*BDQ114*BDR114</f>
        <v>#DIV/0!</v>
      </c>
      <c r="BDT114" s="363" t="s">
        <v>153</v>
      </c>
      <c r="BDU114" s="363"/>
      <c r="BDV114" s="363"/>
      <c r="BDW114" s="364" t="s">
        <v>140</v>
      </c>
      <c r="BDX114" s="365">
        <v>0.5</v>
      </c>
      <c r="BDY114" s="366" t="e">
        <f>10/BDU112</f>
        <v>#DIV/0!</v>
      </c>
      <c r="BDZ114" s="367">
        <v>15.38</v>
      </c>
      <c r="BEA114" s="367" t="e">
        <f>BDX114*BDY114*BDZ114</f>
        <v>#DIV/0!</v>
      </c>
      <c r="BEB114" s="363" t="s">
        <v>153</v>
      </c>
      <c r="BEC114" s="363"/>
      <c r="BED114" s="363"/>
      <c r="BEE114" s="364" t="s">
        <v>140</v>
      </c>
      <c r="BEF114" s="365">
        <v>0.5</v>
      </c>
      <c r="BEG114" s="366" t="e">
        <f>10/BEC112</f>
        <v>#DIV/0!</v>
      </c>
      <c r="BEH114" s="367">
        <v>15.38</v>
      </c>
      <c r="BEI114" s="367" t="e">
        <f>BEF114*BEG114*BEH114</f>
        <v>#DIV/0!</v>
      </c>
      <c r="BEJ114" s="363" t="s">
        <v>153</v>
      </c>
      <c r="BEK114" s="363"/>
      <c r="BEL114" s="363"/>
      <c r="BEM114" s="364" t="s">
        <v>140</v>
      </c>
      <c r="BEN114" s="365">
        <v>0.5</v>
      </c>
      <c r="BEO114" s="366" t="e">
        <f>10/BEK112</f>
        <v>#DIV/0!</v>
      </c>
      <c r="BEP114" s="367">
        <v>15.38</v>
      </c>
      <c r="BEQ114" s="367" t="e">
        <f>BEN114*BEO114*BEP114</f>
        <v>#DIV/0!</v>
      </c>
      <c r="BER114" s="363" t="s">
        <v>153</v>
      </c>
      <c r="BES114" s="363"/>
      <c r="BET114" s="363"/>
      <c r="BEU114" s="364" t="s">
        <v>140</v>
      </c>
      <c r="BEV114" s="365">
        <v>0.5</v>
      </c>
      <c r="BEW114" s="366" t="e">
        <f>10/BES112</f>
        <v>#DIV/0!</v>
      </c>
      <c r="BEX114" s="367">
        <v>15.38</v>
      </c>
      <c r="BEY114" s="367" t="e">
        <f>BEV114*BEW114*BEX114</f>
        <v>#DIV/0!</v>
      </c>
      <c r="BEZ114" s="363" t="s">
        <v>153</v>
      </c>
      <c r="BFA114" s="363"/>
      <c r="BFB114" s="363"/>
      <c r="BFC114" s="364" t="s">
        <v>140</v>
      </c>
      <c r="BFD114" s="365">
        <v>0.5</v>
      </c>
      <c r="BFE114" s="366" t="e">
        <f>10/BFA112</f>
        <v>#DIV/0!</v>
      </c>
      <c r="BFF114" s="367">
        <v>15.38</v>
      </c>
      <c r="BFG114" s="367" t="e">
        <f>BFD114*BFE114*BFF114</f>
        <v>#DIV/0!</v>
      </c>
      <c r="BFH114" s="363" t="s">
        <v>153</v>
      </c>
      <c r="BFI114" s="363"/>
      <c r="BFJ114" s="363"/>
      <c r="BFK114" s="364" t="s">
        <v>140</v>
      </c>
      <c r="BFL114" s="365">
        <v>0.5</v>
      </c>
      <c r="BFM114" s="366" t="e">
        <f>10/BFI112</f>
        <v>#DIV/0!</v>
      </c>
      <c r="BFN114" s="367">
        <v>15.38</v>
      </c>
      <c r="BFO114" s="367" t="e">
        <f>BFL114*BFM114*BFN114</f>
        <v>#DIV/0!</v>
      </c>
      <c r="BFP114" s="363" t="s">
        <v>153</v>
      </c>
      <c r="BFQ114" s="363"/>
      <c r="BFR114" s="363"/>
      <c r="BFS114" s="364" t="s">
        <v>140</v>
      </c>
      <c r="BFT114" s="365">
        <v>0.5</v>
      </c>
      <c r="BFU114" s="366" t="e">
        <f>10/BFQ112</f>
        <v>#DIV/0!</v>
      </c>
      <c r="BFV114" s="367">
        <v>15.38</v>
      </c>
      <c r="BFW114" s="367" t="e">
        <f>BFT114*BFU114*BFV114</f>
        <v>#DIV/0!</v>
      </c>
      <c r="BFX114" s="363" t="s">
        <v>153</v>
      </c>
      <c r="BFY114" s="363"/>
      <c r="BFZ114" s="363"/>
      <c r="BGA114" s="364" t="s">
        <v>140</v>
      </c>
      <c r="BGB114" s="365">
        <v>0.5</v>
      </c>
      <c r="BGC114" s="366" t="e">
        <f>10/BFY112</f>
        <v>#DIV/0!</v>
      </c>
      <c r="BGD114" s="367">
        <v>15.38</v>
      </c>
      <c r="BGE114" s="367" t="e">
        <f>BGB114*BGC114*BGD114</f>
        <v>#DIV/0!</v>
      </c>
      <c r="BGF114" s="363" t="s">
        <v>153</v>
      </c>
      <c r="BGG114" s="363"/>
      <c r="BGH114" s="363"/>
      <c r="BGI114" s="364" t="s">
        <v>140</v>
      </c>
      <c r="BGJ114" s="365">
        <v>0.5</v>
      </c>
      <c r="BGK114" s="366" t="e">
        <f>10/BGG112</f>
        <v>#DIV/0!</v>
      </c>
      <c r="BGL114" s="367">
        <v>15.38</v>
      </c>
      <c r="BGM114" s="367" t="e">
        <f>BGJ114*BGK114*BGL114</f>
        <v>#DIV/0!</v>
      </c>
      <c r="BGN114" s="363" t="s">
        <v>153</v>
      </c>
      <c r="BGO114" s="363"/>
      <c r="BGP114" s="363"/>
      <c r="BGQ114" s="364" t="s">
        <v>140</v>
      </c>
      <c r="BGR114" s="365">
        <v>0.5</v>
      </c>
      <c r="BGS114" s="366" t="e">
        <f>10/BGO112</f>
        <v>#DIV/0!</v>
      </c>
      <c r="BGT114" s="367">
        <v>15.38</v>
      </c>
      <c r="BGU114" s="367" t="e">
        <f>BGR114*BGS114*BGT114</f>
        <v>#DIV/0!</v>
      </c>
      <c r="BGV114" s="363" t="s">
        <v>153</v>
      </c>
      <c r="BGW114" s="363"/>
      <c r="BGX114" s="363"/>
      <c r="BGY114" s="364" t="s">
        <v>140</v>
      </c>
      <c r="BGZ114" s="365">
        <v>0.5</v>
      </c>
      <c r="BHA114" s="366" t="e">
        <f>10/BGW112</f>
        <v>#DIV/0!</v>
      </c>
      <c r="BHB114" s="367">
        <v>15.38</v>
      </c>
      <c r="BHC114" s="367" t="e">
        <f>BGZ114*BHA114*BHB114</f>
        <v>#DIV/0!</v>
      </c>
      <c r="BHD114" s="363" t="s">
        <v>153</v>
      </c>
      <c r="BHE114" s="363"/>
      <c r="BHF114" s="363"/>
      <c r="BHG114" s="364" t="s">
        <v>140</v>
      </c>
      <c r="BHH114" s="365">
        <v>0.5</v>
      </c>
      <c r="BHI114" s="366" t="e">
        <f>10/BHE112</f>
        <v>#DIV/0!</v>
      </c>
      <c r="BHJ114" s="367">
        <v>15.38</v>
      </c>
      <c r="BHK114" s="367" t="e">
        <f>BHH114*BHI114*BHJ114</f>
        <v>#DIV/0!</v>
      </c>
      <c r="BHL114" s="363" t="s">
        <v>153</v>
      </c>
      <c r="BHM114" s="363"/>
      <c r="BHN114" s="363"/>
      <c r="BHO114" s="364" t="s">
        <v>140</v>
      </c>
      <c r="BHP114" s="365">
        <v>0.5</v>
      </c>
      <c r="BHQ114" s="366" t="e">
        <f>10/BHM112</f>
        <v>#DIV/0!</v>
      </c>
      <c r="BHR114" s="367">
        <v>15.38</v>
      </c>
      <c r="BHS114" s="367" t="e">
        <f>BHP114*BHQ114*BHR114</f>
        <v>#DIV/0!</v>
      </c>
      <c r="BHT114" s="363" t="s">
        <v>153</v>
      </c>
      <c r="BHU114" s="363"/>
      <c r="BHV114" s="363"/>
      <c r="BHW114" s="364" t="s">
        <v>140</v>
      </c>
      <c r="BHX114" s="365">
        <v>0.5</v>
      </c>
      <c r="BHY114" s="366" t="e">
        <f>10/BHU112</f>
        <v>#DIV/0!</v>
      </c>
      <c r="BHZ114" s="367">
        <v>15.38</v>
      </c>
      <c r="BIA114" s="367" t="e">
        <f>BHX114*BHY114*BHZ114</f>
        <v>#DIV/0!</v>
      </c>
      <c r="BIB114" s="363" t="s">
        <v>153</v>
      </c>
      <c r="BIC114" s="363"/>
      <c r="BID114" s="363"/>
      <c r="BIE114" s="364" t="s">
        <v>140</v>
      </c>
      <c r="BIF114" s="365">
        <v>0.5</v>
      </c>
      <c r="BIG114" s="366" t="e">
        <f>10/BIC112</f>
        <v>#DIV/0!</v>
      </c>
      <c r="BIH114" s="367">
        <v>15.38</v>
      </c>
      <c r="BII114" s="367" t="e">
        <f>BIF114*BIG114*BIH114</f>
        <v>#DIV/0!</v>
      </c>
      <c r="BIJ114" s="363" t="s">
        <v>153</v>
      </c>
      <c r="BIK114" s="363"/>
      <c r="BIL114" s="363"/>
      <c r="BIM114" s="364" t="s">
        <v>140</v>
      </c>
      <c r="BIN114" s="365">
        <v>0.5</v>
      </c>
      <c r="BIO114" s="366" t="e">
        <f>10/BIK112</f>
        <v>#DIV/0!</v>
      </c>
      <c r="BIP114" s="367">
        <v>15.38</v>
      </c>
      <c r="BIQ114" s="367" t="e">
        <f>BIN114*BIO114*BIP114</f>
        <v>#DIV/0!</v>
      </c>
      <c r="BIR114" s="363" t="s">
        <v>153</v>
      </c>
      <c r="BIS114" s="363"/>
      <c r="BIT114" s="363"/>
      <c r="BIU114" s="364" t="s">
        <v>140</v>
      </c>
      <c r="BIV114" s="365">
        <v>0.5</v>
      </c>
      <c r="BIW114" s="366" t="e">
        <f>10/BIS112</f>
        <v>#DIV/0!</v>
      </c>
      <c r="BIX114" s="367">
        <v>15.38</v>
      </c>
      <c r="BIY114" s="367" t="e">
        <f>BIV114*BIW114*BIX114</f>
        <v>#DIV/0!</v>
      </c>
      <c r="BIZ114" s="363" t="s">
        <v>153</v>
      </c>
      <c r="BJA114" s="363"/>
      <c r="BJB114" s="363"/>
      <c r="BJC114" s="364" t="s">
        <v>140</v>
      </c>
      <c r="BJD114" s="365">
        <v>0.5</v>
      </c>
      <c r="BJE114" s="366" t="e">
        <f>10/BJA112</f>
        <v>#DIV/0!</v>
      </c>
      <c r="BJF114" s="367">
        <v>15.38</v>
      </c>
      <c r="BJG114" s="367" t="e">
        <f>BJD114*BJE114*BJF114</f>
        <v>#DIV/0!</v>
      </c>
      <c r="BJH114" s="363" t="s">
        <v>153</v>
      </c>
      <c r="BJI114" s="363"/>
      <c r="BJJ114" s="363"/>
      <c r="BJK114" s="364" t="s">
        <v>140</v>
      </c>
      <c r="BJL114" s="365">
        <v>0.5</v>
      </c>
      <c r="BJM114" s="366" t="e">
        <f>10/BJI112</f>
        <v>#DIV/0!</v>
      </c>
      <c r="BJN114" s="367">
        <v>15.38</v>
      </c>
      <c r="BJO114" s="367" t="e">
        <f>BJL114*BJM114*BJN114</f>
        <v>#DIV/0!</v>
      </c>
      <c r="BJP114" s="363" t="s">
        <v>153</v>
      </c>
      <c r="BJQ114" s="363"/>
      <c r="BJR114" s="363"/>
      <c r="BJS114" s="364" t="s">
        <v>140</v>
      </c>
      <c r="BJT114" s="365">
        <v>0.5</v>
      </c>
      <c r="BJU114" s="366" t="e">
        <f>10/BJQ112</f>
        <v>#DIV/0!</v>
      </c>
      <c r="BJV114" s="367">
        <v>15.38</v>
      </c>
      <c r="BJW114" s="367" t="e">
        <f>BJT114*BJU114*BJV114</f>
        <v>#DIV/0!</v>
      </c>
      <c r="BJX114" s="363" t="s">
        <v>153</v>
      </c>
      <c r="BJY114" s="363"/>
      <c r="BJZ114" s="363"/>
      <c r="BKA114" s="364" t="s">
        <v>140</v>
      </c>
      <c r="BKB114" s="365">
        <v>0.5</v>
      </c>
      <c r="BKC114" s="366" t="e">
        <f>10/BJY112</f>
        <v>#DIV/0!</v>
      </c>
      <c r="BKD114" s="367">
        <v>15.38</v>
      </c>
      <c r="BKE114" s="367" t="e">
        <f>BKB114*BKC114*BKD114</f>
        <v>#DIV/0!</v>
      </c>
      <c r="BKF114" s="363" t="s">
        <v>153</v>
      </c>
      <c r="BKG114" s="363"/>
      <c r="BKH114" s="363"/>
      <c r="BKI114" s="364" t="s">
        <v>140</v>
      </c>
      <c r="BKJ114" s="365">
        <v>0.5</v>
      </c>
      <c r="BKK114" s="366" t="e">
        <f>10/BKG112</f>
        <v>#DIV/0!</v>
      </c>
      <c r="BKL114" s="367">
        <v>15.38</v>
      </c>
      <c r="BKM114" s="367" t="e">
        <f>BKJ114*BKK114*BKL114</f>
        <v>#DIV/0!</v>
      </c>
      <c r="BKN114" s="363" t="s">
        <v>153</v>
      </c>
      <c r="BKO114" s="363"/>
      <c r="BKP114" s="363"/>
      <c r="BKQ114" s="364" t="s">
        <v>140</v>
      </c>
      <c r="BKR114" s="365">
        <v>0.5</v>
      </c>
      <c r="BKS114" s="366" t="e">
        <f>10/BKO112</f>
        <v>#DIV/0!</v>
      </c>
      <c r="BKT114" s="367">
        <v>15.38</v>
      </c>
      <c r="BKU114" s="367" t="e">
        <f>BKR114*BKS114*BKT114</f>
        <v>#DIV/0!</v>
      </c>
      <c r="BKV114" s="363" t="s">
        <v>153</v>
      </c>
      <c r="BKW114" s="363"/>
      <c r="BKX114" s="363"/>
      <c r="BKY114" s="364" t="s">
        <v>140</v>
      </c>
      <c r="BKZ114" s="365">
        <v>0.5</v>
      </c>
      <c r="BLA114" s="366" t="e">
        <f>10/BKW112</f>
        <v>#DIV/0!</v>
      </c>
      <c r="BLB114" s="367">
        <v>15.38</v>
      </c>
      <c r="BLC114" s="367" t="e">
        <f>BKZ114*BLA114*BLB114</f>
        <v>#DIV/0!</v>
      </c>
      <c r="BLD114" s="363" t="s">
        <v>153</v>
      </c>
      <c r="BLE114" s="363"/>
      <c r="BLF114" s="363"/>
      <c r="BLG114" s="364" t="s">
        <v>140</v>
      </c>
      <c r="BLH114" s="365">
        <v>0.5</v>
      </c>
      <c r="BLI114" s="366" t="e">
        <f>10/BLE112</f>
        <v>#DIV/0!</v>
      </c>
      <c r="BLJ114" s="367">
        <v>15.38</v>
      </c>
      <c r="BLK114" s="367" t="e">
        <f>BLH114*BLI114*BLJ114</f>
        <v>#DIV/0!</v>
      </c>
      <c r="BLL114" s="363" t="s">
        <v>153</v>
      </c>
      <c r="BLM114" s="363"/>
      <c r="BLN114" s="363"/>
      <c r="BLO114" s="364" t="s">
        <v>140</v>
      </c>
      <c r="BLP114" s="365">
        <v>0.5</v>
      </c>
      <c r="BLQ114" s="366" t="e">
        <f>10/BLM112</f>
        <v>#DIV/0!</v>
      </c>
      <c r="BLR114" s="367">
        <v>15.38</v>
      </c>
      <c r="BLS114" s="367" t="e">
        <f>BLP114*BLQ114*BLR114</f>
        <v>#DIV/0!</v>
      </c>
      <c r="BLT114" s="363" t="s">
        <v>153</v>
      </c>
      <c r="BLU114" s="363"/>
      <c r="BLV114" s="363"/>
      <c r="BLW114" s="364" t="s">
        <v>140</v>
      </c>
      <c r="BLX114" s="365">
        <v>0.5</v>
      </c>
      <c r="BLY114" s="366" t="e">
        <f>10/BLU112</f>
        <v>#DIV/0!</v>
      </c>
      <c r="BLZ114" s="367">
        <v>15.38</v>
      </c>
      <c r="BMA114" s="367" t="e">
        <f>BLX114*BLY114*BLZ114</f>
        <v>#DIV/0!</v>
      </c>
      <c r="BMB114" s="363" t="s">
        <v>153</v>
      </c>
      <c r="BMC114" s="363"/>
      <c r="BMD114" s="363"/>
      <c r="BME114" s="364" t="s">
        <v>140</v>
      </c>
      <c r="BMF114" s="365">
        <v>0.5</v>
      </c>
      <c r="BMG114" s="366" t="e">
        <f>10/BMC112</f>
        <v>#DIV/0!</v>
      </c>
      <c r="BMH114" s="367">
        <v>15.38</v>
      </c>
      <c r="BMI114" s="367" t="e">
        <f>BMF114*BMG114*BMH114</f>
        <v>#DIV/0!</v>
      </c>
      <c r="BMJ114" s="363" t="s">
        <v>153</v>
      </c>
      <c r="BMK114" s="363"/>
      <c r="BML114" s="363"/>
      <c r="BMM114" s="364" t="s">
        <v>140</v>
      </c>
      <c r="BMN114" s="365">
        <v>0.5</v>
      </c>
      <c r="BMO114" s="366" t="e">
        <f>10/BMK112</f>
        <v>#DIV/0!</v>
      </c>
      <c r="BMP114" s="367">
        <v>15.38</v>
      </c>
      <c r="BMQ114" s="367" t="e">
        <f>BMN114*BMO114*BMP114</f>
        <v>#DIV/0!</v>
      </c>
      <c r="BMR114" s="363" t="s">
        <v>153</v>
      </c>
      <c r="BMS114" s="363"/>
      <c r="BMT114" s="363"/>
      <c r="BMU114" s="364" t="s">
        <v>140</v>
      </c>
      <c r="BMV114" s="365">
        <v>0.5</v>
      </c>
      <c r="BMW114" s="366" t="e">
        <f>10/BMS112</f>
        <v>#DIV/0!</v>
      </c>
      <c r="BMX114" s="367">
        <v>15.38</v>
      </c>
      <c r="BMY114" s="367" t="e">
        <f>BMV114*BMW114*BMX114</f>
        <v>#DIV/0!</v>
      </c>
      <c r="BMZ114" s="363" t="s">
        <v>153</v>
      </c>
      <c r="BNA114" s="363"/>
      <c r="BNB114" s="363"/>
      <c r="BNC114" s="364" t="s">
        <v>140</v>
      </c>
      <c r="BND114" s="365">
        <v>0.5</v>
      </c>
      <c r="BNE114" s="366" t="e">
        <f>10/BNA112</f>
        <v>#DIV/0!</v>
      </c>
      <c r="BNF114" s="367">
        <v>15.38</v>
      </c>
      <c r="BNG114" s="367" t="e">
        <f>BND114*BNE114*BNF114</f>
        <v>#DIV/0!</v>
      </c>
      <c r="BNH114" s="363" t="s">
        <v>153</v>
      </c>
      <c r="BNI114" s="363"/>
      <c r="BNJ114" s="363"/>
      <c r="BNK114" s="364" t="s">
        <v>140</v>
      </c>
      <c r="BNL114" s="365">
        <v>0.5</v>
      </c>
      <c r="BNM114" s="366" t="e">
        <f>10/BNI112</f>
        <v>#DIV/0!</v>
      </c>
      <c r="BNN114" s="367">
        <v>15.38</v>
      </c>
      <c r="BNO114" s="367" t="e">
        <f>BNL114*BNM114*BNN114</f>
        <v>#DIV/0!</v>
      </c>
      <c r="BNP114" s="363" t="s">
        <v>153</v>
      </c>
      <c r="BNQ114" s="363"/>
      <c r="BNR114" s="363"/>
      <c r="BNS114" s="364" t="s">
        <v>140</v>
      </c>
      <c r="BNT114" s="365">
        <v>0.5</v>
      </c>
      <c r="BNU114" s="366" t="e">
        <f>10/BNQ112</f>
        <v>#DIV/0!</v>
      </c>
      <c r="BNV114" s="367">
        <v>15.38</v>
      </c>
      <c r="BNW114" s="367" t="e">
        <f>BNT114*BNU114*BNV114</f>
        <v>#DIV/0!</v>
      </c>
      <c r="BNX114" s="363" t="s">
        <v>153</v>
      </c>
      <c r="BNY114" s="363"/>
      <c r="BNZ114" s="363"/>
      <c r="BOA114" s="364" t="s">
        <v>140</v>
      </c>
      <c r="BOB114" s="365">
        <v>0.5</v>
      </c>
      <c r="BOC114" s="366" t="e">
        <f>10/BNY112</f>
        <v>#DIV/0!</v>
      </c>
      <c r="BOD114" s="367">
        <v>15.38</v>
      </c>
      <c r="BOE114" s="367" t="e">
        <f>BOB114*BOC114*BOD114</f>
        <v>#DIV/0!</v>
      </c>
      <c r="BOF114" s="363" t="s">
        <v>153</v>
      </c>
      <c r="BOG114" s="363"/>
      <c r="BOH114" s="363"/>
      <c r="BOI114" s="364" t="s">
        <v>140</v>
      </c>
      <c r="BOJ114" s="365">
        <v>0.5</v>
      </c>
      <c r="BOK114" s="366" t="e">
        <f>10/BOG112</f>
        <v>#DIV/0!</v>
      </c>
      <c r="BOL114" s="367">
        <v>15.38</v>
      </c>
      <c r="BOM114" s="367" t="e">
        <f>BOJ114*BOK114*BOL114</f>
        <v>#DIV/0!</v>
      </c>
      <c r="BON114" s="363" t="s">
        <v>153</v>
      </c>
      <c r="BOO114" s="363"/>
      <c r="BOP114" s="363"/>
      <c r="BOQ114" s="364" t="s">
        <v>140</v>
      </c>
      <c r="BOR114" s="365">
        <v>0.5</v>
      </c>
      <c r="BOS114" s="366" t="e">
        <f>10/BOO112</f>
        <v>#DIV/0!</v>
      </c>
      <c r="BOT114" s="367">
        <v>15.38</v>
      </c>
      <c r="BOU114" s="367" t="e">
        <f>BOR114*BOS114*BOT114</f>
        <v>#DIV/0!</v>
      </c>
      <c r="BOV114" s="363" t="s">
        <v>153</v>
      </c>
      <c r="BOW114" s="363"/>
      <c r="BOX114" s="363"/>
      <c r="BOY114" s="364" t="s">
        <v>140</v>
      </c>
      <c r="BOZ114" s="365">
        <v>0.5</v>
      </c>
      <c r="BPA114" s="366" t="e">
        <f>10/BOW112</f>
        <v>#DIV/0!</v>
      </c>
      <c r="BPB114" s="367">
        <v>15.38</v>
      </c>
      <c r="BPC114" s="367" t="e">
        <f>BOZ114*BPA114*BPB114</f>
        <v>#DIV/0!</v>
      </c>
      <c r="BPD114" s="363" t="s">
        <v>153</v>
      </c>
      <c r="BPE114" s="363"/>
      <c r="BPF114" s="363"/>
      <c r="BPG114" s="364" t="s">
        <v>140</v>
      </c>
      <c r="BPH114" s="365">
        <v>0.5</v>
      </c>
      <c r="BPI114" s="366" t="e">
        <f>10/BPE112</f>
        <v>#DIV/0!</v>
      </c>
      <c r="BPJ114" s="367">
        <v>15.38</v>
      </c>
      <c r="BPK114" s="367" t="e">
        <f>BPH114*BPI114*BPJ114</f>
        <v>#DIV/0!</v>
      </c>
      <c r="BPL114" s="363" t="s">
        <v>153</v>
      </c>
      <c r="BPM114" s="363"/>
      <c r="BPN114" s="363"/>
      <c r="BPO114" s="364" t="s">
        <v>140</v>
      </c>
      <c r="BPP114" s="365">
        <v>0.5</v>
      </c>
      <c r="BPQ114" s="366" t="e">
        <f>10/BPM112</f>
        <v>#DIV/0!</v>
      </c>
      <c r="BPR114" s="367">
        <v>15.38</v>
      </c>
      <c r="BPS114" s="367" t="e">
        <f>BPP114*BPQ114*BPR114</f>
        <v>#DIV/0!</v>
      </c>
      <c r="BPT114" s="363" t="s">
        <v>153</v>
      </c>
      <c r="BPU114" s="363"/>
      <c r="BPV114" s="363"/>
      <c r="BPW114" s="364" t="s">
        <v>140</v>
      </c>
      <c r="BPX114" s="365">
        <v>0.5</v>
      </c>
      <c r="BPY114" s="366" t="e">
        <f>10/BPU112</f>
        <v>#DIV/0!</v>
      </c>
      <c r="BPZ114" s="367">
        <v>15.38</v>
      </c>
      <c r="BQA114" s="367" t="e">
        <f>BPX114*BPY114*BPZ114</f>
        <v>#DIV/0!</v>
      </c>
      <c r="BQB114" s="363" t="s">
        <v>153</v>
      </c>
      <c r="BQC114" s="363"/>
      <c r="BQD114" s="363"/>
      <c r="BQE114" s="364" t="s">
        <v>140</v>
      </c>
      <c r="BQF114" s="365">
        <v>0.5</v>
      </c>
      <c r="BQG114" s="366" t="e">
        <f>10/BQC112</f>
        <v>#DIV/0!</v>
      </c>
      <c r="BQH114" s="367">
        <v>15.38</v>
      </c>
      <c r="BQI114" s="367" t="e">
        <f>BQF114*BQG114*BQH114</f>
        <v>#DIV/0!</v>
      </c>
      <c r="BQJ114" s="363" t="s">
        <v>153</v>
      </c>
      <c r="BQK114" s="363"/>
      <c r="BQL114" s="363"/>
      <c r="BQM114" s="364" t="s">
        <v>140</v>
      </c>
      <c r="BQN114" s="365">
        <v>0.5</v>
      </c>
      <c r="BQO114" s="366" t="e">
        <f>10/BQK112</f>
        <v>#DIV/0!</v>
      </c>
      <c r="BQP114" s="367">
        <v>15.38</v>
      </c>
      <c r="BQQ114" s="367" t="e">
        <f>BQN114*BQO114*BQP114</f>
        <v>#DIV/0!</v>
      </c>
      <c r="BQR114" s="363" t="s">
        <v>153</v>
      </c>
      <c r="BQS114" s="363"/>
      <c r="BQT114" s="363"/>
      <c r="BQU114" s="364" t="s">
        <v>140</v>
      </c>
      <c r="BQV114" s="365">
        <v>0.5</v>
      </c>
      <c r="BQW114" s="366" t="e">
        <f>10/BQS112</f>
        <v>#DIV/0!</v>
      </c>
      <c r="BQX114" s="367">
        <v>15.38</v>
      </c>
      <c r="BQY114" s="367" t="e">
        <f>BQV114*BQW114*BQX114</f>
        <v>#DIV/0!</v>
      </c>
      <c r="BQZ114" s="363" t="s">
        <v>153</v>
      </c>
      <c r="BRA114" s="363"/>
      <c r="BRB114" s="363"/>
      <c r="BRC114" s="364" t="s">
        <v>140</v>
      </c>
      <c r="BRD114" s="365">
        <v>0.5</v>
      </c>
      <c r="BRE114" s="366" t="e">
        <f>10/BRA112</f>
        <v>#DIV/0!</v>
      </c>
      <c r="BRF114" s="367">
        <v>15.38</v>
      </c>
      <c r="BRG114" s="367" t="e">
        <f>BRD114*BRE114*BRF114</f>
        <v>#DIV/0!</v>
      </c>
      <c r="BRH114" s="363" t="s">
        <v>153</v>
      </c>
      <c r="BRI114" s="363"/>
      <c r="BRJ114" s="363"/>
      <c r="BRK114" s="364" t="s">
        <v>140</v>
      </c>
      <c r="BRL114" s="365">
        <v>0.5</v>
      </c>
      <c r="BRM114" s="366" t="e">
        <f>10/BRI112</f>
        <v>#DIV/0!</v>
      </c>
      <c r="BRN114" s="367">
        <v>15.38</v>
      </c>
      <c r="BRO114" s="367" t="e">
        <f>BRL114*BRM114*BRN114</f>
        <v>#DIV/0!</v>
      </c>
      <c r="BRP114" s="363" t="s">
        <v>153</v>
      </c>
      <c r="BRQ114" s="363"/>
      <c r="BRR114" s="363"/>
      <c r="BRS114" s="364" t="s">
        <v>140</v>
      </c>
      <c r="BRT114" s="365">
        <v>0.5</v>
      </c>
      <c r="BRU114" s="366" t="e">
        <f>10/BRQ112</f>
        <v>#DIV/0!</v>
      </c>
      <c r="BRV114" s="367">
        <v>15.38</v>
      </c>
      <c r="BRW114" s="367" t="e">
        <f>BRT114*BRU114*BRV114</f>
        <v>#DIV/0!</v>
      </c>
      <c r="BRX114" s="363" t="s">
        <v>153</v>
      </c>
      <c r="BRY114" s="363"/>
      <c r="BRZ114" s="363"/>
      <c r="BSA114" s="364" t="s">
        <v>140</v>
      </c>
      <c r="BSB114" s="365">
        <v>0.5</v>
      </c>
      <c r="BSC114" s="366" t="e">
        <f>10/BRY112</f>
        <v>#DIV/0!</v>
      </c>
      <c r="BSD114" s="367">
        <v>15.38</v>
      </c>
      <c r="BSE114" s="367" t="e">
        <f>BSB114*BSC114*BSD114</f>
        <v>#DIV/0!</v>
      </c>
      <c r="BSF114" s="363" t="s">
        <v>153</v>
      </c>
      <c r="BSG114" s="363"/>
      <c r="BSH114" s="363"/>
      <c r="BSI114" s="364" t="s">
        <v>140</v>
      </c>
      <c r="BSJ114" s="365">
        <v>0.5</v>
      </c>
      <c r="BSK114" s="366" t="e">
        <f>10/BSG112</f>
        <v>#DIV/0!</v>
      </c>
      <c r="BSL114" s="367">
        <v>15.38</v>
      </c>
      <c r="BSM114" s="367" t="e">
        <f>BSJ114*BSK114*BSL114</f>
        <v>#DIV/0!</v>
      </c>
      <c r="BSN114" s="363" t="s">
        <v>153</v>
      </c>
      <c r="BSO114" s="363"/>
      <c r="BSP114" s="363"/>
      <c r="BSQ114" s="364" t="s">
        <v>140</v>
      </c>
      <c r="BSR114" s="365">
        <v>0.5</v>
      </c>
      <c r="BSS114" s="366" t="e">
        <f>10/BSO112</f>
        <v>#DIV/0!</v>
      </c>
      <c r="BST114" s="367">
        <v>15.38</v>
      </c>
      <c r="BSU114" s="367" t="e">
        <f>BSR114*BSS114*BST114</f>
        <v>#DIV/0!</v>
      </c>
      <c r="BSV114" s="363" t="s">
        <v>153</v>
      </c>
      <c r="BSW114" s="363"/>
      <c r="BSX114" s="363"/>
      <c r="BSY114" s="364" t="s">
        <v>140</v>
      </c>
      <c r="BSZ114" s="365">
        <v>0.5</v>
      </c>
      <c r="BTA114" s="366" t="e">
        <f>10/BSW112</f>
        <v>#DIV/0!</v>
      </c>
      <c r="BTB114" s="367">
        <v>15.38</v>
      </c>
      <c r="BTC114" s="367" t="e">
        <f>BSZ114*BTA114*BTB114</f>
        <v>#DIV/0!</v>
      </c>
      <c r="BTD114" s="363" t="s">
        <v>153</v>
      </c>
      <c r="BTE114" s="363"/>
      <c r="BTF114" s="363"/>
      <c r="BTG114" s="364" t="s">
        <v>140</v>
      </c>
      <c r="BTH114" s="365">
        <v>0.5</v>
      </c>
      <c r="BTI114" s="366" t="e">
        <f>10/BTE112</f>
        <v>#DIV/0!</v>
      </c>
      <c r="BTJ114" s="367">
        <v>15.38</v>
      </c>
      <c r="BTK114" s="367" t="e">
        <f>BTH114*BTI114*BTJ114</f>
        <v>#DIV/0!</v>
      </c>
      <c r="BTL114" s="363" t="s">
        <v>153</v>
      </c>
      <c r="BTM114" s="363"/>
      <c r="BTN114" s="363"/>
      <c r="BTO114" s="364" t="s">
        <v>140</v>
      </c>
      <c r="BTP114" s="365">
        <v>0.5</v>
      </c>
      <c r="BTQ114" s="366" t="e">
        <f>10/BTM112</f>
        <v>#DIV/0!</v>
      </c>
      <c r="BTR114" s="367">
        <v>15.38</v>
      </c>
      <c r="BTS114" s="367" t="e">
        <f>BTP114*BTQ114*BTR114</f>
        <v>#DIV/0!</v>
      </c>
      <c r="BTT114" s="363" t="s">
        <v>153</v>
      </c>
      <c r="BTU114" s="363"/>
      <c r="BTV114" s="363"/>
      <c r="BTW114" s="364" t="s">
        <v>140</v>
      </c>
      <c r="BTX114" s="365">
        <v>0.5</v>
      </c>
      <c r="BTY114" s="366" t="e">
        <f>10/BTU112</f>
        <v>#DIV/0!</v>
      </c>
      <c r="BTZ114" s="367">
        <v>15.38</v>
      </c>
      <c r="BUA114" s="367" t="e">
        <f>BTX114*BTY114*BTZ114</f>
        <v>#DIV/0!</v>
      </c>
      <c r="BUB114" s="363" t="s">
        <v>153</v>
      </c>
      <c r="BUC114" s="363"/>
      <c r="BUD114" s="363"/>
      <c r="BUE114" s="364" t="s">
        <v>140</v>
      </c>
      <c r="BUF114" s="365">
        <v>0.5</v>
      </c>
      <c r="BUG114" s="366" t="e">
        <f>10/BUC112</f>
        <v>#DIV/0!</v>
      </c>
      <c r="BUH114" s="367">
        <v>15.38</v>
      </c>
      <c r="BUI114" s="367" t="e">
        <f>BUF114*BUG114*BUH114</f>
        <v>#DIV/0!</v>
      </c>
      <c r="BUJ114" s="363" t="s">
        <v>153</v>
      </c>
      <c r="BUK114" s="363"/>
      <c r="BUL114" s="363"/>
      <c r="BUM114" s="364" t="s">
        <v>140</v>
      </c>
      <c r="BUN114" s="365">
        <v>0.5</v>
      </c>
      <c r="BUO114" s="366" t="e">
        <f>10/BUK112</f>
        <v>#DIV/0!</v>
      </c>
      <c r="BUP114" s="367">
        <v>15.38</v>
      </c>
      <c r="BUQ114" s="367" t="e">
        <f>BUN114*BUO114*BUP114</f>
        <v>#DIV/0!</v>
      </c>
      <c r="BUR114" s="363" t="s">
        <v>153</v>
      </c>
      <c r="BUS114" s="363"/>
      <c r="BUT114" s="363"/>
      <c r="BUU114" s="364" t="s">
        <v>140</v>
      </c>
      <c r="BUV114" s="365">
        <v>0.5</v>
      </c>
      <c r="BUW114" s="366" t="e">
        <f>10/BUS112</f>
        <v>#DIV/0!</v>
      </c>
      <c r="BUX114" s="367">
        <v>15.38</v>
      </c>
      <c r="BUY114" s="367" t="e">
        <f>BUV114*BUW114*BUX114</f>
        <v>#DIV/0!</v>
      </c>
      <c r="BUZ114" s="363" t="s">
        <v>153</v>
      </c>
      <c r="BVA114" s="363"/>
      <c r="BVB114" s="363"/>
      <c r="BVC114" s="364" t="s">
        <v>140</v>
      </c>
      <c r="BVD114" s="365">
        <v>0.5</v>
      </c>
      <c r="BVE114" s="366" t="e">
        <f>10/BVA112</f>
        <v>#DIV/0!</v>
      </c>
      <c r="BVF114" s="367">
        <v>15.38</v>
      </c>
      <c r="BVG114" s="367" t="e">
        <f>BVD114*BVE114*BVF114</f>
        <v>#DIV/0!</v>
      </c>
      <c r="BVH114" s="363" t="s">
        <v>153</v>
      </c>
      <c r="BVI114" s="363"/>
      <c r="BVJ114" s="363"/>
      <c r="BVK114" s="364" t="s">
        <v>140</v>
      </c>
      <c r="BVL114" s="365">
        <v>0.5</v>
      </c>
      <c r="BVM114" s="366" t="e">
        <f>10/BVI112</f>
        <v>#DIV/0!</v>
      </c>
      <c r="BVN114" s="367">
        <v>15.38</v>
      </c>
      <c r="BVO114" s="367" t="e">
        <f>BVL114*BVM114*BVN114</f>
        <v>#DIV/0!</v>
      </c>
      <c r="BVP114" s="363" t="s">
        <v>153</v>
      </c>
      <c r="BVQ114" s="363"/>
      <c r="BVR114" s="363"/>
      <c r="BVS114" s="364" t="s">
        <v>140</v>
      </c>
      <c r="BVT114" s="365">
        <v>0.5</v>
      </c>
      <c r="BVU114" s="366" t="e">
        <f>10/BVQ112</f>
        <v>#DIV/0!</v>
      </c>
      <c r="BVV114" s="367">
        <v>15.38</v>
      </c>
      <c r="BVW114" s="367" t="e">
        <f>BVT114*BVU114*BVV114</f>
        <v>#DIV/0!</v>
      </c>
      <c r="BVX114" s="363" t="s">
        <v>153</v>
      </c>
      <c r="BVY114" s="363"/>
      <c r="BVZ114" s="363"/>
      <c r="BWA114" s="364" t="s">
        <v>140</v>
      </c>
      <c r="BWB114" s="365">
        <v>0.5</v>
      </c>
      <c r="BWC114" s="366" t="e">
        <f>10/BVY112</f>
        <v>#DIV/0!</v>
      </c>
      <c r="BWD114" s="367">
        <v>15.38</v>
      </c>
      <c r="BWE114" s="367" t="e">
        <f>BWB114*BWC114*BWD114</f>
        <v>#DIV/0!</v>
      </c>
      <c r="BWF114" s="363" t="s">
        <v>153</v>
      </c>
      <c r="BWG114" s="363"/>
      <c r="BWH114" s="363"/>
      <c r="BWI114" s="364" t="s">
        <v>140</v>
      </c>
      <c r="BWJ114" s="365">
        <v>0.5</v>
      </c>
      <c r="BWK114" s="366" t="e">
        <f>10/BWG112</f>
        <v>#DIV/0!</v>
      </c>
      <c r="BWL114" s="367">
        <v>15.38</v>
      </c>
      <c r="BWM114" s="367" t="e">
        <f>BWJ114*BWK114*BWL114</f>
        <v>#DIV/0!</v>
      </c>
      <c r="BWN114" s="363" t="s">
        <v>153</v>
      </c>
      <c r="BWO114" s="363"/>
      <c r="BWP114" s="363"/>
      <c r="BWQ114" s="364" t="s">
        <v>140</v>
      </c>
      <c r="BWR114" s="365">
        <v>0.5</v>
      </c>
      <c r="BWS114" s="366" t="e">
        <f>10/BWO112</f>
        <v>#DIV/0!</v>
      </c>
      <c r="BWT114" s="367">
        <v>15.38</v>
      </c>
      <c r="BWU114" s="367" t="e">
        <f>BWR114*BWS114*BWT114</f>
        <v>#DIV/0!</v>
      </c>
      <c r="BWV114" s="363" t="s">
        <v>153</v>
      </c>
      <c r="BWW114" s="363"/>
      <c r="BWX114" s="363"/>
      <c r="BWY114" s="364" t="s">
        <v>140</v>
      </c>
      <c r="BWZ114" s="365">
        <v>0.5</v>
      </c>
      <c r="BXA114" s="366" t="e">
        <f>10/BWW112</f>
        <v>#DIV/0!</v>
      </c>
      <c r="BXB114" s="367">
        <v>15.38</v>
      </c>
      <c r="BXC114" s="367" t="e">
        <f>BWZ114*BXA114*BXB114</f>
        <v>#DIV/0!</v>
      </c>
      <c r="BXD114" s="363" t="s">
        <v>153</v>
      </c>
      <c r="BXE114" s="363"/>
      <c r="BXF114" s="363"/>
      <c r="BXG114" s="364" t="s">
        <v>140</v>
      </c>
      <c r="BXH114" s="365">
        <v>0.5</v>
      </c>
      <c r="BXI114" s="366" t="e">
        <f>10/BXE112</f>
        <v>#DIV/0!</v>
      </c>
      <c r="BXJ114" s="367">
        <v>15.38</v>
      </c>
      <c r="BXK114" s="367" t="e">
        <f>BXH114*BXI114*BXJ114</f>
        <v>#DIV/0!</v>
      </c>
      <c r="BXL114" s="363" t="s">
        <v>153</v>
      </c>
      <c r="BXM114" s="363"/>
      <c r="BXN114" s="363"/>
      <c r="BXO114" s="364" t="s">
        <v>140</v>
      </c>
      <c r="BXP114" s="365">
        <v>0.5</v>
      </c>
      <c r="BXQ114" s="366" t="e">
        <f>10/BXM112</f>
        <v>#DIV/0!</v>
      </c>
      <c r="BXR114" s="367">
        <v>15.38</v>
      </c>
      <c r="BXS114" s="367" t="e">
        <f>BXP114*BXQ114*BXR114</f>
        <v>#DIV/0!</v>
      </c>
      <c r="BXT114" s="363" t="s">
        <v>153</v>
      </c>
      <c r="BXU114" s="363"/>
      <c r="BXV114" s="363"/>
      <c r="BXW114" s="364" t="s">
        <v>140</v>
      </c>
      <c r="BXX114" s="365">
        <v>0.5</v>
      </c>
      <c r="BXY114" s="366" t="e">
        <f>10/BXU112</f>
        <v>#DIV/0!</v>
      </c>
      <c r="BXZ114" s="367">
        <v>15.38</v>
      </c>
      <c r="BYA114" s="367" t="e">
        <f>BXX114*BXY114*BXZ114</f>
        <v>#DIV/0!</v>
      </c>
      <c r="BYB114" s="363" t="s">
        <v>153</v>
      </c>
      <c r="BYC114" s="363"/>
      <c r="BYD114" s="363"/>
      <c r="BYE114" s="364" t="s">
        <v>140</v>
      </c>
      <c r="BYF114" s="365">
        <v>0.5</v>
      </c>
      <c r="BYG114" s="366" t="e">
        <f>10/BYC112</f>
        <v>#DIV/0!</v>
      </c>
      <c r="BYH114" s="367">
        <v>15.38</v>
      </c>
      <c r="BYI114" s="367" t="e">
        <f>BYF114*BYG114*BYH114</f>
        <v>#DIV/0!</v>
      </c>
      <c r="BYJ114" s="363" t="s">
        <v>153</v>
      </c>
      <c r="BYK114" s="363"/>
      <c r="BYL114" s="363"/>
      <c r="BYM114" s="364" t="s">
        <v>140</v>
      </c>
      <c r="BYN114" s="365">
        <v>0.5</v>
      </c>
      <c r="BYO114" s="366" t="e">
        <f>10/BYK112</f>
        <v>#DIV/0!</v>
      </c>
      <c r="BYP114" s="367">
        <v>15.38</v>
      </c>
      <c r="BYQ114" s="367" t="e">
        <f>BYN114*BYO114*BYP114</f>
        <v>#DIV/0!</v>
      </c>
      <c r="BYR114" s="363" t="s">
        <v>153</v>
      </c>
      <c r="BYS114" s="363"/>
      <c r="BYT114" s="363"/>
      <c r="BYU114" s="364" t="s">
        <v>140</v>
      </c>
      <c r="BYV114" s="365">
        <v>0.5</v>
      </c>
      <c r="BYW114" s="366" t="e">
        <f>10/BYS112</f>
        <v>#DIV/0!</v>
      </c>
      <c r="BYX114" s="367">
        <v>15.38</v>
      </c>
      <c r="BYY114" s="367" t="e">
        <f>BYV114*BYW114*BYX114</f>
        <v>#DIV/0!</v>
      </c>
      <c r="BYZ114" s="363" t="s">
        <v>153</v>
      </c>
      <c r="BZA114" s="363"/>
      <c r="BZB114" s="363"/>
      <c r="BZC114" s="364" t="s">
        <v>140</v>
      </c>
      <c r="BZD114" s="365">
        <v>0.5</v>
      </c>
      <c r="BZE114" s="366" t="e">
        <f>10/BZA112</f>
        <v>#DIV/0!</v>
      </c>
      <c r="BZF114" s="367">
        <v>15.38</v>
      </c>
      <c r="BZG114" s="367" t="e">
        <f>BZD114*BZE114*BZF114</f>
        <v>#DIV/0!</v>
      </c>
      <c r="BZH114" s="363" t="s">
        <v>153</v>
      </c>
      <c r="BZI114" s="363"/>
      <c r="BZJ114" s="363"/>
      <c r="BZK114" s="364" t="s">
        <v>140</v>
      </c>
      <c r="BZL114" s="365">
        <v>0.5</v>
      </c>
      <c r="BZM114" s="366" t="e">
        <f>10/BZI112</f>
        <v>#DIV/0!</v>
      </c>
      <c r="BZN114" s="367">
        <v>15.38</v>
      </c>
      <c r="BZO114" s="367" t="e">
        <f>BZL114*BZM114*BZN114</f>
        <v>#DIV/0!</v>
      </c>
      <c r="BZP114" s="363" t="s">
        <v>153</v>
      </c>
      <c r="BZQ114" s="363"/>
      <c r="BZR114" s="363"/>
      <c r="BZS114" s="364" t="s">
        <v>140</v>
      </c>
      <c r="BZT114" s="365">
        <v>0.5</v>
      </c>
      <c r="BZU114" s="366" t="e">
        <f>10/BZQ112</f>
        <v>#DIV/0!</v>
      </c>
      <c r="BZV114" s="367">
        <v>15.38</v>
      </c>
      <c r="BZW114" s="367" t="e">
        <f>BZT114*BZU114*BZV114</f>
        <v>#DIV/0!</v>
      </c>
      <c r="BZX114" s="363" t="s">
        <v>153</v>
      </c>
      <c r="BZY114" s="363"/>
      <c r="BZZ114" s="363"/>
      <c r="CAA114" s="364" t="s">
        <v>140</v>
      </c>
      <c r="CAB114" s="365">
        <v>0.5</v>
      </c>
      <c r="CAC114" s="366" t="e">
        <f>10/BZY112</f>
        <v>#DIV/0!</v>
      </c>
      <c r="CAD114" s="367">
        <v>15.38</v>
      </c>
      <c r="CAE114" s="367" t="e">
        <f>CAB114*CAC114*CAD114</f>
        <v>#DIV/0!</v>
      </c>
      <c r="CAF114" s="363" t="s">
        <v>153</v>
      </c>
      <c r="CAG114" s="363"/>
      <c r="CAH114" s="363"/>
      <c r="CAI114" s="364" t="s">
        <v>140</v>
      </c>
      <c r="CAJ114" s="365">
        <v>0.5</v>
      </c>
      <c r="CAK114" s="366" t="e">
        <f>10/CAG112</f>
        <v>#DIV/0!</v>
      </c>
      <c r="CAL114" s="367">
        <v>15.38</v>
      </c>
      <c r="CAM114" s="367" t="e">
        <f>CAJ114*CAK114*CAL114</f>
        <v>#DIV/0!</v>
      </c>
      <c r="CAN114" s="363" t="s">
        <v>153</v>
      </c>
      <c r="CAO114" s="363"/>
      <c r="CAP114" s="363"/>
      <c r="CAQ114" s="364" t="s">
        <v>140</v>
      </c>
      <c r="CAR114" s="365">
        <v>0.5</v>
      </c>
      <c r="CAS114" s="366" t="e">
        <f>10/CAO112</f>
        <v>#DIV/0!</v>
      </c>
      <c r="CAT114" s="367">
        <v>15.38</v>
      </c>
      <c r="CAU114" s="367" t="e">
        <f>CAR114*CAS114*CAT114</f>
        <v>#DIV/0!</v>
      </c>
      <c r="CAV114" s="363" t="s">
        <v>153</v>
      </c>
      <c r="CAW114" s="363"/>
      <c r="CAX114" s="363"/>
      <c r="CAY114" s="364" t="s">
        <v>140</v>
      </c>
      <c r="CAZ114" s="365">
        <v>0.5</v>
      </c>
      <c r="CBA114" s="366" t="e">
        <f>10/CAW112</f>
        <v>#DIV/0!</v>
      </c>
      <c r="CBB114" s="367">
        <v>15.38</v>
      </c>
      <c r="CBC114" s="367" t="e">
        <f>CAZ114*CBA114*CBB114</f>
        <v>#DIV/0!</v>
      </c>
      <c r="CBD114" s="363" t="s">
        <v>153</v>
      </c>
      <c r="CBE114" s="363"/>
      <c r="CBF114" s="363"/>
      <c r="CBG114" s="364" t="s">
        <v>140</v>
      </c>
      <c r="CBH114" s="365">
        <v>0.5</v>
      </c>
      <c r="CBI114" s="366" t="e">
        <f>10/CBE112</f>
        <v>#DIV/0!</v>
      </c>
      <c r="CBJ114" s="367">
        <v>15.38</v>
      </c>
      <c r="CBK114" s="367" t="e">
        <f>CBH114*CBI114*CBJ114</f>
        <v>#DIV/0!</v>
      </c>
      <c r="CBL114" s="363" t="s">
        <v>153</v>
      </c>
      <c r="CBM114" s="363"/>
      <c r="CBN114" s="363"/>
      <c r="CBO114" s="364" t="s">
        <v>140</v>
      </c>
      <c r="CBP114" s="365">
        <v>0.5</v>
      </c>
      <c r="CBQ114" s="366" t="e">
        <f>10/CBM112</f>
        <v>#DIV/0!</v>
      </c>
      <c r="CBR114" s="367">
        <v>15.38</v>
      </c>
      <c r="CBS114" s="367" t="e">
        <f>CBP114*CBQ114*CBR114</f>
        <v>#DIV/0!</v>
      </c>
      <c r="CBT114" s="363" t="s">
        <v>153</v>
      </c>
      <c r="CBU114" s="363"/>
      <c r="CBV114" s="363"/>
      <c r="CBW114" s="364" t="s">
        <v>140</v>
      </c>
      <c r="CBX114" s="365">
        <v>0.5</v>
      </c>
      <c r="CBY114" s="366" t="e">
        <f>10/CBU112</f>
        <v>#DIV/0!</v>
      </c>
      <c r="CBZ114" s="367">
        <v>15.38</v>
      </c>
      <c r="CCA114" s="367" t="e">
        <f>CBX114*CBY114*CBZ114</f>
        <v>#DIV/0!</v>
      </c>
      <c r="CCB114" s="363" t="s">
        <v>153</v>
      </c>
      <c r="CCC114" s="363"/>
      <c r="CCD114" s="363"/>
      <c r="CCE114" s="364" t="s">
        <v>140</v>
      </c>
      <c r="CCF114" s="365">
        <v>0.5</v>
      </c>
      <c r="CCG114" s="366" t="e">
        <f>10/CCC112</f>
        <v>#DIV/0!</v>
      </c>
      <c r="CCH114" s="367">
        <v>15.38</v>
      </c>
      <c r="CCI114" s="367" t="e">
        <f>CCF114*CCG114*CCH114</f>
        <v>#DIV/0!</v>
      </c>
      <c r="CCJ114" s="363" t="s">
        <v>153</v>
      </c>
      <c r="CCK114" s="363"/>
      <c r="CCL114" s="363"/>
      <c r="CCM114" s="364" t="s">
        <v>140</v>
      </c>
      <c r="CCN114" s="365">
        <v>0.5</v>
      </c>
      <c r="CCO114" s="366" t="e">
        <f>10/CCK112</f>
        <v>#DIV/0!</v>
      </c>
      <c r="CCP114" s="367">
        <v>15.38</v>
      </c>
      <c r="CCQ114" s="367" t="e">
        <f>CCN114*CCO114*CCP114</f>
        <v>#DIV/0!</v>
      </c>
      <c r="CCR114" s="363" t="s">
        <v>153</v>
      </c>
      <c r="CCS114" s="363"/>
      <c r="CCT114" s="363"/>
      <c r="CCU114" s="364" t="s">
        <v>140</v>
      </c>
      <c r="CCV114" s="365">
        <v>0.5</v>
      </c>
      <c r="CCW114" s="366" t="e">
        <f>10/CCS112</f>
        <v>#DIV/0!</v>
      </c>
      <c r="CCX114" s="367">
        <v>15.38</v>
      </c>
      <c r="CCY114" s="367" t="e">
        <f>CCV114*CCW114*CCX114</f>
        <v>#DIV/0!</v>
      </c>
      <c r="CCZ114" s="363" t="s">
        <v>153</v>
      </c>
      <c r="CDA114" s="363"/>
      <c r="CDB114" s="363"/>
      <c r="CDC114" s="364" t="s">
        <v>140</v>
      </c>
      <c r="CDD114" s="365">
        <v>0.5</v>
      </c>
      <c r="CDE114" s="366" t="e">
        <f>10/CDA112</f>
        <v>#DIV/0!</v>
      </c>
      <c r="CDF114" s="367">
        <v>15.38</v>
      </c>
      <c r="CDG114" s="367" t="e">
        <f>CDD114*CDE114*CDF114</f>
        <v>#DIV/0!</v>
      </c>
      <c r="CDH114" s="363" t="s">
        <v>153</v>
      </c>
      <c r="CDI114" s="363"/>
      <c r="CDJ114" s="363"/>
      <c r="CDK114" s="364" t="s">
        <v>140</v>
      </c>
      <c r="CDL114" s="365">
        <v>0.5</v>
      </c>
      <c r="CDM114" s="366" t="e">
        <f>10/CDI112</f>
        <v>#DIV/0!</v>
      </c>
      <c r="CDN114" s="367">
        <v>15.38</v>
      </c>
      <c r="CDO114" s="367" t="e">
        <f>CDL114*CDM114*CDN114</f>
        <v>#DIV/0!</v>
      </c>
      <c r="CDP114" s="363" t="s">
        <v>153</v>
      </c>
      <c r="CDQ114" s="363"/>
      <c r="CDR114" s="363"/>
      <c r="CDS114" s="364" t="s">
        <v>140</v>
      </c>
      <c r="CDT114" s="365">
        <v>0.5</v>
      </c>
      <c r="CDU114" s="366" t="e">
        <f>10/CDQ112</f>
        <v>#DIV/0!</v>
      </c>
      <c r="CDV114" s="367">
        <v>15.38</v>
      </c>
      <c r="CDW114" s="367" t="e">
        <f>CDT114*CDU114*CDV114</f>
        <v>#DIV/0!</v>
      </c>
      <c r="CDX114" s="363" t="s">
        <v>153</v>
      </c>
      <c r="CDY114" s="363"/>
      <c r="CDZ114" s="363"/>
      <c r="CEA114" s="364" t="s">
        <v>140</v>
      </c>
      <c r="CEB114" s="365">
        <v>0.5</v>
      </c>
      <c r="CEC114" s="366" t="e">
        <f>10/CDY112</f>
        <v>#DIV/0!</v>
      </c>
      <c r="CED114" s="367">
        <v>15.38</v>
      </c>
      <c r="CEE114" s="367" t="e">
        <f>CEB114*CEC114*CED114</f>
        <v>#DIV/0!</v>
      </c>
      <c r="CEF114" s="363" t="s">
        <v>153</v>
      </c>
      <c r="CEG114" s="363"/>
      <c r="CEH114" s="363"/>
      <c r="CEI114" s="364" t="s">
        <v>140</v>
      </c>
      <c r="CEJ114" s="365">
        <v>0.5</v>
      </c>
      <c r="CEK114" s="366" t="e">
        <f>10/CEG112</f>
        <v>#DIV/0!</v>
      </c>
      <c r="CEL114" s="367">
        <v>15.38</v>
      </c>
      <c r="CEM114" s="367" t="e">
        <f>CEJ114*CEK114*CEL114</f>
        <v>#DIV/0!</v>
      </c>
      <c r="CEN114" s="363" t="s">
        <v>153</v>
      </c>
      <c r="CEO114" s="363"/>
      <c r="CEP114" s="363"/>
      <c r="CEQ114" s="364" t="s">
        <v>140</v>
      </c>
      <c r="CER114" s="365">
        <v>0.5</v>
      </c>
      <c r="CES114" s="366" t="e">
        <f>10/CEO112</f>
        <v>#DIV/0!</v>
      </c>
      <c r="CET114" s="367">
        <v>15.38</v>
      </c>
      <c r="CEU114" s="367" t="e">
        <f>CER114*CES114*CET114</f>
        <v>#DIV/0!</v>
      </c>
      <c r="CEV114" s="363" t="s">
        <v>153</v>
      </c>
      <c r="CEW114" s="363"/>
      <c r="CEX114" s="363"/>
      <c r="CEY114" s="364" t="s">
        <v>140</v>
      </c>
      <c r="CEZ114" s="365">
        <v>0.5</v>
      </c>
      <c r="CFA114" s="366" t="e">
        <f>10/CEW112</f>
        <v>#DIV/0!</v>
      </c>
      <c r="CFB114" s="367">
        <v>15.38</v>
      </c>
      <c r="CFC114" s="367" t="e">
        <f>CEZ114*CFA114*CFB114</f>
        <v>#DIV/0!</v>
      </c>
      <c r="CFD114" s="363" t="s">
        <v>153</v>
      </c>
      <c r="CFE114" s="363"/>
      <c r="CFF114" s="363"/>
      <c r="CFG114" s="364" t="s">
        <v>140</v>
      </c>
      <c r="CFH114" s="365">
        <v>0.5</v>
      </c>
      <c r="CFI114" s="366" t="e">
        <f>10/CFE112</f>
        <v>#DIV/0!</v>
      </c>
      <c r="CFJ114" s="367">
        <v>15.38</v>
      </c>
      <c r="CFK114" s="367" t="e">
        <f>CFH114*CFI114*CFJ114</f>
        <v>#DIV/0!</v>
      </c>
      <c r="CFL114" s="363" t="s">
        <v>153</v>
      </c>
      <c r="CFM114" s="363"/>
      <c r="CFN114" s="363"/>
      <c r="CFO114" s="364" t="s">
        <v>140</v>
      </c>
      <c r="CFP114" s="365">
        <v>0.5</v>
      </c>
      <c r="CFQ114" s="366" t="e">
        <f>10/CFM112</f>
        <v>#DIV/0!</v>
      </c>
      <c r="CFR114" s="367">
        <v>15.38</v>
      </c>
      <c r="CFS114" s="367" t="e">
        <f>CFP114*CFQ114*CFR114</f>
        <v>#DIV/0!</v>
      </c>
      <c r="CFT114" s="363" t="s">
        <v>153</v>
      </c>
      <c r="CFU114" s="363"/>
      <c r="CFV114" s="363"/>
      <c r="CFW114" s="364" t="s">
        <v>140</v>
      </c>
      <c r="CFX114" s="365">
        <v>0.5</v>
      </c>
      <c r="CFY114" s="366" t="e">
        <f>10/CFU112</f>
        <v>#DIV/0!</v>
      </c>
      <c r="CFZ114" s="367">
        <v>15.38</v>
      </c>
      <c r="CGA114" s="367" t="e">
        <f>CFX114*CFY114*CFZ114</f>
        <v>#DIV/0!</v>
      </c>
      <c r="CGB114" s="363" t="s">
        <v>153</v>
      </c>
      <c r="CGC114" s="363"/>
      <c r="CGD114" s="363"/>
      <c r="CGE114" s="364" t="s">
        <v>140</v>
      </c>
      <c r="CGF114" s="365">
        <v>0.5</v>
      </c>
      <c r="CGG114" s="366" t="e">
        <f>10/CGC112</f>
        <v>#DIV/0!</v>
      </c>
      <c r="CGH114" s="367">
        <v>15.38</v>
      </c>
      <c r="CGI114" s="367" t="e">
        <f>CGF114*CGG114*CGH114</f>
        <v>#DIV/0!</v>
      </c>
      <c r="CGJ114" s="363" t="s">
        <v>153</v>
      </c>
      <c r="CGK114" s="363"/>
      <c r="CGL114" s="363"/>
      <c r="CGM114" s="364" t="s">
        <v>140</v>
      </c>
      <c r="CGN114" s="365">
        <v>0.5</v>
      </c>
      <c r="CGO114" s="366" t="e">
        <f>10/CGK112</f>
        <v>#DIV/0!</v>
      </c>
      <c r="CGP114" s="367">
        <v>15.38</v>
      </c>
      <c r="CGQ114" s="367" t="e">
        <f>CGN114*CGO114*CGP114</f>
        <v>#DIV/0!</v>
      </c>
      <c r="CGR114" s="363" t="s">
        <v>153</v>
      </c>
      <c r="CGS114" s="363"/>
      <c r="CGT114" s="363"/>
      <c r="CGU114" s="364" t="s">
        <v>140</v>
      </c>
      <c r="CGV114" s="365">
        <v>0.5</v>
      </c>
      <c r="CGW114" s="366" t="e">
        <f>10/CGS112</f>
        <v>#DIV/0!</v>
      </c>
      <c r="CGX114" s="367">
        <v>15.38</v>
      </c>
      <c r="CGY114" s="367" t="e">
        <f>CGV114*CGW114*CGX114</f>
        <v>#DIV/0!</v>
      </c>
      <c r="CGZ114" s="363" t="s">
        <v>153</v>
      </c>
      <c r="CHA114" s="363"/>
      <c r="CHB114" s="363"/>
      <c r="CHC114" s="364" t="s">
        <v>140</v>
      </c>
      <c r="CHD114" s="365">
        <v>0.5</v>
      </c>
      <c r="CHE114" s="366" t="e">
        <f>10/CHA112</f>
        <v>#DIV/0!</v>
      </c>
      <c r="CHF114" s="367">
        <v>15.38</v>
      </c>
      <c r="CHG114" s="367" t="e">
        <f>CHD114*CHE114*CHF114</f>
        <v>#DIV/0!</v>
      </c>
      <c r="CHH114" s="363" t="s">
        <v>153</v>
      </c>
      <c r="CHI114" s="363"/>
      <c r="CHJ114" s="363"/>
      <c r="CHK114" s="364" t="s">
        <v>140</v>
      </c>
      <c r="CHL114" s="365">
        <v>0.5</v>
      </c>
      <c r="CHM114" s="366" t="e">
        <f>10/CHI112</f>
        <v>#DIV/0!</v>
      </c>
      <c r="CHN114" s="367">
        <v>15.38</v>
      </c>
      <c r="CHO114" s="367" t="e">
        <f>CHL114*CHM114*CHN114</f>
        <v>#DIV/0!</v>
      </c>
      <c r="CHP114" s="363" t="s">
        <v>153</v>
      </c>
      <c r="CHQ114" s="363"/>
      <c r="CHR114" s="363"/>
      <c r="CHS114" s="364" t="s">
        <v>140</v>
      </c>
      <c r="CHT114" s="365">
        <v>0.5</v>
      </c>
      <c r="CHU114" s="366" t="e">
        <f>10/CHQ112</f>
        <v>#DIV/0!</v>
      </c>
      <c r="CHV114" s="367">
        <v>15.38</v>
      </c>
      <c r="CHW114" s="367" t="e">
        <f>CHT114*CHU114*CHV114</f>
        <v>#DIV/0!</v>
      </c>
      <c r="CHX114" s="363" t="s">
        <v>153</v>
      </c>
      <c r="CHY114" s="363"/>
      <c r="CHZ114" s="363"/>
      <c r="CIA114" s="364" t="s">
        <v>140</v>
      </c>
      <c r="CIB114" s="365">
        <v>0.5</v>
      </c>
      <c r="CIC114" s="366" t="e">
        <f>10/CHY112</f>
        <v>#DIV/0!</v>
      </c>
      <c r="CID114" s="367">
        <v>15.38</v>
      </c>
      <c r="CIE114" s="367" t="e">
        <f>CIB114*CIC114*CID114</f>
        <v>#DIV/0!</v>
      </c>
      <c r="CIF114" s="363" t="s">
        <v>153</v>
      </c>
      <c r="CIG114" s="363"/>
      <c r="CIH114" s="363"/>
      <c r="CII114" s="364" t="s">
        <v>140</v>
      </c>
      <c r="CIJ114" s="365">
        <v>0.5</v>
      </c>
      <c r="CIK114" s="366" t="e">
        <f>10/CIG112</f>
        <v>#DIV/0!</v>
      </c>
      <c r="CIL114" s="367">
        <v>15.38</v>
      </c>
      <c r="CIM114" s="367" t="e">
        <f>CIJ114*CIK114*CIL114</f>
        <v>#DIV/0!</v>
      </c>
      <c r="CIN114" s="363" t="s">
        <v>153</v>
      </c>
      <c r="CIO114" s="363"/>
      <c r="CIP114" s="363"/>
      <c r="CIQ114" s="364" t="s">
        <v>140</v>
      </c>
      <c r="CIR114" s="365">
        <v>0.5</v>
      </c>
      <c r="CIS114" s="366" t="e">
        <f>10/CIO112</f>
        <v>#DIV/0!</v>
      </c>
      <c r="CIT114" s="367">
        <v>15.38</v>
      </c>
      <c r="CIU114" s="367" t="e">
        <f>CIR114*CIS114*CIT114</f>
        <v>#DIV/0!</v>
      </c>
      <c r="CIV114" s="363" t="s">
        <v>153</v>
      </c>
      <c r="CIW114" s="363"/>
      <c r="CIX114" s="363"/>
      <c r="CIY114" s="364" t="s">
        <v>140</v>
      </c>
      <c r="CIZ114" s="365">
        <v>0.5</v>
      </c>
      <c r="CJA114" s="366" t="e">
        <f>10/CIW112</f>
        <v>#DIV/0!</v>
      </c>
      <c r="CJB114" s="367">
        <v>15.38</v>
      </c>
      <c r="CJC114" s="367" t="e">
        <f>CIZ114*CJA114*CJB114</f>
        <v>#DIV/0!</v>
      </c>
      <c r="CJD114" s="363" t="s">
        <v>153</v>
      </c>
      <c r="CJE114" s="363"/>
      <c r="CJF114" s="363"/>
      <c r="CJG114" s="364" t="s">
        <v>140</v>
      </c>
      <c r="CJH114" s="365">
        <v>0.5</v>
      </c>
      <c r="CJI114" s="366" t="e">
        <f>10/CJE112</f>
        <v>#DIV/0!</v>
      </c>
      <c r="CJJ114" s="367">
        <v>15.38</v>
      </c>
      <c r="CJK114" s="367" t="e">
        <f>CJH114*CJI114*CJJ114</f>
        <v>#DIV/0!</v>
      </c>
      <c r="CJL114" s="363" t="s">
        <v>153</v>
      </c>
      <c r="CJM114" s="363"/>
      <c r="CJN114" s="363"/>
      <c r="CJO114" s="364" t="s">
        <v>140</v>
      </c>
      <c r="CJP114" s="365">
        <v>0.5</v>
      </c>
      <c r="CJQ114" s="366" t="e">
        <f>10/CJM112</f>
        <v>#DIV/0!</v>
      </c>
      <c r="CJR114" s="367">
        <v>15.38</v>
      </c>
      <c r="CJS114" s="367" t="e">
        <f>CJP114*CJQ114*CJR114</f>
        <v>#DIV/0!</v>
      </c>
      <c r="CJT114" s="363" t="s">
        <v>153</v>
      </c>
      <c r="CJU114" s="363"/>
      <c r="CJV114" s="363"/>
      <c r="CJW114" s="364" t="s">
        <v>140</v>
      </c>
      <c r="CJX114" s="365">
        <v>0.5</v>
      </c>
      <c r="CJY114" s="366" t="e">
        <f>10/CJU112</f>
        <v>#DIV/0!</v>
      </c>
      <c r="CJZ114" s="367">
        <v>15.38</v>
      </c>
      <c r="CKA114" s="367" t="e">
        <f>CJX114*CJY114*CJZ114</f>
        <v>#DIV/0!</v>
      </c>
      <c r="CKB114" s="363" t="s">
        <v>153</v>
      </c>
      <c r="CKC114" s="363"/>
      <c r="CKD114" s="363"/>
      <c r="CKE114" s="364" t="s">
        <v>140</v>
      </c>
      <c r="CKF114" s="365">
        <v>0.5</v>
      </c>
      <c r="CKG114" s="366" t="e">
        <f>10/CKC112</f>
        <v>#DIV/0!</v>
      </c>
      <c r="CKH114" s="367">
        <v>15.38</v>
      </c>
      <c r="CKI114" s="367" t="e">
        <f>CKF114*CKG114*CKH114</f>
        <v>#DIV/0!</v>
      </c>
      <c r="CKJ114" s="363" t="s">
        <v>153</v>
      </c>
      <c r="CKK114" s="363"/>
      <c r="CKL114" s="363"/>
      <c r="CKM114" s="364" t="s">
        <v>140</v>
      </c>
      <c r="CKN114" s="365">
        <v>0.5</v>
      </c>
      <c r="CKO114" s="366" t="e">
        <f>10/CKK112</f>
        <v>#DIV/0!</v>
      </c>
      <c r="CKP114" s="367">
        <v>15.38</v>
      </c>
      <c r="CKQ114" s="367" t="e">
        <f>CKN114*CKO114*CKP114</f>
        <v>#DIV/0!</v>
      </c>
      <c r="CKR114" s="363" t="s">
        <v>153</v>
      </c>
      <c r="CKS114" s="363"/>
      <c r="CKT114" s="363"/>
      <c r="CKU114" s="364" t="s">
        <v>140</v>
      </c>
      <c r="CKV114" s="365">
        <v>0.5</v>
      </c>
      <c r="CKW114" s="366" t="e">
        <f>10/CKS112</f>
        <v>#DIV/0!</v>
      </c>
      <c r="CKX114" s="367">
        <v>15.38</v>
      </c>
      <c r="CKY114" s="367" t="e">
        <f>CKV114*CKW114*CKX114</f>
        <v>#DIV/0!</v>
      </c>
      <c r="CKZ114" s="363" t="s">
        <v>153</v>
      </c>
      <c r="CLA114" s="363"/>
      <c r="CLB114" s="363"/>
      <c r="CLC114" s="364" t="s">
        <v>140</v>
      </c>
      <c r="CLD114" s="365">
        <v>0.5</v>
      </c>
      <c r="CLE114" s="366" t="e">
        <f>10/CLA112</f>
        <v>#DIV/0!</v>
      </c>
      <c r="CLF114" s="367">
        <v>15.38</v>
      </c>
      <c r="CLG114" s="367" t="e">
        <f>CLD114*CLE114*CLF114</f>
        <v>#DIV/0!</v>
      </c>
      <c r="CLH114" s="363" t="s">
        <v>153</v>
      </c>
      <c r="CLI114" s="363"/>
      <c r="CLJ114" s="363"/>
      <c r="CLK114" s="364" t="s">
        <v>140</v>
      </c>
      <c r="CLL114" s="365">
        <v>0.5</v>
      </c>
      <c r="CLM114" s="366" t="e">
        <f>10/CLI112</f>
        <v>#DIV/0!</v>
      </c>
      <c r="CLN114" s="367">
        <v>15.38</v>
      </c>
      <c r="CLO114" s="367" t="e">
        <f>CLL114*CLM114*CLN114</f>
        <v>#DIV/0!</v>
      </c>
      <c r="CLP114" s="363" t="s">
        <v>153</v>
      </c>
      <c r="CLQ114" s="363"/>
      <c r="CLR114" s="363"/>
      <c r="CLS114" s="364" t="s">
        <v>140</v>
      </c>
      <c r="CLT114" s="365">
        <v>0.5</v>
      </c>
      <c r="CLU114" s="366" t="e">
        <f>10/CLQ112</f>
        <v>#DIV/0!</v>
      </c>
      <c r="CLV114" s="367">
        <v>15.38</v>
      </c>
      <c r="CLW114" s="367" t="e">
        <f>CLT114*CLU114*CLV114</f>
        <v>#DIV/0!</v>
      </c>
      <c r="CLX114" s="363" t="s">
        <v>153</v>
      </c>
      <c r="CLY114" s="363"/>
      <c r="CLZ114" s="363"/>
      <c r="CMA114" s="364" t="s">
        <v>140</v>
      </c>
      <c r="CMB114" s="365">
        <v>0.5</v>
      </c>
      <c r="CMC114" s="366" t="e">
        <f>10/CLY112</f>
        <v>#DIV/0!</v>
      </c>
      <c r="CMD114" s="367">
        <v>15.38</v>
      </c>
      <c r="CME114" s="367" t="e">
        <f>CMB114*CMC114*CMD114</f>
        <v>#DIV/0!</v>
      </c>
      <c r="CMF114" s="363" t="s">
        <v>153</v>
      </c>
      <c r="CMG114" s="363"/>
      <c r="CMH114" s="363"/>
      <c r="CMI114" s="364" t="s">
        <v>140</v>
      </c>
      <c r="CMJ114" s="365">
        <v>0.5</v>
      </c>
      <c r="CMK114" s="366" t="e">
        <f>10/CMG112</f>
        <v>#DIV/0!</v>
      </c>
      <c r="CML114" s="367">
        <v>15.38</v>
      </c>
      <c r="CMM114" s="367" t="e">
        <f>CMJ114*CMK114*CML114</f>
        <v>#DIV/0!</v>
      </c>
      <c r="CMN114" s="363" t="s">
        <v>153</v>
      </c>
      <c r="CMO114" s="363"/>
      <c r="CMP114" s="363"/>
      <c r="CMQ114" s="364" t="s">
        <v>140</v>
      </c>
      <c r="CMR114" s="365">
        <v>0.5</v>
      </c>
      <c r="CMS114" s="366" t="e">
        <f>10/CMO112</f>
        <v>#DIV/0!</v>
      </c>
      <c r="CMT114" s="367">
        <v>15.38</v>
      </c>
      <c r="CMU114" s="367" t="e">
        <f>CMR114*CMS114*CMT114</f>
        <v>#DIV/0!</v>
      </c>
      <c r="CMV114" s="363" t="s">
        <v>153</v>
      </c>
      <c r="CMW114" s="363"/>
      <c r="CMX114" s="363"/>
      <c r="CMY114" s="364" t="s">
        <v>140</v>
      </c>
      <c r="CMZ114" s="365">
        <v>0.5</v>
      </c>
      <c r="CNA114" s="366" t="e">
        <f>10/CMW112</f>
        <v>#DIV/0!</v>
      </c>
      <c r="CNB114" s="367">
        <v>15.38</v>
      </c>
      <c r="CNC114" s="367" t="e">
        <f>CMZ114*CNA114*CNB114</f>
        <v>#DIV/0!</v>
      </c>
      <c r="CND114" s="363" t="s">
        <v>153</v>
      </c>
      <c r="CNE114" s="363"/>
      <c r="CNF114" s="363"/>
      <c r="CNG114" s="364" t="s">
        <v>140</v>
      </c>
      <c r="CNH114" s="365">
        <v>0.5</v>
      </c>
      <c r="CNI114" s="366" t="e">
        <f>10/CNE112</f>
        <v>#DIV/0!</v>
      </c>
      <c r="CNJ114" s="367">
        <v>15.38</v>
      </c>
      <c r="CNK114" s="367" t="e">
        <f>CNH114*CNI114*CNJ114</f>
        <v>#DIV/0!</v>
      </c>
      <c r="CNL114" s="363" t="s">
        <v>153</v>
      </c>
      <c r="CNM114" s="363"/>
      <c r="CNN114" s="363"/>
      <c r="CNO114" s="364" t="s">
        <v>140</v>
      </c>
      <c r="CNP114" s="365">
        <v>0.5</v>
      </c>
      <c r="CNQ114" s="366" t="e">
        <f>10/CNM112</f>
        <v>#DIV/0!</v>
      </c>
      <c r="CNR114" s="367">
        <v>15.38</v>
      </c>
      <c r="CNS114" s="367" t="e">
        <f>CNP114*CNQ114*CNR114</f>
        <v>#DIV/0!</v>
      </c>
      <c r="CNT114" s="363" t="s">
        <v>153</v>
      </c>
      <c r="CNU114" s="363"/>
      <c r="CNV114" s="363"/>
      <c r="CNW114" s="364" t="s">
        <v>140</v>
      </c>
      <c r="CNX114" s="365">
        <v>0.5</v>
      </c>
      <c r="CNY114" s="366" t="e">
        <f>10/CNU112</f>
        <v>#DIV/0!</v>
      </c>
      <c r="CNZ114" s="367">
        <v>15.38</v>
      </c>
      <c r="COA114" s="367" t="e">
        <f>CNX114*CNY114*CNZ114</f>
        <v>#DIV/0!</v>
      </c>
      <c r="COB114" s="363" t="s">
        <v>153</v>
      </c>
      <c r="COC114" s="363"/>
      <c r="COD114" s="363"/>
      <c r="COE114" s="364" t="s">
        <v>140</v>
      </c>
      <c r="COF114" s="365">
        <v>0.5</v>
      </c>
      <c r="COG114" s="366" t="e">
        <f>10/COC112</f>
        <v>#DIV/0!</v>
      </c>
      <c r="COH114" s="367">
        <v>15.38</v>
      </c>
      <c r="COI114" s="367" t="e">
        <f>COF114*COG114*COH114</f>
        <v>#DIV/0!</v>
      </c>
      <c r="COJ114" s="363" t="s">
        <v>153</v>
      </c>
      <c r="COK114" s="363"/>
      <c r="COL114" s="363"/>
      <c r="COM114" s="364" t="s">
        <v>140</v>
      </c>
      <c r="CON114" s="365">
        <v>0.5</v>
      </c>
      <c r="COO114" s="366" t="e">
        <f>10/COK112</f>
        <v>#DIV/0!</v>
      </c>
      <c r="COP114" s="367">
        <v>15.38</v>
      </c>
      <c r="COQ114" s="367" t="e">
        <f>CON114*COO114*COP114</f>
        <v>#DIV/0!</v>
      </c>
      <c r="COR114" s="363" t="s">
        <v>153</v>
      </c>
      <c r="COS114" s="363"/>
      <c r="COT114" s="363"/>
      <c r="COU114" s="364" t="s">
        <v>140</v>
      </c>
      <c r="COV114" s="365">
        <v>0.5</v>
      </c>
      <c r="COW114" s="366" t="e">
        <f>10/COS112</f>
        <v>#DIV/0!</v>
      </c>
      <c r="COX114" s="367">
        <v>15.38</v>
      </c>
      <c r="COY114" s="367" t="e">
        <f>COV114*COW114*COX114</f>
        <v>#DIV/0!</v>
      </c>
      <c r="COZ114" s="363" t="s">
        <v>153</v>
      </c>
      <c r="CPA114" s="363"/>
      <c r="CPB114" s="363"/>
      <c r="CPC114" s="364" t="s">
        <v>140</v>
      </c>
      <c r="CPD114" s="365">
        <v>0.5</v>
      </c>
      <c r="CPE114" s="366" t="e">
        <f>10/CPA112</f>
        <v>#DIV/0!</v>
      </c>
      <c r="CPF114" s="367">
        <v>15.38</v>
      </c>
      <c r="CPG114" s="367" t="e">
        <f>CPD114*CPE114*CPF114</f>
        <v>#DIV/0!</v>
      </c>
      <c r="CPH114" s="363" t="s">
        <v>153</v>
      </c>
      <c r="CPI114" s="363"/>
      <c r="CPJ114" s="363"/>
      <c r="CPK114" s="364" t="s">
        <v>140</v>
      </c>
      <c r="CPL114" s="365">
        <v>0.5</v>
      </c>
      <c r="CPM114" s="366" t="e">
        <f>10/CPI112</f>
        <v>#DIV/0!</v>
      </c>
      <c r="CPN114" s="367">
        <v>15.38</v>
      </c>
      <c r="CPO114" s="367" t="e">
        <f>CPL114*CPM114*CPN114</f>
        <v>#DIV/0!</v>
      </c>
      <c r="CPP114" s="363" t="s">
        <v>153</v>
      </c>
      <c r="CPQ114" s="363"/>
      <c r="CPR114" s="363"/>
      <c r="CPS114" s="364" t="s">
        <v>140</v>
      </c>
      <c r="CPT114" s="365">
        <v>0.5</v>
      </c>
      <c r="CPU114" s="366" t="e">
        <f>10/CPQ112</f>
        <v>#DIV/0!</v>
      </c>
      <c r="CPV114" s="367">
        <v>15.38</v>
      </c>
      <c r="CPW114" s="367" t="e">
        <f>CPT114*CPU114*CPV114</f>
        <v>#DIV/0!</v>
      </c>
      <c r="CPX114" s="363" t="s">
        <v>153</v>
      </c>
      <c r="CPY114" s="363"/>
      <c r="CPZ114" s="363"/>
      <c r="CQA114" s="364" t="s">
        <v>140</v>
      </c>
      <c r="CQB114" s="365">
        <v>0.5</v>
      </c>
      <c r="CQC114" s="366" t="e">
        <f>10/CPY112</f>
        <v>#DIV/0!</v>
      </c>
      <c r="CQD114" s="367">
        <v>15.38</v>
      </c>
      <c r="CQE114" s="367" t="e">
        <f>CQB114*CQC114*CQD114</f>
        <v>#DIV/0!</v>
      </c>
      <c r="CQF114" s="363" t="s">
        <v>153</v>
      </c>
      <c r="CQG114" s="363"/>
      <c r="CQH114" s="363"/>
      <c r="CQI114" s="364" t="s">
        <v>140</v>
      </c>
      <c r="CQJ114" s="365">
        <v>0.5</v>
      </c>
      <c r="CQK114" s="366" t="e">
        <f>10/CQG112</f>
        <v>#DIV/0!</v>
      </c>
      <c r="CQL114" s="367">
        <v>15.38</v>
      </c>
      <c r="CQM114" s="367" t="e">
        <f>CQJ114*CQK114*CQL114</f>
        <v>#DIV/0!</v>
      </c>
      <c r="CQN114" s="363" t="s">
        <v>153</v>
      </c>
      <c r="CQO114" s="363"/>
      <c r="CQP114" s="363"/>
      <c r="CQQ114" s="364" t="s">
        <v>140</v>
      </c>
      <c r="CQR114" s="365">
        <v>0.5</v>
      </c>
      <c r="CQS114" s="366" t="e">
        <f>10/CQO112</f>
        <v>#DIV/0!</v>
      </c>
      <c r="CQT114" s="367">
        <v>15.38</v>
      </c>
      <c r="CQU114" s="367" t="e">
        <f>CQR114*CQS114*CQT114</f>
        <v>#DIV/0!</v>
      </c>
      <c r="CQV114" s="363" t="s">
        <v>153</v>
      </c>
      <c r="CQW114" s="363"/>
      <c r="CQX114" s="363"/>
      <c r="CQY114" s="364" t="s">
        <v>140</v>
      </c>
      <c r="CQZ114" s="365">
        <v>0.5</v>
      </c>
      <c r="CRA114" s="366" t="e">
        <f>10/CQW112</f>
        <v>#DIV/0!</v>
      </c>
      <c r="CRB114" s="367">
        <v>15.38</v>
      </c>
      <c r="CRC114" s="367" t="e">
        <f>CQZ114*CRA114*CRB114</f>
        <v>#DIV/0!</v>
      </c>
      <c r="CRD114" s="363" t="s">
        <v>153</v>
      </c>
      <c r="CRE114" s="363"/>
      <c r="CRF114" s="363"/>
      <c r="CRG114" s="364" t="s">
        <v>140</v>
      </c>
      <c r="CRH114" s="365">
        <v>0.5</v>
      </c>
      <c r="CRI114" s="366" t="e">
        <f>10/CRE112</f>
        <v>#DIV/0!</v>
      </c>
      <c r="CRJ114" s="367">
        <v>15.38</v>
      </c>
      <c r="CRK114" s="367" t="e">
        <f>CRH114*CRI114*CRJ114</f>
        <v>#DIV/0!</v>
      </c>
      <c r="CRL114" s="363" t="s">
        <v>153</v>
      </c>
      <c r="CRM114" s="363"/>
      <c r="CRN114" s="363"/>
      <c r="CRO114" s="364" t="s">
        <v>140</v>
      </c>
      <c r="CRP114" s="365">
        <v>0.5</v>
      </c>
      <c r="CRQ114" s="366" t="e">
        <f>10/CRM112</f>
        <v>#DIV/0!</v>
      </c>
      <c r="CRR114" s="367">
        <v>15.38</v>
      </c>
      <c r="CRS114" s="367" t="e">
        <f>CRP114*CRQ114*CRR114</f>
        <v>#DIV/0!</v>
      </c>
      <c r="CRT114" s="363" t="s">
        <v>153</v>
      </c>
      <c r="CRU114" s="363"/>
      <c r="CRV114" s="363"/>
      <c r="CRW114" s="364" t="s">
        <v>140</v>
      </c>
      <c r="CRX114" s="365">
        <v>0.5</v>
      </c>
      <c r="CRY114" s="366" t="e">
        <f>10/CRU112</f>
        <v>#DIV/0!</v>
      </c>
      <c r="CRZ114" s="367">
        <v>15.38</v>
      </c>
      <c r="CSA114" s="367" t="e">
        <f>CRX114*CRY114*CRZ114</f>
        <v>#DIV/0!</v>
      </c>
      <c r="CSB114" s="363" t="s">
        <v>153</v>
      </c>
      <c r="CSC114" s="363"/>
      <c r="CSD114" s="363"/>
      <c r="CSE114" s="364" t="s">
        <v>140</v>
      </c>
      <c r="CSF114" s="365">
        <v>0.5</v>
      </c>
      <c r="CSG114" s="366" t="e">
        <f>10/CSC112</f>
        <v>#DIV/0!</v>
      </c>
      <c r="CSH114" s="367">
        <v>15.38</v>
      </c>
      <c r="CSI114" s="367" t="e">
        <f>CSF114*CSG114*CSH114</f>
        <v>#DIV/0!</v>
      </c>
      <c r="CSJ114" s="363" t="s">
        <v>153</v>
      </c>
      <c r="CSK114" s="363"/>
      <c r="CSL114" s="363"/>
      <c r="CSM114" s="364" t="s">
        <v>140</v>
      </c>
      <c r="CSN114" s="365">
        <v>0.5</v>
      </c>
      <c r="CSO114" s="366" t="e">
        <f>10/CSK112</f>
        <v>#DIV/0!</v>
      </c>
      <c r="CSP114" s="367">
        <v>15.38</v>
      </c>
      <c r="CSQ114" s="367" t="e">
        <f>CSN114*CSO114*CSP114</f>
        <v>#DIV/0!</v>
      </c>
      <c r="CSR114" s="363" t="s">
        <v>153</v>
      </c>
      <c r="CSS114" s="363"/>
      <c r="CST114" s="363"/>
      <c r="CSU114" s="364" t="s">
        <v>140</v>
      </c>
      <c r="CSV114" s="365">
        <v>0.5</v>
      </c>
      <c r="CSW114" s="366" t="e">
        <f>10/CSS112</f>
        <v>#DIV/0!</v>
      </c>
      <c r="CSX114" s="367">
        <v>15.38</v>
      </c>
      <c r="CSY114" s="367" t="e">
        <f>CSV114*CSW114*CSX114</f>
        <v>#DIV/0!</v>
      </c>
      <c r="CSZ114" s="363" t="s">
        <v>153</v>
      </c>
      <c r="CTA114" s="363"/>
      <c r="CTB114" s="363"/>
      <c r="CTC114" s="364" t="s">
        <v>140</v>
      </c>
      <c r="CTD114" s="365">
        <v>0.5</v>
      </c>
      <c r="CTE114" s="366" t="e">
        <f>10/CTA112</f>
        <v>#DIV/0!</v>
      </c>
      <c r="CTF114" s="367">
        <v>15.38</v>
      </c>
      <c r="CTG114" s="367" t="e">
        <f>CTD114*CTE114*CTF114</f>
        <v>#DIV/0!</v>
      </c>
      <c r="CTH114" s="363" t="s">
        <v>153</v>
      </c>
      <c r="CTI114" s="363"/>
      <c r="CTJ114" s="363"/>
      <c r="CTK114" s="364" t="s">
        <v>140</v>
      </c>
      <c r="CTL114" s="365">
        <v>0.5</v>
      </c>
      <c r="CTM114" s="366" t="e">
        <f>10/CTI112</f>
        <v>#DIV/0!</v>
      </c>
      <c r="CTN114" s="367">
        <v>15.38</v>
      </c>
      <c r="CTO114" s="367" t="e">
        <f>CTL114*CTM114*CTN114</f>
        <v>#DIV/0!</v>
      </c>
      <c r="CTP114" s="363" t="s">
        <v>153</v>
      </c>
      <c r="CTQ114" s="363"/>
      <c r="CTR114" s="363"/>
      <c r="CTS114" s="364" t="s">
        <v>140</v>
      </c>
      <c r="CTT114" s="365">
        <v>0.5</v>
      </c>
      <c r="CTU114" s="366" t="e">
        <f>10/CTQ112</f>
        <v>#DIV/0!</v>
      </c>
      <c r="CTV114" s="367">
        <v>15.38</v>
      </c>
      <c r="CTW114" s="367" t="e">
        <f>CTT114*CTU114*CTV114</f>
        <v>#DIV/0!</v>
      </c>
      <c r="CTX114" s="363" t="s">
        <v>153</v>
      </c>
      <c r="CTY114" s="363"/>
      <c r="CTZ114" s="363"/>
      <c r="CUA114" s="364" t="s">
        <v>140</v>
      </c>
      <c r="CUB114" s="365">
        <v>0.5</v>
      </c>
      <c r="CUC114" s="366" t="e">
        <f>10/CTY112</f>
        <v>#DIV/0!</v>
      </c>
      <c r="CUD114" s="367">
        <v>15.38</v>
      </c>
      <c r="CUE114" s="367" t="e">
        <f>CUB114*CUC114*CUD114</f>
        <v>#DIV/0!</v>
      </c>
      <c r="CUF114" s="363" t="s">
        <v>153</v>
      </c>
      <c r="CUG114" s="363"/>
      <c r="CUH114" s="363"/>
      <c r="CUI114" s="364" t="s">
        <v>140</v>
      </c>
      <c r="CUJ114" s="365">
        <v>0.5</v>
      </c>
      <c r="CUK114" s="366" t="e">
        <f>10/CUG112</f>
        <v>#DIV/0!</v>
      </c>
      <c r="CUL114" s="367">
        <v>15.38</v>
      </c>
      <c r="CUM114" s="367" t="e">
        <f>CUJ114*CUK114*CUL114</f>
        <v>#DIV/0!</v>
      </c>
      <c r="CUN114" s="363" t="s">
        <v>153</v>
      </c>
      <c r="CUO114" s="363"/>
      <c r="CUP114" s="363"/>
      <c r="CUQ114" s="364" t="s">
        <v>140</v>
      </c>
      <c r="CUR114" s="365">
        <v>0.5</v>
      </c>
      <c r="CUS114" s="366" t="e">
        <f>10/CUO112</f>
        <v>#DIV/0!</v>
      </c>
      <c r="CUT114" s="367">
        <v>15.38</v>
      </c>
      <c r="CUU114" s="367" t="e">
        <f>CUR114*CUS114*CUT114</f>
        <v>#DIV/0!</v>
      </c>
      <c r="CUV114" s="363" t="s">
        <v>153</v>
      </c>
      <c r="CUW114" s="363"/>
      <c r="CUX114" s="363"/>
      <c r="CUY114" s="364" t="s">
        <v>140</v>
      </c>
      <c r="CUZ114" s="365">
        <v>0.5</v>
      </c>
      <c r="CVA114" s="366" t="e">
        <f>10/CUW112</f>
        <v>#DIV/0!</v>
      </c>
      <c r="CVB114" s="367">
        <v>15.38</v>
      </c>
      <c r="CVC114" s="367" t="e">
        <f>CUZ114*CVA114*CVB114</f>
        <v>#DIV/0!</v>
      </c>
      <c r="CVD114" s="363" t="s">
        <v>153</v>
      </c>
      <c r="CVE114" s="363"/>
      <c r="CVF114" s="363"/>
      <c r="CVG114" s="364" t="s">
        <v>140</v>
      </c>
      <c r="CVH114" s="365">
        <v>0.5</v>
      </c>
      <c r="CVI114" s="366" t="e">
        <f>10/CVE112</f>
        <v>#DIV/0!</v>
      </c>
      <c r="CVJ114" s="367">
        <v>15.38</v>
      </c>
      <c r="CVK114" s="367" t="e">
        <f>CVH114*CVI114*CVJ114</f>
        <v>#DIV/0!</v>
      </c>
      <c r="CVL114" s="363" t="s">
        <v>153</v>
      </c>
      <c r="CVM114" s="363"/>
      <c r="CVN114" s="363"/>
      <c r="CVO114" s="364" t="s">
        <v>140</v>
      </c>
      <c r="CVP114" s="365">
        <v>0.5</v>
      </c>
      <c r="CVQ114" s="366" t="e">
        <f>10/CVM112</f>
        <v>#DIV/0!</v>
      </c>
      <c r="CVR114" s="367">
        <v>15.38</v>
      </c>
      <c r="CVS114" s="367" t="e">
        <f>CVP114*CVQ114*CVR114</f>
        <v>#DIV/0!</v>
      </c>
      <c r="CVT114" s="363" t="s">
        <v>153</v>
      </c>
      <c r="CVU114" s="363"/>
      <c r="CVV114" s="363"/>
      <c r="CVW114" s="364" t="s">
        <v>140</v>
      </c>
      <c r="CVX114" s="365">
        <v>0.5</v>
      </c>
      <c r="CVY114" s="366" t="e">
        <f>10/CVU112</f>
        <v>#DIV/0!</v>
      </c>
      <c r="CVZ114" s="367">
        <v>15.38</v>
      </c>
      <c r="CWA114" s="367" t="e">
        <f>CVX114*CVY114*CVZ114</f>
        <v>#DIV/0!</v>
      </c>
      <c r="CWB114" s="363" t="s">
        <v>153</v>
      </c>
      <c r="CWC114" s="363"/>
      <c r="CWD114" s="363"/>
      <c r="CWE114" s="364" t="s">
        <v>140</v>
      </c>
      <c r="CWF114" s="365">
        <v>0.5</v>
      </c>
      <c r="CWG114" s="366" t="e">
        <f>10/CWC112</f>
        <v>#DIV/0!</v>
      </c>
      <c r="CWH114" s="367">
        <v>15.38</v>
      </c>
      <c r="CWI114" s="367" t="e">
        <f>CWF114*CWG114*CWH114</f>
        <v>#DIV/0!</v>
      </c>
      <c r="CWJ114" s="363" t="s">
        <v>153</v>
      </c>
      <c r="CWK114" s="363"/>
      <c r="CWL114" s="363"/>
      <c r="CWM114" s="364" t="s">
        <v>140</v>
      </c>
      <c r="CWN114" s="365">
        <v>0.5</v>
      </c>
      <c r="CWO114" s="366" t="e">
        <f>10/CWK112</f>
        <v>#DIV/0!</v>
      </c>
      <c r="CWP114" s="367">
        <v>15.38</v>
      </c>
      <c r="CWQ114" s="367" t="e">
        <f>CWN114*CWO114*CWP114</f>
        <v>#DIV/0!</v>
      </c>
      <c r="CWR114" s="363" t="s">
        <v>153</v>
      </c>
      <c r="CWS114" s="363"/>
      <c r="CWT114" s="363"/>
      <c r="CWU114" s="364" t="s">
        <v>140</v>
      </c>
      <c r="CWV114" s="365">
        <v>0.5</v>
      </c>
      <c r="CWW114" s="366" t="e">
        <f>10/CWS112</f>
        <v>#DIV/0!</v>
      </c>
      <c r="CWX114" s="367">
        <v>15.38</v>
      </c>
      <c r="CWY114" s="367" t="e">
        <f>CWV114*CWW114*CWX114</f>
        <v>#DIV/0!</v>
      </c>
      <c r="CWZ114" s="363" t="s">
        <v>153</v>
      </c>
      <c r="CXA114" s="363"/>
      <c r="CXB114" s="363"/>
      <c r="CXC114" s="364" t="s">
        <v>140</v>
      </c>
      <c r="CXD114" s="365">
        <v>0.5</v>
      </c>
      <c r="CXE114" s="366" t="e">
        <f>10/CXA112</f>
        <v>#DIV/0!</v>
      </c>
      <c r="CXF114" s="367">
        <v>15.38</v>
      </c>
      <c r="CXG114" s="367" t="e">
        <f>CXD114*CXE114*CXF114</f>
        <v>#DIV/0!</v>
      </c>
      <c r="CXH114" s="363" t="s">
        <v>153</v>
      </c>
      <c r="CXI114" s="363"/>
      <c r="CXJ114" s="363"/>
      <c r="CXK114" s="364" t="s">
        <v>140</v>
      </c>
      <c r="CXL114" s="365">
        <v>0.5</v>
      </c>
      <c r="CXM114" s="366" t="e">
        <f>10/CXI112</f>
        <v>#DIV/0!</v>
      </c>
      <c r="CXN114" s="367">
        <v>15.38</v>
      </c>
      <c r="CXO114" s="367" t="e">
        <f>CXL114*CXM114*CXN114</f>
        <v>#DIV/0!</v>
      </c>
      <c r="CXP114" s="363" t="s">
        <v>153</v>
      </c>
      <c r="CXQ114" s="363"/>
      <c r="CXR114" s="363"/>
      <c r="CXS114" s="364" t="s">
        <v>140</v>
      </c>
      <c r="CXT114" s="365">
        <v>0.5</v>
      </c>
      <c r="CXU114" s="366" t="e">
        <f>10/CXQ112</f>
        <v>#DIV/0!</v>
      </c>
      <c r="CXV114" s="367">
        <v>15.38</v>
      </c>
      <c r="CXW114" s="367" t="e">
        <f>CXT114*CXU114*CXV114</f>
        <v>#DIV/0!</v>
      </c>
      <c r="CXX114" s="363" t="s">
        <v>153</v>
      </c>
      <c r="CXY114" s="363"/>
      <c r="CXZ114" s="363"/>
      <c r="CYA114" s="364" t="s">
        <v>140</v>
      </c>
      <c r="CYB114" s="365">
        <v>0.5</v>
      </c>
      <c r="CYC114" s="366" t="e">
        <f>10/CXY112</f>
        <v>#DIV/0!</v>
      </c>
      <c r="CYD114" s="367">
        <v>15.38</v>
      </c>
      <c r="CYE114" s="367" t="e">
        <f>CYB114*CYC114*CYD114</f>
        <v>#DIV/0!</v>
      </c>
      <c r="CYF114" s="363" t="s">
        <v>153</v>
      </c>
      <c r="CYG114" s="363"/>
      <c r="CYH114" s="363"/>
      <c r="CYI114" s="364" t="s">
        <v>140</v>
      </c>
      <c r="CYJ114" s="365">
        <v>0.5</v>
      </c>
      <c r="CYK114" s="366" t="e">
        <f>10/CYG112</f>
        <v>#DIV/0!</v>
      </c>
      <c r="CYL114" s="367">
        <v>15.38</v>
      </c>
      <c r="CYM114" s="367" t="e">
        <f>CYJ114*CYK114*CYL114</f>
        <v>#DIV/0!</v>
      </c>
      <c r="CYN114" s="363" t="s">
        <v>153</v>
      </c>
      <c r="CYO114" s="363"/>
      <c r="CYP114" s="363"/>
      <c r="CYQ114" s="364" t="s">
        <v>140</v>
      </c>
      <c r="CYR114" s="365">
        <v>0.5</v>
      </c>
      <c r="CYS114" s="366" t="e">
        <f>10/CYO112</f>
        <v>#DIV/0!</v>
      </c>
      <c r="CYT114" s="367">
        <v>15.38</v>
      </c>
      <c r="CYU114" s="367" t="e">
        <f>CYR114*CYS114*CYT114</f>
        <v>#DIV/0!</v>
      </c>
      <c r="CYV114" s="363" t="s">
        <v>153</v>
      </c>
      <c r="CYW114" s="363"/>
      <c r="CYX114" s="363"/>
      <c r="CYY114" s="364" t="s">
        <v>140</v>
      </c>
      <c r="CYZ114" s="365">
        <v>0.5</v>
      </c>
      <c r="CZA114" s="366" t="e">
        <f>10/CYW112</f>
        <v>#DIV/0!</v>
      </c>
      <c r="CZB114" s="367">
        <v>15.38</v>
      </c>
      <c r="CZC114" s="367" t="e">
        <f>CYZ114*CZA114*CZB114</f>
        <v>#DIV/0!</v>
      </c>
      <c r="CZD114" s="363" t="s">
        <v>153</v>
      </c>
      <c r="CZE114" s="363"/>
      <c r="CZF114" s="363"/>
      <c r="CZG114" s="364" t="s">
        <v>140</v>
      </c>
      <c r="CZH114" s="365">
        <v>0.5</v>
      </c>
      <c r="CZI114" s="366" t="e">
        <f>10/CZE112</f>
        <v>#DIV/0!</v>
      </c>
      <c r="CZJ114" s="367">
        <v>15.38</v>
      </c>
      <c r="CZK114" s="367" t="e">
        <f>CZH114*CZI114*CZJ114</f>
        <v>#DIV/0!</v>
      </c>
      <c r="CZL114" s="363" t="s">
        <v>153</v>
      </c>
      <c r="CZM114" s="363"/>
      <c r="CZN114" s="363"/>
      <c r="CZO114" s="364" t="s">
        <v>140</v>
      </c>
      <c r="CZP114" s="365">
        <v>0.5</v>
      </c>
      <c r="CZQ114" s="366" t="e">
        <f>10/CZM112</f>
        <v>#DIV/0!</v>
      </c>
      <c r="CZR114" s="367">
        <v>15.38</v>
      </c>
      <c r="CZS114" s="367" t="e">
        <f>CZP114*CZQ114*CZR114</f>
        <v>#DIV/0!</v>
      </c>
      <c r="CZT114" s="363" t="s">
        <v>153</v>
      </c>
      <c r="CZU114" s="363"/>
      <c r="CZV114" s="363"/>
      <c r="CZW114" s="364" t="s">
        <v>140</v>
      </c>
      <c r="CZX114" s="365">
        <v>0.5</v>
      </c>
      <c r="CZY114" s="366" t="e">
        <f>10/CZU112</f>
        <v>#DIV/0!</v>
      </c>
      <c r="CZZ114" s="367">
        <v>15.38</v>
      </c>
      <c r="DAA114" s="367" t="e">
        <f>CZX114*CZY114*CZZ114</f>
        <v>#DIV/0!</v>
      </c>
      <c r="DAB114" s="363" t="s">
        <v>153</v>
      </c>
      <c r="DAC114" s="363"/>
      <c r="DAD114" s="363"/>
      <c r="DAE114" s="364" t="s">
        <v>140</v>
      </c>
      <c r="DAF114" s="365">
        <v>0.5</v>
      </c>
      <c r="DAG114" s="366" t="e">
        <f>10/DAC112</f>
        <v>#DIV/0!</v>
      </c>
      <c r="DAH114" s="367">
        <v>15.38</v>
      </c>
      <c r="DAI114" s="367" t="e">
        <f>DAF114*DAG114*DAH114</f>
        <v>#DIV/0!</v>
      </c>
      <c r="DAJ114" s="363" t="s">
        <v>153</v>
      </c>
      <c r="DAK114" s="363"/>
      <c r="DAL114" s="363"/>
      <c r="DAM114" s="364" t="s">
        <v>140</v>
      </c>
      <c r="DAN114" s="365">
        <v>0.5</v>
      </c>
      <c r="DAO114" s="366" t="e">
        <f>10/DAK112</f>
        <v>#DIV/0!</v>
      </c>
      <c r="DAP114" s="367">
        <v>15.38</v>
      </c>
      <c r="DAQ114" s="367" t="e">
        <f>DAN114*DAO114*DAP114</f>
        <v>#DIV/0!</v>
      </c>
      <c r="DAR114" s="363" t="s">
        <v>153</v>
      </c>
      <c r="DAS114" s="363"/>
      <c r="DAT114" s="363"/>
      <c r="DAU114" s="364" t="s">
        <v>140</v>
      </c>
      <c r="DAV114" s="365">
        <v>0.5</v>
      </c>
      <c r="DAW114" s="366" t="e">
        <f>10/DAS112</f>
        <v>#DIV/0!</v>
      </c>
      <c r="DAX114" s="367">
        <v>15.38</v>
      </c>
      <c r="DAY114" s="367" t="e">
        <f>DAV114*DAW114*DAX114</f>
        <v>#DIV/0!</v>
      </c>
      <c r="DAZ114" s="363" t="s">
        <v>153</v>
      </c>
      <c r="DBA114" s="363"/>
      <c r="DBB114" s="363"/>
      <c r="DBC114" s="364" t="s">
        <v>140</v>
      </c>
      <c r="DBD114" s="365">
        <v>0.5</v>
      </c>
      <c r="DBE114" s="366" t="e">
        <f>10/DBA112</f>
        <v>#DIV/0!</v>
      </c>
      <c r="DBF114" s="367">
        <v>15.38</v>
      </c>
      <c r="DBG114" s="367" t="e">
        <f>DBD114*DBE114*DBF114</f>
        <v>#DIV/0!</v>
      </c>
      <c r="DBH114" s="363" t="s">
        <v>153</v>
      </c>
      <c r="DBI114" s="363"/>
      <c r="DBJ114" s="363"/>
      <c r="DBK114" s="364" t="s">
        <v>140</v>
      </c>
      <c r="DBL114" s="365">
        <v>0.5</v>
      </c>
      <c r="DBM114" s="366" t="e">
        <f>10/DBI112</f>
        <v>#DIV/0!</v>
      </c>
      <c r="DBN114" s="367">
        <v>15.38</v>
      </c>
      <c r="DBO114" s="367" t="e">
        <f>DBL114*DBM114*DBN114</f>
        <v>#DIV/0!</v>
      </c>
      <c r="DBP114" s="363" t="s">
        <v>153</v>
      </c>
      <c r="DBQ114" s="363"/>
      <c r="DBR114" s="363"/>
      <c r="DBS114" s="364" t="s">
        <v>140</v>
      </c>
      <c r="DBT114" s="365">
        <v>0.5</v>
      </c>
      <c r="DBU114" s="366" t="e">
        <f>10/DBQ112</f>
        <v>#DIV/0!</v>
      </c>
      <c r="DBV114" s="367">
        <v>15.38</v>
      </c>
      <c r="DBW114" s="367" t="e">
        <f>DBT114*DBU114*DBV114</f>
        <v>#DIV/0!</v>
      </c>
      <c r="DBX114" s="363" t="s">
        <v>153</v>
      </c>
      <c r="DBY114" s="363"/>
      <c r="DBZ114" s="363"/>
      <c r="DCA114" s="364" t="s">
        <v>140</v>
      </c>
      <c r="DCB114" s="365">
        <v>0.5</v>
      </c>
      <c r="DCC114" s="366" t="e">
        <f>10/DBY112</f>
        <v>#DIV/0!</v>
      </c>
      <c r="DCD114" s="367">
        <v>15.38</v>
      </c>
      <c r="DCE114" s="367" t="e">
        <f>DCB114*DCC114*DCD114</f>
        <v>#DIV/0!</v>
      </c>
      <c r="DCF114" s="363" t="s">
        <v>153</v>
      </c>
      <c r="DCG114" s="363"/>
      <c r="DCH114" s="363"/>
      <c r="DCI114" s="364" t="s">
        <v>140</v>
      </c>
      <c r="DCJ114" s="365">
        <v>0.5</v>
      </c>
      <c r="DCK114" s="366" t="e">
        <f>10/DCG112</f>
        <v>#DIV/0!</v>
      </c>
      <c r="DCL114" s="367">
        <v>15.38</v>
      </c>
      <c r="DCM114" s="367" t="e">
        <f>DCJ114*DCK114*DCL114</f>
        <v>#DIV/0!</v>
      </c>
      <c r="DCN114" s="363" t="s">
        <v>153</v>
      </c>
      <c r="DCO114" s="363"/>
      <c r="DCP114" s="363"/>
      <c r="DCQ114" s="364" t="s">
        <v>140</v>
      </c>
      <c r="DCR114" s="365">
        <v>0.5</v>
      </c>
      <c r="DCS114" s="366" t="e">
        <f>10/DCO112</f>
        <v>#DIV/0!</v>
      </c>
      <c r="DCT114" s="367">
        <v>15.38</v>
      </c>
      <c r="DCU114" s="367" t="e">
        <f>DCR114*DCS114*DCT114</f>
        <v>#DIV/0!</v>
      </c>
      <c r="DCV114" s="363" t="s">
        <v>153</v>
      </c>
      <c r="DCW114" s="363"/>
      <c r="DCX114" s="363"/>
      <c r="DCY114" s="364" t="s">
        <v>140</v>
      </c>
      <c r="DCZ114" s="365">
        <v>0.5</v>
      </c>
      <c r="DDA114" s="366" t="e">
        <f>10/DCW112</f>
        <v>#DIV/0!</v>
      </c>
      <c r="DDB114" s="367">
        <v>15.38</v>
      </c>
      <c r="DDC114" s="367" t="e">
        <f>DCZ114*DDA114*DDB114</f>
        <v>#DIV/0!</v>
      </c>
      <c r="DDD114" s="363" t="s">
        <v>153</v>
      </c>
      <c r="DDE114" s="363"/>
      <c r="DDF114" s="363"/>
      <c r="DDG114" s="364" t="s">
        <v>140</v>
      </c>
      <c r="DDH114" s="365">
        <v>0.5</v>
      </c>
      <c r="DDI114" s="366" t="e">
        <f>10/DDE112</f>
        <v>#DIV/0!</v>
      </c>
      <c r="DDJ114" s="367">
        <v>15.38</v>
      </c>
      <c r="DDK114" s="367" t="e">
        <f>DDH114*DDI114*DDJ114</f>
        <v>#DIV/0!</v>
      </c>
      <c r="DDL114" s="363" t="s">
        <v>153</v>
      </c>
      <c r="DDM114" s="363"/>
      <c r="DDN114" s="363"/>
      <c r="DDO114" s="364" t="s">
        <v>140</v>
      </c>
      <c r="DDP114" s="365">
        <v>0.5</v>
      </c>
      <c r="DDQ114" s="366" t="e">
        <f>10/DDM112</f>
        <v>#DIV/0!</v>
      </c>
      <c r="DDR114" s="367">
        <v>15.38</v>
      </c>
      <c r="DDS114" s="367" t="e">
        <f>DDP114*DDQ114*DDR114</f>
        <v>#DIV/0!</v>
      </c>
      <c r="DDT114" s="363" t="s">
        <v>153</v>
      </c>
      <c r="DDU114" s="363"/>
      <c r="DDV114" s="363"/>
      <c r="DDW114" s="364" t="s">
        <v>140</v>
      </c>
      <c r="DDX114" s="365">
        <v>0.5</v>
      </c>
      <c r="DDY114" s="366" t="e">
        <f>10/DDU112</f>
        <v>#DIV/0!</v>
      </c>
      <c r="DDZ114" s="367">
        <v>15.38</v>
      </c>
      <c r="DEA114" s="367" t="e">
        <f>DDX114*DDY114*DDZ114</f>
        <v>#DIV/0!</v>
      </c>
      <c r="DEB114" s="363" t="s">
        <v>153</v>
      </c>
      <c r="DEC114" s="363"/>
      <c r="DED114" s="363"/>
      <c r="DEE114" s="364" t="s">
        <v>140</v>
      </c>
      <c r="DEF114" s="365">
        <v>0.5</v>
      </c>
      <c r="DEG114" s="366" t="e">
        <f>10/DEC112</f>
        <v>#DIV/0!</v>
      </c>
      <c r="DEH114" s="367">
        <v>15.38</v>
      </c>
      <c r="DEI114" s="367" t="e">
        <f>DEF114*DEG114*DEH114</f>
        <v>#DIV/0!</v>
      </c>
      <c r="DEJ114" s="363" t="s">
        <v>153</v>
      </c>
      <c r="DEK114" s="363"/>
      <c r="DEL114" s="363"/>
      <c r="DEM114" s="364" t="s">
        <v>140</v>
      </c>
      <c r="DEN114" s="365">
        <v>0.5</v>
      </c>
      <c r="DEO114" s="366" t="e">
        <f>10/DEK112</f>
        <v>#DIV/0!</v>
      </c>
      <c r="DEP114" s="367">
        <v>15.38</v>
      </c>
      <c r="DEQ114" s="367" t="e">
        <f>DEN114*DEO114*DEP114</f>
        <v>#DIV/0!</v>
      </c>
      <c r="DER114" s="363" t="s">
        <v>153</v>
      </c>
      <c r="DES114" s="363"/>
      <c r="DET114" s="363"/>
      <c r="DEU114" s="364" t="s">
        <v>140</v>
      </c>
      <c r="DEV114" s="365">
        <v>0.5</v>
      </c>
      <c r="DEW114" s="366" t="e">
        <f>10/DES112</f>
        <v>#DIV/0!</v>
      </c>
      <c r="DEX114" s="367">
        <v>15.38</v>
      </c>
      <c r="DEY114" s="367" t="e">
        <f>DEV114*DEW114*DEX114</f>
        <v>#DIV/0!</v>
      </c>
      <c r="DEZ114" s="363" t="s">
        <v>153</v>
      </c>
      <c r="DFA114" s="363"/>
      <c r="DFB114" s="363"/>
      <c r="DFC114" s="364" t="s">
        <v>140</v>
      </c>
      <c r="DFD114" s="365">
        <v>0.5</v>
      </c>
      <c r="DFE114" s="366" t="e">
        <f>10/DFA112</f>
        <v>#DIV/0!</v>
      </c>
      <c r="DFF114" s="367">
        <v>15.38</v>
      </c>
      <c r="DFG114" s="367" t="e">
        <f>DFD114*DFE114*DFF114</f>
        <v>#DIV/0!</v>
      </c>
      <c r="DFH114" s="363" t="s">
        <v>153</v>
      </c>
      <c r="DFI114" s="363"/>
      <c r="DFJ114" s="363"/>
      <c r="DFK114" s="364" t="s">
        <v>140</v>
      </c>
      <c r="DFL114" s="365">
        <v>0.5</v>
      </c>
      <c r="DFM114" s="366" t="e">
        <f>10/DFI112</f>
        <v>#DIV/0!</v>
      </c>
      <c r="DFN114" s="367">
        <v>15.38</v>
      </c>
      <c r="DFO114" s="367" t="e">
        <f>DFL114*DFM114*DFN114</f>
        <v>#DIV/0!</v>
      </c>
      <c r="DFP114" s="363" t="s">
        <v>153</v>
      </c>
      <c r="DFQ114" s="363"/>
      <c r="DFR114" s="363"/>
      <c r="DFS114" s="364" t="s">
        <v>140</v>
      </c>
      <c r="DFT114" s="365">
        <v>0.5</v>
      </c>
      <c r="DFU114" s="366" t="e">
        <f>10/DFQ112</f>
        <v>#DIV/0!</v>
      </c>
      <c r="DFV114" s="367">
        <v>15.38</v>
      </c>
      <c r="DFW114" s="367" t="e">
        <f>DFT114*DFU114*DFV114</f>
        <v>#DIV/0!</v>
      </c>
      <c r="DFX114" s="363" t="s">
        <v>153</v>
      </c>
      <c r="DFY114" s="363"/>
      <c r="DFZ114" s="363"/>
      <c r="DGA114" s="364" t="s">
        <v>140</v>
      </c>
      <c r="DGB114" s="365">
        <v>0.5</v>
      </c>
      <c r="DGC114" s="366" t="e">
        <f>10/DFY112</f>
        <v>#DIV/0!</v>
      </c>
      <c r="DGD114" s="367">
        <v>15.38</v>
      </c>
      <c r="DGE114" s="367" t="e">
        <f>DGB114*DGC114*DGD114</f>
        <v>#DIV/0!</v>
      </c>
      <c r="DGF114" s="363" t="s">
        <v>153</v>
      </c>
      <c r="DGG114" s="363"/>
      <c r="DGH114" s="363"/>
      <c r="DGI114" s="364" t="s">
        <v>140</v>
      </c>
      <c r="DGJ114" s="365">
        <v>0.5</v>
      </c>
      <c r="DGK114" s="366" t="e">
        <f>10/DGG112</f>
        <v>#DIV/0!</v>
      </c>
      <c r="DGL114" s="367">
        <v>15.38</v>
      </c>
      <c r="DGM114" s="367" t="e">
        <f>DGJ114*DGK114*DGL114</f>
        <v>#DIV/0!</v>
      </c>
      <c r="DGN114" s="363" t="s">
        <v>153</v>
      </c>
      <c r="DGO114" s="363"/>
      <c r="DGP114" s="363"/>
      <c r="DGQ114" s="364" t="s">
        <v>140</v>
      </c>
      <c r="DGR114" s="365">
        <v>0.5</v>
      </c>
      <c r="DGS114" s="366" t="e">
        <f>10/DGO112</f>
        <v>#DIV/0!</v>
      </c>
      <c r="DGT114" s="367">
        <v>15.38</v>
      </c>
      <c r="DGU114" s="367" t="e">
        <f>DGR114*DGS114*DGT114</f>
        <v>#DIV/0!</v>
      </c>
      <c r="DGV114" s="363" t="s">
        <v>153</v>
      </c>
      <c r="DGW114" s="363"/>
      <c r="DGX114" s="363"/>
      <c r="DGY114" s="364" t="s">
        <v>140</v>
      </c>
      <c r="DGZ114" s="365">
        <v>0.5</v>
      </c>
      <c r="DHA114" s="366" t="e">
        <f>10/DGW112</f>
        <v>#DIV/0!</v>
      </c>
      <c r="DHB114" s="367">
        <v>15.38</v>
      </c>
      <c r="DHC114" s="367" t="e">
        <f>DGZ114*DHA114*DHB114</f>
        <v>#DIV/0!</v>
      </c>
      <c r="DHD114" s="363" t="s">
        <v>153</v>
      </c>
      <c r="DHE114" s="363"/>
      <c r="DHF114" s="363"/>
      <c r="DHG114" s="364" t="s">
        <v>140</v>
      </c>
      <c r="DHH114" s="365">
        <v>0.5</v>
      </c>
      <c r="DHI114" s="366" t="e">
        <f>10/DHE112</f>
        <v>#DIV/0!</v>
      </c>
      <c r="DHJ114" s="367">
        <v>15.38</v>
      </c>
      <c r="DHK114" s="367" t="e">
        <f>DHH114*DHI114*DHJ114</f>
        <v>#DIV/0!</v>
      </c>
      <c r="DHL114" s="363" t="s">
        <v>153</v>
      </c>
      <c r="DHM114" s="363"/>
      <c r="DHN114" s="363"/>
      <c r="DHO114" s="364" t="s">
        <v>140</v>
      </c>
      <c r="DHP114" s="365">
        <v>0.5</v>
      </c>
      <c r="DHQ114" s="366" t="e">
        <f>10/DHM112</f>
        <v>#DIV/0!</v>
      </c>
      <c r="DHR114" s="367">
        <v>15.38</v>
      </c>
      <c r="DHS114" s="367" t="e">
        <f>DHP114*DHQ114*DHR114</f>
        <v>#DIV/0!</v>
      </c>
      <c r="DHT114" s="363" t="s">
        <v>153</v>
      </c>
      <c r="DHU114" s="363"/>
      <c r="DHV114" s="363"/>
      <c r="DHW114" s="364" t="s">
        <v>140</v>
      </c>
      <c r="DHX114" s="365">
        <v>0.5</v>
      </c>
      <c r="DHY114" s="366" t="e">
        <f>10/DHU112</f>
        <v>#DIV/0!</v>
      </c>
      <c r="DHZ114" s="367">
        <v>15.38</v>
      </c>
      <c r="DIA114" s="367" t="e">
        <f>DHX114*DHY114*DHZ114</f>
        <v>#DIV/0!</v>
      </c>
      <c r="DIB114" s="363" t="s">
        <v>153</v>
      </c>
      <c r="DIC114" s="363"/>
      <c r="DID114" s="363"/>
      <c r="DIE114" s="364" t="s">
        <v>140</v>
      </c>
      <c r="DIF114" s="365">
        <v>0.5</v>
      </c>
      <c r="DIG114" s="366" t="e">
        <f>10/DIC112</f>
        <v>#DIV/0!</v>
      </c>
      <c r="DIH114" s="367">
        <v>15.38</v>
      </c>
      <c r="DII114" s="367" t="e">
        <f>DIF114*DIG114*DIH114</f>
        <v>#DIV/0!</v>
      </c>
      <c r="DIJ114" s="363" t="s">
        <v>153</v>
      </c>
      <c r="DIK114" s="363"/>
      <c r="DIL114" s="363"/>
      <c r="DIM114" s="364" t="s">
        <v>140</v>
      </c>
      <c r="DIN114" s="365">
        <v>0.5</v>
      </c>
      <c r="DIO114" s="366" t="e">
        <f>10/DIK112</f>
        <v>#DIV/0!</v>
      </c>
      <c r="DIP114" s="367">
        <v>15.38</v>
      </c>
      <c r="DIQ114" s="367" t="e">
        <f>DIN114*DIO114*DIP114</f>
        <v>#DIV/0!</v>
      </c>
      <c r="DIR114" s="363" t="s">
        <v>153</v>
      </c>
      <c r="DIS114" s="363"/>
      <c r="DIT114" s="363"/>
      <c r="DIU114" s="364" t="s">
        <v>140</v>
      </c>
      <c r="DIV114" s="365">
        <v>0.5</v>
      </c>
      <c r="DIW114" s="366" t="e">
        <f>10/DIS112</f>
        <v>#DIV/0!</v>
      </c>
      <c r="DIX114" s="367">
        <v>15.38</v>
      </c>
      <c r="DIY114" s="367" t="e">
        <f>DIV114*DIW114*DIX114</f>
        <v>#DIV/0!</v>
      </c>
      <c r="DIZ114" s="363" t="s">
        <v>153</v>
      </c>
      <c r="DJA114" s="363"/>
      <c r="DJB114" s="363"/>
      <c r="DJC114" s="364" t="s">
        <v>140</v>
      </c>
      <c r="DJD114" s="365">
        <v>0.5</v>
      </c>
      <c r="DJE114" s="366" t="e">
        <f>10/DJA112</f>
        <v>#DIV/0!</v>
      </c>
      <c r="DJF114" s="367">
        <v>15.38</v>
      </c>
      <c r="DJG114" s="367" t="e">
        <f>DJD114*DJE114*DJF114</f>
        <v>#DIV/0!</v>
      </c>
      <c r="DJH114" s="363" t="s">
        <v>153</v>
      </c>
      <c r="DJI114" s="363"/>
      <c r="DJJ114" s="363"/>
      <c r="DJK114" s="364" t="s">
        <v>140</v>
      </c>
      <c r="DJL114" s="365">
        <v>0.5</v>
      </c>
      <c r="DJM114" s="366" t="e">
        <f>10/DJI112</f>
        <v>#DIV/0!</v>
      </c>
      <c r="DJN114" s="367">
        <v>15.38</v>
      </c>
      <c r="DJO114" s="367" t="e">
        <f>DJL114*DJM114*DJN114</f>
        <v>#DIV/0!</v>
      </c>
      <c r="DJP114" s="363" t="s">
        <v>153</v>
      </c>
      <c r="DJQ114" s="363"/>
      <c r="DJR114" s="363"/>
      <c r="DJS114" s="364" t="s">
        <v>140</v>
      </c>
      <c r="DJT114" s="365">
        <v>0.5</v>
      </c>
      <c r="DJU114" s="366" t="e">
        <f>10/DJQ112</f>
        <v>#DIV/0!</v>
      </c>
      <c r="DJV114" s="367">
        <v>15.38</v>
      </c>
      <c r="DJW114" s="367" t="e">
        <f>DJT114*DJU114*DJV114</f>
        <v>#DIV/0!</v>
      </c>
      <c r="DJX114" s="363" t="s">
        <v>153</v>
      </c>
      <c r="DJY114" s="363"/>
      <c r="DJZ114" s="363"/>
      <c r="DKA114" s="364" t="s">
        <v>140</v>
      </c>
      <c r="DKB114" s="365">
        <v>0.5</v>
      </c>
      <c r="DKC114" s="366" t="e">
        <f>10/DJY112</f>
        <v>#DIV/0!</v>
      </c>
      <c r="DKD114" s="367">
        <v>15.38</v>
      </c>
      <c r="DKE114" s="367" t="e">
        <f>DKB114*DKC114*DKD114</f>
        <v>#DIV/0!</v>
      </c>
      <c r="DKF114" s="363" t="s">
        <v>153</v>
      </c>
      <c r="DKG114" s="363"/>
      <c r="DKH114" s="363"/>
      <c r="DKI114" s="364" t="s">
        <v>140</v>
      </c>
      <c r="DKJ114" s="365">
        <v>0.5</v>
      </c>
      <c r="DKK114" s="366" t="e">
        <f>10/DKG112</f>
        <v>#DIV/0!</v>
      </c>
      <c r="DKL114" s="367">
        <v>15.38</v>
      </c>
      <c r="DKM114" s="367" t="e">
        <f>DKJ114*DKK114*DKL114</f>
        <v>#DIV/0!</v>
      </c>
      <c r="DKN114" s="363" t="s">
        <v>153</v>
      </c>
      <c r="DKO114" s="363"/>
      <c r="DKP114" s="363"/>
      <c r="DKQ114" s="364" t="s">
        <v>140</v>
      </c>
      <c r="DKR114" s="365">
        <v>0.5</v>
      </c>
      <c r="DKS114" s="366" t="e">
        <f>10/DKO112</f>
        <v>#DIV/0!</v>
      </c>
      <c r="DKT114" s="367">
        <v>15.38</v>
      </c>
      <c r="DKU114" s="367" t="e">
        <f>DKR114*DKS114*DKT114</f>
        <v>#DIV/0!</v>
      </c>
      <c r="DKV114" s="363" t="s">
        <v>153</v>
      </c>
      <c r="DKW114" s="363"/>
      <c r="DKX114" s="363"/>
      <c r="DKY114" s="364" t="s">
        <v>140</v>
      </c>
      <c r="DKZ114" s="365">
        <v>0.5</v>
      </c>
      <c r="DLA114" s="366" t="e">
        <f>10/DKW112</f>
        <v>#DIV/0!</v>
      </c>
      <c r="DLB114" s="367">
        <v>15.38</v>
      </c>
      <c r="DLC114" s="367" t="e">
        <f>DKZ114*DLA114*DLB114</f>
        <v>#DIV/0!</v>
      </c>
      <c r="DLD114" s="363" t="s">
        <v>153</v>
      </c>
      <c r="DLE114" s="363"/>
      <c r="DLF114" s="363"/>
      <c r="DLG114" s="364" t="s">
        <v>140</v>
      </c>
      <c r="DLH114" s="365">
        <v>0.5</v>
      </c>
      <c r="DLI114" s="366" t="e">
        <f>10/DLE112</f>
        <v>#DIV/0!</v>
      </c>
      <c r="DLJ114" s="367">
        <v>15.38</v>
      </c>
      <c r="DLK114" s="367" t="e">
        <f>DLH114*DLI114*DLJ114</f>
        <v>#DIV/0!</v>
      </c>
      <c r="DLL114" s="363" t="s">
        <v>153</v>
      </c>
      <c r="DLM114" s="363"/>
      <c r="DLN114" s="363"/>
      <c r="DLO114" s="364" t="s">
        <v>140</v>
      </c>
      <c r="DLP114" s="365">
        <v>0.5</v>
      </c>
      <c r="DLQ114" s="366" t="e">
        <f>10/DLM112</f>
        <v>#DIV/0!</v>
      </c>
      <c r="DLR114" s="367">
        <v>15.38</v>
      </c>
      <c r="DLS114" s="367" t="e">
        <f>DLP114*DLQ114*DLR114</f>
        <v>#DIV/0!</v>
      </c>
      <c r="DLT114" s="363" t="s">
        <v>153</v>
      </c>
      <c r="DLU114" s="363"/>
      <c r="DLV114" s="363"/>
      <c r="DLW114" s="364" t="s">
        <v>140</v>
      </c>
      <c r="DLX114" s="365">
        <v>0.5</v>
      </c>
      <c r="DLY114" s="366" t="e">
        <f>10/DLU112</f>
        <v>#DIV/0!</v>
      </c>
      <c r="DLZ114" s="367">
        <v>15.38</v>
      </c>
      <c r="DMA114" s="367" t="e">
        <f>DLX114*DLY114*DLZ114</f>
        <v>#DIV/0!</v>
      </c>
      <c r="DMB114" s="363" t="s">
        <v>153</v>
      </c>
      <c r="DMC114" s="363"/>
      <c r="DMD114" s="363"/>
      <c r="DME114" s="364" t="s">
        <v>140</v>
      </c>
      <c r="DMF114" s="365">
        <v>0.5</v>
      </c>
      <c r="DMG114" s="366" t="e">
        <f>10/DMC112</f>
        <v>#DIV/0!</v>
      </c>
      <c r="DMH114" s="367">
        <v>15.38</v>
      </c>
      <c r="DMI114" s="367" t="e">
        <f>DMF114*DMG114*DMH114</f>
        <v>#DIV/0!</v>
      </c>
      <c r="DMJ114" s="363" t="s">
        <v>153</v>
      </c>
      <c r="DMK114" s="363"/>
      <c r="DML114" s="363"/>
      <c r="DMM114" s="364" t="s">
        <v>140</v>
      </c>
      <c r="DMN114" s="365">
        <v>0.5</v>
      </c>
      <c r="DMO114" s="366" t="e">
        <f>10/DMK112</f>
        <v>#DIV/0!</v>
      </c>
      <c r="DMP114" s="367">
        <v>15.38</v>
      </c>
      <c r="DMQ114" s="367" t="e">
        <f>DMN114*DMO114*DMP114</f>
        <v>#DIV/0!</v>
      </c>
      <c r="DMR114" s="363" t="s">
        <v>153</v>
      </c>
      <c r="DMS114" s="363"/>
      <c r="DMT114" s="363"/>
      <c r="DMU114" s="364" t="s">
        <v>140</v>
      </c>
      <c r="DMV114" s="365">
        <v>0.5</v>
      </c>
      <c r="DMW114" s="366" t="e">
        <f>10/DMS112</f>
        <v>#DIV/0!</v>
      </c>
      <c r="DMX114" s="367">
        <v>15.38</v>
      </c>
      <c r="DMY114" s="367" t="e">
        <f>DMV114*DMW114*DMX114</f>
        <v>#DIV/0!</v>
      </c>
      <c r="DMZ114" s="363" t="s">
        <v>153</v>
      </c>
      <c r="DNA114" s="363"/>
      <c r="DNB114" s="363"/>
      <c r="DNC114" s="364" t="s">
        <v>140</v>
      </c>
      <c r="DND114" s="365">
        <v>0.5</v>
      </c>
      <c r="DNE114" s="366" t="e">
        <f>10/DNA112</f>
        <v>#DIV/0!</v>
      </c>
      <c r="DNF114" s="367">
        <v>15.38</v>
      </c>
      <c r="DNG114" s="367" t="e">
        <f>DND114*DNE114*DNF114</f>
        <v>#DIV/0!</v>
      </c>
      <c r="DNH114" s="363" t="s">
        <v>153</v>
      </c>
      <c r="DNI114" s="363"/>
      <c r="DNJ114" s="363"/>
      <c r="DNK114" s="364" t="s">
        <v>140</v>
      </c>
      <c r="DNL114" s="365">
        <v>0.5</v>
      </c>
      <c r="DNM114" s="366" t="e">
        <f>10/DNI112</f>
        <v>#DIV/0!</v>
      </c>
      <c r="DNN114" s="367">
        <v>15.38</v>
      </c>
      <c r="DNO114" s="367" t="e">
        <f>DNL114*DNM114*DNN114</f>
        <v>#DIV/0!</v>
      </c>
      <c r="DNP114" s="363" t="s">
        <v>153</v>
      </c>
      <c r="DNQ114" s="363"/>
      <c r="DNR114" s="363"/>
      <c r="DNS114" s="364" t="s">
        <v>140</v>
      </c>
      <c r="DNT114" s="365">
        <v>0.5</v>
      </c>
      <c r="DNU114" s="366" t="e">
        <f>10/DNQ112</f>
        <v>#DIV/0!</v>
      </c>
      <c r="DNV114" s="367">
        <v>15.38</v>
      </c>
      <c r="DNW114" s="367" t="e">
        <f>DNT114*DNU114*DNV114</f>
        <v>#DIV/0!</v>
      </c>
      <c r="DNX114" s="363" t="s">
        <v>153</v>
      </c>
      <c r="DNY114" s="363"/>
      <c r="DNZ114" s="363"/>
      <c r="DOA114" s="364" t="s">
        <v>140</v>
      </c>
      <c r="DOB114" s="365">
        <v>0.5</v>
      </c>
      <c r="DOC114" s="366" t="e">
        <f>10/DNY112</f>
        <v>#DIV/0!</v>
      </c>
      <c r="DOD114" s="367">
        <v>15.38</v>
      </c>
      <c r="DOE114" s="367" t="e">
        <f>DOB114*DOC114*DOD114</f>
        <v>#DIV/0!</v>
      </c>
      <c r="DOF114" s="363" t="s">
        <v>153</v>
      </c>
      <c r="DOG114" s="363"/>
      <c r="DOH114" s="363"/>
      <c r="DOI114" s="364" t="s">
        <v>140</v>
      </c>
      <c r="DOJ114" s="365">
        <v>0.5</v>
      </c>
      <c r="DOK114" s="366" t="e">
        <f>10/DOG112</f>
        <v>#DIV/0!</v>
      </c>
      <c r="DOL114" s="367">
        <v>15.38</v>
      </c>
      <c r="DOM114" s="367" t="e">
        <f>DOJ114*DOK114*DOL114</f>
        <v>#DIV/0!</v>
      </c>
      <c r="DON114" s="363" t="s">
        <v>153</v>
      </c>
      <c r="DOO114" s="363"/>
      <c r="DOP114" s="363"/>
      <c r="DOQ114" s="364" t="s">
        <v>140</v>
      </c>
      <c r="DOR114" s="365">
        <v>0.5</v>
      </c>
      <c r="DOS114" s="366" t="e">
        <f>10/DOO112</f>
        <v>#DIV/0!</v>
      </c>
      <c r="DOT114" s="367">
        <v>15.38</v>
      </c>
      <c r="DOU114" s="367" t="e">
        <f>DOR114*DOS114*DOT114</f>
        <v>#DIV/0!</v>
      </c>
      <c r="DOV114" s="363" t="s">
        <v>153</v>
      </c>
      <c r="DOW114" s="363"/>
      <c r="DOX114" s="363"/>
      <c r="DOY114" s="364" t="s">
        <v>140</v>
      </c>
      <c r="DOZ114" s="365">
        <v>0.5</v>
      </c>
      <c r="DPA114" s="366" t="e">
        <f>10/DOW112</f>
        <v>#DIV/0!</v>
      </c>
      <c r="DPB114" s="367">
        <v>15.38</v>
      </c>
      <c r="DPC114" s="367" t="e">
        <f>DOZ114*DPA114*DPB114</f>
        <v>#DIV/0!</v>
      </c>
      <c r="DPD114" s="363" t="s">
        <v>153</v>
      </c>
      <c r="DPE114" s="363"/>
      <c r="DPF114" s="363"/>
      <c r="DPG114" s="364" t="s">
        <v>140</v>
      </c>
      <c r="DPH114" s="365">
        <v>0.5</v>
      </c>
      <c r="DPI114" s="366" t="e">
        <f>10/DPE112</f>
        <v>#DIV/0!</v>
      </c>
      <c r="DPJ114" s="367">
        <v>15.38</v>
      </c>
      <c r="DPK114" s="367" t="e">
        <f>DPH114*DPI114*DPJ114</f>
        <v>#DIV/0!</v>
      </c>
      <c r="DPL114" s="363" t="s">
        <v>153</v>
      </c>
      <c r="DPM114" s="363"/>
      <c r="DPN114" s="363"/>
      <c r="DPO114" s="364" t="s">
        <v>140</v>
      </c>
      <c r="DPP114" s="365">
        <v>0.5</v>
      </c>
      <c r="DPQ114" s="366" t="e">
        <f>10/DPM112</f>
        <v>#DIV/0!</v>
      </c>
      <c r="DPR114" s="367">
        <v>15.38</v>
      </c>
      <c r="DPS114" s="367" t="e">
        <f>DPP114*DPQ114*DPR114</f>
        <v>#DIV/0!</v>
      </c>
      <c r="DPT114" s="363" t="s">
        <v>153</v>
      </c>
      <c r="DPU114" s="363"/>
      <c r="DPV114" s="363"/>
      <c r="DPW114" s="364" t="s">
        <v>140</v>
      </c>
      <c r="DPX114" s="365">
        <v>0.5</v>
      </c>
      <c r="DPY114" s="366" t="e">
        <f>10/DPU112</f>
        <v>#DIV/0!</v>
      </c>
      <c r="DPZ114" s="367">
        <v>15.38</v>
      </c>
      <c r="DQA114" s="367" t="e">
        <f>DPX114*DPY114*DPZ114</f>
        <v>#DIV/0!</v>
      </c>
      <c r="DQB114" s="363" t="s">
        <v>153</v>
      </c>
      <c r="DQC114" s="363"/>
      <c r="DQD114" s="363"/>
      <c r="DQE114" s="364" t="s">
        <v>140</v>
      </c>
      <c r="DQF114" s="365">
        <v>0.5</v>
      </c>
      <c r="DQG114" s="366" t="e">
        <f>10/DQC112</f>
        <v>#DIV/0!</v>
      </c>
      <c r="DQH114" s="367">
        <v>15.38</v>
      </c>
      <c r="DQI114" s="367" t="e">
        <f>DQF114*DQG114*DQH114</f>
        <v>#DIV/0!</v>
      </c>
      <c r="DQJ114" s="363" t="s">
        <v>153</v>
      </c>
      <c r="DQK114" s="363"/>
      <c r="DQL114" s="363"/>
      <c r="DQM114" s="364" t="s">
        <v>140</v>
      </c>
      <c r="DQN114" s="365">
        <v>0.5</v>
      </c>
      <c r="DQO114" s="366" t="e">
        <f>10/DQK112</f>
        <v>#DIV/0!</v>
      </c>
      <c r="DQP114" s="367">
        <v>15.38</v>
      </c>
      <c r="DQQ114" s="367" t="e">
        <f>DQN114*DQO114*DQP114</f>
        <v>#DIV/0!</v>
      </c>
      <c r="DQR114" s="363" t="s">
        <v>153</v>
      </c>
      <c r="DQS114" s="363"/>
      <c r="DQT114" s="363"/>
      <c r="DQU114" s="364" t="s">
        <v>140</v>
      </c>
      <c r="DQV114" s="365">
        <v>0.5</v>
      </c>
      <c r="DQW114" s="366" t="e">
        <f>10/DQS112</f>
        <v>#DIV/0!</v>
      </c>
      <c r="DQX114" s="367">
        <v>15.38</v>
      </c>
      <c r="DQY114" s="367" t="e">
        <f>DQV114*DQW114*DQX114</f>
        <v>#DIV/0!</v>
      </c>
      <c r="DQZ114" s="363" t="s">
        <v>153</v>
      </c>
      <c r="DRA114" s="363"/>
      <c r="DRB114" s="363"/>
      <c r="DRC114" s="364" t="s">
        <v>140</v>
      </c>
      <c r="DRD114" s="365">
        <v>0.5</v>
      </c>
      <c r="DRE114" s="366" t="e">
        <f>10/DRA112</f>
        <v>#DIV/0!</v>
      </c>
      <c r="DRF114" s="367">
        <v>15.38</v>
      </c>
      <c r="DRG114" s="367" t="e">
        <f>DRD114*DRE114*DRF114</f>
        <v>#DIV/0!</v>
      </c>
      <c r="DRH114" s="363" t="s">
        <v>153</v>
      </c>
      <c r="DRI114" s="363"/>
      <c r="DRJ114" s="363"/>
      <c r="DRK114" s="364" t="s">
        <v>140</v>
      </c>
      <c r="DRL114" s="365">
        <v>0.5</v>
      </c>
      <c r="DRM114" s="366" t="e">
        <f>10/DRI112</f>
        <v>#DIV/0!</v>
      </c>
      <c r="DRN114" s="367">
        <v>15.38</v>
      </c>
      <c r="DRO114" s="367" t="e">
        <f>DRL114*DRM114*DRN114</f>
        <v>#DIV/0!</v>
      </c>
      <c r="DRP114" s="363" t="s">
        <v>153</v>
      </c>
      <c r="DRQ114" s="363"/>
      <c r="DRR114" s="363"/>
      <c r="DRS114" s="364" t="s">
        <v>140</v>
      </c>
      <c r="DRT114" s="365">
        <v>0.5</v>
      </c>
      <c r="DRU114" s="366" t="e">
        <f>10/DRQ112</f>
        <v>#DIV/0!</v>
      </c>
      <c r="DRV114" s="367">
        <v>15.38</v>
      </c>
      <c r="DRW114" s="367" t="e">
        <f>DRT114*DRU114*DRV114</f>
        <v>#DIV/0!</v>
      </c>
      <c r="DRX114" s="363" t="s">
        <v>153</v>
      </c>
      <c r="DRY114" s="363"/>
      <c r="DRZ114" s="363"/>
      <c r="DSA114" s="364" t="s">
        <v>140</v>
      </c>
      <c r="DSB114" s="365">
        <v>0.5</v>
      </c>
      <c r="DSC114" s="366" t="e">
        <f>10/DRY112</f>
        <v>#DIV/0!</v>
      </c>
      <c r="DSD114" s="367">
        <v>15.38</v>
      </c>
      <c r="DSE114" s="367" t="e">
        <f>DSB114*DSC114*DSD114</f>
        <v>#DIV/0!</v>
      </c>
      <c r="DSF114" s="363" t="s">
        <v>153</v>
      </c>
      <c r="DSG114" s="363"/>
      <c r="DSH114" s="363"/>
      <c r="DSI114" s="364" t="s">
        <v>140</v>
      </c>
      <c r="DSJ114" s="365">
        <v>0.5</v>
      </c>
      <c r="DSK114" s="366" t="e">
        <f>10/DSG112</f>
        <v>#DIV/0!</v>
      </c>
      <c r="DSL114" s="367">
        <v>15.38</v>
      </c>
      <c r="DSM114" s="367" t="e">
        <f>DSJ114*DSK114*DSL114</f>
        <v>#DIV/0!</v>
      </c>
      <c r="DSN114" s="363" t="s">
        <v>153</v>
      </c>
      <c r="DSO114" s="363"/>
      <c r="DSP114" s="363"/>
      <c r="DSQ114" s="364" t="s">
        <v>140</v>
      </c>
      <c r="DSR114" s="365">
        <v>0.5</v>
      </c>
      <c r="DSS114" s="366" t="e">
        <f>10/DSO112</f>
        <v>#DIV/0!</v>
      </c>
      <c r="DST114" s="367">
        <v>15.38</v>
      </c>
      <c r="DSU114" s="367" t="e">
        <f>DSR114*DSS114*DST114</f>
        <v>#DIV/0!</v>
      </c>
      <c r="DSV114" s="363" t="s">
        <v>153</v>
      </c>
      <c r="DSW114" s="363"/>
      <c r="DSX114" s="363"/>
      <c r="DSY114" s="364" t="s">
        <v>140</v>
      </c>
      <c r="DSZ114" s="365">
        <v>0.5</v>
      </c>
      <c r="DTA114" s="366" t="e">
        <f>10/DSW112</f>
        <v>#DIV/0!</v>
      </c>
      <c r="DTB114" s="367">
        <v>15.38</v>
      </c>
      <c r="DTC114" s="367" t="e">
        <f>DSZ114*DTA114*DTB114</f>
        <v>#DIV/0!</v>
      </c>
      <c r="DTD114" s="363" t="s">
        <v>153</v>
      </c>
      <c r="DTE114" s="363"/>
      <c r="DTF114" s="363"/>
      <c r="DTG114" s="364" t="s">
        <v>140</v>
      </c>
      <c r="DTH114" s="365">
        <v>0.5</v>
      </c>
      <c r="DTI114" s="366" t="e">
        <f>10/DTE112</f>
        <v>#DIV/0!</v>
      </c>
      <c r="DTJ114" s="367">
        <v>15.38</v>
      </c>
      <c r="DTK114" s="367" t="e">
        <f>DTH114*DTI114*DTJ114</f>
        <v>#DIV/0!</v>
      </c>
      <c r="DTL114" s="363" t="s">
        <v>153</v>
      </c>
      <c r="DTM114" s="363"/>
      <c r="DTN114" s="363"/>
      <c r="DTO114" s="364" t="s">
        <v>140</v>
      </c>
      <c r="DTP114" s="365">
        <v>0.5</v>
      </c>
      <c r="DTQ114" s="366" t="e">
        <f>10/DTM112</f>
        <v>#DIV/0!</v>
      </c>
      <c r="DTR114" s="367">
        <v>15.38</v>
      </c>
      <c r="DTS114" s="367" t="e">
        <f>DTP114*DTQ114*DTR114</f>
        <v>#DIV/0!</v>
      </c>
      <c r="DTT114" s="363" t="s">
        <v>153</v>
      </c>
      <c r="DTU114" s="363"/>
      <c r="DTV114" s="363"/>
      <c r="DTW114" s="364" t="s">
        <v>140</v>
      </c>
      <c r="DTX114" s="365">
        <v>0.5</v>
      </c>
      <c r="DTY114" s="366" t="e">
        <f>10/DTU112</f>
        <v>#DIV/0!</v>
      </c>
      <c r="DTZ114" s="367">
        <v>15.38</v>
      </c>
      <c r="DUA114" s="367" t="e">
        <f>DTX114*DTY114*DTZ114</f>
        <v>#DIV/0!</v>
      </c>
      <c r="DUB114" s="363" t="s">
        <v>153</v>
      </c>
      <c r="DUC114" s="363"/>
      <c r="DUD114" s="363"/>
      <c r="DUE114" s="364" t="s">
        <v>140</v>
      </c>
      <c r="DUF114" s="365">
        <v>0.5</v>
      </c>
      <c r="DUG114" s="366" t="e">
        <f>10/DUC112</f>
        <v>#DIV/0!</v>
      </c>
      <c r="DUH114" s="367">
        <v>15.38</v>
      </c>
      <c r="DUI114" s="367" t="e">
        <f>DUF114*DUG114*DUH114</f>
        <v>#DIV/0!</v>
      </c>
      <c r="DUJ114" s="363" t="s">
        <v>153</v>
      </c>
      <c r="DUK114" s="363"/>
      <c r="DUL114" s="363"/>
      <c r="DUM114" s="364" t="s">
        <v>140</v>
      </c>
      <c r="DUN114" s="365">
        <v>0.5</v>
      </c>
      <c r="DUO114" s="366" t="e">
        <f>10/DUK112</f>
        <v>#DIV/0!</v>
      </c>
      <c r="DUP114" s="367">
        <v>15.38</v>
      </c>
      <c r="DUQ114" s="367" t="e">
        <f>DUN114*DUO114*DUP114</f>
        <v>#DIV/0!</v>
      </c>
      <c r="DUR114" s="363" t="s">
        <v>153</v>
      </c>
      <c r="DUS114" s="363"/>
      <c r="DUT114" s="363"/>
      <c r="DUU114" s="364" t="s">
        <v>140</v>
      </c>
      <c r="DUV114" s="365">
        <v>0.5</v>
      </c>
      <c r="DUW114" s="366" t="e">
        <f>10/DUS112</f>
        <v>#DIV/0!</v>
      </c>
      <c r="DUX114" s="367">
        <v>15.38</v>
      </c>
      <c r="DUY114" s="367" t="e">
        <f>DUV114*DUW114*DUX114</f>
        <v>#DIV/0!</v>
      </c>
      <c r="DUZ114" s="363" t="s">
        <v>153</v>
      </c>
      <c r="DVA114" s="363"/>
      <c r="DVB114" s="363"/>
      <c r="DVC114" s="364" t="s">
        <v>140</v>
      </c>
      <c r="DVD114" s="365">
        <v>0.5</v>
      </c>
      <c r="DVE114" s="366" t="e">
        <f>10/DVA112</f>
        <v>#DIV/0!</v>
      </c>
      <c r="DVF114" s="367">
        <v>15.38</v>
      </c>
      <c r="DVG114" s="367" t="e">
        <f>DVD114*DVE114*DVF114</f>
        <v>#DIV/0!</v>
      </c>
      <c r="DVH114" s="363" t="s">
        <v>153</v>
      </c>
      <c r="DVI114" s="363"/>
      <c r="DVJ114" s="363"/>
      <c r="DVK114" s="364" t="s">
        <v>140</v>
      </c>
      <c r="DVL114" s="365">
        <v>0.5</v>
      </c>
      <c r="DVM114" s="366" t="e">
        <f>10/DVI112</f>
        <v>#DIV/0!</v>
      </c>
      <c r="DVN114" s="367">
        <v>15.38</v>
      </c>
      <c r="DVO114" s="367" t="e">
        <f>DVL114*DVM114*DVN114</f>
        <v>#DIV/0!</v>
      </c>
      <c r="DVP114" s="363" t="s">
        <v>153</v>
      </c>
      <c r="DVQ114" s="363"/>
      <c r="DVR114" s="363"/>
      <c r="DVS114" s="364" t="s">
        <v>140</v>
      </c>
      <c r="DVT114" s="365">
        <v>0.5</v>
      </c>
      <c r="DVU114" s="366" t="e">
        <f>10/DVQ112</f>
        <v>#DIV/0!</v>
      </c>
      <c r="DVV114" s="367">
        <v>15.38</v>
      </c>
      <c r="DVW114" s="367" t="e">
        <f>DVT114*DVU114*DVV114</f>
        <v>#DIV/0!</v>
      </c>
      <c r="DVX114" s="363" t="s">
        <v>153</v>
      </c>
      <c r="DVY114" s="363"/>
      <c r="DVZ114" s="363"/>
      <c r="DWA114" s="364" t="s">
        <v>140</v>
      </c>
      <c r="DWB114" s="365">
        <v>0.5</v>
      </c>
      <c r="DWC114" s="366" t="e">
        <f>10/DVY112</f>
        <v>#DIV/0!</v>
      </c>
      <c r="DWD114" s="367">
        <v>15.38</v>
      </c>
      <c r="DWE114" s="367" t="e">
        <f>DWB114*DWC114*DWD114</f>
        <v>#DIV/0!</v>
      </c>
      <c r="DWF114" s="363" t="s">
        <v>153</v>
      </c>
      <c r="DWG114" s="363"/>
      <c r="DWH114" s="363"/>
      <c r="DWI114" s="364" t="s">
        <v>140</v>
      </c>
      <c r="DWJ114" s="365">
        <v>0.5</v>
      </c>
      <c r="DWK114" s="366" t="e">
        <f>10/DWG112</f>
        <v>#DIV/0!</v>
      </c>
      <c r="DWL114" s="367">
        <v>15.38</v>
      </c>
      <c r="DWM114" s="367" t="e">
        <f>DWJ114*DWK114*DWL114</f>
        <v>#DIV/0!</v>
      </c>
      <c r="DWN114" s="363" t="s">
        <v>153</v>
      </c>
      <c r="DWO114" s="363"/>
      <c r="DWP114" s="363"/>
      <c r="DWQ114" s="364" t="s">
        <v>140</v>
      </c>
      <c r="DWR114" s="365">
        <v>0.5</v>
      </c>
      <c r="DWS114" s="366" t="e">
        <f>10/DWO112</f>
        <v>#DIV/0!</v>
      </c>
      <c r="DWT114" s="367">
        <v>15.38</v>
      </c>
      <c r="DWU114" s="367" t="e">
        <f>DWR114*DWS114*DWT114</f>
        <v>#DIV/0!</v>
      </c>
      <c r="DWV114" s="363" t="s">
        <v>153</v>
      </c>
      <c r="DWW114" s="363"/>
      <c r="DWX114" s="363"/>
      <c r="DWY114" s="364" t="s">
        <v>140</v>
      </c>
      <c r="DWZ114" s="365">
        <v>0.5</v>
      </c>
      <c r="DXA114" s="366" t="e">
        <f>10/DWW112</f>
        <v>#DIV/0!</v>
      </c>
      <c r="DXB114" s="367">
        <v>15.38</v>
      </c>
      <c r="DXC114" s="367" t="e">
        <f>DWZ114*DXA114*DXB114</f>
        <v>#DIV/0!</v>
      </c>
      <c r="DXD114" s="363" t="s">
        <v>153</v>
      </c>
      <c r="DXE114" s="363"/>
      <c r="DXF114" s="363"/>
      <c r="DXG114" s="364" t="s">
        <v>140</v>
      </c>
      <c r="DXH114" s="365">
        <v>0.5</v>
      </c>
      <c r="DXI114" s="366" t="e">
        <f>10/DXE112</f>
        <v>#DIV/0!</v>
      </c>
      <c r="DXJ114" s="367">
        <v>15.38</v>
      </c>
      <c r="DXK114" s="367" t="e">
        <f>DXH114*DXI114*DXJ114</f>
        <v>#DIV/0!</v>
      </c>
      <c r="DXL114" s="363" t="s">
        <v>153</v>
      </c>
      <c r="DXM114" s="363"/>
      <c r="DXN114" s="363"/>
      <c r="DXO114" s="364" t="s">
        <v>140</v>
      </c>
      <c r="DXP114" s="365">
        <v>0.5</v>
      </c>
      <c r="DXQ114" s="366" t="e">
        <f>10/DXM112</f>
        <v>#DIV/0!</v>
      </c>
      <c r="DXR114" s="367">
        <v>15.38</v>
      </c>
      <c r="DXS114" s="367" t="e">
        <f>DXP114*DXQ114*DXR114</f>
        <v>#DIV/0!</v>
      </c>
      <c r="DXT114" s="363" t="s">
        <v>153</v>
      </c>
      <c r="DXU114" s="363"/>
      <c r="DXV114" s="363"/>
      <c r="DXW114" s="364" t="s">
        <v>140</v>
      </c>
      <c r="DXX114" s="365">
        <v>0.5</v>
      </c>
      <c r="DXY114" s="366" t="e">
        <f>10/DXU112</f>
        <v>#DIV/0!</v>
      </c>
      <c r="DXZ114" s="367">
        <v>15.38</v>
      </c>
      <c r="DYA114" s="367" t="e">
        <f>DXX114*DXY114*DXZ114</f>
        <v>#DIV/0!</v>
      </c>
      <c r="DYB114" s="363" t="s">
        <v>153</v>
      </c>
      <c r="DYC114" s="363"/>
      <c r="DYD114" s="363"/>
      <c r="DYE114" s="364" t="s">
        <v>140</v>
      </c>
      <c r="DYF114" s="365">
        <v>0.5</v>
      </c>
      <c r="DYG114" s="366" t="e">
        <f>10/DYC112</f>
        <v>#DIV/0!</v>
      </c>
      <c r="DYH114" s="367">
        <v>15.38</v>
      </c>
      <c r="DYI114" s="367" t="e">
        <f>DYF114*DYG114*DYH114</f>
        <v>#DIV/0!</v>
      </c>
      <c r="DYJ114" s="363" t="s">
        <v>153</v>
      </c>
      <c r="DYK114" s="363"/>
      <c r="DYL114" s="363"/>
      <c r="DYM114" s="364" t="s">
        <v>140</v>
      </c>
      <c r="DYN114" s="365">
        <v>0.5</v>
      </c>
      <c r="DYO114" s="366" t="e">
        <f>10/DYK112</f>
        <v>#DIV/0!</v>
      </c>
      <c r="DYP114" s="367">
        <v>15.38</v>
      </c>
      <c r="DYQ114" s="367" t="e">
        <f>DYN114*DYO114*DYP114</f>
        <v>#DIV/0!</v>
      </c>
      <c r="DYR114" s="363" t="s">
        <v>153</v>
      </c>
      <c r="DYS114" s="363"/>
      <c r="DYT114" s="363"/>
      <c r="DYU114" s="364" t="s">
        <v>140</v>
      </c>
      <c r="DYV114" s="365">
        <v>0.5</v>
      </c>
      <c r="DYW114" s="366" t="e">
        <f>10/DYS112</f>
        <v>#DIV/0!</v>
      </c>
      <c r="DYX114" s="367">
        <v>15.38</v>
      </c>
      <c r="DYY114" s="367" t="e">
        <f>DYV114*DYW114*DYX114</f>
        <v>#DIV/0!</v>
      </c>
      <c r="DYZ114" s="363" t="s">
        <v>153</v>
      </c>
      <c r="DZA114" s="363"/>
      <c r="DZB114" s="363"/>
      <c r="DZC114" s="364" t="s">
        <v>140</v>
      </c>
      <c r="DZD114" s="365">
        <v>0.5</v>
      </c>
      <c r="DZE114" s="366" t="e">
        <f>10/DZA112</f>
        <v>#DIV/0!</v>
      </c>
      <c r="DZF114" s="367">
        <v>15.38</v>
      </c>
      <c r="DZG114" s="367" t="e">
        <f>DZD114*DZE114*DZF114</f>
        <v>#DIV/0!</v>
      </c>
      <c r="DZH114" s="363" t="s">
        <v>153</v>
      </c>
      <c r="DZI114" s="363"/>
      <c r="DZJ114" s="363"/>
      <c r="DZK114" s="364" t="s">
        <v>140</v>
      </c>
      <c r="DZL114" s="365">
        <v>0.5</v>
      </c>
      <c r="DZM114" s="366" t="e">
        <f>10/DZI112</f>
        <v>#DIV/0!</v>
      </c>
      <c r="DZN114" s="367">
        <v>15.38</v>
      </c>
      <c r="DZO114" s="367" t="e">
        <f>DZL114*DZM114*DZN114</f>
        <v>#DIV/0!</v>
      </c>
      <c r="DZP114" s="363" t="s">
        <v>153</v>
      </c>
      <c r="DZQ114" s="363"/>
      <c r="DZR114" s="363"/>
      <c r="DZS114" s="364" t="s">
        <v>140</v>
      </c>
      <c r="DZT114" s="365">
        <v>0.5</v>
      </c>
      <c r="DZU114" s="366" t="e">
        <f>10/DZQ112</f>
        <v>#DIV/0!</v>
      </c>
      <c r="DZV114" s="367">
        <v>15.38</v>
      </c>
      <c r="DZW114" s="367" t="e">
        <f>DZT114*DZU114*DZV114</f>
        <v>#DIV/0!</v>
      </c>
      <c r="DZX114" s="363" t="s">
        <v>153</v>
      </c>
      <c r="DZY114" s="363"/>
      <c r="DZZ114" s="363"/>
      <c r="EAA114" s="364" t="s">
        <v>140</v>
      </c>
      <c r="EAB114" s="365">
        <v>0.5</v>
      </c>
      <c r="EAC114" s="366" t="e">
        <f>10/DZY112</f>
        <v>#DIV/0!</v>
      </c>
      <c r="EAD114" s="367">
        <v>15.38</v>
      </c>
      <c r="EAE114" s="367" t="e">
        <f>EAB114*EAC114*EAD114</f>
        <v>#DIV/0!</v>
      </c>
      <c r="EAF114" s="363" t="s">
        <v>153</v>
      </c>
      <c r="EAG114" s="363"/>
      <c r="EAH114" s="363"/>
      <c r="EAI114" s="364" t="s">
        <v>140</v>
      </c>
      <c r="EAJ114" s="365">
        <v>0.5</v>
      </c>
      <c r="EAK114" s="366" t="e">
        <f>10/EAG112</f>
        <v>#DIV/0!</v>
      </c>
      <c r="EAL114" s="367">
        <v>15.38</v>
      </c>
      <c r="EAM114" s="367" t="e">
        <f>EAJ114*EAK114*EAL114</f>
        <v>#DIV/0!</v>
      </c>
      <c r="EAN114" s="363" t="s">
        <v>153</v>
      </c>
      <c r="EAO114" s="363"/>
      <c r="EAP114" s="363"/>
      <c r="EAQ114" s="364" t="s">
        <v>140</v>
      </c>
      <c r="EAR114" s="365">
        <v>0.5</v>
      </c>
      <c r="EAS114" s="366" t="e">
        <f>10/EAO112</f>
        <v>#DIV/0!</v>
      </c>
      <c r="EAT114" s="367">
        <v>15.38</v>
      </c>
      <c r="EAU114" s="367" t="e">
        <f>EAR114*EAS114*EAT114</f>
        <v>#DIV/0!</v>
      </c>
      <c r="EAV114" s="363" t="s">
        <v>153</v>
      </c>
      <c r="EAW114" s="363"/>
      <c r="EAX114" s="363"/>
      <c r="EAY114" s="364" t="s">
        <v>140</v>
      </c>
      <c r="EAZ114" s="365">
        <v>0.5</v>
      </c>
      <c r="EBA114" s="366" t="e">
        <f>10/EAW112</f>
        <v>#DIV/0!</v>
      </c>
      <c r="EBB114" s="367">
        <v>15.38</v>
      </c>
      <c r="EBC114" s="367" t="e">
        <f>EAZ114*EBA114*EBB114</f>
        <v>#DIV/0!</v>
      </c>
      <c r="EBD114" s="363" t="s">
        <v>153</v>
      </c>
      <c r="EBE114" s="363"/>
      <c r="EBF114" s="363"/>
      <c r="EBG114" s="364" t="s">
        <v>140</v>
      </c>
      <c r="EBH114" s="365">
        <v>0.5</v>
      </c>
      <c r="EBI114" s="366" t="e">
        <f>10/EBE112</f>
        <v>#DIV/0!</v>
      </c>
      <c r="EBJ114" s="367">
        <v>15.38</v>
      </c>
      <c r="EBK114" s="367" t="e">
        <f>EBH114*EBI114*EBJ114</f>
        <v>#DIV/0!</v>
      </c>
      <c r="EBL114" s="363" t="s">
        <v>153</v>
      </c>
      <c r="EBM114" s="363"/>
      <c r="EBN114" s="363"/>
      <c r="EBO114" s="364" t="s">
        <v>140</v>
      </c>
      <c r="EBP114" s="365">
        <v>0.5</v>
      </c>
      <c r="EBQ114" s="366" t="e">
        <f>10/EBM112</f>
        <v>#DIV/0!</v>
      </c>
      <c r="EBR114" s="367">
        <v>15.38</v>
      </c>
      <c r="EBS114" s="367" t="e">
        <f>EBP114*EBQ114*EBR114</f>
        <v>#DIV/0!</v>
      </c>
      <c r="EBT114" s="363" t="s">
        <v>153</v>
      </c>
      <c r="EBU114" s="363"/>
      <c r="EBV114" s="363"/>
      <c r="EBW114" s="364" t="s">
        <v>140</v>
      </c>
      <c r="EBX114" s="365">
        <v>0.5</v>
      </c>
      <c r="EBY114" s="366" t="e">
        <f>10/EBU112</f>
        <v>#DIV/0!</v>
      </c>
      <c r="EBZ114" s="367">
        <v>15.38</v>
      </c>
      <c r="ECA114" s="367" t="e">
        <f>EBX114*EBY114*EBZ114</f>
        <v>#DIV/0!</v>
      </c>
      <c r="ECB114" s="363" t="s">
        <v>153</v>
      </c>
      <c r="ECC114" s="363"/>
      <c r="ECD114" s="363"/>
      <c r="ECE114" s="364" t="s">
        <v>140</v>
      </c>
      <c r="ECF114" s="365">
        <v>0.5</v>
      </c>
      <c r="ECG114" s="366" t="e">
        <f>10/ECC112</f>
        <v>#DIV/0!</v>
      </c>
      <c r="ECH114" s="367">
        <v>15.38</v>
      </c>
      <c r="ECI114" s="367" t="e">
        <f>ECF114*ECG114*ECH114</f>
        <v>#DIV/0!</v>
      </c>
      <c r="ECJ114" s="363" t="s">
        <v>153</v>
      </c>
      <c r="ECK114" s="363"/>
      <c r="ECL114" s="363"/>
      <c r="ECM114" s="364" t="s">
        <v>140</v>
      </c>
      <c r="ECN114" s="365">
        <v>0.5</v>
      </c>
      <c r="ECO114" s="366" t="e">
        <f>10/ECK112</f>
        <v>#DIV/0!</v>
      </c>
      <c r="ECP114" s="367">
        <v>15.38</v>
      </c>
      <c r="ECQ114" s="367" t="e">
        <f>ECN114*ECO114*ECP114</f>
        <v>#DIV/0!</v>
      </c>
      <c r="ECR114" s="363" t="s">
        <v>153</v>
      </c>
      <c r="ECS114" s="363"/>
      <c r="ECT114" s="363"/>
      <c r="ECU114" s="364" t="s">
        <v>140</v>
      </c>
      <c r="ECV114" s="365">
        <v>0.5</v>
      </c>
      <c r="ECW114" s="366" t="e">
        <f>10/ECS112</f>
        <v>#DIV/0!</v>
      </c>
      <c r="ECX114" s="367">
        <v>15.38</v>
      </c>
      <c r="ECY114" s="367" t="e">
        <f>ECV114*ECW114*ECX114</f>
        <v>#DIV/0!</v>
      </c>
      <c r="ECZ114" s="363" t="s">
        <v>153</v>
      </c>
      <c r="EDA114" s="363"/>
      <c r="EDB114" s="363"/>
      <c r="EDC114" s="364" t="s">
        <v>140</v>
      </c>
      <c r="EDD114" s="365">
        <v>0.5</v>
      </c>
      <c r="EDE114" s="366" t="e">
        <f>10/EDA112</f>
        <v>#DIV/0!</v>
      </c>
      <c r="EDF114" s="367">
        <v>15.38</v>
      </c>
      <c r="EDG114" s="367" t="e">
        <f>EDD114*EDE114*EDF114</f>
        <v>#DIV/0!</v>
      </c>
      <c r="EDH114" s="363" t="s">
        <v>153</v>
      </c>
      <c r="EDI114" s="363"/>
      <c r="EDJ114" s="363"/>
      <c r="EDK114" s="364" t="s">
        <v>140</v>
      </c>
      <c r="EDL114" s="365">
        <v>0.5</v>
      </c>
      <c r="EDM114" s="366" t="e">
        <f>10/EDI112</f>
        <v>#DIV/0!</v>
      </c>
      <c r="EDN114" s="367">
        <v>15.38</v>
      </c>
      <c r="EDO114" s="367" t="e">
        <f>EDL114*EDM114*EDN114</f>
        <v>#DIV/0!</v>
      </c>
      <c r="EDP114" s="363" t="s">
        <v>153</v>
      </c>
      <c r="EDQ114" s="363"/>
      <c r="EDR114" s="363"/>
      <c r="EDS114" s="364" t="s">
        <v>140</v>
      </c>
      <c r="EDT114" s="365">
        <v>0.5</v>
      </c>
      <c r="EDU114" s="366" t="e">
        <f>10/EDQ112</f>
        <v>#DIV/0!</v>
      </c>
      <c r="EDV114" s="367">
        <v>15.38</v>
      </c>
      <c r="EDW114" s="367" t="e">
        <f>EDT114*EDU114*EDV114</f>
        <v>#DIV/0!</v>
      </c>
      <c r="EDX114" s="363" t="s">
        <v>153</v>
      </c>
      <c r="EDY114" s="363"/>
      <c r="EDZ114" s="363"/>
      <c r="EEA114" s="364" t="s">
        <v>140</v>
      </c>
      <c r="EEB114" s="365">
        <v>0.5</v>
      </c>
      <c r="EEC114" s="366" t="e">
        <f>10/EDY112</f>
        <v>#DIV/0!</v>
      </c>
      <c r="EED114" s="367">
        <v>15.38</v>
      </c>
      <c r="EEE114" s="367" t="e">
        <f>EEB114*EEC114*EED114</f>
        <v>#DIV/0!</v>
      </c>
      <c r="EEF114" s="363" t="s">
        <v>153</v>
      </c>
      <c r="EEG114" s="363"/>
      <c r="EEH114" s="363"/>
      <c r="EEI114" s="364" t="s">
        <v>140</v>
      </c>
      <c r="EEJ114" s="365">
        <v>0.5</v>
      </c>
      <c r="EEK114" s="366" t="e">
        <f>10/EEG112</f>
        <v>#DIV/0!</v>
      </c>
      <c r="EEL114" s="367">
        <v>15.38</v>
      </c>
      <c r="EEM114" s="367" t="e">
        <f>EEJ114*EEK114*EEL114</f>
        <v>#DIV/0!</v>
      </c>
      <c r="EEN114" s="363" t="s">
        <v>153</v>
      </c>
      <c r="EEO114" s="363"/>
      <c r="EEP114" s="363"/>
      <c r="EEQ114" s="364" t="s">
        <v>140</v>
      </c>
      <c r="EER114" s="365">
        <v>0.5</v>
      </c>
      <c r="EES114" s="366" t="e">
        <f>10/EEO112</f>
        <v>#DIV/0!</v>
      </c>
      <c r="EET114" s="367">
        <v>15.38</v>
      </c>
      <c r="EEU114" s="367" t="e">
        <f>EER114*EES114*EET114</f>
        <v>#DIV/0!</v>
      </c>
      <c r="EEV114" s="363" t="s">
        <v>153</v>
      </c>
      <c r="EEW114" s="363"/>
      <c r="EEX114" s="363"/>
      <c r="EEY114" s="364" t="s">
        <v>140</v>
      </c>
      <c r="EEZ114" s="365">
        <v>0.5</v>
      </c>
      <c r="EFA114" s="366" t="e">
        <f>10/EEW112</f>
        <v>#DIV/0!</v>
      </c>
      <c r="EFB114" s="367">
        <v>15.38</v>
      </c>
      <c r="EFC114" s="367" t="e">
        <f>EEZ114*EFA114*EFB114</f>
        <v>#DIV/0!</v>
      </c>
      <c r="EFD114" s="363" t="s">
        <v>153</v>
      </c>
      <c r="EFE114" s="363"/>
      <c r="EFF114" s="363"/>
      <c r="EFG114" s="364" t="s">
        <v>140</v>
      </c>
      <c r="EFH114" s="365">
        <v>0.5</v>
      </c>
      <c r="EFI114" s="366" t="e">
        <f>10/EFE112</f>
        <v>#DIV/0!</v>
      </c>
      <c r="EFJ114" s="367">
        <v>15.38</v>
      </c>
      <c r="EFK114" s="367" t="e">
        <f>EFH114*EFI114*EFJ114</f>
        <v>#DIV/0!</v>
      </c>
      <c r="EFL114" s="363" t="s">
        <v>153</v>
      </c>
      <c r="EFM114" s="363"/>
      <c r="EFN114" s="363"/>
      <c r="EFO114" s="364" t="s">
        <v>140</v>
      </c>
      <c r="EFP114" s="365">
        <v>0.5</v>
      </c>
      <c r="EFQ114" s="366" t="e">
        <f>10/EFM112</f>
        <v>#DIV/0!</v>
      </c>
      <c r="EFR114" s="367">
        <v>15.38</v>
      </c>
      <c r="EFS114" s="367" t="e">
        <f>EFP114*EFQ114*EFR114</f>
        <v>#DIV/0!</v>
      </c>
      <c r="EFT114" s="363" t="s">
        <v>153</v>
      </c>
      <c r="EFU114" s="363"/>
      <c r="EFV114" s="363"/>
      <c r="EFW114" s="364" t="s">
        <v>140</v>
      </c>
      <c r="EFX114" s="365">
        <v>0.5</v>
      </c>
      <c r="EFY114" s="366" t="e">
        <f>10/EFU112</f>
        <v>#DIV/0!</v>
      </c>
      <c r="EFZ114" s="367">
        <v>15.38</v>
      </c>
      <c r="EGA114" s="367" t="e">
        <f>EFX114*EFY114*EFZ114</f>
        <v>#DIV/0!</v>
      </c>
      <c r="EGB114" s="363" t="s">
        <v>153</v>
      </c>
      <c r="EGC114" s="363"/>
      <c r="EGD114" s="363"/>
      <c r="EGE114" s="364" t="s">
        <v>140</v>
      </c>
      <c r="EGF114" s="365">
        <v>0.5</v>
      </c>
      <c r="EGG114" s="366" t="e">
        <f>10/EGC112</f>
        <v>#DIV/0!</v>
      </c>
      <c r="EGH114" s="367">
        <v>15.38</v>
      </c>
      <c r="EGI114" s="367" t="e">
        <f>EGF114*EGG114*EGH114</f>
        <v>#DIV/0!</v>
      </c>
      <c r="EGJ114" s="363" t="s">
        <v>153</v>
      </c>
      <c r="EGK114" s="363"/>
      <c r="EGL114" s="363"/>
      <c r="EGM114" s="364" t="s">
        <v>140</v>
      </c>
      <c r="EGN114" s="365">
        <v>0.5</v>
      </c>
      <c r="EGO114" s="366" t="e">
        <f>10/EGK112</f>
        <v>#DIV/0!</v>
      </c>
      <c r="EGP114" s="367">
        <v>15.38</v>
      </c>
      <c r="EGQ114" s="367" t="e">
        <f>EGN114*EGO114*EGP114</f>
        <v>#DIV/0!</v>
      </c>
      <c r="EGR114" s="363" t="s">
        <v>153</v>
      </c>
      <c r="EGS114" s="363"/>
      <c r="EGT114" s="363"/>
      <c r="EGU114" s="364" t="s">
        <v>140</v>
      </c>
      <c r="EGV114" s="365">
        <v>0.5</v>
      </c>
      <c r="EGW114" s="366" t="e">
        <f>10/EGS112</f>
        <v>#DIV/0!</v>
      </c>
      <c r="EGX114" s="367">
        <v>15.38</v>
      </c>
      <c r="EGY114" s="367" t="e">
        <f>EGV114*EGW114*EGX114</f>
        <v>#DIV/0!</v>
      </c>
      <c r="EGZ114" s="363" t="s">
        <v>153</v>
      </c>
      <c r="EHA114" s="363"/>
      <c r="EHB114" s="363"/>
      <c r="EHC114" s="364" t="s">
        <v>140</v>
      </c>
      <c r="EHD114" s="365">
        <v>0.5</v>
      </c>
      <c r="EHE114" s="366" t="e">
        <f>10/EHA112</f>
        <v>#DIV/0!</v>
      </c>
      <c r="EHF114" s="367">
        <v>15.38</v>
      </c>
      <c r="EHG114" s="367" t="e">
        <f>EHD114*EHE114*EHF114</f>
        <v>#DIV/0!</v>
      </c>
      <c r="EHH114" s="363" t="s">
        <v>153</v>
      </c>
      <c r="EHI114" s="363"/>
      <c r="EHJ114" s="363"/>
      <c r="EHK114" s="364" t="s">
        <v>140</v>
      </c>
      <c r="EHL114" s="365">
        <v>0.5</v>
      </c>
      <c r="EHM114" s="366" t="e">
        <f>10/EHI112</f>
        <v>#DIV/0!</v>
      </c>
      <c r="EHN114" s="367">
        <v>15.38</v>
      </c>
      <c r="EHO114" s="367" t="e">
        <f>EHL114*EHM114*EHN114</f>
        <v>#DIV/0!</v>
      </c>
      <c r="EHP114" s="363" t="s">
        <v>153</v>
      </c>
      <c r="EHQ114" s="363"/>
      <c r="EHR114" s="363"/>
      <c r="EHS114" s="364" t="s">
        <v>140</v>
      </c>
      <c r="EHT114" s="365">
        <v>0.5</v>
      </c>
      <c r="EHU114" s="366" t="e">
        <f>10/EHQ112</f>
        <v>#DIV/0!</v>
      </c>
      <c r="EHV114" s="367">
        <v>15.38</v>
      </c>
      <c r="EHW114" s="367" t="e">
        <f>EHT114*EHU114*EHV114</f>
        <v>#DIV/0!</v>
      </c>
      <c r="EHX114" s="363" t="s">
        <v>153</v>
      </c>
      <c r="EHY114" s="363"/>
      <c r="EHZ114" s="363"/>
      <c r="EIA114" s="364" t="s">
        <v>140</v>
      </c>
      <c r="EIB114" s="365">
        <v>0.5</v>
      </c>
      <c r="EIC114" s="366" t="e">
        <f>10/EHY112</f>
        <v>#DIV/0!</v>
      </c>
      <c r="EID114" s="367">
        <v>15.38</v>
      </c>
      <c r="EIE114" s="367" t="e">
        <f>EIB114*EIC114*EID114</f>
        <v>#DIV/0!</v>
      </c>
      <c r="EIF114" s="363" t="s">
        <v>153</v>
      </c>
      <c r="EIG114" s="363"/>
      <c r="EIH114" s="363"/>
      <c r="EII114" s="364" t="s">
        <v>140</v>
      </c>
      <c r="EIJ114" s="365">
        <v>0.5</v>
      </c>
      <c r="EIK114" s="366" t="e">
        <f>10/EIG112</f>
        <v>#DIV/0!</v>
      </c>
      <c r="EIL114" s="367">
        <v>15.38</v>
      </c>
      <c r="EIM114" s="367" t="e">
        <f>EIJ114*EIK114*EIL114</f>
        <v>#DIV/0!</v>
      </c>
      <c r="EIN114" s="363" t="s">
        <v>153</v>
      </c>
      <c r="EIO114" s="363"/>
      <c r="EIP114" s="363"/>
      <c r="EIQ114" s="364" t="s">
        <v>140</v>
      </c>
      <c r="EIR114" s="365">
        <v>0.5</v>
      </c>
      <c r="EIS114" s="366" t="e">
        <f>10/EIO112</f>
        <v>#DIV/0!</v>
      </c>
      <c r="EIT114" s="367">
        <v>15.38</v>
      </c>
      <c r="EIU114" s="367" t="e">
        <f>EIR114*EIS114*EIT114</f>
        <v>#DIV/0!</v>
      </c>
      <c r="EIV114" s="363" t="s">
        <v>153</v>
      </c>
      <c r="EIW114" s="363"/>
      <c r="EIX114" s="363"/>
      <c r="EIY114" s="364" t="s">
        <v>140</v>
      </c>
      <c r="EIZ114" s="365">
        <v>0.5</v>
      </c>
      <c r="EJA114" s="366" t="e">
        <f>10/EIW112</f>
        <v>#DIV/0!</v>
      </c>
      <c r="EJB114" s="367">
        <v>15.38</v>
      </c>
      <c r="EJC114" s="367" t="e">
        <f>EIZ114*EJA114*EJB114</f>
        <v>#DIV/0!</v>
      </c>
      <c r="EJD114" s="363" t="s">
        <v>153</v>
      </c>
      <c r="EJE114" s="363"/>
      <c r="EJF114" s="363"/>
      <c r="EJG114" s="364" t="s">
        <v>140</v>
      </c>
      <c r="EJH114" s="365">
        <v>0.5</v>
      </c>
      <c r="EJI114" s="366" t="e">
        <f>10/EJE112</f>
        <v>#DIV/0!</v>
      </c>
      <c r="EJJ114" s="367">
        <v>15.38</v>
      </c>
      <c r="EJK114" s="367" t="e">
        <f>EJH114*EJI114*EJJ114</f>
        <v>#DIV/0!</v>
      </c>
      <c r="EJL114" s="363" t="s">
        <v>153</v>
      </c>
      <c r="EJM114" s="363"/>
      <c r="EJN114" s="363"/>
      <c r="EJO114" s="364" t="s">
        <v>140</v>
      </c>
      <c r="EJP114" s="365">
        <v>0.5</v>
      </c>
      <c r="EJQ114" s="366" t="e">
        <f>10/EJM112</f>
        <v>#DIV/0!</v>
      </c>
      <c r="EJR114" s="367">
        <v>15.38</v>
      </c>
      <c r="EJS114" s="367" t="e">
        <f>EJP114*EJQ114*EJR114</f>
        <v>#DIV/0!</v>
      </c>
      <c r="EJT114" s="363" t="s">
        <v>153</v>
      </c>
      <c r="EJU114" s="363"/>
      <c r="EJV114" s="363"/>
      <c r="EJW114" s="364" t="s">
        <v>140</v>
      </c>
      <c r="EJX114" s="365">
        <v>0.5</v>
      </c>
      <c r="EJY114" s="366" t="e">
        <f>10/EJU112</f>
        <v>#DIV/0!</v>
      </c>
      <c r="EJZ114" s="367">
        <v>15.38</v>
      </c>
      <c r="EKA114" s="367" t="e">
        <f>EJX114*EJY114*EJZ114</f>
        <v>#DIV/0!</v>
      </c>
      <c r="EKB114" s="363" t="s">
        <v>153</v>
      </c>
      <c r="EKC114" s="363"/>
      <c r="EKD114" s="363"/>
      <c r="EKE114" s="364" t="s">
        <v>140</v>
      </c>
      <c r="EKF114" s="365">
        <v>0.5</v>
      </c>
      <c r="EKG114" s="366" t="e">
        <f>10/EKC112</f>
        <v>#DIV/0!</v>
      </c>
      <c r="EKH114" s="367">
        <v>15.38</v>
      </c>
      <c r="EKI114" s="367" t="e">
        <f>EKF114*EKG114*EKH114</f>
        <v>#DIV/0!</v>
      </c>
      <c r="EKJ114" s="363" t="s">
        <v>153</v>
      </c>
      <c r="EKK114" s="363"/>
      <c r="EKL114" s="363"/>
      <c r="EKM114" s="364" t="s">
        <v>140</v>
      </c>
      <c r="EKN114" s="365">
        <v>0.5</v>
      </c>
      <c r="EKO114" s="366" t="e">
        <f>10/EKK112</f>
        <v>#DIV/0!</v>
      </c>
      <c r="EKP114" s="367">
        <v>15.38</v>
      </c>
      <c r="EKQ114" s="367" t="e">
        <f>EKN114*EKO114*EKP114</f>
        <v>#DIV/0!</v>
      </c>
      <c r="EKR114" s="363" t="s">
        <v>153</v>
      </c>
      <c r="EKS114" s="363"/>
      <c r="EKT114" s="363"/>
      <c r="EKU114" s="364" t="s">
        <v>140</v>
      </c>
      <c r="EKV114" s="365">
        <v>0.5</v>
      </c>
      <c r="EKW114" s="366" t="e">
        <f>10/EKS112</f>
        <v>#DIV/0!</v>
      </c>
      <c r="EKX114" s="367">
        <v>15.38</v>
      </c>
      <c r="EKY114" s="367" t="e">
        <f>EKV114*EKW114*EKX114</f>
        <v>#DIV/0!</v>
      </c>
      <c r="EKZ114" s="363" t="s">
        <v>153</v>
      </c>
      <c r="ELA114" s="363"/>
      <c r="ELB114" s="363"/>
      <c r="ELC114" s="364" t="s">
        <v>140</v>
      </c>
      <c r="ELD114" s="365">
        <v>0.5</v>
      </c>
      <c r="ELE114" s="366" t="e">
        <f>10/ELA112</f>
        <v>#DIV/0!</v>
      </c>
      <c r="ELF114" s="367">
        <v>15.38</v>
      </c>
      <c r="ELG114" s="367" t="e">
        <f>ELD114*ELE114*ELF114</f>
        <v>#DIV/0!</v>
      </c>
      <c r="ELH114" s="363" t="s">
        <v>153</v>
      </c>
      <c r="ELI114" s="363"/>
      <c r="ELJ114" s="363"/>
      <c r="ELK114" s="364" t="s">
        <v>140</v>
      </c>
      <c r="ELL114" s="365">
        <v>0.5</v>
      </c>
      <c r="ELM114" s="366" t="e">
        <f>10/ELI112</f>
        <v>#DIV/0!</v>
      </c>
      <c r="ELN114" s="367">
        <v>15.38</v>
      </c>
      <c r="ELO114" s="367" t="e">
        <f>ELL114*ELM114*ELN114</f>
        <v>#DIV/0!</v>
      </c>
      <c r="ELP114" s="363" t="s">
        <v>153</v>
      </c>
      <c r="ELQ114" s="363"/>
      <c r="ELR114" s="363"/>
      <c r="ELS114" s="364" t="s">
        <v>140</v>
      </c>
      <c r="ELT114" s="365">
        <v>0.5</v>
      </c>
      <c r="ELU114" s="366" t="e">
        <f>10/ELQ112</f>
        <v>#DIV/0!</v>
      </c>
      <c r="ELV114" s="367">
        <v>15.38</v>
      </c>
      <c r="ELW114" s="367" t="e">
        <f>ELT114*ELU114*ELV114</f>
        <v>#DIV/0!</v>
      </c>
      <c r="ELX114" s="363" t="s">
        <v>153</v>
      </c>
      <c r="ELY114" s="363"/>
      <c r="ELZ114" s="363"/>
      <c r="EMA114" s="364" t="s">
        <v>140</v>
      </c>
      <c r="EMB114" s="365">
        <v>0.5</v>
      </c>
      <c r="EMC114" s="366" t="e">
        <f>10/ELY112</f>
        <v>#DIV/0!</v>
      </c>
      <c r="EMD114" s="367">
        <v>15.38</v>
      </c>
      <c r="EME114" s="367" t="e">
        <f>EMB114*EMC114*EMD114</f>
        <v>#DIV/0!</v>
      </c>
      <c r="EMF114" s="363" t="s">
        <v>153</v>
      </c>
      <c r="EMG114" s="363"/>
      <c r="EMH114" s="363"/>
      <c r="EMI114" s="364" t="s">
        <v>140</v>
      </c>
      <c r="EMJ114" s="365">
        <v>0.5</v>
      </c>
      <c r="EMK114" s="366" t="e">
        <f>10/EMG112</f>
        <v>#DIV/0!</v>
      </c>
      <c r="EML114" s="367">
        <v>15.38</v>
      </c>
      <c r="EMM114" s="367" t="e">
        <f>EMJ114*EMK114*EML114</f>
        <v>#DIV/0!</v>
      </c>
      <c r="EMN114" s="363" t="s">
        <v>153</v>
      </c>
      <c r="EMO114" s="363"/>
      <c r="EMP114" s="363"/>
      <c r="EMQ114" s="364" t="s">
        <v>140</v>
      </c>
      <c r="EMR114" s="365">
        <v>0.5</v>
      </c>
      <c r="EMS114" s="366" t="e">
        <f>10/EMO112</f>
        <v>#DIV/0!</v>
      </c>
      <c r="EMT114" s="367">
        <v>15.38</v>
      </c>
      <c r="EMU114" s="367" t="e">
        <f>EMR114*EMS114*EMT114</f>
        <v>#DIV/0!</v>
      </c>
      <c r="EMV114" s="363" t="s">
        <v>153</v>
      </c>
      <c r="EMW114" s="363"/>
      <c r="EMX114" s="363"/>
      <c r="EMY114" s="364" t="s">
        <v>140</v>
      </c>
      <c r="EMZ114" s="365">
        <v>0.5</v>
      </c>
      <c r="ENA114" s="366" t="e">
        <f>10/EMW112</f>
        <v>#DIV/0!</v>
      </c>
      <c r="ENB114" s="367">
        <v>15.38</v>
      </c>
      <c r="ENC114" s="367" t="e">
        <f>EMZ114*ENA114*ENB114</f>
        <v>#DIV/0!</v>
      </c>
      <c r="END114" s="363" t="s">
        <v>153</v>
      </c>
      <c r="ENE114" s="363"/>
      <c r="ENF114" s="363"/>
      <c r="ENG114" s="364" t="s">
        <v>140</v>
      </c>
      <c r="ENH114" s="365">
        <v>0.5</v>
      </c>
      <c r="ENI114" s="366" t="e">
        <f>10/ENE112</f>
        <v>#DIV/0!</v>
      </c>
      <c r="ENJ114" s="367">
        <v>15.38</v>
      </c>
      <c r="ENK114" s="367" t="e">
        <f>ENH114*ENI114*ENJ114</f>
        <v>#DIV/0!</v>
      </c>
      <c r="ENL114" s="363" t="s">
        <v>153</v>
      </c>
      <c r="ENM114" s="363"/>
      <c r="ENN114" s="363"/>
      <c r="ENO114" s="364" t="s">
        <v>140</v>
      </c>
      <c r="ENP114" s="365">
        <v>0.5</v>
      </c>
      <c r="ENQ114" s="366" t="e">
        <f>10/ENM112</f>
        <v>#DIV/0!</v>
      </c>
      <c r="ENR114" s="367">
        <v>15.38</v>
      </c>
      <c r="ENS114" s="367" t="e">
        <f>ENP114*ENQ114*ENR114</f>
        <v>#DIV/0!</v>
      </c>
      <c r="ENT114" s="363" t="s">
        <v>153</v>
      </c>
      <c r="ENU114" s="363"/>
      <c r="ENV114" s="363"/>
      <c r="ENW114" s="364" t="s">
        <v>140</v>
      </c>
      <c r="ENX114" s="365">
        <v>0.5</v>
      </c>
      <c r="ENY114" s="366" t="e">
        <f>10/ENU112</f>
        <v>#DIV/0!</v>
      </c>
      <c r="ENZ114" s="367">
        <v>15.38</v>
      </c>
      <c r="EOA114" s="367" t="e">
        <f>ENX114*ENY114*ENZ114</f>
        <v>#DIV/0!</v>
      </c>
      <c r="EOB114" s="363" t="s">
        <v>153</v>
      </c>
      <c r="EOC114" s="363"/>
      <c r="EOD114" s="363"/>
      <c r="EOE114" s="364" t="s">
        <v>140</v>
      </c>
      <c r="EOF114" s="365">
        <v>0.5</v>
      </c>
      <c r="EOG114" s="366" t="e">
        <f>10/EOC112</f>
        <v>#DIV/0!</v>
      </c>
      <c r="EOH114" s="367">
        <v>15.38</v>
      </c>
      <c r="EOI114" s="367" t="e">
        <f>EOF114*EOG114*EOH114</f>
        <v>#DIV/0!</v>
      </c>
      <c r="EOJ114" s="363" t="s">
        <v>153</v>
      </c>
      <c r="EOK114" s="363"/>
      <c r="EOL114" s="363"/>
      <c r="EOM114" s="364" t="s">
        <v>140</v>
      </c>
      <c r="EON114" s="365">
        <v>0.5</v>
      </c>
      <c r="EOO114" s="366" t="e">
        <f>10/EOK112</f>
        <v>#DIV/0!</v>
      </c>
      <c r="EOP114" s="367">
        <v>15.38</v>
      </c>
      <c r="EOQ114" s="367" t="e">
        <f>EON114*EOO114*EOP114</f>
        <v>#DIV/0!</v>
      </c>
      <c r="EOR114" s="363" t="s">
        <v>153</v>
      </c>
      <c r="EOS114" s="363"/>
      <c r="EOT114" s="363"/>
      <c r="EOU114" s="364" t="s">
        <v>140</v>
      </c>
      <c r="EOV114" s="365">
        <v>0.5</v>
      </c>
      <c r="EOW114" s="366" t="e">
        <f>10/EOS112</f>
        <v>#DIV/0!</v>
      </c>
      <c r="EOX114" s="367">
        <v>15.38</v>
      </c>
      <c r="EOY114" s="367" t="e">
        <f>EOV114*EOW114*EOX114</f>
        <v>#DIV/0!</v>
      </c>
      <c r="EOZ114" s="363" t="s">
        <v>153</v>
      </c>
      <c r="EPA114" s="363"/>
      <c r="EPB114" s="363"/>
      <c r="EPC114" s="364" t="s">
        <v>140</v>
      </c>
      <c r="EPD114" s="365">
        <v>0.5</v>
      </c>
      <c r="EPE114" s="366" t="e">
        <f>10/EPA112</f>
        <v>#DIV/0!</v>
      </c>
      <c r="EPF114" s="367">
        <v>15.38</v>
      </c>
      <c r="EPG114" s="367" t="e">
        <f>EPD114*EPE114*EPF114</f>
        <v>#DIV/0!</v>
      </c>
      <c r="EPH114" s="363" t="s">
        <v>153</v>
      </c>
      <c r="EPI114" s="363"/>
      <c r="EPJ114" s="363"/>
      <c r="EPK114" s="364" t="s">
        <v>140</v>
      </c>
      <c r="EPL114" s="365">
        <v>0.5</v>
      </c>
      <c r="EPM114" s="366" t="e">
        <f>10/EPI112</f>
        <v>#DIV/0!</v>
      </c>
      <c r="EPN114" s="367">
        <v>15.38</v>
      </c>
      <c r="EPO114" s="367" t="e">
        <f>EPL114*EPM114*EPN114</f>
        <v>#DIV/0!</v>
      </c>
      <c r="EPP114" s="363" t="s">
        <v>153</v>
      </c>
      <c r="EPQ114" s="363"/>
      <c r="EPR114" s="363"/>
      <c r="EPS114" s="364" t="s">
        <v>140</v>
      </c>
      <c r="EPT114" s="365">
        <v>0.5</v>
      </c>
      <c r="EPU114" s="366" t="e">
        <f>10/EPQ112</f>
        <v>#DIV/0!</v>
      </c>
      <c r="EPV114" s="367">
        <v>15.38</v>
      </c>
      <c r="EPW114" s="367" t="e">
        <f>EPT114*EPU114*EPV114</f>
        <v>#DIV/0!</v>
      </c>
      <c r="EPX114" s="363" t="s">
        <v>153</v>
      </c>
      <c r="EPY114" s="363"/>
      <c r="EPZ114" s="363"/>
      <c r="EQA114" s="364" t="s">
        <v>140</v>
      </c>
      <c r="EQB114" s="365">
        <v>0.5</v>
      </c>
      <c r="EQC114" s="366" t="e">
        <f>10/EPY112</f>
        <v>#DIV/0!</v>
      </c>
      <c r="EQD114" s="367">
        <v>15.38</v>
      </c>
      <c r="EQE114" s="367" t="e">
        <f>EQB114*EQC114*EQD114</f>
        <v>#DIV/0!</v>
      </c>
      <c r="EQF114" s="363" t="s">
        <v>153</v>
      </c>
      <c r="EQG114" s="363"/>
      <c r="EQH114" s="363"/>
      <c r="EQI114" s="364" t="s">
        <v>140</v>
      </c>
      <c r="EQJ114" s="365">
        <v>0.5</v>
      </c>
      <c r="EQK114" s="366" t="e">
        <f>10/EQG112</f>
        <v>#DIV/0!</v>
      </c>
      <c r="EQL114" s="367">
        <v>15.38</v>
      </c>
      <c r="EQM114" s="367" t="e">
        <f>EQJ114*EQK114*EQL114</f>
        <v>#DIV/0!</v>
      </c>
      <c r="EQN114" s="363" t="s">
        <v>153</v>
      </c>
      <c r="EQO114" s="363"/>
      <c r="EQP114" s="363"/>
      <c r="EQQ114" s="364" t="s">
        <v>140</v>
      </c>
      <c r="EQR114" s="365">
        <v>0.5</v>
      </c>
      <c r="EQS114" s="366" t="e">
        <f>10/EQO112</f>
        <v>#DIV/0!</v>
      </c>
      <c r="EQT114" s="367">
        <v>15.38</v>
      </c>
      <c r="EQU114" s="367" t="e">
        <f>EQR114*EQS114*EQT114</f>
        <v>#DIV/0!</v>
      </c>
      <c r="EQV114" s="363" t="s">
        <v>153</v>
      </c>
      <c r="EQW114" s="363"/>
      <c r="EQX114" s="363"/>
      <c r="EQY114" s="364" t="s">
        <v>140</v>
      </c>
      <c r="EQZ114" s="365">
        <v>0.5</v>
      </c>
      <c r="ERA114" s="366" t="e">
        <f>10/EQW112</f>
        <v>#DIV/0!</v>
      </c>
      <c r="ERB114" s="367">
        <v>15.38</v>
      </c>
      <c r="ERC114" s="367" t="e">
        <f>EQZ114*ERA114*ERB114</f>
        <v>#DIV/0!</v>
      </c>
      <c r="ERD114" s="363" t="s">
        <v>153</v>
      </c>
      <c r="ERE114" s="363"/>
      <c r="ERF114" s="363"/>
      <c r="ERG114" s="364" t="s">
        <v>140</v>
      </c>
      <c r="ERH114" s="365">
        <v>0.5</v>
      </c>
      <c r="ERI114" s="366" t="e">
        <f>10/ERE112</f>
        <v>#DIV/0!</v>
      </c>
      <c r="ERJ114" s="367">
        <v>15.38</v>
      </c>
      <c r="ERK114" s="367" t="e">
        <f>ERH114*ERI114*ERJ114</f>
        <v>#DIV/0!</v>
      </c>
      <c r="ERL114" s="363" t="s">
        <v>153</v>
      </c>
      <c r="ERM114" s="363"/>
      <c r="ERN114" s="363"/>
      <c r="ERO114" s="364" t="s">
        <v>140</v>
      </c>
      <c r="ERP114" s="365">
        <v>0.5</v>
      </c>
      <c r="ERQ114" s="366" t="e">
        <f>10/ERM112</f>
        <v>#DIV/0!</v>
      </c>
      <c r="ERR114" s="367">
        <v>15.38</v>
      </c>
      <c r="ERS114" s="367" t="e">
        <f>ERP114*ERQ114*ERR114</f>
        <v>#DIV/0!</v>
      </c>
      <c r="ERT114" s="363" t="s">
        <v>153</v>
      </c>
      <c r="ERU114" s="363"/>
      <c r="ERV114" s="363"/>
      <c r="ERW114" s="364" t="s">
        <v>140</v>
      </c>
      <c r="ERX114" s="365">
        <v>0.5</v>
      </c>
      <c r="ERY114" s="366" t="e">
        <f>10/ERU112</f>
        <v>#DIV/0!</v>
      </c>
      <c r="ERZ114" s="367">
        <v>15.38</v>
      </c>
      <c r="ESA114" s="367" t="e">
        <f>ERX114*ERY114*ERZ114</f>
        <v>#DIV/0!</v>
      </c>
      <c r="ESB114" s="363" t="s">
        <v>153</v>
      </c>
      <c r="ESC114" s="363"/>
      <c r="ESD114" s="363"/>
      <c r="ESE114" s="364" t="s">
        <v>140</v>
      </c>
      <c r="ESF114" s="365">
        <v>0.5</v>
      </c>
      <c r="ESG114" s="366" t="e">
        <f>10/ESC112</f>
        <v>#DIV/0!</v>
      </c>
      <c r="ESH114" s="367">
        <v>15.38</v>
      </c>
      <c r="ESI114" s="367" t="e">
        <f>ESF114*ESG114*ESH114</f>
        <v>#DIV/0!</v>
      </c>
      <c r="ESJ114" s="363" t="s">
        <v>153</v>
      </c>
      <c r="ESK114" s="363"/>
      <c r="ESL114" s="363"/>
      <c r="ESM114" s="364" t="s">
        <v>140</v>
      </c>
      <c r="ESN114" s="365">
        <v>0.5</v>
      </c>
      <c r="ESO114" s="366" t="e">
        <f>10/ESK112</f>
        <v>#DIV/0!</v>
      </c>
      <c r="ESP114" s="367">
        <v>15.38</v>
      </c>
      <c r="ESQ114" s="367" t="e">
        <f>ESN114*ESO114*ESP114</f>
        <v>#DIV/0!</v>
      </c>
      <c r="ESR114" s="363" t="s">
        <v>153</v>
      </c>
      <c r="ESS114" s="363"/>
      <c r="EST114" s="363"/>
      <c r="ESU114" s="364" t="s">
        <v>140</v>
      </c>
      <c r="ESV114" s="365">
        <v>0.5</v>
      </c>
      <c r="ESW114" s="366" t="e">
        <f>10/ESS112</f>
        <v>#DIV/0!</v>
      </c>
      <c r="ESX114" s="367">
        <v>15.38</v>
      </c>
      <c r="ESY114" s="367" t="e">
        <f>ESV114*ESW114*ESX114</f>
        <v>#DIV/0!</v>
      </c>
      <c r="ESZ114" s="363" t="s">
        <v>153</v>
      </c>
      <c r="ETA114" s="363"/>
      <c r="ETB114" s="363"/>
      <c r="ETC114" s="364" t="s">
        <v>140</v>
      </c>
      <c r="ETD114" s="365">
        <v>0.5</v>
      </c>
      <c r="ETE114" s="366" t="e">
        <f>10/ETA112</f>
        <v>#DIV/0!</v>
      </c>
      <c r="ETF114" s="367">
        <v>15.38</v>
      </c>
      <c r="ETG114" s="367" t="e">
        <f>ETD114*ETE114*ETF114</f>
        <v>#DIV/0!</v>
      </c>
      <c r="ETH114" s="363" t="s">
        <v>153</v>
      </c>
      <c r="ETI114" s="363"/>
      <c r="ETJ114" s="363"/>
      <c r="ETK114" s="364" t="s">
        <v>140</v>
      </c>
      <c r="ETL114" s="365">
        <v>0.5</v>
      </c>
      <c r="ETM114" s="366" t="e">
        <f>10/ETI112</f>
        <v>#DIV/0!</v>
      </c>
      <c r="ETN114" s="367">
        <v>15.38</v>
      </c>
      <c r="ETO114" s="367" t="e">
        <f>ETL114*ETM114*ETN114</f>
        <v>#DIV/0!</v>
      </c>
      <c r="ETP114" s="363" t="s">
        <v>153</v>
      </c>
      <c r="ETQ114" s="363"/>
      <c r="ETR114" s="363"/>
      <c r="ETS114" s="364" t="s">
        <v>140</v>
      </c>
      <c r="ETT114" s="365">
        <v>0.5</v>
      </c>
      <c r="ETU114" s="366" t="e">
        <f>10/ETQ112</f>
        <v>#DIV/0!</v>
      </c>
      <c r="ETV114" s="367">
        <v>15.38</v>
      </c>
      <c r="ETW114" s="367" t="e">
        <f>ETT114*ETU114*ETV114</f>
        <v>#DIV/0!</v>
      </c>
      <c r="ETX114" s="363" t="s">
        <v>153</v>
      </c>
      <c r="ETY114" s="363"/>
      <c r="ETZ114" s="363"/>
      <c r="EUA114" s="364" t="s">
        <v>140</v>
      </c>
      <c r="EUB114" s="365">
        <v>0.5</v>
      </c>
      <c r="EUC114" s="366" t="e">
        <f>10/ETY112</f>
        <v>#DIV/0!</v>
      </c>
      <c r="EUD114" s="367">
        <v>15.38</v>
      </c>
      <c r="EUE114" s="367" t="e">
        <f>EUB114*EUC114*EUD114</f>
        <v>#DIV/0!</v>
      </c>
      <c r="EUF114" s="363" t="s">
        <v>153</v>
      </c>
      <c r="EUG114" s="363"/>
      <c r="EUH114" s="363"/>
      <c r="EUI114" s="364" t="s">
        <v>140</v>
      </c>
      <c r="EUJ114" s="365">
        <v>0.5</v>
      </c>
      <c r="EUK114" s="366" t="e">
        <f>10/EUG112</f>
        <v>#DIV/0!</v>
      </c>
      <c r="EUL114" s="367">
        <v>15.38</v>
      </c>
      <c r="EUM114" s="367" t="e">
        <f>EUJ114*EUK114*EUL114</f>
        <v>#DIV/0!</v>
      </c>
      <c r="EUN114" s="363" t="s">
        <v>153</v>
      </c>
      <c r="EUO114" s="363"/>
      <c r="EUP114" s="363"/>
      <c r="EUQ114" s="364" t="s">
        <v>140</v>
      </c>
      <c r="EUR114" s="365">
        <v>0.5</v>
      </c>
      <c r="EUS114" s="366" t="e">
        <f>10/EUO112</f>
        <v>#DIV/0!</v>
      </c>
      <c r="EUT114" s="367">
        <v>15.38</v>
      </c>
      <c r="EUU114" s="367" t="e">
        <f>EUR114*EUS114*EUT114</f>
        <v>#DIV/0!</v>
      </c>
      <c r="EUV114" s="363" t="s">
        <v>153</v>
      </c>
      <c r="EUW114" s="363"/>
      <c r="EUX114" s="363"/>
      <c r="EUY114" s="364" t="s">
        <v>140</v>
      </c>
      <c r="EUZ114" s="365">
        <v>0.5</v>
      </c>
      <c r="EVA114" s="366" t="e">
        <f>10/EUW112</f>
        <v>#DIV/0!</v>
      </c>
      <c r="EVB114" s="367">
        <v>15.38</v>
      </c>
      <c r="EVC114" s="367" t="e">
        <f>EUZ114*EVA114*EVB114</f>
        <v>#DIV/0!</v>
      </c>
      <c r="EVD114" s="363" t="s">
        <v>153</v>
      </c>
      <c r="EVE114" s="363"/>
      <c r="EVF114" s="363"/>
      <c r="EVG114" s="364" t="s">
        <v>140</v>
      </c>
      <c r="EVH114" s="365">
        <v>0.5</v>
      </c>
      <c r="EVI114" s="366" t="e">
        <f>10/EVE112</f>
        <v>#DIV/0!</v>
      </c>
      <c r="EVJ114" s="367">
        <v>15.38</v>
      </c>
      <c r="EVK114" s="367" t="e">
        <f>EVH114*EVI114*EVJ114</f>
        <v>#DIV/0!</v>
      </c>
      <c r="EVL114" s="363" t="s">
        <v>153</v>
      </c>
      <c r="EVM114" s="363"/>
      <c r="EVN114" s="363"/>
      <c r="EVO114" s="364" t="s">
        <v>140</v>
      </c>
      <c r="EVP114" s="365">
        <v>0.5</v>
      </c>
      <c r="EVQ114" s="366" t="e">
        <f>10/EVM112</f>
        <v>#DIV/0!</v>
      </c>
      <c r="EVR114" s="367">
        <v>15.38</v>
      </c>
      <c r="EVS114" s="367" t="e">
        <f>EVP114*EVQ114*EVR114</f>
        <v>#DIV/0!</v>
      </c>
      <c r="EVT114" s="363" t="s">
        <v>153</v>
      </c>
      <c r="EVU114" s="363"/>
      <c r="EVV114" s="363"/>
      <c r="EVW114" s="364" t="s">
        <v>140</v>
      </c>
      <c r="EVX114" s="365">
        <v>0.5</v>
      </c>
      <c r="EVY114" s="366" t="e">
        <f>10/EVU112</f>
        <v>#DIV/0!</v>
      </c>
      <c r="EVZ114" s="367">
        <v>15.38</v>
      </c>
      <c r="EWA114" s="367" t="e">
        <f>EVX114*EVY114*EVZ114</f>
        <v>#DIV/0!</v>
      </c>
      <c r="EWB114" s="363" t="s">
        <v>153</v>
      </c>
      <c r="EWC114" s="363"/>
      <c r="EWD114" s="363"/>
      <c r="EWE114" s="364" t="s">
        <v>140</v>
      </c>
      <c r="EWF114" s="365">
        <v>0.5</v>
      </c>
      <c r="EWG114" s="366" t="e">
        <f>10/EWC112</f>
        <v>#DIV/0!</v>
      </c>
      <c r="EWH114" s="367">
        <v>15.38</v>
      </c>
      <c r="EWI114" s="367" t="e">
        <f>EWF114*EWG114*EWH114</f>
        <v>#DIV/0!</v>
      </c>
      <c r="EWJ114" s="363" t="s">
        <v>153</v>
      </c>
      <c r="EWK114" s="363"/>
      <c r="EWL114" s="363"/>
      <c r="EWM114" s="364" t="s">
        <v>140</v>
      </c>
      <c r="EWN114" s="365">
        <v>0.5</v>
      </c>
      <c r="EWO114" s="366" t="e">
        <f>10/EWK112</f>
        <v>#DIV/0!</v>
      </c>
      <c r="EWP114" s="367">
        <v>15.38</v>
      </c>
      <c r="EWQ114" s="367" t="e">
        <f>EWN114*EWO114*EWP114</f>
        <v>#DIV/0!</v>
      </c>
      <c r="EWR114" s="363" t="s">
        <v>153</v>
      </c>
      <c r="EWS114" s="363"/>
      <c r="EWT114" s="363"/>
      <c r="EWU114" s="364" t="s">
        <v>140</v>
      </c>
      <c r="EWV114" s="365">
        <v>0.5</v>
      </c>
      <c r="EWW114" s="366" t="e">
        <f>10/EWS112</f>
        <v>#DIV/0!</v>
      </c>
      <c r="EWX114" s="367">
        <v>15.38</v>
      </c>
      <c r="EWY114" s="367" t="e">
        <f>EWV114*EWW114*EWX114</f>
        <v>#DIV/0!</v>
      </c>
      <c r="EWZ114" s="363" t="s">
        <v>153</v>
      </c>
      <c r="EXA114" s="363"/>
      <c r="EXB114" s="363"/>
      <c r="EXC114" s="364" t="s">
        <v>140</v>
      </c>
      <c r="EXD114" s="365">
        <v>0.5</v>
      </c>
      <c r="EXE114" s="366" t="e">
        <f>10/EXA112</f>
        <v>#DIV/0!</v>
      </c>
      <c r="EXF114" s="367">
        <v>15.38</v>
      </c>
      <c r="EXG114" s="367" t="e">
        <f>EXD114*EXE114*EXF114</f>
        <v>#DIV/0!</v>
      </c>
      <c r="EXH114" s="363" t="s">
        <v>153</v>
      </c>
      <c r="EXI114" s="363"/>
      <c r="EXJ114" s="363"/>
      <c r="EXK114" s="364" t="s">
        <v>140</v>
      </c>
      <c r="EXL114" s="365">
        <v>0.5</v>
      </c>
      <c r="EXM114" s="366" t="e">
        <f>10/EXI112</f>
        <v>#DIV/0!</v>
      </c>
      <c r="EXN114" s="367">
        <v>15.38</v>
      </c>
      <c r="EXO114" s="367" t="e">
        <f>EXL114*EXM114*EXN114</f>
        <v>#DIV/0!</v>
      </c>
      <c r="EXP114" s="363" t="s">
        <v>153</v>
      </c>
      <c r="EXQ114" s="363"/>
      <c r="EXR114" s="363"/>
      <c r="EXS114" s="364" t="s">
        <v>140</v>
      </c>
      <c r="EXT114" s="365">
        <v>0.5</v>
      </c>
      <c r="EXU114" s="366" t="e">
        <f>10/EXQ112</f>
        <v>#DIV/0!</v>
      </c>
      <c r="EXV114" s="367">
        <v>15.38</v>
      </c>
      <c r="EXW114" s="367" t="e">
        <f>EXT114*EXU114*EXV114</f>
        <v>#DIV/0!</v>
      </c>
      <c r="EXX114" s="363" t="s">
        <v>153</v>
      </c>
      <c r="EXY114" s="363"/>
      <c r="EXZ114" s="363"/>
      <c r="EYA114" s="364" t="s">
        <v>140</v>
      </c>
      <c r="EYB114" s="365">
        <v>0.5</v>
      </c>
      <c r="EYC114" s="366" t="e">
        <f>10/EXY112</f>
        <v>#DIV/0!</v>
      </c>
      <c r="EYD114" s="367">
        <v>15.38</v>
      </c>
      <c r="EYE114" s="367" t="e">
        <f>EYB114*EYC114*EYD114</f>
        <v>#DIV/0!</v>
      </c>
      <c r="EYF114" s="363" t="s">
        <v>153</v>
      </c>
      <c r="EYG114" s="363"/>
      <c r="EYH114" s="363"/>
      <c r="EYI114" s="364" t="s">
        <v>140</v>
      </c>
      <c r="EYJ114" s="365">
        <v>0.5</v>
      </c>
      <c r="EYK114" s="366" t="e">
        <f>10/EYG112</f>
        <v>#DIV/0!</v>
      </c>
      <c r="EYL114" s="367">
        <v>15.38</v>
      </c>
      <c r="EYM114" s="367" t="e">
        <f>EYJ114*EYK114*EYL114</f>
        <v>#DIV/0!</v>
      </c>
      <c r="EYN114" s="363" t="s">
        <v>153</v>
      </c>
      <c r="EYO114" s="363"/>
      <c r="EYP114" s="363"/>
      <c r="EYQ114" s="364" t="s">
        <v>140</v>
      </c>
      <c r="EYR114" s="365">
        <v>0.5</v>
      </c>
      <c r="EYS114" s="366" t="e">
        <f>10/EYO112</f>
        <v>#DIV/0!</v>
      </c>
      <c r="EYT114" s="367">
        <v>15.38</v>
      </c>
      <c r="EYU114" s="367" t="e">
        <f>EYR114*EYS114*EYT114</f>
        <v>#DIV/0!</v>
      </c>
      <c r="EYV114" s="363" t="s">
        <v>153</v>
      </c>
      <c r="EYW114" s="363"/>
      <c r="EYX114" s="363"/>
      <c r="EYY114" s="364" t="s">
        <v>140</v>
      </c>
      <c r="EYZ114" s="365">
        <v>0.5</v>
      </c>
      <c r="EZA114" s="366" t="e">
        <f>10/EYW112</f>
        <v>#DIV/0!</v>
      </c>
      <c r="EZB114" s="367">
        <v>15.38</v>
      </c>
      <c r="EZC114" s="367" t="e">
        <f>EYZ114*EZA114*EZB114</f>
        <v>#DIV/0!</v>
      </c>
      <c r="EZD114" s="363" t="s">
        <v>153</v>
      </c>
      <c r="EZE114" s="363"/>
      <c r="EZF114" s="363"/>
      <c r="EZG114" s="364" t="s">
        <v>140</v>
      </c>
      <c r="EZH114" s="365">
        <v>0.5</v>
      </c>
      <c r="EZI114" s="366" t="e">
        <f>10/EZE112</f>
        <v>#DIV/0!</v>
      </c>
      <c r="EZJ114" s="367">
        <v>15.38</v>
      </c>
      <c r="EZK114" s="367" t="e">
        <f>EZH114*EZI114*EZJ114</f>
        <v>#DIV/0!</v>
      </c>
      <c r="EZL114" s="363" t="s">
        <v>153</v>
      </c>
      <c r="EZM114" s="363"/>
      <c r="EZN114" s="363"/>
      <c r="EZO114" s="364" t="s">
        <v>140</v>
      </c>
      <c r="EZP114" s="365">
        <v>0.5</v>
      </c>
      <c r="EZQ114" s="366" t="e">
        <f>10/EZM112</f>
        <v>#DIV/0!</v>
      </c>
      <c r="EZR114" s="367">
        <v>15.38</v>
      </c>
      <c r="EZS114" s="367" t="e">
        <f>EZP114*EZQ114*EZR114</f>
        <v>#DIV/0!</v>
      </c>
      <c r="EZT114" s="363" t="s">
        <v>153</v>
      </c>
      <c r="EZU114" s="363"/>
      <c r="EZV114" s="363"/>
      <c r="EZW114" s="364" t="s">
        <v>140</v>
      </c>
      <c r="EZX114" s="365">
        <v>0.5</v>
      </c>
      <c r="EZY114" s="366" t="e">
        <f>10/EZU112</f>
        <v>#DIV/0!</v>
      </c>
      <c r="EZZ114" s="367">
        <v>15.38</v>
      </c>
      <c r="FAA114" s="367" t="e">
        <f>EZX114*EZY114*EZZ114</f>
        <v>#DIV/0!</v>
      </c>
      <c r="FAB114" s="363" t="s">
        <v>153</v>
      </c>
      <c r="FAC114" s="363"/>
      <c r="FAD114" s="363"/>
      <c r="FAE114" s="364" t="s">
        <v>140</v>
      </c>
      <c r="FAF114" s="365">
        <v>0.5</v>
      </c>
      <c r="FAG114" s="366" t="e">
        <f>10/FAC112</f>
        <v>#DIV/0!</v>
      </c>
      <c r="FAH114" s="367">
        <v>15.38</v>
      </c>
      <c r="FAI114" s="367" t="e">
        <f>FAF114*FAG114*FAH114</f>
        <v>#DIV/0!</v>
      </c>
      <c r="FAJ114" s="363" t="s">
        <v>153</v>
      </c>
      <c r="FAK114" s="363"/>
      <c r="FAL114" s="363"/>
      <c r="FAM114" s="364" t="s">
        <v>140</v>
      </c>
      <c r="FAN114" s="365">
        <v>0.5</v>
      </c>
      <c r="FAO114" s="366" t="e">
        <f>10/FAK112</f>
        <v>#DIV/0!</v>
      </c>
      <c r="FAP114" s="367">
        <v>15.38</v>
      </c>
      <c r="FAQ114" s="367" t="e">
        <f>FAN114*FAO114*FAP114</f>
        <v>#DIV/0!</v>
      </c>
      <c r="FAR114" s="363" t="s">
        <v>153</v>
      </c>
      <c r="FAS114" s="363"/>
      <c r="FAT114" s="363"/>
      <c r="FAU114" s="364" t="s">
        <v>140</v>
      </c>
      <c r="FAV114" s="365">
        <v>0.5</v>
      </c>
      <c r="FAW114" s="366" t="e">
        <f>10/FAS112</f>
        <v>#DIV/0!</v>
      </c>
      <c r="FAX114" s="367">
        <v>15.38</v>
      </c>
      <c r="FAY114" s="367" t="e">
        <f>FAV114*FAW114*FAX114</f>
        <v>#DIV/0!</v>
      </c>
      <c r="FAZ114" s="363" t="s">
        <v>153</v>
      </c>
      <c r="FBA114" s="363"/>
      <c r="FBB114" s="363"/>
      <c r="FBC114" s="364" t="s">
        <v>140</v>
      </c>
      <c r="FBD114" s="365">
        <v>0.5</v>
      </c>
      <c r="FBE114" s="366" t="e">
        <f>10/FBA112</f>
        <v>#DIV/0!</v>
      </c>
      <c r="FBF114" s="367">
        <v>15.38</v>
      </c>
      <c r="FBG114" s="367" t="e">
        <f>FBD114*FBE114*FBF114</f>
        <v>#DIV/0!</v>
      </c>
      <c r="FBH114" s="363" t="s">
        <v>153</v>
      </c>
      <c r="FBI114" s="363"/>
      <c r="FBJ114" s="363"/>
      <c r="FBK114" s="364" t="s">
        <v>140</v>
      </c>
      <c r="FBL114" s="365">
        <v>0.5</v>
      </c>
      <c r="FBM114" s="366" t="e">
        <f>10/FBI112</f>
        <v>#DIV/0!</v>
      </c>
      <c r="FBN114" s="367">
        <v>15.38</v>
      </c>
      <c r="FBO114" s="367" t="e">
        <f>FBL114*FBM114*FBN114</f>
        <v>#DIV/0!</v>
      </c>
      <c r="FBP114" s="363" t="s">
        <v>153</v>
      </c>
      <c r="FBQ114" s="363"/>
      <c r="FBR114" s="363"/>
      <c r="FBS114" s="364" t="s">
        <v>140</v>
      </c>
      <c r="FBT114" s="365">
        <v>0.5</v>
      </c>
      <c r="FBU114" s="366" t="e">
        <f>10/FBQ112</f>
        <v>#DIV/0!</v>
      </c>
      <c r="FBV114" s="367">
        <v>15.38</v>
      </c>
      <c r="FBW114" s="367" t="e">
        <f>FBT114*FBU114*FBV114</f>
        <v>#DIV/0!</v>
      </c>
      <c r="FBX114" s="363" t="s">
        <v>153</v>
      </c>
      <c r="FBY114" s="363"/>
      <c r="FBZ114" s="363"/>
      <c r="FCA114" s="364" t="s">
        <v>140</v>
      </c>
      <c r="FCB114" s="365">
        <v>0.5</v>
      </c>
      <c r="FCC114" s="366" t="e">
        <f>10/FBY112</f>
        <v>#DIV/0!</v>
      </c>
      <c r="FCD114" s="367">
        <v>15.38</v>
      </c>
      <c r="FCE114" s="367" t="e">
        <f>FCB114*FCC114*FCD114</f>
        <v>#DIV/0!</v>
      </c>
      <c r="FCF114" s="363" t="s">
        <v>153</v>
      </c>
      <c r="FCG114" s="363"/>
      <c r="FCH114" s="363"/>
      <c r="FCI114" s="364" t="s">
        <v>140</v>
      </c>
      <c r="FCJ114" s="365">
        <v>0.5</v>
      </c>
      <c r="FCK114" s="366" t="e">
        <f>10/FCG112</f>
        <v>#DIV/0!</v>
      </c>
      <c r="FCL114" s="367">
        <v>15.38</v>
      </c>
      <c r="FCM114" s="367" t="e">
        <f>FCJ114*FCK114*FCL114</f>
        <v>#DIV/0!</v>
      </c>
      <c r="FCN114" s="363" t="s">
        <v>153</v>
      </c>
      <c r="FCO114" s="363"/>
      <c r="FCP114" s="363"/>
      <c r="FCQ114" s="364" t="s">
        <v>140</v>
      </c>
      <c r="FCR114" s="365">
        <v>0.5</v>
      </c>
      <c r="FCS114" s="366" t="e">
        <f>10/FCO112</f>
        <v>#DIV/0!</v>
      </c>
      <c r="FCT114" s="367">
        <v>15.38</v>
      </c>
      <c r="FCU114" s="367" t="e">
        <f>FCR114*FCS114*FCT114</f>
        <v>#DIV/0!</v>
      </c>
      <c r="FCV114" s="363" t="s">
        <v>153</v>
      </c>
      <c r="FCW114" s="363"/>
      <c r="FCX114" s="363"/>
      <c r="FCY114" s="364" t="s">
        <v>140</v>
      </c>
      <c r="FCZ114" s="365">
        <v>0.5</v>
      </c>
      <c r="FDA114" s="366" t="e">
        <f>10/FCW112</f>
        <v>#DIV/0!</v>
      </c>
      <c r="FDB114" s="367">
        <v>15.38</v>
      </c>
      <c r="FDC114" s="367" t="e">
        <f>FCZ114*FDA114*FDB114</f>
        <v>#DIV/0!</v>
      </c>
      <c r="FDD114" s="363" t="s">
        <v>153</v>
      </c>
      <c r="FDE114" s="363"/>
      <c r="FDF114" s="363"/>
      <c r="FDG114" s="364" t="s">
        <v>140</v>
      </c>
      <c r="FDH114" s="365">
        <v>0.5</v>
      </c>
      <c r="FDI114" s="366" t="e">
        <f>10/FDE112</f>
        <v>#DIV/0!</v>
      </c>
      <c r="FDJ114" s="367">
        <v>15.38</v>
      </c>
      <c r="FDK114" s="367" t="e">
        <f>FDH114*FDI114*FDJ114</f>
        <v>#DIV/0!</v>
      </c>
      <c r="FDL114" s="363" t="s">
        <v>153</v>
      </c>
      <c r="FDM114" s="363"/>
      <c r="FDN114" s="363"/>
      <c r="FDO114" s="364" t="s">
        <v>140</v>
      </c>
      <c r="FDP114" s="365">
        <v>0.5</v>
      </c>
      <c r="FDQ114" s="366" t="e">
        <f>10/FDM112</f>
        <v>#DIV/0!</v>
      </c>
      <c r="FDR114" s="367">
        <v>15.38</v>
      </c>
      <c r="FDS114" s="367" t="e">
        <f>FDP114*FDQ114*FDR114</f>
        <v>#DIV/0!</v>
      </c>
      <c r="FDT114" s="363" t="s">
        <v>153</v>
      </c>
      <c r="FDU114" s="363"/>
      <c r="FDV114" s="363"/>
      <c r="FDW114" s="364" t="s">
        <v>140</v>
      </c>
      <c r="FDX114" s="365">
        <v>0.5</v>
      </c>
      <c r="FDY114" s="366" t="e">
        <f>10/FDU112</f>
        <v>#DIV/0!</v>
      </c>
      <c r="FDZ114" s="367">
        <v>15.38</v>
      </c>
      <c r="FEA114" s="367" t="e">
        <f>FDX114*FDY114*FDZ114</f>
        <v>#DIV/0!</v>
      </c>
      <c r="FEB114" s="363" t="s">
        <v>153</v>
      </c>
      <c r="FEC114" s="363"/>
      <c r="FED114" s="363"/>
      <c r="FEE114" s="364" t="s">
        <v>140</v>
      </c>
      <c r="FEF114" s="365">
        <v>0.5</v>
      </c>
      <c r="FEG114" s="366" t="e">
        <f>10/FEC112</f>
        <v>#DIV/0!</v>
      </c>
      <c r="FEH114" s="367">
        <v>15.38</v>
      </c>
      <c r="FEI114" s="367" t="e">
        <f>FEF114*FEG114*FEH114</f>
        <v>#DIV/0!</v>
      </c>
      <c r="FEJ114" s="363" t="s">
        <v>153</v>
      </c>
      <c r="FEK114" s="363"/>
      <c r="FEL114" s="363"/>
      <c r="FEM114" s="364" t="s">
        <v>140</v>
      </c>
      <c r="FEN114" s="365">
        <v>0.5</v>
      </c>
      <c r="FEO114" s="366" t="e">
        <f>10/FEK112</f>
        <v>#DIV/0!</v>
      </c>
      <c r="FEP114" s="367">
        <v>15.38</v>
      </c>
      <c r="FEQ114" s="367" t="e">
        <f>FEN114*FEO114*FEP114</f>
        <v>#DIV/0!</v>
      </c>
      <c r="FER114" s="363" t="s">
        <v>153</v>
      </c>
      <c r="FES114" s="363"/>
      <c r="FET114" s="363"/>
      <c r="FEU114" s="364" t="s">
        <v>140</v>
      </c>
      <c r="FEV114" s="365">
        <v>0.5</v>
      </c>
      <c r="FEW114" s="366" t="e">
        <f>10/FES112</f>
        <v>#DIV/0!</v>
      </c>
      <c r="FEX114" s="367">
        <v>15.38</v>
      </c>
      <c r="FEY114" s="367" t="e">
        <f>FEV114*FEW114*FEX114</f>
        <v>#DIV/0!</v>
      </c>
      <c r="FEZ114" s="363" t="s">
        <v>153</v>
      </c>
      <c r="FFA114" s="363"/>
      <c r="FFB114" s="363"/>
      <c r="FFC114" s="364" t="s">
        <v>140</v>
      </c>
      <c r="FFD114" s="365">
        <v>0.5</v>
      </c>
      <c r="FFE114" s="366" t="e">
        <f>10/FFA112</f>
        <v>#DIV/0!</v>
      </c>
      <c r="FFF114" s="367">
        <v>15.38</v>
      </c>
      <c r="FFG114" s="367" t="e">
        <f>FFD114*FFE114*FFF114</f>
        <v>#DIV/0!</v>
      </c>
      <c r="FFH114" s="363" t="s">
        <v>153</v>
      </c>
      <c r="FFI114" s="363"/>
      <c r="FFJ114" s="363"/>
      <c r="FFK114" s="364" t="s">
        <v>140</v>
      </c>
      <c r="FFL114" s="365">
        <v>0.5</v>
      </c>
      <c r="FFM114" s="366" t="e">
        <f>10/FFI112</f>
        <v>#DIV/0!</v>
      </c>
      <c r="FFN114" s="367">
        <v>15.38</v>
      </c>
      <c r="FFO114" s="367" t="e">
        <f>FFL114*FFM114*FFN114</f>
        <v>#DIV/0!</v>
      </c>
      <c r="FFP114" s="363" t="s">
        <v>153</v>
      </c>
      <c r="FFQ114" s="363"/>
      <c r="FFR114" s="363"/>
      <c r="FFS114" s="364" t="s">
        <v>140</v>
      </c>
      <c r="FFT114" s="365">
        <v>0.5</v>
      </c>
      <c r="FFU114" s="366" t="e">
        <f>10/FFQ112</f>
        <v>#DIV/0!</v>
      </c>
      <c r="FFV114" s="367">
        <v>15.38</v>
      </c>
      <c r="FFW114" s="367" t="e">
        <f>FFT114*FFU114*FFV114</f>
        <v>#DIV/0!</v>
      </c>
      <c r="FFX114" s="363" t="s">
        <v>153</v>
      </c>
      <c r="FFY114" s="363"/>
      <c r="FFZ114" s="363"/>
      <c r="FGA114" s="364" t="s">
        <v>140</v>
      </c>
      <c r="FGB114" s="365">
        <v>0.5</v>
      </c>
      <c r="FGC114" s="366" t="e">
        <f>10/FFY112</f>
        <v>#DIV/0!</v>
      </c>
      <c r="FGD114" s="367">
        <v>15.38</v>
      </c>
      <c r="FGE114" s="367" t="e">
        <f>FGB114*FGC114*FGD114</f>
        <v>#DIV/0!</v>
      </c>
      <c r="FGF114" s="363" t="s">
        <v>153</v>
      </c>
      <c r="FGG114" s="363"/>
      <c r="FGH114" s="363"/>
      <c r="FGI114" s="364" t="s">
        <v>140</v>
      </c>
      <c r="FGJ114" s="365">
        <v>0.5</v>
      </c>
      <c r="FGK114" s="366" t="e">
        <f>10/FGG112</f>
        <v>#DIV/0!</v>
      </c>
      <c r="FGL114" s="367">
        <v>15.38</v>
      </c>
      <c r="FGM114" s="367" t="e">
        <f>FGJ114*FGK114*FGL114</f>
        <v>#DIV/0!</v>
      </c>
      <c r="FGN114" s="363" t="s">
        <v>153</v>
      </c>
      <c r="FGO114" s="363"/>
      <c r="FGP114" s="363"/>
      <c r="FGQ114" s="364" t="s">
        <v>140</v>
      </c>
      <c r="FGR114" s="365">
        <v>0.5</v>
      </c>
      <c r="FGS114" s="366" t="e">
        <f>10/FGO112</f>
        <v>#DIV/0!</v>
      </c>
      <c r="FGT114" s="367">
        <v>15.38</v>
      </c>
      <c r="FGU114" s="367" t="e">
        <f>FGR114*FGS114*FGT114</f>
        <v>#DIV/0!</v>
      </c>
      <c r="FGV114" s="363" t="s">
        <v>153</v>
      </c>
      <c r="FGW114" s="363"/>
      <c r="FGX114" s="363"/>
      <c r="FGY114" s="364" t="s">
        <v>140</v>
      </c>
      <c r="FGZ114" s="365">
        <v>0.5</v>
      </c>
      <c r="FHA114" s="366" t="e">
        <f>10/FGW112</f>
        <v>#DIV/0!</v>
      </c>
      <c r="FHB114" s="367">
        <v>15.38</v>
      </c>
      <c r="FHC114" s="367" t="e">
        <f>FGZ114*FHA114*FHB114</f>
        <v>#DIV/0!</v>
      </c>
      <c r="FHD114" s="363" t="s">
        <v>153</v>
      </c>
      <c r="FHE114" s="363"/>
      <c r="FHF114" s="363"/>
      <c r="FHG114" s="364" t="s">
        <v>140</v>
      </c>
      <c r="FHH114" s="365">
        <v>0.5</v>
      </c>
      <c r="FHI114" s="366" t="e">
        <f>10/FHE112</f>
        <v>#DIV/0!</v>
      </c>
      <c r="FHJ114" s="367">
        <v>15.38</v>
      </c>
      <c r="FHK114" s="367" t="e">
        <f>FHH114*FHI114*FHJ114</f>
        <v>#DIV/0!</v>
      </c>
      <c r="FHL114" s="363" t="s">
        <v>153</v>
      </c>
      <c r="FHM114" s="363"/>
      <c r="FHN114" s="363"/>
      <c r="FHO114" s="364" t="s">
        <v>140</v>
      </c>
      <c r="FHP114" s="365">
        <v>0.5</v>
      </c>
      <c r="FHQ114" s="366" t="e">
        <f>10/FHM112</f>
        <v>#DIV/0!</v>
      </c>
      <c r="FHR114" s="367">
        <v>15.38</v>
      </c>
      <c r="FHS114" s="367" t="e">
        <f>FHP114*FHQ114*FHR114</f>
        <v>#DIV/0!</v>
      </c>
      <c r="FHT114" s="363" t="s">
        <v>153</v>
      </c>
      <c r="FHU114" s="363"/>
      <c r="FHV114" s="363"/>
      <c r="FHW114" s="364" t="s">
        <v>140</v>
      </c>
      <c r="FHX114" s="365">
        <v>0.5</v>
      </c>
      <c r="FHY114" s="366" t="e">
        <f>10/FHU112</f>
        <v>#DIV/0!</v>
      </c>
      <c r="FHZ114" s="367">
        <v>15.38</v>
      </c>
      <c r="FIA114" s="367" t="e">
        <f>FHX114*FHY114*FHZ114</f>
        <v>#DIV/0!</v>
      </c>
      <c r="FIB114" s="363" t="s">
        <v>153</v>
      </c>
      <c r="FIC114" s="363"/>
      <c r="FID114" s="363"/>
      <c r="FIE114" s="364" t="s">
        <v>140</v>
      </c>
      <c r="FIF114" s="365">
        <v>0.5</v>
      </c>
      <c r="FIG114" s="366" t="e">
        <f>10/FIC112</f>
        <v>#DIV/0!</v>
      </c>
      <c r="FIH114" s="367">
        <v>15.38</v>
      </c>
      <c r="FII114" s="367" t="e">
        <f>FIF114*FIG114*FIH114</f>
        <v>#DIV/0!</v>
      </c>
      <c r="FIJ114" s="363" t="s">
        <v>153</v>
      </c>
      <c r="FIK114" s="363"/>
      <c r="FIL114" s="363"/>
      <c r="FIM114" s="364" t="s">
        <v>140</v>
      </c>
      <c r="FIN114" s="365">
        <v>0.5</v>
      </c>
      <c r="FIO114" s="366" t="e">
        <f>10/FIK112</f>
        <v>#DIV/0!</v>
      </c>
      <c r="FIP114" s="367">
        <v>15.38</v>
      </c>
      <c r="FIQ114" s="367" t="e">
        <f>FIN114*FIO114*FIP114</f>
        <v>#DIV/0!</v>
      </c>
      <c r="FIR114" s="363" t="s">
        <v>153</v>
      </c>
      <c r="FIS114" s="363"/>
      <c r="FIT114" s="363"/>
      <c r="FIU114" s="364" t="s">
        <v>140</v>
      </c>
      <c r="FIV114" s="365">
        <v>0.5</v>
      </c>
      <c r="FIW114" s="366" t="e">
        <f>10/FIS112</f>
        <v>#DIV/0!</v>
      </c>
      <c r="FIX114" s="367">
        <v>15.38</v>
      </c>
      <c r="FIY114" s="367" t="e">
        <f>FIV114*FIW114*FIX114</f>
        <v>#DIV/0!</v>
      </c>
      <c r="FIZ114" s="363" t="s">
        <v>153</v>
      </c>
      <c r="FJA114" s="363"/>
      <c r="FJB114" s="363"/>
      <c r="FJC114" s="364" t="s">
        <v>140</v>
      </c>
      <c r="FJD114" s="365">
        <v>0.5</v>
      </c>
      <c r="FJE114" s="366" t="e">
        <f>10/FJA112</f>
        <v>#DIV/0!</v>
      </c>
      <c r="FJF114" s="367">
        <v>15.38</v>
      </c>
      <c r="FJG114" s="367" t="e">
        <f>FJD114*FJE114*FJF114</f>
        <v>#DIV/0!</v>
      </c>
      <c r="FJH114" s="363" t="s">
        <v>153</v>
      </c>
      <c r="FJI114" s="363"/>
      <c r="FJJ114" s="363"/>
      <c r="FJK114" s="364" t="s">
        <v>140</v>
      </c>
      <c r="FJL114" s="365">
        <v>0.5</v>
      </c>
      <c r="FJM114" s="366" t="e">
        <f>10/FJI112</f>
        <v>#DIV/0!</v>
      </c>
      <c r="FJN114" s="367">
        <v>15.38</v>
      </c>
      <c r="FJO114" s="367" t="e">
        <f>FJL114*FJM114*FJN114</f>
        <v>#DIV/0!</v>
      </c>
      <c r="FJP114" s="363" t="s">
        <v>153</v>
      </c>
      <c r="FJQ114" s="363"/>
      <c r="FJR114" s="363"/>
      <c r="FJS114" s="364" t="s">
        <v>140</v>
      </c>
      <c r="FJT114" s="365">
        <v>0.5</v>
      </c>
      <c r="FJU114" s="366" t="e">
        <f>10/FJQ112</f>
        <v>#DIV/0!</v>
      </c>
      <c r="FJV114" s="367">
        <v>15.38</v>
      </c>
      <c r="FJW114" s="367" t="e">
        <f>FJT114*FJU114*FJV114</f>
        <v>#DIV/0!</v>
      </c>
      <c r="FJX114" s="363" t="s">
        <v>153</v>
      </c>
      <c r="FJY114" s="363"/>
      <c r="FJZ114" s="363"/>
      <c r="FKA114" s="364" t="s">
        <v>140</v>
      </c>
      <c r="FKB114" s="365">
        <v>0.5</v>
      </c>
      <c r="FKC114" s="366" t="e">
        <f>10/FJY112</f>
        <v>#DIV/0!</v>
      </c>
      <c r="FKD114" s="367">
        <v>15.38</v>
      </c>
      <c r="FKE114" s="367" t="e">
        <f>FKB114*FKC114*FKD114</f>
        <v>#DIV/0!</v>
      </c>
      <c r="FKF114" s="363" t="s">
        <v>153</v>
      </c>
      <c r="FKG114" s="363"/>
      <c r="FKH114" s="363"/>
      <c r="FKI114" s="364" t="s">
        <v>140</v>
      </c>
      <c r="FKJ114" s="365">
        <v>0.5</v>
      </c>
      <c r="FKK114" s="366" t="e">
        <f>10/FKG112</f>
        <v>#DIV/0!</v>
      </c>
      <c r="FKL114" s="367">
        <v>15.38</v>
      </c>
      <c r="FKM114" s="367" t="e">
        <f>FKJ114*FKK114*FKL114</f>
        <v>#DIV/0!</v>
      </c>
      <c r="FKN114" s="363" t="s">
        <v>153</v>
      </c>
      <c r="FKO114" s="363"/>
      <c r="FKP114" s="363"/>
      <c r="FKQ114" s="364" t="s">
        <v>140</v>
      </c>
      <c r="FKR114" s="365">
        <v>0.5</v>
      </c>
      <c r="FKS114" s="366" t="e">
        <f>10/FKO112</f>
        <v>#DIV/0!</v>
      </c>
      <c r="FKT114" s="367">
        <v>15.38</v>
      </c>
      <c r="FKU114" s="367" t="e">
        <f>FKR114*FKS114*FKT114</f>
        <v>#DIV/0!</v>
      </c>
      <c r="FKV114" s="363" t="s">
        <v>153</v>
      </c>
      <c r="FKW114" s="363"/>
      <c r="FKX114" s="363"/>
      <c r="FKY114" s="364" t="s">
        <v>140</v>
      </c>
      <c r="FKZ114" s="365">
        <v>0.5</v>
      </c>
      <c r="FLA114" s="366" t="e">
        <f>10/FKW112</f>
        <v>#DIV/0!</v>
      </c>
      <c r="FLB114" s="367">
        <v>15.38</v>
      </c>
      <c r="FLC114" s="367" t="e">
        <f>FKZ114*FLA114*FLB114</f>
        <v>#DIV/0!</v>
      </c>
      <c r="FLD114" s="363" t="s">
        <v>153</v>
      </c>
      <c r="FLE114" s="363"/>
      <c r="FLF114" s="363"/>
      <c r="FLG114" s="364" t="s">
        <v>140</v>
      </c>
      <c r="FLH114" s="365">
        <v>0.5</v>
      </c>
      <c r="FLI114" s="366" t="e">
        <f>10/FLE112</f>
        <v>#DIV/0!</v>
      </c>
      <c r="FLJ114" s="367">
        <v>15.38</v>
      </c>
      <c r="FLK114" s="367" t="e">
        <f>FLH114*FLI114*FLJ114</f>
        <v>#DIV/0!</v>
      </c>
      <c r="FLL114" s="363" t="s">
        <v>153</v>
      </c>
      <c r="FLM114" s="363"/>
      <c r="FLN114" s="363"/>
      <c r="FLO114" s="364" t="s">
        <v>140</v>
      </c>
      <c r="FLP114" s="365">
        <v>0.5</v>
      </c>
      <c r="FLQ114" s="366" t="e">
        <f>10/FLM112</f>
        <v>#DIV/0!</v>
      </c>
      <c r="FLR114" s="367">
        <v>15.38</v>
      </c>
      <c r="FLS114" s="367" t="e">
        <f>FLP114*FLQ114*FLR114</f>
        <v>#DIV/0!</v>
      </c>
      <c r="FLT114" s="363" t="s">
        <v>153</v>
      </c>
      <c r="FLU114" s="363"/>
      <c r="FLV114" s="363"/>
      <c r="FLW114" s="364" t="s">
        <v>140</v>
      </c>
      <c r="FLX114" s="365">
        <v>0.5</v>
      </c>
      <c r="FLY114" s="366" t="e">
        <f>10/FLU112</f>
        <v>#DIV/0!</v>
      </c>
      <c r="FLZ114" s="367">
        <v>15.38</v>
      </c>
      <c r="FMA114" s="367" t="e">
        <f>FLX114*FLY114*FLZ114</f>
        <v>#DIV/0!</v>
      </c>
      <c r="FMB114" s="363" t="s">
        <v>153</v>
      </c>
      <c r="FMC114" s="363"/>
      <c r="FMD114" s="363"/>
      <c r="FME114" s="364" t="s">
        <v>140</v>
      </c>
      <c r="FMF114" s="365">
        <v>0.5</v>
      </c>
      <c r="FMG114" s="366" t="e">
        <f>10/FMC112</f>
        <v>#DIV/0!</v>
      </c>
      <c r="FMH114" s="367">
        <v>15.38</v>
      </c>
      <c r="FMI114" s="367" t="e">
        <f>FMF114*FMG114*FMH114</f>
        <v>#DIV/0!</v>
      </c>
      <c r="FMJ114" s="363" t="s">
        <v>153</v>
      </c>
      <c r="FMK114" s="363"/>
      <c r="FML114" s="363"/>
      <c r="FMM114" s="364" t="s">
        <v>140</v>
      </c>
      <c r="FMN114" s="365">
        <v>0.5</v>
      </c>
      <c r="FMO114" s="366" t="e">
        <f>10/FMK112</f>
        <v>#DIV/0!</v>
      </c>
      <c r="FMP114" s="367">
        <v>15.38</v>
      </c>
      <c r="FMQ114" s="367" t="e">
        <f>FMN114*FMO114*FMP114</f>
        <v>#DIV/0!</v>
      </c>
      <c r="FMR114" s="363" t="s">
        <v>153</v>
      </c>
      <c r="FMS114" s="363"/>
      <c r="FMT114" s="363"/>
      <c r="FMU114" s="364" t="s">
        <v>140</v>
      </c>
      <c r="FMV114" s="365">
        <v>0.5</v>
      </c>
      <c r="FMW114" s="366" t="e">
        <f>10/FMS112</f>
        <v>#DIV/0!</v>
      </c>
      <c r="FMX114" s="367">
        <v>15.38</v>
      </c>
      <c r="FMY114" s="367" t="e">
        <f>FMV114*FMW114*FMX114</f>
        <v>#DIV/0!</v>
      </c>
      <c r="FMZ114" s="363" t="s">
        <v>153</v>
      </c>
      <c r="FNA114" s="363"/>
      <c r="FNB114" s="363"/>
      <c r="FNC114" s="364" t="s">
        <v>140</v>
      </c>
      <c r="FND114" s="365">
        <v>0.5</v>
      </c>
      <c r="FNE114" s="366" t="e">
        <f>10/FNA112</f>
        <v>#DIV/0!</v>
      </c>
      <c r="FNF114" s="367">
        <v>15.38</v>
      </c>
      <c r="FNG114" s="367" t="e">
        <f>FND114*FNE114*FNF114</f>
        <v>#DIV/0!</v>
      </c>
      <c r="FNH114" s="363" t="s">
        <v>153</v>
      </c>
      <c r="FNI114" s="363"/>
      <c r="FNJ114" s="363"/>
      <c r="FNK114" s="364" t="s">
        <v>140</v>
      </c>
      <c r="FNL114" s="365">
        <v>0.5</v>
      </c>
      <c r="FNM114" s="366" t="e">
        <f>10/FNI112</f>
        <v>#DIV/0!</v>
      </c>
      <c r="FNN114" s="367">
        <v>15.38</v>
      </c>
      <c r="FNO114" s="367" t="e">
        <f>FNL114*FNM114*FNN114</f>
        <v>#DIV/0!</v>
      </c>
      <c r="FNP114" s="363" t="s">
        <v>153</v>
      </c>
      <c r="FNQ114" s="363"/>
      <c r="FNR114" s="363"/>
      <c r="FNS114" s="364" t="s">
        <v>140</v>
      </c>
      <c r="FNT114" s="365">
        <v>0.5</v>
      </c>
      <c r="FNU114" s="366" t="e">
        <f>10/FNQ112</f>
        <v>#DIV/0!</v>
      </c>
      <c r="FNV114" s="367">
        <v>15.38</v>
      </c>
      <c r="FNW114" s="367" t="e">
        <f>FNT114*FNU114*FNV114</f>
        <v>#DIV/0!</v>
      </c>
      <c r="FNX114" s="363" t="s">
        <v>153</v>
      </c>
      <c r="FNY114" s="363"/>
      <c r="FNZ114" s="363"/>
      <c r="FOA114" s="364" t="s">
        <v>140</v>
      </c>
      <c r="FOB114" s="365">
        <v>0.5</v>
      </c>
      <c r="FOC114" s="366" t="e">
        <f>10/FNY112</f>
        <v>#DIV/0!</v>
      </c>
      <c r="FOD114" s="367">
        <v>15.38</v>
      </c>
      <c r="FOE114" s="367" t="e">
        <f>FOB114*FOC114*FOD114</f>
        <v>#DIV/0!</v>
      </c>
      <c r="FOF114" s="363" t="s">
        <v>153</v>
      </c>
      <c r="FOG114" s="363"/>
      <c r="FOH114" s="363"/>
      <c r="FOI114" s="364" t="s">
        <v>140</v>
      </c>
      <c r="FOJ114" s="365">
        <v>0.5</v>
      </c>
      <c r="FOK114" s="366" t="e">
        <f>10/FOG112</f>
        <v>#DIV/0!</v>
      </c>
      <c r="FOL114" s="367">
        <v>15.38</v>
      </c>
      <c r="FOM114" s="367" t="e">
        <f>FOJ114*FOK114*FOL114</f>
        <v>#DIV/0!</v>
      </c>
      <c r="FON114" s="363" t="s">
        <v>153</v>
      </c>
      <c r="FOO114" s="363"/>
      <c r="FOP114" s="363"/>
      <c r="FOQ114" s="364" t="s">
        <v>140</v>
      </c>
      <c r="FOR114" s="365">
        <v>0.5</v>
      </c>
      <c r="FOS114" s="366" t="e">
        <f>10/FOO112</f>
        <v>#DIV/0!</v>
      </c>
      <c r="FOT114" s="367">
        <v>15.38</v>
      </c>
      <c r="FOU114" s="367" t="e">
        <f>FOR114*FOS114*FOT114</f>
        <v>#DIV/0!</v>
      </c>
      <c r="FOV114" s="363" t="s">
        <v>153</v>
      </c>
      <c r="FOW114" s="363"/>
      <c r="FOX114" s="363"/>
      <c r="FOY114" s="364" t="s">
        <v>140</v>
      </c>
      <c r="FOZ114" s="365">
        <v>0.5</v>
      </c>
      <c r="FPA114" s="366" t="e">
        <f>10/FOW112</f>
        <v>#DIV/0!</v>
      </c>
      <c r="FPB114" s="367">
        <v>15.38</v>
      </c>
      <c r="FPC114" s="367" t="e">
        <f>FOZ114*FPA114*FPB114</f>
        <v>#DIV/0!</v>
      </c>
      <c r="FPD114" s="363" t="s">
        <v>153</v>
      </c>
      <c r="FPE114" s="363"/>
      <c r="FPF114" s="363"/>
      <c r="FPG114" s="364" t="s">
        <v>140</v>
      </c>
      <c r="FPH114" s="365">
        <v>0.5</v>
      </c>
      <c r="FPI114" s="366" t="e">
        <f>10/FPE112</f>
        <v>#DIV/0!</v>
      </c>
      <c r="FPJ114" s="367">
        <v>15.38</v>
      </c>
      <c r="FPK114" s="367" t="e">
        <f>FPH114*FPI114*FPJ114</f>
        <v>#DIV/0!</v>
      </c>
      <c r="FPL114" s="363" t="s">
        <v>153</v>
      </c>
      <c r="FPM114" s="363"/>
      <c r="FPN114" s="363"/>
      <c r="FPO114" s="364" t="s">
        <v>140</v>
      </c>
      <c r="FPP114" s="365">
        <v>0.5</v>
      </c>
      <c r="FPQ114" s="366" t="e">
        <f>10/FPM112</f>
        <v>#DIV/0!</v>
      </c>
      <c r="FPR114" s="367">
        <v>15.38</v>
      </c>
      <c r="FPS114" s="367" t="e">
        <f>FPP114*FPQ114*FPR114</f>
        <v>#DIV/0!</v>
      </c>
      <c r="FPT114" s="363" t="s">
        <v>153</v>
      </c>
      <c r="FPU114" s="363"/>
      <c r="FPV114" s="363"/>
      <c r="FPW114" s="364" t="s">
        <v>140</v>
      </c>
      <c r="FPX114" s="365">
        <v>0.5</v>
      </c>
      <c r="FPY114" s="366" t="e">
        <f>10/FPU112</f>
        <v>#DIV/0!</v>
      </c>
      <c r="FPZ114" s="367">
        <v>15.38</v>
      </c>
      <c r="FQA114" s="367" t="e">
        <f>FPX114*FPY114*FPZ114</f>
        <v>#DIV/0!</v>
      </c>
      <c r="FQB114" s="363" t="s">
        <v>153</v>
      </c>
      <c r="FQC114" s="363"/>
      <c r="FQD114" s="363"/>
      <c r="FQE114" s="364" t="s">
        <v>140</v>
      </c>
      <c r="FQF114" s="365">
        <v>0.5</v>
      </c>
      <c r="FQG114" s="366" t="e">
        <f>10/FQC112</f>
        <v>#DIV/0!</v>
      </c>
      <c r="FQH114" s="367">
        <v>15.38</v>
      </c>
      <c r="FQI114" s="367" t="e">
        <f>FQF114*FQG114*FQH114</f>
        <v>#DIV/0!</v>
      </c>
      <c r="FQJ114" s="363" t="s">
        <v>153</v>
      </c>
      <c r="FQK114" s="363"/>
      <c r="FQL114" s="363"/>
      <c r="FQM114" s="364" t="s">
        <v>140</v>
      </c>
      <c r="FQN114" s="365">
        <v>0.5</v>
      </c>
      <c r="FQO114" s="366" t="e">
        <f>10/FQK112</f>
        <v>#DIV/0!</v>
      </c>
      <c r="FQP114" s="367">
        <v>15.38</v>
      </c>
      <c r="FQQ114" s="367" t="e">
        <f>FQN114*FQO114*FQP114</f>
        <v>#DIV/0!</v>
      </c>
      <c r="FQR114" s="363" t="s">
        <v>153</v>
      </c>
      <c r="FQS114" s="363"/>
      <c r="FQT114" s="363"/>
      <c r="FQU114" s="364" t="s">
        <v>140</v>
      </c>
      <c r="FQV114" s="365">
        <v>0.5</v>
      </c>
      <c r="FQW114" s="366" t="e">
        <f>10/FQS112</f>
        <v>#DIV/0!</v>
      </c>
      <c r="FQX114" s="367">
        <v>15.38</v>
      </c>
      <c r="FQY114" s="367" t="e">
        <f>FQV114*FQW114*FQX114</f>
        <v>#DIV/0!</v>
      </c>
      <c r="FQZ114" s="363" t="s">
        <v>153</v>
      </c>
      <c r="FRA114" s="363"/>
      <c r="FRB114" s="363"/>
      <c r="FRC114" s="364" t="s">
        <v>140</v>
      </c>
      <c r="FRD114" s="365">
        <v>0.5</v>
      </c>
      <c r="FRE114" s="366" t="e">
        <f>10/FRA112</f>
        <v>#DIV/0!</v>
      </c>
      <c r="FRF114" s="367">
        <v>15.38</v>
      </c>
      <c r="FRG114" s="367" t="e">
        <f>FRD114*FRE114*FRF114</f>
        <v>#DIV/0!</v>
      </c>
      <c r="FRH114" s="363" t="s">
        <v>153</v>
      </c>
      <c r="FRI114" s="363"/>
      <c r="FRJ114" s="363"/>
      <c r="FRK114" s="364" t="s">
        <v>140</v>
      </c>
      <c r="FRL114" s="365">
        <v>0.5</v>
      </c>
      <c r="FRM114" s="366" t="e">
        <f>10/FRI112</f>
        <v>#DIV/0!</v>
      </c>
      <c r="FRN114" s="367">
        <v>15.38</v>
      </c>
      <c r="FRO114" s="367" t="e">
        <f>FRL114*FRM114*FRN114</f>
        <v>#DIV/0!</v>
      </c>
      <c r="FRP114" s="363" t="s">
        <v>153</v>
      </c>
      <c r="FRQ114" s="363"/>
      <c r="FRR114" s="363"/>
      <c r="FRS114" s="364" t="s">
        <v>140</v>
      </c>
      <c r="FRT114" s="365">
        <v>0.5</v>
      </c>
      <c r="FRU114" s="366" t="e">
        <f>10/FRQ112</f>
        <v>#DIV/0!</v>
      </c>
      <c r="FRV114" s="367">
        <v>15.38</v>
      </c>
      <c r="FRW114" s="367" t="e">
        <f>FRT114*FRU114*FRV114</f>
        <v>#DIV/0!</v>
      </c>
      <c r="FRX114" s="363" t="s">
        <v>153</v>
      </c>
      <c r="FRY114" s="363"/>
      <c r="FRZ114" s="363"/>
      <c r="FSA114" s="364" t="s">
        <v>140</v>
      </c>
      <c r="FSB114" s="365">
        <v>0.5</v>
      </c>
      <c r="FSC114" s="366" t="e">
        <f>10/FRY112</f>
        <v>#DIV/0!</v>
      </c>
      <c r="FSD114" s="367">
        <v>15.38</v>
      </c>
      <c r="FSE114" s="367" t="e">
        <f>FSB114*FSC114*FSD114</f>
        <v>#DIV/0!</v>
      </c>
      <c r="FSF114" s="363" t="s">
        <v>153</v>
      </c>
      <c r="FSG114" s="363"/>
      <c r="FSH114" s="363"/>
      <c r="FSI114" s="364" t="s">
        <v>140</v>
      </c>
      <c r="FSJ114" s="365">
        <v>0.5</v>
      </c>
      <c r="FSK114" s="366" t="e">
        <f>10/FSG112</f>
        <v>#DIV/0!</v>
      </c>
      <c r="FSL114" s="367">
        <v>15.38</v>
      </c>
      <c r="FSM114" s="367" t="e">
        <f>FSJ114*FSK114*FSL114</f>
        <v>#DIV/0!</v>
      </c>
      <c r="FSN114" s="363" t="s">
        <v>153</v>
      </c>
      <c r="FSO114" s="363"/>
      <c r="FSP114" s="363"/>
      <c r="FSQ114" s="364" t="s">
        <v>140</v>
      </c>
      <c r="FSR114" s="365">
        <v>0.5</v>
      </c>
      <c r="FSS114" s="366" t="e">
        <f>10/FSO112</f>
        <v>#DIV/0!</v>
      </c>
      <c r="FST114" s="367">
        <v>15.38</v>
      </c>
      <c r="FSU114" s="367" t="e">
        <f>FSR114*FSS114*FST114</f>
        <v>#DIV/0!</v>
      </c>
      <c r="FSV114" s="363" t="s">
        <v>153</v>
      </c>
      <c r="FSW114" s="363"/>
      <c r="FSX114" s="363"/>
      <c r="FSY114" s="364" t="s">
        <v>140</v>
      </c>
      <c r="FSZ114" s="365">
        <v>0.5</v>
      </c>
      <c r="FTA114" s="366" t="e">
        <f>10/FSW112</f>
        <v>#DIV/0!</v>
      </c>
      <c r="FTB114" s="367">
        <v>15.38</v>
      </c>
      <c r="FTC114" s="367" t="e">
        <f>FSZ114*FTA114*FTB114</f>
        <v>#DIV/0!</v>
      </c>
      <c r="FTD114" s="363" t="s">
        <v>153</v>
      </c>
      <c r="FTE114" s="363"/>
      <c r="FTF114" s="363"/>
      <c r="FTG114" s="364" t="s">
        <v>140</v>
      </c>
      <c r="FTH114" s="365">
        <v>0.5</v>
      </c>
      <c r="FTI114" s="366" t="e">
        <f>10/FTE112</f>
        <v>#DIV/0!</v>
      </c>
      <c r="FTJ114" s="367">
        <v>15.38</v>
      </c>
      <c r="FTK114" s="367" t="e">
        <f>FTH114*FTI114*FTJ114</f>
        <v>#DIV/0!</v>
      </c>
      <c r="FTL114" s="363" t="s">
        <v>153</v>
      </c>
      <c r="FTM114" s="363"/>
      <c r="FTN114" s="363"/>
      <c r="FTO114" s="364" t="s">
        <v>140</v>
      </c>
      <c r="FTP114" s="365">
        <v>0.5</v>
      </c>
      <c r="FTQ114" s="366" t="e">
        <f>10/FTM112</f>
        <v>#DIV/0!</v>
      </c>
      <c r="FTR114" s="367">
        <v>15.38</v>
      </c>
      <c r="FTS114" s="367" t="e">
        <f>FTP114*FTQ114*FTR114</f>
        <v>#DIV/0!</v>
      </c>
      <c r="FTT114" s="363" t="s">
        <v>153</v>
      </c>
      <c r="FTU114" s="363"/>
      <c r="FTV114" s="363"/>
      <c r="FTW114" s="364" t="s">
        <v>140</v>
      </c>
      <c r="FTX114" s="365">
        <v>0.5</v>
      </c>
      <c r="FTY114" s="366" t="e">
        <f>10/FTU112</f>
        <v>#DIV/0!</v>
      </c>
      <c r="FTZ114" s="367">
        <v>15.38</v>
      </c>
      <c r="FUA114" s="367" t="e">
        <f>FTX114*FTY114*FTZ114</f>
        <v>#DIV/0!</v>
      </c>
      <c r="FUB114" s="363" t="s">
        <v>153</v>
      </c>
      <c r="FUC114" s="363"/>
      <c r="FUD114" s="363"/>
      <c r="FUE114" s="364" t="s">
        <v>140</v>
      </c>
      <c r="FUF114" s="365">
        <v>0.5</v>
      </c>
      <c r="FUG114" s="366" t="e">
        <f>10/FUC112</f>
        <v>#DIV/0!</v>
      </c>
      <c r="FUH114" s="367">
        <v>15.38</v>
      </c>
      <c r="FUI114" s="367" t="e">
        <f>FUF114*FUG114*FUH114</f>
        <v>#DIV/0!</v>
      </c>
      <c r="FUJ114" s="363" t="s">
        <v>153</v>
      </c>
      <c r="FUK114" s="363"/>
      <c r="FUL114" s="363"/>
      <c r="FUM114" s="364" t="s">
        <v>140</v>
      </c>
      <c r="FUN114" s="365">
        <v>0.5</v>
      </c>
      <c r="FUO114" s="366" t="e">
        <f>10/FUK112</f>
        <v>#DIV/0!</v>
      </c>
      <c r="FUP114" s="367">
        <v>15.38</v>
      </c>
      <c r="FUQ114" s="367" t="e">
        <f>FUN114*FUO114*FUP114</f>
        <v>#DIV/0!</v>
      </c>
      <c r="FUR114" s="363" t="s">
        <v>153</v>
      </c>
      <c r="FUS114" s="363"/>
      <c r="FUT114" s="363"/>
      <c r="FUU114" s="364" t="s">
        <v>140</v>
      </c>
      <c r="FUV114" s="365">
        <v>0.5</v>
      </c>
      <c r="FUW114" s="366" t="e">
        <f>10/FUS112</f>
        <v>#DIV/0!</v>
      </c>
      <c r="FUX114" s="367">
        <v>15.38</v>
      </c>
      <c r="FUY114" s="367" t="e">
        <f>FUV114*FUW114*FUX114</f>
        <v>#DIV/0!</v>
      </c>
      <c r="FUZ114" s="363" t="s">
        <v>153</v>
      </c>
      <c r="FVA114" s="363"/>
      <c r="FVB114" s="363"/>
      <c r="FVC114" s="364" t="s">
        <v>140</v>
      </c>
      <c r="FVD114" s="365">
        <v>0.5</v>
      </c>
      <c r="FVE114" s="366" t="e">
        <f>10/FVA112</f>
        <v>#DIV/0!</v>
      </c>
      <c r="FVF114" s="367">
        <v>15.38</v>
      </c>
      <c r="FVG114" s="367" t="e">
        <f>FVD114*FVE114*FVF114</f>
        <v>#DIV/0!</v>
      </c>
      <c r="FVH114" s="363" t="s">
        <v>153</v>
      </c>
      <c r="FVI114" s="363"/>
      <c r="FVJ114" s="363"/>
      <c r="FVK114" s="364" t="s">
        <v>140</v>
      </c>
      <c r="FVL114" s="365">
        <v>0.5</v>
      </c>
      <c r="FVM114" s="366" t="e">
        <f>10/FVI112</f>
        <v>#DIV/0!</v>
      </c>
      <c r="FVN114" s="367">
        <v>15.38</v>
      </c>
      <c r="FVO114" s="367" t="e">
        <f>FVL114*FVM114*FVN114</f>
        <v>#DIV/0!</v>
      </c>
      <c r="FVP114" s="363" t="s">
        <v>153</v>
      </c>
      <c r="FVQ114" s="363"/>
      <c r="FVR114" s="363"/>
      <c r="FVS114" s="364" t="s">
        <v>140</v>
      </c>
      <c r="FVT114" s="365">
        <v>0.5</v>
      </c>
      <c r="FVU114" s="366" t="e">
        <f>10/FVQ112</f>
        <v>#DIV/0!</v>
      </c>
      <c r="FVV114" s="367">
        <v>15.38</v>
      </c>
      <c r="FVW114" s="367" t="e">
        <f>FVT114*FVU114*FVV114</f>
        <v>#DIV/0!</v>
      </c>
      <c r="FVX114" s="363" t="s">
        <v>153</v>
      </c>
      <c r="FVY114" s="363"/>
      <c r="FVZ114" s="363"/>
      <c r="FWA114" s="364" t="s">
        <v>140</v>
      </c>
      <c r="FWB114" s="365">
        <v>0.5</v>
      </c>
      <c r="FWC114" s="366" t="e">
        <f>10/FVY112</f>
        <v>#DIV/0!</v>
      </c>
      <c r="FWD114" s="367">
        <v>15.38</v>
      </c>
      <c r="FWE114" s="367" t="e">
        <f>FWB114*FWC114*FWD114</f>
        <v>#DIV/0!</v>
      </c>
      <c r="FWF114" s="363" t="s">
        <v>153</v>
      </c>
      <c r="FWG114" s="363"/>
      <c r="FWH114" s="363"/>
      <c r="FWI114" s="364" t="s">
        <v>140</v>
      </c>
      <c r="FWJ114" s="365">
        <v>0.5</v>
      </c>
      <c r="FWK114" s="366" t="e">
        <f>10/FWG112</f>
        <v>#DIV/0!</v>
      </c>
      <c r="FWL114" s="367">
        <v>15.38</v>
      </c>
      <c r="FWM114" s="367" t="e">
        <f>FWJ114*FWK114*FWL114</f>
        <v>#DIV/0!</v>
      </c>
      <c r="FWN114" s="363" t="s">
        <v>153</v>
      </c>
      <c r="FWO114" s="363"/>
      <c r="FWP114" s="363"/>
      <c r="FWQ114" s="364" t="s">
        <v>140</v>
      </c>
      <c r="FWR114" s="365">
        <v>0.5</v>
      </c>
      <c r="FWS114" s="366" t="e">
        <f>10/FWO112</f>
        <v>#DIV/0!</v>
      </c>
      <c r="FWT114" s="367">
        <v>15.38</v>
      </c>
      <c r="FWU114" s="367" t="e">
        <f>FWR114*FWS114*FWT114</f>
        <v>#DIV/0!</v>
      </c>
      <c r="FWV114" s="363" t="s">
        <v>153</v>
      </c>
      <c r="FWW114" s="363"/>
      <c r="FWX114" s="363"/>
      <c r="FWY114" s="364" t="s">
        <v>140</v>
      </c>
      <c r="FWZ114" s="365">
        <v>0.5</v>
      </c>
      <c r="FXA114" s="366" t="e">
        <f>10/FWW112</f>
        <v>#DIV/0!</v>
      </c>
      <c r="FXB114" s="367">
        <v>15.38</v>
      </c>
      <c r="FXC114" s="367" t="e">
        <f>FWZ114*FXA114*FXB114</f>
        <v>#DIV/0!</v>
      </c>
      <c r="FXD114" s="363" t="s">
        <v>153</v>
      </c>
      <c r="FXE114" s="363"/>
      <c r="FXF114" s="363"/>
      <c r="FXG114" s="364" t="s">
        <v>140</v>
      </c>
      <c r="FXH114" s="365">
        <v>0.5</v>
      </c>
      <c r="FXI114" s="366" t="e">
        <f>10/FXE112</f>
        <v>#DIV/0!</v>
      </c>
      <c r="FXJ114" s="367">
        <v>15.38</v>
      </c>
      <c r="FXK114" s="367" t="e">
        <f>FXH114*FXI114*FXJ114</f>
        <v>#DIV/0!</v>
      </c>
      <c r="FXL114" s="363" t="s">
        <v>153</v>
      </c>
      <c r="FXM114" s="363"/>
      <c r="FXN114" s="363"/>
      <c r="FXO114" s="364" t="s">
        <v>140</v>
      </c>
      <c r="FXP114" s="365">
        <v>0.5</v>
      </c>
      <c r="FXQ114" s="366" t="e">
        <f>10/FXM112</f>
        <v>#DIV/0!</v>
      </c>
      <c r="FXR114" s="367">
        <v>15.38</v>
      </c>
      <c r="FXS114" s="367" t="e">
        <f>FXP114*FXQ114*FXR114</f>
        <v>#DIV/0!</v>
      </c>
      <c r="FXT114" s="363" t="s">
        <v>153</v>
      </c>
      <c r="FXU114" s="363"/>
      <c r="FXV114" s="363"/>
      <c r="FXW114" s="364" t="s">
        <v>140</v>
      </c>
      <c r="FXX114" s="365">
        <v>0.5</v>
      </c>
      <c r="FXY114" s="366" t="e">
        <f>10/FXU112</f>
        <v>#DIV/0!</v>
      </c>
      <c r="FXZ114" s="367">
        <v>15.38</v>
      </c>
      <c r="FYA114" s="367" t="e">
        <f>FXX114*FXY114*FXZ114</f>
        <v>#DIV/0!</v>
      </c>
      <c r="FYB114" s="363" t="s">
        <v>153</v>
      </c>
      <c r="FYC114" s="363"/>
      <c r="FYD114" s="363"/>
      <c r="FYE114" s="364" t="s">
        <v>140</v>
      </c>
      <c r="FYF114" s="365">
        <v>0.5</v>
      </c>
      <c r="FYG114" s="366" t="e">
        <f>10/FYC112</f>
        <v>#DIV/0!</v>
      </c>
      <c r="FYH114" s="367">
        <v>15.38</v>
      </c>
      <c r="FYI114" s="367" t="e">
        <f>FYF114*FYG114*FYH114</f>
        <v>#DIV/0!</v>
      </c>
      <c r="FYJ114" s="363" t="s">
        <v>153</v>
      </c>
      <c r="FYK114" s="363"/>
      <c r="FYL114" s="363"/>
      <c r="FYM114" s="364" t="s">
        <v>140</v>
      </c>
      <c r="FYN114" s="365">
        <v>0.5</v>
      </c>
      <c r="FYO114" s="366" t="e">
        <f>10/FYK112</f>
        <v>#DIV/0!</v>
      </c>
      <c r="FYP114" s="367">
        <v>15.38</v>
      </c>
      <c r="FYQ114" s="367" t="e">
        <f>FYN114*FYO114*FYP114</f>
        <v>#DIV/0!</v>
      </c>
      <c r="FYR114" s="363" t="s">
        <v>153</v>
      </c>
      <c r="FYS114" s="363"/>
      <c r="FYT114" s="363"/>
      <c r="FYU114" s="364" t="s">
        <v>140</v>
      </c>
      <c r="FYV114" s="365">
        <v>0.5</v>
      </c>
      <c r="FYW114" s="366" t="e">
        <f>10/FYS112</f>
        <v>#DIV/0!</v>
      </c>
      <c r="FYX114" s="367">
        <v>15.38</v>
      </c>
      <c r="FYY114" s="367" t="e">
        <f>FYV114*FYW114*FYX114</f>
        <v>#DIV/0!</v>
      </c>
      <c r="FYZ114" s="363" t="s">
        <v>153</v>
      </c>
      <c r="FZA114" s="363"/>
      <c r="FZB114" s="363"/>
      <c r="FZC114" s="364" t="s">
        <v>140</v>
      </c>
      <c r="FZD114" s="365">
        <v>0.5</v>
      </c>
      <c r="FZE114" s="366" t="e">
        <f>10/FZA112</f>
        <v>#DIV/0!</v>
      </c>
      <c r="FZF114" s="367">
        <v>15.38</v>
      </c>
      <c r="FZG114" s="367" t="e">
        <f>FZD114*FZE114*FZF114</f>
        <v>#DIV/0!</v>
      </c>
      <c r="FZH114" s="363" t="s">
        <v>153</v>
      </c>
      <c r="FZI114" s="363"/>
      <c r="FZJ114" s="363"/>
      <c r="FZK114" s="364" t="s">
        <v>140</v>
      </c>
      <c r="FZL114" s="365">
        <v>0.5</v>
      </c>
      <c r="FZM114" s="366" t="e">
        <f>10/FZI112</f>
        <v>#DIV/0!</v>
      </c>
      <c r="FZN114" s="367">
        <v>15.38</v>
      </c>
      <c r="FZO114" s="367" t="e">
        <f>FZL114*FZM114*FZN114</f>
        <v>#DIV/0!</v>
      </c>
      <c r="FZP114" s="363" t="s">
        <v>153</v>
      </c>
      <c r="FZQ114" s="363"/>
      <c r="FZR114" s="363"/>
      <c r="FZS114" s="364" t="s">
        <v>140</v>
      </c>
      <c r="FZT114" s="365">
        <v>0.5</v>
      </c>
      <c r="FZU114" s="366" t="e">
        <f>10/FZQ112</f>
        <v>#DIV/0!</v>
      </c>
      <c r="FZV114" s="367">
        <v>15.38</v>
      </c>
      <c r="FZW114" s="367" t="e">
        <f>FZT114*FZU114*FZV114</f>
        <v>#DIV/0!</v>
      </c>
      <c r="FZX114" s="363" t="s">
        <v>153</v>
      </c>
      <c r="FZY114" s="363"/>
      <c r="FZZ114" s="363"/>
      <c r="GAA114" s="364" t="s">
        <v>140</v>
      </c>
      <c r="GAB114" s="365">
        <v>0.5</v>
      </c>
      <c r="GAC114" s="366" t="e">
        <f>10/FZY112</f>
        <v>#DIV/0!</v>
      </c>
      <c r="GAD114" s="367">
        <v>15.38</v>
      </c>
      <c r="GAE114" s="367" t="e">
        <f>GAB114*GAC114*GAD114</f>
        <v>#DIV/0!</v>
      </c>
      <c r="GAF114" s="363" t="s">
        <v>153</v>
      </c>
      <c r="GAG114" s="363"/>
      <c r="GAH114" s="363"/>
      <c r="GAI114" s="364" t="s">
        <v>140</v>
      </c>
      <c r="GAJ114" s="365">
        <v>0.5</v>
      </c>
      <c r="GAK114" s="366" t="e">
        <f>10/GAG112</f>
        <v>#DIV/0!</v>
      </c>
      <c r="GAL114" s="367">
        <v>15.38</v>
      </c>
      <c r="GAM114" s="367" t="e">
        <f>GAJ114*GAK114*GAL114</f>
        <v>#DIV/0!</v>
      </c>
      <c r="GAN114" s="363" t="s">
        <v>153</v>
      </c>
      <c r="GAO114" s="363"/>
      <c r="GAP114" s="363"/>
      <c r="GAQ114" s="364" t="s">
        <v>140</v>
      </c>
      <c r="GAR114" s="365">
        <v>0.5</v>
      </c>
      <c r="GAS114" s="366" t="e">
        <f>10/GAO112</f>
        <v>#DIV/0!</v>
      </c>
      <c r="GAT114" s="367">
        <v>15.38</v>
      </c>
      <c r="GAU114" s="367" t="e">
        <f>GAR114*GAS114*GAT114</f>
        <v>#DIV/0!</v>
      </c>
      <c r="GAV114" s="363" t="s">
        <v>153</v>
      </c>
      <c r="GAW114" s="363"/>
      <c r="GAX114" s="363"/>
      <c r="GAY114" s="364" t="s">
        <v>140</v>
      </c>
      <c r="GAZ114" s="365">
        <v>0.5</v>
      </c>
      <c r="GBA114" s="366" t="e">
        <f>10/GAW112</f>
        <v>#DIV/0!</v>
      </c>
      <c r="GBB114" s="367">
        <v>15.38</v>
      </c>
      <c r="GBC114" s="367" t="e">
        <f>GAZ114*GBA114*GBB114</f>
        <v>#DIV/0!</v>
      </c>
      <c r="GBD114" s="363" t="s">
        <v>153</v>
      </c>
      <c r="GBE114" s="363"/>
      <c r="GBF114" s="363"/>
      <c r="GBG114" s="364" t="s">
        <v>140</v>
      </c>
      <c r="GBH114" s="365">
        <v>0.5</v>
      </c>
      <c r="GBI114" s="366" t="e">
        <f>10/GBE112</f>
        <v>#DIV/0!</v>
      </c>
      <c r="GBJ114" s="367">
        <v>15.38</v>
      </c>
      <c r="GBK114" s="367" t="e">
        <f>GBH114*GBI114*GBJ114</f>
        <v>#DIV/0!</v>
      </c>
      <c r="GBL114" s="363" t="s">
        <v>153</v>
      </c>
      <c r="GBM114" s="363"/>
      <c r="GBN114" s="363"/>
      <c r="GBO114" s="364" t="s">
        <v>140</v>
      </c>
      <c r="GBP114" s="365">
        <v>0.5</v>
      </c>
      <c r="GBQ114" s="366" t="e">
        <f>10/GBM112</f>
        <v>#DIV/0!</v>
      </c>
      <c r="GBR114" s="367">
        <v>15.38</v>
      </c>
      <c r="GBS114" s="367" t="e">
        <f>GBP114*GBQ114*GBR114</f>
        <v>#DIV/0!</v>
      </c>
      <c r="GBT114" s="363" t="s">
        <v>153</v>
      </c>
      <c r="GBU114" s="363"/>
      <c r="GBV114" s="363"/>
      <c r="GBW114" s="364" t="s">
        <v>140</v>
      </c>
      <c r="GBX114" s="365">
        <v>0.5</v>
      </c>
      <c r="GBY114" s="366" t="e">
        <f>10/GBU112</f>
        <v>#DIV/0!</v>
      </c>
      <c r="GBZ114" s="367">
        <v>15.38</v>
      </c>
      <c r="GCA114" s="367" t="e">
        <f>GBX114*GBY114*GBZ114</f>
        <v>#DIV/0!</v>
      </c>
      <c r="GCB114" s="363" t="s">
        <v>153</v>
      </c>
      <c r="GCC114" s="363"/>
      <c r="GCD114" s="363"/>
      <c r="GCE114" s="364" t="s">
        <v>140</v>
      </c>
      <c r="GCF114" s="365">
        <v>0.5</v>
      </c>
      <c r="GCG114" s="366" t="e">
        <f>10/GCC112</f>
        <v>#DIV/0!</v>
      </c>
      <c r="GCH114" s="367">
        <v>15.38</v>
      </c>
      <c r="GCI114" s="367" t="e">
        <f>GCF114*GCG114*GCH114</f>
        <v>#DIV/0!</v>
      </c>
      <c r="GCJ114" s="363" t="s">
        <v>153</v>
      </c>
      <c r="GCK114" s="363"/>
      <c r="GCL114" s="363"/>
      <c r="GCM114" s="364" t="s">
        <v>140</v>
      </c>
      <c r="GCN114" s="365">
        <v>0.5</v>
      </c>
      <c r="GCO114" s="366" t="e">
        <f>10/GCK112</f>
        <v>#DIV/0!</v>
      </c>
      <c r="GCP114" s="367">
        <v>15.38</v>
      </c>
      <c r="GCQ114" s="367" t="e">
        <f>GCN114*GCO114*GCP114</f>
        <v>#DIV/0!</v>
      </c>
      <c r="GCR114" s="363" t="s">
        <v>153</v>
      </c>
      <c r="GCS114" s="363"/>
      <c r="GCT114" s="363"/>
      <c r="GCU114" s="364" t="s">
        <v>140</v>
      </c>
      <c r="GCV114" s="365">
        <v>0.5</v>
      </c>
      <c r="GCW114" s="366" t="e">
        <f>10/GCS112</f>
        <v>#DIV/0!</v>
      </c>
      <c r="GCX114" s="367">
        <v>15.38</v>
      </c>
      <c r="GCY114" s="367" t="e">
        <f>GCV114*GCW114*GCX114</f>
        <v>#DIV/0!</v>
      </c>
      <c r="GCZ114" s="363" t="s">
        <v>153</v>
      </c>
      <c r="GDA114" s="363"/>
      <c r="GDB114" s="363"/>
      <c r="GDC114" s="364" t="s">
        <v>140</v>
      </c>
      <c r="GDD114" s="365">
        <v>0.5</v>
      </c>
      <c r="GDE114" s="366" t="e">
        <f>10/GDA112</f>
        <v>#DIV/0!</v>
      </c>
      <c r="GDF114" s="367">
        <v>15.38</v>
      </c>
      <c r="GDG114" s="367" t="e">
        <f>GDD114*GDE114*GDF114</f>
        <v>#DIV/0!</v>
      </c>
      <c r="GDH114" s="363" t="s">
        <v>153</v>
      </c>
      <c r="GDI114" s="363"/>
      <c r="GDJ114" s="363"/>
      <c r="GDK114" s="364" t="s">
        <v>140</v>
      </c>
      <c r="GDL114" s="365">
        <v>0.5</v>
      </c>
      <c r="GDM114" s="366" t="e">
        <f>10/GDI112</f>
        <v>#DIV/0!</v>
      </c>
      <c r="GDN114" s="367">
        <v>15.38</v>
      </c>
      <c r="GDO114" s="367" t="e">
        <f>GDL114*GDM114*GDN114</f>
        <v>#DIV/0!</v>
      </c>
      <c r="GDP114" s="363" t="s">
        <v>153</v>
      </c>
      <c r="GDQ114" s="363"/>
      <c r="GDR114" s="363"/>
      <c r="GDS114" s="364" t="s">
        <v>140</v>
      </c>
      <c r="GDT114" s="365">
        <v>0.5</v>
      </c>
      <c r="GDU114" s="366" t="e">
        <f>10/GDQ112</f>
        <v>#DIV/0!</v>
      </c>
      <c r="GDV114" s="367">
        <v>15.38</v>
      </c>
      <c r="GDW114" s="367" t="e">
        <f>GDT114*GDU114*GDV114</f>
        <v>#DIV/0!</v>
      </c>
      <c r="GDX114" s="363" t="s">
        <v>153</v>
      </c>
      <c r="GDY114" s="363"/>
      <c r="GDZ114" s="363"/>
      <c r="GEA114" s="364" t="s">
        <v>140</v>
      </c>
      <c r="GEB114" s="365">
        <v>0.5</v>
      </c>
      <c r="GEC114" s="366" t="e">
        <f>10/GDY112</f>
        <v>#DIV/0!</v>
      </c>
      <c r="GED114" s="367">
        <v>15.38</v>
      </c>
      <c r="GEE114" s="367" t="e">
        <f>GEB114*GEC114*GED114</f>
        <v>#DIV/0!</v>
      </c>
      <c r="GEF114" s="363" t="s">
        <v>153</v>
      </c>
      <c r="GEG114" s="363"/>
      <c r="GEH114" s="363"/>
      <c r="GEI114" s="364" t="s">
        <v>140</v>
      </c>
      <c r="GEJ114" s="365">
        <v>0.5</v>
      </c>
      <c r="GEK114" s="366" t="e">
        <f>10/GEG112</f>
        <v>#DIV/0!</v>
      </c>
      <c r="GEL114" s="367">
        <v>15.38</v>
      </c>
      <c r="GEM114" s="367" t="e">
        <f>GEJ114*GEK114*GEL114</f>
        <v>#DIV/0!</v>
      </c>
      <c r="GEN114" s="363" t="s">
        <v>153</v>
      </c>
      <c r="GEO114" s="363"/>
      <c r="GEP114" s="363"/>
      <c r="GEQ114" s="364" t="s">
        <v>140</v>
      </c>
      <c r="GER114" s="365">
        <v>0.5</v>
      </c>
      <c r="GES114" s="366" t="e">
        <f>10/GEO112</f>
        <v>#DIV/0!</v>
      </c>
      <c r="GET114" s="367">
        <v>15.38</v>
      </c>
      <c r="GEU114" s="367" t="e">
        <f>GER114*GES114*GET114</f>
        <v>#DIV/0!</v>
      </c>
      <c r="GEV114" s="363" t="s">
        <v>153</v>
      </c>
      <c r="GEW114" s="363"/>
      <c r="GEX114" s="363"/>
      <c r="GEY114" s="364" t="s">
        <v>140</v>
      </c>
      <c r="GEZ114" s="365">
        <v>0.5</v>
      </c>
      <c r="GFA114" s="366" t="e">
        <f>10/GEW112</f>
        <v>#DIV/0!</v>
      </c>
      <c r="GFB114" s="367">
        <v>15.38</v>
      </c>
      <c r="GFC114" s="367" t="e">
        <f>GEZ114*GFA114*GFB114</f>
        <v>#DIV/0!</v>
      </c>
      <c r="GFD114" s="363" t="s">
        <v>153</v>
      </c>
      <c r="GFE114" s="363"/>
      <c r="GFF114" s="363"/>
      <c r="GFG114" s="364" t="s">
        <v>140</v>
      </c>
      <c r="GFH114" s="365">
        <v>0.5</v>
      </c>
      <c r="GFI114" s="366" t="e">
        <f>10/GFE112</f>
        <v>#DIV/0!</v>
      </c>
      <c r="GFJ114" s="367">
        <v>15.38</v>
      </c>
      <c r="GFK114" s="367" t="e">
        <f>GFH114*GFI114*GFJ114</f>
        <v>#DIV/0!</v>
      </c>
      <c r="GFL114" s="363" t="s">
        <v>153</v>
      </c>
      <c r="GFM114" s="363"/>
      <c r="GFN114" s="363"/>
      <c r="GFO114" s="364" t="s">
        <v>140</v>
      </c>
      <c r="GFP114" s="365">
        <v>0.5</v>
      </c>
      <c r="GFQ114" s="366" t="e">
        <f>10/GFM112</f>
        <v>#DIV/0!</v>
      </c>
      <c r="GFR114" s="367">
        <v>15.38</v>
      </c>
      <c r="GFS114" s="367" t="e">
        <f>GFP114*GFQ114*GFR114</f>
        <v>#DIV/0!</v>
      </c>
      <c r="GFT114" s="363" t="s">
        <v>153</v>
      </c>
      <c r="GFU114" s="363"/>
      <c r="GFV114" s="363"/>
      <c r="GFW114" s="364" t="s">
        <v>140</v>
      </c>
      <c r="GFX114" s="365">
        <v>0.5</v>
      </c>
      <c r="GFY114" s="366" t="e">
        <f>10/GFU112</f>
        <v>#DIV/0!</v>
      </c>
      <c r="GFZ114" s="367">
        <v>15.38</v>
      </c>
      <c r="GGA114" s="367" t="e">
        <f>GFX114*GFY114*GFZ114</f>
        <v>#DIV/0!</v>
      </c>
      <c r="GGB114" s="363" t="s">
        <v>153</v>
      </c>
      <c r="GGC114" s="363"/>
      <c r="GGD114" s="363"/>
      <c r="GGE114" s="364" t="s">
        <v>140</v>
      </c>
      <c r="GGF114" s="365">
        <v>0.5</v>
      </c>
      <c r="GGG114" s="366" t="e">
        <f>10/GGC112</f>
        <v>#DIV/0!</v>
      </c>
      <c r="GGH114" s="367">
        <v>15.38</v>
      </c>
      <c r="GGI114" s="367" t="e">
        <f>GGF114*GGG114*GGH114</f>
        <v>#DIV/0!</v>
      </c>
      <c r="GGJ114" s="363" t="s">
        <v>153</v>
      </c>
      <c r="GGK114" s="363"/>
      <c r="GGL114" s="363"/>
      <c r="GGM114" s="364" t="s">
        <v>140</v>
      </c>
      <c r="GGN114" s="365">
        <v>0.5</v>
      </c>
      <c r="GGO114" s="366" t="e">
        <f>10/GGK112</f>
        <v>#DIV/0!</v>
      </c>
      <c r="GGP114" s="367">
        <v>15.38</v>
      </c>
      <c r="GGQ114" s="367" t="e">
        <f>GGN114*GGO114*GGP114</f>
        <v>#DIV/0!</v>
      </c>
      <c r="GGR114" s="363" t="s">
        <v>153</v>
      </c>
      <c r="GGS114" s="363"/>
      <c r="GGT114" s="363"/>
      <c r="GGU114" s="364" t="s">
        <v>140</v>
      </c>
      <c r="GGV114" s="365">
        <v>0.5</v>
      </c>
      <c r="GGW114" s="366" t="e">
        <f>10/GGS112</f>
        <v>#DIV/0!</v>
      </c>
      <c r="GGX114" s="367">
        <v>15.38</v>
      </c>
      <c r="GGY114" s="367" t="e">
        <f>GGV114*GGW114*GGX114</f>
        <v>#DIV/0!</v>
      </c>
      <c r="GGZ114" s="363" t="s">
        <v>153</v>
      </c>
      <c r="GHA114" s="363"/>
      <c r="GHB114" s="363"/>
      <c r="GHC114" s="364" t="s">
        <v>140</v>
      </c>
      <c r="GHD114" s="365">
        <v>0.5</v>
      </c>
      <c r="GHE114" s="366" t="e">
        <f>10/GHA112</f>
        <v>#DIV/0!</v>
      </c>
      <c r="GHF114" s="367">
        <v>15.38</v>
      </c>
      <c r="GHG114" s="367" t="e">
        <f>GHD114*GHE114*GHF114</f>
        <v>#DIV/0!</v>
      </c>
      <c r="GHH114" s="363" t="s">
        <v>153</v>
      </c>
      <c r="GHI114" s="363"/>
      <c r="GHJ114" s="363"/>
      <c r="GHK114" s="364" t="s">
        <v>140</v>
      </c>
      <c r="GHL114" s="365">
        <v>0.5</v>
      </c>
      <c r="GHM114" s="366" t="e">
        <f>10/GHI112</f>
        <v>#DIV/0!</v>
      </c>
      <c r="GHN114" s="367">
        <v>15.38</v>
      </c>
      <c r="GHO114" s="367" t="e">
        <f>GHL114*GHM114*GHN114</f>
        <v>#DIV/0!</v>
      </c>
      <c r="GHP114" s="363" t="s">
        <v>153</v>
      </c>
      <c r="GHQ114" s="363"/>
      <c r="GHR114" s="363"/>
      <c r="GHS114" s="364" t="s">
        <v>140</v>
      </c>
      <c r="GHT114" s="365">
        <v>0.5</v>
      </c>
      <c r="GHU114" s="366" t="e">
        <f>10/GHQ112</f>
        <v>#DIV/0!</v>
      </c>
      <c r="GHV114" s="367">
        <v>15.38</v>
      </c>
      <c r="GHW114" s="367" t="e">
        <f>GHT114*GHU114*GHV114</f>
        <v>#DIV/0!</v>
      </c>
      <c r="GHX114" s="363" t="s">
        <v>153</v>
      </c>
      <c r="GHY114" s="363"/>
      <c r="GHZ114" s="363"/>
      <c r="GIA114" s="364" t="s">
        <v>140</v>
      </c>
      <c r="GIB114" s="365">
        <v>0.5</v>
      </c>
      <c r="GIC114" s="366" t="e">
        <f>10/GHY112</f>
        <v>#DIV/0!</v>
      </c>
      <c r="GID114" s="367">
        <v>15.38</v>
      </c>
      <c r="GIE114" s="367" t="e">
        <f>GIB114*GIC114*GID114</f>
        <v>#DIV/0!</v>
      </c>
      <c r="GIF114" s="363" t="s">
        <v>153</v>
      </c>
      <c r="GIG114" s="363"/>
      <c r="GIH114" s="363"/>
      <c r="GII114" s="364" t="s">
        <v>140</v>
      </c>
      <c r="GIJ114" s="365">
        <v>0.5</v>
      </c>
      <c r="GIK114" s="366" t="e">
        <f>10/GIG112</f>
        <v>#DIV/0!</v>
      </c>
      <c r="GIL114" s="367">
        <v>15.38</v>
      </c>
      <c r="GIM114" s="367" t="e">
        <f>GIJ114*GIK114*GIL114</f>
        <v>#DIV/0!</v>
      </c>
      <c r="GIN114" s="363" t="s">
        <v>153</v>
      </c>
      <c r="GIO114" s="363"/>
      <c r="GIP114" s="363"/>
      <c r="GIQ114" s="364" t="s">
        <v>140</v>
      </c>
      <c r="GIR114" s="365">
        <v>0.5</v>
      </c>
      <c r="GIS114" s="366" t="e">
        <f>10/GIO112</f>
        <v>#DIV/0!</v>
      </c>
      <c r="GIT114" s="367">
        <v>15.38</v>
      </c>
      <c r="GIU114" s="367" t="e">
        <f>GIR114*GIS114*GIT114</f>
        <v>#DIV/0!</v>
      </c>
      <c r="GIV114" s="363" t="s">
        <v>153</v>
      </c>
      <c r="GIW114" s="363"/>
      <c r="GIX114" s="363"/>
      <c r="GIY114" s="364" t="s">
        <v>140</v>
      </c>
      <c r="GIZ114" s="365">
        <v>0.5</v>
      </c>
      <c r="GJA114" s="366" t="e">
        <f>10/GIW112</f>
        <v>#DIV/0!</v>
      </c>
      <c r="GJB114" s="367">
        <v>15.38</v>
      </c>
      <c r="GJC114" s="367" t="e">
        <f>GIZ114*GJA114*GJB114</f>
        <v>#DIV/0!</v>
      </c>
      <c r="GJD114" s="363" t="s">
        <v>153</v>
      </c>
      <c r="GJE114" s="363"/>
      <c r="GJF114" s="363"/>
      <c r="GJG114" s="364" t="s">
        <v>140</v>
      </c>
      <c r="GJH114" s="365">
        <v>0.5</v>
      </c>
      <c r="GJI114" s="366" t="e">
        <f>10/GJE112</f>
        <v>#DIV/0!</v>
      </c>
      <c r="GJJ114" s="367">
        <v>15.38</v>
      </c>
      <c r="GJK114" s="367" t="e">
        <f>GJH114*GJI114*GJJ114</f>
        <v>#DIV/0!</v>
      </c>
      <c r="GJL114" s="363" t="s">
        <v>153</v>
      </c>
      <c r="GJM114" s="363"/>
      <c r="GJN114" s="363"/>
      <c r="GJO114" s="364" t="s">
        <v>140</v>
      </c>
      <c r="GJP114" s="365">
        <v>0.5</v>
      </c>
      <c r="GJQ114" s="366" t="e">
        <f>10/GJM112</f>
        <v>#DIV/0!</v>
      </c>
      <c r="GJR114" s="367">
        <v>15.38</v>
      </c>
      <c r="GJS114" s="367" t="e">
        <f>GJP114*GJQ114*GJR114</f>
        <v>#DIV/0!</v>
      </c>
      <c r="GJT114" s="363" t="s">
        <v>153</v>
      </c>
      <c r="GJU114" s="363"/>
      <c r="GJV114" s="363"/>
      <c r="GJW114" s="364" t="s">
        <v>140</v>
      </c>
      <c r="GJX114" s="365">
        <v>0.5</v>
      </c>
      <c r="GJY114" s="366" t="e">
        <f>10/GJU112</f>
        <v>#DIV/0!</v>
      </c>
      <c r="GJZ114" s="367">
        <v>15.38</v>
      </c>
      <c r="GKA114" s="367" t="e">
        <f>GJX114*GJY114*GJZ114</f>
        <v>#DIV/0!</v>
      </c>
      <c r="GKB114" s="363" t="s">
        <v>153</v>
      </c>
      <c r="GKC114" s="363"/>
      <c r="GKD114" s="363"/>
      <c r="GKE114" s="364" t="s">
        <v>140</v>
      </c>
      <c r="GKF114" s="365">
        <v>0.5</v>
      </c>
      <c r="GKG114" s="366" t="e">
        <f>10/GKC112</f>
        <v>#DIV/0!</v>
      </c>
      <c r="GKH114" s="367">
        <v>15.38</v>
      </c>
      <c r="GKI114" s="367" t="e">
        <f>GKF114*GKG114*GKH114</f>
        <v>#DIV/0!</v>
      </c>
      <c r="GKJ114" s="363" t="s">
        <v>153</v>
      </c>
      <c r="GKK114" s="363"/>
      <c r="GKL114" s="363"/>
      <c r="GKM114" s="364" t="s">
        <v>140</v>
      </c>
      <c r="GKN114" s="365">
        <v>0.5</v>
      </c>
      <c r="GKO114" s="366" t="e">
        <f>10/GKK112</f>
        <v>#DIV/0!</v>
      </c>
      <c r="GKP114" s="367">
        <v>15.38</v>
      </c>
      <c r="GKQ114" s="367" t="e">
        <f>GKN114*GKO114*GKP114</f>
        <v>#DIV/0!</v>
      </c>
      <c r="GKR114" s="363" t="s">
        <v>153</v>
      </c>
      <c r="GKS114" s="363"/>
      <c r="GKT114" s="363"/>
      <c r="GKU114" s="364" t="s">
        <v>140</v>
      </c>
      <c r="GKV114" s="365">
        <v>0.5</v>
      </c>
      <c r="GKW114" s="366" t="e">
        <f>10/GKS112</f>
        <v>#DIV/0!</v>
      </c>
      <c r="GKX114" s="367">
        <v>15.38</v>
      </c>
      <c r="GKY114" s="367" t="e">
        <f>GKV114*GKW114*GKX114</f>
        <v>#DIV/0!</v>
      </c>
      <c r="GKZ114" s="363" t="s">
        <v>153</v>
      </c>
      <c r="GLA114" s="363"/>
      <c r="GLB114" s="363"/>
      <c r="GLC114" s="364" t="s">
        <v>140</v>
      </c>
      <c r="GLD114" s="365">
        <v>0.5</v>
      </c>
      <c r="GLE114" s="366" t="e">
        <f>10/GLA112</f>
        <v>#DIV/0!</v>
      </c>
      <c r="GLF114" s="367">
        <v>15.38</v>
      </c>
      <c r="GLG114" s="367" t="e">
        <f>GLD114*GLE114*GLF114</f>
        <v>#DIV/0!</v>
      </c>
      <c r="GLH114" s="363" t="s">
        <v>153</v>
      </c>
      <c r="GLI114" s="363"/>
      <c r="GLJ114" s="363"/>
      <c r="GLK114" s="364" t="s">
        <v>140</v>
      </c>
      <c r="GLL114" s="365">
        <v>0.5</v>
      </c>
      <c r="GLM114" s="366" t="e">
        <f>10/GLI112</f>
        <v>#DIV/0!</v>
      </c>
      <c r="GLN114" s="367">
        <v>15.38</v>
      </c>
      <c r="GLO114" s="367" t="e">
        <f>GLL114*GLM114*GLN114</f>
        <v>#DIV/0!</v>
      </c>
      <c r="GLP114" s="363" t="s">
        <v>153</v>
      </c>
      <c r="GLQ114" s="363"/>
      <c r="GLR114" s="363"/>
      <c r="GLS114" s="364" t="s">
        <v>140</v>
      </c>
      <c r="GLT114" s="365">
        <v>0.5</v>
      </c>
      <c r="GLU114" s="366" t="e">
        <f>10/GLQ112</f>
        <v>#DIV/0!</v>
      </c>
      <c r="GLV114" s="367">
        <v>15.38</v>
      </c>
      <c r="GLW114" s="367" t="e">
        <f>GLT114*GLU114*GLV114</f>
        <v>#DIV/0!</v>
      </c>
      <c r="GLX114" s="363" t="s">
        <v>153</v>
      </c>
      <c r="GLY114" s="363"/>
      <c r="GLZ114" s="363"/>
      <c r="GMA114" s="364" t="s">
        <v>140</v>
      </c>
      <c r="GMB114" s="365">
        <v>0.5</v>
      </c>
      <c r="GMC114" s="366" t="e">
        <f>10/GLY112</f>
        <v>#DIV/0!</v>
      </c>
      <c r="GMD114" s="367">
        <v>15.38</v>
      </c>
      <c r="GME114" s="367" t="e">
        <f>GMB114*GMC114*GMD114</f>
        <v>#DIV/0!</v>
      </c>
      <c r="GMF114" s="363" t="s">
        <v>153</v>
      </c>
      <c r="GMG114" s="363"/>
      <c r="GMH114" s="363"/>
      <c r="GMI114" s="364" t="s">
        <v>140</v>
      </c>
      <c r="GMJ114" s="365">
        <v>0.5</v>
      </c>
      <c r="GMK114" s="366" t="e">
        <f>10/GMG112</f>
        <v>#DIV/0!</v>
      </c>
      <c r="GML114" s="367">
        <v>15.38</v>
      </c>
      <c r="GMM114" s="367" t="e">
        <f>GMJ114*GMK114*GML114</f>
        <v>#DIV/0!</v>
      </c>
      <c r="GMN114" s="363" t="s">
        <v>153</v>
      </c>
      <c r="GMO114" s="363"/>
      <c r="GMP114" s="363"/>
      <c r="GMQ114" s="364" t="s">
        <v>140</v>
      </c>
      <c r="GMR114" s="365">
        <v>0.5</v>
      </c>
      <c r="GMS114" s="366" t="e">
        <f>10/GMO112</f>
        <v>#DIV/0!</v>
      </c>
      <c r="GMT114" s="367">
        <v>15.38</v>
      </c>
      <c r="GMU114" s="367" t="e">
        <f>GMR114*GMS114*GMT114</f>
        <v>#DIV/0!</v>
      </c>
      <c r="GMV114" s="363" t="s">
        <v>153</v>
      </c>
      <c r="GMW114" s="363"/>
      <c r="GMX114" s="363"/>
      <c r="GMY114" s="364" t="s">
        <v>140</v>
      </c>
      <c r="GMZ114" s="365">
        <v>0.5</v>
      </c>
      <c r="GNA114" s="366" t="e">
        <f>10/GMW112</f>
        <v>#DIV/0!</v>
      </c>
      <c r="GNB114" s="367">
        <v>15.38</v>
      </c>
      <c r="GNC114" s="367" t="e">
        <f>GMZ114*GNA114*GNB114</f>
        <v>#DIV/0!</v>
      </c>
      <c r="GND114" s="363" t="s">
        <v>153</v>
      </c>
      <c r="GNE114" s="363"/>
      <c r="GNF114" s="363"/>
      <c r="GNG114" s="364" t="s">
        <v>140</v>
      </c>
      <c r="GNH114" s="365">
        <v>0.5</v>
      </c>
      <c r="GNI114" s="366" t="e">
        <f>10/GNE112</f>
        <v>#DIV/0!</v>
      </c>
      <c r="GNJ114" s="367">
        <v>15.38</v>
      </c>
      <c r="GNK114" s="367" t="e">
        <f>GNH114*GNI114*GNJ114</f>
        <v>#DIV/0!</v>
      </c>
      <c r="GNL114" s="363" t="s">
        <v>153</v>
      </c>
      <c r="GNM114" s="363"/>
      <c r="GNN114" s="363"/>
      <c r="GNO114" s="364" t="s">
        <v>140</v>
      </c>
      <c r="GNP114" s="365">
        <v>0.5</v>
      </c>
      <c r="GNQ114" s="366" t="e">
        <f>10/GNM112</f>
        <v>#DIV/0!</v>
      </c>
      <c r="GNR114" s="367">
        <v>15.38</v>
      </c>
      <c r="GNS114" s="367" t="e">
        <f>GNP114*GNQ114*GNR114</f>
        <v>#DIV/0!</v>
      </c>
      <c r="GNT114" s="363" t="s">
        <v>153</v>
      </c>
      <c r="GNU114" s="363"/>
      <c r="GNV114" s="363"/>
      <c r="GNW114" s="364" t="s">
        <v>140</v>
      </c>
      <c r="GNX114" s="365">
        <v>0.5</v>
      </c>
      <c r="GNY114" s="366" t="e">
        <f>10/GNU112</f>
        <v>#DIV/0!</v>
      </c>
      <c r="GNZ114" s="367">
        <v>15.38</v>
      </c>
      <c r="GOA114" s="367" t="e">
        <f>GNX114*GNY114*GNZ114</f>
        <v>#DIV/0!</v>
      </c>
      <c r="GOB114" s="363" t="s">
        <v>153</v>
      </c>
      <c r="GOC114" s="363"/>
      <c r="GOD114" s="363"/>
      <c r="GOE114" s="364" t="s">
        <v>140</v>
      </c>
      <c r="GOF114" s="365">
        <v>0.5</v>
      </c>
      <c r="GOG114" s="366" t="e">
        <f>10/GOC112</f>
        <v>#DIV/0!</v>
      </c>
      <c r="GOH114" s="367">
        <v>15.38</v>
      </c>
      <c r="GOI114" s="367" t="e">
        <f>GOF114*GOG114*GOH114</f>
        <v>#DIV/0!</v>
      </c>
      <c r="GOJ114" s="363" t="s">
        <v>153</v>
      </c>
      <c r="GOK114" s="363"/>
      <c r="GOL114" s="363"/>
      <c r="GOM114" s="364" t="s">
        <v>140</v>
      </c>
      <c r="GON114" s="365">
        <v>0.5</v>
      </c>
      <c r="GOO114" s="366" t="e">
        <f>10/GOK112</f>
        <v>#DIV/0!</v>
      </c>
      <c r="GOP114" s="367">
        <v>15.38</v>
      </c>
      <c r="GOQ114" s="367" t="e">
        <f>GON114*GOO114*GOP114</f>
        <v>#DIV/0!</v>
      </c>
      <c r="GOR114" s="363" t="s">
        <v>153</v>
      </c>
      <c r="GOS114" s="363"/>
      <c r="GOT114" s="363"/>
      <c r="GOU114" s="364" t="s">
        <v>140</v>
      </c>
      <c r="GOV114" s="365">
        <v>0.5</v>
      </c>
      <c r="GOW114" s="366" t="e">
        <f>10/GOS112</f>
        <v>#DIV/0!</v>
      </c>
      <c r="GOX114" s="367">
        <v>15.38</v>
      </c>
      <c r="GOY114" s="367" t="e">
        <f>GOV114*GOW114*GOX114</f>
        <v>#DIV/0!</v>
      </c>
      <c r="GOZ114" s="363" t="s">
        <v>153</v>
      </c>
      <c r="GPA114" s="363"/>
      <c r="GPB114" s="363"/>
      <c r="GPC114" s="364" t="s">
        <v>140</v>
      </c>
      <c r="GPD114" s="365">
        <v>0.5</v>
      </c>
      <c r="GPE114" s="366" t="e">
        <f>10/GPA112</f>
        <v>#DIV/0!</v>
      </c>
      <c r="GPF114" s="367">
        <v>15.38</v>
      </c>
      <c r="GPG114" s="367" t="e">
        <f>GPD114*GPE114*GPF114</f>
        <v>#DIV/0!</v>
      </c>
      <c r="GPH114" s="363" t="s">
        <v>153</v>
      </c>
      <c r="GPI114" s="363"/>
      <c r="GPJ114" s="363"/>
      <c r="GPK114" s="364" t="s">
        <v>140</v>
      </c>
      <c r="GPL114" s="365">
        <v>0.5</v>
      </c>
      <c r="GPM114" s="366" t="e">
        <f>10/GPI112</f>
        <v>#DIV/0!</v>
      </c>
      <c r="GPN114" s="367">
        <v>15.38</v>
      </c>
      <c r="GPO114" s="367" t="e">
        <f>GPL114*GPM114*GPN114</f>
        <v>#DIV/0!</v>
      </c>
      <c r="GPP114" s="363" t="s">
        <v>153</v>
      </c>
      <c r="GPQ114" s="363"/>
      <c r="GPR114" s="363"/>
      <c r="GPS114" s="364" t="s">
        <v>140</v>
      </c>
      <c r="GPT114" s="365">
        <v>0.5</v>
      </c>
      <c r="GPU114" s="366" t="e">
        <f>10/GPQ112</f>
        <v>#DIV/0!</v>
      </c>
      <c r="GPV114" s="367">
        <v>15.38</v>
      </c>
      <c r="GPW114" s="367" t="e">
        <f>GPT114*GPU114*GPV114</f>
        <v>#DIV/0!</v>
      </c>
      <c r="GPX114" s="363" t="s">
        <v>153</v>
      </c>
      <c r="GPY114" s="363"/>
      <c r="GPZ114" s="363"/>
      <c r="GQA114" s="364" t="s">
        <v>140</v>
      </c>
      <c r="GQB114" s="365">
        <v>0.5</v>
      </c>
      <c r="GQC114" s="366" t="e">
        <f>10/GPY112</f>
        <v>#DIV/0!</v>
      </c>
      <c r="GQD114" s="367">
        <v>15.38</v>
      </c>
      <c r="GQE114" s="367" t="e">
        <f>GQB114*GQC114*GQD114</f>
        <v>#DIV/0!</v>
      </c>
      <c r="GQF114" s="363" t="s">
        <v>153</v>
      </c>
      <c r="GQG114" s="363"/>
      <c r="GQH114" s="363"/>
      <c r="GQI114" s="364" t="s">
        <v>140</v>
      </c>
      <c r="GQJ114" s="365">
        <v>0.5</v>
      </c>
      <c r="GQK114" s="366" t="e">
        <f>10/GQG112</f>
        <v>#DIV/0!</v>
      </c>
      <c r="GQL114" s="367">
        <v>15.38</v>
      </c>
      <c r="GQM114" s="367" t="e">
        <f>GQJ114*GQK114*GQL114</f>
        <v>#DIV/0!</v>
      </c>
      <c r="GQN114" s="363" t="s">
        <v>153</v>
      </c>
      <c r="GQO114" s="363"/>
      <c r="GQP114" s="363"/>
      <c r="GQQ114" s="364" t="s">
        <v>140</v>
      </c>
      <c r="GQR114" s="365">
        <v>0.5</v>
      </c>
      <c r="GQS114" s="366" t="e">
        <f>10/GQO112</f>
        <v>#DIV/0!</v>
      </c>
      <c r="GQT114" s="367">
        <v>15.38</v>
      </c>
      <c r="GQU114" s="367" t="e">
        <f>GQR114*GQS114*GQT114</f>
        <v>#DIV/0!</v>
      </c>
      <c r="GQV114" s="363" t="s">
        <v>153</v>
      </c>
      <c r="GQW114" s="363"/>
      <c r="GQX114" s="363"/>
      <c r="GQY114" s="364" t="s">
        <v>140</v>
      </c>
      <c r="GQZ114" s="365">
        <v>0.5</v>
      </c>
      <c r="GRA114" s="366" t="e">
        <f>10/GQW112</f>
        <v>#DIV/0!</v>
      </c>
      <c r="GRB114" s="367">
        <v>15.38</v>
      </c>
      <c r="GRC114" s="367" t="e">
        <f>GQZ114*GRA114*GRB114</f>
        <v>#DIV/0!</v>
      </c>
      <c r="GRD114" s="363" t="s">
        <v>153</v>
      </c>
      <c r="GRE114" s="363"/>
      <c r="GRF114" s="363"/>
      <c r="GRG114" s="364" t="s">
        <v>140</v>
      </c>
      <c r="GRH114" s="365">
        <v>0.5</v>
      </c>
      <c r="GRI114" s="366" t="e">
        <f>10/GRE112</f>
        <v>#DIV/0!</v>
      </c>
      <c r="GRJ114" s="367">
        <v>15.38</v>
      </c>
      <c r="GRK114" s="367" t="e">
        <f>GRH114*GRI114*GRJ114</f>
        <v>#DIV/0!</v>
      </c>
      <c r="GRL114" s="363" t="s">
        <v>153</v>
      </c>
      <c r="GRM114" s="363"/>
      <c r="GRN114" s="363"/>
      <c r="GRO114" s="364" t="s">
        <v>140</v>
      </c>
      <c r="GRP114" s="365">
        <v>0.5</v>
      </c>
      <c r="GRQ114" s="366" t="e">
        <f>10/GRM112</f>
        <v>#DIV/0!</v>
      </c>
      <c r="GRR114" s="367">
        <v>15.38</v>
      </c>
      <c r="GRS114" s="367" t="e">
        <f>GRP114*GRQ114*GRR114</f>
        <v>#DIV/0!</v>
      </c>
      <c r="GRT114" s="363" t="s">
        <v>153</v>
      </c>
      <c r="GRU114" s="363"/>
      <c r="GRV114" s="363"/>
      <c r="GRW114" s="364" t="s">
        <v>140</v>
      </c>
      <c r="GRX114" s="365">
        <v>0.5</v>
      </c>
      <c r="GRY114" s="366" t="e">
        <f>10/GRU112</f>
        <v>#DIV/0!</v>
      </c>
      <c r="GRZ114" s="367">
        <v>15.38</v>
      </c>
      <c r="GSA114" s="367" t="e">
        <f>GRX114*GRY114*GRZ114</f>
        <v>#DIV/0!</v>
      </c>
      <c r="GSB114" s="363" t="s">
        <v>153</v>
      </c>
      <c r="GSC114" s="363"/>
      <c r="GSD114" s="363"/>
      <c r="GSE114" s="364" t="s">
        <v>140</v>
      </c>
      <c r="GSF114" s="365">
        <v>0.5</v>
      </c>
      <c r="GSG114" s="366" t="e">
        <f>10/GSC112</f>
        <v>#DIV/0!</v>
      </c>
      <c r="GSH114" s="367">
        <v>15.38</v>
      </c>
      <c r="GSI114" s="367" t="e">
        <f>GSF114*GSG114*GSH114</f>
        <v>#DIV/0!</v>
      </c>
      <c r="GSJ114" s="363" t="s">
        <v>153</v>
      </c>
      <c r="GSK114" s="363"/>
      <c r="GSL114" s="363"/>
      <c r="GSM114" s="364" t="s">
        <v>140</v>
      </c>
      <c r="GSN114" s="365">
        <v>0.5</v>
      </c>
      <c r="GSO114" s="366" t="e">
        <f>10/GSK112</f>
        <v>#DIV/0!</v>
      </c>
      <c r="GSP114" s="367">
        <v>15.38</v>
      </c>
      <c r="GSQ114" s="367" t="e">
        <f>GSN114*GSO114*GSP114</f>
        <v>#DIV/0!</v>
      </c>
      <c r="GSR114" s="363" t="s">
        <v>153</v>
      </c>
      <c r="GSS114" s="363"/>
      <c r="GST114" s="363"/>
      <c r="GSU114" s="364" t="s">
        <v>140</v>
      </c>
      <c r="GSV114" s="365">
        <v>0.5</v>
      </c>
      <c r="GSW114" s="366" t="e">
        <f>10/GSS112</f>
        <v>#DIV/0!</v>
      </c>
      <c r="GSX114" s="367">
        <v>15.38</v>
      </c>
      <c r="GSY114" s="367" t="e">
        <f>GSV114*GSW114*GSX114</f>
        <v>#DIV/0!</v>
      </c>
      <c r="GSZ114" s="363" t="s">
        <v>153</v>
      </c>
      <c r="GTA114" s="363"/>
      <c r="GTB114" s="363"/>
      <c r="GTC114" s="364" t="s">
        <v>140</v>
      </c>
      <c r="GTD114" s="365">
        <v>0.5</v>
      </c>
      <c r="GTE114" s="366" t="e">
        <f>10/GTA112</f>
        <v>#DIV/0!</v>
      </c>
      <c r="GTF114" s="367">
        <v>15.38</v>
      </c>
      <c r="GTG114" s="367" t="e">
        <f>GTD114*GTE114*GTF114</f>
        <v>#DIV/0!</v>
      </c>
      <c r="GTH114" s="363" t="s">
        <v>153</v>
      </c>
      <c r="GTI114" s="363"/>
      <c r="GTJ114" s="363"/>
      <c r="GTK114" s="364" t="s">
        <v>140</v>
      </c>
      <c r="GTL114" s="365">
        <v>0.5</v>
      </c>
      <c r="GTM114" s="366" t="e">
        <f>10/GTI112</f>
        <v>#DIV/0!</v>
      </c>
      <c r="GTN114" s="367">
        <v>15.38</v>
      </c>
      <c r="GTO114" s="367" t="e">
        <f>GTL114*GTM114*GTN114</f>
        <v>#DIV/0!</v>
      </c>
      <c r="GTP114" s="363" t="s">
        <v>153</v>
      </c>
      <c r="GTQ114" s="363"/>
      <c r="GTR114" s="363"/>
      <c r="GTS114" s="364" t="s">
        <v>140</v>
      </c>
      <c r="GTT114" s="365">
        <v>0.5</v>
      </c>
      <c r="GTU114" s="366" t="e">
        <f>10/GTQ112</f>
        <v>#DIV/0!</v>
      </c>
      <c r="GTV114" s="367">
        <v>15.38</v>
      </c>
      <c r="GTW114" s="367" t="e">
        <f>GTT114*GTU114*GTV114</f>
        <v>#DIV/0!</v>
      </c>
      <c r="GTX114" s="363" t="s">
        <v>153</v>
      </c>
      <c r="GTY114" s="363"/>
      <c r="GTZ114" s="363"/>
      <c r="GUA114" s="364" t="s">
        <v>140</v>
      </c>
      <c r="GUB114" s="365">
        <v>0.5</v>
      </c>
      <c r="GUC114" s="366" t="e">
        <f>10/GTY112</f>
        <v>#DIV/0!</v>
      </c>
      <c r="GUD114" s="367">
        <v>15.38</v>
      </c>
      <c r="GUE114" s="367" t="e">
        <f>GUB114*GUC114*GUD114</f>
        <v>#DIV/0!</v>
      </c>
      <c r="GUF114" s="363" t="s">
        <v>153</v>
      </c>
      <c r="GUG114" s="363"/>
      <c r="GUH114" s="363"/>
      <c r="GUI114" s="364" t="s">
        <v>140</v>
      </c>
      <c r="GUJ114" s="365">
        <v>0.5</v>
      </c>
      <c r="GUK114" s="366" t="e">
        <f>10/GUG112</f>
        <v>#DIV/0!</v>
      </c>
      <c r="GUL114" s="367">
        <v>15.38</v>
      </c>
      <c r="GUM114" s="367" t="e">
        <f>GUJ114*GUK114*GUL114</f>
        <v>#DIV/0!</v>
      </c>
      <c r="GUN114" s="363" t="s">
        <v>153</v>
      </c>
      <c r="GUO114" s="363"/>
      <c r="GUP114" s="363"/>
      <c r="GUQ114" s="364" t="s">
        <v>140</v>
      </c>
      <c r="GUR114" s="365">
        <v>0.5</v>
      </c>
      <c r="GUS114" s="366" t="e">
        <f>10/GUO112</f>
        <v>#DIV/0!</v>
      </c>
      <c r="GUT114" s="367">
        <v>15.38</v>
      </c>
      <c r="GUU114" s="367" t="e">
        <f>GUR114*GUS114*GUT114</f>
        <v>#DIV/0!</v>
      </c>
      <c r="GUV114" s="363" t="s">
        <v>153</v>
      </c>
      <c r="GUW114" s="363"/>
      <c r="GUX114" s="363"/>
      <c r="GUY114" s="364" t="s">
        <v>140</v>
      </c>
      <c r="GUZ114" s="365">
        <v>0.5</v>
      </c>
      <c r="GVA114" s="366" t="e">
        <f>10/GUW112</f>
        <v>#DIV/0!</v>
      </c>
      <c r="GVB114" s="367">
        <v>15.38</v>
      </c>
      <c r="GVC114" s="367" t="e">
        <f>GUZ114*GVA114*GVB114</f>
        <v>#DIV/0!</v>
      </c>
      <c r="GVD114" s="363" t="s">
        <v>153</v>
      </c>
      <c r="GVE114" s="363"/>
      <c r="GVF114" s="363"/>
      <c r="GVG114" s="364" t="s">
        <v>140</v>
      </c>
      <c r="GVH114" s="365">
        <v>0.5</v>
      </c>
      <c r="GVI114" s="366" t="e">
        <f>10/GVE112</f>
        <v>#DIV/0!</v>
      </c>
      <c r="GVJ114" s="367">
        <v>15.38</v>
      </c>
      <c r="GVK114" s="367" t="e">
        <f>GVH114*GVI114*GVJ114</f>
        <v>#DIV/0!</v>
      </c>
      <c r="GVL114" s="363" t="s">
        <v>153</v>
      </c>
      <c r="GVM114" s="363"/>
      <c r="GVN114" s="363"/>
      <c r="GVO114" s="364" t="s">
        <v>140</v>
      </c>
      <c r="GVP114" s="365">
        <v>0.5</v>
      </c>
      <c r="GVQ114" s="366" t="e">
        <f>10/GVM112</f>
        <v>#DIV/0!</v>
      </c>
      <c r="GVR114" s="367">
        <v>15.38</v>
      </c>
      <c r="GVS114" s="367" t="e">
        <f>GVP114*GVQ114*GVR114</f>
        <v>#DIV/0!</v>
      </c>
      <c r="GVT114" s="363" t="s">
        <v>153</v>
      </c>
      <c r="GVU114" s="363"/>
      <c r="GVV114" s="363"/>
      <c r="GVW114" s="364" t="s">
        <v>140</v>
      </c>
      <c r="GVX114" s="365">
        <v>0.5</v>
      </c>
      <c r="GVY114" s="366" t="e">
        <f>10/GVU112</f>
        <v>#DIV/0!</v>
      </c>
      <c r="GVZ114" s="367">
        <v>15.38</v>
      </c>
      <c r="GWA114" s="367" t="e">
        <f>GVX114*GVY114*GVZ114</f>
        <v>#DIV/0!</v>
      </c>
      <c r="GWB114" s="363" t="s">
        <v>153</v>
      </c>
      <c r="GWC114" s="363"/>
      <c r="GWD114" s="363"/>
      <c r="GWE114" s="364" t="s">
        <v>140</v>
      </c>
      <c r="GWF114" s="365">
        <v>0.5</v>
      </c>
      <c r="GWG114" s="366" t="e">
        <f>10/GWC112</f>
        <v>#DIV/0!</v>
      </c>
      <c r="GWH114" s="367">
        <v>15.38</v>
      </c>
      <c r="GWI114" s="367" t="e">
        <f>GWF114*GWG114*GWH114</f>
        <v>#DIV/0!</v>
      </c>
      <c r="GWJ114" s="363" t="s">
        <v>153</v>
      </c>
      <c r="GWK114" s="363"/>
      <c r="GWL114" s="363"/>
      <c r="GWM114" s="364" t="s">
        <v>140</v>
      </c>
      <c r="GWN114" s="365">
        <v>0.5</v>
      </c>
      <c r="GWO114" s="366" t="e">
        <f>10/GWK112</f>
        <v>#DIV/0!</v>
      </c>
      <c r="GWP114" s="367">
        <v>15.38</v>
      </c>
      <c r="GWQ114" s="367" t="e">
        <f>GWN114*GWO114*GWP114</f>
        <v>#DIV/0!</v>
      </c>
      <c r="GWR114" s="363" t="s">
        <v>153</v>
      </c>
      <c r="GWS114" s="363"/>
      <c r="GWT114" s="363"/>
      <c r="GWU114" s="364" t="s">
        <v>140</v>
      </c>
      <c r="GWV114" s="365">
        <v>0.5</v>
      </c>
      <c r="GWW114" s="366" t="e">
        <f>10/GWS112</f>
        <v>#DIV/0!</v>
      </c>
      <c r="GWX114" s="367">
        <v>15.38</v>
      </c>
      <c r="GWY114" s="367" t="e">
        <f>GWV114*GWW114*GWX114</f>
        <v>#DIV/0!</v>
      </c>
      <c r="GWZ114" s="363" t="s">
        <v>153</v>
      </c>
      <c r="GXA114" s="363"/>
      <c r="GXB114" s="363"/>
      <c r="GXC114" s="364" t="s">
        <v>140</v>
      </c>
      <c r="GXD114" s="365">
        <v>0.5</v>
      </c>
      <c r="GXE114" s="366" t="e">
        <f>10/GXA112</f>
        <v>#DIV/0!</v>
      </c>
      <c r="GXF114" s="367">
        <v>15.38</v>
      </c>
      <c r="GXG114" s="367" t="e">
        <f>GXD114*GXE114*GXF114</f>
        <v>#DIV/0!</v>
      </c>
      <c r="GXH114" s="363" t="s">
        <v>153</v>
      </c>
      <c r="GXI114" s="363"/>
      <c r="GXJ114" s="363"/>
      <c r="GXK114" s="364" t="s">
        <v>140</v>
      </c>
      <c r="GXL114" s="365">
        <v>0.5</v>
      </c>
      <c r="GXM114" s="366" t="e">
        <f>10/GXI112</f>
        <v>#DIV/0!</v>
      </c>
      <c r="GXN114" s="367">
        <v>15.38</v>
      </c>
      <c r="GXO114" s="367" t="e">
        <f>GXL114*GXM114*GXN114</f>
        <v>#DIV/0!</v>
      </c>
      <c r="GXP114" s="363" t="s">
        <v>153</v>
      </c>
      <c r="GXQ114" s="363"/>
      <c r="GXR114" s="363"/>
      <c r="GXS114" s="364" t="s">
        <v>140</v>
      </c>
      <c r="GXT114" s="365">
        <v>0.5</v>
      </c>
      <c r="GXU114" s="366" t="e">
        <f>10/GXQ112</f>
        <v>#DIV/0!</v>
      </c>
      <c r="GXV114" s="367">
        <v>15.38</v>
      </c>
      <c r="GXW114" s="367" t="e">
        <f>GXT114*GXU114*GXV114</f>
        <v>#DIV/0!</v>
      </c>
      <c r="GXX114" s="363" t="s">
        <v>153</v>
      </c>
      <c r="GXY114" s="363"/>
      <c r="GXZ114" s="363"/>
      <c r="GYA114" s="364" t="s">
        <v>140</v>
      </c>
      <c r="GYB114" s="365">
        <v>0.5</v>
      </c>
      <c r="GYC114" s="366" t="e">
        <f>10/GXY112</f>
        <v>#DIV/0!</v>
      </c>
      <c r="GYD114" s="367">
        <v>15.38</v>
      </c>
      <c r="GYE114" s="367" t="e">
        <f>GYB114*GYC114*GYD114</f>
        <v>#DIV/0!</v>
      </c>
      <c r="GYF114" s="363" t="s">
        <v>153</v>
      </c>
      <c r="GYG114" s="363"/>
      <c r="GYH114" s="363"/>
      <c r="GYI114" s="364" t="s">
        <v>140</v>
      </c>
      <c r="GYJ114" s="365">
        <v>0.5</v>
      </c>
      <c r="GYK114" s="366" t="e">
        <f>10/GYG112</f>
        <v>#DIV/0!</v>
      </c>
      <c r="GYL114" s="367">
        <v>15.38</v>
      </c>
      <c r="GYM114" s="367" t="e">
        <f>GYJ114*GYK114*GYL114</f>
        <v>#DIV/0!</v>
      </c>
      <c r="GYN114" s="363" t="s">
        <v>153</v>
      </c>
      <c r="GYO114" s="363"/>
      <c r="GYP114" s="363"/>
      <c r="GYQ114" s="364" t="s">
        <v>140</v>
      </c>
      <c r="GYR114" s="365">
        <v>0.5</v>
      </c>
      <c r="GYS114" s="366" t="e">
        <f>10/GYO112</f>
        <v>#DIV/0!</v>
      </c>
      <c r="GYT114" s="367">
        <v>15.38</v>
      </c>
      <c r="GYU114" s="367" t="e">
        <f>GYR114*GYS114*GYT114</f>
        <v>#DIV/0!</v>
      </c>
      <c r="GYV114" s="363" t="s">
        <v>153</v>
      </c>
      <c r="GYW114" s="363"/>
      <c r="GYX114" s="363"/>
      <c r="GYY114" s="364" t="s">
        <v>140</v>
      </c>
      <c r="GYZ114" s="365">
        <v>0.5</v>
      </c>
      <c r="GZA114" s="366" t="e">
        <f>10/GYW112</f>
        <v>#DIV/0!</v>
      </c>
      <c r="GZB114" s="367">
        <v>15.38</v>
      </c>
      <c r="GZC114" s="367" t="e">
        <f>GYZ114*GZA114*GZB114</f>
        <v>#DIV/0!</v>
      </c>
      <c r="GZD114" s="363" t="s">
        <v>153</v>
      </c>
      <c r="GZE114" s="363"/>
      <c r="GZF114" s="363"/>
      <c r="GZG114" s="364" t="s">
        <v>140</v>
      </c>
      <c r="GZH114" s="365">
        <v>0.5</v>
      </c>
      <c r="GZI114" s="366" t="e">
        <f>10/GZE112</f>
        <v>#DIV/0!</v>
      </c>
      <c r="GZJ114" s="367">
        <v>15.38</v>
      </c>
      <c r="GZK114" s="367" t="e">
        <f>GZH114*GZI114*GZJ114</f>
        <v>#DIV/0!</v>
      </c>
      <c r="GZL114" s="363" t="s">
        <v>153</v>
      </c>
      <c r="GZM114" s="363"/>
      <c r="GZN114" s="363"/>
      <c r="GZO114" s="364" t="s">
        <v>140</v>
      </c>
      <c r="GZP114" s="365">
        <v>0.5</v>
      </c>
      <c r="GZQ114" s="366" t="e">
        <f>10/GZM112</f>
        <v>#DIV/0!</v>
      </c>
      <c r="GZR114" s="367">
        <v>15.38</v>
      </c>
      <c r="GZS114" s="367" t="e">
        <f>GZP114*GZQ114*GZR114</f>
        <v>#DIV/0!</v>
      </c>
      <c r="GZT114" s="363" t="s">
        <v>153</v>
      </c>
      <c r="GZU114" s="363"/>
      <c r="GZV114" s="363"/>
      <c r="GZW114" s="364" t="s">
        <v>140</v>
      </c>
      <c r="GZX114" s="365">
        <v>0.5</v>
      </c>
      <c r="GZY114" s="366" t="e">
        <f>10/GZU112</f>
        <v>#DIV/0!</v>
      </c>
      <c r="GZZ114" s="367">
        <v>15.38</v>
      </c>
      <c r="HAA114" s="367" t="e">
        <f>GZX114*GZY114*GZZ114</f>
        <v>#DIV/0!</v>
      </c>
      <c r="HAB114" s="363" t="s">
        <v>153</v>
      </c>
      <c r="HAC114" s="363"/>
      <c r="HAD114" s="363"/>
      <c r="HAE114" s="364" t="s">
        <v>140</v>
      </c>
      <c r="HAF114" s="365">
        <v>0.5</v>
      </c>
      <c r="HAG114" s="366" t="e">
        <f>10/HAC112</f>
        <v>#DIV/0!</v>
      </c>
      <c r="HAH114" s="367">
        <v>15.38</v>
      </c>
      <c r="HAI114" s="367" t="e">
        <f>HAF114*HAG114*HAH114</f>
        <v>#DIV/0!</v>
      </c>
      <c r="HAJ114" s="363" t="s">
        <v>153</v>
      </c>
      <c r="HAK114" s="363"/>
      <c r="HAL114" s="363"/>
      <c r="HAM114" s="364" t="s">
        <v>140</v>
      </c>
      <c r="HAN114" s="365">
        <v>0.5</v>
      </c>
      <c r="HAO114" s="366" t="e">
        <f>10/HAK112</f>
        <v>#DIV/0!</v>
      </c>
      <c r="HAP114" s="367">
        <v>15.38</v>
      </c>
      <c r="HAQ114" s="367" t="e">
        <f>HAN114*HAO114*HAP114</f>
        <v>#DIV/0!</v>
      </c>
      <c r="HAR114" s="363" t="s">
        <v>153</v>
      </c>
      <c r="HAS114" s="363"/>
      <c r="HAT114" s="363"/>
      <c r="HAU114" s="364" t="s">
        <v>140</v>
      </c>
      <c r="HAV114" s="365">
        <v>0.5</v>
      </c>
      <c r="HAW114" s="366" t="e">
        <f>10/HAS112</f>
        <v>#DIV/0!</v>
      </c>
      <c r="HAX114" s="367">
        <v>15.38</v>
      </c>
      <c r="HAY114" s="367" t="e">
        <f>HAV114*HAW114*HAX114</f>
        <v>#DIV/0!</v>
      </c>
      <c r="HAZ114" s="363" t="s">
        <v>153</v>
      </c>
      <c r="HBA114" s="363"/>
      <c r="HBB114" s="363"/>
      <c r="HBC114" s="364" t="s">
        <v>140</v>
      </c>
      <c r="HBD114" s="365">
        <v>0.5</v>
      </c>
      <c r="HBE114" s="366" t="e">
        <f>10/HBA112</f>
        <v>#DIV/0!</v>
      </c>
      <c r="HBF114" s="367">
        <v>15.38</v>
      </c>
      <c r="HBG114" s="367" t="e">
        <f>HBD114*HBE114*HBF114</f>
        <v>#DIV/0!</v>
      </c>
      <c r="HBH114" s="363" t="s">
        <v>153</v>
      </c>
      <c r="HBI114" s="363"/>
      <c r="HBJ114" s="363"/>
      <c r="HBK114" s="364" t="s">
        <v>140</v>
      </c>
      <c r="HBL114" s="365">
        <v>0.5</v>
      </c>
      <c r="HBM114" s="366" t="e">
        <f>10/HBI112</f>
        <v>#DIV/0!</v>
      </c>
      <c r="HBN114" s="367">
        <v>15.38</v>
      </c>
      <c r="HBO114" s="367" t="e">
        <f>HBL114*HBM114*HBN114</f>
        <v>#DIV/0!</v>
      </c>
      <c r="HBP114" s="363" t="s">
        <v>153</v>
      </c>
      <c r="HBQ114" s="363"/>
      <c r="HBR114" s="363"/>
      <c r="HBS114" s="364" t="s">
        <v>140</v>
      </c>
      <c r="HBT114" s="365">
        <v>0.5</v>
      </c>
      <c r="HBU114" s="366" t="e">
        <f>10/HBQ112</f>
        <v>#DIV/0!</v>
      </c>
      <c r="HBV114" s="367">
        <v>15.38</v>
      </c>
      <c r="HBW114" s="367" t="e">
        <f>HBT114*HBU114*HBV114</f>
        <v>#DIV/0!</v>
      </c>
      <c r="HBX114" s="363" t="s">
        <v>153</v>
      </c>
      <c r="HBY114" s="363"/>
      <c r="HBZ114" s="363"/>
      <c r="HCA114" s="364" t="s">
        <v>140</v>
      </c>
      <c r="HCB114" s="365">
        <v>0.5</v>
      </c>
      <c r="HCC114" s="366" t="e">
        <f>10/HBY112</f>
        <v>#DIV/0!</v>
      </c>
      <c r="HCD114" s="367">
        <v>15.38</v>
      </c>
      <c r="HCE114" s="367" t="e">
        <f>HCB114*HCC114*HCD114</f>
        <v>#DIV/0!</v>
      </c>
      <c r="HCF114" s="363" t="s">
        <v>153</v>
      </c>
      <c r="HCG114" s="363"/>
      <c r="HCH114" s="363"/>
      <c r="HCI114" s="364" t="s">
        <v>140</v>
      </c>
      <c r="HCJ114" s="365">
        <v>0.5</v>
      </c>
      <c r="HCK114" s="366" t="e">
        <f>10/HCG112</f>
        <v>#DIV/0!</v>
      </c>
      <c r="HCL114" s="367">
        <v>15.38</v>
      </c>
      <c r="HCM114" s="367" t="e">
        <f>HCJ114*HCK114*HCL114</f>
        <v>#DIV/0!</v>
      </c>
      <c r="HCN114" s="363" t="s">
        <v>153</v>
      </c>
      <c r="HCO114" s="363"/>
      <c r="HCP114" s="363"/>
      <c r="HCQ114" s="364" t="s">
        <v>140</v>
      </c>
      <c r="HCR114" s="365">
        <v>0.5</v>
      </c>
      <c r="HCS114" s="366" t="e">
        <f>10/HCO112</f>
        <v>#DIV/0!</v>
      </c>
      <c r="HCT114" s="367">
        <v>15.38</v>
      </c>
      <c r="HCU114" s="367" t="e">
        <f>HCR114*HCS114*HCT114</f>
        <v>#DIV/0!</v>
      </c>
      <c r="HCV114" s="363" t="s">
        <v>153</v>
      </c>
      <c r="HCW114" s="363"/>
      <c r="HCX114" s="363"/>
      <c r="HCY114" s="364" t="s">
        <v>140</v>
      </c>
      <c r="HCZ114" s="365">
        <v>0.5</v>
      </c>
      <c r="HDA114" s="366" t="e">
        <f>10/HCW112</f>
        <v>#DIV/0!</v>
      </c>
      <c r="HDB114" s="367">
        <v>15.38</v>
      </c>
      <c r="HDC114" s="367" t="e">
        <f>HCZ114*HDA114*HDB114</f>
        <v>#DIV/0!</v>
      </c>
      <c r="HDD114" s="363" t="s">
        <v>153</v>
      </c>
      <c r="HDE114" s="363"/>
      <c r="HDF114" s="363"/>
      <c r="HDG114" s="364" t="s">
        <v>140</v>
      </c>
      <c r="HDH114" s="365">
        <v>0.5</v>
      </c>
      <c r="HDI114" s="366" t="e">
        <f>10/HDE112</f>
        <v>#DIV/0!</v>
      </c>
      <c r="HDJ114" s="367">
        <v>15.38</v>
      </c>
      <c r="HDK114" s="367" t="e">
        <f>HDH114*HDI114*HDJ114</f>
        <v>#DIV/0!</v>
      </c>
      <c r="HDL114" s="363" t="s">
        <v>153</v>
      </c>
      <c r="HDM114" s="363"/>
      <c r="HDN114" s="363"/>
      <c r="HDO114" s="364" t="s">
        <v>140</v>
      </c>
      <c r="HDP114" s="365">
        <v>0.5</v>
      </c>
      <c r="HDQ114" s="366" t="e">
        <f>10/HDM112</f>
        <v>#DIV/0!</v>
      </c>
      <c r="HDR114" s="367">
        <v>15.38</v>
      </c>
      <c r="HDS114" s="367" t="e">
        <f>HDP114*HDQ114*HDR114</f>
        <v>#DIV/0!</v>
      </c>
      <c r="HDT114" s="363" t="s">
        <v>153</v>
      </c>
      <c r="HDU114" s="363"/>
      <c r="HDV114" s="363"/>
      <c r="HDW114" s="364" t="s">
        <v>140</v>
      </c>
      <c r="HDX114" s="365">
        <v>0.5</v>
      </c>
      <c r="HDY114" s="366" t="e">
        <f>10/HDU112</f>
        <v>#DIV/0!</v>
      </c>
      <c r="HDZ114" s="367">
        <v>15.38</v>
      </c>
      <c r="HEA114" s="367" t="e">
        <f>HDX114*HDY114*HDZ114</f>
        <v>#DIV/0!</v>
      </c>
      <c r="HEB114" s="363" t="s">
        <v>153</v>
      </c>
      <c r="HEC114" s="363"/>
      <c r="HED114" s="363"/>
      <c r="HEE114" s="364" t="s">
        <v>140</v>
      </c>
      <c r="HEF114" s="365">
        <v>0.5</v>
      </c>
      <c r="HEG114" s="366" t="e">
        <f>10/HEC112</f>
        <v>#DIV/0!</v>
      </c>
      <c r="HEH114" s="367">
        <v>15.38</v>
      </c>
      <c r="HEI114" s="367" t="e">
        <f>HEF114*HEG114*HEH114</f>
        <v>#DIV/0!</v>
      </c>
      <c r="HEJ114" s="363" t="s">
        <v>153</v>
      </c>
      <c r="HEK114" s="363"/>
      <c r="HEL114" s="363"/>
      <c r="HEM114" s="364" t="s">
        <v>140</v>
      </c>
      <c r="HEN114" s="365">
        <v>0.5</v>
      </c>
      <c r="HEO114" s="366" t="e">
        <f>10/HEK112</f>
        <v>#DIV/0!</v>
      </c>
      <c r="HEP114" s="367">
        <v>15.38</v>
      </c>
      <c r="HEQ114" s="367" t="e">
        <f>HEN114*HEO114*HEP114</f>
        <v>#DIV/0!</v>
      </c>
      <c r="HER114" s="363" t="s">
        <v>153</v>
      </c>
      <c r="HES114" s="363"/>
      <c r="HET114" s="363"/>
      <c r="HEU114" s="364" t="s">
        <v>140</v>
      </c>
      <c r="HEV114" s="365">
        <v>0.5</v>
      </c>
      <c r="HEW114" s="366" t="e">
        <f>10/HES112</f>
        <v>#DIV/0!</v>
      </c>
      <c r="HEX114" s="367">
        <v>15.38</v>
      </c>
      <c r="HEY114" s="367" t="e">
        <f>HEV114*HEW114*HEX114</f>
        <v>#DIV/0!</v>
      </c>
      <c r="HEZ114" s="363" t="s">
        <v>153</v>
      </c>
      <c r="HFA114" s="363"/>
      <c r="HFB114" s="363"/>
      <c r="HFC114" s="364" t="s">
        <v>140</v>
      </c>
      <c r="HFD114" s="365">
        <v>0.5</v>
      </c>
      <c r="HFE114" s="366" t="e">
        <f>10/HFA112</f>
        <v>#DIV/0!</v>
      </c>
      <c r="HFF114" s="367">
        <v>15.38</v>
      </c>
      <c r="HFG114" s="367" t="e">
        <f>HFD114*HFE114*HFF114</f>
        <v>#DIV/0!</v>
      </c>
      <c r="HFH114" s="363" t="s">
        <v>153</v>
      </c>
      <c r="HFI114" s="363"/>
      <c r="HFJ114" s="363"/>
      <c r="HFK114" s="364" t="s">
        <v>140</v>
      </c>
      <c r="HFL114" s="365">
        <v>0.5</v>
      </c>
      <c r="HFM114" s="366" t="e">
        <f>10/HFI112</f>
        <v>#DIV/0!</v>
      </c>
      <c r="HFN114" s="367">
        <v>15.38</v>
      </c>
      <c r="HFO114" s="367" t="e">
        <f>HFL114*HFM114*HFN114</f>
        <v>#DIV/0!</v>
      </c>
      <c r="HFP114" s="363" t="s">
        <v>153</v>
      </c>
      <c r="HFQ114" s="363"/>
      <c r="HFR114" s="363"/>
      <c r="HFS114" s="364" t="s">
        <v>140</v>
      </c>
      <c r="HFT114" s="365">
        <v>0.5</v>
      </c>
      <c r="HFU114" s="366" t="e">
        <f>10/HFQ112</f>
        <v>#DIV/0!</v>
      </c>
      <c r="HFV114" s="367">
        <v>15.38</v>
      </c>
      <c r="HFW114" s="367" t="e">
        <f>HFT114*HFU114*HFV114</f>
        <v>#DIV/0!</v>
      </c>
      <c r="HFX114" s="363" t="s">
        <v>153</v>
      </c>
      <c r="HFY114" s="363"/>
      <c r="HFZ114" s="363"/>
      <c r="HGA114" s="364" t="s">
        <v>140</v>
      </c>
      <c r="HGB114" s="365">
        <v>0.5</v>
      </c>
      <c r="HGC114" s="366" t="e">
        <f>10/HFY112</f>
        <v>#DIV/0!</v>
      </c>
      <c r="HGD114" s="367">
        <v>15.38</v>
      </c>
      <c r="HGE114" s="367" t="e">
        <f>HGB114*HGC114*HGD114</f>
        <v>#DIV/0!</v>
      </c>
      <c r="HGF114" s="363" t="s">
        <v>153</v>
      </c>
      <c r="HGG114" s="363"/>
      <c r="HGH114" s="363"/>
      <c r="HGI114" s="364" t="s">
        <v>140</v>
      </c>
      <c r="HGJ114" s="365">
        <v>0.5</v>
      </c>
      <c r="HGK114" s="366" t="e">
        <f>10/HGG112</f>
        <v>#DIV/0!</v>
      </c>
      <c r="HGL114" s="367">
        <v>15.38</v>
      </c>
      <c r="HGM114" s="367" t="e">
        <f>HGJ114*HGK114*HGL114</f>
        <v>#DIV/0!</v>
      </c>
      <c r="HGN114" s="363" t="s">
        <v>153</v>
      </c>
      <c r="HGO114" s="363"/>
      <c r="HGP114" s="363"/>
      <c r="HGQ114" s="364" t="s">
        <v>140</v>
      </c>
      <c r="HGR114" s="365">
        <v>0.5</v>
      </c>
      <c r="HGS114" s="366" t="e">
        <f>10/HGO112</f>
        <v>#DIV/0!</v>
      </c>
      <c r="HGT114" s="367">
        <v>15.38</v>
      </c>
      <c r="HGU114" s="367" t="e">
        <f>HGR114*HGS114*HGT114</f>
        <v>#DIV/0!</v>
      </c>
      <c r="HGV114" s="363" t="s">
        <v>153</v>
      </c>
      <c r="HGW114" s="363"/>
      <c r="HGX114" s="363"/>
      <c r="HGY114" s="364" t="s">
        <v>140</v>
      </c>
      <c r="HGZ114" s="365">
        <v>0.5</v>
      </c>
      <c r="HHA114" s="366" t="e">
        <f>10/HGW112</f>
        <v>#DIV/0!</v>
      </c>
      <c r="HHB114" s="367">
        <v>15.38</v>
      </c>
      <c r="HHC114" s="367" t="e">
        <f>HGZ114*HHA114*HHB114</f>
        <v>#DIV/0!</v>
      </c>
      <c r="HHD114" s="363" t="s">
        <v>153</v>
      </c>
      <c r="HHE114" s="363"/>
      <c r="HHF114" s="363"/>
      <c r="HHG114" s="364" t="s">
        <v>140</v>
      </c>
      <c r="HHH114" s="365">
        <v>0.5</v>
      </c>
      <c r="HHI114" s="366" t="e">
        <f>10/HHE112</f>
        <v>#DIV/0!</v>
      </c>
      <c r="HHJ114" s="367">
        <v>15.38</v>
      </c>
      <c r="HHK114" s="367" t="e">
        <f>HHH114*HHI114*HHJ114</f>
        <v>#DIV/0!</v>
      </c>
      <c r="HHL114" s="363" t="s">
        <v>153</v>
      </c>
      <c r="HHM114" s="363"/>
      <c r="HHN114" s="363"/>
      <c r="HHO114" s="364" t="s">
        <v>140</v>
      </c>
      <c r="HHP114" s="365">
        <v>0.5</v>
      </c>
      <c r="HHQ114" s="366" t="e">
        <f>10/HHM112</f>
        <v>#DIV/0!</v>
      </c>
      <c r="HHR114" s="367">
        <v>15.38</v>
      </c>
      <c r="HHS114" s="367" t="e">
        <f>HHP114*HHQ114*HHR114</f>
        <v>#DIV/0!</v>
      </c>
      <c r="HHT114" s="363" t="s">
        <v>153</v>
      </c>
      <c r="HHU114" s="363"/>
      <c r="HHV114" s="363"/>
      <c r="HHW114" s="364" t="s">
        <v>140</v>
      </c>
      <c r="HHX114" s="365">
        <v>0.5</v>
      </c>
      <c r="HHY114" s="366" t="e">
        <f>10/HHU112</f>
        <v>#DIV/0!</v>
      </c>
      <c r="HHZ114" s="367">
        <v>15.38</v>
      </c>
      <c r="HIA114" s="367" t="e">
        <f>HHX114*HHY114*HHZ114</f>
        <v>#DIV/0!</v>
      </c>
      <c r="HIB114" s="363" t="s">
        <v>153</v>
      </c>
      <c r="HIC114" s="363"/>
      <c r="HID114" s="363"/>
      <c r="HIE114" s="364" t="s">
        <v>140</v>
      </c>
      <c r="HIF114" s="365">
        <v>0.5</v>
      </c>
      <c r="HIG114" s="366" t="e">
        <f>10/HIC112</f>
        <v>#DIV/0!</v>
      </c>
      <c r="HIH114" s="367">
        <v>15.38</v>
      </c>
      <c r="HII114" s="367" t="e">
        <f>HIF114*HIG114*HIH114</f>
        <v>#DIV/0!</v>
      </c>
      <c r="HIJ114" s="363" t="s">
        <v>153</v>
      </c>
      <c r="HIK114" s="363"/>
      <c r="HIL114" s="363"/>
      <c r="HIM114" s="364" t="s">
        <v>140</v>
      </c>
      <c r="HIN114" s="365">
        <v>0.5</v>
      </c>
      <c r="HIO114" s="366" t="e">
        <f>10/HIK112</f>
        <v>#DIV/0!</v>
      </c>
      <c r="HIP114" s="367">
        <v>15.38</v>
      </c>
      <c r="HIQ114" s="367" t="e">
        <f>HIN114*HIO114*HIP114</f>
        <v>#DIV/0!</v>
      </c>
      <c r="HIR114" s="363" t="s">
        <v>153</v>
      </c>
      <c r="HIS114" s="363"/>
      <c r="HIT114" s="363"/>
      <c r="HIU114" s="364" t="s">
        <v>140</v>
      </c>
      <c r="HIV114" s="365">
        <v>0.5</v>
      </c>
      <c r="HIW114" s="366" t="e">
        <f>10/HIS112</f>
        <v>#DIV/0!</v>
      </c>
      <c r="HIX114" s="367">
        <v>15.38</v>
      </c>
      <c r="HIY114" s="367" t="e">
        <f>HIV114*HIW114*HIX114</f>
        <v>#DIV/0!</v>
      </c>
      <c r="HIZ114" s="363" t="s">
        <v>153</v>
      </c>
      <c r="HJA114" s="363"/>
      <c r="HJB114" s="363"/>
      <c r="HJC114" s="364" t="s">
        <v>140</v>
      </c>
      <c r="HJD114" s="365">
        <v>0.5</v>
      </c>
      <c r="HJE114" s="366" t="e">
        <f>10/HJA112</f>
        <v>#DIV/0!</v>
      </c>
      <c r="HJF114" s="367">
        <v>15.38</v>
      </c>
      <c r="HJG114" s="367" t="e">
        <f>HJD114*HJE114*HJF114</f>
        <v>#DIV/0!</v>
      </c>
      <c r="HJH114" s="363" t="s">
        <v>153</v>
      </c>
      <c r="HJI114" s="363"/>
      <c r="HJJ114" s="363"/>
      <c r="HJK114" s="364" t="s">
        <v>140</v>
      </c>
      <c r="HJL114" s="365">
        <v>0.5</v>
      </c>
      <c r="HJM114" s="366" t="e">
        <f>10/HJI112</f>
        <v>#DIV/0!</v>
      </c>
      <c r="HJN114" s="367">
        <v>15.38</v>
      </c>
      <c r="HJO114" s="367" t="e">
        <f>HJL114*HJM114*HJN114</f>
        <v>#DIV/0!</v>
      </c>
      <c r="HJP114" s="363" t="s">
        <v>153</v>
      </c>
      <c r="HJQ114" s="363"/>
      <c r="HJR114" s="363"/>
      <c r="HJS114" s="364" t="s">
        <v>140</v>
      </c>
      <c r="HJT114" s="365">
        <v>0.5</v>
      </c>
      <c r="HJU114" s="366" t="e">
        <f>10/HJQ112</f>
        <v>#DIV/0!</v>
      </c>
      <c r="HJV114" s="367">
        <v>15.38</v>
      </c>
      <c r="HJW114" s="367" t="e">
        <f>HJT114*HJU114*HJV114</f>
        <v>#DIV/0!</v>
      </c>
      <c r="HJX114" s="363" t="s">
        <v>153</v>
      </c>
      <c r="HJY114" s="363"/>
      <c r="HJZ114" s="363"/>
      <c r="HKA114" s="364" t="s">
        <v>140</v>
      </c>
      <c r="HKB114" s="365">
        <v>0.5</v>
      </c>
      <c r="HKC114" s="366" t="e">
        <f>10/HJY112</f>
        <v>#DIV/0!</v>
      </c>
      <c r="HKD114" s="367">
        <v>15.38</v>
      </c>
      <c r="HKE114" s="367" t="e">
        <f>HKB114*HKC114*HKD114</f>
        <v>#DIV/0!</v>
      </c>
      <c r="HKF114" s="363" t="s">
        <v>153</v>
      </c>
      <c r="HKG114" s="363"/>
      <c r="HKH114" s="363"/>
      <c r="HKI114" s="364" t="s">
        <v>140</v>
      </c>
      <c r="HKJ114" s="365">
        <v>0.5</v>
      </c>
      <c r="HKK114" s="366" t="e">
        <f>10/HKG112</f>
        <v>#DIV/0!</v>
      </c>
      <c r="HKL114" s="367">
        <v>15.38</v>
      </c>
      <c r="HKM114" s="367" t="e">
        <f>HKJ114*HKK114*HKL114</f>
        <v>#DIV/0!</v>
      </c>
      <c r="HKN114" s="363" t="s">
        <v>153</v>
      </c>
      <c r="HKO114" s="363"/>
      <c r="HKP114" s="363"/>
      <c r="HKQ114" s="364" t="s">
        <v>140</v>
      </c>
      <c r="HKR114" s="365">
        <v>0.5</v>
      </c>
      <c r="HKS114" s="366" t="e">
        <f>10/HKO112</f>
        <v>#DIV/0!</v>
      </c>
      <c r="HKT114" s="367">
        <v>15.38</v>
      </c>
      <c r="HKU114" s="367" t="e">
        <f>HKR114*HKS114*HKT114</f>
        <v>#DIV/0!</v>
      </c>
      <c r="HKV114" s="363" t="s">
        <v>153</v>
      </c>
      <c r="HKW114" s="363"/>
      <c r="HKX114" s="363"/>
      <c r="HKY114" s="364" t="s">
        <v>140</v>
      </c>
      <c r="HKZ114" s="365">
        <v>0.5</v>
      </c>
      <c r="HLA114" s="366" t="e">
        <f>10/HKW112</f>
        <v>#DIV/0!</v>
      </c>
      <c r="HLB114" s="367">
        <v>15.38</v>
      </c>
      <c r="HLC114" s="367" t="e">
        <f>HKZ114*HLA114*HLB114</f>
        <v>#DIV/0!</v>
      </c>
      <c r="HLD114" s="363" t="s">
        <v>153</v>
      </c>
      <c r="HLE114" s="363"/>
      <c r="HLF114" s="363"/>
      <c r="HLG114" s="364" t="s">
        <v>140</v>
      </c>
      <c r="HLH114" s="365">
        <v>0.5</v>
      </c>
      <c r="HLI114" s="366" t="e">
        <f>10/HLE112</f>
        <v>#DIV/0!</v>
      </c>
      <c r="HLJ114" s="367">
        <v>15.38</v>
      </c>
      <c r="HLK114" s="367" t="e">
        <f>HLH114*HLI114*HLJ114</f>
        <v>#DIV/0!</v>
      </c>
      <c r="HLL114" s="363" t="s">
        <v>153</v>
      </c>
      <c r="HLM114" s="363"/>
      <c r="HLN114" s="363"/>
      <c r="HLO114" s="364" t="s">
        <v>140</v>
      </c>
      <c r="HLP114" s="365">
        <v>0.5</v>
      </c>
      <c r="HLQ114" s="366" t="e">
        <f>10/HLM112</f>
        <v>#DIV/0!</v>
      </c>
      <c r="HLR114" s="367">
        <v>15.38</v>
      </c>
      <c r="HLS114" s="367" t="e">
        <f>HLP114*HLQ114*HLR114</f>
        <v>#DIV/0!</v>
      </c>
      <c r="HLT114" s="363" t="s">
        <v>153</v>
      </c>
      <c r="HLU114" s="363"/>
      <c r="HLV114" s="363"/>
      <c r="HLW114" s="364" t="s">
        <v>140</v>
      </c>
      <c r="HLX114" s="365">
        <v>0.5</v>
      </c>
      <c r="HLY114" s="366" t="e">
        <f>10/HLU112</f>
        <v>#DIV/0!</v>
      </c>
      <c r="HLZ114" s="367">
        <v>15.38</v>
      </c>
      <c r="HMA114" s="367" t="e">
        <f>HLX114*HLY114*HLZ114</f>
        <v>#DIV/0!</v>
      </c>
      <c r="HMB114" s="363" t="s">
        <v>153</v>
      </c>
      <c r="HMC114" s="363"/>
      <c r="HMD114" s="363"/>
      <c r="HME114" s="364" t="s">
        <v>140</v>
      </c>
      <c r="HMF114" s="365">
        <v>0.5</v>
      </c>
      <c r="HMG114" s="366" t="e">
        <f>10/HMC112</f>
        <v>#DIV/0!</v>
      </c>
      <c r="HMH114" s="367">
        <v>15.38</v>
      </c>
      <c r="HMI114" s="367" t="e">
        <f>HMF114*HMG114*HMH114</f>
        <v>#DIV/0!</v>
      </c>
      <c r="HMJ114" s="363" t="s">
        <v>153</v>
      </c>
      <c r="HMK114" s="363"/>
      <c r="HML114" s="363"/>
      <c r="HMM114" s="364" t="s">
        <v>140</v>
      </c>
      <c r="HMN114" s="365">
        <v>0.5</v>
      </c>
      <c r="HMO114" s="366" t="e">
        <f>10/HMK112</f>
        <v>#DIV/0!</v>
      </c>
      <c r="HMP114" s="367">
        <v>15.38</v>
      </c>
      <c r="HMQ114" s="367" t="e">
        <f>HMN114*HMO114*HMP114</f>
        <v>#DIV/0!</v>
      </c>
      <c r="HMR114" s="363" t="s">
        <v>153</v>
      </c>
      <c r="HMS114" s="363"/>
      <c r="HMT114" s="363"/>
      <c r="HMU114" s="364" t="s">
        <v>140</v>
      </c>
      <c r="HMV114" s="365">
        <v>0.5</v>
      </c>
      <c r="HMW114" s="366" t="e">
        <f>10/HMS112</f>
        <v>#DIV/0!</v>
      </c>
      <c r="HMX114" s="367">
        <v>15.38</v>
      </c>
      <c r="HMY114" s="367" t="e">
        <f>HMV114*HMW114*HMX114</f>
        <v>#DIV/0!</v>
      </c>
      <c r="HMZ114" s="363" t="s">
        <v>153</v>
      </c>
      <c r="HNA114" s="363"/>
      <c r="HNB114" s="363"/>
      <c r="HNC114" s="364" t="s">
        <v>140</v>
      </c>
      <c r="HND114" s="365">
        <v>0.5</v>
      </c>
      <c r="HNE114" s="366" t="e">
        <f>10/HNA112</f>
        <v>#DIV/0!</v>
      </c>
      <c r="HNF114" s="367">
        <v>15.38</v>
      </c>
      <c r="HNG114" s="367" t="e">
        <f>HND114*HNE114*HNF114</f>
        <v>#DIV/0!</v>
      </c>
      <c r="HNH114" s="363" t="s">
        <v>153</v>
      </c>
      <c r="HNI114" s="363"/>
      <c r="HNJ114" s="363"/>
      <c r="HNK114" s="364" t="s">
        <v>140</v>
      </c>
      <c r="HNL114" s="365">
        <v>0.5</v>
      </c>
      <c r="HNM114" s="366" t="e">
        <f>10/HNI112</f>
        <v>#DIV/0!</v>
      </c>
      <c r="HNN114" s="367">
        <v>15.38</v>
      </c>
      <c r="HNO114" s="367" t="e">
        <f>HNL114*HNM114*HNN114</f>
        <v>#DIV/0!</v>
      </c>
      <c r="HNP114" s="363" t="s">
        <v>153</v>
      </c>
      <c r="HNQ114" s="363"/>
      <c r="HNR114" s="363"/>
      <c r="HNS114" s="364" t="s">
        <v>140</v>
      </c>
      <c r="HNT114" s="365">
        <v>0.5</v>
      </c>
      <c r="HNU114" s="366" t="e">
        <f>10/HNQ112</f>
        <v>#DIV/0!</v>
      </c>
      <c r="HNV114" s="367">
        <v>15.38</v>
      </c>
      <c r="HNW114" s="367" t="e">
        <f>HNT114*HNU114*HNV114</f>
        <v>#DIV/0!</v>
      </c>
      <c r="HNX114" s="363" t="s">
        <v>153</v>
      </c>
      <c r="HNY114" s="363"/>
      <c r="HNZ114" s="363"/>
      <c r="HOA114" s="364" t="s">
        <v>140</v>
      </c>
      <c r="HOB114" s="365">
        <v>0.5</v>
      </c>
      <c r="HOC114" s="366" t="e">
        <f>10/HNY112</f>
        <v>#DIV/0!</v>
      </c>
      <c r="HOD114" s="367">
        <v>15.38</v>
      </c>
      <c r="HOE114" s="367" t="e">
        <f>HOB114*HOC114*HOD114</f>
        <v>#DIV/0!</v>
      </c>
      <c r="HOF114" s="363" t="s">
        <v>153</v>
      </c>
      <c r="HOG114" s="363"/>
      <c r="HOH114" s="363"/>
      <c r="HOI114" s="364" t="s">
        <v>140</v>
      </c>
      <c r="HOJ114" s="365">
        <v>0.5</v>
      </c>
      <c r="HOK114" s="366" t="e">
        <f>10/HOG112</f>
        <v>#DIV/0!</v>
      </c>
      <c r="HOL114" s="367">
        <v>15.38</v>
      </c>
      <c r="HOM114" s="367" t="e">
        <f>HOJ114*HOK114*HOL114</f>
        <v>#DIV/0!</v>
      </c>
      <c r="HON114" s="363" t="s">
        <v>153</v>
      </c>
      <c r="HOO114" s="363"/>
      <c r="HOP114" s="363"/>
      <c r="HOQ114" s="364" t="s">
        <v>140</v>
      </c>
      <c r="HOR114" s="365">
        <v>0.5</v>
      </c>
      <c r="HOS114" s="366" t="e">
        <f>10/HOO112</f>
        <v>#DIV/0!</v>
      </c>
      <c r="HOT114" s="367">
        <v>15.38</v>
      </c>
      <c r="HOU114" s="367" t="e">
        <f>HOR114*HOS114*HOT114</f>
        <v>#DIV/0!</v>
      </c>
      <c r="HOV114" s="363" t="s">
        <v>153</v>
      </c>
      <c r="HOW114" s="363"/>
      <c r="HOX114" s="363"/>
      <c r="HOY114" s="364" t="s">
        <v>140</v>
      </c>
      <c r="HOZ114" s="365">
        <v>0.5</v>
      </c>
      <c r="HPA114" s="366" t="e">
        <f>10/HOW112</f>
        <v>#DIV/0!</v>
      </c>
      <c r="HPB114" s="367">
        <v>15.38</v>
      </c>
      <c r="HPC114" s="367" t="e">
        <f>HOZ114*HPA114*HPB114</f>
        <v>#DIV/0!</v>
      </c>
      <c r="HPD114" s="363" t="s">
        <v>153</v>
      </c>
      <c r="HPE114" s="363"/>
      <c r="HPF114" s="363"/>
      <c r="HPG114" s="364" t="s">
        <v>140</v>
      </c>
      <c r="HPH114" s="365">
        <v>0.5</v>
      </c>
      <c r="HPI114" s="366" t="e">
        <f>10/HPE112</f>
        <v>#DIV/0!</v>
      </c>
      <c r="HPJ114" s="367">
        <v>15.38</v>
      </c>
      <c r="HPK114" s="367" t="e">
        <f>HPH114*HPI114*HPJ114</f>
        <v>#DIV/0!</v>
      </c>
      <c r="HPL114" s="363" t="s">
        <v>153</v>
      </c>
      <c r="HPM114" s="363"/>
      <c r="HPN114" s="363"/>
      <c r="HPO114" s="364" t="s">
        <v>140</v>
      </c>
      <c r="HPP114" s="365">
        <v>0.5</v>
      </c>
      <c r="HPQ114" s="366" t="e">
        <f>10/HPM112</f>
        <v>#DIV/0!</v>
      </c>
      <c r="HPR114" s="367">
        <v>15.38</v>
      </c>
      <c r="HPS114" s="367" t="e">
        <f>HPP114*HPQ114*HPR114</f>
        <v>#DIV/0!</v>
      </c>
      <c r="HPT114" s="363" t="s">
        <v>153</v>
      </c>
      <c r="HPU114" s="363"/>
      <c r="HPV114" s="363"/>
      <c r="HPW114" s="364" t="s">
        <v>140</v>
      </c>
      <c r="HPX114" s="365">
        <v>0.5</v>
      </c>
      <c r="HPY114" s="366" t="e">
        <f>10/HPU112</f>
        <v>#DIV/0!</v>
      </c>
      <c r="HPZ114" s="367">
        <v>15.38</v>
      </c>
      <c r="HQA114" s="367" t="e">
        <f>HPX114*HPY114*HPZ114</f>
        <v>#DIV/0!</v>
      </c>
      <c r="HQB114" s="363" t="s">
        <v>153</v>
      </c>
      <c r="HQC114" s="363"/>
      <c r="HQD114" s="363"/>
      <c r="HQE114" s="364" t="s">
        <v>140</v>
      </c>
      <c r="HQF114" s="365">
        <v>0.5</v>
      </c>
      <c r="HQG114" s="366" t="e">
        <f>10/HQC112</f>
        <v>#DIV/0!</v>
      </c>
      <c r="HQH114" s="367">
        <v>15.38</v>
      </c>
      <c r="HQI114" s="367" t="e">
        <f>HQF114*HQG114*HQH114</f>
        <v>#DIV/0!</v>
      </c>
      <c r="HQJ114" s="363" t="s">
        <v>153</v>
      </c>
      <c r="HQK114" s="363"/>
      <c r="HQL114" s="363"/>
      <c r="HQM114" s="364" t="s">
        <v>140</v>
      </c>
      <c r="HQN114" s="365">
        <v>0.5</v>
      </c>
      <c r="HQO114" s="366" t="e">
        <f>10/HQK112</f>
        <v>#DIV/0!</v>
      </c>
      <c r="HQP114" s="367">
        <v>15.38</v>
      </c>
      <c r="HQQ114" s="367" t="e">
        <f>HQN114*HQO114*HQP114</f>
        <v>#DIV/0!</v>
      </c>
      <c r="HQR114" s="363" t="s">
        <v>153</v>
      </c>
      <c r="HQS114" s="363"/>
      <c r="HQT114" s="363"/>
      <c r="HQU114" s="364" t="s">
        <v>140</v>
      </c>
      <c r="HQV114" s="365">
        <v>0.5</v>
      </c>
      <c r="HQW114" s="366" t="e">
        <f>10/HQS112</f>
        <v>#DIV/0!</v>
      </c>
      <c r="HQX114" s="367">
        <v>15.38</v>
      </c>
      <c r="HQY114" s="367" t="e">
        <f>HQV114*HQW114*HQX114</f>
        <v>#DIV/0!</v>
      </c>
      <c r="HQZ114" s="363" t="s">
        <v>153</v>
      </c>
      <c r="HRA114" s="363"/>
      <c r="HRB114" s="363"/>
      <c r="HRC114" s="364" t="s">
        <v>140</v>
      </c>
      <c r="HRD114" s="365">
        <v>0.5</v>
      </c>
      <c r="HRE114" s="366" t="e">
        <f>10/HRA112</f>
        <v>#DIV/0!</v>
      </c>
      <c r="HRF114" s="367">
        <v>15.38</v>
      </c>
      <c r="HRG114" s="367" t="e">
        <f>HRD114*HRE114*HRF114</f>
        <v>#DIV/0!</v>
      </c>
      <c r="HRH114" s="363" t="s">
        <v>153</v>
      </c>
      <c r="HRI114" s="363"/>
      <c r="HRJ114" s="363"/>
      <c r="HRK114" s="364" t="s">
        <v>140</v>
      </c>
      <c r="HRL114" s="365">
        <v>0.5</v>
      </c>
      <c r="HRM114" s="366" t="e">
        <f>10/HRI112</f>
        <v>#DIV/0!</v>
      </c>
      <c r="HRN114" s="367">
        <v>15.38</v>
      </c>
      <c r="HRO114" s="367" t="e">
        <f>HRL114*HRM114*HRN114</f>
        <v>#DIV/0!</v>
      </c>
      <c r="HRP114" s="363" t="s">
        <v>153</v>
      </c>
      <c r="HRQ114" s="363"/>
      <c r="HRR114" s="363"/>
      <c r="HRS114" s="364" t="s">
        <v>140</v>
      </c>
      <c r="HRT114" s="365">
        <v>0.5</v>
      </c>
      <c r="HRU114" s="366" t="e">
        <f>10/HRQ112</f>
        <v>#DIV/0!</v>
      </c>
      <c r="HRV114" s="367">
        <v>15.38</v>
      </c>
      <c r="HRW114" s="367" t="e">
        <f>HRT114*HRU114*HRV114</f>
        <v>#DIV/0!</v>
      </c>
      <c r="HRX114" s="363" t="s">
        <v>153</v>
      </c>
      <c r="HRY114" s="363"/>
      <c r="HRZ114" s="363"/>
      <c r="HSA114" s="364" t="s">
        <v>140</v>
      </c>
      <c r="HSB114" s="365">
        <v>0.5</v>
      </c>
      <c r="HSC114" s="366" t="e">
        <f>10/HRY112</f>
        <v>#DIV/0!</v>
      </c>
      <c r="HSD114" s="367">
        <v>15.38</v>
      </c>
      <c r="HSE114" s="367" t="e">
        <f>HSB114*HSC114*HSD114</f>
        <v>#DIV/0!</v>
      </c>
      <c r="HSF114" s="363" t="s">
        <v>153</v>
      </c>
      <c r="HSG114" s="363"/>
      <c r="HSH114" s="363"/>
      <c r="HSI114" s="364" t="s">
        <v>140</v>
      </c>
      <c r="HSJ114" s="365">
        <v>0.5</v>
      </c>
      <c r="HSK114" s="366" t="e">
        <f>10/HSG112</f>
        <v>#DIV/0!</v>
      </c>
      <c r="HSL114" s="367">
        <v>15.38</v>
      </c>
      <c r="HSM114" s="367" t="e">
        <f>HSJ114*HSK114*HSL114</f>
        <v>#DIV/0!</v>
      </c>
      <c r="HSN114" s="363" t="s">
        <v>153</v>
      </c>
      <c r="HSO114" s="363"/>
      <c r="HSP114" s="363"/>
      <c r="HSQ114" s="364" t="s">
        <v>140</v>
      </c>
      <c r="HSR114" s="365">
        <v>0.5</v>
      </c>
      <c r="HSS114" s="366" t="e">
        <f>10/HSO112</f>
        <v>#DIV/0!</v>
      </c>
      <c r="HST114" s="367">
        <v>15.38</v>
      </c>
      <c r="HSU114" s="367" t="e">
        <f>HSR114*HSS114*HST114</f>
        <v>#DIV/0!</v>
      </c>
      <c r="HSV114" s="363" t="s">
        <v>153</v>
      </c>
      <c r="HSW114" s="363"/>
      <c r="HSX114" s="363"/>
      <c r="HSY114" s="364" t="s">
        <v>140</v>
      </c>
      <c r="HSZ114" s="365">
        <v>0.5</v>
      </c>
      <c r="HTA114" s="366" t="e">
        <f>10/HSW112</f>
        <v>#DIV/0!</v>
      </c>
      <c r="HTB114" s="367">
        <v>15.38</v>
      </c>
      <c r="HTC114" s="367" t="e">
        <f>HSZ114*HTA114*HTB114</f>
        <v>#DIV/0!</v>
      </c>
      <c r="HTD114" s="363" t="s">
        <v>153</v>
      </c>
      <c r="HTE114" s="363"/>
      <c r="HTF114" s="363"/>
      <c r="HTG114" s="364" t="s">
        <v>140</v>
      </c>
      <c r="HTH114" s="365">
        <v>0.5</v>
      </c>
      <c r="HTI114" s="366" t="e">
        <f>10/HTE112</f>
        <v>#DIV/0!</v>
      </c>
      <c r="HTJ114" s="367">
        <v>15.38</v>
      </c>
      <c r="HTK114" s="367" t="e">
        <f>HTH114*HTI114*HTJ114</f>
        <v>#DIV/0!</v>
      </c>
      <c r="HTL114" s="363" t="s">
        <v>153</v>
      </c>
      <c r="HTM114" s="363"/>
      <c r="HTN114" s="363"/>
      <c r="HTO114" s="364" t="s">
        <v>140</v>
      </c>
      <c r="HTP114" s="365">
        <v>0.5</v>
      </c>
      <c r="HTQ114" s="366" t="e">
        <f>10/HTM112</f>
        <v>#DIV/0!</v>
      </c>
      <c r="HTR114" s="367">
        <v>15.38</v>
      </c>
      <c r="HTS114" s="367" t="e">
        <f>HTP114*HTQ114*HTR114</f>
        <v>#DIV/0!</v>
      </c>
      <c r="HTT114" s="363" t="s">
        <v>153</v>
      </c>
      <c r="HTU114" s="363"/>
      <c r="HTV114" s="363"/>
      <c r="HTW114" s="364" t="s">
        <v>140</v>
      </c>
      <c r="HTX114" s="365">
        <v>0.5</v>
      </c>
      <c r="HTY114" s="366" t="e">
        <f>10/HTU112</f>
        <v>#DIV/0!</v>
      </c>
      <c r="HTZ114" s="367">
        <v>15.38</v>
      </c>
      <c r="HUA114" s="367" t="e">
        <f>HTX114*HTY114*HTZ114</f>
        <v>#DIV/0!</v>
      </c>
      <c r="HUB114" s="363" t="s">
        <v>153</v>
      </c>
      <c r="HUC114" s="363"/>
      <c r="HUD114" s="363"/>
      <c r="HUE114" s="364" t="s">
        <v>140</v>
      </c>
      <c r="HUF114" s="365">
        <v>0.5</v>
      </c>
      <c r="HUG114" s="366" t="e">
        <f>10/HUC112</f>
        <v>#DIV/0!</v>
      </c>
      <c r="HUH114" s="367">
        <v>15.38</v>
      </c>
      <c r="HUI114" s="367" t="e">
        <f>HUF114*HUG114*HUH114</f>
        <v>#DIV/0!</v>
      </c>
      <c r="HUJ114" s="363" t="s">
        <v>153</v>
      </c>
      <c r="HUK114" s="363"/>
      <c r="HUL114" s="363"/>
      <c r="HUM114" s="364" t="s">
        <v>140</v>
      </c>
      <c r="HUN114" s="365">
        <v>0.5</v>
      </c>
      <c r="HUO114" s="366" t="e">
        <f>10/HUK112</f>
        <v>#DIV/0!</v>
      </c>
      <c r="HUP114" s="367">
        <v>15.38</v>
      </c>
      <c r="HUQ114" s="367" t="e">
        <f>HUN114*HUO114*HUP114</f>
        <v>#DIV/0!</v>
      </c>
      <c r="HUR114" s="363" t="s">
        <v>153</v>
      </c>
      <c r="HUS114" s="363"/>
      <c r="HUT114" s="363"/>
      <c r="HUU114" s="364" t="s">
        <v>140</v>
      </c>
      <c r="HUV114" s="365">
        <v>0.5</v>
      </c>
      <c r="HUW114" s="366" t="e">
        <f>10/HUS112</f>
        <v>#DIV/0!</v>
      </c>
      <c r="HUX114" s="367">
        <v>15.38</v>
      </c>
      <c r="HUY114" s="367" t="e">
        <f>HUV114*HUW114*HUX114</f>
        <v>#DIV/0!</v>
      </c>
      <c r="HUZ114" s="363" t="s">
        <v>153</v>
      </c>
      <c r="HVA114" s="363"/>
      <c r="HVB114" s="363"/>
      <c r="HVC114" s="364" t="s">
        <v>140</v>
      </c>
      <c r="HVD114" s="365">
        <v>0.5</v>
      </c>
      <c r="HVE114" s="366" t="e">
        <f>10/HVA112</f>
        <v>#DIV/0!</v>
      </c>
      <c r="HVF114" s="367">
        <v>15.38</v>
      </c>
      <c r="HVG114" s="367" t="e">
        <f>HVD114*HVE114*HVF114</f>
        <v>#DIV/0!</v>
      </c>
      <c r="HVH114" s="363" t="s">
        <v>153</v>
      </c>
      <c r="HVI114" s="363"/>
      <c r="HVJ114" s="363"/>
      <c r="HVK114" s="364" t="s">
        <v>140</v>
      </c>
      <c r="HVL114" s="365">
        <v>0.5</v>
      </c>
      <c r="HVM114" s="366" t="e">
        <f>10/HVI112</f>
        <v>#DIV/0!</v>
      </c>
      <c r="HVN114" s="367">
        <v>15.38</v>
      </c>
      <c r="HVO114" s="367" t="e">
        <f>HVL114*HVM114*HVN114</f>
        <v>#DIV/0!</v>
      </c>
      <c r="HVP114" s="363" t="s">
        <v>153</v>
      </c>
      <c r="HVQ114" s="363"/>
      <c r="HVR114" s="363"/>
      <c r="HVS114" s="364" t="s">
        <v>140</v>
      </c>
      <c r="HVT114" s="365">
        <v>0.5</v>
      </c>
      <c r="HVU114" s="366" t="e">
        <f>10/HVQ112</f>
        <v>#DIV/0!</v>
      </c>
      <c r="HVV114" s="367">
        <v>15.38</v>
      </c>
      <c r="HVW114" s="367" t="e">
        <f>HVT114*HVU114*HVV114</f>
        <v>#DIV/0!</v>
      </c>
      <c r="HVX114" s="363" t="s">
        <v>153</v>
      </c>
      <c r="HVY114" s="363"/>
      <c r="HVZ114" s="363"/>
      <c r="HWA114" s="364" t="s">
        <v>140</v>
      </c>
      <c r="HWB114" s="365">
        <v>0.5</v>
      </c>
      <c r="HWC114" s="366" t="e">
        <f>10/HVY112</f>
        <v>#DIV/0!</v>
      </c>
      <c r="HWD114" s="367">
        <v>15.38</v>
      </c>
      <c r="HWE114" s="367" t="e">
        <f>HWB114*HWC114*HWD114</f>
        <v>#DIV/0!</v>
      </c>
      <c r="HWF114" s="363" t="s">
        <v>153</v>
      </c>
      <c r="HWG114" s="363"/>
      <c r="HWH114" s="363"/>
      <c r="HWI114" s="364" t="s">
        <v>140</v>
      </c>
      <c r="HWJ114" s="365">
        <v>0.5</v>
      </c>
      <c r="HWK114" s="366" t="e">
        <f>10/HWG112</f>
        <v>#DIV/0!</v>
      </c>
      <c r="HWL114" s="367">
        <v>15.38</v>
      </c>
      <c r="HWM114" s="367" t="e">
        <f>HWJ114*HWK114*HWL114</f>
        <v>#DIV/0!</v>
      </c>
      <c r="HWN114" s="363" t="s">
        <v>153</v>
      </c>
      <c r="HWO114" s="363"/>
      <c r="HWP114" s="363"/>
      <c r="HWQ114" s="364" t="s">
        <v>140</v>
      </c>
      <c r="HWR114" s="365">
        <v>0.5</v>
      </c>
      <c r="HWS114" s="366" t="e">
        <f>10/HWO112</f>
        <v>#DIV/0!</v>
      </c>
      <c r="HWT114" s="367">
        <v>15.38</v>
      </c>
      <c r="HWU114" s="367" t="e">
        <f>HWR114*HWS114*HWT114</f>
        <v>#DIV/0!</v>
      </c>
      <c r="HWV114" s="363" t="s">
        <v>153</v>
      </c>
      <c r="HWW114" s="363"/>
      <c r="HWX114" s="363"/>
      <c r="HWY114" s="364" t="s">
        <v>140</v>
      </c>
      <c r="HWZ114" s="365">
        <v>0.5</v>
      </c>
      <c r="HXA114" s="366" t="e">
        <f>10/HWW112</f>
        <v>#DIV/0!</v>
      </c>
      <c r="HXB114" s="367">
        <v>15.38</v>
      </c>
      <c r="HXC114" s="367" t="e">
        <f>HWZ114*HXA114*HXB114</f>
        <v>#DIV/0!</v>
      </c>
      <c r="HXD114" s="363" t="s">
        <v>153</v>
      </c>
      <c r="HXE114" s="363"/>
      <c r="HXF114" s="363"/>
      <c r="HXG114" s="364" t="s">
        <v>140</v>
      </c>
      <c r="HXH114" s="365">
        <v>0.5</v>
      </c>
      <c r="HXI114" s="366" t="e">
        <f>10/HXE112</f>
        <v>#DIV/0!</v>
      </c>
      <c r="HXJ114" s="367">
        <v>15.38</v>
      </c>
      <c r="HXK114" s="367" t="e">
        <f>HXH114*HXI114*HXJ114</f>
        <v>#DIV/0!</v>
      </c>
      <c r="HXL114" s="363" t="s">
        <v>153</v>
      </c>
      <c r="HXM114" s="363"/>
      <c r="HXN114" s="363"/>
      <c r="HXO114" s="364" t="s">
        <v>140</v>
      </c>
      <c r="HXP114" s="365">
        <v>0.5</v>
      </c>
      <c r="HXQ114" s="366" t="e">
        <f>10/HXM112</f>
        <v>#DIV/0!</v>
      </c>
      <c r="HXR114" s="367">
        <v>15.38</v>
      </c>
      <c r="HXS114" s="367" t="e">
        <f>HXP114*HXQ114*HXR114</f>
        <v>#DIV/0!</v>
      </c>
      <c r="HXT114" s="363" t="s">
        <v>153</v>
      </c>
      <c r="HXU114" s="363"/>
      <c r="HXV114" s="363"/>
      <c r="HXW114" s="364" t="s">
        <v>140</v>
      </c>
      <c r="HXX114" s="365">
        <v>0.5</v>
      </c>
      <c r="HXY114" s="366" t="e">
        <f>10/HXU112</f>
        <v>#DIV/0!</v>
      </c>
      <c r="HXZ114" s="367">
        <v>15.38</v>
      </c>
      <c r="HYA114" s="367" t="e">
        <f>HXX114*HXY114*HXZ114</f>
        <v>#DIV/0!</v>
      </c>
      <c r="HYB114" s="363" t="s">
        <v>153</v>
      </c>
      <c r="HYC114" s="363"/>
      <c r="HYD114" s="363"/>
      <c r="HYE114" s="364" t="s">
        <v>140</v>
      </c>
      <c r="HYF114" s="365">
        <v>0.5</v>
      </c>
      <c r="HYG114" s="366" t="e">
        <f>10/HYC112</f>
        <v>#DIV/0!</v>
      </c>
      <c r="HYH114" s="367">
        <v>15.38</v>
      </c>
      <c r="HYI114" s="367" t="e">
        <f>HYF114*HYG114*HYH114</f>
        <v>#DIV/0!</v>
      </c>
      <c r="HYJ114" s="363" t="s">
        <v>153</v>
      </c>
      <c r="HYK114" s="363"/>
      <c r="HYL114" s="363"/>
      <c r="HYM114" s="364" t="s">
        <v>140</v>
      </c>
      <c r="HYN114" s="365">
        <v>0.5</v>
      </c>
      <c r="HYO114" s="366" t="e">
        <f>10/HYK112</f>
        <v>#DIV/0!</v>
      </c>
      <c r="HYP114" s="367">
        <v>15.38</v>
      </c>
      <c r="HYQ114" s="367" t="e">
        <f>HYN114*HYO114*HYP114</f>
        <v>#DIV/0!</v>
      </c>
      <c r="HYR114" s="363" t="s">
        <v>153</v>
      </c>
      <c r="HYS114" s="363"/>
      <c r="HYT114" s="363"/>
      <c r="HYU114" s="364" t="s">
        <v>140</v>
      </c>
      <c r="HYV114" s="365">
        <v>0.5</v>
      </c>
      <c r="HYW114" s="366" t="e">
        <f>10/HYS112</f>
        <v>#DIV/0!</v>
      </c>
      <c r="HYX114" s="367">
        <v>15.38</v>
      </c>
      <c r="HYY114" s="367" t="e">
        <f>HYV114*HYW114*HYX114</f>
        <v>#DIV/0!</v>
      </c>
      <c r="HYZ114" s="363" t="s">
        <v>153</v>
      </c>
      <c r="HZA114" s="363"/>
      <c r="HZB114" s="363"/>
      <c r="HZC114" s="364" t="s">
        <v>140</v>
      </c>
      <c r="HZD114" s="365">
        <v>0.5</v>
      </c>
      <c r="HZE114" s="366" t="e">
        <f>10/HZA112</f>
        <v>#DIV/0!</v>
      </c>
      <c r="HZF114" s="367">
        <v>15.38</v>
      </c>
      <c r="HZG114" s="367" t="e">
        <f>HZD114*HZE114*HZF114</f>
        <v>#DIV/0!</v>
      </c>
      <c r="HZH114" s="363" t="s">
        <v>153</v>
      </c>
      <c r="HZI114" s="363"/>
      <c r="HZJ114" s="363"/>
      <c r="HZK114" s="364" t="s">
        <v>140</v>
      </c>
      <c r="HZL114" s="365">
        <v>0.5</v>
      </c>
      <c r="HZM114" s="366" t="e">
        <f>10/HZI112</f>
        <v>#DIV/0!</v>
      </c>
      <c r="HZN114" s="367">
        <v>15.38</v>
      </c>
      <c r="HZO114" s="367" t="e">
        <f>HZL114*HZM114*HZN114</f>
        <v>#DIV/0!</v>
      </c>
      <c r="HZP114" s="363" t="s">
        <v>153</v>
      </c>
      <c r="HZQ114" s="363"/>
      <c r="HZR114" s="363"/>
      <c r="HZS114" s="364" t="s">
        <v>140</v>
      </c>
      <c r="HZT114" s="365">
        <v>0.5</v>
      </c>
      <c r="HZU114" s="366" t="e">
        <f>10/HZQ112</f>
        <v>#DIV/0!</v>
      </c>
      <c r="HZV114" s="367">
        <v>15.38</v>
      </c>
      <c r="HZW114" s="367" t="e">
        <f>HZT114*HZU114*HZV114</f>
        <v>#DIV/0!</v>
      </c>
      <c r="HZX114" s="363" t="s">
        <v>153</v>
      </c>
      <c r="HZY114" s="363"/>
      <c r="HZZ114" s="363"/>
      <c r="IAA114" s="364" t="s">
        <v>140</v>
      </c>
      <c r="IAB114" s="365">
        <v>0.5</v>
      </c>
      <c r="IAC114" s="366" t="e">
        <f>10/HZY112</f>
        <v>#DIV/0!</v>
      </c>
      <c r="IAD114" s="367">
        <v>15.38</v>
      </c>
      <c r="IAE114" s="367" t="e">
        <f>IAB114*IAC114*IAD114</f>
        <v>#DIV/0!</v>
      </c>
      <c r="IAF114" s="363" t="s">
        <v>153</v>
      </c>
      <c r="IAG114" s="363"/>
      <c r="IAH114" s="363"/>
      <c r="IAI114" s="364" t="s">
        <v>140</v>
      </c>
      <c r="IAJ114" s="365">
        <v>0.5</v>
      </c>
      <c r="IAK114" s="366" t="e">
        <f>10/IAG112</f>
        <v>#DIV/0!</v>
      </c>
      <c r="IAL114" s="367">
        <v>15.38</v>
      </c>
      <c r="IAM114" s="367" t="e">
        <f>IAJ114*IAK114*IAL114</f>
        <v>#DIV/0!</v>
      </c>
      <c r="IAN114" s="363" t="s">
        <v>153</v>
      </c>
      <c r="IAO114" s="363"/>
      <c r="IAP114" s="363"/>
      <c r="IAQ114" s="364" t="s">
        <v>140</v>
      </c>
      <c r="IAR114" s="365">
        <v>0.5</v>
      </c>
      <c r="IAS114" s="366" t="e">
        <f>10/IAO112</f>
        <v>#DIV/0!</v>
      </c>
      <c r="IAT114" s="367">
        <v>15.38</v>
      </c>
      <c r="IAU114" s="367" t="e">
        <f>IAR114*IAS114*IAT114</f>
        <v>#DIV/0!</v>
      </c>
      <c r="IAV114" s="363" t="s">
        <v>153</v>
      </c>
      <c r="IAW114" s="363"/>
      <c r="IAX114" s="363"/>
      <c r="IAY114" s="364" t="s">
        <v>140</v>
      </c>
      <c r="IAZ114" s="365">
        <v>0.5</v>
      </c>
      <c r="IBA114" s="366" t="e">
        <f>10/IAW112</f>
        <v>#DIV/0!</v>
      </c>
      <c r="IBB114" s="367">
        <v>15.38</v>
      </c>
      <c r="IBC114" s="367" t="e">
        <f>IAZ114*IBA114*IBB114</f>
        <v>#DIV/0!</v>
      </c>
      <c r="IBD114" s="363" t="s">
        <v>153</v>
      </c>
      <c r="IBE114" s="363"/>
      <c r="IBF114" s="363"/>
      <c r="IBG114" s="364" t="s">
        <v>140</v>
      </c>
      <c r="IBH114" s="365">
        <v>0.5</v>
      </c>
      <c r="IBI114" s="366" t="e">
        <f>10/IBE112</f>
        <v>#DIV/0!</v>
      </c>
      <c r="IBJ114" s="367">
        <v>15.38</v>
      </c>
      <c r="IBK114" s="367" t="e">
        <f>IBH114*IBI114*IBJ114</f>
        <v>#DIV/0!</v>
      </c>
      <c r="IBL114" s="363" t="s">
        <v>153</v>
      </c>
      <c r="IBM114" s="363"/>
      <c r="IBN114" s="363"/>
      <c r="IBO114" s="364" t="s">
        <v>140</v>
      </c>
      <c r="IBP114" s="365">
        <v>0.5</v>
      </c>
      <c r="IBQ114" s="366" t="e">
        <f>10/IBM112</f>
        <v>#DIV/0!</v>
      </c>
      <c r="IBR114" s="367">
        <v>15.38</v>
      </c>
      <c r="IBS114" s="367" t="e">
        <f>IBP114*IBQ114*IBR114</f>
        <v>#DIV/0!</v>
      </c>
      <c r="IBT114" s="363" t="s">
        <v>153</v>
      </c>
      <c r="IBU114" s="363"/>
      <c r="IBV114" s="363"/>
      <c r="IBW114" s="364" t="s">
        <v>140</v>
      </c>
      <c r="IBX114" s="365">
        <v>0.5</v>
      </c>
      <c r="IBY114" s="366" t="e">
        <f>10/IBU112</f>
        <v>#DIV/0!</v>
      </c>
      <c r="IBZ114" s="367">
        <v>15.38</v>
      </c>
      <c r="ICA114" s="367" t="e">
        <f>IBX114*IBY114*IBZ114</f>
        <v>#DIV/0!</v>
      </c>
      <c r="ICB114" s="363" t="s">
        <v>153</v>
      </c>
      <c r="ICC114" s="363"/>
      <c r="ICD114" s="363"/>
      <c r="ICE114" s="364" t="s">
        <v>140</v>
      </c>
      <c r="ICF114" s="365">
        <v>0.5</v>
      </c>
      <c r="ICG114" s="366" t="e">
        <f>10/ICC112</f>
        <v>#DIV/0!</v>
      </c>
      <c r="ICH114" s="367">
        <v>15.38</v>
      </c>
      <c r="ICI114" s="367" t="e">
        <f>ICF114*ICG114*ICH114</f>
        <v>#DIV/0!</v>
      </c>
      <c r="ICJ114" s="363" t="s">
        <v>153</v>
      </c>
      <c r="ICK114" s="363"/>
      <c r="ICL114" s="363"/>
      <c r="ICM114" s="364" t="s">
        <v>140</v>
      </c>
      <c r="ICN114" s="365">
        <v>0.5</v>
      </c>
      <c r="ICO114" s="366" t="e">
        <f>10/ICK112</f>
        <v>#DIV/0!</v>
      </c>
      <c r="ICP114" s="367">
        <v>15.38</v>
      </c>
      <c r="ICQ114" s="367" t="e">
        <f>ICN114*ICO114*ICP114</f>
        <v>#DIV/0!</v>
      </c>
      <c r="ICR114" s="363" t="s">
        <v>153</v>
      </c>
      <c r="ICS114" s="363"/>
      <c r="ICT114" s="363"/>
      <c r="ICU114" s="364" t="s">
        <v>140</v>
      </c>
      <c r="ICV114" s="365">
        <v>0.5</v>
      </c>
      <c r="ICW114" s="366" t="e">
        <f>10/ICS112</f>
        <v>#DIV/0!</v>
      </c>
      <c r="ICX114" s="367">
        <v>15.38</v>
      </c>
      <c r="ICY114" s="367" t="e">
        <f>ICV114*ICW114*ICX114</f>
        <v>#DIV/0!</v>
      </c>
      <c r="ICZ114" s="363" t="s">
        <v>153</v>
      </c>
      <c r="IDA114" s="363"/>
      <c r="IDB114" s="363"/>
      <c r="IDC114" s="364" t="s">
        <v>140</v>
      </c>
      <c r="IDD114" s="365">
        <v>0.5</v>
      </c>
      <c r="IDE114" s="366" t="e">
        <f>10/IDA112</f>
        <v>#DIV/0!</v>
      </c>
      <c r="IDF114" s="367">
        <v>15.38</v>
      </c>
      <c r="IDG114" s="367" t="e">
        <f>IDD114*IDE114*IDF114</f>
        <v>#DIV/0!</v>
      </c>
      <c r="IDH114" s="363" t="s">
        <v>153</v>
      </c>
      <c r="IDI114" s="363"/>
      <c r="IDJ114" s="363"/>
      <c r="IDK114" s="364" t="s">
        <v>140</v>
      </c>
      <c r="IDL114" s="365">
        <v>0.5</v>
      </c>
      <c r="IDM114" s="366" t="e">
        <f>10/IDI112</f>
        <v>#DIV/0!</v>
      </c>
      <c r="IDN114" s="367">
        <v>15.38</v>
      </c>
      <c r="IDO114" s="367" t="e">
        <f>IDL114*IDM114*IDN114</f>
        <v>#DIV/0!</v>
      </c>
      <c r="IDP114" s="363" t="s">
        <v>153</v>
      </c>
      <c r="IDQ114" s="363"/>
      <c r="IDR114" s="363"/>
      <c r="IDS114" s="364" t="s">
        <v>140</v>
      </c>
      <c r="IDT114" s="365">
        <v>0.5</v>
      </c>
      <c r="IDU114" s="366" t="e">
        <f>10/IDQ112</f>
        <v>#DIV/0!</v>
      </c>
      <c r="IDV114" s="367">
        <v>15.38</v>
      </c>
      <c r="IDW114" s="367" t="e">
        <f>IDT114*IDU114*IDV114</f>
        <v>#DIV/0!</v>
      </c>
      <c r="IDX114" s="363" t="s">
        <v>153</v>
      </c>
      <c r="IDY114" s="363"/>
      <c r="IDZ114" s="363"/>
      <c r="IEA114" s="364" t="s">
        <v>140</v>
      </c>
      <c r="IEB114" s="365">
        <v>0.5</v>
      </c>
      <c r="IEC114" s="366" t="e">
        <f>10/IDY112</f>
        <v>#DIV/0!</v>
      </c>
      <c r="IED114" s="367">
        <v>15.38</v>
      </c>
      <c r="IEE114" s="367" t="e">
        <f>IEB114*IEC114*IED114</f>
        <v>#DIV/0!</v>
      </c>
      <c r="IEF114" s="363" t="s">
        <v>153</v>
      </c>
      <c r="IEG114" s="363"/>
      <c r="IEH114" s="363"/>
      <c r="IEI114" s="364" t="s">
        <v>140</v>
      </c>
      <c r="IEJ114" s="365">
        <v>0.5</v>
      </c>
      <c r="IEK114" s="366" t="e">
        <f>10/IEG112</f>
        <v>#DIV/0!</v>
      </c>
      <c r="IEL114" s="367">
        <v>15.38</v>
      </c>
      <c r="IEM114" s="367" t="e">
        <f>IEJ114*IEK114*IEL114</f>
        <v>#DIV/0!</v>
      </c>
      <c r="IEN114" s="363" t="s">
        <v>153</v>
      </c>
      <c r="IEO114" s="363"/>
      <c r="IEP114" s="363"/>
      <c r="IEQ114" s="364" t="s">
        <v>140</v>
      </c>
      <c r="IER114" s="365">
        <v>0.5</v>
      </c>
      <c r="IES114" s="366" t="e">
        <f>10/IEO112</f>
        <v>#DIV/0!</v>
      </c>
      <c r="IET114" s="367">
        <v>15.38</v>
      </c>
      <c r="IEU114" s="367" t="e">
        <f>IER114*IES114*IET114</f>
        <v>#DIV/0!</v>
      </c>
      <c r="IEV114" s="363" t="s">
        <v>153</v>
      </c>
      <c r="IEW114" s="363"/>
      <c r="IEX114" s="363"/>
      <c r="IEY114" s="364" t="s">
        <v>140</v>
      </c>
      <c r="IEZ114" s="365">
        <v>0.5</v>
      </c>
      <c r="IFA114" s="366" t="e">
        <f>10/IEW112</f>
        <v>#DIV/0!</v>
      </c>
      <c r="IFB114" s="367">
        <v>15.38</v>
      </c>
      <c r="IFC114" s="367" t="e">
        <f>IEZ114*IFA114*IFB114</f>
        <v>#DIV/0!</v>
      </c>
      <c r="IFD114" s="363" t="s">
        <v>153</v>
      </c>
      <c r="IFE114" s="363"/>
      <c r="IFF114" s="363"/>
      <c r="IFG114" s="364" t="s">
        <v>140</v>
      </c>
      <c r="IFH114" s="365">
        <v>0.5</v>
      </c>
      <c r="IFI114" s="366" t="e">
        <f>10/IFE112</f>
        <v>#DIV/0!</v>
      </c>
      <c r="IFJ114" s="367">
        <v>15.38</v>
      </c>
      <c r="IFK114" s="367" t="e">
        <f>IFH114*IFI114*IFJ114</f>
        <v>#DIV/0!</v>
      </c>
      <c r="IFL114" s="363" t="s">
        <v>153</v>
      </c>
      <c r="IFM114" s="363"/>
      <c r="IFN114" s="363"/>
      <c r="IFO114" s="364" t="s">
        <v>140</v>
      </c>
      <c r="IFP114" s="365">
        <v>0.5</v>
      </c>
      <c r="IFQ114" s="366" t="e">
        <f>10/IFM112</f>
        <v>#DIV/0!</v>
      </c>
      <c r="IFR114" s="367">
        <v>15.38</v>
      </c>
      <c r="IFS114" s="367" t="e">
        <f>IFP114*IFQ114*IFR114</f>
        <v>#DIV/0!</v>
      </c>
      <c r="IFT114" s="363" t="s">
        <v>153</v>
      </c>
      <c r="IFU114" s="363"/>
      <c r="IFV114" s="363"/>
      <c r="IFW114" s="364" t="s">
        <v>140</v>
      </c>
      <c r="IFX114" s="365">
        <v>0.5</v>
      </c>
      <c r="IFY114" s="366" t="e">
        <f>10/IFU112</f>
        <v>#DIV/0!</v>
      </c>
      <c r="IFZ114" s="367">
        <v>15.38</v>
      </c>
      <c r="IGA114" s="367" t="e">
        <f>IFX114*IFY114*IFZ114</f>
        <v>#DIV/0!</v>
      </c>
      <c r="IGB114" s="363" t="s">
        <v>153</v>
      </c>
      <c r="IGC114" s="363"/>
      <c r="IGD114" s="363"/>
      <c r="IGE114" s="364" t="s">
        <v>140</v>
      </c>
      <c r="IGF114" s="365">
        <v>0.5</v>
      </c>
      <c r="IGG114" s="366" t="e">
        <f>10/IGC112</f>
        <v>#DIV/0!</v>
      </c>
      <c r="IGH114" s="367">
        <v>15.38</v>
      </c>
      <c r="IGI114" s="367" t="e">
        <f>IGF114*IGG114*IGH114</f>
        <v>#DIV/0!</v>
      </c>
      <c r="IGJ114" s="363" t="s">
        <v>153</v>
      </c>
      <c r="IGK114" s="363"/>
      <c r="IGL114" s="363"/>
      <c r="IGM114" s="364" t="s">
        <v>140</v>
      </c>
      <c r="IGN114" s="365">
        <v>0.5</v>
      </c>
      <c r="IGO114" s="366" t="e">
        <f>10/IGK112</f>
        <v>#DIV/0!</v>
      </c>
      <c r="IGP114" s="367">
        <v>15.38</v>
      </c>
      <c r="IGQ114" s="367" t="e">
        <f>IGN114*IGO114*IGP114</f>
        <v>#DIV/0!</v>
      </c>
      <c r="IGR114" s="363" t="s">
        <v>153</v>
      </c>
      <c r="IGS114" s="363"/>
      <c r="IGT114" s="363"/>
      <c r="IGU114" s="364" t="s">
        <v>140</v>
      </c>
      <c r="IGV114" s="365">
        <v>0.5</v>
      </c>
      <c r="IGW114" s="366" t="e">
        <f>10/IGS112</f>
        <v>#DIV/0!</v>
      </c>
      <c r="IGX114" s="367">
        <v>15.38</v>
      </c>
      <c r="IGY114" s="367" t="e">
        <f>IGV114*IGW114*IGX114</f>
        <v>#DIV/0!</v>
      </c>
      <c r="IGZ114" s="363" t="s">
        <v>153</v>
      </c>
      <c r="IHA114" s="363"/>
      <c r="IHB114" s="363"/>
      <c r="IHC114" s="364" t="s">
        <v>140</v>
      </c>
      <c r="IHD114" s="365">
        <v>0.5</v>
      </c>
      <c r="IHE114" s="366" t="e">
        <f>10/IHA112</f>
        <v>#DIV/0!</v>
      </c>
      <c r="IHF114" s="367">
        <v>15.38</v>
      </c>
      <c r="IHG114" s="367" t="e">
        <f>IHD114*IHE114*IHF114</f>
        <v>#DIV/0!</v>
      </c>
      <c r="IHH114" s="363" t="s">
        <v>153</v>
      </c>
      <c r="IHI114" s="363"/>
      <c r="IHJ114" s="363"/>
      <c r="IHK114" s="364" t="s">
        <v>140</v>
      </c>
      <c r="IHL114" s="365">
        <v>0.5</v>
      </c>
      <c r="IHM114" s="366" t="e">
        <f>10/IHI112</f>
        <v>#DIV/0!</v>
      </c>
      <c r="IHN114" s="367">
        <v>15.38</v>
      </c>
      <c r="IHO114" s="367" t="e">
        <f>IHL114*IHM114*IHN114</f>
        <v>#DIV/0!</v>
      </c>
      <c r="IHP114" s="363" t="s">
        <v>153</v>
      </c>
      <c r="IHQ114" s="363"/>
      <c r="IHR114" s="363"/>
      <c r="IHS114" s="364" t="s">
        <v>140</v>
      </c>
      <c r="IHT114" s="365">
        <v>0.5</v>
      </c>
      <c r="IHU114" s="366" t="e">
        <f>10/IHQ112</f>
        <v>#DIV/0!</v>
      </c>
      <c r="IHV114" s="367">
        <v>15.38</v>
      </c>
      <c r="IHW114" s="367" t="e">
        <f>IHT114*IHU114*IHV114</f>
        <v>#DIV/0!</v>
      </c>
      <c r="IHX114" s="363" t="s">
        <v>153</v>
      </c>
      <c r="IHY114" s="363"/>
      <c r="IHZ114" s="363"/>
      <c r="IIA114" s="364" t="s">
        <v>140</v>
      </c>
      <c r="IIB114" s="365">
        <v>0.5</v>
      </c>
      <c r="IIC114" s="366" t="e">
        <f>10/IHY112</f>
        <v>#DIV/0!</v>
      </c>
      <c r="IID114" s="367">
        <v>15.38</v>
      </c>
      <c r="IIE114" s="367" t="e">
        <f>IIB114*IIC114*IID114</f>
        <v>#DIV/0!</v>
      </c>
      <c r="IIF114" s="363" t="s">
        <v>153</v>
      </c>
      <c r="IIG114" s="363"/>
      <c r="IIH114" s="363"/>
      <c r="III114" s="364" t="s">
        <v>140</v>
      </c>
      <c r="IIJ114" s="365">
        <v>0.5</v>
      </c>
      <c r="IIK114" s="366" t="e">
        <f>10/IIG112</f>
        <v>#DIV/0!</v>
      </c>
      <c r="IIL114" s="367">
        <v>15.38</v>
      </c>
      <c r="IIM114" s="367" t="e">
        <f>IIJ114*IIK114*IIL114</f>
        <v>#DIV/0!</v>
      </c>
      <c r="IIN114" s="363" t="s">
        <v>153</v>
      </c>
      <c r="IIO114" s="363"/>
      <c r="IIP114" s="363"/>
      <c r="IIQ114" s="364" t="s">
        <v>140</v>
      </c>
      <c r="IIR114" s="365">
        <v>0.5</v>
      </c>
      <c r="IIS114" s="366" t="e">
        <f>10/IIO112</f>
        <v>#DIV/0!</v>
      </c>
      <c r="IIT114" s="367">
        <v>15.38</v>
      </c>
      <c r="IIU114" s="367" t="e">
        <f>IIR114*IIS114*IIT114</f>
        <v>#DIV/0!</v>
      </c>
      <c r="IIV114" s="363" t="s">
        <v>153</v>
      </c>
      <c r="IIW114" s="363"/>
      <c r="IIX114" s="363"/>
      <c r="IIY114" s="364" t="s">
        <v>140</v>
      </c>
      <c r="IIZ114" s="365">
        <v>0.5</v>
      </c>
      <c r="IJA114" s="366" t="e">
        <f>10/IIW112</f>
        <v>#DIV/0!</v>
      </c>
      <c r="IJB114" s="367">
        <v>15.38</v>
      </c>
      <c r="IJC114" s="367" t="e">
        <f>IIZ114*IJA114*IJB114</f>
        <v>#DIV/0!</v>
      </c>
      <c r="IJD114" s="363" t="s">
        <v>153</v>
      </c>
      <c r="IJE114" s="363"/>
      <c r="IJF114" s="363"/>
      <c r="IJG114" s="364" t="s">
        <v>140</v>
      </c>
      <c r="IJH114" s="365">
        <v>0.5</v>
      </c>
      <c r="IJI114" s="366" t="e">
        <f>10/IJE112</f>
        <v>#DIV/0!</v>
      </c>
      <c r="IJJ114" s="367">
        <v>15.38</v>
      </c>
      <c r="IJK114" s="367" t="e">
        <f>IJH114*IJI114*IJJ114</f>
        <v>#DIV/0!</v>
      </c>
      <c r="IJL114" s="363" t="s">
        <v>153</v>
      </c>
      <c r="IJM114" s="363"/>
      <c r="IJN114" s="363"/>
      <c r="IJO114" s="364" t="s">
        <v>140</v>
      </c>
      <c r="IJP114" s="365">
        <v>0.5</v>
      </c>
      <c r="IJQ114" s="366" t="e">
        <f>10/IJM112</f>
        <v>#DIV/0!</v>
      </c>
      <c r="IJR114" s="367">
        <v>15.38</v>
      </c>
      <c r="IJS114" s="367" t="e">
        <f>IJP114*IJQ114*IJR114</f>
        <v>#DIV/0!</v>
      </c>
      <c r="IJT114" s="363" t="s">
        <v>153</v>
      </c>
      <c r="IJU114" s="363"/>
      <c r="IJV114" s="363"/>
      <c r="IJW114" s="364" t="s">
        <v>140</v>
      </c>
      <c r="IJX114" s="365">
        <v>0.5</v>
      </c>
      <c r="IJY114" s="366" t="e">
        <f>10/IJU112</f>
        <v>#DIV/0!</v>
      </c>
      <c r="IJZ114" s="367">
        <v>15.38</v>
      </c>
      <c r="IKA114" s="367" t="e">
        <f>IJX114*IJY114*IJZ114</f>
        <v>#DIV/0!</v>
      </c>
      <c r="IKB114" s="363" t="s">
        <v>153</v>
      </c>
      <c r="IKC114" s="363"/>
      <c r="IKD114" s="363"/>
      <c r="IKE114" s="364" t="s">
        <v>140</v>
      </c>
      <c r="IKF114" s="365">
        <v>0.5</v>
      </c>
      <c r="IKG114" s="366" t="e">
        <f>10/IKC112</f>
        <v>#DIV/0!</v>
      </c>
      <c r="IKH114" s="367">
        <v>15.38</v>
      </c>
      <c r="IKI114" s="367" t="e">
        <f>IKF114*IKG114*IKH114</f>
        <v>#DIV/0!</v>
      </c>
      <c r="IKJ114" s="363" t="s">
        <v>153</v>
      </c>
      <c r="IKK114" s="363"/>
      <c r="IKL114" s="363"/>
      <c r="IKM114" s="364" t="s">
        <v>140</v>
      </c>
      <c r="IKN114" s="365">
        <v>0.5</v>
      </c>
      <c r="IKO114" s="366" t="e">
        <f>10/IKK112</f>
        <v>#DIV/0!</v>
      </c>
      <c r="IKP114" s="367">
        <v>15.38</v>
      </c>
      <c r="IKQ114" s="367" t="e">
        <f>IKN114*IKO114*IKP114</f>
        <v>#DIV/0!</v>
      </c>
      <c r="IKR114" s="363" t="s">
        <v>153</v>
      </c>
      <c r="IKS114" s="363"/>
      <c r="IKT114" s="363"/>
      <c r="IKU114" s="364" t="s">
        <v>140</v>
      </c>
      <c r="IKV114" s="365">
        <v>0.5</v>
      </c>
      <c r="IKW114" s="366" t="e">
        <f>10/IKS112</f>
        <v>#DIV/0!</v>
      </c>
      <c r="IKX114" s="367">
        <v>15.38</v>
      </c>
      <c r="IKY114" s="367" t="e">
        <f>IKV114*IKW114*IKX114</f>
        <v>#DIV/0!</v>
      </c>
      <c r="IKZ114" s="363" t="s">
        <v>153</v>
      </c>
      <c r="ILA114" s="363"/>
      <c r="ILB114" s="363"/>
      <c r="ILC114" s="364" t="s">
        <v>140</v>
      </c>
      <c r="ILD114" s="365">
        <v>0.5</v>
      </c>
      <c r="ILE114" s="366" t="e">
        <f>10/ILA112</f>
        <v>#DIV/0!</v>
      </c>
      <c r="ILF114" s="367">
        <v>15.38</v>
      </c>
      <c r="ILG114" s="367" t="e">
        <f>ILD114*ILE114*ILF114</f>
        <v>#DIV/0!</v>
      </c>
      <c r="ILH114" s="363" t="s">
        <v>153</v>
      </c>
      <c r="ILI114" s="363"/>
      <c r="ILJ114" s="363"/>
      <c r="ILK114" s="364" t="s">
        <v>140</v>
      </c>
      <c r="ILL114" s="365">
        <v>0.5</v>
      </c>
      <c r="ILM114" s="366" t="e">
        <f>10/ILI112</f>
        <v>#DIV/0!</v>
      </c>
      <c r="ILN114" s="367">
        <v>15.38</v>
      </c>
      <c r="ILO114" s="367" t="e">
        <f>ILL114*ILM114*ILN114</f>
        <v>#DIV/0!</v>
      </c>
      <c r="ILP114" s="363" t="s">
        <v>153</v>
      </c>
      <c r="ILQ114" s="363"/>
      <c r="ILR114" s="363"/>
      <c r="ILS114" s="364" t="s">
        <v>140</v>
      </c>
      <c r="ILT114" s="365">
        <v>0.5</v>
      </c>
      <c r="ILU114" s="366" t="e">
        <f>10/ILQ112</f>
        <v>#DIV/0!</v>
      </c>
      <c r="ILV114" s="367">
        <v>15.38</v>
      </c>
      <c r="ILW114" s="367" t="e">
        <f>ILT114*ILU114*ILV114</f>
        <v>#DIV/0!</v>
      </c>
      <c r="ILX114" s="363" t="s">
        <v>153</v>
      </c>
      <c r="ILY114" s="363"/>
      <c r="ILZ114" s="363"/>
      <c r="IMA114" s="364" t="s">
        <v>140</v>
      </c>
      <c r="IMB114" s="365">
        <v>0.5</v>
      </c>
      <c r="IMC114" s="366" t="e">
        <f>10/ILY112</f>
        <v>#DIV/0!</v>
      </c>
      <c r="IMD114" s="367">
        <v>15.38</v>
      </c>
      <c r="IME114" s="367" t="e">
        <f>IMB114*IMC114*IMD114</f>
        <v>#DIV/0!</v>
      </c>
      <c r="IMF114" s="363" t="s">
        <v>153</v>
      </c>
      <c r="IMG114" s="363"/>
      <c r="IMH114" s="363"/>
      <c r="IMI114" s="364" t="s">
        <v>140</v>
      </c>
      <c r="IMJ114" s="365">
        <v>0.5</v>
      </c>
      <c r="IMK114" s="366" t="e">
        <f>10/IMG112</f>
        <v>#DIV/0!</v>
      </c>
      <c r="IML114" s="367">
        <v>15.38</v>
      </c>
      <c r="IMM114" s="367" t="e">
        <f>IMJ114*IMK114*IML114</f>
        <v>#DIV/0!</v>
      </c>
      <c r="IMN114" s="363" t="s">
        <v>153</v>
      </c>
      <c r="IMO114" s="363"/>
      <c r="IMP114" s="363"/>
      <c r="IMQ114" s="364" t="s">
        <v>140</v>
      </c>
      <c r="IMR114" s="365">
        <v>0.5</v>
      </c>
      <c r="IMS114" s="366" t="e">
        <f>10/IMO112</f>
        <v>#DIV/0!</v>
      </c>
      <c r="IMT114" s="367">
        <v>15.38</v>
      </c>
      <c r="IMU114" s="367" t="e">
        <f>IMR114*IMS114*IMT114</f>
        <v>#DIV/0!</v>
      </c>
      <c r="IMV114" s="363" t="s">
        <v>153</v>
      </c>
      <c r="IMW114" s="363"/>
      <c r="IMX114" s="363"/>
      <c r="IMY114" s="364" t="s">
        <v>140</v>
      </c>
      <c r="IMZ114" s="365">
        <v>0.5</v>
      </c>
      <c r="INA114" s="366" t="e">
        <f>10/IMW112</f>
        <v>#DIV/0!</v>
      </c>
      <c r="INB114" s="367">
        <v>15.38</v>
      </c>
      <c r="INC114" s="367" t="e">
        <f>IMZ114*INA114*INB114</f>
        <v>#DIV/0!</v>
      </c>
      <c r="IND114" s="363" t="s">
        <v>153</v>
      </c>
      <c r="INE114" s="363"/>
      <c r="INF114" s="363"/>
      <c r="ING114" s="364" t="s">
        <v>140</v>
      </c>
      <c r="INH114" s="365">
        <v>0.5</v>
      </c>
      <c r="INI114" s="366" t="e">
        <f>10/INE112</f>
        <v>#DIV/0!</v>
      </c>
      <c r="INJ114" s="367">
        <v>15.38</v>
      </c>
      <c r="INK114" s="367" t="e">
        <f>INH114*INI114*INJ114</f>
        <v>#DIV/0!</v>
      </c>
      <c r="INL114" s="363" t="s">
        <v>153</v>
      </c>
      <c r="INM114" s="363"/>
      <c r="INN114" s="363"/>
      <c r="INO114" s="364" t="s">
        <v>140</v>
      </c>
      <c r="INP114" s="365">
        <v>0.5</v>
      </c>
      <c r="INQ114" s="366" t="e">
        <f>10/INM112</f>
        <v>#DIV/0!</v>
      </c>
      <c r="INR114" s="367">
        <v>15.38</v>
      </c>
      <c r="INS114" s="367" t="e">
        <f>INP114*INQ114*INR114</f>
        <v>#DIV/0!</v>
      </c>
      <c r="INT114" s="363" t="s">
        <v>153</v>
      </c>
      <c r="INU114" s="363"/>
      <c r="INV114" s="363"/>
      <c r="INW114" s="364" t="s">
        <v>140</v>
      </c>
      <c r="INX114" s="365">
        <v>0.5</v>
      </c>
      <c r="INY114" s="366" t="e">
        <f>10/INU112</f>
        <v>#DIV/0!</v>
      </c>
      <c r="INZ114" s="367">
        <v>15.38</v>
      </c>
      <c r="IOA114" s="367" t="e">
        <f>INX114*INY114*INZ114</f>
        <v>#DIV/0!</v>
      </c>
      <c r="IOB114" s="363" t="s">
        <v>153</v>
      </c>
      <c r="IOC114" s="363"/>
      <c r="IOD114" s="363"/>
      <c r="IOE114" s="364" t="s">
        <v>140</v>
      </c>
      <c r="IOF114" s="365">
        <v>0.5</v>
      </c>
      <c r="IOG114" s="366" t="e">
        <f>10/IOC112</f>
        <v>#DIV/0!</v>
      </c>
      <c r="IOH114" s="367">
        <v>15.38</v>
      </c>
      <c r="IOI114" s="367" t="e">
        <f>IOF114*IOG114*IOH114</f>
        <v>#DIV/0!</v>
      </c>
      <c r="IOJ114" s="363" t="s">
        <v>153</v>
      </c>
      <c r="IOK114" s="363"/>
      <c r="IOL114" s="363"/>
      <c r="IOM114" s="364" t="s">
        <v>140</v>
      </c>
      <c r="ION114" s="365">
        <v>0.5</v>
      </c>
      <c r="IOO114" s="366" t="e">
        <f>10/IOK112</f>
        <v>#DIV/0!</v>
      </c>
      <c r="IOP114" s="367">
        <v>15.38</v>
      </c>
      <c r="IOQ114" s="367" t="e">
        <f>ION114*IOO114*IOP114</f>
        <v>#DIV/0!</v>
      </c>
      <c r="IOR114" s="363" t="s">
        <v>153</v>
      </c>
      <c r="IOS114" s="363"/>
      <c r="IOT114" s="363"/>
      <c r="IOU114" s="364" t="s">
        <v>140</v>
      </c>
      <c r="IOV114" s="365">
        <v>0.5</v>
      </c>
      <c r="IOW114" s="366" t="e">
        <f>10/IOS112</f>
        <v>#DIV/0!</v>
      </c>
      <c r="IOX114" s="367">
        <v>15.38</v>
      </c>
      <c r="IOY114" s="367" t="e">
        <f>IOV114*IOW114*IOX114</f>
        <v>#DIV/0!</v>
      </c>
      <c r="IOZ114" s="363" t="s">
        <v>153</v>
      </c>
      <c r="IPA114" s="363"/>
      <c r="IPB114" s="363"/>
      <c r="IPC114" s="364" t="s">
        <v>140</v>
      </c>
      <c r="IPD114" s="365">
        <v>0.5</v>
      </c>
      <c r="IPE114" s="366" t="e">
        <f>10/IPA112</f>
        <v>#DIV/0!</v>
      </c>
      <c r="IPF114" s="367">
        <v>15.38</v>
      </c>
      <c r="IPG114" s="367" t="e">
        <f>IPD114*IPE114*IPF114</f>
        <v>#DIV/0!</v>
      </c>
      <c r="IPH114" s="363" t="s">
        <v>153</v>
      </c>
      <c r="IPI114" s="363"/>
      <c r="IPJ114" s="363"/>
      <c r="IPK114" s="364" t="s">
        <v>140</v>
      </c>
      <c r="IPL114" s="365">
        <v>0.5</v>
      </c>
      <c r="IPM114" s="366" t="e">
        <f>10/IPI112</f>
        <v>#DIV/0!</v>
      </c>
      <c r="IPN114" s="367">
        <v>15.38</v>
      </c>
      <c r="IPO114" s="367" t="e">
        <f>IPL114*IPM114*IPN114</f>
        <v>#DIV/0!</v>
      </c>
      <c r="IPP114" s="363" t="s">
        <v>153</v>
      </c>
      <c r="IPQ114" s="363"/>
      <c r="IPR114" s="363"/>
      <c r="IPS114" s="364" t="s">
        <v>140</v>
      </c>
      <c r="IPT114" s="365">
        <v>0.5</v>
      </c>
      <c r="IPU114" s="366" t="e">
        <f>10/IPQ112</f>
        <v>#DIV/0!</v>
      </c>
      <c r="IPV114" s="367">
        <v>15.38</v>
      </c>
      <c r="IPW114" s="367" t="e">
        <f>IPT114*IPU114*IPV114</f>
        <v>#DIV/0!</v>
      </c>
      <c r="IPX114" s="363" t="s">
        <v>153</v>
      </c>
      <c r="IPY114" s="363"/>
      <c r="IPZ114" s="363"/>
      <c r="IQA114" s="364" t="s">
        <v>140</v>
      </c>
      <c r="IQB114" s="365">
        <v>0.5</v>
      </c>
      <c r="IQC114" s="366" t="e">
        <f>10/IPY112</f>
        <v>#DIV/0!</v>
      </c>
      <c r="IQD114" s="367">
        <v>15.38</v>
      </c>
      <c r="IQE114" s="367" t="e">
        <f>IQB114*IQC114*IQD114</f>
        <v>#DIV/0!</v>
      </c>
      <c r="IQF114" s="363" t="s">
        <v>153</v>
      </c>
      <c r="IQG114" s="363"/>
      <c r="IQH114" s="363"/>
      <c r="IQI114" s="364" t="s">
        <v>140</v>
      </c>
      <c r="IQJ114" s="365">
        <v>0.5</v>
      </c>
      <c r="IQK114" s="366" t="e">
        <f>10/IQG112</f>
        <v>#DIV/0!</v>
      </c>
      <c r="IQL114" s="367">
        <v>15.38</v>
      </c>
      <c r="IQM114" s="367" t="e">
        <f>IQJ114*IQK114*IQL114</f>
        <v>#DIV/0!</v>
      </c>
      <c r="IQN114" s="363" t="s">
        <v>153</v>
      </c>
      <c r="IQO114" s="363"/>
      <c r="IQP114" s="363"/>
      <c r="IQQ114" s="364" t="s">
        <v>140</v>
      </c>
      <c r="IQR114" s="365">
        <v>0.5</v>
      </c>
      <c r="IQS114" s="366" t="e">
        <f>10/IQO112</f>
        <v>#DIV/0!</v>
      </c>
      <c r="IQT114" s="367">
        <v>15.38</v>
      </c>
      <c r="IQU114" s="367" t="e">
        <f>IQR114*IQS114*IQT114</f>
        <v>#DIV/0!</v>
      </c>
      <c r="IQV114" s="363" t="s">
        <v>153</v>
      </c>
      <c r="IQW114" s="363"/>
      <c r="IQX114" s="363"/>
      <c r="IQY114" s="364" t="s">
        <v>140</v>
      </c>
      <c r="IQZ114" s="365">
        <v>0.5</v>
      </c>
      <c r="IRA114" s="366" t="e">
        <f>10/IQW112</f>
        <v>#DIV/0!</v>
      </c>
      <c r="IRB114" s="367">
        <v>15.38</v>
      </c>
      <c r="IRC114" s="367" t="e">
        <f>IQZ114*IRA114*IRB114</f>
        <v>#DIV/0!</v>
      </c>
      <c r="IRD114" s="363" t="s">
        <v>153</v>
      </c>
      <c r="IRE114" s="363"/>
      <c r="IRF114" s="363"/>
      <c r="IRG114" s="364" t="s">
        <v>140</v>
      </c>
      <c r="IRH114" s="365">
        <v>0.5</v>
      </c>
      <c r="IRI114" s="366" t="e">
        <f>10/IRE112</f>
        <v>#DIV/0!</v>
      </c>
      <c r="IRJ114" s="367">
        <v>15.38</v>
      </c>
      <c r="IRK114" s="367" t="e">
        <f>IRH114*IRI114*IRJ114</f>
        <v>#DIV/0!</v>
      </c>
      <c r="IRL114" s="363" t="s">
        <v>153</v>
      </c>
      <c r="IRM114" s="363"/>
      <c r="IRN114" s="363"/>
      <c r="IRO114" s="364" t="s">
        <v>140</v>
      </c>
      <c r="IRP114" s="365">
        <v>0.5</v>
      </c>
      <c r="IRQ114" s="366" t="e">
        <f>10/IRM112</f>
        <v>#DIV/0!</v>
      </c>
      <c r="IRR114" s="367">
        <v>15.38</v>
      </c>
      <c r="IRS114" s="367" t="e">
        <f>IRP114*IRQ114*IRR114</f>
        <v>#DIV/0!</v>
      </c>
      <c r="IRT114" s="363" t="s">
        <v>153</v>
      </c>
      <c r="IRU114" s="363"/>
      <c r="IRV114" s="363"/>
      <c r="IRW114" s="364" t="s">
        <v>140</v>
      </c>
      <c r="IRX114" s="365">
        <v>0.5</v>
      </c>
      <c r="IRY114" s="366" t="e">
        <f>10/IRU112</f>
        <v>#DIV/0!</v>
      </c>
      <c r="IRZ114" s="367">
        <v>15.38</v>
      </c>
      <c r="ISA114" s="367" t="e">
        <f>IRX114*IRY114*IRZ114</f>
        <v>#DIV/0!</v>
      </c>
      <c r="ISB114" s="363" t="s">
        <v>153</v>
      </c>
      <c r="ISC114" s="363"/>
      <c r="ISD114" s="363"/>
      <c r="ISE114" s="364" t="s">
        <v>140</v>
      </c>
      <c r="ISF114" s="365">
        <v>0.5</v>
      </c>
      <c r="ISG114" s="366" t="e">
        <f>10/ISC112</f>
        <v>#DIV/0!</v>
      </c>
      <c r="ISH114" s="367">
        <v>15.38</v>
      </c>
      <c r="ISI114" s="367" t="e">
        <f>ISF114*ISG114*ISH114</f>
        <v>#DIV/0!</v>
      </c>
      <c r="ISJ114" s="363" t="s">
        <v>153</v>
      </c>
      <c r="ISK114" s="363"/>
      <c r="ISL114" s="363"/>
      <c r="ISM114" s="364" t="s">
        <v>140</v>
      </c>
      <c r="ISN114" s="365">
        <v>0.5</v>
      </c>
      <c r="ISO114" s="366" t="e">
        <f>10/ISK112</f>
        <v>#DIV/0!</v>
      </c>
      <c r="ISP114" s="367">
        <v>15.38</v>
      </c>
      <c r="ISQ114" s="367" t="e">
        <f>ISN114*ISO114*ISP114</f>
        <v>#DIV/0!</v>
      </c>
      <c r="ISR114" s="363" t="s">
        <v>153</v>
      </c>
      <c r="ISS114" s="363"/>
      <c r="IST114" s="363"/>
      <c r="ISU114" s="364" t="s">
        <v>140</v>
      </c>
      <c r="ISV114" s="365">
        <v>0.5</v>
      </c>
      <c r="ISW114" s="366" t="e">
        <f>10/ISS112</f>
        <v>#DIV/0!</v>
      </c>
      <c r="ISX114" s="367">
        <v>15.38</v>
      </c>
      <c r="ISY114" s="367" t="e">
        <f>ISV114*ISW114*ISX114</f>
        <v>#DIV/0!</v>
      </c>
      <c r="ISZ114" s="363" t="s">
        <v>153</v>
      </c>
      <c r="ITA114" s="363"/>
      <c r="ITB114" s="363"/>
      <c r="ITC114" s="364" t="s">
        <v>140</v>
      </c>
      <c r="ITD114" s="365">
        <v>0.5</v>
      </c>
      <c r="ITE114" s="366" t="e">
        <f>10/ITA112</f>
        <v>#DIV/0!</v>
      </c>
      <c r="ITF114" s="367">
        <v>15.38</v>
      </c>
      <c r="ITG114" s="367" t="e">
        <f>ITD114*ITE114*ITF114</f>
        <v>#DIV/0!</v>
      </c>
      <c r="ITH114" s="363" t="s">
        <v>153</v>
      </c>
      <c r="ITI114" s="363"/>
      <c r="ITJ114" s="363"/>
      <c r="ITK114" s="364" t="s">
        <v>140</v>
      </c>
      <c r="ITL114" s="365">
        <v>0.5</v>
      </c>
      <c r="ITM114" s="366" t="e">
        <f>10/ITI112</f>
        <v>#DIV/0!</v>
      </c>
      <c r="ITN114" s="367">
        <v>15.38</v>
      </c>
      <c r="ITO114" s="367" t="e">
        <f>ITL114*ITM114*ITN114</f>
        <v>#DIV/0!</v>
      </c>
      <c r="ITP114" s="363" t="s">
        <v>153</v>
      </c>
      <c r="ITQ114" s="363"/>
      <c r="ITR114" s="363"/>
      <c r="ITS114" s="364" t="s">
        <v>140</v>
      </c>
      <c r="ITT114" s="365">
        <v>0.5</v>
      </c>
      <c r="ITU114" s="366" t="e">
        <f>10/ITQ112</f>
        <v>#DIV/0!</v>
      </c>
      <c r="ITV114" s="367">
        <v>15.38</v>
      </c>
      <c r="ITW114" s="367" t="e">
        <f>ITT114*ITU114*ITV114</f>
        <v>#DIV/0!</v>
      </c>
      <c r="ITX114" s="363" t="s">
        <v>153</v>
      </c>
      <c r="ITY114" s="363"/>
      <c r="ITZ114" s="363"/>
      <c r="IUA114" s="364" t="s">
        <v>140</v>
      </c>
      <c r="IUB114" s="365">
        <v>0.5</v>
      </c>
      <c r="IUC114" s="366" t="e">
        <f>10/ITY112</f>
        <v>#DIV/0!</v>
      </c>
      <c r="IUD114" s="367">
        <v>15.38</v>
      </c>
      <c r="IUE114" s="367" t="e">
        <f>IUB114*IUC114*IUD114</f>
        <v>#DIV/0!</v>
      </c>
      <c r="IUF114" s="363" t="s">
        <v>153</v>
      </c>
      <c r="IUG114" s="363"/>
      <c r="IUH114" s="363"/>
      <c r="IUI114" s="364" t="s">
        <v>140</v>
      </c>
      <c r="IUJ114" s="365">
        <v>0.5</v>
      </c>
      <c r="IUK114" s="366" t="e">
        <f>10/IUG112</f>
        <v>#DIV/0!</v>
      </c>
      <c r="IUL114" s="367">
        <v>15.38</v>
      </c>
      <c r="IUM114" s="367" t="e">
        <f>IUJ114*IUK114*IUL114</f>
        <v>#DIV/0!</v>
      </c>
      <c r="IUN114" s="363" t="s">
        <v>153</v>
      </c>
      <c r="IUO114" s="363"/>
      <c r="IUP114" s="363"/>
      <c r="IUQ114" s="364" t="s">
        <v>140</v>
      </c>
      <c r="IUR114" s="365">
        <v>0.5</v>
      </c>
      <c r="IUS114" s="366" t="e">
        <f>10/IUO112</f>
        <v>#DIV/0!</v>
      </c>
      <c r="IUT114" s="367">
        <v>15.38</v>
      </c>
      <c r="IUU114" s="367" t="e">
        <f>IUR114*IUS114*IUT114</f>
        <v>#DIV/0!</v>
      </c>
      <c r="IUV114" s="363" t="s">
        <v>153</v>
      </c>
      <c r="IUW114" s="363"/>
      <c r="IUX114" s="363"/>
      <c r="IUY114" s="364" t="s">
        <v>140</v>
      </c>
      <c r="IUZ114" s="365">
        <v>0.5</v>
      </c>
      <c r="IVA114" s="366" t="e">
        <f>10/IUW112</f>
        <v>#DIV/0!</v>
      </c>
      <c r="IVB114" s="367">
        <v>15.38</v>
      </c>
      <c r="IVC114" s="367" t="e">
        <f>IUZ114*IVA114*IVB114</f>
        <v>#DIV/0!</v>
      </c>
      <c r="IVD114" s="363" t="s">
        <v>153</v>
      </c>
      <c r="IVE114" s="363"/>
      <c r="IVF114" s="363"/>
      <c r="IVG114" s="364" t="s">
        <v>140</v>
      </c>
      <c r="IVH114" s="365">
        <v>0.5</v>
      </c>
      <c r="IVI114" s="366" t="e">
        <f>10/IVE112</f>
        <v>#DIV/0!</v>
      </c>
      <c r="IVJ114" s="367">
        <v>15.38</v>
      </c>
      <c r="IVK114" s="367" t="e">
        <f>IVH114*IVI114*IVJ114</f>
        <v>#DIV/0!</v>
      </c>
      <c r="IVL114" s="363" t="s">
        <v>153</v>
      </c>
      <c r="IVM114" s="363"/>
      <c r="IVN114" s="363"/>
      <c r="IVO114" s="364" t="s">
        <v>140</v>
      </c>
      <c r="IVP114" s="365">
        <v>0.5</v>
      </c>
      <c r="IVQ114" s="366" t="e">
        <f>10/IVM112</f>
        <v>#DIV/0!</v>
      </c>
      <c r="IVR114" s="367">
        <v>15.38</v>
      </c>
      <c r="IVS114" s="367" t="e">
        <f>IVP114*IVQ114*IVR114</f>
        <v>#DIV/0!</v>
      </c>
      <c r="IVT114" s="363" t="s">
        <v>153</v>
      </c>
      <c r="IVU114" s="363"/>
      <c r="IVV114" s="363"/>
      <c r="IVW114" s="364" t="s">
        <v>140</v>
      </c>
      <c r="IVX114" s="365">
        <v>0.5</v>
      </c>
      <c r="IVY114" s="366" t="e">
        <f>10/IVU112</f>
        <v>#DIV/0!</v>
      </c>
      <c r="IVZ114" s="367">
        <v>15.38</v>
      </c>
      <c r="IWA114" s="367" t="e">
        <f>IVX114*IVY114*IVZ114</f>
        <v>#DIV/0!</v>
      </c>
      <c r="IWB114" s="363" t="s">
        <v>153</v>
      </c>
      <c r="IWC114" s="363"/>
      <c r="IWD114" s="363"/>
      <c r="IWE114" s="364" t="s">
        <v>140</v>
      </c>
      <c r="IWF114" s="365">
        <v>0.5</v>
      </c>
      <c r="IWG114" s="366" t="e">
        <f>10/IWC112</f>
        <v>#DIV/0!</v>
      </c>
      <c r="IWH114" s="367">
        <v>15.38</v>
      </c>
      <c r="IWI114" s="367" t="e">
        <f>IWF114*IWG114*IWH114</f>
        <v>#DIV/0!</v>
      </c>
      <c r="IWJ114" s="363" t="s">
        <v>153</v>
      </c>
      <c r="IWK114" s="363"/>
      <c r="IWL114" s="363"/>
      <c r="IWM114" s="364" t="s">
        <v>140</v>
      </c>
      <c r="IWN114" s="365">
        <v>0.5</v>
      </c>
      <c r="IWO114" s="366" t="e">
        <f>10/IWK112</f>
        <v>#DIV/0!</v>
      </c>
      <c r="IWP114" s="367">
        <v>15.38</v>
      </c>
      <c r="IWQ114" s="367" t="e">
        <f>IWN114*IWO114*IWP114</f>
        <v>#DIV/0!</v>
      </c>
      <c r="IWR114" s="363" t="s">
        <v>153</v>
      </c>
      <c r="IWS114" s="363"/>
      <c r="IWT114" s="363"/>
      <c r="IWU114" s="364" t="s">
        <v>140</v>
      </c>
      <c r="IWV114" s="365">
        <v>0.5</v>
      </c>
      <c r="IWW114" s="366" t="e">
        <f>10/IWS112</f>
        <v>#DIV/0!</v>
      </c>
      <c r="IWX114" s="367">
        <v>15.38</v>
      </c>
      <c r="IWY114" s="367" t="e">
        <f>IWV114*IWW114*IWX114</f>
        <v>#DIV/0!</v>
      </c>
      <c r="IWZ114" s="363" t="s">
        <v>153</v>
      </c>
      <c r="IXA114" s="363"/>
      <c r="IXB114" s="363"/>
      <c r="IXC114" s="364" t="s">
        <v>140</v>
      </c>
      <c r="IXD114" s="365">
        <v>0.5</v>
      </c>
      <c r="IXE114" s="366" t="e">
        <f>10/IXA112</f>
        <v>#DIV/0!</v>
      </c>
      <c r="IXF114" s="367">
        <v>15.38</v>
      </c>
      <c r="IXG114" s="367" t="e">
        <f>IXD114*IXE114*IXF114</f>
        <v>#DIV/0!</v>
      </c>
      <c r="IXH114" s="363" t="s">
        <v>153</v>
      </c>
      <c r="IXI114" s="363"/>
      <c r="IXJ114" s="363"/>
      <c r="IXK114" s="364" t="s">
        <v>140</v>
      </c>
      <c r="IXL114" s="365">
        <v>0.5</v>
      </c>
      <c r="IXM114" s="366" t="e">
        <f>10/IXI112</f>
        <v>#DIV/0!</v>
      </c>
      <c r="IXN114" s="367">
        <v>15.38</v>
      </c>
      <c r="IXO114" s="367" t="e">
        <f>IXL114*IXM114*IXN114</f>
        <v>#DIV/0!</v>
      </c>
      <c r="IXP114" s="363" t="s">
        <v>153</v>
      </c>
      <c r="IXQ114" s="363"/>
      <c r="IXR114" s="363"/>
      <c r="IXS114" s="364" t="s">
        <v>140</v>
      </c>
      <c r="IXT114" s="365">
        <v>0.5</v>
      </c>
      <c r="IXU114" s="366" t="e">
        <f>10/IXQ112</f>
        <v>#DIV/0!</v>
      </c>
      <c r="IXV114" s="367">
        <v>15.38</v>
      </c>
      <c r="IXW114" s="367" t="e">
        <f>IXT114*IXU114*IXV114</f>
        <v>#DIV/0!</v>
      </c>
      <c r="IXX114" s="363" t="s">
        <v>153</v>
      </c>
      <c r="IXY114" s="363"/>
      <c r="IXZ114" s="363"/>
      <c r="IYA114" s="364" t="s">
        <v>140</v>
      </c>
      <c r="IYB114" s="365">
        <v>0.5</v>
      </c>
      <c r="IYC114" s="366" t="e">
        <f>10/IXY112</f>
        <v>#DIV/0!</v>
      </c>
      <c r="IYD114" s="367">
        <v>15.38</v>
      </c>
      <c r="IYE114" s="367" t="e">
        <f>IYB114*IYC114*IYD114</f>
        <v>#DIV/0!</v>
      </c>
      <c r="IYF114" s="363" t="s">
        <v>153</v>
      </c>
      <c r="IYG114" s="363"/>
      <c r="IYH114" s="363"/>
      <c r="IYI114" s="364" t="s">
        <v>140</v>
      </c>
      <c r="IYJ114" s="365">
        <v>0.5</v>
      </c>
      <c r="IYK114" s="366" t="e">
        <f>10/IYG112</f>
        <v>#DIV/0!</v>
      </c>
      <c r="IYL114" s="367">
        <v>15.38</v>
      </c>
      <c r="IYM114" s="367" t="e">
        <f>IYJ114*IYK114*IYL114</f>
        <v>#DIV/0!</v>
      </c>
      <c r="IYN114" s="363" t="s">
        <v>153</v>
      </c>
      <c r="IYO114" s="363"/>
      <c r="IYP114" s="363"/>
      <c r="IYQ114" s="364" t="s">
        <v>140</v>
      </c>
      <c r="IYR114" s="365">
        <v>0.5</v>
      </c>
      <c r="IYS114" s="366" t="e">
        <f>10/IYO112</f>
        <v>#DIV/0!</v>
      </c>
      <c r="IYT114" s="367">
        <v>15.38</v>
      </c>
      <c r="IYU114" s="367" t="e">
        <f>IYR114*IYS114*IYT114</f>
        <v>#DIV/0!</v>
      </c>
      <c r="IYV114" s="363" t="s">
        <v>153</v>
      </c>
      <c r="IYW114" s="363"/>
      <c r="IYX114" s="363"/>
      <c r="IYY114" s="364" t="s">
        <v>140</v>
      </c>
      <c r="IYZ114" s="365">
        <v>0.5</v>
      </c>
      <c r="IZA114" s="366" t="e">
        <f>10/IYW112</f>
        <v>#DIV/0!</v>
      </c>
      <c r="IZB114" s="367">
        <v>15.38</v>
      </c>
      <c r="IZC114" s="367" t="e">
        <f>IYZ114*IZA114*IZB114</f>
        <v>#DIV/0!</v>
      </c>
      <c r="IZD114" s="363" t="s">
        <v>153</v>
      </c>
      <c r="IZE114" s="363"/>
      <c r="IZF114" s="363"/>
      <c r="IZG114" s="364" t="s">
        <v>140</v>
      </c>
      <c r="IZH114" s="365">
        <v>0.5</v>
      </c>
      <c r="IZI114" s="366" t="e">
        <f>10/IZE112</f>
        <v>#DIV/0!</v>
      </c>
      <c r="IZJ114" s="367">
        <v>15.38</v>
      </c>
      <c r="IZK114" s="367" t="e">
        <f>IZH114*IZI114*IZJ114</f>
        <v>#DIV/0!</v>
      </c>
      <c r="IZL114" s="363" t="s">
        <v>153</v>
      </c>
      <c r="IZM114" s="363"/>
      <c r="IZN114" s="363"/>
      <c r="IZO114" s="364" t="s">
        <v>140</v>
      </c>
      <c r="IZP114" s="365">
        <v>0.5</v>
      </c>
      <c r="IZQ114" s="366" t="e">
        <f>10/IZM112</f>
        <v>#DIV/0!</v>
      </c>
      <c r="IZR114" s="367">
        <v>15.38</v>
      </c>
      <c r="IZS114" s="367" t="e">
        <f>IZP114*IZQ114*IZR114</f>
        <v>#DIV/0!</v>
      </c>
      <c r="IZT114" s="363" t="s">
        <v>153</v>
      </c>
      <c r="IZU114" s="363"/>
      <c r="IZV114" s="363"/>
      <c r="IZW114" s="364" t="s">
        <v>140</v>
      </c>
      <c r="IZX114" s="365">
        <v>0.5</v>
      </c>
      <c r="IZY114" s="366" t="e">
        <f>10/IZU112</f>
        <v>#DIV/0!</v>
      </c>
      <c r="IZZ114" s="367">
        <v>15.38</v>
      </c>
      <c r="JAA114" s="367" t="e">
        <f>IZX114*IZY114*IZZ114</f>
        <v>#DIV/0!</v>
      </c>
      <c r="JAB114" s="363" t="s">
        <v>153</v>
      </c>
      <c r="JAC114" s="363"/>
      <c r="JAD114" s="363"/>
      <c r="JAE114" s="364" t="s">
        <v>140</v>
      </c>
      <c r="JAF114" s="365">
        <v>0.5</v>
      </c>
      <c r="JAG114" s="366" t="e">
        <f>10/JAC112</f>
        <v>#DIV/0!</v>
      </c>
      <c r="JAH114" s="367">
        <v>15.38</v>
      </c>
      <c r="JAI114" s="367" t="e">
        <f>JAF114*JAG114*JAH114</f>
        <v>#DIV/0!</v>
      </c>
      <c r="JAJ114" s="363" t="s">
        <v>153</v>
      </c>
      <c r="JAK114" s="363"/>
      <c r="JAL114" s="363"/>
      <c r="JAM114" s="364" t="s">
        <v>140</v>
      </c>
      <c r="JAN114" s="365">
        <v>0.5</v>
      </c>
      <c r="JAO114" s="366" t="e">
        <f>10/JAK112</f>
        <v>#DIV/0!</v>
      </c>
      <c r="JAP114" s="367">
        <v>15.38</v>
      </c>
      <c r="JAQ114" s="367" t="e">
        <f>JAN114*JAO114*JAP114</f>
        <v>#DIV/0!</v>
      </c>
      <c r="JAR114" s="363" t="s">
        <v>153</v>
      </c>
      <c r="JAS114" s="363"/>
      <c r="JAT114" s="363"/>
      <c r="JAU114" s="364" t="s">
        <v>140</v>
      </c>
      <c r="JAV114" s="365">
        <v>0.5</v>
      </c>
      <c r="JAW114" s="366" t="e">
        <f>10/JAS112</f>
        <v>#DIV/0!</v>
      </c>
      <c r="JAX114" s="367">
        <v>15.38</v>
      </c>
      <c r="JAY114" s="367" t="e">
        <f>JAV114*JAW114*JAX114</f>
        <v>#DIV/0!</v>
      </c>
      <c r="JAZ114" s="363" t="s">
        <v>153</v>
      </c>
      <c r="JBA114" s="363"/>
      <c r="JBB114" s="363"/>
      <c r="JBC114" s="364" t="s">
        <v>140</v>
      </c>
      <c r="JBD114" s="365">
        <v>0.5</v>
      </c>
      <c r="JBE114" s="366" t="e">
        <f>10/JBA112</f>
        <v>#DIV/0!</v>
      </c>
      <c r="JBF114" s="367">
        <v>15.38</v>
      </c>
      <c r="JBG114" s="367" t="e">
        <f>JBD114*JBE114*JBF114</f>
        <v>#DIV/0!</v>
      </c>
      <c r="JBH114" s="363" t="s">
        <v>153</v>
      </c>
      <c r="JBI114" s="363"/>
      <c r="JBJ114" s="363"/>
      <c r="JBK114" s="364" t="s">
        <v>140</v>
      </c>
      <c r="JBL114" s="365">
        <v>0.5</v>
      </c>
      <c r="JBM114" s="366" t="e">
        <f>10/JBI112</f>
        <v>#DIV/0!</v>
      </c>
      <c r="JBN114" s="367">
        <v>15.38</v>
      </c>
      <c r="JBO114" s="367" t="e">
        <f>JBL114*JBM114*JBN114</f>
        <v>#DIV/0!</v>
      </c>
      <c r="JBP114" s="363" t="s">
        <v>153</v>
      </c>
      <c r="JBQ114" s="363"/>
      <c r="JBR114" s="363"/>
      <c r="JBS114" s="364" t="s">
        <v>140</v>
      </c>
      <c r="JBT114" s="365">
        <v>0.5</v>
      </c>
      <c r="JBU114" s="366" t="e">
        <f>10/JBQ112</f>
        <v>#DIV/0!</v>
      </c>
      <c r="JBV114" s="367">
        <v>15.38</v>
      </c>
      <c r="JBW114" s="367" t="e">
        <f>JBT114*JBU114*JBV114</f>
        <v>#DIV/0!</v>
      </c>
      <c r="JBX114" s="363" t="s">
        <v>153</v>
      </c>
      <c r="JBY114" s="363"/>
      <c r="JBZ114" s="363"/>
      <c r="JCA114" s="364" t="s">
        <v>140</v>
      </c>
      <c r="JCB114" s="365">
        <v>0.5</v>
      </c>
      <c r="JCC114" s="366" t="e">
        <f>10/JBY112</f>
        <v>#DIV/0!</v>
      </c>
      <c r="JCD114" s="367">
        <v>15.38</v>
      </c>
      <c r="JCE114" s="367" t="e">
        <f>JCB114*JCC114*JCD114</f>
        <v>#DIV/0!</v>
      </c>
      <c r="JCF114" s="363" t="s">
        <v>153</v>
      </c>
      <c r="JCG114" s="363"/>
      <c r="JCH114" s="363"/>
      <c r="JCI114" s="364" t="s">
        <v>140</v>
      </c>
      <c r="JCJ114" s="365">
        <v>0.5</v>
      </c>
      <c r="JCK114" s="366" t="e">
        <f>10/JCG112</f>
        <v>#DIV/0!</v>
      </c>
      <c r="JCL114" s="367">
        <v>15.38</v>
      </c>
      <c r="JCM114" s="367" t="e">
        <f>JCJ114*JCK114*JCL114</f>
        <v>#DIV/0!</v>
      </c>
      <c r="JCN114" s="363" t="s">
        <v>153</v>
      </c>
      <c r="JCO114" s="363"/>
      <c r="JCP114" s="363"/>
      <c r="JCQ114" s="364" t="s">
        <v>140</v>
      </c>
      <c r="JCR114" s="365">
        <v>0.5</v>
      </c>
      <c r="JCS114" s="366" t="e">
        <f>10/JCO112</f>
        <v>#DIV/0!</v>
      </c>
      <c r="JCT114" s="367">
        <v>15.38</v>
      </c>
      <c r="JCU114" s="367" t="e">
        <f>JCR114*JCS114*JCT114</f>
        <v>#DIV/0!</v>
      </c>
      <c r="JCV114" s="363" t="s">
        <v>153</v>
      </c>
      <c r="JCW114" s="363"/>
      <c r="JCX114" s="363"/>
      <c r="JCY114" s="364" t="s">
        <v>140</v>
      </c>
      <c r="JCZ114" s="365">
        <v>0.5</v>
      </c>
      <c r="JDA114" s="366" t="e">
        <f>10/JCW112</f>
        <v>#DIV/0!</v>
      </c>
      <c r="JDB114" s="367">
        <v>15.38</v>
      </c>
      <c r="JDC114" s="367" t="e">
        <f>JCZ114*JDA114*JDB114</f>
        <v>#DIV/0!</v>
      </c>
      <c r="JDD114" s="363" t="s">
        <v>153</v>
      </c>
      <c r="JDE114" s="363"/>
      <c r="JDF114" s="363"/>
      <c r="JDG114" s="364" t="s">
        <v>140</v>
      </c>
      <c r="JDH114" s="365">
        <v>0.5</v>
      </c>
      <c r="JDI114" s="366" t="e">
        <f>10/JDE112</f>
        <v>#DIV/0!</v>
      </c>
      <c r="JDJ114" s="367">
        <v>15.38</v>
      </c>
      <c r="JDK114" s="367" t="e">
        <f>JDH114*JDI114*JDJ114</f>
        <v>#DIV/0!</v>
      </c>
      <c r="JDL114" s="363" t="s">
        <v>153</v>
      </c>
      <c r="JDM114" s="363"/>
      <c r="JDN114" s="363"/>
      <c r="JDO114" s="364" t="s">
        <v>140</v>
      </c>
      <c r="JDP114" s="365">
        <v>0.5</v>
      </c>
      <c r="JDQ114" s="366" t="e">
        <f>10/JDM112</f>
        <v>#DIV/0!</v>
      </c>
      <c r="JDR114" s="367">
        <v>15.38</v>
      </c>
      <c r="JDS114" s="367" t="e">
        <f>JDP114*JDQ114*JDR114</f>
        <v>#DIV/0!</v>
      </c>
      <c r="JDT114" s="363" t="s">
        <v>153</v>
      </c>
      <c r="JDU114" s="363"/>
      <c r="JDV114" s="363"/>
      <c r="JDW114" s="364" t="s">
        <v>140</v>
      </c>
      <c r="JDX114" s="365">
        <v>0.5</v>
      </c>
      <c r="JDY114" s="366" t="e">
        <f>10/JDU112</f>
        <v>#DIV/0!</v>
      </c>
      <c r="JDZ114" s="367">
        <v>15.38</v>
      </c>
      <c r="JEA114" s="367" t="e">
        <f>JDX114*JDY114*JDZ114</f>
        <v>#DIV/0!</v>
      </c>
      <c r="JEB114" s="363" t="s">
        <v>153</v>
      </c>
      <c r="JEC114" s="363"/>
      <c r="JED114" s="363"/>
      <c r="JEE114" s="364" t="s">
        <v>140</v>
      </c>
      <c r="JEF114" s="365">
        <v>0.5</v>
      </c>
      <c r="JEG114" s="366" t="e">
        <f>10/JEC112</f>
        <v>#DIV/0!</v>
      </c>
      <c r="JEH114" s="367">
        <v>15.38</v>
      </c>
      <c r="JEI114" s="367" t="e">
        <f>JEF114*JEG114*JEH114</f>
        <v>#DIV/0!</v>
      </c>
      <c r="JEJ114" s="363" t="s">
        <v>153</v>
      </c>
      <c r="JEK114" s="363"/>
      <c r="JEL114" s="363"/>
      <c r="JEM114" s="364" t="s">
        <v>140</v>
      </c>
      <c r="JEN114" s="365">
        <v>0.5</v>
      </c>
      <c r="JEO114" s="366" t="e">
        <f>10/JEK112</f>
        <v>#DIV/0!</v>
      </c>
      <c r="JEP114" s="367">
        <v>15.38</v>
      </c>
      <c r="JEQ114" s="367" t="e">
        <f>JEN114*JEO114*JEP114</f>
        <v>#DIV/0!</v>
      </c>
      <c r="JER114" s="363" t="s">
        <v>153</v>
      </c>
      <c r="JES114" s="363"/>
      <c r="JET114" s="363"/>
      <c r="JEU114" s="364" t="s">
        <v>140</v>
      </c>
      <c r="JEV114" s="365">
        <v>0.5</v>
      </c>
      <c r="JEW114" s="366" t="e">
        <f>10/JES112</f>
        <v>#DIV/0!</v>
      </c>
      <c r="JEX114" s="367">
        <v>15.38</v>
      </c>
      <c r="JEY114" s="367" t="e">
        <f>JEV114*JEW114*JEX114</f>
        <v>#DIV/0!</v>
      </c>
      <c r="JEZ114" s="363" t="s">
        <v>153</v>
      </c>
      <c r="JFA114" s="363"/>
      <c r="JFB114" s="363"/>
      <c r="JFC114" s="364" t="s">
        <v>140</v>
      </c>
      <c r="JFD114" s="365">
        <v>0.5</v>
      </c>
      <c r="JFE114" s="366" t="e">
        <f>10/JFA112</f>
        <v>#DIV/0!</v>
      </c>
      <c r="JFF114" s="367">
        <v>15.38</v>
      </c>
      <c r="JFG114" s="367" t="e">
        <f>JFD114*JFE114*JFF114</f>
        <v>#DIV/0!</v>
      </c>
      <c r="JFH114" s="363" t="s">
        <v>153</v>
      </c>
      <c r="JFI114" s="363"/>
      <c r="JFJ114" s="363"/>
      <c r="JFK114" s="364" t="s">
        <v>140</v>
      </c>
      <c r="JFL114" s="365">
        <v>0.5</v>
      </c>
      <c r="JFM114" s="366" t="e">
        <f>10/JFI112</f>
        <v>#DIV/0!</v>
      </c>
      <c r="JFN114" s="367">
        <v>15.38</v>
      </c>
      <c r="JFO114" s="367" t="e">
        <f>JFL114*JFM114*JFN114</f>
        <v>#DIV/0!</v>
      </c>
      <c r="JFP114" s="363" t="s">
        <v>153</v>
      </c>
      <c r="JFQ114" s="363"/>
      <c r="JFR114" s="363"/>
      <c r="JFS114" s="364" t="s">
        <v>140</v>
      </c>
      <c r="JFT114" s="365">
        <v>0.5</v>
      </c>
      <c r="JFU114" s="366" t="e">
        <f>10/JFQ112</f>
        <v>#DIV/0!</v>
      </c>
      <c r="JFV114" s="367">
        <v>15.38</v>
      </c>
      <c r="JFW114" s="367" t="e">
        <f>JFT114*JFU114*JFV114</f>
        <v>#DIV/0!</v>
      </c>
      <c r="JFX114" s="363" t="s">
        <v>153</v>
      </c>
      <c r="JFY114" s="363"/>
      <c r="JFZ114" s="363"/>
      <c r="JGA114" s="364" t="s">
        <v>140</v>
      </c>
      <c r="JGB114" s="365">
        <v>0.5</v>
      </c>
      <c r="JGC114" s="366" t="e">
        <f>10/JFY112</f>
        <v>#DIV/0!</v>
      </c>
      <c r="JGD114" s="367">
        <v>15.38</v>
      </c>
      <c r="JGE114" s="367" t="e">
        <f>JGB114*JGC114*JGD114</f>
        <v>#DIV/0!</v>
      </c>
      <c r="JGF114" s="363" t="s">
        <v>153</v>
      </c>
      <c r="JGG114" s="363"/>
      <c r="JGH114" s="363"/>
      <c r="JGI114" s="364" t="s">
        <v>140</v>
      </c>
      <c r="JGJ114" s="365">
        <v>0.5</v>
      </c>
      <c r="JGK114" s="366" t="e">
        <f>10/JGG112</f>
        <v>#DIV/0!</v>
      </c>
      <c r="JGL114" s="367">
        <v>15.38</v>
      </c>
      <c r="JGM114" s="367" t="e">
        <f>JGJ114*JGK114*JGL114</f>
        <v>#DIV/0!</v>
      </c>
      <c r="JGN114" s="363" t="s">
        <v>153</v>
      </c>
      <c r="JGO114" s="363"/>
      <c r="JGP114" s="363"/>
      <c r="JGQ114" s="364" t="s">
        <v>140</v>
      </c>
      <c r="JGR114" s="365">
        <v>0.5</v>
      </c>
      <c r="JGS114" s="366" t="e">
        <f>10/JGO112</f>
        <v>#DIV/0!</v>
      </c>
      <c r="JGT114" s="367">
        <v>15.38</v>
      </c>
      <c r="JGU114" s="367" t="e">
        <f>JGR114*JGS114*JGT114</f>
        <v>#DIV/0!</v>
      </c>
      <c r="JGV114" s="363" t="s">
        <v>153</v>
      </c>
      <c r="JGW114" s="363"/>
      <c r="JGX114" s="363"/>
      <c r="JGY114" s="364" t="s">
        <v>140</v>
      </c>
      <c r="JGZ114" s="365">
        <v>0.5</v>
      </c>
      <c r="JHA114" s="366" t="e">
        <f>10/JGW112</f>
        <v>#DIV/0!</v>
      </c>
      <c r="JHB114" s="367">
        <v>15.38</v>
      </c>
      <c r="JHC114" s="367" t="e">
        <f>JGZ114*JHA114*JHB114</f>
        <v>#DIV/0!</v>
      </c>
      <c r="JHD114" s="363" t="s">
        <v>153</v>
      </c>
      <c r="JHE114" s="363"/>
      <c r="JHF114" s="363"/>
      <c r="JHG114" s="364" t="s">
        <v>140</v>
      </c>
      <c r="JHH114" s="365">
        <v>0.5</v>
      </c>
      <c r="JHI114" s="366" t="e">
        <f>10/JHE112</f>
        <v>#DIV/0!</v>
      </c>
      <c r="JHJ114" s="367">
        <v>15.38</v>
      </c>
      <c r="JHK114" s="367" t="e">
        <f>JHH114*JHI114*JHJ114</f>
        <v>#DIV/0!</v>
      </c>
      <c r="JHL114" s="363" t="s">
        <v>153</v>
      </c>
      <c r="JHM114" s="363"/>
      <c r="JHN114" s="363"/>
      <c r="JHO114" s="364" t="s">
        <v>140</v>
      </c>
      <c r="JHP114" s="365">
        <v>0.5</v>
      </c>
      <c r="JHQ114" s="366" t="e">
        <f>10/JHM112</f>
        <v>#DIV/0!</v>
      </c>
      <c r="JHR114" s="367">
        <v>15.38</v>
      </c>
      <c r="JHS114" s="367" t="e">
        <f>JHP114*JHQ114*JHR114</f>
        <v>#DIV/0!</v>
      </c>
      <c r="JHT114" s="363" t="s">
        <v>153</v>
      </c>
      <c r="JHU114" s="363"/>
      <c r="JHV114" s="363"/>
      <c r="JHW114" s="364" t="s">
        <v>140</v>
      </c>
      <c r="JHX114" s="365">
        <v>0.5</v>
      </c>
      <c r="JHY114" s="366" t="e">
        <f>10/JHU112</f>
        <v>#DIV/0!</v>
      </c>
      <c r="JHZ114" s="367">
        <v>15.38</v>
      </c>
      <c r="JIA114" s="367" t="e">
        <f>JHX114*JHY114*JHZ114</f>
        <v>#DIV/0!</v>
      </c>
      <c r="JIB114" s="363" t="s">
        <v>153</v>
      </c>
      <c r="JIC114" s="363"/>
      <c r="JID114" s="363"/>
      <c r="JIE114" s="364" t="s">
        <v>140</v>
      </c>
      <c r="JIF114" s="365">
        <v>0.5</v>
      </c>
      <c r="JIG114" s="366" t="e">
        <f>10/JIC112</f>
        <v>#DIV/0!</v>
      </c>
      <c r="JIH114" s="367">
        <v>15.38</v>
      </c>
      <c r="JII114" s="367" t="e">
        <f>JIF114*JIG114*JIH114</f>
        <v>#DIV/0!</v>
      </c>
      <c r="JIJ114" s="363" t="s">
        <v>153</v>
      </c>
      <c r="JIK114" s="363"/>
      <c r="JIL114" s="363"/>
      <c r="JIM114" s="364" t="s">
        <v>140</v>
      </c>
      <c r="JIN114" s="365">
        <v>0.5</v>
      </c>
      <c r="JIO114" s="366" t="e">
        <f>10/JIK112</f>
        <v>#DIV/0!</v>
      </c>
      <c r="JIP114" s="367">
        <v>15.38</v>
      </c>
      <c r="JIQ114" s="367" t="e">
        <f>JIN114*JIO114*JIP114</f>
        <v>#DIV/0!</v>
      </c>
      <c r="JIR114" s="363" t="s">
        <v>153</v>
      </c>
      <c r="JIS114" s="363"/>
      <c r="JIT114" s="363"/>
      <c r="JIU114" s="364" t="s">
        <v>140</v>
      </c>
      <c r="JIV114" s="365">
        <v>0.5</v>
      </c>
      <c r="JIW114" s="366" t="e">
        <f>10/JIS112</f>
        <v>#DIV/0!</v>
      </c>
      <c r="JIX114" s="367">
        <v>15.38</v>
      </c>
      <c r="JIY114" s="367" t="e">
        <f>JIV114*JIW114*JIX114</f>
        <v>#DIV/0!</v>
      </c>
      <c r="JIZ114" s="363" t="s">
        <v>153</v>
      </c>
      <c r="JJA114" s="363"/>
      <c r="JJB114" s="363"/>
      <c r="JJC114" s="364" t="s">
        <v>140</v>
      </c>
      <c r="JJD114" s="365">
        <v>0.5</v>
      </c>
      <c r="JJE114" s="366" t="e">
        <f>10/JJA112</f>
        <v>#DIV/0!</v>
      </c>
      <c r="JJF114" s="367">
        <v>15.38</v>
      </c>
      <c r="JJG114" s="367" t="e">
        <f>JJD114*JJE114*JJF114</f>
        <v>#DIV/0!</v>
      </c>
      <c r="JJH114" s="363" t="s">
        <v>153</v>
      </c>
      <c r="JJI114" s="363"/>
      <c r="JJJ114" s="363"/>
      <c r="JJK114" s="364" t="s">
        <v>140</v>
      </c>
      <c r="JJL114" s="365">
        <v>0.5</v>
      </c>
      <c r="JJM114" s="366" t="e">
        <f>10/JJI112</f>
        <v>#DIV/0!</v>
      </c>
      <c r="JJN114" s="367">
        <v>15.38</v>
      </c>
      <c r="JJO114" s="367" t="e">
        <f>JJL114*JJM114*JJN114</f>
        <v>#DIV/0!</v>
      </c>
      <c r="JJP114" s="363" t="s">
        <v>153</v>
      </c>
      <c r="JJQ114" s="363"/>
      <c r="JJR114" s="363"/>
      <c r="JJS114" s="364" t="s">
        <v>140</v>
      </c>
      <c r="JJT114" s="365">
        <v>0.5</v>
      </c>
      <c r="JJU114" s="366" t="e">
        <f>10/JJQ112</f>
        <v>#DIV/0!</v>
      </c>
      <c r="JJV114" s="367">
        <v>15.38</v>
      </c>
      <c r="JJW114" s="367" t="e">
        <f>JJT114*JJU114*JJV114</f>
        <v>#DIV/0!</v>
      </c>
      <c r="JJX114" s="363" t="s">
        <v>153</v>
      </c>
      <c r="JJY114" s="363"/>
      <c r="JJZ114" s="363"/>
      <c r="JKA114" s="364" t="s">
        <v>140</v>
      </c>
      <c r="JKB114" s="365">
        <v>0.5</v>
      </c>
      <c r="JKC114" s="366" t="e">
        <f>10/JJY112</f>
        <v>#DIV/0!</v>
      </c>
      <c r="JKD114" s="367">
        <v>15.38</v>
      </c>
      <c r="JKE114" s="367" t="e">
        <f>JKB114*JKC114*JKD114</f>
        <v>#DIV/0!</v>
      </c>
      <c r="JKF114" s="363" t="s">
        <v>153</v>
      </c>
      <c r="JKG114" s="363"/>
      <c r="JKH114" s="363"/>
      <c r="JKI114" s="364" t="s">
        <v>140</v>
      </c>
      <c r="JKJ114" s="365">
        <v>0.5</v>
      </c>
      <c r="JKK114" s="366" t="e">
        <f>10/JKG112</f>
        <v>#DIV/0!</v>
      </c>
      <c r="JKL114" s="367">
        <v>15.38</v>
      </c>
      <c r="JKM114" s="367" t="e">
        <f>JKJ114*JKK114*JKL114</f>
        <v>#DIV/0!</v>
      </c>
      <c r="JKN114" s="363" t="s">
        <v>153</v>
      </c>
      <c r="JKO114" s="363"/>
      <c r="JKP114" s="363"/>
      <c r="JKQ114" s="364" t="s">
        <v>140</v>
      </c>
      <c r="JKR114" s="365">
        <v>0.5</v>
      </c>
      <c r="JKS114" s="366" t="e">
        <f>10/JKO112</f>
        <v>#DIV/0!</v>
      </c>
      <c r="JKT114" s="367">
        <v>15.38</v>
      </c>
      <c r="JKU114" s="367" t="e">
        <f>JKR114*JKS114*JKT114</f>
        <v>#DIV/0!</v>
      </c>
      <c r="JKV114" s="363" t="s">
        <v>153</v>
      </c>
      <c r="JKW114" s="363"/>
      <c r="JKX114" s="363"/>
      <c r="JKY114" s="364" t="s">
        <v>140</v>
      </c>
      <c r="JKZ114" s="365">
        <v>0.5</v>
      </c>
      <c r="JLA114" s="366" t="e">
        <f>10/JKW112</f>
        <v>#DIV/0!</v>
      </c>
      <c r="JLB114" s="367">
        <v>15.38</v>
      </c>
      <c r="JLC114" s="367" t="e">
        <f>JKZ114*JLA114*JLB114</f>
        <v>#DIV/0!</v>
      </c>
      <c r="JLD114" s="363" t="s">
        <v>153</v>
      </c>
      <c r="JLE114" s="363"/>
      <c r="JLF114" s="363"/>
      <c r="JLG114" s="364" t="s">
        <v>140</v>
      </c>
      <c r="JLH114" s="365">
        <v>0.5</v>
      </c>
      <c r="JLI114" s="366" t="e">
        <f>10/JLE112</f>
        <v>#DIV/0!</v>
      </c>
      <c r="JLJ114" s="367">
        <v>15.38</v>
      </c>
      <c r="JLK114" s="367" t="e">
        <f>JLH114*JLI114*JLJ114</f>
        <v>#DIV/0!</v>
      </c>
      <c r="JLL114" s="363" t="s">
        <v>153</v>
      </c>
      <c r="JLM114" s="363"/>
      <c r="JLN114" s="363"/>
      <c r="JLO114" s="364" t="s">
        <v>140</v>
      </c>
      <c r="JLP114" s="365">
        <v>0.5</v>
      </c>
      <c r="JLQ114" s="366" t="e">
        <f>10/JLM112</f>
        <v>#DIV/0!</v>
      </c>
      <c r="JLR114" s="367">
        <v>15.38</v>
      </c>
      <c r="JLS114" s="367" t="e">
        <f>JLP114*JLQ114*JLR114</f>
        <v>#DIV/0!</v>
      </c>
      <c r="JLT114" s="363" t="s">
        <v>153</v>
      </c>
      <c r="JLU114" s="363"/>
      <c r="JLV114" s="363"/>
      <c r="JLW114" s="364" t="s">
        <v>140</v>
      </c>
      <c r="JLX114" s="365">
        <v>0.5</v>
      </c>
      <c r="JLY114" s="366" t="e">
        <f>10/JLU112</f>
        <v>#DIV/0!</v>
      </c>
      <c r="JLZ114" s="367">
        <v>15.38</v>
      </c>
      <c r="JMA114" s="367" t="e">
        <f>JLX114*JLY114*JLZ114</f>
        <v>#DIV/0!</v>
      </c>
      <c r="JMB114" s="363" t="s">
        <v>153</v>
      </c>
      <c r="JMC114" s="363"/>
      <c r="JMD114" s="363"/>
      <c r="JME114" s="364" t="s">
        <v>140</v>
      </c>
      <c r="JMF114" s="365">
        <v>0.5</v>
      </c>
      <c r="JMG114" s="366" t="e">
        <f>10/JMC112</f>
        <v>#DIV/0!</v>
      </c>
      <c r="JMH114" s="367">
        <v>15.38</v>
      </c>
      <c r="JMI114" s="367" t="e">
        <f>JMF114*JMG114*JMH114</f>
        <v>#DIV/0!</v>
      </c>
      <c r="JMJ114" s="363" t="s">
        <v>153</v>
      </c>
      <c r="JMK114" s="363"/>
      <c r="JML114" s="363"/>
      <c r="JMM114" s="364" t="s">
        <v>140</v>
      </c>
      <c r="JMN114" s="365">
        <v>0.5</v>
      </c>
      <c r="JMO114" s="366" t="e">
        <f>10/JMK112</f>
        <v>#DIV/0!</v>
      </c>
      <c r="JMP114" s="367">
        <v>15.38</v>
      </c>
      <c r="JMQ114" s="367" t="e">
        <f>JMN114*JMO114*JMP114</f>
        <v>#DIV/0!</v>
      </c>
      <c r="JMR114" s="363" t="s">
        <v>153</v>
      </c>
      <c r="JMS114" s="363"/>
      <c r="JMT114" s="363"/>
      <c r="JMU114" s="364" t="s">
        <v>140</v>
      </c>
      <c r="JMV114" s="365">
        <v>0.5</v>
      </c>
      <c r="JMW114" s="366" t="e">
        <f>10/JMS112</f>
        <v>#DIV/0!</v>
      </c>
      <c r="JMX114" s="367">
        <v>15.38</v>
      </c>
      <c r="JMY114" s="367" t="e">
        <f>JMV114*JMW114*JMX114</f>
        <v>#DIV/0!</v>
      </c>
      <c r="JMZ114" s="363" t="s">
        <v>153</v>
      </c>
      <c r="JNA114" s="363"/>
      <c r="JNB114" s="363"/>
      <c r="JNC114" s="364" t="s">
        <v>140</v>
      </c>
      <c r="JND114" s="365">
        <v>0.5</v>
      </c>
      <c r="JNE114" s="366" t="e">
        <f>10/JNA112</f>
        <v>#DIV/0!</v>
      </c>
      <c r="JNF114" s="367">
        <v>15.38</v>
      </c>
      <c r="JNG114" s="367" t="e">
        <f>JND114*JNE114*JNF114</f>
        <v>#DIV/0!</v>
      </c>
      <c r="JNH114" s="363" t="s">
        <v>153</v>
      </c>
      <c r="JNI114" s="363"/>
      <c r="JNJ114" s="363"/>
      <c r="JNK114" s="364" t="s">
        <v>140</v>
      </c>
      <c r="JNL114" s="365">
        <v>0.5</v>
      </c>
      <c r="JNM114" s="366" t="e">
        <f>10/JNI112</f>
        <v>#DIV/0!</v>
      </c>
      <c r="JNN114" s="367">
        <v>15.38</v>
      </c>
      <c r="JNO114" s="367" t="e">
        <f>JNL114*JNM114*JNN114</f>
        <v>#DIV/0!</v>
      </c>
      <c r="JNP114" s="363" t="s">
        <v>153</v>
      </c>
      <c r="JNQ114" s="363"/>
      <c r="JNR114" s="363"/>
      <c r="JNS114" s="364" t="s">
        <v>140</v>
      </c>
      <c r="JNT114" s="365">
        <v>0.5</v>
      </c>
      <c r="JNU114" s="366" t="e">
        <f>10/JNQ112</f>
        <v>#DIV/0!</v>
      </c>
      <c r="JNV114" s="367">
        <v>15.38</v>
      </c>
      <c r="JNW114" s="367" t="e">
        <f>JNT114*JNU114*JNV114</f>
        <v>#DIV/0!</v>
      </c>
      <c r="JNX114" s="363" t="s">
        <v>153</v>
      </c>
      <c r="JNY114" s="363"/>
      <c r="JNZ114" s="363"/>
      <c r="JOA114" s="364" t="s">
        <v>140</v>
      </c>
      <c r="JOB114" s="365">
        <v>0.5</v>
      </c>
      <c r="JOC114" s="366" t="e">
        <f>10/JNY112</f>
        <v>#DIV/0!</v>
      </c>
      <c r="JOD114" s="367">
        <v>15.38</v>
      </c>
      <c r="JOE114" s="367" t="e">
        <f>JOB114*JOC114*JOD114</f>
        <v>#DIV/0!</v>
      </c>
      <c r="JOF114" s="363" t="s">
        <v>153</v>
      </c>
      <c r="JOG114" s="363"/>
      <c r="JOH114" s="363"/>
      <c r="JOI114" s="364" t="s">
        <v>140</v>
      </c>
      <c r="JOJ114" s="365">
        <v>0.5</v>
      </c>
      <c r="JOK114" s="366" t="e">
        <f>10/JOG112</f>
        <v>#DIV/0!</v>
      </c>
      <c r="JOL114" s="367">
        <v>15.38</v>
      </c>
      <c r="JOM114" s="367" t="e">
        <f>JOJ114*JOK114*JOL114</f>
        <v>#DIV/0!</v>
      </c>
      <c r="JON114" s="363" t="s">
        <v>153</v>
      </c>
      <c r="JOO114" s="363"/>
      <c r="JOP114" s="363"/>
      <c r="JOQ114" s="364" t="s">
        <v>140</v>
      </c>
      <c r="JOR114" s="365">
        <v>0.5</v>
      </c>
      <c r="JOS114" s="366" t="e">
        <f>10/JOO112</f>
        <v>#DIV/0!</v>
      </c>
      <c r="JOT114" s="367">
        <v>15.38</v>
      </c>
      <c r="JOU114" s="367" t="e">
        <f>JOR114*JOS114*JOT114</f>
        <v>#DIV/0!</v>
      </c>
      <c r="JOV114" s="363" t="s">
        <v>153</v>
      </c>
      <c r="JOW114" s="363"/>
      <c r="JOX114" s="363"/>
      <c r="JOY114" s="364" t="s">
        <v>140</v>
      </c>
      <c r="JOZ114" s="365">
        <v>0.5</v>
      </c>
      <c r="JPA114" s="366" t="e">
        <f>10/JOW112</f>
        <v>#DIV/0!</v>
      </c>
      <c r="JPB114" s="367">
        <v>15.38</v>
      </c>
      <c r="JPC114" s="367" t="e">
        <f>JOZ114*JPA114*JPB114</f>
        <v>#DIV/0!</v>
      </c>
      <c r="JPD114" s="363" t="s">
        <v>153</v>
      </c>
      <c r="JPE114" s="363"/>
      <c r="JPF114" s="363"/>
      <c r="JPG114" s="364" t="s">
        <v>140</v>
      </c>
      <c r="JPH114" s="365">
        <v>0.5</v>
      </c>
      <c r="JPI114" s="366" t="e">
        <f>10/JPE112</f>
        <v>#DIV/0!</v>
      </c>
      <c r="JPJ114" s="367">
        <v>15.38</v>
      </c>
      <c r="JPK114" s="367" t="e">
        <f>JPH114*JPI114*JPJ114</f>
        <v>#DIV/0!</v>
      </c>
      <c r="JPL114" s="363" t="s">
        <v>153</v>
      </c>
      <c r="JPM114" s="363"/>
      <c r="JPN114" s="363"/>
      <c r="JPO114" s="364" t="s">
        <v>140</v>
      </c>
      <c r="JPP114" s="365">
        <v>0.5</v>
      </c>
      <c r="JPQ114" s="366" t="e">
        <f>10/JPM112</f>
        <v>#DIV/0!</v>
      </c>
      <c r="JPR114" s="367">
        <v>15.38</v>
      </c>
      <c r="JPS114" s="367" t="e">
        <f>JPP114*JPQ114*JPR114</f>
        <v>#DIV/0!</v>
      </c>
      <c r="JPT114" s="363" t="s">
        <v>153</v>
      </c>
      <c r="JPU114" s="363"/>
      <c r="JPV114" s="363"/>
      <c r="JPW114" s="364" t="s">
        <v>140</v>
      </c>
      <c r="JPX114" s="365">
        <v>0.5</v>
      </c>
      <c r="JPY114" s="366" t="e">
        <f>10/JPU112</f>
        <v>#DIV/0!</v>
      </c>
      <c r="JPZ114" s="367">
        <v>15.38</v>
      </c>
      <c r="JQA114" s="367" t="e">
        <f>JPX114*JPY114*JPZ114</f>
        <v>#DIV/0!</v>
      </c>
      <c r="JQB114" s="363" t="s">
        <v>153</v>
      </c>
      <c r="JQC114" s="363"/>
      <c r="JQD114" s="363"/>
      <c r="JQE114" s="364" t="s">
        <v>140</v>
      </c>
      <c r="JQF114" s="365">
        <v>0.5</v>
      </c>
      <c r="JQG114" s="366" t="e">
        <f>10/JQC112</f>
        <v>#DIV/0!</v>
      </c>
      <c r="JQH114" s="367">
        <v>15.38</v>
      </c>
      <c r="JQI114" s="367" t="e">
        <f>JQF114*JQG114*JQH114</f>
        <v>#DIV/0!</v>
      </c>
      <c r="JQJ114" s="363" t="s">
        <v>153</v>
      </c>
      <c r="JQK114" s="363"/>
      <c r="JQL114" s="363"/>
      <c r="JQM114" s="364" t="s">
        <v>140</v>
      </c>
      <c r="JQN114" s="365">
        <v>0.5</v>
      </c>
      <c r="JQO114" s="366" t="e">
        <f>10/JQK112</f>
        <v>#DIV/0!</v>
      </c>
      <c r="JQP114" s="367">
        <v>15.38</v>
      </c>
      <c r="JQQ114" s="367" t="e">
        <f>JQN114*JQO114*JQP114</f>
        <v>#DIV/0!</v>
      </c>
      <c r="JQR114" s="363" t="s">
        <v>153</v>
      </c>
      <c r="JQS114" s="363"/>
      <c r="JQT114" s="363"/>
      <c r="JQU114" s="364" t="s">
        <v>140</v>
      </c>
      <c r="JQV114" s="365">
        <v>0.5</v>
      </c>
      <c r="JQW114" s="366" t="e">
        <f>10/JQS112</f>
        <v>#DIV/0!</v>
      </c>
      <c r="JQX114" s="367">
        <v>15.38</v>
      </c>
      <c r="JQY114" s="367" t="e">
        <f>JQV114*JQW114*JQX114</f>
        <v>#DIV/0!</v>
      </c>
      <c r="JQZ114" s="363" t="s">
        <v>153</v>
      </c>
      <c r="JRA114" s="363"/>
      <c r="JRB114" s="363"/>
      <c r="JRC114" s="364" t="s">
        <v>140</v>
      </c>
      <c r="JRD114" s="365">
        <v>0.5</v>
      </c>
      <c r="JRE114" s="366" t="e">
        <f>10/JRA112</f>
        <v>#DIV/0!</v>
      </c>
      <c r="JRF114" s="367">
        <v>15.38</v>
      </c>
      <c r="JRG114" s="367" t="e">
        <f>JRD114*JRE114*JRF114</f>
        <v>#DIV/0!</v>
      </c>
      <c r="JRH114" s="363" t="s">
        <v>153</v>
      </c>
      <c r="JRI114" s="363"/>
      <c r="JRJ114" s="363"/>
      <c r="JRK114" s="364" t="s">
        <v>140</v>
      </c>
      <c r="JRL114" s="365">
        <v>0.5</v>
      </c>
      <c r="JRM114" s="366" t="e">
        <f>10/JRI112</f>
        <v>#DIV/0!</v>
      </c>
      <c r="JRN114" s="367">
        <v>15.38</v>
      </c>
      <c r="JRO114" s="367" t="e">
        <f>JRL114*JRM114*JRN114</f>
        <v>#DIV/0!</v>
      </c>
      <c r="JRP114" s="363" t="s">
        <v>153</v>
      </c>
      <c r="JRQ114" s="363"/>
      <c r="JRR114" s="363"/>
      <c r="JRS114" s="364" t="s">
        <v>140</v>
      </c>
      <c r="JRT114" s="365">
        <v>0.5</v>
      </c>
      <c r="JRU114" s="366" t="e">
        <f>10/JRQ112</f>
        <v>#DIV/0!</v>
      </c>
      <c r="JRV114" s="367">
        <v>15.38</v>
      </c>
      <c r="JRW114" s="367" t="e">
        <f>JRT114*JRU114*JRV114</f>
        <v>#DIV/0!</v>
      </c>
      <c r="JRX114" s="363" t="s">
        <v>153</v>
      </c>
      <c r="JRY114" s="363"/>
      <c r="JRZ114" s="363"/>
      <c r="JSA114" s="364" t="s">
        <v>140</v>
      </c>
      <c r="JSB114" s="365">
        <v>0.5</v>
      </c>
      <c r="JSC114" s="366" t="e">
        <f>10/JRY112</f>
        <v>#DIV/0!</v>
      </c>
      <c r="JSD114" s="367">
        <v>15.38</v>
      </c>
      <c r="JSE114" s="367" t="e">
        <f>JSB114*JSC114*JSD114</f>
        <v>#DIV/0!</v>
      </c>
      <c r="JSF114" s="363" t="s">
        <v>153</v>
      </c>
      <c r="JSG114" s="363"/>
      <c r="JSH114" s="363"/>
      <c r="JSI114" s="364" t="s">
        <v>140</v>
      </c>
      <c r="JSJ114" s="365">
        <v>0.5</v>
      </c>
      <c r="JSK114" s="366" t="e">
        <f>10/JSG112</f>
        <v>#DIV/0!</v>
      </c>
      <c r="JSL114" s="367">
        <v>15.38</v>
      </c>
      <c r="JSM114" s="367" t="e">
        <f>JSJ114*JSK114*JSL114</f>
        <v>#DIV/0!</v>
      </c>
      <c r="JSN114" s="363" t="s">
        <v>153</v>
      </c>
      <c r="JSO114" s="363"/>
      <c r="JSP114" s="363"/>
      <c r="JSQ114" s="364" t="s">
        <v>140</v>
      </c>
      <c r="JSR114" s="365">
        <v>0.5</v>
      </c>
      <c r="JSS114" s="366" t="e">
        <f>10/JSO112</f>
        <v>#DIV/0!</v>
      </c>
      <c r="JST114" s="367">
        <v>15.38</v>
      </c>
      <c r="JSU114" s="367" t="e">
        <f>JSR114*JSS114*JST114</f>
        <v>#DIV/0!</v>
      </c>
      <c r="JSV114" s="363" t="s">
        <v>153</v>
      </c>
      <c r="JSW114" s="363"/>
      <c r="JSX114" s="363"/>
      <c r="JSY114" s="364" t="s">
        <v>140</v>
      </c>
      <c r="JSZ114" s="365">
        <v>0.5</v>
      </c>
      <c r="JTA114" s="366" t="e">
        <f>10/JSW112</f>
        <v>#DIV/0!</v>
      </c>
      <c r="JTB114" s="367">
        <v>15.38</v>
      </c>
      <c r="JTC114" s="367" t="e">
        <f>JSZ114*JTA114*JTB114</f>
        <v>#DIV/0!</v>
      </c>
      <c r="JTD114" s="363" t="s">
        <v>153</v>
      </c>
      <c r="JTE114" s="363"/>
      <c r="JTF114" s="363"/>
      <c r="JTG114" s="364" t="s">
        <v>140</v>
      </c>
      <c r="JTH114" s="365">
        <v>0.5</v>
      </c>
      <c r="JTI114" s="366" t="e">
        <f>10/JTE112</f>
        <v>#DIV/0!</v>
      </c>
      <c r="JTJ114" s="367">
        <v>15.38</v>
      </c>
      <c r="JTK114" s="367" t="e">
        <f>JTH114*JTI114*JTJ114</f>
        <v>#DIV/0!</v>
      </c>
      <c r="JTL114" s="363" t="s">
        <v>153</v>
      </c>
      <c r="JTM114" s="363"/>
      <c r="JTN114" s="363"/>
      <c r="JTO114" s="364" t="s">
        <v>140</v>
      </c>
      <c r="JTP114" s="365">
        <v>0.5</v>
      </c>
      <c r="JTQ114" s="366" t="e">
        <f>10/JTM112</f>
        <v>#DIV/0!</v>
      </c>
      <c r="JTR114" s="367">
        <v>15.38</v>
      </c>
      <c r="JTS114" s="367" t="e">
        <f>JTP114*JTQ114*JTR114</f>
        <v>#DIV/0!</v>
      </c>
      <c r="JTT114" s="363" t="s">
        <v>153</v>
      </c>
      <c r="JTU114" s="363"/>
      <c r="JTV114" s="363"/>
      <c r="JTW114" s="364" t="s">
        <v>140</v>
      </c>
      <c r="JTX114" s="365">
        <v>0.5</v>
      </c>
      <c r="JTY114" s="366" t="e">
        <f>10/JTU112</f>
        <v>#DIV/0!</v>
      </c>
      <c r="JTZ114" s="367">
        <v>15.38</v>
      </c>
      <c r="JUA114" s="367" t="e">
        <f>JTX114*JTY114*JTZ114</f>
        <v>#DIV/0!</v>
      </c>
      <c r="JUB114" s="363" t="s">
        <v>153</v>
      </c>
      <c r="JUC114" s="363"/>
      <c r="JUD114" s="363"/>
      <c r="JUE114" s="364" t="s">
        <v>140</v>
      </c>
      <c r="JUF114" s="365">
        <v>0.5</v>
      </c>
      <c r="JUG114" s="366" t="e">
        <f>10/JUC112</f>
        <v>#DIV/0!</v>
      </c>
      <c r="JUH114" s="367">
        <v>15.38</v>
      </c>
      <c r="JUI114" s="367" t="e">
        <f>JUF114*JUG114*JUH114</f>
        <v>#DIV/0!</v>
      </c>
      <c r="JUJ114" s="363" t="s">
        <v>153</v>
      </c>
      <c r="JUK114" s="363"/>
      <c r="JUL114" s="363"/>
      <c r="JUM114" s="364" t="s">
        <v>140</v>
      </c>
      <c r="JUN114" s="365">
        <v>0.5</v>
      </c>
      <c r="JUO114" s="366" t="e">
        <f>10/JUK112</f>
        <v>#DIV/0!</v>
      </c>
      <c r="JUP114" s="367">
        <v>15.38</v>
      </c>
      <c r="JUQ114" s="367" t="e">
        <f>JUN114*JUO114*JUP114</f>
        <v>#DIV/0!</v>
      </c>
      <c r="JUR114" s="363" t="s">
        <v>153</v>
      </c>
      <c r="JUS114" s="363"/>
      <c r="JUT114" s="363"/>
      <c r="JUU114" s="364" t="s">
        <v>140</v>
      </c>
      <c r="JUV114" s="365">
        <v>0.5</v>
      </c>
      <c r="JUW114" s="366" t="e">
        <f>10/JUS112</f>
        <v>#DIV/0!</v>
      </c>
      <c r="JUX114" s="367">
        <v>15.38</v>
      </c>
      <c r="JUY114" s="367" t="e">
        <f>JUV114*JUW114*JUX114</f>
        <v>#DIV/0!</v>
      </c>
      <c r="JUZ114" s="363" t="s">
        <v>153</v>
      </c>
      <c r="JVA114" s="363"/>
      <c r="JVB114" s="363"/>
      <c r="JVC114" s="364" t="s">
        <v>140</v>
      </c>
      <c r="JVD114" s="365">
        <v>0.5</v>
      </c>
      <c r="JVE114" s="366" t="e">
        <f>10/JVA112</f>
        <v>#DIV/0!</v>
      </c>
      <c r="JVF114" s="367">
        <v>15.38</v>
      </c>
      <c r="JVG114" s="367" t="e">
        <f>JVD114*JVE114*JVF114</f>
        <v>#DIV/0!</v>
      </c>
      <c r="JVH114" s="363" t="s">
        <v>153</v>
      </c>
      <c r="JVI114" s="363"/>
      <c r="JVJ114" s="363"/>
      <c r="JVK114" s="364" t="s">
        <v>140</v>
      </c>
      <c r="JVL114" s="365">
        <v>0.5</v>
      </c>
      <c r="JVM114" s="366" t="e">
        <f>10/JVI112</f>
        <v>#DIV/0!</v>
      </c>
      <c r="JVN114" s="367">
        <v>15.38</v>
      </c>
      <c r="JVO114" s="367" t="e">
        <f>JVL114*JVM114*JVN114</f>
        <v>#DIV/0!</v>
      </c>
      <c r="JVP114" s="363" t="s">
        <v>153</v>
      </c>
      <c r="JVQ114" s="363"/>
      <c r="JVR114" s="363"/>
      <c r="JVS114" s="364" t="s">
        <v>140</v>
      </c>
      <c r="JVT114" s="365">
        <v>0.5</v>
      </c>
      <c r="JVU114" s="366" t="e">
        <f>10/JVQ112</f>
        <v>#DIV/0!</v>
      </c>
      <c r="JVV114" s="367">
        <v>15.38</v>
      </c>
      <c r="JVW114" s="367" t="e">
        <f>JVT114*JVU114*JVV114</f>
        <v>#DIV/0!</v>
      </c>
      <c r="JVX114" s="363" t="s">
        <v>153</v>
      </c>
      <c r="JVY114" s="363"/>
      <c r="JVZ114" s="363"/>
      <c r="JWA114" s="364" t="s">
        <v>140</v>
      </c>
      <c r="JWB114" s="365">
        <v>0.5</v>
      </c>
      <c r="JWC114" s="366" t="e">
        <f>10/JVY112</f>
        <v>#DIV/0!</v>
      </c>
      <c r="JWD114" s="367">
        <v>15.38</v>
      </c>
      <c r="JWE114" s="367" t="e">
        <f>JWB114*JWC114*JWD114</f>
        <v>#DIV/0!</v>
      </c>
      <c r="JWF114" s="363" t="s">
        <v>153</v>
      </c>
      <c r="JWG114" s="363"/>
      <c r="JWH114" s="363"/>
      <c r="JWI114" s="364" t="s">
        <v>140</v>
      </c>
      <c r="JWJ114" s="365">
        <v>0.5</v>
      </c>
      <c r="JWK114" s="366" t="e">
        <f>10/JWG112</f>
        <v>#DIV/0!</v>
      </c>
      <c r="JWL114" s="367">
        <v>15.38</v>
      </c>
      <c r="JWM114" s="367" t="e">
        <f>JWJ114*JWK114*JWL114</f>
        <v>#DIV/0!</v>
      </c>
      <c r="JWN114" s="363" t="s">
        <v>153</v>
      </c>
      <c r="JWO114" s="363"/>
      <c r="JWP114" s="363"/>
      <c r="JWQ114" s="364" t="s">
        <v>140</v>
      </c>
      <c r="JWR114" s="365">
        <v>0.5</v>
      </c>
      <c r="JWS114" s="366" t="e">
        <f>10/JWO112</f>
        <v>#DIV/0!</v>
      </c>
      <c r="JWT114" s="367">
        <v>15.38</v>
      </c>
      <c r="JWU114" s="367" t="e">
        <f>JWR114*JWS114*JWT114</f>
        <v>#DIV/0!</v>
      </c>
      <c r="JWV114" s="363" t="s">
        <v>153</v>
      </c>
      <c r="JWW114" s="363"/>
      <c r="JWX114" s="363"/>
      <c r="JWY114" s="364" t="s">
        <v>140</v>
      </c>
      <c r="JWZ114" s="365">
        <v>0.5</v>
      </c>
      <c r="JXA114" s="366" t="e">
        <f>10/JWW112</f>
        <v>#DIV/0!</v>
      </c>
      <c r="JXB114" s="367">
        <v>15.38</v>
      </c>
      <c r="JXC114" s="367" t="e">
        <f>JWZ114*JXA114*JXB114</f>
        <v>#DIV/0!</v>
      </c>
      <c r="JXD114" s="363" t="s">
        <v>153</v>
      </c>
      <c r="JXE114" s="363"/>
      <c r="JXF114" s="363"/>
      <c r="JXG114" s="364" t="s">
        <v>140</v>
      </c>
      <c r="JXH114" s="365">
        <v>0.5</v>
      </c>
      <c r="JXI114" s="366" t="e">
        <f>10/JXE112</f>
        <v>#DIV/0!</v>
      </c>
      <c r="JXJ114" s="367">
        <v>15.38</v>
      </c>
      <c r="JXK114" s="367" t="e">
        <f>JXH114*JXI114*JXJ114</f>
        <v>#DIV/0!</v>
      </c>
      <c r="JXL114" s="363" t="s">
        <v>153</v>
      </c>
      <c r="JXM114" s="363"/>
      <c r="JXN114" s="363"/>
      <c r="JXO114" s="364" t="s">
        <v>140</v>
      </c>
      <c r="JXP114" s="365">
        <v>0.5</v>
      </c>
      <c r="JXQ114" s="366" t="e">
        <f>10/JXM112</f>
        <v>#DIV/0!</v>
      </c>
      <c r="JXR114" s="367">
        <v>15.38</v>
      </c>
      <c r="JXS114" s="367" t="e">
        <f>JXP114*JXQ114*JXR114</f>
        <v>#DIV/0!</v>
      </c>
      <c r="JXT114" s="363" t="s">
        <v>153</v>
      </c>
      <c r="JXU114" s="363"/>
      <c r="JXV114" s="363"/>
      <c r="JXW114" s="364" t="s">
        <v>140</v>
      </c>
      <c r="JXX114" s="365">
        <v>0.5</v>
      </c>
      <c r="JXY114" s="366" t="e">
        <f>10/JXU112</f>
        <v>#DIV/0!</v>
      </c>
      <c r="JXZ114" s="367">
        <v>15.38</v>
      </c>
      <c r="JYA114" s="367" t="e">
        <f>JXX114*JXY114*JXZ114</f>
        <v>#DIV/0!</v>
      </c>
      <c r="JYB114" s="363" t="s">
        <v>153</v>
      </c>
      <c r="JYC114" s="363"/>
      <c r="JYD114" s="363"/>
      <c r="JYE114" s="364" t="s">
        <v>140</v>
      </c>
      <c r="JYF114" s="365">
        <v>0.5</v>
      </c>
      <c r="JYG114" s="366" t="e">
        <f>10/JYC112</f>
        <v>#DIV/0!</v>
      </c>
      <c r="JYH114" s="367">
        <v>15.38</v>
      </c>
      <c r="JYI114" s="367" t="e">
        <f>JYF114*JYG114*JYH114</f>
        <v>#DIV/0!</v>
      </c>
      <c r="JYJ114" s="363" t="s">
        <v>153</v>
      </c>
      <c r="JYK114" s="363"/>
      <c r="JYL114" s="363"/>
      <c r="JYM114" s="364" t="s">
        <v>140</v>
      </c>
      <c r="JYN114" s="365">
        <v>0.5</v>
      </c>
      <c r="JYO114" s="366" t="e">
        <f>10/JYK112</f>
        <v>#DIV/0!</v>
      </c>
      <c r="JYP114" s="367">
        <v>15.38</v>
      </c>
      <c r="JYQ114" s="367" t="e">
        <f>JYN114*JYO114*JYP114</f>
        <v>#DIV/0!</v>
      </c>
      <c r="JYR114" s="363" t="s">
        <v>153</v>
      </c>
      <c r="JYS114" s="363"/>
      <c r="JYT114" s="363"/>
      <c r="JYU114" s="364" t="s">
        <v>140</v>
      </c>
      <c r="JYV114" s="365">
        <v>0.5</v>
      </c>
      <c r="JYW114" s="366" t="e">
        <f>10/JYS112</f>
        <v>#DIV/0!</v>
      </c>
      <c r="JYX114" s="367">
        <v>15.38</v>
      </c>
      <c r="JYY114" s="367" t="e">
        <f>JYV114*JYW114*JYX114</f>
        <v>#DIV/0!</v>
      </c>
      <c r="JYZ114" s="363" t="s">
        <v>153</v>
      </c>
      <c r="JZA114" s="363"/>
      <c r="JZB114" s="363"/>
      <c r="JZC114" s="364" t="s">
        <v>140</v>
      </c>
      <c r="JZD114" s="365">
        <v>0.5</v>
      </c>
      <c r="JZE114" s="366" t="e">
        <f>10/JZA112</f>
        <v>#DIV/0!</v>
      </c>
      <c r="JZF114" s="367">
        <v>15.38</v>
      </c>
      <c r="JZG114" s="367" t="e">
        <f>JZD114*JZE114*JZF114</f>
        <v>#DIV/0!</v>
      </c>
      <c r="JZH114" s="363" t="s">
        <v>153</v>
      </c>
      <c r="JZI114" s="363"/>
      <c r="JZJ114" s="363"/>
      <c r="JZK114" s="364" t="s">
        <v>140</v>
      </c>
      <c r="JZL114" s="365">
        <v>0.5</v>
      </c>
      <c r="JZM114" s="366" t="e">
        <f>10/JZI112</f>
        <v>#DIV/0!</v>
      </c>
      <c r="JZN114" s="367">
        <v>15.38</v>
      </c>
      <c r="JZO114" s="367" t="e">
        <f>JZL114*JZM114*JZN114</f>
        <v>#DIV/0!</v>
      </c>
      <c r="JZP114" s="363" t="s">
        <v>153</v>
      </c>
      <c r="JZQ114" s="363"/>
      <c r="JZR114" s="363"/>
      <c r="JZS114" s="364" t="s">
        <v>140</v>
      </c>
      <c r="JZT114" s="365">
        <v>0.5</v>
      </c>
      <c r="JZU114" s="366" t="e">
        <f>10/JZQ112</f>
        <v>#DIV/0!</v>
      </c>
      <c r="JZV114" s="367">
        <v>15.38</v>
      </c>
      <c r="JZW114" s="367" t="e">
        <f>JZT114*JZU114*JZV114</f>
        <v>#DIV/0!</v>
      </c>
      <c r="JZX114" s="363" t="s">
        <v>153</v>
      </c>
      <c r="JZY114" s="363"/>
      <c r="JZZ114" s="363"/>
      <c r="KAA114" s="364" t="s">
        <v>140</v>
      </c>
      <c r="KAB114" s="365">
        <v>0.5</v>
      </c>
      <c r="KAC114" s="366" t="e">
        <f>10/JZY112</f>
        <v>#DIV/0!</v>
      </c>
      <c r="KAD114" s="367">
        <v>15.38</v>
      </c>
      <c r="KAE114" s="367" t="e">
        <f>KAB114*KAC114*KAD114</f>
        <v>#DIV/0!</v>
      </c>
      <c r="KAF114" s="363" t="s">
        <v>153</v>
      </c>
      <c r="KAG114" s="363"/>
      <c r="KAH114" s="363"/>
      <c r="KAI114" s="364" t="s">
        <v>140</v>
      </c>
      <c r="KAJ114" s="365">
        <v>0.5</v>
      </c>
      <c r="KAK114" s="366" t="e">
        <f>10/KAG112</f>
        <v>#DIV/0!</v>
      </c>
      <c r="KAL114" s="367">
        <v>15.38</v>
      </c>
      <c r="KAM114" s="367" t="e">
        <f>KAJ114*KAK114*KAL114</f>
        <v>#DIV/0!</v>
      </c>
      <c r="KAN114" s="363" t="s">
        <v>153</v>
      </c>
      <c r="KAO114" s="363"/>
      <c r="KAP114" s="363"/>
      <c r="KAQ114" s="364" t="s">
        <v>140</v>
      </c>
      <c r="KAR114" s="365">
        <v>0.5</v>
      </c>
      <c r="KAS114" s="366" t="e">
        <f>10/KAO112</f>
        <v>#DIV/0!</v>
      </c>
      <c r="KAT114" s="367">
        <v>15.38</v>
      </c>
      <c r="KAU114" s="367" t="e">
        <f>KAR114*KAS114*KAT114</f>
        <v>#DIV/0!</v>
      </c>
      <c r="KAV114" s="363" t="s">
        <v>153</v>
      </c>
      <c r="KAW114" s="363"/>
      <c r="KAX114" s="363"/>
      <c r="KAY114" s="364" t="s">
        <v>140</v>
      </c>
      <c r="KAZ114" s="365">
        <v>0.5</v>
      </c>
      <c r="KBA114" s="366" t="e">
        <f>10/KAW112</f>
        <v>#DIV/0!</v>
      </c>
      <c r="KBB114" s="367">
        <v>15.38</v>
      </c>
      <c r="KBC114" s="367" t="e">
        <f>KAZ114*KBA114*KBB114</f>
        <v>#DIV/0!</v>
      </c>
      <c r="KBD114" s="363" t="s">
        <v>153</v>
      </c>
      <c r="KBE114" s="363"/>
      <c r="KBF114" s="363"/>
      <c r="KBG114" s="364" t="s">
        <v>140</v>
      </c>
      <c r="KBH114" s="365">
        <v>0.5</v>
      </c>
      <c r="KBI114" s="366" t="e">
        <f>10/KBE112</f>
        <v>#DIV/0!</v>
      </c>
      <c r="KBJ114" s="367">
        <v>15.38</v>
      </c>
      <c r="KBK114" s="367" t="e">
        <f>KBH114*KBI114*KBJ114</f>
        <v>#DIV/0!</v>
      </c>
      <c r="KBL114" s="363" t="s">
        <v>153</v>
      </c>
      <c r="KBM114" s="363"/>
      <c r="KBN114" s="363"/>
      <c r="KBO114" s="364" t="s">
        <v>140</v>
      </c>
      <c r="KBP114" s="365">
        <v>0.5</v>
      </c>
      <c r="KBQ114" s="366" t="e">
        <f>10/KBM112</f>
        <v>#DIV/0!</v>
      </c>
      <c r="KBR114" s="367">
        <v>15.38</v>
      </c>
      <c r="KBS114" s="367" t="e">
        <f>KBP114*KBQ114*KBR114</f>
        <v>#DIV/0!</v>
      </c>
      <c r="KBT114" s="363" t="s">
        <v>153</v>
      </c>
      <c r="KBU114" s="363"/>
      <c r="KBV114" s="363"/>
      <c r="KBW114" s="364" t="s">
        <v>140</v>
      </c>
      <c r="KBX114" s="365">
        <v>0.5</v>
      </c>
      <c r="KBY114" s="366" t="e">
        <f>10/KBU112</f>
        <v>#DIV/0!</v>
      </c>
      <c r="KBZ114" s="367">
        <v>15.38</v>
      </c>
      <c r="KCA114" s="367" t="e">
        <f>KBX114*KBY114*KBZ114</f>
        <v>#DIV/0!</v>
      </c>
      <c r="KCB114" s="363" t="s">
        <v>153</v>
      </c>
      <c r="KCC114" s="363"/>
      <c r="KCD114" s="363"/>
      <c r="KCE114" s="364" t="s">
        <v>140</v>
      </c>
      <c r="KCF114" s="365">
        <v>0.5</v>
      </c>
      <c r="KCG114" s="366" t="e">
        <f>10/KCC112</f>
        <v>#DIV/0!</v>
      </c>
      <c r="KCH114" s="367">
        <v>15.38</v>
      </c>
      <c r="KCI114" s="367" t="e">
        <f>KCF114*KCG114*KCH114</f>
        <v>#DIV/0!</v>
      </c>
      <c r="KCJ114" s="363" t="s">
        <v>153</v>
      </c>
      <c r="KCK114" s="363"/>
      <c r="KCL114" s="363"/>
      <c r="KCM114" s="364" t="s">
        <v>140</v>
      </c>
      <c r="KCN114" s="365">
        <v>0.5</v>
      </c>
      <c r="KCO114" s="366" t="e">
        <f>10/KCK112</f>
        <v>#DIV/0!</v>
      </c>
      <c r="KCP114" s="367">
        <v>15.38</v>
      </c>
      <c r="KCQ114" s="367" t="e">
        <f>KCN114*KCO114*KCP114</f>
        <v>#DIV/0!</v>
      </c>
      <c r="KCR114" s="363" t="s">
        <v>153</v>
      </c>
      <c r="KCS114" s="363"/>
      <c r="KCT114" s="363"/>
      <c r="KCU114" s="364" t="s">
        <v>140</v>
      </c>
      <c r="KCV114" s="365">
        <v>0.5</v>
      </c>
      <c r="KCW114" s="366" t="e">
        <f>10/KCS112</f>
        <v>#DIV/0!</v>
      </c>
      <c r="KCX114" s="367">
        <v>15.38</v>
      </c>
      <c r="KCY114" s="367" t="e">
        <f>KCV114*KCW114*KCX114</f>
        <v>#DIV/0!</v>
      </c>
      <c r="KCZ114" s="363" t="s">
        <v>153</v>
      </c>
      <c r="KDA114" s="363"/>
      <c r="KDB114" s="363"/>
      <c r="KDC114" s="364" t="s">
        <v>140</v>
      </c>
      <c r="KDD114" s="365">
        <v>0.5</v>
      </c>
      <c r="KDE114" s="366" t="e">
        <f>10/KDA112</f>
        <v>#DIV/0!</v>
      </c>
      <c r="KDF114" s="367">
        <v>15.38</v>
      </c>
      <c r="KDG114" s="367" t="e">
        <f>KDD114*KDE114*KDF114</f>
        <v>#DIV/0!</v>
      </c>
      <c r="KDH114" s="363" t="s">
        <v>153</v>
      </c>
      <c r="KDI114" s="363"/>
      <c r="KDJ114" s="363"/>
      <c r="KDK114" s="364" t="s">
        <v>140</v>
      </c>
      <c r="KDL114" s="365">
        <v>0.5</v>
      </c>
      <c r="KDM114" s="366" t="e">
        <f>10/KDI112</f>
        <v>#DIV/0!</v>
      </c>
      <c r="KDN114" s="367">
        <v>15.38</v>
      </c>
      <c r="KDO114" s="367" t="e">
        <f>KDL114*KDM114*KDN114</f>
        <v>#DIV/0!</v>
      </c>
      <c r="KDP114" s="363" t="s">
        <v>153</v>
      </c>
      <c r="KDQ114" s="363"/>
      <c r="KDR114" s="363"/>
      <c r="KDS114" s="364" t="s">
        <v>140</v>
      </c>
      <c r="KDT114" s="365">
        <v>0.5</v>
      </c>
      <c r="KDU114" s="366" t="e">
        <f>10/KDQ112</f>
        <v>#DIV/0!</v>
      </c>
      <c r="KDV114" s="367">
        <v>15.38</v>
      </c>
      <c r="KDW114" s="367" t="e">
        <f>KDT114*KDU114*KDV114</f>
        <v>#DIV/0!</v>
      </c>
      <c r="KDX114" s="363" t="s">
        <v>153</v>
      </c>
      <c r="KDY114" s="363"/>
      <c r="KDZ114" s="363"/>
      <c r="KEA114" s="364" t="s">
        <v>140</v>
      </c>
      <c r="KEB114" s="365">
        <v>0.5</v>
      </c>
      <c r="KEC114" s="366" t="e">
        <f>10/KDY112</f>
        <v>#DIV/0!</v>
      </c>
      <c r="KED114" s="367">
        <v>15.38</v>
      </c>
      <c r="KEE114" s="367" t="e">
        <f>KEB114*KEC114*KED114</f>
        <v>#DIV/0!</v>
      </c>
      <c r="KEF114" s="363" t="s">
        <v>153</v>
      </c>
      <c r="KEG114" s="363"/>
      <c r="KEH114" s="363"/>
      <c r="KEI114" s="364" t="s">
        <v>140</v>
      </c>
      <c r="KEJ114" s="365">
        <v>0.5</v>
      </c>
      <c r="KEK114" s="366" t="e">
        <f>10/KEG112</f>
        <v>#DIV/0!</v>
      </c>
      <c r="KEL114" s="367">
        <v>15.38</v>
      </c>
      <c r="KEM114" s="367" t="e">
        <f>KEJ114*KEK114*KEL114</f>
        <v>#DIV/0!</v>
      </c>
      <c r="KEN114" s="363" t="s">
        <v>153</v>
      </c>
      <c r="KEO114" s="363"/>
      <c r="KEP114" s="363"/>
      <c r="KEQ114" s="364" t="s">
        <v>140</v>
      </c>
      <c r="KER114" s="365">
        <v>0.5</v>
      </c>
      <c r="KES114" s="366" t="e">
        <f>10/KEO112</f>
        <v>#DIV/0!</v>
      </c>
      <c r="KET114" s="367">
        <v>15.38</v>
      </c>
      <c r="KEU114" s="367" t="e">
        <f>KER114*KES114*KET114</f>
        <v>#DIV/0!</v>
      </c>
      <c r="KEV114" s="363" t="s">
        <v>153</v>
      </c>
      <c r="KEW114" s="363"/>
      <c r="KEX114" s="363"/>
      <c r="KEY114" s="364" t="s">
        <v>140</v>
      </c>
      <c r="KEZ114" s="365">
        <v>0.5</v>
      </c>
      <c r="KFA114" s="366" t="e">
        <f>10/KEW112</f>
        <v>#DIV/0!</v>
      </c>
      <c r="KFB114" s="367">
        <v>15.38</v>
      </c>
      <c r="KFC114" s="367" t="e">
        <f>KEZ114*KFA114*KFB114</f>
        <v>#DIV/0!</v>
      </c>
      <c r="KFD114" s="363" t="s">
        <v>153</v>
      </c>
      <c r="KFE114" s="363"/>
      <c r="KFF114" s="363"/>
      <c r="KFG114" s="364" t="s">
        <v>140</v>
      </c>
      <c r="KFH114" s="365">
        <v>0.5</v>
      </c>
      <c r="KFI114" s="366" t="e">
        <f>10/KFE112</f>
        <v>#DIV/0!</v>
      </c>
      <c r="KFJ114" s="367">
        <v>15.38</v>
      </c>
      <c r="KFK114" s="367" t="e">
        <f>KFH114*KFI114*KFJ114</f>
        <v>#DIV/0!</v>
      </c>
      <c r="KFL114" s="363" t="s">
        <v>153</v>
      </c>
      <c r="KFM114" s="363"/>
      <c r="KFN114" s="363"/>
      <c r="KFO114" s="364" t="s">
        <v>140</v>
      </c>
      <c r="KFP114" s="365">
        <v>0.5</v>
      </c>
      <c r="KFQ114" s="366" t="e">
        <f>10/KFM112</f>
        <v>#DIV/0!</v>
      </c>
      <c r="KFR114" s="367">
        <v>15.38</v>
      </c>
      <c r="KFS114" s="367" t="e">
        <f>KFP114*KFQ114*KFR114</f>
        <v>#DIV/0!</v>
      </c>
      <c r="KFT114" s="363" t="s">
        <v>153</v>
      </c>
      <c r="KFU114" s="363"/>
      <c r="KFV114" s="363"/>
      <c r="KFW114" s="364" t="s">
        <v>140</v>
      </c>
      <c r="KFX114" s="365">
        <v>0.5</v>
      </c>
      <c r="KFY114" s="366" t="e">
        <f>10/KFU112</f>
        <v>#DIV/0!</v>
      </c>
      <c r="KFZ114" s="367">
        <v>15.38</v>
      </c>
      <c r="KGA114" s="367" t="e">
        <f>KFX114*KFY114*KFZ114</f>
        <v>#DIV/0!</v>
      </c>
      <c r="KGB114" s="363" t="s">
        <v>153</v>
      </c>
      <c r="KGC114" s="363"/>
      <c r="KGD114" s="363"/>
      <c r="KGE114" s="364" t="s">
        <v>140</v>
      </c>
      <c r="KGF114" s="365">
        <v>0.5</v>
      </c>
      <c r="KGG114" s="366" t="e">
        <f>10/KGC112</f>
        <v>#DIV/0!</v>
      </c>
      <c r="KGH114" s="367">
        <v>15.38</v>
      </c>
      <c r="KGI114" s="367" t="e">
        <f>KGF114*KGG114*KGH114</f>
        <v>#DIV/0!</v>
      </c>
      <c r="KGJ114" s="363" t="s">
        <v>153</v>
      </c>
      <c r="KGK114" s="363"/>
      <c r="KGL114" s="363"/>
      <c r="KGM114" s="364" t="s">
        <v>140</v>
      </c>
      <c r="KGN114" s="365">
        <v>0.5</v>
      </c>
      <c r="KGO114" s="366" t="e">
        <f>10/KGK112</f>
        <v>#DIV/0!</v>
      </c>
      <c r="KGP114" s="367">
        <v>15.38</v>
      </c>
      <c r="KGQ114" s="367" t="e">
        <f>KGN114*KGO114*KGP114</f>
        <v>#DIV/0!</v>
      </c>
      <c r="KGR114" s="363" t="s">
        <v>153</v>
      </c>
      <c r="KGS114" s="363"/>
      <c r="KGT114" s="363"/>
      <c r="KGU114" s="364" t="s">
        <v>140</v>
      </c>
      <c r="KGV114" s="365">
        <v>0.5</v>
      </c>
      <c r="KGW114" s="366" t="e">
        <f>10/KGS112</f>
        <v>#DIV/0!</v>
      </c>
      <c r="KGX114" s="367">
        <v>15.38</v>
      </c>
      <c r="KGY114" s="367" t="e">
        <f>KGV114*KGW114*KGX114</f>
        <v>#DIV/0!</v>
      </c>
      <c r="KGZ114" s="363" t="s">
        <v>153</v>
      </c>
      <c r="KHA114" s="363"/>
      <c r="KHB114" s="363"/>
      <c r="KHC114" s="364" t="s">
        <v>140</v>
      </c>
      <c r="KHD114" s="365">
        <v>0.5</v>
      </c>
      <c r="KHE114" s="366" t="e">
        <f>10/KHA112</f>
        <v>#DIV/0!</v>
      </c>
      <c r="KHF114" s="367">
        <v>15.38</v>
      </c>
      <c r="KHG114" s="367" t="e">
        <f>KHD114*KHE114*KHF114</f>
        <v>#DIV/0!</v>
      </c>
      <c r="KHH114" s="363" t="s">
        <v>153</v>
      </c>
      <c r="KHI114" s="363"/>
      <c r="KHJ114" s="363"/>
      <c r="KHK114" s="364" t="s">
        <v>140</v>
      </c>
      <c r="KHL114" s="365">
        <v>0.5</v>
      </c>
      <c r="KHM114" s="366" t="e">
        <f>10/KHI112</f>
        <v>#DIV/0!</v>
      </c>
      <c r="KHN114" s="367">
        <v>15.38</v>
      </c>
      <c r="KHO114" s="367" t="e">
        <f>KHL114*KHM114*KHN114</f>
        <v>#DIV/0!</v>
      </c>
      <c r="KHP114" s="363" t="s">
        <v>153</v>
      </c>
      <c r="KHQ114" s="363"/>
      <c r="KHR114" s="363"/>
      <c r="KHS114" s="364" t="s">
        <v>140</v>
      </c>
      <c r="KHT114" s="365">
        <v>0.5</v>
      </c>
      <c r="KHU114" s="366" t="e">
        <f>10/KHQ112</f>
        <v>#DIV/0!</v>
      </c>
      <c r="KHV114" s="367">
        <v>15.38</v>
      </c>
      <c r="KHW114" s="367" t="e">
        <f>KHT114*KHU114*KHV114</f>
        <v>#DIV/0!</v>
      </c>
      <c r="KHX114" s="363" t="s">
        <v>153</v>
      </c>
      <c r="KHY114" s="363"/>
      <c r="KHZ114" s="363"/>
      <c r="KIA114" s="364" t="s">
        <v>140</v>
      </c>
      <c r="KIB114" s="365">
        <v>0.5</v>
      </c>
      <c r="KIC114" s="366" t="e">
        <f>10/KHY112</f>
        <v>#DIV/0!</v>
      </c>
      <c r="KID114" s="367">
        <v>15.38</v>
      </c>
      <c r="KIE114" s="367" t="e">
        <f>KIB114*KIC114*KID114</f>
        <v>#DIV/0!</v>
      </c>
      <c r="KIF114" s="363" t="s">
        <v>153</v>
      </c>
      <c r="KIG114" s="363"/>
      <c r="KIH114" s="363"/>
      <c r="KII114" s="364" t="s">
        <v>140</v>
      </c>
      <c r="KIJ114" s="365">
        <v>0.5</v>
      </c>
      <c r="KIK114" s="366" t="e">
        <f>10/KIG112</f>
        <v>#DIV/0!</v>
      </c>
      <c r="KIL114" s="367">
        <v>15.38</v>
      </c>
      <c r="KIM114" s="367" t="e">
        <f>KIJ114*KIK114*KIL114</f>
        <v>#DIV/0!</v>
      </c>
      <c r="KIN114" s="363" t="s">
        <v>153</v>
      </c>
      <c r="KIO114" s="363"/>
      <c r="KIP114" s="363"/>
      <c r="KIQ114" s="364" t="s">
        <v>140</v>
      </c>
      <c r="KIR114" s="365">
        <v>0.5</v>
      </c>
      <c r="KIS114" s="366" t="e">
        <f>10/KIO112</f>
        <v>#DIV/0!</v>
      </c>
      <c r="KIT114" s="367">
        <v>15.38</v>
      </c>
      <c r="KIU114" s="367" t="e">
        <f>KIR114*KIS114*KIT114</f>
        <v>#DIV/0!</v>
      </c>
      <c r="KIV114" s="363" t="s">
        <v>153</v>
      </c>
      <c r="KIW114" s="363"/>
      <c r="KIX114" s="363"/>
      <c r="KIY114" s="364" t="s">
        <v>140</v>
      </c>
      <c r="KIZ114" s="365">
        <v>0.5</v>
      </c>
      <c r="KJA114" s="366" t="e">
        <f>10/KIW112</f>
        <v>#DIV/0!</v>
      </c>
      <c r="KJB114" s="367">
        <v>15.38</v>
      </c>
      <c r="KJC114" s="367" t="e">
        <f>KIZ114*KJA114*KJB114</f>
        <v>#DIV/0!</v>
      </c>
      <c r="KJD114" s="363" t="s">
        <v>153</v>
      </c>
      <c r="KJE114" s="363"/>
      <c r="KJF114" s="363"/>
      <c r="KJG114" s="364" t="s">
        <v>140</v>
      </c>
      <c r="KJH114" s="365">
        <v>0.5</v>
      </c>
      <c r="KJI114" s="366" t="e">
        <f>10/KJE112</f>
        <v>#DIV/0!</v>
      </c>
      <c r="KJJ114" s="367">
        <v>15.38</v>
      </c>
      <c r="KJK114" s="367" t="e">
        <f>KJH114*KJI114*KJJ114</f>
        <v>#DIV/0!</v>
      </c>
      <c r="KJL114" s="363" t="s">
        <v>153</v>
      </c>
      <c r="KJM114" s="363"/>
      <c r="KJN114" s="363"/>
      <c r="KJO114" s="364" t="s">
        <v>140</v>
      </c>
      <c r="KJP114" s="365">
        <v>0.5</v>
      </c>
      <c r="KJQ114" s="366" t="e">
        <f>10/KJM112</f>
        <v>#DIV/0!</v>
      </c>
      <c r="KJR114" s="367">
        <v>15.38</v>
      </c>
      <c r="KJS114" s="367" t="e">
        <f>KJP114*KJQ114*KJR114</f>
        <v>#DIV/0!</v>
      </c>
      <c r="KJT114" s="363" t="s">
        <v>153</v>
      </c>
      <c r="KJU114" s="363"/>
      <c r="KJV114" s="363"/>
      <c r="KJW114" s="364" t="s">
        <v>140</v>
      </c>
      <c r="KJX114" s="365">
        <v>0.5</v>
      </c>
      <c r="KJY114" s="366" t="e">
        <f>10/KJU112</f>
        <v>#DIV/0!</v>
      </c>
      <c r="KJZ114" s="367">
        <v>15.38</v>
      </c>
      <c r="KKA114" s="367" t="e">
        <f>KJX114*KJY114*KJZ114</f>
        <v>#DIV/0!</v>
      </c>
      <c r="KKB114" s="363" t="s">
        <v>153</v>
      </c>
      <c r="KKC114" s="363"/>
      <c r="KKD114" s="363"/>
      <c r="KKE114" s="364" t="s">
        <v>140</v>
      </c>
      <c r="KKF114" s="365">
        <v>0.5</v>
      </c>
      <c r="KKG114" s="366" t="e">
        <f>10/KKC112</f>
        <v>#DIV/0!</v>
      </c>
      <c r="KKH114" s="367">
        <v>15.38</v>
      </c>
      <c r="KKI114" s="367" t="e">
        <f>KKF114*KKG114*KKH114</f>
        <v>#DIV/0!</v>
      </c>
      <c r="KKJ114" s="363" t="s">
        <v>153</v>
      </c>
      <c r="KKK114" s="363"/>
      <c r="KKL114" s="363"/>
      <c r="KKM114" s="364" t="s">
        <v>140</v>
      </c>
      <c r="KKN114" s="365">
        <v>0.5</v>
      </c>
      <c r="KKO114" s="366" t="e">
        <f>10/KKK112</f>
        <v>#DIV/0!</v>
      </c>
      <c r="KKP114" s="367">
        <v>15.38</v>
      </c>
      <c r="KKQ114" s="367" t="e">
        <f>KKN114*KKO114*KKP114</f>
        <v>#DIV/0!</v>
      </c>
      <c r="KKR114" s="363" t="s">
        <v>153</v>
      </c>
      <c r="KKS114" s="363"/>
      <c r="KKT114" s="363"/>
      <c r="KKU114" s="364" t="s">
        <v>140</v>
      </c>
      <c r="KKV114" s="365">
        <v>0.5</v>
      </c>
      <c r="KKW114" s="366" t="e">
        <f>10/KKS112</f>
        <v>#DIV/0!</v>
      </c>
      <c r="KKX114" s="367">
        <v>15.38</v>
      </c>
      <c r="KKY114" s="367" t="e">
        <f>KKV114*KKW114*KKX114</f>
        <v>#DIV/0!</v>
      </c>
      <c r="KKZ114" s="363" t="s">
        <v>153</v>
      </c>
      <c r="KLA114" s="363"/>
      <c r="KLB114" s="363"/>
      <c r="KLC114" s="364" t="s">
        <v>140</v>
      </c>
      <c r="KLD114" s="365">
        <v>0.5</v>
      </c>
      <c r="KLE114" s="366" t="e">
        <f>10/KLA112</f>
        <v>#DIV/0!</v>
      </c>
      <c r="KLF114" s="367">
        <v>15.38</v>
      </c>
      <c r="KLG114" s="367" t="e">
        <f>KLD114*KLE114*KLF114</f>
        <v>#DIV/0!</v>
      </c>
      <c r="KLH114" s="363" t="s">
        <v>153</v>
      </c>
      <c r="KLI114" s="363"/>
      <c r="KLJ114" s="363"/>
      <c r="KLK114" s="364" t="s">
        <v>140</v>
      </c>
      <c r="KLL114" s="365">
        <v>0.5</v>
      </c>
      <c r="KLM114" s="366" t="e">
        <f>10/KLI112</f>
        <v>#DIV/0!</v>
      </c>
      <c r="KLN114" s="367">
        <v>15.38</v>
      </c>
      <c r="KLO114" s="367" t="e">
        <f>KLL114*KLM114*KLN114</f>
        <v>#DIV/0!</v>
      </c>
      <c r="KLP114" s="363" t="s">
        <v>153</v>
      </c>
      <c r="KLQ114" s="363"/>
      <c r="KLR114" s="363"/>
      <c r="KLS114" s="364" t="s">
        <v>140</v>
      </c>
      <c r="KLT114" s="365">
        <v>0.5</v>
      </c>
      <c r="KLU114" s="366" t="e">
        <f>10/KLQ112</f>
        <v>#DIV/0!</v>
      </c>
      <c r="KLV114" s="367">
        <v>15.38</v>
      </c>
      <c r="KLW114" s="367" t="e">
        <f>KLT114*KLU114*KLV114</f>
        <v>#DIV/0!</v>
      </c>
      <c r="KLX114" s="363" t="s">
        <v>153</v>
      </c>
      <c r="KLY114" s="363"/>
      <c r="KLZ114" s="363"/>
      <c r="KMA114" s="364" t="s">
        <v>140</v>
      </c>
      <c r="KMB114" s="365">
        <v>0.5</v>
      </c>
      <c r="KMC114" s="366" t="e">
        <f>10/KLY112</f>
        <v>#DIV/0!</v>
      </c>
      <c r="KMD114" s="367">
        <v>15.38</v>
      </c>
      <c r="KME114" s="367" t="e">
        <f>KMB114*KMC114*KMD114</f>
        <v>#DIV/0!</v>
      </c>
      <c r="KMF114" s="363" t="s">
        <v>153</v>
      </c>
      <c r="KMG114" s="363"/>
      <c r="KMH114" s="363"/>
      <c r="KMI114" s="364" t="s">
        <v>140</v>
      </c>
      <c r="KMJ114" s="365">
        <v>0.5</v>
      </c>
      <c r="KMK114" s="366" t="e">
        <f>10/KMG112</f>
        <v>#DIV/0!</v>
      </c>
      <c r="KML114" s="367">
        <v>15.38</v>
      </c>
      <c r="KMM114" s="367" t="e">
        <f>KMJ114*KMK114*KML114</f>
        <v>#DIV/0!</v>
      </c>
      <c r="KMN114" s="363" t="s">
        <v>153</v>
      </c>
      <c r="KMO114" s="363"/>
      <c r="KMP114" s="363"/>
      <c r="KMQ114" s="364" t="s">
        <v>140</v>
      </c>
      <c r="KMR114" s="365">
        <v>0.5</v>
      </c>
      <c r="KMS114" s="366" t="e">
        <f>10/KMO112</f>
        <v>#DIV/0!</v>
      </c>
      <c r="KMT114" s="367">
        <v>15.38</v>
      </c>
      <c r="KMU114" s="367" t="e">
        <f>KMR114*KMS114*KMT114</f>
        <v>#DIV/0!</v>
      </c>
      <c r="KMV114" s="363" t="s">
        <v>153</v>
      </c>
      <c r="KMW114" s="363"/>
      <c r="KMX114" s="363"/>
      <c r="KMY114" s="364" t="s">
        <v>140</v>
      </c>
      <c r="KMZ114" s="365">
        <v>0.5</v>
      </c>
      <c r="KNA114" s="366" t="e">
        <f>10/KMW112</f>
        <v>#DIV/0!</v>
      </c>
      <c r="KNB114" s="367">
        <v>15.38</v>
      </c>
      <c r="KNC114" s="367" t="e">
        <f>KMZ114*KNA114*KNB114</f>
        <v>#DIV/0!</v>
      </c>
      <c r="KND114" s="363" t="s">
        <v>153</v>
      </c>
      <c r="KNE114" s="363"/>
      <c r="KNF114" s="363"/>
      <c r="KNG114" s="364" t="s">
        <v>140</v>
      </c>
      <c r="KNH114" s="365">
        <v>0.5</v>
      </c>
      <c r="KNI114" s="366" t="e">
        <f>10/KNE112</f>
        <v>#DIV/0!</v>
      </c>
      <c r="KNJ114" s="367">
        <v>15.38</v>
      </c>
      <c r="KNK114" s="367" t="e">
        <f>KNH114*KNI114*KNJ114</f>
        <v>#DIV/0!</v>
      </c>
      <c r="KNL114" s="363" t="s">
        <v>153</v>
      </c>
      <c r="KNM114" s="363"/>
      <c r="KNN114" s="363"/>
      <c r="KNO114" s="364" t="s">
        <v>140</v>
      </c>
      <c r="KNP114" s="365">
        <v>0.5</v>
      </c>
      <c r="KNQ114" s="366" t="e">
        <f>10/KNM112</f>
        <v>#DIV/0!</v>
      </c>
      <c r="KNR114" s="367">
        <v>15.38</v>
      </c>
      <c r="KNS114" s="367" t="e">
        <f>KNP114*KNQ114*KNR114</f>
        <v>#DIV/0!</v>
      </c>
      <c r="KNT114" s="363" t="s">
        <v>153</v>
      </c>
      <c r="KNU114" s="363"/>
      <c r="KNV114" s="363"/>
      <c r="KNW114" s="364" t="s">
        <v>140</v>
      </c>
      <c r="KNX114" s="365">
        <v>0.5</v>
      </c>
      <c r="KNY114" s="366" t="e">
        <f>10/KNU112</f>
        <v>#DIV/0!</v>
      </c>
      <c r="KNZ114" s="367">
        <v>15.38</v>
      </c>
      <c r="KOA114" s="367" t="e">
        <f>KNX114*KNY114*KNZ114</f>
        <v>#DIV/0!</v>
      </c>
      <c r="KOB114" s="363" t="s">
        <v>153</v>
      </c>
      <c r="KOC114" s="363"/>
      <c r="KOD114" s="363"/>
      <c r="KOE114" s="364" t="s">
        <v>140</v>
      </c>
      <c r="KOF114" s="365">
        <v>0.5</v>
      </c>
      <c r="KOG114" s="366" t="e">
        <f>10/KOC112</f>
        <v>#DIV/0!</v>
      </c>
      <c r="KOH114" s="367">
        <v>15.38</v>
      </c>
      <c r="KOI114" s="367" t="e">
        <f>KOF114*KOG114*KOH114</f>
        <v>#DIV/0!</v>
      </c>
      <c r="KOJ114" s="363" t="s">
        <v>153</v>
      </c>
      <c r="KOK114" s="363"/>
      <c r="KOL114" s="363"/>
      <c r="KOM114" s="364" t="s">
        <v>140</v>
      </c>
      <c r="KON114" s="365">
        <v>0.5</v>
      </c>
      <c r="KOO114" s="366" t="e">
        <f>10/KOK112</f>
        <v>#DIV/0!</v>
      </c>
      <c r="KOP114" s="367">
        <v>15.38</v>
      </c>
      <c r="KOQ114" s="367" t="e">
        <f>KON114*KOO114*KOP114</f>
        <v>#DIV/0!</v>
      </c>
      <c r="KOR114" s="363" t="s">
        <v>153</v>
      </c>
      <c r="KOS114" s="363"/>
      <c r="KOT114" s="363"/>
      <c r="KOU114" s="364" t="s">
        <v>140</v>
      </c>
      <c r="KOV114" s="365">
        <v>0.5</v>
      </c>
      <c r="KOW114" s="366" t="e">
        <f>10/KOS112</f>
        <v>#DIV/0!</v>
      </c>
      <c r="KOX114" s="367">
        <v>15.38</v>
      </c>
      <c r="KOY114" s="367" t="e">
        <f>KOV114*KOW114*KOX114</f>
        <v>#DIV/0!</v>
      </c>
      <c r="KOZ114" s="363" t="s">
        <v>153</v>
      </c>
      <c r="KPA114" s="363"/>
      <c r="KPB114" s="363"/>
      <c r="KPC114" s="364" t="s">
        <v>140</v>
      </c>
      <c r="KPD114" s="365">
        <v>0.5</v>
      </c>
      <c r="KPE114" s="366" t="e">
        <f>10/KPA112</f>
        <v>#DIV/0!</v>
      </c>
      <c r="KPF114" s="367">
        <v>15.38</v>
      </c>
      <c r="KPG114" s="367" t="e">
        <f>KPD114*KPE114*KPF114</f>
        <v>#DIV/0!</v>
      </c>
      <c r="KPH114" s="363" t="s">
        <v>153</v>
      </c>
      <c r="KPI114" s="363"/>
      <c r="KPJ114" s="363"/>
      <c r="KPK114" s="364" t="s">
        <v>140</v>
      </c>
      <c r="KPL114" s="365">
        <v>0.5</v>
      </c>
      <c r="KPM114" s="366" t="e">
        <f>10/KPI112</f>
        <v>#DIV/0!</v>
      </c>
      <c r="KPN114" s="367">
        <v>15.38</v>
      </c>
      <c r="KPO114" s="367" t="e">
        <f>KPL114*KPM114*KPN114</f>
        <v>#DIV/0!</v>
      </c>
      <c r="KPP114" s="363" t="s">
        <v>153</v>
      </c>
      <c r="KPQ114" s="363"/>
      <c r="KPR114" s="363"/>
      <c r="KPS114" s="364" t="s">
        <v>140</v>
      </c>
      <c r="KPT114" s="365">
        <v>0.5</v>
      </c>
      <c r="KPU114" s="366" t="e">
        <f>10/KPQ112</f>
        <v>#DIV/0!</v>
      </c>
      <c r="KPV114" s="367">
        <v>15.38</v>
      </c>
      <c r="KPW114" s="367" t="e">
        <f>KPT114*KPU114*KPV114</f>
        <v>#DIV/0!</v>
      </c>
      <c r="KPX114" s="363" t="s">
        <v>153</v>
      </c>
      <c r="KPY114" s="363"/>
      <c r="KPZ114" s="363"/>
      <c r="KQA114" s="364" t="s">
        <v>140</v>
      </c>
      <c r="KQB114" s="365">
        <v>0.5</v>
      </c>
      <c r="KQC114" s="366" t="e">
        <f>10/KPY112</f>
        <v>#DIV/0!</v>
      </c>
      <c r="KQD114" s="367">
        <v>15.38</v>
      </c>
      <c r="KQE114" s="367" t="e">
        <f>KQB114*KQC114*KQD114</f>
        <v>#DIV/0!</v>
      </c>
      <c r="KQF114" s="363" t="s">
        <v>153</v>
      </c>
      <c r="KQG114" s="363"/>
      <c r="KQH114" s="363"/>
      <c r="KQI114" s="364" t="s">
        <v>140</v>
      </c>
      <c r="KQJ114" s="365">
        <v>0.5</v>
      </c>
      <c r="KQK114" s="366" t="e">
        <f>10/KQG112</f>
        <v>#DIV/0!</v>
      </c>
      <c r="KQL114" s="367">
        <v>15.38</v>
      </c>
      <c r="KQM114" s="367" t="e">
        <f>KQJ114*KQK114*KQL114</f>
        <v>#DIV/0!</v>
      </c>
      <c r="KQN114" s="363" t="s">
        <v>153</v>
      </c>
      <c r="KQO114" s="363"/>
      <c r="KQP114" s="363"/>
      <c r="KQQ114" s="364" t="s">
        <v>140</v>
      </c>
      <c r="KQR114" s="365">
        <v>0.5</v>
      </c>
      <c r="KQS114" s="366" t="e">
        <f>10/KQO112</f>
        <v>#DIV/0!</v>
      </c>
      <c r="KQT114" s="367">
        <v>15.38</v>
      </c>
      <c r="KQU114" s="367" t="e">
        <f>KQR114*KQS114*KQT114</f>
        <v>#DIV/0!</v>
      </c>
      <c r="KQV114" s="363" t="s">
        <v>153</v>
      </c>
      <c r="KQW114" s="363"/>
      <c r="KQX114" s="363"/>
      <c r="KQY114" s="364" t="s">
        <v>140</v>
      </c>
      <c r="KQZ114" s="365">
        <v>0.5</v>
      </c>
      <c r="KRA114" s="366" t="e">
        <f>10/KQW112</f>
        <v>#DIV/0!</v>
      </c>
      <c r="KRB114" s="367">
        <v>15.38</v>
      </c>
      <c r="KRC114" s="367" t="e">
        <f>KQZ114*KRA114*KRB114</f>
        <v>#DIV/0!</v>
      </c>
      <c r="KRD114" s="363" t="s">
        <v>153</v>
      </c>
      <c r="KRE114" s="363"/>
      <c r="KRF114" s="363"/>
      <c r="KRG114" s="364" t="s">
        <v>140</v>
      </c>
      <c r="KRH114" s="365">
        <v>0.5</v>
      </c>
      <c r="KRI114" s="366" t="e">
        <f>10/KRE112</f>
        <v>#DIV/0!</v>
      </c>
      <c r="KRJ114" s="367">
        <v>15.38</v>
      </c>
      <c r="KRK114" s="367" t="e">
        <f>KRH114*KRI114*KRJ114</f>
        <v>#DIV/0!</v>
      </c>
      <c r="KRL114" s="363" t="s">
        <v>153</v>
      </c>
      <c r="KRM114" s="363"/>
      <c r="KRN114" s="363"/>
      <c r="KRO114" s="364" t="s">
        <v>140</v>
      </c>
      <c r="KRP114" s="365">
        <v>0.5</v>
      </c>
      <c r="KRQ114" s="366" t="e">
        <f>10/KRM112</f>
        <v>#DIV/0!</v>
      </c>
      <c r="KRR114" s="367">
        <v>15.38</v>
      </c>
      <c r="KRS114" s="367" t="e">
        <f>KRP114*KRQ114*KRR114</f>
        <v>#DIV/0!</v>
      </c>
      <c r="KRT114" s="363" t="s">
        <v>153</v>
      </c>
      <c r="KRU114" s="363"/>
      <c r="KRV114" s="363"/>
      <c r="KRW114" s="364" t="s">
        <v>140</v>
      </c>
      <c r="KRX114" s="365">
        <v>0.5</v>
      </c>
      <c r="KRY114" s="366" t="e">
        <f>10/KRU112</f>
        <v>#DIV/0!</v>
      </c>
      <c r="KRZ114" s="367">
        <v>15.38</v>
      </c>
      <c r="KSA114" s="367" t="e">
        <f>KRX114*KRY114*KRZ114</f>
        <v>#DIV/0!</v>
      </c>
      <c r="KSB114" s="363" t="s">
        <v>153</v>
      </c>
      <c r="KSC114" s="363"/>
      <c r="KSD114" s="363"/>
      <c r="KSE114" s="364" t="s">
        <v>140</v>
      </c>
      <c r="KSF114" s="365">
        <v>0.5</v>
      </c>
      <c r="KSG114" s="366" t="e">
        <f>10/KSC112</f>
        <v>#DIV/0!</v>
      </c>
      <c r="KSH114" s="367">
        <v>15.38</v>
      </c>
      <c r="KSI114" s="367" t="e">
        <f>KSF114*KSG114*KSH114</f>
        <v>#DIV/0!</v>
      </c>
      <c r="KSJ114" s="363" t="s">
        <v>153</v>
      </c>
      <c r="KSK114" s="363"/>
      <c r="KSL114" s="363"/>
      <c r="KSM114" s="364" t="s">
        <v>140</v>
      </c>
      <c r="KSN114" s="365">
        <v>0.5</v>
      </c>
      <c r="KSO114" s="366" t="e">
        <f>10/KSK112</f>
        <v>#DIV/0!</v>
      </c>
      <c r="KSP114" s="367">
        <v>15.38</v>
      </c>
      <c r="KSQ114" s="367" t="e">
        <f>KSN114*KSO114*KSP114</f>
        <v>#DIV/0!</v>
      </c>
      <c r="KSR114" s="363" t="s">
        <v>153</v>
      </c>
      <c r="KSS114" s="363"/>
      <c r="KST114" s="363"/>
      <c r="KSU114" s="364" t="s">
        <v>140</v>
      </c>
      <c r="KSV114" s="365">
        <v>0.5</v>
      </c>
      <c r="KSW114" s="366" t="e">
        <f>10/KSS112</f>
        <v>#DIV/0!</v>
      </c>
      <c r="KSX114" s="367">
        <v>15.38</v>
      </c>
      <c r="KSY114" s="367" t="e">
        <f>KSV114*KSW114*KSX114</f>
        <v>#DIV/0!</v>
      </c>
      <c r="KSZ114" s="363" t="s">
        <v>153</v>
      </c>
      <c r="KTA114" s="363"/>
      <c r="KTB114" s="363"/>
      <c r="KTC114" s="364" t="s">
        <v>140</v>
      </c>
      <c r="KTD114" s="365">
        <v>0.5</v>
      </c>
      <c r="KTE114" s="366" t="e">
        <f>10/KTA112</f>
        <v>#DIV/0!</v>
      </c>
      <c r="KTF114" s="367">
        <v>15.38</v>
      </c>
      <c r="KTG114" s="367" t="e">
        <f>KTD114*KTE114*KTF114</f>
        <v>#DIV/0!</v>
      </c>
      <c r="KTH114" s="363" t="s">
        <v>153</v>
      </c>
      <c r="KTI114" s="363"/>
      <c r="KTJ114" s="363"/>
      <c r="KTK114" s="364" t="s">
        <v>140</v>
      </c>
      <c r="KTL114" s="365">
        <v>0.5</v>
      </c>
      <c r="KTM114" s="366" t="e">
        <f>10/KTI112</f>
        <v>#DIV/0!</v>
      </c>
      <c r="KTN114" s="367">
        <v>15.38</v>
      </c>
      <c r="KTO114" s="367" t="e">
        <f>KTL114*KTM114*KTN114</f>
        <v>#DIV/0!</v>
      </c>
      <c r="KTP114" s="363" t="s">
        <v>153</v>
      </c>
      <c r="KTQ114" s="363"/>
      <c r="KTR114" s="363"/>
      <c r="KTS114" s="364" t="s">
        <v>140</v>
      </c>
      <c r="KTT114" s="365">
        <v>0.5</v>
      </c>
      <c r="KTU114" s="366" t="e">
        <f>10/KTQ112</f>
        <v>#DIV/0!</v>
      </c>
      <c r="KTV114" s="367">
        <v>15.38</v>
      </c>
      <c r="KTW114" s="367" t="e">
        <f>KTT114*KTU114*KTV114</f>
        <v>#DIV/0!</v>
      </c>
      <c r="KTX114" s="363" t="s">
        <v>153</v>
      </c>
      <c r="KTY114" s="363"/>
      <c r="KTZ114" s="363"/>
      <c r="KUA114" s="364" t="s">
        <v>140</v>
      </c>
      <c r="KUB114" s="365">
        <v>0.5</v>
      </c>
      <c r="KUC114" s="366" t="e">
        <f>10/KTY112</f>
        <v>#DIV/0!</v>
      </c>
      <c r="KUD114" s="367">
        <v>15.38</v>
      </c>
      <c r="KUE114" s="367" t="e">
        <f>KUB114*KUC114*KUD114</f>
        <v>#DIV/0!</v>
      </c>
      <c r="KUF114" s="363" t="s">
        <v>153</v>
      </c>
      <c r="KUG114" s="363"/>
      <c r="KUH114" s="363"/>
      <c r="KUI114" s="364" t="s">
        <v>140</v>
      </c>
      <c r="KUJ114" s="365">
        <v>0.5</v>
      </c>
      <c r="KUK114" s="366" t="e">
        <f>10/KUG112</f>
        <v>#DIV/0!</v>
      </c>
      <c r="KUL114" s="367">
        <v>15.38</v>
      </c>
      <c r="KUM114" s="367" t="e">
        <f>KUJ114*KUK114*KUL114</f>
        <v>#DIV/0!</v>
      </c>
      <c r="KUN114" s="363" t="s">
        <v>153</v>
      </c>
      <c r="KUO114" s="363"/>
      <c r="KUP114" s="363"/>
      <c r="KUQ114" s="364" t="s">
        <v>140</v>
      </c>
      <c r="KUR114" s="365">
        <v>0.5</v>
      </c>
      <c r="KUS114" s="366" t="e">
        <f>10/KUO112</f>
        <v>#DIV/0!</v>
      </c>
      <c r="KUT114" s="367">
        <v>15.38</v>
      </c>
      <c r="KUU114" s="367" t="e">
        <f>KUR114*KUS114*KUT114</f>
        <v>#DIV/0!</v>
      </c>
      <c r="KUV114" s="363" t="s">
        <v>153</v>
      </c>
      <c r="KUW114" s="363"/>
      <c r="KUX114" s="363"/>
      <c r="KUY114" s="364" t="s">
        <v>140</v>
      </c>
      <c r="KUZ114" s="365">
        <v>0.5</v>
      </c>
      <c r="KVA114" s="366" t="e">
        <f>10/KUW112</f>
        <v>#DIV/0!</v>
      </c>
      <c r="KVB114" s="367">
        <v>15.38</v>
      </c>
      <c r="KVC114" s="367" t="e">
        <f>KUZ114*KVA114*KVB114</f>
        <v>#DIV/0!</v>
      </c>
      <c r="KVD114" s="363" t="s">
        <v>153</v>
      </c>
      <c r="KVE114" s="363"/>
      <c r="KVF114" s="363"/>
      <c r="KVG114" s="364" t="s">
        <v>140</v>
      </c>
      <c r="KVH114" s="365">
        <v>0.5</v>
      </c>
      <c r="KVI114" s="366" t="e">
        <f>10/KVE112</f>
        <v>#DIV/0!</v>
      </c>
      <c r="KVJ114" s="367">
        <v>15.38</v>
      </c>
      <c r="KVK114" s="367" t="e">
        <f>KVH114*KVI114*KVJ114</f>
        <v>#DIV/0!</v>
      </c>
      <c r="KVL114" s="363" t="s">
        <v>153</v>
      </c>
      <c r="KVM114" s="363"/>
      <c r="KVN114" s="363"/>
      <c r="KVO114" s="364" t="s">
        <v>140</v>
      </c>
      <c r="KVP114" s="365">
        <v>0.5</v>
      </c>
      <c r="KVQ114" s="366" t="e">
        <f>10/KVM112</f>
        <v>#DIV/0!</v>
      </c>
      <c r="KVR114" s="367">
        <v>15.38</v>
      </c>
      <c r="KVS114" s="367" t="e">
        <f>KVP114*KVQ114*KVR114</f>
        <v>#DIV/0!</v>
      </c>
      <c r="KVT114" s="363" t="s">
        <v>153</v>
      </c>
      <c r="KVU114" s="363"/>
      <c r="KVV114" s="363"/>
      <c r="KVW114" s="364" t="s">
        <v>140</v>
      </c>
      <c r="KVX114" s="365">
        <v>0.5</v>
      </c>
      <c r="KVY114" s="366" t="e">
        <f>10/KVU112</f>
        <v>#DIV/0!</v>
      </c>
      <c r="KVZ114" s="367">
        <v>15.38</v>
      </c>
      <c r="KWA114" s="367" t="e">
        <f>KVX114*KVY114*KVZ114</f>
        <v>#DIV/0!</v>
      </c>
      <c r="KWB114" s="363" t="s">
        <v>153</v>
      </c>
      <c r="KWC114" s="363"/>
      <c r="KWD114" s="363"/>
      <c r="KWE114" s="364" t="s">
        <v>140</v>
      </c>
      <c r="KWF114" s="365">
        <v>0.5</v>
      </c>
      <c r="KWG114" s="366" t="e">
        <f>10/KWC112</f>
        <v>#DIV/0!</v>
      </c>
      <c r="KWH114" s="367">
        <v>15.38</v>
      </c>
      <c r="KWI114" s="367" t="e">
        <f>KWF114*KWG114*KWH114</f>
        <v>#DIV/0!</v>
      </c>
      <c r="KWJ114" s="363" t="s">
        <v>153</v>
      </c>
      <c r="KWK114" s="363"/>
      <c r="KWL114" s="363"/>
      <c r="KWM114" s="364" t="s">
        <v>140</v>
      </c>
      <c r="KWN114" s="365">
        <v>0.5</v>
      </c>
      <c r="KWO114" s="366" t="e">
        <f>10/KWK112</f>
        <v>#DIV/0!</v>
      </c>
      <c r="KWP114" s="367">
        <v>15.38</v>
      </c>
      <c r="KWQ114" s="367" t="e">
        <f>KWN114*KWO114*KWP114</f>
        <v>#DIV/0!</v>
      </c>
      <c r="KWR114" s="363" t="s">
        <v>153</v>
      </c>
      <c r="KWS114" s="363"/>
      <c r="KWT114" s="363"/>
      <c r="KWU114" s="364" t="s">
        <v>140</v>
      </c>
      <c r="KWV114" s="365">
        <v>0.5</v>
      </c>
      <c r="KWW114" s="366" t="e">
        <f>10/KWS112</f>
        <v>#DIV/0!</v>
      </c>
      <c r="KWX114" s="367">
        <v>15.38</v>
      </c>
      <c r="KWY114" s="367" t="e">
        <f>KWV114*KWW114*KWX114</f>
        <v>#DIV/0!</v>
      </c>
      <c r="KWZ114" s="363" t="s">
        <v>153</v>
      </c>
      <c r="KXA114" s="363"/>
      <c r="KXB114" s="363"/>
      <c r="KXC114" s="364" t="s">
        <v>140</v>
      </c>
      <c r="KXD114" s="365">
        <v>0.5</v>
      </c>
      <c r="KXE114" s="366" t="e">
        <f>10/KXA112</f>
        <v>#DIV/0!</v>
      </c>
      <c r="KXF114" s="367">
        <v>15.38</v>
      </c>
      <c r="KXG114" s="367" t="e">
        <f>KXD114*KXE114*KXF114</f>
        <v>#DIV/0!</v>
      </c>
      <c r="KXH114" s="363" t="s">
        <v>153</v>
      </c>
      <c r="KXI114" s="363"/>
      <c r="KXJ114" s="363"/>
      <c r="KXK114" s="364" t="s">
        <v>140</v>
      </c>
      <c r="KXL114" s="365">
        <v>0.5</v>
      </c>
      <c r="KXM114" s="366" t="e">
        <f>10/KXI112</f>
        <v>#DIV/0!</v>
      </c>
      <c r="KXN114" s="367">
        <v>15.38</v>
      </c>
      <c r="KXO114" s="367" t="e">
        <f>KXL114*KXM114*KXN114</f>
        <v>#DIV/0!</v>
      </c>
      <c r="KXP114" s="363" t="s">
        <v>153</v>
      </c>
      <c r="KXQ114" s="363"/>
      <c r="KXR114" s="363"/>
      <c r="KXS114" s="364" t="s">
        <v>140</v>
      </c>
      <c r="KXT114" s="365">
        <v>0.5</v>
      </c>
      <c r="KXU114" s="366" t="e">
        <f>10/KXQ112</f>
        <v>#DIV/0!</v>
      </c>
      <c r="KXV114" s="367">
        <v>15.38</v>
      </c>
      <c r="KXW114" s="367" t="e">
        <f>KXT114*KXU114*KXV114</f>
        <v>#DIV/0!</v>
      </c>
      <c r="KXX114" s="363" t="s">
        <v>153</v>
      </c>
      <c r="KXY114" s="363"/>
      <c r="KXZ114" s="363"/>
      <c r="KYA114" s="364" t="s">
        <v>140</v>
      </c>
      <c r="KYB114" s="365">
        <v>0.5</v>
      </c>
      <c r="KYC114" s="366" t="e">
        <f>10/KXY112</f>
        <v>#DIV/0!</v>
      </c>
      <c r="KYD114" s="367">
        <v>15.38</v>
      </c>
      <c r="KYE114" s="367" t="e">
        <f>KYB114*KYC114*KYD114</f>
        <v>#DIV/0!</v>
      </c>
      <c r="KYF114" s="363" t="s">
        <v>153</v>
      </c>
      <c r="KYG114" s="363"/>
      <c r="KYH114" s="363"/>
      <c r="KYI114" s="364" t="s">
        <v>140</v>
      </c>
      <c r="KYJ114" s="365">
        <v>0.5</v>
      </c>
      <c r="KYK114" s="366" t="e">
        <f>10/KYG112</f>
        <v>#DIV/0!</v>
      </c>
      <c r="KYL114" s="367">
        <v>15.38</v>
      </c>
      <c r="KYM114" s="367" t="e">
        <f>KYJ114*KYK114*KYL114</f>
        <v>#DIV/0!</v>
      </c>
      <c r="KYN114" s="363" t="s">
        <v>153</v>
      </c>
      <c r="KYO114" s="363"/>
      <c r="KYP114" s="363"/>
      <c r="KYQ114" s="364" t="s">
        <v>140</v>
      </c>
      <c r="KYR114" s="365">
        <v>0.5</v>
      </c>
      <c r="KYS114" s="366" t="e">
        <f>10/KYO112</f>
        <v>#DIV/0!</v>
      </c>
      <c r="KYT114" s="367">
        <v>15.38</v>
      </c>
      <c r="KYU114" s="367" t="e">
        <f>KYR114*KYS114*KYT114</f>
        <v>#DIV/0!</v>
      </c>
      <c r="KYV114" s="363" t="s">
        <v>153</v>
      </c>
      <c r="KYW114" s="363"/>
      <c r="KYX114" s="363"/>
      <c r="KYY114" s="364" t="s">
        <v>140</v>
      </c>
      <c r="KYZ114" s="365">
        <v>0.5</v>
      </c>
      <c r="KZA114" s="366" t="e">
        <f>10/KYW112</f>
        <v>#DIV/0!</v>
      </c>
      <c r="KZB114" s="367">
        <v>15.38</v>
      </c>
      <c r="KZC114" s="367" t="e">
        <f>KYZ114*KZA114*KZB114</f>
        <v>#DIV/0!</v>
      </c>
      <c r="KZD114" s="363" t="s">
        <v>153</v>
      </c>
      <c r="KZE114" s="363"/>
      <c r="KZF114" s="363"/>
      <c r="KZG114" s="364" t="s">
        <v>140</v>
      </c>
      <c r="KZH114" s="365">
        <v>0.5</v>
      </c>
      <c r="KZI114" s="366" t="e">
        <f>10/KZE112</f>
        <v>#DIV/0!</v>
      </c>
      <c r="KZJ114" s="367">
        <v>15.38</v>
      </c>
      <c r="KZK114" s="367" t="e">
        <f>KZH114*KZI114*KZJ114</f>
        <v>#DIV/0!</v>
      </c>
      <c r="KZL114" s="363" t="s">
        <v>153</v>
      </c>
      <c r="KZM114" s="363"/>
      <c r="KZN114" s="363"/>
      <c r="KZO114" s="364" t="s">
        <v>140</v>
      </c>
      <c r="KZP114" s="365">
        <v>0.5</v>
      </c>
      <c r="KZQ114" s="366" t="e">
        <f>10/KZM112</f>
        <v>#DIV/0!</v>
      </c>
      <c r="KZR114" s="367">
        <v>15.38</v>
      </c>
      <c r="KZS114" s="367" t="e">
        <f>KZP114*KZQ114*KZR114</f>
        <v>#DIV/0!</v>
      </c>
      <c r="KZT114" s="363" t="s">
        <v>153</v>
      </c>
      <c r="KZU114" s="363"/>
      <c r="KZV114" s="363"/>
      <c r="KZW114" s="364" t="s">
        <v>140</v>
      </c>
      <c r="KZX114" s="365">
        <v>0.5</v>
      </c>
      <c r="KZY114" s="366" t="e">
        <f>10/KZU112</f>
        <v>#DIV/0!</v>
      </c>
      <c r="KZZ114" s="367">
        <v>15.38</v>
      </c>
      <c r="LAA114" s="367" t="e">
        <f>KZX114*KZY114*KZZ114</f>
        <v>#DIV/0!</v>
      </c>
      <c r="LAB114" s="363" t="s">
        <v>153</v>
      </c>
      <c r="LAC114" s="363"/>
      <c r="LAD114" s="363"/>
      <c r="LAE114" s="364" t="s">
        <v>140</v>
      </c>
      <c r="LAF114" s="365">
        <v>0.5</v>
      </c>
      <c r="LAG114" s="366" t="e">
        <f>10/LAC112</f>
        <v>#DIV/0!</v>
      </c>
      <c r="LAH114" s="367">
        <v>15.38</v>
      </c>
      <c r="LAI114" s="367" t="e">
        <f>LAF114*LAG114*LAH114</f>
        <v>#DIV/0!</v>
      </c>
      <c r="LAJ114" s="363" t="s">
        <v>153</v>
      </c>
      <c r="LAK114" s="363"/>
      <c r="LAL114" s="363"/>
      <c r="LAM114" s="364" t="s">
        <v>140</v>
      </c>
      <c r="LAN114" s="365">
        <v>0.5</v>
      </c>
      <c r="LAO114" s="366" t="e">
        <f>10/LAK112</f>
        <v>#DIV/0!</v>
      </c>
      <c r="LAP114" s="367">
        <v>15.38</v>
      </c>
      <c r="LAQ114" s="367" t="e">
        <f>LAN114*LAO114*LAP114</f>
        <v>#DIV/0!</v>
      </c>
      <c r="LAR114" s="363" t="s">
        <v>153</v>
      </c>
      <c r="LAS114" s="363"/>
      <c r="LAT114" s="363"/>
      <c r="LAU114" s="364" t="s">
        <v>140</v>
      </c>
      <c r="LAV114" s="365">
        <v>0.5</v>
      </c>
      <c r="LAW114" s="366" t="e">
        <f>10/LAS112</f>
        <v>#DIV/0!</v>
      </c>
      <c r="LAX114" s="367">
        <v>15.38</v>
      </c>
      <c r="LAY114" s="367" t="e">
        <f>LAV114*LAW114*LAX114</f>
        <v>#DIV/0!</v>
      </c>
      <c r="LAZ114" s="363" t="s">
        <v>153</v>
      </c>
      <c r="LBA114" s="363"/>
      <c r="LBB114" s="363"/>
      <c r="LBC114" s="364" t="s">
        <v>140</v>
      </c>
      <c r="LBD114" s="365">
        <v>0.5</v>
      </c>
      <c r="LBE114" s="366" t="e">
        <f>10/LBA112</f>
        <v>#DIV/0!</v>
      </c>
      <c r="LBF114" s="367">
        <v>15.38</v>
      </c>
      <c r="LBG114" s="367" t="e">
        <f>LBD114*LBE114*LBF114</f>
        <v>#DIV/0!</v>
      </c>
      <c r="LBH114" s="363" t="s">
        <v>153</v>
      </c>
      <c r="LBI114" s="363"/>
      <c r="LBJ114" s="363"/>
      <c r="LBK114" s="364" t="s">
        <v>140</v>
      </c>
      <c r="LBL114" s="365">
        <v>0.5</v>
      </c>
      <c r="LBM114" s="366" t="e">
        <f>10/LBI112</f>
        <v>#DIV/0!</v>
      </c>
      <c r="LBN114" s="367">
        <v>15.38</v>
      </c>
      <c r="LBO114" s="367" t="e">
        <f>LBL114*LBM114*LBN114</f>
        <v>#DIV/0!</v>
      </c>
      <c r="LBP114" s="363" t="s">
        <v>153</v>
      </c>
      <c r="LBQ114" s="363"/>
      <c r="LBR114" s="363"/>
      <c r="LBS114" s="364" t="s">
        <v>140</v>
      </c>
      <c r="LBT114" s="365">
        <v>0.5</v>
      </c>
      <c r="LBU114" s="366" t="e">
        <f>10/LBQ112</f>
        <v>#DIV/0!</v>
      </c>
      <c r="LBV114" s="367">
        <v>15.38</v>
      </c>
      <c r="LBW114" s="367" t="e">
        <f>LBT114*LBU114*LBV114</f>
        <v>#DIV/0!</v>
      </c>
      <c r="LBX114" s="363" t="s">
        <v>153</v>
      </c>
      <c r="LBY114" s="363"/>
      <c r="LBZ114" s="363"/>
      <c r="LCA114" s="364" t="s">
        <v>140</v>
      </c>
      <c r="LCB114" s="365">
        <v>0.5</v>
      </c>
      <c r="LCC114" s="366" t="e">
        <f>10/LBY112</f>
        <v>#DIV/0!</v>
      </c>
      <c r="LCD114" s="367">
        <v>15.38</v>
      </c>
      <c r="LCE114" s="367" t="e">
        <f>LCB114*LCC114*LCD114</f>
        <v>#DIV/0!</v>
      </c>
      <c r="LCF114" s="363" t="s">
        <v>153</v>
      </c>
      <c r="LCG114" s="363"/>
      <c r="LCH114" s="363"/>
      <c r="LCI114" s="364" t="s">
        <v>140</v>
      </c>
      <c r="LCJ114" s="365">
        <v>0.5</v>
      </c>
      <c r="LCK114" s="366" t="e">
        <f>10/LCG112</f>
        <v>#DIV/0!</v>
      </c>
      <c r="LCL114" s="367">
        <v>15.38</v>
      </c>
      <c r="LCM114" s="367" t="e">
        <f>LCJ114*LCK114*LCL114</f>
        <v>#DIV/0!</v>
      </c>
      <c r="LCN114" s="363" t="s">
        <v>153</v>
      </c>
      <c r="LCO114" s="363"/>
      <c r="LCP114" s="363"/>
      <c r="LCQ114" s="364" t="s">
        <v>140</v>
      </c>
      <c r="LCR114" s="365">
        <v>0.5</v>
      </c>
      <c r="LCS114" s="366" t="e">
        <f>10/LCO112</f>
        <v>#DIV/0!</v>
      </c>
      <c r="LCT114" s="367">
        <v>15.38</v>
      </c>
      <c r="LCU114" s="367" t="e">
        <f>LCR114*LCS114*LCT114</f>
        <v>#DIV/0!</v>
      </c>
      <c r="LCV114" s="363" t="s">
        <v>153</v>
      </c>
      <c r="LCW114" s="363"/>
      <c r="LCX114" s="363"/>
      <c r="LCY114" s="364" t="s">
        <v>140</v>
      </c>
      <c r="LCZ114" s="365">
        <v>0.5</v>
      </c>
      <c r="LDA114" s="366" t="e">
        <f>10/LCW112</f>
        <v>#DIV/0!</v>
      </c>
      <c r="LDB114" s="367">
        <v>15.38</v>
      </c>
      <c r="LDC114" s="367" t="e">
        <f>LCZ114*LDA114*LDB114</f>
        <v>#DIV/0!</v>
      </c>
      <c r="LDD114" s="363" t="s">
        <v>153</v>
      </c>
      <c r="LDE114" s="363"/>
      <c r="LDF114" s="363"/>
      <c r="LDG114" s="364" t="s">
        <v>140</v>
      </c>
      <c r="LDH114" s="365">
        <v>0.5</v>
      </c>
      <c r="LDI114" s="366" t="e">
        <f>10/LDE112</f>
        <v>#DIV/0!</v>
      </c>
      <c r="LDJ114" s="367">
        <v>15.38</v>
      </c>
      <c r="LDK114" s="367" t="e">
        <f>LDH114*LDI114*LDJ114</f>
        <v>#DIV/0!</v>
      </c>
      <c r="LDL114" s="363" t="s">
        <v>153</v>
      </c>
      <c r="LDM114" s="363"/>
      <c r="LDN114" s="363"/>
      <c r="LDO114" s="364" t="s">
        <v>140</v>
      </c>
      <c r="LDP114" s="365">
        <v>0.5</v>
      </c>
      <c r="LDQ114" s="366" t="e">
        <f>10/LDM112</f>
        <v>#DIV/0!</v>
      </c>
      <c r="LDR114" s="367">
        <v>15.38</v>
      </c>
      <c r="LDS114" s="367" t="e">
        <f>LDP114*LDQ114*LDR114</f>
        <v>#DIV/0!</v>
      </c>
      <c r="LDT114" s="363" t="s">
        <v>153</v>
      </c>
      <c r="LDU114" s="363"/>
      <c r="LDV114" s="363"/>
      <c r="LDW114" s="364" t="s">
        <v>140</v>
      </c>
      <c r="LDX114" s="365">
        <v>0.5</v>
      </c>
      <c r="LDY114" s="366" t="e">
        <f>10/LDU112</f>
        <v>#DIV/0!</v>
      </c>
      <c r="LDZ114" s="367">
        <v>15.38</v>
      </c>
      <c r="LEA114" s="367" t="e">
        <f>LDX114*LDY114*LDZ114</f>
        <v>#DIV/0!</v>
      </c>
      <c r="LEB114" s="363" t="s">
        <v>153</v>
      </c>
      <c r="LEC114" s="363"/>
      <c r="LED114" s="363"/>
      <c r="LEE114" s="364" t="s">
        <v>140</v>
      </c>
      <c r="LEF114" s="365">
        <v>0.5</v>
      </c>
      <c r="LEG114" s="366" t="e">
        <f>10/LEC112</f>
        <v>#DIV/0!</v>
      </c>
      <c r="LEH114" s="367">
        <v>15.38</v>
      </c>
      <c r="LEI114" s="367" t="e">
        <f>LEF114*LEG114*LEH114</f>
        <v>#DIV/0!</v>
      </c>
      <c r="LEJ114" s="363" t="s">
        <v>153</v>
      </c>
      <c r="LEK114" s="363"/>
      <c r="LEL114" s="363"/>
      <c r="LEM114" s="364" t="s">
        <v>140</v>
      </c>
      <c r="LEN114" s="365">
        <v>0.5</v>
      </c>
      <c r="LEO114" s="366" t="e">
        <f>10/LEK112</f>
        <v>#DIV/0!</v>
      </c>
      <c r="LEP114" s="367">
        <v>15.38</v>
      </c>
      <c r="LEQ114" s="367" t="e">
        <f>LEN114*LEO114*LEP114</f>
        <v>#DIV/0!</v>
      </c>
      <c r="LER114" s="363" t="s">
        <v>153</v>
      </c>
      <c r="LES114" s="363"/>
      <c r="LET114" s="363"/>
      <c r="LEU114" s="364" t="s">
        <v>140</v>
      </c>
      <c r="LEV114" s="365">
        <v>0.5</v>
      </c>
      <c r="LEW114" s="366" t="e">
        <f>10/LES112</f>
        <v>#DIV/0!</v>
      </c>
      <c r="LEX114" s="367">
        <v>15.38</v>
      </c>
      <c r="LEY114" s="367" t="e">
        <f>LEV114*LEW114*LEX114</f>
        <v>#DIV/0!</v>
      </c>
      <c r="LEZ114" s="363" t="s">
        <v>153</v>
      </c>
      <c r="LFA114" s="363"/>
      <c r="LFB114" s="363"/>
      <c r="LFC114" s="364" t="s">
        <v>140</v>
      </c>
      <c r="LFD114" s="365">
        <v>0.5</v>
      </c>
      <c r="LFE114" s="366" t="e">
        <f>10/LFA112</f>
        <v>#DIV/0!</v>
      </c>
      <c r="LFF114" s="367">
        <v>15.38</v>
      </c>
      <c r="LFG114" s="367" t="e">
        <f>LFD114*LFE114*LFF114</f>
        <v>#DIV/0!</v>
      </c>
      <c r="LFH114" s="363" t="s">
        <v>153</v>
      </c>
      <c r="LFI114" s="363"/>
      <c r="LFJ114" s="363"/>
      <c r="LFK114" s="364" t="s">
        <v>140</v>
      </c>
      <c r="LFL114" s="365">
        <v>0.5</v>
      </c>
      <c r="LFM114" s="366" t="e">
        <f>10/LFI112</f>
        <v>#DIV/0!</v>
      </c>
      <c r="LFN114" s="367">
        <v>15.38</v>
      </c>
      <c r="LFO114" s="367" t="e">
        <f>LFL114*LFM114*LFN114</f>
        <v>#DIV/0!</v>
      </c>
      <c r="LFP114" s="363" t="s">
        <v>153</v>
      </c>
      <c r="LFQ114" s="363"/>
      <c r="LFR114" s="363"/>
      <c r="LFS114" s="364" t="s">
        <v>140</v>
      </c>
      <c r="LFT114" s="365">
        <v>0.5</v>
      </c>
      <c r="LFU114" s="366" t="e">
        <f>10/LFQ112</f>
        <v>#DIV/0!</v>
      </c>
      <c r="LFV114" s="367">
        <v>15.38</v>
      </c>
      <c r="LFW114" s="367" t="e">
        <f>LFT114*LFU114*LFV114</f>
        <v>#DIV/0!</v>
      </c>
      <c r="LFX114" s="363" t="s">
        <v>153</v>
      </c>
      <c r="LFY114" s="363"/>
      <c r="LFZ114" s="363"/>
      <c r="LGA114" s="364" t="s">
        <v>140</v>
      </c>
      <c r="LGB114" s="365">
        <v>0.5</v>
      </c>
      <c r="LGC114" s="366" t="e">
        <f>10/LFY112</f>
        <v>#DIV/0!</v>
      </c>
      <c r="LGD114" s="367">
        <v>15.38</v>
      </c>
      <c r="LGE114" s="367" t="e">
        <f>LGB114*LGC114*LGD114</f>
        <v>#DIV/0!</v>
      </c>
      <c r="LGF114" s="363" t="s">
        <v>153</v>
      </c>
      <c r="LGG114" s="363"/>
      <c r="LGH114" s="363"/>
      <c r="LGI114" s="364" t="s">
        <v>140</v>
      </c>
      <c r="LGJ114" s="365">
        <v>0.5</v>
      </c>
      <c r="LGK114" s="366" t="e">
        <f>10/LGG112</f>
        <v>#DIV/0!</v>
      </c>
      <c r="LGL114" s="367">
        <v>15.38</v>
      </c>
      <c r="LGM114" s="367" t="e">
        <f>LGJ114*LGK114*LGL114</f>
        <v>#DIV/0!</v>
      </c>
      <c r="LGN114" s="363" t="s">
        <v>153</v>
      </c>
      <c r="LGO114" s="363"/>
      <c r="LGP114" s="363"/>
      <c r="LGQ114" s="364" t="s">
        <v>140</v>
      </c>
      <c r="LGR114" s="365">
        <v>0.5</v>
      </c>
      <c r="LGS114" s="366" t="e">
        <f>10/LGO112</f>
        <v>#DIV/0!</v>
      </c>
      <c r="LGT114" s="367">
        <v>15.38</v>
      </c>
      <c r="LGU114" s="367" t="e">
        <f>LGR114*LGS114*LGT114</f>
        <v>#DIV/0!</v>
      </c>
      <c r="LGV114" s="363" t="s">
        <v>153</v>
      </c>
      <c r="LGW114" s="363"/>
      <c r="LGX114" s="363"/>
      <c r="LGY114" s="364" t="s">
        <v>140</v>
      </c>
      <c r="LGZ114" s="365">
        <v>0.5</v>
      </c>
      <c r="LHA114" s="366" t="e">
        <f>10/LGW112</f>
        <v>#DIV/0!</v>
      </c>
      <c r="LHB114" s="367">
        <v>15.38</v>
      </c>
      <c r="LHC114" s="367" t="e">
        <f>LGZ114*LHA114*LHB114</f>
        <v>#DIV/0!</v>
      </c>
      <c r="LHD114" s="363" t="s">
        <v>153</v>
      </c>
      <c r="LHE114" s="363"/>
      <c r="LHF114" s="363"/>
      <c r="LHG114" s="364" t="s">
        <v>140</v>
      </c>
      <c r="LHH114" s="365">
        <v>0.5</v>
      </c>
      <c r="LHI114" s="366" t="e">
        <f>10/LHE112</f>
        <v>#DIV/0!</v>
      </c>
      <c r="LHJ114" s="367">
        <v>15.38</v>
      </c>
      <c r="LHK114" s="367" t="e">
        <f>LHH114*LHI114*LHJ114</f>
        <v>#DIV/0!</v>
      </c>
      <c r="LHL114" s="363" t="s">
        <v>153</v>
      </c>
      <c r="LHM114" s="363"/>
      <c r="LHN114" s="363"/>
      <c r="LHO114" s="364" t="s">
        <v>140</v>
      </c>
      <c r="LHP114" s="365">
        <v>0.5</v>
      </c>
      <c r="LHQ114" s="366" t="e">
        <f>10/LHM112</f>
        <v>#DIV/0!</v>
      </c>
      <c r="LHR114" s="367">
        <v>15.38</v>
      </c>
      <c r="LHS114" s="367" t="e">
        <f>LHP114*LHQ114*LHR114</f>
        <v>#DIV/0!</v>
      </c>
      <c r="LHT114" s="363" t="s">
        <v>153</v>
      </c>
      <c r="LHU114" s="363"/>
      <c r="LHV114" s="363"/>
      <c r="LHW114" s="364" t="s">
        <v>140</v>
      </c>
      <c r="LHX114" s="365">
        <v>0.5</v>
      </c>
      <c r="LHY114" s="366" t="e">
        <f>10/LHU112</f>
        <v>#DIV/0!</v>
      </c>
      <c r="LHZ114" s="367">
        <v>15.38</v>
      </c>
      <c r="LIA114" s="367" t="e">
        <f>LHX114*LHY114*LHZ114</f>
        <v>#DIV/0!</v>
      </c>
      <c r="LIB114" s="363" t="s">
        <v>153</v>
      </c>
      <c r="LIC114" s="363"/>
      <c r="LID114" s="363"/>
      <c r="LIE114" s="364" t="s">
        <v>140</v>
      </c>
      <c r="LIF114" s="365">
        <v>0.5</v>
      </c>
      <c r="LIG114" s="366" t="e">
        <f>10/LIC112</f>
        <v>#DIV/0!</v>
      </c>
      <c r="LIH114" s="367">
        <v>15.38</v>
      </c>
      <c r="LII114" s="367" t="e">
        <f>LIF114*LIG114*LIH114</f>
        <v>#DIV/0!</v>
      </c>
      <c r="LIJ114" s="363" t="s">
        <v>153</v>
      </c>
      <c r="LIK114" s="363"/>
      <c r="LIL114" s="363"/>
      <c r="LIM114" s="364" t="s">
        <v>140</v>
      </c>
      <c r="LIN114" s="365">
        <v>0.5</v>
      </c>
      <c r="LIO114" s="366" t="e">
        <f>10/LIK112</f>
        <v>#DIV/0!</v>
      </c>
      <c r="LIP114" s="367">
        <v>15.38</v>
      </c>
      <c r="LIQ114" s="367" t="e">
        <f>LIN114*LIO114*LIP114</f>
        <v>#DIV/0!</v>
      </c>
      <c r="LIR114" s="363" t="s">
        <v>153</v>
      </c>
      <c r="LIS114" s="363"/>
      <c r="LIT114" s="363"/>
      <c r="LIU114" s="364" t="s">
        <v>140</v>
      </c>
      <c r="LIV114" s="365">
        <v>0.5</v>
      </c>
      <c r="LIW114" s="366" t="e">
        <f>10/LIS112</f>
        <v>#DIV/0!</v>
      </c>
      <c r="LIX114" s="367">
        <v>15.38</v>
      </c>
      <c r="LIY114" s="367" t="e">
        <f>LIV114*LIW114*LIX114</f>
        <v>#DIV/0!</v>
      </c>
      <c r="LIZ114" s="363" t="s">
        <v>153</v>
      </c>
      <c r="LJA114" s="363"/>
      <c r="LJB114" s="363"/>
      <c r="LJC114" s="364" t="s">
        <v>140</v>
      </c>
      <c r="LJD114" s="365">
        <v>0.5</v>
      </c>
      <c r="LJE114" s="366" t="e">
        <f>10/LJA112</f>
        <v>#DIV/0!</v>
      </c>
      <c r="LJF114" s="367">
        <v>15.38</v>
      </c>
      <c r="LJG114" s="367" t="e">
        <f>LJD114*LJE114*LJF114</f>
        <v>#DIV/0!</v>
      </c>
      <c r="LJH114" s="363" t="s">
        <v>153</v>
      </c>
      <c r="LJI114" s="363"/>
      <c r="LJJ114" s="363"/>
      <c r="LJK114" s="364" t="s">
        <v>140</v>
      </c>
      <c r="LJL114" s="365">
        <v>0.5</v>
      </c>
      <c r="LJM114" s="366" t="e">
        <f>10/LJI112</f>
        <v>#DIV/0!</v>
      </c>
      <c r="LJN114" s="367">
        <v>15.38</v>
      </c>
      <c r="LJO114" s="367" t="e">
        <f>LJL114*LJM114*LJN114</f>
        <v>#DIV/0!</v>
      </c>
      <c r="LJP114" s="363" t="s">
        <v>153</v>
      </c>
      <c r="LJQ114" s="363"/>
      <c r="LJR114" s="363"/>
      <c r="LJS114" s="364" t="s">
        <v>140</v>
      </c>
      <c r="LJT114" s="365">
        <v>0.5</v>
      </c>
      <c r="LJU114" s="366" t="e">
        <f>10/LJQ112</f>
        <v>#DIV/0!</v>
      </c>
      <c r="LJV114" s="367">
        <v>15.38</v>
      </c>
      <c r="LJW114" s="367" t="e">
        <f>LJT114*LJU114*LJV114</f>
        <v>#DIV/0!</v>
      </c>
      <c r="LJX114" s="363" t="s">
        <v>153</v>
      </c>
      <c r="LJY114" s="363"/>
      <c r="LJZ114" s="363"/>
      <c r="LKA114" s="364" t="s">
        <v>140</v>
      </c>
      <c r="LKB114" s="365">
        <v>0.5</v>
      </c>
      <c r="LKC114" s="366" t="e">
        <f>10/LJY112</f>
        <v>#DIV/0!</v>
      </c>
      <c r="LKD114" s="367">
        <v>15.38</v>
      </c>
      <c r="LKE114" s="367" t="e">
        <f>LKB114*LKC114*LKD114</f>
        <v>#DIV/0!</v>
      </c>
      <c r="LKF114" s="363" t="s">
        <v>153</v>
      </c>
      <c r="LKG114" s="363"/>
      <c r="LKH114" s="363"/>
      <c r="LKI114" s="364" t="s">
        <v>140</v>
      </c>
      <c r="LKJ114" s="365">
        <v>0.5</v>
      </c>
      <c r="LKK114" s="366" t="e">
        <f>10/LKG112</f>
        <v>#DIV/0!</v>
      </c>
      <c r="LKL114" s="367">
        <v>15.38</v>
      </c>
      <c r="LKM114" s="367" t="e">
        <f>LKJ114*LKK114*LKL114</f>
        <v>#DIV/0!</v>
      </c>
      <c r="LKN114" s="363" t="s">
        <v>153</v>
      </c>
      <c r="LKO114" s="363"/>
      <c r="LKP114" s="363"/>
      <c r="LKQ114" s="364" t="s">
        <v>140</v>
      </c>
      <c r="LKR114" s="365">
        <v>0.5</v>
      </c>
      <c r="LKS114" s="366" t="e">
        <f>10/LKO112</f>
        <v>#DIV/0!</v>
      </c>
      <c r="LKT114" s="367">
        <v>15.38</v>
      </c>
      <c r="LKU114" s="367" t="e">
        <f>LKR114*LKS114*LKT114</f>
        <v>#DIV/0!</v>
      </c>
      <c r="LKV114" s="363" t="s">
        <v>153</v>
      </c>
      <c r="LKW114" s="363"/>
      <c r="LKX114" s="363"/>
      <c r="LKY114" s="364" t="s">
        <v>140</v>
      </c>
      <c r="LKZ114" s="365">
        <v>0.5</v>
      </c>
      <c r="LLA114" s="366" t="e">
        <f>10/LKW112</f>
        <v>#DIV/0!</v>
      </c>
      <c r="LLB114" s="367">
        <v>15.38</v>
      </c>
      <c r="LLC114" s="367" t="e">
        <f>LKZ114*LLA114*LLB114</f>
        <v>#DIV/0!</v>
      </c>
      <c r="LLD114" s="363" t="s">
        <v>153</v>
      </c>
      <c r="LLE114" s="363"/>
      <c r="LLF114" s="363"/>
      <c r="LLG114" s="364" t="s">
        <v>140</v>
      </c>
      <c r="LLH114" s="365">
        <v>0.5</v>
      </c>
      <c r="LLI114" s="366" t="e">
        <f>10/LLE112</f>
        <v>#DIV/0!</v>
      </c>
      <c r="LLJ114" s="367">
        <v>15.38</v>
      </c>
      <c r="LLK114" s="367" t="e">
        <f>LLH114*LLI114*LLJ114</f>
        <v>#DIV/0!</v>
      </c>
      <c r="LLL114" s="363" t="s">
        <v>153</v>
      </c>
      <c r="LLM114" s="363"/>
      <c r="LLN114" s="363"/>
      <c r="LLO114" s="364" t="s">
        <v>140</v>
      </c>
      <c r="LLP114" s="365">
        <v>0.5</v>
      </c>
      <c r="LLQ114" s="366" t="e">
        <f>10/LLM112</f>
        <v>#DIV/0!</v>
      </c>
      <c r="LLR114" s="367">
        <v>15.38</v>
      </c>
      <c r="LLS114" s="367" t="e">
        <f>LLP114*LLQ114*LLR114</f>
        <v>#DIV/0!</v>
      </c>
      <c r="LLT114" s="363" t="s">
        <v>153</v>
      </c>
      <c r="LLU114" s="363"/>
      <c r="LLV114" s="363"/>
      <c r="LLW114" s="364" t="s">
        <v>140</v>
      </c>
      <c r="LLX114" s="365">
        <v>0.5</v>
      </c>
      <c r="LLY114" s="366" t="e">
        <f>10/LLU112</f>
        <v>#DIV/0!</v>
      </c>
      <c r="LLZ114" s="367">
        <v>15.38</v>
      </c>
      <c r="LMA114" s="367" t="e">
        <f>LLX114*LLY114*LLZ114</f>
        <v>#DIV/0!</v>
      </c>
      <c r="LMB114" s="363" t="s">
        <v>153</v>
      </c>
      <c r="LMC114" s="363"/>
      <c r="LMD114" s="363"/>
      <c r="LME114" s="364" t="s">
        <v>140</v>
      </c>
      <c r="LMF114" s="365">
        <v>0.5</v>
      </c>
      <c r="LMG114" s="366" t="e">
        <f>10/LMC112</f>
        <v>#DIV/0!</v>
      </c>
      <c r="LMH114" s="367">
        <v>15.38</v>
      </c>
      <c r="LMI114" s="367" t="e">
        <f>LMF114*LMG114*LMH114</f>
        <v>#DIV/0!</v>
      </c>
      <c r="LMJ114" s="363" t="s">
        <v>153</v>
      </c>
      <c r="LMK114" s="363"/>
      <c r="LML114" s="363"/>
      <c r="LMM114" s="364" t="s">
        <v>140</v>
      </c>
      <c r="LMN114" s="365">
        <v>0.5</v>
      </c>
      <c r="LMO114" s="366" t="e">
        <f>10/LMK112</f>
        <v>#DIV/0!</v>
      </c>
      <c r="LMP114" s="367">
        <v>15.38</v>
      </c>
      <c r="LMQ114" s="367" t="e">
        <f>LMN114*LMO114*LMP114</f>
        <v>#DIV/0!</v>
      </c>
      <c r="LMR114" s="363" t="s">
        <v>153</v>
      </c>
      <c r="LMS114" s="363"/>
      <c r="LMT114" s="363"/>
      <c r="LMU114" s="364" t="s">
        <v>140</v>
      </c>
      <c r="LMV114" s="365">
        <v>0.5</v>
      </c>
      <c r="LMW114" s="366" t="e">
        <f>10/LMS112</f>
        <v>#DIV/0!</v>
      </c>
      <c r="LMX114" s="367">
        <v>15.38</v>
      </c>
      <c r="LMY114" s="367" t="e">
        <f>LMV114*LMW114*LMX114</f>
        <v>#DIV/0!</v>
      </c>
      <c r="LMZ114" s="363" t="s">
        <v>153</v>
      </c>
      <c r="LNA114" s="363"/>
      <c r="LNB114" s="363"/>
      <c r="LNC114" s="364" t="s">
        <v>140</v>
      </c>
      <c r="LND114" s="365">
        <v>0.5</v>
      </c>
      <c r="LNE114" s="366" t="e">
        <f>10/LNA112</f>
        <v>#DIV/0!</v>
      </c>
      <c r="LNF114" s="367">
        <v>15.38</v>
      </c>
      <c r="LNG114" s="367" t="e">
        <f>LND114*LNE114*LNF114</f>
        <v>#DIV/0!</v>
      </c>
      <c r="LNH114" s="363" t="s">
        <v>153</v>
      </c>
      <c r="LNI114" s="363"/>
      <c r="LNJ114" s="363"/>
      <c r="LNK114" s="364" t="s">
        <v>140</v>
      </c>
      <c r="LNL114" s="365">
        <v>0.5</v>
      </c>
      <c r="LNM114" s="366" t="e">
        <f>10/LNI112</f>
        <v>#DIV/0!</v>
      </c>
      <c r="LNN114" s="367">
        <v>15.38</v>
      </c>
      <c r="LNO114" s="367" t="e">
        <f>LNL114*LNM114*LNN114</f>
        <v>#DIV/0!</v>
      </c>
      <c r="LNP114" s="363" t="s">
        <v>153</v>
      </c>
      <c r="LNQ114" s="363"/>
      <c r="LNR114" s="363"/>
      <c r="LNS114" s="364" t="s">
        <v>140</v>
      </c>
      <c r="LNT114" s="365">
        <v>0.5</v>
      </c>
      <c r="LNU114" s="366" t="e">
        <f>10/LNQ112</f>
        <v>#DIV/0!</v>
      </c>
      <c r="LNV114" s="367">
        <v>15.38</v>
      </c>
      <c r="LNW114" s="367" t="e">
        <f>LNT114*LNU114*LNV114</f>
        <v>#DIV/0!</v>
      </c>
      <c r="LNX114" s="363" t="s">
        <v>153</v>
      </c>
      <c r="LNY114" s="363"/>
      <c r="LNZ114" s="363"/>
      <c r="LOA114" s="364" t="s">
        <v>140</v>
      </c>
      <c r="LOB114" s="365">
        <v>0.5</v>
      </c>
      <c r="LOC114" s="366" t="e">
        <f>10/LNY112</f>
        <v>#DIV/0!</v>
      </c>
      <c r="LOD114" s="367">
        <v>15.38</v>
      </c>
      <c r="LOE114" s="367" t="e">
        <f>LOB114*LOC114*LOD114</f>
        <v>#DIV/0!</v>
      </c>
      <c r="LOF114" s="363" t="s">
        <v>153</v>
      </c>
      <c r="LOG114" s="363"/>
      <c r="LOH114" s="363"/>
      <c r="LOI114" s="364" t="s">
        <v>140</v>
      </c>
      <c r="LOJ114" s="365">
        <v>0.5</v>
      </c>
      <c r="LOK114" s="366" t="e">
        <f>10/LOG112</f>
        <v>#DIV/0!</v>
      </c>
      <c r="LOL114" s="367">
        <v>15.38</v>
      </c>
      <c r="LOM114" s="367" t="e">
        <f>LOJ114*LOK114*LOL114</f>
        <v>#DIV/0!</v>
      </c>
      <c r="LON114" s="363" t="s">
        <v>153</v>
      </c>
      <c r="LOO114" s="363"/>
      <c r="LOP114" s="363"/>
      <c r="LOQ114" s="364" t="s">
        <v>140</v>
      </c>
      <c r="LOR114" s="365">
        <v>0.5</v>
      </c>
      <c r="LOS114" s="366" t="e">
        <f>10/LOO112</f>
        <v>#DIV/0!</v>
      </c>
      <c r="LOT114" s="367">
        <v>15.38</v>
      </c>
      <c r="LOU114" s="367" t="e">
        <f>LOR114*LOS114*LOT114</f>
        <v>#DIV/0!</v>
      </c>
      <c r="LOV114" s="363" t="s">
        <v>153</v>
      </c>
      <c r="LOW114" s="363"/>
      <c r="LOX114" s="363"/>
      <c r="LOY114" s="364" t="s">
        <v>140</v>
      </c>
      <c r="LOZ114" s="365">
        <v>0.5</v>
      </c>
      <c r="LPA114" s="366" t="e">
        <f>10/LOW112</f>
        <v>#DIV/0!</v>
      </c>
      <c r="LPB114" s="367">
        <v>15.38</v>
      </c>
      <c r="LPC114" s="367" t="e">
        <f>LOZ114*LPA114*LPB114</f>
        <v>#DIV/0!</v>
      </c>
      <c r="LPD114" s="363" t="s">
        <v>153</v>
      </c>
      <c r="LPE114" s="363"/>
      <c r="LPF114" s="363"/>
      <c r="LPG114" s="364" t="s">
        <v>140</v>
      </c>
      <c r="LPH114" s="365">
        <v>0.5</v>
      </c>
      <c r="LPI114" s="366" t="e">
        <f>10/LPE112</f>
        <v>#DIV/0!</v>
      </c>
      <c r="LPJ114" s="367">
        <v>15.38</v>
      </c>
      <c r="LPK114" s="367" t="e">
        <f>LPH114*LPI114*LPJ114</f>
        <v>#DIV/0!</v>
      </c>
      <c r="LPL114" s="363" t="s">
        <v>153</v>
      </c>
      <c r="LPM114" s="363"/>
      <c r="LPN114" s="363"/>
      <c r="LPO114" s="364" t="s">
        <v>140</v>
      </c>
      <c r="LPP114" s="365">
        <v>0.5</v>
      </c>
      <c r="LPQ114" s="366" t="e">
        <f>10/LPM112</f>
        <v>#DIV/0!</v>
      </c>
      <c r="LPR114" s="367">
        <v>15.38</v>
      </c>
      <c r="LPS114" s="367" t="e">
        <f>LPP114*LPQ114*LPR114</f>
        <v>#DIV/0!</v>
      </c>
      <c r="LPT114" s="363" t="s">
        <v>153</v>
      </c>
      <c r="LPU114" s="363"/>
      <c r="LPV114" s="363"/>
      <c r="LPW114" s="364" t="s">
        <v>140</v>
      </c>
      <c r="LPX114" s="365">
        <v>0.5</v>
      </c>
      <c r="LPY114" s="366" t="e">
        <f>10/LPU112</f>
        <v>#DIV/0!</v>
      </c>
      <c r="LPZ114" s="367">
        <v>15.38</v>
      </c>
      <c r="LQA114" s="367" t="e">
        <f>LPX114*LPY114*LPZ114</f>
        <v>#DIV/0!</v>
      </c>
      <c r="LQB114" s="363" t="s">
        <v>153</v>
      </c>
      <c r="LQC114" s="363"/>
      <c r="LQD114" s="363"/>
      <c r="LQE114" s="364" t="s">
        <v>140</v>
      </c>
      <c r="LQF114" s="365">
        <v>0.5</v>
      </c>
      <c r="LQG114" s="366" t="e">
        <f>10/LQC112</f>
        <v>#DIV/0!</v>
      </c>
      <c r="LQH114" s="367">
        <v>15.38</v>
      </c>
      <c r="LQI114" s="367" t="e">
        <f>LQF114*LQG114*LQH114</f>
        <v>#DIV/0!</v>
      </c>
      <c r="LQJ114" s="363" t="s">
        <v>153</v>
      </c>
      <c r="LQK114" s="363"/>
      <c r="LQL114" s="363"/>
      <c r="LQM114" s="364" t="s">
        <v>140</v>
      </c>
      <c r="LQN114" s="365">
        <v>0.5</v>
      </c>
      <c r="LQO114" s="366" t="e">
        <f>10/LQK112</f>
        <v>#DIV/0!</v>
      </c>
      <c r="LQP114" s="367">
        <v>15.38</v>
      </c>
      <c r="LQQ114" s="367" t="e">
        <f>LQN114*LQO114*LQP114</f>
        <v>#DIV/0!</v>
      </c>
      <c r="LQR114" s="363" t="s">
        <v>153</v>
      </c>
      <c r="LQS114" s="363"/>
      <c r="LQT114" s="363"/>
      <c r="LQU114" s="364" t="s">
        <v>140</v>
      </c>
      <c r="LQV114" s="365">
        <v>0.5</v>
      </c>
      <c r="LQW114" s="366" t="e">
        <f>10/LQS112</f>
        <v>#DIV/0!</v>
      </c>
      <c r="LQX114" s="367">
        <v>15.38</v>
      </c>
      <c r="LQY114" s="367" t="e">
        <f>LQV114*LQW114*LQX114</f>
        <v>#DIV/0!</v>
      </c>
      <c r="LQZ114" s="363" t="s">
        <v>153</v>
      </c>
      <c r="LRA114" s="363"/>
      <c r="LRB114" s="363"/>
      <c r="LRC114" s="364" t="s">
        <v>140</v>
      </c>
      <c r="LRD114" s="365">
        <v>0.5</v>
      </c>
      <c r="LRE114" s="366" t="e">
        <f>10/LRA112</f>
        <v>#DIV/0!</v>
      </c>
      <c r="LRF114" s="367">
        <v>15.38</v>
      </c>
      <c r="LRG114" s="367" t="e">
        <f>LRD114*LRE114*LRF114</f>
        <v>#DIV/0!</v>
      </c>
      <c r="LRH114" s="363" t="s">
        <v>153</v>
      </c>
      <c r="LRI114" s="363"/>
      <c r="LRJ114" s="363"/>
      <c r="LRK114" s="364" t="s">
        <v>140</v>
      </c>
      <c r="LRL114" s="365">
        <v>0.5</v>
      </c>
      <c r="LRM114" s="366" t="e">
        <f>10/LRI112</f>
        <v>#DIV/0!</v>
      </c>
      <c r="LRN114" s="367">
        <v>15.38</v>
      </c>
      <c r="LRO114" s="367" t="e">
        <f>LRL114*LRM114*LRN114</f>
        <v>#DIV/0!</v>
      </c>
      <c r="LRP114" s="363" t="s">
        <v>153</v>
      </c>
      <c r="LRQ114" s="363"/>
      <c r="LRR114" s="363"/>
      <c r="LRS114" s="364" t="s">
        <v>140</v>
      </c>
      <c r="LRT114" s="365">
        <v>0.5</v>
      </c>
      <c r="LRU114" s="366" t="e">
        <f>10/LRQ112</f>
        <v>#DIV/0!</v>
      </c>
      <c r="LRV114" s="367">
        <v>15.38</v>
      </c>
      <c r="LRW114" s="367" t="e">
        <f>LRT114*LRU114*LRV114</f>
        <v>#DIV/0!</v>
      </c>
      <c r="LRX114" s="363" t="s">
        <v>153</v>
      </c>
      <c r="LRY114" s="363"/>
      <c r="LRZ114" s="363"/>
      <c r="LSA114" s="364" t="s">
        <v>140</v>
      </c>
      <c r="LSB114" s="365">
        <v>0.5</v>
      </c>
      <c r="LSC114" s="366" t="e">
        <f>10/LRY112</f>
        <v>#DIV/0!</v>
      </c>
      <c r="LSD114" s="367">
        <v>15.38</v>
      </c>
      <c r="LSE114" s="367" t="e">
        <f>LSB114*LSC114*LSD114</f>
        <v>#DIV/0!</v>
      </c>
      <c r="LSF114" s="363" t="s">
        <v>153</v>
      </c>
      <c r="LSG114" s="363"/>
      <c r="LSH114" s="363"/>
      <c r="LSI114" s="364" t="s">
        <v>140</v>
      </c>
      <c r="LSJ114" s="365">
        <v>0.5</v>
      </c>
      <c r="LSK114" s="366" t="e">
        <f>10/LSG112</f>
        <v>#DIV/0!</v>
      </c>
      <c r="LSL114" s="367">
        <v>15.38</v>
      </c>
      <c r="LSM114" s="367" t="e">
        <f>LSJ114*LSK114*LSL114</f>
        <v>#DIV/0!</v>
      </c>
      <c r="LSN114" s="363" t="s">
        <v>153</v>
      </c>
      <c r="LSO114" s="363"/>
      <c r="LSP114" s="363"/>
      <c r="LSQ114" s="364" t="s">
        <v>140</v>
      </c>
      <c r="LSR114" s="365">
        <v>0.5</v>
      </c>
      <c r="LSS114" s="366" t="e">
        <f>10/LSO112</f>
        <v>#DIV/0!</v>
      </c>
      <c r="LST114" s="367">
        <v>15.38</v>
      </c>
      <c r="LSU114" s="367" t="e">
        <f>LSR114*LSS114*LST114</f>
        <v>#DIV/0!</v>
      </c>
      <c r="LSV114" s="363" t="s">
        <v>153</v>
      </c>
      <c r="LSW114" s="363"/>
      <c r="LSX114" s="363"/>
      <c r="LSY114" s="364" t="s">
        <v>140</v>
      </c>
      <c r="LSZ114" s="365">
        <v>0.5</v>
      </c>
      <c r="LTA114" s="366" t="e">
        <f>10/LSW112</f>
        <v>#DIV/0!</v>
      </c>
      <c r="LTB114" s="367">
        <v>15.38</v>
      </c>
      <c r="LTC114" s="367" t="e">
        <f>LSZ114*LTA114*LTB114</f>
        <v>#DIV/0!</v>
      </c>
      <c r="LTD114" s="363" t="s">
        <v>153</v>
      </c>
      <c r="LTE114" s="363"/>
      <c r="LTF114" s="363"/>
      <c r="LTG114" s="364" t="s">
        <v>140</v>
      </c>
      <c r="LTH114" s="365">
        <v>0.5</v>
      </c>
      <c r="LTI114" s="366" t="e">
        <f>10/LTE112</f>
        <v>#DIV/0!</v>
      </c>
      <c r="LTJ114" s="367">
        <v>15.38</v>
      </c>
      <c r="LTK114" s="367" t="e">
        <f>LTH114*LTI114*LTJ114</f>
        <v>#DIV/0!</v>
      </c>
      <c r="LTL114" s="363" t="s">
        <v>153</v>
      </c>
      <c r="LTM114" s="363"/>
      <c r="LTN114" s="363"/>
      <c r="LTO114" s="364" t="s">
        <v>140</v>
      </c>
      <c r="LTP114" s="365">
        <v>0.5</v>
      </c>
      <c r="LTQ114" s="366" t="e">
        <f>10/LTM112</f>
        <v>#DIV/0!</v>
      </c>
      <c r="LTR114" s="367">
        <v>15.38</v>
      </c>
      <c r="LTS114" s="367" t="e">
        <f>LTP114*LTQ114*LTR114</f>
        <v>#DIV/0!</v>
      </c>
      <c r="LTT114" s="363" t="s">
        <v>153</v>
      </c>
      <c r="LTU114" s="363"/>
      <c r="LTV114" s="363"/>
      <c r="LTW114" s="364" t="s">
        <v>140</v>
      </c>
      <c r="LTX114" s="365">
        <v>0.5</v>
      </c>
      <c r="LTY114" s="366" t="e">
        <f>10/LTU112</f>
        <v>#DIV/0!</v>
      </c>
      <c r="LTZ114" s="367">
        <v>15.38</v>
      </c>
      <c r="LUA114" s="367" t="e">
        <f>LTX114*LTY114*LTZ114</f>
        <v>#DIV/0!</v>
      </c>
      <c r="LUB114" s="363" t="s">
        <v>153</v>
      </c>
      <c r="LUC114" s="363"/>
      <c r="LUD114" s="363"/>
      <c r="LUE114" s="364" t="s">
        <v>140</v>
      </c>
      <c r="LUF114" s="365">
        <v>0.5</v>
      </c>
      <c r="LUG114" s="366" t="e">
        <f>10/LUC112</f>
        <v>#DIV/0!</v>
      </c>
      <c r="LUH114" s="367">
        <v>15.38</v>
      </c>
      <c r="LUI114" s="367" t="e">
        <f>LUF114*LUG114*LUH114</f>
        <v>#DIV/0!</v>
      </c>
      <c r="LUJ114" s="363" t="s">
        <v>153</v>
      </c>
      <c r="LUK114" s="363"/>
      <c r="LUL114" s="363"/>
      <c r="LUM114" s="364" t="s">
        <v>140</v>
      </c>
      <c r="LUN114" s="365">
        <v>0.5</v>
      </c>
      <c r="LUO114" s="366" t="e">
        <f>10/LUK112</f>
        <v>#DIV/0!</v>
      </c>
      <c r="LUP114" s="367">
        <v>15.38</v>
      </c>
      <c r="LUQ114" s="367" t="e">
        <f>LUN114*LUO114*LUP114</f>
        <v>#DIV/0!</v>
      </c>
      <c r="LUR114" s="363" t="s">
        <v>153</v>
      </c>
      <c r="LUS114" s="363"/>
      <c r="LUT114" s="363"/>
      <c r="LUU114" s="364" t="s">
        <v>140</v>
      </c>
      <c r="LUV114" s="365">
        <v>0.5</v>
      </c>
      <c r="LUW114" s="366" t="e">
        <f>10/LUS112</f>
        <v>#DIV/0!</v>
      </c>
      <c r="LUX114" s="367">
        <v>15.38</v>
      </c>
      <c r="LUY114" s="367" t="e">
        <f>LUV114*LUW114*LUX114</f>
        <v>#DIV/0!</v>
      </c>
      <c r="LUZ114" s="363" t="s">
        <v>153</v>
      </c>
      <c r="LVA114" s="363"/>
      <c r="LVB114" s="363"/>
      <c r="LVC114" s="364" t="s">
        <v>140</v>
      </c>
      <c r="LVD114" s="365">
        <v>0.5</v>
      </c>
      <c r="LVE114" s="366" t="e">
        <f>10/LVA112</f>
        <v>#DIV/0!</v>
      </c>
      <c r="LVF114" s="367">
        <v>15.38</v>
      </c>
      <c r="LVG114" s="367" t="e">
        <f>LVD114*LVE114*LVF114</f>
        <v>#DIV/0!</v>
      </c>
      <c r="LVH114" s="363" t="s">
        <v>153</v>
      </c>
      <c r="LVI114" s="363"/>
      <c r="LVJ114" s="363"/>
      <c r="LVK114" s="364" t="s">
        <v>140</v>
      </c>
      <c r="LVL114" s="365">
        <v>0.5</v>
      </c>
      <c r="LVM114" s="366" t="e">
        <f>10/LVI112</f>
        <v>#DIV/0!</v>
      </c>
      <c r="LVN114" s="367">
        <v>15.38</v>
      </c>
      <c r="LVO114" s="367" t="e">
        <f>LVL114*LVM114*LVN114</f>
        <v>#DIV/0!</v>
      </c>
      <c r="LVP114" s="363" t="s">
        <v>153</v>
      </c>
      <c r="LVQ114" s="363"/>
      <c r="LVR114" s="363"/>
      <c r="LVS114" s="364" t="s">
        <v>140</v>
      </c>
      <c r="LVT114" s="365">
        <v>0.5</v>
      </c>
      <c r="LVU114" s="366" t="e">
        <f>10/LVQ112</f>
        <v>#DIV/0!</v>
      </c>
      <c r="LVV114" s="367">
        <v>15.38</v>
      </c>
      <c r="LVW114" s="367" t="e">
        <f>LVT114*LVU114*LVV114</f>
        <v>#DIV/0!</v>
      </c>
      <c r="LVX114" s="363" t="s">
        <v>153</v>
      </c>
      <c r="LVY114" s="363"/>
      <c r="LVZ114" s="363"/>
      <c r="LWA114" s="364" t="s">
        <v>140</v>
      </c>
      <c r="LWB114" s="365">
        <v>0.5</v>
      </c>
      <c r="LWC114" s="366" t="e">
        <f>10/LVY112</f>
        <v>#DIV/0!</v>
      </c>
      <c r="LWD114" s="367">
        <v>15.38</v>
      </c>
      <c r="LWE114" s="367" t="e">
        <f>LWB114*LWC114*LWD114</f>
        <v>#DIV/0!</v>
      </c>
      <c r="LWF114" s="363" t="s">
        <v>153</v>
      </c>
      <c r="LWG114" s="363"/>
      <c r="LWH114" s="363"/>
      <c r="LWI114" s="364" t="s">
        <v>140</v>
      </c>
      <c r="LWJ114" s="365">
        <v>0.5</v>
      </c>
      <c r="LWK114" s="366" t="e">
        <f>10/LWG112</f>
        <v>#DIV/0!</v>
      </c>
      <c r="LWL114" s="367">
        <v>15.38</v>
      </c>
      <c r="LWM114" s="367" t="e">
        <f>LWJ114*LWK114*LWL114</f>
        <v>#DIV/0!</v>
      </c>
      <c r="LWN114" s="363" t="s">
        <v>153</v>
      </c>
      <c r="LWO114" s="363"/>
      <c r="LWP114" s="363"/>
      <c r="LWQ114" s="364" t="s">
        <v>140</v>
      </c>
      <c r="LWR114" s="365">
        <v>0.5</v>
      </c>
      <c r="LWS114" s="366" t="e">
        <f>10/LWO112</f>
        <v>#DIV/0!</v>
      </c>
      <c r="LWT114" s="367">
        <v>15.38</v>
      </c>
      <c r="LWU114" s="367" t="e">
        <f>LWR114*LWS114*LWT114</f>
        <v>#DIV/0!</v>
      </c>
      <c r="LWV114" s="363" t="s">
        <v>153</v>
      </c>
      <c r="LWW114" s="363"/>
      <c r="LWX114" s="363"/>
      <c r="LWY114" s="364" t="s">
        <v>140</v>
      </c>
      <c r="LWZ114" s="365">
        <v>0.5</v>
      </c>
      <c r="LXA114" s="366" t="e">
        <f>10/LWW112</f>
        <v>#DIV/0!</v>
      </c>
      <c r="LXB114" s="367">
        <v>15.38</v>
      </c>
      <c r="LXC114" s="367" t="e">
        <f>LWZ114*LXA114*LXB114</f>
        <v>#DIV/0!</v>
      </c>
      <c r="LXD114" s="363" t="s">
        <v>153</v>
      </c>
      <c r="LXE114" s="363"/>
      <c r="LXF114" s="363"/>
      <c r="LXG114" s="364" t="s">
        <v>140</v>
      </c>
      <c r="LXH114" s="365">
        <v>0.5</v>
      </c>
      <c r="LXI114" s="366" t="e">
        <f>10/LXE112</f>
        <v>#DIV/0!</v>
      </c>
      <c r="LXJ114" s="367">
        <v>15.38</v>
      </c>
      <c r="LXK114" s="367" t="e">
        <f>LXH114*LXI114*LXJ114</f>
        <v>#DIV/0!</v>
      </c>
      <c r="LXL114" s="363" t="s">
        <v>153</v>
      </c>
      <c r="LXM114" s="363"/>
      <c r="LXN114" s="363"/>
      <c r="LXO114" s="364" t="s">
        <v>140</v>
      </c>
      <c r="LXP114" s="365">
        <v>0.5</v>
      </c>
      <c r="LXQ114" s="366" t="e">
        <f>10/LXM112</f>
        <v>#DIV/0!</v>
      </c>
      <c r="LXR114" s="367">
        <v>15.38</v>
      </c>
      <c r="LXS114" s="367" t="e">
        <f>LXP114*LXQ114*LXR114</f>
        <v>#DIV/0!</v>
      </c>
      <c r="LXT114" s="363" t="s">
        <v>153</v>
      </c>
      <c r="LXU114" s="363"/>
      <c r="LXV114" s="363"/>
      <c r="LXW114" s="364" t="s">
        <v>140</v>
      </c>
      <c r="LXX114" s="365">
        <v>0.5</v>
      </c>
      <c r="LXY114" s="366" t="e">
        <f>10/LXU112</f>
        <v>#DIV/0!</v>
      </c>
      <c r="LXZ114" s="367">
        <v>15.38</v>
      </c>
      <c r="LYA114" s="367" t="e">
        <f>LXX114*LXY114*LXZ114</f>
        <v>#DIV/0!</v>
      </c>
      <c r="LYB114" s="363" t="s">
        <v>153</v>
      </c>
      <c r="LYC114" s="363"/>
      <c r="LYD114" s="363"/>
      <c r="LYE114" s="364" t="s">
        <v>140</v>
      </c>
      <c r="LYF114" s="365">
        <v>0.5</v>
      </c>
      <c r="LYG114" s="366" t="e">
        <f>10/LYC112</f>
        <v>#DIV/0!</v>
      </c>
      <c r="LYH114" s="367">
        <v>15.38</v>
      </c>
      <c r="LYI114" s="367" t="e">
        <f>LYF114*LYG114*LYH114</f>
        <v>#DIV/0!</v>
      </c>
      <c r="LYJ114" s="363" t="s">
        <v>153</v>
      </c>
      <c r="LYK114" s="363"/>
      <c r="LYL114" s="363"/>
      <c r="LYM114" s="364" t="s">
        <v>140</v>
      </c>
      <c r="LYN114" s="365">
        <v>0.5</v>
      </c>
      <c r="LYO114" s="366" t="e">
        <f>10/LYK112</f>
        <v>#DIV/0!</v>
      </c>
      <c r="LYP114" s="367">
        <v>15.38</v>
      </c>
      <c r="LYQ114" s="367" t="e">
        <f>LYN114*LYO114*LYP114</f>
        <v>#DIV/0!</v>
      </c>
      <c r="LYR114" s="363" t="s">
        <v>153</v>
      </c>
      <c r="LYS114" s="363"/>
      <c r="LYT114" s="363"/>
      <c r="LYU114" s="364" t="s">
        <v>140</v>
      </c>
      <c r="LYV114" s="365">
        <v>0.5</v>
      </c>
      <c r="LYW114" s="366" t="e">
        <f>10/LYS112</f>
        <v>#DIV/0!</v>
      </c>
      <c r="LYX114" s="367">
        <v>15.38</v>
      </c>
      <c r="LYY114" s="367" t="e">
        <f>LYV114*LYW114*LYX114</f>
        <v>#DIV/0!</v>
      </c>
      <c r="LYZ114" s="363" t="s">
        <v>153</v>
      </c>
      <c r="LZA114" s="363"/>
      <c r="LZB114" s="363"/>
      <c r="LZC114" s="364" t="s">
        <v>140</v>
      </c>
      <c r="LZD114" s="365">
        <v>0.5</v>
      </c>
      <c r="LZE114" s="366" t="e">
        <f>10/LZA112</f>
        <v>#DIV/0!</v>
      </c>
      <c r="LZF114" s="367">
        <v>15.38</v>
      </c>
      <c r="LZG114" s="367" t="e">
        <f>LZD114*LZE114*LZF114</f>
        <v>#DIV/0!</v>
      </c>
      <c r="LZH114" s="363" t="s">
        <v>153</v>
      </c>
      <c r="LZI114" s="363"/>
      <c r="LZJ114" s="363"/>
      <c r="LZK114" s="364" t="s">
        <v>140</v>
      </c>
      <c r="LZL114" s="365">
        <v>0.5</v>
      </c>
      <c r="LZM114" s="366" t="e">
        <f>10/LZI112</f>
        <v>#DIV/0!</v>
      </c>
      <c r="LZN114" s="367">
        <v>15.38</v>
      </c>
      <c r="LZO114" s="367" t="e">
        <f>LZL114*LZM114*LZN114</f>
        <v>#DIV/0!</v>
      </c>
      <c r="LZP114" s="363" t="s">
        <v>153</v>
      </c>
      <c r="LZQ114" s="363"/>
      <c r="LZR114" s="363"/>
      <c r="LZS114" s="364" t="s">
        <v>140</v>
      </c>
      <c r="LZT114" s="365">
        <v>0.5</v>
      </c>
      <c r="LZU114" s="366" t="e">
        <f>10/LZQ112</f>
        <v>#DIV/0!</v>
      </c>
      <c r="LZV114" s="367">
        <v>15.38</v>
      </c>
      <c r="LZW114" s="367" t="e">
        <f>LZT114*LZU114*LZV114</f>
        <v>#DIV/0!</v>
      </c>
      <c r="LZX114" s="363" t="s">
        <v>153</v>
      </c>
      <c r="LZY114" s="363"/>
      <c r="LZZ114" s="363"/>
      <c r="MAA114" s="364" t="s">
        <v>140</v>
      </c>
      <c r="MAB114" s="365">
        <v>0.5</v>
      </c>
      <c r="MAC114" s="366" t="e">
        <f>10/LZY112</f>
        <v>#DIV/0!</v>
      </c>
      <c r="MAD114" s="367">
        <v>15.38</v>
      </c>
      <c r="MAE114" s="367" t="e">
        <f>MAB114*MAC114*MAD114</f>
        <v>#DIV/0!</v>
      </c>
      <c r="MAF114" s="363" t="s">
        <v>153</v>
      </c>
      <c r="MAG114" s="363"/>
      <c r="MAH114" s="363"/>
      <c r="MAI114" s="364" t="s">
        <v>140</v>
      </c>
      <c r="MAJ114" s="365">
        <v>0.5</v>
      </c>
      <c r="MAK114" s="366" t="e">
        <f>10/MAG112</f>
        <v>#DIV/0!</v>
      </c>
      <c r="MAL114" s="367">
        <v>15.38</v>
      </c>
      <c r="MAM114" s="367" t="e">
        <f>MAJ114*MAK114*MAL114</f>
        <v>#DIV/0!</v>
      </c>
      <c r="MAN114" s="363" t="s">
        <v>153</v>
      </c>
      <c r="MAO114" s="363"/>
      <c r="MAP114" s="363"/>
      <c r="MAQ114" s="364" t="s">
        <v>140</v>
      </c>
      <c r="MAR114" s="365">
        <v>0.5</v>
      </c>
      <c r="MAS114" s="366" t="e">
        <f>10/MAO112</f>
        <v>#DIV/0!</v>
      </c>
      <c r="MAT114" s="367">
        <v>15.38</v>
      </c>
      <c r="MAU114" s="367" t="e">
        <f>MAR114*MAS114*MAT114</f>
        <v>#DIV/0!</v>
      </c>
      <c r="MAV114" s="363" t="s">
        <v>153</v>
      </c>
      <c r="MAW114" s="363"/>
      <c r="MAX114" s="363"/>
      <c r="MAY114" s="364" t="s">
        <v>140</v>
      </c>
      <c r="MAZ114" s="365">
        <v>0.5</v>
      </c>
      <c r="MBA114" s="366" t="e">
        <f>10/MAW112</f>
        <v>#DIV/0!</v>
      </c>
      <c r="MBB114" s="367">
        <v>15.38</v>
      </c>
      <c r="MBC114" s="367" t="e">
        <f>MAZ114*MBA114*MBB114</f>
        <v>#DIV/0!</v>
      </c>
      <c r="MBD114" s="363" t="s">
        <v>153</v>
      </c>
      <c r="MBE114" s="363"/>
      <c r="MBF114" s="363"/>
      <c r="MBG114" s="364" t="s">
        <v>140</v>
      </c>
      <c r="MBH114" s="365">
        <v>0.5</v>
      </c>
      <c r="MBI114" s="366" t="e">
        <f>10/MBE112</f>
        <v>#DIV/0!</v>
      </c>
      <c r="MBJ114" s="367">
        <v>15.38</v>
      </c>
      <c r="MBK114" s="367" t="e">
        <f>MBH114*MBI114*MBJ114</f>
        <v>#DIV/0!</v>
      </c>
      <c r="MBL114" s="363" t="s">
        <v>153</v>
      </c>
      <c r="MBM114" s="363"/>
      <c r="MBN114" s="363"/>
      <c r="MBO114" s="364" t="s">
        <v>140</v>
      </c>
      <c r="MBP114" s="365">
        <v>0.5</v>
      </c>
      <c r="MBQ114" s="366" t="e">
        <f>10/MBM112</f>
        <v>#DIV/0!</v>
      </c>
      <c r="MBR114" s="367">
        <v>15.38</v>
      </c>
      <c r="MBS114" s="367" t="e">
        <f>MBP114*MBQ114*MBR114</f>
        <v>#DIV/0!</v>
      </c>
      <c r="MBT114" s="363" t="s">
        <v>153</v>
      </c>
      <c r="MBU114" s="363"/>
      <c r="MBV114" s="363"/>
      <c r="MBW114" s="364" t="s">
        <v>140</v>
      </c>
      <c r="MBX114" s="365">
        <v>0.5</v>
      </c>
      <c r="MBY114" s="366" t="e">
        <f>10/MBU112</f>
        <v>#DIV/0!</v>
      </c>
      <c r="MBZ114" s="367">
        <v>15.38</v>
      </c>
      <c r="MCA114" s="367" t="e">
        <f>MBX114*MBY114*MBZ114</f>
        <v>#DIV/0!</v>
      </c>
      <c r="MCB114" s="363" t="s">
        <v>153</v>
      </c>
      <c r="MCC114" s="363"/>
      <c r="MCD114" s="363"/>
      <c r="MCE114" s="364" t="s">
        <v>140</v>
      </c>
      <c r="MCF114" s="365">
        <v>0.5</v>
      </c>
      <c r="MCG114" s="366" t="e">
        <f>10/MCC112</f>
        <v>#DIV/0!</v>
      </c>
      <c r="MCH114" s="367">
        <v>15.38</v>
      </c>
      <c r="MCI114" s="367" t="e">
        <f>MCF114*MCG114*MCH114</f>
        <v>#DIV/0!</v>
      </c>
      <c r="MCJ114" s="363" t="s">
        <v>153</v>
      </c>
      <c r="MCK114" s="363"/>
      <c r="MCL114" s="363"/>
      <c r="MCM114" s="364" t="s">
        <v>140</v>
      </c>
      <c r="MCN114" s="365">
        <v>0.5</v>
      </c>
      <c r="MCO114" s="366" t="e">
        <f>10/MCK112</f>
        <v>#DIV/0!</v>
      </c>
      <c r="MCP114" s="367">
        <v>15.38</v>
      </c>
      <c r="MCQ114" s="367" t="e">
        <f>MCN114*MCO114*MCP114</f>
        <v>#DIV/0!</v>
      </c>
      <c r="MCR114" s="363" t="s">
        <v>153</v>
      </c>
      <c r="MCS114" s="363"/>
      <c r="MCT114" s="363"/>
      <c r="MCU114" s="364" t="s">
        <v>140</v>
      </c>
      <c r="MCV114" s="365">
        <v>0.5</v>
      </c>
      <c r="MCW114" s="366" t="e">
        <f>10/MCS112</f>
        <v>#DIV/0!</v>
      </c>
      <c r="MCX114" s="367">
        <v>15.38</v>
      </c>
      <c r="MCY114" s="367" t="e">
        <f>MCV114*MCW114*MCX114</f>
        <v>#DIV/0!</v>
      </c>
      <c r="MCZ114" s="363" t="s">
        <v>153</v>
      </c>
      <c r="MDA114" s="363"/>
      <c r="MDB114" s="363"/>
      <c r="MDC114" s="364" t="s">
        <v>140</v>
      </c>
      <c r="MDD114" s="365">
        <v>0.5</v>
      </c>
      <c r="MDE114" s="366" t="e">
        <f>10/MDA112</f>
        <v>#DIV/0!</v>
      </c>
      <c r="MDF114" s="367">
        <v>15.38</v>
      </c>
      <c r="MDG114" s="367" t="e">
        <f>MDD114*MDE114*MDF114</f>
        <v>#DIV/0!</v>
      </c>
      <c r="MDH114" s="363" t="s">
        <v>153</v>
      </c>
      <c r="MDI114" s="363"/>
      <c r="MDJ114" s="363"/>
      <c r="MDK114" s="364" t="s">
        <v>140</v>
      </c>
      <c r="MDL114" s="365">
        <v>0.5</v>
      </c>
      <c r="MDM114" s="366" t="e">
        <f>10/MDI112</f>
        <v>#DIV/0!</v>
      </c>
      <c r="MDN114" s="367">
        <v>15.38</v>
      </c>
      <c r="MDO114" s="367" t="e">
        <f>MDL114*MDM114*MDN114</f>
        <v>#DIV/0!</v>
      </c>
      <c r="MDP114" s="363" t="s">
        <v>153</v>
      </c>
      <c r="MDQ114" s="363"/>
      <c r="MDR114" s="363"/>
      <c r="MDS114" s="364" t="s">
        <v>140</v>
      </c>
      <c r="MDT114" s="365">
        <v>0.5</v>
      </c>
      <c r="MDU114" s="366" t="e">
        <f>10/MDQ112</f>
        <v>#DIV/0!</v>
      </c>
      <c r="MDV114" s="367">
        <v>15.38</v>
      </c>
      <c r="MDW114" s="367" t="e">
        <f>MDT114*MDU114*MDV114</f>
        <v>#DIV/0!</v>
      </c>
      <c r="MDX114" s="363" t="s">
        <v>153</v>
      </c>
      <c r="MDY114" s="363"/>
      <c r="MDZ114" s="363"/>
      <c r="MEA114" s="364" t="s">
        <v>140</v>
      </c>
      <c r="MEB114" s="365">
        <v>0.5</v>
      </c>
      <c r="MEC114" s="366" t="e">
        <f>10/MDY112</f>
        <v>#DIV/0!</v>
      </c>
      <c r="MED114" s="367">
        <v>15.38</v>
      </c>
      <c r="MEE114" s="367" t="e">
        <f>MEB114*MEC114*MED114</f>
        <v>#DIV/0!</v>
      </c>
      <c r="MEF114" s="363" t="s">
        <v>153</v>
      </c>
      <c r="MEG114" s="363"/>
      <c r="MEH114" s="363"/>
      <c r="MEI114" s="364" t="s">
        <v>140</v>
      </c>
      <c r="MEJ114" s="365">
        <v>0.5</v>
      </c>
      <c r="MEK114" s="366" t="e">
        <f>10/MEG112</f>
        <v>#DIV/0!</v>
      </c>
      <c r="MEL114" s="367">
        <v>15.38</v>
      </c>
      <c r="MEM114" s="367" t="e">
        <f>MEJ114*MEK114*MEL114</f>
        <v>#DIV/0!</v>
      </c>
      <c r="MEN114" s="363" t="s">
        <v>153</v>
      </c>
      <c r="MEO114" s="363"/>
      <c r="MEP114" s="363"/>
      <c r="MEQ114" s="364" t="s">
        <v>140</v>
      </c>
      <c r="MER114" s="365">
        <v>0.5</v>
      </c>
      <c r="MES114" s="366" t="e">
        <f>10/MEO112</f>
        <v>#DIV/0!</v>
      </c>
      <c r="MET114" s="367">
        <v>15.38</v>
      </c>
      <c r="MEU114" s="367" t="e">
        <f>MER114*MES114*MET114</f>
        <v>#DIV/0!</v>
      </c>
      <c r="MEV114" s="363" t="s">
        <v>153</v>
      </c>
      <c r="MEW114" s="363"/>
      <c r="MEX114" s="363"/>
      <c r="MEY114" s="364" t="s">
        <v>140</v>
      </c>
      <c r="MEZ114" s="365">
        <v>0.5</v>
      </c>
      <c r="MFA114" s="366" t="e">
        <f>10/MEW112</f>
        <v>#DIV/0!</v>
      </c>
      <c r="MFB114" s="367">
        <v>15.38</v>
      </c>
      <c r="MFC114" s="367" t="e">
        <f>MEZ114*MFA114*MFB114</f>
        <v>#DIV/0!</v>
      </c>
      <c r="MFD114" s="363" t="s">
        <v>153</v>
      </c>
      <c r="MFE114" s="363"/>
      <c r="MFF114" s="363"/>
      <c r="MFG114" s="364" t="s">
        <v>140</v>
      </c>
      <c r="MFH114" s="365">
        <v>0.5</v>
      </c>
      <c r="MFI114" s="366" t="e">
        <f>10/MFE112</f>
        <v>#DIV/0!</v>
      </c>
      <c r="MFJ114" s="367">
        <v>15.38</v>
      </c>
      <c r="MFK114" s="367" t="e">
        <f>MFH114*MFI114*MFJ114</f>
        <v>#DIV/0!</v>
      </c>
      <c r="MFL114" s="363" t="s">
        <v>153</v>
      </c>
      <c r="MFM114" s="363"/>
      <c r="MFN114" s="363"/>
      <c r="MFO114" s="364" t="s">
        <v>140</v>
      </c>
      <c r="MFP114" s="365">
        <v>0.5</v>
      </c>
      <c r="MFQ114" s="366" t="e">
        <f>10/MFM112</f>
        <v>#DIV/0!</v>
      </c>
      <c r="MFR114" s="367">
        <v>15.38</v>
      </c>
      <c r="MFS114" s="367" t="e">
        <f>MFP114*MFQ114*MFR114</f>
        <v>#DIV/0!</v>
      </c>
      <c r="MFT114" s="363" t="s">
        <v>153</v>
      </c>
      <c r="MFU114" s="363"/>
      <c r="MFV114" s="363"/>
      <c r="MFW114" s="364" t="s">
        <v>140</v>
      </c>
      <c r="MFX114" s="365">
        <v>0.5</v>
      </c>
      <c r="MFY114" s="366" t="e">
        <f>10/MFU112</f>
        <v>#DIV/0!</v>
      </c>
      <c r="MFZ114" s="367">
        <v>15.38</v>
      </c>
      <c r="MGA114" s="367" t="e">
        <f>MFX114*MFY114*MFZ114</f>
        <v>#DIV/0!</v>
      </c>
      <c r="MGB114" s="363" t="s">
        <v>153</v>
      </c>
      <c r="MGC114" s="363"/>
      <c r="MGD114" s="363"/>
      <c r="MGE114" s="364" t="s">
        <v>140</v>
      </c>
      <c r="MGF114" s="365">
        <v>0.5</v>
      </c>
      <c r="MGG114" s="366" t="e">
        <f>10/MGC112</f>
        <v>#DIV/0!</v>
      </c>
      <c r="MGH114" s="367">
        <v>15.38</v>
      </c>
      <c r="MGI114" s="367" t="e">
        <f>MGF114*MGG114*MGH114</f>
        <v>#DIV/0!</v>
      </c>
      <c r="MGJ114" s="363" t="s">
        <v>153</v>
      </c>
      <c r="MGK114" s="363"/>
      <c r="MGL114" s="363"/>
      <c r="MGM114" s="364" t="s">
        <v>140</v>
      </c>
      <c r="MGN114" s="365">
        <v>0.5</v>
      </c>
      <c r="MGO114" s="366" t="e">
        <f>10/MGK112</f>
        <v>#DIV/0!</v>
      </c>
      <c r="MGP114" s="367">
        <v>15.38</v>
      </c>
      <c r="MGQ114" s="367" t="e">
        <f>MGN114*MGO114*MGP114</f>
        <v>#DIV/0!</v>
      </c>
      <c r="MGR114" s="363" t="s">
        <v>153</v>
      </c>
      <c r="MGS114" s="363"/>
      <c r="MGT114" s="363"/>
      <c r="MGU114" s="364" t="s">
        <v>140</v>
      </c>
      <c r="MGV114" s="365">
        <v>0.5</v>
      </c>
      <c r="MGW114" s="366" t="e">
        <f>10/MGS112</f>
        <v>#DIV/0!</v>
      </c>
      <c r="MGX114" s="367">
        <v>15.38</v>
      </c>
      <c r="MGY114" s="367" t="e">
        <f>MGV114*MGW114*MGX114</f>
        <v>#DIV/0!</v>
      </c>
      <c r="MGZ114" s="363" t="s">
        <v>153</v>
      </c>
      <c r="MHA114" s="363"/>
      <c r="MHB114" s="363"/>
      <c r="MHC114" s="364" t="s">
        <v>140</v>
      </c>
      <c r="MHD114" s="365">
        <v>0.5</v>
      </c>
      <c r="MHE114" s="366" t="e">
        <f>10/MHA112</f>
        <v>#DIV/0!</v>
      </c>
      <c r="MHF114" s="367">
        <v>15.38</v>
      </c>
      <c r="MHG114" s="367" t="e">
        <f>MHD114*MHE114*MHF114</f>
        <v>#DIV/0!</v>
      </c>
      <c r="MHH114" s="363" t="s">
        <v>153</v>
      </c>
      <c r="MHI114" s="363"/>
      <c r="MHJ114" s="363"/>
      <c r="MHK114" s="364" t="s">
        <v>140</v>
      </c>
      <c r="MHL114" s="365">
        <v>0.5</v>
      </c>
      <c r="MHM114" s="366" t="e">
        <f>10/MHI112</f>
        <v>#DIV/0!</v>
      </c>
      <c r="MHN114" s="367">
        <v>15.38</v>
      </c>
      <c r="MHO114" s="367" t="e">
        <f>MHL114*MHM114*MHN114</f>
        <v>#DIV/0!</v>
      </c>
      <c r="MHP114" s="363" t="s">
        <v>153</v>
      </c>
      <c r="MHQ114" s="363"/>
      <c r="MHR114" s="363"/>
      <c r="MHS114" s="364" t="s">
        <v>140</v>
      </c>
      <c r="MHT114" s="365">
        <v>0.5</v>
      </c>
      <c r="MHU114" s="366" t="e">
        <f>10/MHQ112</f>
        <v>#DIV/0!</v>
      </c>
      <c r="MHV114" s="367">
        <v>15.38</v>
      </c>
      <c r="MHW114" s="367" t="e">
        <f>MHT114*MHU114*MHV114</f>
        <v>#DIV/0!</v>
      </c>
      <c r="MHX114" s="363" t="s">
        <v>153</v>
      </c>
      <c r="MHY114" s="363"/>
      <c r="MHZ114" s="363"/>
      <c r="MIA114" s="364" t="s">
        <v>140</v>
      </c>
      <c r="MIB114" s="365">
        <v>0.5</v>
      </c>
      <c r="MIC114" s="366" t="e">
        <f>10/MHY112</f>
        <v>#DIV/0!</v>
      </c>
      <c r="MID114" s="367">
        <v>15.38</v>
      </c>
      <c r="MIE114" s="367" t="e">
        <f>MIB114*MIC114*MID114</f>
        <v>#DIV/0!</v>
      </c>
      <c r="MIF114" s="363" t="s">
        <v>153</v>
      </c>
      <c r="MIG114" s="363"/>
      <c r="MIH114" s="363"/>
      <c r="MII114" s="364" t="s">
        <v>140</v>
      </c>
      <c r="MIJ114" s="365">
        <v>0.5</v>
      </c>
      <c r="MIK114" s="366" t="e">
        <f>10/MIG112</f>
        <v>#DIV/0!</v>
      </c>
      <c r="MIL114" s="367">
        <v>15.38</v>
      </c>
      <c r="MIM114" s="367" t="e">
        <f>MIJ114*MIK114*MIL114</f>
        <v>#DIV/0!</v>
      </c>
      <c r="MIN114" s="363" t="s">
        <v>153</v>
      </c>
      <c r="MIO114" s="363"/>
      <c r="MIP114" s="363"/>
      <c r="MIQ114" s="364" t="s">
        <v>140</v>
      </c>
      <c r="MIR114" s="365">
        <v>0.5</v>
      </c>
      <c r="MIS114" s="366" t="e">
        <f>10/MIO112</f>
        <v>#DIV/0!</v>
      </c>
      <c r="MIT114" s="367">
        <v>15.38</v>
      </c>
      <c r="MIU114" s="367" t="e">
        <f>MIR114*MIS114*MIT114</f>
        <v>#DIV/0!</v>
      </c>
      <c r="MIV114" s="363" t="s">
        <v>153</v>
      </c>
      <c r="MIW114" s="363"/>
      <c r="MIX114" s="363"/>
      <c r="MIY114" s="364" t="s">
        <v>140</v>
      </c>
      <c r="MIZ114" s="365">
        <v>0.5</v>
      </c>
      <c r="MJA114" s="366" t="e">
        <f>10/MIW112</f>
        <v>#DIV/0!</v>
      </c>
      <c r="MJB114" s="367">
        <v>15.38</v>
      </c>
      <c r="MJC114" s="367" t="e">
        <f>MIZ114*MJA114*MJB114</f>
        <v>#DIV/0!</v>
      </c>
      <c r="MJD114" s="363" t="s">
        <v>153</v>
      </c>
      <c r="MJE114" s="363"/>
      <c r="MJF114" s="363"/>
      <c r="MJG114" s="364" t="s">
        <v>140</v>
      </c>
      <c r="MJH114" s="365">
        <v>0.5</v>
      </c>
      <c r="MJI114" s="366" t="e">
        <f>10/MJE112</f>
        <v>#DIV/0!</v>
      </c>
      <c r="MJJ114" s="367">
        <v>15.38</v>
      </c>
      <c r="MJK114" s="367" t="e">
        <f>MJH114*MJI114*MJJ114</f>
        <v>#DIV/0!</v>
      </c>
      <c r="MJL114" s="363" t="s">
        <v>153</v>
      </c>
      <c r="MJM114" s="363"/>
      <c r="MJN114" s="363"/>
      <c r="MJO114" s="364" t="s">
        <v>140</v>
      </c>
      <c r="MJP114" s="365">
        <v>0.5</v>
      </c>
      <c r="MJQ114" s="366" t="e">
        <f>10/MJM112</f>
        <v>#DIV/0!</v>
      </c>
      <c r="MJR114" s="367">
        <v>15.38</v>
      </c>
      <c r="MJS114" s="367" t="e">
        <f>MJP114*MJQ114*MJR114</f>
        <v>#DIV/0!</v>
      </c>
      <c r="MJT114" s="363" t="s">
        <v>153</v>
      </c>
      <c r="MJU114" s="363"/>
      <c r="MJV114" s="363"/>
      <c r="MJW114" s="364" t="s">
        <v>140</v>
      </c>
      <c r="MJX114" s="365">
        <v>0.5</v>
      </c>
      <c r="MJY114" s="366" t="e">
        <f>10/MJU112</f>
        <v>#DIV/0!</v>
      </c>
      <c r="MJZ114" s="367">
        <v>15.38</v>
      </c>
      <c r="MKA114" s="367" t="e">
        <f>MJX114*MJY114*MJZ114</f>
        <v>#DIV/0!</v>
      </c>
      <c r="MKB114" s="363" t="s">
        <v>153</v>
      </c>
      <c r="MKC114" s="363"/>
      <c r="MKD114" s="363"/>
      <c r="MKE114" s="364" t="s">
        <v>140</v>
      </c>
      <c r="MKF114" s="365">
        <v>0.5</v>
      </c>
      <c r="MKG114" s="366" t="e">
        <f>10/MKC112</f>
        <v>#DIV/0!</v>
      </c>
      <c r="MKH114" s="367">
        <v>15.38</v>
      </c>
      <c r="MKI114" s="367" t="e">
        <f>MKF114*MKG114*MKH114</f>
        <v>#DIV/0!</v>
      </c>
      <c r="MKJ114" s="363" t="s">
        <v>153</v>
      </c>
      <c r="MKK114" s="363"/>
      <c r="MKL114" s="363"/>
      <c r="MKM114" s="364" t="s">
        <v>140</v>
      </c>
      <c r="MKN114" s="365">
        <v>0.5</v>
      </c>
      <c r="MKO114" s="366" t="e">
        <f>10/MKK112</f>
        <v>#DIV/0!</v>
      </c>
      <c r="MKP114" s="367">
        <v>15.38</v>
      </c>
      <c r="MKQ114" s="367" t="e">
        <f>MKN114*MKO114*MKP114</f>
        <v>#DIV/0!</v>
      </c>
      <c r="MKR114" s="363" t="s">
        <v>153</v>
      </c>
      <c r="MKS114" s="363"/>
      <c r="MKT114" s="363"/>
      <c r="MKU114" s="364" t="s">
        <v>140</v>
      </c>
      <c r="MKV114" s="365">
        <v>0.5</v>
      </c>
      <c r="MKW114" s="366" t="e">
        <f>10/MKS112</f>
        <v>#DIV/0!</v>
      </c>
      <c r="MKX114" s="367">
        <v>15.38</v>
      </c>
      <c r="MKY114" s="367" t="e">
        <f>MKV114*MKW114*MKX114</f>
        <v>#DIV/0!</v>
      </c>
      <c r="MKZ114" s="363" t="s">
        <v>153</v>
      </c>
      <c r="MLA114" s="363"/>
      <c r="MLB114" s="363"/>
      <c r="MLC114" s="364" t="s">
        <v>140</v>
      </c>
      <c r="MLD114" s="365">
        <v>0.5</v>
      </c>
      <c r="MLE114" s="366" t="e">
        <f>10/MLA112</f>
        <v>#DIV/0!</v>
      </c>
      <c r="MLF114" s="367">
        <v>15.38</v>
      </c>
      <c r="MLG114" s="367" t="e">
        <f>MLD114*MLE114*MLF114</f>
        <v>#DIV/0!</v>
      </c>
      <c r="MLH114" s="363" t="s">
        <v>153</v>
      </c>
      <c r="MLI114" s="363"/>
      <c r="MLJ114" s="363"/>
      <c r="MLK114" s="364" t="s">
        <v>140</v>
      </c>
      <c r="MLL114" s="365">
        <v>0.5</v>
      </c>
      <c r="MLM114" s="366" t="e">
        <f>10/MLI112</f>
        <v>#DIV/0!</v>
      </c>
      <c r="MLN114" s="367">
        <v>15.38</v>
      </c>
      <c r="MLO114" s="367" t="e">
        <f>MLL114*MLM114*MLN114</f>
        <v>#DIV/0!</v>
      </c>
      <c r="MLP114" s="363" t="s">
        <v>153</v>
      </c>
      <c r="MLQ114" s="363"/>
      <c r="MLR114" s="363"/>
      <c r="MLS114" s="364" t="s">
        <v>140</v>
      </c>
      <c r="MLT114" s="365">
        <v>0.5</v>
      </c>
      <c r="MLU114" s="366" t="e">
        <f>10/MLQ112</f>
        <v>#DIV/0!</v>
      </c>
      <c r="MLV114" s="367">
        <v>15.38</v>
      </c>
      <c r="MLW114" s="367" t="e">
        <f>MLT114*MLU114*MLV114</f>
        <v>#DIV/0!</v>
      </c>
      <c r="MLX114" s="363" t="s">
        <v>153</v>
      </c>
      <c r="MLY114" s="363"/>
      <c r="MLZ114" s="363"/>
      <c r="MMA114" s="364" t="s">
        <v>140</v>
      </c>
      <c r="MMB114" s="365">
        <v>0.5</v>
      </c>
      <c r="MMC114" s="366" t="e">
        <f>10/MLY112</f>
        <v>#DIV/0!</v>
      </c>
      <c r="MMD114" s="367">
        <v>15.38</v>
      </c>
      <c r="MME114" s="367" t="e">
        <f>MMB114*MMC114*MMD114</f>
        <v>#DIV/0!</v>
      </c>
      <c r="MMF114" s="363" t="s">
        <v>153</v>
      </c>
      <c r="MMG114" s="363"/>
      <c r="MMH114" s="363"/>
      <c r="MMI114" s="364" t="s">
        <v>140</v>
      </c>
      <c r="MMJ114" s="365">
        <v>0.5</v>
      </c>
      <c r="MMK114" s="366" t="e">
        <f>10/MMG112</f>
        <v>#DIV/0!</v>
      </c>
      <c r="MML114" s="367">
        <v>15.38</v>
      </c>
      <c r="MMM114" s="367" t="e">
        <f>MMJ114*MMK114*MML114</f>
        <v>#DIV/0!</v>
      </c>
      <c r="MMN114" s="363" t="s">
        <v>153</v>
      </c>
      <c r="MMO114" s="363"/>
      <c r="MMP114" s="363"/>
      <c r="MMQ114" s="364" t="s">
        <v>140</v>
      </c>
      <c r="MMR114" s="365">
        <v>0.5</v>
      </c>
      <c r="MMS114" s="366" t="e">
        <f>10/MMO112</f>
        <v>#DIV/0!</v>
      </c>
      <c r="MMT114" s="367">
        <v>15.38</v>
      </c>
      <c r="MMU114" s="367" t="e">
        <f>MMR114*MMS114*MMT114</f>
        <v>#DIV/0!</v>
      </c>
      <c r="MMV114" s="363" t="s">
        <v>153</v>
      </c>
      <c r="MMW114" s="363"/>
      <c r="MMX114" s="363"/>
      <c r="MMY114" s="364" t="s">
        <v>140</v>
      </c>
      <c r="MMZ114" s="365">
        <v>0.5</v>
      </c>
      <c r="MNA114" s="366" t="e">
        <f>10/MMW112</f>
        <v>#DIV/0!</v>
      </c>
      <c r="MNB114" s="367">
        <v>15.38</v>
      </c>
      <c r="MNC114" s="367" t="e">
        <f>MMZ114*MNA114*MNB114</f>
        <v>#DIV/0!</v>
      </c>
      <c r="MND114" s="363" t="s">
        <v>153</v>
      </c>
      <c r="MNE114" s="363"/>
      <c r="MNF114" s="363"/>
      <c r="MNG114" s="364" t="s">
        <v>140</v>
      </c>
      <c r="MNH114" s="365">
        <v>0.5</v>
      </c>
      <c r="MNI114" s="366" t="e">
        <f>10/MNE112</f>
        <v>#DIV/0!</v>
      </c>
      <c r="MNJ114" s="367">
        <v>15.38</v>
      </c>
      <c r="MNK114" s="367" t="e">
        <f>MNH114*MNI114*MNJ114</f>
        <v>#DIV/0!</v>
      </c>
      <c r="MNL114" s="363" t="s">
        <v>153</v>
      </c>
      <c r="MNM114" s="363"/>
      <c r="MNN114" s="363"/>
      <c r="MNO114" s="364" t="s">
        <v>140</v>
      </c>
      <c r="MNP114" s="365">
        <v>0.5</v>
      </c>
      <c r="MNQ114" s="366" t="e">
        <f>10/MNM112</f>
        <v>#DIV/0!</v>
      </c>
      <c r="MNR114" s="367">
        <v>15.38</v>
      </c>
      <c r="MNS114" s="367" t="e">
        <f>MNP114*MNQ114*MNR114</f>
        <v>#DIV/0!</v>
      </c>
      <c r="MNT114" s="363" t="s">
        <v>153</v>
      </c>
      <c r="MNU114" s="363"/>
      <c r="MNV114" s="363"/>
      <c r="MNW114" s="364" t="s">
        <v>140</v>
      </c>
      <c r="MNX114" s="365">
        <v>0.5</v>
      </c>
      <c r="MNY114" s="366" t="e">
        <f>10/MNU112</f>
        <v>#DIV/0!</v>
      </c>
      <c r="MNZ114" s="367">
        <v>15.38</v>
      </c>
      <c r="MOA114" s="367" t="e">
        <f>MNX114*MNY114*MNZ114</f>
        <v>#DIV/0!</v>
      </c>
      <c r="MOB114" s="363" t="s">
        <v>153</v>
      </c>
      <c r="MOC114" s="363"/>
      <c r="MOD114" s="363"/>
      <c r="MOE114" s="364" t="s">
        <v>140</v>
      </c>
      <c r="MOF114" s="365">
        <v>0.5</v>
      </c>
      <c r="MOG114" s="366" t="e">
        <f>10/MOC112</f>
        <v>#DIV/0!</v>
      </c>
      <c r="MOH114" s="367">
        <v>15.38</v>
      </c>
      <c r="MOI114" s="367" t="e">
        <f>MOF114*MOG114*MOH114</f>
        <v>#DIV/0!</v>
      </c>
      <c r="MOJ114" s="363" t="s">
        <v>153</v>
      </c>
      <c r="MOK114" s="363"/>
      <c r="MOL114" s="363"/>
      <c r="MOM114" s="364" t="s">
        <v>140</v>
      </c>
      <c r="MON114" s="365">
        <v>0.5</v>
      </c>
      <c r="MOO114" s="366" t="e">
        <f>10/MOK112</f>
        <v>#DIV/0!</v>
      </c>
      <c r="MOP114" s="367">
        <v>15.38</v>
      </c>
      <c r="MOQ114" s="367" t="e">
        <f>MON114*MOO114*MOP114</f>
        <v>#DIV/0!</v>
      </c>
      <c r="MOR114" s="363" t="s">
        <v>153</v>
      </c>
      <c r="MOS114" s="363"/>
      <c r="MOT114" s="363"/>
      <c r="MOU114" s="364" t="s">
        <v>140</v>
      </c>
      <c r="MOV114" s="365">
        <v>0.5</v>
      </c>
      <c r="MOW114" s="366" t="e">
        <f>10/MOS112</f>
        <v>#DIV/0!</v>
      </c>
      <c r="MOX114" s="367">
        <v>15.38</v>
      </c>
      <c r="MOY114" s="367" t="e">
        <f>MOV114*MOW114*MOX114</f>
        <v>#DIV/0!</v>
      </c>
      <c r="MOZ114" s="363" t="s">
        <v>153</v>
      </c>
      <c r="MPA114" s="363"/>
      <c r="MPB114" s="363"/>
      <c r="MPC114" s="364" t="s">
        <v>140</v>
      </c>
      <c r="MPD114" s="365">
        <v>0.5</v>
      </c>
      <c r="MPE114" s="366" t="e">
        <f>10/MPA112</f>
        <v>#DIV/0!</v>
      </c>
      <c r="MPF114" s="367">
        <v>15.38</v>
      </c>
      <c r="MPG114" s="367" t="e">
        <f>MPD114*MPE114*MPF114</f>
        <v>#DIV/0!</v>
      </c>
      <c r="MPH114" s="363" t="s">
        <v>153</v>
      </c>
      <c r="MPI114" s="363"/>
      <c r="MPJ114" s="363"/>
      <c r="MPK114" s="364" t="s">
        <v>140</v>
      </c>
      <c r="MPL114" s="365">
        <v>0.5</v>
      </c>
      <c r="MPM114" s="366" t="e">
        <f>10/MPI112</f>
        <v>#DIV/0!</v>
      </c>
      <c r="MPN114" s="367">
        <v>15.38</v>
      </c>
      <c r="MPO114" s="367" t="e">
        <f>MPL114*MPM114*MPN114</f>
        <v>#DIV/0!</v>
      </c>
      <c r="MPP114" s="363" t="s">
        <v>153</v>
      </c>
      <c r="MPQ114" s="363"/>
      <c r="MPR114" s="363"/>
      <c r="MPS114" s="364" t="s">
        <v>140</v>
      </c>
      <c r="MPT114" s="365">
        <v>0.5</v>
      </c>
      <c r="MPU114" s="366" t="e">
        <f>10/MPQ112</f>
        <v>#DIV/0!</v>
      </c>
      <c r="MPV114" s="367">
        <v>15.38</v>
      </c>
      <c r="MPW114" s="367" t="e">
        <f>MPT114*MPU114*MPV114</f>
        <v>#DIV/0!</v>
      </c>
      <c r="MPX114" s="363" t="s">
        <v>153</v>
      </c>
      <c r="MPY114" s="363"/>
      <c r="MPZ114" s="363"/>
      <c r="MQA114" s="364" t="s">
        <v>140</v>
      </c>
      <c r="MQB114" s="365">
        <v>0.5</v>
      </c>
      <c r="MQC114" s="366" t="e">
        <f>10/MPY112</f>
        <v>#DIV/0!</v>
      </c>
      <c r="MQD114" s="367">
        <v>15.38</v>
      </c>
      <c r="MQE114" s="367" t="e">
        <f>MQB114*MQC114*MQD114</f>
        <v>#DIV/0!</v>
      </c>
      <c r="MQF114" s="363" t="s">
        <v>153</v>
      </c>
      <c r="MQG114" s="363"/>
      <c r="MQH114" s="363"/>
      <c r="MQI114" s="364" t="s">
        <v>140</v>
      </c>
      <c r="MQJ114" s="365">
        <v>0.5</v>
      </c>
      <c r="MQK114" s="366" t="e">
        <f>10/MQG112</f>
        <v>#DIV/0!</v>
      </c>
      <c r="MQL114" s="367">
        <v>15.38</v>
      </c>
      <c r="MQM114" s="367" t="e">
        <f>MQJ114*MQK114*MQL114</f>
        <v>#DIV/0!</v>
      </c>
      <c r="MQN114" s="363" t="s">
        <v>153</v>
      </c>
      <c r="MQO114" s="363"/>
      <c r="MQP114" s="363"/>
      <c r="MQQ114" s="364" t="s">
        <v>140</v>
      </c>
      <c r="MQR114" s="365">
        <v>0.5</v>
      </c>
      <c r="MQS114" s="366" t="e">
        <f>10/MQO112</f>
        <v>#DIV/0!</v>
      </c>
      <c r="MQT114" s="367">
        <v>15.38</v>
      </c>
      <c r="MQU114" s="367" t="e">
        <f>MQR114*MQS114*MQT114</f>
        <v>#DIV/0!</v>
      </c>
      <c r="MQV114" s="363" t="s">
        <v>153</v>
      </c>
      <c r="MQW114" s="363"/>
      <c r="MQX114" s="363"/>
      <c r="MQY114" s="364" t="s">
        <v>140</v>
      </c>
      <c r="MQZ114" s="365">
        <v>0.5</v>
      </c>
      <c r="MRA114" s="366" t="e">
        <f>10/MQW112</f>
        <v>#DIV/0!</v>
      </c>
      <c r="MRB114" s="367">
        <v>15.38</v>
      </c>
      <c r="MRC114" s="367" t="e">
        <f>MQZ114*MRA114*MRB114</f>
        <v>#DIV/0!</v>
      </c>
      <c r="MRD114" s="363" t="s">
        <v>153</v>
      </c>
      <c r="MRE114" s="363"/>
      <c r="MRF114" s="363"/>
      <c r="MRG114" s="364" t="s">
        <v>140</v>
      </c>
      <c r="MRH114" s="365">
        <v>0.5</v>
      </c>
      <c r="MRI114" s="366" t="e">
        <f>10/MRE112</f>
        <v>#DIV/0!</v>
      </c>
      <c r="MRJ114" s="367">
        <v>15.38</v>
      </c>
      <c r="MRK114" s="367" t="e">
        <f>MRH114*MRI114*MRJ114</f>
        <v>#DIV/0!</v>
      </c>
      <c r="MRL114" s="363" t="s">
        <v>153</v>
      </c>
      <c r="MRM114" s="363"/>
      <c r="MRN114" s="363"/>
      <c r="MRO114" s="364" t="s">
        <v>140</v>
      </c>
      <c r="MRP114" s="365">
        <v>0.5</v>
      </c>
      <c r="MRQ114" s="366" t="e">
        <f>10/MRM112</f>
        <v>#DIV/0!</v>
      </c>
      <c r="MRR114" s="367">
        <v>15.38</v>
      </c>
      <c r="MRS114" s="367" t="e">
        <f>MRP114*MRQ114*MRR114</f>
        <v>#DIV/0!</v>
      </c>
      <c r="MRT114" s="363" t="s">
        <v>153</v>
      </c>
      <c r="MRU114" s="363"/>
      <c r="MRV114" s="363"/>
      <c r="MRW114" s="364" t="s">
        <v>140</v>
      </c>
      <c r="MRX114" s="365">
        <v>0.5</v>
      </c>
      <c r="MRY114" s="366" t="e">
        <f>10/MRU112</f>
        <v>#DIV/0!</v>
      </c>
      <c r="MRZ114" s="367">
        <v>15.38</v>
      </c>
      <c r="MSA114" s="367" t="e">
        <f>MRX114*MRY114*MRZ114</f>
        <v>#DIV/0!</v>
      </c>
      <c r="MSB114" s="363" t="s">
        <v>153</v>
      </c>
      <c r="MSC114" s="363"/>
      <c r="MSD114" s="363"/>
      <c r="MSE114" s="364" t="s">
        <v>140</v>
      </c>
      <c r="MSF114" s="365">
        <v>0.5</v>
      </c>
      <c r="MSG114" s="366" t="e">
        <f>10/MSC112</f>
        <v>#DIV/0!</v>
      </c>
      <c r="MSH114" s="367">
        <v>15.38</v>
      </c>
      <c r="MSI114" s="367" t="e">
        <f>MSF114*MSG114*MSH114</f>
        <v>#DIV/0!</v>
      </c>
      <c r="MSJ114" s="363" t="s">
        <v>153</v>
      </c>
      <c r="MSK114" s="363"/>
      <c r="MSL114" s="363"/>
      <c r="MSM114" s="364" t="s">
        <v>140</v>
      </c>
      <c r="MSN114" s="365">
        <v>0.5</v>
      </c>
      <c r="MSO114" s="366" t="e">
        <f>10/MSK112</f>
        <v>#DIV/0!</v>
      </c>
      <c r="MSP114" s="367">
        <v>15.38</v>
      </c>
      <c r="MSQ114" s="367" t="e">
        <f>MSN114*MSO114*MSP114</f>
        <v>#DIV/0!</v>
      </c>
      <c r="MSR114" s="363" t="s">
        <v>153</v>
      </c>
      <c r="MSS114" s="363"/>
      <c r="MST114" s="363"/>
      <c r="MSU114" s="364" t="s">
        <v>140</v>
      </c>
      <c r="MSV114" s="365">
        <v>0.5</v>
      </c>
      <c r="MSW114" s="366" t="e">
        <f>10/MSS112</f>
        <v>#DIV/0!</v>
      </c>
      <c r="MSX114" s="367">
        <v>15.38</v>
      </c>
      <c r="MSY114" s="367" t="e">
        <f>MSV114*MSW114*MSX114</f>
        <v>#DIV/0!</v>
      </c>
      <c r="MSZ114" s="363" t="s">
        <v>153</v>
      </c>
      <c r="MTA114" s="363"/>
      <c r="MTB114" s="363"/>
      <c r="MTC114" s="364" t="s">
        <v>140</v>
      </c>
      <c r="MTD114" s="365">
        <v>0.5</v>
      </c>
      <c r="MTE114" s="366" t="e">
        <f>10/MTA112</f>
        <v>#DIV/0!</v>
      </c>
      <c r="MTF114" s="367">
        <v>15.38</v>
      </c>
      <c r="MTG114" s="367" t="e">
        <f>MTD114*MTE114*MTF114</f>
        <v>#DIV/0!</v>
      </c>
      <c r="MTH114" s="363" t="s">
        <v>153</v>
      </c>
      <c r="MTI114" s="363"/>
      <c r="MTJ114" s="363"/>
      <c r="MTK114" s="364" t="s">
        <v>140</v>
      </c>
      <c r="MTL114" s="365">
        <v>0.5</v>
      </c>
      <c r="MTM114" s="366" t="e">
        <f>10/MTI112</f>
        <v>#DIV/0!</v>
      </c>
      <c r="MTN114" s="367">
        <v>15.38</v>
      </c>
      <c r="MTO114" s="367" t="e">
        <f>MTL114*MTM114*MTN114</f>
        <v>#DIV/0!</v>
      </c>
      <c r="MTP114" s="363" t="s">
        <v>153</v>
      </c>
      <c r="MTQ114" s="363"/>
      <c r="MTR114" s="363"/>
      <c r="MTS114" s="364" t="s">
        <v>140</v>
      </c>
      <c r="MTT114" s="365">
        <v>0.5</v>
      </c>
      <c r="MTU114" s="366" t="e">
        <f>10/MTQ112</f>
        <v>#DIV/0!</v>
      </c>
      <c r="MTV114" s="367">
        <v>15.38</v>
      </c>
      <c r="MTW114" s="367" t="e">
        <f>MTT114*MTU114*MTV114</f>
        <v>#DIV/0!</v>
      </c>
      <c r="MTX114" s="363" t="s">
        <v>153</v>
      </c>
      <c r="MTY114" s="363"/>
      <c r="MTZ114" s="363"/>
      <c r="MUA114" s="364" t="s">
        <v>140</v>
      </c>
      <c r="MUB114" s="365">
        <v>0.5</v>
      </c>
      <c r="MUC114" s="366" t="e">
        <f>10/MTY112</f>
        <v>#DIV/0!</v>
      </c>
      <c r="MUD114" s="367">
        <v>15.38</v>
      </c>
      <c r="MUE114" s="367" t="e">
        <f>MUB114*MUC114*MUD114</f>
        <v>#DIV/0!</v>
      </c>
      <c r="MUF114" s="363" t="s">
        <v>153</v>
      </c>
      <c r="MUG114" s="363"/>
      <c r="MUH114" s="363"/>
      <c r="MUI114" s="364" t="s">
        <v>140</v>
      </c>
      <c r="MUJ114" s="365">
        <v>0.5</v>
      </c>
      <c r="MUK114" s="366" t="e">
        <f>10/MUG112</f>
        <v>#DIV/0!</v>
      </c>
      <c r="MUL114" s="367">
        <v>15.38</v>
      </c>
      <c r="MUM114" s="367" t="e">
        <f>MUJ114*MUK114*MUL114</f>
        <v>#DIV/0!</v>
      </c>
      <c r="MUN114" s="363" t="s">
        <v>153</v>
      </c>
      <c r="MUO114" s="363"/>
      <c r="MUP114" s="363"/>
      <c r="MUQ114" s="364" t="s">
        <v>140</v>
      </c>
      <c r="MUR114" s="365">
        <v>0.5</v>
      </c>
      <c r="MUS114" s="366" t="e">
        <f>10/MUO112</f>
        <v>#DIV/0!</v>
      </c>
      <c r="MUT114" s="367">
        <v>15.38</v>
      </c>
      <c r="MUU114" s="367" t="e">
        <f>MUR114*MUS114*MUT114</f>
        <v>#DIV/0!</v>
      </c>
      <c r="MUV114" s="363" t="s">
        <v>153</v>
      </c>
      <c r="MUW114" s="363"/>
      <c r="MUX114" s="363"/>
      <c r="MUY114" s="364" t="s">
        <v>140</v>
      </c>
      <c r="MUZ114" s="365">
        <v>0.5</v>
      </c>
      <c r="MVA114" s="366" t="e">
        <f>10/MUW112</f>
        <v>#DIV/0!</v>
      </c>
      <c r="MVB114" s="367">
        <v>15.38</v>
      </c>
      <c r="MVC114" s="367" t="e">
        <f>MUZ114*MVA114*MVB114</f>
        <v>#DIV/0!</v>
      </c>
      <c r="MVD114" s="363" t="s">
        <v>153</v>
      </c>
      <c r="MVE114" s="363"/>
      <c r="MVF114" s="363"/>
      <c r="MVG114" s="364" t="s">
        <v>140</v>
      </c>
      <c r="MVH114" s="365">
        <v>0.5</v>
      </c>
      <c r="MVI114" s="366" t="e">
        <f>10/MVE112</f>
        <v>#DIV/0!</v>
      </c>
      <c r="MVJ114" s="367">
        <v>15.38</v>
      </c>
      <c r="MVK114" s="367" t="e">
        <f>MVH114*MVI114*MVJ114</f>
        <v>#DIV/0!</v>
      </c>
      <c r="MVL114" s="363" t="s">
        <v>153</v>
      </c>
      <c r="MVM114" s="363"/>
      <c r="MVN114" s="363"/>
      <c r="MVO114" s="364" t="s">
        <v>140</v>
      </c>
      <c r="MVP114" s="365">
        <v>0.5</v>
      </c>
      <c r="MVQ114" s="366" t="e">
        <f>10/MVM112</f>
        <v>#DIV/0!</v>
      </c>
      <c r="MVR114" s="367">
        <v>15.38</v>
      </c>
      <c r="MVS114" s="367" t="e">
        <f>MVP114*MVQ114*MVR114</f>
        <v>#DIV/0!</v>
      </c>
      <c r="MVT114" s="363" t="s">
        <v>153</v>
      </c>
      <c r="MVU114" s="363"/>
      <c r="MVV114" s="363"/>
      <c r="MVW114" s="364" t="s">
        <v>140</v>
      </c>
      <c r="MVX114" s="365">
        <v>0.5</v>
      </c>
      <c r="MVY114" s="366" t="e">
        <f>10/MVU112</f>
        <v>#DIV/0!</v>
      </c>
      <c r="MVZ114" s="367">
        <v>15.38</v>
      </c>
      <c r="MWA114" s="367" t="e">
        <f>MVX114*MVY114*MVZ114</f>
        <v>#DIV/0!</v>
      </c>
      <c r="MWB114" s="363" t="s">
        <v>153</v>
      </c>
      <c r="MWC114" s="363"/>
      <c r="MWD114" s="363"/>
      <c r="MWE114" s="364" t="s">
        <v>140</v>
      </c>
      <c r="MWF114" s="365">
        <v>0.5</v>
      </c>
      <c r="MWG114" s="366" t="e">
        <f>10/MWC112</f>
        <v>#DIV/0!</v>
      </c>
      <c r="MWH114" s="367">
        <v>15.38</v>
      </c>
      <c r="MWI114" s="367" t="e">
        <f>MWF114*MWG114*MWH114</f>
        <v>#DIV/0!</v>
      </c>
      <c r="MWJ114" s="363" t="s">
        <v>153</v>
      </c>
      <c r="MWK114" s="363"/>
      <c r="MWL114" s="363"/>
      <c r="MWM114" s="364" t="s">
        <v>140</v>
      </c>
      <c r="MWN114" s="365">
        <v>0.5</v>
      </c>
      <c r="MWO114" s="366" t="e">
        <f>10/MWK112</f>
        <v>#DIV/0!</v>
      </c>
      <c r="MWP114" s="367">
        <v>15.38</v>
      </c>
      <c r="MWQ114" s="367" t="e">
        <f>MWN114*MWO114*MWP114</f>
        <v>#DIV/0!</v>
      </c>
      <c r="MWR114" s="363" t="s">
        <v>153</v>
      </c>
      <c r="MWS114" s="363"/>
      <c r="MWT114" s="363"/>
      <c r="MWU114" s="364" t="s">
        <v>140</v>
      </c>
      <c r="MWV114" s="365">
        <v>0.5</v>
      </c>
      <c r="MWW114" s="366" t="e">
        <f>10/MWS112</f>
        <v>#DIV/0!</v>
      </c>
      <c r="MWX114" s="367">
        <v>15.38</v>
      </c>
      <c r="MWY114" s="367" t="e">
        <f>MWV114*MWW114*MWX114</f>
        <v>#DIV/0!</v>
      </c>
      <c r="MWZ114" s="363" t="s">
        <v>153</v>
      </c>
      <c r="MXA114" s="363"/>
      <c r="MXB114" s="363"/>
      <c r="MXC114" s="364" t="s">
        <v>140</v>
      </c>
      <c r="MXD114" s="365">
        <v>0.5</v>
      </c>
      <c r="MXE114" s="366" t="e">
        <f>10/MXA112</f>
        <v>#DIV/0!</v>
      </c>
      <c r="MXF114" s="367">
        <v>15.38</v>
      </c>
      <c r="MXG114" s="367" t="e">
        <f>MXD114*MXE114*MXF114</f>
        <v>#DIV/0!</v>
      </c>
      <c r="MXH114" s="363" t="s">
        <v>153</v>
      </c>
      <c r="MXI114" s="363"/>
      <c r="MXJ114" s="363"/>
      <c r="MXK114" s="364" t="s">
        <v>140</v>
      </c>
      <c r="MXL114" s="365">
        <v>0.5</v>
      </c>
      <c r="MXM114" s="366" t="e">
        <f>10/MXI112</f>
        <v>#DIV/0!</v>
      </c>
      <c r="MXN114" s="367">
        <v>15.38</v>
      </c>
      <c r="MXO114" s="367" t="e">
        <f>MXL114*MXM114*MXN114</f>
        <v>#DIV/0!</v>
      </c>
      <c r="MXP114" s="363" t="s">
        <v>153</v>
      </c>
      <c r="MXQ114" s="363"/>
      <c r="MXR114" s="363"/>
      <c r="MXS114" s="364" t="s">
        <v>140</v>
      </c>
      <c r="MXT114" s="365">
        <v>0.5</v>
      </c>
      <c r="MXU114" s="366" t="e">
        <f>10/MXQ112</f>
        <v>#DIV/0!</v>
      </c>
      <c r="MXV114" s="367">
        <v>15.38</v>
      </c>
      <c r="MXW114" s="367" t="e">
        <f>MXT114*MXU114*MXV114</f>
        <v>#DIV/0!</v>
      </c>
      <c r="MXX114" s="363" t="s">
        <v>153</v>
      </c>
      <c r="MXY114" s="363"/>
      <c r="MXZ114" s="363"/>
      <c r="MYA114" s="364" t="s">
        <v>140</v>
      </c>
      <c r="MYB114" s="365">
        <v>0.5</v>
      </c>
      <c r="MYC114" s="366" t="e">
        <f>10/MXY112</f>
        <v>#DIV/0!</v>
      </c>
      <c r="MYD114" s="367">
        <v>15.38</v>
      </c>
      <c r="MYE114" s="367" t="e">
        <f>MYB114*MYC114*MYD114</f>
        <v>#DIV/0!</v>
      </c>
      <c r="MYF114" s="363" t="s">
        <v>153</v>
      </c>
      <c r="MYG114" s="363"/>
      <c r="MYH114" s="363"/>
      <c r="MYI114" s="364" t="s">
        <v>140</v>
      </c>
      <c r="MYJ114" s="365">
        <v>0.5</v>
      </c>
      <c r="MYK114" s="366" t="e">
        <f>10/MYG112</f>
        <v>#DIV/0!</v>
      </c>
      <c r="MYL114" s="367">
        <v>15.38</v>
      </c>
      <c r="MYM114" s="367" t="e">
        <f>MYJ114*MYK114*MYL114</f>
        <v>#DIV/0!</v>
      </c>
      <c r="MYN114" s="363" t="s">
        <v>153</v>
      </c>
      <c r="MYO114" s="363"/>
      <c r="MYP114" s="363"/>
      <c r="MYQ114" s="364" t="s">
        <v>140</v>
      </c>
      <c r="MYR114" s="365">
        <v>0.5</v>
      </c>
      <c r="MYS114" s="366" t="e">
        <f>10/MYO112</f>
        <v>#DIV/0!</v>
      </c>
      <c r="MYT114" s="367">
        <v>15.38</v>
      </c>
      <c r="MYU114" s="367" t="e">
        <f>MYR114*MYS114*MYT114</f>
        <v>#DIV/0!</v>
      </c>
      <c r="MYV114" s="363" t="s">
        <v>153</v>
      </c>
      <c r="MYW114" s="363"/>
      <c r="MYX114" s="363"/>
      <c r="MYY114" s="364" t="s">
        <v>140</v>
      </c>
      <c r="MYZ114" s="365">
        <v>0.5</v>
      </c>
      <c r="MZA114" s="366" t="e">
        <f>10/MYW112</f>
        <v>#DIV/0!</v>
      </c>
      <c r="MZB114" s="367">
        <v>15.38</v>
      </c>
      <c r="MZC114" s="367" t="e">
        <f>MYZ114*MZA114*MZB114</f>
        <v>#DIV/0!</v>
      </c>
      <c r="MZD114" s="363" t="s">
        <v>153</v>
      </c>
      <c r="MZE114" s="363"/>
      <c r="MZF114" s="363"/>
      <c r="MZG114" s="364" t="s">
        <v>140</v>
      </c>
      <c r="MZH114" s="365">
        <v>0.5</v>
      </c>
      <c r="MZI114" s="366" t="e">
        <f>10/MZE112</f>
        <v>#DIV/0!</v>
      </c>
      <c r="MZJ114" s="367">
        <v>15.38</v>
      </c>
      <c r="MZK114" s="367" t="e">
        <f>MZH114*MZI114*MZJ114</f>
        <v>#DIV/0!</v>
      </c>
      <c r="MZL114" s="363" t="s">
        <v>153</v>
      </c>
      <c r="MZM114" s="363"/>
      <c r="MZN114" s="363"/>
      <c r="MZO114" s="364" t="s">
        <v>140</v>
      </c>
      <c r="MZP114" s="365">
        <v>0.5</v>
      </c>
      <c r="MZQ114" s="366" t="e">
        <f>10/MZM112</f>
        <v>#DIV/0!</v>
      </c>
      <c r="MZR114" s="367">
        <v>15.38</v>
      </c>
      <c r="MZS114" s="367" t="e">
        <f>MZP114*MZQ114*MZR114</f>
        <v>#DIV/0!</v>
      </c>
      <c r="MZT114" s="363" t="s">
        <v>153</v>
      </c>
      <c r="MZU114" s="363"/>
      <c r="MZV114" s="363"/>
      <c r="MZW114" s="364" t="s">
        <v>140</v>
      </c>
      <c r="MZX114" s="365">
        <v>0.5</v>
      </c>
      <c r="MZY114" s="366" t="e">
        <f>10/MZU112</f>
        <v>#DIV/0!</v>
      </c>
      <c r="MZZ114" s="367">
        <v>15.38</v>
      </c>
      <c r="NAA114" s="367" t="e">
        <f>MZX114*MZY114*MZZ114</f>
        <v>#DIV/0!</v>
      </c>
      <c r="NAB114" s="363" t="s">
        <v>153</v>
      </c>
      <c r="NAC114" s="363"/>
      <c r="NAD114" s="363"/>
      <c r="NAE114" s="364" t="s">
        <v>140</v>
      </c>
      <c r="NAF114" s="365">
        <v>0.5</v>
      </c>
      <c r="NAG114" s="366" t="e">
        <f>10/NAC112</f>
        <v>#DIV/0!</v>
      </c>
      <c r="NAH114" s="367">
        <v>15.38</v>
      </c>
      <c r="NAI114" s="367" t="e">
        <f>NAF114*NAG114*NAH114</f>
        <v>#DIV/0!</v>
      </c>
      <c r="NAJ114" s="363" t="s">
        <v>153</v>
      </c>
      <c r="NAK114" s="363"/>
      <c r="NAL114" s="363"/>
      <c r="NAM114" s="364" t="s">
        <v>140</v>
      </c>
      <c r="NAN114" s="365">
        <v>0.5</v>
      </c>
      <c r="NAO114" s="366" t="e">
        <f>10/NAK112</f>
        <v>#DIV/0!</v>
      </c>
      <c r="NAP114" s="367">
        <v>15.38</v>
      </c>
      <c r="NAQ114" s="367" t="e">
        <f>NAN114*NAO114*NAP114</f>
        <v>#DIV/0!</v>
      </c>
      <c r="NAR114" s="363" t="s">
        <v>153</v>
      </c>
      <c r="NAS114" s="363"/>
      <c r="NAT114" s="363"/>
      <c r="NAU114" s="364" t="s">
        <v>140</v>
      </c>
      <c r="NAV114" s="365">
        <v>0.5</v>
      </c>
      <c r="NAW114" s="366" t="e">
        <f>10/NAS112</f>
        <v>#DIV/0!</v>
      </c>
      <c r="NAX114" s="367">
        <v>15.38</v>
      </c>
      <c r="NAY114" s="367" t="e">
        <f>NAV114*NAW114*NAX114</f>
        <v>#DIV/0!</v>
      </c>
      <c r="NAZ114" s="363" t="s">
        <v>153</v>
      </c>
      <c r="NBA114" s="363"/>
      <c r="NBB114" s="363"/>
      <c r="NBC114" s="364" t="s">
        <v>140</v>
      </c>
      <c r="NBD114" s="365">
        <v>0.5</v>
      </c>
      <c r="NBE114" s="366" t="e">
        <f>10/NBA112</f>
        <v>#DIV/0!</v>
      </c>
      <c r="NBF114" s="367">
        <v>15.38</v>
      </c>
      <c r="NBG114" s="367" t="e">
        <f>NBD114*NBE114*NBF114</f>
        <v>#DIV/0!</v>
      </c>
      <c r="NBH114" s="363" t="s">
        <v>153</v>
      </c>
      <c r="NBI114" s="363"/>
      <c r="NBJ114" s="363"/>
      <c r="NBK114" s="364" t="s">
        <v>140</v>
      </c>
      <c r="NBL114" s="365">
        <v>0.5</v>
      </c>
      <c r="NBM114" s="366" t="e">
        <f>10/NBI112</f>
        <v>#DIV/0!</v>
      </c>
      <c r="NBN114" s="367">
        <v>15.38</v>
      </c>
      <c r="NBO114" s="367" t="e">
        <f>NBL114*NBM114*NBN114</f>
        <v>#DIV/0!</v>
      </c>
      <c r="NBP114" s="363" t="s">
        <v>153</v>
      </c>
      <c r="NBQ114" s="363"/>
      <c r="NBR114" s="363"/>
      <c r="NBS114" s="364" t="s">
        <v>140</v>
      </c>
      <c r="NBT114" s="365">
        <v>0.5</v>
      </c>
      <c r="NBU114" s="366" t="e">
        <f>10/NBQ112</f>
        <v>#DIV/0!</v>
      </c>
      <c r="NBV114" s="367">
        <v>15.38</v>
      </c>
      <c r="NBW114" s="367" t="e">
        <f>NBT114*NBU114*NBV114</f>
        <v>#DIV/0!</v>
      </c>
      <c r="NBX114" s="363" t="s">
        <v>153</v>
      </c>
      <c r="NBY114" s="363"/>
      <c r="NBZ114" s="363"/>
      <c r="NCA114" s="364" t="s">
        <v>140</v>
      </c>
      <c r="NCB114" s="365">
        <v>0.5</v>
      </c>
      <c r="NCC114" s="366" t="e">
        <f>10/NBY112</f>
        <v>#DIV/0!</v>
      </c>
      <c r="NCD114" s="367">
        <v>15.38</v>
      </c>
      <c r="NCE114" s="367" t="e">
        <f>NCB114*NCC114*NCD114</f>
        <v>#DIV/0!</v>
      </c>
      <c r="NCF114" s="363" t="s">
        <v>153</v>
      </c>
      <c r="NCG114" s="363"/>
      <c r="NCH114" s="363"/>
      <c r="NCI114" s="364" t="s">
        <v>140</v>
      </c>
      <c r="NCJ114" s="365">
        <v>0.5</v>
      </c>
      <c r="NCK114" s="366" t="e">
        <f>10/NCG112</f>
        <v>#DIV/0!</v>
      </c>
      <c r="NCL114" s="367">
        <v>15.38</v>
      </c>
      <c r="NCM114" s="367" t="e">
        <f>NCJ114*NCK114*NCL114</f>
        <v>#DIV/0!</v>
      </c>
      <c r="NCN114" s="363" t="s">
        <v>153</v>
      </c>
      <c r="NCO114" s="363"/>
      <c r="NCP114" s="363"/>
      <c r="NCQ114" s="364" t="s">
        <v>140</v>
      </c>
      <c r="NCR114" s="365">
        <v>0.5</v>
      </c>
      <c r="NCS114" s="366" t="e">
        <f>10/NCO112</f>
        <v>#DIV/0!</v>
      </c>
      <c r="NCT114" s="367">
        <v>15.38</v>
      </c>
      <c r="NCU114" s="367" t="e">
        <f>NCR114*NCS114*NCT114</f>
        <v>#DIV/0!</v>
      </c>
      <c r="NCV114" s="363" t="s">
        <v>153</v>
      </c>
      <c r="NCW114" s="363"/>
      <c r="NCX114" s="363"/>
      <c r="NCY114" s="364" t="s">
        <v>140</v>
      </c>
      <c r="NCZ114" s="365">
        <v>0.5</v>
      </c>
      <c r="NDA114" s="366" t="e">
        <f>10/NCW112</f>
        <v>#DIV/0!</v>
      </c>
      <c r="NDB114" s="367">
        <v>15.38</v>
      </c>
      <c r="NDC114" s="367" t="e">
        <f>NCZ114*NDA114*NDB114</f>
        <v>#DIV/0!</v>
      </c>
      <c r="NDD114" s="363" t="s">
        <v>153</v>
      </c>
      <c r="NDE114" s="363"/>
      <c r="NDF114" s="363"/>
      <c r="NDG114" s="364" t="s">
        <v>140</v>
      </c>
      <c r="NDH114" s="365">
        <v>0.5</v>
      </c>
      <c r="NDI114" s="366" t="e">
        <f>10/NDE112</f>
        <v>#DIV/0!</v>
      </c>
      <c r="NDJ114" s="367">
        <v>15.38</v>
      </c>
      <c r="NDK114" s="367" t="e">
        <f>NDH114*NDI114*NDJ114</f>
        <v>#DIV/0!</v>
      </c>
      <c r="NDL114" s="363" t="s">
        <v>153</v>
      </c>
      <c r="NDM114" s="363"/>
      <c r="NDN114" s="363"/>
      <c r="NDO114" s="364" t="s">
        <v>140</v>
      </c>
      <c r="NDP114" s="365">
        <v>0.5</v>
      </c>
      <c r="NDQ114" s="366" t="e">
        <f>10/NDM112</f>
        <v>#DIV/0!</v>
      </c>
      <c r="NDR114" s="367">
        <v>15.38</v>
      </c>
      <c r="NDS114" s="367" t="e">
        <f>NDP114*NDQ114*NDR114</f>
        <v>#DIV/0!</v>
      </c>
      <c r="NDT114" s="363" t="s">
        <v>153</v>
      </c>
      <c r="NDU114" s="363"/>
      <c r="NDV114" s="363"/>
      <c r="NDW114" s="364" t="s">
        <v>140</v>
      </c>
      <c r="NDX114" s="365">
        <v>0.5</v>
      </c>
      <c r="NDY114" s="366" t="e">
        <f>10/NDU112</f>
        <v>#DIV/0!</v>
      </c>
      <c r="NDZ114" s="367">
        <v>15.38</v>
      </c>
      <c r="NEA114" s="367" t="e">
        <f>NDX114*NDY114*NDZ114</f>
        <v>#DIV/0!</v>
      </c>
      <c r="NEB114" s="363" t="s">
        <v>153</v>
      </c>
      <c r="NEC114" s="363"/>
      <c r="NED114" s="363"/>
      <c r="NEE114" s="364" t="s">
        <v>140</v>
      </c>
      <c r="NEF114" s="365">
        <v>0.5</v>
      </c>
      <c r="NEG114" s="366" t="e">
        <f>10/NEC112</f>
        <v>#DIV/0!</v>
      </c>
      <c r="NEH114" s="367">
        <v>15.38</v>
      </c>
      <c r="NEI114" s="367" t="e">
        <f>NEF114*NEG114*NEH114</f>
        <v>#DIV/0!</v>
      </c>
      <c r="NEJ114" s="363" t="s">
        <v>153</v>
      </c>
      <c r="NEK114" s="363"/>
      <c r="NEL114" s="363"/>
      <c r="NEM114" s="364" t="s">
        <v>140</v>
      </c>
      <c r="NEN114" s="365">
        <v>0.5</v>
      </c>
      <c r="NEO114" s="366" t="e">
        <f>10/NEK112</f>
        <v>#DIV/0!</v>
      </c>
      <c r="NEP114" s="367">
        <v>15.38</v>
      </c>
      <c r="NEQ114" s="367" t="e">
        <f>NEN114*NEO114*NEP114</f>
        <v>#DIV/0!</v>
      </c>
      <c r="NER114" s="363" t="s">
        <v>153</v>
      </c>
      <c r="NES114" s="363"/>
      <c r="NET114" s="363"/>
      <c r="NEU114" s="364" t="s">
        <v>140</v>
      </c>
      <c r="NEV114" s="365">
        <v>0.5</v>
      </c>
      <c r="NEW114" s="366" t="e">
        <f>10/NES112</f>
        <v>#DIV/0!</v>
      </c>
      <c r="NEX114" s="367">
        <v>15.38</v>
      </c>
      <c r="NEY114" s="367" t="e">
        <f>NEV114*NEW114*NEX114</f>
        <v>#DIV/0!</v>
      </c>
      <c r="NEZ114" s="363" t="s">
        <v>153</v>
      </c>
      <c r="NFA114" s="363"/>
      <c r="NFB114" s="363"/>
      <c r="NFC114" s="364" t="s">
        <v>140</v>
      </c>
      <c r="NFD114" s="365">
        <v>0.5</v>
      </c>
      <c r="NFE114" s="366" t="e">
        <f>10/NFA112</f>
        <v>#DIV/0!</v>
      </c>
      <c r="NFF114" s="367">
        <v>15.38</v>
      </c>
      <c r="NFG114" s="367" t="e">
        <f>NFD114*NFE114*NFF114</f>
        <v>#DIV/0!</v>
      </c>
      <c r="NFH114" s="363" t="s">
        <v>153</v>
      </c>
      <c r="NFI114" s="363"/>
      <c r="NFJ114" s="363"/>
      <c r="NFK114" s="364" t="s">
        <v>140</v>
      </c>
      <c r="NFL114" s="365">
        <v>0.5</v>
      </c>
      <c r="NFM114" s="366" t="e">
        <f>10/NFI112</f>
        <v>#DIV/0!</v>
      </c>
      <c r="NFN114" s="367">
        <v>15.38</v>
      </c>
      <c r="NFO114" s="367" t="e">
        <f>NFL114*NFM114*NFN114</f>
        <v>#DIV/0!</v>
      </c>
      <c r="NFP114" s="363" t="s">
        <v>153</v>
      </c>
      <c r="NFQ114" s="363"/>
      <c r="NFR114" s="363"/>
      <c r="NFS114" s="364" t="s">
        <v>140</v>
      </c>
      <c r="NFT114" s="365">
        <v>0.5</v>
      </c>
      <c r="NFU114" s="366" t="e">
        <f>10/NFQ112</f>
        <v>#DIV/0!</v>
      </c>
      <c r="NFV114" s="367">
        <v>15.38</v>
      </c>
      <c r="NFW114" s="367" t="e">
        <f>NFT114*NFU114*NFV114</f>
        <v>#DIV/0!</v>
      </c>
      <c r="NFX114" s="363" t="s">
        <v>153</v>
      </c>
      <c r="NFY114" s="363"/>
      <c r="NFZ114" s="363"/>
      <c r="NGA114" s="364" t="s">
        <v>140</v>
      </c>
      <c r="NGB114" s="365">
        <v>0.5</v>
      </c>
      <c r="NGC114" s="366" t="e">
        <f>10/NFY112</f>
        <v>#DIV/0!</v>
      </c>
      <c r="NGD114" s="367">
        <v>15.38</v>
      </c>
      <c r="NGE114" s="367" t="e">
        <f>NGB114*NGC114*NGD114</f>
        <v>#DIV/0!</v>
      </c>
      <c r="NGF114" s="363" t="s">
        <v>153</v>
      </c>
      <c r="NGG114" s="363"/>
      <c r="NGH114" s="363"/>
      <c r="NGI114" s="364" t="s">
        <v>140</v>
      </c>
      <c r="NGJ114" s="365">
        <v>0.5</v>
      </c>
      <c r="NGK114" s="366" t="e">
        <f>10/NGG112</f>
        <v>#DIV/0!</v>
      </c>
      <c r="NGL114" s="367">
        <v>15.38</v>
      </c>
      <c r="NGM114" s="367" t="e">
        <f>NGJ114*NGK114*NGL114</f>
        <v>#DIV/0!</v>
      </c>
      <c r="NGN114" s="363" t="s">
        <v>153</v>
      </c>
      <c r="NGO114" s="363"/>
      <c r="NGP114" s="363"/>
      <c r="NGQ114" s="364" t="s">
        <v>140</v>
      </c>
      <c r="NGR114" s="365">
        <v>0.5</v>
      </c>
      <c r="NGS114" s="366" t="e">
        <f>10/NGO112</f>
        <v>#DIV/0!</v>
      </c>
      <c r="NGT114" s="367">
        <v>15.38</v>
      </c>
      <c r="NGU114" s="367" t="e">
        <f>NGR114*NGS114*NGT114</f>
        <v>#DIV/0!</v>
      </c>
      <c r="NGV114" s="363" t="s">
        <v>153</v>
      </c>
      <c r="NGW114" s="363"/>
      <c r="NGX114" s="363"/>
      <c r="NGY114" s="364" t="s">
        <v>140</v>
      </c>
      <c r="NGZ114" s="365">
        <v>0.5</v>
      </c>
      <c r="NHA114" s="366" t="e">
        <f>10/NGW112</f>
        <v>#DIV/0!</v>
      </c>
      <c r="NHB114" s="367">
        <v>15.38</v>
      </c>
      <c r="NHC114" s="367" t="e">
        <f>NGZ114*NHA114*NHB114</f>
        <v>#DIV/0!</v>
      </c>
      <c r="NHD114" s="363" t="s">
        <v>153</v>
      </c>
      <c r="NHE114" s="363"/>
      <c r="NHF114" s="363"/>
      <c r="NHG114" s="364" t="s">
        <v>140</v>
      </c>
      <c r="NHH114" s="365">
        <v>0.5</v>
      </c>
      <c r="NHI114" s="366" t="e">
        <f>10/NHE112</f>
        <v>#DIV/0!</v>
      </c>
      <c r="NHJ114" s="367">
        <v>15.38</v>
      </c>
      <c r="NHK114" s="367" t="e">
        <f>NHH114*NHI114*NHJ114</f>
        <v>#DIV/0!</v>
      </c>
      <c r="NHL114" s="363" t="s">
        <v>153</v>
      </c>
      <c r="NHM114" s="363"/>
      <c r="NHN114" s="363"/>
      <c r="NHO114" s="364" t="s">
        <v>140</v>
      </c>
      <c r="NHP114" s="365">
        <v>0.5</v>
      </c>
      <c r="NHQ114" s="366" t="e">
        <f>10/NHM112</f>
        <v>#DIV/0!</v>
      </c>
      <c r="NHR114" s="367">
        <v>15.38</v>
      </c>
      <c r="NHS114" s="367" t="e">
        <f>NHP114*NHQ114*NHR114</f>
        <v>#DIV/0!</v>
      </c>
      <c r="NHT114" s="363" t="s">
        <v>153</v>
      </c>
      <c r="NHU114" s="363"/>
      <c r="NHV114" s="363"/>
      <c r="NHW114" s="364" t="s">
        <v>140</v>
      </c>
      <c r="NHX114" s="365">
        <v>0.5</v>
      </c>
      <c r="NHY114" s="366" t="e">
        <f>10/NHU112</f>
        <v>#DIV/0!</v>
      </c>
      <c r="NHZ114" s="367">
        <v>15.38</v>
      </c>
      <c r="NIA114" s="367" t="e">
        <f>NHX114*NHY114*NHZ114</f>
        <v>#DIV/0!</v>
      </c>
      <c r="NIB114" s="363" t="s">
        <v>153</v>
      </c>
      <c r="NIC114" s="363"/>
      <c r="NID114" s="363"/>
      <c r="NIE114" s="364" t="s">
        <v>140</v>
      </c>
      <c r="NIF114" s="365">
        <v>0.5</v>
      </c>
      <c r="NIG114" s="366" t="e">
        <f>10/NIC112</f>
        <v>#DIV/0!</v>
      </c>
      <c r="NIH114" s="367">
        <v>15.38</v>
      </c>
      <c r="NII114" s="367" t="e">
        <f>NIF114*NIG114*NIH114</f>
        <v>#DIV/0!</v>
      </c>
      <c r="NIJ114" s="363" t="s">
        <v>153</v>
      </c>
      <c r="NIK114" s="363"/>
      <c r="NIL114" s="363"/>
      <c r="NIM114" s="364" t="s">
        <v>140</v>
      </c>
      <c r="NIN114" s="365">
        <v>0.5</v>
      </c>
      <c r="NIO114" s="366" t="e">
        <f>10/NIK112</f>
        <v>#DIV/0!</v>
      </c>
      <c r="NIP114" s="367">
        <v>15.38</v>
      </c>
      <c r="NIQ114" s="367" t="e">
        <f>NIN114*NIO114*NIP114</f>
        <v>#DIV/0!</v>
      </c>
      <c r="NIR114" s="363" t="s">
        <v>153</v>
      </c>
      <c r="NIS114" s="363"/>
      <c r="NIT114" s="363"/>
      <c r="NIU114" s="364" t="s">
        <v>140</v>
      </c>
      <c r="NIV114" s="365">
        <v>0.5</v>
      </c>
      <c r="NIW114" s="366" t="e">
        <f>10/NIS112</f>
        <v>#DIV/0!</v>
      </c>
      <c r="NIX114" s="367">
        <v>15.38</v>
      </c>
      <c r="NIY114" s="367" t="e">
        <f>NIV114*NIW114*NIX114</f>
        <v>#DIV/0!</v>
      </c>
      <c r="NIZ114" s="363" t="s">
        <v>153</v>
      </c>
      <c r="NJA114" s="363"/>
      <c r="NJB114" s="363"/>
      <c r="NJC114" s="364" t="s">
        <v>140</v>
      </c>
      <c r="NJD114" s="365">
        <v>0.5</v>
      </c>
      <c r="NJE114" s="366" t="e">
        <f>10/NJA112</f>
        <v>#DIV/0!</v>
      </c>
      <c r="NJF114" s="367">
        <v>15.38</v>
      </c>
      <c r="NJG114" s="367" t="e">
        <f>NJD114*NJE114*NJF114</f>
        <v>#DIV/0!</v>
      </c>
      <c r="NJH114" s="363" t="s">
        <v>153</v>
      </c>
      <c r="NJI114" s="363"/>
      <c r="NJJ114" s="363"/>
      <c r="NJK114" s="364" t="s">
        <v>140</v>
      </c>
      <c r="NJL114" s="365">
        <v>0.5</v>
      </c>
      <c r="NJM114" s="366" t="e">
        <f>10/NJI112</f>
        <v>#DIV/0!</v>
      </c>
      <c r="NJN114" s="367">
        <v>15.38</v>
      </c>
      <c r="NJO114" s="367" t="e">
        <f>NJL114*NJM114*NJN114</f>
        <v>#DIV/0!</v>
      </c>
      <c r="NJP114" s="363" t="s">
        <v>153</v>
      </c>
      <c r="NJQ114" s="363"/>
      <c r="NJR114" s="363"/>
      <c r="NJS114" s="364" t="s">
        <v>140</v>
      </c>
      <c r="NJT114" s="365">
        <v>0.5</v>
      </c>
      <c r="NJU114" s="366" t="e">
        <f>10/NJQ112</f>
        <v>#DIV/0!</v>
      </c>
      <c r="NJV114" s="367">
        <v>15.38</v>
      </c>
      <c r="NJW114" s="367" t="e">
        <f>NJT114*NJU114*NJV114</f>
        <v>#DIV/0!</v>
      </c>
      <c r="NJX114" s="363" t="s">
        <v>153</v>
      </c>
      <c r="NJY114" s="363"/>
      <c r="NJZ114" s="363"/>
      <c r="NKA114" s="364" t="s">
        <v>140</v>
      </c>
      <c r="NKB114" s="365">
        <v>0.5</v>
      </c>
      <c r="NKC114" s="366" t="e">
        <f>10/NJY112</f>
        <v>#DIV/0!</v>
      </c>
      <c r="NKD114" s="367">
        <v>15.38</v>
      </c>
      <c r="NKE114" s="367" t="e">
        <f>NKB114*NKC114*NKD114</f>
        <v>#DIV/0!</v>
      </c>
      <c r="NKF114" s="363" t="s">
        <v>153</v>
      </c>
      <c r="NKG114" s="363"/>
      <c r="NKH114" s="363"/>
      <c r="NKI114" s="364" t="s">
        <v>140</v>
      </c>
      <c r="NKJ114" s="365">
        <v>0.5</v>
      </c>
      <c r="NKK114" s="366" t="e">
        <f>10/NKG112</f>
        <v>#DIV/0!</v>
      </c>
      <c r="NKL114" s="367">
        <v>15.38</v>
      </c>
      <c r="NKM114" s="367" t="e">
        <f>NKJ114*NKK114*NKL114</f>
        <v>#DIV/0!</v>
      </c>
      <c r="NKN114" s="363" t="s">
        <v>153</v>
      </c>
      <c r="NKO114" s="363"/>
      <c r="NKP114" s="363"/>
      <c r="NKQ114" s="364" t="s">
        <v>140</v>
      </c>
      <c r="NKR114" s="365">
        <v>0.5</v>
      </c>
      <c r="NKS114" s="366" t="e">
        <f>10/NKO112</f>
        <v>#DIV/0!</v>
      </c>
      <c r="NKT114" s="367">
        <v>15.38</v>
      </c>
      <c r="NKU114" s="367" t="e">
        <f>NKR114*NKS114*NKT114</f>
        <v>#DIV/0!</v>
      </c>
      <c r="NKV114" s="363" t="s">
        <v>153</v>
      </c>
      <c r="NKW114" s="363"/>
      <c r="NKX114" s="363"/>
      <c r="NKY114" s="364" t="s">
        <v>140</v>
      </c>
      <c r="NKZ114" s="365">
        <v>0.5</v>
      </c>
      <c r="NLA114" s="366" t="e">
        <f>10/NKW112</f>
        <v>#DIV/0!</v>
      </c>
      <c r="NLB114" s="367">
        <v>15.38</v>
      </c>
      <c r="NLC114" s="367" t="e">
        <f>NKZ114*NLA114*NLB114</f>
        <v>#DIV/0!</v>
      </c>
      <c r="NLD114" s="363" t="s">
        <v>153</v>
      </c>
      <c r="NLE114" s="363"/>
      <c r="NLF114" s="363"/>
      <c r="NLG114" s="364" t="s">
        <v>140</v>
      </c>
      <c r="NLH114" s="365">
        <v>0.5</v>
      </c>
      <c r="NLI114" s="366" t="e">
        <f>10/NLE112</f>
        <v>#DIV/0!</v>
      </c>
      <c r="NLJ114" s="367">
        <v>15.38</v>
      </c>
      <c r="NLK114" s="367" t="e">
        <f>NLH114*NLI114*NLJ114</f>
        <v>#DIV/0!</v>
      </c>
      <c r="NLL114" s="363" t="s">
        <v>153</v>
      </c>
      <c r="NLM114" s="363"/>
      <c r="NLN114" s="363"/>
      <c r="NLO114" s="364" t="s">
        <v>140</v>
      </c>
      <c r="NLP114" s="365">
        <v>0.5</v>
      </c>
      <c r="NLQ114" s="366" t="e">
        <f>10/NLM112</f>
        <v>#DIV/0!</v>
      </c>
      <c r="NLR114" s="367">
        <v>15.38</v>
      </c>
      <c r="NLS114" s="367" t="e">
        <f>NLP114*NLQ114*NLR114</f>
        <v>#DIV/0!</v>
      </c>
      <c r="NLT114" s="363" t="s">
        <v>153</v>
      </c>
      <c r="NLU114" s="363"/>
      <c r="NLV114" s="363"/>
      <c r="NLW114" s="364" t="s">
        <v>140</v>
      </c>
      <c r="NLX114" s="365">
        <v>0.5</v>
      </c>
      <c r="NLY114" s="366" t="e">
        <f>10/NLU112</f>
        <v>#DIV/0!</v>
      </c>
      <c r="NLZ114" s="367">
        <v>15.38</v>
      </c>
      <c r="NMA114" s="367" t="e">
        <f>NLX114*NLY114*NLZ114</f>
        <v>#DIV/0!</v>
      </c>
      <c r="NMB114" s="363" t="s">
        <v>153</v>
      </c>
      <c r="NMC114" s="363"/>
      <c r="NMD114" s="363"/>
      <c r="NME114" s="364" t="s">
        <v>140</v>
      </c>
      <c r="NMF114" s="365">
        <v>0.5</v>
      </c>
      <c r="NMG114" s="366" t="e">
        <f>10/NMC112</f>
        <v>#DIV/0!</v>
      </c>
      <c r="NMH114" s="367">
        <v>15.38</v>
      </c>
      <c r="NMI114" s="367" t="e">
        <f>NMF114*NMG114*NMH114</f>
        <v>#DIV/0!</v>
      </c>
      <c r="NMJ114" s="363" t="s">
        <v>153</v>
      </c>
      <c r="NMK114" s="363"/>
      <c r="NML114" s="363"/>
      <c r="NMM114" s="364" t="s">
        <v>140</v>
      </c>
      <c r="NMN114" s="365">
        <v>0.5</v>
      </c>
      <c r="NMO114" s="366" t="e">
        <f>10/NMK112</f>
        <v>#DIV/0!</v>
      </c>
      <c r="NMP114" s="367">
        <v>15.38</v>
      </c>
      <c r="NMQ114" s="367" t="e">
        <f>NMN114*NMO114*NMP114</f>
        <v>#DIV/0!</v>
      </c>
      <c r="NMR114" s="363" t="s">
        <v>153</v>
      </c>
      <c r="NMS114" s="363"/>
      <c r="NMT114" s="363"/>
      <c r="NMU114" s="364" t="s">
        <v>140</v>
      </c>
      <c r="NMV114" s="365">
        <v>0.5</v>
      </c>
      <c r="NMW114" s="366" t="e">
        <f>10/NMS112</f>
        <v>#DIV/0!</v>
      </c>
      <c r="NMX114" s="367">
        <v>15.38</v>
      </c>
      <c r="NMY114" s="367" t="e">
        <f>NMV114*NMW114*NMX114</f>
        <v>#DIV/0!</v>
      </c>
      <c r="NMZ114" s="363" t="s">
        <v>153</v>
      </c>
      <c r="NNA114" s="363"/>
      <c r="NNB114" s="363"/>
      <c r="NNC114" s="364" t="s">
        <v>140</v>
      </c>
      <c r="NND114" s="365">
        <v>0.5</v>
      </c>
      <c r="NNE114" s="366" t="e">
        <f>10/NNA112</f>
        <v>#DIV/0!</v>
      </c>
      <c r="NNF114" s="367">
        <v>15.38</v>
      </c>
      <c r="NNG114" s="367" t="e">
        <f>NND114*NNE114*NNF114</f>
        <v>#DIV/0!</v>
      </c>
      <c r="NNH114" s="363" t="s">
        <v>153</v>
      </c>
      <c r="NNI114" s="363"/>
      <c r="NNJ114" s="363"/>
      <c r="NNK114" s="364" t="s">
        <v>140</v>
      </c>
      <c r="NNL114" s="365">
        <v>0.5</v>
      </c>
      <c r="NNM114" s="366" t="e">
        <f>10/NNI112</f>
        <v>#DIV/0!</v>
      </c>
      <c r="NNN114" s="367">
        <v>15.38</v>
      </c>
      <c r="NNO114" s="367" t="e">
        <f>NNL114*NNM114*NNN114</f>
        <v>#DIV/0!</v>
      </c>
      <c r="NNP114" s="363" t="s">
        <v>153</v>
      </c>
      <c r="NNQ114" s="363"/>
      <c r="NNR114" s="363"/>
      <c r="NNS114" s="364" t="s">
        <v>140</v>
      </c>
      <c r="NNT114" s="365">
        <v>0.5</v>
      </c>
      <c r="NNU114" s="366" t="e">
        <f>10/NNQ112</f>
        <v>#DIV/0!</v>
      </c>
      <c r="NNV114" s="367">
        <v>15.38</v>
      </c>
      <c r="NNW114" s="367" t="e">
        <f>NNT114*NNU114*NNV114</f>
        <v>#DIV/0!</v>
      </c>
      <c r="NNX114" s="363" t="s">
        <v>153</v>
      </c>
      <c r="NNY114" s="363"/>
      <c r="NNZ114" s="363"/>
      <c r="NOA114" s="364" t="s">
        <v>140</v>
      </c>
      <c r="NOB114" s="365">
        <v>0.5</v>
      </c>
      <c r="NOC114" s="366" t="e">
        <f>10/NNY112</f>
        <v>#DIV/0!</v>
      </c>
      <c r="NOD114" s="367">
        <v>15.38</v>
      </c>
      <c r="NOE114" s="367" t="e">
        <f>NOB114*NOC114*NOD114</f>
        <v>#DIV/0!</v>
      </c>
      <c r="NOF114" s="363" t="s">
        <v>153</v>
      </c>
      <c r="NOG114" s="363"/>
      <c r="NOH114" s="363"/>
      <c r="NOI114" s="364" t="s">
        <v>140</v>
      </c>
      <c r="NOJ114" s="365">
        <v>0.5</v>
      </c>
      <c r="NOK114" s="366" t="e">
        <f>10/NOG112</f>
        <v>#DIV/0!</v>
      </c>
      <c r="NOL114" s="367">
        <v>15.38</v>
      </c>
      <c r="NOM114" s="367" t="e">
        <f>NOJ114*NOK114*NOL114</f>
        <v>#DIV/0!</v>
      </c>
      <c r="NON114" s="363" t="s">
        <v>153</v>
      </c>
      <c r="NOO114" s="363"/>
      <c r="NOP114" s="363"/>
      <c r="NOQ114" s="364" t="s">
        <v>140</v>
      </c>
      <c r="NOR114" s="365">
        <v>0.5</v>
      </c>
      <c r="NOS114" s="366" t="e">
        <f>10/NOO112</f>
        <v>#DIV/0!</v>
      </c>
      <c r="NOT114" s="367">
        <v>15.38</v>
      </c>
      <c r="NOU114" s="367" t="e">
        <f>NOR114*NOS114*NOT114</f>
        <v>#DIV/0!</v>
      </c>
      <c r="NOV114" s="363" t="s">
        <v>153</v>
      </c>
      <c r="NOW114" s="363"/>
      <c r="NOX114" s="363"/>
      <c r="NOY114" s="364" t="s">
        <v>140</v>
      </c>
      <c r="NOZ114" s="365">
        <v>0.5</v>
      </c>
      <c r="NPA114" s="366" t="e">
        <f>10/NOW112</f>
        <v>#DIV/0!</v>
      </c>
      <c r="NPB114" s="367">
        <v>15.38</v>
      </c>
      <c r="NPC114" s="367" t="e">
        <f>NOZ114*NPA114*NPB114</f>
        <v>#DIV/0!</v>
      </c>
      <c r="NPD114" s="363" t="s">
        <v>153</v>
      </c>
      <c r="NPE114" s="363"/>
      <c r="NPF114" s="363"/>
      <c r="NPG114" s="364" t="s">
        <v>140</v>
      </c>
      <c r="NPH114" s="365">
        <v>0.5</v>
      </c>
      <c r="NPI114" s="366" t="e">
        <f>10/NPE112</f>
        <v>#DIV/0!</v>
      </c>
      <c r="NPJ114" s="367">
        <v>15.38</v>
      </c>
      <c r="NPK114" s="367" t="e">
        <f>NPH114*NPI114*NPJ114</f>
        <v>#DIV/0!</v>
      </c>
      <c r="NPL114" s="363" t="s">
        <v>153</v>
      </c>
      <c r="NPM114" s="363"/>
      <c r="NPN114" s="363"/>
      <c r="NPO114" s="364" t="s">
        <v>140</v>
      </c>
      <c r="NPP114" s="365">
        <v>0.5</v>
      </c>
      <c r="NPQ114" s="366" t="e">
        <f>10/NPM112</f>
        <v>#DIV/0!</v>
      </c>
      <c r="NPR114" s="367">
        <v>15.38</v>
      </c>
      <c r="NPS114" s="367" t="e">
        <f>NPP114*NPQ114*NPR114</f>
        <v>#DIV/0!</v>
      </c>
      <c r="NPT114" s="363" t="s">
        <v>153</v>
      </c>
      <c r="NPU114" s="363"/>
      <c r="NPV114" s="363"/>
      <c r="NPW114" s="364" t="s">
        <v>140</v>
      </c>
      <c r="NPX114" s="365">
        <v>0.5</v>
      </c>
      <c r="NPY114" s="366" t="e">
        <f>10/NPU112</f>
        <v>#DIV/0!</v>
      </c>
      <c r="NPZ114" s="367">
        <v>15.38</v>
      </c>
      <c r="NQA114" s="367" t="e">
        <f>NPX114*NPY114*NPZ114</f>
        <v>#DIV/0!</v>
      </c>
      <c r="NQB114" s="363" t="s">
        <v>153</v>
      </c>
      <c r="NQC114" s="363"/>
      <c r="NQD114" s="363"/>
      <c r="NQE114" s="364" t="s">
        <v>140</v>
      </c>
      <c r="NQF114" s="365">
        <v>0.5</v>
      </c>
      <c r="NQG114" s="366" t="e">
        <f>10/NQC112</f>
        <v>#DIV/0!</v>
      </c>
      <c r="NQH114" s="367">
        <v>15.38</v>
      </c>
      <c r="NQI114" s="367" t="e">
        <f>NQF114*NQG114*NQH114</f>
        <v>#DIV/0!</v>
      </c>
      <c r="NQJ114" s="363" t="s">
        <v>153</v>
      </c>
      <c r="NQK114" s="363"/>
      <c r="NQL114" s="363"/>
      <c r="NQM114" s="364" t="s">
        <v>140</v>
      </c>
      <c r="NQN114" s="365">
        <v>0.5</v>
      </c>
      <c r="NQO114" s="366" t="e">
        <f>10/NQK112</f>
        <v>#DIV/0!</v>
      </c>
      <c r="NQP114" s="367">
        <v>15.38</v>
      </c>
      <c r="NQQ114" s="367" t="e">
        <f>NQN114*NQO114*NQP114</f>
        <v>#DIV/0!</v>
      </c>
      <c r="NQR114" s="363" t="s">
        <v>153</v>
      </c>
      <c r="NQS114" s="363"/>
      <c r="NQT114" s="363"/>
      <c r="NQU114" s="364" t="s">
        <v>140</v>
      </c>
      <c r="NQV114" s="365">
        <v>0.5</v>
      </c>
      <c r="NQW114" s="366" t="e">
        <f>10/NQS112</f>
        <v>#DIV/0!</v>
      </c>
      <c r="NQX114" s="367">
        <v>15.38</v>
      </c>
      <c r="NQY114" s="367" t="e">
        <f>NQV114*NQW114*NQX114</f>
        <v>#DIV/0!</v>
      </c>
      <c r="NQZ114" s="363" t="s">
        <v>153</v>
      </c>
      <c r="NRA114" s="363"/>
      <c r="NRB114" s="363"/>
      <c r="NRC114" s="364" t="s">
        <v>140</v>
      </c>
      <c r="NRD114" s="365">
        <v>0.5</v>
      </c>
      <c r="NRE114" s="366" t="e">
        <f>10/NRA112</f>
        <v>#DIV/0!</v>
      </c>
      <c r="NRF114" s="367">
        <v>15.38</v>
      </c>
      <c r="NRG114" s="367" t="e">
        <f>NRD114*NRE114*NRF114</f>
        <v>#DIV/0!</v>
      </c>
      <c r="NRH114" s="363" t="s">
        <v>153</v>
      </c>
      <c r="NRI114" s="363"/>
      <c r="NRJ114" s="363"/>
      <c r="NRK114" s="364" t="s">
        <v>140</v>
      </c>
      <c r="NRL114" s="365">
        <v>0.5</v>
      </c>
      <c r="NRM114" s="366" t="e">
        <f>10/NRI112</f>
        <v>#DIV/0!</v>
      </c>
      <c r="NRN114" s="367">
        <v>15.38</v>
      </c>
      <c r="NRO114" s="367" t="e">
        <f>NRL114*NRM114*NRN114</f>
        <v>#DIV/0!</v>
      </c>
      <c r="NRP114" s="363" t="s">
        <v>153</v>
      </c>
      <c r="NRQ114" s="363"/>
      <c r="NRR114" s="363"/>
      <c r="NRS114" s="364" t="s">
        <v>140</v>
      </c>
      <c r="NRT114" s="365">
        <v>0.5</v>
      </c>
      <c r="NRU114" s="366" t="e">
        <f>10/NRQ112</f>
        <v>#DIV/0!</v>
      </c>
      <c r="NRV114" s="367">
        <v>15.38</v>
      </c>
      <c r="NRW114" s="367" t="e">
        <f>NRT114*NRU114*NRV114</f>
        <v>#DIV/0!</v>
      </c>
      <c r="NRX114" s="363" t="s">
        <v>153</v>
      </c>
      <c r="NRY114" s="363"/>
      <c r="NRZ114" s="363"/>
      <c r="NSA114" s="364" t="s">
        <v>140</v>
      </c>
      <c r="NSB114" s="365">
        <v>0.5</v>
      </c>
      <c r="NSC114" s="366" t="e">
        <f>10/NRY112</f>
        <v>#DIV/0!</v>
      </c>
      <c r="NSD114" s="367">
        <v>15.38</v>
      </c>
      <c r="NSE114" s="367" t="e">
        <f>NSB114*NSC114*NSD114</f>
        <v>#DIV/0!</v>
      </c>
      <c r="NSF114" s="363" t="s">
        <v>153</v>
      </c>
      <c r="NSG114" s="363"/>
      <c r="NSH114" s="363"/>
      <c r="NSI114" s="364" t="s">
        <v>140</v>
      </c>
      <c r="NSJ114" s="365">
        <v>0.5</v>
      </c>
      <c r="NSK114" s="366" t="e">
        <f>10/NSG112</f>
        <v>#DIV/0!</v>
      </c>
      <c r="NSL114" s="367">
        <v>15.38</v>
      </c>
      <c r="NSM114" s="367" t="e">
        <f>NSJ114*NSK114*NSL114</f>
        <v>#DIV/0!</v>
      </c>
      <c r="NSN114" s="363" t="s">
        <v>153</v>
      </c>
      <c r="NSO114" s="363"/>
      <c r="NSP114" s="363"/>
      <c r="NSQ114" s="364" t="s">
        <v>140</v>
      </c>
      <c r="NSR114" s="365">
        <v>0.5</v>
      </c>
      <c r="NSS114" s="366" t="e">
        <f>10/NSO112</f>
        <v>#DIV/0!</v>
      </c>
      <c r="NST114" s="367">
        <v>15.38</v>
      </c>
      <c r="NSU114" s="367" t="e">
        <f>NSR114*NSS114*NST114</f>
        <v>#DIV/0!</v>
      </c>
      <c r="NSV114" s="363" t="s">
        <v>153</v>
      </c>
      <c r="NSW114" s="363"/>
      <c r="NSX114" s="363"/>
      <c r="NSY114" s="364" t="s">
        <v>140</v>
      </c>
      <c r="NSZ114" s="365">
        <v>0.5</v>
      </c>
      <c r="NTA114" s="366" t="e">
        <f>10/NSW112</f>
        <v>#DIV/0!</v>
      </c>
      <c r="NTB114" s="367">
        <v>15.38</v>
      </c>
      <c r="NTC114" s="367" t="e">
        <f>NSZ114*NTA114*NTB114</f>
        <v>#DIV/0!</v>
      </c>
      <c r="NTD114" s="363" t="s">
        <v>153</v>
      </c>
      <c r="NTE114" s="363"/>
      <c r="NTF114" s="363"/>
      <c r="NTG114" s="364" t="s">
        <v>140</v>
      </c>
      <c r="NTH114" s="365">
        <v>0.5</v>
      </c>
      <c r="NTI114" s="366" t="e">
        <f>10/NTE112</f>
        <v>#DIV/0!</v>
      </c>
      <c r="NTJ114" s="367">
        <v>15.38</v>
      </c>
      <c r="NTK114" s="367" t="e">
        <f>NTH114*NTI114*NTJ114</f>
        <v>#DIV/0!</v>
      </c>
      <c r="NTL114" s="363" t="s">
        <v>153</v>
      </c>
      <c r="NTM114" s="363"/>
      <c r="NTN114" s="363"/>
      <c r="NTO114" s="364" t="s">
        <v>140</v>
      </c>
      <c r="NTP114" s="365">
        <v>0.5</v>
      </c>
      <c r="NTQ114" s="366" t="e">
        <f>10/NTM112</f>
        <v>#DIV/0!</v>
      </c>
      <c r="NTR114" s="367">
        <v>15.38</v>
      </c>
      <c r="NTS114" s="367" t="e">
        <f>NTP114*NTQ114*NTR114</f>
        <v>#DIV/0!</v>
      </c>
      <c r="NTT114" s="363" t="s">
        <v>153</v>
      </c>
      <c r="NTU114" s="363"/>
      <c r="NTV114" s="363"/>
      <c r="NTW114" s="364" t="s">
        <v>140</v>
      </c>
      <c r="NTX114" s="365">
        <v>0.5</v>
      </c>
      <c r="NTY114" s="366" t="e">
        <f>10/NTU112</f>
        <v>#DIV/0!</v>
      </c>
      <c r="NTZ114" s="367">
        <v>15.38</v>
      </c>
      <c r="NUA114" s="367" t="e">
        <f>NTX114*NTY114*NTZ114</f>
        <v>#DIV/0!</v>
      </c>
      <c r="NUB114" s="363" t="s">
        <v>153</v>
      </c>
      <c r="NUC114" s="363"/>
      <c r="NUD114" s="363"/>
      <c r="NUE114" s="364" t="s">
        <v>140</v>
      </c>
      <c r="NUF114" s="365">
        <v>0.5</v>
      </c>
      <c r="NUG114" s="366" t="e">
        <f>10/NUC112</f>
        <v>#DIV/0!</v>
      </c>
      <c r="NUH114" s="367">
        <v>15.38</v>
      </c>
      <c r="NUI114" s="367" t="e">
        <f>NUF114*NUG114*NUH114</f>
        <v>#DIV/0!</v>
      </c>
      <c r="NUJ114" s="363" t="s">
        <v>153</v>
      </c>
      <c r="NUK114" s="363"/>
      <c r="NUL114" s="363"/>
      <c r="NUM114" s="364" t="s">
        <v>140</v>
      </c>
      <c r="NUN114" s="365">
        <v>0.5</v>
      </c>
      <c r="NUO114" s="366" t="e">
        <f>10/NUK112</f>
        <v>#DIV/0!</v>
      </c>
      <c r="NUP114" s="367">
        <v>15.38</v>
      </c>
      <c r="NUQ114" s="367" t="e">
        <f>NUN114*NUO114*NUP114</f>
        <v>#DIV/0!</v>
      </c>
      <c r="NUR114" s="363" t="s">
        <v>153</v>
      </c>
      <c r="NUS114" s="363"/>
      <c r="NUT114" s="363"/>
      <c r="NUU114" s="364" t="s">
        <v>140</v>
      </c>
      <c r="NUV114" s="365">
        <v>0.5</v>
      </c>
      <c r="NUW114" s="366" t="e">
        <f>10/NUS112</f>
        <v>#DIV/0!</v>
      </c>
      <c r="NUX114" s="367">
        <v>15.38</v>
      </c>
      <c r="NUY114" s="367" t="e">
        <f>NUV114*NUW114*NUX114</f>
        <v>#DIV/0!</v>
      </c>
      <c r="NUZ114" s="363" t="s">
        <v>153</v>
      </c>
      <c r="NVA114" s="363"/>
      <c r="NVB114" s="363"/>
      <c r="NVC114" s="364" t="s">
        <v>140</v>
      </c>
      <c r="NVD114" s="365">
        <v>0.5</v>
      </c>
      <c r="NVE114" s="366" t="e">
        <f>10/NVA112</f>
        <v>#DIV/0!</v>
      </c>
      <c r="NVF114" s="367">
        <v>15.38</v>
      </c>
      <c r="NVG114" s="367" t="e">
        <f>NVD114*NVE114*NVF114</f>
        <v>#DIV/0!</v>
      </c>
      <c r="NVH114" s="363" t="s">
        <v>153</v>
      </c>
      <c r="NVI114" s="363"/>
      <c r="NVJ114" s="363"/>
      <c r="NVK114" s="364" t="s">
        <v>140</v>
      </c>
      <c r="NVL114" s="365">
        <v>0.5</v>
      </c>
      <c r="NVM114" s="366" t="e">
        <f>10/NVI112</f>
        <v>#DIV/0!</v>
      </c>
      <c r="NVN114" s="367">
        <v>15.38</v>
      </c>
      <c r="NVO114" s="367" t="e">
        <f>NVL114*NVM114*NVN114</f>
        <v>#DIV/0!</v>
      </c>
      <c r="NVP114" s="363" t="s">
        <v>153</v>
      </c>
      <c r="NVQ114" s="363"/>
      <c r="NVR114" s="363"/>
      <c r="NVS114" s="364" t="s">
        <v>140</v>
      </c>
      <c r="NVT114" s="365">
        <v>0.5</v>
      </c>
      <c r="NVU114" s="366" t="e">
        <f>10/NVQ112</f>
        <v>#DIV/0!</v>
      </c>
      <c r="NVV114" s="367">
        <v>15.38</v>
      </c>
      <c r="NVW114" s="367" t="e">
        <f>NVT114*NVU114*NVV114</f>
        <v>#DIV/0!</v>
      </c>
      <c r="NVX114" s="363" t="s">
        <v>153</v>
      </c>
      <c r="NVY114" s="363"/>
      <c r="NVZ114" s="363"/>
      <c r="NWA114" s="364" t="s">
        <v>140</v>
      </c>
      <c r="NWB114" s="365">
        <v>0.5</v>
      </c>
      <c r="NWC114" s="366" t="e">
        <f>10/NVY112</f>
        <v>#DIV/0!</v>
      </c>
      <c r="NWD114" s="367">
        <v>15.38</v>
      </c>
      <c r="NWE114" s="367" t="e">
        <f>NWB114*NWC114*NWD114</f>
        <v>#DIV/0!</v>
      </c>
      <c r="NWF114" s="363" t="s">
        <v>153</v>
      </c>
      <c r="NWG114" s="363"/>
      <c r="NWH114" s="363"/>
      <c r="NWI114" s="364" t="s">
        <v>140</v>
      </c>
      <c r="NWJ114" s="365">
        <v>0.5</v>
      </c>
      <c r="NWK114" s="366" t="e">
        <f>10/NWG112</f>
        <v>#DIV/0!</v>
      </c>
      <c r="NWL114" s="367">
        <v>15.38</v>
      </c>
      <c r="NWM114" s="367" t="e">
        <f>NWJ114*NWK114*NWL114</f>
        <v>#DIV/0!</v>
      </c>
      <c r="NWN114" s="363" t="s">
        <v>153</v>
      </c>
      <c r="NWO114" s="363"/>
      <c r="NWP114" s="363"/>
      <c r="NWQ114" s="364" t="s">
        <v>140</v>
      </c>
      <c r="NWR114" s="365">
        <v>0.5</v>
      </c>
      <c r="NWS114" s="366" t="e">
        <f>10/NWO112</f>
        <v>#DIV/0!</v>
      </c>
      <c r="NWT114" s="367">
        <v>15.38</v>
      </c>
      <c r="NWU114" s="367" t="e">
        <f>NWR114*NWS114*NWT114</f>
        <v>#DIV/0!</v>
      </c>
      <c r="NWV114" s="363" t="s">
        <v>153</v>
      </c>
      <c r="NWW114" s="363"/>
      <c r="NWX114" s="363"/>
      <c r="NWY114" s="364" t="s">
        <v>140</v>
      </c>
      <c r="NWZ114" s="365">
        <v>0.5</v>
      </c>
      <c r="NXA114" s="366" t="e">
        <f>10/NWW112</f>
        <v>#DIV/0!</v>
      </c>
      <c r="NXB114" s="367">
        <v>15.38</v>
      </c>
      <c r="NXC114" s="367" t="e">
        <f>NWZ114*NXA114*NXB114</f>
        <v>#DIV/0!</v>
      </c>
      <c r="NXD114" s="363" t="s">
        <v>153</v>
      </c>
      <c r="NXE114" s="363"/>
      <c r="NXF114" s="363"/>
      <c r="NXG114" s="364" t="s">
        <v>140</v>
      </c>
      <c r="NXH114" s="365">
        <v>0.5</v>
      </c>
      <c r="NXI114" s="366" t="e">
        <f>10/NXE112</f>
        <v>#DIV/0!</v>
      </c>
      <c r="NXJ114" s="367">
        <v>15.38</v>
      </c>
      <c r="NXK114" s="367" t="e">
        <f>NXH114*NXI114*NXJ114</f>
        <v>#DIV/0!</v>
      </c>
      <c r="NXL114" s="363" t="s">
        <v>153</v>
      </c>
      <c r="NXM114" s="363"/>
      <c r="NXN114" s="363"/>
      <c r="NXO114" s="364" t="s">
        <v>140</v>
      </c>
      <c r="NXP114" s="365">
        <v>0.5</v>
      </c>
      <c r="NXQ114" s="366" t="e">
        <f>10/NXM112</f>
        <v>#DIV/0!</v>
      </c>
      <c r="NXR114" s="367">
        <v>15.38</v>
      </c>
      <c r="NXS114" s="367" t="e">
        <f>NXP114*NXQ114*NXR114</f>
        <v>#DIV/0!</v>
      </c>
      <c r="NXT114" s="363" t="s">
        <v>153</v>
      </c>
      <c r="NXU114" s="363"/>
      <c r="NXV114" s="363"/>
      <c r="NXW114" s="364" t="s">
        <v>140</v>
      </c>
      <c r="NXX114" s="365">
        <v>0.5</v>
      </c>
      <c r="NXY114" s="366" t="e">
        <f>10/NXU112</f>
        <v>#DIV/0!</v>
      </c>
      <c r="NXZ114" s="367">
        <v>15.38</v>
      </c>
      <c r="NYA114" s="367" t="e">
        <f>NXX114*NXY114*NXZ114</f>
        <v>#DIV/0!</v>
      </c>
      <c r="NYB114" s="363" t="s">
        <v>153</v>
      </c>
      <c r="NYC114" s="363"/>
      <c r="NYD114" s="363"/>
      <c r="NYE114" s="364" t="s">
        <v>140</v>
      </c>
      <c r="NYF114" s="365">
        <v>0.5</v>
      </c>
      <c r="NYG114" s="366" t="e">
        <f>10/NYC112</f>
        <v>#DIV/0!</v>
      </c>
      <c r="NYH114" s="367">
        <v>15.38</v>
      </c>
      <c r="NYI114" s="367" t="e">
        <f>NYF114*NYG114*NYH114</f>
        <v>#DIV/0!</v>
      </c>
      <c r="NYJ114" s="363" t="s">
        <v>153</v>
      </c>
      <c r="NYK114" s="363"/>
      <c r="NYL114" s="363"/>
      <c r="NYM114" s="364" t="s">
        <v>140</v>
      </c>
      <c r="NYN114" s="365">
        <v>0.5</v>
      </c>
      <c r="NYO114" s="366" t="e">
        <f>10/NYK112</f>
        <v>#DIV/0!</v>
      </c>
      <c r="NYP114" s="367">
        <v>15.38</v>
      </c>
      <c r="NYQ114" s="367" t="e">
        <f>NYN114*NYO114*NYP114</f>
        <v>#DIV/0!</v>
      </c>
      <c r="NYR114" s="363" t="s">
        <v>153</v>
      </c>
      <c r="NYS114" s="363"/>
      <c r="NYT114" s="363"/>
      <c r="NYU114" s="364" t="s">
        <v>140</v>
      </c>
      <c r="NYV114" s="365">
        <v>0.5</v>
      </c>
      <c r="NYW114" s="366" t="e">
        <f>10/NYS112</f>
        <v>#DIV/0!</v>
      </c>
      <c r="NYX114" s="367">
        <v>15.38</v>
      </c>
      <c r="NYY114" s="367" t="e">
        <f>NYV114*NYW114*NYX114</f>
        <v>#DIV/0!</v>
      </c>
      <c r="NYZ114" s="363" t="s">
        <v>153</v>
      </c>
      <c r="NZA114" s="363"/>
      <c r="NZB114" s="363"/>
      <c r="NZC114" s="364" t="s">
        <v>140</v>
      </c>
      <c r="NZD114" s="365">
        <v>0.5</v>
      </c>
      <c r="NZE114" s="366" t="e">
        <f>10/NZA112</f>
        <v>#DIV/0!</v>
      </c>
      <c r="NZF114" s="367">
        <v>15.38</v>
      </c>
      <c r="NZG114" s="367" t="e">
        <f>NZD114*NZE114*NZF114</f>
        <v>#DIV/0!</v>
      </c>
      <c r="NZH114" s="363" t="s">
        <v>153</v>
      </c>
      <c r="NZI114" s="363"/>
      <c r="NZJ114" s="363"/>
      <c r="NZK114" s="364" t="s">
        <v>140</v>
      </c>
      <c r="NZL114" s="365">
        <v>0.5</v>
      </c>
      <c r="NZM114" s="366" t="e">
        <f>10/NZI112</f>
        <v>#DIV/0!</v>
      </c>
      <c r="NZN114" s="367">
        <v>15.38</v>
      </c>
      <c r="NZO114" s="367" t="e">
        <f>NZL114*NZM114*NZN114</f>
        <v>#DIV/0!</v>
      </c>
      <c r="NZP114" s="363" t="s">
        <v>153</v>
      </c>
      <c r="NZQ114" s="363"/>
      <c r="NZR114" s="363"/>
      <c r="NZS114" s="364" t="s">
        <v>140</v>
      </c>
      <c r="NZT114" s="365">
        <v>0.5</v>
      </c>
      <c r="NZU114" s="366" t="e">
        <f>10/NZQ112</f>
        <v>#DIV/0!</v>
      </c>
      <c r="NZV114" s="367">
        <v>15.38</v>
      </c>
      <c r="NZW114" s="367" t="e">
        <f>NZT114*NZU114*NZV114</f>
        <v>#DIV/0!</v>
      </c>
      <c r="NZX114" s="363" t="s">
        <v>153</v>
      </c>
      <c r="NZY114" s="363"/>
      <c r="NZZ114" s="363"/>
      <c r="OAA114" s="364" t="s">
        <v>140</v>
      </c>
      <c r="OAB114" s="365">
        <v>0.5</v>
      </c>
      <c r="OAC114" s="366" t="e">
        <f>10/NZY112</f>
        <v>#DIV/0!</v>
      </c>
      <c r="OAD114" s="367">
        <v>15.38</v>
      </c>
      <c r="OAE114" s="367" t="e">
        <f>OAB114*OAC114*OAD114</f>
        <v>#DIV/0!</v>
      </c>
      <c r="OAF114" s="363" t="s">
        <v>153</v>
      </c>
      <c r="OAG114" s="363"/>
      <c r="OAH114" s="363"/>
      <c r="OAI114" s="364" t="s">
        <v>140</v>
      </c>
      <c r="OAJ114" s="365">
        <v>0.5</v>
      </c>
      <c r="OAK114" s="366" t="e">
        <f>10/OAG112</f>
        <v>#DIV/0!</v>
      </c>
      <c r="OAL114" s="367">
        <v>15.38</v>
      </c>
      <c r="OAM114" s="367" t="e">
        <f>OAJ114*OAK114*OAL114</f>
        <v>#DIV/0!</v>
      </c>
      <c r="OAN114" s="363" t="s">
        <v>153</v>
      </c>
      <c r="OAO114" s="363"/>
      <c r="OAP114" s="363"/>
      <c r="OAQ114" s="364" t="s">
        <v>140</v>
      </c>
      <c r="OAR114" s="365">
        <v>0.5</v>
      </c>
      <c r="OAS114" s="366" t="e">
        <f>10/OAO112</f>
        <v>#DIV/0!</v>
      </c>
      <c r="OAT114" s="367">
        <v>15.38</v>
      </c>
      <c r="OAU114" s="367" t="e">
        <f>OAR114*OAS114*OAT114</f>
        <v>#DIV/0!</v>
      </c>
      <c r="OAV114" s="363" t="s">
        <v>153</v>
      </c>
      <c r="OAW114" s="363"/>
      <c r="OAX114" s="363"/>
      <c r="OAY114" s="364" t="s">
        <v>140</v>
      </c>
      <c r="OAZ114" s="365">
        <v>0.5</v>
      </c>
      <c r="OBA114" s="366" t="e">
        <f>10/OAW112</f>
        <v>#DIV/0!</v>
      </c>
      <c r="OBB114" s="367">
        <v>15.38</v>
      </c>
      <c r="OBC114" s="367" t="e">
        <f>OAZ114*OBA114*OBB114</f>
        <v>#DIV/0!</v>
      </c>
      <c r="OBD114" s="363" t="s">
        <v>153</v>
      </c>
      <c r="OBE114" s="363"/>
      <c r="OBF114" s="363"/>
      <c r="OBG114" s="364" t="s">
        <v>140</v>
      </c>
      <c r="OBH114" s="365">
        <v>0.5</v>
      </c>
      <c r="OBI114" s="366" t="e">
        <f>10/OBE112</f>
        <v>#DIV/0!</v>
      </c>
      <c r="OBJ114" s="367">
        <v>15.38</v>
      </c>
      <c r="OBK114" s="367" t="e">
        <f>OBH114*OBI114*OBJ114</f>
        <v>#DIV/0!</v>
      </c>
      <c r="OBL114" s="363" t="s">
        <v>153</v>
      </c>
      <c r="OBM114" s="363"/>
      <c r="OBN114" s="363"/>
      <c r="OBO114" s="364" t="s">
        <v>140</v>
      </c>
      <c r="OBP114" s="365">
        <v>0.5</v>
      </c>
      <c r="OBQ114" s="366" t="e">
        <f>10/OBM112</f>
        <v>#DIV/0!</v>
      </c>
      <c r="OBR114" s="367">
        <v>15.38</v>
      </c>
      <c r="OBS114" s="367" t="e">
        <f>OBP114*OBQ114*OBR114</f>
        <v>#DIV/0!</v>
      </c>
      <c r="OBT114" s="363" t="s">
        <v>153</v>
      </c>
      <c r="OBU114" s="363"/>
      <c r="OBV114" s="363"/>
      <c r="OBW114" s="364" t="s">
        <v>140</v>
      </c>
      <c r="OBX114" s="365">
        <v>0.5</v>
      </c>
      <c r="OBY114" s="366" t="e">
        <f>10/OBU112</f>
        <v>#DIV/0!</v>
      </c>
      <c r="OBZ114" s="367">
        <v>15.38</v>
      </c>
      <c r="OCA114" s="367" t="e">
        <f>OBX114*OBY114*OBZ114</f>
        <v>#DIV/0!</v>
      </c>
      <c r="OCB114" s="363" t="s">
        <v>153</v>
      </c>
      <c r="OCC114" s="363"/>
      <c r="OCD114" s="363"/>
      <c r="OCE114" s="364" t="s">
        <v>140</v>
      </c>
      <c r="OCF114" s="365">
        <v>0.5</v>
      </c>
      <c r="OCG114" s="366" t="e">
        <f>10/OCC112</f>
        <v>#DIV/0!</v>
      </c>
      <c r="OCH114" s="367">
        <v>15.38</v>
      </c>
      <c r="OCI114" s="367" t="e">
        <f>OCF114*OCG114*OCH114</f>
        <v>#DIV/0!</v>
      </c>
      <c r="OCJ114" s="363" t="s">
        <v>153</v>
      </c>
      <c r="OCK114" s="363"/>
      <c r="OCL114" s="363"/>
      <c r="OCM114" s="364" t="s">
        <v>140</v>
      </c>
      <c r="OCN114" s="365">
        <v>0.5</v>
      </c>
      <c r="OCO114" s="366" t="e">
        <f>10/OCK112</f>
        <v>#DIV/0!</v>
      </c>
      <c r="OCP114" s="367">
        <v>15.38</v>
      </c>
      <c r="OCQ114" s="367" t="e">
        <f>OCN114*OCO114*OCP114</f>
        <v>#DIV/0!</v>
      </c>
      <c r="OCR114" s="363" t="s">
        <v>153</v>
      </c>
      <c r="OCS114" s="363"/>
      <c r="OCT114" s="363"/>
      <c r="OCU114" s="364" t="s">
        <v>140</v>
      </c>
      <c r="OCV114" s="365">
        <v>0.5</v>
      </c>
      <c r="OCW114" s="366" t="e">
        <f>10/OCS112</f>
        <v>#DIV/0!</v>
      </c>
      <c r="OCX114" s="367">
        <v>15.38</v>
      </c>
      <c r="OCY114" s="367" t="e">
        <f>OCV114*OCW114*OCX114</f>
        <v>#DIV/0!</v>
      </c>
      <c r="OCZ114" s="363" t="s">
        <v>153</v>
      </c>
      <c r="ODA114" s="363"/>
      <c r="ODB114" s="363"/>
      <c r="ODC114" s="364" t="s">
        <v>140</v>
      </c>
      <c r="ODD114" s="365">
        <v>0.5</v>
      </c>
      <c r="ODE114" s="366" t="e">
        <f>10/ODA112</f>
        <v>#DIV/0!</v>
      </c>
      <c r="ODF114" s="367">
        <v>15.38</v>
      </c>
      <c r="ODG114" s="367" t="e">
        <f>ODD114*ODE114*ODF114</f>
        <v>#DIV/0!</v>
      </c>
      <c r="ODH114" s="363" t="s">
        <v>153</v>
      </c>
      <c r="ODI114" s="363"/>
      <c r="ODJ114" s="363"/>
      <c r="ODK114" s="364" t="s">
        <v>140</v>
      </c>
      <c r="ODL114" s="365">
        <v>0.5</v>
      </c>
      <c r="ODM114" s="366" t="e">
        <f>10/ODI112</f>
        <v>#DIV/0!</v>
      </c>
      <c r="ODN114" s="367">
        <v>15.38</v>
      </c>
      <c r="ODO114" s="367" t="e">
        <f>ODL114*ODM114*ODN114</f>
        <v>#DIV/0!</v>
      </c>
      <c r="ODP114" s="363" t="s">
        <v>153</v>
      </c>
      <c r="ODQ114" s="363"/>
      <c r="ODR114" s="363"/>
      <c r="ODS114" s="364" t="s">
        <v>140</v>
      </c>
      <c r="ODT114" s="365">
        <v>0.5</v>
      </c>
      <c r="ODU114" s="366" t="e">
        <f>10/ODQ112</f>
        <v>#DIV/0!</v>
      </c>
      <c r="ODV114" s="367">
        <v>15.38</v>
      </c>
      <c r="ODW114" s="367" t="e">
        <f>ODT114*ODU114*ODV114</f>
        <v>#DIV/0!</v>
      </c>
      <c r="ODX114" s="363" t="s">
        <v>153</v>
      </c>
      <c r="ODY114" s="363"/>
      <c r="ODZ114" s="363"/>
      <c r="OEA114" s="364" t="s">
        <v>140</v>
      </c>
      <c r="OEB114" s="365">
        <v>0.5</v>
      </c>
      <c r="OEC114" s="366" t="e">
        <f>10/ODY112</f>
        <v>#DIV/0!</v>
      </c>
      <c r="OED114" s="367">
        <v>15.38</v>
      </c>
      <c r="OEE114" s="367" t="e">
        <f>OEB114*OEC114*OED114</f>
        <v>#DIV/0!</v>
      </c>
      <c r="OEF114" s="363" t="s">
        <v>153</v>
      </c>
      <c r="OEG114" s="363"/>
      <c r="OEH114" s="363"/>
      <c r="OEI114" s="364" t="s">
        <v>140</v>
      </c>
      <c r="OEJ114" s="365">
        <v>0.5</v>
      </c>
      <c r="OEK114" s="366" t="e">
        <f>10/OEG112</f>
        <v>#DIV/0!</v>
      </c>
      <c r="OEL114" s="367">
        <v>15.38</v>
      </c>
      <c r="OEM114" s="367" t="e">
        <f>OEJ114*OEK114*OEL114</f>
        <v>#DIV/0!</v>
      </c>
      <c r="OEN114" s="363" t="s">
        <v>153</v>
      </c>
      <c r="OEO114" s="363"/>
      <c r="OEP114" s="363"/>
      <c r="OEQ114" s="364" t="s">
        <v>140</v>
      </c>
      <c r="OER114" s="365">
        <v>0.5</v>
      </c>
      <c r="OES114" s="366" t="e">
        <f>10/OEO112</f>
        <v>#DIV/0!</v>
      </c>
      <c r="OET114" s="367">
        <v>15.38</v>
      </c>
      <c r="OEU114" s="367" t="e">
        <f>OER114*OES114*OET114</f>
        <v>#DIV/0!</v>
      </c>
      <c r="OEV114" s="363" t="s">
        <v>153</v>
      </c>
      <c r="OEW114" s="363"/>
      <c r="OEX114" s="363"/>
      <c r="OEY114" s="364" t="s">
        <v>140</v>
      </c>
      <c r="OEZ114" s="365">
        <v>0.5</v>
      </c>
      <c r="OFA114" s="366" t="e">
        <f>10/OEW112</f>
        <v>#DIV/0!</v>
      </c>
      <c r="OFB114" s="367">
        <v>15.38</v>
      </c>
      <c r="OFC114" s="367" t="e">
        <f>OEZ114*OFA114*OFB114</f>
        <v>#DIV/0!</v>
      </c>
      <c r="OFD114" s="363" t="s">
        <v>153</v>
      </c>
      <c r="OFE114" s="363"/>
      <c r="OFF114" s="363"/>
      <c r="OFG114" s="364" t="s">
        <v>140</v>
      </c>
      <c r="OFH114" s="365">
        <v>0.5</v>
      </c>
      <c r="OFI114" s="366" t="e">
        <f>10/OFE112</f>
        <v>#DIV/0!</v>
      </c>
      <c r="OFJ114" s="367">
        <v>15.38</v>
      </c>
      <c r="OFK114" s="367" t="e">
        <f>OFH114*OFI114*OFJ114</f>
        <v>#DIV/0!</v>
      </c>
      <c r="OFL114" s="363" t="s">
        <v>153</v>
      </c>
      <c r="OFM114" s="363"/>
      <c r="OFN114" s="363"/>
      <c r="OFO114" s="364" t="s">
        <v>140</v>
      </c>
      <c r="OFP114" s="365">
        <v>0.5</v>
      </c>
      <c r="OFQ114" s="366" t="e">
        <f>10/OFM112</f>
        <v>#DIV/0!</v>
      </c>
      <c r="OFR114" s="367">
        <v>15.38</v>
      </c>
      <c r="OFS114" s="367" t="e">
        <f>OFP114*OFQ114*OFR114</f>
        <v>#DIV/0!</v>
      </c>
      <c r="OFT114" s="363" t="s">
        <v>153</v>
      </c>
      <c r="OFU114" s="363"/>
      <c r="OFV114" s="363"/>
      <c r="OFW114" s="364" t="s">
        <v>140</v>
      </c>
      <c r="OFX114" s="365">
        <v>0.5</v>
      </c>
      <c r="OFY114" s="366" t="e">
        <f>10/OFU112</f>
        <v>#DIV/0!</v>
      </c>
      <c r="OFZ114" s="367">
        <v>15.38</v>
      </c>
      <c r="OGA114" s="367" t="e">
        <f>OFX114*OFY114*OFZ114</f>
        <v>#DIV/0!</v>
      </c>
      <c r="OGB114" s="363" t="s">
        <v>153</v>
      </c>
      <c r="OGC114" s="363"/>
      <c r="OGD114" s="363"/>
      <c r="OGE114" s="364" t="s">
        <v>140</v>
      </c>
      <c r="OGF114" s="365">
        <v>0.5</v>
      </c>
      <c r="OGG114" s="366" t="e">
        <f>10/OGC112</f>
        <v>#DIV/0!</v>
      </c>
      <c r="OGH114" s="367">
        <v>15.38</v>
      </c>
      <c r="OGI114" s="367" t="e">
        <f>OGF114*OGG114*OGH114</f>
        <v>#DIV/0!</v>
      </c>
      <c r="OGJ114" s="363" t="s">
        <v>153</v>
      </c>
      <c r="OGK114" s="363"/>
      <c r="OGL114" s="363"/>
      <c r="OGM114" s="364" t="s">
        <v>140</v>
      </c>
      <c r="OGN114" s="365">
        <v>0.5</v>
      </c>
      <c r="OGO114" s="366" t="e">
        <f>10/OGK112</f>
        <v>#DIV/0!</v>
      </c>
      <c r="OGP114" s="367">
        <v>15.38</v>
      </c>
      <c r="OGQ114" s="367" t="e">
        <f>OGN114*OGO114*OGP114</f>
        <v>#DIV/0!</v>
      </c>
      <c r="OGR114" s="363" t="s">
        <v>153</v>
      </c>
      <c r="OGS114" s="363"/>
      <c r="OGT114" s="363"/>
      <c r="OGU114" s="364" t="s">
        <v>140</v>
      </c>
      <c r="OGV114" s="365">
        <v>0.5</v>
      </c>
      <c r="OGW114" s="366" t="e">
        <f>10/OGS112</f>
        <v>#DIV/0!</v>
      </c>
      <c r="OGX114" s="367">
        <v>15.38</v>
      </c>
      <c r="OGY114" s="367" t="e">
        <f>OGV114*OGW114*OGX114</f>
        <v>#DIV/0!</v>
      </c>
      <c r="OGZ114" s="363" t="s">
        <v>153</v>
      </c>
      <c r="OHA114" s="363"/>
      <c r="OHB114" s="363"/>
      <c r="OHC114" s="364" t="s">
        <v>140</v>
      </c>
      <c r="OHD114" s="365">
        <v>0.5</v>
      </c>
      <c r="OHE114" s="366" t="e">
        <f>10/OHA112</f>
        <v>#DIV/0!</v>
      </c>
      <c r="OHF114" s="367">
        <v>15.38</v>
      </c>
      <c r="OHG114" s="367" t="e">
        <f>OHD114*OHE114*OHF114</f>
        <v>#DIV/0!</v>
      </c>
      <c r="OHH114" s="363" t="s">
        <v>153</v>
      </c>
      <c r="OHI114" s="363"/>
      <c r="OHJ114" s="363"/>
      <c r="OHK114" s="364" t="s">
        <v>140</v>
      </c>
      <c r="OHL114" s="365">
        <v>0.5</v>
      </c>
      <c r="OHM114" s="366" t="e">
        <f>10/OHI112</f>
        <v>#DIV/0!</v>
      </c>
      <c r="OHN114" s="367">
        <v>15.38</v>
      </c>
      <c r="OHO114" s="367" t="e">
        <f>OHL114*OHM114*OHN114</f>
        <v>#DIV/0!</v>
      </c>
      <c r="OHP114" s="363" t="s">
        <v>153</v>
      </c>
      <c r="OHQ114" s="363"/>
      <c r="OHR114" s="363"/>
      <c r="OHS114" s="364" t="s">
        <v>140</v>
      </c>
      <c r="OHT114" s="365">
        <v>0.5</v>
      </c>
      <c r="OHU114" s="366" t="e">
        <f>10/OHQ112</f>
        <v>#DIV/0!</v>
      </c>
      <c r="OHV114" s="367">
        <v>15.38</v>
      </c>
      <c r="OHW114" s="367" t="e">
        <f>OHT114*OHU114*OHV114</f>
        <v>#DIV/0!</v>
      </c>
      <c r="OHX114" s="363" t="s">
        <v>153</v>
      </c>
      <c r="OHY114" s="363"/>
      <c r="OHZ114" s="363"/>
      <c r="OIA114" s="364" t="s">
        <v>140</v>
      </c>
      <c r="OIB114" s="365">
        <v>0.5</v>
      </c>
      <c r="OIC114" s="366" t="e">
        <f>10/OHY112</f>
        <v>#DIV/0!</v>
      </c>
      <c r="OID114" s="367">
        <v>15.38</v>
      </c>
      <c r="OIE114" s="367" t="e">
        <f>OIB114*OIC114*OID114</f>
        <v>#DIV/0!</v>
      </c>
      <c r="OIF114" s="363" t="s">
        <v>153</v>
      </c>
      <c r="OIG114" s="363"/>
      <c r="OIH114" s="363"/>
      <c r="OII114" s="364" t="s">
        <v>140</v>
      </c>
      <c r="OIJ114" s="365">
        <v>0.5</v>
      </c>
      <c r="OIK114" s="366" t="e">
        <f>10/OIG112</f>
        <v>#DIV/0!</v>
      </c>
      <c r="OIL114" s="367">
        <v>15.38</v>
      </c>
      <c r="OIM114" s="367" t="e">
        <f>OIJ114*OIK114*OIL114</f>
        <v>#DIV/0!</v>
      </c>
      <c r="OIN114" s="363" t="s">
        <v>153</v>
      </c>
      <c r="OIO114" s="363"/>
      <c r="OIP114" s="363"/>
      <c r="OIQ114" s="364" t="s">
        <v>140</v>
      </c>
      <c r="OIR114" s="365">
        <v>0.5</v>
      </c>
      <c r="OIS114" s="366" t="e">
        <f>10/OIO112</f>
        <v>#DIV/0!</v>
      </c>
      <c r="OIT114" s="367">
        <v>15.38</v>
      </c>
      <c r="OIU114" s="367" t="e">
        <f>OIR114*OIS114*OIT114</f>
        <v>#DIV/0!</v>
      </c>
      <c r="OIV114" s="363" t="s">
        <v>153</v>
      </c>
      <c r="OIW114" s="363"/>
      <c r="OIX114" s="363"/>
      <c r="OIY114" s="364" t="s">
        <v>140</v>
      </c>
      <c r="OIZ114" s="365">
        <v>0.5</v>
      </c>
      <c r="OJA114" s="366" t="e">
        <f>10/OIW112</f>
        <v>#DIV/0!</v>
      </c>
      <c r="OJB114" s="367">
        <v>15.38</v>
      </c>
      <c r="OJC114" s="367" t="e">
        <f>OIZ114*OJA114*OJB114</f>
        <v>#DIV/0!</v>
      </c>
      <c r="OJD114" s="363" t="s">
        <v>153</v>
      </c>
      <c r="OJE114" s="363"/>
      <c r="OJF114" s="363"/>
      <c r="OJG114" s="364" t="s">
        <v>140</v>
      </c>
      <c r="OJH114" s="365">
        <v>0.5</v>
      </c>
      <c r="OJI114" s="366" t="e">
        <f>10/OJE112</f>
        <v>#DIV/0!</v>
      </c>
      <c r="OJJ114" s="367">
        <v>15.38</v>
      </c>
      <c r="OJK114" s="367" t="e">
        <f>OJH114*OJI114*OJJ114</f>
        <v>#DIV/0!</v>
      </c>
      <c r="OJL114" s="363" t="s">
        <v>153</v>
      </c>
      <c r="OJM114" s="363"/>
      <c r="OJN114" s="363"/>
      <c r="OJO114" s="364" t="s">
        <v>140</v>
      </c>
      <c r="OJP114" s="365">
        <v>0.5</v>
      </c>
      <c r="OJQ114" s="366" t="e">
        <f>10/OJM112</f>
        <v>#DIV/0!</v>
      </c>
      <c r="OJR114" s="367">
        <v>15.38</v>
      </c>
      <c r="OJS114" s="367" t="e">
        <f>OJP114*OJQ114*OJR114</f>
        <v>#DIV/0!</v>
      </c>
      <c r="OJT114" s="363" t="s">
        <v>153</v>
      </c>
      <c r="OJU114" s="363"/>
      <c r="OJV114" s="363"/>
      <c r="OJW114" s="364" t="s">
        <v>140</v>
      </c>
      <c r="OJX114" s="365">
        <v>0.5</v>
      </c>
      <c r="OJY114" s="366" t="e">
        <f>10/OJU112</f>
        <v>#DIV/0!</v>
      </c>
      <c r="OJZ114" s="367">
        <v>15.38</v>
      </c>
      <c r="OKA114" s="367" t="e">
        <f>OJX114*OJY114*OJZ114</f>
        <v>#DIV/0!</v>
      </c>
      <c r="OKB114" s="363" t="s">
        <v>153</v>
      </c>
      <c r="OKC114" s="363"/>
      <c r="OKD114" s="363"/>
      <c r="OKE114" s="364" t="s">
        <v>140</v>
      </c>
      <c r="OKF114" s="365">
        <v>0.5</v>
      </c>
      <c r="OKG114" s="366" t="e">
        <f>10/OKC112</f>
        <v>#DIV/0!</v>
      </c>
      <c r="OKH114" s="367">
        <v>15.38</v>
      </c>
      <c r="OKI114" s="367" t="e">
        <f>OKF114*OKG114*OKH114</f>
        <v>#DIV/0!</v>
      </c>
      <c r="OKJ114" s="363" t="s">
        <v>153</v>
      </c>
      <c r="OKK114" s="363"/>
      <c r="OKL114" s="363"/>
      <c r="OKM114" s="364" t="s">
        <v>140</v>
      </c>
      <c r="OKN114" s="365">
        <v>0.5</v>
      </c>
      <c r="OKO114" s="366" t="e">
        <f>10/OKK112</f>
        <v>#DIV/0!</v>
      </c>
      <c r="OKP114" s="367">
        <v>15.38</v>
      </c>
      <c r="OKQ114" s="367" t="e">
        <f>OKN114*OKO114*OKP114</f>
        <v>#DIV/0!</v>
      </c>
      <c r="OKR114" s="363" t="s">
        <v>153</v>
      </c>
      <c r="OKS114" s="363"/>
      <c r="OKT114" s="363"/>
      <c r="OKU114" s="364" t="s">
        <v>140</v>
      </c>
      <c r="OKV114" s="365">
        <v>0.5</v>
      </c>
      <c r="OKW114" s="366" t="e">
        <f>10/OKS112</f>
        <v>#DIV/0!</v>
      </c>
      <c r="OKX114" s="367">
        <v>15.38</v>
      </c>
      <c r="OKY114" s="367" t="e">
        <f>OKV114*OKW114*OKX114</f>
        <v>#DIV/0!</v>
      </c>
      <c r="OKZ114" s="363" t="s">
        <v>153</v>
      </c>
      <c r="OLA114" s="363"/>
      <c r="OLB114" s="363"/>
      <c r="OLC114" s="364" t="s">
        <v>140</v>
      </c>
      <c r="OLD114" s="365">
        <v>0.5</v>
      </c>
      <c r="OLE114" s="366" t="e">
        <f>10/OLA112</f>
        <v>#DIV/0!</v>
      </c>
      <c r="OLF114" s="367">
        <v>15.38</v>
      </c>
      <c r="OLG114" s="367" t="e">
        <f>OLD114*OLE114*OLF114</f>
        <v>#DIV/0!</v>
      </c>
      <c r="OLH114" s="363" t="s">
        <v>153</v>
      </c>
      <c r="OLI114" s="363"/>
      <c r="OLJ114" s="363"/>
      <c r="OLK114" s="364" t="s">
        <v>140</v>
      </c>
      <c r="OLL114" s="365">
        <v>0.5</v>
      </c>
      <c r="OLM114" s="366" t="e">
        <f>10/OLI112</f>
        <v>#DIV/0!</v>
      </c>
      <c r="OLN114" s="367">
        <v>15.38</v>
      </c>
      <c r="OLO114" s="367" t="e">
        <f>OLL114*OLM114*OLN114</f>
        <v>#DIV/0!</v>
      </c>
      <c r="OLP114" s="363" t="s">
        <v>153</v>
      </c>
      <c r="OLQ114" s="363"/>
      <c r="OLR114" s="363"/>
      <c r="OLS114" s="364" t="s">
        <v>140</v>
      </c>
      <c r="OLT114" s="365">
        <v>0.5</v>
      </c>
      <c r="OLU114" s="366" t="e">
        <f>10/OLQ112</f>
        <v>#DIV/0!</v>
      </c>
      <c r="OLV114" s="367">
        <v>15.38</v>
      </c>
      <c r="OLW114" s="367" t="e">
        <f>OLT114*OLU114*OLV114</f>
        <v>#DIV/0!</v>
      </c>
      <c r="OLX114" s="363" t="s">
        <v>153</v>
      </c>
      <c r="OLY114" s="363"/>
      <c r="OLZ114" s="363"/>
      <c r="OMA114" s="364" t="s">
        <v>140</v>
      </c>
      <c r="OMB114" s="365">
        <v>0.5</v>
      </c>
      <c r="OMC114" s="366" t="e">
        <f>10/OLY112</f>
        <v>#DIV/0!</v>
      </c>
      <c r="OMD114" s="367">
        <v>15.38</v>
      </c>
      <c r="OME114" s="367" t="e">
        <f>OMB114*OMC114*OMD114</f>
        <v>#DIV/0!</v>
      </c>
      <c r="OMF114" s="363" t="s">
        <v>153</v>
      </c>
      <c r="OMG114" s="363"/>
      <c r="OMH114" s="363"/>
      <c r="OMI114" s="364" t="s">
        <v>140</v>
      </c>
      <c r="OMJ114" s="365">
        <v>0.5</v>
      </c>
      <c r="OMK114" s="366" t="e">
        <f>10/OMG112</f>
        <v>#DIV/0!</v>
      </c>
      <c r="OML114" s="367">
        <v>15.38</v>
      </c>
      <c r="OMM114" s="367" t="e">
        <f>OMJ114*OMK114*OML114</f>
        <v>#DIV/0!</v>
      </c>
      <c r="OMN114" s="363" t="s">
        <v>153</v>
      </c>
      <c r="OMO114" s="363"/>
      <c r="OMP114" s="363"/>
      <c r="OMQ114" s="364" t="s">
        <v>140</v>
      </c>
      <c r="OMR114" s="365">
        <v>0.5</v>
      </c>
      <c r="OMS114" s="366" t="e">
        <f>10/OMO112</f>
        <v>#DIV/0!</v>
      </c>
      <c r="OMT114" s="367">
        <v>15.38</v>
      </c>
      <c r="OMU114" s="367" t="e">
        <f>OMR114*OMS114*OMT114</f>
        <v>#DIV/0!</v>
      </c>
      <c r="OMV114" s="363" t="s">
        <v>153</v>
      </c>
      <c r="OMW114" s="363"/>
      <c r="OMX114" s="363"/>
      <c r="OMY114" s="364" t="s">
        <v>140</v>
      </c>
      <c r="OMZ114" s="365">
        <v>0.5</v>
      </c>
      <c r="ONA114" s="366" t="e">
        <f>10/OMW112</f>
        <v>#DIV/0!</v>
      </c>
      <c r="ONB114" s="367">
        <v>15.38</v>
      </c>
      <c r="ONC114" s="367" t="e">
        <f>OMZ114*ONA114*ONB114</f>
        <v>#DIV/0!</v>
      </c>
      <c r="OND114" s="363" t="s">
        <v>153</v>
      </c>
      <c r="ONE114" s="363"/>
      <c r="ONF114" s="363"/>
      <c r="ONG114" s="364" t="s">
        <v>140</v>
      </c>
      <c r="ONH114" s="365">
        <v>0.5</v>
      </c>
      <c r="ONI114" s="366" t="e">
        <f>10/ONE112</f>
        <v>#DIV/0!</v>
      </c>
      <c r="ONJ114" s="367">
        <v>15.38</v>
      </c>
      <c r="ONK114" s="367" t="e">
        <f>ONH114*ONI114*ONJ114</f>
        <v>#DIV/0!</v>
      </c>
      <c r="ONL114" s="363" t="s">
        <v>153</v>
      </c>
      <c r="ONM114" s="363"/>
      <c r="ONN114" s="363"/>
      <c r="ONO114" s="364" t="s">
        <v>140</v>
      </c>
      <c r="ONP114" s="365">
        <v>0.5</v>
      </c>
      <c r="ONQ114" s="366" t="e">
        <f>10/ONM112</f>
        <v>#DIV/0!</v>
      </c>
      <c r="ONR114" s="367">
        <v>15.38</v>
      </c>
      <c r="ONS114" s="367" t="e">
        <f>ONP114*ONQ114*ONR114</f>
        <v>#DIV/0!</v>
      </c>
      <c r="ONT114" s="363" t="s">
        <v>153</v>
      </c>
      <c r="ONU114" s="363"/>
      <c r="ONV114" s="363"/>
      <c r="ONW114" s="364" t="s">
        <v>140</v>
      </c>
      <c r="ONX114" s="365">
        <v>0.5</v>
      </c>
      <c r="ONY114" s="366" t="e">
        <f>10/ONU112</f>
        <v>#DIV/0!</v>
      </c>
      <c r="ONZ114" s="367">
        <v>15.38</v>
      </c>
      <c r="OOA114" s="367" t="e">
        <f>ONX114*ONY114*ONZ114</f>
        <v>#DIV/0!</v>
      </c>
      <c r="OOB114" s="363" t="s">
        <v>153</v>
      </c>
      <c r="OOC114" s="363"/>
      <c r="OOD114" s="363"/>
      <c r="OOE114" s="364" t="s">
        <v>140</v>
      </c>
      <c r="OOF114" s="365">
        <v>0.5</v>
      </c>
      <c r="OOG114" s="366" t="e">
        <f>10/OOC112</f>
        <v>#DIV/0!</v>
      </c>
      <c r="OOH114" s="367">
        <v>15.38</v>
      </c>
      <c r="OOI114" s="367" t="e">
        <f>OOF114*OOG114*OOH114</f>
        <v>#DIV/0!</v>
      </c>
      <c r="OOJ114" s="363" t="s">
        <v>153</v>
      </c>
      <c r="OOK114" s="363"/>
      <c r="OOL114" s="363"/>
      <c r="OOM114" s="364" t="s">
        <v>140</v>
      </c>
      <c r="OON114" s="365">
        <v>0.5</v>
      </c>
      <c r="OOO114" s="366" t="e">
        <f>10/OOK112</f>
        <v>#DIV/0!</v>
      </c>
      <c r="OOP114" s="367">
        <v>15.38</v>
      </c>
      <c r="OOQ114" s="367" t="e">
        <f>OON114*OOO114*OOP114</f>
        <v>#DIV/0!</v>
      </c>
      <c r="OOR114" s="363" t="s">
        <v>153</v>
      </c>
      <c r="OOS114" s="363"/>
      <c r="OOT114" s="363"/>
      <c r="OOU114" s="364" t="s">
        <v>140</v>
      </c>
      <c r="OOV114" s="365">
        <v>0.5</v>
      </c>
      <c r="OOW114" s="366" t="e">
        <f>10/OOS112</f>
        <v>#DIV/0!</v>
      </c>
      <c r="OOX114" s="367">
        <v>15.38</v>
      </c>
      <c r="OOY114" s="367" t="e">
        <f>OOV114*OOW114*OOX114</f>
        <v>#DIV/0!</v>
      </c>
      <c r="OOZ114" s="363" t="s">
        <v>153</v>
      </c>
      <c r="OPA114" s="363"/>
      <c r="OPB114" s="363"/>
      <c r="OPC114" s="364" t="s">
        <v>140</v>
      </c>
      <c r="OPD114" s="365">
        <v>0.5</v>
      </c>
      <c r="OPE114" s="366" t="e">
        <f>10/OPA112</f>
        <v>#DIV/0!</v>
      </c>
      <c r="OPF114" s="367">
        <v>15.38</v>
      </c>
      <c r="OPG114" s="367" t="e">
        <f>OPD114*OPE114*OPF114</f>
        <v>#DIV/0!</v>
      </c>
      <c r="OPH114" s="363" t="s">
        <v>153</v>
      </c>
      <c r="OPI114" s="363"/>
      <c r="OPJ114" s="363"/>
      <c r="OPK114" s="364" t="s">
        <v>140</v>
      </c>
      <c r="OPL114" s="365">
        <v>0.5</v>
      </c>
      <c r="OPM114" s="366" t="e">
        <f>10/OPI112</f>
        <v>#DIV/0!</v>
      </c>
      <c r="OPN114" s="367">
        <v>15.38</v>
      </c>
      <c r="OPO114" s="367" t="e">
        <f>OPL114*OPM114*OPN114</f>
        <v>#DIV/0!</v>
      </c>
      <c r="OPP114" s="363" t="s">
        <v>153</v>
      </c>
      <c r="OPQ114" s="363"/>
      <c r="OPR114" s="363"/>
      <c r="OPS114" s="364" t="s">
        <v>140</v>
      </c>
      <c r="OPT114" s="365">
        <v>0.5</v>
      </c>
      <c r="OPU114" s="366" t="e">
        <f>10/OPQ112</f>
        <v>#DIV/0!</v>
      </c>
      <c r="OPV114" s="367">
        <v>15.38</v>
      </c>
      <c r="OPW114" s="367" t="e">
        <f>OPT114*OPU114*OPV114</f>
        <v>#DIV/0!</v>
      </c>
      <c r="OPX114" s="363" t="s">
        <v>153</v>
      </c>
      <c r="OPY114" s="363"/>
      <c r="OPZ114" s="363"/>
      <c r="OQA114" s="364" t="s">
        <v>140</v>
      </c>
      <c r="OQB114" s="365">
        <v>0.5</v>
      </c>
      <c r="OQC114" s="366" t="e">
        <f>10/OPY112</f>
        <v>#DIV/0!</v>
      </c>
      <c r="OQD114" s="367">
        <v>15.38</v>
      </c>
      <c r="OQE114" s="367" t="e">
        <f>OQB114*OQC114*OQD114</f>
        <v>#DIV/0!</v>
      </c>
      <c r="OQF114" s="363" t="s">
        <v>153</v>
      </c>
      <c r="OQG114" s="363"/>
      <c r="OQH114" s="363"/>
      <c r="OQI114" s="364" t="s">
        <v>140</v>
      </c>
      <c r="OQJ114" s="365">
        <v>0.5</v>
      </c>
      <c r="OQK114" s="366" t="e">
        <f>10/OQG112</f>
        <v>#DIV/0!</v>
      </c>
      <c r="OQL114" s="367">
        <v>15.38</v>
      </c>
      <c r="OQM114" s="367" t="e">
        <f>OQJ114*OQK114*OQL114</f>
        <v>#DIV/0!</v>
      </c>
      <c r="OQN114" s="363" t="s">
        <v>153</v>
      </c>
      <c r="OQO114" s="363"/>
      <c r="OQP114" s="363"/>
      <c r="OQQ114" s="364" t="s">
        <v>140</v>
      </c>
      <c r="OQR114" s="365">
        <v>0.5</v>
      </c>
      <c r="OQS114" s="366" t="e">
        <f>10/OQO112</f>
        <v>#DIV/0!</v>
      </c>
      <c r="OQT114" s="367">
        <v>15.38</v>
      </c>
      <c r="OQU114" s="367" t="e">
        <f>OQR114*OQS114*OQT114</f>
        <v>#DIV/0!</v>
      </c>
      <c r="OQV114" s="363" t="s">
        <v>153</v>
      </c>
      <c r="OQW114" s="363"/>
      <c r="OQX114" s="363"/>
      <c r="OQY114" s="364" t="s">
        <v>140</v>
      </c>
      <c r="OQZ114" s="365">
        <v>0.5</v>
      </c>
      <c r="ORA114" s="366" t="e">
        <f>10/OQW112</f>
        <v>#DIV/0!</v>
      </c>
      <c r="ORB114" s="367">
        <v>15.38</v>
      </c>
      <c r="ORC114" s="367" t="e">
        <f>OQZ114*ORA114*ORB114</f>
        <v>#DIV/0!</v>
      </c>
      <c r="ORD114" s="363" t="s">
        <v>153</v>
      </c>
      <c r="ORE114" s="363"/>
      <c r="ORF114" s="363"/>
      <c r="ORG114" s="364" t="s">
        <v>140</v>
      </c>
      <c r="ORH114" s="365">
        <v>0.5</v>
      </c>
      <c r="ORI114" s="366" t="e">
        <f>10/ORE112</f>
        <v>#DIV/0!</v>
      </c>
      <c r="ORJ114" s="367">
        <v>15.38</v>
      </c>
      <c r="ORK114" s="367" t="e">
        <f>ORH114*ORI114*ORJ114</f>
        <v>#DIV/0!</v>
      </c>
      <c r="ORL114" s="363" t="s">
        <v>153</v>
      </c>
      <c r="ORM114" s="363"/>
      <c r="ORN114" s="363"/>
      <c r="ORO114" s="364" t="s">
        <v>140</v>
      </c>
      <c r="ORP114" s="365">
        <v>0.5</v>
      </c>
      <c r="ORQ114" s="366" t="e">
        <f>10/ORM112</f>
        <v>#DIV/0!</v>
      </c>
      <c r="ORR114" s="367">
        <v>15.38</v>
      </c>
      <c r="ORS114" s="367" t="e">
        <f>ORP114*ORQ114*ORR114</f>
        <v>#DIV/0!</v>
      </c>
      <c r="ORT114" s="363" t="s">
        <v>153</v>
      </c>
      <c r="ORU114" s="363"/>
      <c r="ORV114" s="363"/>
      <c r="ORW114" s="364" t="s">
        <v>140</v>
      </c>
      <c r="ORX114" s="365">
        <v>0.5</v>
      </c>
      <c r="ORY114" s="366" t="e">
        <f>10/ORU112</f>
        <v>#DIV/0!</v>
      </c>
      <c r="ORZ114" s="367">
        <v>15.38</v>
      </c>
      <c r="OSA114" s="367" t="e">
        <f>ORX114*ORY114*ORZ114</f>
        <v>#DIV/0!</v>
      </c>
      <c r="OSB114" s="363" t="s">
        <v>153</v>
      </c>
      <c r="OSC114" s="363"/>
      <c r="OSD114" s="363"/>
      <c r="OSE114" s="364" t="s">
        <v>140</v>
      </c>
      <c r="OSF114" s="365">
        <v>0.5</v>
      </c>
      <c r="OSG114" s="366" t="e">
        <f>10/OSC112</f>
        <v>#DIV/0!</v>
      </c>
      <c r="OSH114" s="367">
        <v>15.38</v>
      </c>
      <c r="OSI114" s="367" t="e">
        <f>OSF114*OSG114*OSH114</f>
        <v>#DIV/0!</v>
      </c>
      <c r="OSJ114" s="363" t="s">
        <v>153</v>
      </c>
      <c r="OSK114" s="363"/>
      <c r="OSL114" s="363"/>
      <c r="OSM114" s="364" t="s">
        <v>140</v>
      </c>
      <c r="OSN114" s="365">
        <v>0.5</v>
      </c>
      <c r="OSO114" s="366" t="e">
        <f>10/OSK112</f>
        <v>#DIV/0!</v>
      </c>
      <c r="OSP114" s="367">
        <v>15.38</v>
      </c>
      <c r="OSQ114" s="367" t="e">
        <f>OSN114*OSO114*OSP114</f>
        <v>#DIV/0!</v>
      </c>
      <c r="OSR114" s="363" t="s">
        <v>153</v>
      </c>
      <c r="OSS114" s="363"/>
      <c r="OST114" s="363"/>
      <c r="OSU114" s="364" t="s">
        <v>140</v>
      </c>
      <c r="OSV114" s="365">
        <v>0.5</v>
      </c>
      <c r="OSW114" s="366" t="e">
        <f>10/OSS112</f>
        <v>#DIV/0!</v>
      </c>
      <c r="OSX114" s="367">
        <v>15.38</v>
      </c>
      <c r="OSY114" s="367" t="e">
        <f>OSV114*OSW114*OSX114</f>
        <v>#DIV/0!</v>
      </c>
      <c r="OSZ114" s="363" t="s">
        <v>153</v>
      </c>
      <c r="OTA114" s="363"/>
      <c r="OTB114" s="363"/>
      <c r="OTC114" s="364" t="s">
        <v>140</v>
      </c>
      <c r="OTD114" s="365">
        <v>0.5</v>
      </c>
      <c r="OTE114" s="366" t="e">
        <f>10/OTA112</f>
        <v>#DIV/0!</v>
      </c>
      <c r="OTF114" s="367">
        <v>15.38</v>
      </c>
      <c r="OTG114" s="367" t="e">
        <f>OTD114*OTE114*OTF114</f>
        <v>#DIV/0!</v>
      </c>
      <c r="OTH114" s="363" t="s">
        <v>153</v>
      </c>
      <c r="OTI114" s="363"/>
      <c r="OTJ114" s="363"/>
      <c r="OTK114" s="364" t="s">
        <v>140</v>
      </c>
      <c r="OTL114" s="365">
        <v>0.5</v>
      </c>
      <c r="OTM114" s="366" t="e">
        <f>10/OTI112</f>
        <v>#DIV/0!</v>
      </c>
      <c r="OTN114" s="367">
        <v>15.38</v>
      </c>
      <c r="OTO114" s="367" t="e">
        <f>OTL114*OTM114*OTN114</f>
        <v>#DIV/0!</v>
      </c>
      <c r="OTP114" s="363" t="s">
        <v>153</v>
      </c>
      <c r="OTQ114" s="363"/>
      <c r="OTR114" s="363"/>
      <c r="OTS114" s="364" t="s">
        <v>140</v>
      </c>
      <c r="OTT114" s="365">
        <v>0.5</v>
      </c>
      <c r="OTU114" s="366" t="e">
        <f>10/OTQ112</f>
        <v>#DIV/0!</v>
      </c>
      <c r="OTV114" s="367">
        <v>15.38</v>
      </c>
      <c r="OTW114" s="367" t="e">
        <f>OTT114*OTU114*OTV114</f>
        <v>#DIV/0!</v>
      </c>
      <c r="OTX114" s="363" t="s">
        <v>153</v>
      </c>
      <c r="OTY114" s="363"/>
      <c r="OTZ114" s="363"/>
      <c r="OUA114" s="364" t="s">
        <v>140</v>
      </c>
      <c r="OUB114" s="365">
        <v>0.5</v>
      </c>
      <c r="OUC114" s="366" t="e">
        <f>10/OTY112</f>
        <v>#DIV/0!</v>
      </c>
      <c r="OUD114" s="367">
        <v>15.38</v>
      </c>
      <c r="OUE114" s="367" t="e">
        <f>OUB114*OUC114*OUD114</f>
        <v>#DIV/0!</v>
      </c>
      <c r="OUF114" s="363" t="s">
        <v>153</v>
      </c>
      <c r="OUG114" s="363"/>
      <c r="OUH114" s="363"/>
      <c r="OUI114" s="364" t="s">
        <v>140</v>
      </c>
      <c r="OUJ114" s="365">
        <v>0.5</v>
      </c>
      <c r="OUK114" s="366" t="e">
        <f>10/OUG112</f>
        <v>#DIV/0!</v>
      </c>
      <c r="OUL114" s="367">
        <v>15.38</v>
      </c>
      <c r="OUM114" s="367" t="e">
        <f>OUJ114*OUK114*OUL114</f>
        <v>#DIV/0!</v>
      </c>
      <c r="OUN114" s="363" t="s">
        <v>153</v>
      </c>
      <c r="OUO114" s="363"/>
      <c r="OUP114" s="363"/>
      <c r="OUQ114" s="364" t="s">
        <v>140</v>
      </c>
      <c r="OUR114" s="365">
        <v>0.5</v>
      </c>
      <c r="OUS114" s="366" t="e">
        <f>10/OUO112</f>
        <v>#DIV/0!</v>
      </c>
      <c r="OUT114" s="367">
        <v>15.38</v>
      </c>
      <c r="OUU114" s="367" t="e">
        <f>OUR114*OUS114*OUT114</f>
        <v>#DIV/0!</v>
      </c>
      <c r="OUV114" s="363" t="s">
        <v>153</v>
      </c>
      <c r="OUW114" s="363"/>
      <c r="OUX114" s="363"/>
      <c r="OUY114" s="364" t="s">
        <v>140</v>
      </c>
      <c r="OUZ114" s="365">
        <v>0.5</v>
      </c>
      <c r="OVA114" s="366" t="e">
        <f>10/OUW112</f>
        <v>#DIV/0!</v>
      </c>
      <c r="OVB114" s="367">
        <v>15.38</v>
      </c>
      <c r="OVC114" s="367" t="e">
        <f>OUZ114*OVA114*OVB114</f>
        <v>#DIV/0!</v>
      </c>
      <c r="OVD114" s="363" t="s">
        <v>153</v>
      </c>
      <c r="OVE114" s="363"/>
      <c r="OVF114" s="363"/>
      <c r="OVG114" s="364" t="s">
        <v>140</v>
      </c>
      <c r="OVH114" s="365">
        <v>0.5</v>
      </c>
      <c r="OVI114" s="366" t="e">
        <f>10/OVE112</f>
        <v>#DIV/0!</v>
      </c>
      <c r="OVJ114" s="367">
        <v>15.38</v>
      </c>
      <c r="OVK114" s="367" t="e">
        <f>OVH114*OVI114*OVJ114</f>
        <v>#DIV/0!</v>
      </c>
      <c r="OVL114" s="363" t="s">
        <v>153</v>
      </c>
      <c r="OVM114" s="363"/>
      <c r="OVN114" s="363"/>
      <c r="OVO114" s="364" t="s">
        <v>140</v>
      </c>
      <c r="OVP114" s="365">
        <v>0.5</v>
      </c>
      <c r="OVQ114" s="366" t="e">
        <f>10/OVM112</f>
        <v>#DIV/0!</v>
      </c>
      <c r="OVR114" s="367">
        <v>15.38</v>
      </c>
      <c r="OVS114" s="367" t="e">
        <f>OVP114*OVQ114*OVR114</f>
        <v>#DIV/0!</v>
      </c>
      <c r="OVT114" s="363" t="s">
        <v>153</v>
      </c>
      <c r="OVU114" s="363"/>
      <c r="OVV114" s="363"/>
      <c r="OVW114" s="364" t="s">
        <v>140</v>
      </c>
      <c r="OVX114" s="365">
        <v>0.5</v>
      </c>
      <c r="OVY114" s="366" t="e">
        <f>10/OVU112</f>
        <v>#DIV/0!</v>
      </c>
      <c r="OVZ114" s="367">
        <v>15.38</v>
      </c>
      <c r="OWA114" s="367" t="e">
        <f>OVX114*OVY114*OVZ114</f>
        <v>#DIV/0!</v>
      </c>
      <c r="OWB114" s="363" t="s">
        <v>153</v>
      </c>
      <c r="OWC114" s="363"/>
      <c r="OWD114" s="363"/>
      <c r="OWE114" s="364" t="s">
        <v>140</v>
      </c>
      <c r="OWF114" s="365">
        <v>0.5</v>
      </c>
      <c r="OWG114" s="366" t="e">
        <f>10/OWC112</f>
        <v>#DIV/0!</v>
      </c>
      <c r="OWH114" s="367">
        <v>15.38</v>
      </c>
      <c r="OWI114" s="367" t="e">
        <f>OWF114*OWG114*OWH114</f>
        <v>#DIV/0!</v>
      </c>
      <c r="OWJ114" s="363" t="s">
        <v>153</v>
      </c>
      <c r="OWK114" s="363"/>
      <c r="OWL114" s="363"/>
      <c r="OWM114" s="364" t="s">
        <v>140</v>
      </c>
      <c r="OWN114" s="365">
        <v>0.5</v>
      </c>
      <c r="OWO114" s="366" t="e">
        <f>10/OWK112</f>
        <v>#DIV/0!</v>
      </c>
      <c r="OWP114" s="367">
        <v>15.38</v>
      </c>
      <c r="OWQ114" s="367" t="e">
        <f>OWN114*OWO114*OWP114</f>
        <v>#DIV/0!</v>
      </c>
      <c r="OWR114" s="363" t="s">
        <v>153</v>
      </c>
      <c r="OWS114" s="363"/>
      <c r="OWT114" s="363"/>
      <c r="OWU114" s="364" t="s">
        <v>140</v>
      </c>
      <c r="OWV114" s="365">
        <v>0.5</v>
      </c>
      <c r="OWW114" s="366" t="e">
        <f>10/OWS112</f>
        <v>#DIV/0!</v>
      </c>
      <c r="OWX114" s="367">
        <v>15.38</v>
      </c>
      <c r="OWY114" s="367" t="e">
        <f>OWV114*OWW114*OWX114</f>
        <v>#DIV/0!</v>
      </c>
      <c r="OWZ114" s="363" t="s">
        <v>153</v>
      </c>
      <c r="OXA114" s="363"/>
      <c r="OXB114" s="363"/>
      <c r="OXC114" s="364" t="s">
        <v>140</v>
      </c>
      <c r="OXD114" s="365">
        <v>0.5</v>
      </c>
      <c r="OXE114" s="366" t="e">
        <f>10/OXA112</f>
        <v>#DIV/0!</v>
      </c>
      <c r="OXF114" s="367">
        <v>15.38</v>
      </c>
      <c r="OXG114" s="367" t="e">
        <f>OXD114*OXE114*OXF114</f>
        <v>#DIV/0!</v>
      </c>
      <c r="OXH114" s="363" t="s">
        <v>153</v>
      </c>
      <c r="OXI114" s="363"/>
      <c r="OXJ114" s="363"/>
      <c r="OXK114" s="364" t="s">
        <v>140</v>
      </c>
      <c r="OXL114" s="365">
        <v>0.5</v>
      </c>
      <c r="OXM114" s="366" t="e">
        <f>10/OXI112</f>
        <v>#DIV/0!</v>
      </c>
      <c r="OXN114" s="367">
        <v>15.38</v>
      </c>
      <c r="OXO114" s="367" t="e">
        <f>OXL114*OXM114*OXN114</f>
        <v>#DIV/0!</v>
      </c>
      <c r="OXP114" s="363" t="s">
        <v>153</v>
      </c>
      <c r="OXQ114" s="363"/>
      <c r="OXR114" s="363"/>
      <c r="OXS114" s="364" t="s">
        <v>140</v>
      </c>
      <c r="OXT114" s="365">
        <v>0.5</v>
      </c>
      <c r="OXU114" s="366" t="e">
        <f>10/OXQ112</f>
        <v>#DIV/0!</v>
      </c>
      <c r="OXV114" s="367">
        <v>15.38</v>
      </c>
      <c r="OXW114" s="367" t="e">
        <f>OXT114*OXU114*OXV114</f>
        <v>#DIV/0!</v>
      </c>
      <c r="OXX114" s="363" t="s">
        <v>153</v>
      </c>
      <c r="OXY114" s="363"/>
      <c r="OXZ114" s="363"/>
      <c r="OYA114" s="364" t="s">
        <v>140</v>
      </c>
      <c r="OYB114" s="365">
        <v>0.5</v>
      </c>
      <c r="OYC114" s="366" t="e">
        <f>10/OXY112</f>
        <v>#DIV/0!</v>
      </c>
      <c r="OYD114" s="367">
        <v>15.38</v>
      </c>
      <c r="OYE114" s="367" t="e">
        <f>OYB114*OYC114*OYD114</f>
        <v>#DIV/0!</v>
      </c>
      <c r="OYF114" s="363" t="s">
        <v>153</v>
      </c>
      <c r="OYG114" s="363"/>
      <c r="OYH114" s="363"/>
      <c r="OYI114" s="364" t="s">
        <v>140</v>
      </c>
      <c r="OYJ114" s="365">
        <v>0.5</v>
      </c>
      <c r="OYK114" s="366" t="e">
        <f>10/OYG112</f>
        <v>#DIV/0!</v>
      </c>
      <c r="OYL114" s="367">
        <v>15.38</v>
      </c>
      <c r="OYM114" s="367" t="e">
        <f>OYJ114*OYK114*OYL114</f>
        <v>#DIV/0!</v>
      </c>
      <c r="OYN114" s="363" t="s">
        <v>153</v>
      </c>
      <c r="OYO114" s="363"/>
      <c r="OYP114" s="363"/>
      <c r="OYQ114" s="364" t="s">
        <v>140</v>
      </c>
      <c r="OYR114" s="365">
        <v>0.5</v>
      </c>
      <c r="OYS114" s="366" t="e">
        <f>10/OYO112</f>
        <v>#DIV/0!</v>
      </c>
      <c r="OYT114" s="367">
        <v>15.38</v>
      </c>
      <c r="OYU114" s="367" t="e">
        <f>OYR114*OYS114*OYT114</f>
        <v>#DIV/0!</v>
      </c>
      <c r="OYV114" s="363" t="s">
        <v>153</v>
      </c>
      <c r="OYW114" s="363"/>
      <c r="OYX114" s="363"/>
      <c r="OYY114" s="364" t="s">
        <v>140</v>
      </c>
      <c r="OYZ114" s="365">
        <v>0.5</v>
      </c>
      <c r="OZA114" s="366" t="e">
        <f>10/OYW112</f>
        <v>#DIV/0!</v>
      </c>
      <c r="OZB114" s="367">
        <v>15.38</v>
      </c>
      <c r="OZC114" s="367" t="e">
        <f>OYZ114*OZA114*OZB114</f>
        <v>#DIV/0!</v>
      </c>
      <c r="OZD114" s="363" t="s">
        <v>153</v>
      </c>
      <c r="OZE114" s="363"/>
      <c r="OZF114" s="363"/>
      <c r="OZG114" s="364" t="s">
        <v>140</v>
      </c>
      <c r="OZH114" s="365">
        <v>0.5</v>
      </c>
      <c r="OZI114" s="366" t="e">
        <f>10/OZE112</f>
        <v>#DIV/0!</v>
      </c>
      <c r="OZJ114" s="367">
        <v>15.38</v>
      </c>
      <c r="OZK114" s="367" t="e">
        <f>OZH114*OZI114*OZJ114</f>
        <v>#DIV/0!</v>
      </c>
      <c r="OZL114" s="363" t="s">
        <v>153</v>
      </c>
      <c r="OZM114" s="363"/>
      <c r="OZN114" s="363"/>
      <c r="OZO114" s="364" t="s">
        <v>140</v>
      </c>
      <c r="OZP114" s="365">
        <v>0.5</v>
      </c>
      <c r="OZQ114" s="366" t="e">
        <f>10/OZM112</f>
        <v>#DIV/0!</v>
      </c>
      <c r="OZR114" s="367">
        <v>15.38</v>
      </c>
      <c r="OZS114" s="367" t="e">
        <f>OZP114*OZQ114*OZR114</f>
        <v>#DIV/0!</v>
      </c>
      <c r="OZT114" s="363" t="s">
        <v>153</v>
      </c>
      <c r="OZU114" s="363"/>
      <c r="OZV114" s="363"/>
      <c r="OZW114" s="364" t="s">
        <v>140</v>
      </c>
      <c r="OZX114" s="365">
        <v>0.5</v>
      </c>
      <c r="OZY114" s="366" t="e">
        <f>10/OZU112</f>
        <v>#DIV/0!</v>
      </c>
      <c r="OZZ114" s="367">
        <v>15.38</v>
      </c>
      <c r="PAA114" s="367" t="e">
        <f>OZX114*OZY114*OZZ114</f>
        <v>#DIV/0!</v>
      </c>
      <c r="PAB114" s="363" t="s">
        <v>153</v>
      </c>
      <c r="PAC114" s="363"/>
      <c r="PAD114" s="363"/>
      <c r="PAE114" s="364" t="s">
        <v>140</v>
      </c>
      <c r="PAF114" s="365">
        <v>0.5</v>
      </c>
      <c r="PAG114" s="366" t="e">
        <f>10/PAC112</f>
        <v>#DIV/0!</v>
      </c>
      <c r="PAH114" s="367">
        <v>15.38</v>
      </c>
      <c r="PAI114" s="367" t="e">
        <f>PAF114*PAG114*PAH114</f>
        <v>#DIV/0!</v>
      </c>
      <c r="PAJ114" s="363" t="s">
        <v>153</v>
      </c>
      <c r="PAK114" s="363"/>
      <c r="PAL114" s="363"/>
      <c r="PAM114" s="364" t="s">
        <v>140</v>
      </c>
      <c r="PAN114" s="365">
        <v>0.5</v>
      </c>
      <c r="PAO114" s="366" t="e">
        <f>10/PAK112</f>
        <v>#DIV/0!</v>
      </c>
      <c r="PAP114" s="367">
        <v>15.38</v>
      </c>
      <c r="PAQ114" s="367" t="e">
        <f>PAN114*PAO114*PAP114</f>
        <v>#DIV/0!</v>
      </c>
      <c r="PAR114" s="363" t="s">
        <v>153</v>
      </c>
      <c r="PAS114" s="363"/>
      <c r="PAT114" s="363"/>
      <c r="PAU114" s="364" t="s">
        <v>140</v>
      </c>
      <c r="PAV114" s="365">
        <v>0.5</v>
      </c>
      <c r="PAW114" s="366" t="e">
        <f>10/PAS112</f>
        <v>#DIV/0!</v>
      </c>
      <c r="PAX114" s="367">
        <v>15.38</v>
      </c>
      <c r="PAY114" s="367" t="e">
        <f>PAV114*PAW114*PAX114</f>
        <v>#DIV/0!</v>
      </c>
      <c r="PAZ114" s="363" t="s">
        <v>153</v>
      </c>
      <c r="PBA114" s="363"/>
      <c r="PBB114" s="363"/>
      <c r="PBC114" s="364" t="s">
        <v>140</v>
      </c>
      <c r="PBD114" s="365">
        <v>0.5</v>
      </c>
      <c r="PBE114" s="366" t="e">
        <f>10/PBA112</f>
        <v>#DIV/0!</v>
      </c>
      <c r="PBF114" s="367">
        <v>15.38</v>
      </c>
      <c r="PBG114" s="367" t="e">
        <f>PBD114*PBE114*PBF114</f>
        <v>#DIV/0!</v>
      </c>
      <c r="PBH114" s="363" t="s">
        <v>153</v>
      </c>
      <c r="PBI114" s="363"/>
      <c r="PBJ114" s="363"/>
      <c r="PBK114" s="364" t="s">
        <v>140</v>
      </c>
      <c r="PBL114" s="365">
        <v>0.5</v>
      </c>
      <c r="PBM114" s="366" t="e">
        <f>10/PBI112</f>
        <v>#DIV/0!</v>
      </c>
      <c r="PBN114" s="367">
        <v>15.38</v>
      </c>
      <c r="PBO114" s="367" t="e">
        <f>PBL114*PBM114*PBN114</f>
        <v>#DIV/0!</v>
      </c>
      <c r="PBP114" s="363" t="s">
        <v>153</v>
      </c>
      <c r="PBQ114" s="363"/>
      <c r="PBR114" s="363"/>
      <c r="PBS114" s="364" t="s">
        <v>140</v>
      </c>
      <c r="PBT114" s="365">
        <v>0.5</v>
      </c>
      <c r="PBU114" s="366" t="e">
        <f>10/PBQ112</f>
        <v>#DIV/0!</v>
      </c>
      <c r="PBV114" s="367">
        <v>15.38</v>
      </c>
      <c r="PBW114" s="367" t="e">
        <f>PBT114*PBU114*PBV114</f>
        <v>#DIV/0!</v>
      </c>
      <c r="PBX114" s="363" t="s">
        <v>153</v>
      </c>
      <c r="PBY114" s="363"/>
      <c r="PBZ114" s="363"/>
      <c r="PCA114" s="364" t="s">
        <v>140</v>
      </c>
      <c r="PCB114" s="365">
        <v>0.5</v>
      </c>
      <c r="PCC114" s="366" t="e">
        <f>10/PBY112</f>
        <v>#DIV/0!</v>
      </c>
      <c r="PCD114" s="367">
        <v>15.38</v>
      </c>
      <c r="PCE114" s="367" t="e">
        <f>PCB114*PCC114*PCD114</f>
        <v>#DIV/0!</v>
      </c>
      <c r="PCF114" s="363" t="s">
        <v>153</v>
      </c>
      <c r="PCG114" s="363"/>
      <c r="PCH114" s="363"/>
      <c r="PCI114" s="364" t="s">
        <v>140</v>
      </c>
      <c r="PCJ114" s="365">
        <v>0.5</v>
      </c>
      <c r="PCK114" s="366" t="e">
        <f>10/PCG112</f>
        <v>#DIV/0!</v>
      </c>
      <c r="PCL114" s="367">
        <v>15.38</v>
      </c>
      <c r="PCM114" s="367" t="e">
        <f>PCJ114*PCK114*PCL114</f>
        <v>#DIV/0!</v>
      </c>
      <c r="PCN114" s="363" t="s">
        <v>153</v>
      </c>
      <c r="PCO114" s="363"/>
      <c r="PCP114" s="363"/>
      <c r="PCQ114" s="364" t="s">
        <v>140</v>
      </c>
      <c r="PCR114" s="365">
        <v>0.5</v>
      </c>
      <c r="PCS114" s="366" t="e">
        <f>10/PCO112</f>
        <v>#DIV/0!</v>
      </c>
      <c r="PCT114" s="367">
        <v>15.38</v>
      </c>
      <c r="PCU114" s="367" t="e">
        <f>PCR114*PCS114*PCT114</f>
        <v>#DIV/0!</v>
      </c>
      <c r="PCV114" s="363" t="s">
        <v>153</v>
      </c>
      <c r="PCW114" s="363"/>
      <c r="PCX114" s="363"/>
      <c r="PCY114" s="364" t="s">
        <v>140</v>
      </c>
      <c r="PCZ114" s="365">
        <v>0.5</v>
      </c>
      <c r="PDA114" s="366" t="e">
        <f>10/PCW112</f>
        <v>#DIV/0!</v>
      </c>
      <c r="PDB114" s="367">
        <v>15.38</v>
      </c>
      <c r="PDC114" s="367" t="e">
        <f>PCZ114*PDA114*PDB114</f>
        <v>#DIV/0!</v>
      </c>
      <c r="PDD114" s="363" t="s">
        <v>153</v>
      </c>
      <c r="PDE114" s="363"/>
      <c r="PDF114" s="363"/>
      <c r="PDG114" s="364" t="s">
        <v>140</v>
      </c>
      <c r="PDH114" s="365">
        <v>0.5</v>
      </c>
      <c r="PDI114" s="366" t="e">
        <f>10/PDE112</f>
        <v>#DIV/0!</v>
      </c>
      <c r="PDJ114" s="367">
        <v>15.38</v>
      </c>
      <c r="PDK114" s="367" t="e">
        <f>PDH114*PDI114*PDJ114</f>
        <v>#DIV/0!</v>
      </c>
      <c r="PDL114" s="363" t="s">
        <v>153</v>
      </c>
      <c r="PDM114" s="363"/>
      <c r="PDN114" s="363"/>
      <c r="PDO114" s="364" t="s">
        <v>140</v>
      </c>
      <c r="PDP114" s="365">
        <v>0.5</v>
      </c>
      <c r="PDQ114" s="366" t="e">
        <f>10/PDM112</f>
        <v>#DIV/0!</v>
      </c>
      <c r="PDR114" s="367">
        <v>15.38</v>
      </c>
      <c r="PDS114" s="367" t="e">
        <f>PDP114*PDQ114*PDR114</f>
        <v>#DIV/0!</v>
      </c>
      <c r="PDT114" s="363" t="s">
        <v>153</v>
      </c>
      <c r="PDU114" s="363"/>
      <c r="PDV114" s="363"/>
      <c r="PDW114" s="364" t="s">
        <v>140</v>
      </c>
      <c r="PDX114" s="365">
        <v>0.5</v>
      </c>
      <c r="PDY114" s="366" t="e">
        <f>10/PDU112</f>
        <v>#DIV/0!</v>
      </c>
      <c r="PDZ114" s="367">
        <v>15.38</v>
      </c>
      <c r="PEA114" s="367" t="e">
        <f>PDX114*PDY114*PDZ114</f>
        <v>#DIV/0!</v>
      </c>
      <c r="PEB114" s="363" t="s">
        <v>153</v>
      </c>
      <c r="PEC114" s="363"/>
      <c r="PED114" s="363"/>
      <c r="PEE114" s="364" t="s">
        <v>140</v>
      </c>
      <c r="PEF114" s="365">
        <v>0.5</v>
      </c>
      <c r="PEG114" s="366" t="e">
        <f>10/PEC112</f>
        <v>#DIV/0!</v>
      </c>
      <c r="PEH114" s="367">
        <v>15.38</v>
      </c>
      <c r="PEI114" s="367" t="e">
        <f>PEF114*PEG114*PEH114</f>
        <v>#DIV/0!</v>
      </c>
      <c r="PEJ114" s="363" t="s">
        <v>153</v>
      </c>
      <c r="PEK114" s="363"/>
      <c r="PEL114" s="363"/>
      <c r="PEM114" s="364" t="s">
        <v>140</v>
      </c>
      <c r="PEN114" s="365">
        <v>0.5</v>
      </c>
      <c r="PEO114" s="366" t="e">
        <f>10/PEK112</f>
        <v>#DIV/0!</v>
      </c>
      <c r="PEP114" s="367">
        <v>15.38</v>
      </c>
      <c r="PEQ114" s="367" t="e">
        <f>PEN114*PEO114*PEP114</f>
        <v>#DIV/0!</v>
      </c>
      <c r="PER114" s="363" t="s">
        <v>153</v>
      </c>
      <c r="PES114" s="363"/>
      <c r="PET114" s="363"/>
      <c r="PEU114" s="364" t="s">
        <v>140</v>
      </c>
      <c r="PEV114" s="365">
        <v>0.5</v>
      </c>
      <c r="PEW114" s="366" t="e">
        <f>10/PES112</f>
        <v>#DIV/0!</v>
      </c>
      <c r="PEX114" s="367">
        <v>15.38</v>
      </c>
      <c r="PEY114" s="367" t="e">
        <f>PEV114*PEW114*PEX114</f>
        <v>#DIV/0!</v>
      </c>
      <c r="PEZ114" s="363" t="s">
        <v>153</v>
      </c>
      <c r="PFA114" s="363"/>
      <c r="PFB114" s="363"/>
      <c r="PFC114" s="364" t="s">
        <v>140</v>
      </c>
      <c r="PFD114" s="365">
        <v>0.5</v>
      </c>
      <c r="PFE114" s="366" t="e">
        <f>10/PFA112</f>
        <v>#DIV/0!</v>
      </c>
      <c r="PFF114" s="367">
        <v>15.38</v>
      </c>
      <c r="PFG114" s="367" t="e">
        <f>PFD114*PFE114*PFF114</f>
        <v>#DIV/0!</v>
      </c>
      <c r="PFH114" s="363" t="s">
        <v>153</v>
      </c>
      <c r="PFI114" s="363"/>
      <c r="PFJ114" s="363"/>
      <c r="PFK114" s="364" t="s">
        <v>140</v>
      </c>
      <c r="PFL114" s="365">
        <v>0.5</v>
      </c>
      <c r="PFM114" s="366" t="e">
        <f>10/PFI112</f>
        <v>#DIV/0!</v>
      </c>
      <c r="PFN114" s="367">
        <v>15.38</v>
      </c>
      <c r="PFO114" s="367" t="e">
        <f>PFL114*PFM114*PFN114</f>
        <v>#DIV/0!</v>
      </c>
      <c r="PFP114" s="363" t="s">
        <v>153</v>
      </c>
      <c r="PFQ114" s="363"/>
      <c r="PFR114" s="363"/>
      <c r="PFS114" s="364" t="s">
        <v>140</v>
      </c>
      <c r="PFT114" s="365">
        <v>0.5</v>
      </c>
      <c r="PFU114" s="366" t="e">
        <f>10/PFQ112</f>
        <v>#DIV/0!</v>
      </c>
      <c r="PFV114" s="367">
        <v>15.38</v>
      </c>
      <c r="PFW114" s="367" t="e">
        <f>PFT114*PFU114*PFV114</f>
        <v>#DIV/0!</v>
      </c>
      <c r="PFX114" s="363" t="s">
        <v>153</v>
      </c>
      <c r="PFY114" s="363"/>
      <c r="PFZ114" s="363"/>
      <c r="PGA114" s="364" t="s">
        <v>140</v>
      </c>
      <c r="PGB114" s="365">
        <v>0.5</v>
      </c>
      <c r="PGC114" s="366" t="e">
        <f>10/PFY112</f>
        <v>#DIV/0!</v>
      </c>
      <c r="PGD114" s="367">
        <v>15.38</v>
      </c>
      <c r="PGE114" s="367" t="e">
        <f>PGB114*PGC114*PGD114</f>
        <v>#DIV/0!</v>
      </c>
      <c r="PGF114" s="363" t="s">
        <v>153</v>
      </c>
      <c r="PGG114" s="363"/>
      <c r="PGH114" s="363"/>
      <c r="PGI114" s="364" t="s">
        <v>140</v>
      </c>
      <c r="PGJ114" s="365">
        <v>0.5</v>
      </c>
      <c r="PGK114" s="366" t="e">
        <f>10/PGG112</f>
        <v>#DIV/0!</v>
      </c>
      <c r="PGL114" s="367">
        <v>15.38</v>
      </c>
      <c r="PGM114" s="367" t="e">
        <f>PGJ114*PGK114*PGL114</f>
        <v>#DIV/0!</v>
      </c>
      <c r="PGN114" s="363" t="s">
        <v>153</v>
      </c>
      <c r="PGO114" s="363"/>
      <c r="PGP114" s="363"/>
      <c r="PGQ114" s="364" t="s">
        <v>140</v>
      </c>
      <c r="PGR114" s="365">
        <v>0.5</v>
      </c>
      <c r="PGS114" s="366" t="e">
        <f>10/PGO112</f>
        <v>#DIV/0!</v>
      </c>
      <c r="PGT114" s="367">
        <v>15.38</v>
      </c>
      <c r="PGU114" s="367" t="e">
        <f>PGR114*PGS114*PGT114</f>
        <v>#DIV/0!</v>
      </c>
      <c r="PGV114" s="363" t="s">
        <v>153</v>
      </c>
      <c r="PGW114" s="363"/>
      <c r="PGX114" s="363"/>
      <c r="PGY114" s="364" t="s">
        <v>140</v>
      </c>
      <c r="PGZ114" s="365">
        <v>0.5</v>
      </c>
      <c r="PHA114" s="366" t="e">
        <f>10/PGW112</f>
        <v>#DIV/0!</v>
      </c>
      <c r="PHB114" s="367">
        <v>15.38</v>
      </c>
      <c r="PHC114" s="367" t="e">
        <f>PGZ114*PHA114*PHB114</f>
        <v>#DIV/0!</v>
      </c>
      <c r="PHD114" s="363" t="s">
        <v>153</v>
      </c>
      <c r="PHE114" s="363"/>
      <c r="PHF114" s="363"/>
      <c r="PHG114" s="364" t="s">
        <v>140</v>
      </c>
      <c r="PHH114" s="365">
        <v>0.5</v>
      </c>
      <c r="PHI114" s="366" t="e">
        <f>10/PHE112</f>
        <v>#DIV/0!</v>
      </c>
      <c r="PHJ114" s="367">
        <v>15.38</v>
      </c>
      <c r="PHK114" s="367" t="e">
        <f>PHH114*PHI114*PHJ114</f>
        <v>#DIV/0!</v>
      </c>
      <c r="PHL114" s="363" t="s">
        <v>153</v>
      </c>
      <c r="PHM114" s="363"/>
      <c r="PHN114" s="363"/>
      <c r="PHO114" s="364" t="s">
        <v>140</v>
      </c>
      <c r="PHP114" s="365">
        <v>0.5</v>
      </c>
      <c r="PHQ114" s="366" t="e">
        <f>10/PHM112</f>
        <v>#DIV/0!</v>
      </c>
      <c r="PHR114" s="367">
        <v>15.38</v>
      </c>
      <c r="PHS114" s="367" t="e">
        <f>PHP114*PHQ114*PHR114</f>
        <v>#DIV/0!</v>
      </c>
      <c r="PHT114" s="363" t="s">
        <v>153</v>
      </c>
      <c r="PHU114" s="363"/>
      <c r="PHV114" s="363"/>
      <c r="PHW114" s="364" t="s">
        <v>140</v>
      </c>
      <c r="PHX114" s="365">
        <v>0.5</v>
      </c>
      <c r="PHY114" s="366" t="e">
        <f>10/PHU112</f>
        <v>#DIV/0!</v>
      </c>
      <c r="PHZ114" s="367">
        <v>15.38</v>
      </c>
      <c r="PIA114" s="367" t="e">
        <f>PHX114*PHY114*PHZ114</f>
        <v>#DIV/0!</v>
      </c>
      <c r="PIB114" s="363" t="s">
        <v>153</v>
      </c>
      <c r="PIC114" s="363"/>
      <c r="PID114" s="363"/>
      <c r="PIE114" s="364" t="s">
        <v>140</v>
      </c>
      <c r="PIF114" s="365">
        <v>0.5</v>
      </c>
      <c r="PIG114" s="366" t="e">
        <f>10/PIC112</f>
        <v>#DIV/0!</v>
      </c>
      <c r="PIH114" s="367">
        <v>15.38</v>
      </c>
      <c r="PII114" s="367" t="e">
        <f>PIF114*PIG114*PIH114</f>
        <v>#DIV/0!</v>
      </c>
      <c r="PIJ114" s="363" t="s">
        <v>153</v>
      </c>
      <c r="PIK114" s="363"/>
      <c r="PIL114" s="363"/>
      <c r="PIM114" s="364" t="s">
        <v>140</v>
      </c>
      <c r="PIN114" s="365">
        <v>0.5</v>
      </c>
      <c r="PIO114" s="366" t="e">
        <f>10/PIK112</f>
        <v>#DIV/0!</v>
      </c>
      <c r="PIP114" s="367">
        <v>15.38</v>
      </c>
      <c r="PIQ114" s="367" t="e">
        <f>PIN114*PIO114*PIP114</f>
        <v>#DIV/0!</v>
      </c>
      <c r="PIR114" s="363" t="s">
        <v>153</v>
      </c>
      <c r="PIS114" s="363"/>
      <c r="PIT114" s="363"/>
      <c r="PIU114" s="364" t="s">
        <v>140</v>
      </c>
      <c r="PIV114" s="365">
        <v>0.5</v>
      </c>
      <c r="PIW114" s="366" t="e">
        <f>10/PIS112</f>
        <v>#DIV/0!</v>
      </c>
      <c r="PIX114" s="367">
        <v>15.38</v>
      </c>
      <c r="PIY114" s="367" t="e">
        <f>PIV114*PIW114*PIX114</f>
        <v>#DIV/0!</v>
      </c>
      <c r="PIZ114" s="363" t="s">
        <v>153</v>
      </c>
      <c r="PJA114" s="363"/>
      <c r="PJB114" s="363"/>
      <c r="PJC114" s="364" t="s">
        <v>140</v>
      </c>
      <c r="PJD114" s="365">
        <v>0.5</v>
      </c>
      <c r="PJE114" s="366" t="e">
        <f>10/PJA112</f>
        <v>#DIV/0!</v>
      </c>
      <c r="PJF114" s="367">
        <v>15.38</v>
      </c>
      <c r="PJG114" s="367" t="e">
        <f>PJD114*PJE114*PJF114</f>
        <v>#DIV/0!</v>
      </c>
      <c r="PJH114" s="363" t="s">
        <v>153</v>
      </c>
      <c r="PJI114" s="363"/>
      <c r="PJJ114" s="363"/>
      <c r="PJK114" s="364" t="s">
        <v>140</v>
      </c>
      <c r="PJL114" s="365">
        <v>0.5</v>
      </c>
      <c r="PJM114" s="366" t="e">
        <f>10/PJI112</f>
        <v>#DIV/0!</v>
      </c>
      <c r="PJN114" s="367">
        <v>15.38</v>
      </c>
      <c r="PJO114" s="367" t="e">
        <f>PJL114*PJM114*PJN114</f>
        <v>#DIV/0!</v>
      </c>
      <c r="PJP114" s="363" t="s">
        <v>153</v>
      </c>
      <c r="PJQ114" s="363"/>
      <c r="PJR114" s="363"/>
      <c r="PJS114" s="364" t="s">
        <v>140</v>
      </c>
      <c r="PJT114" s="365">
        <v>0.5</v>
      </c>
      <c r="PJU114" s="366" t="e">
        <f>10/PJQ112</f>
        <v>#DIV/0!</v>
      </c>
      <c r="PJV114" s="367">
        <v>15.38</v>
      </c>
      <c r="PJW114" s="367" t="e">
        <f>PJT114*PJU114*PJV114</f>
        <v>#DIV/0!</v>
      </c>
      <c r="PJX114" s="363" t="s">
        <v>153</v>
      </c>
      <c r="PJY114" s="363"/>
      <c r="PJZ114" s="363"/>
      <c r="PKA114" s="364" t="s">
        <v>140</v>
      </c>
      <c r="PKB114" s="365">
        <v>0.5</v>
      </c>
      <c r="PKC114" s="366" t="e">
        <f>10/PJY112</f>
        <v>#DIV/0!</v>
      </c>
      <c r="PKD114" s="367">
        <v>15.38</v>
      </c>
      <c r="PKE114" s="367" t="e">
        <f>PKB114*PKC114*PKD114</f>
        <v>#DIV/0!</v>
      </c>
      <c r="PKF114" s="363" t="s">
        <v>153</v>
      </c>
      <c r="PKG114" s="363"/>
      <c r="PKH114" s="363"/>
      <c r="PKI114" s="364" t="s">
        <v>140</v>
      </c>
      <c r="PKJ114" s="365">
        <v>0.5</v>
      </c>
      <c r="PKK114" s="366" t="e">
        <f>10/PKG112</f>
        <v>#DIV/0!</v>
      </c>
      <c r="PKL114" s="367">
        <v>15.38</v>
      </c>
      <c r="PKM114" s="367" t="e">
        <f>PKJ114*PKK114*PKL114</f>
        <v>#DIV/0!</v>
      </c>
      <c r="PKN114" s="363" t="s">
        <v>153</v>
      </c>
      <c r="PKO114" s="363"/>
      <c r="PKP114" s="363"/>
      <c r="PKQ114" s="364" t="s">
        <v>140</v>
      </c>
      <c r="PKR114" s="365">
        <v>0.5</v>
      </c>
      <c r="PKS114" s="366" t="e">
        <f>10/PKO112</f>
        <v>#DIV/0!</v>
      </c>
      <c r="PKT114" s="367">
        <v>15.38</v>
      </c>
      <c r="PKU114" s="367" t="e">
        <f>PKR114*PKS114*PKT114</f>
        <v>#DIV/0!</v>
      </c>
      <c r="PKV114" s="363" t="s">
        <v>153</v>
      </c>
      <c r="PKW114" s="363"/>
      <c r="PKX114" s="363"/>
      <c r="PKY114" s="364" t="s">
        <v>140</v>
      </c>
      <c r="PKZ114" s="365">
        <v>0.5</v>
      </c>
      <c r="PLA114" s="366" t="e">
        <f>10/PKW112</f>
        <v>#DIV/0!</v>
      </c>
      <c r="PLB114" s="367">
        <v>15.38</v>
      </c>
      <c r="PLC114" s="367" t="e">
        <f>PKZ114*PLA114*PLB114</f>
        <v>#DIV/0!</v>
      </c>
      <c r="PLD114" s="363" t="s">
        <v>153</v>
      </c>
      <c r="PLE114" s="363"/>
      <c r="PLF114" s="363"/>
      <c r="PLG114" s="364" t="s">
        <v>140</v>
      </c>
      <c r="PLH114" s="365">
        <v>0.5</v>
      </c>
      <c r="PLI114" s="366" t="e">
        <f>10/PLE112</f>
        <v>#DIV/0!</v>
      </c>
      <c r="PLJ114" s="367">
        <v>15.38</v>
      </c>
      <c r="PLK114" s="367" t="e">
        <f>PLH114*PLI114*PLJ114</f>
        <v>#DIV/0!</v>
      </c>
      <c r="PLL114" s="363" t="s">
        <v>153</v>
      </c>
      <c r="PLM114" s="363"/>
      <c r="PLN114" s="363"/>
      <c r="PLO114" s="364" t="s">
        <v>140</v>
      </c>
      <c r="PLP114" s="365">
        <v>0.5</v>
      </c>
      <c r="PLQ114" s="366" t="e">
        <f>10/PLM112</f>
        <v>#DIV/0!</v>
      </c>
      <c r="PLR114" s="367">
        <v>15.38</v>
      </c>
      <c r="PLS114" s="367" t="e">
        <f>PLP114*PLQ114*PLR114</f>
        <v>#DIV/0!</v>
      </c>
      <c r="PLT114" s="363" t="s">
        <v>153</v>
      </c>
      <c r="PLU114" s="363"/>
      <c r="PLV114" s="363"/>
      <c r="PLW114" s="364" t="s">
        <v>140</v>
      </c>
      <c r="PLX114" s="365">
        <v>0.5</v>
      </c>
      <c r="PLY114" s="366" t="e">
        <f>10/PLU112</f>
        <v>#DIV/0!</v>
      </c>
      <c r="PLZ114" s="367">
        <v>15.38</v>
      </c>
      <c r="PMA114" s="367" t="e">
        <f>PLX114*PLY114*PLZ114</f>
        <v>#DIV/0!</v>
      </c>
      <c r="PMB114" s="363" t="s">
        <v>153</v>
      </c>
      <c r="PMC114" s="363"/>
      <c r="PMD114" s="363"/>
      <c r="PME114" s="364" t="s">
        <v>140</v>
      </c>
      <c r="PMF114" s="365">
        <v>0.5</v>
      </c>
      <c r="PMG114" s="366" t="e">
        <f>10/PMC112</f>
        <v>#DIV/0!</v>
      </c>
      <c r="PMH114" s="367">
        <v>15.38</v>
      </c>
      <c r="PMI114" s="367" t="e">
        <f>PMF114*PMG114*PMH114</f>
        <v>#DIV/0!</v>
      </c>
      <c r="PMJ114" s="363" t="s">
        <v>153</v>
      </c>
      <c r="PMK114" s="363"/>
      <c r="PML114" s="363"/>
      <c r="PMM114" s="364" t="s">
        <v>140</v>
      </c>
      <c r="PMN114" s="365">
        <v>0.5</v>
      </c>
      <c r="PMO114" s="366" t="e">
        <f>10/PMK112</f>
        <v>#DIV/0!</v>
      </c>
      <c r="PMP114" s="367">
        <v>15.38</v>
      </c>
      <c r="PMQ114" s="367" t="e">
        <f>PMN114*PMO114*PMP114</f>
        <v>#DIV/0!</v>
      </c>
      <c r="PMR114" s="363" t="s">
        <v>153</v>
      </c>
      <c r="PMS114" s="363"/>
      <c r="PMT114" s="363"/>
      <c r="PMU114" s="364" t="s">
        <v>140</v>
      </c>
      <c r="PMV114" s="365">
        <v>0.5</v>
      </c>
      <c r="PMW114" s="366" t="e">
        <f>10/PMS112</f>
        <v>#DIV/0!</v>
      </c>
      <c r="PMX114" s="367">
        <v>15.38</v>
      </c>
      <c r="PMY114" s="367" t="e">
        <f>PMV114*PMW114*PMX114</f>
        <v>#DIV/0!</v>
      </c>
      <c r="PMZ114" s="363" t="s">
        <v>153</v>
      </c>
      <c r="PNA114" s="363"/>
      <c r="PNB114" s="363"/>
      <c r="PNC114" s="364" t="s">
        <v>140</v>
      </c>
      <c r="PND114" s="365">
        <v>0.5</v>
      </c>
      <c r="PNE114" s="366" t="e">
        <f>10/PNA112</f>
        <v>#DIV/0!</v>
      </c>
      <c r="PNF114" s="367">
        <v>15.38</v>
      </c>
      <c r="PNG114" s="367" t="e">
        <f>PND114*PNE114*PNF114</f>
        <v>#DIV/0!</v>
      </c>
      <c r="PNH114" s="363" t="s">
        <v>153</v>
      </c>
      <c r="PNI114" s="363"/>
      <c r="PNJ114" s="363"/>
      <c r="PNK114" s="364" t="s">
        <v>140</v>
      </c>
      <c r="PNL114" s="365">
        <v>0.5</v>
      </c>
      <c r="PNM114" s="366" t="e">
        <f>10/PNI112</f>
        <v>#DIV/0!</v>
      </c>
      <c r="PNN114" s="367">
        <v>15.38</v>
      </c>
      <c r="PNO114" s="367" t="e">
        <f>PNL114*PNM114*PNN114</f>
        <v>#DIV/0!</v>
      </c>
      <c r="PNP114" s="363" t="s">
        <v>153</v>
      </c>
      <c r="PNQ114" s="363"/>
      <c r="PNR114" s="363"/>
      <c r="PNS114" s="364" t="s">
        <v>140</v>
      </c>
      <c r="PNT114" s="365">
        <v>0.5</v>
      </c>
      <c r="PNU114" s="366" t="e">
        <f>10/PNQ112</f>
        <v>#DIV/0!</v>
      </c>
      <c r="PNV114" s="367">
        <v>15.38</v>
      </c>
      <c r="PNW114" s="367" t="e">
        <f>PNT114*PNU114*PNV114</f>
        <v>#DIV/0!</v>
      </c>
      <c r="PNX114" s="363" t="s">
        <v>153</v>
      </c>
      <c r="PNY114" s="363"/>
      <c r="PNZ114" s="363"/>
      <c r="POA114" s="364" t="s">
        <v>140</v>
      </c>
      <c r="POB114" s="365">
        <v>0.5</v>
      </c>
      <c r="POC114" s="366" t="e">
        <f>10/PNY112</f>
        <v>#DIV/0!</v>
      </c>
      <c r="POD114" s="367">
        <v>15.38</v>
      </c>
      <c r="POE114" s="367" t="e">
        <f>POB114*POC114*POD114</f>
        <v>#DIV/0!</v>
      </c>
      <c r="POF114" s="363" t="s">
        <v>153</v>
      </c>
      <c r="POG114" s="363"/>
      <c r="POH114" s="363"/>
      <c r="POI114" s="364" t="s">
        <v>140</v>
      </c>
      <c r="POJ114" s="365">
        <v>0.5</v>
      </c>
      <c r="POK114" s="366" t="e">
        <f>10/POG112</f>
        <v>#DIV/0!</v>
      </c>
      <c r="POL114" s="367">
        <v>15.38</v>
      </c>
      <c r="POM114" s="367" t="e">
        <f>POJ114*POK114*POL114</f>
        <v>#DIV/0!</v>
      </c>
      <c r="PON114" s="363" t="s">
        <v>153</v>
      </c>
      <c r="POO114" s="363"/>
      <c r="POP114" s="363"/>
      <c r="POQ114" s="364" t="s">
        <v>140</v>
      </c>
      <c r="POR114" s="365">
        <v>0.5</v>
      </c>
      <c r="POS114" s="366" t="e">
        <f>10/POO112</f>
        <v>#DIV/0!</v>
      </c>
      <c r="POT114" s="367">
        <v>15.38</v>
      </c>
      <c r="POU114" s="367" t="e">
        <f>POR114*POS114*POT114</f>
        <v>#DIV/0!</v>
      </c>
      <c r="POV114" s="363" t="s">
        <v>153</v>
      </c>
      <c r="POW114" s="363"/>
      <c r="POX114" s="363"/>
      <c r="POY114" s="364" t="s">
        <v>140</v>
      </c>
      <c r="POZ114" s="365">
        <v>0.5</v>
      </c>
      <c r="PPA114" s="366" t="e">
        <f>10/POW112</f>
        <v>#DIV/0!</v>
      </c>
      <c r="PPB114" s="367">
        <v>15.38</v>
      </c>
      <c r="PPC114" s="367" t="e">
        <f>POZ114*PPA114*PPB114</f>
        <v>#DIV/0!</v>
      </c>
      <c r="PPD114" s="363" t="s">
        <v>153</v>
      </c>
      <c r="PPE114" s="363"/>
      <c r="PPF114" s="363"/>
      <c r="PPG114" s="364" t="s">
        <v>140</v>
      </c>
      <c r="PPH114" s="365">
        <v>0.5</v>
      </c>
      <c r="PPI114" s="366" t="e">
        <f>10/PPE112</f>
        <v>#DIV/0!</v>
      </c>
      <c r="PPJ114" s="367">
        <v>15.38</v>
      </c>
      <c r="PPK114" s="367" t="e">
        <f>PPH114*PPI114*PPJ114</f>
        <v>#DIV/0!</v>
      </c>
      <c r="PPL114" s="363" t="s">
        <v>153</v>
      </c>
      <c r="PPM114" s="363"/>
      <c r="PPN114" s="363"/>
      <c r="PPO114" s="364" t="s">
        <v>140</v>
      </c>
      <c r="PPP114" s="365">
        <v>0.5</v>
      </c>
      <c r="PPQ114" s="366" t="e">
        <f>10/PPM112</f>
        <v>#DIV/0!</v>
      </c>
      <c r="PPR114" s="367">
        <v>15.38</v>
      </c>
      <c r="PPS114" s="367" t="e">
        <f>PPP114*PPQ114*PPR114</f>
        <v>#DIV/0!</v>
      </c>
      <c r="PPT114" s="363" t="s">
        <v>153</v>
      </c>
      <c r="PPU114" s="363"/>
      <c r="PPV114" s="363"/>
      <c r="PPW114" s="364" t="s">
        <v>140</v>
      </c>
      <c r="PPX114" s="365">
        <v>0.5</v>
      </c>
      <c r="PPY114" s="366" t="e">
        <f>10/PPU112</f>
        <v>#DIV/0!</v>
      </c>
      <c r="PPZ114" s="367">
        <v>15.38</v>
      </c>
      <c r="PQA114" s="367" t="e">
        <f>PPX114*PPY114*PPZ114</f>
        <v>#DIV/0!</v>
      </c>
      <c r="PQB114" s="363" t="s">
        <v>153</v>
      </c>
      <c r="PQC114" s="363"/>
      <c r="PQD114" s="363"/>
      <c r="PQE114" s="364" t="s">
        <v>140</v>
      </c>
      <c r="PQF114" s="365">
        <v>0.5</v>
      </c>
      <c r="PQG114" s="366" t="e">
        <f>10/PQC112</f>
        <v>#DIV/0!</v>
      </c>
      <c r="PQH114" s="367">
        <v>15.38</v>
      </c>
      <c r="PQI114" s="367" t="e">
        <f>PQF114*PQG114*PQH114</f>
        <v>#DIV/0!</v>
      </c>
      <c r="PQJ114" s="363" t="s">
        <v>153</v>
      </c>
      <c r="PQK114" s="363"/>
      <c r="PQL114" s="363"/>
      <c r="PQM114" s="364" t="s">
        <v>140</v>
      </c>
      <c r="PQN114" s="365">
        <v>0.5</v>
      </c>
      <c r="PQO114" s="366" t="e">
        <f>10/PQK112</f>
        <v>#DIV/0!</v>
      </c>
      <c r="PQP114" s="367">
        <v>15.38</v>
      </c>
      <c r="PQQ114" s="367" t="e">
        <f>PQN114*PQO114*PQP114</f>
        <v>#DIV/0!</v>
      </c>
      <c r="PQR114" s="363" t="s">
        <v>153</v>
      </c>
      <c r="PQS114" s="363"/>
      <c r="PQT114" s="363"/>
      <c r="PQU114" s="364" t="s">
        <v>140</v>
      </c>
      <c r="PQV114" s="365">
        <v>0.5</v>
      </c>
      <c r="PQW114" s="366" t="e">
        <f>10/PQS112</f>
        <v>#DIV/0!</v>
      </c>
      <c r="PQX114" s="367">
        <v>15.38</v>
      </c>
      <c r="PQY114" s="367" t="e">
        <f>PQV114*PQW114*PQX114</f>
        <v>#DIV/0!</v>
      </c>
      <c r="PQZ114" s="363" t="s">
        <v>153</v>
      </c>
      <c r="PRA114" s="363"/>
      <c r="PRB114" s="363"/>
      <c r="PRC114" s="364" t="s">
        <v>140</v>
      </c>
      <c r="PRD114" s="365">
        <v>0.5</v>
      </c>
      <c r="PRE114" s="366" t="e">
        <f>10/PRA112</f>
        <v>#DIV/0!</v>
      </c>
      <c r="PRF114" s="367">
        <v>15.38</v>
      </c>
      <c r="PRG114" s="367" t="e">
        <f>PRD114*PRE114*PRF114</f>
        <v>#DIV/0!</v>
      </c>
      <c r="PRH114" s="363" t="s">
        <v>153</v>
      </c>
      <c r="PRI114" s="363"/>
      <c r="PRJ114" s="363"/>
      <c r="PRK114" s="364" t="s">
        <v>140</v>
      </c>
      <c r="PRL114" s="365">
        <v>0.5</v>
      </c>
      <c r="PRM114" s="366" t="e">
        <f>10/PRI112</f>
        <v>#DIV/0!</v>
      </c>
      <c r="PRN114" s="367">
        <v>15.38</v>
      </c>
      <c r="PRO114" s="367" t="e">
        <f>PRL114*PRM114*PRN114</f>
        <v>#DIV/0!</v>
      </c>
      <c r="PRP114" s="363" t="s">
        <v>153</v>
      </c>
      <c r="PRQ114" s="363"/>
      <c r="PRR114" s="363"/>
      <c r="PRS114" s="364" t="s">
        <v>140</v>
      </c>
      <c r="PRT114" s="365">
        <v>0.5</v>
      </c>
      <c r="PRU114" s="366" t="e">
        <f>10/PRQ112</f>
        <v>#DIV/0!</v>
      </c>
      <c r="PRV114" s="367">
        <v>15.38</v>
      </c>
      <c r="PRW114" s="367" t="e">
        <f>PRT114*PRU114*PRV114</f>
        <v>#DIV/0!</v>
      </c>
      <c r="PRX114" s="363" t="s">
        <v>153</v>
      </c>
      <c r="PRY114" s="363"/>
      <c r="PRZ114" s="363"/>
      <c r="PSA114" s="364" t="s">
        <v>140</v>
      </c>
      <c r="PSB114" s="365">
        <v>0.5</v>
      </c>
      <c r="PSC114" s="366" t="e">
        <f>10/PRY112</f>
        <v>#DIV/0!</v>
      </c>
      <c r="PSD114" s="367">
        <v>15.38</v>
      </c>
      <c r="PSE114" s="367" t="e">
        <f>PSB114*PSC114*PSD114</f>
        <v>#DIV/0!</v>
      </c>
      <c r="PSF114" s="363" t="s">
        <v>153</v>
      </c>
      <c r="PSG114" s="363"/>
      <c r="PSH114" s="363"/>
      <c r="PSI114" s="364" t="s">
        <v>140</v>
      </c>
      <c r="PSJ114" s="365">
        <v>0.5</v>
      </c>
      <c r="PSK114" s="366" t="e">
        <f>10/PSG112</f>
        <v>#DIV/0!</v>
      </c>
      <c r="PSL114" s="367">
        <v>15.38</v>
      </c>
      <c r="PSM114" s="367" t="e">
        <f>PSJ114*PSK114*PSL114</f>
        <v>#DIV/0!</v>
      </c>
      <c r="PSN114" s="363" t="s">
        <v>153</v>
      </c>
      <c r="PSO114" s="363"/>
      <c r="PSP114" s="363"/>
      <c r="PSQ114" s="364" t="s">
        <v>140</v>
      </c>
      <c r="PSR114" s="365">
        <v>0.5</v>
      </c>
      <c r="PSS114" s="366" t="e">
        <f>10/PSO112</f>
        <v>#DIV/0!</v>
      </c>
      <c r="PST114" s="367">
        <v>15.38</v>
      </c>
      <c r="PSU114" s="367" t="e">
        <f>PSR114*PSS114*PST114</f>
        <v>#DIV/0!</v>
      </c>
      <c r="PSV114" s="363" t="s">
        <v>153</v>
      </c>
      <c r="PSW114" s="363"/>
      <c r="PSX114" s="363"/>
      <c r="PSY114" s="364" t="s">
        <v>140</v>
      </c>
      <c r="PSZ114" s="365">
        <v>0.5</v>
      </c>
      <c r="PTA114" s="366" t="e">
        <f>10/PSW112</f>
        <v>#DIV/0!</v>
      </c>
      <c r="PTB114" s="367">
        <v>15.38</v>
      </c>
      <c r="PTC114" s="367" t="e">
        <f>PSZ114*PTA114*PTB114</f>
        <v>#DIV/0!</v>
      </c>
      <c r="PTD114" s="363" t="s">
        <v>153</v>
      </c>
      <c r="PTE114" s="363"/>
      <c r="PTF114" s="363"/>
      <c r="PTG114" s="364" t="s">
        <v>140</v>
      </c>
      <c r="PTH114" s="365">
        <v>0.5</v>
      </c>
      <c r="PTI114" s="366" t="e">
        <f>10/PTE112</f>
        <v>#DIV/0!</v>
      </c>
      <c r="PTJ114" s="367">
        <v>15.38</v>
      </c>
      <c r="PTK114" s="367" t="e">
        <f>PTH114*PTI114*PTJ114</f>
        <v>#DIV/0!</v>
      </c>
      <c r="PTL114" s="363" t="s">
        <v>153</v>
      </c>
      <c r="PTM114" s="363"/>
      <c r="PTN114" s="363"/>
      <c r="PTO114" s="364" t="s">
        <v>140</v>
      </c>
      <c r="PTP114" s="365">
        <v>0.5</v>
      </c>
      <c r="PTQ114" s="366" t="e">
        <f>10/PTM112</f>
        <v>#DIV/0!</v>
      </c>
      <c r="PTR114" s="367">
        <v>15.38</v>
      </c>
      <c r="PTS114" s="367" t="e">
        <f>PTP114*PTQ114*PTR114</f>
        <v>#DIV/0!</v>
      </c>
      <c r="PTT114" s="363" t="s">
        <v>153</v>
      </c>
      <c r="PTU114" s="363"/>
      <c r="PTV114" s="363"/>
      <c r="PTW114" s="364" t="s">
        <v>140</v>
      </c>
      <c r="PTX114" s="365">
        <v>0.5</v>
      </c>
      <c r="PTY114" s="366" t="e">
        <f>10/PTU112</f>
        <v>#DIV/0!</v>
      </c>
      <c r="PTZ114" s="367">
        <v>15.38</v>
      </c>
      <c r="PUA114" s="367" t="e">
        <f>PTX114*PTY114*PTZ114</f>
        <v>#DIV/0!</v>
      </c>
      <c r="PUB114" s="363" t="s">
        <v>153</v>
      </c>
      <c r="PUC114" s="363"/>
      <c r="PUD114" s="363"/>
      <c r="PUE114" s="364" t="s">
        <v>140</v>
      </c>
      <c r="PUF114" s="365">
        <v>0.5</v>
      </c>
      <c r="PUG114" s="366" t="e">
        <f>10/PUC112</f>
        <v>#DIV/0!</v>
      </c>
      <c r="PUH114" s="367">
        <v>15.38</v>
      </c>
      <c r="PUI114" s="367" t="e">
        <f>PUF114*PUG114*PUH114</f>
        <v>#DIV/0!</v>
      </c>
      <c r="PUJ114" s="363" t="s">
        <v>153</v>
      </c>
      <c r="PUK114" s="363"/>
      <c r="PUL114" s="363"/>
      <c r="PUM114" s="364" t="s">
        <v>140</v>
      </c>
      <c r="PUN114" s="365">
        <v>0.5</v>
      </c>
      <c r="PUO114" s="366" t="e">
        <f>10/PUK112</f>
        <v>#DIV/0!</v>
      </c>
      <c r="PUP114" s="367">
        <v>15.38</v>
      </c>
      <c r="PUQ114" s="367" t="e">
        <f>PUN114*PUO114*PUP114</f>
        <v>#DIV/0!</v>
      </c>
      <c r="PUR114" s="363" t="s">
        <v>153</v>
      </c>
      <c r="PUS114" s="363"/>
      <c r="PUT114" s="363"/>
      <c r="PUU114" s="364" t="s">
        <v>140</v>
      </c>
      <c r="PUV114" s="365">
        <v>0.5</v>
      </c>
      <c r="PUW114" s="366" t="e">
        <f>10/PUS112</f>
        <v>#DIV/0!</v>
      </c>
      <c r="PUX114" s="367">
        <v>15.38</v>
      </c>
      <c r="PUY114" s="367" t="e">
        <f>PUV114*PUW114*PUX114</f>
        <v>#DIV/0!</v>
      </c>
      <c r="PUZ114" s="363" t="s">
        <v>153</v>
      </c>
      <c r="PVA114" s="363"/>
      <c r="PVB114" s="363"/>
      <c r="PVC114" s="364" t="s">
        <v>140</v>
      </c>
      <c r="PVD114" s="365">
        <v>0.5</v>
      </c>
      <c r="PVE114" s="366" t="e">
        <f>10/PVA112</f>
        <v>#DIV/0!</v>
      </c>
      <c r="PVF114" s="367">
        <v>15.38</v>
      </c>
      <c r="PVG114" s="367" t="e">
        <f>PVD114*PVE114*PVF114</f>
        <v>#DIV/0!</v>
      </c>
      <c r="PVH114" s="363" t="s">
        <v>153</v>
      </c>
      <c r="PVI114" s="363"/>
      <c r="PVJ114" s="363"/>
      <c r="PVK114" s="364" t="s">
        <v>140</v>
      </c>
      <c r="PVL114" s="365">
        <v>0.5</v>
      </c>
      <c r="PVM114" s="366" t="e">
        <f>10/PVI112</f>
        <v>#DIV/0!</v>
      </c>
      <c r="PVN114" s="367">
        <v>15.38</v>
      </c>
      <c r="PVO114" s="367" t="e">
        <f>PVL114*PVM114*PVN114</f>
        <v>#DIV/0!</v>
      </c>
      <c r="PVP114" s="363" t="s">
        <v>153</v>
      </c>
      <c r="PVQ114" s="363"/>
      <c r="PVR114" s="363"/>
      <c r="PVS114" s="364" t="s">
        <v>140</v>
      </c>
      <c r="PVT114" s="365">
        <v>0.5</v>
      </c>
      <c r="PVU114" s="366" t="e">
        <f>10/PVQ112</f>
        <v>#DIV/0!</v>
      </c>
      <c r="PVV114" s="367">
        <v>15.38</v>
      </c>
      <c r="PVW114" s="367" t="e">
        <f>PVT114*PVU114*PVV114</f>
        <v>#DIV/0!</v>
      </c>
      <c r="PVX114" s="363" t="s">
        <v>153</v>
      </c>
      <c r="PVY114" s="363"/>
      <c r="PVZ114" s="363"/>
      <c r="PWA114" s="364" t="s">
        <v>140</v>
      </c>
      <c r="PWB114" s="365">
        <v>0.5</v>
      </c>
      <c r="PWC114" s="366" t="e">
        <f>10/PVY112</f>
        <v>#DIV/0!</v>
      </c>
      <c r="PWD114" s="367">
        <v>15.38</v>
      </c>
      <c r="PWE114" s="367" t="e">
        <f>PWB114*PWC114*PWD114</f>
        <v>#DIV/0!</v>
      </c>
      <c r="PWF114" s="363" t="s">
        <v>153</v>
      </c>
      <c r="PWG114" s="363"/>
      <c r="PWH114" s="363"/>
      <c r="PWI114" s="364" t="s">
        <v>140</v>
      </c>
      <c r="PWJ114" s="365">
        <v>0.5</v>
      </c>
      <c r="PWK114" s="366" t="e">
        <f>10/PWG112</f>
        <v>#DIV/0!</v>
      </c>
      <c r="PWL114" s="367">
        <v>15.38</v>
      </c>
      <c r="PWM114" s="367" t="e">
        <f>PWJ114*PWK114*PWL114</f>
        <v>#DIV/0!</v>
      </c>
      <c r="PWN114" s="363" t="s">
        <v>153</v>
      </c>
      <c r="PWO114" s="363"/>
      <c r="PWP114" s="363"/>
      <c r="PWQ114" s="364" t="s">
        <v>140</v>
      </c>
      <c r="PWR114" s="365">
        <v>0.5</v>
      </c>
      <c r="PWS114" s="366" t="e">
        <f>10/PWO112</f>
        <v>#DIV/0!</v>
      </c>
      <c r="PWT114" s="367">
        <v>15.38</v>
      </c>
      <c r="PWU114" s="367" t="e">
        <f>PWR114*PWS114*PWT114</f>
        <v>#DIV/0!</v>
      </c>
      <c r="PWV114" s="363" t="s">
        <v>153</v>
      </c>
      <c r="PWW114" s="363"/>
      <c r="PWX114" s="363"/>
      <c r="PWY114" s="364" t="s">
        <v>140</v>
      </c>
      <c r="PWZ114" s="365">
        <v>0.5</v>
      </c>
      <c r="PXA114" s="366" t="e">
        <f>10/PWW112</f>
        <v>#DIV/0!</v>
      </c>
      <c r="PXB114" s="367">
        <v>15.38</v>
      </c>
      <c r="PXC114" s="367" t="e">
        <f>PWZ114*PXA114*PXB114</f>
        <v>#DIV/0!</v>
      </c>
      <c r="PXD114" s="363" t="s">
        <v>153</v>
      </c>
      <c r="PXE114" s="363"/>
      <c r="PXF114" s="363"/>
      <c r="PXG114" s="364" t="s">
        <v>140</v>
      </c>
      <c r="PXH114" s="365">
        <v>0.5</v>
      </c>
      <c r="PXI114" s="366" t="e">
        <f>10/PXE112</f>
        <v>#DIV/0!</v>
      </c>
      <c r="PXJ114" s="367">
        <v>15.38</v>
      </c>
      <c r="PXK114" s="367" t="e">
        <f>PXH114*PXI114*PXJ114</f>
        <v>#DIV/0!</v>
      </c>
      <c r="PXL114" s="363" t="s">
        <v>153</v>
      </c>
      <c r="PXM114" s="363"/>
      <c r="PXN114" s="363"/>
      <c r="PXO114" s="364" t="s">
        <v>140</v>
      </c>
      <c r="PXP114" s="365">
        <v>0.5</v>
      </c>
      <c r="PXQ114" s="366" t="e">
        <f>10/PXM112</f>
        <v>#DIV/0!</v>
      </c>
      <c r="PXR114" s="367">
        <v>15.38</v>
      </c>
      <c r="PXS114" s="367" t="e">
        <f>PXP114*PXQ114*PXR114</f>
        <v>#DIV/0!</v>
      </c>
      <c r="PXT114" s="363" t="s">
        <v>153</v>
      </c>
      <c r="PXU114" s="363"/>
      <c r="PXV114" s="363"/>
      <c r="PXW114" s="364" t="s">
        <v>140</v>
      </c>
      <c r="PXX114" s="365">
        <v>0.5</v>
      </c>
      <c r="PXY114" s="366" t="e">
        <f>10/PXU112</f>
        <v>#DIV/0!</v>
      </c>
      <c r="PXZ114" s="367">
        <v>15.38</v>
      </c>
      <c r="PYA114" s="367" t="e">
        <f>PXX114*PXY114*PXZ114</f>
        <v>#DIV/0!</v>
      </c>
      <c r="PYB114" s="363" t="s">
        <v>153</v>
      </c>
      <c r="PYC114" s="363"/>
      <c r="PYD114" s="363"/>
      <c r="PYE114" s="364" t="s">
        <v>140</v>
      </c>
      <c r="PYF114" s="365">
        <v>0.5</v>
      </c>
      <c r="PYG114" s="366" t="e">
        <f>10/PYC112</f>
        <v>#DIV/0!</v>
      </c>
      <c r="PYH114" s="367">
        <v>15.38</v>
      </c>
      <c r="PYI114" s="367" t="e">
        <f>PYF114*PYG114*PYH114</f>
        <v>#DIV/0!</v>
      </c>
      <c r="PYJ114" s="363" t="s">
        <v>153</v>
      </c>
      <c r="PYK114" s="363"/>
      <c r="PYL114" s="363"/>
      <c r="PYM114" s="364" t="s">
        <v>140</v>
      </c>
      <c r="PYN114" s="365">
        <v>0.5</v>
      </c>
      <c r="PYO114" s="366" t="e">
        <f>10/PYK112</f>
        <v>#DIV/0!</v>
      </c>
      <c r="PYP114" s="367">
        <v>15.38</v>
      </c>
      <c r="PYQ114" s="367" t="e">
        <f>PYN114*PYO114*PYP114</f>
        <v>#DIV/0!</v>
      </c>
      <c r="PYR114" s="363" t="s">
        <v>153</v>
      </c>
      <c r="PYS114" s="363"/>
      <c r="PYT114" s="363"/>
      <c r="PYU114" s="364" t="s">
        <v>140</v>
      </c>
      <c r="PYV114" s="365">
        <v>0.5</v>
      </c>
      <c r="PYW114" s="366" t="e">
        <f>10/PYS112</f>
        <v>#DIV/0!</v>
      </c>
      <c r="PYX114" s="367">
        <v>15.38</v>
      </c>
      <c r="PYY114" s="367" t="e">
        <f>PYV114*PYW114*PYX114</f>
        <v>#DIV/0!</v>
      </c>
      <c r="PYZ114" s="363" t="s">
        <v>153</v>
      </c>
      <c r="PZA114" s="363"/>
      <c r="PZB114" s="363"/>
      <c r="PZC114" s="364" t="s">
        <v>140</v>
      </c>
      <c r="PZD114" s="365">
        <v>0.5</v>
      </c>
      <c r="PZE114" s="366" t="e">
        <f>10/PZA112</f>
        <v>#DIV/0!</v>
      </c>
      <c r="PZF114" s="367">
        <v>15.38</v>
      </c>
      <c r="PZG114" s="367" t="e">
        <f>PZD114*PZE114*PZF114</f>
        <v>#DIV/0!</v>
      </c>
      <c r="PZH114" s="363" t="s">
        <v>153</v>
      </c>
      <c r="PZI114" s="363"/>
      <c r="PZJ114" s="363"/>
      <c r="PZK114" s="364" t="s">
        <v>140</v>
      </c>
      <c r="PZL114" s="365">
        <v>0.5</v>
      </c>
      <c r="PZM114" s="366" t="e">
        <f>10/PZI112</f>
        <v>#DIV/0!</v>
      </c>
      <c r="PZN114" s="367">
        <v>15.38</v>
      </c>
      <c r="PZO114" s="367" t="e">
        <f>PZL114*PZM114*PZN114</f>
        <v>#DIV/0!</v>
      </c>
      <c r="PZP114" s="363" t="s">
        <v>153</v>
      </c>
      <c r="PZQ114" s="363"/>
      <c r="PZR114" s="363"/>
      <c r="PZS114" s="364" t="s">
        <v>140</v>
      </c>
      <c r="PZT114" s="365">
        <v>0.5</v>
      </c>
      <c r="PZU114" s="366" t="e">
        <f>10/PZQ112</f>
        <v>#DIV/0!</v>
      </c>
      <c r="PZV114" s="367">
        <v>15.38</v>
      </c>
      <c r="PZW114" s="367" t="e">
        <f>PZT114*PZU114*PZV114</f>
        <v>#DIV/0!</v>
      </c>
      <c r="PZX114" s="363" t="s">
        <v>153</v>
      </c>
      <c r="PZY114" s="363"/>
      <c r="PZZ114" s="363"/>
      <c r="QAA114" s="364" t="s">
        <v>140</v>
      </c>
      <c r="QAB114" s="365">
        <v>0.5</v>
      </c>
      <c r="QAC114" s="366" t="e">
        <f>10/PZY112</f>
        <v>#DIV/0!</v>
      </c>
      <c r="QAD114" s="367">
        <v>15.38</v>
      </c>
      <c r="QAE114" s="367" t="e">
        <f>QAB114*QAC114*QAD114</f>
        <v>#DIV/0!</v>
      </c>
      <c r="QAF114" s="363" t="s">
        <v>153</v>
      </c>
      <c r="QAG114" s="363"/>
      <c r="QAH114" s="363"/>
      <c r="QAI114" s="364" t="s">
        <v>140</v>
      </c>
      <c r="QAJ114" s="365">
        <v>0.5</v>
      </c>
      <c r="QAK114" s="366" t="e">
        <f>10/QAG112</f>
        <v>#DIV/0!</v>
      </c>
      <c r="QAL114" s="367">
        <v>15.38</v>
      </c>
      <c r="QAM114" s="367" t="e">
        <f>QAJ114*QAK114*QAL114</f>
        <v>#DIV/0!</v>
      </c>
      <c r="QAN114" s="363" t="s">
        <v>153</v>
      </c>
      <c r="QAO114" s="363"/>
      <c r="QAP114" s="363"/>
      <c r="QAQ114" s="364" t="s">
        <v>140</v>
      </c>
      <c r="QAR114" s="365">
        <v>0.5</v>
      </c>
      <c r="QAS114" s="366" t="e">
        <f>10/QAO112</f>
        <v>#DIV/0!</v>
      </c>
      <c r="QAT114" s="367">
        <v>15.38</v>
      </c>
      <c r="QAU114" s="367" t="e">
        <f>QAR114*QAS114*QAT114</f>
        <v>#DIV/0!</v>
      </c>
      <c r="QAV114" s="363" t="s">
        <v>153</v>
      </c>
      <c r="QAW114" s="363"/>
      <c r="QAX114" s="363"/>
      <c r="QAY114" s="364" t="s">
        <v>140</v>
      </c>
      <c r="QAZ114" s="365">
        <v>0.5</v>
      </c>
      <c r="QBA114" s="366" t="e">
        <f>10/QAW112</f>
        <v>#DIV/0!</v>
      </c>
      <c r="QBB114" s="367">
        <v>15.38</v>
      </c>
      <c r="QBC114" s="367" t="e">
        <f>QAZ114*QBA114*QBB114</f>
        <v>#DIV/0!</v>
      </c>
      <c r="QBD114" s="363" t="s">
        <v>153</v>
      </c>
      <c r="QBE114" s="363"/>
      <c r="QBF114" s="363"/>
      <c r="QBG114" s="364" t="s">
        <v>140</v>
      </c>
      <c r="QBH114" s="365">
        <v>0.5</v>
      </c>
      <c r="QBI114" s="366" t="e">
        <f>10/QBE112</f>
        <v>#DIV/0!</v>
      </c>
      <c r="QBJ114" s="367">
        <v>15.38</v>
      </c>
      <c r="QBK114" s="367" t="e">
        <f>QBH114*QBI114*QBJ114</f>
        <v>#DIV/0!</v>
      </c>
      <c r="QBL114" s="363" t="s">
        <v>153</v>
      </c>
      <c r="QBM114" s="363"/>
      <c r="QBN114" s="363"/>
      <c r="QBO114" s="364" t="s">
        <v>140</v>
      </c>
      <c r="QBP114" s="365">
        <v>0.5</v>
      </c>
      <c r="QBQ114" s="366" t="e">
        <f>10/QBM112</f>
        <v>#DIV/0!</v>
      </c>
      <c r="QBR114" s="367">
        <v>15.38</v>
      </c>
      <c r="QBS114" s="367" t="e">
        <f>QBP114*QBQ114*QBR114</f>
        <v>#DIV/0!</v>
      </c>
      <c r="QBT114" s="363" t="s">
        <v>153</v>
      </c>
      <c r="QBU114" s="363"/>
      <c r="QBV114" s="363"/>
      <c r="QBW114" s="364" t="s">
        <v>140</v>
      </c>
      <c r="QBX114" s="365">
        <v>0.5</v>
      </c>
      <c r="QBY114" s="366" t="e">
        <f>10/QBU112</f>
        <v>#DIV/0!</v>
      </c>
      <c r="QBZ114" s="367">
        <v>15.38</v>
      </c>
      <c r="QCA114" s="367" t="e">
        <f>QBX114*QBY114*QBZ114</f>
        <v>#DIV/0!</v>
      </c>
      <c r="QCB114" s="363" t="s">
        <v>153</v>
      </c>
      <c r="QCC114" s="363"/>
      <c r="QCD114" s="363"/>
      <c r="QCE114" s="364" t="s">
        <v>140</v>
      </c>
      <c r="QCF114" s="365">
        <v>0.5</v>
      </c>
      <c r="QCG114" s="366" t="e">
        <f>10/QCC112</f>
        <v>#DIV/0!</v>
      </c>
      <c r="QCH114" s="367">
        <v>15.38</v>
      </c>
      <c r="QCI114" s="367" t="e">
        <f>QCF114*QCG114*QCH114</f>
        <v>#DIV/0!</v>
      </c>
      <c r="QCJ114" s="363" t="s">
        <v>153</v>
      </c>
      <c r="QCK114" s="363"/>
      <c r="QCL114" s="363"/>
      <c r="QCM114" s="364" t="s">
        <v>140</v>
      </c>
      <c r="QCN114" s="365">
        <v>0.5</v>
      </c>
      <c r="QCO114" s="366" t="e">
        <f>10/QCK112</f>
        <v>#DIV/0!</v>
      </c>
      <c r="QCP114" s="367">
        <v>15.38</v>
      </c>
      <c r="QCQ114" s="367" t="e">
        <f>QCN114*QCO114*QCP114</f>
        <v>#DIV/0!</v>
      </c>
      <c r="QCR114" s="363" t="s">
        <v>153</v>
      </c>
      <c r="QCS114" s="363"/>
      <c r="QCT114" s="363"/>
      <c r="QCU114" s="364" t="s">
        <v>140</v>
      </c>
      <c r="QCV114" s="365">
        <v>0.5</v>
      </c>
      <c r="QCW114" s="366" t="e">
        <f>10/QCS112</f>
        <v>#DIV/0!</v>
      </c>
      <c r="QCX114" s="367">
        <v>15.38</v>
      </c>
      <c r="QCY114" s="367" t="e">
        <f>QCV114*QCW114*QCX114</f>
        <v>#DIV/0!</v>
      </c>
      <c r="QCZ114" s="363" t="s">
        <v>153</v>
      </c>
      <c r="QDA114" s="363"/>
      <c r="QDB114" s="363"/>
      <c r="QDC114" s="364" t="s">
        <v>140</v>
      </c>
      <c r="QDD114" s="365">
        <v>0.5</v>
      </c>
      <c r="QDE114" s="366" t="e">
        <f>10/QDA112</f>
        <v>#DIV/0!</v>
      </c>
      <c r="QDF114" s="367">
        <v>15.38</v>
      </c>
      <c r="QDG114" s="367" t="e">
        <f>QDD114*QDE114*QDF114</f>
        <v>#DIV/0!</v>
      </c>
      <c r="QDH114" s="363" t="s">
        <v>153</v>
      </c>
      <c r="QDI114" s="363"/>
      <c r="QDJ114" s="363"/>
      <c r="QDK114" s="364" t="s">
        <v>140</v>
      </c>
      <c r="QDL114" s="365">
        <v>0.5</v>
      </c>
      <c r="QDM114" s="366" t="e">
        <f>10/QDI112</f>
        <v>#DIV/0!</v>
      </c>
      <c r="QDN114" s="367">
        <v>15.38</v>
      </c>
      <c r="QDO114" s="367" t="e">
        <f>QDL114*QDM114*QDN114</f>
        <v>#DIV/0!</v>
      </c>
      <c r="QDP114" s="363" t="s">
        <v>153</v>
      </c>
      <c r="QDQ114" s="363"/>
      <c r="QDR114" s="363"/>
      <c r="QDS114" s="364" t="s">
        <v>140</v>
      </c>
      <c r="QDT114" s="365">
        <v>0.5</v>
      </c>
      <c r="QDU114" s="366" t="e">
        <f>10/QDQ112</f>
        <v>#DIV/0!</v>
      </c>
      <c r="QDV114" s="367">
        <v>15.38</v>
      </c>
      <c r="QDW114" s="367" t="e">
        <f>QDT114*QDU114*QDV114</f>
        <v>#DIV/0!</v>
      </c>
      <c r="QDX114" s="363" t="s">
        <v>153</v>
      </c>
      <c r="QDY114" s="363"/>
      <c r="QDZ114" s="363"/>
      <c r="QEA114" s="364" t="s">
        <v>140</v>
      </c>
      <c r="QEB114" s="365">
        <v>0.5</v>
      </c>
      <c r="QEC114" s="366" t="e">
        <f>10/QDY112</f>
        <v>#DIV/0!</v>
      </c>
      <c r="QED114" s="367">
        <v>15.38</v>
      </c>
      <c r="QEE114" s="367" t="e">
        <f>QEB114*QEC114*QED114</f>
        <v>#DIV/0!</v>
      </c>
      <c r="QEF114" s="363" t="s">
        <v>153</v>
      </c>
      <c r="QEG114" s="363"/>
      <c r="QEH114" s="363"/>
      <c r="QEI114" s="364" t="s">
        <v>140</v>
      </c>
      <c r="QEJ114" s="365">
        <v>0.5</v>
      </c>
      <c r="QEK114" s="366" t="e">
        <f>10/QEG112</f>
        <v>#DIV/0!</v>
      </c>
      <c r="QEL114" s="367">
        <v>15.38</v>
      </c>
      <c r="QEM114" s="367" t="e">
        <f>QEJ114*QEK114*QEL114</f>
        <v>#DIV/0!</v>
      </c>
      <c r="QEN114" s="363" t="s">
        <v>153</v>
      </c>
      <c r="QEO114" s="363"/>
      <c r="QEP114" s="363"/>
      <c r="QEQ114" s="364" t="s">
        <v>140</v>
      </c>
      <c r="QER114" s="365">
        <v>0.5</v>
      </c>
      <c r="QES114" s="366" t="e">
        <f>10/QEO112</f>
        <v>#DIV/0!</v>
      </c>
      <c r="QET114" s="367">
        <v>15.38</v>
      </c>
      <c r="QEU114" s="367" t="e">
        <f>QER114*QES114*QET114</f>
        <v>#DIV/0!</v>
      </c>
      <c r="QEV114" s="363" t="s">
        <v>153</v>
      </c>
      <c r="QEW114" s="363"/>
      <c r="QEX114" s="363"/>
      <c r="QEY114" s="364" t="s">
        <v>140</v>
      </c>
      <c r="QEZ114" s="365">
        <v>0.5</v>
      </c>
      <c r="QFA114" s="366" t="e">
        <f>10/QEW112</f>
        <v>#DIV/0!</v>
      </c>
      <c r="QFB114" s="367">
        <v>15.38</v>
      </c>
      <c r="QFC114" s="367" t="e">
        <f>QEZ114*QFA114*QFB114</f>
        <v>#DIV/0!</v>
      </c>
      <c r="QFD114" s="363" t="s">
        <v>153</v>
      </c>
      <c r="QFE114" s="363"/>
      <c r="QFF114" s="363"/>
      <c r="QFG114" s="364" t="s">
        <v>140</v>
      </c>
      <c r="QFH114" s="365">
        <v>0.5</v>
      </c>
      <c r="QFI114" s="366" t="e">
        <f>10/QFE112</f>
        <v>#DIV/0!</v>
      </c>
      <c r="QFJ114" s="367">
        <v>15.38</v>
      </c>
      <c r="QFK114" s="367" t="e">
        <f>QFH114*QFI114*QFJ114</f>
        <v>#DIV/0!</v>
      </c>
      <c r="QFL114" s="363" t="s">
        <v>153</v>
      </c>
      <c r="QFM114" s="363"/>
      <c r="QFN114" s="363"/>
      <c r="QFO114" s="364" t="s">
        <v>140</v>
      </c>
      <c r="QFP114" s="365">
        <v>0.5</v>
      </c>
      <c r="QFQ114" s="366" t="e">
        <f>10/QFM112</f>
        <v>#DIV/0!</v>
      </c>
      <c r="QFR114" s="367">
        <v>15.38</v>
      </c>
      <c r="QFS114" s="367" t="e">
        <f>QFP114*QFQ114*QFR114</f>
        <v>#DIV/0!</v>
      </c>
      <c r="QFT114" s="363" t="s">
        <v>153</v>
      </c>
      <c r="QFU114" s="363"/>
      <c r="QFV114" s="363"/>
      <c r="QFW114" s="364" t="s">
        <v>140</v>
      </c>
      <c r="QFX114" s="365">
        <v>0.5</v>
      </c>
      <c r="QFY114" s="366" t="e">
        <f>10/QFU112</f>
        <v>#DIV/0!</v>
      </c>
      <c r="QFZ114" s="367">
        <v>15.38</v>
      </c>
      <c r="QGA114" s="367" t="e">
        <f>QFX114*QFY114*QFZ114</f>
        <v>#DIV/0!</v>
      </c>
      <c r="QGB114" s="363" t="s">
        <v>153</v>
      </c>
      <c r="QGC114" s="363"/>
      <c r="QGD114" s="363"/>
      <c r="QGE114" s="364" t="s">
        <v>140</v>
      </c>
      <c r="QGF114" s="365">
        <v>0.5</v>
      </c>
      <c r="QGG114" s="366" t="e">
        <f>10/QGC112</f>
        <v>#DIV/0!</v>
      </c>
      <c r="QGH114" s="367">
        <v>15.38</v>
      </c>
      <c r="QGI114" s="367" t="e">
        <f>QGF114*QGG114*QGH114</f>
        <v>#DIV/0!</v>
      </c>
      <c r="QGJ114" s="363" t="s">
        <v>153</v>
      </c>
      <c r="QGK114" s="363"/>
      <c r="QGL114" s="363"/>
      <c r="QGM114" s="364" t="s">
        <v>140</v>
      </c>
      <c r="QGN114" s="365">
        <v>0.5</v>
      </c>
      <c r="QGO114" s="366" t="e">
        <f>10/QGK112</f>
        <v>#DIV/0!</v>
      </c>
      <c r="QGP114" s="367">
        <v>15.38</v>
      </c>
      <c r="QGQ114" s="367" t="e">
        <f>QGN114*QGO114*QGP114</f>
        <v>#DIV/0!</v>
      </c>
      <c r="QGR114" s="363" t="s">
        <v>153</v>
      </c>
      <c r="QGS114" s="363"/>
      <c r="QGT114" s="363"/>
      <c r="QGU114" s="364" t="s">
        <v>140</v>
      </c>
      <c r="QGV114" s="365">
        <v>0.5</v>
      </c>
      <c r="QGW114" s="366" t="e">
        <f>10/QGS112</f>
        <v>#DIV/0!</v>
      </c>
      <c r="QGX114" s="367">
        <v>15.38</v>
      </c>
      <c r="QGY114" s="367" t="e">
        <f>QGV114*QGW114*QGX114</f>
        <v>#DIV/0!</v>
      </c>
      <c r="QGZ114" s="363" t="s">
        <v>153</v>
      </c>
      <c r="QHA114" s="363"/>
      <c r="QHB114" s="363"/>
      <c r="QHC114" s="364" t="s">
        <v>140</v>
      </c>
      <c r="QHD114" s="365">
        <v>0.5</v>
      </c>
      <c r="QHE114" s="366" t="e">
        <f>10/QHA112</f>
        <v>#DIV/0!</v>
      </c>
      <c r="QHF114" s="367">
        <v>15.38</v>
      </c>
      <c r="QHG114" s="367" t="e">
        <f>QHD114*QHE114*QHF114</f>
        <v>#DIV/0!</v>
      </c>
      <c r="QHH114" s="363" t="s">
        <v>153</v>
      </c>
      <c r="QHI114" s="363"/>
      <c r="QHJ114" s="363"/>
      <c r="QHK114" s="364" t="s">
        <v>140</v>
      </c>
      <c r="QHL114" s="365">
        <v>0.5</v>
      </c>
      <c r="QHM114" s="366" t="e">
        <f>10/QHI112</f>
        <v>#DIV/0!</v>
      </c>
      <c r="QHN114" s="367">
        <v>15.38</v>
      </c>
      <c r="QHO114" s="367" t="e">
        <f>QHL114*QHM114*QHN114</f>
        <v>#DIV/0!</v>
      </c>
      <c r="QHP114" s="363" t="s">
        <v>153</v>
      </c>
      <c r="QHQ114" s="363"/>
      <c r="QHR114" s="363"/>
      <c r="QHS114" s="364" t="s">
        <v>140</v>
      </c>
      <c r="QHT114" s="365">
        <v>0.5</v>
      </c>
      <c r="QHU114" s="366" t="e">
        <f>10/QHQ112</f>
        <v>#DIV/0!</v>
      </c>
      <c r="QHV114" s="367">
        <v>15.38</v>
      </c>
      <c r="QHW114" s="367" t="e">
        <f>QHT114*QHU114*QHV114</f>
        <v>#DIV/0!</v>
      </c>
      <c r="QHX114" s="363" t="s">
        <v>153</v>
      </c>
      <c r="QHY114" s="363"/>
      <c r="QHZ114" s="363"/>
      <c r="QIA114" s="364" t="s">
        <v>140</v>
      </c>
      <c r="QIB114" s="365">
        <v>0.5</v>
      </c>
      <c r="QIC114" s="366" t="e">
        <f>10/QHY112</f>
        <v>#DIV/0!</v>
      </c>
      <c r="QID114" s="367">
        <v>15.38</v>
      </c>
      <c r="QIE114" s="367" t="e">
        <f>QIB114*QIC114*QID114</f>
        <v>#DIV/0!</v>
      </c>
      <c r="QIF114" s="363" t="s">
        <v>153</v>
      </c>
      <c r="QIG114" s="363"/>
      <c r="QIH114" s="363"/>
      <c r="QII114" s="364" t="s">
        <v>140</v>
      </c>
      <c r="QIJ114" s="365">
        <v>0.5</v>
      </c>
      <c r="QIK114" s="366" t="e">
        <f>10/QIG112</f>
        <v>#DIV/0!</v>
      </c>
      <c r="QIL114" s="367">
        <v>15.38</v>
      </c>
      <c r="QIM114" s="367" t="e">
        <f>QIJ114*QIK114*QIL114</f>
        <v>#DIV/0!</v>
      </c>
      <c r="QIN114" s="363" t="s">
        <v>153</v>
      </c>
      <c r="QIO114" s="363"/>
      <c r="QIP114" s="363"/>
      <c r="QIQ114" s="364" t="s">
        <v>140</v>
      </c>
      <c r="QIR114" s="365">
        <v>0.5</v>
      </c>
      <c r="QIS114" s="366" t="e">
        <f>10/QIO112</f>
        <v>#DIV/0!</v>
      </c>
      <c r="QIT114" s="367">
        <v>15.38</v>
      </c>
      <c r="QIU114" s="367" t="e">
        <f>QIR114*QIS114*QIT114</f>
        <v>#DIV/0!</v>
      </c>
      <c r="QIV114" s="363" t="s">
        <v>153</v>
      </c>
      <c r="QIW114" s="363"/>
      <c r="QIX114" s="363"/>
      <c r="QIY114" s="364" t="s">
        <v>140</v>
      </c>
      <c r="QIZ114" s="365">
        <v>0.5</v>
      </c>
      <c r="QJA114" s="366" t="e">
        <f>10/QIW112</f>
        <v>#DIV/0!</v>
      </c>
      <c r="QJB114" s="367">
        <v>15.38</v>
      </c>
      <c r="QJC114" s="367" t="e">
        <f>QIZ114*QJA114*QJB114</f>
        <v>#DIV/0!</v>
      </c>
      <c r="QJD114" s="363" t="s">
        <v>153</v>
      </c>
      <c r="QJE114" s="363"/>
      <c r="QJF114" s="363"/>
      <c r="QJG114" s="364" t="s">
        <v>140</v>
      </c>
      <c r="QJH114" s="365">
        <v>0.5</v>
      </c>
      <c r="QJI114" s="366" t="e">
        <f>10/QJE112</f>
        <v>#DIV/0!</v>
      </c>
      <c r="QJJ114" s="367">
        <v>15.38</v>
      </c>
      <c r="QJK114" s="367" t="e">
        <f>QJH114*QJI114*QJJ114</f>
        <v>#DIV/0!</v>
      </c>
      <c r="QJL114" s="363" t="s">
        <v>153</v>
      </c>
      <c r="QJM114" s="363"/>
      <c r="QJN114" s="363"/>
      <c r="QJO114" s="364" t="s">
        <v>140</v>
      </c>
      <c r="QJP114" s="365">
        <v>0.5</v>
      </c>
      <c r="QJQ114" s="366" t="e">
        <f>10/QJM112</f>
        <v>#DIV/0!</v>
      </c>
      <c r="QJR114" s="367">
        <v>15.38</v>
      </c>
      <c r="QJS114" s="367" t="e">
        <f>QJP114*QJQ114*QJR114</f>
        <v>#DIV/0!</v>
      </c>
      <c r="QJT114" s="363" t="s">
        <v>153</v>
      </c>
      <c r="QJU114" s="363"/>
      <c r="QJV114" s="363"/>
      <c r="QJW114" s="364" t="s">
        <v>140</v>
      </c>
      <c r="QJX114" s="365">
        <v>0.5</v>
      </c>
      <c r="QJY114" s="366" t="e">
        <f>10/QJU112</f>
        <v>#DIV/0!</v>
      </c>
      <c r="QJZ114" s="367">
        <v>15.38</v>
      </c>
      <c r="QKA114" s="367" t="e">
        <f>QJX114*QJY114*QJZ114</f>
        <v>#DIV/0!</v>
      </c>
      <c r="QKB114" s="363" t="s">
        <v>153</v>
      </c>
      <c r="QKC114" s="363"/>
      <c r="QKD114" s="363"/>
      <c r="QKE114" s="364" t="s">
        <v>140</v>
      </c>
      <c r="QKF114" s="365">
        <v>0.5</v>
      </c>
      <c r="QKG114" s="366" t="e">
        <f>10/QKC112</f>
        <v>#DIV/0!</v>
      </c>
      <c r="QKH114" s="367">
        <v>15.38</v>
      </c>
      <c r="QKI114" s="367" t="e">
        <f>QKF114*QKG114*QKH114</f>
        <v>#DIV/0!</v>
      </c>
      <c r="QKJ114" s="363" t="s">
        <v>153</v>
      </c>
      <c r="QKK114" s="363"/>
      <c r="QKL114" s="363"/>
      <c r="QKM114" s="364" t="s">
        <v>140</v>
      </c>
      <c r="QKN114" s="365">
        <v>0.5</v>
      </c>
      <c r="QKO114" s="366" t="e">
        <f>10/QKK112</f>
        <v>#DIV/0!</v>
      </c>
      <c r="QKP114" s="367">
        <v>15.38</v>
      </c>
      <c r="QKQ114" s="367" t="e">
        <f>QKN114*QKO114*QKP114</f>
        <v>#DIV/0!</v>
      </c>
      <c r="QKR114" s="363" t="s">
        <v>153</v>
      </c>
      <c r="QKS114" s="363"/>
      <c r="QKT114" s="363"/>
      <c r="QKU114" s="364" t="s">
        <v>140</v>
      </c>
      <c r="QKV114" s="365">
        <v>0.5</v>
      </c>
      <c r="QKW114" s="366" t="e">
        <f>10/QKS112</f>
        <v>#DIV/0!</v>
      </c>
      <c r="QKX114" s="367">
        <v>15.38</v>
      </c>
      <c r="QKY114" s="367" t="e">
        <f>QKV114*QKW114*QKX114</f>
        <v>#DIV/0!</v>
      </c>
      <c r="QKZ114" s="363" t="s">
        <v>153</v>
      </c>
      <c r="QLA114" s="363"/>
      <c r="QLB114" s="363"/>
      <c r="QLC114" s="364" t="s">
        <v>140</v>
      </c>
      <c r="QLD114" s="365">
        <v>0.5</v>
      </c>
      <c r="QLE114" s="366" t="e">
        <f>10/QLA112</f>
        <v>#DIV/0!</v>
      </c>
      <c r="QLF114" s="367">
        <v>15.38</v>
      </c>
      <c r="QLG114" s="367" t="e">
        <f>QLD114*QLE114*QLF114</f>
        <v>#DIV/0!</v>
      </c>
      <c r="QLH114" s="363" t="s">
        <v>153</v>
      </c>
      <c r="QLI114" s="363"/>
      <c r="QLJ114" s="363"/>
      <c r="QLK114" s="364" t="s">
        <v>140</v>
      </c>
      <c r="QLL114" s="365">
        <v>0.5</v>
      </c>
      <c r="QLM114" s="366" t="e">
        <f>10/QLI112</f>
        <v>#DIV/0!</v>
      </c>
      <c r="QLN114" s="367">
        <v>15.38</v>
      </c>
      <c r="QLO114" s="367" t="e">
        <f>QLL114*QLM114*QLN114</f>
        <v>#DIV/0!</v>
      </c>
      <c r="QLP114" s="363" t="s">
        <v>153</v>
      </c>
      <c r="QLQ114" s="363"/>
      <c r="QLR114" s="363"/>
      <c r="QLS114" s="364" t="s">
        <v>140</v>
      </c>
      <c r="QLT114" s="365">
        <v>0.5</v>
      </c>
      <c r="QLU114" s="366" t="e">
        <f>10/QLQ112</f>
        <v>#DIV/0!</v>
      </c>
      <c r="QLV114" s="367">
        <v>15.38</v>
      </c>
      <c r="QLW114" s="367" t="e">
        <f>QLT114*QLU114*QLV114</f>
        <v>#DIV/0!</v>
      </c>
      <c r="QLX114" s="363" t="s">
        <v>153</v>
      </c>
      <c r="QLY114" s="363"/>
      <c r="QLZ114" s="363"/>
      <c r="QMA114" s="364" t="s">
        <v>140</v>
      </c>
      <c r="QMB114" s="365">
        <v>0.5</v>
      </c>
      <c r="QMC114" s="366" t="e">
        <f>10/QLY112</f>
        <v>#DIV/0!</v>
      </c>
      <c r="QMD114" s="367">
        <v>15.38</v>
      </c>
      <c r="QME114" s="367" t="e">
        <f>QMB114*QMC114*QMD114</f>
        <v>#DIV/0!</v>
      </c>
      <c r="QMF114" s="363" t="s">
        <v>153</v>
      </c>
      <c r="QMG114" s="363"/>
      <c r="QMH114" s="363"/>
      <c r="QMI114" s="364" t="s">
        <v>140</v>
      </c>
      <c r="QMJ114" s="365">
        <v>0.5</v>
      </c>
      <c r="QMK114" s="366" t="e">
        <f>10/QMG112</f>
        <v>#DIV/0!</v>
      </c>
      <c r="QML114" s="367">
        <v>15.38</v>
      </c>
      <c r="QMM114" s="367" t="e">
        <f>QMJ114*QMK114*QML114</f>
        <v>#DIV/0!</v>
      </c>
      <c r="QMN114" s="363" t="s">
        <v>153</v>
      </c>
      <c r="QMO114" s="363"/>
      <c r="QMP114" s="363"/>
      <c r="QMQ114" s="364" t="s">
        <v>140</v>
      </c>
      <c r="QMR114" s="365">
        <v>0.5</v>
      </c>
      <c r="QMS114" s="366" t="e">
        <f>10/QMO112</f>
        <v>#DIV/0!</v>
      </c>
      <c r="QMT114" s="367">
        <v>15.38</v>
      </c>
      <c r="QMU114" s="367" t="e">
        <f>QMR114*QMS114*QMT114</f>
        <v>#DIV/0!</v>
      </c>
      <c r="QMV114" s="363" t="s">
        <v>153</v>
      </c>
      <c r="QMW114" s="363"/>
      <c r="QMX114" s="363"/>
      <c r="QMY114" s="364" t="s">
        <v>140</v>
      </c>
      <c r="QMZ114" s="365">
        <v>0.5</v>
      </c>
      <c r="QNA114" s="366" t="e">
        <f>10/QMW112</f>
        <v>#DIV/0!</v>
      </c>
      <c r="QNB114" s="367">
        <v>15.38</v>
      </c>
      <c r="QNC114" s="367" t="e">
        <f>QMZ114*QNA114*QNB114</f>
        <v>#DIV/0!</v>
      </c>
      <c r="QND114" s="363" t="s">
        <v>153</v>
      </c>
      <c r="QNE114" s="363"/>
      <c r="QNF114" s="363"/>
      <c r="QNG114" s="364" t="s">
        <v>140</v>
      </c>
      <c r="QNH114" s="365">
        <v>0.5</v>
      </c>
      <c r="QNI114" s="366" t="e">
        <f>10/QNE112</f>
        <v>#DIV/0!</v>
      </c>
      <c r="QNJ114" s="367">
        <v>15.38</v>
      </c>
      <c r="QNK114" s="367" t="e">
        <f>QNH114*QNI114*QNJ114</f>
        <v>#DIV/0!</v>
      </c>
      <c r="QNL114" s="363" t="s">
        <v>153</v>
      </c>
      <c r="QNM114" s="363"/>
      <c r="QNN114" s="363"/>
      <c r="QNO114" s="364" t="s">
        <v>140</v>
      </c>
      <c r="QNP114" s="365">
        <v>0.5</v>
      </c>
      <c r="QNQ114" s="366" t="e">
        <f>10/QNM112</f>
        <v>#DIV/0!</v>
      </c>
      <c r="QNR114" s="367">
        <v>15.38</v>
      </c>
      <c r="QNS114" s="367" t="e">
        <f>QNP114*QNQ114*QNR114</f>
        <v>#DIV/0!</v>
      </c>
      <c r="QNT114" s="363" t="s">
        <v>153</v>
      </c>
      <c r="QNU114" s="363"/>
      <c r="QNV114" s="363"/>
      <c r="QNW114" s="364" t="s">
        <v>140</v>
      </c>
      <c r="QNX114" s="365">
        <v>0.5</v>
      </c>
      <c r="QNY114" s="366" t="e">
        <f>10/QNU112</f>
        <v>#DIV/0!</v>
      </c>
      <c r="QNZ114" s="367">
        <v>15.38</v>
      </c>
      <c r="QOA114" s="367" t="e">
        <f>QNX114*QNY114*QNZ114</f>
        <v>#DIV/0!</v>
      </c>
      <c r="QOB114" s="363" t="s">
        <v>153</v>
      </c>
      <c r="QOC114" s="363"/>
      <c r="QOD114" s="363"/>
      <c r="QOE114" s="364" t="s">
        <v>140</v>
      </c>
      <c r="QOF114" s="365">
        <v>0.5</v>
      </c>
      <c r="QOG114" s="366" t="e">
        <f>10/QOC112</f>
        <v>#DIV/0!</v>
      </c>
      <c r="QOH114" s="367">
        <v>15.38</v>
      </c>
      <c r="QOI114" s="367" t="e">
        <f>QOF114*QOG114*QOH114</f>
        <v>#DIV/0!</v>
      </c>
      <c r="QOJ114" s="363" t="s">
        <v>153</v>
      </c>
      <c r="QOK114" s="363"/>
      <c r="QOL114" s="363"/>
      <c r="QOM114" s="364" t="s">
        <v>140</v>
      </c>
      <c r="QON114" s="365">
        <v>0.5</v>
      </c>
      <c r="QOO114" s="366" t="e">
        <f>10/QOK112</f>
        <v>#DIV/0!</v>
      </c>
      <c r="QOP114" s="367">
        <v>15.38</v>
      </c>
      <c r="QOQ114" s="367" t="e">
        <f>QON114*QOO114*QOP114</f>
        <v>#DIV/0!</v>
      </c>
      <c r="QOR114" s="363" t="s">
        <v>153</v>
      </c>
      <c r="QOS114" s="363"/>
      <c r="QOT114" s="363"/>
      <c r="QOU114" s="364" t="s">
        <v>140</v>
      </c>
      <c r="QOV114" s="365">
        <v>0.5</v>
      </c>
      <c r="QOW114" s="366" t="e">
        <f>10/QOS112</f>
        <v>#DIV/0!</v>
      </c>
      <c r="QOX114" s="367">
        <v>15.38</v>
      </c>
      <c r="QOY114" s="367" t="e">
        <f>QOV114*QOW114*QOX114</f>
        <v>#DIV/0!</v>
      </c>
      <c r="QOZ114" s="363" t="s">
        <v>153</v>
      </c>
      <c r="QPA114" s="363"/>
      <c r="QPB114" s="363"/>
      <c r="QPC114" s="364" t="s">
        <v>140</v>
      </c>
      <c r="QPD114" s="365">
        <v>0.5</v>
      </c>
      <c r="QPE114" s="366" t="e">
        <f>10/QPA112</f>
        <v>#DIV/0!</v>
      </c>
      <c r="QPF114" s="367">
        <v>15.38</v>
      </c>
      <c r="QPG114" s="367" t="e">
        <f>QPD114*QPE114*QPF114</f>
        <v>#DIV/0!</v>
      </c>
      <c r="QPH114" s="363" t="s">
        <v>153</v>
      </c>
      <c r="QPI114" s="363"/>
      <c r="QPJ114" s="363"/>
      <c r="QPK114" s="364" t="s">
        <v>140</v>
      </c>
      <c r="QPL114" s="365">
        <v>0.5</v>
      </c>
      <c r="QPM114" s="366" t="e">
        <f>10/QPI112</f>
        <v>#DIV/0!</v>
      </c>
      <c r="QPN114" s="367">
        <v>15.38</v>
      </c>
      <c r="QPO114" s="367" t="e">
        <f>QPL114*QPM114*QPN114</f>
        <v>#DIV/0!</v>
      </c>
      <c r="QPP114" s="363" t="s">
        <v>153</v>
      </c>
      <c r="QPQ114" s="363"/>
      <c r="QPR114" s="363"/>
      <c r="QPS114" s="364" t="s">
        <v>140</v>
      </c>
      <c r="QPT114" s="365">
        <v>0.5</v>
      </c>
      <c r="QPU114" s="366" t="e">
        <f>10/QPQ112</f>
        <v>#DIV/0!</v>
      </c>
      <c r="QPV114" s="367">
        <v>15.38</v>
      </c>
      <c r="QPW114" s="367" t="e">
        <f>QPT114*QPU114*QPV114</f>
        <v>#DIV/0!</v>
      </c>
      <c r="QPX114" s="363" t="s">
        <v>153</v>
      </c>
      <c r="QPY114" s="363"/>
      <c r="QPZ114" s="363"/>
      <c r="QQA114" s="364" t="s">
        <v>140</v>
      </c>
      <c r="QQB114" s="365">
        <v>0.5</v>
      </c>
      <c r="QQC114" s="366" t="e">
        <f>10/QPY112</f>
        <v>#DIV/0!</v>
      </c>
      <c r="QQD114" s="367">
        <v>15.38</v>
      </c>
      <c r="QQE114" s="367" t="e">
        <f>QQB114*QQC114*QQD114</f>
        <v>#DIV/0!</v>
      </c>
      <c r="QQF114" s="363" t="s">
        <v>153</v>
      </c>
      <c r="QQG114" s="363"/>
      <c r="QQH114" s="363"/>
      <c r="QQI114" s="364" t="s">
        <v>140</v>
      </c>
      <c r="QQJ114" s="365">
        <v>0.5</v>
      </c>
      <c r="QQK114" s="366" t="e">
        <f>10/QQG112</f>
        <v>#DIV/0!</v>
      </c>
      <c r="QQL114" s="367">
        <v>15.38</v>
      </c>
      <c r="QQM114" s="367" t="e">
        <f>QQJ114*QQK114*QQL114</f>
        <v>#DIV/0!</v>
      </c>
      <c r="QQN114" s="363" t="s">
        <v>153</v>
      </c>
      <c r="QQO114" s="363"/>
      <c r="QQP114" s="363"/>
      <c r="QQQ114" s="364" t="s">
        <v>140</v>
      </c>
      <c r="QQR114" s="365">
        <v>0.5</v>
      </c>
      <c r="QQS114" s="366" t="e">
        <f>10/QQO112</f>
        <v>#DIV/0!</v>
      </c>
      <c r="QQT114" s="367">
        <v>15.38</v>
      </c>
      <c r="QQU114" s="367" t="e">
        <f>QQR114*QQS114*QQT114</f>
        <v>#DIV/0!</v>
      </c>
      <c r="QQV114" s="363" t="s">
        <v>153</v>
      </c>
      <c r="QQW114" s="363"/>
      <c r="QQX114" s="363"/>
      <c r="QQY114" s="364" t="s">
        <v>140</v>
      </c>
      <c r="QQZ114" s="365">
        <v>0.5</v>
      </c>
      <c r="QRA114" s="366" t="e">
        <f>10/QQW112</f>
        <v>#DIV/0!</v>
      </c>
      <c r="QRB114" s="367">
        <v>15.38</v>
      </c>
      <c r="QRC114" s="367" t="e">
        <f>QQZ114*QRA114*QRB114</f>
        <v>#DIV/0!</v>
      </c>
      <c r="QRD114" s="363" t="s">
        <v>153</v>
      </c>
      <c r="QRE114" s="363"/>
      <c r="QRF114" s="363"/>
      <c r="QRG114" s="364" t="s">
        <v>140</v>
      </c>
      <c r="QRH114" s="365">
        <v>0.5</v>
      </c>
      <c r="QRI114" s="366" t="e">
        <f>10/QRE112</f>
        <v>#DIV/0!</v>
      </c>
      <c r="QRJ114" s="367">
        <v>15.38</v>
      </c>
      <c r="QRK114" s="367" t="e">
        <f>QRH114*QRI114*QRJ114</f>
        <v>#DIV/0!</v>
      </c>
      <c r="QRL114" s="363" t="s">
        <v>153</v>
      </c>
      <c r="QRM114" s="363"/>
      <c r="QRN114" s="363"/>
      <c r="QRO114" s="364" t="s">
        <v>140</v>
      </c>
      <c r="QRP114" s="365">
        <v>0.5</v>
      </c>
      <c r="QRQ114" s="366" t="e">
        <f>10/QRM112</f>
        <v>#DIV/0!</v>
      </c>
      <c r="QRR114" s="367">
        <v>15.38</v>
      </c>
      <c r="QRS114" s="367" t="e">
        <f>QRP114*QRQ114*QRR114</f>
        <v>#DIV/0!</v>
      </c>
      <c r="QRT114" s="363" t="s">
        <v>153</v>
      </c>
      <c r="QRU114" s="363"/>
      <c r="QRV114" s="363"/>
      <c r="QRW114" s="364" t="s">
        <v>140</v>
      </c>
      <c r="QRX114" s="365">
        <v>0.5</v>
      </c>
      <c r="QRY114" s="366" t="e">
        <f>10/QRU112</f>
        <v>#DIV/0!</v>
      </c>
      <c r="QRZ114" s="367">
        <v>15.38</v>
      </c>
      <c r="QSA114" s="367" t="e">
        <f>QRX114*QRY114*QRZ114</f>
        <v>#DIV/0!</v>
      </c>
      <c r="QSB114" s="363" t="s">
        <v>153</v>
      </c>
      <c r="QSC114" s="363"/>
      <c r="QSD114" s="363"/>
      <c r="QSE114" s="364" t="s">
        <v>140</v>
      </c>
      <c r="QSF114" s="365">
        <v>0.5</v>
      </c>
      <c r="QSG114" s="366" t="e">
        <f>10/QSC112</f>
        <v>#DIV/0!</v>
      </c>
      <c r="QSH114" s="367">
        <v>15.38</v>
      </c>
      <c r="QSI114" s="367" t="e">
        <f>QSF114*QSG114*QSH114</f>
        <v>#DIV/0!</v>
      </c>
      <c r="QSJ114" s="363" t="s">
        <v>153</v>
      </c>
      <c r="QSK114" s="363"/>
      <c r="QSL114" s="363"/>
      <c r="QSM114" s="364" t="s">
        <v>140</v>
      </c>
      <c r="QSN114" s="365">
        <v>0.5</v>
      </c>
      <c r="QSO114" s="366" t="e">
        <f>10/QSK112</f>
        <v>#DIV/0!</v>
      </c>
      <c r="QSP114" s="367">
        <v>15.38</v>
      </c>
      <c r="QSQ114" s="367" t="e">
        <f>QSN114*QSO114*QSP114</f>
        <v>#DIV/0!</v>
      </c>
      <c r="QSR114" s="363" t="s">
        <v>153</v>
      </c>
      <c r="QSS114" s="363"/>
      <c r="QST114" s="363"/>
      <c r="QSU114" s="364" t="s">
        <v>140</v>
      </c>
      <c r="QSV114" s="365">
        <v>0.5</v>
      </c>
      <c r="QSW114" s="366" t="e">
        <f>10/QSS112</f>
        <v>#DIV/0!</v>
      </c>
      <c r="QSX114" s="367">
        <v>15.38</v>
      </c>
      <c r="QSY114" s="367" t="e">
        <f>QSV114*QSW114*QSX114</f>
        <v>#DIV/0!</v>
      </c>
      <c r="QSZ114" s="363" t="s">
        <v>153</v>
      </c>
      <c r="QTA114" s="363"/>
      <c r="QTB114" s="363"/>
      <c r="QTC114" s="364" t="s">
        <v>140</v>
      </c>
      <c r="QTD114" s="365">
        <v>0.5</v>
      </c>
      <c r="QTE114" s="366" t="e">
        <f>10/QTA112</f>
        <v>#DIV/0!</v>
      </c>
      <c r="QTF114" s="367">
        <v>15.38</v>
      </c>
      <c r="QTG114" s="367" t="e">
        <f>QTD114*QTE114*QTF114</f>
        <v>#DIV/0!</v>
      </c>
      <c r="QTH114" s="363" t="s">
        <v>153</v>
      </c>
      <c r="QTI114" s="363"/>
      <c r="QTJ114" s="363"/>
      <c r="QTK114" s="364" t="s">
        <v>140</v>
      </c>
      <c r="QTL114" s="365">
        <v>0.5</v>
      </c>
      <c r="QTM114" s="366" t="e">
        <f>10/QTI112</f>
        <v>#DIV/0!</v>
      </c>
      <c r="QTN114" s="367">
        <v>15.38</v>
      </c>
      <c r="QTO114" s="367" t="e">
        <f>QTL114*QTM114*QTN114</f>
        <v>#DIV/0!</v>
      </c>
      <c r="QTP114" s="363" t="s">
        <v>153</v>
      </c>
      <c r="QTQ114" s="363"/>
      <c r="QTR114" s="363"/>
      <c r="QTS114" s="364" t="s">
        <v>140</v>
      </c>
      <c r="QTT114" s="365">
        <v>0.5</v>
      </c>
      <c r="QTU114" s="366" t="e">
        <f>10/QTQ112</f>
        <v>#DIV/0!</v>
      </c>
      <c r="QTV114" s="367">
        <v>15.38</v>
      </c>
      <c r="QTW114" s="367" t="e">
        <f>QTT114*QTU114*QTV114</f>
        <v>#DIV/0!</v>
      </c>
      <c r="QTX114" s="363" t="s">
        <v>153</v>
      </c>
      <c r="QTY114" s="363"/>
      <c r="QTZ114" s="363"/>
      <c r="QUA114" s="364" t="s">
        <v>140</v>
      </c>
      <c r="QUB114" s="365">
        <v>0.5</v>
      </c>
      <c r="QUC114" s="366" t="e">
        <f>10/QTY112</f>
        <v>#DIV/0!</v>
      </c>
      <c r="QUD114" s="367">
        <v>15.38</v>
      </c>
      <c r="QUE114" s="367" t="e">
        <f>QUB114*QUC114*QUD114</f>
        <v>#DIV/0!</v>
      </c>
      <c r="QUF114" s="363" t="s">
        <v>153</v>
      </c>
      <c r="QUG114" s="363"/>
      <c r="QUH114" s="363"/>
      <c r="QUI114" s="364" t="s">
        <v>140</v>
      </c>
      <c r="QUJ114" s="365">
        <v>0.5</v>
      </c>
      <c r="QUK114" s="366" t="e">
        <f>10/QUG112</f>
        <v>#DIV/0!</v>
      </c>
      <c r="QUL114" s="367">
        <v>15.38</v>
      </c>
      <c r="QUM114" s="367" t="e">
        <f>QUJ114*QUK114*QUL114</f>
        <v>#DIV/0!</v>
      </c>
      <c r="QUN114" s="363" t="s">
        <v>153</v>
      </c>
      <c r="QUO114" s="363"/>
      <c r="QUP114" s="363"/>
      <c r="QUQ114" s="364" t="s">
        <v>140</v>
      </c>
      <c r="QUR114" s="365">
        <v>0.5</v>
      </c>
      <c r="QUS114" s="366" t="e">
        <f>10/QUO112</f>
        <v>#DIV/0!</v>
      </c>
      <c r="QUT114" s="367">
        <v>15.38</v>
      </c>
      <c r="QUU114" s="367" t="e">
        <f>QUR114*QUS114*QUT114</f>
        <v>#DIV/0!</v>
      </c>
      <c r="QUV114" s="363" t="s">
        <v>153</v>
      </c>
      <c r="QUW114" s="363"/>
      <c r="QUX114" s="363"/>
      <c r="QUY114" s="364" t="s">
        <v>140</v>
      </c>
      <c r="QUZ114" s="365">
        <v>0.5</v>
      </c>
      <c r="QVA114" s="366" t="e">
        <f>10/QUW112</f>
        <v>#DIV/0!</v>
      </c>
      <c r="QVB114" s="367">
        <v>15.38</v>
      </c>
      <c r="QVC114" s="367" t="e">
        <f>QUZ114*QVA114*QVB114</f>
        <v>#DIV/0!</v>
      </c>
      <c r="QVD114" s="363" t="s">
        <v>153</v>
      </c>
      <c r="QVE114" s="363"/>
      <c r="QVF114" s="363"/>
      <c r="QVG114" s="364" t="s">
        <v>140</v>
      </c>
      <c r="QVH114" s="365">
        <v>0.5</v>
      </c>
      <c r="QVI114" s="366" t="e">
        <f>10/QVE112</f>
        <v>#DIV/0!</v>
      </c>
      <c r="QVJ114" s="367">
        <v>15.38</v>
      </c>
      <c r="QVK114" s="367" t="e">
        <f>QVH114*QVI114*QVJ114</f>
        <v>#DIV/0!</v>
      </c>
      <c r="QVL114" s="363" t="s">
        <v>153</v>
      </c>
      <c r="QVM114" s="363"/>
      <c r="QVN114" s="363"/>
      <c r="QVO114" s="364" t="s">
        <v>140</v>
      </c>
      <c r="QVP114" s="365">
        <v>0.5</v>
      </c>
      <c r="QVQ114" s="366" t="e">
        <f>10/QVM112</f>
        <v>#DIV/0!</v>
      </c>
      <c r="QVR114" s="367">
        <v>15.38</v>
      </c>
      <c r="QVS114" s="367" t="e">
        <f>QVP114*QVQ114*QVR114</f>
        <v>#DIV/0!</v>
      </c>
      <c r="QVT114" s="363" t="s">
        <v>153</v>
      </c>
      <c r="QVU114" s="363"/>
      <c r="QVV114" s="363"/>
      <c r="QVW114" s="364" t="s">
        <v>140</v>
      </c>
      <c r="QVX114" s="365">
        <v>0.5</v>
      </c>
      <c r="QVY114" s="366" t="e">
        <f>10/QVU112</f>
        <v>#DIV/0!</v>
      </c>
      <c r="QVZ114" s="367">
        <v>15.38</v>
      </c>
      <c r="QWA114" s="367" t="e">
        <f>QVX114*QVY114*QVZ114</f>
        <v>#DIV/0!</v>
      </c>
      <c r="QWB114" s="363" t="s">
        <v>153</v>
      </c>
      <c r="QWC114" s="363"/>
      <c r="QWD114" s="363"/>
      <c r="QWE114" s="364" t="s">
        <v>140</v>
      </c>
      <c r="QWF114" s="365">
        <v>0.5</v>
      </c>
      <c r="QWG114" s="366" t="e">
        <f>10/QWC112</f>
        <v>#DIV/0!</v>
      </c>
      <c r="QWH114" s="367">
        <v>15.38</v>
      </c>
      <c r="QWI114" s="367" t="e">
        <f>QWF114*QWG114*QWH114</f>
        <v>#DIV/0!</v>
      </c>
      <c r="QWJ114" s="363" t="s">
        <v>153</v>
      </c>
      <c r="QWK114" s="363"/>
      <c r="QWL114" s="363"/>
      <c r="QWM114" s="364" t="s">
        <v>140</v>
      </c>
      <c r="QWN114" s="365">
        <v>0.5</v>
      </c>
      <c r="QWO114" s="366" t="e">
        <f>10/QWK112</f>
        <v>#DIV/0!</v>
      </c>
      <c r="QWP114" s="367">
        <v>15.38</v>
      </c>
      <c r="QWQ114" s="367" t="e">
        <f>QWN114*QWO114*QWP114</f>
        <v>#DIV/0!</v>
      </c>
      <c r="QWR114" s="363" t="s">
        <v>153</v>
      </c>
      <c r="QWS114" s="363"/>
      <c r="QWT114" s="363"/>
      <c r="QWU114" s="364" t="s">
        <v>140</v>
      </c>
      <c r="QWV114" s="365">
        <v>0.5</v>
      </c>
      <c r="QWW114" s="366" t="e">
        <f>10/QWS112</f>
        <v>#DIV/0!</v>
      </c>
      <c r="QWX114" s="367">
        <v>15.38</v>
      </c>
      <c r="QWY114" s="367" t="e">
        <f>QWV114*QWW114*QWX114</f>
        <v>#DIV/0!</v>
      </c>
      <c r="QWZ114" s="363" t="s">
        <v>153</v>
      </c>
      <c r="QXA114" s="363"/>
      <c r="QXB114" s="363"/>
      <c r="QXC114" s="364" t="s">
        <v>140</v>
      </c>
      <c r="QXD114" s="365">
        <v>0.5</v>
      </c>
      <c r="QXE114" s="366" t="e">
        <f>10/QXA112</f>
        <v>#DIV/0!</v>
      </c>
      <c r="QXF114" s="367">
        <v>15.38</v>
      </c>
      <c r="QXG114" s="367" t="e">
        <f>QXD114*QXE114*QXF114</f>
        <v>#DIV/0!</v>
      </c>
      <c r="QXH114" s="363" t="s">
        <v>153</v>
      </c>
      <c r="QXI114" s="363"/>
      <c r="QXJ114" s="363"/>
      <c r="QXK114" s="364" t="s">
        <v>140</v>
      </c>
      <c r="QXL114" s="365">
        <v>0.5</v>
      </c>
      <c r="QXM114" s="366" t="e">
        <f>10/QXI112</f>
        <v>#DIV/0!</v>
      </c>
      <c r="QXN114" s="367">
        <v>15.38</v>
      </c>
      <c r="QXO114" s="367" t="e">
        <f>QXL114*QXM114*QXN114</f>
        <v>#DIV/0!</v>
      </c>
      <c r="QXP114" s="363" t="s">
        <v>153</v>
      </c>
      <c r="QXQ114" s="363"/>
      <c r="QXR114" s="363"/>
      <c r="QXS114" s="364" t="s">
        <v>140</v>
      </c>
      <c r="QXT114" s="365">
        <v>0.5</v>
      </c>
      <c r="QXU114" s="366" t="e">
        <f>10/QXQ112</f>
        <v>#DIV/0!</v>
      </c>
      <c r="QXV114" s="367">
        <v>15.38</v>
      </c>
      <c r="QXW114" s="367" t="e">
        <f>QXT114*QXU114*QXV114</f>
        <v>#DIV/0!</v>
      </c>
      <c r="QXX114" s="363" t="s">
        <v>153</v>
      </c>
      <c r="QXY114" s="363"/>
      <c r="QXZ114" s="363"/>
      <c r="QYA114" s="364" t="s">
        <v>140</v>
      </c>
      <c r="QYB114" s="365">
        <v>0.5</v>
      </c>
      <c r="QYC114" s="366" t="e">
        <f>10/QXY112</f>
        <v>#DIV/0!</v>
      </c>
      <c r="QYD114" s="367">
        <v>15.38</v>
      </c>
      <c r="QYE114" s="367" t="e">
        <f>QYB114*QYC114*QYD114</f>
        <v>#DIV/0!</v>
      </c>
      <c r="QYF114" s="363" t="s">
        <v>153</v>
      </c>
      <c r="QYG114" s="363"/>
      <c r="QYH114" s="363"/>
      <c r="QYI114" s="364" t="s">
        <v>140</v>
      </c>
      <c r="QYJ114" s="365">
        <v>0.5</v>
      </c>
      <c r="QYK114" s="366" t="e">
        <f>10/QYG112</f>
        <v>#DIV/0!</v>
      </c>
      <c r="QYL114" s="367">
        <v>15.38</v>
      </c>
      <c r="QYM114" s="367" t="e">
        <f>QYJ114*QYK114*QYL114</f>
        <v>#DIV/0!</v>
      </c>
      <c r="QYN114" s="363" t="s">
        <v>153</v>
      </c>
      <c r="QYO114" s="363"/>
      <c r="QYP114" s="363"/>
      <c r="QYQ114" s="364" t="s">
        <v>140</v>
      </c>
      <c r="QYR114" s="365">
        <v>0.5</v>
      </c>
      <c r="QYS114" s="366" t="e">
        <f>10/QYO112</f>
        <v>#DIV/0!</v>
      </c>
      <c r="QYT114" s="367">
        <v>15.38</v>
      </c>
      <c r="QYU114" s="367" t="e">
        <f>QYR114*QYS114*QYT114</f>
        <v>#DIV/0!</v>
      </c>
      <c r="QYV114" s="363" t="s">
        <v>153</v>
      </c>
      <c r="QYW114" s="363"/>
      <c r="QYX114" s="363"/>
      <c r="QYY114" s="364" t="s">
        <v>140</v>
      </c>
      <c r="QYZ114" s="365">
        <v>0.5</v>
      </c>
      <c r="QZA114" s="366" t="e">
        <f>10/QYW112</f>
        <v>#DIV/0!</v>
      </c>
      <c r="QZB114" s="367">
        <v>15.38</v>
      </c>
      <c r="QZC114" s="367" t="e">
        <f>QYZ114*QZA114*QZB114</f>
        <v>#DIV/0!</v>
      </c>
      <c r="QZD114" s="363" t="s">
        <v>153</v>
      </c>
      <c r="QZE114" s="363"/>
      <c r="QZF114" s="363"/>
      <c r="QZG114" s="364" t="s">
        <v>140</v>
      </c>
      <c r="QZH114" s="365">
        <v>0.5</v>
      </c>
      <c r="QZI114" s="366" t="e">
        <f>10/QZE112</f>
        <v>#DIV/0!</v>
      </c>
      <c r="QZJ114" s="367">
        <v>15.38</v>
      </c>
      <c r="QZK114" s="367" t="e">
        <f>QZH114*QZI114*QZJ114</f>
        <v>#DIV/0!</v>
      </c>
      <c r="QZL114" s="363" t="s">
        <v>153</v>
      </c>
      <c r="QZM114" s="363"/>
      <c r="QZN114" s="363"/>
      <c r="QZO114" s="364" t="s">
        <v>140</v>
      </c>
      <c r="QZP114" s="365">
        <v>0.5</v>
      </c>
      <c r="QZQ114" s="366" t="e">
        <f>10/QZM112</f>
        <v>#DIV/0!</v>
      </c>
      <c r="QZR114" s="367">
        <v>15.38</v>
      </c>
      <c r="QZS114" s="367" t="e">
        <f>QZP114*QZQ114*QZR114</f>
        <v>#DIV/0!</v>
      </c>
      <c r="QZT114" s="363" t="s">
        <v>153</v>
      </c>
      <c r="QZU114" s="363"/>
      <c r="QZV114" s="363"/>
      <c r="QZW114" s="364" t="s">
        <v>140</v>
      </c>
      <c r="QZX114" s="365">
        <v>0.5</v>
      </c>
      <c r="QZY114" s="366" t="e">
        <f>10/QZU112</f>
        <v>#DIV/0!</v>
      </c>
      <c r="QZZ114" s="367">
        <v>15.38</v>
      </c>
      <c r="RAA114" s="367" t="e">
        <f>QZX114*QZY114*QZZ114</f>
        <v>#DIV/0!</v>
      </c>
      <c r="RAB114" s="363" t="s">
        <v>153</v>
      </c>
      <c r="RAC114" s="363"/>
      <c r="RAD114" s="363"/>
      <c r="RAE114" s="364" t="s">
        <v>140</v>
      </c>
      <c r="RAF114" s="365">
        <v>0.5</v>
      </c>
      <c r="RAG114" s="366" t="e">
        <f>10/RAC112</f>
        <v>#DIV/0!</v>
      </c>
      <c r="RAH114" s="367">
        <v>15.38</v>
      </c>
      <c r="RAI114" s="367" t="e">
        <f>RAF114*RAG114*RAH114</f>
        <v>#DIV/0!</v>
      </c>
      <c r="RAJ114" s="363" t="s">
        <v>153</v>
      </c>
      <c r="RAK114" s="363"/>
      <c r="RAL114" s="363"/>
      <c r="RAM114" s="364" t="s">
        <v>140</v>
      </c>
      <c r="RAN114" s="365">
        <v>0.5</v>
      </c>
      <c r="RAO114" s="366" t="e">
        <f>10/RAK112</f>
        <v>#DIV/0!</v>
      </c>
      <c r="RAP114" s="367">
        <v>15.38</v>
      </c>
      <c r="RAQ114" s="367" t="e">
        <f>RAN114*RAO114*RAP114</f>
        <v>#DIV/0!</v>
      </c>
      <c r="RAR114" s="363" t="s">
        <v>153</v>
      </c>
      <c r="RAS114" s="363"/>
      <c r="RAT114" s="363"/>
      <c r="RAU114" s="364" t="s">
        <v>140</v>
      </c>
      <c r="RAV114" s="365">
        <v>0.5</v>
      </c>
      <c r="RAW114" s="366" t="e">
        <f>10/RAS112</f>
        <v>#DIV/0!</v>
      </c>
      <c r="RAX114" s="367">
        <v>15.38</v>
      </c>
      <c r="RAY114" s="367" t="e">
        <f>RAV114*RAW114*RAX114</f>
        <v>#DIV/0!</v>
      </c>
      <c r="RAZ114" s="363" t="s">
        <v>153</v>
      </c>
      <c r="RBA114" s="363"/>
      <c r="RBB114" s="363"/>
      <c r="RBC114" s="364" t="s">
        <v>140</v>
      </c>
      <c r="RBD114" s="365">
        <v>0.5</v>
      </c>
      <c r="RBE114" s="366" t="e">
        <f>10/RBA112</f>
        <v>#DIV/0!</v>
      </c>
      <c r="RBF114" s="367">
        <v>15.38</v>
      </c>
      <c r="RBG114" s="367" t="e">
        <f>RBD114*RBE114*RBF114</f>
        <v>#DIV/0!</v>
      </c>
      <c r="RBH114" s="363" t="s">
        <v>153</v>
      </c>
      <c r="RBI114" s="363"/>
      <c r="RBJ114" s="363"/>
      <c r="RBK114" s="364" t="s">
        <v>140</v>
      </c>
      <c r="RBL114" s="365">
        <v>0.5</v>
      </c>
      <c r="RBM114" s="366" t="e">
        <f>10/RBI112</f>
        <v>#DIV/0!</v>
      </c>
      <c r="RBN114" s="367">
        <v>15.38</v>
      </c>
      <c r="RBO114" s="367" t="e">
        <f>RBL114*RBM114*RBN114</f>
        <v>#DIV/0!</v>
      </c>
      <c r="RBP114" s="363" t="s">
        <v>153</v>
      </c>
      <c r="RBQ114" s="363"/>
      <c r="RBR114" s="363"/>
      <c r="RBS114" s="364" t="s">
        <v>140</v>
      </c>
      <c r="RBT114" s="365">
        <v>0.5</v>
      </c>
      <c r="RBU114" s="366" t="e">
        <f>10/RBQ112</f>
        <v>#DIV/0!</v>
      </c>
      <c r="RBV114" s="367">
        <v>15.38</v>
      </c>
      <c r="RBW114" s="367" t="e">
        <f>RBT114*RBU114*RBV114</f>
        <v>#DIV/0!</v>
      </c>
      <c r="RBX114" s="363" t="s">
        <v>153</v>
      </c>
      <c r="RBY114" s="363"/>
      <c r="RBZ114" s="363"/>
      <c r="RCA114" s="364" t="s">
        <v>140</v>
      </c>
      <c r="RCB114" s="365">
        <v>0.5</v>
      </c>
      <c r="RCC114" s="366" t="e">
        <f>10/RBY112</f>
        <v>#DIV/0!</v>
      </c>
      <c r="RCD114" s="367">
        <v>15.38</v>
      </c>
      <c r="RCE114" s="367" t="e">
        <f>RCB114*RCC114*RCD114</f>
        <v>#DIV/0!</v>
      </c>
      <c r="RCF114" s="363" t="s">
        <v>153</v>
      </c>
      <c r="RCG114" s="363"/>
      <c r="RCH114" s="363"/>
      <c r="RCI114" s="364" t="s">
        <v>140</v>
      </c>
      <c r="RCJ114" s="365">
        <v>0.5</v>
      </c>
      <c r="RCK114" s="366" t="e">
        <f>10/RCG112</f>
        <v>#DIV/0!</v>
      </c>
      <c r="RCL114" s="367">
        <v>15.38</v>
      </c>
      <c r="RCM114" s="367" t="e">
        <f>RCJ114*RCK114*RCL114</f>
        <v>#DIV/0!</v>
      </c>
      <c r="RCN114" s="363" t="s">
        <v>153</v>
      </c>
      <c r="RCO114" s="363"/>
      <c r="RCP114" s="363"/>
      <c r="RCQ114" s="364" t="s">
        <v>140</v>
      </c>
      <c r="RCR114" s="365">
        <v>0.5</v>
      </c>
      <c r="RCS114" s="366" t="e">
        <f>10/RCO112</f>
        <v>#DIV/0!</v>
      </c>
      <c r="RCT114" s="367">
        <v>15.38</v>
      </c>
      <c r="RCU114" s="367" t="e">
        <f>RCR114*RCS114*RCT114</f>
        <v>#DIV/0!</v>
      </c>
      <c r="RCV114" s="363" t="s">
        <v>153</v>
      </c>
      <c r="RCW114" s="363"/>
      <c r="RCX114" s="363"/>
      <c r="RCY114" s="364" t="s">
        <v>140</v>
      </c>
      <c r="RCZ114" s="365">
        <v>0.5</v>
      </c>
      <c r="RDA114" s="366" t="e">
        <f>10/RCW112</f>
        <v>#DIV/0!</v>
      </c>
      <c r="RDB114" s="367">
        <v>15.38</v>
      </c>
      <c r="RDC114" s="367" t="e">
        <f>RCZ114*RDA114*RDB114</f>
        <v>#DIV/0!</v>
      </c>
      <c r="RDD114" s="363" t="s">
        <v>153</v>
      </c>
      <c r="RDE114" s="363"/>
      <c r="RDF114" s="363"/>
      <c r="RDG114" s="364" t="s">
        <v>140</v>
      </c>
      <c r="RDH114" s="365">
        <v>0.5</v>
      </c>
      <c r="RDI114" s="366" t="e">
        <f>10/RDE112</f>
        <v>#DIV/0!</v>
      </c>
      <c r="RDJ114" s="367">
        <v>15.38</v>
      </c>
      <c r="RDK114" s="367" t="e">
        <f>RDH114*RDI114*RDJ114</f>
        <v>#DIV/0!</v>
      </c>
      <c r="RDL114" s="363" t="s">
        <v>153</v>
      </c>
      <c r="RDM114" s="363"/>
      <c r="RDN114" s="363"/>
      <c r="RDO114" s="364" t="s">
        <v>140</v>
      </c>
      <c r="RDP114" s="365">
        <v>0.5</v>
      </c>
      <c r="RDQ114" s="366" t="e">
        <f>10/RDM112</f>
        <v>#DIV/0!</v>
      </c>
      <c r="RDR114" s="367">
        <v>15.38</v>
      </c>
      <c r="RDS114" s="367" t="e">
        <f>RDP114*RDQ114*RDR114</f>
        <v>#DIV/0!</v>
      </c>
      <c r="RDT114" s="363" t="s">
        <v>153</v>
      </c>
      <c r="RDU114" s="363"/>
      <c r="RDV114" s="363"/>
      <c r="RDW114" s="364" t="s">
        <v>140</v>
      </c>
      <c r="RDX114" s="365">
        <v>0.5</v>
      </c>
      <c r="RDY114" s="366" t="e">
        <f>10/RDU112</f>
        <v>#DIV/0!</v>
      </c>
      <c r="RDZ114" s="367">
        <v>15.38</v>
      </c>
      <c r="REA114" s="367" t="e">
        <f>RDX114*RDY114*RDZ114</f>
        <v>#DIV/0!</v>
      </c>
      <c r="REB114" s="363" t="s">
        <v>153</v>
      </c>
      <c r="REC114" s="363"/>
      <c r="RED114" s="363"/>
      <c r="REE114" s="364" t="s">
        <v>140</v>
      </c>
      <c r="REF114" s="365">
        <v>0.5</v>
      </c>
      <c r="REG114" s="366" t="e">
        <f>10/REC112</f>
        <v>#DIV/0!</v>
      </c>
      <c r="REH114" s="367">
        <v>15.38</v>
      </c>
      <c r="REI114" s="367" t="e">
        <f>REF114*REG114*REH114</f>
        <v>#DIV/0!</v>
      </c>
      <c r="REJ114" s="363" t="s">
        <v>153</v>
      </c>
      <c r="REK114" s="363"/>
      <c r="REL114" s="363"/>
      <c r="REM114" s="364" t="s">
        <v>140</v>
      </c>
      <c r="REN114" s="365">
        <v>0.5</v>
      </c>
      <c r="REO114" s="366" t="e">
        <f>10/REK112</f>
        <v>#DIV/0!</v>
      </c>
      <c r="REP114" s="367">
        <v>15.38</v>
      </c>
      <c r="REQ114" s="367" t="e">
        <f>REN114*REO114*REP114</f>
        <v>#DIV/0!</v>
      </c>
      <c r="RER114" s="363" t="s">
        <v>153</v>
      </c>
      <c r="RES114" s="363"/>
      <c r="RET114" s="363"/>
      <c r="REU114" s="364" t="s">
        <v>140</v>
      </c>
      <c r="REV114" s="365">
        <v>0.5</v>
      </c>
      <c r="REW114" s="366" t="e">
        <f>10/RES112</f>
        <v>#DIV/0!</v>
      </c>
      <c r="REX114" s="367">
        <v>15.38</v>
      </c>
      <c r="REY114" s="367" t="e">
        <f>REV114*REW114*REX114</f>
        <v>#DIV/0!</v>
      </c>
      <c r="REZ114" s="363" t="s">
        <v>153</v>
      </c>
      <c r="RFA114" s="363"/>
      <c r="RFB114" s="363"/>
      <c r="RFC114" s="364" t="s">
        <v>140</v>
      </c>
      <c r="RFD114" s="365">
        <v>0.5</v>
      </c>
      <c r="RFE114" s="366" t="e">
        <f>10/RFA112</f>
        <v>#DIV/0!</v>
      </c>
      <c r="RFF114" s="367">
        <v>15.38</v>
      </c>
      <c r="RFG114" s="367" t="e">
        <f>RFD114*RFE114*RFF114</f>
        <v>#DIV/0!</v>
      </c>
      <c r="RFH114" s="363" t="s">
        <v>153</v>
      </c>
      <c r="RFI114" s="363"/>
      <c r="RFJ114" s="363"/>
      <c r="RFK114" s="364" t="s">
        <v>140</v>
      </c>
      <c r="RFL114" s="365">
        <v>0.5</v>
      </c>
      <c r="RFM114" s="366" t="e">
        <f>10/RFI112</f>
        <v>#DIV/0!</v>
      </c>
      <c r="RFN114" s="367">
        <v>15.38</v>
      </c>
      <c r="RFO114" s="367" t="e">
        <f>RFL114*RFM114*RFN114</f>
        <v>#DIV/0!</v>
      </c>
      <c r="RFP114" s="363" t="s">
        <v>153</v>
      </c>
      <c r="RFQ114" s="363"/>
      <c r="RFR114" s="363"/>
      <c r="RFS114" s="364" t="s">
        <v>140</v>
      </c>
      <c r="RFT114" s="365">
        <v>0.5</v>
      </c>
      <c r="RFU114" s="366" t="e">
        <f>10/RFQ112</f>
        <v>#DIV/0!</v>
      </c>
      <c r="RFV114" s="367">
        <v>15.38</v>
      </c>
      <c r="RFW114" s="367" t="e">
        <f>RFT114*RFU114*RFV114</f>
        <v>#DIV/0!</v>
      </c>
      <c r="RFX114" s="363" t="s">
        <v>153</v>
      </c>
      <c r="RFY114" s="363"/>
      <c r="RFZ114" s="363"/>
      <c r="RGA114" s="364" t="s">
        <v>140</v>
      </c>
      <c r="RGB114" s="365">
        <v>0.5</v>
      </c>
      <c r="RGC114" s="366" t="e">
        <f>10/RFY112</f>
        <v>#DIV/0!</v>
      </c>
      <c r="RGD114" s="367">
        <v>15.38</v>
      </c>
      <c r="RGE114" s="367" t="e">
        <f>RGB114*RGC114*RGD114</f>
        <v>#DIV/0!</v>
      </c>
      <c r="RGF114" s="363" t="s">
        <v>153</v>
      </c>
      <c r="RGG114" s="363"/>
      <c r="RGH114" s="363"/>
      <c r="RGI114" s="364" t="s">
        <v>140</v>
      </c>
      <c r="RGJ114" s="365">
        <v>0.5</v>
      </c>
      <c r="RGK114" s="366" t="e">
        <f>10/RGG112</f>
        <v>#DIV/0!</v>
      </c>
      <c r="RGL114" s="367">
        <v>15.38</v>
      </c>
      <c r="RGM114" s="367" t="e">
        <f>RGJ114*RGK114*RGL114</f>
        <v>#DIV/0!</v>
      </c>
      <c r="RGN114" s="363" t="s">
        <v>153</v>
      </c>
      <c r="RGO114" s="363"/>
      <c r="RGP114" s="363"/>
      <c r="RGQ114" s="364" t="s">
        <v>140</v>
      </c>
      <c r="RGR114" s="365">
        <v>0.5</v>
      </c>
      <c r="RGS114" s="366" t="e">
        <f>10/RGO112</f>
        <v>#DIV/0!</v>
      </c>
      <c r="RGT114" s="367">
        <v>15.38</v>
      </c>
      <c r="RGU114" s="367" t="e">
        <f>RGR114*RGS114*RGT114</f>
        <v>#DIV/0!</v>
      </c>
      <c r="RGV114" s="363" t="s">
        <v>153</v>
      </c>
      <c r="RGW114" s="363"/>
      <c r="RGX114" s="363"/>
      <c r="RGY114" s="364" t="s">
        <v>140</v>
      </c>
      <c r="RGZ114" s="365">
        <v>0.5</v>
      </c>
      <c r="RHA114" s="366" t="e">
        <f>10/RGW112</f>
        <v>#DIV/0!</v>
      </c>
      <c r="RHB114" s="367">
        <v>15.38</v>
      </c>
      <c r="RHC114" s="367" t="e">
        <f>RGZ114*RHA114*RHB114</f>
        <v>#DIV/0!</v>
      </c>
      <c r="RHD114" s="363" t="s">
        <v>153</v>
      </c>
      <c r="RHE114" s="363"/>
      <c r="RHF114" s="363"/>
      <c r="RHG114" s="364" t="s">
        <v>140</v>
      </c>
      <c r="RHH114" s="365">
        <v>0.5</v>
      </c>
      <c r="RHI114" s="366" t="e">
        <f>10/RHE112</f>
        <v>#DIV/0!</v>
      </c>
      <c r="RHJ114" s="367">
        <v>15.38</v>
      </c>
      <c r="RHK114" s="367" t="e">
        <f>RHH114*RHI114*RHJ114</f>
        <v>#DIV/0!</v>
      </c>
      <c r="RHL114" s="363" t="s">
        <v>153</v>
      </c>
      <c r="RHM114" s="363"/>
      <c r="RHN114" s="363"/>
      <c r="RHO114" s="364" t="s">
        <v>140</v>
      </c>
      <c r="RHP114" s="365">
        <v>0.5</v>
      </c>
      <c r="RHQ114" s="366" t="e">
        <f>10/RHM112</f>
        <v>#DIV/0!</v>
      </c>
      <c r="RHR114" s="367">
        <v>15.38</v>
      </c>
      <c r="RHS114" s="367" t="e">
        <f>RHP114*RHQ114*RHR114</f>
        <v>#DIV/0!</v>
      </c>
      <c r="RHT114" s="363" t="s">
        <v>153</v>
      </c>
      <c r="RHU114" s="363"/>
      <c r="RHV114" s="363"/>
      <c r="RHW114" s="364" t="s">
        <v>140</v>
      </c>
      <c r="RHX114" s="365">
        <v>0.5</v>
      </c>
      <c r="RHY114" s="366" t="e">
        <f>10/RHU112</f>
        <v>#DIV/0!</v>
      </c>
      <c r="RHZ114" s="367">
        <v>15.38</v>
      </c>
      <c r="RIA114" s="367" t="e">
        <f>RHX114*RHY114*RHZ114</f>
        <v>#DIV/0!</v>
      </c>
      <c r="RIB114" s="363" t="s">
        <v>153</v>
      </c>
      <c r="RIC114" s="363"/>
      <c r="RID114" s="363"/>
      <c r="RIE114" s="364" t="s">
        <v>140</v>
      </c>
      <c r="RIF114" s="365">
        <v>0.5</v>
      </c>
      <c r="RIG114" s="366" t="e">
        <f>10/RIC112</f>
        <v>#DIV/0!</v>
      </c>
      <c r="RIH114" s="367">
        <v>15.38</v>
      </c>
      <c r="RII114" s="367" t="e">
        <f>RIF114*RIG114*RIH114</f>
        <v>#DIV/0!</v>
      </c>
      <c r="RIJ114" s="363" t="s">
        <v>153</v>
      </c>
      <c r="RIK114" s="363"/>
      <c r="RIL114" s="363"/>
      <c r="RIM114" s="364" t="s">
        <v>140</v>
      </c>
      <c r="RIN114" s="365">
        <v>0.5</v>
      </c>
      <c r="RIO114" s="366" t="e">
        <f>10/RIK112</f>
        <v>#DIV/0!</v>
      </c>
      <c r="RIP114" s="367">
        <v>15.38</v>
      </c>
      <c r="RIQ114" s="367" t="e">
        <f>RIN114*RIO114*RIP114</f>
        <v>#DIV/0!</v>
      </c>
      <c r="RIR114" s="363" t="s">
        <v>153</v>
      </c>
      <c r="RIS114" s="363"/>
      <c r="RIT114" s="363"/>
      <c r="RIU114" s="364" t="s">
        <v>140</v>
      </c>
      <c r="RIV114" s="365">
        <v>0.5</v>
      </c>
      <c r="RIW114" s="366" t="e">
        <f>10/RIS112</f>
        <v>#DIV/0!</v>
      </c>
      <c r="RIX114" s="367">
        <v>15.38</v>
      </c>
      <c r="RIY114" s="367" t="e">
        <f>RIV114*RIW114*RIX114</f>
        <v>#DIV/0!</v>
      </c>
      <c r="RIZ114" s="363" t="s">
        <v>153</v>
      </c>
      <c r="RJA114" s="363"/>
      <c r="RJB114" s="363"/>
      <c r="RJC114" s="364" t="s">
        <v>140</v>
      </c>
      <c r="RJD114" s="365">
        <v>0.5</v>
      </c>
      <c r="RJE114" s="366" t="e">
        <f>10/RJA112</f>
        <v>#DIV/0!</v>
      </c>
      <c r="RJF114" s="367">
        <v>15.38</v>
      </c>
      <c r="RJG114" s="367" t="e">
        <f>RJD114*RJE114*RJF114</f>
        <v>#DIV/0!</v>
      </c>
      <c r="RJH114" s="363" t="s">
        <v>153</v>
      </c>
      <c r="RJI114" s="363"/>
      <c r="RJJ114" s="363"/>
      <c r="RJK114" s="364" t="s">
        <v>140</v>
      </c>
      <c r="RJL114" s="365">
        <v>0.5</v>
      </c>
      <c r="RJM114" s="366" t="e">
        <f>10/RJI112</f>
        <v>#DIV/0!</v>
      </c>
      <c r="RJN114" s="367">
        <v>15.38</v>
      </c>
      <c r="RJO114" s="367" t="e">
        <f>RJL114*RJM114*RJN114</f>
        <v>#DIV/0!</v>
      </c>
      <c r="RJP114" s="363" t="s">
        <v>153</v>
      </c>
      <c r="RJQ114" s="363"/>
      <c r="RJR114" s="363"/>
      <c r="RJS114" s="364" t="s">
        <v>140</v>
      </c>
      <c r="RJT114" s="365">
        <v>0.5</v>
      </c>
      <c r="RJU114" s="366" t="e">
        <f>10/RJQ112</f>
        <v>#DIV/0!</v>
      </c>
      <c r="RJV114" s="367">
        <v>15.38</v>
      </c>
      <c r="RJW114" s="367" t="e">
        <f>RJT114*RJU114*RJV114</f>
        <v>#DIV/0!</v>
      </c>
      <c r="RJX114" s="363" t="s">
        <v>153</v>
      </c>
      <c r="RJY114" s="363"/>
      <c r="RJZ114" s="363"/>
      <c r="RKA114" s="364" t="s">
        <v>140</v>
      </c>
      <c r="RKB114" s="365">
        <v>0.5</v>
      </c>
      <c r="RKC114" s="366" t="e">
        <f>10/RJY112</f>
        <v>#DIV/0!</v>
      </c>
      <c r="RKD114" s="367">
        <v>15.38</v>
      </c>
      <c r="RKE114" s="367" t="e">
        <f>RKB114*RKC114*RKD114</f>
        <v>#DIV/0!</v>
      </c>
      <c r="RKF114" s="363" t="s">
        <v>153</v>
      </c>
      <c r="RKG114" s="363"/>
      <c r="RKH114" s="363"/>
      <c r="RKI114" s="364" t="s">
        <v>140</v>
      </c>
      <c r="RKJ114" s="365">
        <v>0.5</v>
      </c>
      <c r="RKK114" s="366" t="e">
        <f>10/RKG112</f>
        <v>#DIV/0!</v>
      </c>
      <c r="RKL114" s="367">
        <v>15.38</v>
      </c>
      <c r="RKM114" s="367" t="e">
        <f>RKJ114*RKK114*RKL114</f>
        <v>#DIV/0!</v>
      </c>
      <c r="RKN114" s="363" t="s">
        <v>153</v>
      </c>
      <c r="RKO114" s="363"/>
      <c r="RKP114" s="363"/>
      <c r="RKQ114" s="364" t="s">
        <v>140</v>
      </c>
      <c r="RKR114" s="365">
        <v>0.5</v>
      </c>
      <c r="RKS114" s="366" t="e">
        <f>10/RKO112</f>
        <v>#DIV/0!</v>
      </c>
      <c r="RKT114" s="367">
        <v>15.38</v>
      </c>
      <c r="RKU114" s="367" t="e">
        <f>RKR114*RKS114*RKT114</f>
        <v>#DIV/0!</v>
      </c>
      <c r="RKV114" s="363" t="s">
        <v>153</v>
      </c>
      <c r="RKW114" s="363"/>
      <c r="RKX114" s="363"/>
      <c r="RKY114" s="364" t="s">
        <v>140</v>
      </c>
      <c r="RKZ114" s="365">
        <v>0.5</v>
      </c>
      <c r="RLA114" s="366" t="e">
        <f>10/RKW112</f>
        <v>#DIV/0!</v>
      </c>
      <c r="RLB114" s="367">
        <v>15.38</v>
      </c>
      <c r="RLC114" s="367" t="e">
        <f>RKZ114*RLA114*RLB114</f>
        <v>#DIV/0!</v>
      </c>
      <c r="RLD114" s="363" t="s">
        <v>153</v>
      </c>
      <c r="RLE114" s="363"/>
      <c r="RLF114" s="363"/>
      <c r="RLG114" s="364" t="s">
        <v>140</v>
      </c>
      <c r="RLH114" s="365">
        <v>0.5</v>
      </c>
      <c r="RLI114" s="366" t="e">
        <f>10/RLE112</f>
        <v>#DIV/0!</v>
      </c>
      <c r="RLJ114" s="367">
        <v>15.38</v>
      </c>
      <c r="RLK114" s="367" t="e">
        <f>RLH114*RLI114*RLJ114</f>
        <v>#DIV/0!</v>
      </c>
      <c r="RLL114" s="363" t="s">
        <v>153</v>
      </c>
      <c r="RLM114" s="363"/>
      <c r="RLN114" s="363"/>
      <c r="RLO114" s="364" t="s">
        <v>140</v>
      </c>
      <c r="RLP114" s="365">
        <v>0.5</v>
      </c>
      <c r="RLQ114" s="366" t="e">
        <f>10/RLM112</f>
        <v>#DIV/0!</v>
      </c>
      <c r="RLR114" s="367">
        <v>15.38</v>
      </c>
      <c r="RLS114" s="367" t="e">
        <f>RLP114*RLQ114*RLR114</f>
        <v>#DIV/0!</v>
      </c>
      <c r="RLT114" s="363" t="s">
        <v>153</v>
      </c>
      <c r="RLU114" s="363"/>
      <c r="RLV114" s="363"/>
      <c r="RLW114" s="364" t="s">
        <v>140</v>
      </c>
      <c r="RLX114" s="365">
        <v>0.5</v>
      </c>
      <c r="RLY114" s="366" t="e">
        <f>10/RLU112</f>
        <v>#DIV/0!</v>
      </c>
      <c r="RLZ114" s="367">
        <v>15.38</v>
      </c>
      <c r="RMA114" s="367" t="e">
        <f>RLX114*RLY114*RLZ114</f>
        <v>#DIV/0!</v>
      </c>
      <c r="RMB114" s="363" t="s">
        <v>153</v>
      </c>
      <c r="RMC114" s="363"/>
      <c r="RMD114" s="363"/>
      <c r="RME114" s="364" t="s">
        <v>140</v>
      </c>
      <c r="RMF114" s="365">
        <v>0.5</v>
      </c>
      <c r="RMG114" s="366" t="e">
        <f>10/RMC112</f>
        <v>#DIV/0!</v>
      </c>
      <c r="RMH114" s="367">
        <v>15.38</v>
      </c>
      <c r="RMI114" s="367" t="e">
        <f>RMF114*RMG114*RMH114</f>
        <v>#DIV/0!</v>
      </c>
      <c r="RMJ114" s="363" t="s">
        <v>153</v>
      </c>
      <c r="RMK114" s="363"/>
      <c r="RML114" s="363"/>
      <c r="RMM114" s="364" t="s">
        <v>140</v>
      </c>
      <c r="RMN114" s="365">
        <v>0.5</v>
      </c>
      <c r="RMO114" s="366" t="e">
        <f>10/RMK112</f>
        <v>#DIV/0!</v>
      </c>
      <c r="RMP114" s="367">
        <v>15.38</v>
      </c>
      <c r="RMQ114" s="367" t="e">
        <f>RMN114*RMO114*RMP114</f>
        <v>#DIV/0!</v>
      </c>
      <c r="RMR114" s="363" t="s">
        <v>153</v>
      </c>
      <c r="RMS114" s="363"/>
      <c r="RMT114" s="363"/>
      <c r="RMU114" s="364" t="s">
        <v>140</v>
      </c>
      <c r="RMV114" s="365">
        <v>0.5</v>
      </c>
      <c r="RMW114" s="366" t="e">
        <f>10/RMS112</f>
        <v>#DIV/0!</v>
      </c>
      <c r="RMX114" s="367">
        <v>15.38</v>
      </c>
      <c r="RMY114" s="367" t="e">
        <f>RMV114*RMW114*RMX114</f>
        <v>#DIV/0!</v>
      </c>
      <c r="RMZ114" s="363" t="s">
        <v>153</v>
      </c>
      <c r="RNA114" s="363"/>
      <c r="RNB114" s="363"/>
      <c r="RNC114" s="364" t="s">
        <v>140</v>
      </c>
      <c r="RND114" s="365">
        <v>0.5</v>
      </c>
      <c r="RNE114" s="366" t="e">
        <f>10/RNA112</f>
        <v>#DIV/0!</v>
      </c>
      <c r="RNF114" s="367">
        <v>15.38</v>
      </c>
      <c r="RNG114" s="367" t="e">
        <f>RND114*RNE114*RNF114</f>
        <v>#DIV/0!</v>
      </c>
      <c r="RNH114" s="363" t="s">
        <v>153</v>
      </c>
      <c r="RNI114" s="363"/>
      <c r="RNJ114" s="363"/>
      <c r="RNK114" s="364" t="s">
        <v>140</v>
      </c>
      <c r="RNL114" s="365">
        <v>0.5</v>
      </c>
      <c r="RNM114" s="366" t="e">
        <f>10/RNI112</f>
        <v>#DIV/0!</v>
      </c>
      <c r="RNN114" s="367">
        <v>15.38</v>
      </c>
      <c r="RNO114" s="367" t="e">
        <f>RNL114*RNM114*RNN114</f>
        <v>#DIV/0!</v>
      </c>
      <c r="RNP114" s="363" t="s">
        <v>153</v>
      </c>
      <c r="RNQ114" s="363"/>
      <c r="RNR114" s="363"/>
      <c r="RNS114" s="364" t="s">
        <v>140</v>
      </c>
      <c r="RNT114" s="365">
        <v>0.5</v>
      </c>
      <c r="RNU114" s="366" t="e">
        <f>10/RNQ112</f>
        <v>#DIV/0!</v>
      </c>
      <c r="RNV114" s="367">
        <v>15.38</v>
      </c>
      <c r="RNW114" s="367" t="e">
        <f>RNT114*RNU114*RNV114</f>
        <v>#DIV/0!</v>
      </c>
      <c r="RNX114" s="363" t="s">
        <v>153</v>
      </c>
      <c r="RNY114" s="363"/>
      <c r="RNZ114" s="363"/>
      <c r="ROA114" s="364" t="s">
        <v>140</v>
      </c>
      <c r="ROB114" s="365">
        <v>0.5</v>
      </c>
      <c r="ROC114" s="366" t="e">
        <f>10/RNY112</f>
        <v>#DIV/0!</v>
      </c>
      <c r="ROD114" s="367">
        <v>15.38</v>
      </c>
      <c r="ROE114" s="367" t="e">
        <f>ROB114*ROC114*ROD114</f>
        <v>#DIV/0!</v>
      </c>
      <c r="ROF114" s="363" t="s">
        <v>153</v>
      </c>
      <c r="ROG114" s="363"/>
      <c r="ROH114" s="363"/>
      <c r="ROI114" s="364" t="s">
        <v>140</v>
      </c>
      <c r="ROJ114" s="365">
        <v>0.5</v>
      </c>
      <c r="ROK114" s="366" t="e">
        <f>10/ROG112</f>
        <v>#DIV/0!</v>
      </c>
      <c r="ROL114" s="367">
        <v>15.38</v>
      </c>
      <c r="ROM114" s="367" t="e">
        <f>ROJ114*ROK114*ROL114</f>
        <v>#DIV/0!</v>
      </c>
      <c r="RON114" s="363" t="s">
        <v>153</v>
      </c>
      <c r="ROO114" s="363"/>
      <c r="ROP114" s="363"/>
      <c r="ROQ114" s="364" t="s">
        <v>140</v>
      </c>
      <c r="ROR114" s="365">
        <v>0.5</v>
      </c>
      <c r="ROS114" s="366" t="e">
        <f>10/ROO112</f>
        <v>#DIV/0!</v>
      </c>
      <c r="ROT114" s="367">
        <v>15.38</v>
      </c>
      <c r="ROU114" s="367" t="e">
        <f>ROR114*ROS114*ROT114</f>
        <v>#DIV/0!</v>
      </c>
      <c r="ROV114" s="363" t="s">
        <v>153</v>
      </c>
      <c r="ROW114" s="363"/>
      <c r="ROX114" s="363"/>
      <c r="ROY114" s="364" t="s">
        <v>140</v>
      </c>
      <c r="ROZ114" s="365">
        <v>0.5</v>
      </c>
      <c r="RPA114" s="366" t="e">
        <f>10/ROW112</f>
        <v>#DIV/0!</v>
      </c>
      <c r="RPB114" s="367">
        <v>15.38</v>
      </c>
      <c r="RPC114" s="367" t="e">
        <f>ROZ114*RPA114*RPB114</f>
        <v>#DIV/0!</v>
      </c>
      <c r="RPD114" s="363" t="s">
        <v>153</v>
      </c>
      <c r="RPE114" s="363"/>
      <c r="RPF114" s="363"/>
      <c r="RPG114" s="364" t="s">
        <v>140</v>
      </c>
      <c r="RPH114" s="365">
        <v>0.5</v>
      </c>
      <c r="RPI114" s="366" t="e">
        <f>10/RPE112</f>
        <v>#DIV/0!</v>
      </c>
      <c r="RPJ114" s="367">
        <v>15.38</v>
      </c>
      <c r="RPK114" s="367" t="e">
        <f>RPH114*RPI114*RPJ114</f>
        <v>#DIV/0!</v>
      </c>
      <c r="RPL114" s="363" t="s">
        <v>153</v>
      </c>
      <c r="RPM114" s="363"/>
      <c r="RPN114" s="363"/>
      <c r="RPO114" s="364" t="s">
        <v>140</v>
      </c>
      <c r="RPP114" s="365">
        <v>0.5</v>
      </c>
      <c r="RPQ114" s="366" t="e">
        <f>10/RPM112</f>
        <v>#DIV/0!</v>
      </c>
      <c r="RPR114" s="367">
        <v>15.38</v>
      </c>
      <c r="RPS114" s="367" t="e">
        <f>RPP114*RPQ114*RPR114</f>
        <v>#DIV/0!</v>
      </c>
      <c r="RPT114" s="363" t="s">
        <v>153</v>
      </c>
      <c r="RPU114" s="363"/>
      <c r="RPV114" s="363"/>
      <c r="RPW114" s="364" t="s">
        <v>140</v>
      </c>
      <c r="RPX114" s="365">
        <v>0.5</v>
      </c>
      <c r="RPY114" s="366" t="e">
        <f>10/RPU112</f>
        <v>#DIV/0!</v>
      </c>
      <c r="RPZ114" s="367">
        <v>15.38</v>
      </c>
      <c r="RQA114" s="367" t="e">
        <f>RPX114*RPY114*RPZ114</f>
        <v>#DIV/0!</v>
      </c>
      <c r="RQB114" s="363" t="s">
        <v>153</v>
      </c>
      <c r="RQC114" s="363"/>
      <c r="RQD114" s="363"/>
      <c r="RQE114" s="364" t="s">
        <v>140</v>
      </c>
      <c r="RQF114" s="365">
        <v>0.5</v>
      </c>
      <c r="RQG114" s="366" t="e">
        <f>10/RQC112</f>
        <v>#DIV/0!</v>
      </c>
      <c r="RQH114" s="367">
        <v>15.38</v>
      </c>
      <c r="RQI114" s="367" t="e">
        <f>RQF114*RQG114*RQH114</f>
        <v>#DIV/0!</v>
      </c>
      <c r="RQJ114" s="363" t="s">
        <v>153</v>
      </c>
      <c r="RQK114" s="363"/>
      <c r="RQL114" s="363"/>
      <c r="RQM114" s="364" t="s">
        <v>140</v>
      </c>
      <c r="RQN114" s="365">
        <v>0.5</v>
      </c>
      <c r="RQO114" s="366" t="e">
        <f>10/RQK112</f>
        <v>#DIV/0!</v>
      </c>
      <c r="RQP114" s="367">
        <v>15.38</v>
      </c>
      <c r="RQQ114" s="367" t="e">
        <f>RQN114*RQO114*RQP114</f>
        <v>#DIV/0!</v>
      </c>
      <c r="RQR114" s="363" t="s">
        <v>153</v>
      </c>
      <c r="RQS114" s="363"/>
      <c r="RQT114" s="363"/>
      <c r="RQU114" s="364" t="s">
        <v>140</v>
      </c>
      <c r="RQV114" s="365">
        <v>0.5</v>
      </c>
      <c r="RQW114" s="366" t="e">
        <f>10/RQS112</f>
        <v>#DIV/0!</v>
      </c>
      <c r="RQX114" s="367">
        <v>15.38</v>
      </c>
      <c r="RQY114" s="367" t="e">
        <f>RQV114*RQW114*RQX114</f>
        <v>#DIV/0!</v>
      </c>
      <c r="RQZ114" s="363" t="s">
        <v>153</v>
      </c>
      <c r="RRA114" s="363"/>
      <c r="RRB114" s="363"/>
      <c r="RRC114" s="364" t="s">
        <v>140</v>
      </c>
      <c r="RRD114" s="365">
        <v>0.5</v>
      </c>
      <c r="RRE114" s="366" t="e">
        <f>10/RRA112</f>
        <v>#DIV/0!</v>
      </c>
      <c r="RRF114" s="367">
        <v>15.38</v>
      </c>
      <c r="RRG114" s="367" t="e">
        <f>RRD114*RRE114*RRF114</f>
        <v>#DIV/0!</v>
      </c>
      <c r="RRH114" s="363" t="s">
        <v>153</v>
      </c>
      <c r="RRI114" s="363"/>
      <c r="RRJ114" s="363"/>
      <c r="RRK114" s="364" t="s">
        <v>140</v>
      </c>
      <c r="RRL114" s="365">
        <v>0.5</v>
      </c>
      <c r="RRM114" s="366" t="e">
        <f>10/RRI112</f>
        <v>#DIV/0!</v>
      </c>
      <c r="RRN114" s="367">
        <v>15.38</v>
      </c>
      <c r="RRO114" s="367" t="e">
        <f>RRL114*RRM114*RRN114</f>
        <v>#DIV/0!</v>
      </c>
      <c r="RRP114" s="363" t="s">
        <v>153</v>
      </c>
      <c r="RRQ114" s="363"/>
      <c r="RRR114" s="363"/>
      <c r="RRS114" s="364" t="s">
        <v>140</v>
      </c>
      <c r="RRT114" s="365">
        <v>0.5</v>
      </c>
      <c r="RRU114" s="366" t="e">
        <f>10/RRQ112</f>
        <v>#DIV/0!</v>
      </c>
      <c r="RRV114" s="367">
        <v>15.38</v>
      </c>
      <c r="RRW114" s="367" t="e">
        <f>RRT114*RRU114*RRV114</f>
        <v>#DIV/0!</v>
      </c>
      <c r="RRX114" s="363" t="s">
        <v>153</v>
      </c>
      <c r="RRY114" s="363"/>
      <c r="RRZ114" s="363"/>
      <c r="RSA114" s="364" t="s">
        <v>140</v>
      </c>
      <c r="RSB114" s="365">
        <v>0.5</v>
      </c>
      <c r="RSC114" s="366" t="e">
        <f>10/RRY112</f>
        <v>#DIV/0!</v>
      </c>
      <c r="RSD114" s="367">
        <v>15.38</v>
      </c>
      <c r="RSE114" s="367" t="e">
        <f>RSB114*RSC114*RSD114</f>
        <v>#DIV/0!</v>
      </c>
      <c r="RSF114" s="363" t="s">
        <v>153</v>
      </c>
      <c r="RSG114" s="363"/>
      <c r="RSH114" s="363"/>
      <c r="RSI114" s="364" t="s">
        <v>140</v>
      </c>
      <c r="RSJ114" s="365">
        <v>0.5</v>
      </c>
      <c r="RSK114" s="366" t="e">
        <f>10/RSG112</f>
        <v>#DIV/0!</v>
      </c>
      <c r="RSL114" s="367">
        <v>15.38</v>
      </c>
      <c r="RSM114" s="367" t="e">
        <f>RSJ114*RSK114*RSL114</f>
        <v>#DIV/0!</v>
      </c>
      <c r="RSN114" s="363" t="s">
        <v>153</v>
      </c>
      <c r="RSO114" s="363"/>
      <c r="RSP114" s="363"/>
      <c r="RSQ114" s="364" t="s">
        <v>140</v>
      </c>
      <c r="RSR114" s="365">
        <v>0.5</v>
      </c>
      <c r="RSS114" s="366" t="e">
        <f>10/RSO112</f>
        <v>#DIV/0!</v>
      </c>
      <c r="RST114" s="367">
        <v>15.38</v>
      </c>
      <c r="RSU114" s="367" t="e">
        <f>RSR114*RSS114*RST114</f>
        <v>#DIV/0!</v>
      </c>
      <c r="RSV114" s="363" t="s">
        <v>153</v>
      </c>
      <c r="RSW114" s="363"/>
      <c r="RSX114" s="363"/>
      <c r="RSY114" s="364" t="s">
        <v>140</v>
      </c>
      <c r="RSZ114" s="365">
        <v>0.5</v>
      </c>
      <c r="RTA114" s="366" t="e">
        <f>10/RSW112</f>
        <v>#DIV/0!</v>
      </c>
      <c r="RTB114" s="367">
        <v>15.38</v>
      </c>
      <c r="RTC114" s="367" t="e">
        <f>RSZ114*RTA114*RTB114</f>
        <v>#DIV/0!</v>
      </c>
      <c r="RTD114" s="363" t="s">
        <v>153</v>
      </c>
      <c r="RTE114" s="363"/>
      <c r="RTF114" s="363"/>
      <c r="RTG114" s="364" t="s">
        <v>140</v>
      </c>
      <c r="RTH114" s="365">
        <v>0.5</v>
      </c>
      <c r="RTI114" s="366" t="e">
        <f>10/RTE112</f>
        <v>#DIV/0!</v>
      </c>
      <c r="RTJ114" s="367">
        <v>15.38</v>
      </c>
      <c r="RTK114" s="367" t="e">
        <f>RTH114*RTI114*RTJ114</f>
        <v>#DIV/0!</v>
      </c>
      <c r="RTL114" s="363" t="s">
        <v>153</v>
      </c>
      <c r="RTM114" s="363"/>
      <c r="RTN114" s="363"/>
      <c r="RTO114" s="364" t="s">
        <v>140</v>
      </c>
      <c r="RTP114" s="365">
        <v>0.5</v>
      </c>
      <c r="RTQ114" s="366" t="e">
        <f>10/RTM112</f>
        <v>#DIV/0!</v>
      </c>
      <c r="RTR114" s="367">
        <v>15.38</v>
      </c>
      <c r="RTS114" s="367" t="e">
        <f>RTP114*RTQ114*RTR114</f>
        <v>#DIV/0!</v>
      </c>
      <c r="RTT114" s="363" t="s">
        <v>153</v>
      </c>
      <c r="RTU114" s="363"/>
      <c r="RTV114" s="363"/>
      <c r="RTW114" s="364" t="s">
        <v>140</v>
      </c>
      <c r="RTX114" s="365">
        <v>0.5</v>
      </c>
      <c r="RTY114" s="366" t="e">
        <f>10/RTU112</f>
        <v>#DIV/0!</v>
      </c>
      <c r="RTZ114" s="367">
        <v>15.38</v>
      </c>
      <c r="RUA114" s="367" t="e">
        <f>RTX114*RTY114*RTZ114</f>
        <v>#DIV/0!</v>
      </c>
      <c r="RUB114" s="363" t="s">
        <v>153</v>
      </c>
      <c r="RUC114" s="363"/>
      <c r="RUD114" s="363"/>
      <c r="RUE114" s="364" t="s">
        <v>140</v>
      </c>
      <c r="RUF114" s="365">
        <v>0.5</v>
      </c>
      <c r="RUG114" s="366" t="e">
        <f>10/RUC112</f>
        <v>#DIV/0!</v>
      </c>
      <c r="RUH114" s="367">
        <v>15.38</v>
      </c>
      <c r="RUI114" s="367" t="e">
        <f>RUF114*RUG114*RUH114</f>
        <v>#DIV/0!</v>
      </c>
      <c r="RUJ114" s="363" t="s">
        <v>153</v>
      </c>
      <c r="RUK114" s="363"/>
      <c r="RUL114" s="363"/>
      <c r="RUM114" s="364" t="s">
        <v>140</v>
      </c>
      <c r="RUN114" s="365">
        <v>0.5</v>
      </c>
      <c r="RUO114" s="366" t="e">
        <f>10/RUK112</f>
        <v>#DIV/0!</v>
      </c>
      <c r="RUP114" s="367">
        <v>15.38</v>
      </c>
      <c r="RUQ114" s="367" t="e">
        <f>RUN114*RUO114*RUP114</f>
        <v>#DIV/0!</v>
      </c>
      <c r="RUR114" s="363" t="s">
        <v>153</v>
      </c>
      <c r="RUS114" s="363"/>
      <c r="RUT114" s="363"/>
      <c r="RUU114" s="364" t="s">
        <v>140</v>
      </c>
      <c r="RUV114" s="365">
        <v>0.5</v>
      </c>
      <c r="RUW114" s="366" t="e">
        <f>10/RUS112</f>
        <v>#DIV/0!</v>
      </c>
      <c r="RUX114" s="367">
        <v>15.38</v>
      </c>
      <c r="RUY114" s="367" t="e">
        <f>RUV114*RUW114*RUX114</f>
        <v>#DIV/0!</v>
      </c>
      <c r="RUZ114" s="363" t="s">
        <v>153</v>
      </c>
      <c r="RVA114" s="363"/>
      <c r="RVB114" s="363"/>
      <c r="RVC114" s="364" t="s">
        <v>140</v>
      </c>
      <c r="RVD114" s="365">
        <v>0.5</v>
      </c>
      <c r="RVE114" s="366" t="e">
        <f>10/RVA112</f>
        <v>#DIV/0!</v>
      </c>
      <c r="RVF114" s="367">
        <v>15.38</v>
      </c>
      <c r="RVG114" s="367" t="e">
        <f>RVD114*RVE114*RVF114</f>
        <v>#DIV/0!</v>
      </c>
      <c r="RVH114" s="363" t="s">
        <v>153</v>
      </c>
      <c r="RVI114" s="363"/>
      <c r="RVJ114" s="363"/>
      <c r="RVK114" s="364" t="s">
        <v>140</v>
      </c>
      <c r="RVL114" s="365">
        <v>0.5</v>
      </c>
      <c r="RVM114" s="366" t="e">
        <f>10/RVI112</f>
        <v>#DIV/0!</v>
      </c>
      <c r="RVN114" s="367">
        <v>15.38</v>
      </c>
      <c r="RVO114" s="367" t="e">
        <f>RVL114*RVM114*RVN114</f>
        <v>#DIV/0!</v>
      </c>
      <c r="RVP114" s="363" t="s">
        <v>153</v>
      </c>
      <c r="RVQ114" s="363"/>
      <c r="RVR114" s="363"/>
      <c r="RVS114" s="364" t="s">
        <v>140</v>
      </c>
      <c r="RVT114" s="365">
        <v>0.5</v>
      </c>
      <c r="RVU114" s="366" t="e">
        <f>10/RVQ112</f>
        <v>#DIV/0!</v>
      </c>
      <c r="RVV114" s="367">
        <v>15.38</v>
      </c>
      <c r="RVW114" s="367" t="e">
        <f>RVT114*RVU114*RVV114</f>
        <v>#DIV/0!</v>
      </c>
      <c r="RVX114" s="363" t="s">
        <v>153</v>
      </c>
      <c r="RVY114" s="363"/>
      <c r="RVZ114" s="363"/>
      <c r="RWA114" s="364" t="s">
        <v>140</v>
      </c>
      <c r="RWB114" s="365">
        <v>0.5</v>
      </c>
      <c r="RWC114" s="366" t="e">
        <f>10/RVY112</f>
        <v>#DIV/0!</v>
      </c>
      <c r="RWD114" s="367">
        <v>15.38</v>
      </c>
      <c r="RWE114" s="367" t="e">
        <f>RWB114*RWC114*RWD114</f>
        <v>#DIV/0!</v>
      </c>
      <c r="RWF114" s="363" t="s">
        <v>153</v>
      </c>
      <c r="RWG114" s="363"/>
      <c r="RWH114" s="363"/>
      <c r="RWI114" s="364" t="s">
        <v>140</v>
      </c>
      <c r="RWJ114" s="365">
        <v>0.5</v>
      </c>
      <c r="RWK114" s="366" t="e">
        <f>10/RWG112</f>
        <v>#DIV/0!</v>
      </c>
      <c r="RWL114" s="367">
        <v>15.38</v>
      </c>
      <c r="RWM114" s="367" t="e">
        <f>RWJ114*RWK114*RWL114</f>
        <v>#DIV/0!</v>
      </c>
      <c r="RWN114" s="363" t="s">
        <v>153</v>
      </c>
      <c r="RWO114" s="363"/>
      <c r="RWP114" s="363"/>
      <c r="RWQ114" s="364" t="s">
        <v>140</v>
      </c>
      <c r="RWR114" s="365">
        <v>0.5</v>
      </c>
      <c r="RWS114" s="366" t="e">
        <f>10/RWO112</f>
        <v>#DIV/0!</v>
      </c>
      <c r="RWT114" s="367">
        <v>15.38</v>
      </c>
      <c r="RWU114" s="367" t="e">
        <f>RWR114*RWS114*RWT114</f>
        <v>#DIV/0!</v>
      </c>
      <c r="RWV114" s="363" t="s">
        <v>153</v>
      </c>
      <c r="RWW114" s="363"/>
      <c r="RWX114" s="363"/>
      <c r="RWY114" s="364" t="s">
        <v>140</v>
      </c>
      <c r="RWZ114" s="365">
        <v>0.5</v>
      </c>
      <c r="RXA114" s="366" t="e">
        <f>10/RWW112</f>
        <v>#DIV/0!</v>
      </c>
      <c r="RXB114" s="367">
        <v>15.38</v>
      </c>
      <c r="RXC114" s="367" t="e">
        <f>RWZ114*RXA114*RXB114</f>
        <v>#DIV/0!</v>
      </c>
      <c r="RXD114" s="363" t="s">
        <v>153</v>
      </c>
      <c r="RXE114" s="363"/>
      <c r="RXF114" s="363"/>
      <c r="RXG114" s="364" t="s">
        <v>140</v>
      </c>
      <c r="RXH114" s="365">
        <v>0.5</v>
      </c>
      <c r="RXI114" s="366" t="e">
        <f>10/RXE112</f>
        <v>#DIV/0!</v>
      </c>
      <c r="RXJ114" s="367">
        <v>15.38</v>
      </c>
      <c r="RXK114" s="367" t="e">
        <f>RXH114*RXI114*RXJ114</f>
        <v>#DIV/0!</v>
      </c>
      <c r="RXL114" s="363" t="s">
        <v>153</v>
      </c>
      <c r="RXM114" s="363"/>
      <c r="RXN114" s="363"/>
      <c r="RXO114" s="364" t="s">
        <v>140</v>
      </c>
      <c r="RXP114" s="365">
        <v>0.5</v>
      </c>
      <c r="RXQ114" s="366" t="e">
        <f>10/RXM112</f>
        <v>#DIV/0!</v>
      </c>
      <c r="RXR114" s="367">
        <v>15.38</v>
      </c>
      <c r="RXS114" s="367" t="e">
        <f>RXP114*RXQ114*RXR114</f>
        <v>#DIV/0!</v>
      </c>
      <c r="RXT114" s="363" t="s">
        <v>153</v>
      </c>
      <c r="RXU114" s="363"/>
      <c r="RXV114" s="363"/>
      <c r="RXW114" s="364" t="s">
        <v>140</v>
      </c>
      <c r="RXX114" s="365">
        <v>0.5</v>
      </c>
      <c r="RXY114" s="366" t="e">
        <f>10/RXU112</f>
        <v>#DIV/0!</v>
      </c>
      <c r="RXZ114" s="367">
        <v>15.38</v>
      </c>
      <c r="RYA114" s="367" t="e">
        <f>RXX114*RXY114*RXZ114</f>
        <v>#DIV/0!</v>
      </c>
      <c r="RYB114" s="363" t="s">
        <v>153</v>
      </c>
      <c r="RYC114" s="363"/>
      <c r="RYD114" s="363"/>
      <c r="RYE114" s="364" t="s">
        <v>140</v>
      </c>
      <c r="RYF114" s="365">
        <v>0.5</v>
      </c>
      <c r="RYG114" s="366" t="e">
        <f>10/RYC112</f>
        <v>#DIV/0!</v>
      </c>
      <c r="RYH114" s="367">
        <v>15.38</v>
      </c>
      <c r="RYI114" s="367" t="e">
        <f>RYF114*RYG114*RYH114</f>
        <v>#DIV/0!</v>
      </c>
      <c r="RYJ114" s="363" t="s">
        <v>153</v>
      </c>
      <c r="RYK114" s="363"/>
      <c r="RYL114" s="363"/>
      <c r="RYM114" s="364" t="s">
        <v>140</v>
      </c>
      <c r="RYN114" s="365">
        <v>0.5</v>
      </c>
      <c r="RYO114" s="366" t="e">
        <f>10/RYK112</f>
        <v>#DIV/0!</v>
      </c>
      <c r="RYP114" s="367">
        <v>15.38</v>
      </c>
      <c r="RYQ114" s="367" t="e">
        <f>RYN114*RYO114*RYP114</f>
        <v>#DIV/0!</v>
      </c>
      <c r="RYR114" s="363" t="s">
        <v>153</v>
      </c>
      <c r="RYS114" s="363"/>
      <c r="RYT114" s="363"/>
      <c r="RYU114" s="364" t="s">
        <v>140</v>
      </c>
      <c r="RYV114" s="365">
        <v>0.5</v>
      </c>
      <c r="RYW114" s="366" t="e">
        <f>10/RYS112</f>
        <v>#DIV/0!</v>
      </c>
      <c r="RYX114" s="367">
        <v>15.38</v>
      </c>
      <c r="RYY114" s="367" t="e">
        <f>RYV114*RYW114*RYX114</f>
        <v>#DIV/0!</v>
      </c>
      <c r="RYZ114" s="363" t="s">
        <v>153</v>
      </c>
      <c r="RZA114" s="363"/>
      <c r="RZB114" s="363"/>
      <c r="RZC114" s="364" t="s">
        <v>140</v>
      </c>
      <c r="RZD114" s="365">
        <v>0.5</v>
      </c>
      <c r="RZE114" s="366" t="e">
        <f>10/RZA112</f>
        <v>#DIV/0!</v>
      </c>
      <c r="RZF114" s="367">
        <v>15.38</v>
      </c>
      <c r="RZG114" s="367" t="e">
        <f>RZD114*RZE114*RZF114</f>
        <v>#DIV/0!</v>
      </c>
      <c r="RZH114" s="363" t="s">
        <v>153</v>
      </c>
      <c r="RZI114" s="363"/>
      <c r="RZJ114" s="363"/>
      <c r="RZK114" s="364" t="s">
        <v>140</v>
      </c>
      <c r="RZL114" s="365">
        <v>0.5</v>
      </c>
      <c r="RZM114" s="366" t="e">
        <f>10/RZI112</f>
        <v>#DIV/0!</v>
      </c>
      <c r="RZN114" s="367">
        <v>15.38</v>
      </c>
      <c r="RZO114" s="367" t="e">
        <f>RZL114*RZM114*RZN114</f>
        <v>#DIV/0!</v>
      </c>
      <c r="RZP114" s="363" t="s">
        <v>153</v>
      </c>
      <c r="RZQ114" s="363"/>
      <c r="RZR114" s="363"/>
      <c r="RZS114" s="364" t="s">
        <v>140</v>
      </c>
      <c r="RZT114" s="365">
        <v>0.5</v>
      </c>
      <c r="RZU114" s="366" t="e">
        <f>10/RZQ112</f>
        <v>#DIV/0!</v>
      </c>
      <c r="RZV114" s="367">
        <v>15.38</v>
      </c>
      <c r="RZW114" s="367" t="e">
        <f>RZT114*RZU114*RZV114</f>
        <v>#DIV/0!</v>
      </c>
      <c r="RZX114" s="363" t="s">
        <v>153</v>
      </c>
      <c r="RZY114" s="363"/>
      <c r="RZZ114" s="363"/>
      <c r="SAA114" s="364" t="s">
        <v>140</v>
      </c>
      <c r="SAB114" s="365">
        <v>0.5</v>
      </c>
      <c r="SAC114" s="366" t="e">
        <f>10/RZY112</f>
        <v>#DIV/0!</v>
      </c>
      <c r="SAD114" s="367">
        <v>15.38</v>
      </c>
      <c r="SAE114" s="367" t="e">
        <f>SAB114*SAC114*SAD114</f>
        <v>#DIV/0!</v>
      </c>
      <c r="SAF114" s="363" t="s">
        <v>153</v>
      </c>
      <c r="SAG114" s="363"/>
      <c r="SAH114" s="363"/>
      <c r="SAI114" s="364" t="s">
        <v>140</v>
      </c>
      <c r="SAJ114" s="365">
        <v>0.5</v>
      </c>
      <c r="SAK114" s="366" t="e">
        <f>10/SAG112</f>
        <v>#DIV/0!</v>
      </c>
      <c r="SAL114" s="367">
        <v>15.38</v>
      </c>
      <c r="SAM114" s="367" t="e">
        <f>SAJ114*SAK114*SAL114</f>
        <v>#DIV/0!</v>
      </c>
      <c r="SAN114" s="363" t="s">
        <v>153</v>
      </c>
      <c r="SAO114" s="363"/>
      <c r="SAP114" s="363"/>
      <c r="SAQ114" s="364" t="s">
        <v>140</v>
      </c>
      <c r="SAR114" s="365">
        <v>0.5</v>
      </c>
      <c r="SAS114" s="366" t="e">
        <f>10/SAO112</f>
        <v>#DIV/0!</v>
      </c>
      <c r="SAT114" s="367">
        <v>15.38</v>
      </c>
      <c r="SAU114" s="367" t="e">
        <f>SAR114*SAS114*SAT114</f>
        <v>#DIV/0!</v>
      </c>
      <c r="SAV114" s="363" t="s">
        <v>153</v>
      </c>
      <c r="SAW114" s="363"/>
      <c r="SAX114" s="363"/>
      <c r="SAY114" s="364" t="s">
        <v>140</v>
      </c>
      <c r="SAZ114" s="365">
        <v>0.5</v>
      </c>
      <c r="SBA114" s="366" t="e">
        <f>10/SAW112</f>
        <v>#DIV/0!</v>
      </c>
      <c r="SBB114" s="367">
        <v>15.38</v>
      </c>
      <c r="SBC114" s="367" t="e">
        <f>SAZ114*SBA114*SBB114</f>
        <v>#DIV/0!</v>
      </c>
      <c r="SBD114" s="363" t="s">
        <v>153</v>
      </c>
      <c r="SBE114" s="363"/>
      <c r="SBF114" s="363"/>
      <c r="SBG114" s="364" t="s">
        <v>140</v>
      </c>
      <c r="SBH114" s="365">
        <v>0.5</v>
      </c>
      <c r="SBI114" s="366" t="e">
        <f>10/SBE112</f>
        <v>#DIV/0!</v>
      </c>
      <c r="SBJ114" s="367">
        <v>15.38</v>
      </c>
      <c r="SBK114" s="367" t="e">
        <f>SBH114*SBI114*SBJ114</f>
        <v>#DIV/0!</v>
      </c>
      <c r="SBL114" s="363" t="s">
        <v>153</v>
      </c>
      <c r="SBM114" s="363"/>
      <c r="SBN114" s="363"/>
      <c r="SBO114" s="364" t="s">
        <v>140</v>
      </c>
      <c r="SBP114" s="365">
        <v>0.5</v>
      </c>
      <c r="SBQ114" s="366" t="e">
        <f>10/SBM112</f>
        <v>#DIV/0!</v>
      </c>
      <c r="SBR114" s="367">
        <v>15.38</v>
      </c>
      <c r="SBS114" s="367" t="e">
        <f>SBP114*SBQ114*SBR114</f>
        <v>#DIV/0!</v>
      </c>
      <c r="SBT114" s="363" t="s">
        <v>153</v>
      </c>
      <c r="SBU114" s="363"/>
      <c r="SBV114" s="363"/>
      <c r="SBW114" s="364" t="s">
        <v>140</v>
      </c>
      <c r="SBX114" s="365">
        <v>0.5</v>
      </c>
      <c r="SBY114" s="366" t="e">
        <f>10/SBU112</f>
        <v>#DIV/0!</v>
      </c>
      <c r="SBZ114" s="367">
        <v>15.38</v>
      </c>
      <c r="SCA114" s="367" t="e">
        <f>SBX114*SBY114*SBZ114</f>
        <v>#DIV/0!</v>
      </c>
      <c r="SCB114" s="363" t="s">
        <v>153</v>
      </c>
      <c r="SCC114" s="363"/>
      <c r="SCD114" s="363"/>
      <c r="SCE114" s="364" t="s">
        <v>140</v>
      </c>
      <c r="SCF114" s="365">
        <v>0.5</v>
      </c>
      <c r="SCG114" s="366" t="e">
        <f>10/SCC112</f>
        <v>#DIV/0!</v>
      </c>
      <c r="SCH114" s="367">
        <v>15.38</v>
      </c>
      <c r="SCI114" s="367" t="e">
        <f>SCF114*SCG114*SCH114</f>
        <v>#DIV/0!</v>
      </c>
      <c r="SCJ114" s="363" t="s">
        <v>153</v>
      </c>
      <c r="SCK114" s="363"/>
      <c r="SCL114" s="363"/>
      <c r="SCM114" s="364" t="s">
        <v>140</v>
      </c>
      <c r="SCN114" s="365">
        <v>0.5</v>
      </c>
      <c r="SCO114" s="366" t="e">
        <f>10/SCK112</f>
        <v>#DIV/0!</v>
      </c>
      <c r="SCP114" s="367">
        <v>15.38</v>
      </c>
      <c r="SCQ114" s="367" t="e">
        <f>SCN114*SCO114*SCP114</f>
        <v>#DIV/0!</v>
      </c>
      <c r="SCR114" s="363" t="s">
        <v>153</v>
      </c>
      <c r="SCS114" s="363"/>
      <c r="SCT114" s="363"/>
      <c r="SCU114" s="364" t="s">
        <v>140</v>
      </c>
      <c r="SCV114" s="365">
        <v>0.5</v>
      </c>
      <c r="SCW114" s="366" t="e">
        <f>10/SCS112</f>
        <v>#DIV/0!</v>
      </c>
      <c r="SCX114" s="367">
        <v>15.38</v>
      </c>
      <c r="SCY114" s="367" t="e">
        <f>SCV114*SCW114*SCX114</f>
        <v>#DIV/0!</v>
      </c>
      <c r="SCZ114" s="363" t="s">
        <v>153</v>
      </c>
      <c r="SDA114" s="363"/>
      <c r="SDB114" s="363"/>
      <c r="SDC114" s="364" t="s">
        <v>140</v>
      </c>
      <c r="SDD114" s="365">
        <v>0.5</v>
      </c>
      <c r="SDE114" s="366" t="e">
        <f>10/SDA112</f>
        <v>#DIV/0!</v>
      </c>
      <c r="SDF114" s="367">
        <v>15.38</v>
      </c>
      <c r="SDG114" s="367" t="e">
        <f>SDD114*SDE114*SDF114</f>
        <v>#DIV/0!</v>
      </c>
      <c r="SDH114" s="363" t="s">
        <v>153</v>
      </c>
      <c r="SDI114" s="363"/>
      <c r="SDJ114" s="363"/>
      <c r="SDK114" s="364" t="s">
        <v>140</v>
      </c>
      <c r="SDL114" s="365">
        <v>0.5</v>
      </c>
      <c r="SDM114" s="366" t="e">
        <f>10/SDI112</f>
        <v>#DIV/0!</v>
      </c>
      <c r="SDN114" s="367">
        <v>15.38</v>
      </c>
      <c r="SDO114" s="367" t="e">
        <f>SDL114*SDM114*SDN114</f>
        <v>#DIV/0!</v>
      </c>
      <c r="SDP114" s="363" t="s">
        <v>153</v>
      </c>
      <c r="SDQ114" s="363"/>
      <c r="SDR114" s="363"/>
      <c r="SDS114" s="364" t="s">
        <v>140</v>
      </c>
      <c r="SDT114" s="365">
        <v>0.5</v>
      </c>
      <c r="SDU114" s="366" t="e">
        <f>10/SDQ112</f>
        <v>#DIV/0!</v>
      </c>
      <c r="SDV114" s="367">
        <v>15.38</v>
      </c>
      <c r="SDW114" s="367" t="e">
        <f>SDT114*SDU114*SDV114</f>
        <v>#DIV/0!</v>
      </c>
      <c r="SDX114" s="363" t="s">
        <v>153</v>
      </c>
      <c r="SDY114" s="363"/>
      <c r="SDZ114" s="363"/>
      <c r="SEA114" s="364" t="s">
        <v>140</v>
      </c>
      <c r="SEB114" s="365">
        <v>0.5</v>
      </c>
      <c r="SEC114" s="366" t="e">
        <f>10/SDY112</f>
        <v>#DIV/0!</v>
      </c>
      <c r="SED114" s="367">
        <v>15.38</v>
      </c>
      <c r="SEE114" s="367" t="e">
        <f>SEB114*SEC114*SED114</f>
        <v>#DIV/0!</v>
      </c>
      <c r="SEF114" s="363" t="s">
        <v>153</v>
      </c>
      <c r="SEG114" s="363"/>
      <c r="SEH114" s="363"/>
      <c r="SEI114" s="364" t="s">
        <v>140</v>
      </c>
      <c r="SEJ114" s="365">
        <v>0.5</v>
      </c>
      <c r="SEK114" s="366" t="e">
        <f>10/SEG112</f>
        <v>#DIV/0!</v>
      </c>
      <c r="SEL114" s="367">
        <v>15.38</v>
      </c>
      <c r="SEM114" s="367" t="e">
        <f>SEJ114*SEK114*SEL114</f>
        <v>#DIV/0!</v>
      </c>
      <c r="SEN114" s="363" t="s">
        <v>153</v>
      </c>
      <c r="SEO114" s="363"/>
      <c r="SEP114" s="363"/>
      <c r="SEQ114" s="364" t="s">
        <v>140</v>
      </c>
      <c r="SER114" s="365">
        <v>0.5</v>
      </c>
      <c r="SES114" s="366" t="e">
        <f>10/SEO112</f>
        <v>#DIV/0!</v>
      </c>
      <c r="SET114" s="367">
        <v>15.38</v>
      </c>
      <c r="SEU114" s="367" t="e">
        <f>SER114*SES114*SET114</f>
        <v>#DIV/0!</v>
      </c>
      <c r="SEV114" s="363" t="s">
        <v>153</v>
      </c>
      <c r="SEW114" s="363"/>
      <c r="SEX114" s="363"/>
      <c r="SEY114" s="364" t="s">
        <v>140</v>
      </c>
      <c r="SEZ114" s="365">
        <v>0.5</v>
      </c>
      <c r="SFA114" s="366" t="e">
        <f>10/SEW112</f>
        <v>#DIV/0!</v>
      </c>
      <c r="SFB114" s="367">
        <v>15.38</v>
      </c>
      <c r="SFC114" s="367" t="e">
        <f>SEZ114*SFA114*SFB114</f>
        <v>#DIV/0!</v>
      </c>
      <c r="SFD114" s="363" t="s">
        <v>153</v>
      </c>
      <c r="SFE114" s="363"/>
      <c r="SFF114" s="363"/>
      <c r="SFG114" s="364" t="s">
        <v>140</v>
      </c>
      <c r="SFH114" s="365">
        <v>0.5</v>
      </c>
      <c r="SFI114" s="366" t="e">
        <f>10/SFE112</f>
        <v>#DIV/0!</v>
      </c>
      <c r="SFJ114" s="367">
        <v>15.38</v>
      </c>
      <c r="SFK114" s="367" t="e">
        <f>SFH114*SFI114*SFJ114</f>
        <v>#DIV/0!</v>
      </c>
      <c r="SFL114" s="363" t="s">
        <v>153</v>
      </c>
      <c r="SFM114" s="363"/>
      <c r="SFN114" s="363"/>
      <c r="SFO114" s="364" t="s">
        <v>140</v>
      </c>
      <c r="SFP114" s="365">
        <v>0.5</v>
      </c>
      <c r="SFQ114" s="366" t="e">
        <f>10/SFM112</f>
        <v>#DIV/0!</v>
      </c>
      <c r="SFR114" s="367">
        <v>15.38</v>
      </c>
      <c r="SFS114" s="367" t="e">
        <f>SFP114*SFQ114*SFR114</f>
        <v>#DIV/0!</v>
      </c>
      <c r="SFT114" s="363" t="s">
        <v>153</v>
      </c>
      <c r="SFU114" s="363"/>
      <c r="SFV114" s="363"/>
      <c r="SFW114" s="364" t="s">
        <v>140</v>
      </c>
      <c r="SFX114" s="365">
        <v>0.5</v>
      </c>
      <c r="SFY114" s="366" t="e">
        <f>10/SFU112</f>
        <v>#DIV/0!</v>
      </c>
      <c r="SFZ114" s="367">
        <v>15.38</v>
      </c>
      <c r="SGA114" s="367" t="e">
        <f>SFX114*SFY114*SFZ114</f>
        <v>#DIV/0!</v>
      </c>
      <c r="SGB114" s="363" t="s">
        <v>153</v>
      </c>
      <c r="SGC114" s="363"/>
      <c r="SGD114" s="363"/>
      <c r="SGE114" s="364" t="s">
        <v>140</v>
      </c>
      <c r="SGF114" s="365">
        <v>0.5</v>
      </c>
      <c r="SGG114" s="366" t="e">
        <f>10/SGC112</f>
        <v>#DIV/0!</v>
      </c>
      <c r="SGH114" s="367">
        <v>15.38</v>
      </c>
      <c r="SGI114" s="367" t="e">
        <f>SGF114*SGG114*SGH114</f>
        <v>#DIV/0!</v>
      </c>
      <c r="SGJ114" s="363" t="s">
        <v>153</v>
      </c>
      <c r="SGK114" s="363"/>
      <c r="SGL114" s="363"/>
      <c r="SGM114" s="364" t="s">
        <v>140</v>
      </c>
      <c r="SGN114" s="365">
        <v>0.5</v>
      </c>
      <c r="SGO114" s="366" t="e">
        <f>10/SGK112</f>
        <v>#DIV/0!</v>
      </c>
      <c r="SGP114" s="367">
        <v>15.38</v>
      </c>
      <c r="SGQ114" s="367" t="e">
        <f>SGN114*SGO114*SGP114</f>
        <v>#DIV/0!</v>
      </c>
      <c r="SGR114" s="363" t="s">
        <v>153</v>
      </c>
      <c r="SGS114" s="363"/>
      <c r="SGT114" s="363"/>
      <c r="SGU114" s="364" t="s">
        <v>140</v>
      </c>
      <c r="SGV114" s="365">
        <v>0.5</v>
      </c>
      <c r="SGW114" s="366" t="e">
        <f>10/SGS112</f>
        <v>#DIV/0!</v>
      </c>
      <c r="SGX114" s="367">
        <v>15.38</v>
      </c>
      <c r="SGY114" s="367" t="e">
        <f>SGV114*SGW114*SGX114</f>
        <v>#DIV/0!</v>
      </c>
      <c r="SGZ114" s="363" t="s">
        <v>153</v>
      </c>
      <c r="SHA114" s="363"/>
      <c r="SHB114" s="363"/>
      <c r="SHC114" s="364" t="s">
        <v>140</v>
      </c>
      <c r="SHD114" s="365">
        <v>0.5</v>
      </c>
      <c r="SHE114" s="366" t="e">
        <f>10/SHA112</f>
        <v>#DIV/0!</v>
      </c>
      <c r="SHF114" s="367">
        <v>15.38</v>
      </c>
      <c r="SHG114" s="367" t="e">
        <f>SHD114*SHE114*SHF114</f>
        <v>#DIV/0!</v>
      </c>
      <c r="SHH114" s="363" t="s">
        <v>153</v>
      </c>
      <c r="SHI114" s="363"/>
      <c r="SHJ114" s="363"/>
      <c r="SHK114" s="364" t="s">
        <v>140</v>
      </c>
      <c r="SHL114" s="365">
        <v>0.5</v>
      </c>
      <c r="SHM114" s="366" t="e">
        <f>10/SHI112</f>
        <v>#DIV/0!</v>
      </c>
      <c r="SHN114" s="367">
        <v>15.38</v>
      </c>
      <c r="SHO114" s="367" t="e">
        <f>SHL114*SHM114*SHN114</f>
        <v>#DIV/0!</v>
      </c>
      <c r="SHP114" s="363" t="s">
        <v>153</v>
      </c>
      <c r="SHQ114" s="363"/>
      <c r="SHR114" s="363"/>
      <c r="SHS114" s="364" t="s">
        <v>140</v>
      </c>
      <c r="SHT114" s="365">
        <v>0.5</v>
      </c>
      <c r="SHU114" s="366" t="e">
        <f>10/SHQ112</f>
        <v>#DIV/0!</v>
      </c>
      <c r="SHV114" s="367">
        <v>15.38</v>
      </c>
      <c r="SHW114" s="367" t="e">
        <f>SHT114*SHU114*SHV114</f>
        <v>#DIV/0!</v>
      </c>
      <c r="SHX114" s="363" t="s">
        <v>153</v>
      </c>
      <c r="SHY114" s="363"/>
      <c r="SHZ114" s="363"/>
      <c r="SIA114" s="364" t="s">
        <v>140</v>
      </c>
      <c r="SIB114" s="365">
        <v>0.5</v>
      </c>
      <c r="SIC114" s="366" t="e">
        <f>10/SHY112</f>
        <v>#DIV/0!</v>
      </c>
      <c r="SID114" s="367">
        <v>15.38</v>
      </c>
      <c r="SIE114" s="367" t="e">
        <f>SIB114*SIC114*SID114</f>
        <v>#DIV/0!</v>
      </c>
      <c r="SIF114" s="363" t="s">
        <v>153</v>
      </c>
      <c r="SIG114" s="363"/>
      <c r="SIH114" s="363"/>
      <c r="SII114" s="364" t="s">
        <v>140</v>
      </c>
      <c r="SIJ114" s="365">
        <v>0.5</v>
      </c>
      <c r="SIK114" s="366" t="e">
        <f>10/SIG112</f>
        <v>#DIV/0!</v>
      </c>
      <c r="SIL114" s="367">
        <v>15.38</v>
      </c>
      <c r="SIM114" s="367" t="e">
        <f>SIJ114*SIK114*SIL114</f>
        <v>#DIV/0!</v>
      </c>
      <c r="SIN114" s="363" t="s">
        <v>153</v>
      </c>
      <c r="SIO114" s="363"/>
      <c r="SIP114" s="363"/>
      <c r="SIQ114" s="364" t="s">
        <v>140</v>
      </c>
      <c r="SIR114" s="365">
        <v>0.5</v>
      </c>
      <c r="SIS114" s="366" t="e">
        <f>10/SIO112</f>
        <v>#DIV/0!</v>
      </c>
      <c r="SIT114" s="367">
        <v>15.38</v>
      </c>
      <c r="SIU114" s="367" t="e">
        <f>SIR114*SIS114*SIT114</f>
        <v>#DIV/0!</v>
      </c>
      <c r="SIV114" s="363" t="s">
        <v>153</v>
      </c>
      <c r="SIW114" s="363"/>
      <c r="SIX114" s="363"/>
      <c r="SIY114" s="364" t="s">
        <v>140</v>
      </c>
      <c r="SIZ114" s="365">
        <v>0.5</v>
      </c>
      <c r="SJA114" s="366" t="e">
        <f>10/SIW112</f>
        <v>#DIV/0!</v>
      </c>
      <c r="SJB114" s="367">
        <v>15.38</v>
      </c>
      <c r="SJC114" s="367" t="e">
        <f>SIZ114*SJA114*SJB114</f>
        <v>#DIV/0!</v>
      </c>
      <c r="SJD114" s="363" t="s">
        <v>153</v>
      </c>
      <c r="SJE114" s="363"/>
      <c r="SJF114" s="363"/>
      <c r="SJG114" s="364" t="s">
        <v>140</v>
      </c>
      <c r="SJH114" s="365">
        <v>0.5</v>
      </c>
      <c r="SJI114" s="366" t="e">
        <f>10/SJE112</f>
        <v>#DIV/0!</v>
      </c>
      <c r="SJJ114" s="367">
        <v>15.38</v>
      </c>
      <c r="SJK114" s="367" t="e">
        <f>SJH114*SJI114*SJJ114</f>
        <v>#DIV/0!</v>
      </c>
      <c r="SJL114" s="363" t="s">
        <v>153</v>
      </c>
      <c r="SJM114" s="363"/>
      <c r="SJN114" s="363"/>
      <c r="SJO114" s="364" t="s">
        <v>140</v>
      </c>
      <c r="SJP114" s="365">
        <v>0.5</v>
      </c>
      <c r="SJQ114" s="366" t="e">
        <f>10/SJM112</f>
        <v>#DIV/0!</v>
      </c>
      <c r="SJR114" s="367">
        <v>15.38</v>
      </c>
      <c r="SJS114" s="367" t="e">
        <f>SJP114*SJQ114*SJR114</f>
        <v>#DIV/0!</v>
      </c>
      <c r="SJT114" s="363" t="s">
        <v>153</v>
      </c>
      <c r="SJU114" s="363"/>
      <c r="SJV114" s="363"/>
      <c r="SJW114" s="364" t="s">
        <v>140</v>
      </c>
      <c r="SJX114" s="365">
        <v>0.5</v>
      </c>
      <c r="SJY114" s="366" t="e">
        <f>10/SJU112</f>
        <v>#DIV/0!</v>
      </c>
      <c r="SJZ114" s="367">
        <v>15.38</v>
      </c>
      <c r="SKA114" s="367" t="e">
        <f>SJX114*SJY114*SJZ114</f>
        <v>#DIV/0!</v>
      </c>
      <c r="SKB114" s="363" t="s">
        <v>153</v>
      </c>
      <c r="SKC114" s="363"/>
      <c r="SKD114" s="363"/>
      <c r="SKE114" s="364" t="s">
        <v>140</v>
      </c>
      <c r="SKF114" s="365">
        <v>0.5</v>
      </c>
      <c r="SKG114" s="366" t="e">
        <f>10/SKC112</f>
        <v>#DIV/0!</v>
      </c>
      <c r="SKH114" s="367">
        <v>15.38</v>
      </c>
      <c r="SKI114" s="367" t="e">
        <f>SKF114*SKG114*SKH114</f>
        <v>#DIV/0!</v>
      </c>
      <c r="SKJ114" s="363" t="s">
        <v>153</v>
      </c>
      <c r="SKK114" s="363"/>
      <c r="SKL114" s="363"/>
      <c r="SKM114" s="364" t="s">
        <v>140</v>
      </c>
      <c r="SKN114" s="365">
        <v>0.5</v>
      </c>
      <c r="SKO114" s="366" t="e">
        <f>10/SKK112</f>
        <v>#DIV/0!</v>
      </c>
      <c r="SKP114" s="367">
        <v>15.38</v>
      </c>
      <c r="SKQ114" s="367" t="e">
        <f>SKN114*SKO114*SKP114</f>
        <v>#DIV/0!</v>
      </c>
      <c r="SKR114" s="363" t="s">
        <v>153</v>
      </c>
      <c r="SKS114" s="363"/>
      <c r="SKT114" s="363"/>
      <c r="SKU114" s="364" t="s">
        <v>140</v>
      </c>
      <c r="SKV114" s="365">
        <v>0.5</v>
      </c>
      <c r="SKW114" s="366" t="e">
        <f>10/SKS112</f>
        <v>#DIV/0!</v>
      </c>
      <c r="SKX114" s="367">
        <v>15.38</v>
      </c>
      <c r="SKY114" s="367" t="e">
        <f>SKV114*SKW114*SKX114</f>
        <v>#DIV/0!</v>
      </c>
      <c r="SKZ114" s="363" t="s">
        <v>153</v>
      </c>
      <c r="SLA114" s="363"/>
      <c r="SLB114" s="363"/>
      <c r="SLC114" s="364" t="s">
        <v>140</v>
      </c>
      <c r="SLD114" s="365">
        <v>0.5</v>
      </c>
      <c r="SLE114" s="366" t="e">
        <f>10/SLA112</f>
        <v>#DIV/0!</v>
      </c>
      <c r="SLF114" s="367">
        <v>15.38</v>
      </c>
      <c r="SLG114" s="367" t="e">
        <f>SLD114*SLE114*SLF114</f>
        <v>#DIV/0!</v>
      </c>
      <c r="SLH114" s="363" t="s">
        <v>153</v>
      </c>
      <c r="SLI114" s="363"/>
      <c r="SLJ114" s="363"/>
      <c r="SLK114" s="364" t="s">
        <v>140</v>
      </c>
      <c r="SLL114" s="365">
        <v>0.5</v>
      </c>
      <c r="SLM114" s="366" t="e">
        <f>10/SLI112</f>
        <v>#DIV/0!</v>
      </c>
      <c r="SLN114" s="367">
        <v>15.38</v>
      </c>
      <c r="SLO114" s="367" t="e">
        <f>SLL114*SLM114*SLN114</f>
        <v>#DIV/0!</v>
      </c>
      <c r="SLP114" s="363" t="s">
        <v>153</v>
      </c>
      <c r="SLQ114" s="363"/>
      <c r="SLR114" s="363"/>
      <c r="SLS114" s="364" t="s">
        <v>140</v>
      </c>
      <c r="SLT114" s="365">
        <v>0.5</v>
      </c>
      <c r="SLU114" s="366" t="e">
        <f>10/SLQ112</f>
        <v>#DIV/0!</v>
      </c>
      <c r="SLV114" s="367">
        <v>15.38</v>
      </c>
      <c r="SLW114" s="367" t="e">
        <f>SLT114*SLU114*SLV114</f>
        <v>#DIV/0!</v>
      </c>
      <c r="SLX114" s="363" t="s">
        <v>153</v>
      </c>
      <c r="SLY114" s="363"/>
      <c r="SLZ114" s="363"/>
      <c r="SMA114" s="364" t="s">
        <v>140</v>
      </c>
      <c r="SMB114" s="365">
        <v>0.5</v>
      </c>
      <c r="SMC114" s="366" t="e">
        <f>10/SLY112</f>
        <v>#DIV/0!</v>
      </c>
      <c r="SMD114" s="367">
        <v>15.38</v>
      </c>
      <c r="SME114" s="367" t="e">
        <f>SMB114*SMC114*SMD114</f>
        <v>#DIV/0!</v>
      </c>
      <c r="SMF114" s="363" t="s">
        <v>153</v>
      </c>
      <c r="SMG114" s="363"/>
      <c r="SMH114" s="363"/>
      <c r="SMI114" s="364" t="s">
        <v>140</v>
      </c>
      <c r="SMJ114" s="365">
        <v>0.5</v>
      </c>
      <c r="SMK114" s="366" t="e">
        <f>10/SMG112</f>
        <v>#DIV/0!</v>
      </c>
      <c r="SML114" s="367">
        <v>15.38</v>
      </c>
      <c r="SMM114" s="367" t="e">
        <f>SMJ114*SMK114*SML114</f>
        <v>#DIV/0!</v>
      </c>
      <c r="SMN114" s="363" t="s">
        <v>153</v>
      </c>
      <c r="SMO114" s="363"/>
      <c r="SMP114" s="363"/>
      <c r="SMQ114" s="364" t="s">
        <v>140</v>
      </c>
      <c r="SMR114" s="365">
        <v>0.5</v>
      </c>
      <c r="SMS114" s="366" t="e">
        <f>10/SMO112</f>
        <v>#DIV/0!</v>
      </c>
      <c r="SMT114" s="367">
        <v>15.38</v>
      </c>
      <c r="SMU114" s="367" t="e">
        <f>SMR114*SMS114*SMT114</f>
        <v>#DIV/0!</v>
      </c>
      <c r="SMV114" s="363" t="s">
        <v>153</v>
      </c>
      <c r="SMW114" s="363"/>
      <c r="SMX114" s="363"/>
      <c r="SMY114" s="364" t="s">
        <v>140</v>
      </c>
      <c r="SMZ114" s="365">
        <v>0.5</v>
      </c>
      <c r="SNA114" s="366" t="e">
        <f>10/SMW112</f>
        <v>#DIV/0!</v>
      </c>
      <c r="SNB114" s="367">
        <v>15.38</v>
      </c>
      <c r="SNC114" s="367" t="e">
        <f>SMZ114*SNA114*SNB114</f>
        <v>#DIV/0!</v>
      </c>
      <c r="SND114" s="363" t="s">
        <v>153</v>
      </c>
      <c r="SNE114" s="363"/>
      <c r="SNF114" s="363"/>
      <c r="SNG114" s="364" t="s">
        <v>140</v>
      </c>
      <c r="SNH114" s="365">
        <v>0.5</v>
      </c>
      <c r="SNI114" s="366" t="e">
        <f>10/SNE112</f>
        <v>#DIV/0!</v>
      </c>
      <c r="SNJ114" s="367">
        <v>15.38</v>
      </c>
      <c r="SNK114" s="367" t="e">
        <f>SNH114*SNI114*SNJ114</f>
        <v>#DIV/0!</v>
      </c>
      <c r="SNL114" s="363" t="s">
        <v>153</v>
      </c>
      <c r="SNM114" s="363"/>
      <c r="SNN114" s="363"/>
      <c r="SNO114" s="364" t="s">
        <v>140</v>
      </c>
      <c r="SNP114" s="365">
        <v>0.5</v>
      </c>
      <c r="SNQ114" s="366" t="e">
        <f>10/SNM112</f>
        <v>#DIV/0!</v>
      </c>
      <c r="SNR114" s="367">
        <v>15.38</v>
      </c>
      <c r="SNS114" s="367" t="e">
        <f>SNP114*SNQ114*SNR114</f>
        <v>#DIV/0!</v>
      </c>
      <c r="SNT114" s="363" t="s">
        <v>153</v>
      </c>
      <c r="SNU114" s="363"/>
      <c r="SNV114" s="363"/>
      <c r="SNW114" s="364" t="s">
        <v>140</v>
      </c>
      <c r="SNX114" s="365">
        <v>0.5</v>
      </c>
      <c r="SNY114" s="366" t="e">
        <f>10/SNU112</f>
        <v>#DIV/0!</v>
      </c>
      <c r="SNZ114" s="367">
        <v>15.38</v>
      </c>
      <c r="SOA114" s="367" t="e">
        <f>SNX114*SNY114*SNZ114</f>
        <v>#DIV/0!</v>
      </c>
      <c r="SOB114" s="363" t="s">
        <v>153</v>
      </c>
      <c r="SOC114" s="363"/>
      <c r="SOD114" s="363"/>
      <c r="SOE114" s="364" t="s">
        <v>140</v>
      </c>
      <c r="SOF114" s="365">
        <v>0.5</v>
      </c>
      <c r="SOG114" s="366" t="e">
        <f>10/SOC112</f>
        <v>#DIV/0!</v>
      </c>
      <c r="SOH114" s="367">
        <v>15.38</v>
      </c>
      <c r="SOI114" s="367" t="e">
        <f>SOF114*SOG114*SOH114</f>
        <v>#DIV/0!</v>
      </c>
      <c r="SOJ114" s="363" t="s">
        <v>153</v>
      </c>
      <c r="SOK114" s="363"/>
      <c r="SOL114" s="363"/>
      <c r="SOM114" s="364" t="s">
        <v>140</v>
      </c>
      <c r="SON114" s="365">
        <v>0.5</v>
      </c>
      <c r="SOO114" s="366" t="e">
        <f>10/SOK112</f>
        <v>#DIV/0!</v>
      </c>
      <c r="SOP114" s="367">
        <v>15.38</v>
      </c>
      <c r="SOQ114" s="367" t="e">
        <f>SON114*SOO114*SOP114</f>
        <v>#DIV/0!</v>
      </c>
      <c r="SOR114" s="363" t="s">
        <v>153</v>
      </c>
      <c r="SOS114" s="363"/>
      <c r="SOT114" s="363"/>
      <c r="SOU114" s="364" t="s">
        <v>140</v>
      </c>
      <c r="SOV114" s="365">
        <v>0.5</v>
      </c>
      <c r="SOW114" s="366" t="e">
        <f>10/SOS112</f>
        <v>#DIV/0!</v>
      </c>
      <c r="SOX114" s="367">
        <v>15.38</v>
      </c>
      <c r="SOY114" s="367" t="e">
        <f>SOV114*SOW114*SOX114</f>
        <v>#DIV/0!</v>
      </c>
      <c r="SOZ114" s="363" t="s">
        <v>153</v>
      </c>
      <c r="SPA114" s="363"/>
      <c r="SPB114" s="363"/>
      <c r="SPC114" s="364" t="s">
        <v>140</v>
      </c>
      <c r="SPD114" s="365">
        <v>0.5</v>
      </c>
      <c r="SPE114" s="366" t="e">
        <f>10/SPA112</f>
        <v>#DIV/0!</v>
      </c>
      <c r="SPF114" s="367">
        <v>15.38</v>
      </c>
      <c r="SPG114" s="367" t="e">
        <f>SPD114*SPE114*SPF114</f>
        <v>#DIV/0!</v>
      </c>
      <c r="SPH114" s="363" t="s">
        <v>153</v>
      </c>
      <c r="SPI114" s="363"/>
      <c r="SPJ114" s="363"/>
      <c r="SPK114" s="364" t="s">
        <v>140</v>
      </c>
      <c r="SPL114" s="365">
        <v>0.5</v>
      </c>
      <c r="SPM114" s="366" t="e">
        <f>10/SPI112</f>
        <v>#DIV/0!</v>
      </c>
      <c r="SPN114" s="367">
        <v>15.38</v>
      </c>
      <c r="SPO114" s="367" t="e">
        <f>SPL114*SPM114*SPN114</f>
        <v>#DIV/0!</v>
      </c>
      <c r="SPP114" s="363" t="s">
        <v>153</v>
      </c>
      <c r="SPQ114" s="363"/>
      <c r="SPR114" s="363"/>
      <c r="SPS114" s="364" t="s">
        <v>140</v>
      </c>
      <c r="SPT114" s="365">
        <v>0.5</v>
      </c>
      <c r="SPU114" s="366" t="e">
        <f>10/SPQ112</f>
        <v>#DIV/0!</v>
      </c>
      <c r="SPV114" s="367">
        <v>15.38</v>
      </c>
      <c r="SPW114" s="367" t="e">
        <f>SPT114*SPU114*SPV114</f>
        <v>#DIV/0!</v>
      </c>
      <c r="SPX114" s="363" t="s">
        <v>153</v>
      </c>
      <c r="SPY114" s="363"/>
      <c r="SPZ114" s="363"/>
      <c r="SQA114" s="364" t="s">
        <v>140</v>
      </c>
      <c r="SQB114" s="365">
        <v>0.5</v>
      </c>
      <c r="SQC114" s="366" t="e">
        <f>10/SPY112</f>
        <v>#DIV/0!</v>
      </c>
      <c r="SQD114" s="367">
        <v>15.38</v>
      </c>
      <c r="SQE114" s="367" t="e">
        <f>SQB114*SQC114*SQD114</f>
        <v>#DIV/0!</v>
      </c>
      <c r="SQF114" s="363" t="s">
        <v>153</v>
      </c>
      <c r="SQG114" s="363"/>
      <c r="SQH114" s="363"/>
      <c r="SQI114" s="364" t="s">
        <v>140</v>
      </c>
      <c r="SQJ114" s="365">
        <v>0.5</v>
      </c>
      <c r="SQK114" s="366" t="e">
        <f>10/SQG112</f>
        <v>#DIV/0!</v>
      </c>
      <c r="SQL114" s="367">
        <v>15.38</v>
      </c>
      <c r="SQM114" s="367" t="e">
        <f>SQJ114*SQK114*SQL114</f>
        <v>#DIV/0!</v>
      </c>
      <c r="SQN114" s="363" t="s">
        <v>153</v>
      </c>
      <c r="SQO114" s="363"/>
      <c r="SQP114" s="363"/>
      <c r="SQQ114" s="364" t="s">
        <v>140</v>
      </c>
      <c r="SQR114" s="365">
        <v>0.5</v>
      </c>
      <c r="SQS114" s="366" t="e">
        <f>10/SQO112</f>
        <v>#DIV/0!</v>
      </c>
      <c r="SQT114" s="367">
        <v>15.38</v>
      </c>
      <c r="SQU114" s="367" t="e">
        <f>SQR114*SQS114*SQT114</f>
        <v>#DIV/0!</v>
      </c>
      <c r="SQV114" s="363" t="s">
        <v>153</v>
      </c>
      <c r="SQW114" s="363"/>
      <c r="SQX114" s="363"/>
      <c r="SQY114" s="364" t="s">
        <v>140</v>
      </c>
      <c r="SQZ114" s="365">
        <v>0.5</v>
      </c>
      <c r="SRA114" s="366" t="e">
        <f>10/SQW112</f>
        <v>#DIV/0!</v>
      </c>
      <c r="SRB114" s="367">
        <v>15.38</v>
      </c>
      <c r="SRC114" s="367" t="e">
        <f>SQZ114*SRA114*SRB114</f>
        <v>#DIV/0!</v>
      </c>
      <c r="SRD114" s="363" t="s">
        <v>153</v>
      </c>
      <c r="SRE114" s="363"/>
      <c r="SRF114" s="363"/>
      <c r="SRG114" s="364" t="s">
        <v>140</v>
      </c>
      <c r="SRH114" s="365">
        <v>0.5</v>
      </c>
      <c r="SRI114" s="366" t="e">
        <f>10/SRE112</f>
        <v>#DIV/0!</v>
      </c>
      <c r="SRJ114" s="367">
        <v>15.38</v>
      </c>
      <c r="SRK114" s="367" t="e">
        <f>SRH114*SRI114*SRJ114</f>
        <v>#DIV/0!</v>
      </c>
      <c r="SRL114" s="363" t="s">
        <v>153</v>
      </c>
      <c r="SRM114" s="363"/>
      <c r="SRN114" s="363"/>
      <c r="SRO114" s="364" t="s">
        <v>140</v>
      </c>
      <c r="SRP114" s="365">
        <v>0.5</v>
      </c>
      <c r="SRQ114" s="366" t="e">
        <f>10/SRM112</f>
        <v>#DIV/0!</v>
      </c>
      <c r="SRR114" s="367">
        <v>15.38</v>
      </c>
      <c r="SRS114" s="367" t="e">
        <f>SRP114*SRQ114*SRR114</f>
        <v>#DIV/0!</v>
      </c>
      <c r="SRT114" s="363" t="s">
        <v>153</v>
      </c>
      <c r="SRU114" s="363"/>
      <c r="SRV114" s="363"/>
      <c r="SRW114" s="364" t="s">
        <v>140</v>
      </c>
      <c r="SRX114" s="365">
        <v>0.5</v>
      </c>
      <c r="SRY114" s="366" t="e">
        <f>10/SRU112</f>
        <v>#DIV/0!</v>
      </c>
      <c r="SRZ114" s="367">
        <v>15.38</v>
      </c>
      <c r="SSA114" s="367" t="e">
        <f>SRX114*SRY114*SRZ114</f>
        <v>#DIV/0!</v>
      </c>
      <c r="SSB114" s="363" t="s">
        <v>153</v>
      </c>
      <c r="SSC114" s="363"/>
      <c r="SSD114" s="363"/>
      <c r="SSE114" s="364" t="s">
        <v>140</v>
      </c>
      <c r="SSF114" s="365">
        <v>0.5</v>
      </c>
      <c r="SSG114" s="366" t="e">
        <f>10/SSC112</f>
        <v>#DIV/0!</v>
      </c>
      <c r="SSH114" s="367">
        <v>15.38</v>
      </c>
      <c r="SSI114" s="367" t="e">
        <f>SSF114*SSG114*SSH114</f>
        <v>#DIV/0!</v>
      </c>
      <c r="SSJ114" s="363" t="s">
        <v>153</v>
      </c>
      <c r="SSK114" s="363"/>
      <c r="SSL114" s="363"/>
      <c r="SSM114" s="364" t="s">
        <v>140</v>
      </c>
      <c r="SSN114" s="365">
        <v>0.5</v>
      </c>
      <c r="SSO114" s="366" t="e">
        <f>10/SSK112</f>
        <v>#DIV/0!</v>
      </c>
      <c r="SSP114" s="367">
        <v>15.38</v>
      </c>
      <c r="SSQ114" s="367" t="e">
        <f>SSN114*SSO114*SSP114</f>
        <v>#DIV/0!</v>
      </c>
      <c r="SSR114" s="363" t="s">
        <v>153</v>
      </c>
      <c r="SSS114" s="363"/>
      <c r="SST114" s="363"/>
      <c r="SSU114" s="364" t="s">
        <v>140</v>
      </c>
      <c r="SSV114" s="365">
        <v>0.5</v>
      </c>
      <c r="SSW114" s="366" t="e">
        <f>10/SSS112</f>
        <v>#DIV/0!</v>
      </c>
      <c r="SSX114" s="367">
        <v>15.38</v>
      </c>
      <c r="SSY114" s="367" t="e">
        <f>SSV114*SSW114*SSX114</f>
        <v>#DIV/0!</v>
      </c>
      <c r="SSZ114" s="363" t="s">
        <v>153</v>
      </c>
      <c r="STA114" s="363"/>
      <c r="STB114" s="363"/>
      <c r="STC114" s="364" t="s">
        <v>140</v>
      </c>
      <c r="STD114" s="365">
        <v>0.5</v>
      </c>
      <c r="STE114" s="366" t="e">
        <f>10/STA112</f>
        <v>#DIV/0!</v>
      </c>
      <c r="STF114" s="367">
        <v>15.38</v>
      </c>
      <c r="STG114" s="367" t="e">
        <f>STD114*STE114*STF114</f>
        <v>#DIV/0!</v>
      </c>
      <c r="STH114" s="363" t="s">
        <v>153</v>
      </c>
      <c r="STI114" s="363"/>
      <c r="STJ114" s="363"/>
      <c r="STK114" s="364" t="s">
        <v>140</v>
      </c>
      <c r="STL114" s="365">
        <v>0.5</v>
      </c>
      <c r="STM114" s="366" t="e">
        <f>10/STI112</f>
        <v>#DIV/0!</v>
      </c>
      <c r="STN114" s="367">
        <v>15.38</v>
      </c>
      <c r="STO114" s="367" t="e">
        <f>STL114*STM114*STN114</f>
        <v>#DIV/0!</v>
      </c>
      <c r="STP114" s="363" t="s">
        <v>153</v>
      </c>
      <c r="STQ114" s="363"/>
      <c r="STR114" s="363"/>
      <c r="STS114" s="364" t="s">
        <v>140</v>
      </c>
      <c r="STT114" s="365">
        <v>0.5</v>
      </c>
      <c r="STU114" s="366" t="e">
        <f>10/STQ112</f>
        <v>#DIV/0!</v>
      </c>
      <c r="STV114" s="367">
        <v>15.38</v>
      </c>
      <c r="STW114" s="367" t="e">
        <f>STT114*STU114*STV114</f>
        <v>#DIV/0!</v>
      </c>
      <c r="STX114" s="363" t="s">
        <v>153</v>
      </c>
      <c r="STY114" s="363"/>
      <c r="STZ114" s="363"/>
      <c r="SUA114" s="364" t="s">
        <v>140</v>
      </c>
      <c r="SUB114" s="365">
        <v>0.5</v>
      </c>
      <c r="SUC114" s="366" t="e">
        <f>10/STY112</f>
        <v>#DIV/0!</v>
      </c>
      <c r="SUD114" s="367">
        <v>15.38</v>
      </c>
      <c r="SUE114" s="367" t="e">
        <f>SUB114*SUC114*SUD114</f>
        <v>#DIV/0!</v>
      </c>
      <c r="SUF114" s="363" t="s">
        <v>153</v>
      </c>
      <c r="SUG114" s="363"/>
      <c r="SUH114" s="363"/>
      <c r="SUI114" s="364" t="s">
        <v>140</v>
      </c>
      <c r="SUJ114" s="365">
        <v>0.5</v>
      </c>
      <c r="SUK114" s="366" t="e">
        <f>10/SUG112</f>
        <v>#DIV/0!</v>
      </c>
      <c r="SUL114" s="367">
        <v>15.38</v>
      </c>
      <c r="SUM114" s="367" t="e">
        <f>SUJ114*SUK114*SUL114</f>
        <v>#DIV/0!</v>
      </c>
      <c r="SUN114" s="363" t="s">
        <v>153</v>
      </c>
      <c r="SUO114" s="363"/>
      <c r="SUP114" s="363"/>
      <c r="SUQ114" s="364" t="s">
        <v>140</v>
      </c>
      <c r="SUR114" s="365">
        <v>0.5</v>
      </c>
      <c r="SUS114" s="366" t="e">
        <f>10/SUO112</f>
        <v>#DIV/0!</v>
      </c>
      <c r="SUT114" s="367">
        <v>15.38</v>
      </c>
      <c r="SUU114" s="367" t="e">
        <f>SUR114*SUS114*SUT114</f>
        <v>#DIV/0!</v>
      </c>
      <c r="SUV114" s="363" t="s">
        <v>153</v>
      </c>
      <c r="SUW114" s="363"/>
      <c r="SUX114" s="363"/>
      <c r="SUY114" s="364" t="s">
        <v>140</v>
      </c>
      <c r="SUZ114" s="365">
        <v>0.5</v>
      </c>
      <c r="SVA114" s="366" t="e">
        <f>10/SUW112</f>
        <v>#DIV/0!</v>
      </c>
      <c r="SVB114" s="367">
        <v>15.38</v>
      </c>
      <c r="SVC114" s="367" t="e">
        <f>SUZ114*SVA114*SVB114</f>
        <v>#DIV/0!</v>
      </c>
      <c r="SVD114" s="363" t="s">
        <v>153</v>
      </c>
      <c r="SVE114" s="363"/>
      <c r="SVF114" s="363"/>
      <c r="SVG114" s="364" t="s">
        <v>140</v>
      </c>
      <c r="SVH114" s="365">
        <v>0.5</v>
      </c>
      <c r="SVI114" s="366" t="e">
        <f>10/SVE112</f>
        <v>#DIV/0!</v>
      </c>
      <c r="SVJ114" s="367">
        <v>15.38</v>
      </c>
      <c r="SVK114" s="367" t="e">
        <f>SVH114*SVI114*SVJ114</f>
        <v>#DIV/0!</v>
      </c>
      <c r="SVL114" s="363" t="s">
        <v>153</v>
      </c>
      <c r="SVM114" s="363"/>
      <c r="SVN114" s="363"/>
      <c r="SVO114" s="364" t="s">
        <v>140</v>
      </c>
      <c r="SVP114" s="365">
        <v>0.5</v>
      </c>
      <c r="SVQ114" s="366" t="e">
        <f>10/SVM112</f>
        <v>#DIV/0!</v>
      </c>
      <c r="SVR114" s="367">
        <v>15.38</v>
      </c>
      <c r="SVS114" s="367" t="e">
        <f>SVP114*SVQ114*SVR114</f>
        <v>#DIV/0!</v>
      </c>
      <c r="SVT114" s="363" t="s">
        <v>153</v>
      </c>
      <c r="SVU114" s="363"/>
      <c r="SVV114" s="363"/>
      <c r="SVW114" s="364" t="s">
        <v>140</v>
      </c>
      <c r="SVX114" s="365">
        <v>0.5</v>
      </c>
      <c r="SVY114" s="366" t="e">
        <f>10/SVU112</f>
        <v>#DIV/0!</v>
      </c>
      <c r="SVZ114" s="367">
        <v>15.38</v>
      </c>
      <c r="SWA114" s="367" t="e">
        <f>SVX114*SVY114*SVZ114</f>
        <v>#DIV/0!</v>
      </c>
      <c r="SWB114" s="363" t="s">
        <v>153</v>
      </c>
      <c r="SWC114" s="363"/>
      <c r="SWD114" s="363"/>
      <c r="SWE114" s="364" t="s">
        <v>140</v>
      </c>
      <c r="SWF114" s="365">
        <v>0.5</v>
      </c>
      <c r="SWG114" s="366" t="e">
        <f>10/SWC112</f>
        <v>#DIV/0!</v>
      </c>
      <c r="SWH114" s="367">
        <v>15.38</v>
      </c>
      <c r="SWI114" s="367" t="e">
        <f>SWF114*SWG114*SWH114</f>
        <v>#DIV/0!</v>
      </c>
      <c r="SWJ114" s="363" t="s">
        <v>153</v>
      </c>
      <c r="SWK114" s="363"/>
      <c r="SWL114" s="363"/>
      <c r="SWM114" s="364" t="s">
        <v>140</v>
      </c>
      <c r="SWN114" s="365">
        <v>0.5</v>
      </c>
      <c r="SWO114" s="366" t="e">
        <f>10/SWK112</f>
        <v>#DIV/0!</v>
      </c>
      <c r="SWP114" s="367">
        <v>15.38</v>
      </c>
      <c r="SWQ114" s="367" t="e">
        <f>SWN114*SWO114*SWP114</f>
        <v>#DIV/0!</v>
      </c>
      <c r="SWR114" s="363" t="s">
        <v>153</v>
      </c>
      <c r="SWS114" s="363"/>
      <c r="SWT114" s="363"/>
      <c r="SWU114" s="364" t="s">
        <v>140</v>
      </c>
      <c r="SWV114" s="365">
        <v>0.5</v>
      </c>
      <c r="SWW114" s="366" t="e">
        <f>10/SWS112</f>
        <v>#DIV/0!</v>
      </c>
      <c r="SWX114" s="367">
        <v>15.38</v>
      </c>
      <c r="SWY114" s="367" t="e">
        <f>SWV114*SWW114*SWX114</f>
        <v>#DIV/0!</v>
      </c>
      <c r="SWZ114" s="363" t="s">
        <v>153</v>
      </c>
      <c r="SXA114" s="363"/>
      <c r="SXB114" s="363"/>
      <c r="SXC114" s="364" t="s">
        <v>140</v>
      </c>
      <c r="SXD114" s="365">
        <v>0.5</v>
      </c>
      <c r="SXE114" s="366" t="e">
        <f>10/SXA112</f>
        <v>#DIV/0!</v>
      </c>
      <c r="SXF114" s="367">
        <v>15.38</v>
      </c>
      <c r="SXG114" s="367" t="e">
        <f>SXD114*SXE114*SXF114</f>
        <v>#DIV/0!</v>
      </c>
      <c r="SXH114" s="363" t="s">
        <v>153</v>
      </c>
      <c r="SXI114" s="363"/>
      <c r="SXJ114" s="363"/>
      <c r="SXK114" s="364" t="s">
        <v>140</v>
      </c>
      <c r="SXL114" s="365">
        <v>0.5</v>
      </c>
      <c r="SXM114" s="366" t="e">
        <f>10/SXI112</f>
        <v>#DIV/0!</v>
      </c>
      <c r="SXN114" s="367">
        <v>15.38</v>
      </c>
      <c r="SXO114" s="367" t="e">
        <f>SXL114*SXM114*SXN114</f>
        <v>#DIV/0!</v>
      </c>
      <c r="SXP114" s="363" t="s">
        <v>153</v>
      </c>
      <c r="SXQ114" s="363"/>
      <c r="SXR114" s="363"/>
      <c r="SXS114" s="364" t="s">
        <v>140</v>
      </c>
      <c r="SXT114" s="365">
        <v>0.5</v>
      </c>
      <c r="SXU114" s="366" t="e">
        <f>10/SXQ112</f>
        <v>#DIV/0!</v>
      </c>
      <c r="SXV114" s="367">
        <v>15.38</v>
      </c>
      <c r="SXW114" s="367" t="e">
        <f>SXT114*SXU114*SXV114</f>
        <v>#DIV/0!</v>
      </c>
      <c r="SXX114" s="363" t="s">
        <v>153</v>
      </c>
      <c r="SXY114" s="363"/>
      <c r="SXZ114" s="363"/>
      <c r="SYA114" s="364" t="s">
        <v>140</v>
      </c>
      <c r="SYB114" s="365">
        <v>0.5</v>
      </c>
      <c r="SYC114" s="366" t="e">
        <f>10/SXY112</f>
        <v>#DIV/0!</v>
      </c>
      <c r="SYD114" s="367">
        <v>15.38</v>
      </c>
      <c r="SYE114" s="367" t="e">
        <f>SYB114*SYC114*SYD114</f>
        <v>#DIV/0!</v>
      </c>
      <c r="SYF114" s="363" t="s">
        <v>153</v>
      </c>
      <c r="SYG114" s="363"/>
      <c r="SYH114" s="363"/>
      <c r="SYI114" s="364" t="s">
        <v>140</v>
      </c>
      <c r="SYJ114" s="365">
        <v>0.5</v>
      </c>
      <c r="SYK114" s="366" t="e">
        <f>10/SYG112</f>
        <v>#DIV/0!</v>
      </c>
      <c r="SYL114" s="367">
        <v>15.38</v>
      </c>
      <c r="SYM114" s="367" t="e">
        <f>SYJ114*SYK114*SYL114</f>
        <v>#DIV/0!</v>
      </c>
      <c r="SYN114" s="363" t="s">
        <v>153</v>
      </c>
      <c r="SYO114" s="363"/>
      <c r="SYP114" s="363"/>
      <c r="SYQ114" s="364" t="s">
        <v>140</v>
      </c>
      <c r="SYR114" s="365">
        <v>0.5</v>
      </c>
      <c r="SYS114" s="366" t="e">
        <f>10/SYO112</f>
        <v>#DIV/0!</v>
      </c>
      <c r="SYT114" s="367">
        <v>15.38</v>
      </c>
      <c r="SYU114" s="367" t="e">
        <f>SYR114*SYS114*SYT114</f>
        <v>#DIV/0!</v>
      </c>
      <c r="SYV114" s="363" t="s">
        <v>153</v>
      </c>
      <c r="SYW114" s="363"/>
      <c r="SYX114" s="363"/>
      <c r="SYY114" s="364" t="s">
        <v>140</v>
      </c>
      <c r="SYZ114" s="365">
        <v>0.5</v>
      </c>
      <c r="SZA114" s="366" t="e">
        <f>10/SYW112</f>
        <v>#DIV/0!</v>
      </c>
      <c r="SZB114" s="367">
        <v>15.38</v>
      </c>
      <c r="SZC114" s="367" t="e">
        <f>SYZ114*SZA114*SZB114</f>
        <v>#DIV/0!</v>
      </c>
      <c r="SZD114" s="363" t="s">
        <v>153</v>
      </c>
      <c r="SZE114" s="363"/>
      <c r="SZF114" s="363"/>
      <c r="SZG114" s="364" t="s">
        <v>140</v>
      </c>
      <c r="SZH114" s="365">
        <v>0.5</v>
      </c>
      <c r="SZI114" s="366" t="e">
        <f>10/SZE112</f>
        <v>#DIV/0!</v>
      </c>
      <c r="SZJ114" s="367">
        <v>15.38</v>
      </c>
      <c r="SZK114" s="367" t="e">
        <f>SZH114*SZI114*SZJ114</f>
        <v>#DIV/0!</v>
      </c>
      <c r="SZL114" s="363" t="s">
        <v>153</v>
      </c>
      <c r="SZM114" s="363"/>
      <c r="SZN114" s="363"/>
      <c r="SZO114" s="364" t="s">
        <v>140</v>
      </c>
      <c r="SZP114" s="365">
        <v>0.5</v>
      </c>
      <c r="SZQ114" s="366" t="e">
        <f>10/SZM112</f>
        <v>#DIV/0!</v>
      </c>
      <c r="SZR114" s="367">
        <v>15.38</v>
      </c>
      <c r="SZS114" s="367" t="e">
        <f>SZP114*SZQ114*SZR114</f>
        <v>#DIV/0!</v>
      </c>
      <c r="SZT114" s="363" t="s">
        <v>153</v>
      </c>
      <c r="SZU114" s="363"/>
      <c r="SZV114" s="363"/>
      <c r="SZW114" s="364" t="s">
        <v>140</v>
      </c>
      <c r="SZX114" s="365">
        <v>0.5</v>
      </c>
      <c r="SZY114" s="366" t="e">
        <f>10/SZU112</f>
        <v>#DIV/0!</v>
      </c>
      <c r="SZZ114" s="367">
        <v>15.38</v>
      </c>
      <c r="TAA114" s="367" t="e">
        <f>SZX114*SZY114*SZZ114</f>
        <v>#DIV/0!</v>
      </c>
      <c r="TAB114" s="363" t="s">
        <v>153</v>
      </c>
      <c r="TAC114" s="363"/>
      <c r="TAD114" s="363"/>
      <c r="TAE114" s="364" t="s">
        <v>140</v>
      </c>
      <c r="TAF114" s="365">
        <v>0.5</v>
      </c>
      <c r="TAG114" s="366" t="e">
        <f>10/TAC112</f>
        <v>#DIV/0!</v>
      </c>
      <c r="TAH114" s="367">
        <v>15.38</v>
      </c>
      <c r="TAI114" s="367" t="e">
        <f>TAF114*TAG114*TAH114</f>
        <v>#DIV/0!</v>
      </c>
      <c r="TAJ114" s="363" t="s">
        <v>153</v>
      </c>
      <c r="TAK114" s="363"/>
      <c r="TAL114" s="363"/>
      <c r="TAM114" s="364" t="s">
        <v>140</v>
      </c>
      <c r="TAN114" s="365">
        <v>0.5</v>
      </c>
      <c r="TAO114" s="366" t="e">
        <f>10/TAK112</f>
        <v>#DIV/0!</v>
      </c>
      <c r="TAP114" s="367">
        <v>15.38</v>
      </c>
      <c r="TAQ114" s="367" t="e">
        <f>TAN114*TAO114*TAP114</f>
        <v>#DIV/0!</v>
      </c>
      <c r="TAR114" s="363" t="s">
        <v>153</v>
      </c>
      <c r="TAS114" s="363"/>
      <c r="TAT114" s="363"/>
      <c r="TAU114" s="364" t="s">
        <v>140</v>
      </c>
      <c r="TAV114" s="365">
        <v>0.5</v>
      </c>
      <c r="TAW114" s="366" t="e">
        <f>10/TAS112</f>
        <v>#DIV/0!</v>
      </c>
      <c r="TAX114" s="367">
        <v>15.38</v>
      </c>
      <c r="TAY114" s="367" t="e">
        <f>TAV114*TAW114*TAX114</f>
        <v>#DIV/0!</v>
      </c>
      <c r="TAZ114" s="363" t="s">
        <v>153</v>
      </c>
      <c r="TBA114" s="363"/>
      <c r="TBB114" s="363"/>
      <c r="TBC114" s="364" t="s">
        <v>140</v>
      </c>
      <c r="TBD114" s="365">
        <v>0.5</v>
      </c>
      <c r="TBE114" s="366" t="e">
        <f>10/TBA112</f>
        <v>#DIV/0!</v>
      </c>
      <c r="TBF114" s="367">
        <v>15.38</v>
      </c>
      <c r="TBG114" s="367" t="e">
        <f>TBD114*TBE114*TBF114</f>
        <v>#DIV/0!</v>
      </c>
      <c r="TBH114" s="363" t="s">
        <v>153</v>
      </c>
      <c r="TBI114" s="363"/>
      <c r="TBJ114" s="363"/>
      <c r="TBK114" s="364" t="s">
        <v>140</v>
      </c>
      <c r="TBL114" s="365">
        <v>0.5</v>
      </c>
      <c r="TBM114" s="366" t="e">
        <f>10/TBI112</f>
        <v>#DIV/0!</v>
      </c>
      <c r="TBN114" s="367">
        <v>15.38</v>
      </c>
      <c r="TBO114" s="367" t="e">
        <f>TBL114*TBM114*TBN114</f>
        <v>#DIV/0!</v>
      </c>
      <c r="TBP114" s="363" t="s">
        <v>153</v>
      </c>
      <c r="TBQ114" s="363"/>
      <c r="TBR114" s="363"/>
      <c r="TBS114" s="364" t="s">
        <v>140</v>
      </c>
      <c r="TBT114" s="365">
        <v>0.5</v>
      </c>
      <c r="TBU114" s="366" t="e">
        <f>10/TBQ112</f>
        <v>#DIV/0!</v>
      </c>
      <c r="TBV114" s="367">
        <v>15.38</v>
      </c>
      <c r="TBW114" s="367" t="e">
        <f>TBT114*TBU114*TBV114</f>
        <v>#DIV/0!</v>
      </c>
      <c r="TBX114" s="363" t="s">
        <v>153</v>
      </c>
      <c r="TBY114" s="363"/>
      <c r="TBZ114" s="363"/>
      <c r="TCA114" s="364" t="s">
        <v>140</v>
      </c>
      <c r="TCB114" s="365">
        <v>0.5</v>
      </c>
      <c r="TCC114" s="366" t="e">
        <f>10/TBY112</f>
        <v>#DIV/0!</v>
      </c>
      <c r="TCD114" s="367">
        <v>15.38</v>
      </c>
      <c r="TCE114" s="367" t="e">
        <f>TCB114*TCC114*TCD114</f>
        <v>#DIV/0!</v>
      </c>
      <c r="TCF114" s="363" t="s">
        <v>153</v>
      </c>
      <c r="TCG114" s="363"/>
      <c r="TCH114" s="363"/>
      <c r="TCI114" s="364" t="s">
        <v>140</v>
      </c>
      <c r="TCJ114" s="365">
        <v>0.5</v>
      </c>
      <c r="TCK114" s="366" t="e">
        <f>10/TCG112</f>
        <v>#DIV/0!</v>
      </c>
      <c r="TCL114" s="367">
        <v>15.38</v>
      </c>
      <c r="TCM114" s="367" t="e">
        <f>TCJ114*TCK114*TCL114</f>
        <v>#DIV/0!</v>
      </c>
      <c r="TCN114" s="363" t="s">
        <v>153</v>
      </c>
      <c r="TCO114" s="363"/>
      <c r="TCP114" s="363"/>
      <c r="TCQ114" s="364" t="s">
        <v>140</v>
      </c>
      <c r="TCR114" s="365">
        <v>0.5</v>
      </c>
      <c r="TCS114" s="366" t="e">
        <f>10/TCO112</f>
        <v>#DIV/0!</v>
      </c>
      <c r="TCT114" s="367">
        <v>15.38</v>
      </c>
      <c r="TCU114" s="367" t="e">
        <f>TCR114*TCS114*TCT114</f>
        <v>#DIV/0!</v>
      </c>
      <c r="TCV114" s="363" t="s">
        <v>153</v>
      </c>
      <c r="TCW114" s="363"/>
      <c r="TCX114" s="363"/>
      <c r="TCY114" s="364" t="s">
        <v>140</v>
      </c>
      <c r="TCZ114" s="365">
        <v>0.5</v>
      </c>
      <c r="TDA114" s="366" t="e">
        <f>10/TCW112</f>
        <v>#DIV/0!</v>
      </c>
      <c r="TDB114" s="367">
        <v>15.38</v>
      </c>
      <c r="TDC114" s="367" t="e">
        <f>TCZ114*TDA114*TDB114</f>
        <v>#DIV/0!</v>
      </c>
      <c r="TDD114" s="363" t="s">
        <v>153</v>
      </c>
      <c r="TDE114" s="363"/>
      <c r="TDF114" s="363"/>
      <c r="TDG114" s="364" t="s">
        <v>140</v>
      </c>
      <c r="TDH114" s="365">
        <v>0.5</v>
      </c>
      <c r="TDI114" s="366" t="e">
        <f>10/TDE112</f>
        <v>#DIV/0!</v>
      </c>
      <c r="TDJ114" s="367">
        <v>15.38</v>
      </c>
      <c r="TDK114" s="367" t="e">
        <f>TDH114*TDI114*TDJ114</f>
        <v>#DIV/0!</v>
      </c>
      <c r="TDL114" s="363" t="s">
        <v>153</v>
      </c>
      <c r="TDM114" s="363"/>
      <c r="TDN114" s="363"/>
      <c r="TDO114" s="364" t="s">
        <v>140</v>
      </c>
      <c r="TDP114" s="365">
        <v>0.5</v>
      </c>
      <c r="TDQ114" s="366" t="e">
        <f>10/TDM112</f>
        <v>#DIV/0!</v>
      </c>
      <c r="TDR114" s="367">
        <v>15.38</v>
      </c>
      <c r="TDS114" s="367" t="e">
        <f>TDP114*TDQ114*TDR114</f>
        <v>#DIV/0!</v>
      </c>
      <c r="TDT114" s="363" t="s">
        <v>153</v>
      </c>
      <c r="TDU114" s="363"/>
      <c r="TDV114" s="363"/>
      <c r="TDW114" s="364" t="s">
        <v>140</v>
      </c>
      <c r="TDX114" s="365">
        <v>0.5</v>
      </c>
      <c r="TDY114" s="366" t="e">
        <f>10/TDU112</f>
        <v>#DIV/0!</v>
      </c>
      <c r="TDZ114" s="367">
        <v>15.38</v>
      </c>
      <c r="TEA114" s="367" t="e">
        <f>TDX114*TDY114*TDZ114</f>
        <v>#DIV/0!</v>
      </c>
      <c r="TEB114" s="363" t="s">
        <v>153</v>
      </c>
      <c r="TEC114" s="363"/>
      <c r="TED114" s="363"/>
      <c r="TEE114" s="364" t="s">
        <v>140</v>
      </c>
      <c r="TEF114" s="365">
        <v>0.5</v>
      </c>
      <c r="TEG114" s="366" t="e">
        <f>10/TEC112</f>
        <v>#DIV/0!</v>
      </c>
      <c r="TEH114" s="367">
        <v>15.38</v>
      </c>
      <c r="TEI114" s="367" t="e">
        <f>TEF114*TEG114*TEH114</f>
        <v>#DIV/0!</v>
      </c>
      <c r="TEJ114" s="363" t="s">
        <v>153</v>
      </c>
      <c r="TEK114" s="363"/>
      <c r="TEL114" s="363"/>
      <c r="TEM114" s="364" t="s">
        <v>140</v>
      </c>
      <c r="TEN114" s="365">
        <v>0.5</v>
      </c>
      <c r="TEO114" s="366" t="e">
        <f>10/TEK112</f>
        <v>#DIV/0!</v>
      </c>
      <c r="TEP114" s="367">
        <v>15.38</v>
      </c>
      <c r="TEQ114" s="367" t="e">
        <f>TEN114*TEO114*TEP114</f>
        <v>#DIV/0!</v>
      </c>
      <c r="TER114" s="363" t="s">
        <v>153</v>
      </c>
      <c r="TES114" s="363"/>
      <c r="TET114" s="363"/>
      <c r="TEU114" s="364" t="s">
        <v>140</v>
      </c>
      <c r="TEV114" s="365">
        <v>0.5</v>
      </c>
      <c r="TEW114" s="366" t="e">
        <f>10/TES112</f>
        <v>#DIV/0!</v>
      </c>
      <c r="TEX114" s="367">
        <v>15.38</v>
      </c>
      <c r="TEY114" s="367" t="e">
        <f>TEV114*TEW114*TEX114</f>
        <v>#DIV/0!</v>
      </c>
      <c r="TEZ114" s="363" t="s">
        <v>153</v>
      </c>
      <c r="TFA114" s="363"/>
      <c r="TFB114" s="363"/>
      <c r="TFC114" s="364" t="s">
        <v>140</v>
      </c>
      <c r="TFD114" s="365">
        <v>0.5</v>
      </c>
      <c r="TFE114" s="366" t="e">
        <f>10/TFA112</f>
        <v>#DIV/0!</v>
      </c>
      <c r="TFF114" s="367">
        <v>15.38</v>
      </c>
      <c r="TFG114" s="367" t="e">
        <f>TFD114*TFE114*TFF114</f>
        <v>#DIV/0!</v>
      </c>
      <c r="TFH114" s="363" t="s">
        <v>153</v>
      </c>
      <c r="TFI114" s="363"/>
      <c r="TFJ114" s="363"/>
      <c r="TFK114" s="364" t="s">
        <v>140</v>
      </c>
      <c r="TFL114" s="365">
        <v>0.5</v>
      </c>
      <c r="TFM114" s="366" t="e">
        <f>10/TFI112</f>
        <v>#DIV/0!</v>
      </c>
      <c r="TFN114" s="367">
        <v>15.38</v>
      </c>
      <c r="TFO114" s="367" t="e">
        <f>TFL114*TFM114*TFN114</f>
        <v>#DIV/0!</v>
      </c>
      <c r="TFP114" s="363" t="s">
        <v>153</v>
      </c>
      <c r="TFQ114" s="363"/>
      <c r="TFR114" s="363"/>
      <c r="TFS114" s="364" t="s">
        <v>140</v>
      </c>
      <c r="TFT114" s="365">
        <v>0.5</v>
      </c>
      <c r="TFU114" s="366" t="e">
        <f>10/TFQ112</f>
        <v>#DIV/0!</v>
      </c>
      <c r="TFV114" s="367">
        <v>15.38</v>
      </c>
      <c r="TFW114" s="367" t="e">
        <f>TFT114*TFU114*TFV114</f>
        <v>#DIV/0!</v>
      </c>
      <c r="TFX114" s="363" t="s">
        <v>153</v>
      </c>
      <c r="TFY114" s="363"/>
      <c r="TFZ114" s="363"/>
      <c r="TGA114" s="364" t="s">
        <v>140</v>
      </c>
      <c r="TGB114" s="365">
        <v>0.5</v>
      </c>
      <c r="TGC114" s="366" t="e">
        <f>10/TFY112</f>
        <v>#DIV/0!</v>
      </c>
      <c r="TGD114" s="367">
        <v>15.38</v>
      </c>
      <c r="TGE114" s="367" t="e">
        <f>TGB114*TGC114*TGD114</f>
        <v>#DIV/0!</v>
      </c>
      <c r="TGF114" s="363" t="s">
        <v>153</v>
      </c>
      <c r="TGG114" s="363"/>
      <c r="TGH114" s="363"/>
      <c r="TGI114" s="364" t="s">
        <v>140</v>
      </c>
      <c r="TGJ114" s="365">
        <v>0.5</v>
      </c>
      <c r="TGK114" s="366" t="e">
        <f>10/TGG112</f>
        <v>#DIV/0!</v>
      </c>
      <c r="TGL114" s="367">
        <v>15.38</v>
      </c>
      <c r="TGM114" s="367" t="e">
        <f>TGJ114*TGK114*TGL114</f>
        <v>#DIV/0!</v>
      </c>
      <c r="TGN114" s="363" t="s">
        <v>153</v>
      </c>
      <c r="TGO114" s="363"/>
      <c r="TGP114" s="363"/>
      <c r="TGQ114" s="364" t="s">
        <v>140</v>
      </c>
      <c r="TGR114" s="365">
        <v>0.5</v>
      </c>
      <c r="TGS114" s="366" t="e">
        <f>10/TGO112</f>
        <v>#DIV/0!</v>
      </c>
      <c r="TGT114" s="367">
        <v>15.38</v>
      </c>
      <c r="TGU114" s="367" t="e">
        <f>TGR114*TGS114*TGT114</f>
        <v>#DIV/0!</v>
      </c>
      <c r="TGV114" s="363" t="s">
        <v>153</v>
      </c>
      <c r="TGW114" s="363"/>
      <c r="TGX114" s="363"/>
      <c r="TGY114" s="364" t="s">
        <v>140</v>
      </c>
      <c r="TGZ114" s="365">
        <v>0.5</v>
      </c>
      <c r="THA114" s="366" t="e">
        <f>10/TGW112</f>
        <v>#DIV/0!</v>
      </c>
      <c r="THB114" s="367">
        <v>15.38</v>
      </c>
      <c r="THC114" s="367" t="e">
        <f>TGZ114*THA114*THB114</f>
        <v>#DIV/0!</v>
      </c>
      <c r="THD114" s="363" t="s">
        <v>153</v>
      </c>
      <c r="THE114" s="363"/>
      <c r="THF114" s="363"/>
      <c r="THG114" s="364" t="s">
        <v>140</v>
      </c>
      <c r="THH114" s="365">
        <v>0.5</v>
      </c>
      <c r="THI114" s="366" t="e">
        <f>10/THE112</f>
        <v>#DIV/0!</v>
      </c>
      <c r="THJ114" s="367">
        <v>15.38</v>
      </c>
      <c r="THK114" s="367" t="e">
        <f>THH114*THI114*THJ114</f>
        <v>#DIV/0!</v>
      </c>
      <c r="THL114" s="363" t="s">
        <v>153</v>
      </c>
      <c r="THM114" s="363"/>
      <c r="THN114" s="363"/>
      <c r="THO114" s="364" t="s">
        <v>140</v>
      </c>
      <c r="THP114" s="365">
        <v>0.5</v>
      </c>
      <c r="THQ114" s="366" t="e">
        <f>10/THM112</f>
        <v>#DIV/0!</v>
      </c>
      <c r="THR114" s="367">
        <v>15.38</v>
      </c>
      <c r="THS114" s="367" t="e">
        <f>THP114*THQ114*THR114</f>
        <v>#DIV/0!</v>
      </c>
      <c r="THT114" s="363" t="s">
        <v>153</v>
      </c>
      <c r="THU114" s="363"/>
      <c r="THV114" s="363"/>
      <c r="THW114" s="364" t="s">
        <v>140</v>
      </c>
      <c r="THX114" s="365">
        <v>0.5</v>
      </c>
      <c r="THY114" s="366" t="e">
        <f>10/THU112</f>
        <v>#DIV/0!</v>
      </c>
      <c r="THZ114" s="367">
        <v>15.38</v>
      </c>
      <c r="TIA114" s="367" t="e">
        <f>THX114*THY114*THZ114</f>
        <v>#DIV/0!</v>
      </c>
      <c r="TIB114" s="363" t="s">
        <v>153</v>
      </c>
      <c r="TIC114" s="363"/>
      <c r="TID114" s="363"/>
      <c r="TIE114" s="364" t="s">
        <v>140</v>
      </c>
      <c r="TIF114" s="365">
        <v>0.5</v>
      </c>
      <c r="TIG114" s="366" t="e">
        <f>10/TIC112</f>
        <v>#DIV/0!</v>
      </c>
      <c r="TIH114" s="367">
        <v>15.38</v>
      </c>
      <c r="TII114" s="367" t="e">
        <f>TIF114*TIG114*TIH114</f>
        <v>#DIV/0!</v>
      </c>
      <c r="TIJ114" s="363" t="s">
        <v>153</v>
      </c>
      <c r="TIK114" s="363"/>
      <c r="TIL114" s="363"/>
      <c r="TIM114" s="364" t="s">
        <v>140</v>
      </c>
      <c r="TIN114" s="365">
        <v>0.5</v>
      </c>
      <c r="TIO114" s="366" t="e">
        <f>10/TIK112</f>
        <v>#DIV/0!</v>
      </c>
      <c r="TIP114" s="367">
        <v>15.38</v>
      </c>
      <c r="TIQ114" s="367" t="e">
        <f>TIN114*TIO114*TIP114</f>
        <v>#DIV/0!</v>
      </c>
      <c r="TIR114" s="363" t="s">
        <v>153</v>
      </c>
      <c r="TIS114" s="363"/>
      <c r="TIT114" s="363"/>
      <c r="TIU114" s="364" t="s">
        <v>140</v>
      </c>
      <c r="TIV114" s="365">
        <v>0.5</v>
      </c>
      <c r="TIW114" s="366" t="e">
        <f>10/TIS112</f>
        <v>#DIV/0!</v>
      </c>
      <c r="TIX114" s="367">
        <v>15.38</v>
      </c>
      <c r="TIY114" s="367" t="e">
        <f>TIV114*TIW114*TIX114</f>
        <v>#DIV/0!</v>
      </c>
      <c r="TIZ114" s="363" t="s">
        <v>153</v>
      </c>
      <c r="TJA114" s="363"/>
      <c r="TJB114" s="363"/>
      <c r="TJC114" s="364" t="s">
        <v>140</v>
      </c>
      <c r="TJD114" s="365">
        <v>0.5</v>
      </c>
      <c r="TJE114" s="366" t="e">
        <f>10/TJA112</f>
        <v>#DIV/0!</v>
      </c>
      <c r="TJF114" s="367">
        <v>15.38</v>
      </c>
      <c r="TJG114" s="367" t="e">
        <f>TJD114*TJE114*TJF114</f>
        <v>#DIV/0!</v>
      </c>
      <c r="TJH114" s="363" t="s">
        <v>153</v>
      </c>
      <c r="TJI114" s="363"/>
      <c r="TJJ114" s="363"/>
      <c r="TJK114" s="364" t="s">
        <v>140</v>
      </c>
      <c r="TJL114" s="365">
        <v>0.5</v>
      </c>
      <c r="TJM114" s="366" t="e">
        <f>10/TJI112</f>
        <v>#DIV/0!</v>
      </c>
      <c r="TJN114" s="367">
        <v>15.38</v>
      </c>
      <c r="TJO114" s="367" t="e">
        <f>TJL114*TJM114*TJN114</f>
        <v>#DIV/0!</v>
      </c>
      <c r="TJP114" s="363" t="s">
        <v>153</v>
      </c>
      <c r="TJQ114" s="363"/>
      <c r="TJR114" s="363"/>
      <c r="TJS114" s="364" t="s">
        <v>140</v>
      </c>
      <c r="TJT114" s="365">
        <v>0.5</v>
      </c>
      <c r="TJU114" s="366" t="e">
        <f>10/TJQ112</f>
        <v>#DIV/0!</v>
      </c>
      <c r="TJV114" s="367">
        <v>15.38</v>
      </c>
      <c r="TJW114" s="367" t="e">
        <f>TJT114*TJU114*TJV114</f>
        <v>#DIV/0!</v>
      </c>
      <c r="TJX114" s="363" t="s">
        <v>153</v>
      </c>
      <c r="TJY114" s="363"/>
      <c r="TJZ114" s="363"/>
      <c r="TKA114" s="364" t="s">
        <v>140</v>
      </c>
      <c r="TKB114" s="365">
        <v>0.5</v>
      </c>
      <c r="TKC114" s="366" t="e">
        <f>10/TJY112</f>
        <v>#DIV/0!</v>
      </c>
      <c r="TKD114" s="367">
        <v>15.38</v>
      </c>
      <c r="TKE114" s="367" t="e">
        <f>TKB114*TKC114*TKD114</f>
        <v>#DIV/0!</v>
      </c>
      <c r="TKF114" s="363" t="s">
        <v>153</v>
      </c>
      <c r="TKG114" s="363"/>
      <c r="TKH114" s="363"/>
      <c r="TKI114" s="364" t="s">
        <v>140</v>
      </c>
      <c r="TKJ114" s="365">
        <v>0.5</v>
      </c>
      <c r="TKK114" s="366" t="e">
        <f>10/TKG112</f>
        <v>#DIV/0!</v>
      </c>
      <c r="TKL114" s="367">
        <v>15.38</v>
      </c>
      <c r="TKM114" s="367" t="e">
        <f>TKJ114*TKK114*TKL114</f>
        <v>#DIV/0!</v>
      </c>
      <c r="TKN114" s="363" t="s">
        <v>153</v>
      </c>
      <c r="TKO114" s="363"/>
      <c r="TKP114" s="363"/>
      <c r="TKQ114" s="364" t="s">
        <v>140</v>
      </c>
      <c r="TKR114" s="365">
        <v>0.5</v>
      </c>
      <c r="TKS114" s="366" t="e">
        <f>10/TKO112</f>
        <v>#DIV/0!</v>
      </c>
      <c r="TKT114" s="367">
        <v>15.38</v>
      </c>
      <c r="TKU114" s="367" t="e">
        <f>TKR114*TKS114*TKT114</f>
        <v>#DIV/0!</v>
      </c>
      <c r="TKV114" s="363" t="s">
        <v>153</v>
      </c>
      <c r="TKW114" s="363"/>
      <c r="TKX114" s="363"/>
      <c r="TKY114" s="364" t="s">
        <v>140</v>
      </c>
      <c r="TKZ114" s="365">
        <v>0.5</v>
      </c>
      <c r="TLA114" s="366" t="e">
        <f>10/TKW112</f>
        <v>#DIV/0!</v>
      </c>
      <c r="TLB114" s="367">
        <v>15.38</v>
      </c>
      <c r="TLC114" s="367" t="e">
        <f>TKZ114*TLA114*TLB114</f>
        <v>#DIV/0!</v>
      </c>
      <c r="TLD114" s="363" t="s">
        <v>153</v>
      </c>
      <c r="TLE114" s="363"/>
      <c r="TLF114" s="363"/>
      <c r="TLG114" s="364" t="s">
        <v>140</v>
      </c>
      <c r="TLH114" s="365">
        <v>0.5</v>
      </c>
      <c r="TLI114" s="366" t="e">
        <f>10/TLE112</f>
        <v>#DIV/0!</v>
      </c>
      <c r="TLJ114" s="367">
        <v>15.38</v>
      </c>
      <c r="TLK114" s="367" t="e">
        <f>TLH114*TLI114*TLJ114</f>
        <v>#DIV/0!</v>
      </c>
      <c r="TLL114" s="363" t="s">
        <v>153</v>
      </c>
      <c r="TLM114" s="363"/>
      <c r="TLN114" s="363"/>
      <c r="TLO114" s="364" t="s">
        <v>140</v>
      </c>
      <c r="TLP114" s="365">
        <v>0.5</v>
      </c>
      <c r="TLQ114" s="366" t="e">
        <f>10/TLM112</f>
        <v>#DIV/0!</v>
      </c>
      <c r="TLR114" s="367">
        <v>15.38</v>
      </c>
      <c r="TLS114" s="367" t="e">
        <f>TLP114*TLQ114*TLR114</f>
        <v>#DIV/0!</v>
      </c>
      <c r="TLT114" s="363" t="s">
        <v>153</v>
      </c>
      <c r="TLU114" s="363"/>
      <c r="TLV114" s="363"/>
      <c r="TLW114" s="364" t="s">
        <v>140</v>
      </c>
      <c r="TLX114" s="365">
        <v>0.5</v>
      </c>
      <c r="TLY114" s="366" t="e">
        <f>10/TLU112</f>
        <v>#DIV/0!</v>
      </c>
      <c r="TLZ114" s="367">
        <v>15.38</v>
      </c>
      <c r="TMA114" s="367" t="e">
        <f>TLX114*TLY114*TLZ114</f>
        <v>#DIV/0!</v>
      </c>
      <c r="TMB114" s="363" t="s">
        <v>153</v>
      </c>
      <c r="TMC114" s="363"/>
      <c r="TMD114" s="363"/>
      <c r="TME114" s="364" t="s">
        <v>140</v>
      </c>
      <c r="TMF114" s="365">
        <v>0.5</v>
      </c>
      <c r="TMG114" s="366" t="e">
        <f>10/TMC112</f>
        <v>#DIV/0!</v>
      </c>
      <c r="TMH114" s="367">
        <v>15.38</v>
      </c>
      <c r="TMI114" s="367" t="e">
        <f>TMF114*TMG114*TMH114</f>
        <v>#DIV/0!</v>
      </c>
      <c r="TMJ114" s="363" t="s">
        <v>153</v>
      </c>
      <c r="TMK114" s="363"/>
      <c r="TML114" s="363"/>
      <c r="TMM114" s="364" t="s">
        <v>140</v>
      </c>
      <c r="TMN114" s="365">
        <v>0.5</v>
      </c>
      <c r="TMO114" s="366" t="e">
        <f>10/TMK112</f>
        <v>#DIV/0!</v>
      </c>
      <c r="TMP114" s="367">
        <v>15.38</v>
      </c>
      <c r="TMQ114" s="367" t="e">
        <f>TMN114*TMO114*TMP114</f>
        <v>#DIV/0!</v>
      </c>
      <c r="TMR114" s="363" t="s">
        <v>153</v>
      </c>
      <c r="TMS114" s="363"/>
      <c r="TMT114" s="363"/>
      <c r="TMU114" s="364" t="s">
        <v>140</v>
      </c>
      <c r="TMV114" s="365">
        <v>0.5</v>
      </c>
      <c r="TMW114" s="366" t="e">
        <f>10/TMS112</f>
        <v>#DIV/0!</v>
      </c>
      <c r="TMX114" s="367">
        <v>15.38</v>
      </c>
      <c r="TMY114" s="367" t="e">
        <f>TMV114*TMW114*TMX114</f>
        <v>#DIV/0!</v>
      </c>
      <c r="TMZ114" s="363" t="s">
        <v>153</v>
      </c>
      <c r="TNA114" s="363"/>
      <c r="TNB114" s="363"/>
      <c r="TNC114" s="364" t="s">
        <v>140</v>
      </c>
      <c r="TND114" s="365">
        <v>0.5</v>
      </c>
      <c r="TNE114" s="366" t="e">
        <f>10/TNA112</f>
        <v>#DIV/0!</v>
      </c>
      <c r="TNF114" s="367">
        <v>15.38</v>
      </c>
      <c r="TNG114" s="367" t="e">
        <f>TND114*TNE114*TNF114</f>
        <v>#DIV/0!</v>
      </c>
      <c r="TNH114" s="363" t="s">
        <v>153</v>
      </c>
      <c r="TNI114" s="363"/>
      <c r="TNJ114" s="363"/>
      <c r="TNK114" s="364" t="s">
        <v>140</v>
      </c>
      <c r="TNL114" s="365">
        <v>0.5</v>
      </c>
      <c r="TNM114" s="366" t="e">
        <f>10/TNI112</f>
        <v>#DIV/0!</v>
      </c>
      <c r="TNN114" s="367">
        <v>15.38</v>
      </c>
      <c r="TNO114" s="367" t="e">
        <f>TNL114*TNM114*TNN114</f>
        <v>#DIV/0!</v>
      </c>
      <c r="TNP114" s="363" t="s">
        <v>153</v>
      </c>
      <c r="TNQ114" s="363"/>
      <c r="TNR114" s="363"/>
      <c r="TNS114" s="364" t="s">
        <v>140</v>
      </c>
      <c r="TNT114" s="365">
        <v>0.5</v>
      </c>
      <c r="TNU114" s="366" t="e">
        <f>10/TNQ112</f>
        <v>#DIV/0!</v>
      </c>
      <c r="TNV114" s="367">
        <v>15.38</v>
      </c>
      <c r="TNW114" s="367" t="e">
        <f>TNT114*TNU114*TNV114</f>
        <v>#DIV/0!</v>
      </c>
      <c r="TNX114" s="363" t="s">
        <v>153</v>
      </c>
      <c r="TNY114" s="363"/>
      <c r="TNZ114" s="363"/>
      <c r="TOA114" s="364" t="s">
        <v>140</v>
      </c>
      <c r="TOB114" s="365">
        <v>0.5</v>
      </c>
      <c r="TOC114" s="366" t="e">
        <f>10/TNY112</f>
        <v>#DIV/0!</v>
      </c>
      <c r="TOD114" s="367">
        <v>15.38</v>
      </c>
      <c r="TOE114" s="367" t="e">
        <f>TOB114*TOC114*TOD114</f>
        <v>#DIV/0!</v>
      </c>
      <c r="TOF114" s="363" t="s">
        <v>153</v>
      </c>
      <c r="TOG114" s="363"/>
      <c r="TOH114" s="363"/>
      <c r="TOI114" s="364" t="s">
        <v>140</v>
      </c>
      <c r="TOJ114" s="365">
        <v>0.5</v>
      </c>
      <c r="TOK114" s="366" t="e">
        <f>10/TOG112</f>
        <v>#DIV/0!</v>
      </c>
      <c r="TOL114" s="367">
        <v>15.38</v>
      </c>
      <c r="TOM114" s="367" t="e">
        <f>TOJ114*TOK114*TOL114</f>
        <v>#DIV/0!</v>
      </c>
      <c r="TON114" s="363" t="s">
        <v>153</v>
      </c>
      <c r="TOO114" s="363"/>
      <c r="TOP114" s="363"/>
      <c r="TOQ114" s="364" t="s">
        <v>140</v>
      </c>
      <c r="TOR114" s="365">
        <v>0.5</v>
      </c>
      <c r="TOS114" s="366" t="e">
        <f>10/TOO112</f>
        <v>#DIV/0!</v>
      </c>
      <c r="TOT114" s="367">
        <v>15.38</v>
      </c>
      <c r="TOU114" s="367" t="e">
        <f>TOR114*TOS114*TOT114</f>
        <v>#DIV/0!</v>
      </c>
      <c r="TOV114" s="363" t="s">
        <v>153</v>
      </c>
      <c r="TOW114" s="363"/>
      <c r="TOX114" s="363"/>
      <c r="TOY114" s="364" t="s">
        <v>140</v>
      </c>
      <c r="TOZ114" s="365">
        <v>0.5</v>
      </c>
      <c r="TPA114" s="366" t="e">
        <f>10/TOW112</f>
        <v>#DIV/0!</v>
      </c>
      <c r="TPB114" s="367">
        <v>15.38</v>
      </c>
      <c r="TPC114" s="367" t="e">
        <f>TOZ114*TPA114*TPB114</f>
        <v>#DIV/0!</v>
      </c>
      <c r="TPD114" s="363" t="s">
        <v>153</v>
      </c>
      <c r="TPE114" s="363"/>
      <c r="TPF114" s="363"/>
      <c r="TPG114" s="364" t="s">
        <v>140</v>
      </c>
      <c r="TPH114" s="365">
        <v>0.5</v>
      </c>
      <c r="TPI114" s="366" t="e">
        <f>10/TPE112</f>
        <v>#DIV/0!</v>
      </c>
      <c r="TPJ114" s="367">
        <v>15.38</v>
      </c>
      <c r="TPK114" s="367" t="e">
        <f>TPH114*TPI114*TPJ114</f>
        <v>#DIV/0!</v>
      </c>
      <c r="TPL114" s="363" t="s">
        <v>153</v>
      </c>
      <c r="TPM114" s="363"/>
      <c r="TPN114" s="363"/>
      <c r="TPO114" s="364" t="s">
        <v>140</v>
      </c>
      <c r="TPP114" s="365">
        <v>0.5</v>
      </c>
      <c r="TPQ114" s="366" t="e">
        <f>10/TPM112</f>
        <v>#DIV/0!</v>
      </c>
      <c r="TPR114" s="367">
        <v>15.38</v>
      </c>
      <c r="TPS114" s="367" t="e">
        <f>TPP114*TPQ114*TPR114</f>
        <v>#DIV/0!</v>
      </c>
      <c r="TPT114" s="363" t="s">
        <v>153</v>
      </c>
      <c r="TPU114" s="363"/>
      <c r="TPV114" s="363"/>
      <c r="TPW114" s="364" t="s">
        <v>140</v>
      </c>
      <c r="TPX114" s="365">
        <v>0.5</v>
      </c>
      <c r="TPY114" s="366" t="e">
        <f>10/TPU112</f>
        <v>#DIV/0!</v>
      </c>
      <c r="TPZ114" s="367">
        <v>15.38</v>
      </c>
      <c r="TQA114" s="367" t="e">
        <f>TPX114*TPY114*TPZ114</f>
        <v>#DIV/0!</v>
      </c>
      <c r="TQB114" s="363" t="s">
        <v>153</v>
      </c>
      <c r="TQC114" s="363"/>
      <c r="TQD114" s="363"/>
      <c r="TQE114" s="364" t="s">
        <v>140</v>
      </c>
      <c r="TQF114" s="365">
        <v>0.5</v>
      </c>
      <c r="TQG114" s="366" t="e">
        <f>10/TQC112</f>
        <v>#DIV/0!</v>
      </c>
      <c r="TQH114" s="367">
        <v>15.38</v>
      </c>
      <c r="TQI114" s="367" t="e">
        <f>TQF114*TQG114*TQH114</f>
        <v>#DIV/0!</v>
      </c>
      <c r="TQJ114" s="363" t="s">
        <v>153</v>
      </c>
      <c r="TQK114" s="363"/>
      <c r="TQL114" s="363"/>
      <c r="TQM114" s="364" t="s">
        <v>140</v>
      </c>
      <c r="TQN114" s="365">
        <v>0.5</v>
      </c>
      <c r="TQO114" s="366" t="e">
        <f>10/TQK112</f>
        <v>#DIV/0!</v>
      </c>
      <c r="TQP114" s="367">
        <v>15.38</v>
      </c>
      <c r="TQQ114" s="367" t="e">
        <f>TQN114*TQO114*TQP114</f>
        <v>#DIV/0!</v>
      </c>
      <c r="TQR114" s="363" t="s">
        <v>153</v>
      </c>
      <c r="TQS114" s="363"/>
      <c r="TQT114" s="363"/>
      <c r="TQU114" s="364" t="s">
        <v>140</v>
      </c>
      <c r="TQV114" s="365">
        <v>0.5</v>
      </c>
      <c r="TQW114" s="366" t="e">
        <f>10/TQS112</f>
        <v>#DIV/0!</v>
      </c>
      <c r="TQX114" s="367">
        <v>15.38</v>
      </c>
      <c r="TQY114" s="367" t="e">
        <f>TQV114*TQW114*TQX114</f>
        <v>#DIV/0!</v>
      </c>
      <c r="TQZ114" s="363" t="s">
        <v>153</v>
      </c>
      <c r="TRA114" s="363"/>
      <c r="TRB114" s="363"/>
      <c r="TRC114" s="364" t="s">
        <v>140</v>
      </c>
      <c r="TRD114" s="365">
        <v>0.5</v>
      </c>
      <c r="TRE114" s="366" t="e">
        <f>10/TRA112</f>
        <v>#DIV/0!</v>
      </c>
      <c r="TRF114" s="367">
        <v>15.38</v>
      </c>
      <c r="TRG114" s="367" t="e">
        <f>TRD114*TRE114*TRF114</f>
        <v>#DIV/0!</v>
      </c>
      <c r="TRH114" s="363" t="s">
        <v>153</v>
      </c>
      <c r="TRI114" s="363"/>
      <c r="TRJ114" s="363"/>
      <c r="TRK114" s="364" t="s">
        <v>140</v>
      </c>
      <c r="TRL114" s="365">
        <v>0.5</v>
      </c>
      <c r="TRM114" s="366" t="e">
        <f>10/TRI112</f>
        <v>#DIV/0!</v>
      </c>
      <c r="TRN114" s="367">
        <v>15.38</v>
      </c>
      <c r="TRO114" s="367" t="e">
        <f>TRL114*TRM114*TRN114</f>
        <v>#DIV/0!</v>
      </c>
      <c r="TRP114" s="363" t="s">
        <v>153</v>
      </c>
      <c r="TRQ114" s="363"/>
      <c r="TRR114" s="363"/>
      <c r="TRS114" s="364" t="s">
        <v>140</v>
      </c>
      <c r="TRT114" s="365">
        <v>0.5</v>
      </c>
      <c r="TRU114" s="366" t="e">
        <f>10/TRQ112</f>
        <v>#DIV/0!</v>
      </c>
      <c r="TRV114" s="367">
        <v>15.38</v>
      </c>
      <c r="TRW114" s="367" t="e">
        <f>TRT114*TRU114*TRV114</f>
        <v>#DIV/0!</v>
      </c>
      <c r="TRX114" s="363" t="s">
        <v>153</v>
      </c>
      <c r="TRY114" s="363"/>
      <c r="TRZ114" s="363"/>
      <c r="TSA114" s="364" t="s">
        <v>140</v>
      </c>
      <c r="TSB114" s="365">
        <v>0.5</v>
      </c>
      <c r="TSC114" s="366" t="e">
        <f>10/TRY112</f>
        <v>#DIV/0!</v>
      </c>
      <c r="TSD114" s="367">
        <v>15.38</v>
      </c>
      <c r="TSE114" s="367" t="e">
        <f>TSB114*TSC114*TSD114</f>
        <v>#DIV/0!</v>
      </c>
      <c r="TSF114" s="363" t="s">
        <v>153</v>
      </c>
      <c r="TSG114" s="363"/>
      <c r="TSH114" s="363"/>
      <c r="TSI114" s="364" t="s">
        <v>140</v>
      </c>
      <c r="TSJ114" s="365">
        <v>0.5</v>
      </c>
      <c r="TSK114" s="366" t="e">
        <f>10/TSG112</f>
        <v>#DIV/0!</v>
      </c>
      <c r="TSL114" s="367">
        <v>15.38</v>
      </c>
      <c r="TSM114" s="367" t="e">
        <f>TSJ114*TSK114*TSL114</f>
        <v>#DIV/0!</v>
      </c>
      <c r="TSN114" s="363" t="s">
        <v>153</v>
      </c>
      <c r="TSO114" s="363"/>
      <c r="TSP114" s="363"/>
      <c r="TSQ114" s="364" t="s">
        <v>140</v>
      </c>
      <c r="TSR114" s="365">
        <v>0.5</v>
      </c>
      <c r="TSS114" s="366" t="e">
        <f>10/TSO112</f>
        <v>#DIV/0!</v>
      </c>
      <c r="TST114" s="367">
        <v>15.38</v>
      </c>
      <c r="TSU114" s="367" t="e">
        <f>TSR114*TSS114*TST114</f>
        <v>#DIV/0!</v>
      </c>
      <c r="TSV114" s="363" t="s">
        <v>153</v>
      </c>
      <c r="TSW114" s="363"/>
      <c r="TSX114" s="363"/>
      <c r="TSY114" s="364" t="s">
        <v>140</v>
      </c>
      <c r="TSZ114" s="365">
        <v>0.5</v>
      </c>
      <c r="TTA114" s="366" t="e">
        <f>10/TSW112</f>
        <v>#DIV/0!</v>
      </c>
      <c r="TTB114" s="367">
        <v>15.38</v>
      </c>
      <c r="TTC114" s="367" t="e">
        <f>TSZ114*TTA114*TTB114</f>
        <v>#DIV/0!</v>
      </c>
      <c r="TTD114" s="363" t="s">
        <v>153</v>
      </c>
      <c r="TTE114" s="363"/>
      <c r="TTF114" s="363"/>
      <c r="TTG114" s="364" t="s">
        <v>140</v>
      </c>
      <c r="TTH114" s="365">
        <v>0.5</v>
      </c>
      <c r="TTI114" s="366" t="e">
        <f>10/TTE112</f>
        <v>#DIV/0!</v>
      </c>
      <c r="TTJ114" s="367">
        <v>15.38</v>
      </c>
      <c r="TTK114" s="367" t="e">
        <f>TTH114*TTI114*TTJ114</f>
        <v>#DIV/0!</v>
      </c>
      <c r="TTL114" s="363" t="s">
        <v>153</v>
      </c>
      <c r="TTM114" s="363"/>
      <c r="TTN114" s="363"/>
      <c r="TTO114" s="364" t="s">
        <v>140</v>
      </c>
      <c r="TTP114" s="365">
        <v>0.5</v>
      </c>
      <c r="TTQ114" s="366" t="e">
        <f>10/TTM112</f>
        <v>#DIV/0!</v>
      </c>
      <c r="TTR114" s="367">
        <v>15.38</v>
      </c>
      <c r="TTS114" s="367" t="e">
        <f>TTP114*TTQ114*TTR114</f>
        <v>#DIV/0!</v>
      </c>
      <c r="TTT114" s="363" t="s">
        <v>153</v>
      </c>
      <c r="TTU114" s="363"/>
      <c r="TTV114" s="363"/>
      <c r="TTW114" s="364" t="s">
        <v>140</v>
      </c>
      <c r="TTX114" s="365">
        <v>0.5</v>
      </c>
      <c r="TTY114" s="366" t="e">
        <f>10/TTU112</f>
        <v>#DIV/0!</v>
      </c>
      <c r="TTZ114" s="367">
        <v>15.38</v>
      </c>
      <c r="TUA114" s="367" t="e">
        <f>TTX114*TTY114*TTZ114</f>
        <v>#DIV/0!</v>
      </c>
      <c r="TUB114" s="363" t="s">
        <v>153</v>
      </c>
      <c r="TUC114" s="363"/>
      <c r="TUD114" s="363"/>
      <c r="TUE114" s="364" t="s">
        <v>140</v>
      </c>
      <c r="TUF114" s="365">
        <v>0.5</v>
      </c>
      <c r="TUG114" s="366" t="e">
        <f>10/TUC112</f>
        <v>#DIV/0!</v>
      </c>
      <c r="TUH114" s="367">
        <v>15.38</v>
      </c>
      <c r="TUI114" s="367" t="e">
        <f>TUF114*TUG114*TUH114</f>
        <v>#DIV/0!</v>
      </c>
      <c r="TUJ114" s="363" t="s">
        <v>153</v>
      </c>
      <c r="TUK114" s="363"/>
      <c r="TUL114" s="363"/>
      <c r="TUM114" s="364" t="s">
        <v>140</v>
      </c>
      <c r="TUN114" s="365">
        <v>0.5</v>
      </c>
      <c r="TUO114" s="366" t="e">
        <f>10/TUK112</f>
        <v>#DIV/0!</v>
      </c>
      <c r="TUP114" s="367">
        <v>15.38</v>
      </c>
      <c r="TUQ114" s="367" t="e">
        <f>TUN114*TUO114*TUP114</f>
        <v>#DIV/0!</v>
      </c>
      <c r="TUR114" s="363" t="s">
        <v>153</v>
      </c>
      <c r="TUS114" s="363"/>
      <c r="TUT114" s="363"/>
      <c r="TUU114" s="364" t="s">
        <v>140</v>
      </c>
      <c r="TUV114" s="365">
        <v>0.5</v>
      </c>
      <c r="TUW114" s="366" t="e">
        <f>10/TUS112</f>
        <v>#DIV/0!</v>
      </c>
      <c r="TUX114" s="367">
        <v>15.38</v>
      </c>
      <c r="TUY114" s="367" t="e">
        <f>TUV114*TUW114*TUX114</f>
        <v>#DIV/0!</v>
      </c>
      <c r="TUZ114" s="363" t="s">
        <v>153</v>
      </c>
      <c r="TVA114" s="363"/>
      <c r="TVB114" s="363"/>
      <c r="TVC114" s="364" t="s">
        <v>140</v>
      </c>
      <c r="TVD114" s="365">
        <v>0.5</v>
      </c>
      <c r="TVE114" s="366" t="e">
        <f>10/TVA112</f>
        <v>#DIV/0!</v>
      </c>
      <c r="TVF114" s="367">
        <v>15.38</v>
      </c>
      <c r="TVG114" s="367" t="e">
        <f>TVD114*TVE114*TVF114</f>
        <v>#DIV/0!</v>
      </c>
      <c r="TVH114" s="363" t="s">
        <v>153</v>
      </c>
      <c r="TVI114" s="363"/>
      <c r="TVJ114" s="363"/>
      <c r="TVK114" s="364" t="s">
        <v>140</v>
      </c>
      <c r="TVL114" s="365">
        <v>0.5</v>
      </c>
      <c r="TVM114" s="366" t="e">
        <f>10/TVI112</f>
        <v>#DIV/0!</v>
      </c>
      <c r="TVN114" s="367">
        <v>15.38</v>
      </c>
      <c r="TVO114" s="367" t="e">
        <f>TVL114*TVM114*TVN114</f>
        <v>#DIV/0!</v>
      </c>
      <c r="TVP114" s="363" t="s">
        <v>153</v>
      </c>
      <c r="TVQ114" s="363"/>
      <c r="TVR114" s="363"/>
      <c r="TVS114" s="364" t="s">
        <v>140</v>
      </c>
      <c r="TVT114" s="365">
        <v>0.5</v>
      </c>
      <c r="TVU114" s="366" t="e">
        <f>10/TVQ112</f>
        <v>#DIV/0!</v>
      </c>
      <c r="TVV114" s="367">
        <v>15.38</v>
      </c>
      <c r="TVW114" s="367" t="e">
        <f>TVT114*TVU114*TVV114</f>
        <v>#DIV/0!</v>
      </c>
      <c r="TVX114" s="363" t="s">
        <v>153</v>
      </c>
      <c r="TVY114" s="363"/>
      <c r="TVZ114" s="363"/>
      <c r="TWA114" s="364" t="s">
        <v>140</v>
      </c>
      <c r="TWB114" s="365">
        <v>0.5</v>
      </c>
      <c r="TWC114" s="366" t="e">
        <f>10/TVY112</f>
        <v>#DIV/0!</v>
      </c>
      <c r="TWD114" s="367">
        <v>15.38</v>
      </c>
      <c r="TWE114" s="367" t="e">
        <f>TWB114*TWC114*TWD114</f>
        <v>#DIV/0!</v>
      </c>
      <c r="TWF114" s="363" t="s">
        <v>153</v>
      </c>
      <c r="TWG114" s="363"/>
      <c r="TWH114" s="363"/>
      <c r="TWI114" s="364" t="s">
        <v>140</v>
      </c>
      <c r="TWJ114" s="365">
        <v>0.5</v>
      </c>
      <c r="TWK114" s="366" t="e">
        <f>10/TWG112</f>
        <v>#DIV/0!</v>
      </c>
      <c r="TWL114" s="367">
        <v>15.38</v>
      </c>
      <c r="TWM114" s="367" t="e">
        <f>TWJ114*TWK114*TWL114</f>
        <v>#DIV/0!</v>
      </c>
      <c r="TWN114" s="363" t="s">
        <v>153</v>
      </c>
      <c r="TWO114" s="363"/>
      <c r="TWP114" s="363"/>
      <c r="TWQ114" s="364" t="s">
        <v>140</v>
      </c>
      <c r="TWR114" s="365">
        <v>0.5</v>
      </c>
      <c r="TWS114" s="366" t="e">
        <f>10/TWO112</f>
        <v>#DIV/0!</v>
      </c>
      <c r="TWT114" s="367">
        <v>15.38</v>
      </c>
      <c r="TWU114" s="367" t="e">
        <f>TWR114*TWS114*TWT114</f>
        <v>#DIV/0!</v>
      </c>
      <c r="TWV114" s="363" t="s">
        <v>153</v>
      </c>
      <c r="TWW114" s="363"/>
      <c r="TWX114" s="363"/>
      <c r="TWY114" s="364" t="s">
        <v>140</v>
      </c>
      <c r="TWZ114" s="365">
        <v>0.5</v>
      </c>
      <c r="TXA114" s="366" t="e">
        <f>10/TWW112</f>
        <v>#DIV/0!</v>
      </c>
      <c r="TXB114" s="367">
        <v>15.38</v>
      </c>
      <c r="TXC114" s="367" t="e">
        <f>TWZ114*TXA114*TXB114</f>
        <v>#DIV/0!</v>
      </c>
      <c r="TXD114" s="363" t="s">
        <v>153</v>
      </c>
      <c r="TXE114" s="363"/>
      <c r="TXF114" s="363"/>
      <c r="TXG114" s="364" t="s">
        <v>140</v>
      </c>
      <c r="TXH114" s="365">
        <v>0.5</v>
      </c>
      <c r="TXI114" s="366" t="e">
        <f>10/TXE112</f>
        <v>#DIV/0!</v>
      </c>
      <c r="TXJ114" s="367">
        <v>15.38</v>
      </c>
      <c r="TXK114" s="367" t="e">
        <f>TXH114*TXI114*TXJ114</f>
        <v>#DIV/0!</v>
      </c>
      <c r="TXL114" s="363" t="s">
        <v>153</v>
      </c>
      <c r="TXM114" s="363"/>
      <c r="TXN114" s="363"/>
      <c r="TXO114" s="364" t="s">
        <v>140</v>
      </c>
      <c r="TXP114" s="365">
        <v>0.5</v>
      </c>
      <c r="TXQ114" s="366" t="e">
        <f>10/TXM112</f>
        <v>#DIV/0!</v>
      </c>
      <c r="TXR114" s="367">
        <v>15.38</v>
      </c>
      <c r="TXS114" s="367" t="e">
        <f>TXP114*TXQ114*TXR114</f>
        <v>#DIV/0!</v>
      </c>
      <c r="TXT114" s="363" t="s">
        <v>153</v>
      </c>
      <c r="TXU114" s="363"/>
      <c r="TXV114" s="363"/>
      <c r="TXW114" s="364" t="s">
        <v>140</v>
      </c>
      <c r="TXX114" s="365">
        <v>0.5</v>
      </c>
      <c r="TXY114" s="366" t="e">
        <f>10/TXU112</f>
        <v>#DIV/0!</v>
      </c>
      <c r="TXZ114" s="367">
        <v>15.38</v>
      </c>
      <c r="TYA114" s="367" t="e">
        <f>TXX114*TXY114*TXZ114</f>
        <v>#DIV/0!</v>
      </c>
      <c r="TYB114" s="363" t="s">
        <v>153</v>
      </c>
      <c r="TYC114" s="363"/>
      <c r="TYD114" s="363"/>
      <c r="TYE114" s="364" t="s">
        <v>140</v>
      </c>
      <c r="TYF114" s="365">
        <v>0.5</v>
      </c>
      <c r="TYG114" s="366" t="e">
        <f>10/TYC112</f>
        <v>#DIV/0!</v>
      </c>
      <c r="TYH114" s="367">
        <v>15.38</v>
      </c>
      <c r="TYI114" s="367" t="e">
        <f>TYF114*TYG114*TYH114</f>
        <v>#DIV/0!</v>
      </c>
      <c r="TYJ114" s="363" t="s">
        <v>153</v>
      </c>
      <c r="TYK114" s="363"/>
      <c r="TYL114" s="363"/>
      <c r="TYM114" s="364" t="s">
        <v>140</v>
      </c>
      <c r="TYN114" s="365">
        <v>0.5</v>
      </c>
      <c r="TYO114" s="366" t="e">
        <f>10/TYK112</f>
        <v>#DIV/0!</v>
      </c>
      <c r="TYP114" s="367">
        <v>15.38</v>
      </c>
      <c r="TYQ114" s="367" t="e">
        <f>TYN114*TYO114*TYP114</f>
        <v>#DIV/0!</v>
      </c>
      <c r="TYR114" s="363" t="s">
        <v>153</v>
      </c>
      <c r="TYS114" s="363"/>
      <c r="TYT114" s="363"/>
      <c r="TYU114" s="364" t="s">
        <v>140</v>
      </c>
      <c r="TYV114" s="365">
        <v>0.5</v>
      </c>
      <c r="TYW114" s="366" t="e">
        <f>10/TYS112</f>
        <v>#DIV/0!</v>
      </c>
      <c r="TYX114" s="367">
        <v>15.38</v>
      </c>
      <c r="TYY114" s="367" t="e">
        <f>TYV114*TYW114*TYX114</f>
        <v>#DIV/0!</v>
      </c>
      <c r="TYZ114" s="363" t="s">
        <v>153</v>
      </c>
      <c r="TZA114" s="363"/>
      <c r="TZB114" s="363"/>
      <c r="TZC114" s="364" t="s">
        <v>140</v>
      </c>
      <c r="TZD114" s="365">
        <v>0.5</v>
      </c>
      <c r="TZE114" s="366" t="e">
        <f>10/TZA112</f>
        <v>#DIV/0!</v>
      </c>
      <c r="TZF114" s="367">
        <v>15.38</v>
      </c>
      <c r="TZG114" s="367" t="e">
        <f>TZD114*TZE114*TZF114</f>
        <v>#DIV/0!</v>
      </c>
      <c r="TZH114" s="363" t="s">
        <v>153</v>
      </c>
      <c r="TZI114" s="363"/>
      <c r="TZJ114" s="363"/>
      <c r="TZK114" s="364" t="s">
        <v>140</v>
      </c>
      <c r="TZL114" s="365">
        <v>0.5</v>
      </c>
      <c r="TZM114" s="366" t="e">
        <f>10/TZI112</f>
        <v>#DIV/0!</v>
      </c>
      <c r="TZN114" s="367">
        <v>15.38</v>
      </c>
      <c r="TZO114" s="367" t="e">
        <f>TZL114*TZM114*TZN114</f>
        <v>#DIV/0!</v>
      </c>
      <c r="TZP114" s="363" t="s">
        <v>153</v>
      </c>
      <c r="TZQ114" s="363"/>
      <c r="TZR114" s="363"/>
      <c r="TZS114" s="364" t="s">
        <v>140</v>
      </c>
      <c r="TZT114" s="365">
        <v>0.5</v>
      </c>
      <c r="TZU114" s="366" t="e">
        <f>10/TZQ112</f>
        <v>#DIV/0!</v>
      </c>
      <c r="TZV114" s="367">
        <v>15.38</v>
      </c>
      <c r="TZW114" s="367" t="e">
        <f>TZT114*TZU114*TZV114</f>
        <v>#DIV/0!</v>
      </c>
      <c r="TZX114" s="363" t="s">
        <v>153</v>
      </c>
      <c r="TZY114" s="363"/>
      <c r="TZZ114" s="363"/>
      <c r="UAA114" s="364" t="s">
        <v>140</v>
      </c>
      <c r="UAB114" s="365">
        <v>0.5</v>
      </c>
      <c r="UAC114" s="366" t="e">
        <f>10/TZY112</f>
        <v>#DIV/0!</v>
      </c>
      <c r="UAD114" s="367">
        <v>15.38</v>
      </c>
      <c r="UAE114" s="367" t="e">
        <f>UAB114*UAC114*UAD114</f>
        <v>#DIV/0!</v>
      </c>
      <c r="UAF114" s="363" t="s">
        <v>153</v>
      </c>
      <c r="UAG114" s="363"/>
      <c r="UAH114" s="363"/>
      <c r="UAI114" s="364" t="s">
        <v>140</v>
      </c>
      <c r="UAJ114" s="365">
        <v>0.5</v>
      </c>
      <c r="UAK114" s="366" t="e">
        <f>10/UAG112</f>
        <v>#DIV/0!</v>
      </c>
      <c r="UAL114" s="367">
        <v>15.38</v>
      </c>
      <c r="UAM114" s="367" t="e">
        <f>UAJ114*UAK114*UAL114</f>
        <v>#DIV/0!</v>
      </c>
      <c r="UAN114" s="363" t="s">
        <v>153</v>
      </c>
      <c r="UAO114" s="363"/>
      <c r="UAP114" s="363"/>
      <c r="UAQ114" s="364" t="s">
        <v>140</v>
      </c>
      <c r="UAR114" s="365">
        <v>0.5</v>
      </c>
      <c r="UAS114" s="366" t="e">
        <f>10/UAO112</f>
        <v>#DIV/0!</v>
      </c>
      <c r="UAT114" s="367">
        <v>15.38</v>
      </c>
      <c r="UAU114" s="367" t="e">
        <f>UAR114*UAS114*UAT114</f>
        <v>#DIV/0!</v>
      </c>
      <c r="UAV114" s="363" t="s">
        <v>153</v>
      </c>
      <c r="UAW114" s="363"/>
      <c r="UAX114" s="363"/>
      <c r="UAY114" s="364" t="s">
        <v>140</v>
      </c>
      <c r="UAZ114" s="365">
        <v>0.5</v>
      </c>
      <c r="UBA114" s="366" t="e">
        <f>10/UAW112</f>
        <v>#DIV/0!</v>
      </c>
      <c r="UBB114" s="367">
        <v>15.38</v>
      </c>
      <c r="UBC114" s="367" t="e">
        <f>UAZ114*UBA114*UBB114</f>
        <v>#DIV/0!</v>
      </c>
      <c r="UBD114" s="363" t="s">
        <v>153</v>
      </c>
      <c r="UBE114" s="363"/>
      <c r="UBF114" s="363"/>
      <c r="UBG114" s="364" t="s">
        <v>140</v>
      </c>
      <c r="UBH114" s="365">
        <v>0.5</v>
      </c>
      <c r="UBI114" s="366" t="e">
        <f>10/UBE112</f>
        <v>#DIV/0!</v>
      </c>
      <c r="UBJ114" s="367">
        <v>15.38</v>
      </c>
      <c r="UBK114" s="367" t="e">
        <f>UBH114*UBI114*UBJ114</f>
        <v>#DIV/0!</v>
      </c>
      <c r="UBL114" s="363" t="s">
        <v>153</v>
      </c>
      <c r="UBM114" s="363"/>
      <c r="UBN114" s="363"/>
      <c r="UBO114" s="364" t="s">
        <v>140</v>
      </c>
      <c r="UBP114" s="365">
        <v>0.5</v>
      </c>
      <c r="UBQ114" s="366" t="e">
        <f>10/UBM112</f>
        <v>#DIV/0!</v>
      </c>
      <c r="UBR114" s="367">
        <v>15.38</v>
      </c>
      <c r="UBS114" s="367" t="e">
        <f>UBP114*UBQ114*UBR114</f>
        <v>#DIV/0!</v>
      </c>
      <c r="UBT114" s="363" t="s">
        <v>153</v>
      </c>
      <c r="UBU114" s="363"/>
      <c r="UBV114" s="363"/>
      <c r="UBW114" s="364" t="s">
        <v>140</v>
      </c>
      <c r="UBX114" s="365">
        <v>0.5</v>
      </c>
      <c r="UBY114" s="366" t="e">
        <f>10/UBU112</f>
        <v>#DIV/0!</v>
      </c>
      <c r="UBZ114" s="367">
        <v>15.38</v>
      </c>
      <c r="UCA114" s="367" t="e">
        <f>UBX114*UBY114*UBZ114</f>
        <v>#DIV/0!</v>
      </c>
      <c r="UCB114" s="363" t="s">
        <v>153</v>
      </c>
      <c r="UCC114" s="363"/>
      <c r="UCD114" s="363"/>
      <c r="UCE114" s="364" t="s">
        <v>140</v>
      </c>
      <c r="UCF114" s="365">
        <v>0.5</v>
      </c>
      <c r="UCG114" s="366" t="e">
        <f>10/UCC112</f>
        <v>#DIV/0!</v>
      </c>
      <c r="UCH114" s="367">
        <v>15.38</v>
      </c>
      <c r="UCI114" s="367" t="e">
        <f>UCF114*UCG114*UCH114</f>
        <v>#DIV/0!</v>
      </c>
      <c r="UCJ114" s="363" t="s">
        <v>153</v>
      </c>
      <c r="UCK114" s="363"/>
      <c r="UCL114" s="363"/>
      <c r="UCM114" s="364" t="s">
        <v>140</v>
      </c>
      <c r="UCN114" s="365">
        <v>0.5</v>
      </c>
      <c r="UCO114" s="366" t="e">
        <f>10/UCK112</f>
        <v>#DIV/0!</v>
      </c>
      <c r="UCP114" s="367">
        <v>15.38</v>
      </c>
      <c r="UCQ114" s="367" t="e">
        <f>UCN114*UCO114*UCP114</f>
        <v>#DIV/0!</v>
      </c>
      <c r="UCR114" s="363" t="s">
        <v>153</v>
      </c>
      <c r="UCS114" s="363"/>
      <c r="UCT114" s="363"/>
      <c r="UCU114" s="364" t="s">
        <v>140</v>
      </c>
      <c r="UCV114" s="365">
        <v>0.5</v>
      </c>
      <c r="UCW114" s="366" t="e">
        <f>10/UCS112</f>
        <v>#DIV/0!</v>
      </c>
      <c r="UCX114" s="367">
        <v>15.38</v>
      </c>
      <c r="UCY114" s="367" t="e">
        <f>UCV114*UCW114*UCX114</f>
        <v>#DIV/0!</v>
      </c>
      <c r="UCZ114" s="363" t="s">
        <v>153</v>
      </c>
      <c r="UDA114" s="363"/>
      <c r="UDB114" s="363"/>
      <c r="UDC114" s="364" t="s">
        <v>140</v>
      </c>
      <c r="UDD114" s="365">
        <v>0.5</v>
      </c>
      <c r="UDE114" s="366" t="e">
        <f>10/UDA112</f>
        <v>#DIV/0!</v>
      </c>
      <c r="UDF114" s="367">
        <v>15.38</v>
      </c>
      <c r="UDG114" s="367" t="e">
        <f>UDD114*UDE114*UDF114</f>
        <v>#DIV/0!</v>
      </c>
      <c r="UDH114" s="363" t="s">
        <v>153</v>
      </c>
      <c r="UDI114" s="363"/>
      <c r="UDJ114" s="363"/>
      <c r="UDK114" s="364" t="s">
        <v>140</v>
      </c>
      <c r="UDL114" s="365">
        <v>0.5</v>
      </c>
      <c r="UDM114" s="366" t="e">
        <f>10/UDI112</f>
        <v>#DIV/0!</v>
      </c>
      <c r="UDN114" s="367">
        <v>15.38</v>
      </c>
      <c r="UDO114" s="367" t="e">
        <f>UDL114*UDM114*UDN114</f>
        <v>#DIV/0!</v>
      </c>
      <c r="UDP114" s="363" t="s">
        <v>153</v>
      </c>
      <c r="UDQ114" s="363"/>
      <c r="UDR114" s="363"/>
      <c r="UDS114" s="364" t="s">
        <v>140</v>
      </c>
      <c r="UDT114" s="365">
        <v>0.5</v>
      </c>
      <c r="UDU114" s="366" t="e">
        <f>10/UDQ112</f>
        <v>#DIV/0!</v>
      </c>
      <c r="UDV114" s="367">
        <v>15.38</v>
      </c>
      <c r="UDW114" s="367" t="e">
        <f>UDT114*UDU114*UDV114</f>
        <v>#DIV/0!</v>
      </c>
      <c r="UDX114" s="363" t="s">
        <v>153</v>
      </c>
      <c r="UDY114" s="363"/>
      <c r="UDZ114" s="363"/>
      <c r="UEA114" s="364" t="s">
        <v>140</v>
      </c>
      <c r="UEB114" s="365">
        <v>0.5</v>
      </c>
      <c r="UEC114" s="366" t="e">
        <f>10/UDY112</f>
        <v>#DIV/0!</v>
      </c>
      <c r="UED114" s="367">
        <v>15.38</v>
      </c>
      <c r="UEE114" s="367" t="e">
        <f>UEB114*UEC114*UED114</f>
        <v>#DIV/0!</v>
      </c>
      <c r="UEF114" s="363" t="s">
        <v>153</v>
      </c>
      <c r="UEG114" s="363"/>
      <c r="UEH114" s="363"/>
      <c r="UEI114" s="364" t="s">
        <v>140</v>
      </c>
      <c r="UEJ114" s="365">
        <v>0.5</v>
      </c>
      <c r="UEK114" s="366" t="e">
        <f>10/UEG112</f>
        <v>#DIV/0!</v>
      </c>
      <c r="UEL114" s="367">
        <v>15.38</v>
      </c>
      <c r="UEM114" s="367" t="e">
        <f>UEJ114*UEK114*UEL114</f>
        <v>#DIV/0!</v>
      </c>
      <c r="UEN114" s="363" t="s">
        <v>153</v>
      </c>
      <c r="UEO114" s="363"/>
      <c r="UEP114" s="363"/>
      <c r="UEQ114" s="364" t="s">
        <v>140</v>
      </c>
      <c r="UER114" s="365">
        <v>0.5</v>
      </c>
      <c r="UES114" s="366" t="e">
        <f>10/UEO112</f>
        <v>#DIV/0!</v>
      </c>
      <c r="UET114" s="367">
        <v>15.38</v>
      </c>
      <c r="UEU114" s="367" t="e">
        <f>UER114*UES114*UET114</f>
        <v>#DIV/0!</v>
      </c>
      <c r="UEV114" s="363" t="s">
        <v>153</v>
      </c>
      <c r="UEW114" s="363"/>
      <c r="UEX114" s="363"/>
      <c r="UEY114" s="364" t="s">
        <v>140</v>
      </c>
      <c r="UEZ114" s="365">
        <v>0.5</v>
      </c>
      <c r="UFA114" s="366" t="e">
        <f>10/UEW112</f>
        <v>#DIV/0!</v>
      </c>
      <c r="UFB114" s="367">
        <v>15.38</v>
      </c>
      <c r="UFC114" s="367" t="e">
        <f>UEZ114*UFA114*UFB114</f>
        <v>#DIV/0!</v>
      </c>
      <c r="UFD114" s="363" t="s">
        <v>153</v>
      </c>
      <c r="UFE114" s="363"/>
      <c r="UFF114" s="363"/>
      <c r="UFG114" s="364" t="s">
        <v>140</v>
      </c>
      <c r="UFH114" s="365">
        <v>0.5</v>
      </c>
      <c r="UFI114" s="366" t="e">
        <f>10/UFE112</f>
        <v>#DIV/0!</v>
      </c>
      <c r="UFJ114" s="367">
        <v>15.38</v>
      </c>
      <c r="UFK114" s="367" t="e">
        <f>UFH114*UFI114*UFJ114</f>
        <v>#DIV/0!</v>
      </c>
      <c r="UFL114" s="363" t="s">
        <v>153</v>
      </c>
      <c r="UFM114" s="363"/>
      <c r="UFN114" s="363"/>
      <c r="UFO114" s="364" t="s">
        <v>140</v>
      </c>
      <c r="UFP114" s="365">
        <v>0.5</v>
      </c>
      <c r="UFQ114" s="366" t="e">
        <f>10/UFM112</f>
        <v>#DIV/0!</v>
      </c>
      <c r="UFR114" s="367">
        <v>15.38</v>
      </c>
      <c r="UFS114" s="367" t="e">
        <f>UFP114*UFQ114*UFR114</f>
        <v>#DIV/0!</v>
      </c>
      <c r="UFT114" s="363" t="s">
        <v>153</v>
      </c>
      <c r="UFU114" s="363"/>
      <c r="UFV114" s="363"/>
      <c r="UFW114" s="364" t="s">
        <v>140</v>
      </c>
      <c r="UFX114" s="365">
        <v>0.5</v>
      </c>
      <c r="UFY114" s="366" t="e">
        <f>10/UFU112</f>
        <v>#DIV/0!</v>
      </c>
      <c r="UFZ114" s="367">
        <v>15.38</v>
      </c>
      <c r="UGA114" s="367" t="e">
        <f>UFX114*UFY114*UFZ114</f>
        <v>#DIV/0!</v>
      </c>
      <c r="UGB114" s="363" t="s">
        <v>153</v>
      </c>
      <c r="UGC114" s="363"/>
      <c r="UGD114" s="363"/>
      <c r="UGE114" s="364" t="s">
        <v>140</v>
      </c>
      <c r="UGF114" s="365">
        <v>0.5</v>
      </c>
      <c r="UGG114" s="366" t="e">
        <f>10/UGC112</f>
        <v>#DIV/0!</v>
      </c>
      <c r="UGH114" s="367">
        <v>15.38</v>
      </c>
      <c r="UGI114" s="367" t="e">
        <f>UGF114*UGG114*UGH114</f>
        <v>#DIV/0!</v>
      </c>
      <c r="UGJ114" s="363" t="s">
        <v>153</v>
      </c>
      <c r="UGK114" s="363"/>
      <c r="UGL114" s="363"/>
      <c r="UGM114" s="364" t="s">
        <v>140</v>
      </c>
      <c r="UGN114" s="365">
        <v>0.5</v>
      </c>
      <c r="UGO114" s="366" t="e">
        <f>10/UGK112</f>
        <v>#DIV/0!</v>
      </c>
      <c r="UGP114" s="367">
        <v>15.38</v>
      </c>
      <c r="UGQ114" s="367" t="e">
        <f>UGN114*UGO114*UGP114</f>
        <v>#DIV/0!</v>
      </c>
      <c r="UGR114" s="363" t="s">
        <v>153</v>
      </c>
      <c r="UGS114" s="363"/>
      <c r="UGT114" s="363"/>
      <c r="UGU114" s="364" t="s">
        <v>140</v>
      </c>
      <c r="UGV114" s="365">
        <v>0.5</v>
      </c>
      <c r="UGW114" s="366" t="e">
        <f>10/UGS112</f>
        <v>#DIV/0!</v>
      </c>
      <c r="UGX114" s="367">
        <v>15.38</v>
      </c>
      <c r="UGY114" s="367" t="e">
        <f>UGV114*UGW114*UGX114</f>
        <v>#DIV/0!</v>
      </c>
      <c r="UGZ114" s="363" t="s">
        <v>153</v>
      </c>
      <c r="UHA114" s="363"/>
      <c r="UHB114" s="363"/>
      <c r="UHC114" s="364" t="s">
        <v>140</v>
      </c>
      <c r="UHD114" s="365">
        <v>0.5</v>
      </c>
      <c r="UHE114" s="366" t="e">
        <f>10/UHA112</f>
        <v>#DIV/0!</v>
      </c>
      <c r="UHF114" s="367">
        <v>15.38</v>
      </c>
      <c r="UHG114" s="367" t="e">
        <f>UHD114*UHE114*UHF114</f>
        <v>#DIV/0!</v>
      </c>
      <c r="UHH114" s="363" t="s">
        <v>153</v>
      </c>
      <c r="UHI114" s="363"/>
      <c r="UHJ114" s="363"/>
      <c r="UHK114" s="364" t="s">
        <v>140</v>
      </c>
      <c r="UHL114" s="365">
        <v>0.5</v>
      </c>
      <c r="UHM114" s="366" t="e">
        <f>10/UHI112</f>
        <v>#DIV/0!</v>
      </c>
      <c r="UHN114" s="367">
        <v>15.38</v>
      </c>
      <c r="UHO114" s="367" t="e">
        <f>UHL114*UHM114*UHN114</f>
        <v>#DIV/0!</v>
      </c>
      <c r="UHP114" s="363" t="s">
        <v>153</v>
      </c>
      <c r="UHQ114" s="363"/>
      <c r="UHR114" s="363"/>
      <c r="UHS114" s="364" t="s">
        <v>140</v>
      </c>
      <c r="UHT114" s="365">
        <v>0.5</v>
      </c>
      <c r="UHU114" s="366" t="e">
        <f>10/UHQ112</f>
        <v>#DIV/0!</v>
      </c>
      <c r="UHV114" s="367">
        <v>15.38</v>
      </c>
      <c r="UHW114" s="367" t="e">
        <f>UHT114*UHU114*UHV114</f>
        <v>#DIV/0!</v>
      </c>
      <c r="UHX114" s="363" t="s">
        <v>153</v>
      </c>
      <c r="UHY114" s="363"/>
      <c r="UHZ114" s="363"/>
      <c r="UIA114" s="364" t="s">
        <v>140</v>
      </c>
      <c r="UIB114" s="365">
        <v>0.5</v>
      </c>
      <c r="UIC114" s="366" t="e">
        <f>10/UHY112</f>
        <v>#DIV/0!</v>
      </c>
      <c r="UID114" s="367">
        <v>15.38</v>
      </c>
      <c r="UIE114" s="367" t="e">
        <f>UIB114*UIC114*UID114</f>
        <v>#DIV/0!</v>
      </c>
      <c r="UIF114" s="363" t="s">
        <v>153</v>
      </c>
      <c r="UIG114" s="363"/>
      <c r="UIH114" s="363"/>
      <c r="UII114" s="364" t="s">
        <v>140</v>
      </c>
      <c r="UIJ114" s="365">
        <v>0.5</v>
      </c>
      <c r="UIK114" s="366" t="e">
        <f>10/UIG112</f>
        <v>#DIV/0!</v>
      </c>
      <c r="UIL114" s="367">
        <v>15.38</v>
      </c>
      <c r="UIM114" s="367" t="e">
        <f>UIJ114*UIK114*UIL114</f>
        <v>#DIV/0!</v>
      </c>
      <c r="UIN114" s="363" t="s">
        <v>153</v>
      </c>
      <c r="UIO114" s="363"/>
      <c r="UIP114" s="363"/>
      <c r="UIQ114" s="364" t="s">
        <v>140</v>
      </c>
      <c r="UIR114" s="365">
        <v>0.5</v>
      </c>
      <c r="UIS114" s="366" t="e">
        <f>10/UIO112</f>
        <v>#DIV/0!</v>
      </c>
      <c r="UIT114" s="367">
        <v>15.38</v>
      </c>
      <c r="UIU114" s="367" t="e">
        <f>UIR114*UIS114*UIT114</f>
        <v>#DIV/0!</v>
      </c>
      <c r="UIV114" s="363" t="s">
        <v>153</v>
      </c>
      <c r="UIW114" s="363"/>
      <c r="UIX114" s="363"/>
      <c r="UIY114" s="364" t="s">
        <v>140</v>
      </c>
      <c r="UIZ114" s="365">
        <v>0.5</v>
      </c>
      <c r="UJA114" s="366" t="e">
        <f>10/UIW112</f>
        <v>#DIV/0!</v>
      </c>
      <c r="UJB114" s="367">
        <v>15.38</v>
      </c>
      <c r="UJC114" s="367" t="e">
        <f>UIZ114*UJA114*UJB114</f>
        <v>#DIV/0!</v>
      </c>
      <c r="UJD114" s="363" t="s">
        <v>153</v>
      </c>
      <c r="UJE114" s="363"/>
      <c r="UJF114" s="363"/>
      <c r="UJG114" s="364" t="s">
        <v>140</v>
      </c>
      <c r="UJH114" s="365">
        <v>0.5</v>
      </c>
      <c r="UJI114" s="366" t="e">
        <f>10/UJE112</f>
        <v>#DIV/0!</v>
      </c>
      <c r="UJJ114" s="367">
        <v>15.38</v>
      </c>
      <c r="UJK114" s="367" t="e">
        <f>UJH114*UJI114*UJJ114</f>
        <v>#DIV/0!</v>
      </c>
      <c r="UJL114" s="363" t="s">
        <v>153</v>
      </c>
      <c r="UJM114" s="363"/>
      <c r="UJN114" s="363"/>
      <c r="UJO114" s="364" t="s">
        <v>140</v>
      </c>
      <c r="UJP114" s="365">
        <v>0.5</v>
      </c>
      <c r="UJQ114" s="366" t="e">
        <f>10/UJM112</f>
        <v>#DIV/0!</v>
      </c>
      <c r="UJR114" s="367">
        <v>15.38</v>
      </c>
      <c r="UJS114" s="367" t="e">
        <f>UJP114*UJQ114*UJR114</f>
        <v>#DIV/0!</v>
      </c>
      <c r="UJT114" s="363" t="s">
        <v>153</v>
      </c>
      <c r="UJU114" s="363"/>
      <c r="UJV114" s="363"/>
      <c r="UJW114" s="364" t="s">
        <v>140</v>
      </c>
      <c r="UJX114" s="365">
        <v>0.5</v>
      </c>
      <c r="UJY114" s="366" t="e">
        <f>10/UJU112</f>
        <v>#DIV/0!</v>
      </c>
      <c r="UJZ114" s="367">
        <v>15.38</v>
      </c>
      <c r="UKA114" s="367" t="e">
        <f>UJX114*UJY114*UJZ114</f>
        <v>#DIV/0!</v>
      </c>
      <c r="UKB114" s="363" t="s">
        <v>153</v>
      </c>
      <c r="UKC114" s="363"/>
      <c r="UKD114" s="363"/>
      <c r="UKE114" s="364" t="s">
        <v>140</v>
      </c>
      <c r="UKF114" s="365">
        <v>0.5</v>
      </c>
      <c r="UKG114" s="366" t="e">
        <f>10/UKC112</f>
        <v>#DIV/0!</v>
      </c>
      <c r="UKH114" s="367">
        <v>15.38</v>
      </c>
      <c r="UKI114" s="367" t="e">
        <f>UKF114*UKG114*UKH114</f>
        <v>#DIV/0!</v>
      </c>
      <c r="UKJ114" s="363" t="s">
        <v>153</v>
      </c>
      <c r="UKK114" s="363"/>
      <c r="UKL114" s="363"/>
      <c r="UKM114" s="364" t="s">
        <v>140</v>
      </c>
      <c r="UKN114" s="365">
        <v>0.5</v>
      </c>
      <c r="UKO114" s="366" t="e">
        <f>10/UKK112</f>
        <v>#DIV/0!</v>
      </c>
      <c r="UKP114" s="367">
        <v>15.38</v>
      </c>
      <c r="UKQ114" s="367" t="e">
        <f>UKN114*UKO114*UKP114</f>
        <v>#DIV/0!</v>
      </c>
      <c r="UKR114" s="363" t="s">
        <v>153</v>
      </c>
      <c r="UKS114" s="363"/>
      <c r="UKT114" s="363"/>
      <c r="UKU114" s="364" t="s">
        <v>140</v>
      </c>
      <c r="UKV114" s="365">
        <v>0.5</v>
      </c>
      <c r="UKW114" s="366" t="e">
        <f>10/UKS112</f>
        <v>#DIV/0!</v>
      </c>
      <c r="UKX114" s="367">
        <v>15.38</v>
      </c>
      <c r="UKY114" s="367" t="e">
        <f>UKV114*UKW114*UKX114</f>
        <v>#DIV/0!</v>
      </c>
      <c r="UKZ114" s="363" t="s">
        <v>153</v>
      </c>
      <c r="ULA114" s="363"/>
      <c r="ULB114" s="363"/>
      <c r="ULC114" s="364" t="s">
        <v>140</v>
      </c>
      <c r="ULD114" s="365">
        <v>0.5</v>
      </c>
      <c r="ULE114" s="366" t="e">
        <f>10/ULA112</f>
        <v>#DIV/0!</v>
      </c>
      <c r="ULF114" s="367">
        <v>15.38</v>
      </c>
      <c r="ULG114" s="367" t="e">
        <f>ULD114*ULE114*ULF114</f>
        <v>#DIV/0!</v>
      </c>
      <c r="ULH114" s="363" t="s">
        <v>153</v>
      </c>
      <c r="ULI114" s="363"/>
      <c r="ULJ114" s="363"/>
      <c r="ULK114" s="364" t="s">
        <v>140</v>
      </c>
      <c r="ULL114" s="365">
        <v>0.5</v>
      </c>
      <c r="ULM114" s="366" t="e">
        <f>10/ULI112</f>
        <v>#DIV/0!</v>
      </c>
      <c r="ULN114" s="367">
        <v>15.38</v>
      </c>
      <c r="ULO114" s="367" t="e">
        <f>ULL114*ULM114*ULN114</f>
        <v>#DIV/0!</v>
      </c>
      <c r="ULP114" s="363" t="s">
        <v>153</v>
      </c>
      <c r="ULQ114" s="363"/>
      <c r="ULR114" s="363"/>
      <c r="ULS114" s="364" t="s">
        <v>140</v>
      </c>
      <c r="ULT114" s="365">
        <v>0.5</v>
      </c>
      <c r="ULU114" s="366" t="e">
        <f>10/ULQ112</f>
        <v>#DIV/0!</v>
      </c>
      <c r="ULV114" s="367">
        <v>15.38</v>
      </c>
      <c r="ULW114" s="367" t="e">
        <f>ULT114*ULU114*ULV114</f>
        <v>#DIV/0!</v>
      </c>
      <c r="ULX114" s="363" t="s">
        <v>153</v>
      </c>
      <c r="ULY114" s="363"/>
      <c r="ULZ114" s="363"/>
      <c r="UMA114" s="364" t="s">
        <v>140</v>
      </c>
      <c r="UMB114" s="365">
        <v>0.5</v>
      </c>
      <c r="UMC114" s="366" t="e">
        <f>10/ULY112</f>
        <v>#DIV/0!</v>
      </c>
      <c r="UMD114" s="367">
        <v>15.38</v>
      </c>
      <c r="UME114" s="367" t="e">
        <f>UMB114*UMC114*UMD114</f>
        <v>#DIV/0!</v>
      </c>
      <c r="UMF114" s="363" t="s">
        <v>153</v>
      </c>
      <c r="UMG114" s="363"/>
      <c r="UMH114" s="363"/>
      <c r="UMI114" s="364" t="s">
        <v>140</v>
      </c>
      <c r="UMJ114" s="365">
        <v>0.5</v>
      </c>
      <c r="UMK114" s="366" t="e">
        <f>10/UMG112</f>
        <v>#DIV/0!</v>
      </c>
      <c r="UML114" s="367">
        <v>15.38</v>
      </c>
      <c r="UMM114" s="367" t="e">
        <f>UMJ114*UMK114*UML114</f>
        <v>#DIV/0!</v>
      </c>
      <c r="UMN114" s="363" t="s">
        <v>153</v>
      </c>
      <c r="UMO114" s="363"/>
      <c r="UMP114" s="363"/>
      <c r="UMQ114" s="364" t="s">
        <v>140</v>
      </c>
      <c r="UMR114" s="365">
        <v>0.5</v>
      </c>
      <c r="UMS114" s="366" t="e">
        <f>10/UMO112</f>
        <v>#DIV/0!</v>
      </c>
      <c r="UMT114" s="367">
        <v>15.38</v>
      </c>
      <c r="UMU114" s="367" t="e">
        <f>UMR114*UMS114*UMT114</f>
        <v>#DIV/0!</v>
      </c>
      <c r="UMV114" s="363" t="s">
        <v>153</v>
      </c>
      <c r="UMW114" s="363"/>
      <c r="UMX114" s="363"/>
      <c r="UMY114" s="364" t="s">
        <v>140</v>
      </c>
      <c r="UMZ114" s="365">
        <v>0.5</v>
      </c>
      <c r="UNA114" s="366" t="e">
        <f>10/UMW112</f>
        <v>#DIV/0!</v>
      </c>
      <c r="UNB114" s="367">
        <v>15.38</v>
      </c>
      <c r="UNC114" s="367" t="e">
        <f>UMZ114*UNA114*UNB114</f>
        <v>#DIV/0!</v>
      </c>
      <c r="UND114" s="363" t="s">
        <v>153</v>
      </c>
      <c r="UNE114" s="363"/>
      <c r="UNF114" s="363"/>
      <c r="UNG114" s="364" t="s">
        <v>140</v>
      </c>
      <c r="UNH114" s="365">
        <v>0.5</v>
      </c>
      <c r="UNI114" s="366" t="e">
        <f>10/UNE112</f>
        <v>#DIV/0!</v>
      </c>
      <c r="UNJ114" s="367">
        <v>15.38</v>
      </c>
      <c r="UNK114" s="367" t="e">
        <f>UNH114*UNI114*UNJ114</f>
        <v>#DIV/0!</v>
      </c>
      <c r="UNL114" s="363" t="s">
        <v>153</v>
      </c>
      <c r="UNM114" s="363"/>
      <c r="UNN114" s="363"/>
      <c r="UNO114" s="364" t="s">
        <v>140</v>
      </c>
      <c r="UNP114" s="365">
        <v>0.5</v>
      </c>
      <c r="UNQ114" s="366" t="e">
        <f>10/UNM112</f>
        <v>#DIV/0!</v>
      </c>
      <c r="UNR114" s="367">
        <v>15.38</v>
      </c>
      <c r="UNS114" s="367" t="e">
        <f>UNP114*UNQ114*UNR114</f>
        <v>#DIV/0!</v>
      </c>
      <c r="UNT114" s="363" t="s">
        <v>153</v>
      </c>
      <c r="UNU114" s="363"/>
      <c r="UNV114" s="363"/>
      <c r="UNW114" s="364" t="s">
        <v>140</v>
      </c>
      <c r="UNX114" s="365">
        <v>0.5</v>
      </c>
      <c r="UNY114" s="366" t="e">
        <f>10/UNU112</f>
        <v>#DIV/0!</v>
      </c>
      <c r="UNZ114" s="367">
        <v>15.38</v>
      </c>
      <c r="UOA114" s="367" t="e">
        <f>UNX114*UNY114*UNZ114</f>
        <v>#DIV/0!</v>
      </c>
      <c r="UOB114" s="363" t="s">
        <v>153</v>
      </c>
      <c r="UOC114" s="363"/>
      <c r="UOD114" s="363"/>
      <c r="UOE114" s="364" t="s">
        <v>140</v>
      </c>
      <c r="UOF114" s="365">
        <v>0.5</v>
      </c>
      <c r="UOG114" s="366" t="e">
        <f>10/UOC112</f>
        <v>#DIV/0!</v>
      </c>
      <c r="UOH114" s="367">
        <v>15.38</v>
      </c>
      <c r="UOI114" s="367" t="e">
        <f>UOF114*UOG114*UOH114</f>
        <v>#DIV/0!</v>
      </c>
      <c r="UOJ114" s="363" t="s">
        <v>153</v>
      </c>
      <c r="UOK114" s="363"/>
      <c r="UOL114" s="363"/>
      <c r="UOM114" s="364" t="s">
        <v>140</v>
      </c>
      <c r="UON114" s="365">
        <v>0.5</v>
      </c>
      <c r="UOO114" s="366" t="e">
        <f>10/UOK112</f>
        <v>#DIV/0!</v>
      </c>
      <c r="UOP114" s="367">
        <v>15.38</v>
      </c>
      <c r="UOQ114" s="367" t="e">
        <f>UON114*UOO114*UOP114</f>
        <v>#DIV/0!</v>
      </c>
      <c r="UOR114" s="363" t="s">
        <v>153</v>
      </c>
      <c r="UOS114" s="363"/>
      <c r="UOT114" s="363"/>
      <c r="UOU114" s="364" t="s">
        <v>140</v>
      </c>
      <c r="UOV114" s="365">
        <v>0.5</v>
      </c>
      <c r="UOW114" s="366" t="e">
        <f>10/UOS112</f>
        <v>#DIV/0!</v>
      </c>
      <c r="UOX114" s="367">
        <v>15.38</v>
      </c>
      <c r="UOY114" s="367" t="e">
        <f>UOV114*UOW114*UOX114</f>
        <v>#DIV/0!</v>
      </c>
      <c r="UOZ114" s="363" t="s">
        <v>153</v>
      </c>
      <c r="UPA114" s="363"/>
      <c r="UPB114" s="363"/>
      <c r="UPC114" s="364" t="s">
        <v>140</v>
      </c>
      <c r="UPD114" s="365">
        <v>0.5</v>
      </c>
      <c r="UPE114" s="366" t="e">
        <f>10/UPA112</f>
        <v>#DIV/0!</v>
      </c>
      <c r="UPF114" s="367">
        <v>15.38</v>
      </c>
      <c r="UPG114" s="367" t="e">
        <f>UPD114*UPE114*UPF114</f>
        <v>#DIV/0!</v>
      </c>
      <c r="UPH114" s="363" t="s">
        <v>153</v>
      </c>
      <c r="UPI114" s="363"/>
      <c r="UPJ114" s="363"/>
      <c r="UPK114" s="364" t="s">
        <v>140</v>
      </c>
      <c r="UPL114" s="365">
        <v>0.5</v>
      </c>
      <c r="UPM114" s="366" t="e">
        <f>10/UPI112</f>
        <v>#DIV/0!</v>
      </c>
      <c r="UPN114" s="367">
        <v>15.38</v>
      </c>
      <c r="UPO114" s="367" t="e">
        <f>UPL114*UPM114*UPN114</f>
        <v>#DIV/0!</v>
      </c>
      <c r="UPP114" s="363" t="s">
        <v>153</v>
      </c>
      <c r="UPQ114" s="363"/>
      <c r="UPR114" s="363"/>
      <c r="UPS114" s="364" t="s">
        <v>140</v>
      </c>
      <c r="UPT114" s="365">
        <v>0.5</v>
      </c>
      <c r="UPU114" s="366" t="e">
        <f>10/UPQ112</f>
        <v>#DIV/0!</v>
      </c>
      <c r="UPV114" s="367">
        <v>15.38</v>
      </c>
      <c r="UPW114" s="367" t="e">
        <f>UPT114*UPU114*UPV114</f>
        <v>#DIV/0!</v>
      </c>
      <c r="UPX114" s="363" t="s">
        <v>153</v>
      </c>
      <c r="UPY114" s="363"/>
      <c r="UPZ114" s="363"/>
      <c r="UQA114" s="364" t="s">
        <v>140</v>
      </c>
      <c r="UQB114" s="365">
        <v>0.5</v>
      </c>
      <c r="UQC114" s="366" t="e">
        <f>10/UPY112</f>
        <v>#DIV/0!</v>
      </c>
      <c r="UQD114" s="367">
        <v>15.38</v>
      </c>
      <c r="UQE114" s="367" t="e">
        <f>UQB114*UQC114*UQD114</f>
        <v>#DIV/0!</v>
      </c>
      <c r="UQF114" s="363" t="s">
        <v>153</v>
      </c>
      <c r="UQG114" s="363"/>
      <c r="UQH114" s="363"/>
      <c r="UQI114" s="364" t="s">
        <v>140</v>
      </c>
      <c r="UQJ114" s="365">
        <v>0.5</v>
      </c>
      <c r="UQK114" s="366" t="e">
        <f>10/UQG112</f>
        <v>#DIV/0!</v>
      </c>
      <c r="UQL114" s="367">
        <v>15.38</v>
      </c>
      <c r="UQM114" s="367" t="e">
        <f>UQJ114*UQK114*UQL114</f>
        <v>#DIV/0!</v>
      </c>
      <c r="UQN114" s="363" t="s">
        <v>153</v>
      </c>
      <c r="UQO114" s="363"/>
      <c r="UQP114" s="363"/>
      <c r="UQQ114" s="364" t="s">
        <v>140</v>
      </c>
      <c r="UQR114" s="365">
        <v>0.5</v>
      </c>
      <c r="UQS114" s="366" t="e">
        <f>10/UQO112</f>
        <v>#DIV/0!</v>
      </c>
      <c r="UQT114" s="367">
        <v>15.38</v>
      </c>
      <c r="UQU114" s="367" t="e">
        <f>UQR114*UQS114*UQT114</f>
        <v>#DIV/0!</v>
      </c>
      <c r="UQV114" s="363" t="s">
        <v>153</v>
      </c>
      <c r="UQW114" s="363"/>
      <c r="UQX114" s="363"/>
      <c r="UQY114" s="364" t="s">
        <v>140</v>
      </c>
      <c r="UQZ114" s="365">
        <v>0.5</v>
      </c>
      <c r="URA114" s="366" t="e">
        <f>10/UQW112</f>
        <v>#DIV/0!</v>
      </c>
      <c r="URB114" s="367">
        <v>15.38</v>
      </c>
      <c r="URC114" s="367" t="e">
        <f>UQZ114*URA114*URB114</f>
        <v>#DIV/0!</v>
      </c>
      <c r="URD114" s="363" t="s">
        <v>153</v>
      </c>
      <c r="URE114" s="363"/>
      <c r="URF114" s="363"/>
      <c r="URG114" s="364" t="s">
        <v>140</v>
      </c>
      <c r="URH114" s="365">
        <v>0.5</v>
      </c>
      <c r="URI114" s="366" t="e">
        <f>10/URE112</f>
        <v>#DIV/0!</v>
      </c>
      <c r="URJ114" s="367">
        <v>15.38</v>
      </c>
      <c r="URK114" s="367" t="e">
        <f>URH114*URI114*URJ114</f>
        <v>#DIV/0!</v>
      </c>
      <c r="URL114" s="363" t="s">
        <v>153</v>
      </c>
      <c r="URM114" s="363"/>
      <c r="URN114" s="363"/>
      <c r="URO114" s="364" t="s">
        <v>140</v>
      </c>
      <c r="URP114" s="365">
        <v>0.5</v>
      </c>
      <c r="URQ114" s="366" t="e">
        <f>10/URM112</f>
        <v>#DIV/0!</v>
      </c>
      <c r="URR114" s="367">
        <v>15.38</v>
      </c>
      <c r="URS114" s="367" t="e">
        <f>URP114*URQ114*URR114</f>
        <v>#DIV/0!</v>
      </c>
      <c r="URT114" s="363" t="s">
        <v>153</v>
      </c>
      <c r="URU114" s="363"/>
      <c r="URV114" s="363"/>
      <c r="URW114" s="364" t="s">
        <v>140</v>
      </c>
      <c r="URX114" s="365">
        <v>0.5</v>
      </c>
      <c r="URY114" s="366" t="e">
        <f>10/URU112</f>
        <v>#DIV/0!</v>
      </c>
      <c r="URZ114" s="367">
        <v>15.38</v>
      </c>
      <c r="USA114" s="367" t="e">
        <f>URX114*URY114*URZ114</f>
        <v>#DIV/0!</v>
      </c>
      <c r="USB114" s="363" t="s">
        <v>153</v>
      </c>
      <c r="USC114" s="363"/>
      <c r="USD114" s="363"/>
      <c r="USE114" s="364" t="s">
        <v>140</v>
      </c>
      <c r="USF114" s="365">
        <v>0.5</v>
      </c>
      <c r="USG114" s="366" t="e">
        <f>10/USC112</f>
        <v>#DIV/0!</v>
      </c>
      <c r="USH114" s="367">
        <v>15.38</v>
      </c>
      <c r="USI114" s="367" t="e">
        <f>USF114*USG114*USH114</f>
        <v>#DIV/0!</v>
      </c>
      <c r="USJ114" s="363" t="s">
        <v>153</v>
      </c>
      <c r="USK114" s="363"/>
      <c r="USL114" s="363"/>
      <c r="USM114" s="364" t="s">
        <v>140</v>
      </c>
      <c r="USN114" s="365">
        <v>0.5</v>
      </c>
      <c r="USO114" s="366" t="e">
        <f>10/USK112</f>
        <v>#DIV/0!</v>
      </c>
      <c r="USP114" s="367">
        <v>15.38</v>
      </c>
      <c r="USQ114" s="367" t="e">
        <f>USN114*USO114*USP114</f>
        <v>#DIV/0!</v>
      </c>
      <c r="USR114" s="363" t="s">
        <v>153</v>
      </c>
      <c r="USS114" s="363"/>
      <c r="UST114" s="363"/>
      <c r="USU114" s="364" t="s">
        <v>140</v>
      </c>
      <c r="USV114" s="365">
        <v>0.5</v>
      </c>
      <c r="USW114" s="366" t="e">
        <f>10/USS112</f>
        <v>#DIV/0!</v>
      </c>
      <c r="USX114" s="367">
        <v>15.38</v>
      </c>
      <c r="USY114" s="367" t="e">
        <f>USV114*USW114*USX114</f>
        <v>#DIV/0!</v>
      </c>
      <c r="USZ114" s="363" t="s">
        <v>153</v>
      </c>
      <c r="UTA114" s="363"/>
      <c r="UTB114" s="363"/>
      <c r="UTC114" s="364" t="s">
        <v>140</v>
      </c>
      <c r="UTD114" s="365">
        <v>0.5</v>
      </c>
      <c r="UTE114" s="366" t="e">
        <f>10/UTA112</f>
        <v>#DIV/0!</v>
      </c>
      <c r="UTF114" s="367">
        <v>15.38</v>
      </c>
      <c r="UTG114" s="367" t="e">
        <f>UTD114*UTE114*UTF114</f>
        <v>#DIV/0!</v>
      </c>
      <c r="UTH114" s="363" t="s">
        <v>153</v>
      </c>
      <c r="UTI114" s="363"/>
      <c r="UTJ114" s="363"/>
      <c r="UTK114" s="364" t="s">
        <v>140</v>
      </c>
      <c r="UTL114" s="365">
        <v>0.5</v>
      </c>
      <c r="UTM114" s="366" t="e">
        <f>10/UTI112</f>
        <v>#DIV/0!</v>
      </c>
      <c r="UTN114" s="367">
        <v>15.38</v>
      </c>
      <c r="UTO114" s="367" t="e">
        <f>UTL114*UTM114*UTN114</f>
        <v>#DIV/0!</v>
      </c>
      <c r="UTP114" s="363" t="s">
        <v>153</v>
      </c>
      <c r="UTQ114" s="363"/>
      <c r="UTR114" s="363"/>
      <c r="UTS114" s="364" t="s">
        <v>140</v>
      </c>
      <c r="UTT114" s="365">
        <v>0.5</v>
      </c>
      <c r="UTU114" s="366" t="e">
        <f>10/UTQ112</f>
        <v>#DIV/0!</v>
      </c>
      <c r="UTV114" s="367">
        <v>15.38</v>
      </c>
      <c r="UTW114" s="367" t="e">
        <f>UTT114*UTU114*UTV114</f>
        <v>#DIV/0!</v>
      </c>
      <c r="UTX114" s="363" t="s">
        <v>153</v>
      </c>
      <c r="UTY114" s="363"/>
      <c r="UTZ114" s="363"/>
      <c r="UUA114" s="364" t="s">
        <v>140</v>
      </c>
      <c r="UUB114" s="365">
        <v>0.5</v>
      </c>
      <c r="UUC114" s="366" t="e">
        <f>10/UTY112</f>
        <v>#DIV/0!</v>
      </c>
      <c r="UUD114" s="367">
        <v>15.38</v>
      </c>
      <c r="UUE114" s="367" t="e">
        <f>UUB114*UUC114*UUD114</f>
        <v>#DIV/0!</v>
      </c>
      <c r="UUF114" s="363" t="s">
        <v>153</v>
      </c>
      <c r="UUG114" s="363"/>
      <c r="UUH114" s="363"/>
      <c r="UUI114" s="364" t="s">
        <v>140</v>
      </c>
      <c r="UUJ114" s="365">
        <v>0.5</v>
      </c>
      <c r="UUK114" s="366" t="e">
        <f>10/UUG112</f>
        <v>#DIV/0!</v>
      </c>
      <c r="UUL114" s="367">
        <v>15.38</v>
      </c>
      <c r="UUM114" s="367" t="e">
        <f>UUJ114*UUK114*UUL114</f>
        <v>#DIV/0!</v>
      </c>
      <c r="UUN114" s="363" t="s">
        <v>153</v>
      </c>
      <c r="UUO114" s="363"/>
      <c r="UUP114" s="363"/>
      <c r="UUQ114" s="364" t="s">
        <v>140</v>
      </c>
      <c r="UUR114" s="365">
        <v>0.5</v>
      </c>
      <c r="UUS114" s="366" t="e">
        <f>10/UUO112</f>
        <v>#DIV/0!</v>
      </c>
      <c r="UUT114" s="367">
        <v>15.38</v>
      </c>
      <c r="UUU114" s="367" t="e">
        <f>UUR114*UUS114*UUT114</f>
        <v>#DIV/0!</v>
      </c>
      <c r="UUV114" s="363" t="s">
        <v>153</v>
      </c>
      <c r="UUW114" s="363"/>
      <c r="UUX114" s="363"/>
      <c r="UUY114" s="364" t="s">
        <v>140</v>
      </c>
      <c r="UUZ114" s="365">
        <v>0.5</v>
      </c>
      <c r="UVA114" s="366" t="e">
        <f>10/UUW112</f>
        <v>#DIV/0!</v>
      </c>
      <c r="UVB114" s="367">
        <v>15.38</v>
      </c>
      <c r="UVC114" s="367" t="e">
        <f>UUZ114*UVA114*UVB114</f>
        <v>#DIV/0!</v>
      </c>
      <c r="UVD114" s="363" t="s">
        <v>153</v>
      </c>
      <c r="UVE114" s="363"/>
      <c r="UVF114" s="363"/>
      <c r="UVG114" s="364" t="s">
        <v>140</v>
      </c>
      <c r="UVH114" s="365">
        <v>0.5</v>
      </c>
      <c r="UVI114" s="366" t="e">
        <f>10/UVE112</f>
        <v>#DIV/0!</v>
      </c>
      <c r="UVJ114" s="367">
        <v>15.38</v>
      </c>
      <c r="UVK114" s="367" t="e">
        <f>UVH114*UVI114*UVJ114</f>
        <v>#DIV/0!</v>
      </c>
      <c r="UVL114" s="363" t="s">
        <v>153</v>
      </c>
      <c r="UVM114" s="363"/>
      <c r="UVN114" s="363"/>
      <c r="UVO114" s="364" t="s">
        <v>140</v>
      </c>
      <c r="UVP114" s="365">
        <v>0.5</v>
      </c>
      <c r="UVQ114" s="366" t="e">
        <f>10/UVM112</f>
        <v>#DIV/0!</v>
      </c>
      <c r="UVR114" s="367">
        <v>15.38</v>
      </c>
      <c r="UVS114" s="367" t="e">
        <f>UVP114*UVQ114*UVR114</f>
        <v>#DIV/0!</v>
      </c>
      <c r="UVT114" s="363" t="s">
        <v>153</v>
      </c>
      <c r="UVU114" s="363"/>
      <c r="UVV114" s="363"/>
      <c r="UVW114" s="364" t="s">
        <v>140</v>
      </c>
      <c r="UVX114" s="365">
        <v>0.5</v>
      </c>
      <c r="UVY114" s="366" t="e">
        <f>10/UVU112</f>
        <v>#DIV/0!</v>
      </c>
      <c r="UVZ114" s="367">
        <v>15.38</v>
      </c>
      <c r="UWA114" s="367" t="e">
        <f>UVX114*UVY114*UVZ114</f>
        <v>#DIV/0!</v>
      </c>
      <c r="UWB114" s="363" t="s">
        <v>153</v>
      </c>
      <c r="UWC114" s="363"/>
      <c r="UWD114" s="363"/>
      <c r="UWE114" s="364" t="s">
        <v>140</v>
      </c>
      <c r="UWF114" s="365">
        <v>0.5</v>
      </c>
      <c r="UWG114" s="366" t="e">
        <f>10/UWC112</f>
        <v>#DIV/0!</v>
      </c>
      <c r="UWH114" s="367">
        <v>15.38</v>
      </c>
      <c r="UWI114" s="367" t="e">
        <f>UWF114*UWG114*UWH114</f>
        <v>#DIV/0!</v>
      </c>
      <c r="UWJ114" s="363" t="s">
        <v>153</v>
      </c>
      <c r="UWK114" s="363"/>
      <c r="UWL114" s="363"/>
      <c r="UWM114" s="364" t="s">
        <v>140</v>
      </c>
      <c r="UWN114" s="365">
        <v>0.5</v>
      </c>
      <c r="UWO114" s="366" t="e">
        <f>10/UWK112</f>
        <v>#DIV/0!</v>
      </c>
      <c r="UWP114" s="367">
        <v>15.38</v>
      </c>
      <c r="UWQ114" s="367" t="e">
        <f>UWN114*UWO114*UWP114</f>
        <v>#DIV/0!</v>
      </c>
      <c r="UWR114" s="363" t="s">
        <v>153</v>
      </c>
      <c r="UWS114" s="363"/>
      <c r="UWT114" s="363"/>
      <c r="UWU114" s="364" t="s">
        <v>140</v>
      </c>
      <c r="UWV114" s="365">
        <v>0.5</v>
      </c>
      <c r="UWW114" s="366" t="e">
        <f>10/UWS112</f>
        <v>#DIV/0!</v>
      </c>
      <c r="UWX114" s="367">
        <v>15.38</v>
      </c>
      <c r="UWY114" s="367" t="e">
        <f>UWV114*UWW114*UWX114</f>
        <v>#DIV/0!</v>
      </c>
      <c r="UWZ114" s="363" t="s">
        <v>153</v>
      </c>
      <c r="UXA114" s="363"/>
      <c r="UXB114" s="363"/>
      <c r="UXC114" s="364" t="s">
        <v>140</v>
      </c>
      <c r="UXD114" s="365">
        <v>0.5</v>
      </c>
      <c r="UXE114" s="366" t="e">
        <f>10/UXA112</f>
        <v>#DIV/0!</v>
      </c>
      <c r="UXF114" s="367">
        <v>15.38</v>
      </c>
      <c r="UXG114" s="367" t="e">
        <f>UXD114*UXE114*UXF114</f>
        <v>#DIV/0!</v>
      </c>
      <c r="UXH114" s="363" t="s">
        <v>153</v>
      </c>
      <c r="UXI114" s="363"/>
      <c r="UXJ114" s="363"/>
      <c r="UXK114" s="364" t="s">
        <v>140</v>
      </c>
      <c r="UXL114" s="365">
        <v>0.5</v>
      </c>
      <c r="UXM114" s="366" t="e">
        <f>10/UXI112</f>
        <v>#DIV/0!</v>
      </c>
      <c r="UXN114" s="367">
        <v>15.38</v>
      </c>
      <c r="UXO114" s="367" t="e">
        <f>UXL114*UXM114*UXN114</f>
        <v>#DIV/0!</v>
      </c>
      <c r="UXP114" s="363" t="s">
        <v>153</v>
      </c>
      <c r="UXQ114" s="363"/>
      <c r="UXR114" s="363"/>
      <c r="UXS114" s="364" t="s">
        <v>140</v>
      </c>
      <c r="UXT114" s="365">
        <v>0.5</v>
      </c>
      <c r="UXU114" s="366" t="e">
        <f>10/UXQ112</f>
        <v>#DIV/0!</v>
      </c>
      <c r="UXV114" s="367">
        <v>15.38</v>
      </c>
      <c r="UXW114" s="367" t="e">
        <f>UXT114*UXU114*UXV114</f>
        <v>#DIV/0!</v>
      </c>
      <c r="UXX114" s="363" t="s">
        <v>153</v>
      </c>
      <c r="UXY114" s="363"/>
      <c r="UXZ114" s="363"/>
      <c r="UYA114" s="364" t="s">
        <v>140</v>
      </c>
      <c r="UYB114" s="365">
        <v>0.5</v>
      </c>
      <c r="UYC114" s="366" t="e">
        <f>10/UXY112</f>
        <v>#DIV/0!</v>
      </c>
      <c r="UYD114" s="367">
        <v>15.38</v>
      </c>
      <c r="UYE114" s="367" t="e">
        <f>UYB114*UYC114*UYD114</f>
        <v>#DIV/0!</v>
      </c>
      <c r="UYF114" s="363" t="s">
        <v>153</v>
      </c>
      <c r="UYG114" s="363"/>
      <c r="UYH114" s="363"/>
      <c r="UYI114" s="364" t="s">
        <v>140</v>
      </c>
      <c r="UYJ114" s="365">
        <v>0.5</v>
      </c>
      <c r="UYK114" s="366" t="e">
        <f>10/UYG112</f>
        <v>#DIV/0!</v>
      </c>
      <c r="UYL114" s="367">
        <v>15.38</v>
      </c>
      <c r="UYM114" s="367" t="e">
        <f>UYJ114*UYK114*UYL114</f>
        <v>#DIV/0!</v>
      </c>
      <c r="UYN114" s="363" t="s">
        <v>153</v>
      </c>
      <c r="UYO114" s="363"/>
      <c r="UYP114" s="363"/>
      <c r="UYQ114" s="364" t="s">
        <v>140</v>
      </c>
      <c r="UYR114" s="365">
        <v>0.5</v>
      </c>
      <c r="UYS114" s="366" t="e">
        <f>10/UYO112</f>
        <v>#DIV/0!</v>
      </c>
      <c r="UYT114" s="367">
        <v>15.38</v>
      </c>
      <c r="UYU114" s="367" t="e">
        <f>UYR114*UYS114*UYT114</f>
        <v>#DIV/0!</v>
      </c>
      <c r="UYV114" s="363" t="s">
        <v>153</v>
      </c>
      <c r="UYW114" s="363"/>
      <c r="UYX114" s="363"/>
      <c r="UYY114" s="364" t="s">
        <v>140</v>
      </c>
      <c r="UYZ114" s="365">
        <v>0.5</v>
      </c>
      <c r="UZA114" s="366" t="e">
        <f>10/UYW112</f>
        <v>#DIV/0!</v>
      </c>
      <c r="UZB114" s="367">
        <v>15.38</v>
      </c>
      <c r="UZC114" s="367" t="e">
        <f>UYZ114*UZA114*UZB114</f>
        <v>#DIV/0!</v>
      </c>
      <c r="UZD114" s="363" t="s">
        <v>153</v>
      </c>
      <c r="UZE114" s="363"/>
      <c r="UZF114" s="363"/>
      <c r="UZG114" s="364" t="s">
        <v>140</v>
      </c>
      <c r="UZH114" s="365">
        <v>0.5</v>
      </c>
      <c r="UZI114" s="366" t="e">
        <f>10/UZE112</f>
        <v>#DIV/0!</v>
      </c>
      <c r="UZJ114" s="367">
        <v>15.38</v>
      </c>
      <c r="UZK114" s="367" t="e">
        <f>UZH114*UZI114*UZJ114</f>
        <v>#DIV/0!</v>
      </c>
      <c r="UZL114" s="363" t="s">
        <v>153</v>
      </c>
      <c r="UZM114" s="363"/>
      <c r="UZN114" s="363"/>
      <c r="UZO114" s="364" t="s">
        <v>140</v>
      </c>
      <c r="UZP114" s="365">
        <v>0.5</v>
      </c>
      <c r="UZQ114" s="366" t="e">
        <f>10/UZM112</f>
        <v>#DIV/0!</v>
      </c>
      <c r="UZR114" s="367">
        <v>15.38</v>
      </c>
      <c r="UZS114" s="367" t="e">
        <f>UZP114*UZQ114*UZR114</f>
        <v>#DIV/0!</v>
      </c>
      <c r="UZT114" s="363" t="s">
        <v>153</v>
      </c>
      <c r="UZU114" s="363"/>
      <c r="UZV114" s="363"/>
      <c r="UZW114" s="364" t="s">
        <v>140</v>
      </c>
      <c r="UZX114" s="365">
        <v>0.5</v>
      </c>
      <c r="UZY114" s="366" t="e">
        <f>10/UZU112</f>
        <v>#DIV/0!</v>
      </c>
      <c r="UZZ114" s="367">
        <v>15.38</v>
      </c>
      <c r="VAA114" s="367" t="e">
        <f>UZX114*UZY114*UZZ114</f>
        <v>#DIV/0!</v>
      </c>
      <c r="VAB114" s="363" t="s">
        <v>153</v>
      </c>
      <c r="VAC114" s="363"/>
      <c r="VAD114" s="363"/>
      <c r="VAE114" s="364" t="s">
        <v>140</v>
      </c>
      <c r="VAF114" s="365">
        <v>0.5</v>
      </c>
      <c r="VAG114" s="366" t="e">
        <f>10/VAC112</f>
        <v>#DIV/0!</v>
      </c>
      <c r="VAH114" s="367">
        <v>15.38</v>
      </c>
      <c r="VAI114" s="367" t="e">
        <f>VAF114*VAG114*VAH114</f>
        <v>#DIV/0!</v>
      </c>
      <c r="VAJ114" s="363" t="s">
        <v>153</v>
      </c>
      <c r="VAK114" s="363"/>
      <c r="VAL114" s="363"/>
      <c r="VAM114" s="364" t="s">
        <v>140</v>
      </c>
      <c r="VAN114" s="365">
        <v>0.5</v>
      </c>
      <c r="VAO114" s="366" t="e">
        <f>10/VAK112</f>
        <v>#DIV/0!</v>
      </c>
      <c r="VAP114" s="367">
        <v>15.38</v>
      </c>
      <c r="VAQ114" s="367" t="e">
        <f>VAN114*VAO114*VAP114</f>
        <v>#DIV/0!</v>
      </c>
      <c r="VAR114" s="363" t="s">
        <v>153</v>
      </c>
      <c r="VAS114" s="363"/>
      <c r="VAT114" s="363"/>
      <c r="VAU114" s="364" t="s">
        <v>140</v>
      </c>
      <c r="VAV114" s="365">
        <v>0.5</v>
      </c>
      <c r="VAW114" s="366" t="e">
        <f>10/VAS112</f>
        <v>#DIV/0!</v>
      </c>
      <c r="VAX114" s="367">
        <v>15.38</v>
      </c>
      <c r="VAY114" s="367" t="e">
        <f>VAV114*VAW114*VAX114</f>
        <v>#DIV/0!</v>
      </c>
      <c r="VAZ114" s="363" t="s">
        <v>153</v>
      </c>
      <c r="VBA114" s="363"/>
      <c r="VBB114" s="363"/>
      <c r="VBC114" s="364" t="s">
        <v>140</v>
      </c>
      <c r="VBD114" s="365">
        <v>0.5</v>
      </c>
      <c r="VBE114" s="366" t="e">
        <f>10/VBA112</f>
        <v>#DIV/0!</v>
      </c>
      <c r="VBF114" s="367">
        <v>15.38</v>
      </c>
      <c r="VBG114" s="367" t="e">
        <f>VBD114*VBE114*VBF114</f>
        <v>#DIV/0!</v>
      </c>
      <c r="VBH114" s="363" t="s">
        <v>153</v>
      </c>
      <c r="VBI114" s="363"/>
      <c r="VBJ114" s="363"/>
      <c r="VBK114" s="364" t="s">
        <v>140</v>
      </c>
      <c r="VBL114" s="365">
        <v>0.5</v>
      </c>
      <c r="VBM114" s="366" t="e">
        <f>10/VBI112</f>
        <v>#DIV/0!</v>
      </c>
      <c r="VBN114" s="367">
        <v>15.38</v>
      </c>
      <c r="VBO114" s="367" t="e">
        <f>VBL114*VBM114*VBN114</f>
        <v>#DIV/0!</v>
      </c>
      <c r="VBP114" s="363" t="s">
        <v>153</v>
      </c>
      <c r="VBQ114" s="363"/>
      <c r="VBR114" s="363"/>
      <c r="VBS114" s="364" t="s">
        <v>140</v>
      </c>
      <c r="VBT114" s="365">
        <v>0.5</v>
      </c>
      <c r="VBU114" s="366" t="e">
        <f>10/VBQ112</f>
        <v>#DIV/0!</v>
      </c>
      <c r="VBV114" s="367">
        <v>15.38</v>
      </c>
      <c r="VBW114" s="367" t="e">
        <f>VBT114*VBU114*VBV114</f>
        <v>#DIV/0!</v>
      </c>
      <c r="VBX114" s="363" t="s">
        <v>153</v>
      </c>
      <c r="VBY114" s="363"/>
      <c r="VBZ114" s="363"/>
      <c r="VCA114" s="364" t="s">
        <v>140</v>
      </c>
      <c r="VCB114" s="365">
        <v>0.5</v>
      </c>
      <c r="VCC114" s="366" t="e">
        <f>10/VBY112</f>
        <v>#DIV/0!</v>
      </c>
      <c r="VCD114" s="367">
        <v>15.38</v>
      </c>
      <c r="VCE114" s="367" t="e">
        <f>VCB114*VCC114*VCD114</f>
        <v>#DIV/0!</v>
      </c>
      <c r="VCF114" s="363" t="s">
        <v>153</v>
      </c>
      <c r="VCG114" s="363"/>
      <c r="VCH114" s="363"/>
      <c r="VCI114" s="364" t="s">
        <v>140</v>
      </c>
      <c r="VCJ114" s="365">
        <v>0.5</v>
      </c>
      <c r="VCK114" s="366" t="e">
        <f>10/VCG112</f>
        <v>#DIV/0!</v>
      </c>
      <c r="VCL114" s="367">
        <v>15.38</v>
      </c>
      <c r="VCM114" s="367" t="e">
        <f>VCJ114*VCK114*VCL114</f>
        <v>#DIV/0!</v>
      </c>
      <c r="VCN114" s="363" t="s">
        <v>153</v>
      </c>
      <c r="VCO114" s="363"/>
      <c r="VCP114" s="363"/>
      <c r="VCQ114" s="364" t="s">
        <v>140</v>
      </c>
      <c r="VCR114" s="365">
        <v>0.5</v>
      </c>
      <c r="VCS114" s="366" t="e">
        <f>10/VCO112</f>
        <v>#DIV/0!</v>
      </c>
      <c r="VCT114" s="367">
        <v>15.38</v>
      </c>
      <c r="VCU114" s="367" t="e">
        <f>VCR114*VCS114*VCT114</f>
        <v>#DIV/0!</v>
      </c>
      <c r="VCV114" s="363" t="s">
        <v>153</v>
      </c>
      <c r="VCW114" s="363"/>
      <c r="VCX114" s="363"/>
      <c r="VCY114" s="364" t="s">
        <v>140</v>
      </c>
      <c r="VCZ114" s="365">
        <v>0.5</v>
      </c>
      <c r="VDA114" s="366" t="e">
        <f>10/VCW112</f>
        <v>#DIV/0!</v>
      </c>
      <c r="VDB114" s="367">
        <v>15.38</v>
      </c>
      <c r="VDC114" s="367" t="e">
        <f>VCZ114*VDA114*VDB114</f>
        <v>#DIV/0!</v>
      </c>
      <c r="VDD114" s="363" t="s">
        <v>153</v>
      </c>
      <c r="VDE114" s="363"/>
      <c r="VDF114" s="363"/>
      <c r="VDG114" s="364" t="s">
        <v>140</v>
      </c>
      <c r="VDH114" s="365">
        <v>0.5</v>
      </c>
      <c r="VDI114" s="366" t="e">
        <f>10/VDE112</f>
        <v>#DIV/0!</v>
      </c>
      <c r="VDJ114" s="367">
        <v>15.38</v>
      </c>
      <c r="VDK114" s="367" t="e">
        <f>VDH114*VDI114*VDJ114</f>
        <v>#DIV/0!</v>
      </c>
      <c r="VDL114" s="363" t="s">
        <v>153</v>
      </c>
      <c r="VDM114" s="363"/>
      <c r="VDN114" s="363"/>
      <c r="VDO114" s="364" t="s">
        <v>140</v>
      </c>
      <c r="VDP114" s="365">
        <v>0.5</v>
      </c>
      <c r="VDQ114" s="366" t="e">
        <f>10/VDM112</f>
        <v>#DIV/0!</v>
      </c>
      <c r="VDR114" s="367">
        <v>15.38</v>
      </c>
      <c r="VDS114" s="367" t="e">
        <f>VDP114*VDQ114*VDR114</f>
        <v>#DIV/0!</v>
      </c>
      <c r="VDT114" s="363" t="s">
        <v>153</v>
      </c>
      <c r="VDU114" s="363"/>
      <c r="VDV114" s="363"/>
      <c r="VDW114" s="364" t="s">
        <v>140</v>
      </c>
      <c r="VDX114" s="365">
        <v>0.5</v>
      </c>
      <c r="VDY114" s="366" t="e">
        <f>10/VDU112</f>
        <v>#DIV/0!</v>
      </c>
      <c r="VDZ114" s="367">
        <v>15.38</v>
      </c>
      <c r="VEA114" s="367" t="e">
        <f>VDX114*VDY114*VDZ114</f>
        <v>#DIV/0!</v>
      </c>
      <c r="VEB114" s="363" t="s">
        <v>153</v>
      </c>
      <c r="VEC114" s="363"/>
      <c r="VED114" s="363"/>
      <c r="VEE114" s="364" t="s">
        <v>140</v>
      </c>
      <c r="VEF114" s="365">
        <v>0.5</v>
      </c>
      <c r="VEG114" s="366" t="e">
        <f>10/VEC112</f>
        <v>#DIV/0!</v>
      </c>
      <c r="VEH114" s="367">
        <v>15.38</v>
      </c>
      <c r="VEI114" s="367" t="e">
        <f>VEF114*VEG114*VEH114</f>
        <v>#DIV/0!</v>
      </c>
      <c r="VEJ114" s="363" t="s">
        <v>153</v>
      </c>
      <c r="VEK114" s="363"/>
      <c r="VEL114" s="363"/>
      <c r="VEM114" s="364" t="s">
        <v>140</v>
      </c>
      <c r="VEN114" s="365">
        <v>0.5</v>
      </c>
      <c r="VEO114" s="366" t="e">
        <f>10/VEK112</f>
        <v>#DIV/0!</v>
      </c>
      <c r="VEP114" s="367">
        <v>15.38</v>
      </c>
      <c r="VEQ114" s="367" t="e">
        <f>VEN114*VEO114*VEP114</f>
        <v>#DIV/0!</v>
      </c>
      <c r="VER114" s="363" t="s">
        <v>153</v>
      </c>
      <c r="VES114" s="363"/>
      <c r="VET114" s="363"/>
      <c r="VEU114" s="364" t="s">
        <v>140</v>
      </c>
      <c r="VEV114" s="365">
        <v>0.5</v>
      </c>
      <c r="VEW114" s="366" t="e">
        <f>10/VES112</f>
        <v>#DIV/0!</v>
      </c>
      <c r="VEX114" s="367">
        <v>15.38</v>
      </c>
      <c r="VEY114" s="367" t="e">
        <f>VEV114*VEW114*VEX114</f>
        <v>#DIV/0!</v>
      </c>
      <c r="VEZ114" s="363" t="s">
        <v>153</v>
      </c>
      <c r="VFA114" s="363"/>
      <c r="VFB114" s="363"/>
      <c r="VFC114" s="364" t="s">
        <v>140</v>
      </c>
      <c r="VFD114" s="365">
        <v>0.5</v>
      </c>
      <c r="VFE114" s="366" t="e">
        <f>10/VFA112</f>
        <v>#DIV/0!</v>
      </c>
      <c r="VFF114" s="367">
        <v>15.38</v>
      </c>
      <c r="VFG114" s="367" t="e">
        <f>VFD114*VFE114*VFF114</f>
        <v>#DIV/0!</v>
      </c>
      <c r="VFH114" s="363" t="s">
        <v>153</v>
      </c>
      <c r="VFI114" s="363"/>
      <c r="VFJ114" s="363"/>
      <c r="VFK114" s="364" t="s">
        <v>140</v>
      </c>
      <c r="VFL114" s="365">
        <v>0.5</v>
      </c>
      <c r="VFM114" s="366" t="e">
        <f>10/VFI112</f>
        <v>#DIV/0!</v>
      </c>
      <c r="VFN114" s="367">
        <v>15.38</v>
      </c>
      <c r="VFO114" s="367" t="e">
        <f>VFL114*VFM114*VFN114</f>
        <v>#DIV/0!</v>
      </c>
      <c r="VFP114" s="363" t="s">
        <v>153</v>
      </c>
      <c r="VFQ114" s="363"/>
      <c r="VFR114" s="363"/>
      <c r="VFS114" s="364" t="s">
        <v>140</v>
      </c>
      <c r="VFT114" s="365">
        <v>0.5</v>
      </c>
      <c r="VFU114" s="366" t="e">
        <f>10/VFQ112</f>
        <v>#DIV/0!</v>
      </c>
      <c r="VFV114" s="367">
        <v>15.38</v>
      </c>
      <c r="VFW114" s="367" t="e">
        <f>VFT114*VFU114*VFV114</f>
        <v>#DIV/0!</v>
      </c>
      <c r="VFX114" s="363" t="s">
        <v>153</v>
      </c>
      <c r="VFY114" s="363"/>
      <c r="VFZ114" s="363"/>
      <c r="VGA114" s="364" t="s">
        <v>140</v>
      </c>
      <c r="VGB114" s="365">
        <v>0.5</v>
      </c>
      <c r="VGC114" s="366" t="e">
        <f>10/VFY112</f>
        <v>#DIV/0!</v>
      </c>
      <c r="VGD114" s="367">
        <v>15.38</v>
      </c>
      <c r="VGE114" s="367" t="e">
        <f>VGB114*VGC114*VGD114</f>
        <v>#DIV/0!</v>
      </c>
      <c r="VGF114" s="363" t="s">
        <v>153</v>
      </c>
      <c r="VGG114" s="363"/>
      <c r="VGH114" s="363"/>
      <c r="VGI114" s="364" t="s">
        <v>140</v>
      </c>
      <c r="VGJ114" s="365">
        <v>0.5</v>
      </c>
      <c r="VGK114" s="366" t="e">
        <f>10/VGG112</f>
        <v>#DIV/0!</v>
      </c>
      <c r="VGL114" s="367">
        <v>15.38</v>
      </c>
      <c r="VGM114" s="367" t="e">
        <f>VGJ114*VGK114*VGL114</f>
        <v>#DIV/0!</v>
      </c>
      <c r="VGN114" s="363" t="s">
        <v>153</v>
      </c>
      <c r="VGO114" s="363"/>
      <c r="VGP114" s="363"/>
      <c r="VGQ114" s="364" t="s">
        <v>140</v>
      </c>
      <c r="VGR114" s="365">
        <v>0.5</v>
      </c>
      <c r="VGS114" s="366" t="e">
        <f>10/VGO112</f>
        <v>#DIV/0!</v>
      </c>
      <c r="VGT114" s="367">
        <v>15.38</v>
      </c>
      <c r="VGU114" s="367" t="e">
        <f>VGR114*VGS114*VGT114</f>
        <v>#DIV/0!</v>
      </c>
      <c r="VGV114" s="363" t="s">
        <v>153</v>
      </c>
      <c r="VGW114" s="363"/>
      <c r="VGX114" s="363"/>
      <c r="VGY114" s="364" t="s">
        <v>140</v>
      </c>
      <c r="VGZ114" s="365">
        <v>0.5</v>
      </c>
      <c r="VHA114" s="366" t="e">
        <f>10/VGW112</f>
        <v>#DIV/0!</v>
      </c>
      <c r="VHB114" s="367">
        <v>15.38</v>
      </c>
      <c r="VHC114" s="367" t="e">
        <f>VGZ114*VHA114*VHB114</f>
        <v>#DIV/0!</v>
      </c>
      <c r="VHD114" s="363" t="s">
        <v>153</v>
      </c>
      <c r="VHE114" s="363"/>
      <c r="VHF114" s="363"/>
      <c r="VHG114" s="364" t="s">
        <v>140</v>
      </c>
      <c r="VHH114" s="365">
        <v>0.5</v>
      </c>
      <c r="VHI114" s="366" t="e">
        <f>10/VHE112</f>
        <v>#DIV/0!</v>
      </c>
      <c r="VHJ114" s="367">
        <v>15.38</v>
      </c>
      <c r="VHK114" s="367" t="e">
        <f>VHH114*VHI114*VHJ114</f>
        <v>#DIV/0!</v>
      </c>
      <c r="VHL114" s="363" t="s">
        <v>153</v>
      </c>
      <c r="VHM114" s="363"/>
      <c r="VHN114" s="363"/>
      <c r="VHO114" s="364" t="s">
        <v>140</v>
      </c>
      <c r="VHP114" s="365">
        <v>0.5</v>
      </c>
      <c r="VHQ114" s="366" t="e">
        <f>10/VHM112</f>
        <v>#DIV/0!</v>
      </c>
      <c r="VHR114" s="367">
        <v>15.38</v>
      </c>
      <c r="VHS114" s="367" t="e">
        <f>VHP114*VHQ114*VHR114</f>
        <v>#DIV/0!</v>
      </c>
      <c r="VHT114" s="363" t="s">
        <v>153</v>
      </c>
      <c r="VHU114" s="363"/>
      <c r="VHV114" s="363"/>
      <c r="VHW114" s="364" t="s">
        <v>140</v>
      </c>
      <c r="VHX114" s="365">
        <v>0.5</v>
      </c>
      <c r="VHY114" s="366" t="e">
        <f>10/VHU112</f>
        <v>#DIV/0!</v>
      </c>
      <c r="VHZ114" s="367">
        <v>15.38</v>
      </c>
      <c r="VIA114" s="367" t="e">
        <f>VHX114*VHY114*VHZ114</f>
        <v>#DIV/0!</v>
      </c>
      <c r="VIB114" s="363" t="s">
        <v>153</v>
      </c>
      <c r="VIC114" s="363"/>
      <c r="VID114" s="363"/>
      <c r="VIE114" s="364" t="s">
        <v>140</v>
      </c>
      <c r="VIF114" s="365">
        <v>0.5</v>
      </c>
      <c r="VIG114" s="366" t="e">
        <f>10/VIC112</f>
        <v>#DIV/0!</v>
      </c>
      <c r="VIH114" s="367">
        <v>15.38</v>
      </c>
      <c r="VII114" s="367" t="e">
        <f>VIF114*VIG114*VIH114</f>
        <v>#DIV/0!</v>
      </c>
      <c r="VIJ114" s="363" t="s">
        <v>153</v>
      </c>
      <c r="VIK114" s="363"/>
      <c r="VIL114" s="363"/>
      <c r="VIM114" s="364" t="s">
        <v>140</v>
      </c>
      <c r="VIN114" s="365">
        <v>0.5</v>
      </c>
      <c r="VIO114" s="366" t="e">
        <f>10/VIK112</f>
        <v>#DIV/0!</v>
      </c>
      <c r="VIP114" s="367">
        <v>15.38</v>
      </c>
      <c r="VIQ114" s="367" t="e">
        <f>VIN114*VIO114*VIP114</f>
        <v>#DIV/0!</v>
      </c>
      <c r="VIR114" s="363" t="s">
        <v>153</v>
      </c>
      <c r="VIS114" s="363"/>
      <c r="VIT114" s="363"/>
      <c r="VIU114" s="364" t="s">
        <v>140</v>
      </c>
      <c r="VIV114" s="365">
        <v>0.5</v>
      </c>
      <c r="VIW114" s="366" t="e">
        <f>10/VIS112</f>
        <v>#DIV/0!</v>
      </c>
      <c r="VIX114" s="367">
        <v>15.38</v>
      </c>
      <c r="VIY114" s="367" t="e">
        <f>VIV114*VIW114*VIX114</f>
        <v>#DIV/0!</v>
      </c>
      <c r="VIZ114" s="363" t="s">
        <v>153</v>
      </c>
      <c r="VJA114" s="363"/>
      <c r="VJB114" s="363"/>
      <c r="VJC114" s="364" t="s">
        <v>140</v>
      </c>
      <c r="VJD114" s="365">
        <v>0.5</v>
      </c>
      <c r="VJE114" s="366" t="e">
        <f>10/VJA112</f>
        <v>#DIV/0!</v>
      </c>
      <c r="VJF114" s="367">
        <v>15.38</v>
      </c>
      <c r="VJG114" s="367" t="e">
        <f>VJD114*VJE114*VJF114</f>
        <v>#DIV/0!</v>
      </c>
      <c r="VJH114" s="363" t="s">
        <v>153</v>
      </c>
      <c r="VJI114" s="363"/>
      <c r="VJJ114" s="363"/>
      <c r="VJK114" s="364" t="s">
        <v>140</v>
      </c>
      <c r="VJL114" s="365">
        <v>0.5</v>
      </c>
      <c r="VJM114" s="366" t="e">
        <f>10/VJI112</f>
        <v>#DIV/0!</v>
      </c>
      <c r="VJN114" s="367">
        <v>15.38</v>
      </c>
      <c r="VJO114" s="367" t="e">
        <f>VJL114*VJM114*VJN114</f>
        <v>#DIV/0!</v>
      </c>
      <c r="VJP114" s="363" t="s">
        <v>153</v>
      </c>
      <c r="VJQ114" s="363"/>
      <c r="VJR114" s="363"/>
      <c r="VJS114" s="364" t="s">
        <v>140</v>
      </c>
      <c r="VJT114" s="365">
        <v>0.5</v>
      </c>
      <c r="VJU114" s="366" t="e">
        <f>10/VJQ112</f>
        <v>#DIV/0!</v>
      </c>
      <c r="VJV114" s="367">
        <v>15.38</v>
      </c>
      <c r="VJW114" s="367" t="e">
        <f>VJT114*VJU114*VJV114</f>
        <v>#DIV/0!</v>
      </c>
      <c r="VJX114" s="363" t="s">
        <v>153</v>
      </c>
      <c r="VJY114" s="363"/>
      <c r="VJZ114" s="363"/>
      <c r="VKA114" s="364" t="s">
        <v>140</v>
      </c>
      <c r="VKB114" s="365">
        <v>0.5</v>
      </c>
      <c r="VKC114" s="366" t="e">
        <f>10/VJY112</f>
        <v>#DIV/0!</v>
      </c>
      <c r="VKD114" s="367">
        <v>15.38</v>
      </c>
      <c r="VKE114" s="367" t="e">
        <f>VKB114*VKC114*VKD114</f>
        <v>#DIV/0!</v>
      </c>
      <c r="VKF114" s="363" t="s">
        <v>153</v>
      </c>
      <c r="VKG114" s="363"/>
      <c r="VKH114" s="363"/>
      <c r="VKI114" s="364" t="s">
        <v>140</v>
      </c>
      <c r="VKJ114" s="365">
        <v>0.5</v>
      </c>
      <c r="VKK114" s="366" t="e">
        <f>10/VKG112</f>
        <v>#DIV/0!</v>
      </c>
      <c r="VKL114" s="367">
        <v>15.38</v>
      </c>
      <c r="VKM114" s="367" t="e">
        <f>VKJ114*VKK114*VKL114</f>
        <v>#DIV/0!</v>
      </c>
      <c r="VKN114" s="363" t="s">
        <v>153</v>
      </c>
      <c r="VKO114" s="363"/>
      <c r="VKP114" s="363"/>
      <c r="VKQ114" s="364" t="s">
        <v>140</v>
      </c>
      <c r="VKR114" s="365">
        <v>0.5</v>
      </c>
      <c r="VKS114" s="366" t="e">
        <f>10/VKO112</f>
        <v>#DIV/0!</v>
      </c>
      <c r="VKT114" s="367">
        <v>15.38</v>
      </c>
      <c r="VKU114" s="367" t="e">
        <f>VKR114*VKS114*VKT114</f>
        <v>#DIV/0!</v>
      </c>
      <c r="VKV114" s="363" t="s">
        <v>153</v>
      </c>
      <c r="VKW114" s="363"/>
      <c r="VKX114" s="363"/>
      <c r="VKY114" s="364" t="s">
        <v>140</v>
      </c>
      <c r="VKZ114" s="365">
        <v>0.5</v>
      </c>
      <c r="VLA114" s="366" t="e">
        <f>10/VKW112</f>
        <v>#DIV/0!</v>
      </c>
      <c r="VLB114" s="367">
        <v>15.38</v>
      </c>
      <c r="VLC114" s="367" t="e">
        <f>VKZ114*VLA114*VLB114</f>
        <v>#DIV/0!</v>
      </c>
      <c r="VLD114" s="363" t="s">
        <v>153</v>
      </c>
      <c r="VLE114" s="363"/>
      <c r="VLF114" s="363"/>
      <c r="VLG114" s="364" t="s">
        <v>140</v>
      </c>
      <c r="VLH114" s="365">
        <v>0.5</v>
      </c>
      <c r="VLI114" s="366" t="e">
        <f>10/VLE112</f>
        <v>#DIV/0!</v>
      </c>
      <c r="VLJ114" s="367">
        <v>15.38</v>
      </c>
      <c r="VLK114" s="367" t="e">
        <f>VLH114*VLI114*VLJ114</f>
        <v>#DIV/0!</v>
      </c>
      <c r="VLL114" s="363" t="s">
        <v>153</v>
      </c>
      <c r="VLM114" s="363"/>
      <c r="VLN114" s="363"/>
      <c r="VLO114" s="364" t="s">
        <v>140</v>
      </c>
      <c r="VLP114" s="365">
        <v>0.5</v>
      </c>
      <c r="VLQ114" s="366" t="e">
        <f>10/VLM112</f>
        <v>#DIV/0!</v>
      </c>
      <c r="VLR114" s="367">
        <v>15.38</v>
      </c>
      <c r="VLS114" s="367" t="e">
        <f>VLP114*VLQ114*VLR114</f>
        <v>#DIV/0!</v>
      </c>
      <c r="VLT114" s="363" t="s">
        <v>153</v>
      </c>
      <c r="VLU114" s="363"/>
      <c r="VLV114" s="363"/>
      <c r="VLW114" s="364" t="s">
        <v>140</v>
      </c>
      <c r="VLX114" s="365">
        <v>0.5</v>
      </c>
      <c r="VLY114" s="366" t="e">
        <f>10/VLU112</f>
        <v>#DIV/0!</v>
      </c>
      <c r="VLZ114" s="367">
        <v>15.38</v>
      </c>
      <c r="VMA114" s="367" t="e">
        <f>VLX114*VLY114*VLZ114</f>
        <v>#DIV/0!</v>
      </c>
      <c r="VMB114" s="363" t="s">
        <v>153</v>
      </c>
      <c r="VMC114" s="363"/>
      <c r="VMD114" s="363"/>
      <c r="VME114" s="364" t="s">
        <v>140</v>
      </c>
      <c r="VMF114" s="365">
        <v>0.5</v>
      </c>
      <c r="VMG114" s="366" t="e">
        <f>10/VMC112</f>
        <v>#DIV/0!</v>
      </c>
      <c r="VMH114" s="367">
        <v>15.38</v>
      </c>
      <c r="VMI114" s="367" t="e">
        <f>VMF114*VMG114*VMH114</f>
        <v>#DIV/0!</v>
      </c>
      <c r="VMJ114" s="363" t="s">
        <v>153</v>
      </c>
      <c r="VMK114" s="363"/>
      <c r="VML114" s="363"/>
      <c r="VMM114" s="364" t="s">
        <v>140</v>
      </c>
      <c r="VMN114" s="365">
        <v>0.5</v>
      </c>
      <c r="VMO114" s="366" t="e">
        <f>10/VMK112</f>
        <v>#DIV/0!</v>
      </c>
      <c r="VMP114" s="367">
        <v>15.38</v>
      </c>
      <c r="VMQ114" s="367" t="e">
        <f>VMN114*VMO114*VMP114</f>
        <v>#DIV/0!</v>
      </c>
      <c r="VMR114" s="363" t="s">
        <v>153</v>
      </c>
      <c r="VMS114" s="363"/>
      <c r="VMT114" s="363"/>
      <c r="VMU114" s="364" t="s">
        <v>140</v>
      </c>
      <c r="VMV114" s="365">
        <v>0.5</v>
      </c>
      <c r="VMW114" s="366" t="e">
        <f>10/VMS112</f>
        <v>#DIV/0!</v>
      </c>
      <c r="VMX114" s="367">
        <v>15.38</v>
      </c>
      <c r="VMY114" s="367" t="e">
        <f>VMV114*VMW114*VMX114</f>
        <v>#DIV/0!</v>
      </c>
      <c r="VMZ114" s="363" t="s">
        <v>153</v>
      </c>
      <c r="VNA114" s="363"/>
      <c r="VNB114" s="363"/>
      <c r="VNC114" s="364" t="s">
        <v>140</v>
      </c>
      <c r="VND114" s="365">
        <v>0.5</v>
      </c>
      <c r="VNE114" s="366" t="e">
        <f>10/VNA112</f>
        <v>#DIV/0!</v>
      </c>
      <c r="VNF114" s="367">
        <v>15.38</v>
      </c>
      <c r="VNG114" s="367" t="e">
        <f>VND114*VNE114*VNF114</f>
        <v>#DIV/0!</v>
      </c>
      <c r="VNH114" s="363" t="s">
        <v>153</v>
      </c>
      <c r="VNI114" s="363"/>
      <c r="VNJ114" s="363"/>
      <c r="VNK114" s="364" t="s">
        <v>140</v>
      </c>
      <c r="VNL114" s="365">
        <v>0.5</v>
      </c>
      <c r="VNM114" s="366" t="e">
        <f>10/VNI112</f>
        <v>#DIV/0!</v>
      </c>
      <c r="VNN114" s="367">
        <v>15.38</v>
      </c>
      <c r="VNO114" s="367" t="e">
        <f>VNL114*VNM114*VNN114</f>
        <v>#DIV/0!</v>
      </c>
      <c r="VNP114" s="363" t="s">
        <v>153</v>
      </c>
      <c r="VNQ114" s="363"/>
      <c r="VNR114" s="363"/>
      <c r="VNS114" s="364" t="s">
        <v>140</v>
      </c>
      <c r="VNT114" s="365">
        <v>0.5</v>
      </c>
      <c r="VNU114" s="366" t="e">
        <f>10/VNQ112</f>
        <v>#DIV/0!</v>
      </c>
      <c r="VNV114" s="367">
        <v>15.38</v>
      </c>
      <c r="VNW114" s="367" t="e">
        <f>VNT114*VNU114*VNV114</f>
        <v>#DIV/0!</v>
      </c>
      <c r="VNX114" s="363" t="s">
        <v>153</v>
      </c>
      <c r="VNY114" s="363"/>
      <c r="VNZ114" s="363"/>
      <c r="VOA114" s="364" t="s">
        <v>140</v>
      </c>
      <c r="VOB114" s="365">
        <v>0.5</v>
      </c>
      <c r="VOC114" s="366" t="e">
        <f>10/VNY112</f>
        <v>#DIV/0!</v>
      </c>
      <c r="VOD114" s="367">
        <v>15.38</v>
      </c>
      <c r="VOE114" s="367" t="e">
        <f>VOB114*VOC114*VOD114</f>
        <v>#DIV/0!</v>
      </c>
      <c r="VOF114" s="363" t="s">
        <v>153</v>
      </c>
      <c r="VOG114" s="363"/>
      <c r="VOH114" s="363"/>
      <c r="VOI114" s="364" t="s">
        <v>140</v>
      </c>
      <c r="VOJ114" s="365">
        <v>0.5</v>
      </c>
      <c r="VOK114" s="366" t="e">
        <f>10/VOG112</f>
        <v>#DIV/0!</v>
      </c>
      <c r="VOL114" s="367">
        <v>15.38</v>
      </c>
      <c r="VOM114" s="367" t="e">
        <f>VOJ114*VOK114*VOL114</f>
        <v>#DIV/0!</v>
      </c>
      <c r="VON114" s="363" t="s">
        <v>153</v>
      </c>
      <c r="VOO114" s="363"/>
      <c r="VOP114" s="363"/>
      <c r="VOQ114" s="364" t="s">
        <v>140</v>
      </c>
      <c r="VOR114" s="365">
        <v>0.5</v>
      </c>
      <c r="VOS114" s="366" t="e">
        <f>10/VOO112</f>
        <v>#DIV/0!</v>
      </c>
      <c r="VOT114" s="367">
        <v>15.38</v>
      </c>
      <c r="VOU114" s="367" t="e">
        <f>VOR114*VOS114*VOT114</f>
        <v>#DIV/0!</v>
      </c>
      <c r="VOV114" s="363" t="s">
        <v>153</v>
      </c>
      <c r="VOW114" s="363"/>
      <c r="VOX114" s="363"/>
      <c r="VOY114" s="364" t="s">
        <v>140</v>
      </c>
      <c r="VOZ114" s="365">
        <v>0.5</v>
      </c>
      <c r="VPA114" s="366" t="e">
        <f>10/VOW112</f>
        <v>#DIV/0!</v>
      </c>
      <c r="VPB114" s="367">
        <v>15.38</v>
      </c>
      <c r="VPC114" s="367" t="e">
        <f>VOZ114*VPA114*VPB114</f>
        <v>#DIV/0!</v>
      </c>
      <c r="VPD114" s="363" t="s">
        <v>153</v>
      </c>
      <c r="VPE114" s="363"/>
      <c r="VPF114" s="363"/>
      <c r="VPG114" s="364" t="s">
        <v>140</v>
      </c>
      <c r="VPH114" s="365">
        <v>0.5</v>
      </c>
      <c r="VPI114" s="366" t="e">
        <f>10/VPE112</f>
        <v>#DIV/0!</v>
      </c>
      <c r="VPJ114" s="367">
        <v>15.38</v>
      </c>
      <c r="VPK114" s="367" t="e">
        <f>VPH114*VPI114*VPJ114</f>
        <v>#DIV/0!</v>
      </c>
      <c r="VPL114" s="363" t="s">
        <v>153</v>
      </c>
      <c r="VPM114" s="363"/>
      <c r="VPN114" s="363"/>
      <c r="VPO114" s="364" t="s">
        <v>140</v>
      </c>
      <c r="VPP114" s="365">
        <v>0.5</v>
      </c>
      <c r="VPQ114" s="366" t="e">
        <f>10/VPM112</f>
        <v>#DIV/0!</v>
      </c>
      <c r="VPR114" s="367">
        <v>15.38</v>
      </c>
      <c r="VPS114" s="367" t="e">
        <f>VPP114*VPQ114*VPR114</f>
        <v>#DIV/0!</v>
      </c>
      <c r="VPT114" s="363" t="s">
        <v>153</v>
      </c>
      <c r="VPU114" s="363"/>
      <c r="VPV114" s="363"/>
      <c r="VPW114" s="364" t="s">
        <v>140</v>
      </c>
      <c r="VPX114" s="365">
        <v>0.5</v>
      </c>
      <c r="VPY114" s="366" t="e">
        <f>10/VPU112</f>
        <v>#DIV/0!</v>
      </c>
      <c r="VPZ114" s="367">
        <v>15.38</v>
      </c>
      <c r="VQA114" s="367" t="e">
        <f>VPX114*VPY114*VPZ114</f>
        <v>#DIV/0!</v>
      </c>
      <c r="VQB114" s="363" t="s">
        <v>153</v>
      </c>
      <c r="VQC114" s="363"/>
      <c r="VQD114" s="363"/>
      <c r="VQE114" s="364" t="s">
        <v>140</v>
      </c>
      <c r="VQF114" s="365">
        <v>0.5</v>
      </c>
      <c r="VQG114" s="366" t="e">
        <f>10/VQC112</f>
        <v>#DIV/0!</v>
      </c>
      <c r="VQH114" s="367">
        <v>15.38</v>
      </c>
      <c r="VQI114" s="367" t="e">
        <f>VQF114*VQG114*VQH114</f>
        <v>#DIV/0!</v>
      </c>
      <c r="VQJ114" s="363" t="s">
        <v>153</v>
      </c>
      <c r="VQK114" s="363"/>
      <c r="VQL114" s="363"/>
      <c r="VQM114" s="364" t="s">
        <v>140</v>
      </c>
      <c r="VQN114" s="365">
        <v>0.5</v>
      </c>
      <c r="VQO114" s="366" t="e">
        <f>10/VQK112</f>
        <v>#DIV/0!</v>
      </c>
      <c r="VQP114" s="367">
        <v>15.38</v>
      </c>
      <c r="VQQ114" s="367" t="e">
        <f>VQN114*VQO114*VQP114</f>
        <v>#DIV/0!</v>
      </c>
      <c r="VQR114" s="363" t="s">
        <v>153</v>
      </c>
      <c r="VQS114" s="363"/>
      <c r="VQT114" s="363"/>
      <c r="VQU114" s="364" t="s">
        <v>140</v>
      </c>
      <c r="VQV114" s="365">
        <v>0.5</v>
      </c>
      <c r="VQW114" s="366" t="e">
        <f>10/VQS112</f>
        <v>#DIV/0!</v>
      </c>
      <c r="VQX114" s="367">
        <v>15.38</v>
      </c>
      <c r="VQY114" s="367" t="e">
        <f>VQV114*VQW114*VQX114</f>
        <v>#DIV/0!</v>
      </c>
      <c r="VQZ114" s="363" t="s">
        <v>153</v>
      </c>
      <c r="VRA114" s="363"/>
      <c r="VRB114" s="363"/>
      <c r="VRC114" s="364" t="s">
        <v>140</v>
      </c>
      <c r="VRD114" s="365">
        <v>0.5</v>
      </c>
      <c r="VRE114" s="366" t="e">
        <f>10/VRA112</f>
        <v>#DIV/0!</v>
      </c>
      <c r="VRF114" s="367">
        <v>15.38</v>
      </c>
      <c r="VRG114" s="367" t="e">
        <f>VRD114*VRE114*VRF114</f>
        <v>#DIV/0!</v>
      </c>
      <c r="VRH114" s="363" t="s">
        <v>153</v>
      </c>
      <c r="VRI114" s="363"/>
      <c r="VRJ114" s="363"/>
      <c r="VRK114" s="364" t="s">
        <v>140</v>
      </c>
      <c r="VRL114" s="365">
        <v>0.5</v>
      </c>
      <c r="VRM114" s="366" t="e">
        <f>10/VRI112</f>
        <v>#DIV/0!</v>
      </c>
      <c r="VRN114" s="367">
        <v>15.38</v>
      </c>
      <c r="VRO114" s="367" t="e">
        <f>VRL114*VRM114*VRN114</f>
        <v>#DIV/0!</v>
      </c>
      <c r="VRP114" s="363" t="s">
        <v>153</v>
      </c>
      <c r="VRQ114" s="363"/>
      <c r="VRR114" s="363"/>
      <c r="VRS114" s="364" t="s">
        <v>140</v>
      </c>
      <c r="VRT114" s="365">
        <v>0.5</v>
      </c>
      <c r="VRU114" s="366" t="e">
        <f>10/VRQ112</f>
        <v>#DIV/0!</v>
      </c>
      <c r="VRV114" s="367">
        <v>15.38</v>
      </c>
      <c r="VRW114" s="367" t="e">
        <f>VRT114*VRU114*VRV114</f>
        <v>#DIV/0!</v>
      </c>
      <c r="VRX114" s="363" t="s">
        <v>153</v>
      </c>
      <c r="VRY114" s="363"/>
      <c r="VRZ114" s="363"/>
      <c r="VSA114" s="364" t="s">
        <v>140</v>
      </c>
      <c r="VSB114" s="365">
        <v>0.5</v>
      </c>
      <c r="VSC114" s="366" t="e">
        <f>10/VRY112</f>
        <v>#DIV/0!</v>
      </c>
      <c r="VSD114" s="367">
        <v>15.38</v>
      </c>
      <c r="VSE114" s="367" t="e">
        <f>VSB114*VSC114*VSD114</f>
        <v>#DIV/0!</v>
      </c>
      <c r="VSF114" s="363" t="s">
        <v>153</v>
      </c>
      <c r="VSG114" s="363"/>
      <c r="VSH114" s="363"/>
      <c r="VSI114" s="364" t="s">
        <v>140</v>
      </c>
      <c r="VSJ114" s="365">
        <v>0.5</v>
      </c>
      <c r="VSK114" s="366" t="e">
        <f>10/VSG112</f>
        <v>#DIV/0!</v>
      </c>
      <c r="VSL114" s="367">
        <v>15.38</v>
      </c>
      <c r="VSM114" s="367" t="e">
        <f>VSJ114*VSK114*VSL114</f>
        <v>#DIV/0!</v>
      </c>
      <c r="VSN114" s="363" t="s">
        <v>153</v>
      </c>
      <c r="VSO114" s="363"/>
      <c r="VSP114" s="363"/>
      <c r="VSQ114" s="364" t="s">
        <v>140</v>
      </c>
      <c r="VSR114" s="365">
        <v>0.5</v>
      </c>
      <c r="VSS114" s="366" t="e">
        <f>10/VSO112</f>
        <v>#DIV/0!</v>
      </c>
      <c r="VST114" s="367">
        <v>15.38</v>
      </c>
      <c r="VSU114" s="367" t="e">
        <f>VSR114*VSS114*VST114</f>
        <v>#DIV/0!</v>
      </c>
      <c r="VSV114" s="363" t="s">
        <v>153</v>
      </c>
      <c r="VSW114" s="363"/>
      <c r="VSX114" s="363"/>
      <c r="VSY114" s="364" t="s">
        <v>140</v>
      </c>
      <c r="VSZ114" s="365">
        <v>0.5</v>
      </c>
      <c r="VTA114" s="366" t="e">
        <f>10/VSW112</f>
        <v>#DIV/0!</v>
      </c>
      <c r="VTB114" s="367">
        <v>15.38</v>
      </c>
      <c r="VTC114" s="367" t="e">
        <f>VSZ114*VTA114*VTB114</f>
        <v>#DIV/0!</v>
      </c>
      <c r="VTD114" s="363" t="s">
        <v>153</v>
      </c>
      <c r="VTE114" s="363"/>
      <c r="VTF114" s="363"/>
      <c r="VTG114" s="364" t="s">
        <v>140</v>
      </c>
      <c r="VTH114" s="365">
        <v>0.5</v>
      </c>
      <c r="VTI114" s="366" t="e">
        <f>10/VTE112</f>
        <v>#DIV/0!</v>
      </c>
      <c r="VTJ114" s="367">
        <v>15.38</v>
      </c>
      <c r="VTK114" s="367" t="e">
        <f>VTH114*VTI114*VTJ114</f>
        <v>#DIV/0!</v>
      </c>
      <c r="VTL114" s="363" t="s">
        <v>153</v>
      </c>
      <c r="VTM114" s="363"/>
      <c r="VTN114" s="363"/>
      <c r="VTO114" s="364" t="s">
        <v>140</v>
      </c>
      <c r="VTP114" s="365">
        <v>0.5</v>
      </c>
      <c r="VTQ114" s="366" t="e">
        <f>10/VTM112</f>
        <v>#DIV/0!</v>
      </c>
      <c r="VTR114" s="367">
        <v>15.38</v>
      </c>
      <c r="VTS114" s="367" t="e">
        <f>VTP114*VTQ114*VTR114</f>
        <v>#DIV/0!</v>
      </c>
      <c r="VTT114" s="363" t="s">
        <v>153</v>
      </c>
      <c r="VTU114" s="363"/>
      <c r="VTV114" s="363"/>
      <c r="VTW114" s="364" t="s">
        <v>140</v>
      </c>
      <c r="VTX114" s="365">
        <v>0.5</v>
      </c>
      <c r="VTY114" s="366" t="e">
        <f>10/VTU112</f>
        <v>#DIV/0!</v>
      </c>
      <c r="VTZ114" s="367">
        <v>15.38</v>
      </c>
      <c r="VUA114" s="367" t="e">
        <f>VTX114*VTY114*VTZ114</f>
        <v>#DIV/0!</v>
      </c>
      <c r="VUB114" s="363" t="s">
        <v>153</v>
      </c>
      <c r="VUC114" s="363"/>
      <c r="VUD114" s="363"/>
      <c r="VUE114" s="364" t="s">
        <v>140</v>
      </c>
      <c r="VUF114" s="365">
        <v>0.5</v>
      </c>
      <c r="VUG114" s="366" t="e">
        <f>10/VUC112</f>
        <v>#DIV/0!</v>
      </c>
      <c r="VUH114" s="367">
        <v>15.38</v>
      </c>
      <c r="VUI114" s="367" t="e">
        <f>VUF114*VUG114*VUH114</f>
        <v>#DIV/0!</v>
      </c>
      <c r="VUJ114" s="363" t="s">
        <v>153</v>
      </c>
      <c r="VUK114" s="363"/>
      <c r="VUL114" s="363"/>
      <c r="VUM114" s="364" t="s">
        <v>140</v>
      </c>
      <c r="VUN114" s="365">
        <v>0.5</v>
      </c>
      <c r="VUO114" s="366" t="e">
        <f>10/VUK112</f>
        <v>#DIV/0!</v>
      </c>
      <c r="VUP114" s="367">
        <v>15.38</v>
      </c>
      <c r="VUQ114" s="367" t="e">
        <f>VUN114*VUO114*VUP114</f>
        <v>#DIV/0!</v>
      </c>
      <c r="VUR114" s="363" t="s">
        <v>153</v>
      </c>
      <c r="VUS114" s="363"/>
      <c r="VUT114" s="363"/>
      <c r="VUU114" s="364" t="s">
        <v>140</v>
      </c>
      <c r="VUV114" s="365">
        <v>0.5</v>
      </c>
      <c r="VUW114" s="366" t="e">
        <f>10/VUS112</f>
        <v>#DIV/0!</v>
      </c>
      <c r="VUX114" s="367">
        <v>15.38</v>
      </c>
      <c r="VUY114" s="367" t="e">
        <f>VUV114*VUW114*VUX114</f>
        <v>#DIV/0!</v>
      </c>
      <c r="VUZ114" s="363" t="s">
        <v>153</v>
      </c>
      <c r="VVA114" s="363"/>
      <c r="VVB114" s="363"/>
      <c r="VVC114" s="364" t="s">
        <v>140</v>
      </c>
      <c r="VVD114" s="365">
        <v>0.5</v>
      </c>
      <c r="VVE114" s="366" t="e">
        <f>10/VVA112</f>
        <v>#DIV/0!</v>
      </c>
      <c r="VVF114" s="367">
        <v>15.38</v>
      </c>
      <c r="VVG114" s="367" t="e">
        <f>VVD114*VVE114*VVF114</f>
        <v>#DIV/0!</v>
      </c>
      <c r="VVH114" s="363" t="s">
        <v>153</v>
      </c>
      <c r="VVI114" s="363"/>
      <c r="VVJ114" s="363"/>
      <c r="VVK114" s="364" t="s">
        <v>140</v>
      </c>
      <c r="VVL114" s="365">
        <v>0.5</v>
      </c>
      <c r="VVM114" s="366" t="e">
        <f>10/VVI112</f>
        <v>#DIV/0!</v>
      </c>
      <c r="VVN114" s="367">
        <v>15.38</v>
      </c>
      <c r="VVO114" s="367" t="e">
        <f>VVL114*VVM114*VVN114</f>
        <v>#DIV/0!</v>
      </c>
      <c r="VVP114" s="363" t="s">
        <v>153</v>
      </c>
      <c r="VVQ114" s="363"/>
      <c r="VVR114" s="363"/>
      <c r="VVS114" s="364" t="s">
        <v>140</v>
      </c>
      <c r="VVT114" s="365">
        <v>0.5</v>
      </c>
      <c r="VVU114" s="366" t="e">
        <f>10/VVQ112</f>
        <v>#DIV/0!</v>
      </c>
      <c r="VVV114" s="367">
        <v>15.38</v>
      </c>
      <c r="VVW114" s="367" t="e">
        <f>VVT114*VVU114*VVV114</f>
        <v>#DIV/0!</v>
      </c>
      <c r="VVX114" s="363" t="s">
        <v>153</v>
      </c>
      <c r="VVY114" s="363"/>
      <c r="VVZ114" s="363"/>
      <c r="VWA114" s="364" t="s">
        <v>140</v>
      </c>
      <c r="VWB114" s="365">
        <v>0.5</v>
      </c>
      <c r="VWC114" s="366" t="e">
        <f>10/VVY112</f>
        <v>#DIV/0!</v>
      </c>
      <c r="VWD114" s="367">
        <v>15.38</v>
      </c>
      <c r="VWE114" s="367" t="e">
        <f>VWB114*VWC114*VWD114</f>
        <v>#DIV/0!</v>
      </c>
      <c r="VWF114" s="363" t="s">
        <v>153</v>
      </c>
      <c r="VWG114" s="363"/>
      <c r="VWH114" s="363"/>
      <c r="VWI114" s="364" t="s">
        <v>140</v>
      </c>
      <c r="VWJ114" s="365">
        <v>0.5</v>
      </c>
      <c r="VWK114" s="366" t="e">
        <f>10/VWG112</f>
        <v>#DIV/0!</v>
      </c>
      <c r="VWL114" s="367">
        <v>15.38</v>
      </c>
      <c r="VWM114" s="367" t="e">
        <f>VWJ114*VWK114*VWL114</f>
        <v>#DIV/0!</v>
      </c>
      <c r="VWN114" s="363" t="s">
        <v>153</v>
      </c>
      <c r="VWO114" s="363"/>
      <c r="VWP114" s="363"/>
      <c r="VWQ114" s="364" t="s">
        <v>140</v>
      </c>
      <c r="VWR114" s="365">
        <v>0.5</v>
      </c>
      <c r="VWS114" s="366" t="e">
        <f>10/VWO112</f>
        <v>#DIV/0!</v>
      </c>
      <c r="VWT114" s="367">
        <v>15.38</v>
      </c>
      <c r="VWU114" s="367" t="e">
        <f>VWR114*VWS114*VWT114</f>
        <v>#DIV/0!</v>
      </c>
      <c r="VWV114" s="363" t="s">
        <v>153</v>
      </c>
      <c r="VWW114" s="363"/>
      <c r="VWX114" s="363"/>
      <c r="VWY114" s="364" t="s">
        <v>140</v>
      </c>
      <c r="VWZ114" s="365">
        <v>0.5</v>
      </c>
      <c r="VXA114" s="366" t="e">
        <f>10/VWW112</f>
        <v>#DIV/0!</v>
      </c>
      <c r="VXB114" s="367">
        <v>15.38</v>
      </c>
      <c r="VXC114" s="367" t="e">
        <f>VWZ114*VXA114*VXB114</f>
        <v>#DIV/0!</v>
      </c>
      <c r="VXD114" s="363" t="s">
        <v>153</v>
      </c>
      <c r="VXE114" s="363"/>
      <c r="VXF114" s="363"/>
      <c r="VXG114" s="364" t="s">
        <v>140</v>
      </c>
      <c r="VXH114" s="365">
        <v>0.5</v>
      </c>
      <c r="VXI114" s="366" t="e">
        <f>10/VXE112</f>
        <v>#DIV/0!</v>
      </c>
      <c r="VXJ114" s="367">
        <v>15.38</v>
      </c>
      <c r="VXK114" s="367" t="e">
        <f>VXH114*VXI114*VXJ114</f>
        <v>#DIV/0!</v>
      </c>
      <c r="VXL114" s="363" t="s">
        <v>153</v>
      </c>
      <c r="VXM114" s="363"/>
      <c r="VXN114" s="363"/>
      <c r="VXO114" s="364" t="s">
        <v>140</v>
      </c>
      <c r="VXP114" s="365">
        <v>0.5</v>
      </c>
      <c r="VXQ114" s="366" t="e">
        <f>10/VXM112</f>
        <v>#DIV/0!</v>
      </c>
      <c r="VXR114" s="367">
        <v>15.38</v>
      </c>
      <c r="VXS114" s="367" t="e">
        <f>VXP114*VXQ114*VXR114</f>
        <v>#DIV/0!</v>
      </c>
      <c r="VXT114" s="363" t="s">
        <v>153</v>
      </c>
      <c r="VXU114" s="363"/>
      <c r="VXV114" s="363"/>
      <c r="VXW114" s="364" t="s">
        <v>140</v>
      </c>
      <c r="VXX114" s="365">
        <v>0.5</v>
      </c>
      <c r="VXY114" s="366" t="e">
        <f>10/VXU112</f>
        <v>#DIV/0!</v>
      </c>
      <c r="VXZ114" s="367">
        <v>15.38</v>
      </c>
      <c r="VYA114" s="367" t="e">
        <f>VXX114*VXY114*VXZ114</f>
        <v>#DIV/0!</v>
      </c>
      <c r="VYB114" s="363" t="s">
        <v>153</v>
      </c>
      <c r="VYC114" s="363"/>
      <c r="VYD114" s="363"/>
      <c r="VYE114" s="364" t="s">
        <v>140</v>
      </c>
      <c r="VYF114" s="365">
        <v>0.5</v>
      </c>
      <c r="VYG114" s="366" t="e">
        <f>10/VYC112</f>
        <v>#DIV/0!</v>
      </c>
      <c r="VYH114" s="367">
        <v>15.38</v>
      </c>
      <c r="VYI114" s="367" t="e">
        <f>VYF114*VYG114*VYH114</f>
        <v>#DIV/0!</v>
      </c>
      <c r="VYJ114" s="363" t="s">
        <v>153</v>
      </c>
      <c r="VYK114" s="363"/>
      <c r="VYL114" s="363"/>
      <c r="VYM114" s="364" t="s">
        <v>140</v>
      </c>
      <c r="VYN114" s="365">
        <v>0.5</v>
      </c>
      <c r="VYO114" s="366" t="e">
        <f>10/VYK112</f>
        <v>#DIV/0!</v>
      </c>
      <c r="VYP114" s="367">
        <v>15.38</v>
      </c>
      <c r="VYQ114" s="367" t="e">
        <f>VYN114*VYO114*VYP114</f>
        <v>#DIV/0!</v>
      </c>
      <c r="VYR114" s="363" t="s">
        <v>153</v>
      </c>
      <c r="VYS114" s="363"/>
      <c r="VYT114" s="363"/>
      <c r="VYU114" s="364" t="s">
        <v>140</v>
      </c>
      <c r="VYV114" s="365">
        <v>0.5</v>
      </c>
      <c r="VYW114" s="366" t="e">
        <f>10/VYS112</f>
        <v>#DIV/0!</v>
      </c>
      <c r="VYX114" s="367">
        <v>15.38</v>
      </c>
      <c r="VYY114" s="367" t="e">
        <f>VYV114*VYW114*VYX114</f>
        <v>#DIV/0!</v>
      </c>
      <c r="VYZ114" s="363" t="s">
        <v>153</v>
      </c>
      <c r="VZA114" s="363"/>
      <c r="VZB114" s="363"/>
      <c r="VZC114" s="364" t="s">
        <v>140</v>
      </c>
      <c r="VZD114" s="365">
        <v>0.5</v>
      </c>
      <c r="VZE114" s="366" t="e">
        <f>10/VZA112</f>
        <v>#DIV/0!</v>
      </c>
      <c r="VZF114" s="367">
        <v>15.38</v>
      </c>
      <c r="VZG114" s="367" t="e">
        <f>VZD114*VZE114*VZF114</f>
        <v>#DIV/0!</v>
      </c>
      <c r="VZH114" s="363" t="s">
        <v>153</v>
      </c>
      <c r="VZI114" s="363"/>
      <c r="VZJ114" s="363"/>
      <c r="VZK114" s="364" t="s">
        <v>140</v>
      </c>
      <c r="VZL114" s="365">
        <v>0.5</v>
      </c>
      <c r="VZM114" s="366" t="e">
        <f>10/VZI112</f>
        <v>#DIV/0!</v>
      </c>
      <c r="VZN114" s="367">
        <v>15.38</v>
      </c>
      <c r="VZO114" s="367" t="e">
        <f>VZL114*VZM114*VZN114</f>
        <v>#DIV/0!</v>
      </c>
      <c r="VZP114" s="363" t="s">
        <v>153</v>
      </c>
      <c r="VZQ114" s="363"/>
      <c r="VZR114" s="363"/>
      <c r="VZS114" s="364" t="s">
        <v>140</v>
      </c>
      <c r="VZT114" s="365">
        <v>0.5</v>
      </c>
      <c r="VZU114" s="366" t="e">
        <f>10/VZQ112</f>
        <v>#DIV/0!</v>
      </c>
      <c r="VZV114" s="367">
        <v>15.38</v>
      </c>
      <c r="VZW114" s="367" t="e">
        <f>VZT114*VZU114*VZV114</f>
        <v>#DIV/0!</v>
      </c>
      <c r="VZX114" s="363" t="s">
        <v>153</v>
      </c>
      <c r="VZY114" s="363"/>
      <c r="VZZ114" s="363"/>
      <c r="WAA114" s="364" t="s">
        <v>140</v>
      </c>
      <c r="WAB114" s="365">
        <v>0.5</v>
      </c>
      <c r="WAC114" s="366" t="e">
        <f>10/VZY112</f>
        <v>#DIV/0!</v>
      </c>
      <c r="WAD114" s="367">
        <v>15.38</v>
      </c>
      <c r="WAE114" s="367" t="e">
        <f>WAB114*WAC114*WAD114</f>
        <v>#DIV/0!</v>
      </c>
      <c r="WAF114" s="363" t="s">
        <v>153</v>
      </c>
      <c r="WAG114" s="363"/>
      <c r="WAH114" s="363"/>
      <c r="WAI114" s="364" t="s">
        <v>140</v>
      </c>
      <c r="WAJ114" s="365">
        <v>0.5</v>
      </c>
      <c r="WAK114" s="366" t="e">
        <f>10/WAG112</f>
        <v>#DIV/0!</v>
      </c>
      <c r="WAL114" s="367">
        <v>15.38</v>
      </c>
      <c r="WAM114" s="367" t="e">
        <f>WAJ114*WAK114*WAL114</f>
        <v>#DIV/0!</v>
      </c>
      <c r="WAN114" s="363" t="s">
        <v>153</v>
      </c>
      <c r="WAO114" s="363"/>
      <c r="WAP114" s="363"/>
      <c r="WAQ114" s="364" t="s">
        <v>140</v>
      </c>
      <c r="WAR114" s="365">
        <v>0.5</v>
      </c>
      <c r="WAS114" s="366" t="e">
        <f>10/WAO112</f>
        <v>#DIV/0!</v>
      </c>
      <c r="WAT114" s="367">
        <v>15.38</v>
      </c>
      <c r="WAU114" s="367" t="e">
        <f>WAR114*WAS114*WAT114</f>
        <v>#DIV/0!</v>
      </c>
      <c r="WAV114" s="363" t="s">
        <v>153</v>
      </c>
      <c r="WAW114" s="363"/>
      <c r="WAX114" s="363"/>
      <c r="WAY114" s="364" t="s">
        <v>140</v>
      </c>
      <c r="WAZ114" s="365">
        <v>0.5</v>
      </c>
      <c r="WBA114" s="366" t="e">
        <f>10/WAW112</f>
        <v>#DIV/0!</v>
      </c>
      <c r="WBB114" s="367">
        <v>15.38</v>
      </c>
      <c r="WBC114" s="367" t="e">
        <f>WAZ114*WBA114*WBB114</f>
        <v>#DIV/0!</v>
      </c>
      <c r="WBD114" s="363" t="s">
        <v>153</v>
      </c>
      <c r="WBE114" s="363"/>
      <c r="WBF114" s="363"/>
      <c r="WBG114" s="364" t="s">
        <v>140</v>
      </c>
      <c r="WBH114" s="365">
        <v>0.5</v>
      </c>
      <c r="WBI114" s="366" t="e">
        <f>10/WBE112</f>
        <v>#DIV/0!</v>
      </c>
      <c r="WBJ114" s="367">
        <v>15.38</v>
      </c>
      <c r="WBK114" s="367" t="e">
        <f>WBH114*WBI114*WBJ114</f>
        <v>#DIV/0!</v>
      </c>
      <c r="WBL114" s="363" t="s">
        <v>153</v>
      </c>
      <c r="WBM114" s="363"/>
      <c r="WBN114" s="363"/>
      <c r="WBO114" s="364" t="s">
        <v>140</v>
      </c>
      <c r="WBP114" s="365">
        <v>0.5</v>
      </c>
      <c r="WBQ114" s="366" t="e">
        <f>10/WBM112</f>
        <v>#DIV/0!</v>
      </c>
      <c r="WBR114" s="367">
        <v>15.38</v>
      </c>
      <c r="WBS114" s="367" t="e">
        <f>WBP114*WBQ114*WBR114</f>
        <v>#DIV/0!</v>
      </c>
      <c r="WBT114" s="363" t="s">
        <v>153</v>
      </c>
      <c r="WBU114" s="363"/>
      <c r="WBV114" s="363"/>
      <c r="WBW114" s="364" t="s">
        <v>140</v>
      </c>
      <c r="WBX114" s="365">
        <v>0.5</v>
      </c>
      <c r="WBY114" s="366" t="e">
        <f>10/WBU112</f>
        <v>#DIV/0!</v>
      </c>
      <c r="WBZ114" s="367">
        <v>15.38</v>
      </c>
      <c r="WCA114" s="367" t="e">
        <f>WBX114*WBY114*WBZ114</f>
        <v>#DIV/0!</v>
      </c>
      <c r="WCB114" s="363" t="s">
        <v>153</v>
      </c>
      <c r="WCC114" s="363"/>
      <c r="WCD114" s="363"/>
      <c r="WCE114" s="364" t="s">
        <v>140</v>
      </c>
      <c r="WCF114" s="365">
        <v>0.5</v>
      </c>
      <c r="WCG114" s="366" t="e">
        <f>10/WCC112</f>
        <v>#DIV/0!</v>
      </c>
      <c r="WCH114" s="367">
        <v>15.38</v>
      </c>
      <c r="WCI114" s="367" t="e">
        <f>WCF114*WCG114*WCH114</f>
        <v>#DIV/0!</v>
      </c>
      <c r="WCJ114" s="363" t="s">
        <v>153</v>
      </c>
      <c r="WCK114" s="363"/>
      <c r="WCL114" s="363"/>
      <c r="WCM114" s="364" t="s">
        <v>140</v>
      </c>
      <c r="WCN114" s="365">
        <v>0.5</v>
      </c>
      <c r="WCO114" s="366" t="e">
        <f>10/WCK112</f>
        <v>#DIV/0!</v>
      </c>
      <c r="WCP114" s="367">
        <v>15.38</v>
      </c>
      <c r="WCQ114" s="367" t="e">
        <f>WCN114*WCO114*WCP114</f>
        <v>#DIV/0!</v>
      </c>
      <c r="WCR114" s="363" t="s">
        <v>153</v>
      </c>
      <c r="WCS114" s="363"/>
      <c r="WCT114" s="363"/>
      <c r="WCU114" s="364" t="s">
        <v>140</v>
      </c>
      <c r="WCV114" s="365">
        <v>0.5</v>
      </c>
      <c r="WCW114" s="366" t="e">
        <f>10/WCS112</f>
        <v>#DIV/0!</v>
      </c>
      <c r="WCX114" s="367">
        <v>15.38</v>
      </c>
      <c r="WCY114" s="367" t="e">
        <f>WCV114*WCW114*WCX114</f>
        <v>#DIV/0!</v>
      </c>
      <c r="WCZ114" s="363" t="s">
        <v>153</v>
      </c>
      <c r="WDA114" s="363"/>
      <c r="WDB114" s="363"/>
      <c r="WDC114" s="364" t="s">
        <v>140</v>
      </c>
      <c r="WDD114" s="365">
        <v>0.5</v>
      </c>
      <c r="WDE114" s="366" t="e">
        <f>10/WDA112</f>
        <v>#DIV/0!</v>
      </c>
      <c r="WDF114" s="367">
        <v>15.38</v>
      </c>
      <c r="WDG114" s="367" t="e">
        <f>WDD114*WDE114*WDF114</f>
        <v>#DIV/0!</v>
      </c>
      <c r="WDH114" s="363" t="s">
        <v>153</v>
      </c>
      <c r="WDI114" s="363"/>
      <c r="WDJ114" s="363"/>
      <c r="WDK114" s="364" t="s">
        <v>140</v>
      </c>
      <c r="WDL114" s="365">
        <v>0.5</v>
      </c>
      <c r="WDM114" s="366" t="e">
        <f>10/WDI112</f>
        <v>#DIV/0!</v>
      </c>
      <c r="WDN114" s="367">
        <v>15.38</v>
      </c>
      <c r="WDO114" s="367" t="e">
        <f>WDL114*WDM114*WDN114</f>
        <v>#DIV/0!</v>
      </c>
      <c r="WDP114" s="363" t="s">
        <v>153</v>
      </c>
      <c r="WDQ114" s="363"/>
      <c r="WDR114" s="363"/>
      <c r="WDS114" s="364" t="s">
        <v>140</v>
      </c>
      <c r="WDT114" s="365">
        <v>0.5</v>
      </c>
      <c r="WDU114" s="366" t="e">
        <f>10/WDQ112</f>
        <v>#DIV/0!</v>
      </c>
      <c r="WDV114" s="367">
        <v>15.38</v>
      </c>
      <c r="WDW114" s="367" t="e">
        <f>WDT114*WDU114*WDV114</f>
        <v>#DIV/0!</v>
      </c>
      <c r="WDX114" s="363" t="s">
        <v>153</v>
      </c>
      <c r="WDY114" s="363"/>
      <c r="WDZ114" s="363"/>
      <c r="WEA114" s="364" t="s">
        <v>140</v>
      </c>
      <c r="WEB114" s="365">
        <v>0.5</v>
      </c>
      <c r="WEC114" s="366" t="e">
        <f>10/WDY112</f>
        <v>#DIV/0!</v>
      </c>
      <c r="WED114" s="367">
        <v>15.38</v>
      </c>
      <c r="WEE114" s="367" t="e">
        <f>WEB114*WEC114*WED114</f>
        <v>#DIV/0!</v>
      </c>
      <c r="WEF114" s="363" t="s">
        <v>153</v>
      </c>
      <c r="WEG114" s="363"/>
      <c r="WEH114" s="363"/>
      <c r="WEI114" s="364" t="s">
        <v>140</v>
      </c>
      <c r="WEJ114" s="365">
        <v>0.5</v>
      </c>
      <c r="WEK114" s="366" t="e">
        <f>10/WEG112</f>
        <v>#DIV/0!</v>
      </c>
      <c r="WEL114" s="367">
        <v>15.38</v>
      </c>
      <c r="WEM114" s="367" t="e">
        <f>WEJ114*WEK114*WEL114</f>
        <v>#DIV/0!</v>
      </c>
      <c r="WEN114" s="363" t="s">
        <v>153</v>
      </c>
      <c r="WEO114" s="363"/>
      <c r="WEP114" s="363"/>
      <c r="WEQ114" s="364" t="s">
        <v>140</v>
      </c>
      <c r="WER114" s="365">
        <v>0.5</v>
      </c>
      <c r="WES114" s="366" t="e">
        <f>10/WEO112</f>
        <v>#DIV/0!</v>
      </c>
      <c r="WET114" s="367">
        <v>15.38</v>
      </c>
      <c r="WEU114" s="367" t="e">
        <f>WER114*WES114*WET114</f>
        <v>#DIV/0!</v>
      </c>
      <c r="WEV114" s="363" t="s">
        <v>153</v>
      </c>
      <c r="WEW114" s="363"/>
      <c r="WEX114" s="363"/>
      <c r="WEY114" s="364" t="s">
        <v>140</v>
      </c>
      <c r="WEZ114" s="365">
        <v>0.5</v>
      </c>
      <c r="WFA114" s="366" t="e">
        <f>10/WEW112</f>
        <v>#DIV/0!</v>
      </c>
      <c r="WFB114" s="367">
        <v>15.38</v>
      </c>
      <c r="WFC114" s="367" t="e">
        <f>WEZ114*WFA114*WFB114</f>
        <v>#DIV/0!</v>
      </c>
      <c r="WFD114" s="363" t="s">
        <v>153</v>
      </c>
      <c r="WFE114" s="363"/>
      <c r="WFF114" s="363"/>
      <c r="WFG114" s="364" t="s">
        <v>140</v>
      </c>
      <c r="WFH114" s="365">
        <v>0.5</v>
      </c>
      <c r="WFI114" s="366" t="e">
        <f>10/WFE112</f>
        <v>#DIV/0!</v>
      </c>
      <c r="WFJ114" s="367">
        <v>15.38</v>
      </c>
      <c r="WFK114" s="367" t="e">
        <f>WFH114*WFI114*WFJ114</f>
        <v>#DIV/0!</v>
      </c>
      <c r="WFL114" s="363" t="s">
        <v>153</v>
      </c>
      <c r="WFM114" s="363"/>
      <c r="WFN114" s="363"/>
      <c r="WFO114" s="364" t="s">
        <v>140</v>
      </c>
      <c r="WFP114" s="365">
        <v>0.5</v>
      </c>
      <c r="WFQ114" s="366" t="e">
        <f>10/WFM112</f>
        <v>#DIV/0!</v>
      </c>
      <c r="WFR114" s="367">
        <v>15.38</v>
      </c>
      <c r="WFS114" s="367" t="e">
        <f>WFP114*WFQ114*WFR114</f>
        <v>#DIV/0!</v>
      </c>
      <c r="WFT114" s="363" t="s">
        <v>153</v>
      </c>
      <c r="WFU114" s="363"/>
      <c r="WFV114" s="363"/>
      <c r="WFW114" s="364" t="s">
        <v>140</v>
      </c>
      <c r="WFX114" s="365">
        <v>0.5</v>
      </c>
      <c r="WFY114" s="366" t="e">
        <f>10/WFU112</f>
        <v>#DIV/0!</v>
      </c>
      <c r="WFZ114" s="367">
        <v>15.38</v>
      </c>
      <c r="WGA114" s="367" t="e">
        <f>WFX114*WFY114*WFZ114</f>
        <v>#DIV/0!</v>
      </c>
      <c r="WGB114" s="363" t="s">
        <v>153</v>
      </c>
      <c r="WGC114" s="363"/>
      <c r="WGD114" s="363"/>
      <c r="WGE114" s="364" t="s">
        <v>140</v>
      </c>
      <c r="WGF114" s="365">
        <v>0.5</v>
      </c>
      <c r="WGG114" s="366" t="e">
        <f>10/WGC112</f>
        <v>#DIV/0!</v>
      </c>
      <c r="WGH114" s="367">
        <v>15.38</v>
      </c>
      <c r="WGI114" s="367" t="e">
        <f>WGF114*WGG114*WGH114</f>
        <v>#DIV/0!</v>
      </c>
      <c r="WGJ114" s="363" t="s">
        <v>153</v>
      </c>
      <c r="WGK114" s="363"/>
      <c r="WGL114" s="363"/>
      <c r="WGM114" s="364" t="s">
        <v>140</v>
      </c>
      <c r="WGN114" s="365">
        <v>0.5</v>
      </c>
      <c r="WGO114" s="366" t="e">
        <f>10/WGK112</f>
        <v>#DIV/0!</v>
      </c>
      <c r="WGP114" s="367">
        <v>15.38</v>
      </c>
      <c r="WGQ114" s="367" t="e">
        <f>WGN114*WGO114*WGP114</f>
        <v>#DIV/0!</v>
      </c>
      <c r="WGR114" s="363" t="s">
        <v>153</v>
      </c>
      <c r="WGS114" s="363"/>
      <c r="WGT114" s="363"/>
      <c r="WGU114" s="364" t="s">
        <v>140</v>
      </c>
      <c r="WGV114" s="365">
        <v>0.5</v>
      </c>
      <c r="WGW114" s="366" t="e">
        <f>10/WGS112</f>
        <v>#DIV/0!</v>
      </c>
      <c r="WGX114" s="367">
        <v>15.38</v>
      </c>
      <c r="WGY114" s="367" t="e">
        <f>WGV114*WGW114*WGX114</f>
        <v>#DIV/0!</v>
      </c>
      <c r="WGZ114" s="363" t="s">
        <v>153</v>
      </c>
      <c r="WHA114" s="363"/>
      <c r="WHB114" s="363"/>
      <c r="WHC114" s="364" t="s">
        <v>140</v>
      </c>
      <c r="WHD114" s="365">
        <v>0.5</v>
      </c>
      <c r="WHE114" s="366" t="e">
        <f>10/WHA112</f>
        <v>#DIV/0!</v>
      </c>
      <c r="WHF114" s="367">
        <v>15.38</v>
      </c>
      <c r="WHG114" s="367" t="e">
        <f>WHD114*WHE114*WHF114</f>
        <v>#DIV/0!</v>
      </c>
      <c r="WHH114" s="363" t="s">
        <v>153</v>
      </c>
      <c r="WHI114" s="363"/>
      <c r="WHJ114" s="363"/>
      <c r="WHK114" s="364" t="s">
        <v>140</v>
      </c>
      <c r="WHL114" s="365">
        <v>0.5</v>
      </c>
      <c r="WHM114" s="366" t="e">
        <f>10/WHI112</f>
        <v>#DIV/0!</v>
      </c>
      <c r="WHN114" s="367">
        <v>15.38</v>
      </c>
      <c r="WHO114" s="367" t="e">
        <f>WHL114*WHM114*WHN114</f>
        <v>#DIV/0!</v>
      </c>
      <c r="WHP114" s="363" t="s">
        <v>153</v>
      </c>
      <c r="WHQ114" s="363"/>
      <c r="WHR114" s="363"/>
      <c r="WHS114" s="364" t="s">
        <v>140</v>
      </c>
      <c r="WHT114" s="365">
        <v>0.5</v>
      </c>
      <c r="WHU114" s="366" t="e">
        <f>10/WHQ112</f>
        <v>#DIV/0!</v>
      </c>
      <c r="WHV114" s="367">
        <v>15.38</v>
      </c>
      <c r="WHW114" s="367" t="e">
        <f>WHT114*WHU114*WHV114</f>
        <v>#DIV/0!</v>
      </c>
      <c r="WHX114" s="363" t="s">
        <v>153</v>
      </c>
      <c r="WHY114" s="363"/>
      <c r="WHZ114" s="363"/>
      <c r="WIA114" s="364" t="s">
        <v>140</v>
      </c>
      <c r="WIB114" s="365">
        <v>0.5</v>
      </c>
      <c r="WIC114" s="366" t="e">
        <f>10/WHY112</f>
        <v>#DIV/0!</v>
      </c>
      <c r="WID114" s="367">
        <v>15.38</v>
      </c>
      <c r="WIE114" s="367" t="e">
        <f>WIB114*WIC114*WID114</f>
        <v>#DIV/0!</v>
      </c>
      <c r="WIF114" s="363" t="s">
        <v>153</v>
      </c>
      <c r="WIG114" s="363"/>
      <c r="WIH114" s="363"/>
      <c r="WII114" s="364" t="s">
        <v>140</v>
      </c>
      <c r="WIJ114" s="365">
        <v>0.5</v>
      </c>
      <c r="WIK114" s="366" t="e">
        <f>10/WIG112</f>
        <v>#DIV/0!</v>
      </c>
      <c r="WIL114" s="367">
        <v>15.38</v>
      </c>
      <c r="WIM114" s="367" t="e">
        <f>WIJ114*WIK114*WIL114</f>
        <v>#DIV/0!</v>
      </c>
      <c r="WIN114" s="363" t="s">
        <v>153</v>
      </c>
      <c r="WIO114" s="363"/>
      <c r="WIP114" s="363"/>
      <c r="WIQ114" s="364" t="s">
        <v>140</v>
      </c>
      <c r="WIR114" s="365">
        <v>0.5</v>
      </c>
      <c r="WIS114" s="366" t="e">
        <f>10/WIO112</f>
        <v>#DIV/0!</v>
      </c>
      <c r="WIT114" s="367">
        <v>15.38</v>
      </c>
      <c r="WIU114" s="367" t="e">
        <f>WIR114*WIS114*WIT114</f>
        <v>#DIV/0!</v>
      </c>
      <c r="WIV114" s="363" t="s">
        <v>153</v>
      </c>
      <c r="WIW114" s="363"/>
      <c r="WIX114" s="363"/>
      <c r="WIY114" s="364" t="s">
        <v>140</v>
      </c>
      <c r="WIZ114" s="365">
        <v>0.5</v>
      </c>
      <c r="WJA114" s="366" t="e">
        <f>10/WIW112</f>
        <v>#DIV/0!</v>
      </c>
      <c r="WJB114" s="367">
        <v>15.38</v>
      </c>
      <c r="WJC114" s="367" t="e">
        <f>WIZ114*WJA114*WJB114</f>
        <v>#DIV/0!</v>
      </c>
      <c r="WJD114" s="363" t="s">
        <v>153</v>
      </c>
      <c r="WJE114" s="363"/>
      <c r="WJF114" s="363"/>
      <c r="WJG114" s="364" t="s">
        <v>140</v>
      </c>
      <c r="WJH114" s="365">
        <v>0.5</v>
      </c>
      <c r="WJI114" s="366" t="e">
        <f>10/WJE112</f>
        <v>#DIV/0!</v>
      </c>
      <c r="WJJ114" s="367">
        <v>15.38</v>
      </c>
      <c r="WJK114" s="367" t="e">
        <f>WJH114*WJI114*WJJ114</f>
        <v>#DIV/0!</v>
      </c>
      <c r="WJL114" s="363" t="s">
        <v>153</v>
      </c>
      <c r="WJM114" s="363"/>
      <c r="WJN114" s="363"/>
      <c r="WJO114" s="364" t="s">
        <v>140</v>
      </c>
      <c r="WJP114" s="365">
        <v>0.5</v>
      </c>
      <c r="WJQ114" s="366" t="e">
        <f>10/WJM112</f>
        <v>#DIV/0!</v>
      </c>
      <c r="WJR114" s="367">
        <v>15.38</v>
      </c>
      <c r="WJS114" s="367" t="e">
        <f>WJP114*WJQ114*WJR114</f>
        <v>#DIV/0!</v>
      </c>
      <c r="WJT114" s="363" t="s">
        <v>153</v>
      </c>
      <c r="WJU114" s="363"/>
      <c r="WJV114" s="363"/>
      <c r="WJW114" s="364" t="s">
        <v>140</v>
      </c>
      <c r="WJX114" s="365">
        <v>0.5</v>
      </c>
      <c r="WJY114" s="366" t="e">
        <f>10/WJU112</f>
        <v>#DIV/0!</v>
      </c>
      <c r="WJZ114" s="367">
        <v>15.38</v>
      </c>
      <c r="WKA114" s="367" t="e">
        <f>WJX114*WJY114*WJZ114</f>
        <v>#DIV/0!</v>
      </c>
      <c r="WKB114" s="363" t="s">
        <v>153</v>
      </c>
      <c r="WKC114" s="363"/>
      <c r="WKD114" s="363"/>
      <c r="WKE114" s="364" t="s">
        <v>140</v>
      </c>
      <c r="WKF114" s="365">
        <v>0.5</v>
      </c>
      <c r="WKG114" s="366" t="e">
        <f>10/WKC112</f>
        <v>#DIV/0!</v>
      </c>
      <c r="WKH114" s="367">
        <v>15.38</v>
      </c>
      <c r="WKI114" s="367" t="e">
        <f>WKF114*WKG114*WKH114</f>
        <v>#DIV/0!</v>
      </c>
      <c r="WKJ114" s="363" t="s">
        <v>153</v>
      </c>
      <c r="WKK114" s="363"/>
      <c r="WKL114" s="363"/>
      <c r="WKM114" s="364" t="s">
        <v>140</v>
      </c>
      <c r="WKN114" s="365">
        <v>0.5</v>
      </c>
      <c r="WKO114" s="366" t="e">
        <f>10/WKK112</f>
        <v>#DIV/0!</v>
      </c>
      <c r="WKP114" s="367">
        <v>15.38</v>
      </c>
      <c r="WKQ114" s="367" t="e">
        <f>WKN114*WKO114*WKP114</f>
        <v>#DIV/0!</v>
      </c>
      <c r="WKR114" s="363" t="s">
        <v>153</v>
      </c>
      <c r="WKS114" s="363"/>
      <c r="WKT114" s="363"/>
      <c r="WKU114" s="364" t="s">
        <v>140</v>
      </c>
      <c r="WKV114" s="365">
        <v>0.5</v>
      </c>
      <c r="WKW114" s="366" t="e">
        <f>10/WKS112</f>
        <v>#DIV/0!</v>
      </c>
      <c r="WKX114" s="367">
        <v>15.38</v>
      </c>
      <c r="WKY114" s="367" t="e">
        <f>WKV114*WKW114*WKX114</f>
        <v>#DIV/0!</v>
      </c>
      <c r="WKZ114" s="363" t="s">
        <v>153</v>
      </c>
      <c r="WLA114" s="363"/>
      <c r="WLB114" s="363"/>
      <c r="WLC114" s="364" t="s">
        <v>140</v>
      </c>
      <c r="WLD114" s="365">
        <v>0.5</v>
      </c>
      <c r="WLE114" s="366" t="e">
        <f>10/WLA112</f>
        <v>#DIV/0!</v>
      </c>
      <c r="WLF114" s="367">
        <v>15.38</v>
      </c>
      <c r="WLG114" s="367" t="e">
        <f>WLD114*WLE114*WLF114</f>
        <v>#DIV/0!</v>
      </c>
      <c r="WLH114" s="363" t="s">
        <v>153</v>
      </c>
      <c r="WLI114" s="363"/>
      <c r="WLJ114" s="363"/>
      <c r="WLK114" s="364" t="s">
        <v>140</v>
      </c>
      <c r="WLL114" s="365">
        <v>0.5</v>
      </c>
      <c r="WLM114" s="366" t="e">
        <f>10/WLI112</f>
        <v>#DIV/0!</v>
      </c>
      <c r="WLN114" s="367">
        <v>15.38</v>
      </c>
      <c r="WLO114" s="367" t="e">
        <f>WLL114*WLM114*WLN114</f>
        <v>#DIV/0!</v>
      </c>
      <c r="WLP114" s="363" t="s">
        <v>153</v>
      </c>
      <c r="WLQ114" s="363"/>
      <c r="WLR114" s="363"/>
      <c r="WLS114" s="364" t="s">
        <v>140</v>
      </c>
      <c r="WLT114" s="365">
        <v>0.5</v>
      </c>
      <c r="WLU114" s="366" t="e">
        <f>10/WLQ112</f>
        <v>#DIV/0!</v>
      </c>
      <c r="WLV114" s="367">
        <v>15.38</v>
      </c>
      <c r="WLW114" s="367" t="e">
        <f>WLT114*WLU114*WLV114</f>
        <v>#DIV/0!</v>
      </c>
      <c r="WLX114" s="363" t="s">
        <v>153</v>
      </c>
      <c r="WLY114" s="363"/>
      <c r="WLZ114" s="363"/>
      <c r="WMA114" s="364" t="s">
        <v>140</v>
      </c>
      <c r="WMB114" s="365">
        <v>0.5</v>
      </c>
      <c r="WMC114" s="366" t="e">
        <f>10/WLY112</f>
        <v>#DIV/0!</v>
      </c>
      <c r="WMD114" s="367">
        <v>15.38</v>
      </c>
      <c r="WME114" s="367" t="e">
        <f>WMB114*WMC114*WMD114</f>
        <v>#DIV/0!</v>
      </c>
      <c r="WMF114" s="363" t="s">
        <v>153</v>
      </c>
      <c r="WMG114" s="363"/>
      <c r="WMH114" s="363"/>
      <c r="WMI114" s="364" t="s">
        <v>140</v>
      </c>
      <c r="WMJ114" s="365">
        <v>0.5</v>
      </c>
      <c r="WMK114" s="366" t="e">
        <f>10/WMG112</f>
        <v>#DIV/0!</v>
      </c>
      <c r="WML114" s="367">
        <v>15.38</v>
      </c>
      <c r="WMM114" s="367" t="e">
        <f>WMJ114*WMK114*WML114</f>
        <v>#DIV/0!</v>
      </c>
      <c r="WMN114" s="363" t="s">
        <v>153</v>
      </c>
      <c r="WMO114" s="363"/>
      <c r="WMP114" s="363"/>
      <c r="WMQ114" s="364" t="s">
        <v>140</v>
      </c>
      <c r="WMR114" s="365">
        <v>0.5</v>
      </c>
      <c r="WMS114" s="366" t="e">
        <f>10/WMO112</f>
        <v>#DIV/0!</v>
      </c>
      <c r="WMT114" s="367">
        <v>15.38</v>
      </c>
      <c r="WMU114" s="367" t="e">
        <f>WMR114*WMS114*WMT114</f>
        <v>#DIV/0!</v>
      </c>
      <c r="WMV114" s="363" t="s">
        <v>153</v>
      </c>
      <c r="WMW114" s="363"/>
      <c r="WMX114" s="363"/>
      <c r="WMY114" s="364" t="s">
        <v>140</v>
      </c>
      <c r="WMZ114" s="365">
        <v>0.5</v>
      </c>
      <c r="WNA114" s="366" t="e">
        <f>10/WMW112</f>
        <v>#DIV/0!</v>
      </c>
      <c r="WNB114" s="367">
        <v>15.38</v>
      </c>
      <c r="WNC114" s="367" t="e">
        <f>WMZ114*WNA114*WNB114</f>
        <v>#DIV/0!</v>
      </c>
      <c r="WND114" s="363" t="s">
        <v>153</v>
      </c>
      <c r="WNE114" s="363"/>
      <c r="WNF114" s="363"/>
      <c r="WNG114" s="364" t="s">
        <v>140</v>
      </c>
      <c r="WNH114" s="365">
        <v>0.5</v>
      </c>
      <c r="WNI114" s="366" t="e">
        <f>10/WNE112</f>
        <v>#DIV/0!</v>
      </c>
      <c r="WNJ114" s="367">
        <v>15.38</v>
      </c>
      <c r="WNK114" s="367" t="e">
        <f>WNH114*WNI114*WNJ114</f>
        <v>#DIV/0!</v>
      </c>
      <c r="WNL114" s="363" t="s">
        <v>153</v>
      </c>
      <c r="WNM114" s="363"/>
      <c r="WNN114" s="363"/>
      <c r="WNO114" s="364" t="s">
        <v>140</v>
      </c>
      <c r="WNP114" s="365">
        <v>0.5</v>
      </c>
      <c r="WNQ114" s="366" t="e">
        <f>10/WNM112</f>
        <v>#DIV/0!</v>
      </c>
      <c r="WNR114" s="367">
        <v>15.38</v>
      </c>
      <c r="WNS114" s="367" t="e">
        <f>WNP114*WNQ114*WNR114</f>
        <v>#DIV/0!</v>
      </c>
      <c r="WNT114" s="363" t="s">
        <v>153</v>
      </c>
      <c r="WNU114" s="363"/>
      <c r="WNV114" s="363"/>
      <c r="WNW114" s="364" t="s">
        <v>140</v>
      </c>
      <c r="WNX114" s="365">
        <v>0.5</v>
      </c>
      <c r="WNY114" s="366" t="e">
        <f>10/WNU112</f>
        <v>#DIV/0!</v>
      </c>
      <c r="WNZ114" s="367">
        <v>15.38</v>
      </c>
      <c r="WOA114" s="367" t="e">
        <f>WNX114*WNY114*WNZ114</f>
        <v>#DIV/0!</v>
      </c>
      <c r="WOB114" s="363" t="s">
        <v>153</v>
      </c>
      <c r="WOC114" s="363"/>
      <c r="WOD114" s="363"/>
      <c r="WOE114" s="364" t="s">
        <v>140</v>
      </c>
      <c r="WOF114" s="365">
        <v>0.5</v>
      </c>
      <c r="WOG114" s="366" t="e">
        <f>10/WOC112</f>
        <v>#DIV/0!</v>
      </c>
      <c r="WOH114" s="367">
        <v>15.38</v>
      </c>
      <c r="WOI114" s="367" t="e">
        <f>WOF114*WOG114*WOH114</f>
        <v>#DIV/0!</v>
      </c>
      <c r="WOJ114" s="363" t="s">
        <v>153</v>
      </c>
      <c r="WOK114" s="363"/>
      <c r="WOL114" s="363"/>
      <c r="WOM114" s="364" t="s">
        <v>140</v>
      </c>
      <c r="WON114" s="365">
        <v>0.5</v>
      </c>
      <c r="WOO114" s="366" t="e">
        <f>10/WOK112</f>
        <v>#DIV/0!</v>
      </c>
      <c r="WOP114" s="367">
        <v>15.38</v>
      </c>
      <c r="WOQ114" s="367" t="e">
        <f>WON114*WOO114*WOP114</f>
        <v>#DIV/0!</v>
      </c>
      <c r="WOR114" s="363" t="s">
        <v>153</v>
      </c>
      <c r="WOS114" s="363"/>
      <c r="WOT114" s="363"/>
      <c r="WOU114" s="364" t="s">
        <v>140</v>
      </c>
      <c r="WOV114" s="365">
        <v>0.5</v>
      </c>
      <c r="WOW114" s="366" t="e">
        <f>10/WOS112</f>
        <v>#DIV/0!</v>
      </c>
      <c r="WOX114" s="367">
        <v>15.38</v>
      </c>
      <c r="WOY114" s="367" t="e">
        <f>WOV114*WOW114*WOX114</f>
        <v>#DIV/0!</v>
      </c>
      <c r="WOZ114" s="363" t="s">
        <v>153</v>
      </c>
      <c r="WPA114" s="363"/>
      <c r="WPB114" s="363"/>
      <c r="WPC114" s="364" t="s">
        <v>140</v>
      </c>
      <c r="WPD114" s="365">
        <v>0.5</v>
      </c>
      <c r="WPE114" s="366" t="e">
        <f>10/WPA112</f>
        <v>#DIV/0!</v>
      </c>
      <c r="WPF114" s="367">
        <v>15.38</v>
      </c>
      <c r="WPG114" s="367" t="e">
        <f>WPD114*WPE114*WPF114</f>
        <v>#DIV/0!</v>
      </c>
      <c r="WPH114" s="363" t="s">
        <v>153</v>
      </c>
      <c r="WPI114" s="363"/>
      <c r="WPJ114" s="363"/>
      <c r="WPK114" s="364" t="s">
        <v>140</v>
      </c>
      <c r="WPL114" s="365">
        <v>0.5</v>
      </c>
      <c r="WPM114" s="366" t="e">
        <f>10/WPI112</f>
        <v>#DIV/0!</v>
      </c>
      <c r="WPN114" s="367">
        <v>15.38</v>
      </c>
      <c r="WPO114" s="367" t="e">
        <f>WPL114*WPM114*WPN114</f>
        <v>#DIV/0!</v>
      </c>
      <c r="WPP114" s="363" t="s">
        <v>153</v>
      </c>
      <c r="WPQ114" s="363"/>
      <c r="WPR114" s="363"/>
      <c r="WPS114" s="364" t="s">
        <v>140</v>
      </c>
      <c r="WPT114" s="365">
        <v>0.5</v>
      </c>
      <c r="WPU114" s="366" t="e">
        <f>10/WPQ112</f>
        <v>#DIV/0!</v>
      </c>
      <c r="WPV114" s="367">
        <v>15.38</v>
      </c>
      <c r="WPW114" s="367" t="e">
        <f>WPT114*WPU114*WPV114</f>
        <v>#DIV/0!</v>
      </c>
      <c r="WPX114" s="363" t="s">
        <v>153</v>
      </c>
      <c r="WPY114" s="363"/>
      <c r="WPZ114" s="363"/>
      <c r="WQA114" s="364" t="s">
        <v>140</v>
      </c>
      <c r="WQB114" s="365">
        <v>0.5</v>
      </c>
      <c r="WQC114" s="366" t="e">
        <f>10/WPY112</f>
        <v>#DIV/0!</v>
      </c>
      <c r="WQD114" s="367">
        <v>15.38</v>
      </c>
      <c r="WQE114" s="367" t="e">
        <f>WQB114*WQC114*WQD114</f>
        <v>#DIV/0!</v>
      </c>
      <c r="WQF114" s="363" t="s">
        <v>153</v>
      </c>
      <c r="WQG114" s="363"/>
      <c r="WQH114" s="363"/>
      <c r="WQI114" s="364" t="s">
        <v>140</v>
      </c>
      <c r="WQJ114" s="365">
        <v>0.5</v>
      </c>
      <c r="WQK114" s="366" t="e">
        <f>10/WQG112</f>
        <v>#DIV/0!</v>
      </c>
      <c r="WQL114" s="367">
        <v>15.38</v>
      </c>
      <c r="WQM114" s="367" t="e">
        <f>WQJ114*WQK114*WQL114</f>
        <v>#DIV/0!</v>
      </c>
      <c r="WQN114" s="363" t="s">
        <v>153</v>
      </c>
      <c r="WQO114" s="363"/>
      <c r="WQP114" s="363"/>
      <c r="WQQ114" s="364" t="s">
        <v>140</v>
      </c>
      <c r="WQR114" s="365">
        <v>0.5</v>
      </c>
      <c r="WQS114" s="366" t="e">
        <f>10/WQO112</f>
        <v>#DIV/0!</v>
      </c>
      <c r="WQT114" s="367">
        <v>15.38</v>
      </c>
      <c r="WQU114" s="367" t="e">
        <f>WQR114*WQS114*WQT114</f>
        <v>#DIV/0!</v>
      </c>
      <c r="WQV114" s="363" t="s">
        <v>153</v>
      </c>
      <c r="WQW114" s="363"/>
      <c r="WQX114" s="363"/>
      <c r="WQY114" s="364" t="s">
        <v>140</v>
      </c>
      <c r="WQZ114" s="365">
        <v>0.5</v>
      </c>
      <c r="WRA114" s="366" t="e">
        <f>10/WQW112</f>
        <v>#DIV/0!</v>
      </c>
      <c r="WRB114" s="367">
        <v>15.38</v>
      </c>
      <c r="WRC114" s="367" t="e">
        <f>WQZ114*WRA114*WRB114</f>
        <v>#DIV/0!</v>
      </c>
      <c r="WRD114" s="363" t="s">
        <v>153</v>
      </c>
      <c r="WRE114" s="363"/>
      <c r="WRF114" s="363"/>
      <c r="WRG114" s="364" t="s">
        <v>140</v>
      </c>
      <c r="WRH114" s="365">
        <v>0.5</v>
      </c>
      <c r="WRI114" s="366" t="e">
        <f>10/WRE112</f>
        <v>#DIV/0!</v>
      </c>
      <c r="WRJ114" s="367">
        <v>15.38</v>
      </c>
      <c r="WRK114" s="367" t="e">
        <f>WRH114*WRI114*WRJ114</f>
        <v>#DIV/0!</v>
      </c>
      <c r="WRL114" s="363" t="s">
        <v>153</v>
      </c>
      <c r="WRM114" s="363"/>
      <c r="WRN114" s="363"/>
      <c r="WRO114" s="364" t="s">
        <v>140</v>
      </c>
      <c r="WRP114" s="365">
        <v>0.5</v>
      </c>
      <c r="WRQ114" s="366" t="e">
        <f>10/WRM112</f>
        <v>#DIV/0!</v>
      </c>
      <c r="WRR114" s="367">
        <v>15.38</v>
      </c>
      <c r="WRS114" s="367" t="e">
        <f>WRP114*WRQ114*WRR114</f>
        <v>#DIV/0!</v>
      </c>
      <c r="WRT114" s="363" t="s">
        <v>153</v>
      </c>
      <c r="WRU114" s="363"/>
      <c r="WRV114" s="363"/>
      <c r="WRW114" s="364" t="s">
        <v>140</v>
      </c>
      <c r="WRX114" s="365">
        <v>0.5</v>
      </c>
      <c r="WRY114" s="366" t="e">
        <f>10/WRU112</f>
        <v>#DIV/0!</v>
      </c>
      <c r="WRZ114" s="367">
        <v>15.38</v>
      </c>
      <c r="WSA114" s="367" t="e">
        <f>WRX114*WRY114*WRZ114</f>
        <v>#DIV/0!</v>
      </c>
      <c r="WSB114" s="363" t="s">
        <v>153</v>
      </c>
      <c r="WSC114" s="363"/>
      <c r="WSD114" s="363"/>
      <c r="WSE114" s="364" t="s">
        <v>140</v>
      </c>
      <c r="WSF114" s="365">
        <v>0.5</v>
      </c>
      <c r="WSG114" s="366" t="e">
        <f>10/WSC112</f>
        <v>#DIV/0!</v>
      </c>
      <c r="WSH114" s="367">
        <v>15.38</v>
      </c>
      <c r="WSI114" s="367" t="e">
        <f>WSF114*WSG114*WSH114</f>
        <v>#DIV/0!</v>
      </c>
      <c r="WSJ114" s="363" t="s">
        <v>153</v>
      </c>
      <c r="WSK114" s="363"/>
      <c r="WSL114" s="363"/>
      <c r="WSM114" s="364" t="s">
        <v>140</v>
      </c>
      <c r="WSN114" s="365">
        <v>0.5</v>
      </c>
      <c r="WSO114" s="366" t="e">
        <f>10/WSK112</f>
        <v>#DIV/0!</v>
      </c>
      <c r="WSP114" s="367">
        <v>15.38</v>
      </c>
      <c r="WSQ114" s="367" t="e">
        <f>WSN114*WSO114*WSP114</f>
        <v>#DIV/0!</v>
      </c>
      <c r="WSR114" s="363" t="s">
        <v>153</v>
      </c>
      <c r="WSS114" s="363"/>
      <c r="WST114" s="363"/>
      <c r="WSU114" s="364" t="s">
        <v>140</v>
      </c>
      <c r="WSV114" s="365">
        <v>0.5</v>
      </c>
      <c r="WSW114" s="366" t="e">
        <f>10/WSS112</f>
        <v>#DIV/0!</v>
      </c>
      <c r="WSX114" s="367">
        <v>15.38</v>
      </c>
      <c r="WSY114" s="367" t="e">
        <f>WSV114*WSW114*WSX114</f>
        <v>#DIV/0!</v>
      </c>
      <c r="WSZ114" s="363" t="s">
        <v>153</v>
      </c>
      <c r="WTA114" s="363"/>
      <c r="WTB114" s="363"/>
      <c r="WTC114" s="364" t="s">
        <v>140</v>
      </c>
      <c r="WTD114" s="365">
        <v>0.5</v>
      </c>
      <c r="WTE114" s="366" t="e">
        <f>10/WTA112</f>
        <v>#DIV/0!</v>
      </c>
      <c r="WTF114" s="367">
        <v>15.38</v>
      </c>
      <c r="WTG114" s="367" t="e">
        <f>WTD114*WTE114*WTF114</f>
        <v>#DIV/0!</v>
      </c>
      <c r="WTH114" s="363" t="s">
        <v>153</v>
      </c>
      <c r="WTI114" s="363"/>
      <c r="WTJ114" s="363"/>
      <c r="WTK114" s="364" t="s">
        <v>140</v>
      </c>
      <c r="WTL114" s="365">
        <v>0.5</v>
      </c>
      <c r="WTM114" s="366" t="e">
        <f>10/WTI112</f>
        <v>#DIV/0!</v>
      </c>
      <c r="WTN114" s="367">
        <v>15.38</v>
      </c>
      <c r="WTO114" s="367" t="e">
        <f>WTL114*WTM114*WTN114</f>
        <v>#DIV/0!</v>
      </c>
      <c r="WTP114" s="363" t="s">
        <v>153</v>
      </c>
      <c r="WTQ114" s="363"/>
      <c r="WTR114" s="363"/>
      <c r="WTS114" s="364" t="s">
        <v>140</v>
      </c>
      <c r="WTT114" s="365">
        <v>0.5</v>
      </c>
      <c r="WTU114" s="366" t="e">
        <f>10/WTQ112</f>
        <v>#DIV/0!</v>
      </c>
      <c r="WTV114" s="367">
        <v>15.38</v>
      </c>
      <c r="WTW114" s="367" t="e">
        <f>WTT114*WTU114*WTV114</f>
        <v>#DIV/0!</v>
      </c>
      <c r="WTX114" s="363" t="s">
        <v>153</v>
      </c>
      <c r="WTY114" s="363"/>
      <c r="WTZ114" s="363"/>
      <c r="WUA114" s="364" t="s">
        <v>140</v>
      </c>
      <c r="WUB114" s="365">
        <v>0.5</v>
      </c>
      <c r="WUC114" s="366" t="e">
        <f>10/WTY112</f>
        <v>#DIV/0!</v>
      </c>
      <c r="WUD114" s="367">
        <v>15.38</v>
      </c>
      <c r="WUE114" s="367" t="e">
        <f>WUB114*WUC114*WUD114</f>
        <v>#DIV/0!</v>
      </c>
      <c r="WUF114" s="363" t="s">
        <v>153</v>
      </c>
      <c r="WUG114" s="363"/>
      <c r="WUH114" s="363"/>
      <c r="WUI114" s="364" t="s">
        <v>140</v>
      </c>
      <c r="WUJ114" s="365">
        <v>0.5</v>
      </c>
      <c r="WUK114" s="366" t="e">
        <f>10/WUG112</f>
        <v>#DIV/0!</v>
      </c>
      <c r="WUL114" s="367">
        <v>15.38</v>
      </c>
      <c r="WUM114" s="367" t="e">
        <f>WUJ114*WUK114*WUL114</f>
        <v>#DIV/0!</v>
      </c>
      <c r="WUN114" s="363" t="s">
        <v>153</v>
      </c>
      <c r="WUO114" s="363"/>
      <c r="WUP114" s="363"/>
      <c r="WUQ114" s="364" t="s">
        <v>140</v>
      </c>
      <c r="WUR114" s="365">
        <v>0.5</v>
      </c>
      <c r="WUS114" s="366" t="e">
        <f>10/WUO112</f>
        <v>#DIV/0!</v>
      </c>
      <c r="WUT114" s="367">
        <v>15.38</v>
      </c>
      <c r="WUU114" s="367" t="e">
        <f>WUR114*WUS114*WUT114</f>
        <v>#DIV/0!</v>
      </c>
      <c r="WUV114" s="363" t="s">
        <v>153</v>
      </c>
      <c r="WUW114" s="363"/>
      <c r="WUX114" s="363"/>
      <c r="WUY114" s="364" t="s">
        <v>140</v>
      </c>
      <c r="WUZ114" s="365">
        <v>0.5</v>
      </c>
      <c r="WVA114" s="366" t="e">
        <f>10/WUW112</f>
        <v>#DIV/0!</v>
      </c>
      <c r="WVB114" s="367">
        <v>15.38</v>
      </c>
      <c r="WVC114" s="367" t="e">
        <f>WUZ114*WVA114*WVB114</f>
        <v>#DIV/0!</v>
      </c>
      <c r="WVD114" s="363" t="s">
        <v>153</v>
      </c>
      <c r="WVE114" s="363"/>
      <c r="WVF114" s="363"/>
      <c r="WVG114" s="364" t="s">
        <v>140</v>
      </c>
      <c r="WVH114" s="365">
        <v>0.5</v>
      </c>
      <c r="WVI114" s="366" t="e">
        <f>10/WVE112</f>
        <v>#DIV/0!</v>
      </c>
      <c r="WVJ114" s="367">
        <v>15.38</v>
      </c>
      <c r="WVK114" s="367" t="e">
        <f>WVH114*WVI114*WVJ114</f>
        <v>#DIV/0!</v>
      </c>
      <c r="WVL114" s="363" t="s">
        <v>153</v>
      </c>
      <c r="WVM114" s="363"/>
      <c r="WVN114" s="363"/>
      <c r="WVO114" s="364" t="s">
        <v>140</v>
      </c>
      <c r="WVP114" s="365">
        <v>0.5</v>
      </c>
      <c r="WVQ114" s="366" t="e">
        <f>10/WVM112</f>
        <v>#DIV/0!</v>
      </c>
      <c r="WVR114" s="367">
        <v>15.38</v>
      </c>
      <c r="WVS114" s="367" t="e">
        <f>WVP114*WVQ114*WVR114</f>
        <v>#DIV/0!</v>
      </c>
      <c r="WVT114" s="363" t="s">
        <v>153</v>
      </c>
      <c r="WVU114" s="363"/>
      <c r="WVV114" s="363"/>
      <c r="WVW114" s="364" t="s">
        <v>140</v>
      </c>
      <c r="WVX114" s="365">
        <v>0.5</v>
      </c>
      <c r="WVY114" s="366" t="e">
        <f>10/WVU112</f>
        <v>#DIV/0!</v>
      </c>
      <c r="WVZ114" s="367">
        <v>15.38</v>
      </c>
      <c r="WWA114" s="367" t="e">
        <f>WVX114*WVY114*WVZ114</f>
        <v>#DIV/0!</v>
      </c>
      <c r="WWB114" s="363" t="s">
        <v>153</v>
      </c>
      <c r="WWC114" s="363"/>
      <c r="WWD114" s="363"/>
      <c r="WWE114" s="364" t="s">
        <v>140</v>
      </c>
      <c r="WWF114" s="365">
        <v>0.5</v>
      </c>
      <c r="WWG114" s="366" t="e">
        <f>10/WWC112</f>
        <v>#DIV/0!</v>
      </c>
      <c r="WWH114" s="367">
        <v>15.38</v>
      </c>
      <c r="WWI114" s="367" t="e">
        <f>WWF114*WWG114*WWH114</f>
        <v>#DIV/0!</v>
      </c>
      <c r="WWJ114" s="363" t="s">
        <v>153</v>
      </c>
      <c r="WWK114" s="363"/>
      <c r="WWL114" s="363"/>
      <c r="WWM114" s="364" t="s">
        <v>140</v>
      </c>
      <c r="WWN114" s="365">
        <v>0.5</v>
      </c>
      <c r="WWO114" s="366" t="e">
        <f>10/WWK112</f>
        <v>#DIV/0!</v>
      </c>
      <c r="WWP114" s="367">
        <v>15.38</v>
      </c>
      <c r="WWQ114" s="367" t="e">
        <f>WWN114*WWO114*WWP114</f>
        <v>#DIV/0!</v>
      </c>
      <c r="WWR114" s="363" t="s">
        <v>153</v>
      </c>
      <c r="WWS114" s="363"/>
      <c r="WWT114" s="363"/>
      <c r="WWU114" s="364" t="s">
        <v>140</v>
      </c>
      <c r="WWV114" s="365">
        <v>0.5</v>
      </c>
      <c r="WWW114" s="366" t="e">
        <f>10/WWS112</f>
        <v>#DIV/0!</v>
      </c>
      <c r="WWX114" s="367">
        <v>15.38</v>
      </c>
      <c r="WWY114" s="367" t="e">
        <f>WWV114*WWW114*WWX114</f>
        <v>#DIV/0!</v>
      </c>
      <c r="WWZ114" s="363" t="s">
        <v>153</v>
      </c>
      <c r="WXA114" s="363"/>
      <c r="WXB114" s="363"/>
      <c r="WXC114" s="364" t="s">
        <v>140</v>
      </c>
      <c r="WXD114" s="365">
        <v>0.5</v>
      </c>
      <c r="WXE114" s="366" t="e">
        <f>10/WXA112</f>
        <v>#DIV/0!</v>
      </c>
      <c r="WXF114" s="367">
        <v>15.38</v>
      </c>
      <c r="WXG114" s="367" t="e">
        <f>WXD114*WXE114*WXF114</f>
        <v>#DIV/0!</v>
      </c>
      <c r="WXH114" s="363" t="s">
        <v>153</v>
      </c>
      <c r="WXI114" s="363"/>
      <c r="WXJ114" s="363"/>
      <c r="WXK114" s="364" t="s">
        <v>140</v>
      </c>
      <c r="WXL114" s="365">
        <v>0.5</v>
      </c>
      <c r="WXM114" s="366" t="e">
        <f>10/WXI112</f>
        <v>#DIV/0!</v>
      </c>
      <c r="WXN114" s="367">
        <v>15.38</v>
      </c>
      <c r="WXO114" s="367" t="e">
        <f>WXL114*WXM114*WXN114</f>
        <v>#DIV/0!</v>
      </c>
      <c r="WXP114" s="363" t="s">
        <v>153</v>
      </c>
      <c r="WXQ114" s="363"/>
      <c r="WXR114" s="363"/>
      <c r="WXS114" s="364" t="s">
        <v>140</v>
      </c>
      <c r="WXT114" s="365">
        <v>0.5</v>
      </c>
      <c r="WXU114" s="366" t="e">
        <f>10/WXQ112</f>
        <v>#DIV/0!</v>
      </c>
      <c r="WXV114" s="367">
        <v>15.38</v>
      </c>
      <c r="WXW114" s="367" t="e">
        <f>WXT114*WXU114*WXV114</f>
        <v>#DIV/0!</v>
      </c>
      <c r="WXX114" s="363" t="s">
        <v>153</v>
      </c>
      <c r="WXY114" s="363"/>
      <c r="WXZ114" s="363"/>
      <c r="WYA114" s="364" t="s">
        <v>140</v>
      </c>
      <c r="WYB114" s="365">
        <v>0.5</v>
      </c>
      <c r="WYC114" s="366" t="e">
        <f>10/WXY112</f>
        <v>#DIV/0!</v>
      </c>
      <c r="WYD114" s="367">
        <v>15.38</v>
      </c>
      <c r="WYE114" s="367" t="e">
        <f>WYB114*WYC114*WYD114</f>
        <v>#DIV/0!</v>
      </c>
      <c r="WYF114" s="363" t="s">
        <v>153</v>
      </c>
      <c r="WYG114" s="363"/>
      <c r="WYH114" s="363"/>
      <c r="WYI114" s="364" t="s">
        <v>140</v>
      </c>
      <c r="WYJ114" s="365">
        <v>0.5</v>
      </c>
      <c r="WYK114" s="366" t="e">
        <f>10/WYG112</f>
        <v>#DIV/0!</v>
      </c>
      <c r="WYL114" s="367">
        <v>15.38</v>
      </c>
      <c r="WYM114" s="367" t="e">
        <f>WYJ114*WYK114*WYL114</f>
        <v>#DIV/0!</v>
      </c>
      <c r="WYN114" s="363" t="s">
        <v>153</v>
      </c>
      <c r="WYO114" s="363"/>
      <c r="WYP114" s="363"/>
      <c r="WYQ114" s="364" t="s">
        <v>140</v>
      </c>
      <c r="WYR114" s="365">
        <v>0.5</v>
      </c>
      <c r="WYS114" s="366" t="e">
        <f>10/WYO112</f>
        <v>#DIV/0!</v>
      </c>
      <c r="WYT114" s="367">
        <v>15.38</v>
      </c>
      <c r="WYU114" s="367" t="e">
        <f>WYR114*WYS114*WYT114</f>
        <v>#DIV/0!</v>
      </c>
      <c r="WYV114" s="363" t="s">
        <v>153</v>
      </c>
      <c r="WYW114" s="363"/>
      <c r="WYX114" s="363"/>
      <c r="WYY114" s="364" t="s">
        <v>140</v>
      </c>
      <c r="WYZ114" s="365">
        <v>0.5</v>
      </c>
      <c r="WZA114" s="366" t="e">
        <f>10/WYW112</f>
        <v>#DIV/0!</v>
      </c>
      <c r="WZB114" s="367">
        <v>15.38</v>
      </c>
      <c r="WZC114" s="367" t="e">
        <f>WYZ114*WZA114*WZB114</f>
        <v>#DIV/0!</v>
      </c>
      <c r="WZD114" s="363" t="s">
        <v>153</v>
      </c>
      <c r="WZE114" s="363"/>
      <c r="WZF114" s="363"/>
      <c r="WZG114" s="364" t="s">
        <v>140</v>
      </c>
      <c r="WZH114" s="365">
        <v>0.5</v>
      </c>
      <c r="WZI114" s="366" t="e">
        <f>10/WZE112</f>
        <v>#DIV/0!</v>
      </c>
      <c r="WZJ114" s="367">
        <v>15.38</v>
      </c>
      <c r="WZK114" s="367" t="e">
        <f>WZH114*WZI114*WZJ114</f>
        <v>#DIV/0!</v>
      </c>
      <c r="WZL114" s="363" t="s">
        <v>153</v>
      </c>
      <c r="WZM114" s="363"/>
      <c r="WZN114" s="363"/>
      <c r="WZO114" s="364" t="s">
        <v>140</v>
      </c>
      <c r="WZP114" s="365">
        <v>0.5</v>
      </c>
      <c r="WZQ114" s="366" t="e">
        <f>10/WZM112</f>
        <v>#DIV/0!</v>
      </c>
      <c r="WZR114" s="367">
        <v>15.38</v>
      </c>
      <c r="WZS114" s="367" t="e">
        <f>WZP114*WZQ114*WZR114</f>
        <v>#DIV/0!</v>
      </c>
      <c r="WZT114" s="363" t="s">
        <v>153</v>
      </c>
      <c r="WZU114" s="363"/>
      <c r="WZV114" s="363"/>
      <c r="WZW114" s="364" t="s">
        <v>140</v>
      </c>
      <c r="WZX114" s="365">
        <v>0.5</v>
      </c>
      <c r="WZY114" s="366" t="e">
        <f>10/WZU112</f>
        <v>#DIV/0!</v>
      </c>
      <c r="WZZ114" s="367">
        <v>15.38</v>
      </c>
      <c r="XAA114" s="367" t="e">
        <f>WZX114*WZY114*WZZ114</f>
        <v>#DIV/0!</v>
      </c>
      <c r="XAB114" s="363" t="s">
        <v>153</v>
      </c>
      <c r="XAC114" s="363"/>
      <c r="XAD114" s="363"/>
      <c r="XAE114" s="364" t="s">
        <v>140</v>
      </c>
      <c r="XAF114" s="365">
        <v>0.5</v>
      </c>
      <c r="XAG114" s="366" t="e">
        <f>10/XAC112</f>
        <v>#DIV/0!</v>
      </c>
      <c r="XAH114" s="367">
        <v>15.38</v>
      </c>
      <c r="XAI114" s="367" t="e">
        <f>XAF114*XAG114*XAH114</f>
        <v>#DIV/0!</v>
      </c>
      <c r="XAJ114" s="363" t="s">
        <v>153</v>
      </c>
      <c r="XAK114" s="363"/>
      <c r="XAL114" s="363"/>
      <c r="XAM114" s="364" t="s">
        <v>140</v>
      </c>
      <c r="XAN114" s="365">
        <v>0.5</v>
      </c>
      <c r="XAO114" s="366" t="e">
        <f>10/XAK112</f>
        <v>#DIV/0!</v>
      </c>
      <c r="XAP114" s="367">
        <v>15.38</v>
      </c>
      <c r="XAQ114" s="367" t="e">
        <f>XAN114*XAO114*XAP114</f>
        <v>#DIV/0!</v>
      </c>
      <c r="XAR114" s="363" t="s">
        <v>153</v>
      </c>
      <c r="XAS114" s="363"/>
      <c r="XAT114" s="363"/>
      <c r="XAU114" s="364" t="s">
        <v>140</v>
      </c>
      <c r="XAV114" s="365">
        <v>0.5</v>
      </c>
      <c r="XAW114" s="366" t="e">
        <f>10/XAS112</f>
        <v>#DIV/0!</v>
      </c>
      <c r="XAX114" s="367">
        <v>15.38</v>
      </c>
      <c r="XAY114" s="367" t="e">
        <f>XAV114*XAW114*XAX114</f>
        <v>#DIV/0!</v>
      </c>
      <c r="XAZ114" s="363" t="s">
        <v>153</v>
      </c>
      <c r="XBA114" s="363"/>
      <c r="XBB114" s="363"/>
      <c r="XBC114" s="364" t="s">
        <v>140</v>
      </c>
      <c r="XBD114" s="365">
        <v>0.5</v>
      </c>
      <c r="XBE114" s="366" t="e">
        <f>10/XBA112</f>
        <v>#DIV/0!</v>
      </c>
      <c r="XBF114" s="367">
        <v>15.38</v>
      </c>
      <c r="XBG114" s="367" t="e">
        <f>XBD114*XBE114*XBF114</f>
        <v>#DIV/0!</v>
      </c>
      <c r="XBH114" s="363" t="s">
        <v>153</v>
      </c>
      <c r="XBI114" s="363"/>
      <c r="XBJ114" s="363"/>
      <c r="XBK114" s="364" t="s">
        <v>140</v>
      </c>
      <c r="XBL114" s="365">
        <v>0.5</v>
      </c>
      <c r="XBM114" s="366" t="e">
        <f>10/XBI112</f>
        <v>#DIV/0!</v>
      </c>
      <c r="XBN114" s="367">
        <v>15.38</v>
      </c>
      <c r="XBO114" s="367" t="e">
        <f>XBL114*XBM114*XBN114</f>
        <v>#DIV/0!</v>
      </c>
      <c r="XBP114" s="363" t="s">
        <v>153</v>
      </c>
      <c r="XBQ114" s="363"/>
      <c r="XBR114" s="363"/>
      <c r="XBS114" s="364" t="s">
        <v>140</v>
      </c>
      <c r="XBT114" s="365">
        <v>0.5</v>
      </c>
      <c r="XBU114" s="366" t="e">
        <f>10/XBQ112</f>
        <v>#DIV/0!</v>
      </c>
      <c r="XBV114" s="367">
        <v>15.38</v>
      </c>
      <c r="XBW114" s="367" t="e">
        <f>XBT114*XBU114*XBV114</f>
        <v>#DIV/0!</v>
      </c>
    </row>
    <row r="115" spans="1:16299" x14ac:dyDescent="0.25">
      <c r="A115" s="363" t="s">
        <v>160</v>
      </c>
      <c r="D115" s="364" t="s">
        <v>140</v>
      </c>
      <c r="E115" s="365">
        <v>1</v>
      </c>
      <c r="F115" s="366">
        <f>10/B112</f>
        <v>3.3333333333333335</v>
      </c>
      <c r="G115" s="367">
        <v>13.94</v>
      </c>
      <c r="H115" s="367">
        <f>E115*F115*G115</f>
        <v>46.466666666666669</v>
      </c>
    </row>
    <row r="116" spans="1:16299" x14ac:dyDescent="0.25">
      <c r="A116" s="363" t="s">
        <v>141</v>
      </c>
      <c r="D116" s="364" t="s">
        <v>140</v>
      </c>
      <c r="E116" s="365">
        <v>1</v>
      </c>
      <c r="F116" s="366">
        <f>10/B112</f>
        <v>3.3333333333333335</v>
      </c>
      <c r="G116" s="316">
        <v>13</v>
      </c>
      <c r="H116" s="367">
        <f>E116*F116*G116</f>
        <v>43.333333333333336</v>
      </c>
    </row>
    <row r="117" spans="1:16299" ht="15" customHeight="1" x14ac:dyDescent="0.25">
      <c r="A117" s="295"/>
      <c r="B117" s="295"/>
      <c r="C117" s="295"/>
      <c r="D117" s="296"/>
      <c r="E117" s="326"/>
      <c r="F117" s="327"/>
      <c r="G117" s="297" t="s">
        <v>142</v>
      </c>
      <c r="H117" s="297">
        <f>SUM(H114:H116)</f>
        <v>115.43333333333334</v>
      </c>
    </row>
    <row r="119" spans="1:16299" x14ac:dyDescent="0.25">
      <c r="A119" s="363" t="s">
        <v>156</v>
      </c>
      <c r="D119" s="364" t="s">
        <v>157</v>
      </c>
      <c r="F119" s="366">
        <v>3</v>
      </c>
      <c r="G119" s="367">
        <f>H117</f>
        <v>115.43333333333334</v>
      </c>
      <c r="H119" s="367">
        <f>G119*F119/100</f>
        <v>3.4630000000000001</v>
      </c>
    </row>
    <row r="120" spans="1:16299" ht="15" customHeight="1" x14ac:dyDescent="0.25">
      <c r="A120" s="295"/>
      <c r="B120" s="295"/>
      <c r="C120" s="295"/>
      <c r="D120" s="296"/>
      <c r="E120" s="326"/>
      <c r="F120" s="327"/>
      <c r="G120" s="297" t="s">
        <v>145</v>
      </c>
      <c r="H120" s="297">
        <f>SUM(H119:H119)</f>
        <v>3.4630000000000001</v>
      </c>
    </row>
    <row r="123" spans="1:16299" ht="15" customHeight="1" x14ac:dyDescent="0.3">
      <c r="A123" s="291"/>
      <c r="B123" s="291"/>
      <c r="C123" s="291"/>
      <c r="D123" s="291"/>
      <c r="E123" s="291"/>
      <c r="F123" s="291"/>
      <c r="G123" s="291"/>
      <c r="H123" s="291"/>
    </row>
    <row r="124" spans="1:16299" ht="15" customHeight="1" x14ac:dyDescent="0.25">
      <c r="A124" s="281"/>
      <c r="B124" s="371"/>
      <c r="C124" s="281"/>
      <c r="D124" s="292"/>
      <c r="E124" s="323"/>
      <c r="F124" s="324"/>
      <c r="G124" s="293"/>
      <c r="H124" s="293"/>
    </row>
    <row r="125" spans="1:16299" ht="15" customHeight="1" x14ac:dyDescent="0.25">
      <c r="A125" s="292"/>
      <c r="B125" s="292"/>
      <c r="C125" s="292"/>
      <c r="D125" s="292"/>
      <c r="E125" s="325"/>
      <c r="F125" s="325"/>
      <c r="G125" s="294"/>
      <c r="H125" s="294"/>
    </row>
    <row r="127" spans="1:16299" ht="15" customHeight="1" x14ac:dyDescent="0.25">
      <c r="A127" s="295"/>
      <c r="B127" s="295"/>
      <c r="C127" s="295"/>
      <c r="D127" s="296"/>
      <c r="E127" s="326"/>
      <c r="F127" s="327"/>
      <c r="G127" s="297"/>
      <c r="H127" s="297"/>
    </row>
    <row r="130" spans="1:8" ht="15" customHeight="1" x14ac:dyDescent="0.3">
      <c r="A130" s="291"/>
      <c r="B130" s="291"/>
      <c r="C130" s="291"/>
      <c r="D130" s="291"/>
      <c r="E130" s="291"/>
      <c r="F130" s="291"/>
      <c r="G130" s="291"/>
      <c r="H130" s="291"/>
    </row>
    <row r="131" spans="1:8" ht="15" customHeight="1" x14ac:dyDescent="0.25">
      <c r="A131" s="281"/>
      <c r="B131" s="371"/>
      <c r="C131" s="281"/>
      <c r="D131" s="292"/>
      <c r="E131" s="323"/>
      <c r="F131" s="324"/>
      <c r="G131" s="293"/>
      <c r="H131" s="293"/>
    </row>
    <row r="132" spans="1:8" ht="15" customHeight="1" x14ac:dyDescent="0.25">
      <c r="A132" s="292"/>
      <c r="B132" s="292"/>
      <c r="C132" s="292"/>
      <c r="D132" s="292"/>
      <c r="E132" s="325"/>
      <c r="F132" s="325"/>
      <c r="G132" s="294"/>
      <c r="H132" s="294"/>
    </row>
    <row r="134" spans="1:8" ht="15" customHeight="1" x14ac:dyDescent="0.25">
      <c r="A134" s="295"/>
      <c r="B134" s="295"/>
      <c r="C134" s="295"/>
      <c r="D134" s="296"/>
      <c r="E134" s="326"/>
      <c r="F134" s="327"/>
      <c r="G134" s="297"/>
      <c r="H134" s="297"/>
    </row>
  </sheetData>
  <mergeCells count="1">
    <mergeCell ref="A1:H1"/>
  </mergeCells>
  <pageMargins left="0.24996875390576179" right="0.24996875390576179" top="0.24996875390576179" bottom="0.24996875390576179" header="0.5" footer="0.5"/>
  <pageSetup paperSize="9" scale="74" orientation="portrait" r:id="rId1"/>
  <rowBreaks count="8" manualBreakCount="8">
    <brk id="99" max="5" man="1"/>
    <brk id="167" max="5" man="1"/>
    <brk id="243" max="5" man="1"/>
    <brk id="306" max="5" man="1"/>
    <brk id="374" max="5" man="1"/>
    <brk id="436" max="5" man="1"/>
    <brk id="509" max="5" man="1"/>
    <brk id="580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52"/>
  <sheetViews>
    <sheetView view="pageBreakPreview" topLeftCell="A2" zoomScale="110" zoomScaleNormal="100" zoomScaleSheetLayoutView="110" workbookViewId="0">
      <selection activeCell="F10" sqref="F10"/>
    </sheetView>
  </sheetViews>
  <sheetFormatPr baseColWidth="10" defaultColWidth="9.28515625" defaultRowHeight="10.199999999999999" x14ac:dyDescent="0.2"/>
  <cols>
    <col min="1" max="2" width="1" style="109" customWidth="1"/>
    <col min="3" max="3" width="15.85546875" style="109" customWidth="1"/>
    <col min="4" max="4" width="63.28515625" style="109" customWidth="1"/>
    <col min="5" max="5" width="6.85546875" style="362" customWidth="1"/>
    <col min="6" max="6" width="12.42578125" style="362" bestFit="1" customWidth="1"/>
    <col min="7" max="8" width="11.85546875" style="362" customWidth="1"/>
  </cols>
  <sheetData>
    <row r="2" spans="1:16" ht="27" customHeight="1" x14ac:dyDescent="0.2">
      <c r="C2" s="248" t="s">
        <v>81</v>
      </c>
      <c r="D2" s="448" t="s">
        <v>176</v>
      </c>
      <c r="E2" s="438"/>
      <c r="F2" s="438"/>
      <c r="G2" s="234"/>
      <c r="H2" s="234"/>
    </row>
    <row r="3" spans="1:16" x14ac:dyDescent="0.2">
      <c r="C3" s="248" t="s">
        <v>83</v>
      </c>
      <c r="D3" s="235" t="s">
        <v>177</v>
      </c>
      <c r="E3" s="234"/>
      <c r="F3" s="234"/>
      <c r="G3" s="234"/>
      <c r="H3" s="234"/>
    </row>
    <row r="4" spans="1:16" x14ac:dyDescent="0.2">
      <c r="C4" s="248" t="s">
        <v>178</v>
      </c>
      <c r="D4" s="236">
        <v>30</v>
      </c>
      <c r="E4" s="236" t="s">
        <v>179</v>
      </c>
      <c r="F4" s="234"/>
      <c r="G4" s="234"/>
      <c r="H4" s="234"/>
    </row>
    <row r="5" spans="1:16" ht="12" customHeight="1" thickBot="1" x14ac:dyDescent="0.25">
      <c r="C5" s="235"/>
      <c r="D5" s="235"/>
      <c r="E5" s="234"/>
      <c r="F5" s="234">
        <f>8175/30</f>
        <v>272.5</v>
      </c>
      <c r="G5" s="234"/>
      <c r="H5" s="234"/>
    </row>
    <row r="6" spans="1:16" ht="12" customHeight="1" thickBot="1" x14ac:dyDescent="0.25">
      <c r="A6" s="1"/>
      <c r="B6" s="1"/>
      <c r="C6" s="249" t="s">
        <v>84</v>
      </c>
      <c r="D6" s="250" t="s">
        <v>85</v>
      </c>
      <c r="E6" s="251" t="s">
        <v>95</v>
      </c>
      <c r="F6" s="252" t="s">
        <v>180</v>
      </c>
      <c r="G6" s="251" t="s">
        <v>181</v>
      </c>
      <c r="H6" s="253" t="s">
        <v>89</v>
      </c>
    </row>
    <row r="7" spans="1:16" s="232" customFormat="1" ht="12" customHeight="1" x14ac:dyDescent="0.2">
      <c r="A7" s="231"/>
      <c r="B7" s="231"/>
      <c r="C7" s="254" t="s">
        <v>93</v>
      </c>
      <c r="D7" s="255" t="s">
        <v>182</v>
      </c>
      <c r="E7" s="256"/>
      <c r="F7" s="256"/>
      <c r="G7" s="256"/>
      <c r="H7" s="257" t="e">
        <f>SUM(H8:H12)</f>
        <v>#REF!</v>
      </c>
      <c r="P7" s="232" t="s">
        <v>183</v>
      </c>
    </row>
    <row r="8" spans="1:16" x14ac:dyDescent="0.2">
      <c r="A8" s="2"/>
      <c r="B8" s="2"/>
      <c r="C8" s="258" t="s">
        <v>94</v>
      </c>
      <c r="D8" s="259" t="s">
        <v>184</v>
      </c>
      <c r="E8" s="260" t="s">
        <v>185</v>
      </c>
      <c r="F8" s="261">
        <v>1</v>
      </c>
      <c r="G8" s="261">
        <v>8175</v>
      </c>
      <c r="H8" s="262">
        <f>G8*F8</f>
        <v>8175</v>
      </c>
    </row>
    <row r="9" spans="1:16" ht="20.399999999999999" customHeight="1" x14ac:dyDescent="0.2">
      <c r="A9" s="2"/>
      <c r="B9" s="2"/>
      <c r="C9" s="258" t="s">
        <v>96</v>
      </c>
      <c r="D9" s="259" t="s">
        <v>186</v>
      </c>
      <c r="E9" s="260" t="s">
        <v>187</v>
      </c>
      <c r="F9" s="261">
        <v>1</v>
      </c>
      <c r="G9" s="261">
        <v>479.06</v>
      </c>
      <c r="H9" s="262">
        <f>G9*F9</f>
        <v>479.06</v>
      </c>
    </row>
    <row r="10" spans="1:16" x14ac:dyDescent="0.2">
      <c r="A10" s="2"/>
      <c r="B10" s="2"/>
      <c r="C10" s="258" t="s">
        <v>97</v>
      </c>
      <c r="D10" s="259" t="s">
        <v>188</v>
      </c>
      <c r="E10" s="260" t="s">
        <v>189</v>
      </c>
      <c r="F10" s="261">
        <v>1</v>
      </c>
      <c r="G10" s="261">
        <v>2615.85</v>
      </c>
      <c r="H10" s="262">
        <f>G10*F10</f>
        <v>2615.85</v>
      </c>
    </row>
    <row r="11" spans="1:16" x14ac:dyDescent="0.2">
      <c r="A11" s="2"/>
      <c r="B11" s="2"/>
      <c r="C11" s="258" t="s">
        <v>98</v>
      </c>
      <c r="D11" s="259" t="s">
        <v>190</v>
      </c>
      <c r="E11" s="260" t="s">
        <v>187</v>
      </c>
      <c r="F11" s="261">
        <v>2</v>
      </c>
      <c r="G11" s="261" t="e">
        <f>APU!#REF!</f>
        <v>#REF!</v>
      </c>
      <c r="H11" s="262" t="e">
        <f>G11*F11</f>
        <v>#REF!</v>
      </c>
    </row>
    <row r="12" spans="1:16" x14ac:dyDescent="0.2">
      <c r="A12" s="2"/>
      <c r="B12" s="2"/>
      <c r="C12" s="272" t="s">
        <v>99</v>
      </c>
      <c r="D12" s="259" t="s">
        <v>191</v>
      </c>
      <c r="E12" s="260" t="s">
        <v>192</v>
      </c>
      <c r="F12" s="261">
        <v>30</v>
      </c>
      <c r="G12" s="261" t="e">
        <f>APU!#REF!</f>
        <v>#REF!</v>
      </c>
      <c r="H12" s="262" t="e">
        <f>G12*F12</f>
        <v>#REF!</v>
      </c>
      <c r="J12" s="270"/>
    </row>
    <row r="13" spans="1:16" s="232" customFormat="1" ht="12" customHeight="1" x14ac:dyDescent="0.2">
      <c r="A13" s="231"/>
      <c r="B13" s="231"/>
      <c r="C13" s="263" t="s">
        <v>100</v>
      </c>
      <c r="D13" s="264" t="s">
        <v>193</v>
      </c>
      <c r="E13" s="265"/>
      <c r="F13" s="265"/>
      <c r="G13" s="265"/>
      <c r="H13" s="266">
        <f>SUM(H14:H17)</f>
        <v>947.01</v>
      </c>
    </row>
    <row r="14" spans="1:16" x14ac:dyDescent="0.2">
      <c r="A14" s="2"/>
      <c r="B14" s="2"/>
      <c r="C14" s="258" t="s">
        <v>102</v>
      </c>
      <c r="D14" s="259" t="s">
        <v>194</v>
      </c>
      <c r="E14" s="260" t="s">
        <v>192</v>
      </c>
      <c r="F14" s="261">
        <v>2</v>
      </c>
      <c r="G14" s="261">
        <v>97.18</v>
      </c>
      <c r="H14" s="262">
        <f>+G14*F14</f>
        <v>194.36</v>
      </c>
    </row>
    <row r="15" spans="1:16" x14ac:dyDescent="0.2">
      <c r="A15" s="2"/>
      <c r="B15" s="2"/>
      <c r="C15" s="258" t="s">
        <v>104</v>
      </c>
      <c r="D15" s="259" t="s">
        <v>195</v>
      </c>
      <c r="E15" s="260" t="s">
        <v>196</v>
      </c>
      <c r="F15" s="261">
        <v>20</v>
      </c>
      <c r="G15" s="261">
        <v>0.69000000000000006</v>
      </c>
      <c r="H15" s="262">
        <f>+G15*F15</f>
        <v>13.8</v>
      </c>
    </row>
    <row r="16" spans="1:16" x14ac:dyDescent="0.2">
      <c r="A16" s="2"/>
      <c r="B16" s="2"/>
      <c r="C16" s="258" t="s">
        <v>107</v>
      </c>
      <c r="D16" s="259" t="s">
        <v>197</v>
      </c>
      <c r="E16" s="260" t="s">
        <v>86</v>
      </c>
      <c r="F16" s="261">
        <v>1</v>
      </c>
      <c r="G16" s="261">
        <v>563.05000000000007</v>
      </c>
      <c r="H16" s="262">
        <f>+G16*F16</f>
        <v>563.05000000000007</v>
      </c>
    </row>
    <row r="17" spans="1:8" x14ac:dyDescent="0.2">
      <c r="A17" s="2"/>
      <c r="B17" s="2"/>
      <c r="C17" s="258" t="s">
        <v>109</v>
      </c>
      <c r="D17" s="259" t="s">
        <v>198</v>
      </c>
      <c r="E17" s="260" t="s">
        <v>196</v>
      </c>
      <c r="F17" s="261">
        <v>60</v>
      </c>
      <c r="G17" s="261">
        <v>2.93</v>
      </c>
      <c r="H17" s="262">
        <f>+G17*F17</f>
        <v>175.8</v>
      </c>
    </row>
    <row r="18" spans="1:8" x14ac:dyDescent="0.2">
      <c r="A18" s="2"/>
      <c r="B18" s="2"/>
      <c r="C18" s="263" t="s">
        <v>115</v>
      </c>
      <c r="D18" s="264" t="s">
        <v>199</v>
      </c>
      <c r="E18" s="265"/>
      <c r="F18" s="265"/>
      <c r="G18" s="265"/>
      <c r="H18" s="266">
        <f>SUM(H19:H23)</f>
        <v>1606.1999999999998</v>
      </c>
    </row>
    <row r="19" spans="1:8" s="232" customFormat="1" ht="12" customHeight="1" x14ac:dyDescent="0.2">
      <c r="A19" s="231"/>
      <c r="B19" s="231"/>
      <c r="C19" s="258" t="s">
        <v>117</v>
      </c>
      <c r="D19" s="259" t="s">
        <v>200</v>
      </c>
      <c r="E19" s="260" t="s">
        <v>192</v>
      </c>
      <c r="F19" s="261">
        <v>2</v>
      </c>
      <c r="G19" s="261">
        <v>176.6</v>
      </c>
      <c r="H19" s="262">
        <f>G19*F19</f>
        <v>353.2</v>
      </c>
    </row>
    <row r="20" spans="1:8" x14ac:dyDescent="0.2">
      <c r="A20" s="2"/>
      <c r="B20" s="2"/>
      <c r="C20" s="258" t="s">
        <v>201</v>
      </c>
      <c r="D20" s="259" t="s">
        <v>202</v>
      </c>
      <c r="E20" s="260" t="s">
        <v>196</v>
      </c>
      <c r="F20" s="261">
        <v>40</v>
      </c>
      <c r="G20" s="261">
        <v>12.68</v>
      </c>
      <c r="H20" s="262">
        <f>G20*F20</f>
        <v>507.2</v>
      </c>
    </row>
    <row r="21" spans="1:8" x14ac:dyDescent="0.2">
      <c r="A21" s="2"/>
      <c r="B21" s="2"/>
      <c r="C21" s="258" t="s">
        <v>203</v>
      </c>
      <c r="D21" s="259" t="s">
        <v>204</v>
      </c>
      <c r="E21" s="260" t="s">
        <v>196</v>
      </c>
      <c r="F21" s="261">
        <v>40</v>
      </c>
      <c r="G21" s="261">
        <v>2.2999999999999998</v>
      </c>
      <c r="H21" s="262">
        <f>G21*F21</f>
        <v>92</v>
      </c>
    </row>
    <row r="22" spans="1:8" x14ac:dyDescent="0.2">
      <c r="C22" s="267" t="s">
        <v>205</v>
      </c>
      <c r="D22" s="268" t="s">
        <v>206</v>
      </c>
      <c r="E22" s="260" t="s">
        <v>207</v>
      </c>
      <c r="F22" s="261">
        <v>20</v>
      </c>
      <c r="G22" s="269" t="s">
        <v>208</v>
      </c>
      <c r="H22" s="262"/>
    </row>
    <row r="23" spans="1:8" s="232" customFormat="1" ht="12" customHeight="1" x14ac:dyDescent="0.2">
      <c r="C23" s="258" t="s">
        <v>209</v>
      </c>
      <c r="D23" s="259" t="s">
        <v>210</v>
      </c>
      <c r="E23" s="260" t="s">
        <v>207</v>
      </c>
      <c r="F23" s="261">
        <v>20</v>
      </c>
      <c r="G23" s="261">
        <v>32.69</v>
      </c>
      <c r="H23" s="262">
        <f>G23*F23</f>
        <v>653.79999999999995</v>
      </c>
    </row>
    <row r="24" spans="1:8" x14ac:dyDescent="0.2">
      <c r="C24" s="263" t="s">
        <v>119</v>
      </c>
      <c r="D24" s="264" t="s">
        <v>211</v>
      </c>
      <c r="E24" s="265"/>
      <c r="F24" s="265"/>
      <c r="G24" s="265"/>
      <c r="H24" s="266">
        <f>+SUM(H25:H34)</f>
        <v>10027.93</v>
      </c>
    </row>
    <row r="25" spans="1:8" ht="13.95" customHeight="1" x14ac:dyDescent="0.2">
      <c r="C25" s="258" t="s">
        <v>121</v>
      </c>
      <c r="D25" s="259" t="s">
        <v>212</v>
      </c>
      <c r="E25" s="260" t="s">
        <v>192</v>
      </c>
      <c r="F25" s="261">
        <v>8</v>
      </c>
      <c r="G25" s="261">
        <v>218.59</v>
      </c>
      <c r="H25" s="262">
        <f t="shared" ref="H25:H34" si="0">+G25*F25</f>
        <v>1748.72</v>
      </c>
    </row>
    <row r="26" spans="1:8" x14ac:dyDescent="0.2">
      <c r="C26" s="258" t="s">
        <v>213</v>
      </c>
      <c r="D26" s="259" t="s">
        <v>214</v>
      </c>
      <c r="E26" s="260" t="s">
        <v>207</v>
      </c>
      <c r="F26" s="261">
        <v>100</v>
      </c>
      <c r="G26" s="261">
        <v>4.55</v>
      </c>
      <c r="H26" s="262">
        <f t="shared" si="0"/>
        <v>455</v>
      </c>
    </row>
    <row r="27" spans="1:8" x14ac:dyDescent="0.2">
      <c r="C27" s="258" t="s">
        <v>215</v>
      </c>
      <c r="D27" s="259" t="s">
        <v>216</v>
      </c>
      <c r="E27" s="260" t="s">
        <v>207</v>
      </c>
      <c r="F27" s="261">
        <v>60</v>
      </c>
      <c r="G27" s="261">
        <v>17.489999999999998</v>
      </c>
      <c r="H27" s="262">
        <f t="shared" si="0"/>
        <v>1049.3999999999999</v>
      </c>
    </row>
    <row r="28" spans="1:8" x14ac:dyDescent="0.2">
      <c r="C28" s="258" t="s">
        <v>217</v>
      </c>
      <c r="D28" s="259" t="s">
        <v>218</v>
      </c>
      <c r="E28" s="260" t="s">
        <v>207</v>
      </c>
      <c r="F28" s="261">
        <v>60</v>
      </c>
      <c r="G28" s="261">
        <v>24.96</v>
      </c>
      <c r="H28" s="262">
        <f t="shared" si="0"/>
        <v>1497.6000000000001</v>
      </c>
    </row>
    <row r="29" spans="1:8" x14ac:dyDescent="0.2">
      <c r="C29" s="258" t="s">
        <v>219</v>
      </c>
      <c r="D29" s="259" t="s">
        <v>220</v>
      </c>
      <c r="E29" s="260" t="s">
        <v>207</v>
      </c>
      <c r="F29" s="261">
        <v>60</v>
      </c>
      <c r="G29" s="261">
        <v>17.73</v>
      </c>
      <c r="H29" s="262">
        <f t="shared" si="0"/>
        <v>1063.8</v>
      </c>
    </row>
    <row r="30" spans="1:8" x14ac:dyDescent="0.2">
      <c r="C30" s="258" t="s">
        <v>221</v>
      </c>
      <c r="D30" s="259" t="s">
        <v>222</v>
      </c>
      <c r="E30" s="260" t="s">
        <v>223</v>
      </c>
      <c r="F30" s="261">
        <v>100</v>
      </c>
      <c r="G30" s="261">
        <v>6.97</v>
      </c>
      <c r="H30" s="262">
        <f t="shared" si="0"/>
        <v>697</v>
      </c>
    </row>
    <row r="31" spans="1:8" x14ac:dyDescent="0.2">
      <c r="C31" s="258" t="s">
        <v>224</v>
      </c>
      <c r="D31" s="259" t="s">
        <v>225</v>
      </c>
      <c r="E31" s="260" t="s">
        <v>223</v>
      </c>
      <c r="F31" s="261">
        <v>50</v>
      </c>
      <c r="G31" s="261">
        <v>43.78</v>
      </c>
      <c r="H31" s="262">
        <f t="shared" si="0"/>
        <v>2189</v>
      </c>
    </row>
    <row r="32" spans="1:8" x14ac:dyDescent="0.2">
      <c r="C32" s="258" t="s">
        <v>226</v>
      </c>
      <c r="D32" s="259" t="s">
        <v>227</v>
      </c>
      <c r="E32" s="260" t="s">
        <v>86</v>
      </c>
      <c r="F32" s="261">
        <v>32</v>
      </c>
      <c r="G32" s="261">
        <v>26.02</v>
      </c>
      <c r="H32" s="262">
        <f t="shared" si="0"/>
        <v>832.64</v>
      </c>
    </row>
    <row r="33" spans="3:11" x14ac:dyDescent="0.2">
      <c r="C33" s="258" t="s">
        <v>228</v>
      </c>
      <c r="D33" s="259" t="s">
        <v>229</v>
      </c>
      <c r="E33" s="260" t="s">
        <v>86</v>
      </c>
      <c r="F33" s="261">
        <v>4</v>
      </c>
      <c r="G33" s="261">
        <v>89.88</v>
      </c>
      <c r="H33" s="262">
        <f t="shared" si="0"/>
        <v>359.52</v>
      </c>
    </row>
    <row r="34" spans="3:11" x14ac:dyDescent="0.2">
      <c r="C34" s="258" t="s">
        <v>230</v>
      </c>
      <c r="D34" s="259" t="s">
        <v>231</v>
      </c>
      <c r="E34" s="260" t="s">
        <v>86</v>
      </c>
      <c r="F34" s="261">
        <v>5</v>
      </c>
      <c r="G34" s="261">
        <v>27.05</v>
      </c>
      <c r="H34" s="262">
        <f t="shared" si="0"/>
        <v>135.25</v>
      </c>
    </row>
    <row r="35" spans="3:11" x14ac:dyDescent="0.2">
      <c r="C35" s="263" t="s">
        <v>232</v>
      </c>
      <c r="D35" s="264" t="s">
        <v>233</v>
      </c>
      <c r="E35" s="265"/>
      <c r="F35" s="265"/>
      <c r="G35" s="265"/>
      <c r="H35" s="266">
        <f>SUM(H36:H37)</f>
        <v>1961.3999999999999</v>
      </c>
    </row>
    <row r="36" spans="3:11" x14ac:dyDescent="0.2">
      <c r="C36" s="271" t="s">
        <v>234</v>
      </c>
      <c r="D36" s="268" t="s">
        <v>206</v>
      </c>
      <c r="E36" s="260" t="s">
        <v>207</v>
      </c>
      <c r="F36" s="261">
        <v>60</v>
      </c>
      <c r="G36" s="269" t="s">
        <v>208</v>
      </c>
      <c r="H36" s="262"/>
    </row>
    <row r="37" spans="3:11" x14ac:dyDescent="0.2">
      <c r="C37" s="272" t="s">
        <v>235</v>
      </c>
      <c r="D37" s="259" t="s">
        <v>210</v>
      </c>
      <c r="E37" s="260" t="s">
        <v>207</v>
      </c>
      <c r="F37" s="261">
        <v>60</v>
      </c>
      <c r="G37" s="261">
        <v>32.69</v>
      </c>
      <c r="H37" s="262">
        <f>+G37*F37</f>
        <v>1961.3999999999999</v>
      </c>
      <c r="K37" s="270"/>
    </row>
    <row r="38" spans="3:11" x14ac:dyDescent="0.2">
      <c r="C38" s="237" t="s">
        <v>236</v>
      </c>
      <c r="D38" s="238" t="s">
        <v>237</v>
      </c>
      <c r="E38" s="239"/>
      <c r="F38" s="240"/>
      <c r="G38" s="240"/>
      <c r="H38" s="241" t="e">
        <f>SUM(H39:H40)</f>
        <v>#REF!</v>
      </c>
    </row>
    <row r="39" spans="3:11" x14ac:dyDescent="0.2">
      <c r="C39" s="242" t="s">
        <v>238</v>
      </c>
      <c r="D39" s="243" t="s">
        <v>239</v>
      </c>
      <c r="E39" s="244" t="s">
        <v>240</v>
      </c>
      <c r="F39" s="245">
        <v>12</v>
      </c>
      <c r="G39" s="245" t="e">
        <f>APU!#REF!</f>
        <v>#REF!</v>
      </c>
      <c r="H39" s="246" t="e">
        <f>+G39*F39</f>
        <v>#REF!</v>
      </c>
    </row>
    <row r="40" spans="3:11" x14ac:dyDescent="0.2">
      <c r="C40" s="242" t="s">
        <v>241</v>
      </c>
      <c r="D40" s="243" t="s">
        <v>242</v>
      </c>
      <c r="E40" s="244" t="s">
        <v>243</v>
      </c>
      <c r="F40" s="245">
        <v>110</v>
      </c>
      <c r="G40" s="245" t="e">
        <f>APU!#REF!</f>
        <v>#REF!</v>
      </c>
      <c r="H40" s="246" t="e">
        <f>+G40*F40</f>
        <v>#REF!</v>
      </c>
    </row>
    <row r="41" spans="3:11" x14ac:dyDescent="0.2">
      <c r="C41" s="237" t="s">
        <v>244</v>
      </c>
      <c r="D41" s="238" t="s">
        <v>245</v>
      </c>
      <c r="E41" s="239"/>
      <c r="F41" s="240"/>
      <c r="G41" s="240"/>
      <c r="H41" s="241" t="e">
        <f>SUM(H42:H43)</f>
        <v>#REF!</v>
      </c>
    </row>
    <row r="42" spans="3:11" x14ac:dyDescent="0.2">
      <c r="C42" s="242" t="s">
        <v>246</v>
      </c>
      <c r="D42" s="243" t="s">
        <v>247</v>
      </c>
      <c r="E42" s="244" t="s">
        <v>240</v>
      </c>
      <c r="F42" s="245">
        <v>10</v>
      </c>
      <c r="G42" s="245" t="e">
        <f>APU!#REF!</f>
        <v>#REF!</v>
      </c>
      <c r="H42" s="246" t="e">
        <f>+G42*F42</f>
        <v>#REF!</v>
      </c>
    </row>
    <row r="43" spans="3:11" x14ac:dyDescent="0.2">
      <c r="C43" s="242" t="s">
        <v>248</v>
      </c>
      <c r="D43" s="243" t="s">
        <v>249</v>
      </c>
      <c r="E43" s="244" t="s">
        <v>240</v>
      </c>
      <c r="F43" s="245">
        <v>12</v>
      </c>
      <c r="G43" s="245" t="e">
        <f>APU!#REF!</f>
        <v>#REF!</v>
      </c>
      <c r="H43" s="246" t="e">
        <f>+G43*F43</f>
        <v>#REF!</v>
      </c>
    </row>
    <row r="44" spans="3:11" x14ac:dyDescent="0.2">
      <c r="C44" s="237" t="s">
        <v>250</v>
      </c>
      <c r="D44" s="238" t="s">
        <v>251</v>
      </c>
      <c r="E44" s="239"/>
      <c r="F44" s="240"/>
      <c r="G44" s="240"/>
      <c r="H44" s="241" t="e">
        <f>SUM(H45:H47)</f>
        <v>#REF!</v>
      </c>
    </row>
    <row r="45" spans="3:11" x14ac:dyDescent="0.2">
      <c r="C45" s="242" t="s">
        <v>252</v>
      </c>
      <c r="D45" s="247" t="s">
        <v>253</v>
      </c>
      <c r="E45" s="244" t="s">
        <v>240</v>
      </c>
      <c r="F45" s="245">
        <v>40</v>
      </c>
      <c r="G45" s="245" t="e">
        <f>APU!#REF!</f>
        <v>#REF!</v>
      </c>
      <c r="H45" s="246" t="e">
        <f>G45*F45</f>
        <v>#REF!</v>
      </c>
    </row>
    <row r="46" spans="3:11" x14ac:dyDescent="0.2">
      <c r="C46" s="242" t="s">
        <v>254</v>
      </c>
      <c r="D46" s="247" t="s">
        <v>255</v>
      </c>
      <c r="E46" s="244" t="s">
        <v>240</v>
      </c>
      <c r="F46" s="245">
        <v>40</v>
      </c>
      <c r="G46" s="245" t="e">
        <f>APU!#REF!</f>
        <v>#REF!</v>
      </c>
      <c r="H46" s="246" t="e">
        <f>G46*F46</f>
        <v>#REF!</v>
      </c>
    </row>
    <row r="47" spans="3:11" x14ac:dyDescent="0.2">
      <c r="C47" s="242" t="s">
        <v>256</v>
      </c>
      <c r="D47" s="247" t="s">
        <v>257</v>
      </c>
      <c r="E47" s="244" t="s">
        <v>240</v>
      </c>
      <c r="F47" s="245">
        <v>40</v>
      </c>
      <c r="G47" s="245" t="e">
        <f>APU!#REF!</f>
        <v>#REF!</v>
      </c>
      <c r="H47" s="246" t="e">
        <f>G47*F47</f>
        <v>#REF!</v>
      </c>
    </row>
    <row r="48" spans="3:11" x14ac:dyDescent="0.2">
      <c r="C48" s="263" t="s">
        <v>236</v>
      </c>
      <c r="D48" s="264" t="s">
        <v>258</v>
      </c>
      <c r="E48" s="265"/>
      <c r="F48" s="265"/>
      <c r="G48" s="265"/>
      <c r="H48" s="266" t="e">
        <f>H49</f>
        <v>#REF!</v>
      </c>
    </row>
    <row r="49" spans="3:8" x14ac:dyDescent="0.2">
      <c r="C49" s="258" t="s">
        <v>238</v>
      </c>
      <c r="D49" s="259" t="s">
        <v>259</v>
      </c>
      <c r="E49" s="260" t="s">
        <v>185</v>
      </c>
      <c r="F49" s="261">
        <v>1</v>
      </c>
      <c r="G49" s="261" t="e">
        <f>APU!#REF!</f>
        <v>#REF!</v>
      </c>
      <c r="H49" s="262" t="e">
        <f>G49*F49</f>
        <v>#REF!</v>
      </c>
    </row>
    <row r="50" spans="3:8" ht="12" customHeight="1" thickBot="1" x14ac:dyDescent="0.25">
      <c r="C50" s="452" t="s">
        <v>260</v>
      </c>
      <c r="D50" s="453"/>
      <c r="E50" s="453"/>
      <c r="F50" s="451"/>
      <c r="G50" s="450" t="e">
        <f>+H48+H35+H24+H38+H41+H44+H18+H13+H7</f>
        <v>#REF!</v>
      </c>
      <c r="H50" s="451"/>
    </row>
    <row r="51" spans="3:8" x14ac:dyDescent="0.2">
      <c r="C51" s="362"/>
      <c r="D51" s="233"/>
    </row>
    <row r="52" spans="3:8" ht="10.8" customHeight="1" x14ac:dyDescent="0.2">
      <c r="C52" s="362"/>
      <c r="D52" s="449"/>
      <c r="E52" s="438"/>
      <c r="F52" s="438"/>
      <c r="G52" s="438"/>
      <c r="H52" s="438"/>
    </row>
  </sheetData>
  <mergeCells count="4">
    <mergeCell ref="D2:F2"/>
    <mergeCell ref="D52:H52"/>
    <mergeCell ref="G50:H50"/>
    <mergeCell ref="C50:F50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75"/>
  <sheetViews>
    <sheetView view="pageBreakPreview" topLeftCell="A13" zoomScaleNormal="100" zoomScaleSheetLayoutView="100" workbookViewId="0">
      <selection activeCell="D27" sqref="D27"/>
    </sheetView>
  </sheetViews>
  <sheetFormatPr baseColWidth="10" defaultColWidth="12" defaultRowHeight="13.2" x14ac:dyDescent="0.25"/>
  <cols>
    <col min="1" max="1" width="5.140625" style="106" customWidth="1"/>
    <col min="2" max="2" width="17.42578125" style="106" customWidth="1"/>
    <col min="3" max="3" width="48.140625" style="106" customWidth="1"/>
    <col min="4" max="4" width="9.85546875" style="368" customWidth="1"/>
    <col min="5" max="5" width="9" style="368" customWidth="1"/>
    <col min="6" max="6" width="14.140625" style="368" customWidth="1"/>
    <col min="7" max="7" width="13.7109375" style="368" customWidth="1"/>
    <col min="8" max="8" width="18.42578125" style="368" customWidth="1"/>
    <col min="9" max="9" width="22.140625" style="368" customWidth="1"/>
    <col min="10" max="12" width="12" style="106" customWidth="1"/>
    <col min="13" max="16384" width="12" style="106"/>
  </cols>
  <sheetData>
    <row r="1" spans="2:9" ht="13.5" customHeight="1" thickBot="1" x14ac:dyDescent="0.3"/>
    <row r="2" spans="2:9" ht="16.5" customHeight="1" thickBot="1" x14ac:dyDescent="0.35">
      <c r="B2" s="107" t="s">
        <v>261</v>
      </c>
      <c r="C2" s="108"/>
      <c r="D2" s="175"/>
      <c r="E2" s="176"/>
      <c r="F2" s="176"/>
      <c r="G2" s="176"/>
      <c r="H2" s="176"/>
      <c r="I2" s="177"/>
    </row>
    <row r="3" spans="2:9" ht="13.5" customHeight="1" thickBot="1" x14ac:dyDescent="0.3">
      <c r="D3" s="174"/>
      <c r="E3" s="174"/>
      <c r="F3" s="174"/>
      <c r="G3" s="174"/>
      <c r="H3" s="174"/>
      <c r="I3" s="174"/>
    </row>
    <row r="4" spans="2:9" x14ac:dyDescent="0.25">
      <c r="B4" s="110" t="s">
        <v>262</v>
      </c>
      <c r="C4" s="314" t="str">
        <f>CD!D2</f>
        <v>AMPLIACION CAMPAMENTO JUSTA SUBTERRANEA</v>
      </c>
      <c r="D4" s="178"/>
      <c r="E4" s="179"/>
      <c r="F4" s="180"/>
      <c r="G4" s="180"/>
      <c r="H4" s="180"/>
      <c r="I4" s="181"/>
    </row>
    <row r="5" spans="2:9" x14ac:dyDescent="0.25">
      <c r="B5" s="111" t="s">
        <v>263</v>
      </c>
      <c r="C5" s="315" t="str">
        <f>CD!D3</f>
        <v xml:space="preserve">SUMINISTRO, INSTALACION, PRUEBAS Y PUESTA EN MARCHA - RAMAL CONTRAINCENDIOS HDPE TIE-IN-06 A GCI </v>
      </c>
      <c r="D5" s="182"/>
      <c r="E5" s="183"/>
      <c r="F5" s="184"/>
      <c r="G5" s="184"/>
      <c r="H5" s="184"/>
      <c r="I5" s="185"/>
    </row>
    <row r="6" spans="2:9" x14ac:dyDescent="0.25">
      <c r="B6" s="111" t="s">
        <v>264</v>
      </c>
      <c r="C6" s="112" t="s">
        <v>265</v>
      </c>
      <c r="D6" s="183"/>
      <c r="E6" s="183"/>
      <c r="F6" s="184"/>
      <c r="G6" s="184"/>
      <c r="H6" s="184"/>
      <c r="I6" s="185"/>
    </row>
    <row r="7" spans="2:9" x14ac:dyDescent="0.25">
      <c r="B7" s="113" t="s">
        <v>266</v>
      </c>
      <c r="C7" s="114">
        <v>46233</v>
      </c>
      <c r="E7" s="183"/>
      <c r="F7" s="184"/>
      <c r="G7" s="184"/>
      <c r="H7" s="184"/>
      <c r="I7" s="185"/>
    </row>
    <row r="8" spans="2:9" x14ac:dyDescent="0.25">
      <c r="B8" s="113" t="s">
        <v>267</v>
      </c>
      <c r="C8" s="115"/>
      <c r="D8" s="116">
        <v>0.16669999999999999</v>
      </c>
      <c r="E8" s="183"/>
      <c r="F8" s="184"/>
      <c r="G8" s="184"/>
      <c r="H8" s="184"/>
      <c r="I8" s="185"/>
    </row>
    <row r="9" spans="2:9" ht="13.5" customHeight="1" thickBot="1" x14ac:dyDescent="0.3">
      <c r="B9" s="117"/>
      <c r="C9" s="118"/>
      <c r="D9" s="186"/>
      <c r="E9" s="187"/>
      <c r="F9" s="188"/>
      <c r="G9" s="188"/>
      <c r="H9" s="188"/>
      <c r="I9" s="189"/>
    </row>
    <row r="10" spans="2:9" ht="16.5" customHeight="1" x14ac:dyDescent="0.25">
      <c r="B10" s="119"/>
      <c r="C10" s="120"/>
      <c r="D10" s="190"/>
      <c r="E10" s="190"/>
      <c r="F10" s="190"/>
      <c r="G10" s="190"/>
      <c r="H10" s="190"/>
      <c r="I10" s="191"/>
    </row>
    <row r="11" spans="2:9" ht="18" customHeight="1" x14ac:dyDescent="0.25">
      <c r="B11" s="459" t="s">
        <v>268</v>
      </c>
      <c r="C11" s="440"/>
      <c r="D11" s="440"/>
      <c r="E11" s="440"/>
      <c r="F11" s="440"/>
      <c r="G11" s="440"/>
      <c r="H11" s="440"/>
      <c r="I11" s="441"/>
    </row>
    <row r="12" spans="2:9" ht="16.5" customHeight="1" x14ac:dyDescent="0.25">
      <c r="B12" s="457" t="s">
        <v>269</v>
      </c>
      <c r="C12" s="457" t="s">
        <v>85</v>
      </c>
      <c r="D12" s="457" t="s">
        <v>95</v>
      </c>
      <c r="E12" s="457" t="s">
        <v>270</v>
      </c>
      <c r="F12" s="457" t="s">
        <v>271</v>
      </c>
      <c r="G12" s="306"/>
      <c r="H12" s="121" t="s">
        <v>272</v>
      </c>
      <c r="I12" s="460" t="s">
        <v>273</v>
      </c>
    </row>
    <row r="13" spans="2:9" ht="12.75" customHeight="1" x14ac:dyDescent="0.25">
      <c r="B13" s="458"/>
      <c r="C13" s="458"/>
      <c r="D13" s="458"/>
      <c r="E13" s="458"/>
      <c r="F13" s="458"/>
      <c r="G13" s="461" t="s">
        <v>274</v>
      </c>
      <c r="H13" s="456" t="s">
        <v>275</v>
      </c>
      <c r="I13" s="458"/>
    </row>
    <row r="14" spans="2:9" ht="12.75" customHeight="1" x14ac:dyDescent="0.25">
      <c r="B14" s="458"/>
      <c r="C14" s="458"/>
      <c r="D14" s="458"/>
      <c r="E14" s="458"/>
      <c r="F14" s="458"/>
      <c r="G14" s="462"/>
      <c r="H14" s="433"/>
      <c r="I14" s="458"/>
    </row>
    <row r="15" spans="2:9" ht="13.5" customHeight="1" x14ac:dyDescent="0.3">
      <c r="B15" s="412"/>
      <c r="C15" s="412"/>
      <c r="D15" s="412"/>
      <c r="E15" s="412"/>
      <c r="F15" s="412"/>
      <c r="G15" s="122" t="s">
        <v>276</v>
      </c>
      <c r="H15" s="122" t="s">
        <v>276</v>
      </c>
      <c r="I15" s="123" t="s">
        <v>276</v>
      </c>
    </row>
    <row r="16" spans="2:9" ht="15.75" customHeight="1" x14ac:dyDescent="0.3">
      <c r="B16" s="328">
        <v>1</v>
      </c>
      <c r="C16" s="124" t="s">
        <v>277</v>
      </c>
      <c r="D16" s="192"/>
      <c r="E16" s="131"/>
      <c r="F16" s="129"/>
      <c r="G16" s="126"/>
      <c r="H16" s="127"/>
      <c r="I16" s="193"/>
    </row>
    <row r="17" spans="2:11" ht="15.75" customHeight="1" x14ac:dyDescent="0.3">
      <c r="B17" s="328"/>
      <c r="C17" s="128" t="s">
        <v>327</v>
      </c>
      <c r="D17" s="129" t="s">
        <v>185</v>
      </c>
      <c r="E17" s="131">
        <v>1</v>
      </c>
      <c r="F17" s="129">
        <v>0</v>
      </c>
      <c r="G17" s="171">
        <v>2300</v>
      </c>
      <c r="H17" s="172">
        <f>+G17*1.45</f>
        <v>3335</v>
      </c>
      <c r="I17" s="278">
        <f>E17*F17*H17</f>
        <v>0</v>
      </c>
    </row>
    <row r="18" spans="2:11" ht="15.75" customHeight="1" x14ac:dyDescent="0.3">
      <c r="B18" s="328"/>
      <c r="C18" s="128" t="s">
        <v>326</v>
      </c>
      <c r="D18" s="129" t="s">
        <v>185</v>
      </c>
      <c r="E18" s="131">
        <v>1</v>
      </c>
      <c r="F18" s="129">
        <v>0</v>
      </c>
      <c r="G18" s="171">
        <f>6031.4/3.4</f>
        <v>1773.9411764705881</v>
      </c>
      <c r="H18" s="172">
        <f>+G18*1.45</f>
        <v>2572.2147058823525</v>
      </c>
      <c r="I18" s="278">
        <f>E18*F18*H18</f>
        <v>0</v>
      </c>
      <c r="K18" s="367"/>
    </row>
    <row r="19" spans="2:11" ht="15.75" customHeight="1" x14ac:dyDescent="0.3">
      <c r="B19" s="328"/>
      <c r="C19" s="128" t="s">
        <v>325</v>
      </c>
      <c r="D19" s="129" t="s">
        <v>185</v>
      </c>
      <c r="E19" s="131">
        <v>1</v>
      </c>
      <c r="F19" s="129">
        <v>0.2</v>
      </c>
      <c r="G19" s="171">
        <f>6000/3.4</f>
        <v>1764.7058823529412</v>
      </c>
      <c r="H19" s="172">
        <f>+G19*1.45</f>
        <v>2558.8235294117649</v>
      </c>
      <c r="I19" s="278">
        <f>E19*F19*H19</f>
        <v>511.76470588235298</v>
      </c>
    </row>
    <row r="20" spans="2:11" ht="15.75" customHeight="1" x14ac:dyDescent="0.3">
      <c r="B20" s="328"/>
      <c r="C20" s="128" t="s">
        <v>324</v>
      </c>
      <c r="D20" s="129" t="s">
        <v>185</v>
      </c>
      <c r="E20" s="131">
        <v>1</v>
      </c>
      <c r="F20" s="129">
        <v>1</v>
      </c>
      <c r="G20" s="171">
        <f>5125.11/3.4</f>
        <v>1507.3852941176469</v>
      </c>
      <c r="H20" s="172">
        <f>+G20*1.45</f>
        <v>2185.7086764705882</v>
      </c>
      <c r="I20" s="278">
        <f>E20*F20*H20</f>
        <v>2185.7086764705882</v>
      </c>
    </row>
    <row r="21" spans="2:11" ht="15.75" customHeight="1" x14ac:dyDescent="0.3">
      <c r="B21" s="328"/>
      <c r="C21" s="128" t="s">
        <v>323</v>
      </c>
      <c r="D21" s="129" t="s">
        <v>185</v>
      </c>
      <c r="E21" s="131">
        <v>0.5</v>
      </c>
      <c r="F21" s="129">
        <v>1</v>
      </c>
      <c r="G21" s="171">
        <f>4714.51/3.4</f>
        <v>1386.6205882352942</v>
      </c>
      <c r="H21" s="172">
        <f>+G21*1.45</f>
        <v>2010.5998529411766</v>
      </c>
      <c r="I21" s="278">
        <f>E21*F21*H21</f>
        <v>1005.2999264705883</v>
      </c>
      <c r="K21" s="367"/>
    </row>
    <row r="22" spans="2:11" ht="13.5" customHeight="1" x14ac:dyDescent="0.3">
      <c r="B22" s="329"/>
      <c r="C22" s="125"/>
      <c r="D22" s="130"/>
      <c r="E22" s="131"/>
      <c r="F22" s="330"/>
      <c r="G22" s="194"/>
      <c r="H22" s="157"/>
      <c r="I22" s="299"/>
    </row>
    <row r="23" spans="2:11" ht="13.5" customHeight="1" x14ac:dyDescent="0.3">
      <c r="B23" s="132"/>
      <c r="C23" s="133"/>
      <c r="D23" s="134"/>
      <c r="E23" s="135">
        <f>SUM(E17:E22)</f>
        <v>4.5</v>
      </c>
      <c r="F23" s="331"/>
      <c r="G23" s="195"/>
      <c r="H23" s="332">
        <v>1</v>
      </c>
      <c r="I23" s="304">
        <f>SUM(I17:I22)</f>
        <v>3702.7733088235295</v>
      </c>
    </row>
    <row r="24" spans="2:11" ht="15.75" customHeight="1" x14ac:dyDescent="0.3">
      <c r="B24" s="333">
        <v>2</v>
      </c>
      <c r="C24" s="136" t="s">
        <v>278</v>
      </c>
      <c r="D24" s="130"/>
      <c r="E24" s="131"/>
      <c r="F24" s="334"/>
      <c r="G24" s="194"/>
      <c r="H24" s="157"/>
      <c r="I24" s="335"/>
    </row>
    <row r="25" spans="2:11" ht="15.75" customHeight="1" x14ac:dyDescent="0.3">
      <c r="B25" s="333"/>
      <c r="C25" s="128" t="s">
        <v>322</v>
      </c>
      <c r="D25" s="129" t="s">
        <v>185</v>
      </c>
      <c r="E25" s="131">
        <v>1</v>
      </c>
      <c r="F25" s="129">
        <v>0.2</v>
      </c>
      <c r="G25" s="126">
        <v>757.58</v>
      </c>
      <c r="H25" s="127">
        <f>+G25*1.45</f>
        <v>1098.491</v>
      </c>
      <c r="I25" s="278">
        <f>E25*F25*H25</f>
        <v>219.69820000000001</v>
      </c>
    </row>
    <row r="26" spans="2:11" ht="15.75" customHeight="1" x14ac:dyDescent="0.3">
      <c r="B26" s="333"/>
      <c r="C26" s="128" t="s">
        <v>321</v>
      </c>
      <c r="D26" s="129" t="s">
        <v>185</v>
      </c>
      <c r="E26" s="131">
        <v>1</v>
      </c>
      <c r="F26" s="129">
        <v>0.2</v>
      </c>
      <c r="G26" s="126">
        <v>757.58</v>
      </c>
      <c r="H26" s="127">
        <f>+G26*1.45</f>
        <v>1098.491</v>
      </c>
      <c r="I26" s="278">
        <f>E26*F26*H26</f>
        <v>219.69820000000001</v>
      </c>
    </row>
    <row r="27" spans="2:11" ht="15.75" customHeight="1" x14ac:dyDescent="0.3">
      <c r="B27" s="333"/>
      <c r="C27" s="136"/>
      <c r="D27" s="130"/>
      <c r="E27" s="131"/>
      <c r="F27" s="334"/>
      <c r="G27" s="194"/>
      <c r="H27" s="157"/>
      <c r="I27" s="299"/>
    </row>
    <row r="28" spans="2:11" ht="13.5" customHeight="1" x14ac:dyDescent="0.3">
      <c r="B28" s="336"/>
      <c r="C28" s="125"/>
      <c r="D28" s="130"/>
      <c r="E28" s="131"/>
      <c r="F28" s="334"/>
      <c r="G28" s="194"/>
      <c r="H28" s="196"/>
      <c r="I28" s="303"/>
    </row>
    <row r="29" spans="2:11" ht="13.5" customHeight="1" x14ac:dyDescent="0.3">
      <c r="B29" s="132"/>
      <c r="C29" s="133"/>
      <c r="D29" s="134"/>
      <c r="E29" s="135">
        <f>SUM(E25:E28)</f>
        <v>2</v>
      </c>
      <c r="F29" s="331"/>
      <c r="G29" s="195"/>
      <c r="H29" s="332">
        <v>2</v>
      </c>
      <c r="I29" s="304">
        <f>SUM(I25:I28)</f>
        <v>439.39640000000003</v>
      </c>
    </row>
    <row r="30" spans="2:11" ht="15.75" customHeight="1" x14ac:dyDescent="0.3">
      <c r="B30" s="328">
        <v>3</v>
      </c>
      <c r="C30" s="136" t="s">
        <v>279</v>
      </c>
      <c r="D30" s="130"/>
      <c r="E30" s="137"/>
      <c r="F30" s="330"/>
      <c r="G30" s="194"/>
      <c r="H30" s="157"/>
      <c r="I30" s="337"/>
    </row>
    <row r="31" spans="2:11" ht="15.75" customHeight="1" x14ac:dyDescent="0.3">
      <c r="B31" s="328"/>
      <c r="C31" s="136" t="s">
        <v>280</v>
      </c>
      <c r="D31" s="130"/>
      <c r="E31" s="131"/>
      <c r="F31" s="131"/>
      <c r="G31" s="138" t="s">
        <v>281</v>
      </c>
      <c r="H31" s="197"/>
      <c r="I31" s="337"/>
    </row>
    <row r="32" spans="2:11" ht="15.75" customHeight="1" x14ac:dyDescent="0.3">
      <c r="B32" s="328"/>
      <c r="C32" s="125" t="s">
        <v>282</v>
      </c>
      <c r="D32" s="130" t="s">
        <v>185</v>
      </c>
      <c r="E32" s="131">
        <v>1</v>
      </c>
      <c r="F32" s="330">
        <v>1</v>
      </c>
      <c r="G32" s="198">
        <f>60*30</f>
        <v>1800</v>
      </c>
      <c r="H32" s="197"/>
      <c r="I32" s="299">
        <f>E32*G32*F32</f>
        <v>1800</v>
      </c>
    </row>
    <row r="33" spans="2:9" ht="13.5" customHeight="1" x14ac:dyDescent="0.3">
      <c r="B33" s="139"/>
      <c r="C33" s="125" t="s">
        <v>283</v>
      </c>
      <c r="D33" s="130" t="s">
        <v>185</v>
      </c>
      <c r="E33" s="131">
        <v>1</v>
      </c>
      <c r="F33" s="330">
        <v>1</v>
      </c>
      <c r="G33" s="198">
        <f>120*5.1</f>
        <v>612</v>
      </c>
      <c r="H33" s="197"/>
      <c r="I33" s="299">
        <f>E33*G33*F33</f>
        <v>612</v>
      </c>
    </row>
    <row r="34" spans="2:9" ht="13.5" customHeight="1" x14ac:dyDescent="0.3">
      <c r="B34" s="338"/>
      <c r="C34" s="125" t="s">
        <v>183</v>
      </c>
      <c r="D34" s="130"/>
      <c r="E34" s="131"/>
      <c r="F34" s="330"/>
      <c r="G34" s="198"/>
      <c r="H34" s="197"/>
      <c r="I34" s="299"/>
    </row>
    <row r="35" spans="2:9" ht="13.5" customHeight="1" x14ac:dyDescent="0.3">
      <c r="B35" s="132"/>
      <c r="C35" s="133"/>
      <c r="D35" s="134"/>
      <c r="E35" s="140"/>
      <c r="F35" s="140"/>
      <c r="G35" s="195"/>
      <c r="H35" s="332">
        <v>3</v>
      </c>
      <c r="I35" s="300">
        <f>SUM(I31:I34)</f>
        <v>2412</v>
      </c>
    </row>
    <row r="36" spans="2:9" ht="15.75" customHeight="1" x14ac:dyDescent="0.3">
      <c r="B36" s="339">
        <v>4</v>
      </c>
      <c r="C36" s="141" t="s">
        <v>284</v>
      </c>
      <c r="D36" s="130"/>
      <c r="E36" s="131"/>
      <c r="F36" s="340"/>
      <c r="G36" s="194"/>
      <c r="H36" s="199"/>
      <c r="I36" s="337"/>
    </row>
    <row r="37" spans="2:9" s="218" customFormat="1" ht="38.25" customHeight="1" x14ac:dyDescent="0.2">
      <c r="B37" s="341"/>
      <c r="C37" s="217" t="s">
        <v>285</v>
      </c>
      <c r="D37" s="223" t="s">
        <v>286</v>
      </c>
      <c r="E37" s="224">
        <v>1</v>
      </c>
      <c r="F37" s="342"/>
      <c r="G37" s="221">
        <f>350/3</f>
        <v>116.66666666666667</v>
      </c>
      <c r="H37" s="225"/>
      <c r="I37" s="302">
        <f t="shared" ref="I37:I42" si="0">E37*G37</f>
        <v>116.66666666666667</v>
      </c>
    </row>
    <row r="38" spans="2:9" ht="13.5" customHeight="1" x14ac:dyDescent="0.3">
      <c r="B38" s="338"/>
      <c r="C38" s="125" t="s">
        <v>287</v>
      </c>
      <c r="D38" s="223" t="s">
        <v>286</v>
      </c>
      <c r="E38" s="143">
        <v>4</v>
      </c>
      <c r="F38" s="144"/>
      <c r="G38" s="198">
        <f>284/3.4/3</f>
        <v>27.843137254901961</v>
      </c>
      <c r="H38" s="197"/>
      <c r="I38" s="299">
        <f t="shared" si="0"/>
        <v>111.37254901960785</v>
      </c>
    </row>
    <row r="39" spans="2:9" ht="13.5" customHeight="1" x14ac:dyDescent="0.3">
      <c r="B39" s="338"/>
      <c r="C39" s="125" t="s">
        <v>288</v>
      </c>
      <c r="D39" s="223" t="s">
        <v>289</v>
      </c>
      <c r="E39" s="143">
        <v>0</v>
      </c>
      <c r="F39" s="144"/>
      <c r="G39" s="198">
        <v>400</v>
      </c>
      <c r="H39" s="197"/>
      <c r="I39" s="299">
        <f t="shared" si="0"/>
        <v>0</v>
      </c>
    </row>
    <row r="40" spans="2:9" ht="13.5" customHeight="1" x14ac:dyDescent="0.3">
      <c r="B40" s="338"/>
      <c r="C40" s="125" t="s">
        <v>290</v>
      </c>
      <c r="D40" s="223" t="s">
        <v>286</v>
      </c>
      <c r="E40" s="143">
        <v>4</v>
      </c>
      <c r="F40" s="144"/>
      <c r="G40" s="198">
        <f>560/3.4/3</f>
        <v>54.901960784313729</v>
      </c>
      <c r="H40" s="197"/>
      <c r="I40" s="299">
        <f t="shared" si="0"/>
        <v>219.60784313725492</v>
      </c>
    </row>
    <row r="41" spans="2:9" s="218" customFormat="1" ht="51" customHeight="1" x14ac:dyDescent="0.2">
      <c r="B41" s="343"/>
      <c r="C41" s="217" t="s">
        <v>291</v>
      </c>
      <c r="D41" s="223" t="s">
        <v>286</v>
      </c>
      <c r="E41" s="219"/>
      <c r="F41" s="220"/>
      <c r="G41" s="221">
        <f>45*3</f>
        <v>135</v>
      </c>
      <c r="H41" s="222"/>
      <c r="I41" s="302">
        <f t="shared" si="0"/>
        <v>0</v>
      </c>
    </row>
    <row r="42" spans="2:9" ht="38.25" customHeight="1" x14ac:dyDescent="0.3">
      <c r="B42" s="338"/>
      <c r="C42" s="142" t="s">
        <v>292</v>
      </c>
      <c r="D42" s="223" t="s">
        <v>286</v>
      </c>
      <c r="E42" s="219"/>
      <c r="F42" s="220"/>
      <c r="G42" s="221">
        <v>176</v>
      </c>
      <c r="H42" s="197"/>
      <c r="I42" s="302">
        <f t="shared" si="0"/>
        <v>0</v>
      </c>
    </row>
    <row r="43" spans="2:9" ht="13.5" customHeight="1" x14ac:dyDescent="0.3">
      <c r="B43" s="338"/>
      <c r="C43" s="125"/>
      <c r="D43" s="130"/>
      <c r="E43" s="143"/>
      <c r="F43" s="144"/>
      <c r="G43" s="198"/>
      <c r="H43" s="197"/>
      <c r="I43" s="299"/>
    </row>
    <row r="44" spans="2:9" ht="13.5" customHeight="1" x14ac:dyDescent="0.3">
      <c r="B44" s="338"/>
      <c r="C44" s="125"/>
      <c r="D44" s="130"/>
      <c r="E44" s="143"/>
      <c r="F44" s="330"/>
      <c r="G44" s="198"/>
      <c r="H44" s="197"/>
      <c r="I44" s="299"/>
    </row>
    <row r="45" spans="2:9" ht="13.5" customHeight="1" x14ac:dyDescent="0.3">
      <c r="B45" s="132"/>
      <c r="C45" s="145"/>
      <c r="D45" s="134"/>
      <c r="E45" s="140"/>
      <c r="F45" s="140"/>
      <c r="G45" s="195"/>
      <c r="H45" s="344">
        <v>4</v>
      </c>
      <c r="I45" s="300">
        <f>SUM(I37:I44)</f>
        <v>447.64705882352945</v>
      </c>
    </row>
    <row r="46" spans="2:9" ht="31.5" customHeight="1" x14ac:dyDescent="0.3">
      <c r="B46" s="345">
        <v>5</v>
      </c>
      <c r="C46" s="146" t="s">
        <v>293</v>
      </c>
      <c r="D46" s="130"/>
      <c r="E46" s="131" t="s">
        <v>294</v>
      </c>
      <c r="F46" s="147" t="s">
        <v>295</v>
      </c>
      <c r="G46" s="148" t="s">
        <v>296</v>
      </c>
      <c r="H46" s="200"/>
      <c r="I46" s="337"/>
    </row>
    <row r="47" spans="2:9" ht="13.5" customHeight="1" x14ac:dyDescent="0.3">
      <c r="B47" s="338"/>
      <c r="C47" s="149" t="s">
        <v>297</v>
      </c>
      <c r="D47" s="130"/>
      <c r="E47" s="129"/>
      <c r="F47" s="147"/>
      <c r="G47" s="148"/>
      <c r="H47" s="200"/>
      <c r="I47" s="337"/>
    </row>
    <row r="48" spans="2:9" ht="13.5" customHeight="1" x14ac:dyDescent="0.3">
      <c r="B48" s="338"/>
      <c r="C48" s="125" t="s">
        <v>298</v>
      </c>
      <c r="D48" s="130"/>
      <c r="E48" s="129">
        <v>0</v>
      </c>
      <c r="F48" s="150">
        <v>0.2</v>
      </c>
      <c r="G48" s="201">
        <v>484.84848484848487</v>
      </c>
      <c r="H48" s="197"/>
      <c r="I48" s="299">
        <f>G48*F48*E48</f>
        <v>0</v>
      </c>
    </row>
    <row r="49" spans="2:9" ht="13.5" customHeight="1" x14ac:dyDescent="0.3">
      <c r="B49" s="338"/>
      <c r="C49" s="125" t="s">
        <v>299</v>
      </c>
      <c r="D49" s="130"/>
      <c r="E49" s="129">
        <v>0</v>
      </c>
      <c r="F49" s="150">
        <v>0.5</v>
      </c>
      <c r="G49" s="201">
        <v>27.27272727272727</v>
      </c>
      <c r="H49" s="197"/>
      <c r="I49" s="299">
        <f>G49*F49*E49</f>
        <v>0</v>
      </c>
    </row>
    <row r="50" spans="2:9" ht="13.5" customHeight="1" x14ac:dyDescent="0.3">
      <c r="B50" s="338"/>
      <c r="C50" s="125"/>
      <c r="D50" s="130"/>
      <c r="E50" s="131"/>
      <c r="F50" s="150"/>
      <c r="G50" s="201"/>
      <c r="H50" s="197"/>
      <c r="I50" s="299"/>
    </row>
    <row r="51" spans="2:9" ht="13.5" customHeight="1" x14ac:dyDescent="0.3">
      <c r="B51" s="338"/>
      <c r="C51" s="149" t="s">
        <v>300</v>
      </c>
      <c r="D51" s="130"/>
      <c r="E51" s="131"/>
      <c r="F51" s="150"/>
      <c r="G51" s="201"/>
      <c r="H51" s="197"/>
      <c r="I51" s="299"/>
    </row>
    <row r="52" spans="2:9" ht="13.5" customHeight="1" x14ac:dyDescent="0.3">
      <c r="B52" s="338"/>
      <c r="C52" s="125" t="s">
        <v>301</v>
      </c>
      <c r="D52" s="130"/>
      <c r="E52" s="131">
        <v>1.5</v>
      </c>
      <c r="F52" s="201">
        <v>1</v>
      </c>
      <c r="G52" s="201">
        <v>151.5151515151515</v>
      </c>
      <c r="H52" s="197"/>
      <c r="I52" s="299">
        <f>G52*F52*E52</f>
        <v>227.27272727272725</v>
      </c>
    </row>
    <row r="53" spans="2:9" ht="13.5" customHeight="1" x14ac:dyDescent="0.3">
      <c r="B53" s="338"/>
      <c r="C53" s="125" t="s">
        <v>302</v>
      </c>
      <c r="D53" s="130"/>
      <c r="E53" s="131">
        <v>1.5</v>
      </c>
      <c r="F53" s="201">
        <v>1</v>
      </c>
      <c r="G53" s="201">
        <v>333.33333333333343</v>
      </c>
      <c r="H53" s="197"/>
      <c r="I53" s="299">
        <f>G53*F53*E53</f>
        <v>500.00000000000011</v>
      </c>
    </row>
    <row r="54" spans="2:9" ht="13.5" customHeight="1" x14ac:dyDescent="0.3">
      <c r="B54" s="338"/>
      <c r="C54" s="125" t="s">
        <v>303</v>
      </c>
      <c r="D54" s="130"/>
      <c r="E54" s="131">
        <v>4</v>
      </c>
      <c r="F54" s="201">
        <v>1</v>
      </c>
      <c r="G54" s="201">
        <v>6.6969696969696981</v>
      </c>
      <c r="H54" s="197"/>
      <c r="I54" s="299">
        <f>G54*F54*E54</f>
        <v>26.787878787878793</v>
      </c>
    </row>
    <row r="55" spans="2:9" ht="13.5" customHeight="1" x14ac:dyDescent="0.3">
      <c r="B55" s="139"/>
      <c r="C55" s="125"/>
      <c r="D55" s="130"/>
      <c r="E55" s="131"/>
      <c r="F55" s="151"/>
      <c r="G55" s="198"/>
      <c r="H55" s="197"/>
      <c r="I55" s="278"/>
    </row>
    <row r="56" spans="2:9" ht="13.5" customHeight="1" x14ac:dyDescent="0.3">
      <c r="B56" s="132"/>
      <c r="C56" s="145"/>
      <c r="D56" s="134"/>
      <c r="E56" s="140"/>
      <c r="F56" s="140"/>
      <c r="G56" s="202"/>
      <c r="H56" s="332">
        <v>5</v>
      </c>
      <c r="I56" s="300">
        <f>SUM(I48:I54)</f>
        <v>754.06060606060612</v>
      </c>
    </row>
    <row r="57" spans="2:9" ht="15.75" customHeight="1" x14ac:dyDescent="0.3">
      <c r="B57" s="346">
        <v>6</v>
      </c>
      <c r="C57" s="160" t="s">
        <v>304</v>
      </c>
      <c r="D57" s="152"/>
      <c r="E57" s="161"/>
      <c r="F57" s="347"/>
      <c r="G57" s="162"/>
      <c r="H57" s="162" t="s">
        <v>305</v>
      </c>
      <c r="I57" s="348"/>
    </row>
    <row r="58" spans="2:9" ht="15.75" customHeight="1" x14ac:dyDescent="0.3">
      <c r="B58" s="333"/>
      <c r="C58" s="128" t="s">
        <v>306</v>
      </c>
      <c r="D58" s="129" t="s">
        <v>185</v>
      </c>
      <c r="E58" s="131">
        <v>1</v>
      </c>
      <c r="F58" s="203">
        <v>0.15</v>
      </c>
      <c r="G58" s="126"/>
      <c r="H58" s="171">
        <f>2000*1.45/3.3</f>
        <v>878.78787878787887</v>
      </c>
      <c r="I58" s="299">
        <f t="shared" ref="I58:I63" si="1">+H58*F58*E58</f>
        <v>131.81818181818181</v>
      </c>
    </row>
    <row r="59" spans="2:9" ht="15.75" customHeight="1" x14ac:dyDescent="0.3">
      <c r="B59" s="333"/>
      <c r="C59" s="128" t="s">
        <v>307</v>
      </c>
      <c r="D59" s="129" t="s">
        <v>185</v>
      </c>
      <c r="E59" s="131">
        <v>1</v>
      </c>
      <c r="F59" s="203">
        <v>0.15</v>
      </c>
      <c r="G59" s="126"/>
      <c r="H59" s="171">
        <f>2000*1.45/3.3</f>
        <v>878.78787878787887</v>
      </c>
      <c r="I59" s="299">
        <f t="shared" si="1"/>
        <v>131.81818181818181</v>
      </c>
    </row>
    <row r="60" spans="2:9" ht="15.75" customHeight="1" x14ac:dyDescent="0.3">
      <c r="B60" s="333"/>
      <c r="C60" s="128" t="s">
        <v>308</v>
      </c>
      <c r="D60" s="129" t="s">
        <v>185</v>
      </c>
      <c r="E60" s="131">
        <v>1</v>
      </c>
      <c r="F60" s="203">
        <v>0</v>
      </c>
      <c r="G60" s="126"/>
      <c r="H60" s="171">
        <f>6200*1.45/3.3</f>
        <v>2724.2424242424245</v>
      </c>
      <c r="I60" s="299">
        <f t="shared" si="1"/>
        <v>0</v>
      </c>
    </row>
    <row r="61" spans="2:9" ht="15.75" customHeight="1" x14ac:dyDescent="0.3">
      <c r="B61" s="333"/>
      <c r="C61" s="128" t="s">
        <v>309</v>
      </c>
      <c r="D61" s="129" t="s">
        <v>185</v>
      </c>
      <c r="E61" s="131">
        <v>1</v>
      </c>
      <c r="F61" s="203">
        <v>0.15</v>
      </c>
      <c r="G61" s="126"/>
      <c r="H61" s="171">
        <f>363/3.3</f>
        <v>110</v>
      </c>
      <c r="I61" s="299">
        <f t="shared" si="1"/>
        <v>16.5</v>
      </c>
    </row>
    <row r="62" spans="2:9" ht="15.75" customHeight="1" x14ac:dyDescent="0.3">
      <c r="B62" s="333"/>
      <c r="C62" s="128" t="s">
        <v>310</v>
      </c>
      <c r="D62" s="129" t="s">
        <v>185</v>
      </c>
      <c r="E62" s="131">
        <v>1</v>
      </c>
      <c r="F62" s="203">
        <v>0.15</v>
      </c>
      <c r="G62" s="126"/>
      <c r="H62" s="171">
        <f>345/3.3</f>
        <v>104.54545454545455</v>
      </c>
      <c r="I62" s="299">
        <f t="shared" si="1"/>
        <v>15.681818181818182</v>
      </c>
    </row>
    <row r="63" spans="2:9" ht="15.75" customHeight="1" x14ac:dyDescent="0.3">
      <c r="B63" s="333"/>
      <c r="C63" s="128" t="s">
        <v>311</v>
      </c>
      <c r="D63" s="129" t="s">
        <v>185</v>
      </c>
      <c r="E63" s="131">
        <v>1</v>
      </c>
      <c r="F63" s="203">
        <v>0.15</v>
      </c>
      <c r="G63" s="126"/>
      <c r="H63" s="171">
        <v>254.14</v>
      </c>
      <c r="I63" s="299">
        <f t="shared" si="1"/>
        <v>38.120999999999995</v>
      </c>
    </row>
    <row r="64" spans="2:9" ht="15.75" customHeight="1" x14ac:dyDescent="0.3">
      <c r="B64" s="333"/>
      <c r="C64" s="136"/>
      <c r="D64" s="130"/>
      <c r="E64" s="131"/>
      <c r="F64" s="334"/>
      <c r="G64" s="194"/>
      <c r="H64" s="194"/>
      <c r="I64" s="299"/>
    </row>
    <row r="65" spans="2:11" ht="13.5" customHeight="1" x14ac:dyDescent="0.3">
      <c r="B65" s="349"/>
      <c r="C65" s="163"/>
      <c r="D65" s="164"/>
      <c r="E65" s="165"/>
      <c r="F65" s="350"/>
      <c r="G65" s="204"/>
      <c r="H65" s="332">
        <v>6</v>
      </c>
      <c r="I65" s="301">
        <f>SUM(I58:I63)</f>
        <v>333.93918181818179</v>
      </c>
    </row>
    <row r="66" spans="2:11" ht="15.75" customHeight="1" x14ac:dyDescent="0.3">
      <c r="B66" s="351">
        <v>7</v>
      </c>
      <c r="C66" s="136" t="s">
        <v>312</v>
      </c>
      <c r="D66" s="130"/>
      <c r="E66" s="131" t="s">
        <v>294</v>
      </c>
      <c r="F66" s="147"/>
      <c r="G66" s="148" t="s">
        <v>296</v>
      </c>
      <c r="H66" s="197"/>
      <c r="I66" s="337"/>
    </row>
    <row r="67" spans="2:11" ht="15.75" customHeight="1" x14ac:dyDescent="0.3">
      <c r="B67" s="351"/>
      <c r="C67" s="352" t="s">
        <v>313</v>
      </c>
      <c r="D67" s="153"/>
      <c r="E67" s="216">
        <v>0</v>
      </c>
      <c r="F67" s="154">
        <v>1.5E-3</v>
      </c>
      <c r="G67" s="201"/>
      <c r="H67" s="155"/>
      <c r="I67" s="299">
        <f>+E67*G67*F67</f>
        <v>0</v>
      </c>
    </row>
    <row r="68" spans="2:11" ht="13.5" customHeight="1" x14ac:dyDescent="0.3">
      <c r="B68" s="156"/>
      <c r="C68" s="352" t="s">
        <v>314</v>
      </c>
      <c r="D68" s="153"/>
      <c r="E68" s="216">
        <v>0</v>
      </c>
      <c r="F68" s="154">
        <v>2E-3</v>
      </c>
      <c r="G68" s="201"/>
      <c r="H68" s="157"/>
      <c r="I68" s="299">
        <f>+E68*G68*F68</f>
        <v>0</v>
      </c>
    </row>
    <row r="69" spans="2:11" ht="13.5" customHeight="1" x14ac:dyDescent="0.3">
      <c r="B69" s="156"/>
      <c r="C69" s="352" t="s">
        <v>315</v>
      </c>
      <c r="D69" s="153"/>
      <c r="E69" s="216">
        <v>0</v>
      </c>
      <c r="F69" s="154"/>
      <c r="G69" s="215">
        <f>7000/12/3.4</f>
        <v>171.56862745098042</v>
      </c>
      <c r="H69" s="157"/>
      <c r="I69" s="299">
        <f>+E69*G69</f>
        <v>0</v>
      </c>
    </row>
    <row r="70" spans="2:11" ht="13.5" customHeight="1" x14ac:dyDescent="0.3">
      <c r="B70" s="156"/>
      <c r="C70" s="352" t="s">
        <v>316</v>
      </c>
      <c r="D70" s="153"/>
      <c r="E70" s="216">
        <v>1</v>
      </c>
      <c r="F70" s="353"/>
      <c r="G70" s="298">
        <v>550</v>
      </c>
      <c r="H70" s="157"/>
      <c r="I70" s="299">
        <f>+E70*G70</f>
        <v>550</v>
      </c>
    </row>
    <row r="71" spans="2:11" ht="13.5" customHeight="1" x14ac:dyDescent="0.3">
      <c r="B71" s="132"/>
      <c r="C71" s="145"/>
      <c r="D71" s="134"/>
      <c r="E71" s="140"/>
      <c r="F71" s="140"/>
      <c r="G71" s="202"/>
      <c r="H71" s="332">
        <v>7</v>
      </c>
      <c r="I71" s="300">
        <f>SUM(I67:I70)</f>
        <v>550</v>
      </c>
    </row>
    <row r="72" spans="2:11" ht="13.8" customHeight="1" x14ac:dyDescent="0.3">
      <c r="B72" s="158"/>
      <c r="C72" s="158"/>
      <c r="D72" s="205"/>
      <c r="E72" s="205"/>
      <c r="F72" s="205"/>
      <c r="G72" s="205"/>
      <c r="H72" s="354"/>
      <c r="I72" s="206"/>
    </row>
    <row r="73" spans="2:11" ht="18.600000000000001" customHeight="1" x14ac:dyDescent="0.35">
      <c r="B73" s="158"/>
      <c r="C73" s="158"/>
      <c r="D73" s="205"/>
      <c r="E73" s="205"/>
      <c r="F73" s="205"/>
      <c r="G73" s="454" t="s">
        <v>317</v>
      </c>
      <c r="H73" s="455"/>
      <c r="I73" s="355">
        <f>(+I56+I45+I35+I29+I23+I71+I65)</f>
        <v>8639.8165555258474</v>
      </c>
      <c r="K73" s="277"/>
    </row>
    <row r="74" spans="2:11" ht="16.5" customHeight="1" x14ac:dyDescent="0.3">
      <c r="B74" s="158"/>
      <c r="C74" s="159"/>
      <c r="D74" s="205"/>
      <c r="E74" s="205"/>
      <c r="F74" s="205"/>
      <c r="G74" s="229" t="s">
        <v>318</v>
      </c>
      <c r="H74" s="282">
        <v>0.16669999999999999</v>
      </c>
      <c r="I74" s="356">
        <f>+I73*H74</f>
        <v>1440.2574198061586</v>
      </c>
    </row>
    <row r="75" spans="2:11" x14ac:dyDescent="0.25">
      <c r="I75" s="357"/>
    </row>
  </sheetData>
  <mergeCells count="10">
    <mergeCell ref="G73:H73"/>
    <mergeCell ref="H13:H14"/>
    <mergeCell ref="F12:F15"/>
    <mergeCell ref="B11:I11"/>
    <mergeCell ref="D12:D15"/>
    <mergeCell ref="B12:B15"/>
    <mergeCell ref="I12:I14"/>
    <mergeCell ref="E12:E15"/>
    <mergeCell ref="C12:C15"/>
    <mergeCell ref="G13:G14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PRESUPUESTO</vt:lpstr>
      <vt:lpstr>CD</vt:lpstr>
      <vt:lpstr>APU</vt:lpstr>
      <vt:lpstr>PS..</vt:lpstr>
      <vt:lpstr>GG</vt:lpstr>
      <vt:lpstr>APU!Área_de_impresión</vt:lpstr>
      <vt:lpstr>CD!Área_de_impresión</vt:lpstr>
      <vt:lpstr>GG!Área_de_impresión</vt:lpstr>
      <vt:lpstr>PRESUPUESTO!Área_de_impresión</vt:lpstr>
      <vt:lpstr>PS..!Área_de_impresión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Intel</dc:creator>
  <cp:lastModifiedBy>BRANDY</cp:lastModifiedBy>
  <cp:lastPrinted>2026-07-15T21:48:39Z</cp:lastPrinted>
  <dcterms:created xsi:type="dcterms:W3CDTF">2017-11-09T01:07:20Z</dcterms:created>
  <dcterms:modified xsi:type="dcterms:W3CDTF">2026-10-02T15:58:56Z</dcterms:modified>
</cp:coreProperties>
</file>