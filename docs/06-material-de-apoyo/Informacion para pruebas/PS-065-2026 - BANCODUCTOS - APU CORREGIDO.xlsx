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activeX/activeX34.xml" ContentType="application/vnd.ms-office.activeX+xml"/>
  <Override PartName="/xl/activeX/activeX34.bin" ContentType="application/vnd.ms-office.activeX"/>
  <Override PartName="/xl/activeX/activeX35.xml" ContentType="application/vnd.ms-office.activeX+xml"/>
  <Override PartName="/xl/activeX/activeX35.bin" ContentType="application/vnd.ms-office.activeX"/>
  <Override PartName="/xl/activeX/activeX36.xml" ContentType="application/vnd.ms-office.activeX+xml"/>
  <Override PartName="/xl/activeX/activeX36.bin" ContentType="application/vnd.ms-office.activeX"/>
  <Override PartName="/xl/activeX/activeX37.xml" ContentType="application/vnd.ms-office.activeX+xml"/>
  <Override PartName="/xl/activeX/activeX37.bin" ContentType="application/vnd.ms-office.activeX"/>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activeX/activeX40.xml" ContentType="application/vnd.ms-office.activeX+xml"/>
  <Override PartName="/xl/activeX/activeX40.bin" ContentType="application/vnd.ms-office.activeX"/>
  <Override PartName="/xl/activeX/activeX41.xml" ContentType="application/vnd.ms-office.activeX+xml"/>
  <Override PartName="/xl/activeX/activeX41.bin" ContentType="application/vnd.ms-office.activeX"/>
  <Override PartName="/xl/activeX/activeX42.xml" ContentType="application/vnd.ms-office.activeX+xml"/>
  <Override PartName="/xl/activeX/activeX42.bin" ContentType="application/vnd.ms-office.activeX"/>
  <Override PartName="/xl/activeX/activeX43.xml" ContentType="application/vnd.ms-office.activeX+xml"/>
  <Override PartName="/xl/activeX/activeX43.bin" ContentType="application/vnd.ms-office.activeX"/>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mc:AlternateContent xmlns:mc="http://schemas.openxmlformats.org/markup-compatibility/2006">
    <mc:Choice Requires="x15">
      <x15ac:absPath xmlns:x15ac="http://schemas.microsoft.com/office/spreadsheetml/2010/11/ac" url="C:\Users\BRANDY\Downloads\"/>
    </mc:Choice>
  </mc:AlternateContent>
  <xr:revisionPtr revIDLastSave="0" documentId="13_ncr:1_{488D3F73-45B9-435D-A0DA-09956DA93F22}" xr6:coauthVersionLast="47" xr6:coauthVersionMax="47" xr10:uidLastSave="{00000000-0000-0000-0000-000000000000}"/>
  <bookViews>
    <workbookView xWindow="-108" yWindow="-108" windowWidth="23256" windowHeight="12456" activeTab="2" xr2:uid="{30E7A7F0-5F89-424F-A02F-371EF59FC470}"/>
  </bookViews>
  <sheets>
    <sheet name="PRESUPUESTO" sheetId="2" r:id="rId1"/>
    <sheet name="CD" sheetId="12" r:id="rId2"/>
    <sheet name="APU" sheetId="11" r:id="rId3"/>
    <sheet name="PS.." sheetId="1" state="hidden" r:id="rId4"/>
    <sheet name="GG" sheetId="5" r:id="rId5"/>
    <sheet name="COMBUSTIBLE" sheetId="15" r:id="rId6"/>
    <sheet name="METRADO" sheetId="14" r:id="rId7"/>
    <sheet name="Ajuste HH MOD" sheetId="16" r:id="rId8"/>
  </sheets>
  <definedNames>
    <definedName name="Print_Area" localSheetId="2">APU!$A$1:$F$768</definedName>
    <definedName name="Print_Area" localSheetId="1">CD!$A$1:$H$70</definedName>
    <definedName name="Print_Area" localSheetId="4">GG!$A$1:$I$75</definedName>
    <definedName name="Print_Area" localSheetId="6">METRADO!$A$1:$E$44</definedName>
    <definedName name="Print_Area" localSheetId="0">PRESUPUESTO!$A$1:$V$125</definedName>
    <definedName name="Print_Area" localSheetId="3">'PS..'!$A$1:$H$51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4" i="16" l="1"/>
  <c r="D74" i="16"/>
  <c r="C74" i="16"/>
  <c r="B74" i="16"/>
  <c r="G56" i="16"/>
  <c r="E56" i="16"/>
  <c r="D56" i="16"/>
  <c r="D3" i="12"/>
  <c r="H6" i="12"/>
  <c r="H8" i="12"/>
  <c r="F24" i="11"/>
  <c r="H57" i="12"/>
  <c r="H35" i="12" s="1"/>
  <c r="H59" i="12"/>
  <c r="H10" i="12"/>
  <c r="F16" i="14"/>
  <c r="E33" i="14"/>
  <c r="E27" i="14"/>
  <c r="E11" i="14"/>
  <c r="E5" i="14"/>
  <c r="I19" i="5"/>
  <c r="H70" i="12" l="1"/>
  <c r="G19" i="5"/>
  <c r="T34" i="2"/>
  <c r="H12" i="15"/>
  <c r="R61" i="2" l="1"/>
  <c r="H8" i="15" l="1"/>
  <c r="H9" i="15"/>
  <c r="H7" i="15"/>
  <c r="H4" i="15"/>
  <c r="H5" i="15"/>
  <c r="H6" i="15"/>
  <c r="H3" i="15"/>
  <c r="H10" i="15" l="1"/>
  <c r="H14" i="15" l="1"/>
  <c r="H13" i="15"/>
  <c r="G18" i="5"/>
  <c r="H18" i="5" s="1"/>
  <c r="G21" i="5"/>
  <c r="H21" i="5"/>
  <c r="G20" i="5"/>
  <c r="H20" i="5"/>
  <c r="H17" i="5"/>
  <c r="H19" i="5"/>
  <c r="H60" i="5"/>
  <c r="G38" i="5"/>
  <c r="G40" i="5"/>
  <c r="G69" i="5"/>
  <c r="G33" i="5"/>
  <c r="G32" i="5"/>
  <c r="H62" i="5"/>
  <c r="H61" i="5"/>
  <c r="H59" i="5"/>
  <c r="H58" i="5"/>
  <c r="H26" i="5"/>
  <c r="H25" i="5"/>
  <c r="E29" i="5"/>
  <c r="H15" i="15" l="1"/>
  <c r="D2" i="12"/>
  <c r="C26" i="2"/>
  <c r="R26" i="2" l="1"/>
  <c r="L121" i="2"/>
  <c r="D2" i="1" l="1"/>
  <c r="C4" i="5" s="1"/>
  <c r="C5" i="5" s="1"/>
  <c r="F5" i="1"/>
  <c r="H18" i="1"/>
  <c r="H13" i="1"/>
  <c r="H15" i="1"/>
  <c r="H16" i="1"/>
  <c r="H17" i="1"/>
  <c r="H14" i="1"/>
  <c r="H37" i="1"/>
  <c r="H20" i="1"/>
  <c r="H21" i="1"/>
  <c r="H23" i="1"/>
  <c r="H19" i="1"/>
  <c r="H9" i="1"/>
  <c r="H10" i="1"/>
  <c r="H8" i="1"/>
  <c r="I39" i="5"/>
  <c r="H27" i="1"/>
  <c r="H26" i="1"/>
  <c r="H28" i="1"/>
  <c r="H29" i="1"/>
  <c r="H30" i="1"/>
  <c r="H31" i="1"/>
  <c r="H32" i="1"/>
  <c r="H33" i="1"/>
  <c r="H34" i="1"/>
  <c r="H25" i="1"/>
  <c r="G37" i="5"/>
  <c r="I40" i="5"/>
  <c r="I26" i="5"/>
  <c r="G41" i="5"/>
  <c r="I41" i="5"/>
  <c r="I42" i="5"/>
  <c r="I69" i="5"/>
  <c r="I58" i="5"/>
  <c r="I54" i="5"/>
  <c r="I17" i="5"/>
  <c r="I18" i="5"/>
  <c r="I20" i="5"/>
  <c r="I21" i="5"/>
  <c r="E23" i="5"/>
  <c r="I25" i="5"/>
  <c r="I32" i="5"/>
  <c r="I33" i="5"/>
  <c r="I37" i="5"/>
  <c r="I38" i="5"/>
  <c r="I48" i="5"/>
  <c r="I49" i="5"/>
  <c r="I52" i="5"/>
  <c r="I53" i="5"/>
  <c r="I59" i="5"/>
  <c r="I60" i="5"/>
  <c r="I61" i="5"/>
  <c r="I62" i="5"/>
  <c r="I63" i="5"/>
  <c r="I67" i="5"/>
  <c r="I68" i="5"/>
  <c r="I70" i="5"/>
  <c r="R59" i="2"/>
  <c r="F121" i="2"/>
  <c r="R121" i="2"/>
  <c r="G11" i="1"/>
  <c r="H11" i="1" s="1"/>
  <c r="H7" i="1" s="1"/>
  <c r="H24" i="1"/>
  <c r="G40" i="1"/>
  <c r="H40" i="1" s="1"/>
  <c r="G49" i="1"/>
  <c r="H49" i="1" s="1"/>
  <c r="H48" i="1" s="1"/>
  <c r="G39" i="1"/>
  <c r="H39" i="1" s="1"/>
  <c r="H38" i="1" s="1"/>
  <c r="G45" i="1"/>
  <c r="H45" i="1" s="1"/>
  <c r="H44" i="1" s="1"/>
  <c r="G47" i="1"/>
  <c r="H47" i="1" s="1"/>
  <c r="G46" i="1"/>
  <c r="H46" i="1" s="1"/>
  <c r="G43" i="1"/>
  <c r="H43" i="1" s="1"/>
  <c r="G42" i="1"/>
  <c r="H42" i="1" s="1"/>
  <c r="H41" i="1" s="1"/>
  <c r="H35" i="1"/>
  <c r="G12" i="1"/>
  <c r="H12" i="1" s="1"/>
  <c r="I23" i="5" l="1"/>
  <c r="I56" i="5"/>
  <c r="I29" i="5"/>
  <c r="I71" i="5"/>
  <c r="I35" i="5"/>
  <c r="I65" i="5"/>
  <c r="I45" i="5"/>
  <c r="G50" i="1"/>
  <c r="I73" i="5" l="1"/>
  <c r="I74" i="5" s="1"/>
  <c r="T33" i="2" s="1"/>
  <c r="T26" i="2"/>
  <c r="T32" i="2" s="1"/>
  <c r="S33" i="2" l="1"/>
  <c r="T35" i="2"/>
  <c r="T36" i="2" s="1"/>
  <c r="E41" i="2" l="1"/>
</calcChain>
</file>

<file path=xl/sharedStrings.xml><?xml version="1.0" encoding="utf-8"?>
<sst xmlns="http://schemas.openxmlformats.org/spreadsheetml/2006/main" count="1910" uniqueCount="594">
  <si>
    <t>Item</t>
  </si>
  <si>
    <t>01</t>
  </si>
  <si>
    <t>und</t>
  </si>
  <si>
    <t>Presupuesto / Budget Nº</t>
  </si>
  <si>
    <t>Fecha / Date:</t>
  </si>
  <si>
    <t>1.- Cliente / customer</t>
  </si>
  <si>
    <t>Nombre / Name:</t>
  </si>
  <si>
    <t>RUC / VAT ID No.:</t>
  </si>
  <si>
    <t>Dirección / Address:</t>
  </si>
  <si>
    <t>Teléf.. Fax:</t>
  </si>
  <si>
    <t>Att.:</t>
  </si>
  <si>
    <t>Proyecto / Project:</t>
  </si>
  <si>
    <t>2.- Alcances y Condiciones / Conditions</t>
  </si>
  <si>
    <t>3.- Precio y Descripción:</t>
  </si>
  <si>
    <t>Ítem</t>
  </si>
  <si>
    <t>Descripción / Descripción</t>
  </si>
  <si>
    <t>Unid</t>
  </si>
  <si>
    <t>Cantidad</t>
  </si>
  <si>
    <t>Precio Unit.</t>
  </si>
  <si>
    <t>Total</t>
  </si>
  <si>
    <t>QTY</t>
  </si>
  <si>
    <t>Unit Price</t>
  </si>
  <si>
    <t>Son:</t>
  </si>
  <si>
    <t>Gastos Generales</t>
  </si>
  <si>
    <t>No incluye IGV</t>
  </si>
  <si>
    <t>Utilidad</t>
  </si>
  <si>
    <t>Total sin IGV</t>
  </si>
  <si>
    <t>4.- Condiciones de Compra / Terms of Purchase</t>
  </si>
  <si>
    <t>Moneda/Currency:</t>
  </si>
  <si>
    <t>X</t>
  </si>
  <si>
    <t>Otro:</t>
  </si>
  <si>
    <t>Tipo de Servicio /  Type of Service</t>
  </si>
  <si>
    <t>Suma Alzada</t>
  </si>
  <si>
    <t xml:space="preserve">  Otro:</t>
  </si>
  <si>
    <t>Forma de Pago/Form of Payment:</t>
  </si>
  <si>
    <t>Tiempo de entrega / Delivery time:</t>
  </si>
  <si>
    <t>Validez de Oferta/Validity of Offer:</t>
  </si>
  <si>
    <t>15 Días Calendarios</t>
  </si>
  <si>
    <t>Lugar / Place</t>
  </si>
  <si>
    <t>Garantía / Warranty</t>
  </si>
  <si>
    <t>Hecho por / Handled by:</t>
  </si>
  <si>
    <t>e-mail:</t>
  </si>
  <si>
    <t>T.Movil:</t>
  </si>
  <si>
    <t>6. Suministros a cargo del Cliente</t>
  </si>
  <si>
    <t>Suministros a Cargo de Cliente</t>
  </si>
  <si>
    <t>RUC: 20494224314</t>
  </si>
  <si>
    <t>Mza ñ lote.3 AH micaela Bastidas- Marcona</t>
  </si>
  <si>
    <t>Teléfono: 056-525092</t>
  </si>
  <si>
    <t>: PROMCOSER garantiza la calidad de los trabajos realizados corrigiendo o reparando los trabajos defectuosos</t>
  </si>
  <si>
    <t>que sean imputables a PROMCOSER.</t>
  </si>
  <si>
    <t>5. Suministros a cargo de PROMCOSER</t>
  </si>
  <si>
    <t>Suministros a Cargo de PROMCOSER</t>
  </si>
  <si>
    <t>Unidad</t>
  </si>
  <si>
    <t>Cuadrilla</t>
  </si>
  <si>
    <t>Equipos</t>
  </si>
  <si>
    <t>UND</t>
  </si>
  <si>
    <t>01.01</t>
  </si>
  <si>
    <t>PROYECTO:</t>
  </si>
  <si>
    <t>OBRA:</t>
  </si>
  <si>
    <t>CONTRATISTA:</t>
  </si>
  <si>
    <t>FECHA:</t>
  </si>
  <si>
    <t>PLAZO PROYECTO (MESES):</t>
  </si>
  <si>
    <t>ANALISIS DE GASTOS GENERALES</t>
  </si>
  <si>
    <t>DESCRIPCION</t>
  </si>
  <si>
    <t>CAN.</t>
  </si>
  <si>
    <t>MES</t>
  </si>
  <si>
    <t>PARCIAL</t>
  </si>
  <si>
    <t>TOTAL</t>
  </si>
  <si>
    <t>SALARIO BAS. MES</t>
  </si>
  <si>
    <t>COSTO MENSUAL incluye BB.SS.</t>
  </si>
  <si>
    <t>ÁREA  TÉCNICA</t>
  </si>
  <si>
    <t>Residente de Obra</t>
  </si>
  <si>
    <t>mes</t>
  </si>
  <si>
    <t>Ingeniero de seguridad</t>
  </si>
  <si>
    <t>VEHICULOS: CAMIONETAS, BUSES.</t>
  </si>
  <si>
    <t>Vehiculos</t>
  </si>
  <si>
    <t>SEGURIDAD</t>
  </si>
  <si>
    <t>Implementos seguridad (solo staff de ingenieros, EPP de obreros debe ser considerada en el costo de horas hombre dentro del costo directo)</t>
  </si>
  <si>
    <t>EQUIPOS: OFICINA, COMPUTO, COMUNICACIONES.</t>
  </si>
  <si>
    <t>Cant</t>
  </si>
  <si>
    <t>Incidencia</t>
  </si>
  <si>
    <t>COSTO/mes</t>
  </si>
  <si>
    <t>computadoras completas</t>
  </si>
  <si>
    <t>telefono celular</t>
  </si>
  <si>
    <t>Equipos de Campamentos</t>
  </si>
  <si>
    <t>alquiler de vivienda para staff</t>
  </si>
  <si>
    <t>alimentacion staff</t>
  </si>
  <si>
    <t>agua para personal</t>
  </si>
  <si>
    <t>SEGUROS Y FIANZAS</t>
  </si>
  <si>
    <t>Costo de carta  fianza fiel cumplimiento del 15% del Contrato</t>
  </si>
  <si>
    <t>Costo de carta  fianza de adelanto</t>
  </si>
  <si>
    <t>Gastos Financieros</t>
  </si>
  <si>
    <t>ANALISIS DE GASTOS GENERALES  (PROYECTOS MENORES)</t>
  </si>
  <si>
    <t>MINA JUSTA - MARCOBRE</t>
  </si>
  <si>
    <t>CONDUCTOR</t>
  </si>
  <si>
    <t xml:space="preserve"> </t>
  </si>
  <si>
    <t>COSTO X MES</t>
  </si>
  <si>
    <t>Contabilidad y recursos humanos</t>
  </si>
  <si>
    <t>Gerencia de Operaciones (%)</t>
  </si>
  <si>
    <t>Utiles de Oficina Gerencia</t>
  </si>
  <si>
    <t xml:space="preserve">Oficina y servicios </t>
  </si>
  <si>
    <t>Equipos de computo</t>
  </si>
  <si>
    <t>GASTOS DE OFICINA CENTRAL</t>
  </si>
  <si>
    <t>02.01</t>
  </si>
  <si>
    <t>03.01</t>
  </si>
  <si>
    <t>02</t>
  </si>
  <si>
    <t>03</t>
  </si>
  <si>
    <t>GLB</t>
  </si>
  <si>
    <t>x</t>
  </si>
  <si>
    <t>7.- Consideraciones</t>
  </si>
  <si>
    <t>Consideraciones</t>
  </si>
  <si>
    <t>glb</t>
  </si>
  <si>
    <t>01.02</t>
  </si>
  <si>
    <t>Ingeniero de Calidad</t>
  </si>
  <si>
    <t>Ingeniero de oficina tecnica</t>
  </si>
  <si>
    <t>Camioneta incluye combustible</t>
  </si>
  <si>
    <t>Bus Movilidad a Obra incluye combustible</t>
  </si>
  <si>
    <t>COSTO $.</t>
  </si>
  <si>
    <t>$.</t>
  </si>
  <si>
    <t>Parcial $</t>
  </si>
  <si>
    <t>P.U.$</t>
  </si>
  <si>
    <t>PROMCOSER SRL</t>
  </si>
  <si>
    <t>Relevo de supervision</t>
  </si>
  <si>
    <t>01.03</t>
  </si>
  <si>
    <t>02.02</t>
  </si>
  <si>
    <t>02.03</t>
  </si>
  <si>
    <t>Mza Ñ lote.3 AH Micaela Bastidas- Marcona</t>
  </si>
  <si>
    <t>ITEM</t>
  </si>
  <si>
    <t>METRADO</t>
  </si>
  <si>
    <t>USD</t>
  </si>
  <si>
    <t>Seguro Vehicular</t>
  </si>
  <si>
    <t>03.02</t>
  </si>
  <si>
    <t>Dias</t>
  </si>
  <si>
    <t>PROYECTO :</t>
  </si>
  <si>
    <t>CLIENTE :</t>
  </si>
  <si>
    <t>EJECUCION :</t>
  </si>
  <si>
    <t>Pers</t>
  </si>
  <si>
    <t xml:space="preserve">Logistica </t>
  </si>
  <si>
    <t>Cursos Basicos portuarios:
PBIP Basico
Seguridad portuaria
Mercancias peligrosas</t>
  </si>
  <si>
    <t>Gestion Portuaria:
Gestion de seguridad portuaria
Gestion de mercancias peligrosas</t>
  </si>
  <si>
    <t>EMPLEADO</t>
  </si>
  <si>
    <t>ALMACEN</t>
  </si>
  <si>
    <t>MESES</t>
  </si>
  <si>
    <t>GG MENSUAL</t>
  </si>
  <si>
    <r>
      <t xml:space="preserve">  </t>
    </r>
    <r>
      <rPr>
        <u/>
        <sz val="11"/>
        <rFont val="Calibri"/>
        <family val="2"/>
      </rPr>
      <t>Soles</t>
    </r>
    <r>
      <rPr>
        <b/>
        <u/>
        <sz val="11"/>
        <rFont val="Calibri"/>
        <family val="2"/>
      </rPr>
      <t xml:space="preserve"> [S/.]</t>
    </r>
  </si>
  <si>
    <r>
      <t xml:space="preserve">  Dólares Americanos </t>
    </r>
    <r>
      <rPr>
        <b/>
        <sz val="10"/>
        <rFont val="Calibri"/>
        <family val="2"/>
      </rPr>
      <t>[USD]</t>
    </r>
  </si>
  <si>
    <t>MARCOBRE - MINA JUSTA</t>
  </si>
  <si>
    <t>Cursos y Capacitaciones</t>
  </si>
  <si>
    <t>Exámenes Médicos Ocupacional (Staff y obreros)</t>
  </si>
  <si>
    <t>02.04</t>
  </si>
  <si>
    <t>OBRAS PRELIMINARES</t>
  </si>
  <si>
    <t>MOVILIZACION Y DESMOVILIZACION DE PERSONAL</t>
  </si>
  <si>
    <t>MOVILIZACION Y DESMOVILIZACION DE EQUIPOS, HERRAMIENTAS Y MATERIALES</t>
  </si>
  <si>
    <t>vje</t>
  </si>
  <si>
    <t>SEGURIDAD Y SEÑALIZACION DE OBRA</t>
  </si>
  <si>
    <t>día</t>
  </si>
  <si>
    <t>04</t>
  </si>
  <si>
    <t>04.01</t>
  </si>
  <si>
    <t>SUPERVISION DE SERVICIOS MENORES</t>
  </si>
  <si>
    <t>kg</t>
  </si>
  <si>
    <t>ARMADO Y DESARMADO DE TORRE DE ANDAMIOS x 2 CUERPOS</t>
  </si>
  <si>
    <t>03.03</t>
  </si>
  <si>
    <t>INSTALACION DE PUERTA DE INGRESO</t>
  </si>
  <si>
    <t>ARMADO Y DESARMADO DE TORRE DE ANDAMIOS x 2 CUERPOS HERMETIZADO</t>
  </si>
  <si>
    <t>RETIRO Y ELIMINACION DE ESTRUCTURA DAÑADA</t>
  </si>
  <si>
    <t>FABRICACION DE PUERTA METALICA 1.6x2.1 mt (Inc. Chapa y accesorios)</t>
  </si>
  <si>
    <t>INSTALACION DE PUERTA METALICA Y ACCESORIOS</t>
  </si>
  <si>
    <t>CIERRE DE ACCESOS</t>
  </si>
  <si>
    <t>FABRICACION DE ESTRUCTURA LIVIANA INOXIDABLE</t>
  </si>
  <si>
    <t>MONTAJE DE ESTRUCTURA LIVIANA</t>
  </si>
  <si>
    <t>03.04</t>
  </si>
  <si>
    <t>SUMINISTRO DE LONA PLAST DG1330-BO</t>
  </si>
  <si>
    <t>m2</t>
  </si>
  <si>
    <t>03.05</t>
  </si>
  <si>
    <t>INSTALACION DE LONAPLAST DG1330 - BO</t>
  </si>
  <si>
    <t>MANTENIMIENTO ESTRUCTURAL - PUERTAS CORREDIZAS</t>
  </si>
  <si>
    <t>ARMADO Y DESARMADO DE TORRE DE ANDAMIOS x 6 CUERPOS</t>
  </si>
  <si>
    <t>04.02</t>
  </si>
  <si>
    <t>RETIRO Y REINSTALACION DE LONA PLAST DG1330-BO</t>
  </si>
  <si>
    <t>04.03</t>
  </si>
  <si>
    <t>LIMPIEZA MANUAL CON EQUIPOS</t>
  </si>
  <si>
    <t>04.04</t>
  </si>
  <si>
    <t>APLICACION DE PINTURA BASE ESMALTE EPOXICO JET 70 MP</t>
  </si>
  <si>
    <t>04.05</t>
  </si>
  <si>
    <t>APLICACION DE PINTURA ACABADO POLIURETANO JETHANE 650 HS</t>
  </si>
  <si>
    <t>04.06</t>
  </si>
  <si>
    <t>REEMPLAZO  DE CABLE ACERADO PARA PUERTA CORREDIZA</t>
  </si>
  <si>
    <t>m</t>
  </si>
  <si>
    <t>04.07</t>
  </si>
  <si>
    <t>REEMPLAZO  DE RIEL GUIA PARA PUERTA CORREDIZA</t>
  </si>
  <si>
    <t>04.08</t>
  </si>
  <si>
    <t>REEMPLAZO DE POLEAS PARA PUERTAS CORREDIZAS</t>
  </si>
  <si>
    <t>04.09</t>
  </si>
  <si>
    <t>REEMPLAZO DE WINCHES MANUALES 800 LB</t>
  </si>
  <si>
    <t>04.10</t>
  </si>
  <si>
    <t>REPARACION DE MANIVELAS Y PESTILLOS MENORES</t>
  </si>
  <si>
    <t>05</t>
  </si>
  <si>
    <t>HERMETIZACION DE TECHOS</t>
  </si>
  <si>
    <t>05.01</t>
  </si>
  <si>
    <t>05.02</t>
  </si>
  <si>
    <t>06</t>
  </si>
  <si>
    <t>06.01</t>
  </si>
  <si>
    <t>Costo Directo</t>
  </si>
  <si>
    <t>MCB</t>
  </si>
  <si>
    <t>Pruebas y ensayos</t>
  </si>
  <si>
    <t>Glb</t>
  </si>
  <si>
    <t>SUPERVISIÓN DE TRABAJOS</t>
  </si>
  <si>
    <t>LIMPIEZA DE COBERTORES TRANSLUCIDAS - TECHO ALMACEN CENTRAL</t>
  </si>
  <si>
    <t>Und</t>
  </si>
  <si>
    <t>ml</t>
  </si>
  <si>
    <t>INSTALACION DE EXTRACTORES EOLICOS - TECHO ALMACEN CENTRAL</t>
  </si>
  <si>
    <t>LIMPIEZA DE FILTROS DE VENTANAS</t>
  </si>
  <si>
    <t>06.02</t>
  </si>
  <si>
    <t>07</t>
  </si>
  <si>
    <t>07.01</t>
  </si>
  <si>
    <t>07.02</t>
  </si>
  <si>
    <t>08</t>
  </si>
  <si>
    <t>08.01</t>
  </si>
  <si>
    <t>08.02</t>
  </si>
  <si>
    <t>8.03</t>
  </si>
  <si>
    <t>01.04</t>
  </si>
  <si>
    <t>MOVILIZACIÓN Y DESMOVILIZACIÓN DE MANLIFT</t>
  </si>
  <si>
    <t>LIMPIEZA DE COBERTORES DE TECHI</t>
  </si>
  <si>
    <t>LIMPIEZA DE ACCESOS POSTLAVADO</t>
  </si>
  <si>
    <t>RETIRO Y ELIMINACIÓN DE EXTRACTORES EOLICOS EXISTENTES</t>
  </si>
  <si>
    <t>SUMINISTRO E INSTALACIÓN DE EXTRACTORES EOLICOS "INDUVENT EO80"</t>
  </si>
  <si>
    <t>DESINSTALACIÓN DE FILTROS DE VENTANA (4 UND/VENTANA)</t>
  </si>
  <si>
    <t>SOPLETEO DE FILTROS</t>
  </si>
  <si>
    <t>REINSTALACIÓN DE VENTANAS</t>
  </si>
  <si>
    <t>ALQUILER DE MANLITF (Inc. Operador)</t>
  </si>
  <si>
    <t>01.05</t>
  </si>
  <si>
    <t>A. Cuellar</t>
  </si>
  <si>
    <t>ventas@promcoser.com.pe</t>
  </si>
  <si>
    <t>5.4. SCTR para todo el personal.</t>
  </si>
  <si>
    <t>PAGO ANTICIPADO O PREVIO ACUERDO</t>
  </si>
  <si>
    <t>metrado</t>
  </si>
  <si>
    <t>Metrado</t>
  </si>
  <si>
    <t>M3</t>
  </si>
  <si>
    <t>M2</t>
  </si>
  <si>
    <t>m3</t>
  </si>
  <si>
    <t>ANALISIS DE COSTOS UNITARIOS</t>
  </si>
  <si>
    <t>Rendimiento: 1.0000 UND/DIA</t>
  </si>
  <si>
    <t>Unidad: UND</t>
  </si>
  <si>
    <t>Costo Unitario:</t>
  </si>
  <si>
    <t>Insumo</t>
  </si>
  <si>
    <t>PU</t>
  </si>
  <si>
    <t>Parcial</t>
  </si>
  <si>
    <t>KG</t>
  </si>
  <si>
    <t xml:space="preserve">  ACABADO DE CONCRETO</t>
  </si>
  <si>
    <t>Sub Partidas:</t>
  </si>
  <si>
    <t>HH</t>
  </si>
  <si>
    <t>HM</t>
  </si>
  <si>
    <t>%MO</t>
  </si>
  <si>
    <t>Unidad: M3</t>
  </si>
  <si>
    <t xml:space="preserve">  CAPATAZ</t>
  </si>
  <si>
    <t xml:space="preserve">  OPERARIO</t>
  </si>
  <si>
    <t>Mano de obra:</t>
  </si>
  <si>
    <t>Materiales:</t>
  </si>
  <si>
    <t xml:space="preserve">  HERRAMIENTAS MANUALES</t>
  </si>
  <si>
    <t>Equipo:</t>
  </si>
  <si>
    <t xml:space="preserve">  AGUA</t>
  </si>
  <si>
    <t>PROYECTO: MOV. TIERRAS, FAB. E INSTALACIÓN DE BANCODUCTOS</t>
  </si>
  <si>
    <t>AESA</t>
  </si>
  <si>
    <t>PS-065-2026 PROMCOSER</t>
  </si>
  <si>
    <t>PROYECTO: MOV. TIERRAS, FAB. E INSTALACIÓN DE BANCODUCTOS - AESA</t>
  </si>
  <si>
    <t>CLIENTE: AESA</t>
  </si>
  <si>
    <t>UBICACION: MINA JUSTA - ICA - NASCA - MARCONA</t>
  </si>
  <si>
    <t>MONEDA: DOLARES</t>
  </si>
  <si>
    <t>1.1 MOVILIZACIÓN Y DESMOVILIZACION DE PERSONAL</t>
  </si>
  <si>
    <t>Rendimiento: 1.0000 MES/DIA</t>
  </si>
  <si>
    <t>Unidad: MES</t>
  </si>
  <si>
    <t xml:space="preserve">  CONDUCTOR</t>
  </si>
  <si>
    <t xml:space="preserve">  CAMIONETA PICK UP</t>
  </si>
  <si>
    <t xml:space="preserve">  MINIVAN 14 PASAJEROS</t>
  </si>
  <si>
    <t>1.2 MOVILIZACION Y DESMOVILIZACION DE EQUIPOS, HERRAMIENTAS Y MATERIALES</t>
  </si>
  <si>
    <t>Rendimiento: 2.0000 VJE/DIA</t>
  </si>
  <si>
    <t>Unidad: VJE</t>
  </si>
  <si>
    <t xml:space="preserve">  CAPATAZ.</t>
  </si>
  <si>
    <t xml:space="preserve">  OPERADOR DE EQUIPO LIVIANO </t>
  </si>
  <si>
    <t xml:space="preserve">  VIGIA</t>
  </si>
  <si>
    <t xml:space="preserve">  CAMION BARANDA</t>
  </si>
  <si>
    <t>Rendimiento: 1.0000 GLB/DIA</t>
  </si>
  <si>
    <t>Unidad: GLB</t>
  </si>
  <si>
    <t xml:space="preserve">  SEÑALETICA INFORMATIVA</t>
  </si>
  <si>
    <t xml:space="preserve">  CABALLETES</t>
  </si>
  <si>
    <t xml:space="preserve">  CONOS DE SEÑALIZACION</t>
  </si>
  <si>
    <t xml:space="preserve">  BARRAS RETRACTILES</t>
  </si>
  <si>
    <t xml:space="preserve">  BATERIA DE RESIDUOS SOLIDOS</t>
  </si>
  <si>
    <t xml:space="preserve">  ESTACION DE EMERGENCIA</t>
  </si>
  <si>
    <t>2.1.1 EXCAVACIÓN DE ZANJA CON RETROEXCAVADORA H=1.00M</t>
  </si>
  <si>
    <t xml:space="preserve">  OPERADOR DE LINEA AMARILLA</t>
  </si>
  <si>
    <t xml:space="preserve">  RETROEXCAVADORA JOHN DEERE 310G</t>
  </si>
  <si>
    <t xml:space="preserve">  LOGISTICA</t>
  </si>
  <si>
    <t xml:space="preserve">  TUBO SAP PVC 2"X3M  ELECTRICO PAVCO</t>
  </si>
  <si>
    <t xml:space="preserve">  PREPARACION Y COLOCACION DE CONCRETO F'C=210KG/CM2</t>
  </si>
  <si>
    <t xml:space="preserve">  ACERO FY= 4200 KG/CM2 GR 60</t>
  </si>
  <si>
    <t xml:space="preserve">  ENCOFRADO Y DESENCOFRADO </t>
  </si>
  <si>
    <t>Rendimiento: 40.0000 UND/DIA</t>
  </si>
  <si>
    <t xml:space="preserve">  PEON.</t>
  </si>
  <si>
    <t xml:space="preserve">  TARRAJEO LISTO 1:4 TIPO I - QUIKRETE 40 KG</t>
  </si>
  <si>
    <t xml:space="preserve">  MEZCLADOR PARA PINTURA</t>
  </si>
  <si>
    <t>Rendimiento: 12.0000 M3/DIA</t>
  </si>
  <si>
    <t xml:space="preserve">  VIBRO APISONADOR</t>
  </si>
  <si>
    <t>2.2.1 EXCAVACIÓN DE ZANJA CON RETROEXCAVADORA H=0.80M</t>
  </si>
  <si>
    <t xml:space="preserve">  CURADO DE CONCRETO</t>
  </si>
  <si>
    <t>2.3.1 SUMINISTRO DE BUZON DE PASO 0.60 X 0.60 X 0.80M</t>
  </si>
  <si>
    <t>2.3.2 INSTALACIÓN DE BUZON DE PASO</t>
  </si>
  <si>
    <t>Rendimiento: 4.0000 UND/DIA</t>
  </si>
  <si>
    <t xml:space="preserve">  MORTERO TARRAJEO EXTERIOR 40KG</t>
  </si>
  <si>
    <t xml:space="preserve">2.4.1 SUMINISTRO TUBERÍA CONDUIT FLEXIBLE CON FORRO DE PVC LIQUID TIGHT 2″  Y ACCESORIOS </t>
  </si>
  <si>
    <t xml:space="preserve">  TUBERÍA CONDUIT FLEXIBLE CON FORRO DE PVC LIQUIDTIGHT 2″ (ROLLO: 50 MTS)</t>
  </si>
  <si>
    <t xml:space="preserve">  CAJA CONDULET TIPO C 2″ C/TAPA Y EMPAQUETADURA</t>
  </si>
  <si>
    <t xml:space="preserve">  CONECTOR RECTO HERMETICO LIQUID TIGHT 2"</t>
  </si>
  <si>
    <t xml:space="preserve">  ADAPTADOR PVC SCH 2" (HEMBRA ROSCADO) CON UL</t>
  </si>
  <si>
    <t xml:space="preserve">  PEGAMENTO PARA PVC </t>
  </si>
  <si>
    <t>2.4.2 INSTALACIÓN DE TUBERIA FLEXIBLE</t>
  </si>
  <si>
    <t>Rendimiento: 25.0000 ML/DIA</t>
  </si>
  <si>
    <t>Unidad: ML</t>
  </si>
  <si>
    <t xml:space="preserve">  OPERARIO ELECTRICISTA</t>
  </si>
  <si>
    <t xml:space="preserve">  OFICIAL ELECTRICISTA</t>
  </si>
  <si>
    <t xml:space="preserve">  ESCALERA CON PLATAFORMA</t>
  </si>
  <si>
    <t>3.1.1 EXCAVACIÓN DE ZANJA CON RETROEXCAVADORA H=1.00M</t>
  </si>
  <si>
    <t>3.2.1 EXCAVACIÓN DE ZANJA CON RETROEXCAVADORA H=0.80M</t>
  </si>
  <si>
    <t>3.3.1 SUMINISTRO DE BUZON DE PASO 0.60 X 0.60 X 0.80M</t>
  </si>
  <si>
    <t>3.3.2 INSTALACIÓN DE BUZON DE PASO</t>
  </si>
  <si>
    <t xml:space="preserve">  MOVILIZACIÓN Y DESMOVILIZACION DE PERSONAL</t>
  </si>
  <si>
    <t xml:space="preserve">  MOVILIZACION Y DESMOVILIZACION DE EQUIPOS, HERRAMIENTAS Y MATERIALES</t>
  </si>
  <si>
    <t>VJE</t>
  </si>
  <si>
    <t xml:space="preserve"> RAMPA ZONA SUR</t>
  </si>
  <si>
    <t xml:space="preserve">  BANCO DUCTO EN VÍA</t>
  </si>
  <si>
    <t>2.1.1</t>
  </si>
  <si>
    <t>2.1.2</t>
  </si>
  <si>
    <t xml:space="preserve">   FABRICACIÓN DE BANCO DUCTOS 0.20 X 0.20 X 1.00M</t>
  </si>
  <si>
    <t>2.1.3</t>
  </si>
  <si>
    <t xml:space="preserve">   INSTALACIÓN DE BANCODUCTOS </t>
  </si>
  <si>
    <t>2.1.4</t>
  </si>
  <si>
    <t xml:space="preserve">  BANCO DUCTO EN CAMINO</t>
  </si>
  <si>
    <t>2.2.1</t>
  </si>
  <si>
    <t>2.2.2</t>
  </si>
  <si>
    <t>2.2.3</t>
  </si>
  <si>
    <t>2.2.4</t>
  </si>
  <si>
    <t xml:space="preserve">  CAJAS DE REGISTRO</t>
  </si>
  <si>
    <t>2.3.1</t>
  </si>
  <si>
    <t xml:space="preserve">   SUMINISTRO DE BUZON DE PASO 0.60 X 0.60 X 0.80M</t>
  </si>
  <si>
    <t>2.3.2</t>
  </si>
  <si>
    <t xml:space="preserve">   INSTALACIÓN DE BUZON DE PASO</t>
  </si>
  <si>
    <t xml:space="preserve">  TENDIDO DE TUBERIA FLEXIBLE</t>
  </si>
  <si>
    <t>2.4.1</t>
  </si>
  <si>
    <t xml:space="preserve">   SUMINISTRO TUBERÍA CONDUIT FLEXIBLE CON FORRO DE PVC LIQUID TIGHT 2″  Y ACCESORIOS </t>
  </si>
  <si>
    <t>2.4.2</t>
  </si>
  <si>
    <t xml:space="preserve">   INSTALACIÓN DE TUBERIA FLEXIBLE</t>
  </si>
  <si>
    <t>ML</t>
  </si>
  <si>
    <t xml:space="preserve"> RAMPA ZONA NORTE</t>
  </si>
  <si>
    <t>3.1.1</t>
  </si>
  <si>
    <t>3.1.2</t>
  </si>
  <si>
    <t>3.1.3</t>
  </si>
  <si>
    <t>3.1.4</t>
  </si>
  <si>
    <t>3.2.1</t>
  </si>
  <si>
    <t>3.2.2</t>
  </si>
  <si>
    <t>3.2.3</t>
  </si>
  <si>
    <t>3.2.4</t>
  </si>
  <si>
    <t>3.3.1</t>
  </si>
  <si>
    <t>3.3.2</t>
  </si>
  <si>
    <t>Costo directo</t>
  </si>
  <si>
    <t>RAMPA SUR</t>
  </si>
  <si>
    <t>N°</t>
  </si>
  <si>
    <t>DESCRIPCIÓN</t>
  </si>
  <si>
    <t xml:space="preserve">Bancoducto en vía </t>
  </si>
  <si>
    <t>Tubería de PVC SAP 2"</t>
  </si>
  <si>
    <t xml:space="preserve">Bancoducto en camino </t>
  </si>
  <si>
    <t>Cajas de registro</t>
  </si>
  <si>
    <t>Buzón de paso 0.60 x 0.60 x 0.8 m3</t>
  </si>
  <si>
    <t>Cable coaxial x tub flexible</t>
  </si>
  <si>
    <t>Tubería metalica 2"</t>
  </si>
  <si>
    <t>Alcayata</t>
  </si>
  <si>
    <t>RAMPA  NORTE</t>
  </si>
  <si>
    <t>P.U. $</t>
  </si>
  <si>
    <t xml:space="preserve">Bancoducto </t>
  </si>
  <si>
    <t>Bancoducto de  1.00</t>
  </si>
  <si>
    <t>Buzón de paso 0.8 x 0.8 x 0.8</t>
  </si>
  <si>
    <t xml:space="preserve">   PERFILADO Y NIVELACION DE TERRENO</t>
  </si>
  <si>
    <t xml:space="preserve">   COLOCACION DE CAMA DE ARENA E=0.20</t>
  </si>
  <si>
    <t xml:space="preserve">   SUMINISTRO DE AFIRMADO</t>
  </si>
  <si>
    <t xml:space="preserve">   RELLENO Y COMPACTACION EN CAPAS DE 200MM</t>
  </si>
  <si>
    <t xml:space="preserve">   ELIMINACION DE MATERIAL EXCEDENTE  D= 5 KM </t>
  </si>
  <si>
    <t xml:space="preserve"> TENDIDO DE TUBERIA FLEXIBLE</t>
  </si>
  <si>
    <t xml:space="preserve">  SUMINISTRO TUBERÍA CONDUIT FLEXIBLE CON FORRO DE PVC LIQUID TIGHT 2″  Y ACCESORIOS </t>
  </si>
  <si>
    <t xml:space="preserve">  INSTALACIÓN DE TUBERIA FLEXIBLE</t>
  </si>
  <si>
    <t xml:space="preserve"> TENDIDO DE CABLE COAXIAL</t>
  </si>
  <si>
    <t xml:space="preserve">  TENDIDO DE CABLE COAXIAL</t>
  </si>
  <si>
    <t xml:space="preserve"> MOVILIZACIÓN DE BANCODUCTOS</t>
  </si>
  <si>
    <t xml:space="preserve">  MOVILIZACIÓN Y DESCARGA DE BANCO DUCTOS</t>
  </si>
  <si>
    <t>Rendimiento: 1.0000 ME/DIA</t>
  </si>
  <si>
    <t>Unidad: ME</t>
  </si>
  <si>
    <t>Rendimiento: 30.0000 M3/DIA</t>
  </si>
  <si>
    <t>2.1.2 PERFILADO Y NIVELACION DE TERRENO</t>
  </si>
  <si>
    <t>Rendimiento: 20.0000 ML/DIA</t>
  </si>
  <si>
    <t xml:space="preserve">  ROTOMARTILLO</t>
  </si>
  <si>
    <t xml:space="preserve">  GRUPO ELECTROGENO 11KW</t>
  </si>
  <si>
    <t>2.1.3 COLOCACION DE CAMA DE ARENA E=0.20</t>
  </si>
  <si>
    <t>Rendimiento: 60.0000 ML/DIA</t>
  </si>
  <si>
    <t xml:space="preserve">  ARENA FINA</t>
  </si>
  <si>
    <t xml:space="preserve">  CAMION VOLQUETE DE 15 m3</t>
  </si>
  <si>
    <t>2.1.4 FABRICACIÓN DE BANCO DUCTOS 0.20 X 0.20 X 1.00M</t>
  </si>
  <si>
    <t>Rendimiento: 1.0000 M3/DIA</t>
  </si>
  <si>
    <t xml:space="preserve">  MATERIAL DE AFIRMADO</t>
  </si>
  <si>
    <t>Subcontratos:</t>
  </si>
  <si>
    <t>Rendimiento: 80.0000 M3/DIA</t>
  </si>
  <si>
    <t>2.2.2 PERFILADO Y NIVELACION DE TERRENO</t>
  </si>
  <si>
    <t>2.2.3 COLOCACION DE CAMA DE ARENA E=0.20</t>
  </si>
  <si>
    <t>2.2.4 FABRICACIÓN DE BANCO DUCTOS 0.20 X 0.20 X 1.00M</t>
  </si>
  <si>
    <t>3.1.2 PERFILADO Y NIVELACION DE TERRENO</t>
  </si>
  <si>
    <t>3.1.3 COLOCACION DE CAMA DE ARENA E=0.20</t>
  </si>
  <si>
    <t>3.1.4 FABRICACIÓN DE BANCO DUCTOS 0.20 X 0.20 X 1.00M</t>
  </si>
  <si>
    <t>3.2.2 PERFILADO Y NIVELACION DE TERRENO</t>
  </si>
  <si>
    <t>3.2.3 COLOCACION DE CAMA DE ARENA E=0.20</t>
  </si>
  <si>
    <t>3.2.4 FABRICACIÓN DE BANCO DUCTOS 0.20 X 0.20 X 1.00M</t>
  </si>
  <si>
    <t>Rendimiento: 80.0000 ML/DIA</t>
  </si>
  <si>
    <t xml:space="preserve">  CONECTOR F COMPRESIÓN RG6</t>
  </si>
  <si>
    <t xml:space="preserve">  TALADRO INALAMBRICO</t>
  </si>
  <si>
    <t xml:space="preserve">  ALICATE CRIMPADOR / PONCHADOR COAXIAL RG6–RG59</t>
  </si>
  <si>
    <t>Rendimiento: 1.0000 VJE/DIA</t>
  </si>
  <si>
    <t>2.1.5</t>
  </si>
  <si>
    <t>2.1.6</t>
  </si>
  <si>
    <t>2.1.7</t>
  </si>
  <si>
    <t>2.1.8</t>
  </si>
  <si>
    <t>2.2.5</t>
  </si>
  <si>
    <t>2.2.6</t>
  </si>
  <si>
    <t>2.2.7</t>
  </si>
  <si>
    <t>2.2.8</t>
  </si>
  <si>
    <t>3.1.5</t>
  </si>
  <si>
    <t>3.1.6</t>
  </si>
  <si>
    <t>3.1.7</t>
  </si>
  <si>
    <t>3.1.8</t>
  </si>
  <si>
    <t>3.2.5</t>
  </si>
  <si>
    <t>3.2.6</t>
  </si>
  <si>
    <t>3.2.7</t>
  </si>
  <si>
    <t>3.2.8</t>
  </si>
  <si>
    <t>$</t>
  </si>
  <si>
    <t>Total $</t>
  </si>
  <si>
    <t>Se considera TUBERÍA CONDUIT FLEXIBLE CON FORRO DE PVC LIQUID TIGHT 2″</t>
  </si>
  <si>
    <t>Una vez recibida la Orden de Compra (OC), se requerirá un plazo estimado de tres (03) semanas para la migración y habilitación del personal previo al inicio del servicio.</t>
  </si>
  <si>
    <t>45 días</t>
  </si>
  <si>
    <t xml:space="preserve"> PARIHUELAS</t>
  </si>
  <si>
    <t>DIA</t>
  </si>
  <si>
    <t>Rendimiento: 1.3300 DIA/DIA</t>
  </si>
  <si>
    <t>Unidad: DIA</t>
  </si>
  <si>
    <t xml:space="preserve">  PARIHUELAS DE MADERA</t>
  </si>
  <si>
    <t xml:space="preserve"> MINICARGADOR</t>
  </si>
  <si>
    <t>6.5. Suministro del cable coaxial</t>
  </si>
  <si>
    <t>6.6. Gestión de liberación de area (VAPE)</t>
  </si>
  <si>
    <t xml:space="preserve">2.1.5 INSTALACIÓN DE BANCODUCTOS </t>
  </si>
  <si>
    <t>2.1.6 SUMINISTRO DE AFIRMADO</t>
  </si>
  <si>
    <t>2.1.7 RELLENO Y COMPACTACION EN CAPAS DE 200MM</t>
  </si>
  <si>
    <t xml:space="preserve">2.1.8 ELIMINACION DE MATERIAL EXCEDENTE  D= 5 KM </t>
  </si>
  <si>
    <t xml:space="preserve">2.2.5 INSTALACIÓN DE BANCODUCTOS </t>
  </si>
  <si>
    <t>2.2.6 SUMINISTRO DE AFIRMADO</t>
  </si>
  <si>
    <t>2.2.7 RELLENO Y COMPACTACION EN CAPAS DE 200MM</t>
  </si>
  <si>
    <t xml:space="preserve">2.2.8 ELIMINACION DE MATERIAL EXCEDENTE  D= 5 KM </t>
  </si>
  <si>
    <t xml:space="preserve">3.1.5 INSTALACIÓN DE BANCODUCTOS </t>
  </si>
  <si>
    <t>3.1.6 SUMINISTRO DE AFIRMADO</t>
  </si>
  <si>
    <t>3.1.7 RELLENO Y COMPACTACION EN CAPAS DE 200MM</t>
  </si>
  <si>
    <t xml:space="preserve">3.1.8 ELIMINACION DE MATERIAL EXCEDENTE  D= 5 KM </t>
  </si>
  <si>
    <t xml:space="preserve">3.2.5 INSTALACIÓN DE BANCODUCTOS </t>
  </si>
  <si>
    <t>3.2.6 SUMINISTRO DE AFIRMADO</t>
  </si>
  <si>
    <t>3.2.7 RELLENO Y COMPACTACION EN CAPAS DE 200MM</t>
  </si>
  <si>
    <t xml:space="preserve">3.2.8 ELIMINACION DE MATERIAL EXCEDENTE  D= 5 KM </t>
  </si>
  <si>
    <t xml:space="preserve"> TRABAJOS PRELIMINARES</t>
  </si>
  <si>
    <t xml:space="preserve">  SUMINISTRO DE PARIHUELAS PARA ALMACENAMIENTO</t>
  </si>
  <si>
    <t xml:space="preserve">DESCRIPCION DEL EQUIPO </t>
  </si>
  <si>
    <t>CANTIDAD DE EQUIPOS</t>
  </si>
  <si>
    <t>CONSUMO (Gln/ HE)</t>
  </si>
  <si>
    <t>HORA MINIMA</t>
  </si>
  <si>
    <t>CONSUMO PARCIAL</t>
  </si>
  <si>
    <t>Retroexcavadora</t>
  </si>
  <si>
    <t>Camioneta</t>
  </si>
  <si>
    <t>Minivan</t>
  </si>
  <si>
    <t>Camión</t>
  </si>
  <si>
    <t>Mes</t>
  </si>
  <si>
    <t>Volquete 20m3</t>
  </si>
  <si>
    <t>GG</t>
  </si>
  <si>
    <t>UTILIDAD</t>
  </si>
  <si>
    <t>Minicargador</t>
  </si>
  <si>
    <t>Vibroapisonador</t>
  </si>
  <si>
    <t>TOTAL CONSUMO / GALONES</t>
  </si>
  <si>
    <t>Costo por combustile (reembolsable)</t>
  </si>
  <si>
    <t>TOTAL SIN IGV</t>
  </si>
  <si>
    <r>
      <rPr>
        <b/>
        <sz val="11"/>
        <rFont val="Calibri"/>
        <family val="2"/>
        <scheme val="minor"/>
      </rPr>
      <t xml:space="preserve">Combustible (Condición Económica)
</t>
    </r>
    <r>
      <rPr>
        <sz val="11"/>
        <rFont val="Calibri"/>
        <family val="2"/>
        <scheme val="minor"/>
      </rPr>
      <t>En caso el cliente requiera que PROMCOSER gestione el suministro de combustible, este será considerado como un concepto reembolsable, presentado en una línea de costo independiente y sustentado en función a los ratios de consumo y horas de operación de los equipos.
La valorización se realizará en función al consumo real ejecutado, debidamente sustentado y previa validación del cliente, considerando el precio vigente del proveedor autorizado en mina (PRIMAX) al momento del suministro. A este concepto se le aplicará un recargo del 10% por gastos generales y administrativos, más 10% por utilidad.
Se deja expresa constancia que este será el único concepto bajo la modalidad de reembolso, siendo todos los demás costos del servicio considerados bajo la modalidad de suma alzada.</t>
    </r>
  </si>
  <si>
    <t>Combustible (Reembolsable)</t>
  </si>
  <si>
    <t>Excavación de zanja de 0.60 x 1.00m</t>
  </si>
  <si>
    <t>Excavación de zanja 0.60 x  1.00m</t>
  </si>
  <si>
    <t>Bancoducto de  1.00m</t>
  </si>
  <si>
    <t>Excavación de zanja 0.60 x 0.80m</t>
  </si>
  <si>
    <t>Excavación de zanja de  0.60 x 0.80 m</t>
  </si>
  <si>
    <t>Suministro de  cable coaxial - AESA</t>
  </si>
  <si>
    <t xml:space="preserve">  DESCARGA / ACARREO DE BANCODUCTOS CON MINICARGADOR (INCL. OPERADOR Y VIGIA)</t>
  </si>
  <si>
    <t xml:space="preserve"> TRAZO Y REPLANTEO</t>
  </si>
  <si>
    <t xml:space="preserve">  TRAZO Y REPLANTEO CON ESTACIÓN TOTAL</t>
  </si>
  <si>
    <t>FECHA BASE: 2026-04-15</t>
  </si>
  <si>
    <t xml:space="preserve">  PETROLEO</t>
  </si>
  <si>
    <t>GAL</t>
  </si>
  <si>
    <t xml:space="preserve">  CAL DE OBRA X 10KG</t>
  </si>
  <si>
    <t xml:space="preserve">  MINICARGADOR 70 HP 0.5 YD3.</t>
  </si>
  <si>
    <t xml:space="preserve">  TOPOGRAFO</t>
  </si>
  <si>
    <t xml:space="preserve">  AYUDANTE TOPOGRAFO</t>
  </si>
  <si>
    <t xml:space="preserve">  ESTACIÓN TOTAL LEICA / TOPCOM</t>
  </si>
  <si>
    <t xml:space="preserve">   EXCAVACIÓN DE ZANJA CON RETROEXCAVADORA 0.6 X 1.00M</t>
  </si>
  <si>
    <t xml:space="preserve">   EXCAVACIÓN DE ZANJA CON RETROEXCAVADORA 0.60 X 0.80M</t>
  </si>
  <si>
    <t xml:space="preserve">   EXCAVACIÓN DE ZANJA CON RETROEXCAVADORA 0.60 X 1.00M</t>
  </si>
  <si>
    <t>CIENTO SETENTA Y UN MIL CUATROCIENTOS CUARENTA Y DOS CON 56/100 DOLARES AMERICANOS</t>
  </si>
  <si>
    <t>6.4. Apoyo en la gestión de ingreso de personal y equipos a Site (migración)  gestión en el sistema 2PERSONEL.</t>
  </si>
  <si>
    <t>Las facilidades de servicios higienicos y comedor en site sera por parte del cliente, gestión administrativa in site para el ingreso al comedor,  servicios higiénicos (baños), serán suministrados por el cliente.</t>
  </si>
  <si>
    <t xml:space="preserve">El servicio de alquiler de nuestro equipos (retroexcavadora, minicargador, vibroapisonador, volquete, camioneta, minivan) no incluye el suministro de combustible (diésel). el costo y abastecimiento referido solo aplica dentro del site. </t>
  </si>
  <si>
    <t>El costo y abastecimiento del petróleo requerido para la operación de la unidad serán asumidos íntegramente por El cliente durante toda la vigencia del servicio, El uso de combustible fuera del site es asumido por el contratista.</t>
  </si>
  <si>
    <t xml:space="preserve">  OPERARIO  </t>
  </si>
  <si>
    <t xml:space="preserve">  OFICIAL  </t>
  </si>
  <si>
    <t xml:space="preserve">     SEGURIDAD Y SEÑALIZACION DE PROYECTO</t>
  </si>
  <si>
    <t>1.3    SEGURIDAD Y SEÑALIZACION DE PROYECTO</t>
  </si>
  <si>
    <t>Se esta considerando para la fabricación de los buzones de paso un concreto de f'c210kg/cm2</t>
  </si>
  <si>
    <t>7.5.1</t>
  </si>
  <si>
    <t>5.2. Suministro de EPP para todo el personal del proyecto</t>
  </si>
  <si>
    <t>6.3 Area para instalaciones provisionales en el proyecto. Tales como almacen temporal y/o Oficinas, no incluye contenedores ni ningún otro implemento adicional.</t>
  </si>
  <si>
    <t>Servicio especializado para infraestructura minera</t>
  </si>
  <si>
    <t>5.3. Equipos y herramientas en cantidad y calidad suficientes para la correcta ejecución del servicio</t>
  </si>
  <si>
    <t>6.1. Orden de Servicio para el inicio del servicio.</t>
  </si>
  <si>
    <t>6.2. Áreas de intervención liberadas al 100%, según cronograma y plan de trabajo</t>
  </si>
  <si>
    <t>5.1. Personal técnico calificado para la ejecución del servicio</t>
  </si>
  <si>
    <t>3.4.1</t>
  </si>
  <si>
    <t>3.4.2</t>
  </si>
  <si>
    <t xml:space="preserve">3.4.1 SUMINISTRO TUBERÍA CONDUIT FLEXIBLE CON FORRO DE PVC LIQUID TIGHT 2″  Y ACCESORIOS </t>
  </si>
  <si>
    <t>3.4.2 INSTALACIÓN DE TUBERIA FLEXIBLE</t>
  </si>
  <si>
    <t>4.1 TENDIDO DE CABLE COAXIAL</t>
  </si>
  <si>
    <t>5.1 MOVILIZACIÓN Y DESCARGA DE BANCO DUCTOS</t>
  </si>
  <si>
    <t>6.1 DESCARGA / ACARREO DE BANCODUCTOS CON MINICARGADOR (INCL. OPERADOR Y VIGIA)</t>
  </si>
  <si>
    <t>7.1 SUMINISTRO DE PARIHUELAS PARA ALMACENAMIENTO</t>
  </si>
  <si>
    <t>8.1 TRAZO Y REPLANTEO CON ESTACIÓN TOTAL</t>
  </si>
  <si>
    <t>-&gt; ver detalle y metodologia en hoja 'Ajuste HH MOD'</t>
  </si>
  <si>
    <t>AJUSTE DE HH DE MANO DE OBRA DIRECTA (MOD) -- PS-065 Bancoductos</t>
  </si>
  <si>
    <t>Generado: 2026-09-15. Revisado con Victor a partir de 3 fuentes: hoja APU (visible), Listado de Insumos - AESA.xlsx, y la regla MES-&gt;HH (factor 208 HH/mes) definida el 2026-09-06.</t>
  </si>
  <si>
    <t>Objetivo: la suma de HH por partida y la suma de HH por cargo deben coincidir en el TOTAL REAL: 5,312.08 HH.</t>
  </si>
  <si>
    <t>IMPORTANTE: las filas marcadas ESTIMADO son un prorrateo por peso en dolares (Sub Partidas de concreto+encofrado), no vienen desglosadas por partida en ningun archivo fuente -- si AESA/PROMCOSER entrega el analisis real de esas sub-partidas, estos numeros deben corregirse.</t>
  </si>
  <si>
    <t>TABLA 1 -- HH por PARTIDA</t>
  </si>
  <si>
    <t>WBS</t>
  </si>
  <si>
    <t>Descripcion</t>
  </si>
  <si>
    <t>HH visible en APU</t>
  </si>
  <si>
    <t>HH ajuste</t>
  </si>
  <si>
    <t>Tipo de ajuste</t>
  </si>
  <si>
    <t>HH TOTAL partida</t>
  </si>
  <si>
    <t>MOVILIZACIÓN Y DESMOVILIZACION DE PERSONAL</t>
  </si>
  <si>
    <t>EXACTO (MES-&gt;HH, factor 208, CONDUCTOR)</t>
  </si>
  <si>
    <t>SEGURIDAD Y SEÑALIZACION DE PROYECTO</t>
  </si>
  <si>
    <t>EXACTO (MES-&gt;HH, factor 208, CAPATAZ+OPERARIO)</t>
  </si>
  <si>
    <t>EXCAVACIÓN DE ZANJA CON RETROEXCAVADORA 0.6 X 1.00M</t>
  </si>
  <si>
    <t>PERFILADO Y NIVELACION DE TERRENO</t>
  </si>
  <si>
    <t>COLOCACION DE CAMA DE ARENA E=0.20</t>
  </si>
  <si>
    <t>FABRICACIÓN DE BANCO DUCTOS 0.20 X 0.20 X 1.00M</t>
  </si>
  <si>
    <t>ESTIMADO (prorrateo Sub Partidas concreto+encofrado)</t>
  </si>
  <si>
    <t>INSTALACIÓN DE BANCODUCTOS</t>
  </si>
  <si>
    <t>SUMINISTRO DE AFIRMADO</t>
  </si>
  <si>
    <t>RELLENO Y COMPACTACION EN CAPAS DE 200MM</t>
  </si>
  <si>
    <t>ELIMINACION DE MATERIAL EXCEDENTE  D= 5 KM</t>
  </si>
  <si>
    <t>EXCAVACIÓN DE ZANJA CON RETROEXCAVADORA 0.60 X 0.80M</t>
  </si>
  <si>
    <t>SUMINISTRO DE BUZON DE PASO 0.60 X 0.60 X 0.80M</t>
  </si>
  <si>
    <t>ESTIMADO (prorrateo Sub Partidas concreto+encofrado, sin acero)</t>
  </si>
  <si>
    <t>INSTALACIÓN DE BUZON DE PASO</t>
  </si>
  <si>
    <t>SUMINISTRO TUBERÍA CONDUIT FLEXIBLE CON FORRO DE PVC LIQUID TIGHT 2″  Y ACCESORIOS</t>
  </si>
  <si>
    <t>INSTALACIÓN DE TUBERIA FLEXIBLE</t>
  </si>
  <si>
    <t>EXCAVACIÓN DE ZANJA CON RETROEXCAVADORA 0.60 X 1.00M</t>
  </si>
  <si>
    <t>TENDIDO DE CABLE COAXIAL</t>
  </si>
  <si>
    <t>MOVILIZACIÓN Y DESCARGA DE BANCO DUCTOS</t>
  </si>
  <si>
    <t>DESCARGA / ACARREO DE BANCODUCTOS CON MINICARGADOR (INCL. OPERADOR Y VIGIA)</t>
  </si>
  <si>
    <t>SUMINISTRO DE PARIHUELAS PARA ALMACENAMIENTO</t>
  </si>
  <si>
    <t>TRAZO Y REPLANTEO CON ESTACIÓN TOTAL</t>
  </si>
  <si>
    <t>EXACTO (MES-&gt;HH, factor 208, TOPOGRAFO+AYUDANTE)</t>
  </si>
  <si>
    <t>TABLA 2 -- HH por CARGO</t>
  </si>
  <si>
    <t>Cargo</t>
  </si>
  <si>
    <t>HH visible en APU (nativo)</t>
  </si>
  <si>
    <t>HH Sub Partidas (estimado)</t>
  </si>
  <si>
    <t>HH MES-&gt;HH (exacto)</t>
  </si>
  <si>
    <t>HH TOTAL cargo</t>
  </si>
  <si>
    <t>CAPATAZ</t>
  </si>
  <si>
    <t>OPERADOR DE EQUIPO LIVIANO</t>
  </si>
  <si>
    <t>VIGIA</t>
  </si>
  <si>
    <t>OPERADOR DE LINEA AMARILLA</t>
  </si>
  <si>
    <t>OFICIAL (CIVIL)</t>
  </si>
  <si>
    <t>OPERARIO (CIVIL)</t>
  </si>
  <si>
    <t>PEON</t>
  </si>
  <si>
    <t>LOGISTICA</t>
  </si>
  <si>
    <t>OPERARIO ELECTRICISTA</t>
  </si>
  <si>
    <t>OFICIAL ELECTRICISTA</t>
  </si>
  <si>
    <t>TOPOGRAFO</t>
  </si>
  <si>
    <t>AYUDANTE TOPOGRAFO</t>
  </si>
  <si>
    <t xml:space="preserve">  OFICIAL</t>
  </si>
  <si>
    <t xml:space="preserve">  PEON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</si>
</sst>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_ * #,##0.00_ ;_ * \-#,##0.00_ ;_ * &quot;-&quot;??_ ;_ @_ "/>
    <numFmt numFmtId="165" formatCode="&quot;S/.&quot;#,##0.00;[Red]\-&quot;S/.&quot;#,##0.00"/>
    <numFmt numFmtId="166" formatCode="_(* #,##0.00_);_(* \(#,##0.00\);_(* &quot;-&quot;??_);_(@_)"/>
    <numFmt numFmtId="167" formatCode="_(&quot;$&quot;* #,##0.00_);_(&quot;$&quot;* \(#,##0.00\);_(&quot;$&quot;* &quot;-&quot;??_);_(@_)"/>
    <numFmt numFmtId="168" formatCode="_ [$$-2C0A]\ * #,##0.00_ ;_ [$$-2C0A]\ * \-#,##0.00_ ;_ [$$-2C0A]\ * &quot;-&quot;??_ ;_ @_ "/>
    <numFmt numFmtId="169" formatCode="[$$-409]#,##0.00"/>
    <numFmt numFmtId="170" formatCode="&quot;S/.&quot;\ #,##0.00"/>
    <numFmt numFmtId="171" formatCode="#,##0.0000_);\-#,##0.0000"/>
    <numFmt numFmtId="172" formatCode="#,##0.00_);\-#,##0.00"/>
    <numFmt numFmtId="173" formatCode="_(* #,##0_);_(* \(#,##0\);_(* &quot;-&quot;??_);_(@_)"/>
    <numFmt numFmtId="174" formatCode="0.0"/>
    <numFmt numFmtId="175" formatCode="#,##0.0"/>
    <numFmt numFmtId="176" formatCode="&quot;SUB TOTAL&quot;\ #,###"/>
    <numFmt numFmtId="177" formatCode="_(* #,##0.0_);_(* \(#,##0.0\);_(* &quot;-&quot;??_);_(@_)"/>
    <numFmt numFmtId="178" formatCode="General_)"/>
    <numFmt numFmtId="179" formatCode="[$$-2C0A]\ #,##0.00;[$$-2C0A]\ \-#,##0.00"/>
    <numFmt numFmtId="180" formatCode="#,##0.0000"/>
    <numFmt numFmtId="181" formatCode="[$$-540A]#,##0.00"/>
  </numFmts>
  <fonts count="88" x14ac:knownFonts="1">
    <font>
      <sz val="8"/>
      <name val="Arial"/>
    </font>
    <font>
      <sz val="10"/>
      <name val="Arial"/>
      <family val="2"/>
    </font>
    <font>
      <b/>
      <sz val="8"/>
      <color indexed="72"/>
      <name val="Arial"/>
      <family val="2"/>
    </font>
    <font>
      <b/>
      <sz val="8"/>
      <color indexed="10"/>
      <name val="Arial"/>
      <family val="2"/>
    </font>
    <font>
      <sz val="8"/>
      <name val="Arial"/>
      <family val="2"/>
    </font>
    <font>
      <sz val="8"/>
      <name val="Arial"/>
      <family val="2"/>
    </font>
    <font>
      <b/>
      <sz val="10"/>
      <name val="Arial"/>
      <family val="2"/>
    </font>
    <font>
      <sz val="11"/>
      <name val="Calibri"/>
      <family val="2"/>
    </font>
    <font>
      <b/>
      <sz val="14"/>
      <name val="Calibri"/>
      <family val="2"/>
    </font>
    <font>
      <sz val="8"/>
      <name val="Calibri"/>
      <family val="2"/>
    </font>
    <font>
      <b/>
      <sz val="10"/>
      <name val="Calibri"/>
      <family val="2"/>
    </font>
    <font>
      <sz val="10"/>
      <name val="Calibri"/>
      <family val="2"/>
    </font>
    <font>
      <b/>
      <sz val="11"/>
      <name val="Calibri"/>
      <family val="2"/>
    </font>
    <font>
      <sz val="9"/>
      <name val="Calibri"/>
      <family val="2"/>
    </font>
    <font>
      <b/>
      <sz val="9"/>
      <name val="Calibri"/>
      <family val="2"/>
    </font>
    <font>
      <b/>
      <u/>
      <sz val="11"/>
      <name val="Calibri"/>
      <family val="2"/>
    </font>
    <font>
      <u/>
      <sz val="10"/>
      <color indexed="12"/>
      <name val="Arial"/>
      <family val="2"/>
    </font>
    <font>
      <sz val="10"/>
      <name val="Arial"/>
      <family val="2"/>
    </font>
    <font>
      <b/>
      <sz val="12"/>
      <name val="Arial"/>
      <family val="2"/>
    </font>
    <font>
      <b/>
      <sz val="11"/>
      <name val="Arial Narrow"/>
      <family val="2"/>
    </font>
    <font>
      <b/>
      <sz val="12"/>
      <name val="Arial Narrow"/>
      <family val="2"/>
    </font>
    <font>
      <b/>
      <sz val="14"/>
      <name val="Arial Narrow"/>
      <family val="2"/>
    </font>
    <font>
      <b/>
      <sz val="11"/>
      <color indexed="12"/>
      <name val="Arial Narrow"/>
      <family val="2"/>
    </font>
    <font>
      <b/>
      <sz val="7"/>
      <name val="Arial Narrow"/>
      <family val="2"/>
    </font>
    <font>
      <b/>
      <sz val="9"/>
      <name val="Arial Narrow"/>
      <family val="2"/>
    </font>
    <font>
      <b/>
      <sz val="10"/>
      <color indexed="12"/>
      <name val="Arial Narrow"/>
      <family val="2"/>
    </font>
    <font>
      <b/>
      <u/>
      <sz val="12"/>
      <name val="Arial Narrow"/>
      <family val="2"/>
    </font>
    <font>
      <u/>
      <sz val="10"/>
      <name val="Arial Narrow"/>
      <family val="2"/>
    </font>
    <font>
      <sz val="10"/>
      <name val="Arial Narrow"/>
      <family val="2"/>
    </font>
    <font>
      <b/>
      <sz val="8"/>
      <name val="Arial Narrow"/>
      <family val="2"/>
    </font>
    <font>
      <sz val="12"/>
      <name val="Arial Narrow"/>
      <family val="2"/>
    </font>
    <font>
      <b/>
      <sz val="10"/>
      <name val="Arial Narrow"/>
      <family val="2"/>
    </font>
    <font>
      <sz val="8"/>
      <name val="Arial Narrow"/>
      <family val="2"/>
    </font>
    <font>
      <sz val="7"/>
      <name val="Arial Narrow"/>
      <family val="2"/>
    </font>
    <font>
      <sz val="10"/>
      <name val="Arial Unicode MS"/>
      <family val="2"/>
    </font>
    <font>
      <sz val="11"/>
      <name val="Arial"/>
      <family val="2"/>
    </font>
    <font>
      <b/>
      <sz val="20"/>
      <name val="Calibri"/>
      <family val="2"/>
    </font>
    <font>
      <sz val="14"/>
      <name val="Arial"/>
      <family val="2"/>
    </font>
    <font>
      <sz val="10"/>
      <color indexed="8"/>
      <name val="MS Sans Serif"/>
      <family val="2"/>
    </font>
    <font>
      <u/>
      <sz val="11"/>
      <name val="Calibri"/>
      <family val="2"/>
    </font>
    <font>
      <sz val="10"/>
      <color indexed="8"/>
      <name val="MS Sans Serif"/>
    </font>
    <font>
      <sz val="8.0500000000000007"/>
      <color indexed="8"/>
      <name val="Arial Narrow"/>
      <family val="2"/>
    </font>
    <font>
      <b/>
      <sz val="8.0500000000000007"/>
      <color indexed="8"/>
      <name val="Arial Narrow"/>
      <family val="2"/>
    </font>
    <font>
      <b/>
      <sz val="9"/>
      <color indexed="10"/>
      <name val="Arial"/>
      <family val="2"/>
    </font>
    <font>
      <sz val="9"/>
      <name val="Arial"/>
      <family val="2"/>
    </font>
    <font>
      <b/>
      <sz val="7"/>
      <color indexed="8"/>
      <name val="Arial Narrow"/>
      <family val="2"/>
    </font>
    <font>
      <sz val="11"/>
      <color theme="1"/>
      <name val="Calibri"/>
      <family val="2"/>
      <scheme val="minor"/>
    </font>
    <font>
      <sz val="11"/>
      <name val="Calibri"/>
      <family val="2"/>
      <scheme val="minor"/>
    </font>
    <font>
      <b/>
      <sz val="12"/>
      <name val="Calibri"/>
      <family val="2"/>
      <scheme val="minor"/>
    </font>
    <font>
      <sz val="10"/>
      <name val="Calibri"/>
      <family val="2"/>
      <scheme val="minor"/>
    </font>
    <font>
      <b/>
      <sz val="9"/>
      <name val="Calibri"/>
      <family val="2"/>
      <scheme val="minor"/>
    </font>
    <font>
      <b/>
      <sz val="14"/>
      <name val="Calibri"/>
      <family val="2"/>
      <scheme val="minor"/>
    </font>
    <font>
      <b/>
      <u/>
      <sz val="11"/>
      <name val="Calibri"/>
      <family val="2"/>
      <scheme val="minor"/>
    </font>
    <font>
      <b/>
      <sz val="11"/>
      <name val="Calibri"/>
      <family val="2"/>
      <scheme val="minor"/>
    </font>
    <font>
      <b/>
      <sz val="10"/>
      <name val="Calibri"/>
      <family val="2"/>
      <scheme val="minor"/>
    </font>
    <font>
      <sz val="17"/>
      <color rgb="FF1F1F1F"/>
      <name val="Arial"/>
      <family val="2"/>
    </font>
    <font>
      <b/>
      <sz val="11"/>
      <color rgb="FF0070C0"/>
      <name val="Calibri"/>
      <family val="2"/>
    </font>
    <font>
      <b/>
      <sz val="10"/>
      <color theme="0"/>
      <name val="Arial Narrow"/>
      <family val="2"/>
    </font>
    <font>
      <sz val="8"/>
      <name val="Calibri"/>
      <family val="2"/>
      <scheme val="minor"/>
    </font>
    <font>
      <b/>
      <sz val="8"/>
      <color rgb="FF0070C0"/>
      <name val="Calibri"/>
      <family val="2"/>
      <scheme val="minor"/>
    </font>
    <font>
      <sz val="8"/>
      <color indexed="10"/>
      <name val="Calibri"/>
      <family val="2"/>
      <scheme val="minor"/>
    </font>
    <font>
      <b/>
      <sz val="8"/>
      <color indexed="10"/>
      <name val="Calibri"/>
      <family val="2"/>
      <scheme val="minor"/>
    </font>
    <font>
      <sz val="8"/>
      <color indexed="72"/>
      <name val="Calibri"/>
      <family val="2"/>
      <scheme val="minor"/>
    </font>
    <font>
      <sz val="8"/>
      <color indexed="8"/>
      <name val="Calibri"/>
      <family val="2"/>
      <scheme val="minor"/>
    </font>
    <font>
      <b/>
      <sz val="8"/>
      <name val="Calibri"/>
      <family val="2"/>
      <scheme val="minor"/>
    </font>
    <font>
      <sz val="8"/>
      <color rgb="FFFF0000"/>
      <name val="Calibri"/>
      <family val="2"/>
      <scheme val="minor"/>
    </font>
    <font>
      <b/>
      <sz val="8"/>
      <color rgb="FFFF0000"/>
      <name val="Calibri"/>
      <family val="2"/>
      <scheme val="minor"/>
    </font>
    <font>
      <b/>
      <sz val="11"/>
      <color theme="0"/>
      <name val="Calibri"/>
      <family val="2"/>
    </font>
    <font>
      <b/>
      <sz val="8"/>
      <color rgb="FF002060"/>
      <name val="Calibri"/>
      <family val="2"/>
      <scheme val="minor"/>
    </font>
    <font>
      <b/>
      <sz val="8"/>
      <color theme="0"/>
      <name val="Calibri"/>
      <family val="2"/>
      <scheme val="minor"/>
    </font>
    <font>
      <b/>
      <sz val="8"/>
      <color indexed="8"/>
      <name val="Arial Narrow"/>
      <family val="2"/>
    </font>
    <font>
      <sz val="8"/>
      <color indexed="8"/>
      <name val="Arial Narrow"/>
      <family val="2"/>
    </font>
    <font>
      <b/>
      <sz val="11"/>
      <color theme="0"/>
      <name val="Calibri"/>
      <family val="2"/>
      <scheme val="minor"/>
    </font>
    <font>
      <b/>
      <sz val="11"/>
      <color theme="1"/>
      <name val="Calibri"/>
      <family val="2"/>
      <scheme val="minor"/>
    </font>
    <font>
      <sz val="11"/>
      <color theme="0"/>
      <name val="Calibri"/>
      <family val="2"/>
      <scheme val="minor"/>
    </font>
    <font>
      <sz val="11"/>
      <color rgb="FF000000"/>
      <name val="Calibri"/>
      <family val="2"/>
    </font>
    <font>
      <b/>
      <sz val="8"/>
      <color rgb="FF0070C0"/>
      <name val="Arial"/>
      <family val="2"/>
    </font>
    <font>
      <sz val="8"/>
      <color rgb="FFFF0000"/>
      <name val="Arial"/>
      <family val="2"/>
    </font>
    <font>
      <sz val="8"/>
      <color rgb="FF0070C0"/>
      <name val="Arial"/>
      <family val="2"/>
    </font>
    <font>
      <b/>
      <sz val="8"/>
      <color theme="0"/>
      <name val="Arial"/>
      <family val="2"/>
    </font>
    <font>
      <b/>
      <sz val="11"/>
      <color rgb="FF000000"/>
      <name val="Calibri"/>
      <family val="2"/>
    </font>
    <font>
      <b/>
      <sz val="8"/>
      <name val="Arial"/>
      <family val="2"/>
    </font>
    <font>
      <b/>
      <sz val="11"/>
      <color rgb="FFFF0000"/>
      <name val="Calibri"/>
      <family val="2"/>
    </font>
    <font>
      <b/>
      <sz val="11"/>
      <color rgb="FF000000"/>
      <name val="Calibri"/>
      <family val="2"/>
    </font>
    <font>
      <i/>
      <sz val="8"/>
      <color rgb="FFFF0000"/>
      <name val="Arial"/>
      <family val="2"/>
    </font>
    <font>
      <i/>
      <sz val="8"/>
      <color rgb="FFFF8C00"/>
      <name val="Arial"/>
      <family val="2"/>
    </font>
    <font>
      <b/>
      <sz val="14"/>
      <name val="Arial"/>
      <family val="2"/>
    </font>
    <font>
      <i/>
      <sz val="8"/>
      <name val="Arial"/>
      <family val="2"/>
    </font>
  </fonts>
  <fills count="15">
    <fill>
      <patternFill patternType="none"/>
    </fill>
    <fill>
      <patternFill patternType="gray125"/>
    </fill>
    <fill>
      <patternFill patternType="solid">
        <fgColor indexed="9"/>
        <bgColor indexed="64"/>
      </patternFill>
    </fill>
    <fill>
      <patternFill patternType="solid">
        <fgColor indexed="51"/>
        <bgColor indexed="64"/>
      </patternFill>
    </fill>
    <fill>
      <patternFill patternType="solid">
        <fgColor theme="0" tint="-0.14999847407452621"/>
        <bgColor indexed="64"/>
      </patternFill>
    </fill>
    <fill>
      <patternFill patternType="solid">
        <fgColor theme="0"/>
        <bgColor indexed="64"/>
      </patternFill>
    </fill>
    <fill>
      <patternFill patternType="solid">
        <fgColor theme="6" tint="0.59999389629810485"/>
        <bgColor indexed="64"/>
      </patternFill>
    </fill>
    <fill>
      <patternFill patternType="solid">
        <fgColor rgb="FF00206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00B050"/>
        <bgColor indexed="64"/>
      </patternFill>
    </fill>
    <fill>
      <patternFill patternType="solid">
        <fgColor theme="1"/>
        <bgColor indexed="64"/>
      </patternFill>
    </fill>
    <fill>
      <patternFill patternType="solid">
        <fgColor theme="4"/>
        <bgColor indexed="64"/>
      </patternFill>
    </fill>
    <fill>
      <patternFill patternType="solid">
        <fgColor rgb="FF0070C0"/>
        <bgColor indexed="64"/>
      </patternFill>
    </fill>
    <fill>
      <patternFill patternType="solid">
        <fgColor theme="0"/>
        <bgColor rgb="FF000000"/>
      </patternFill>
    </fill>
  </fills>
  <borders count="79">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hair">
        <color indexed="64"/>
      </bottom>
      <diagonal/>
    </border>
    <border>
      <left style="hair">
        <color indexed="64"/>
      </left>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medium">
        <color indexed="64"/>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style="medium">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medium">
        <color indexed="64"/>
      </right>
      <top style="medium">
        <color indexed="64"/>
      </top>
      <bottom style="medium">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right style="medium">
        <color indexed="64"/>
      </right>
      <top style="hair">
        <color indexed="64"/>
      </top>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hair">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theme="0" tint="-0.499984740745262"/>
      </top>
      <bottom/>
      <diagonal/>
    </border>
    <border>
      <left/>
      <right/>
      <top style="thin">
        <color theme="0" tint="-0.499984740745262"/>
      </top>
      <bottom style="thin">
        <color indexed="64"/>
      </bottom>
      <diagonal/>
    </border>
    <border>
      <left/>
      <right style="hair">
        <color indexed="64"/>
      </right>
      <top style="thin">
        <color theme="0" tint="-0.499984740745262"/>
      </top>
      <bottom/>
      <diagonal/>
    </border>
    <border>
      <left style="hair">
        <color indexed="64"/>
      </left>
      <right/>
      <top style="thin">
        <color theme="0" tint="-0.499984740745262"/>
      </top>
      <bottom/>
      <diagonal/>
    </border>
    <border>
      <left/>
      <right style="thin">
        <color theme="0" tint="-0.499984740745262"/>
      </right>
      <top style="thin">
        <color theme="0" tint="-0.499984740745262"/>
      </top>
      <bottom style="thin">
        <color indexed="64"/>
      </bottom>
      <diagonal/>
    </border>
    <border>
      <left style="thin">
        <color theme="0" tint="-0.499984740745262"/>
      </left>
      <right/>
      <top/>
      <bottom/>
      <diagonal/>
    </border>
    <border>
      <left/>
      <right style="thin">
        <color theme="0" tint="-0.499984740745262"/>
      </right>
      <top/>
      <bottom style="thin">
        <color indexed="64"/>
      </bottom>
      <diagonal/>
    </border>
    <border>
      <left/>
      <right style="thin">
        <color theme="0" tint="-0.499984740745262"/>
      </right>
      <top style="thin">
        <color indexed="64"/>
      </top>
      <bottom style="thin">
        <color indexed="64"/>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right style="thin">
        <color theme="0" tint="-0.499984740745262"/>
      </right>
      <top/>
      <bottom style="thin">
        <color theme="0" tint="-0.499984740745262"/>
      </bottom>
      <diagonal/>
    </border>
    <border>
      <left style="thin">
        <color indexed="64"/>
      </left>
      <right style="thin">
        <color indexed="64"/>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indexed="64"/>
      </left>
      <right/>
      <top style="thin">
        <color theme="0" tint="-0.499984740745262"/>
      </top>
      <bottom style="thin">
        <color indexed="64"/>
      </bottom>
      <diagonal/>
    </border>
    <border>
      <left/>
      <right style="thin">
        <color indexed="64"/>
      </right>
      <top style="thin">
        <color theme="0" tint="-0.499984740745262"/>
      </top>
      <bottom style="thin">
        <color indexed="64"/>
      </bottom>
      <diagonal/>
    </border>
    <border>
      <left style="thin">
        <color indexed="64"/>
      </left>
      <right/>
      <top style="thin">
        <color theme="0" tint="-0.499984740745262"/>
      </top>
      <bottom style="thin">
        <color theme="0" tint="-0.499984740745262"/>
      </bottom>
      <diagonal/>
    </border>
    <border>
      <left/>
      <right style="thin">
        <color indexed="64"/>
      </right>
      <top style="thin">
        <color theme="0" tint="-0.499984740745262"/>
      </top>
      <bottom style="thin">
        <color theme="0" tint="-0.499984740745262"/>
      </bottom>
      <diagonal/>
    </border>
    <border>
      <left style="thin">
        <color indexed="64"/>
      </left>
      <right/>
      <top style="thin">
        <color indexed="64"/>
      </top>
      <bottom style="thin">
        <color theme="0" tint="-0.499984740745262"/>
      </bottom>
      <diagonal/>
    </border>
    <border>
      <left/>
      <right style="thin">
        <color indexed="64"/>
      </right>
      <top style="thin">
        <color indexed="64"/>
      </top>
      <bottom style="thin">
        <color theme="0" tint="-0.499984740745262"/>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s>
  <cellStyleXfs count="13">
    <xf numFmtId="0" fontId="0" fillId="0" borderId="0">
      <alignment vertical="center"/>
    </xf>
    <xf numFmtId="0" fontId="16" fillId="0" borderId="0" applyNumberFormat="0" applyFill="0" applyBorder="0" applyAlignment="0" applyProtection="0">
      <alignment vertical="top"/>
      <protection locked="0"/>
    </xf>
    <xf numFmtId="173" fontId="46" fillId="0" borderId="0" applyFont="0" applyFill="0" applyBorder="0" applyAlignment="0" applyProtection="0"/>
    <xf numFmtId="173" fontId="17" fillId="0" borderId="0" applyFont="0" applyFill="0" applyBorder="0" applyAlignment="0" applyProtection="0"/>
    <xf numFmtId="167" fontId="1" fillId="0" borderId="0" applyFont="0" applyFill="0" applyBorder="0" applyAlignment="0" applyProtection="0">
      <alignment vertical="center"/>
    </xf>
    <xf numFmtId="165" fontId="17" fillId="0" borderId="0" applyFont="0" applyFill="0" applyBorder="0" applyAlignment="0" applyProtection="0"/>
    <xf numFmtId="0" fontId="5" fillId="0" borderId="0">
      <alignment vertical="center"/>
    </xf>
    <xf numFmtId="0" fontId="17" fillId="0" borderId="0"/>
    <xf numFmtId="0" fontId="17" fillId="0" borderId="0"/>
    <xf numFmtId="0" fontId="38" fillId="0" borderId="0"/>
    <xf numFmtId="0" fontId="40" fillId="0" borderId="0"/>
    <xf numFmtId="9" fontId="1" fillId="0" borderId="0" applyFont="0" applyFill="0" applyBorder="0" applyAlignment="0" applyProtection="0">
      <alignment vertical="center"/>
    </xf>
    <xf numFmtId="0" fontId="75" fillId="0" borderId="0"/>
  </cellStyleXfs>
  <cellXfs count="524">
    <xf numFmtId="0" fontId="0" fillId="0" borderId="0" xfId="0">
      <alignment vertical="center"/>
    </xf>
    <xf numFmtId="0" fontId="2" fillId="2" borderId="0" xfId="0" applyFont="1" applyFill="1" applyProtection="1">
      <alignment vertical="center"/>
      <protection locked="0"/>
    </xf>
    <xf numFmtId="0" fontId="3" fillId="0" borderId="0" xfId="0" applyFont="1" applyProtection="1">
      <alignment vertical="center"/>
      <protection locked="0"/>
    </xf>
    <xf numFmtId="0" fontId="7" fillId="2" borderId="0" xfId="0" applyFont="1" applyFill="1">
      <alignment vertical="center"/>
    </xf>
    <xf numFmtId="0" fontId="8" fillId="2" borderId="0" xfId="0" applyFont="1" applyFill="1" applyAlignment="1">
      <alignment horizontal="right" vertical="center"/>
    </xf>
    <xf numFmtId="0" fontId="9" fillId="2" borderId="0" xfId="0" applyFont="1" applyFill="1" applyAlignment="1">
      <alignment horizontal="left"/>
    </xf>
    <xf numFmtId="0" fontId="9" fillId="2" borderId="0" xfId="0" applyFont="1" applyFill="1" applyAlignment="1">
      <alignment horizontal="left" vertical="center"/>
    </xf>
    <xf numFmtId="0" fontId="10" fillId="2" borderId="0" xfId="0" applyFont="1" applyFill="1" applyAlignment="1">
      <alignment horizontal="right" vertical="center"/>
    </xf>
    <xf numFmtId="0" fontId="8" fillId="2" borderId="0" xfId="0" applyFont="1" applyFill="1">
      <alignment vertical="center"/>
    </xf>
    <xf numFmtId="0" fontId="7" fillId="2" borderId="51" xfId="0" applyFont="1" applyFill="1" applyBorder="1">
      <alignment vertical="center"/>
    </xf>
    <xf numFmtId="0" fontId="7" fillId="4" borderId="52" xfId="0" applyFont="1" applyFill="1" applyBorder="1" applyProtection="1">
      <alignment vertical="center"/>
      <protection locked="0"/>
    </xf>
    <xf numFmtId="0" fontId="7" fillId="2" borderId="53" xfId="0" applyFont="1" applyFill="1" applyBorder="1">
      <alignment vertical="center"/>
    </xf>
    <xf numFmtId="0" fontId="7" fillId="2" borderId="54" xfId="0" applyFont="1" applyFill="1" applyBorder="1">
      <alignment vertical="center"/>
    </xf>
    <xf numFmtId="0" fontId="7" fillId="4" borderId="55" xfId="0" applyFont="1" applyFill="1" applyBorder="1" applyProtection="1">
      <alignment vertical="center"/>
      <protection locked="0"/>
    </xf>
    <xf numFmtId="0" fontId="7" fillId="2" borderId="56" xfId="0" applyFont="1" applyFill="1" applyBorder="1">
      <alignment vertical="center"/>
    </xf>
    <xf numFmtId="0" fontId="11" fillId="4" borderId="1" xfId="0" applyFont="1" applyFill="1" applyBorder="1" applyProtection="1">
      <alignment vertical="center"/>
      <protection locked="0"/>
    </xf>
    <xf numFmtId="0" fontId="7" fillId="4" borderId="1" xfId="0" applyFont="1" applyFill="1" applyBorder="1" applyProtection="1">
      <alignment vertical="center"/>
      <protection locked="0"/>
    </xf>
    <xf numFmtId="0" fontId="7" fillId="4" borderId="57" xfId="0" applyFont="1" applyFill="1" applyBorder="1" applyProtection="1">
      <alignment vertical="center"/>
      <protection locked="0"/>
    </xf>
    <xf numFmtId="0" fontId="7" fillId="4" borderId="2" xfId="0" applyFont="1" applyFill="1" applyBorder="1" applyProtection="1">
      <alignment vertical="center"/>
      <protection locked="0"/>
    </xf>
    <xf numFmtId="0" fontId="7" fillId="4" borderId="58" xfId="0" applyFont="1" applyFill="1" applyBorder="1" applyProtection="1">
      <alignment vertical="center"/>
      <protection locked="0"/>
    </xf>
    <xf numFmtId="0" fontId="7" fillId="2" borderId="59" xfId="0" applyFont="1" applyFill="1" applyBorder="1" applyAlignment="1">
      <alignment horizontal="left" vertical="center"/>
    </xf>
    <xf numFmtId="0" fontId="7" fillId="2" borderId="60" xfId="0" applyFont="1" applyFill="1" applyBorder="1">
      <alignment vertical="center"/>
    </xf>
    <xf numFmtId="0" fontId="7" fillId="2" borderId="61" xfId="0" applyFont="1" applyFill="1" applyBorder="1">
      <alignment vertical="center"/>
    </xf>
    <xf numFmtId="0" fontId="7" fillId="2" borderId="62" xfId="0" applyFont="1" applyFill="1" applyBorder="1">
      <alignment vertical="center"/>
    </xf>
    <xf numFmtId="0" fontId="8" fillId="2" borderId="0" xfId="0" applyFont="1" applyFill="1" applyAlignment="1">
      <alignment horizontal="left" vertical="center"/>
    </xf>
    <xf numFmtId="16" fontId="11" fillId="2" borderId="0" xfId="0" applyNumberFormat="1" applyFont="1" applyFill="1">
      <alignment vertical="center"/>
    </xf>
    <xf numFmtId="0" fontId="11" fillId="2" borderId="0" xfId="0" applyFont="1" applyFill="1">
      <alignment vertical="center"/>
    </xf>
    <xf numFmtId="16" fontId="7" fillId="2" borderId="0" xfId="0" applyNumberFormat="1" applyFont="1" applyFill="1" applyAlignment="1">
      <alignment horizontal="right" vertical="center"/>
    </xf>
    <xf numFmtId="0" fontId="7" fillId="2" borderId="0" xfId="0" applyFont="1" applyFill="1" applyAlignment="1">
      <alignment horizontal="right" vertical="center"/>
    </xf>
    <xf numFmtId="168" fontId="7" fillId="2" borderId="0" xfId="0" applyNumberFormat="1" applyFont="1" applyFill="1" applyAlignment="1">
      <alignment horizontal="center" vertical="center"/>
    </xf>
    <xf numFmtId="169" fontId="7" fillId="2" borderId="0" xfId="0" applyNumberFormat="1" applyFont="1" applyFill="1">
      <alignment vertical="center"/>
    </xf>
    <xf numFmtId="0" fontId="7" fillId="2" borderId="63" xfId="0" applyFont="1" applyFill="1" applyBorder="1" applyAlignment="1">
      <alignment horizontal="left" vertical="center"/>
    </xf>
    <xf numFmtId="0" fontId="7" fillId="2" borderId="64" xfId="0" applyFont="1" applyFill="1" applyBorder="1">
      <alignment vertical="center"/>
    </xf>
    <xf numFmtId="0" fontId="7" fillId="2" borderId="56" xfId="0" applyFont="1" applyFill="1" applyBorder="1" applyAlignment="1">
      <alignment horizontal="left" vertical="center"/>
    </xf>
    <xf numFmtId="0" fontId="7" fillId="2" borderId="65" xfId="0" applyFont="1" applyFill="1" applyBorder="1">
      <alignment vertical="center"/>
    </xf>
    <xf numFmtId="0" fontId="7" fillId="2" borderId="66" xfId="0" applyFont="1" applyFill="1" applyBorder="1">
      <alignment vertical="center"/>
    </xf>
    <xf numFmtId="0" fontId="47" fillId="4" borderId="3" xfId="0" applyFont="1" applyFill="1" applyBorder="1" applyAlignment="1" applyProtection="1">
      <alignment horizontal="center" vertical="center"/>
      <protection locked="0"/>
    </xf>
    <xf numFmtId="0" fontId="48" fillId="4" borderId="4" xfId="0" applyFont="1" applyFill="1" applyBorder="1" applyProtection="1">
      <alignment vertical="center"/>
      <protection locked="0"/>
    </xf>
    <xf numFmtId="0" fontId="47" fillId="4" borderId="4" xfId="0" applyFont="1" applyFill="1" applyBorder="1" applyProtection="1">
      <alignment vertical="center"/>
      <protection locked="0"/>
    </xf>
    <xf numFmtId="0" fontId="49" fillId="4" borderId="67" xfId="0" quotePrefix="1" applyFont="1" applyFill="1" applyBorder="1" applyAlignment="1" applyProtection="1">
      <alignment horizontal="left" vertical="center"/>
      <protection locked="0"/>
    </xf>
    <xf numFmtId="0" fontId="47" fillId="4" borderId="68" xfId="0" applyFont="1" applyFill="1" applyBorder="1" applyProtection="1">
      <alignment vertical="center"/>
      <protection locked="0"/>
    </xf>
    <xf numFmtId="4" fontId="47" fillId="4" borderId="67" xfId="0" applyNumberFormat="1" applyFont="1" applyFill="1" applyBorder="1" applyAlignment="1" applyProtection="1">
      <alignment horizontal="center" vertical="center"/>
      <protection locked="0"/>
    </xf>
    <xf numFmtId="164" fontId="47" fillId="4" borderId="67" xfId="0" applyNumberFormat="1" applyFont="1" applyFill="1" applyBorder="1" applyProtection="1">
      <alignment vertical="center"/>
      <protection locked="0"/>
    </xf>
    <xf numFmtId="0" fontId="47" fillId="4" borderId="69" xfId="0" applyFont="1" applyFill="1" applyBorder="1" applyProtection="1">
      <alignment vertical="center"/>
      <protection locked="0"/>
    </xf>
    <xf numFmtId="0" fontId="47" fillId="4" borderId="52" xfId="0" applyFont="1" applyFill="1" applyBorder="1" applyProtection="1">
      <alignment vertical="center"/>
      <protection locked="0"/>
    </xf>
    <xf numFmtId="164" fontId="47" fillId="4" borderId="52" xfId="0" applyNumberFormat="1" applyFont="1" applyFill="1" applyBorder="1" applyProtection="1">
      <alignment vertical="center"/>
      <protection locked="0"/>
    </xf>
    <xf numFmtId="0" fontId="47" fillId="4" borderId="52" xfId="0" applyFont="1" applyFill="1" applyBorder="1" applyAlignment="1" applyProtection="1">
      <alignment horizontal="center" vertical="center"/>
      <protection locked="0"/>
    </xf>
    <xf numFmtId="164" fontId="50" fillId="4" borderId="70" xfId="0" applyNumberFormat="1" applyFont="1" applyFill="1" applyBorder="1" applyAlignment="1" applyProtection="1">
      <alignment horizontal="right" vertical="center"/>
      <protection locked="0"/>
    </xf>
    <xf numFmtId="0" fontId="7" fillId="2" borderId="0" xfId="0" applyFont="1" applyFill="1" applyAlignment="1">
      <alignment horizontal="left" vertical="center"/>
    </xf>
    <xf numFmtId="0" fontId="7" fillId="2" borderId="0" xfId="0" applyFont="1" applyFill="1" applyAlignment="1">
      <alignment horizontal="center" vertical="center"/>
    </xf>
    <xf numFmtId="0" fontId="10" fillId="2" borderId="5" xfId="0" applyFont="1" applyFill="1" applyBorder="1" applyAlignment="1">
      <alignment horizontal="right" vertical="center"/>
    </xf>
    <xf numFmtId="9" fontId="7" fillId="4" borderId="1" xfId="11" applyFont="1" applyFill="1" applyBorder="1" applyAlignment="1" applyProtection="1">
      <alignment vertical="center"/>
      <protection locked="0"/>
    </xf>
    <xf numFmtId="0" fontId="12" fillId="2" borderId="0" xfId="0" applyFont="1" applyFill="1" applyAlignment="1">
      <alignment horizontal="right" vertical="center"/>
    </xf>
    <xf numFmtId="10" fontId="10" fillId="2" borderId="6" xfId="0" applyNumberFormat="1" applyFont="1" applyFill="1" applyBorder="1">
      <alignment vertical="center"/>
    </xf>
    <xf numFmtId="10" fontId="10" fillId="2" borderId="7" xfId="0" applyNumberFormat="1" applyFont="1" applyFill="1" applyBorder="1">
      <alignment vertical="center"/>
    </xf>
    <xf numFmtId="0" fontId="12" fillId="4" borderId="8" xfId="0" applyFont="1" applyFill="1" applyBorder="1" applyAlignment="1" applyProtection="1">
      <alignment horizontal="center" vertical="center"/>
      <protection locked="0"/>
    </xf>
    <xf numFmtId="16" fontId="15" fillId="2" borderId="0" xfId="0" quotePrefix="1" applyNumberFormat="1" applyFont="1" applyFill="1" applyAlignment="1">
      <alignment horizontal="left" vertical="center"/>
    </xf>
    <xf numFmtId="0" fontId="15" fillId="2" borderId="0" xfId="0" applyFont="1" applyFill="1">
      <alignment vertical="center"/>
    </xf>
    <xf numFmtId="16" fontId="7" fillId="2" borderId="0" xfId="0" applyNumberFormat="1" applyFont="1" applyFill="1" applyAlignment="1">
      <alignment horizontal="left" vertical="center"/>
    </xf>
    <xf numFmtId="9" fontId="7" fillId="4" borderId="57" xfId="11" applyFont="1" applyFill="1" applyBorder="1" applyAlignment="1" applyProtection="1">
      <alignment vertical="center"/>
      <protection locked="0"/>
    </xf>
    <xf numFmtId="16" fontId="7" fillId="2" borderId="0" xfId="0" quotePrefix="1" applyNumberFormat="1" applyFont="1" applyFill="1" applyAlignment="1">
      <alignment horizontal="left" vertical="center"/>
    </xf>
    <xf numFmtId="9" fontId="15" fillId="4" borderId="1" xfId="11" applyFont="1" applyFill="1" applyBorder="1" applyAlignment="1" applyProtection="1">
      <alignment vertical="center"/>
      <protection locked="0"/>
    </xf>
    <xf numFmtId="0" fontId="7" fillId="4" borderId="0" xfId="0" applyFont="1" applyFill="1">
      <alignment vertical="center"/>
    </xf>
    <xf numFmtId="0" fontId="7" fillId="4" borderId="65" xfId="0" applyFont="1" applyFill="1" applyBorder="1">
      <alignment vertical="center"/>
    </xf>
    <xf numFmtId="0" fontId="7" fillId="2" borderId="59" xfId="0" applyFont="1" applyFill="1" applyBorder="1">
      <alignment vertical="center"/>
    </xf>
    <xf numFmtId="0" fontId="11" fillId="2" borderId="60" xfId="0" applyFont="1" applyFill="1" applyBorder="1">
      <alignment vertical="center"/>
    </xf>
    <xf numFmtId="170" fontId="7" fillId="2" borderId="60" xfId="0" applyNumberFormat="1" applyFont="1" applyFill="1" applyBorder="1" applyAlignment="1">
      <alignment horizontal="center" vertical="center"/>
    </xf>
    <xf numFmtId="0" fontId="47" fillId="5" borderId="0" xfId="0" applyFont="1" applyFill="1">
      <alignment vertical="center"/>
    </xf>
    <xf numFmtId="0" fontId="51" fillId="5" borderId="0" xfId="0" applyFont="1" applyFill="1" applyAlignment="1">
      <alignment horizontal="left" vertical="center"/>
    </xf>
    <xf numFmtId="0" fontId="47" fillId="5" borderId="0" xfId="0" applyFont="1" applyFill="1" applyProtection="1">
      <alignment vertical="center"/>
      <protection locked="0"/>
    </xf>
    <xf numFmtId="0" fontId="47" fillId="5" borderId="63" xfId="0" applyFont="1" applyFill="1" applyBorder="1" applyAlignment="1">
      <alignment horizontal="left" vertical="center"/>
    </xf>
    <xf numFmtId="0" fontId="47" fillId="5" borderId="51" xfId="0" applyFont="1" applyFill="1" applyBorder="1" applyAlignment="1" applyProtection="1">
      <alignment vertical="center" wrapText="1"/>
      <protection locked="0"/>
    </xf>
    <xf numFmtId="0" fontId="47" fillId="5" borderId="64" xfId="0" applyFont="1" applyFill="1" applyBorder="1">
      <alignment vertical="center"/>
    </xf>
    <xf numFmtId="0" fontId="47" fillId="5" borderId="56" xfId="0" applyFont="1" applyFill="1" applyBorder="1" applyAlignment="1">
      <alignment horizontal="left" vertical="center"/>
    </xf>
    <xf numFmtId="0" fontId="47" fillId="4" borderId="9" xfId="0" applyFont="1" applyFill="1" applyBorder="1" applyAlignment="1" applyProtection="1">
      <alignment vertical="center" wrapText="1"/>
      <protection locked="0"/>
    </xf>
    <xf numFmtId="0" fontId="47" fillId="4" borderId="4" xfId="0" applyFont="1" applyFill="1" applyBorder="1" applyAlignment="1" applyProtection="1">
      <alignment vertical="center" wrapText="1"/>
      <protection locked="0"/>
    </xf>
    <xf numFmtId="0" fontId="47" fillId="4" borderId="10" xfId="0" applyFont="1" applyFill="1" applyBorder="1" applyAlignment="1" applyProtection="1">
      <alignment vertical="center" wrapText="1"/>
      <protection locked="0"/>
    </xf>
    <xf numFmtId="0" fontId="47" fillId="5" borderId="65" xfId="0" applyFont="1" applyFill="1" applyBorder="1">
      <alignment vertical="center"/>
    </xf>
    <xf numFmtId="0" fontId="47" fillId="4" borderId="11" xfId="0" applyFont="1" applyFill="1" applyBorder="1" applyAlignment="1" applyProtection="1">
      <alignment vertical="center" wrapText="1"/>
      <protection locked="0"/>
    </xf>
    <xf numFmtId="0" fontId="52" fillId="4" borderId="0" xfId="0" applyFont="1" applyFill="1" applyProtection="1">
      <alignment vertical="center"/>
      <protection locked="0"/>
    </xf>
    <xf numFmtId="0" fontId="47" fillId="4" borderId="0" xfId="0" applyFont="1" applyFill="1" applyAlignment="1" applyProtection="1">
      <alignment vertical="center" wrapText="1"/>
      <protection locked="0"/>
    </xf>
    <xf numFmtId="0" fontId="47" fillId="4" borderId="12" xfId="0" applyFont="1" applyFill="1" applyBorder="1" applyAlignment="1" applyProtection="1">
      <alignment vertical="center" wrapText="1"/>
      <protection locked="0"/>
    </xf>
    <xf numFmtId="0" fontId="47" fillId="4" borderId="0" xfId="0" applyFont="1" applyFill="1" applyProtection="1">
      <alignment vertical="center"/>
      <protection locked="0"/>
    </xf>
    <xf numFmtId="0" fontId="47" fillId="4" borderId="12" xfId="0" applyFont="1" applyFill="1" applyBorder="1" applyProtection="1">
      <alignment vertical="center"/>
      <protection locked="0"/>
    </xf>
    <xf numFmtId="0" fontId="47" fillId="4" borderId="0" xfId="0" applyFont="1" applyFill="1" applyAlignment="1" applyProtection="1">
      <alignment horizontal="left" vertical="center"/>
      <protection locked="0"/>
    </xf>
    <xf numFmtId="0" fontId="47" fillId="5" borderId="56" xfId="0" applyFont="1" applyFill="1" applyBorder="1">
      <alignment vertical="center"/>
    </xf>
    <xf numFmtId="0" fontId="47" fillId="4" borderId="5" xfId="0" applyFont="1" applyFill="1" applyBorder="1" applyAlignment="1" applyProtection="1">
      <alignment vertical="center" wrapText="1"/>
      <protection locked="0"/>
    </xf>
    <xf numFmtId="0" fontId="47" fillId="4" borderId="1" xfId="0" applyFont="1" applyFill="1" applyBorder="1" applyAlignment="1" applyProtection="1">
      <alignment vertical="center" wrapText="1"/>
      <protection locked="0"/>
    </xf>
    <xf numFmtId="0" fontId="47" fillId="4" borderId="13" xfId="0" applyFont="1" applyFill="1" applyBorder="1" applyAlignment="1" applyProtection="1">
      <alignment vertical="center" wrapText="1"/>
      <protection locked="0"/>
    </xf>
    <xf numFmtId="0" fontId="51" fillId="5" borderId="59" xfId="0" applyFont="1" applyFill="1" applyBorder="1" applyAlignment="1">
      <alignment horizontal="left" vertical="center"/>
    </xf>
    <xf numFmtId="0" fontId="47" fillId="5" borderId="60" xfId="0" applyFont="1" applyFill="1" applyBorder="1" applyAlignment="1" applyProtection="1">
      <alignment horizontal="left" vertical="center" indent="1"/>
      <protection locked="0"/>
    </xf>
    <xf numFmtId="0" fontId="47" fillId="5" borderId="66" xfId="0" applyFont="1" applyFill="1" applyBorder="1">
      <alignment vertical="center"/>
    </xf>
    <xf numFmtId="0" fontId="47" fillId="5" borderId="0" xfId="0" applyFont="1" applyFill="1" applyAlignment="1">
      <alignment horizontal="left" vertical="center"/>
    </xf>
    <xf numFmtId="0" fontId="47" fillId="5" borderId="0" xfId="0" applyFont="1" applyFill="1" applyAlignment="1" applyProtection="1">
      <alignment horizontal="left" vertical="center" indent="1"/>
      <protection locked="0"/>
    </xf>
    <xf numFmtId="0" fontId="47" fillId="4" borderId="9" xfId="0" quotePrefix="1" applyFont="1" applyFill="1" applyBorder="1" applyProtection="1">
      <alignment vertical="center"/>
      <protection locked="0"/>
    </xf>
    <xf numFmtId="0" fontId="47" fillId="4" borderId="10" xfId="0" applyFont="1" applyFill="1" applyBorder="1" applyProtection="1">
      <alignment vertical="center"/>
      <protection locked="0"/>
    </xf>
    <xf numFmtId="0" fontId="47" fillId="4" borderId="11" xfId="0" quotePrefix="1" applyFont="1" applyFill="1" applyBorder="1" applyProtection="1">
      <alignment vertical="center"/>
      <protection locked="0"/>
    </xf>
    <xf numFmtId="0" fontId="47" fillId="4" borderId="1" xfId="0" applyFont="1" applyFill="1" applyBorder="1" applyAlignment="1" applyProtection="1">
      <alignment horizontal="left" vertical="center"/>
      <protection locked="0"/>
    </xf>
    <xf numFmtId="0" fontId="47" fillId="4" borderId="1" xfId="0" applyFont="1" applyFill="1" applyBorder="1" applyProtection="1">
      <alignment vertical="center"/>
      <protection locked="0"/>
    </xf>
    <xf numFmtId="0" fontId="47" fillId="4" borderId="13" xfId="0" applyFont="1" applyFill="1" applyBorder="1" applyProtection="1">
      <alignment vertical="center"/>
      <protection locked="0"/>
    </xf>
    <xf numFmtId="0" fontId="47" fillId="5" borderId="59" xfId="0" applyFont="1" applyFill="1" applyBorder="1" applyAlignment="1">
      <alignment horizontal="left" vertical="center"/>
    </xf>
    <xf numFmtId="0" fontId="47" fillId="5" borderId="60" xfId="0" applyFont="1" applyFill="1" applyBorder="1" applyProtection="1">
      <alignment vertical="center"/>
      <protection locked="0"/>
    </xf>
    <xf numFmtId="0" fontId="53" fillId="5" borderId="60" xfId="0" applyFont="1" applyFill="1" applyBorder="1" applyProtection="1">
      <alignment vertical="center"/>
      <protection locked="0"/>
    </xf>
    <xf numFmtId="10" fontId="49" fillId="5" borderId="60" xfId="11" applyNumberFormat="1" applyFont="1" applyFill="1" applyBorder="1" applyAlignment="1" applyProtection="1">
      <alignment vertical="center"/>
      <protection locked="0"/>
    </xf>
    <xf numFmtId="0" fontId="49" fillId="5" borderId="60" xfId="0" applyFont="1" applyFill="1" applyBorder="1" applyProtection="1">
      <alignment vertical="center"/>
      <protection locked="0"/>
    </xf>
    <xf numFmtId="0" fontId="49" fillId="5" borderId="60" xfId="0" applyFont="1" applyFill="1" applyBorder="1" applyAlignment="1" applyProtection="1">
      <alignment horizontal="right" vertical="center"/>
      <protection locked="0"/>
    </xf>
    <xf numFmtId="0" fontId="49" fillId="5" borderId="0" xfId="0" applyFont="1" applyFill="1" applyProtection="1">
      <alignment vertical="center"/>
      <protection locked="0"/>
    </xf>
    <xf numFmtId="0" fontId="54" fillId="5" borderId="0" xfId="0" applyFont="1" applyFill="1" applyAlignment="1" applyProtection="1">
      <alignment horizontal="right" vertical="center"/>
      <protection locked="0"/>
    </xf>
    <xf numFmtId="2" fontId="54" fillId="5" borderId="0" xfId="0" applyNumberFormat="1" applyFont="1" applyFill="1" applyAlignment="1" applyProtection="1">
      <alignment horizontal="center" vertical="center"/>
      <protection locked="0"/>
    </xf>
    <xf numFmtId="16" fontId="49" fillId="5" borderId="0" xfId="0" applyNumberFormat="1" applyFont="1" applyFill="1">
      <alignment vertical="center"/>
    </xf>
    <xf numFmtId="0" fontId="49" fillId="5" borderId="0" xfId="0" applyFont="1" applyFill="1">
      <alignment vertical="center"/>
    </xf>
    <xf numFmtId="16" fontId="47" fillId="5" borderId="0" xfId="0" applyNumberFormat="1" applyFont="1" applyFill="1" applyAlignment="1">
      <alignment horizontal="right" vertical="center"/>
    </xf>
    <xf numFmtId="0" fontId="47" fillId="5" borderId="0" xfId="0" applyFont="1" applyFill="1" applyAlignment="1">
      <alignment horizontal="right" vertical="center"/>
    </xf>
    <xf numFmtId="168" fontId="47" fillId="5" borderId="0" xfId="0" applyNumberFormat="1" applyFont="1" applyFill="1" applyAlignment="1">
      <alignment horizontal="center" vertical="center"/>
    </xf>
    <xf numFmtId="169" fontId="47" fillId="5" borderId="0" xfId="0" applyNumberFormat="1" applyFont="1" applyFill="1">
      <alignment vertical="center"/>
    </xf>
    <xf numFmtId="0" fontId="47" fillId="5" borderId="51" xfId="0" applyFont="1" applyFill="1" applyBorder="1">
      <alignment vertical="center"/>
    </xf>
    <xf numFmtId="0" fontId="7" fillId="4" borderId="11" xfId="0" applyFont="1" applyFill="1" applyBorder="1" applyProtection="1">
      <alignment vertical="center"/>
      <protection locked="0"/>
    </xf>
    <xf numFmtId="170" fontId="7" fillId="2" borderId="0" xfId="0" applyNumberFormat="1" applyFont="1" applyFill="1" applyAlignment="1">
      <alignment horizontal="center" vertical="center"/>
    </xf>
    <xf numFmtId="0" fontId="13" fillId="2" borderId="0" xfId="0" applyFont="1" applyFill="1" applyAlignment="1">
      <alignment horizontal="left" vertical="center"/>
    </xf>
    <xf numFmtId="0" fontId="17" fillId="0" borderId="0" xfId="7"/>
    <xf numFmtId="0" fontId="18" fillId="6" borderId="14" xfId="0" applyFont="1" applyFill="1" applyBorder="1" applyProtection="1">
      <alignment vertical="center"/>
      <protection locked="0"/>
    </xf>
    <xf numFmtId="0" fontId="18" fillId="6" borderId="15" xfId="0" applyFont="1" applyFill="1" applyBorder="1" applyAlignment="1" applyProtection="1">
      <protection locked="0"/>
    </xf>
    <xf numFmtId="0" fontId="0" fillId="0" borderId="0" xfId="0" applyAlignment="1"/>
    <xf numFmtId="0" fontId="6" fillId="0" borderId="16" xfId="0" applyFont="1" applyBorder="1" applyProtection="1">
      <alignment vertical="center"/>
      <protection locked="0"/>
    </xf>
    <xf numFmtId="0" fontId="6" fillId="0" borderId="17" xfId="0" applyFont="1" applyBorder="1" applyAlignment="1" applyProtection="1">
      <alignment horizontal="left" indent="1"/>
      <protection locked="0"/>
    </xf>
    <xf numFmtId="0" fontId="6" fillId="0" borderId="18" xfId="0" applyFont="1" applyBorder="1" applyProtection="1">
      <alignment vertical="center"/>
      <protection locked="0"/>
    </xf>
    <xf numFmtId="0" fontId="6" fillId="0" borderId="19" xfId="0" applyFont="1" applyBorder="1" applyAlignment="1" applyProtection="1">
      <alignment horizontal="left" indent="1"/>
      <protection locked="0"/>
    </xf>
    <xf numFmtId="0" fontId="6" fillId="0" borderId="20" xfId="0" applyFont="1" applyBorder="1" applyProtection="1">
      <alignment vertical="center"/>
      <protection locked="0"/>
    </xf>
    <xf numFmtId="14" fontId="0" fillId="0" borderId="21" xfId="0" applyNumberFormat="1" applyBorder="1" applyAlignment="1">
      <alignment horizontal="left" indent="1"/>
    </xf>
    <xf numFmtId="0" fontId="6" fillId="0" borderId="22" xfId="0" applyFont="1" applyBorder="1" applyAlignment="1" applyProtection="1">
      <alignment horizontal="left" indent="1"/>
      <protection locked="0"/>
    </xf>
    <xf numFmtId="0" fontId="17" fillId="0" borderId="21" xfId="0" applyFont="1" applyBorder="1" applyAlignment="1">
      <alignment horizontal="center"/>
    </xf>
    <xf numFmtId="0" fontId="6" fillId="0" borderId="23" xfId="0" applyFont="1" applyBorder="1" applyProtection="1">
      <alignment vertical="center"/>
      <protection locked="0"/>
    </xf>
    <xf numFmtId="14" fontId="6" fillId="0" borderId="24" xfId="0" applyNumberFormat="1" applyFont="1" applyBorder="1" applyAlignment="1" applyProtection="1">
      <alignment horizontal="left" indent="1"/>
      <protection locked="0"/>
    </xf>
    <xf numFmtId="0" fontId="19" fillId="0" borderId="1" xfId="8" applyFont="1" applyBorder="1"/>
    <xf numFmtId="0" fontId="20" fillId="0" borderId="1" xfId="8" applyFont="1" applyBorder="1" applyAlignment="1">
      <alignment vertical="center" wrapText="1"/>
    </xf>
    <xf numFmtId="0" fontId="19" fillId="4" borderId="6" xfId="8" applyFont="1" applyFill="1" applyBorder="1" applyAlignment="1">
      <alignment horizontal="center" vertical="center"/>
    </xf>
    <xf numFmtId="0" fontId="24" fillId="4" borderId="25" xfId="8" applyFont="1" applyFill="1" applyBorder="1" applyAlignment="1" applyProtection="1">
      <alignment horizontal="center"/>
      <protection locked="0"/>
    </xf>
    <xf numFmtId="0" fontId="25" fillId="4" borderId="25" xfId="8" applyFont="1" applyFill="1" applyBorder="1" applyAlignment="1">
      <alignment horizontal="center"/>
    </xf>
    <xf numFmtId="174" fontId="20" fillId="0" borderId="11" xfId="8" applyNumberFormat="1" applyFont="1" applyBorder="1" applyAlignment="1" applyProtection="1">
      <alignment horizontal="center"/>
      <protection locked="0"/>
    </xf>
    <xf numFmtId="0" fontId="26" fillId="0" borderId="11" xfId="8" applyFont="1" applyBorder="1" applyAlignment="1" applyProtection="1">
      <alignment horizontal="left"/>
      <protection locked="0"/>
    </xf>
    <xf numFmtId="0" fontId="28" fillId="0" borderId="11" xfId="8" applyFont="1" applyBorder="1" applyProtection="1">
      <protection locked="0"/>
    </xf>
    <xf numFmtId="0" fontId="29" fillId="0" borderId="11" xfId="8" applyFont="1" applyBorder="1" applyAlignment="1" applyProtection="1">
      <alignment horizontal="center"/>
      <protection locked="0"/>
    </xf>
    <xf numFmtId="0" fontId="29" fillId="0" borderId="26" xfId="8" applyFont="1" applyBorder="1" applyAlignment="1">
      <alignment horizontal="center"/>
    </xf>
    <xf numFmtId="0" fontId="30" fillId="0" borderId="11" xfId="8" applyFont="1" applyBorder="1" applyAlignment="1" applyProtection="1">
      <alignment horizontal="left" indent="2"/>
      <protection locked="0"/>
    </xf>
    <xf numFmtId="0" fontId="28" fillId="0" borderId="11" xfId="8" applyFont="1" applyBorder="1" applyAlignment="1" applyProtection="1">
      <alignment horizontal="center"/>
      <protection locked="0"/>
    </xf>
    <xf numFmtId="175" fontId="31" fillId="0" borderId="11" xfId="8" applyNumberFormat="1" applyFont="1" applyBorder="1" applyAlignment="1" applyProtection="1">
      <alignment horizontal="center"/>
      <protection locked="0"/>
    </xf>
    <xf numFmtId="0" fontId="32" fillId="0" borderId="11" xfId="8" applyFont="1" applyBorder="1" applyAlignment="1" applyProtection="1">
      <alignment horizontal="center"/>
      <protection locked="0"/>
    </xf>
    <xf numFmtId="0" fontId="28" fillId="0" borderId="26" xfId="8" applyFont="1" applyBorder="1" applyAlignment="1" applyProtection="1">
      <alignment horizontal="center"/>
      <protection locked="0"/>
    </xf>
    <xf numFmtId="175" fontId="28" fillId="0" borderId="26" xfId="3" applyNumberFormat="1" applyFont="1" applyFill="1" applyBorder="1" applyAlignment="1" applyProtection="1">
      <alignment horizontal="center"/>
      <protection locked="0"/>
    </xf>
    <xf numFmtId="2" fontId="28" fillId="0" borderId="6" xfId="8" applyNumberFormat="1" applyFont="1" applyBorder="1" applyAlignment="1" applyProtection="1">
      <alignment horizontal="center"/>
      <protection locked="0"/>
    </xf>
    <xf numFmtId="0" fontId="28" fillId="0" borderId="2" xfId="8" applyFont="1" applyBorder="1" applyProtection="1">
      <protection locked="0"/>
    </xf>
    <xf numFmtId="0" fontId="32" fillId="0" borderId="2" xfId="8" applyFont="1" applyBorder="1" applyAlignment="1" applyProtection="1">
      <alignment horizontal="center"/>
      <protection locked="0"/>
    </xf>
    <xf numFmtId="0" fontId="24" fillId="0" borderId="2" xfId="8" applyFont="1" applyBorder="1" applyAlignment="1" applyProtection="1">
      <alignment horizontal="center"/>
      <protection locked="0"/>
    </xf>
    <xf numFmtId="175" fontId="28" fillId="0" borderId="2" xfId="3" applyNumberFormat="1" applyFont="1" applyFill="1" applyBorder="1" applyAlignment="1" applyProtection="1">
      <alignment horizontal="center"/>
      <protection locked="0"/>
    </xf>
    <xf numFmtId="175" fontId="20" fillId="0" borderId="11" xfId="8" applyNumberFormat="1" applyFont="1" applyBorder="1" applyAlignment="1" applyProtection="1">
      <alignment horizontal="center"/>
      <protection locked="0"/>
    </xf>
    <xf numFmtId="0" fontId="26" fillId="0" borderId="11" xfId="8" applyFont="1" applyBorder="1" applyProtection="1">
      <protection locked="0"/>
    </xf>
    <xf numFmtId="175" fontId="28" fillId="0" borderId="12" xfId="3" applyNumberFormat="1" applyFont="1" applyFill="1" applyBorder="1" applyAlignment="1" applyProtection="1">
      <alignment horizontal="center"/>
      <protection locked="0"/>
    </xf>
    <xf numFmtId="175" fontId="28" fillId="0" borderId="11" xfId="8" applyNumberFormat="1" applyFont="1" applyBorder="1" applyAlignment="1" applyProtection="1">
      <alignment horizontal="center"/>
      <protection locked="0"/>
    </xf>
    <xf numFmtId="0" fontId="31" fillId="0" borderId="26" xfId="8" applyFont="1" applyBorder="1" applyAlignment="1" applyProtection="1">
      <alignment horizontal="center"/>
      <protection locked="0"/>
    </xf>
    <xf numFmtId="4" fontId="23" fillId="0" borderId="11" xfId="8" applyNumberFormat="1" applyFont="1" applyBorder="1" applyAlignment="1" applyProtection="1">
      <alignment horizontal="center"/>
      <protection locked="0"/>
    </xf>
    <xf numFmtId="2" fontId="28" fillId="0" borderId="11" xfId="8" applyNumberFormat="1" applyFont="1" applyBorder="1" applyAlignment="1" applyProtection="1">
      <alignment horizontal="center"/>
      <protection locked="0"/>
    </xf>
    <xf numFmtId="174" fontId="31" fillId="0" borderId="11" xfId="8" applyNumberFormat="1" applyFont="1" applyBorder="1" applyAlignment="1" applyProtection="1">
      <alignment horizontal="center"/>
      <protection locked="0"/>
    </xf>
    <xf numFmtId="0" fontId="28" fillId="0" borderId="2" xfId="8" applyFont="1" applyBorder="1" applyAlignment="1" applyProtection="1">
      <alignment horizontal="center"/>
      <protection locked="0"/>
    </xf>
    <xf numFmtId="174" fontId="20" fillId="0" borderId="11" xfId="8" applyNumberFormat="1" applyFont="1" applyBorder="1" applyAlignment="1" applyProtection="1">
      <alignment horizontal="center" vertical="center"/>
      <protection locked="0"/>
    </xf>
    <xf numFmtId="0" fontId="26" fillId="0" borderId="11" xfId="8" applyFont="1" applyBorder="1" applyAlignment="1" applyProtection="1">
      <alignment vertical="center" wrapText="1"/>
      <protection locked="0"/>
    </xf>
    <xf numFmtId="177" fontId="28" fillId="0" borderId="26" xfId="3" applyNumberFormat="1" applyFont="1" applyFill="1" applyBorder="1" applyAlignment="1" applyProtection="1">
      <alignment horizontal="center"/>
      <protection locked="0"/>
    </xf>
    <xf numFmtId="0" fontId="28" fillId="0" borderId="11" xfId="8" applyFont="1" applyBorder="1" applyAlignment="1" applyProtection="1">
      <alignment wrapText="1"/>
      <protection locked="0"/>
    </xf>
    <xf numFmtId="3" fontId="28" fillId="0" borderId="26" xfId="8" applyNumberFormat="1" applyFont="1" applyBorder="1" applyAlignment="1" applyProtection="1">
      <alignment horizontal="center"/>
      <protection locked="0"/>
    </xf>
    <xf numFmtId="3" fontId="32" fillId="0" borderId="26" xfId="3" applyNumberFormat="1" applyFont="1" applyFill="1" applyBorder="1" applyAlignment="1" applyProtection="1">
      <alignment horizontal="center" wrapText="1"/>
      <protection locked="0"/>
    </xf>
    <xf numFmtId="0" fontId="31" fillId="0" borderId="2" xfId="8" applyFont="1" applyBorder="1" applyProtection="1">
      <protection locked="0"/>
    </xf>
    <xf numFmtId="174" fontId="20" fillId="0" borderId="26" xfId="5" applyNumberFormat="1" applyFont="1" applyFill="1" applyBorder="1" applyAlignment="1" applyProtection="1">
      <alignment horizontal="center"/>
      <protection locked="0"/>
    </xf>
    <xf numFmtId="0" fontId="26" fillId="0" borderId="0" xfId="8" applyFont="1" applyAlignment="1" applyProtection="1">
      <alignment vertical="center" wrapText="1"/>
      <protection locked="0"/>
    </xf>
    <xf numFmtId="3" fontId="33" fillId="0" borderId="11" xfId="8" applyNumberFormat="1" applyFont="1" applyBorder="1" applyAlignment="1" applyProtection="1">
      <alignment horizontal="center"/>
      <protection locked="0"/>
    </xf>
    <xf numFmtId="3" fontId="23" fillId="0" borderId="11" xfId="8" applyNumberFormat="1" applyFont="1" applyBorder="1" applyAlignment="1" applyProtection="1">
      <alignment horizontal="center"/>
      <protection locked="0"/>
    </xf>
    <xf numFmtId="0" fontId="31" fillId="0" borderId="11" xfId="8" applyFont="1" applyBorder="1" applyProtection="1">
      <protection locked="0"/>
    </xf>
    <xf numFmtId="9" fontId="28" fillId="0" borderId="26" xfId="3" applyNumberFormat="1" applyFont="1" applyFill="1" applyBorder="1" applyAlignment="1" applyProtection="1">
      <alignment horizontal="center"/>
      <protection locked="0"/>
    </xf>
    <xf numFmtId="3" fontId="28" fillId="0" borderId="26" xfId="3" applyNumberFormat="1" applyFont="1" applyFill="1" applyBorder="1" applyAlignment="1" applyProtection="1">
      <alignment horizontal="center"/>
      <protection locked="0"/>
    </xf>
    <xf numFmtId="174" fontId="20" fillId="0" borderId="26" xfId="8" applyNumberFormat="1" applyFont="1" applyBorder="1" applyAlignment="1" applyProtection="1">
      <alignment horizontal="center"/>
      <protection locked="0"/>
    </xf>
    <xf numFmtId="0" fontId="32" fillId="0" borderId="9" xfId="8" applyFont="1" applyBorder="1" applyAlignment="1" applyProtection="1">
      <alignment horizontal="center"/>
      <protection locked="0"/>
    </xf>
    <xf numFmtId="178" fontId="17" fillId="0" borderId="11" xfId="7" applyNumberFormat="1" applyBorder="1" applyAlignment="1" applyProtection="1">
      <alignment horizontal="left" vertical="center"/>
      <protection locked="0"/>
    </xf>
    <xf numFmtId="0" fontId="32" fillId="0" borderId="26" xfId="8" applyFont="1" applyBorder="1" applyAlignment="1" applyProtection="1">
      <alignment horizontal="center"/>
      <protection locked="0"/>
    </xf>
    <xf numFmtId="3" fontId="32" fillId="0" borderId="26" xfId="8" applyNumberFormat="1" applyFont="1" applyBorder="1" applyAlignment="1" applyProtection="1">
      <alignment horizontal="center"/>
      <protection locked="0"/>
    </xf>
    <xf numFmtId="10" fontId="28" fillId="0" borderId="26" xfId="3" applyNumberFormat="1" applyFont="1" applyFill="1" applyBorder="1" applyAlignment="1" applyProtection="1">
      <alignment horizontal="center"/>
      <protection locked="0"/>
    </xf>
    <xf numFmtId="3" fontId="32" fillId="0" borderId="26" xfId="8" applyNumberFormat="1" applyFont="1" applyBorder="1" applyAlignment="1">
      <alignment horizontal="center"/>
    </xf>
    <xf numFmtId="2" fontId="28" fillId="0" borderId="26" xfId="8" applyNumberFormat="1" applyFont="1" applyBorder="1" applyAlignment="1" applyProtection="1">
      <alignment horizontal="center"/>
      <protection locked="0"/>
    </xf>
    <xf numFmtId="3" fontId="28" fillId="0" borderId="26" xfId="8" applyNumberFormat="1" applyFont="1" applyBorder="1" applyAlignment="1">
      <alignment horizontal="center"/>
    </xf>
    <xf numFmtId="175" fontId="32" fillId="0" borderId="26" xfId="3" applyNumberFormat="1" applyFont="1" applyFill="1" applyBorder="1" applyAlignment="1" applyProtection="1">
      <alignment horizontal="center"/>
      <protection locked="0"/>
    </xf>
    <xf numFmtId="0" fontId="28" fillId="0" borderId="0" xfId="8" applyFont="1"/>
    <xf numFmtId="4" fontId="28" fillId="0" borderId="0" xfId="8" applyNumberFormat="1" applyFont="1"/>
    <xf numFmtId="175" fontId="20" fillId="0" borderId="9" xfId="8" applyNumberFormat="1" applyFont="1" applyBorder="1" applyAlignment="1" applyProtection="1">
      <alignment horizontal="center"/>
      <protection locked="0"/>
    </xf>
    <xf numFmtId="0" fontId="26" fillId="0" borderId="9" xfId="8" applyFont="1" applyBorder="1" applyProtection="1">
      <protection locked="0"/>
    </xf>
    <xf numFmtId="0" fontId="28" fillId="0" borderId="3" xfId="8" applyFont="1" applyBorder="1" applyAlignment="1" applyProtection="1">
      <alignment horizontal="center"/>
      <protection locked="0"/>
    </xf>
    <xf numFmtId="175" fontId="28" fillId="0" borderId="10" xfId="3" applyNumberFormat="1" applyFont="1" applyFill="1" applyBorder="1" applyAlignment="1" applyProtection="1">
      <alignment horizontal="center"/>
      <protection locked="0"/>
    </xf>
    <xf numFmtId="4" fontId="23" fillId="0" borderId="9" xfId="8" applyNumberFormat="1" applyFont="1" applyBorder="1" applyAlignment="1" applyProtection="1">
      <alignment horizontal="center"/>
      <protection locked="0"/>
    </xf>
    <xf numFmtId="175" fontId="28" fillId="0" borderId="6" xfId="8" applyNumberFormat="1" applyFont="1" applyBorder="1" applyAlignment="1" applyProtection="1">
      <alignment horizontal="center"/>
      <protection locked="0"/>
    </xf>
    <xf numFmtId="0" fontId="28" fillId="0" borderId="6" xfId="8" applyFont="1" applyBorder="1" applyProtection="1">
      <protection locked="0"/>
    </xf>
    <xf numFmtId="0" fontId="32" fillId="0" borderId="6" xfId="8" applyFont="1" applyBorder="1" applyAlignment="1" applyProtection="1">
      <alignment horizontal="center"/>
      <protection locked="0"/>
    </xf>
    <xf numFmtId="0" fontId="28" fillId="0" borderId="8" xfId="8" applyFont="1" applyBorder="1" applyAlignment="1" applyProtection="1">
      <alignment horizontal="center"/>
      <protection locked="0"/>
    </xf>
    <xf numFmtId="175" fontId="28" fillId="0" borderId="7" xfId="3" applyNumberFormat="1" applyFont="1" applyFill="1" applyBorder="1" applyAlignment="1" applyProtection="1">
      <alignment horizontal="center"/>
      <protection locked="0"/>
    </xf>
    <xf numFmtId="0" fontId="35" fillId="0" borderId="0" xfId="0" applyFont="1">
      <alignment vertical="center"/>
    </xf>
    <xf numFmtId="0" fontId="36" fillId="4" borderId="8" xfId="0" applyFont="1" applyFill="1" applyBorder="1" applyAlignment="1" applyProtection="1">
      <alignment horizontal="center" vertical="center"/>
      <protection locked="0"/>
    </xf>
    <xf numFmtId="0" fontId="11" fillId="5" borderId="0" xfId="0" applyFont="1" applyFill="1" applyAlignment="1" applyProtection="1">
      <alignment horizontal="left" vertical="center"/>
      <protection locked="0"/>
    </xf>
    <xf numFmtId="170" fontId="7" fillId="5" borderId="0" xfId="0" applyNumberFormat="1" applyFont="1" applyFill="1" applyAlignment="1">
      <alignment horizontal="center" vertical="center"/>
    </xf>
    <xf numFmtId="170" fontId="16" fillId="5" borderId="0" xfId="1" applyNumberFormat="1" applyFill="1" applyBorder="1" applyAlignment="1" applyProtection="1">
      <alignment horizontal="left" vertical="center"/>
      <protection locked="0"/>
    </xf>
    <xf numFmtId="170" fontId="13" fillId="5" borderId="0" xfId="0" applyNumberFormat="1" applyFont="1" applyFill="1" applyAlignment="1" applyProtection="1">
      <alignment horizontal="left" vertical="center"/>
      <protection locked="0"/>
    </xf>
    <xf numFmtId="0" fontId="11" fillId="5" borderId="0" xfId="0" applyFont="1" applyFill="1">
      <alignment vertical="center"/>
    </xf>
    <xf numFmtId="0" fontId="7" fillId="5" borderId="0" xfId="0" applyFont="1" applyFill="1" applyAlignment="1" applyProtection="1">
      <alignment horizontal="left" vertical="center"/>
      <protection locked="0"/>
    </xf>
    <xf numFmtId="2" fontId="29" fillId="0" borderId="11" xfId="8" applyNumberFormat="1" applyFont="1" applyBorder="1" applyAlignment="1" applyProtection="1">
      <alignment horizontal="center"/>
      <protection locked="0"/>
    </xf>
    <xf numFmtId="2" fontId="29" fillId="0" borderId="26" xfId="8" applyNumberFormat="1" applyFont="1" applyBorder="1" applyAlignment="1">
      <alignment horizontal="center"/>
    </xf>
    <xf numFmtId="0" fontId="55" fillId="0" borderId="0" xfId="0" applyFont="1">
      <alignment vertical="center"/>
    </xf>
    <xf numFmtId="0" fontId="37" fillId="0" borderId="0" xfId="0" applyFont="1">
      <alignment vertical="center"/>
    </xf>
    <xf numFmtId="0" fontId="19" fillId="4" borderId="3" xfId="8" applyFont="1" applyFill="1" applyBorder="1" applyAlignment="1">
      <alignment horizontal="center" vertical="center"/>
    </xf>
    <xf numFmtId="0" fontId="0" fillId="0" borderId="0" xfId="0" applyAlignment="1">
      <alignment horizontal="center"/>
    </xf>
    <xf numFmtId="0" fontId="0" fillId="0" borderId="0" xfId="0" applyAlignment="1">
      <alignment horizontal="center" vertical="center"/>
    </xf>
    <xf numFmtId="0" fontId="17" fillId="0" borderId="0" xfId="7" applyAlignment="1">
      <alignment horizontal="center"/>
    </xf>
    <xf numFmtId="0" fontId="0" fillId="6" borderId="15" xfId="0" applyFill="1" applyBorder="1" applyAlignment="1">
      <alignment horizontal="center"/>
    </xf>
    <xf numFmtId="0" fontId="18" fillId="6" borderId="15" xfId="0" applyFont="1" applyFill="1" applyBorder="1" applyAlignment="1" applyProtection="1">
      <alignment horizontal="center"/>
      <protection locked="0"/>
    </xf>
    <xf numFmtId="0" fontId="18" fillId="6" borderId="27" xfId="0" applyFont="1" applyFill="1" applyBorder="1" applyAlignment="1" applyProtection="1">
      <alignment horizontal="center"/>
      <protection locked="0"/>
    </xf>
    <xf numFmtId="0" fontId="0" fillId="0" borderId="28" xfId="0" applyBorder="1" applyAlignment="1">
      <alignment horizontal="center"/>
    </xf>
    <xf numFmtId="0" fontId="0" fillId="0" borderId="28" xfId="0" applyBorder="1" applyAlignment="1" applyProtection="1">
      <alignment horizontal="center"/>
      <protection locked="0"/>
    </xf>
    <xf numFmtId="0" fontId="17" fillId="0" borderId="28" xfId="0" applyFont="1" applyBorder="1" applyAlignment="1" applyProtection="1">
      <alignment horizontal="center"/>
      <protection locked="0"/>
    </xf>
    <xf numFmtId="0" fontId="17" fillId="0" borderId="29" xfId="0" applyFont="1" applyBorder="1" applyAlignment="1" applyProtection="1">
      <alignment horizontal="center"/>
      <protection locked="0"/>
    </xf>
    <xf numFmtId="0" fontId="0" fillId="0" borderId="21" xfId="0" applyBorder="1" applyAlignment="1">
      <alignment horizontal="center"/>
    </xf>
    <xf numFmtId="0" fontId="0" fillId="0" borderId="21" xfId="0" applyBorder="1" applyAlignment="1" applyProtection="1">
      <alignment horizontal="center"/>
      <protection locked="0"/>
    </xf>
    <xf numFmtId="0" fontId="17" fillId="0" borderId="21" xfId="0" applyFont="1" applyBorder="1" applyAlignment="1" applyProtection="1">
      <alignment horizontal="center"/>
      <protection locked="0"/>
    </xf>
    <xf numFmtId="0" fontId="17" fillId="0" borderId="30" xfId="0" applyFont="1" applyBorder="1" applyAlignment="1" applyProtection="1">
      <alignment horizontal="center"/>
      <protection locked="0"/>
    </xf>
    <xf numFmtId="14" fontId="0" fillId="0" borderId="31" xfId="0" applyNumberFormat="1" applyBorder="1" applyAlignment="1">
      <alignment horizontal="center"/>
    </xf>
    <xf numFmtId="0" fontId="0" fillId="0" borderId="31" xfId="0" applyBorder="1" applyAlignment="1" applyProtection="1">
      <alignment horizontal="center"/>
      <protection locked="0"/>
    </xf>
    <xf numFmtId="0" fontId="17" fillId="0" borderId="31" xfId="0" applyFont="1" applyBorder="1" applyAlignment="1" applyProtection="1">
      <alignment horizontal="center"/>
      <protection locked="0"/>
    </xf>
    <xf numFmtId="0" fontId="17" fillId="0" borderId="32" xfId="0" applyFont="1" applyBorder="1" applyAlignment="1" applyProtection="1">
      <alignment horizontal="center"/>
      <protection locked="0"/>
    </xf>
    <xf numFmtId="0" fontId="20" fillId="0" borderId="1" xfId="8" applyFont="1" applyBorder="1" applyAlignment="1">
      <alignment horizontal="center" vertical="center" wrapText="1"/>
    </xf>
    <xf numFmtId="0" fontId="19" fillId="0" borderId="1" xfId="8" applyFont="1" applyBorder="1" applyAlignment="1">
      <alignment horizontal="center" vertical="center"/>
    </xf>
    <xf numFmtId="0" fontId="27" fillId="0" borderId="11" xfId="8" applyFont="1" applyBorder="1" applyAlignment="1" applyProtection="1">
      <alignment horizontal="center"/>
      <protection locked="0"/>
    </xf>
    <xf numFmtId="0" fontId="28" fillId="0" borderId="26" xfId="8" applyFont="1" applyBorder="1" applyAlignment="1">
      <alignment horizontal="center"/>
    </xf>
    <xf numFmtId="174" fontId="28" fillId="0" borderId="26" xfId="8" applyNumberFormat="1" applyFont="1" applyBorder="1" applyAlignment="1">
      <alignment horizontal="center"/>
    </xf>
    <xf numFmtId="3" fontId="28" fillId="0" borderId="11" xfId="8" applyNumberFormat="1" applyFont="1" applyBorder="1" applyAlignment="1" applyProtection="1">
      <alignment horizontal="center"/>
      <protection locked="0"/>
    </xf>
    <xf numFmtId="174" fontId="28" fillId="0" borderId="26" xfId="3" applyNumberFormat="1" applyFont="1" applyFill="1" applyBorder="1" applyAlignment="1">
      <alignment horizontal="center"/>
    </xf>
    <xf numFmtId="3" fontId="31" fillId="0" borderId="2" xfId="8" applyNumberFormat="1" applyFont="1" applyBorder="1" applyAlignment="1" applyProtection="1">
      <alignment horizontal="center"/>
      <protection locked="0"/>
    </xf>
    <xf numFmtId="176" fontId="31" fillId="0" borderId="2" xfId="8" applyNumberFormat="1" applyFont="1" applyBorder="1" applyAlignment="1">
      <alignment horizontal="center"/>
    </xf>
    <xf numFmtId="174" fontId="31" fillId="0" borderId="7" xfId="8" applyNumberFormat="1" applyFont="1" applyBorder="1" applyAlignment="1" applyProtection="1">
      <alignment horizontal="center"/>
      <protection locked="0"/>
    </xf>
    <xf numFmtId="3" fontId="28" fillId="0" borderId="25" xfId="8" applyNumberFormat="1" applyFont="1" applyBorder="1" applyAlignment="1">
      <alignment horizontal="center"/>
    </xf>
    <xf numFmtId="174" fontId="28" fillId="0" borderId="25" xfId="3" applyNumberFormat="1" applyFont="1" applyFill="1" applyBorder="1" applyAlignment="1">
      <alignment horizontal="center"/>
    </xf>
    <xf numFmtId="4" fontId="28" fillId="0" borderId="11" xfId="8" applyNumberFormat="1" applyFont="1" applyBorder="1" applyAlignment="1">
      <alignment horizontal="center"/>
    </xf>
    <xf numFmtId="4" fontId="28" fillId="0" borderId="11" xfId="8" applyNumberFormat="1" applyFont="1" applyBorder="1" applyAlignment="1" applyProtection="1">
      <alignment horizontal="center"/>
      <protection locked="0"/>
    </xf>
    <xf numFmtId="174" fontId="31" fillId="0" borderId="7" xfId="8" applyNumberFormat="1" applyFont="1" applyBorder="1" applyAlignment="1">
      <alignment horizontal="center"/>
    </xf>
    <xf numFmtId="3" fontId="28" fillId="0" borderId="11" xfId="8" applyNumberFormat="1" applyFont="1" applyBorder="1" applyAlignment="1">
      <alignment horizontal="center"/>
    </xf>
    <xf numFmtId="176" fontId="31" fillId="0" borderId="2" xfId="8" applyNumberFormat="1" applyFont="1" applyBorder="1" applyAlignment="1" applyProtection="1">
      <alignment horizontal="center"/>
      <protection locked="0"/>
    </xf>
    <xf numFmtId="0" fontId="28" fillId="0" borderId="11" xfId="8" applyFont="1" applyBorder="1" applyAlignment="1">
      <alignment horizontal="center"/>
    </xf>
    <xf numFmtId="4" fontId="28" fillId="0" borderId="11" xfId="3" applyNumberFormat="1" applyFont="1" applyFill="1" applyBorder="1" applyAlignment="1" applyProtection="1">
      <alignment horizontal="center"/>
      <protection locked="0"/>
    </xf>
    <xf numFmtId="4" fontId="31" fillId="0" borderId="2" xfId="8" applyNumberFormat="1" applyFont="1" applyBorder="1" applyAlignment="1" applyProtection="1">
      <alignment horizontal="center"/>
      <protection locked="0"/>
    </xf>
    <xf numFmtId="174" fontId="28" fillId="0" borderId="3" xfId="3" applyNumberFormat="1" applyFont="1" applyFill="1" applyBorder="1" applyAlignment="1">
      <alignment horizontal="center"/>
    </xf>
    <xf numFmtId="9" fontId="28" fillId="0" borderId="11" xfId="11" applyFont="1" applyFill="1" applyBorder="1" applyAlignment="1" applyProtection="1">
      <alignment horizontal="center"/>
      <protection locked="0"/>
    </xf>
    <xf numFmtId="3" fontId="28" fillId="0" borderId="6" xfId="8" applyNumberFormat="1" applyFont="1" applyBorder="1" applyAlignment="1" applyProtection="1">
      <alignment horizontal="center"/>
      <protection locked="0"/>
    </xf>
    <xf numFmtId="174" fontId="31" fillId="0" borderId="8" xfId="3" applyNumberFormat="1" applyFont="1" applyFill="1" applyBorder="1" applyAlignment="1">
      <alignment horizontal="center"/>
    </xf>
    <xf numFmtId="0" fontId="28" fillId="0" borderId="0" xfId="8" applyFont="1" applyAlignment="1">
      <alignment horizontal="center"/>
    </xf>
    <xf numFmtId="176" fontId="31" fillId="0" borderId="0" xfId="8" applyNumberFormat="1" applyFont="1" applyAlignment="1">
      <alignment horizontal="center"/>
    </xf>
    <xf numFmtId="4" fontId="31" fillId="0" borderId="0" xfId="8" applyNumberFormat="1" applyFont="1" applyAlignment="1">
      <alignment horizontal="center"/>
    </xf>
    <xf numFmtId="175" fontId="17" fillId="0" borderId="0" xfId="7" applyNumberFormat="1" applyAlignment="1">
      <alignment horizontal="center"/>
    </xf>
    <xf numFmtId="0" fontId="8" fillId="4" borderId="8" xfId="0" applyFont="1" applyFill="1" applyBorder="1" applyAlignment="1" applyProtection="1">
      <alignment horizontal="center" vertical="center"/>
      <protection locked="0"/>
    </xf>
    <xf numFmtId="9" fontId="56" fillId="4" borderId="1" xfId="11" applyFont="1" applyFill="1" applyBorder="1" applyAlignment="1" applyProtection="1">
      <alignment vertical="center"/>
      <protection locked="0"/>
    </xf>
    <xf numFmtId="9" fontId="56" fillId="4" borderId="1" xfId="11" applyFont="1" applyFill="1" applyBorder="1" applyAlignment="1" applyProtection="1">
      <alignment horizontal="left" vertical="center"/>
      <protection locked="0"/>
    </xf>
    <xf numFmtId="10" fontId="10" fillId="2" borderId="9" xfId="0" applyNumberFormat="1" applyFont="1" applyFill="1" applyBorder="1">
      <alignment vertical="center"/>
    </xf>
    <xf numFmtId="10" fontId="10" fillId="2" borderId="10" xfId="0" applyNumberFormat="1" applyFont="1" applyFill="1" applyBorder="1">
      <alignment vertical="center"/>
    </xf>
    <xf numFmtId="10" fontId="10" fillId="2" borderId="14" xfId="0" applyNumberFormat="1" applyFont="1" applyFill="1" applyBorder="1">
      <alignment vertical="center"/>
    </xf>
    <xf numFmtId="10" fontId="10" fillId="2" borderId="33" xfId="0" applyNumberFormat="1" applyFont="1" applyFill="1" applyBorder="1">
      <alignment vertical="center"/>
    </xf>
    <xf numFmtId="16" fontId="11" fillId="2" borderId="0" xfId="0" applyNumberFormat="1" applyFont="1" applyFill="1" applyAlignment="1">
      <alignment horizontal="left" vertical="center"/>
    </xf>
    <xf numFmtId="4" fontId="28" fillId="0" borderId="0" xfId="3" applyNumberFormat="1" applyFont="1" applyFill="1" applyBorder="1" applyAlignment="1" applyProtection="1">
      <alignment horizontal="center"/>
      <protection locked="0"/>
    </xf>
    <xf numFmtId="4" fontId="32" fillId="0" borderId="26" xfId="8" applyNumberFormat="1" applyFont="1" applyBorder="1" applyAlignment="1" applyProtection="1">
      <alignment horizontal="center"/>
      <protection locked="0"/>
    </xf>
    <xf numFmtId="174" fontId="31" fillId="0" borderId="11" xfId="8" applyNumberFormat="1" applyFont="1" applyBorder="1" applyAlignment="1" applyProtection="1">
      <alignment vertical="center"/>
      <protection locked="0"/>
    </xf>
    <xf numFmtId="0" fontId="28" fillId="0" borderId="11" xfId="8" applyFont="1" applyBorder="1" applyAlignment="1" applyProtection="1">
      <alignment vertical="center" wrapText="1"/>
      <protection locked="0"/>
    </xf>
    <xf numFmtId="0" fontId="17" fillId="0" borderId="0" xfId="7" applyAlignment="1">
      <alignment vertical="center"/>
    </xf>
    <xf numFmtId="3" fontId="28" fillId="0" borderId="26" xfId="8" applyNumberFormat="1" applyFont="1" applyBorder="1" applyAlignment="1" applyProtection="1">
      <alignment horizontal="center" vertical="center"/>
      <protection locked="0"/>
    </xf>
    <xf numFmtId="3" fontId="32" fillId="0" borderId="26" xfId="3" applyNumberFormat="1" applyFont="1" applyFill="1" applyBorder="1" applyAlignment="1" applyProtection="1">
      <alignment horizontal="center" vertical="center" wrapText="1"/>
      <protection locked="0"/>
    </xf>
    <xf numFmtId="4" fontId="28" fillId="0" borderId="11" xfId="8" applyNumberFormat="1" applyFont="1" applyBorder="1" applyAlignment="1" applyProtection="1">
      <alignment horizontal="center" vertical="center"/>
      <protection locked="0"/>
    </xf>
    <xf numFmtId="4" fontId="28" fillId="0" borderId="11" xfId="8" applyNumberFormat="1" applyFont="1" applyBorder="1" applyAlignment="1">
      <alignment horizontal="center" vertical="center"/>
    </xf>
    <xf numFmtId="174" fontId="28" fillId="0" borderId="26" xfId="3" applyNumberFormat="1" applyFont="1" applyFill="1" applyBorder="1" applyAlignment="1">
      <alignment horizontal="center" vertical="center"/>
    </xf>
    <xf numFmtId="0" fontId="32" fillId="0" borderId="11" xfId="8" applyFont="1" applyBorder="1" applyAlignment="1" applyProtection="1">
      <alignment horizontal="center" vertical="center"/>
      <protection locked="0"/>
    </xf>
    <xf numFmtId="174" fontId="31" fillId="0" borderId="11" xfId="8" applyNumberFormat="1" applyFont="1" applyBorder="1" applyAlignment="1" applyProtection="1">
      <alignment horizontal="center" vertical="center"/>
      <protection locked="0"/>
    </xf>
    <xf numFmtId="0" fontId="28" fillId="0" borderId="26" xfId="8" applyFont="1" applyBorder="1" applyAlignment="1" applyProtection="1">
      <alignment horizontal="center" vertical="center"/>
      <protection locked="0"/>
    </xf>
    <xf numFmtId="177" fontId="28" fillId="0" borderId="26" xfId="3" applyNumberFormat="1" applyFont="1" applyFill="1" applyBorder="1" applyAlignment="1" applyProtection="1">
      <alignment horizontal="center" vertical="center"/>
      <protection locked="0"/>
    </xf>
    <xf numFmtId="3" fontId="28" fillId="0" borderId="11" xfId="8" applyNumberFormat="1" applyFont="1" applyBorder="1" applyAlignment="1">
      <alignment horizontal="center" vertical="center"/>
    </xf>
    <xf numFmtId="0" fontId="34" fillId="4" borderId="1" xfId="6" applyFont="1" applyFill="1" applyBorder="1" applyAlignment="1">
      <alignment horizontal="left" vertical="center" indent="1"/>
    </xf>
    <xf numFmtId="0" fontId="12" fillId="2" borderId="63" xfId="0" applyFont="1" applyFill="1" applyBorder="1">
      <alignment vertical="center"/>
    </xf>
    <xf numFmtId="0" fontId="12" fillId="2" borderId="56" xfId="0" applyFont="1" applyFill="1" applyBorder="1">
      <alignment vertical="center"/>
    </xf>
    <xf numFmtId="0" fontId="57" fillId="7" borderId="0" xfId="8" applyFont="1" applyFill="1" applyAlignment="1">
      <alignment horizontal="center"/>
    </xf>
    <xf numFmtId="175" fontId="19" fillId="0" borderId="0" xfId="8" applyNumberFormat="1" applyFont="1" applyAlignment="1">
      <alignment horizontal="center"/>
    </xf>
    <xf numFmtId="0" fontId="40" fillId="0" borderId="0" xfId="10"/>
    <xf numFmtId="0" fontId="41" fillId="0" borderId="0" xfId="10" applyFont="1" applyAlignment="1">
      <alignment horizontal="right" vertical="center"/>
    </xf>
    <xf numFmtId="172" fontId="42" fillId="0" borderId="0" xfId="10" applyNumberFormat="1" applyFont="1" applyAlignment="1">
      <alignment horizontal="right" vertical="center"/>
    </xf>
    <xf numFmtId="172" fontId="41" fillId="0" borderId="0" xfId="10" applyNumberFormat="1" applyFont="1" applyAlignment="1">
      <alignment horizontal="right" vertical="center"/>
    </xf>
    <xf numFmtId="171" fontId="41" fillId="0" borderId="0" xfId="10" applyNumberFormat="1" applyFont="1" applyAlignment="1">
      <alignment horizontal="right" vertical="center"/>
    </xf>
    <xf numFmtId="0" fontId="42" fillId="0" borderId="0" xfId="10" applyFont="1" applyAlignment="1">
      <alignment horizontal="right" vertical="center"/>
    </xf>
    <xf numFmtId="0" fontId="43" fillId="0" borderId="0" xfId="0" applyFont="1" applyProtection="1">
      <alignment vertical="center"/>
      <protection locked="0"/>
    </xf>
    <xf numFmtId="0" fontId="44" fillId="0" borderId="0" xfId="0" applyFont="1">
      <alignment vertical="center"/>
    </xf>
    <xf numFmtId="0" fontId="0" fillId="0" borderId="0" xfId="0" applyAlignment="1">
      <alignment vertical="top"/>
    </xf>
    <xf numFmtId="0" fontId="58" fillId="0" borderId="0" xfId="0" applyFont="1" applyAlignment="1">
      <alignment horizontal="center" vertical="center"/>
    </xf>
    <xf numFmtId="0" fontId="58" fillId="0" borderId="0" xfId="0" applyFont="1">
      <alignment vertical="center"/>
    </xf>
    <xf numFmtId="0" fontId="59" fillId="0" borderId="0" xfId="0" applyFont="1" applyAlignment="1">
      <alignment horizontal="center" vertical="center"/>
    </xf>
    <xf numFmtId="0" fontId="60" fillId="0" borderId="34" xfId="0" quotePrefix="1" applyFont="1" applyBorder="1" applyAlignment="1" applyProtection="1">
      <alignment horizontal="center" vertical="center"/>
      <protection locked="0"/>
    </xf>
    <xf numFmtId="0" fontId="61" fillId="0" borderId="35" xfId="0" applyFont="1" applyBorder="1" applyProtection="1">
      <alignment vertical="center"/>
      <protection locked="0"/>
    </xf>
    <xf numFmtId="0" fontId="61" fillId="0" borderId="35" xfId="0" applyFont="1" applyBorder="1" applyAlignment="1" applyProtection="1">
      <alignment horizontal="center" vertical="center"/>
      <protection locked="0"/>
    </xf>
    <xf numFmtId="4" fontId="61" fillId="0" borderId="35" xfId="0" applyNumberFormat="1" applyFont="1" applyBorder="1" applyAlignment="1" applyProtection="1">
      <alignment horizontal="center" vertical="center"/>
      <protection locked="0"/>
    </xf>
    <xf numFmtId="4" fontId="61" fillId="0" borderId="36" xfId="0" applyNumberFormat="1" applyFont="1" applyBorder="1" applyAlignment="1" applyProtection="1">
      <alignment horizontal="center" vertical="center"/>
      <protection locked="0"/>
    </xf>
    <xf numFmtId="0" fontId="62" fillId="0" borderId="34" xfId="0" quotePrefix="1" applyFont="1" applyBorder="1" applyAlignment="1" applyProtection="1">
      <alignment horizontal="center" vertical="center"/>
      <protection locked="0"/>
    </xf>
    <xf numFmtId="0" fontId="62" fillId="0" borderId="35" xfId="0" applyFont="1" applyBorder="1" applyAlignment="1" applyProtection="1">
      <alignment vertical="center" wrapText="1"/>
      <protection locked="0"/>
    </xf>
    <xf numFmtId="0" fontId="62" fillId="0" borderId="35" xfId="0" applyFont="1" applyBorder="1" applyAlignment="1" applyProtection="1">
      <alignment horizontal="center" vertical="center"/>
      <protection locked="0"/>
    </xf>
    <xf numFmtId="4" fontId="62" fillId="0" borderId="35" xfId="0" applyNumberFormat="1" applyFont="1" applyBorder="1" applyAlignment="1" applyProtection="1">
      <alignment horizontal="center" vertical="center"/>
      <protection locked="0"/>
    </xf>
    <xf numFmtId="4" fontId="62" fillId="0" borderId="36" xfId="0" applyNumberFormat="1" applyFont="1" applyBorder="1" applyAlignment="1" applyProtection="1">
      <alignment horizontal="center" vertical="center"/>
      <protection locked="0"/>
    </xf>
    <xf numFmtId="0" fontId="63" fillId="0" borderId="35" xfId="9" applyFont="1" applyBorder="1" applyAlignment="1">
      <alignment horizontal="left" vertical="center"/>
    </xf>
    <xf numFmtId="0" fontId="64" fillId="0" borderId="0" xfId="0" applyFont="1" applyAlignment="1">
      <alignment horizontal="right" vertical="center"/>
    </xf>
    <xf numFmtId="0" fontId="64" fillId="2" borderId="37" xfId="0" applyFont="1" applyFill="1" applyBorder="1" applyAlignment="1" applyProtection="1">
      <alignment horizontal="center" vertical="center"/>
      <protection locked="0"/>
    </xf>
    <xf numFmtId="0" fontId="64" fillId="2" borderId="38" xfId="0" applyFont="1" applyFill="1" applyBorder="1" applyAlignment="1" applyProtection="1">
      <alignment horizontal="center" vertical="center"/>
      <protection locked="0"/>
    </xf>
    <xf numFmtId="0" fontId="64" fillId="0" borderId="37" xfId="0" applyFont="1" applyBorder="1" applyAlignment="1">
      <alignment horizontal="center" vertical="center"/>
    </xf>
    <xf numFmtId="0" fontId="64" fillId="0" borderId="38" xfId="0" applyFont="1" applyBorder="1" applyAlignment="1">
      <alignment horizontal="center" vertical="center"/>
    </xf>
    <xf numFmtId="2" fontId="64" fillId="0" borderId="39" xfId="0" applyNumberFormat="1" applyFont="1" applyBorder="1" applyAlignment="1">
      <alignment horizontal="center" vertical="center" wrapText="1"/>
    </xf>
    <xf numFmtId="0" fontId="65" fillId="0" borderId="40" xfId="0" applyFont="1" applyBorder="1" applyAlignment="1">
      <alignment horizontal="center" vertical="center"/>
    </xf>
    <xf numFmtId="0" fontId="66" fillId="0" borderId="41" xfId="0" applyFont="1" applyBorder="1" applyAlignment="1">
      <alignment horizontal="left" vertical="top" wrapText="1"/>
    </xf>
    <xf numFmtId="0" fontId="65" fillId="0" borderId="41" xfId="0" applyFont="1" applyBorder="1" applyAlignment="1">
      <alignment horizontal="center" vertical="center"/>
    </xf>
    <xf numFmtId="4" fontId="66" fillId="0" borderId="42" xfId="0" applyNumberFormat="1" applyFont="1" applyBorder="1" applyAlignment="1">
      <alignment horizontal="center" vertical="center"/>
    </xf>
    <xf numFmtId="0" fontId="63" fillId="0" borderId="43" xfId="0" applyFont="1" applyBorder="1" applyAlignment="1">
      <alignment horizontal="center" vertical="center"/>
    </xf>
    <xf numFmtId="0" fontId="63" fillId="0" borderId="8" xfId="0" applyFont="1" applyBorder="1" applyAlignment="1">
      <alignment horizontal="left" vertical="top" wrapText="1"/>
    </xf>
    <xf numFmtId="0" fontId="63" fillId="0" borderId="8" xfId="0" applyFont="1" applyBorder="1" applyAlignment="1">
      <alignment horizontal="center" vertical="center"/>
    </xf>
    <xf numFmtId="4" fontId="63" fillId="0" borderId="8" xfId="0" applyNumberFormat="1" applyFont="1" applyBorder="1" applyAlignment="1">
      <alignment horizontal="center" vertical="center"/>
    </xf>
    <xf numFmtId="4" fontId="63" fillId="0" borderId="44" xfId="0" applyNumberFormat="1" applyFont="1" applyBorder="1" applyAlignment="1">
      <alignment horizontal="center" vertical="center"/>
    </xf>
    <xf numFmtId="0" fontId="65" fillId="0" borderId="43" xfId="0" applyFont="1" applyBorder="1" applyAlignment="1">
      <alignment horizontal="center" vertical="center"/>
    </xf>
    <xf numFmtId="0" fontId="66" fillId="0" borderId="8" xfId="0" applyFont="1" applyBorder="1" applyAlignment="1">
      <alignment horizontal="left" vertical="top" wrapText="1"/>
    </xf>
    <xf numFmtId="0" fontId="65" fillId="0" borderId="8" xfId="0" applyFont="1" applyBorder="1" applyAlignment="1">
      <alignment horizontal="center" vertical="center"/>
    </xf>
    <xf numFmtId="4" fontId="66" fillId="0" borderId="44" xfId="0" applyNumberFormat="1" applyFont="1" applyBorder="1" applyAlignment="1">
      <alignment horizontal="center" vertical="center"/>
    </xf>
    <xf numFmtId="0" fontId="63" fillId="8" borderId="43" xfId="0" applyFont="1" applyFill="1" applyBorder="1" applyAlignment="1">
      <alignment horizontal="center" vertical="center"/>
    </xf>
    <xf numFmtId="0" fontId="63" fillId="8" borderId="8" xfId="0" applyFont="1" applyFill="1" applyBorder="1" applyAlignment="1">
      <alignment horizontal="left" vertical="top" wrapText="1"/>
    </xf>
    <xf numFmtId="4" fontId="63" fillId="8" borderId="8" xfId="0" applyNumberFormat="1" applyFont="1" applyFill="1" applyBorder="1" applyAlignment="1">
      <alignment horizontal="center" vertical="center"/>
    </xf>
    <xf numFmtId="4" fontId="0" fillId="0" borderId="0" xfId="0" applyNumberFormat="1">
      <alignment vertical="center"/>
    </xf>
    <xf numFmtId="0" fontId="63" fillId="8" borderId="43" xfId="0" quotePrefix="1" applyFont="1" applyFill="1" applyBorder="1" applyAlignment="1">
      <alignment horizontal="center" vertical="center"/>
    </xf>
    <xf numFmtId="0" fontId="63" fillId="0" borderId="43" xfId="0" quotePrefix="1" applyFont="1" applyBorder="1" applyAlignment="1">
      <alignment horizontal="center" vertical="center"/>
    </xf>
    <xf numFmtId="2" fontId="34" fillId="4" borderId="1" xfId="6" applyNumberFormat="1" applyFont="1" applyFill="1" applyBorder="1" applyAlignment="1">
      <alignment horizontal="left" vertical="center" indent="1"/>
    </xf>
    <xf numFmtId="0" fontId="71" fillId="0" borderId="0" xfId="0" applyFont="1" applyAlignment="1">
      <alignment horizontal="right" vertical="center"/>
    </xf>
    <xf numFmtId="0" fontId="70" fillId="0" borderId="0" xfId="0" applyFont="1" applyAlignment="1">
      <alignment horizontal="right" vertical="center"/>
    </xf>
    <xf numFmtId="171" fontId="71" fillId="0" borderId="0" xfId="0" applyNumberFormat="1" applyFont="1" applyAlignment="1">
      <alignment horizontal="right" vertical="center"/>
    </xf>
    <xf numFmtId="172" fontId="71" fillId="0" borderId="0" xfId="0" applyNumberFormat="1" applyFont="1" applyAlignment="1">
      <alignment horizontal="right" vertical="center"/>
    </xf>
    <xf numFmtId="172" fontId="70" fillId="0" borderId="0" xfId="0" applyNumberFormat="1" applyFont="1" applyAlignment="1">
      <alignment horizontal="right" vertical="center"/>
    </xf>
    <xf numFmtId="0" fontId="4" fillId="0" borderId="0" xfId="0" applyFont="1" applyAlignment="1"/>
    <xf numFmtId="4" fontId="0" fillId="5" borderId="0" xfId="0" applyNumberFormat="1" applyFill="1" applyAlignment="1">
      <alignment horizontal="right" vertical="center"/>
    </xf>
    <xf numFmtId="0" fontId="64" fillId="0" borderId="0" xfId="0" applyFont="1" applyAlignment="1">
      <alignment horizontal="center" vertical="center"/>
    </xf>
    <xf numFmtId="0" fontId="50" fillId="0" borderId="0" xfId="0" applyFont="1">
      <alignment vertical="center"/>
    </xf>
    <xf numFmtId="0" fontId="50" fillId="0" borderId="0" xfId="0" applyFont="1" applyAlignment="1">
      <alignment horizontal="center" vertical="center"/>
    </xf>
    <xf numFmtId="0" fontId="72" fillId="12" borderId="8" xfId="0" applyFont="1" applyFill="1" applyBorder="1" applyAlignment="1">
      <alignment horizontal="center"/>
    </xf>
    <xf numFmtId="0" fontId="74" fillId="12" borderId="8" xfId="0" applyFont="1" applyFill="1" applyBorder="1" applyAlignment="1">
      <alignment horizontal="center"/>
    </xf>
    <xf numFmtId="0" fontId="73" fillId="0" borderId="8" xfId="0" applyFont="1" applyBorder="1" applyAlignment="1"/>
    <xf numFmtId="0" fontId="0" fillId="0" borderId="8" xfId="0" applyBorder="1" applyAlignment="1"/>
    <xf numFmtId="0" fontId="0" fillId="5" borderId="8" xfId="0" applyFill="1" applyBorder="1" applyAlignment="1"/>
    <xf numFmtId="0" fontId="0" fillId="0" borderId="8" xfId="0" applyBorder="1" applyAlignment="1">
      <alignment horizontal="center"/>
    </xf>
    <xf numFmtId="2" fontId="73" fillId="0" borderId="8" xfId="0" applyNumberFormat="1" applyFont="1" applyBorder="1" applyAlignment="1">
      <alignment horizontal="center"/>
    </xf>
    <xf numFmtId="2" fontId="0" fillId="0" borderId="8" xfId="0" applyNumberFormat="1" applyBorder="1" applyAlignment="1">
      <alignment horizontal="center"/>
    </xf>
    <xf numFmtId="0" fontId="0" fillId="10" borderId="8" xfId="0" applyFill="1" applyBorder="1" applyAlignment="1">
      <alignment horizontal="center"/>
    </xf>
    <xf numFmtId="4" fontId="79" fillId="11" borderId="78" xfId="0" applyNumberFormat="1" applyFont="1" applyFill="1" applyBorder="1" applyAlignment="1">
      <alignment horizontal="center" vertical="center"/>
    </xf>
    <xf numFmtId="181" fontId="31" fillId="0" borderId="0" xfId="2" applyNumberFormat="1" applyFont="1" applyFill="1" applyBorder="1" applyAlignment="1">
      <alignment horizontal="center"/>
    </xf>
    <xf numFmtId="181" fontId="0" fillId="0" borderId="0" xfId="0" applyNumberFormat="1">
      <alignment vertical="center"/>
    </xf>
    <xf numFmtId="2" fontId="17" fillId="0" borderId="0" xfId="7" applyNumberFormat="1"/>
    <xf numFmtId="167" fontId="31" fillId="0" borderId="0" xfId="4" applyFont="1" applyFill="1" applyBorder="1" applyAlignment="1">
      <alignment horizontal="center" vertical="distributed"/>
    </xf>
    <xf numFmtId="4" fontId="44" fillId="0" borderId="0" xfId="0" applyNumberFormat="1" applyFont="1">
      <alignment vertical="center"/>
    </xf>
    <xf numFmtId="2" fontId="28" fillId="0" borderId="26" xfId="8" applyNumberFormat="1" applyFont="1" applyBorder="1" applyAlignment="1">
      <alignment horizontal="center"/>
    </xf>
    <xf numFmtId="0" fontId="80" fillId="0" borderId="0" xfId="0" applyFont="1">
      <alignment vertical="center"/>
    </xf>
    <xf numFmtId="0" fontId="80" fillId="0" borderId="0" xfId="0" applyFont="1" applyAlignment="1">
      <alignment horizontal="center" vertical="center"/>
    </xf>
    <xf numFmtId="180" fontId="80" fillId="0" borderId="0" xfId="0" applyNumberFormat="1" applyFont="1">
      <alignment vertical="center"/>
    </xf>
    <xf numFmtId="180" fontId="80" fillId="0" borderId="0" xfId="0" applyNumberFormat="1" applyFont="1" applyAlignment="1">
      <alignment horizontal="right" vertical="center"/>
    </xf>
    <xf numFmtId="4" fontId="80" fillId="0" borderId="0" xfId="0" applyNumberFormat="1" applyFont="1" applyAlignment="1">
      <alignment horizontal="right" vertical="center"/>
    </xf>
    <xf numFmtId="180" fontId="80" fillId="0" borderId="0" xfId="0" applyNumberFormat="1" applyFont="1" applyAlignment="1">
      <alignment horizontal="center" vertical="center"/>
    </xf>
    <xf numFmtId="4" fontId="80" fillId="0" borderId="0" xfId="0" applyNumberFormat="1" applyFont="1" applyAlignment="1">
      <alignment horizontal="center" vertical="center"/>
    </xf>
    <xf numFmtId="180" fontId="0" fillId="0" borderId="0" xfId="0" applyNumberFormat="1">
      <alignment vertical="center"/>
    </xf>
    <xf numFmtId="180" fontId="0" fillId="0" borderId="0" xfId="0" applyNumberFormat="1" applyAlignment="1">
      <alignment horizontal="right" vertical="center"/>
    </xf>
    <xf numFmtId="4" fontId="0" fillId="0" borderId="0" xfId="0" applyNumberFormat="1" applyAlignment="1">
      <alignment horizontal="right" vertical="center"/>
    </xf>
    <xf numFmtId="0" fontId="72" fillId="13" borderId="8" xfId="0" applyFont="1" applyFill="1" applyBorder="1" applyAlignment="1">
      <alignment horizontal="center" vertical="center"/>
    </xf>
    <xf numFmtId="0" fontId="72" fillId="13" borderId="8" xfId="0" applyFont="1" applyFill="1" applyBorder="1" applyAlignment="1">
      <alignment horizontal="center" vertical="center" wrapText="1"/>
    </xf>
    <xf numFmtId="0" fontId="0" fillId="0" borderId="8" xfId="0" quotePrefix="1" applyBorder="1" applyAlignment="1">
      <alignment horizontal="center" vertical="center"/>
    </xf>
    <xf numFmtId="0" fontId="0" fillId="0" borderId="8" xfId="0" applyBorder="1">
      <alignment vertical="center"/>
    </xf>
    <xf numFmtId="0" fontId="0" fillId="0" borderId="8" xfId="0" applyBorder="1" applyAlignment="1">
      <alignment horizontal="center" vertical="center"/>
    </xf>
    <xf numFmtId="0" fontId="73" fillId="0" borderId="8" xfId="0" applyFont="1" applyBorder="1" applyAlignment="1">
      <alignment horizontal="center"/>
    </xf>
    <xf numFmtId="2" fontId="81" fillId="4" borderId="7" xfId="0" applyNumberFormat="1" applyFont="1" applyFill="1" applyBorder="1">
      <alignment vertical="center"/>
    </xf>
    <xf numFmtId="2" fontId="81" fillId="4" borderId="8" xfId="0" applyNumberFormat="1" applyFont="1" applyFill="1" applyBorder="1">
      <alignment vertical="center"/>
    </xf>
    <xf numFmtId="0" fontId="81" fillId="4" borderId="8" xfId="0" applyFont="1" applyFill="1" applyBorder="1">
      <alignment vertical="center"/>
    </xf>
    <xf numFmtId="2" fontId="79" fillId="10" borderId="7" xfId="0" applyNumberFormat="1" applyFont="1" applyFill="1" applyBorder="1">
      <alignment vertical="center"/>
    </xf>
    <xf numFmtId="0" fontId="81" fillId="5" borderId="5" xfId="0" applyFont="1" applyFill="1" applyBorder="1">
      <alignment vertical="center"/>
    </xf>
    <xf numFmtId="9" fontId="81" fillId="5" borderId="13" xfId="11" applyFont="1" applyFill="1" applyBorder="1">
      <alignment vertical="center"/>
    </xf>
    <xf numFmtId="0" fontId="81" fillId="5" borderId="6" xfId="0" applyFont="1" applyFill="1" applyBorder="1">
      <alignment vertical="center"/>
    </xf>
    <xf numFmtId="9" fontId="81" fillId="5" borderId="7" xfId="11" applyFont="1" applyFill="1" applyBorder="1">
      <alignment vertical="center"/>
    </xf>
    <xf numFmtId="2" fontId="0" fillId="0" borderId="0" xfId="0" applyNumberFormat="1">
      <alignment vertical="center"/>
    </xf>
    <xf numFmtId="0" fontId="0" fillId="8" borderId="0" xfId="0" applyFill="1" applyAlignment="1"/>
    <xf numFmtId="0" fontId="82" fillId="0" borderId="0" xfId="0" applyFont="1">
      <alignment vertical="center"/>
    </xf>
    <xf numFmtId="0" fontId="77" fillId="0" borderId="0" xfId="0" applyFont="1" applyAlignment="1">
      <alignment horizontal="center" vertical="center"/>
    </xf>
    <xf numFmtId="4" fontId="77" fillId="0" borderId="0" xfId="0" applyNumberFormat="1" applyFont="1" applyAlignment="1">
      <alignment horizontal="right" vertical="center"/>
    </xf>
    <xf numFmtId="4" fontId="82" fillId="0" borderId="0" xfId="0" applyNumberFormat="1" applyFont="1" applyAlignment="1">
      <alignment horizontal="right" vertical="center"/>
    </xf>
    <xf numFmtId="0" fontId="56" fillId="0" borderId="0" xfId="0" applyFont="1">
      <alignment vertical="center"/>
    </xf>
    <xf numFmtId="0" fontId="78" fillId="0" borderId="0" xfId="0" applyFont="1" applyAlignment="1">
      <alignment horizontal="center" vertical="center"/>
    </xf>
    <xf numFmtId="4" fontId="78" fillId="0" borderId="0" xfId="0" applyNumberFormat="1" applyFont="1" applyAlignment="1">
      <alignment horizontal="right" vertical="center"/>
    </xf>
    <xf numFmtId="4" fontId="56" fillId="0" borderId="0" xfId="0" applyNumberFormat="1" applyFont="1" applyAlignment="1">
      <alignment horizontal="right" vertical="center"/>
    </xf>
    <xf numFmtId="0" fontId="83" fillId="5" borderId="0" xfId="0" applyFont="1" applyFill="1" applyAlignment="1"/>
    <xf numFmtId="0" fontId="83" fillId="14" borderId="0" xfId="0" applyFont="1" applyFill="1" applyAlignment="1"/>
    <xf numFmtId="0" fontId="83" fillId="14" borderId="0" xfId="0" applyFont="1" applyFill="1">
      <alignment vertical="center"/>
    </xf>
    <xf numFmtId="0" fontId="83" fillId="14" borderId="0" xfId="0" applyFont="1" applyFill="1" applyAlignment="1">
      <alignment horizontal="center" vertical="center"/>
    </xf>
    <xf numFmtId="180" fontId="83" fillId="14" borderId="0" xfId="0" applyNumberFormat="1" applyFont="1" applyFill="1">
      <alignment vertical="center"/>
    </xf>
    <xf numFmtId="180" fontId="83" fillId="14" borderId="0" xfId="0" applyNumberFormat="1" applyFont="1" applyFill="1" applyAlignment="1">
      <alignment horizontal="right" vertical="center"/>
    </xf>
    <xf numFmtId="4" fontId="83" fillId="14" borderId="0" xfId="0" applyNumberFormat="1" applyFont="1" applyFill="1" applyAlignment="1">
      <alignment horizontal="right" vertical="center"/>
    </xf>
    <xf numFmtId="180" fontId="83" fillId="14" borderId="0" xfId="0" applyNumberFormat="1" applyFont="1" applyFill="1" applyAlignment="1">
      <alignment horizontal="center" vertical="center"/>
    </xf>
    <xf numFmtId="4" fontId="83" fillId="14" borderId="0" xfId="0" applyNumberFormat="1" applyFont="1" applyFill="1" applyAlignment="1">
      <alignment horizontal="center" vertical="center"/>
    </xf>
    <xf numFmtId="0" fontId="0" fillId="5" borderId="0" xfId="0" applyFill="1">
      <alignment vertical="center"/>
    </xf>
    <xf numFmtId="0" fontId="0" fillId="5" borderId="0" xfId="0" applyFill="1" applyAlignment="1">
      <alignment horizontal="center" vertical="center"/>
    </xf>
    <xf numFmtId="180" fontId="0" fillId="5" borderId="0" xfId="0" applyNumberFormat="1" applyFill="1">
      <alignment vertical="center"/>
    </xf>
    <xf numFmtId="180" fontId="0" fillId="5" borderId="0" xfId="0" applyNumberFormat="1" applyFill="1" applyAlignment="1">
      <alignment horizontal="right" vertical="center"/>
    </xf>
    <xf numFmtId="0" fontId="83" fillId="5" borderId="0" xfId="0" applyFont="1" applyFill="1">
      <alignment vertical="center"/>
    </xf>
    <xf numFmtId="0" fontId="83" fillId="5" borderId="0" xfId="0" applyFont="1" applyFill="1" applyAlignment="1">
      <alignment horizontal="center" vertical="center"/>
    </xf>
    <xf numFmtId="180" fontId="83" fillId="5" borderId="0" xfId="0" applyNumberFormat="1" applyFont="1" applyFill="1">
      <alignment vertical="center"/>
    </xf>
    <xf numFmtId="180" fontId="83" fillId="5" borderId="0" xfId="0" applyNumberFormat="1" applyFont="1" applyFill="1" applyAlignment="1">
      <alignment horizontal="right" vertical="center"/>
    </xf>
    <xf numFmtId="4" fontId="83" fillId="5" borderId="0" xfId="0" applyNumberFormat="1" applyFont="1" applyFill="1" applyAlignment="1">
      <alignment horizontal="right" vertical="center"/>
    </xf>
    <xf numFmtId="0" fontId="4" fillId="0" borderId="0" xfId="0" applyFont="1">
      <alignment vertical="center"/>
    </xf>
    <xf numFmtId="0" fontId="82" fillId="0" borderId="0" xfId="0" applyFont="1" applyAlignment="1">
      <alignment horizontal="center" vertical="center"/>
    </xf>
    <xf numFmtId="0" fontId="56" fillId="0" borderId="0" xfId="0" applyFont="1" applyAlignment="1">
      <alignment horizontal="center" vertical="center"/>
    </xf>
    <xf numFmtId="0" fontId="80" fillId="14" borderId="0" xfId="0" applyFont="1" applyFill="1">
      <alignment vertical="center"/>
    </xf>
    <xf numFmtId="0" fontId="84" fillId="5" borderId="0" xfId="0" applyFont="1" applyFill="1">
      <alignment vertical="center"/>
    </xf>
    <xf numFmtId="0" fontId="85" fillId="5" borderId="0" xfId="0" applyFont="1" applyFill="1">
      <alignment vertical="center"/>
    </xf>
    <xf numFmtId="0" fontId="84" fillId="0" borderId="0" xfId="0" applyFont="1">
      <alignment vertical="center"/>
    </xf>
    <xf numFmtId="0" fontId="81" fillId="0" borderId="0" xfId="0" applyFont="1">
      <alignment vertical="center"/>
    </xf>
    <xf numFmtId="0" fontId="86" fillId="0" borderId="0" xfId="0" applyFont="1">
      <alignment vertical="center"/>
    </xf>
    <xf numFmtId="0" fontId="87" fillId="0" borderId="0" xfId="0" applyFont="1">
      <alignment vertical="center"/>
    </xf>
    <xf numFmtId="164" fontId="47" fillId="4" borderId="71" xfId="0" applyNumberFormat="1" applyFont="1" applyFill="1" applyBorder="1" applyAlignment="1" applyProtection="1">
      <alignment horizontal="center" vertical="center"/>
      <protection locked="0"/>
    </xf>
    <xf numFmtId="164" fontId="47" fillId="4" borderId="72" xfId="0" applyNumberFormat="1" applyFont="1" applyFill="1" applyBorder="1" applyAlignment="1" applyProtection="1">
      <alignment horizontal="center" vertical="center"/>
      <protection locked="0"/>
    </xf>
    <xf numFmtId="164" fontId="50" fillId="4" borderId="71" xfId="0" applyNumberFormat="1" applyFont="1" applyFill="1" applyBorder="1" applyAlignment="1" applyProtection="1">
      <alignment horizontal="center" vertical="center"/>
      <protection locked="0"/>
    </xf>
    <xf numFmtId="164" fontId="50" fillId="4" borderId="72" xfId="0" applyNumberFormat="1" applyFont="1" applyFill="1" applyBorder="1" applyAlignment="1" applyProtection="1">
      <alignment horizontal="center" vertical="center"/>
      <protection locked="0"/>
    </xf>
    <xf numFmtId="181" fontId="53" fillId="4" borderId="71" xfId="0" applyNumberFormat="1" applyFont="1" applyFill="1" applyBorder="1" applyAlignment="1" applyProtection="1">
      <alignment horizontal="center" vertical="center"/>
      <protection locked="0"/>
    </xf>
    <xf numFmtId="181" fontId="53" fillId="4" borderId="72" xfId="0" applyNumberFormat="1" applyFont="1" applyFill="1" applyBorder="1" applyAlignment="1" applyProtection="1">
      <alignment horizontal="center" vertical="center"/>
      <protection locked="0"/>
    </xf>
    <xf numFmtId="4" fontId="47" fillId="4" borderId="71" xfId="0" applyNumberFormat="1" applyFont="1" applyFill="1" applyBorder="1" applyAlignment="1" applyProtection="1">
      <alignment horizontal="center" vertical="center"/>
      <protection locked="0"/>
    </xf>
    <xf numFmtId="4" fontId="47" fillId="4" borderId="72" xfId="0" applyNumberFormat="1" applyFont="1" applyFill="1" applyBorder="1" applyAlignment="1" applyProtection="1">
      <alignment horizontal="center" vertical="center"/>
      <protection locked="0"/>
    </xf>
    <xf numFmtId="0" fontId="11" fillId="4" borderId="1" xfId="0" applyFont="1" applyFill="1" applyBorder="1" applyAlignment="1" applyProtection="1">
      <alignment horizontal="left" vertical="center"/>
      <protection locked="0"/>
    </xf>
    <xf numFmtId="170" fontId="16" fillId="4" borderId="60" xfId="1" applyNumberFormat="1" applyFill="1" applyBorder="1" applyAlignment="1" applyProtection="1">
      <alignment horizontal="left" vertical="center"/>
      <protection locked="0"/>
    </xf>
    <xf numFmtId="170" fontId="13" fillId="4" borderId="60" xfId="0" applyNumberFormat="1" applyFont="1" applyFill="1" applyBorder="1" applyAlignment="1" applyProtection="1">
      <alignment horizontal="left" vertical="center"/>
      <protection locked="0"/>
    </xf>
    <xf numFmtId="0" fontId="7" fillId="4" borderId="1" xfId="0" applyFont="1" applyFill="1" applyBorder="1" applyAlignment="1" applyProtection="1">
      <alignment horizontal="left" vertical="center"/>
      <protection locked="0"/>
    </xf>
    <xf numFmtId="0" fontId="7" fillId="4" borderId="47" xfId="0" applyFont="1" applyFill="1" applyBorder="1" applyAlignment="1" applyProtection="1">
      <alignment horizontal="left" vertical="center"/>
      <protection locked="0"/>
    </xf>
    <xf numFmtId="0" fontId="47" fillId="5" borderId="60" xfId="0" applyFont="1" applyFill="1" applyBorder="1" applyAlignment="1" applyProtection="1">
      <alignment horizontal="left" vertical="center"/>
      <protection locked="0"/>
    </xf>
    <xf numFmtId="0" fontId="7" fillId="4" borderId="6" xfId="0" applyFont="1" applyFill="1" applyBorder="1" applyAlignment="1" applyProtection="1">
      <alignment horizontal="center" vertical="center"/>
      <protection locked="0"/>
    </xf>
    <xf numFmtId="0" fontId="7" fillId="4" borderId="2" xfId="0" applyFont="1" applyFill="1" applyBorder="1" applyAlignment="1" applyProtection="1">
      <alignment horizontal="center" vertical="center"/>
      <protection locked="0"/>
    </xf>
    <xf numFmtId="0" fontId="7" fillId="4" borderId="7" xfId="0" applyFont="1" applyFill="1" applyBorder="1" applyAlignment="1" applyProtection="1">
      <alignment horizontal="center" vertical="center"/>
      <protection locked="0"/>
    </xf>
    <xf numFmtId="0" fontId="47" fillId="4" borderId="0" xfId="0" applyFont="1" applyFill="1" applyAlignment="1" applyProtection="1">
      <alignment horizontal="left" vertical="center" wrapText="1"/>
      <protection locked="0"/>
    </xf>
    <xf numFmtId="0" fontId="7" fillId="4" borderId="60" xfId="0" applyFont="1" applyFill="1" applyBorder="1" applyAlignment="1" applyProtection="1">
      <alignment horizontal="left" vertical="center"/>
      <protection locked="0"/>
    </xf>
    <xf numFmtId="0" fontId="7" fillId="4" borderId="66" xfId="0" applyFont="1" applyFill="1" applyBorder="1" applyAlignment="1" applyProtection="1">
      <alignment horizontal="left" vertical="center"/>
      <protection locked="0"/>
    </xf>
    <xf numFmtId="14" fontId="7" fillId="4" borderId="6" xfId="0" applyNumberFormat="1" applyFont="1" applyFill="1" applyBorder="1" applyAlignment="1" applyProtection="1">
      <alignment horizontal="center" vertical="center"/>
      <protection locked="0"/>
    </xf>
    <xf numFmtId="0" fontId="47" fillId="5" borderId="52" xfId="0" applyFont="1" applyFill="1" applyBorder="1" applyAlignment="1" applyProtection="1">
      <alignment horizontal="left" vertical="center" indent="1"/>
      <protection locked="0"/>
    </xf>
    <xf numFmtId="2" fontId="49" fillId="5" borderId="60" xfId="0" applyNumberFormat="1" applyFont="1" applyFill="1" applyBorder="1" applyAlignment="1" applyProtection="1">
      <alignment horizontal="right" vertical="center"/>
      <protection locked="0"/>
    </xf>
    <xf numFmtId="0" fontId="11" fillId="4" borderId="60" xfId="0" applyFont="1" applyFill="1" applyBorder="1" applyAlignment="1" applyProtection="1">
      <alignment horizontal="left" vertical="center"/>
      <protection locked="0"/>
    </xf>
    <xf numFmtId="0" fontId="47" fillId="5" borderId="51" xfId="0" applyFont="1" applyFill="1" applyBorder="1" applyAlignment="1" applyProtection="1">
      <alignment horizontal="left" vertical="center"/>
      <protection locked="0"/>
    </xf>
    <xf numFmtId="0" fontId="13" fillId="2" borderId="0" xfId="0" applyFont="1" applyFill="1" applyAlignment="1">
      <alignment horizontal="left" vertical="center"/>
    </xf>
    <xf numFmtId="181" fontId="7" fillId="9" borderId="3" xfId="0" applyNumberFormat="1" applyFont="1" applyFill="1" applyBorder="1" applyAlignment="1" applyProtection="1">
      <alignment horizontal="center" vertical="center"/>
      <protection locked="0"/>
    </xf>
    <xf numFmtId="181" fontId="67" fillId="10" borderId="45" xfId="0" applyNumberFormat="1" applyFont="1" applyFill="1" applyBorder="1" applyAlignment="1" applyProtection="1">
      <alignment horizontal="center" vertical="center"/>
      <protection locked="0"/>
    </xf>
    <xf numFmtId="181" fontId="67" fillId="10" borderId="46" xfId="0" applyNumberFormat="1" applyFont="1" applyFill="1" applyBorder="1" applyAlignment="1" applyProtection="1">
      <alignment horizontal="center" vertical="center"/>
      <protection locked="0"/>
    </xf>
    <xf numFmtId="181" fontId="7" fillId="9" borderId="6" xfId="0" applyNumberFormat="1" applyFont="1" applyFill="1" applyBorder="1" applyAlignment="1" applyProtection="1">
      <alignment horizontal="center" vertical="center"/>
      <protection locked="0"/>
    </xf>
    <xf numFmtId="181" fontId="7" fillId="9" borderId="7" xfId="0" applyNumberFormat="1" applyFont="1" applyFill="1" applyBorder="1" applyAlignment="1" applyProtection="1">
      <alignment horizontal="center" vertical="center"/>
      <protection locked="0"/>
    </xf>
    <xf numFmtId="164" fontId="14" fillId="2" borderId="0" xfId="0" applyNumberFormat="1" applyFont="1" applyFill="1" applyAlignment="1">
      <alignment horizontal="center" vertical="center"/>
    </xf>
    <xf numFmtId="0" fontId="14" fillId="2" borderId="12" xfId="0" applyFont="1" applyFill="1" applyBorder="1" applyAlignment="1">
      <alignment horizontal="center" vertical="center"/>
    </xf>
    <xf numFmtId="0" fontId="47" fillId="4" borderId="0" xfId="0" applyFont="1" applyFill="1" applyAlignment="1" applyProtection="1">
      <alignment horizontal="left" vertical="top" wrapText="1"/>
      <protection locked="0"/>
    </xf>
    <xf numFmtId="164" fontId="47" fillId="4" borderId="69" xfId="0" applyNumberFormat="1" applyFont="1" applyFill="1" applyBorder="1" applyAlignment="1" applyProtection="1">
      <alignment horizontal="right" vertical="center"/>
      <protection locked="0"/>
    </xf>
    <xf numFmtId="164" fontId="47" fillId="4" borderId="70" xfId="0" applyNumberFormat="1" applyFont="1" applyFill="1" applyBorder="1" applyAlignment="1" applyProtection="1">
      <alignment horizontal="right" vertical="center"/>
      <protection locked="0"/>
    </xf>
    <xf numFmtId="181" fontId="12" fillId="9" borderId="8" xfId="0" applyNumberFormat="1" applyFont="1" applyFill="1" applyBorder="1" applyAlignment="1" applyProtection="1">
      <alignment horizontal="right" vertical="center"/>
      <protection locked="0"/>
    </xf>
    <xf numFmtId="181" fontId="7" fillId="9" borderId="8" xfId="0" applyNumberFormat="1" applyFont="1" applyFill="1" applyBorder="1" applyAlignment="1" applyProtection="1">
      <alignment horizontal="center" vertical="center"/>
      <protection locked="0"/>
    </xf>
    <xf numFmtId="0" fontId="11" fillId="4" borderId="9" xfId="0" quotePrefix="1" applyFont="1" applyFill="1" applyBorder="1" applyAlignment="1" applyProtection="1">
      <alignment horizontal="center" vertical="center"/>
      <protection locked="0"/>
    </xf>
    <xf numFmtId="0" fontId="11" fillId="4" borderId="4" xfId="0" quotePrefix="1" applyFont="1" applyFill="1" applyBorder="1" applyAlignment="1" applyProtection="1">
      <alignment horizontal="center" vertical="center"/>
      <protection locked="0"/>
    </xf>
    <xf numFmtId="0" fontId="11" fillId="4" borderId="10" xfId="0" quotePrefix="1" applyFont="1" applyFill="1" applyBorder="1" applyAlignment="1" applyProtection="1">
      <alignment horizontal="center" vertical="center"/>
      <protection locked="0"/>
    </xf>
    <xf numFmtId="0" fontId="11" fillId="4" borderId="11" xfId="0" quotePrefix="1" applyFont="1" applyFill="1" applyBorder="1" applyAlignment="1" applyProtection="1">
      <alignment horizontal="center" vertical="center"/>
      <protection locked="0"/>
    </xf>
    <xf numFmtId="0" fontId="11" fillId="4" borderId="0" xfId="0" quotePrefix="1" applyFont="1" applyFill="1" applyAlignment="1" applyProtection="1">
      <alignment horizontal="center" vertical="center"/>
      <protection locked="0"/>
    </xf>
    <xf numFmtId="0" fontId="11" fillId="4" borderId="12" xfId="0" quotePrefix="1" applyFont="1" applyFill="1" applyBorder="1" applyAlignment="1" applyProtection="1">
      <alignment horizontal="center" vertical="center"/>
      <protection locked="0"/>
    </xf>
    <xf numFmtId="0" fontId="11" fillId="4" borderId="5" xfId="0" quotePrefix="1" applyFont="1" applyFill="1" applyBorder="1" applyAlignment="1" applyProtection="1">
      <alignment horizontal="center" vertical="center"/>
      <protection locked="0"/>
    </xf>
    <xf numFmtId="0" fontId="11" fillId="4" borderId="1" xfId="0" quotePrefix="1" applyFont="1" applyFill="1" applyBorder="1" applyAlignment="1" applyProtection="1">
      <alignment horizontal="center" vertical="center"/>
      <protection locked="0"/>
    </xf>
    <xf numFmtId="0" fontId="11" fillId="4" borderId="13" xfId="0" quotePrefix="1" applyFont="1" applyFill="1" applyBorder="1" applyAlignment="1" applyProtection="1">
      <alignment horizontal="center" vertical="center"/>
      <protection locked="0"/>
    </xf>
    <xf numFmtId="2" fontId="54" fillId="4" borderId="71" xfId="0" applyNumberFormat="1" applyFont="1" applyFill="1" applyBorder="1" applyAlignment="1" applyProtection="1">
      <alignment horizontal="left" vertical="distributed"/>
      <protection locked="0"/>
    </xf>
    <xf numFmtId="2" fontId="54" fillId="4" borderId="68" xfId="0" applyNumberFormat="1" applyFont="1" applyFill="1" applyBorder="1" applyAlignment="1" applyProtection="1">
      <alignment horizontal="left" vertical="distributed"/>
      <protection locked="0"/>
    </xf>
    <xf numFmtId="2" fontId="54" fillId="4" borderId="72" xfId="0" applyNumberFormat="1" applyFont="1" applyFill="1" applyBorder="1" applyAlignment="1" applyProtection="1">
      <alignment horizontal="left" vertical="distributed"/>
      <protection locked="0"/>
    </xf>
    <xf numFmtId="0" fontId="47" fillId="9" borderId="3" xfId="0" applyFont="1" applyFill="1" applyBorder="1" applyAlignment="1">
      <alignment horizontal="center" vertical="center" wrapText="1"/>
    </xf>
    <xf numFmtId="0" fontId="47" fillId="9" borderId="25" xfId="0" applyFont="1" applyFill="1" applyBorder="1" applyAlignment="1">
      <alignment horizontal="center" vertical="center" wrapText="1"/>
    </xf>
    <xf numFmtId="0" fontId="47" fillId="9" borderId="9" xfId="0" applyFont="1" applyFill="1" applyBorder="1" applyAlignment="1">
      <alignment horizontal="center" vertical="center"/>
    </xf>
    <xf numFmtId="0" fontId="47" fillId="9" borderId="4" xfId="0" applyFont="1" applyFill="1" applyBorder="1" applyAlignment="1">
      <alignment horizontal="center" vertical="center"/>
    </xf>
    <xf numFmtId="0" fontId="47" fillId="9" borderId="5" xfId="0" applyFont="1" applyFill="1" applyBorder="1" applyAlignment="1">
      <alignment horizontal="center" vertical="center"/>
    </xf>
    <xf numFmtId="0" fontId="47" fillId="9" borderId="1" xfId="0" applyFont="1" applyFill="1" applyBorder="1" applyAlignment="1">
      <alignment horizontal="center" vertical="center"/>
    </xf>
    <xf numFmtId="14" fontId="7" fillId="4" borderId="2" xfId="0" applyNumberFormat="1" applyFont="1" applyFill="1" applyBorder="1" applyAlignment="1" applyProtection="1">
      <alignment horizontal="center" vertical="center"/>
      <protection locked="0"/>
    </xf>
    <xf numFmtId="14" fontId="7" fillId="4" borderId="7" xfId="0" applyNumberFormat="1" applyFont="1" applyFill="1" applyBorder="1" applyAlignment="1" applyProtection="1">
      <alignment horizontal="center" vertical="center"/>
      <protection locked="0"/>
    </xf>
    <xf numFmtId="0" fontId="47" fillId="9" borderId="9" xfId="0" applyFont="1" applyFill="1" applyBorder="1" applyAlignment="1">
      <alignment horizontal="center" vertical="center" wrapText="1"/>
    </xf>
    <xf numFmtId="0" fontId="47" fillId="9" borderId="10" xfId="0" applyFont="1" applyFill="1" applyBorder="1" applyAlignment="1">
      <alignment horizontal="center" vertical="center" wrapText="1"/>
    </xf>
    <xf numFmtId="0" fontId="47" fillId="9" borderId="5" xfId="0" applyFont="1" applyFill="1" applyBorder="1" applyAlignment="1">
      <alignment horizontal="center" vertical="center" wrapText="1"/>
    </xf>
    <xf numFmtId="0" fontId="47" fillId="9" borderId="13" xfId="0" applyFont="1" applyFill="1" applyBorder="1" applyAlignment="1">
      <alignment horizontal="center" vertical="center" wrapText="1"/>
    </xf>
    <xf numFmtId="0" fontId="49" fillId="9" borderId="9" xfId="0" applyFont="1" applyFill="1" applyBorder="1" applyAlignment="1">
      <alignment horizontal="center" vertical="center" wrapText="1"/>
    </xf>
    <xf numFmtId="0" fontId="49" fillId="9" borderId="10" xfId="0" applyFont="1" applyFill="1" applyBorder="1" applyAlignment="1">
      <alignment horizontal="center" vertical="center" wrapText="1"/>
    </xf>
    <xf numFmtId="0" fontId="49" fillId="9" borderId="5" xfId="0" applyFont="1" applyFill="1" applyBorder="1" applyAlignment="1">
      <alignment horizontal="center" vertical="center" wrapText="1"/>
    </xf>
    <xf numFmtId="0" fontId="49" fillId="9" borderId="13" xfId="0" applyFont="1" applyFill="1" applyBorder="1" applyAlignment="1">
      <alignment horizontal="center" vertical="center" wrapText="1"/>
    </xf>
    <xf numFmtId="179" fontId="47" fillId="4" borderId="73" xfId="0" applyNumberFormat="1" applyFont="1" applyFill="1" applyBorder="1" applyAlignment="1" applyProtection="1">
      <alignment horizontal="center" vertical="center"/>
      <protection locked="0"/>
    </xf>
    <xf numFmtId="179" fontId="47" fillId="4" borderId="74" xfId="0" applyNumberFormat="1" applyFont="1" applyFill="1" applyBorder="1" applyAlignment="1" applyProtection="1">
      <alignment horizontal="center" vertical="center"/>
      <protection locked="0"/>
    </xf>
    <xf numFmtId="164" fontId="47" fillId="4" borderId="73" xfId="0" applyNumberFormat="1" applyFont="1" applyFill="1" applyBorder="1" applyAlignment="1" applyProtection="1">
      <alignment horizontal="center" vertical="center"/>
      <protection locked="0"/>
    </xf>
    <xf numFmtId="164" fontId="47" fillId="4" borderId="74" xfId="0" applyNumberFormat="1" applyFont="1" applyFill="1" applyBorder="1" applyAlignment="1" applyProtection="1">
      <alignment horizontal="center" vertical="center"/>
      <protection locked="0"/>
    </xf>
    <xf numFmtId="2" fontId="50" fillId="0" borderId="0" xfId="0" applyNumberFormat="1" applyFont="1" applyAlignment="1">
      <alignment horizontal="left" vertical="distributed"/>
    </xf>
    <xf numFmtId="0" fontId="50" fillId="0" borderId="0" xfId="0" applyFont="1" applyAlignment="1">
      <alignment horizontal="left" vertical="distributed"/>
    </xf>
    <xf numFmtId="0" fontId="76" fillId="0" borderId="75" xfId="0" applyFont="1" applyBorder="1" applyAlignment="1">
      <alignment horizontal="center" vertical="center"/>
    </xf>
    <xf numFmtId="0" fontId="76" fillId="0" borderId="76" xfId="0" applyFont="1" applyBorder="1" applyAlignment="1">
      <alignment horizontal="center" vertical="center"/>
    </xf>
    <xf numFmtId="0" fontId="76" fillId="0" borderId="77" xfId="0" applyFont="1" applyBorder="1" applyAlignment="1">
      <alignment horizontal="center" vertical="center"/>
    </xf>
    <xf numFmtId="0" fontId="83" fillId="5" borderId="0" xfId="0" applyFont="1" applyFill="1" applyAlignment="1">
      <alignment horizontal="center"/>
    </xf>
    <xf numFmtId="0" fontId="83" fillId="5" borderId="0" xfId="0" applyFont="1" applyFill="1" applyAlignment="1"/>
    <xf numFmtId="2" fontId="58" fillId="0" borderId="0" xfId="0" applyNumberFormat="1" applyFont="1" applyAlignment="1">
      <alignment horizontal="left" vertical="distributed"/>
    </xf>
    <xf numFmtId="0" fontId="58" fillId="0" borderId="0" xfId="0" applyFont="1" applyAlignment="1">
      <alignment horizontal="left" vertical="distributed"/>
    </xf>
    <xf numFmtId="0" fontId="68" fillId="0" borderId="48" xfId="0" applyFont="1" applyBorder="1" applyAlignment="1">
      <alignment horizontal="center" vertical="top" wrapText="1"/>
    </xf>
    <xf numFmtId="0" fontId="68" fillId="0" borderId="49" xfId="0" applyFont="1" applyBorder="1" applyAlignment="1">
      <alignment horizontal="center" vertical="top" wrapText="1"/>
    </xf>
    <xf numFmtId="4" fontId="69" fillId="11" borderId="49" xfId="0" applyNumberFormat="1" applyFont="1" applyFill="1" applyBorder="1" applyAlignment="1">
      <alignment horizontal="center" vertical="center"/>
    </xf>
    <xf numFmtId="4" fontId="69" fillId="11" borderId="50" xfId="0" applyNumberFormat="1" applyFont="1" applyFill="1" applyBorder="1" applyAlignment="1">
      <alignment horizontal="center" vertical="center"/>
    </xf>
    <xf numFmtId="0" fontId="45" fillId="0" borderId="0" xfId="0" applyFont="1" applyAlignment="1">
      <alignment horizontal="left" vertical="top" wrapText="1"/>
    </xf>
    <xf numFmtId="176" fontId="21" fillId="0" borderId="0" xfId="8" applyNumberFormat="1" applyFont="1" applyAlignment="1">
      <alignment horizontal="center"/>
    </xf>
    <xf numFmtId="166" fontId="21" fillId="3" borderId="6" xfId="3" applyNumberFormat="1" applyFont="1" applyFill="1" applyBorder="1" applyAlignment="1">
      <alignment horizontal="center" vertical="center"/>
    </xf>
    <xf numFmtId="166" fontId="21" fillId="3" borderId="2" xfId="3" applyNumberFormat="1" applyFont="1" applyFill="1" applyBorder="1" applyAlignment="1">
      <alignment horizontal="center" vertical="center"/>
    </xf>
    <xf numFmtId="166" fontId="21" fillId="3" borderId="7" xfId="3" applyNumberFormat="1" applyFont="1" applyFill="1" applyBorder="1" applyAlignment="1">
      <alignment horizontal="center" vertical="center"/>
    </xf>
    <xf numFmtId="0" fontId="19" fillId="4" borderId="3" xfId="8" applyFont="1" applyFill="1" applyBorder="1" applyAlignment="1">
      <alignment horizontal="center" vertical="center"/>
    </xf>
    <xf numFmtId="0" fontId="19" fillId="4" borderId="26" xfId="8" applyFont="1" applyFill="1" applyBorder="1" applyAlignment="1">
      <alignment horizontal="center" vertical="center"/>
    </xf>
    <xf numFmtId="0" fontId="19" fillId="4" borderId="25" xfId="8" applyFont="1" applyFill="1" applyBorder="1" applyAlignment="1">
      <alignment horizontal="center" vertical="center"/>
    </xf>
    <xf numFmtId="0" fontId="22" fillId="4" borderId="3" xfId="8" applyFont="1" applyFill="1" applyBorder="1" applyAlignment="1">
      <alignment horizontal="center" vertical="center"/>
    </xf>
    <xf numFmtId="0" fontId="22" fillId="4" borderId="26" xfId="8" applyFont="1" applyFill="1" applyBorder="1" applyAlignment="1">
      <alignment horizontal="center" vertical="center"/>
    </xf>
    <xf numFmtId="0" fontId="23" fillId="4" borderId="3" xfId="8" applyFont="1" applyFill="1" applyBorder="1" applyAlignment="1" applyProtection="1">
      <alignment horizontal="center" vertical="center" wrapText="1"/>
      <protection locked="0"/>
    </xf>
    <xf numFmtId="0" fontId="23" fillId="4" borderId="26" xfId="8" applyFont="1" applyFill="1" applyBorder="1" applyAlignment="1" applyProtection="1">
      <alignment horizontal="center" vertical="center" wrapText="1"/>
      <protection locked="0"/>
    </xf>
    <xf numFmtId="0" fontId="23" fillId="4" borderId="9" xfId="8" applyFont="1" applyFill="1" applyBorder="1" applyAlignment="1" applyProtection="1">
      <alignment horizontal="center" vertical="center" wrapText="1"/>
      <protection locked="0"/>
    </xf>
    <xf numFmtId="0" fontId="23" fillId="4" borderId="11" xfId="8" applyFont="1" applyFill="1" applyBorder="1" applyAlignment="1" applyProtection="1">
      <alignment horizontal="center" vertical="center" wrapText="1"/>
      <protection locked="0"/>
    </xf>
    <xf numFmtId="0" fontId="72" fillId="13" borderId="8" xfId="0" applyFont="1" applyFill="1" applyBorder="1" applyAlignment="1">
      <alignment horizontal="center" vertical="center"/>
    </xf>
    <xf numFmtId="0" fontId="81" fillId="0" borderId="6" xfId="0" applyFont="1" applyBorder="1" applyAlignment="1">
      <alignment horizontal="center" vertical="center"/>
    </xf>
    <xf numFmtId="0" fontId="81" fillId="0" borderId="7" xfId="0" applyFont="1" applyBorder="1" applyAlignment="1">
      <alignment horizontal="center" vertical="center"/>
    </xf>
    <xf numFmtId="0" fontId="72" fillId="12" borderId="8" xfId="0" applyFont="1" applyFill="1" applyBorder="1" applyAlignment="1">
      <alignment horizontal="center"/>
    </xf>
  </cellXfs>
  <cellStyles count="13">
    <cellStyle name="Hipervínculo" xfId="1" builtinId="8"/>
    <cellStyle name="Millares 39 2 2 2 2" xfId="2" xr:uid="{99AC495A-9C56-40B8-9C1C-858E25D4303D}"/>
    <cellStyle name="Millares_Formato 401.402.501 Indirectos-Cierre-Flujo 2 2" xfId="3" xr:uid="{995A3547-71F4-4F01-8D1C-D95438CF1D3B}"/>
    <cellStyle name="Moneda" xfId="4" builtinId="4"/>
    <cellStyle name="Moneda_Formato 401.402.501 Indirectos-Cierre-Flujo 2 2" xfId="5" xr:uid="{585460E8-1978-4163-A21F-46C77C2C018D}"/>
    <cellStyle name="Normal" xfId="0" builtinId="0"/>
    <cellStyle name="Normal 2" xfId="6" xr:uid="{E5324154-B168-44D5-8949-D8FB45467AE7}"/>
    <cellStyle name="Normal 2 2" xfId="7" xr:uid="{0193AC76-C56E-4910-B208-3DDA59B51C06}"/>
    <cellStyle name="Normal 2 2 2" xfId="8" xr:uid="{AC7403C7-9E4F-42A2-97A5-9452322CC62E}"/>
    <cellStyle name="Normal 3" xfId="9" xr:uid="{E3857E0D-C2EC-4201-BF7A-39D509AE4123}"/>
    <cellStyle name="Normal 4" xfId="10" xr:uid="{C5527FC2-7F72-489D-843F-AB4B3D5CB355}"/>
    <cellStyle name="Normal 5" xfId="12" xr:uid="{EBF849C5-BBB3-4372-9707-D1A057C8338D}"/>
    <cellStyle name="Porcentaje" xfId="1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activeX1.xml><?xml version="1.0" encoding="utf-8"?>
<ax:ocx xmlns:ax="http://schemas.microsoft.com/office/2006/activeX" xmlns:r="http://schemas.openxmlformats.org/officeDocument/2006/relationships" ax:classid="{5512D11A-5CC6-11CF-8D67-00AA00BDCE1D}" ax:persistence="persistStream" r:id="rId1"/>
</file>

<file path=xl/activeX/activeX2.xml><?xml version="1.0" encoding="utf-8"?>
<ax:ocx xmlns:ax="http://schemas.microsoft.com/office/2006/activeX" xmlns:r="http://schemas.openxmlformats.org/officeDocument/2006/relationships" ax:classid="{5512D11A-5CC6-11CF-8D67-00AA00BDCE1D}" ax:persistence="persistStream" r:id="rId1"/>
</file>

<file path=xl/activeX/activeX3.xml><?xml version="1.0" encoding="utf-8"?>
<ax:ocx xmlns:ax="http://schemas.microsoft.com/office/2006/activeX" xmlns:r="http://schemas.openxmlformats.org/officeDocument/2006/relationships" ax:classid="{5512D11A-5CC6-11CF-8D67-00AA00BDCE1D}" ax:persistence="persistStream" r:id="rId1"/>
</file>

<file path=xl/activeX/activeX4.xml><?xml version="1.0" encoding="utf-8"?>
<ax:ocx xmlns:ax="http://schemas.microsoft.com/office/2006/activeX" xmlns:r="http://schemas.openxmlformats.org/officeDocument/2006/relationships" ax:classid="{5512D11A-5CC6-11CF-8D67-00AA00BDCE1D}" ax:persistence="persistStream" r:id="rId1"/>
</file>

<file path=xl/activeX/activeX5.xml><?xml version="1.0" encoding="utf-8"?>
<ax:ocx xmlns:ax="http://schemas.microsoft.com/office/2006/activeX" xmlns:r="http://schemas.openxmlformats.org/officeDocument/2006/relationships" ax:classid="{5512D11A-5CC6-11CF-8D67-00AA00BDCE1D}" ax:persistence="persistStream" r:id="rId1"/>
</file>

<file path=xl/activeX/activeX6.xml><?xml version="1.0" encoding="utf-8"?>
<ax:ocx xmlns:ax="http://schemas.microsoft.com/office/2006/activeX" xmlns:r="http://schemas.openxmlformats.org/officeDocument/2006/relationships" ax:classid="{5512D11A-5CC6-11CF-8D67-00AA00BDCE1D}" ax:persistence="persistStream" r:id="rId1"/>
</file>

<file path=xl/activeX/activeX7.xml><?xml version="1.0" encoding="utf-8"?>
<ax:ocx xmlns:ax="http://schemas.microsoft.com/office/2006/activeX" xmlns:r="http://schemas.openxmlformats.org/officeDocument/2006/relationships" ax:classid="{5512D11A-5CC6-11CF-8D67-00AA00BDCE1D}" ax:persistence="persistStream" r:id="rId1"/>
</file>

<file path=xl/activeX/activeX8.xml><?xml version="1.0" encoding="utf-8"?>
<ax:ocx xmlns:ax="http://schemas.microsoft.com/office/2006/activeX" xmlns:r="http://schemas.openxmlformats.org/officeDocument/2006/relationships" ax:classid="{5512D11A-5CC6-11CF-8D67-00AA00BDCE1D}" ax:persistence="persistStream" r:id="rId1"/>
</file>

<file path=xl/activeX/activeX9.xml><?xml version="1.0" encoding="utf-8"?>
<ax:ocx xmlns:ax="http://schemas.microsoft.com/office/2006/activeX" xmlns:r="http://schemas.openxmlformats.org/officeDocument/2006/relationships" ax:classid="{5512D11A-5CC6-11CF-8D67-00AA00BDCE1D}" ax:persistence="persistStream" r:id="rId1"/>
</file>

<file path=xl/activeX/activeX10.xml><?xml version="1.0" encoding="utf-8"?>
<ax:ocx xmlns:ax="http://schemas.microsoft.com/office/2006/activeX" xmlns:r="http://schemas.openxmlformats.org/officeDocument/2006/relationships" ax:classid="{5512D11A-5CC6-11CF-8D67-00AA00BDCE1D}" ax:persistence="persistStream" r:id="rId1"/>
</file>

<file path=xl/activeX/activeX11.xml><?xml version="1.0" encoding="utf-8"?>
<ax:ocx xmlns:ax="http://schemas.microsoft.com/office/2006/activeX" xmlns:r="http://schemas.openxmlformats.org/officeDocument/2006/relationships" ax:classid="{5512D11A-5CC6-11CF-8D67-00AA00BDCE1D}" ax:persistence="persistStream" r:id="rId1"/>
</file>

<file path=xl/activeX/activeX12.xml><?xml version="1.0" encoding="utf-8"?>
<ax:ocx xmlns:ax="http://schemas.microsoft.com/office/2006/activeX" xmlns:r="http://schemas.openxmlformats.org/officeDocument/2006/relationships" ax:classid="{5512D11A-5CC6-11CF-8D67-00AA00BDCE1D}" ax:persistence="persistStream" r:id="rId1"/>
</file>

<file path=xl/activeX/activeX13.xml><?xml version="1.0" encoding="utf-8"?>
<ax:ocx xmlns:ax="http://schemas.microsoft.com/office/2006/activeX" xmlns:r="http://schemas.openxmlformats.org/officeDocument/2006/relationships" ax:classid="{5512D11A-5CC6-11CF-8D67-00AA00BDCE1D}" ax:persistence="persistStream" r:id="rId1"/>
</file>

<file path=xl/activeX/activeX14.xml><?xml version="1.0" encoding="utf-8"?>
<ax:ocx xmlns:ax="http://schemas.microsoft.com/office/2006/activeX" xmlns:r="http://schemas.openxmlformats.org/officeDocument/2006/relationships" ax:classid="{5512D11A-5CC6-11CF-8D67-00AA00BDCE1D}" ax:persistence="persistStream" r:id="rId1"/>
</file>

<file path=xl/activeX/activeX15.xml><?xml version="1.0" encoding="utf-8"?>
<ax:ocx xmlns:ax="http://schemas.microsoft.com/office/2006/activeX" xmlns:r="http://schemas.openxmlformats.org/officeDocument/2006/relationships" ax:classid="{5512D11A-5CC6-11CF-8D67-00AA00BDCE1D}" ax:persistence="persistStream" r:id="rId1"/>
</file>

<file path=xl/activeX/activeX16.xml><?xml version="1.0" encoding="utf-8"?>
<ax:ocx xmlns:ax="http://schemas.microsoft.com/office/2006/activeX" xmlns:r="http://schemas.openxmlformats.org/officeDocument/2006/relationships" ax:classid="{5512D11A-5CC6-11CF-8D67-00AA00BDCE1D}" ax:persistence="persistStream" r:id="rId1"/>
</file>

<file path=xl/activeX/activeX17.xml><?xml version="1.0" encoding="utf-8"?>
<ax:ocx xmlns:ax="http://schemas.microsoft.com/office/2006/activeX" xmlns:r="http://schemas.openxmlformats.org/officeDocument/2006/relationships" ax:classid="{5512D11A-5CC6-11CF-8D67-00AA00BDCE1D}" ax:persistence="persistStream" r:id="rId1"/>
</file>

<file path=xl/activeX/activeX18.xml><?xml version="1.0" encoding="utf-8"?>
<ax:ocx xmlns:ax="http://schemas.microsoft.com/office/2006/activeX" xmlns:r="http://schemas.openxmlformats.org/officeDocument/2006/relationships" ax:classid="{5512D11A-5CC6-11CF-8D67-00AA00BDCE1D}" ax:persistence="persistStream" r:id="rId1"/>
</file>

<file path=xl/activeX/activeX19.xml><?xml version="1.0" encoding="utf-8"?>
<ax:ocx xmlns:ax="http://schemas.microsoft.com/office/2006/activeX" xmlns:r="http://schemas.openxmlformats.org/officeDocument/2006/relationships" ax:classid="{5512D11A-5CC6-11CF-8D67-00AA00BDCE1D}" ax:persistence="persistStream" r:id="rId1"/>
</file>

<file path=xl/activeX/activeX20.xml><?xml version="1.0" encoding="utf-8"?>
<ax:ocx xmlns:ax="http://schemas.microsoft.com/office/2006/activeX" xmlns:r="http://schemas.openxmlformats.org/officeDocument/2006/relationships" ax:classid="{5512D11A-5CC6-11CF-8D67-00AA00BDCE1D}" ax:persistence="persistStream" r:id="rId1"/>
</file>

<file path=xl/activeX/activeX21.xml><?xml version="1.0" encoding="utf-8"?>
<ax:ocx xmlns:ax="http://schemas.microsoft.com/office/2006/activeX" xmlns:r="http://schemas.openxmlformats.org/officeDocument/2006/relationships" ax:classid="{5512D11A-5CC6-11CF-8D67-00AA00BDCE1D}" ax:persistence="persistStream" r:id="rId1"/>
</file>

<file path=xl/activeX/activeX22.xml><?xml version="1.0" encoding="utf-8"?>
<ax:ocx xmlns:ax="http://schemas.microsoft.com/office/2006/activeX" xmlns:r="http://schemas.openxmlformats.org/officeDocument/2006/relationships" ax:classid="{5512D11A-5CC6-11CF-8D67-00AA00BDCE1D}" ax:persistence="persistStream" r:id="rId1"/>
</file>

<file path=xl/activeX/activeX23.xml><?xml version="1.0" encoding="utf-8"?>
<ax:ocx xmlns:ax="http://schemas.microsoft.com/office/2006/activeX" xmlns:r="http://schemas.openxmlformats.org/officeDocument/2006/relationships" ax:classid="{5512D11A-5CC6-11CF-8D67-00AA00BDCE1D}" ax:persistence="persistStream" r:id="rId1"/>
</file>

<file path=xl/activeX/activeX24.xml><?xml version="1.0" encoding="utf-8"?>
<ax:ocx xmlns:ax="http://schemas.microsoft.com/office/2006/activeX" xmlns:r="http://schemas.openxmlformats.org/officeDocument/2006/relationships" ax:classid="{5512D11A-5CC6-11CF-8D67-00AA00BDCE1D}" ax:persistence="persistStream" r:id="rId1"/>
</file>

<file path=xl/activeX/activeX25.xml><?xml version="1.0" encoding="utf-8"?>
<ax:ocx xmlns:ax="http://schemas.microsoft.com/office/2006/activeX" xmlns:r="http://schemas.openxmlformats.org/officeDocument/2006/relationships" ax:classid="{5512D11A-5CC6-11CF-8D67-00AA00BDCE1D}" ax:persistence="persistStream" r:id="rId1"/>
</file>

<file path=xl/activeX/activeX26.xml><?xml version="1.0" encoding="utf-8"?>
<ax:ocx xmlns:ax="http://schemas.microsoft.com/office/2006/activeX" xmlns:r="http://schemas.openxmlformats.org/officeDocument/2006/relationships" ax:classid="{5512D11A-5CC6-11CF-8D67-00AA00BDCE1D}" ax:persistence="persistStream" r:id="rId1"/>
</file>

<file path=xl/activeX/activeX27.xml><?xml version="1.0" encoding="utf-8"?>
<ax:ocx xmlns:ax="http://schemas.microsoft.com/office/2006/activeX" xmlns:r="http://schemas.openxmlformats.org/officeDocument/2006/relationships" ax:classid="{5512D11A-5CC6-11CF-8D67-00AA00BDCE1D}" ax:persistence="persistStream" r:id="rId1"/>
</file>

<file path=xl/activeX/activeX28.xml><?xml version="1.0" encoding="utf-8"?>
<ax:ocx xmlns:ax="http://schemas.microsoft.com/office/2006/activeX" xmlns:r="http://schemas.openxmlformats.org/officeDocument/2006/relationships" ax:classid="{5512D11A-5CC6-11CF-8D67-00AA00BDCE1D}" ax:persistence="persistStream" r:id="rId1"/>
</file>

<file path=xl/activeX/activeX29.xml><?xml version="1.0" encoding="utf-8"?>
<ax:ocx xmlns:ax="http://schemas.microsoft.com/office/2006/activeX" xmlns:r="http://schemas.openxmlformats.org/officeDocument/2006/relationships" ax:classid="{5512D11A-5CC6-11CF-8D67-00AA00BDCE1D}" ax:persistence="persistStream" r:id="rId1"/>
</file>

<file path=xl/activeX/activeX30.xml><?xml version="1.0" encoding="utf-8"?>
<ax:ocx xmlns:ax="http://schemas.microsoft.com/office/2006/activeX" xmlns:r="http://schemas.openxmlformats.org/officeDocument/2006/relationships" ax:classid="{5512D11A-5CC6-11CF-8D67-00AA00BDCE1D}" ax:persistence="persistStream" r:id="rId1"/>
</file>

<file path=xl/activeX/activeX31.xml><?xml version="1.0" encoding="utf-8"?>
<ax:ocx xmlns:ax="http://schemas.microsoft.com/office/2006/activeX" xmlns:r="http://schemas.openxmlformats.org/officeDocument/2006/relationships" ax:classid="{5512D11A-5CC6-11CF-8D67-00AA00BDCE1D}" ax:persistence="persistStream" r:id="rId1"/>
</file>

<file path=xl/activeX/activeX32.xml><?xml version="1.0" encoding="utf-8"?>
<ax:ocx xmlns:ax="http://schemas.microsoft.com/office/2006/activeX" xmlns:r="http://schemas.openxmlformats.org/officeDocument/2006/relationships" ax:classid="{5512D11A-5CC6-11CF-8D67-00AA00BDCE1D}" ax:persistence="persistStream" r:id="rId1"/>
</file>

<file path=xl/activeX/activeX33.xml><?xml version="1.0" encoding="utf-8"?>
<ax:ocx xmlns:ax="http://schemas.microsoft.com/office/2006/activeX" xmlns:r="http://schemas.openxmlformats.org/officeDocument/2006/relationships" ax:classid="{5512D11A-5CC6-11CF-8D67-00AA00BDCE1D}" ax:persistence="persistStream" r:id="rId1"/>
</file>

<file path=xl/activeX/activeX34.xml><?xml version="1.0" encoding="utf-8"?>
<ax:ocx xmlns:ax="http://schemas.microsoft.com/office/2006/activeX" xmlns:r="http://schemas.openxmlformats.org/officeDocument/2006/relationships" ax:classid="{5512D11A-5CC6-11CF-8D67-00AA00BDCE1D}" ax:persistence="persistStream" r:id="rId1"/>
</file>

<file path=xl/activeX/activeX35.xml><?xml version="1.0" encoding="utf-8"?>
<ax:ocx xmlns:ax="http://schemas.microsoft.com/office/2006/activeX" xmlns:r="http://schemas.openxmlformats.org/officeDocument/2006/relationships" ax:classid="{5512D11A-5CC6-11CF-8D67-00AA00BDCE1D}" ax:persistence="persistStream" r:id="rId1"/>
</file>

<file path=xl/activeX/activeX36.xml><?xml version="1.0" encoding="utf-8"?>
<ax:ocx xmlns:ax="http://schemas.microsoft.com/office/2006/activeX" xmlns:r="http://schemas.openxmlformats.org/officeDocument/2006/relationships" ax:classid="{5512D11A-5CC6-11CF-8D67-00AA00BDCE1D}" ax:persistence="persistStream" r:id="rId1"/>
</file>

<file path=xl/activeX/activeX37.xml><?xml version="1.0" encoding="utf-8"?>
<ax:ocx xmlns:ax="http://schemas.microsoft.com/office/2006/activeX" xmlns:r="http://schemas.openxmlformats.org/officeDocument/2006/relationships" ax:classid="{5512D11A-5CC6-11CF-8D67-00AA00BDCE1D}" ax:persistence="persistStream" r:id="rId1"/>
</file>

<file path=xl/activeX/activeX38.xml><?xml version="1.0" encoding="utf-8"?>
<ax:ocx xmlns:ax="http://schemas.microsoft.com/office/2006/activeX" xmlns:r="http://schemas.openxmlformats.org/officeDocument/2006/relationships" ax:classid="{5512D11A-5CC6-11CF-8D67-00AA00BDCE1D}" ax:persistence="persistStream" r:id="rId1"/>
</file>

<file path=xl/activeX/activeX39.xml><?xml version="1.0" encoding="utf-8"?>
<ax:ocx xmlns:ax="http://schemas.microsoft.com/office/2006/activeX" xmlns:r="http://schemas.openxmlformats.org/officeDocument/2006/relationships" ax:classid="{5512D11A-5CC6-11CF-8D67-00AA00BDCE1D}" ax:persistence="persistStream" r:id="rId1"/>
</file>

<file path=xl/activeX/activeX40.xml><?xml version="1.0" encoding="utf-8"?>
<ax:ocx xmlns:ax="http://schemas.microsoft.com/office/2006/activeX" xmlns:r="http://schemas.openxmlformats.org/officeDocument/2006/relationships" ax:classid="{5512D11A-5CC6-11CF-8D67-00AA00BDCE1D}" ax:persistence="persistStream" r:id="rId1"/>
</file>

<file path=xl/activeX/activeX41.xml><?xml version="1.0" encoding="utf-8"?>
<ax:ocx xmlns:ax="http://schemas.microsoft.com/office/2006/activeX" xmlns:r="http://schemas.openxmlformats.org/officeDocument/2006/relationships" ax:classid="{5512D11A-5CC6-11CF-8D67-00AA00BDCE1D}" ax:persistence="persistStream" r:id="rId1"/>
</file>

<file path=xl/activeX/activeX42.xml><?xml version="1.0" encoding="utf-8"?>
<ax:ocx xmlns:ax="http://schemas.microsoft.com/office/2006/activeX" xmlns:r="http://schemas.openxmlformats.org/officeDocument/2006/relationships" ax:classid="{5512D11A-5CC6-11CF-8D67-00AA00BDCE1D}" ax:persistence="persistStream" r:id="rId1"/>
</file>

<file path=xl/activeX/activeX43.xml><?xml version="1.0" encoding="utf-8"?>
<ax:ocx xmlns:ax="http://schemas.microsoft.com/office/2006/activeX" xmlns:r="http://schemas.openxmlformats.org/officeDocument/2006/relationships" ax:classid="{5512D11A-5CC6-11CF-8D67-00AA00BDCE1D}" ax:persistence="persistStream" r:id="rI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10.emf"/><Relationship Id="rId13" Type="http://schemas.openxmlformats.org/officeDocument/2006/relationships/image" Target="../media/image15.emf"/><Relationship Id="rId18" Type="http://schemas.openxmlformats.org/officeDocument/2006/relationships/image" Target="../media/image20.emf"/><Relationship Id="rId26" Type="http://schemas.openxmlformats.org/officeDocument/2006/relationships/image" Target="../media/image28.emf"/><Relationship Id="rId3" Type="http://schemas.openxmlformats.org/officeDocument/2006/relationships/image" Target="../media/image5.emf"/><Relationship Id="rId21" Type="http://schemas.openxmlformats.org/officeDocument/2006/relationships/image" Target="../media/image23.emf"/><Relationship Id="rId7" Type="http://schemas.openxmlformats.org/officeDocument/2006/relationships/image" Target="../media/image9.emf"/><Relationship Id="rId12" Type="http://schemas.openxmlformats.org/officeDocument/2006/relationships/image" Target="../media/image14.emf"/><Relationship Id="rId17" Type="http://schemas.openxmlformats.org/officeDocument/2006/relationships/image" Target="../media/image19.emf"/><Relationship Id="rId25" Type="http://schemas.openxmlformats.org/officeDocument/2006/relationships/image" Target="../media/image27.emf"/><Relationship Id="rId2" Type="http://schemas.openxmlformats.org/officeDocument/2006/relationships/image" Target="../media/image4.emf"/><Relationship Id="rId16" Type="http://schemas.openxmlformats.org/officeDocument/2006/relationships/image" Target="../media/image18.emf"/><Relationship Id="rId20" Type="http://schemas.openxmlformats.org/officeDocument/2006/relationships/image" Target="../media/image22.emf"/><Relationship Id="rId29" Type="http://schemas.openxmlformats.org/officeDocument/2006/relationships/image" Target="../media/image31.emf"/><Relationship Id="rId1" Type="http://schemas.openxmlformats.org/officeDocument/2006/relationships/image" Target="../media/image3.emf"/><Relationship Id="rId6" Type="http://schemas.openxmlformats.org/officeDocument/2006/relationships/image" Target="../media/image8.emf"/><Relationship Id="rId11" Type="http://schemas.openxmlformats.org/officeDocument/2006/relationships/image" Target="../media/image13.emf"/><Relationship Id="rId24" Type="http://schemas.openxmlformats.org/officeDocument/2006/relationships/image" Target="../media/image26.emf"/><Relationship Id="rId5" Type="http://schemas.openxmlformats.org/officeDocument/2006/relationships/image" Target="../media/image7.emf"/><Relationship Id="rId15" Type="http://schemas.openxmlformats.org/officeDocument/2006/relationships/image" Target="../media/image17.emf"/><Relationship Id="rId23" Type="http://schemas.openxmlformats.org/officeDocument/2006/relationships/image" Target="../media/image25.emf"/><Relationship Id="rId28" Type="http://schemas.openxmlformats.org/officeDocument/2006/relationships/image" Target="../media/image30.emf"/><Relationship Id="rId10" Type="http://schemas.openxmlformats.org/officeDocument/2006/relationships/image" Target="../media/image12.emf"/><Relationship Id="rId19" Type="http://schemas.openxmlformats.org/officeDocument/2006/relationships/image" Target="../media/image21.emf"/><Relationship Id="rId4" Type="http://schemas.openxmlformats.org/officeDocument/2006/relationships/image" Target="../media/image6.emf"/><Relationship Id="rId9" Type="http://schemas.openxmlformats.org/officeDocument/2006/relationships/image" Target="../media/image11.emf"/><Relationship Id="rId14" Type="http://schemas.openxmlformats.org/officeDocument/2006/relationships/image" Target="../media/image16.emf"/><Relationship Id="rId22" Type="http://schemas.openxmlformats.org/officeDocument/2006/relationships/image" Target="../media/image24.emf"/><Relationship Id="rId27" Type="http://schemas.openxmlformats.org/officeDocument/2006/relationships/image" Target="../media/image29.emf"/></Relationships>
</file>

<file path=xl/drawings/drawing1.xml><?xml version="1.0" encoding="utf-8"?>
<xdr:wsDr xmlns:xdr="http://schemas.openxmlformats.org/drawingml/2006/spreadsheetDrawing" xmlns:a="http://schemas.openxmlformats.org/drawingml/2006/main">
  <xdr:twoCellAnchor editAs="oneCell">
    <xdr:from>
      <xdr:col>1</xdr:col>
      <xdr:colOff>129540</xdr:colOff>
      <xdr:row>0</xdr:row>
      <xdr:rowOff>114300</xdr:rowOff>
    </xdr:from>
    <xdr:to>
      <xdr:col>5</xdr:col>
      <xdr:colOff>381000</xdr:colOff>
      <xdr:row>3</xdr:row>
      <xdr:rowOff>144780</xdr:rowOff>
    </xdr:to>
    <xdr:pic>
      <xdr:nvPicPr>
        <xdr:cNvPr id="1918" name="Imagen 3" descr="http://promcoser.com/wp-content/uploads/2014/10/logo2.png">
          <a:extLst>
            <a:ext uri="{FF2B5EF4-FFF2-40B4-BE49-F238E27FC236}">
              <a16:creationId xmlns:a16="http://schemas.microsoft.com/office/drawing/2014/main" id="{00000000-0008-0000-0000-00007E07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114300"/>
          <a:ext cx="2004060" cy="784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182880</xdr:colOff>
      <xdr:row>57</xdr:row>
      <xdr:rowOff>76200</xdr:rowOff>
    </xdr:from>
    <xdr:to>
      <xdr:col>5</xdr:col>
      <xdr:colOff>434340</xdr:colOff>
      <xdr:row>60</xdr:row>
      <xdr:rowOff>152400</xdr:rowOff>
    </xdr:to>
    <xdr:pic>
      <xdr:nvPicPr>
        <xdr:cNvPr id="1919" name="Imagen 4" descr="http://promcoser.com/wp-content/uploads/2014/10/logo2.png">
          <a:extLst>
            <a:ext uri="{FF2B5EF4-FFF2-40B4-BE49-F238E27FC236}">
              <a16:creationId xmlns:a16="http://schemas.microsoft.com/office/drawing/2014/main" id="{00000000-0008-0000-0000-00007F07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1940" y="13754100"/>
          <a:ext cx="2004060" cy="670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352426</xdr:colOff>
      <xdr:row>0</xdr:row>
      <xdr:rowOff>55245</xdr:rowOff>
    </xdr:from>
    <xdr:to>
      <xdr:col>7</xdr:col>
      <xdr:colOff>1019771</xdr:colOff>
      <xdr:row>3</xdr:row>
      <xdr:rowOff>85726</xdr:rowOff>
    </xdr:to>
    <xdr:pic>
      <xdr:nvPicPr>
        <xdr:cNvPr id="13326" name="Imagen 1" descr="http://promcoser.com/wp-content/uploads/2014/10/logo2.png">
          <a:extLst>
            <a:ext uri="{FF2B5EF4-FFF2-40B4-BE49-F238E27FC236}">
              <a16:creationId xmlns:a16="http://schemas.microsoft.com/office/drawing/2014/main" id="{00000000-0008-0000-0100-00000E3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1" y="55245"/>
          <a:ext cx="1343620" cy="6686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33</xdr:col>
          <xdr:colOff>185199</xdr:colOff>
          <xdr:row>5</xdr:row>
          <xdr:rowOff>184868</xdr:rowOff>
        </xdr:from>
        <xdr:to>
          <xdr:col>33</xdr:col>
          <xdr:colOff>429039</xdr:colOff>
          <xdr:row>7</xdr:row>
          <xdr:rowOff>80507</xdr:rowOff>
        </xdr:to>
        <xdr:sp macro="" textlink="">
          <xdr:nvSpPr>
            <xdr:cNvPr id="4097" name="Control 1" hidden="1">
              <a:extLst>
                <a:ext uri="{63B3BB69-23CF-44E3-9099-C40C66FF867C}">
                  <a14:compatExt spid="_x0000_s4097"/>
                </a:ext>
                <a:ext uri="{FF2B5EF4-FFF2-40B4-BE49-F238E27FC236}">
                  <a16:creationId xmlns:a16="http://schemas.microsoft.com/office/drawing/2014/main" id="{00000000-0008-0000-0200-000001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5</xdr:row>
          <xdr:rowOff>184868</xdr:rowOff>
        </xdr:from>
        <xdr:to>
          <xdr:col>33</xdr:col>
          <xdr:colOff>429039</xdr:colOff>
          <xdr:row>7</xdr:row>
          <xdr:rowOff>80507</xdr:rowOff>
        </xdr:to>
        <xdr:sp macro="" textlink="">
          <xdr:nvSpPr>
            <xdr:cNvPr id="4098" name="Control 2" hidden="1">
              <a:extLst>
                <a:ext uri="{63B3BB69-23CF-44E3-9099-C40C66FF867C}">
                  <a14:compatExt spid="_x0000_s4098"/>
                </a:ext>
                <a:ext uri="{FF2B5EF4-FFF2-40B4-BE49-F238E27FC236}">
                  <a16:creationId xmlns:a16="http://schemas.microsoft.com/office/drawing/2014/main" id="{00000000-0008-0000-0200-000002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5</xdr:row>
          <xdr:rowOff>184868</xdr:rowOff>
        </xdr:from>
        <xdr:to>
          <xdr:col>33</xdr:col>
          <xdr:colOff>429039</xdr:colOff>
          <xdr:row>7</xdr:row>
          <xdr:rowOff>80507</xdr:rowOff>
        </xdr:to>
        <xdr:sp macro="" textlink="">
          <xdr:nvSpPr>
            <xdr:cNvPr id="4099" name="Control 3" hidden="1">
              <a:extLst>
                <a:ext uri="{63B3BB69-23CF-44E3-9099-C40C66FF867C}">
                  <a14:compatExt spid="_x0000_s4099"/>
                </a:ext>
                <a:ext uri="{FF2B5EF4-FFF2-40B4-BE49-F238E27FC236}">
                  <a16:creationId xmlns:a16="http://schemas.microsoft.com/office/drawing/2014/main" id="{00000000-0008-0000-0200-000003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5</xdr:row>
          <xdr:rowOff>184868</xdr:rowOff>
        </xdr:from>
        <xdr:to>
          <xdr:col>33</xdr:col>
          <xdr:colOff>429039</xdr:colOff>
          <xdr:row>7</xdr:row>
          <xdr:rowOff>80507</xdr:rowOff>
        </xdr:to>
        <xdr:sp macro="" textlink="">
          <xdr:nvSpPr>
            <xdr:cNvPr id="4100" name="Control 4" hidden="1">
              <a:extLst>
                <a:ext uri="{63B3BB69-23CF-44E3-9099-C40C66FF867C}">
                  <a14:compatExt spid="_x0000_s4100"/>
                </a:ext>
                <a:ext uri="{FF2B5EF4-FFF2-40B4-BE49-F238E27FC236}">
                  <a16:creationId xmlns:a16="http://schemas.microsoft.com/office/drawing/2014/main" id="{00000000-0008-0000-0200-000004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6</xdr:row>
          <xdr:rowOff>182217</xdr:rowOff>
        </xdr:from>
        <xdr:to>
          <xdr:col>33</xdr:col>
          <xdr:colOff>429039</xdr:colOff>
          <xdr:row>8</xdr:row>
          <xdr:rowOff>77857</xdr:rowOff>
        </xdr:to>
        <xdr:sp macro="" textlink="">
          <xdr:nvSpPr>
            <xdr:cNvPr id="4101" name="Control 5" hidden="1">
              <a:extLst>
                <a:ext uri="{63B3BB69-23CF-44E3-9099-C40C66FF867C}">
                  <a14:compatExt spid="_x0000_s4101"/>
                </a:ext>
                <a:ext uri="{FF2B5EF4-FFF2-40B4-BE49-F238E27FC236}">
                  <a16:creationId xmlns:a16="http://schemas.microsoft.com/office/drawing/2014/main" id="{00000000-0008-0000-0200-000005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6</xdr:row>
          <xdr:rowOff>182217</xdr:rowOff>
        </xdr:from>
        <xdr:to>
          <xdr:col>33</xdr:col>
          <xdr:colOff>429039</xdr:colOff>
          <xdr:row>8</xdr:row>
          <xdr:rowOff>77857</xdr:rowOff>
        </xdr:to>
        <xdr:sp macro="" textlink="">
          <xdr:nvSpPr>
            <xdr:cNvPr id="4102" name="Control 6" hidden="1">
              <a:extLst>
                <a:ext uri="{63B3BB69-23CF-44E3-9099-C40C66FF867C}">
                  <a14:compatExt spid="_x0000_s4102"/>
                </a:ext>
                <a:ext uri="{FF2B5EF4-FFF2-40B4-BE49-F238E27FC236}">
                  <a16:creationId xmlns:a16="http://schemas.microsoft.com/office/drawing/2014/main" id="{00000000-0008-0000-0200-000006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6</xdr:row>
          <xdr:rowOff>182217</xdr:rowOff>
        </xdr:from>
        <xdr:to>
          <xdr:col>33</xdr:col>
          <xdr:colOff>429039</xdr:colOff>
          <xdr:row>8</xdr:row>
          <xdr:rowOff>77857</xdr:rowOff>
        </xdr:to>
        <xdr:sp macro="" textlink="">
          <xdr:nvSpPr>
            <xdr:cNvPr id="4103" name="Control 7" hidden="1">
              <a:extLst>
                <a:ext uri="{63B3BB69-23CF-44E3-9099-C40C66FF867C}">
                  <a14:compatExt spid="_x0000_s4103"/>
                </a:ext>
                <a:ext uri="{FF2B5EF4-FFF2-40B4-BE49-F238E27FC236}">
                  <a16:creationId xmlns:a16="http://schemas.microsoft.com/office/drawing/2014/main" id="{00000000-0008-0000-0200-000007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6</xdr:row>
          <xdr:rowOff>182217</xdr:rowOff>
        </xdr:from>
        <xdr:to>
          <xdr:col>33</xdr:col>
          <xdr:colOff>429039</xdr:colOff>
          <xdr:row>8</xdr:row>
          <xdr:rowOff>77857</xdr:rowOff>
        </xdr:to>
        <xdr:sp macro="" textlink="">
          <xdr:nvSpPr>
            <xdr:cNvPr id="4104" name="Control 8" hidden="1">
              <a:extLst>
                <a:ext uri="{63B3BB69-23CF-44E3-9099-C40C66FF867C}">
                  <a14:compatExt spid="_x0000_s4104"/>
                </a:ext>
                <a:ext uri="{FF2B5EF4-FFF2-40B4-BE49-F238E27FC236}">
                  <a16:creationId xmlns:a16="http://schemas.microsoft.com/office/drawing/2014/main" id="{00000000-0008-0000-0200-000008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7</xdr:row>
          <xdr:rowOff>133847</xdr:rowOff>
        </xdr:from>
        <xdr:to>
          <xdr:col>33</xdr:col>
          <xdr:colOff>429039</xdr:colOff>
          <xdr:row>9</xdr:row>
          <xdr:rowOff>29486</xdr:rowOff>
        </xdr:to>
        <xdr:sp macro="" textlink="">
          <xdr:nvSpPr>
            <xdr:cNvPr id="4105" name="Control 9" hidden="1">
              <a:extLst>
                <a:ext uri="{63B3BB69-23CF-44E3-9099-C40C66FF867C}">
                  <a14:compatExt spid="_x0000_s4105"/>
                </a:ext>
                <a:ext uri="{FF2B5EF4-FFF2-40B4-BE49-F238E27FC236}">
                  <a16:creationId xmlns:a16="http://schemas.microsoft.com/office/drawing/2014/main" id="{00000000-0008-0000-0200-000009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7</xdr:row>
          <xdr:rowOff>133847</xdr:rowOff>
        </xdr:from>
        <xdr:to>
          <xdr:col>33</xdr:col>
          <xdr:colOff>429039</xdr:colOff>
          <xdr:row>9</xdr:row>
          <xdr:rowOff>29486</xdr:rowOff>
        </xdr:to>
        <xdr:sp macro="" textlink="">
          <xdr:nvSpPr>
            <xdr:cNvPr id="4106" name="Control 10" hidden="1">
              <a:extLst>
                <a:ext uri="{63B3BB69-23CF-44E3-9099-C40C66FF867C}">
                  <a14:compatExt spid="_x0000_s4106"/>
                </a:ext>
                <a:ext uri="{FF2B5EF4-FFF2-40B4-BE49-F238E27FC236}">
                  <a16:creationId xmlns:a16="http://schemas.microsoft.com/office/drawing/2014/main" id="{00000000-0008-0000-0200-00000A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7</xdr:row>
          <xdr:rowOff>133847</xdr:rowOff>
        </xdr:from>
        <xdr:to>
          <xdr:col>33</xdr:col>
          <xdr:colOff>429039</xdr:colOff>
          <xdr:row>9</xdr:row>
          <xdr:rowOff>29486</xdr:rowOff>
        </xdr:to>
        <xdr:sp macro="" textlink="">
          <xdr:nvSpPr>
            <xdr:cNvPr id="4107" name="Control 11" hidden="1">
              <a:extLst>
                <a:ext uri="{63B3BB69-23CF-44E3-9099-C40C66FF867C}">
                  <a14:compatExt spid="_x0000_s4107"/>
                </a:ext>
                <a:ext uri="{FF2B5EF4-FFF2-40B4-BE49-F238E27FC236}">
                  <a16:creationId xmlns:a16="http://schemas.microsoft.com/office/drawing/2014/main" id="{00000000-0008-0000-0200-00000B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7</xdr:row>
          <xdr:rowOff>133847</xdr:rowOff>
        </xdr:from>
        <xdr:to>
          <xdr:col>33</xdr:col>
          <xdr:colOff>429039</xdr:colOff>
          <xdr:row>9</xdr:row>
          <xdr:rowOff>29486</xdr:rowOff>
        </xdr:to>
        <xdr:sp macro="" textlink="">
          <xdr:nvSpPr>
            <xdr:cNvPr id="4108" name="Control 12" hidden="1">
              <a:extLst>
                <a:ext uri="{63B3BB69-23CF-44E3-9099-C40C66FF867C}">
                  <a14:compatExt spid="_x0000_s4108"/>
                </a:ext>
                <a:ext uri="{FF2B5EF4-FFF2-40B4-BE49-F238E27FC236}">
                  <a16:creationId xmlns:a16="http://schemas.microsoft.com/office/drawing/2014/main" id="{00000000-0008-0000-0200-00000C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8</xdr:row>
          <xdr:rowOff>115957</xdr:rowOff>
        </xdr:from>
        <xdr:to>
          <xdr:col>33</xdr:col>
          <xdr:colOff>429039</xdr:colOff>
          <xdr:row>10</xdr:row>
          <xdr:rowOff>11596</xdr:rowOff>
        </xdr:to>
        <xdr:sp macro="" textlink="">
          <xdr:nvSpPr>
            <xdr:cNvPr id="4109" name="Control 13" hidden="1">
              <a:extLst>
                <a:ext uri="{63B3BB69-23CF-44E3-9099-C40C66FF867C}">
                  <a14:compatExt spid="_x0000_s4109"/>
                </a:ext>
                <a:ext uri="{FF2B5EF4-FFF2-40B4-BE49-F238E27FC236}">
                  <a16:creationId xmlns:a16="http://schemas.microsoft.com/office/drawing/2014/main" id="{00000000-0008-0000-0200-00000D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8</xdr:row>
          <xdr:rowOff>115957</xdr:rowOff>
        </xdr:from>
        <xdr:to>
          <xdr:col>33</xdr:col>
          <xdr:colOff>429039</xdr:colOff>
          <xdr:row>10</xdr:row>
          <xdr:rowOff>11596</xdr:rowOff>
        </xdr:to>
        <xdr:sp macro="" textlink="">
          <xdr:nvSpPr>
            <xdr:cNvPr id="4110" name="Control 14" hidden="1">
              <a:extLst>
                <a:ext uri="{63B3BB69-23CF-44E3-9099-C40C66FF867C}">
                  <a14:compatExt spid="_x0000_s4110"/>
                </a:ext>
                <a:ext uri="{FF2B5EF4-FFF2-40B4-BE49-F238E27FC236}">
                  <a16:creationId xmlns:a16="http://schemas.microsoft.com/office/drawing/2014/main" id="{00000000-0008-0000-0200-00000E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8</xdr:row>
          <xdr:rowOff>115957</xdr:rowOff>
        </xdr:from>
        <xdr:to>
          <xdr:col>33</xdr:col>
          <xdr:colOff>429039</xdr:colOff>
          <xdr:row>10</xdr:row>
          <xdr:rowOff>11596</xdr:rowOff>
        </xdr:to>
        <xdr:sp macro="" textlink="">
          <xdr:nvSpPr>
            <xdr:cNvPr id="4111" name="Control 15" hidden="1">
              <a:extLst>
                <a:ext uri="{63B3BB69-23CF-44E3-9099-C40C66FF867C}">
                  <a14:compatExt spid="_x0000_s4111"/>
                </a:ext>
                <a:ext uri="{FF2B5EF4-FFF2-40B4-BE49-F238E27FC236}">
                  <a16:creationId xmlns:a16="http://schemas.microsoft.com/office/drawing/2014/main" id="{00000000-0008-0000-0200-00000F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8</xdr:row>
          <xdr:rowOff>115957</xdr:rowOff>
        </xdr:from>
        <xdr:to>
          <xdr:col>33</xdr:col>
          <xdr:colOff>429039</xdr:colOff>
          <xdr:row>10</xdr:row>
          <xdr:rowOff>11596</xdr:rowOff>
        </xdr:to>
        <xdr:sp macro="" textlink="">
          <xdr:nvSpPr>
            <xdr:cNvPr id="4112" name="Control 16" hidden="1">
              <a:extLst>
                <a:ext uri="{63B3BB69-23CF-44E3-9099-C40C66FF867C}">
                  <a14:compatExt spid="_x0000_s4112"/>
                </a:ext>
                <a:ext uri="{FF2B5EF4-FFF2-40B4-BE49-F238E27FC236}">
                  <a16:creationId xmlns:a16="http://schemas.microsoft.com/office/drawing/2014/main" id="{00000000-0008-0000-0200-000010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9</xdr:row>
          <xdr:rowOff>82826</xdr:rowOff>
        </xdr:from>
        <xdr:to>
          <xdr:col>33</xdr:col>
          <xdr:colOff>429039</xdr:colOff>
          <xdr:row>11</xdr:row>
          <xdr:rowOff>4970</xdr:rowOff>
        </xdr:to>
        <xdr:sp macro="" textlink="">
          <xdr:nvSpPr>
            <xdr:cNvPr id="4113" name="Control 17" hidden="1">
              <a:extLst>
                <a:ext uri="{63B3BB69-23CF-44E3-9099-C40C66FF867C}">
                  <a14:compatExt spid="_x0000_s4113"/>
                </a:ext>
                <a:ext uri="{FF2B5EF4-FFF2-40B4-BE49-F238E27FC236}">
                  <a16:creationId xmlns:a16="http://schemas.microsoft.com/office/drawing/2014/main" id="{00000000-0008-0000-0200-000011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9</xdr:row>
          <xdr:rowOff>82826</xdr:rowOff>
        </xdr:from>
        <xdr:to>
          <xdr:col>33</xdr:col>
          <xdr:colOff>429039</xdr:colOff>
          <xdr:row>11</xdr:row>
          <xdr:rowOff>4970</xdr:rowOff>
        </xdr:to>
        <xdr:sp macro="" textlink="">
          <xdr:nvSpPr>
            <xdr:cNvPr id="4114" name="Control 18" hidden="1">
              <a:extLst>
                <a:ext uri="{63B3BB69-23CF-44E3-9099-C40C66FF867C}">
                  <a14:compatExt spid="_x0000_s4114"/>
                </a:ext>
                <a:ext uri="{FF2B5EF4-FFF2-40B4-BE49-F238E27FC236}">
                  <a16:creationId xmlns:a16="http://schemas.microsoft.com/office/drawing/2014/main" id="{00000000-0008-0000-0200-000012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9</xdr:row>
          <xdr:rowOff>82826</xdr:rowOff>
        </xdr:from>
        <xdr:to>
          <xdr:col>33</xdr:col>
          <xdr:colOff>429039</xdr:colOff>
          <xdr:row>11</xdr:row>
          <xdr:rowOff>4970</xdr:rowOff>
        </xdr:to>
        <xdr:sp macro="" textlink="">
          <xdr:nvSpPr>
            <xdr:cNvPr id="4115" name="Control 19" hidden="1">
              <a:extLst>
                <a:ext uri="{63B3BB69-23CF-44E3-9099-C40C66FF867C}">
                  <a14:compatExt spid="_x0000_s4115"/>
                </a:ext>
                <a:ext uri="{FF2B5EF4-FFF2-40B4-BE49-F238E27FC236}">
                  <a16:creationId xmlns:a16="http://schemas.microsoft.com/office/drawing/2014/main" id="{00000000-0008-0000-0200-000013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9</xdr:row>
          <xdr:rowOff>82826</xdr:rowOff>
        </xdr:from>
        <xdr:to>
          <xdr:col>33</xdr:col>
          <xdr:colOff>429039</xdr:colOff>
          <xdr:row>11</xdr:row>
          <xdr:rowOff>4970</xdr:rowOff>
        </xdr:to>
        <xdr:sp macro="" textlink="">
          <xdr:nvSpPr>
            <xdr:cNvPr id="4116" name="Control 20" hidden="1">
              <a:extLst>
                <a:ext uri="{63B3BB69-23CF-44E3-9099-C40C66FF867C}">
                  <a14:compatExt spid="_x0000_s4116"/>
                </a:ext>
                <a:ext uri="{FF2B5EF4-FFF2-40B4-BE49-F238E27FC236}">
                  <a16:creationId xmlns:a16="http://schemas.microsoft.com/office/drawing/2014/main" id="{00000000-0008-0000-0200-000014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10</xdr:row>
          <xdr:rowOff>57316</xdr:rowOff>
        </xdr:from>
        <xdr:to>
          <xdr:col>33</xdr:col>
          <xdr:colOff>429039</xdr:colOff>
          <xdr:row>11</xdr:row>
          <xdr:rowOff>164990</xdr:rowOff>
        </xdr:to>
        <xdr:sp macro="" textlink="">
          <xdr:nvSpPr>
            <xdr:cNvPr id="4117" name="Control 21" hidden="1">
              <a:extLst>
                <a:ext uri="{63B3BB69-23CF-44E3-9099-C40C66FF867C}">
                  <a14:compatExt spid="_x0000_s4117"/>
                </a:ext>
                <a:ext uri="{FF2B5EF4-FFF2-40B4-BE49-F238E27FC236}">
                  <a16:creationId xmlns:a16="http://schemas.microsoft.com/office/drawing/2014/main" id="{00000000-0008-0000-0200-000015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10</xdr:row>
          <xdr:rowOff>57316</xdr:rowOff>
        </xdr:from>
        <xdr:to>
          <xdr:col>33</xdr:col>
          <xdr:colOff>429039</xdr:colOff>
          <xdr:row>11</xdr:row>
          <xdr:rowOff>164990</xdr:rowOff>
        </xdr:to>
        <xdr:sp macro="" textlink="">
          <xdr:nvSpPr>
            <xdr:cNvPr id="4118" name="Control 22" hidden="1">
              <a:extLst>
                <a:ext uri="{63B3BB69-23CF-44E3-9099-C40C66FF867C}">
                  <a14:compatExt spid="_x0000_s4118"/>
                </a:ext>
                <a:ext uri="{FF2B5EF4-FFF2-40B4-BE49-F238E27FC236}">
                  <a16:creationId xmlns:a16="http://schemas.microsoft.com/office/drawing/2014/main" id="{00000000-0008-0000-0200-000016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10</xdr:row>
          <xdr:rowOff>57316</xdr:rowOff>
        </xdr:from>
        <xdr:to>
          <xdr:col>33</xdr:col>
          <xdr:colOff>429039</xdr:colOff>
          <xdr:row>11</xdr:row>
          <xdr:rowOff>164990</xdr:rowOff>
        </xdr:to>
        <xdr:sp macro="" textlink="">
          <xdr:nvSpPr>
            <xdr:cNvPr id="4119" name="Control 23" hidden="1">
              <a:extLst>
                <a:ext uri="{63B3BB69-23CF-44E3-9099-C40C66FF867C}">
                  <a14:compatExt spid="_x0000_s4119"/>
                </a:ext>
                <a:ext uri="{FF2B5EF4-FFF2-40B4-BE49-F238E27FC236}">
                  <a16:creationId xmlns:a16="http://schemas.microsoft.com/office/drawing/2014/main" id="{00000000-0008-0000-0200-000017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10</xdr:row>
          <xdr:rowOff>57316</xdr:rowOff>
        </xdr:from>
        <xdr:to>
          <xdr:col>33</xdr:col>
          <xdr:colOff>429039</xdr:colOff>
          <xdr:row>11</xdr:row>
          <xdr:rowOff>164990</xdr:rowOff>
        </xdr:to>
        <xdr:sp macro="" textlink="">
          <xdr:nvSpPr>
            <xdr:cNvPr id="4120" name="Control 24" hidden="1">
              <a:extLst>
                <a:ext uri="{63B3BB69-23CF-44E3-9099-C40C66FF867C}">
                  <a14:compatExt spid="_x0000_s4120"/>
                </a:ext>
                <a:ext uri="{FF2B5EF4-FFF2-40B4-BE49-F238E27FC236}">
                  <a16:creationId xmlns:a16="http://schemas.microsoft.com/office/drawing/2014/main" id="{00000000-0008-0000-0200-000018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10</xdr:row>
          <xdr:rowOff>133516</xdr:rowOff>
        </xdr:from>
        <xdr:to>
          <xdr:col>33</xdr:col>
          <xdr:colOff>429039</xdr:colOff>
          <xdr:row>12</xdr:row>
          <xdr:rowOff>55659</xdr:rowOff>
        </xdr:to>
        <xdr:sp macro="" textlink="">
          <xdr:nvSpPr>
            <xdr:cNvPr id="4121" name="Control 25" hidden="1">
              <a:extLst>
                <a:ext uri="{63B3BB69-23CF-44E3-9099-C40C66FF867C}">
                  <a14:compatExt spid="_x0000_s4121"/>
                </a:ext>
                <a:ext uri="{FF2B5EF4-FFF2-40B4-BE49-F238E27FC236}">
                  <a16:creationId xmlns:a16="http://schemas.microsoft.com/office/drawing/2014/main" id="{00000000-0008-0000-0200-000019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10</xdr:row>
          <xdr:rowOff>133516</xdr:rowOff>
        </xdr:from>
        <xdr:to>
          <xdr:col>33</xdr:col>
          <xdr:colOff>429039</xdr:colOff>
          <xdr:row>12</xdr:row>
          <xdr:rowOff>55659</xdr:rowOff>
        </xdr:to>
        <xdr:sp macro="" textlink="">
          <xdr:nvSpPr>
            <xdr:cNvPr id="4122" name="Control 26" hidden="1">
              <a:extLst>
                <a:ext uri="{63B3BB69-23CF-44E3-9099-C40C66FF867C}">
                  <a14:compatExt spid="_x0000_s4122"/>
                </a:ext>
                <a:ext uri="{FF2B5EF4-FFF2-40B4-BE49-F238E27FC236}">
                  <a16:creationId xmlns:a16="http://schemas.microsoft.com/office/drawing/2014/main" id="{00000000-0008-0000-0200-00001A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10</xdr:row>
          <xdr:rowOff>133516</xdr:rowOff>
        </xdr:from>
        <xdr:to>
          <xdr:col>33</xdr:col>
          <xdr:colOff>429039</xdr:colOff>
          <xdr:row>12</xdr:row>
          <xdr:rowOff>55659</xdr:rowOff>
        </xdr:to>
        <xdr:sp macro="" textlink="">
          <xdr:nvSpPr>
            <xdr:cNvPr id="4123" name="Control 27" hidden="1">
              <a:extLst>
                <a:ext uri="{63B3BB69-23CF-44E3-9099-C40C66FF867C}">
                  <a14:compatExt spid="_x0000_s4123"/>
                </a:ext>
                <a:ext uri="{FF2B5EF4-FFF2-40B4-BE49-F238E27FC236}">
                  <a16:creationId xmlns:a16="http://schemas.microsoft.com/office/drawing/2014/main" id="{00000000-0008-0000-0200-00001B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10</xdr:row>
          <xdr:rowOff>133516</xdr:rowOff>
        </xdr:from>
        <xdr:to>
          <xdr:col>33</xdr:col>
          <xdr:colOff>429039</xdr:colOff>
          <xdr:row>12</xdr:row>
          <xdr:rowOff>55659</xdr:rowOff>
        </xdr:to>
        <xdr:sp macro="" textlink="">
          <xdr:nvSpPr>
            <xdr:cNvPr id="4124" name="Control 28" hidden="1">
              <a:extLst>
                <a:ext uri="{63B3BB69-23CF-44E3-9099-C40C66FF867C}">
                  <a14:compatExt spid="_x0000_s4124"/>
                </a:ext>
                <a:ext uri="{FF2B5EF4-FFF2-40B4-BE49-F238E27FC236}">
                  <a16:creationId xmlns:a16="http://schemas.microsoft.com/office/drawing/2014/main" id="{00000000-0008-0000-0200-00001C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10</xdr:row>
          <xdr:rowOff>133516</xdr:rowOff>
        </xdr:from>
        <xdr:to>
          <xdr:col>33</xdr:col>
          <xdr:colOff>429039</xdr:colOff>
          <xdr:row>12</xdr:row>
          <xdr:rowOff>55659</xdr:rowOff>
        </xdr:to>
        <xdr:sp macro="" textlink="">
          <xdr:nvSpPr>
            <xdr:cNvPr id="4125" name="Control 29" hidden="1">
              <a:extLst>
                <a:ext uri="{63B3BB69-23CF-44E3-9099-C40C66FF867C}">
                  <a14:compatExt spid="_x0000_s4125"/>
                </a:ext>
                <a:ext uri="{FF2B5EF4-FFF2-40B4-BE49-F238E27FC236}">
                  <a16:creationId xmlns:a16="http://schemas.microsoft.com/office/drawing/2014/main" id="{00000000-0008-0000-0200-00001D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10</xdr:row>
          <xdr:rowOff>133516</xdr:rowOff>
        </xdr:from>
        <xdr:to>
          <xdr:col>33</xdr:col>
          <xdr:colOff>429039</xdr:colOff>
          <xdr:row>12</xdr:row>
          <xdr:rowOff>55659</xdr:rowOff>
        </xdr:to>
        <xdr:sp macro="" textlink="">
          <xdr:nvSpPr>
            <xdr:cNvPr id="4126" name="Control 30" hidden="1">
              <a:extLst>
                <a:ext uri="{63B3BB69-23CF-44E3-9099-C40C66FF867C}">
                  <a14:compatExt spid="_x0000_s4126"/>
                </a:ext>
                <a:ext uri="{FF2B5EF4-FFF2-40B4-BE49-F238E27FC236}">
                  <a16:creationId xmlns:a16="http://schemas.microsoft.com/office/drawing/2014/main" id="{00000000-0008-0000-0200-00001E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10</xdr:row>
          <xdr:rowOff>133516</xdr:rowOff>
        </xdr:from>
        <xdr:to>
          <xdr:col>33</xdr:col>
          <xdr:colOff>429039</xdr:colOff>
          <xdr:row>12</xdr:row>
          <xdr:rowOff>55659</xdr:rowOff>
        </xdr:to>
        <xdr:sp macro="" textlink="">
          <xdr:nvSpPr>
            <xdr:cNvPr id="4127" name="Control 31" hidden="1">
              <a:extLst>
                <a:ext uri="{63B3BB69-23CF-44E3-9099-C40C66FF867C}">
                  <a14:compatExt spid="_x0000_s4127"/>
                </a:ext>
                <a:ext uri="{FF2B5EF4-FFF2-40B4-BE49-F238E27FC236}">
                  <a16:creationId xmlns:a16="http://schemas.microsoft.com/office/drawing/2014/main" id="{00000000-0008-0000-0200-00001F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10</xdr:row>
          <xdr:rowOff>133516</xdr:rowOff>
        </xdr:from>
        <xdr:to>
          <xdr:col>33</xdr:col>
          <xdr:colOff>429039</xdr:colOff>
          <xdr:row>12</xdr:row>
          <xdr:rowOff>55659</xdr:rowOff>
        </xdr:to>
        <xdr:sp macro="" textlink="">
          <xdr:nvSpPr>
            <xdr:cNvPr id="4128" name="Control 32" hidden="1">
              <a:extLst>
                <a:ext uri="{63B3BB69-23CF-44E3-9099-C40C66FF867C}">
                  <a14:compatExt spid="_x0000_s4128"/>
                </a:ext>
                <a:ext uri="{FF2B5EF4-FFF2-40B4-BE49-F238E27FC236}">
                  <a16:creationId xmlns:a16="http://schemas.microsoft.com/office/drawing/2014/main" id="{00000000-0008-0000-0200-000020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10</xdr:row>
          <xdr:rowOff>133516</xdr:rowOff>
        </xdr:from>
        <xdr:to>
          <xdr:col>33</xdr:col>
          <xdr:colOff>429039</xdr:colOff>
          <xdr:row>12</xdr:row>
          <xdr:rowOff>55659</xdr:rowOff>
        </xdr:to>
        <xdr:sp macro="" textlink="">
          <xdr:nvSpPr>
            <xdr:cNvPr id="4129" name="Control 33" hidden="1">
              <a:extLst>
                <a:ext uri="{63B3BB69-23CF-44E3-9099-C40C66FF867C}">
                  <a14:compatExt spid="_x0000_s4129"/>
                </a:ext>
                <a:ext uri="{FF2B5EF4-FFF2-40B4-BE49-F238E27FC236}">
                  <a16:creationId xmlns:a16="http://schemas.microsoft.com/office/drawing/2014/main" id="{00000000-0008-0000-0200-000021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10</xdr:row>
          <xdr:rowOff>133516</xdr:rowOff>
        </xdr:from>
        <xdr:to>
          <xdr:col>33</xdr:col>
          <xdr:colOff>429039</xdr:colOff>
          <xdr:row>12</xdr:row>
          <xdr:rowOff>55659</xdr:rowOff>
        </xdr:to>
        <xdr:sp macro="" textlink="">
          <xdr:nvSpPr>
            <xdr:cNvPr id="4130" name="Control 34" hidden="1">
              <a:extLst>
                <a:ext uri="{63B3BB69-23CF-44E3-9099-C40C66FF867C}">
                  <a14:compatExt spid="_x0000_s4130"/>
                </a:ext>
                <a:ext uri="{FF2B5EF4-FFF2-40B4-BE49-F238E27FC236}">
                  <a16:creationId xmlns:a16="http://schemas.microsoft.com/office/drawing/2014/main" id="{00000000-0008-0000-0200-000022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10</xdr:row>
          <xdr:rowOff>133516</xdr:rowOff>
        </xdr:from>
        <xdr:to>
          <xdr:col>33</xdr:col>
          <xdr:colOff>429039</xdr:colOff>
          <xdr:row>12</xdr:row>
          <xdr:rowOff>55659</xdr:rowOff>
        </xdr:to>
        <xdr:sp macro="" textlink="">
          <xdr:nvSpPr>
            <xdr:cNvPr id="4131" name="Control 35" hidden="1">
              <a:extLst>
                <a:ext uri="{63B3BB69-23CF-44E3-9099-C40C66FF867C}">
                  <a14:compatExt spid="_x0000_s4131"/>
                </a:ext>
                <a:ext uri="{FF2B5EF4-FFF2-40B4-BE49-F238E27FC236}">
                  <a16:creationId xmlns:a16="http://schemas.microsoft.com/office/drawing/2014/main" id="{00000000-0008-0000-0200-000023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10</xdr:row>
          <xdr:rowOff>133516</xdr:rowOff>
        </xdr:from>
        <xdr:to>
          <xdr:col>33</xdr:col>
          <xdr:colOff>429039</xdr:colOff>
          <xdr:row>12</xdr:row>
          <xdr:rowOff>55659</xdr:rowOff>
        </xdr:to>
        <xdr:sp macro="" textlink="">
          <xdr:nvSpPr>
            <xdr:cNvPr id="4132" name="Control 36" hidden="1">
              <a:extLst>
                <a:ext uri="{63B3BB69-23CF-44E3-9099-C40C66FF867C}">
                  <a14:compatExt spid="_x0000_s4132"/>
                </a:ext>
                <a:ext uri="{FF2B5EF4-FFF2-40B4-BE49-F238E27FC236}">
                  <a16:creationId xmlns:a16="http://schemas.microsoft.com/office/drawing/2014/main" id="{00000000-0008-0000-0200-000024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11</xdr:row>
          <xdr:rowOff>35450</xdr:rowOff>
        </xdr:from>
        <xdr:to>
          <xdr:col>33</xdr:col>
          <xdr:colOff>429039</xdr:colOff>
          <xdr:row>12</xdr:row>
          <xdr:rowOff>116619</xdr:rowOff>
        </xdr:to>
        <xdr:sp macro="" textlink="">
          <xdr:nvSpPr>
            <xdr:cNvPr id="4133" name="Control 37" hidden="1">
              <a:extLst>
                <a:ext uri="{63B3BB69-23CF-44E3-9099-C40C66FF867C}">
                  <a14:compatExt spid="_x0000_s4133"/>
                </a:ext>
                <a:ext uri="{FF2B5EF4-FFF2-40B4-BE49-F238E27FC236}">
                  <a16:creationId xmlns:a16="http://schemas.microsoft.com/office/drawing/2014/main" id="{00000000-0008-0000-0200-000025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11</xdr:row>
          <xdr:rowOff>35450</xdr:rowOff>
        </xdr:from>
        <xdr:to>
          <xdr:col>33</xdr:col>
          <xdr:colOff>429039</xdr:colOff>
          <xdr:row>12</xdr:row>
          <xdr:rowOff>116619</xdr:rowOff>
        </xdr:to>
        <xdr:sp macro="" textlink="">
          <xdr:nvSpPr>
            <xdr:cNvPr id="4134" name="Control 38" hidden="1">
              <a:extLst>
                <a:ext uri="{63B3BB69-23CF-44E3-9099-C40C66FF867C}">
                  <a14:compatExt spid="_x0000_s4134"/>
                </a:ext>
                <a:ext uri="{FF2B5EF4-FFF2-40B4-BE49-F238E27FC236}">
                  <a16:creationId xmlns:a16="http://schemas.microsoft.com/office/drawing/2014/main" id="{00000000-0008-0000-0200-000026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11</xdr:row>
          <xdr:rowOff>35450</xdr:rowOff>
        </xdr:from>
        <xdr:to>
          <xdr:col>33</xdr:col>
          <xdr:colOff>429039</xdr:colOff>
          <xdr:row>12</xdr:row>
          <xdr:rowOff>116619</xdr:rowOff>
        </xdr:to>
        <xdr:sp macro="" textlink="">
          <xdr:nvSpPr>
            <xdr:cNvPr id="4135" name="Control 39" hidden="1">
              <a:extLst>
                <a:ext uri="{63B3BB69-23CF-44E3-9099-C40C66FF867C}">
                  <a14:compatExt spid="_x0000_s4135"/>
                </a:ext>
                <a:ext uri="{FF2B5EF4-FFF2-40B4-BE49-F238E27FC236}">
                  <a16:creationId xmlns:a16="http://schemas.microsoft.com/office/drawing/2014/main" id="{00000000-0008-0000-0200-000027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11</xdr:row>
          <xdr:rowOff>35450</xdr:rowOff>
        </xdr:from>
        <xdr:to>
          <xdr:col>33</xdr:col>
          <xdr:colOff>429039</xdr:colOff>
          <xdr:row>12</xdr:row>
          <xdr:rowOff>116619</xdr:rowOff>
        </xdr:to>
        <xdr:sp macro="" textlink="">
          <xdr:nvSpPr>
            <xdr:cNvPr id="4136" name="Control 40" hidden="1">
              <a:extLst>
                <a:ext uri="{63B3BB69-23CF-44E3-9099-C40C66FF867C}">
                  <a14:compatExt spid="_x0000_s4136"/>
                </a:ext>
                <a:ext uri="{FF2B5EF4-FFF2-40B4-BE49-F238E27FC236}">
                  <a16:creationId xmlns:a16="http://schemas.microsoft.com/office/drawing/2014/main" id="{00000000-0008-0000-0200-000028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11</xdr:row>
          <xdr:rowOff>96410</xdr:rowOff>
        </xdr:from>
        <xdr:to>
          <xdr:col>33</xdr:col>
          <xdr:colOff>429039</xdr:colOff>
          <xdr:row>13</xdr:row>
          <xdr:rowOff>18553</xdr:rowOff>
        </xdr:to>
        <xdr:sp macro="" textlink="">
          <xdr:nvSpPr>
            <xdr:cNvPr id="4137" name="Control 41" hidden="1">
              <a:extLst>
                <a:ext uri="{63B3BB69-23CF-44E3-9099-C40C66FF867C}">
                  <a14:compatExt spid="_x0000_s4137"/>
                </a:ext>
                <a:ext uri="{FF2B5EF4-FFF2-40B4-BE49-F238E27FC236}">
                  <a16:creationId xmlns:a16="http://schemas.microsoft.com/office/drawing/2014/main" id="{00000000-0008-0000-0200-000029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11</xdr:row>
          <xdr:rowOff>157370</xdr:rowOff>
        </xdr:from>
        <xdr:to>
          <xdr:col>33</xdr:col>
          <xdr:colOff>429039</xdr:colOff>
          <xdr:row>13</xdr:row>
          <xdr:rowOff>79513</xdr:rowOff>
        </xdr:to>
        <xdr:sp macro="" textlink="">
          <xdr:nvSpPr>
            <xdr:cNvPr id="4138" name="Control 42" hidden="1">
              <a:extLst>
                <a:ext uri="{63B3BB69-23CF-44E3-9099-C40C66FF867C}">
                  <a14:compatExt spid="_x0000_s4138"/>
                </a:ext>
                <a:ext uri="{FF2B5EF4-FFF2-40B4-BE49-F238E27FC236}">
                  <a16:creationId xmlns:a16="http://schemas.microsoft.com/office/drawing/2014/main" id="{00000000-0008-0000-0200-00002A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185199</xdr:colOff>
          <xdr:row>13</xdr:row>
          <xdr:rowOff>33793</xdr:rowOff>
        </xdr:from>
        <xdr:to>
          <xdr:col>33</xdr:col>
          <xdr:colOff>429039</xdr:colOff>
          <xdr:row>14</xdr:row>
          <xdr:rowOff>141467</xdr:rowOff>
        </xdr:to>
        <xdr:sp macro="" textlink="">
          <xdr:nvSpPr>
            <xdr:cNvPr id="4139" name="Control 43" hidden="1">
              <a:extLst>
                <a:ext uri="{63B3BB69-23CF-44E3-9099-C40C66FF867C}">
                  <a14:compatExt spid="_x0000_s4139"/>
                </a:ext>
                <a:ext uri="{FF2B5EF4-FFF2-40B4-BE49-F238E27FC236}">
                  <a16:creationId xmlns:a16="http://schemas.microsoft.com/office/drawing/2014/main" id="{00000000-0008-0000-0200-00002B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6</xdr:col>
      <xdr:colOff>38100</xdr:colOff>
      <xdr:row>0</xdr:row>
      <xdr:rowOff>45720</xdr:rowOff>
    </xdr:from>
    <xdr:to>
      <xdr:col>7</xdr:col>
      <xdr:colOff>579120</xdr:colOff>
      <xdr:row>3</xdr:row>
      <xdr:rowOff>22860</xdr:rowOff>
    </xdr:to>
    <xdr:pic>
      <xdr:nvPicPr>
        <xdr:cNvPr id="2513" name="Imagen 1" descr="http://promcoser.com/wp-content/uploads/2014/10/logo2.png">
          <a:extLst>
            <a:ext uri="{FF2B5EF4-FFF2-40B4-BE49-F238E27FC236}">
              <a16:creationId xmlns:a16="http://schemas.microsoft.com/office/drawing/2014/main" id="{00000000-0008-0000-0300-0000D109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960" y="45720"/>
          <a:ext cx="1173480" cy="579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24765</xdr:colOff>
      <xdr:row>11</xdr:row>
      <xdr:rowOff>133350</xdr:rowOff>
    </xdr:from>
    <xdr:to>
      <xdr:col>11</xdr:col>
      <xdr:colOff>207645</xdr:colOff>
      <xdr:row>18</xdr:row>
      <xdr:rowOff>88060</xdr:rowOff>
    </xdr:to>
    <xdr:pic>
      <xdr:nvPicPr>
        <xdr:cNvPr id="2" name="Imagen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5854065" y="1895475"/>
          <a:ext cx="4297680" cy="1002460"/>
        </a:xfrm>
        <a:prstGeom prst="rect">
          <a:avLst/>
        </a:prstGeom>
        <a:ln w="22225">
          <a:solidFill>
            <a:schemeClr val="accent1"/>
          </a:solidFill>
        </a:ln>
      </xdr:spPr>
    </xdr:pic>
    <xdr:clientData/>
  </xdr:twoCellAnchor>
  <xdr:twoCellAnchor editAs="oneCell">
    <xdr:from>
      <xdr:col>5</xdr:col>
      <xdr:colOff>217170</xdr:colOff>
      <xdr:row>34</xdr:row>
      <xdr:rowOff>125004</xdr:rowOff>
    </xdr:from>
    <xdr:to>
      <xdr:col>11</xdr:col>
      <xdr:colOff>337918</xdr:colOff>
      <xdr:row>41</xdr:row>
      <xdr:rowOff>99218</xdr:rowOff>
    </xdr:to>
    <xdr:pic>
      <xdr:nvPicPr>
        <xdr:cNvPr id="3" name="Imagen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6046470" y="5459004"/>
          <a:ext cx="4235548" cy="1069589"/>
        </a:xfrm>
        <a:prstGeom prst="rect">
          <a:avLst/>
        </a:prstGeom>
        <a:ln w="22225">
          <a:solidFill>
            <a:schemeClr val="accent1"/>
          </a:solid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mmachado@promcoser.com.pe" TargetMode="External"/><Relationship Id="rId1" Type="http://schemas.openxmlformats.org/officeDocument/2006/relationships/hyperlink" Target="mailto:ventas@promcoser.com.p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6" Type="http://schemas.openxmlformats.org/officeDocument/2006/relationships/control" Target="../activeX/activeX12.xml"/><Relationship Id="rId21" Type="http://schemas.openxmlformats.org/officeDocument/2006/relationships/image" Target="../media/image11.emf"/><Relationship Id="rId42" Type="http://schemas.openxmlformats.org/officeDocument/2006/relationships/control" Target="../activeX/activeX22.xml"/><Relationship Id="rId47" Type="http://schemas.openxmlformats.org/officeDocument/2006/relationships/image" Target="../media/image21.emf"/><Relationship Id="rId63" Type="http://schemas.openxmlformats.org/officeDocument/2006/relationships/control" Target="../activeX/activeX35.xml"/><Relationship Id="rId68" Type="http://schemas.openxmlformats.org/officeDocument/2006/relationships/control" Target="../activeX/activeX38.xml"/><Relationship Id="rId2" Type="http://schemas.openxmlformats.org/officeDocument/2006/relationships/drawing" Target="../drawings/drawing3.xml"/><Relationship Id="rId16" Type="http://schemas.openxmlformats.org/officeDocument/2006/relationships/control" Target="../activeX/activeX7.xml"/><Relationship Id="rId29" Type="http://schemas.openxmlformats.org/officeDocument/2006/relationships/control" Target="../activeX/activeX14.xml"/><Relationship Id="rId11" Type="http://schemas.openxmlformats.org/officeDocument/2006/relationships/image" Target="../media/image6.emf"/><Relationship Id="rId24" Type="http://schemas.openxmlformats.org/officeDocument/2006/relationships/control" Target="../activeX/activeX11.xml"/><Relationship Id="rId32" Type="http://schemas.openxmlformats.org/officeDocument/2006/relationships/image" Target="../media/image16.emf"/><Relationship Id="rId37" Type="http://schemas.openxmlformats.org/officeDocument/2006/relationships/control" Target="../activeX/activeX19.xml"/><Relationship Id="rId40" Type="http://schemas.openxmlformats.org/officeDocument/2006/relationships/control" Target="../activeX/activeX21.xml"/><Relationship Id="rId45" Type="http://schemas.openxmlformats.org/officeDocument/2006/relationships/control" Target="../activeX/activeX24.xml"/><Relationship Id="rId53" Type="http://schemas.openxmlformats.org/officeDocument/2006/relationships/image" Target="../media/image23.emf"/><Relationship Id="rId58" Type="http://schemas.openxmlformats.org/officeDocument/2006/relationships/control" Target="../activeX/activeX32.xml"/><Relationship Id="rId66" Type="http://schemas.openxmlformats.org/officeDocument/2006/relationships/control" Target="../activeX/activeX37.xml"/><Relationship Id="rId74" Type="http://schemas.openxmlformats.org/officeDocument/2006/relationships/control" Target="../activeX/activeX43.xml"/><Relationship Id="rId5" Type="http://schemas.openxmlformats.org/officeDocument/2006/relationships/image" Target="../media/image3.emf"/><Relationship Id="rId61" Type="http://schemas.openxmlformats.org/officeDocument/2006/relationships/control" Target="../activeX/activeX34.xml"/><Relationship Id="rId19" Type="http://schemas.openxmlformats.org/officeDocument/2006/relationships/image" Target="../media/image10.emf"/><Relationship Id="rId14" Type="http://schemas.openxmlformats.org/officeDocument/2006/relationships/control" Target="../activeX/activeX6.xml"/><Relationship Id="rId22" Type="http://schemas.openxmlformats.org/officeDocument/2006/relationships/control" Target="../activeX/activeX10.xml"/><Relationship Id="rId27" Type="http://schemas.openxmlformats.org/officeDocument/2006/relationships/control" Target="../activeX/activeX13.xml"/><Relationship Id="rId30" Type="http://schemas.openxmlformats.org/officeDocument/2006/relationships/image" Target="../media/image15.emf"/><Relationship Id="rId35" Type="http://schemas.openxmlformats.org/officeDocument/2006/relationships/image" Target="../media/image17.emf"/><Relationship Id="rId43" Type="http://schemas.openxmlformats.org/officeDocument/2006/relationships/control" Target="../activeX/activeX23.xml"/><Relationship Id="rId48" Type="http://schemas.openxmlformats.org/officeDocument/2006/relationships/control" Target="../activeX/activeX26.xml"/><Relationship Id="rId56" Type="http://schemas.openxmlformats.org/officeDocument/2006/relationships/control" Target="../activeX/activeX31.xml"/><Relationship Id="rId64" Type="http://schemas.openxmlformats.org/officeDocument/2006/relationships/image" Target="../media/image28.emf"/><Relationship Id="rId69" Type="http://schemas.openxmlformats.org/officeDocument/2006/relationships/control" Target="../activeX/activeX39.xml"/><Relationship Id="rId8" Type="http://schemas.openxmlformats.org/officeDocument/2006/relationships/control" Target="../activeX/activeX3.xml"/><Relationship Id="rId51" Type="http://schemas.openxmlformats.org/officeDocument/2006/relationships/control" Target="../activeX/activeX28.xml"/><Relationship Id="rId72" Type="http://schemas.openxmlformats.org/officeDocument/2006/relationships/control" Target="../activeX/activeX41.xml"/><Relationship Id="rId3" Type="http://schemas.openxmlformats.org/officeDocument/2006/relationships/vmlDrawing" Target="../drawings/vmlDrawing1.vml"/><Relationship Id="rId12" Type="http://schemas.openxmlformats.org/officeDocument/2006/relationships/control" Target="../activeX/activeX5.xml"/><Relationship Id="rId17" Type="http://schemas.openxmlformats.org/officeDocument/2006/relationships/image" Target="../media/image9.emf"/><Relationship Id="rId25" Type="http://schemas.openxmlformats.org/officeDocument/2006/relationships/image" Target="../media/image13.emf"/><Relationship Id="rId33" Type="http://schemas.openxmlformats.org/officeDocument/2006/relationships/control" Target="../activeX/activeX16.xml"/><Relationship Id="rId38" Type="http://schemas.openxmlformats.org/officeDocument/2006/relationships/image" Target="../media/image18.emf"/><Relationship Id="rId46" Type="http://schemas.openxmlformats.org/officeDocument/2006/relationships/control" Target="../activeX/activeX25.xml"/><Relationship Id="rId59" Type="http://schemas.openxmlformats.org/officeDocument/2006/relationships/control" Target="../activeX/activeX33.xml"/><Relationship Id="rId67" Type="http://schemas.openxmlformats.org/officeDocument/2006/relationships/image" Target="../media/image29.emf"/><Relationship Id="rId20" Type="http://schemas.openxmlformats.org/officeDocument/2006/relationships/control" Target="../activeX/activeX9.xml"/><Relationship Id="rId41" Type="http://schemas.openxmlformats.org/officeDocument/2006/relationships/image" Target="../media/image19.emf"/><Relationship Id="rId54" Type="http://schemas.openxmlformats.org/officeDocument/2006/relationships/control" Target="../activeX/activeX30.xml"/><Relationship Id="rId62" Type="http://schemas.openxmlformats.org/officeDocument/2006/relationships/image" Target="../media/image27.emf"/><Relationship Id="rId70" Type="http://schemas.openxmlformats.org/officeDocument/2006/relationships/image" Target="../media/image30.emf"/><Relationship Id="rId75" Type="http://schemas.openxmlformats.org/officeDocument/2006/relationships/image" Target="../media/image31.emf"/><Relationship Id="rId1" Type="http://schemas.openxmlformats.org/officeDocument/2006/relationships/printerSettings" Target="../printerSettings/printerSettings3.bin"/><Relationship Id="rId6" Type="http://schemas.openxmlformats.org/officeDocument/2006/relationships/control" Target="../activeX/activeX2.xml"/><Relationship Id="rId15" Type="http://schemas.openxmlformats.org/officeDocument/2006/relationships/image" Target="../media/image8.emf"/><Relationship Id="rId23" Type="http://schemas.openxmlformats.org/officeDocument/2006/relationships/image" Target="../media/image12.emf"/><Relationship Id="rId28" Type="http://schemas.openxmlformats.org/officeDocument/2006/relationships/image" Target="../media/image14.emf"/><Relationship Id="rId36" Type="http://schemas.openxmlformats.org/officeDocument/2006/relationships/control" Target="../activeX/activeX18.xml"/><Relationship Id="rId49" Type="http://schemas.openxmlformats.org/officeDocument/2006/relationships/control" Target="../activeX/activeX27.xml"/><Relationship Id="rId57" Type="http://schemas.openxmlformats.org/officeDocument/2006/relationships/image" Target="../media/image25.emf"/><Relationship Id="rId10" Type="http://schemas.openxmlformats.org/officeDocument/2006/relationships/control" Target="../activeX/activeX4.xml"/><Relationship Id="rId31" Type="http://schemas.openxmlformats.org/officeDocument/2006/relationships/control" Target="../activeX/activeX15.xml"/><Relationship Id="rId44" Type="http://schemas.openxmlformats.org/officeDocument/2006/relationships/image" Target="../media/image20.emf"/><Relationship Id="rId52" Type="http://schemas.openxmlformats.org/officeDocument/2006/relationships/control" Target="../activeX/activeX29.xml"/><Relationship Id="rId60" Type="http://schemas.openxmlformats.org/officeDocument/2006/relationships/image" Target="../media/image26.emf"/><Relationship Id="rId65" Type="http://schemas.openxmlformats.org/officeDocument/2006/relationships/control" Target="../activeX/activeX36.xml"/><Relationship Id="rId73" Type="http://schemas.openxmlformats.org/officeDocument/2006/relationships/control" Target="../activeX/activeX42.xml"/><Relationship Id="rId4" Type="http://schemas.openxmlformats.org/officeDocument/2006/relationships/control" Target="../activeX/activeX1.xml"/><Relationship Id="rId9" Type="http://schemas.openxmlformats.org/officeDocument/2006/relationships/image" Target="../media/image5.emf"/><Relationship Id="rId13" Type="http://schemas.openxmlformats.org/officeDocument/2006/relationships/image" Target="../media/image7.emf"/><Relationship Id="rId18" Type="http://schemas.openxmlformats.org/officeDocument/2006/relationships/control" Target="../activeX/activeX8.xml"/><Relationship Id="rId39" Type="http://schemas.openxmlformats.org/officeDocument/2006/relationships/control" Target="../activeX/activeX20.xml"/><Relationship Id="rId34" Type="http://schemas.openxmlformats.org/officeDocument/2006/relationships/control" Target="../activeX/activeX17.xml"/><Relationship Id="rId50" Type="http://schemas.openxmlformats.org/officeDocument/2006/relationships/image" Target="../media/image22.emf"/><Relationship Id="rId55" Type="http://schemas.openxmlformats.org/officeDocument/2006/relationships/image" Target="../media/image24.emf"/><Relationship Id="rId7" Type="http://schemas.openxmlformats.org/officeDocument/2006/relationships/image" Target="../media/image4.emf"/><Relationship Id="rId71" Type="http://schemas.openxmlformats.org/officeDocument/2006/relationships/control" Target="../activeX/activeX40.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502F9-5993-4984-87AC-26EAC6A8E3AB}">
  <dimension ref="A1:Z121"/>
  <sheetViews>
    <sheetView view="pageBreakPreview" topLeftCell="A79" zoomScaleNormal="100" zoomScaleSheetLayoutView="100" workbookViewId="0">
      <selection activeCell="H97" sqref="H97"/>
    </sheetView>
  </sheetViews>
  <sheetFormatPr baseColWidth="10" defaultRowHeight="14.4" x14ac:dyDescent="0.2"/>
  <cols>
    <col min="1" max="1" width="1.85546875" style="3" customWidth="1"/>
    <col min="2" max="2" width="10.42578125" style="3" customWidth="1"/>
    <col min="3" max="3" width="6.42578125" style="3" customWidth="1"/>
    <col min="4" max="4" width="7.85546875" style="3" customWidth="1"/>
    <col min="5" max="5" width="8.140625" style="3" customWidth="1"/>
    <col min="6" max="6" width="9.140625" style="3" customWidth="1"/>
    <col min="7" max="10" width="6.42578125" style="3" customWidth="1"/>
    <col min="11" max="11" width="8" style="3" customWidth="1"/>
    <col min="12" max="12" width="6.42578125" style="3" customWidth="1"/>
    <col min="13" max="15" width="7.28515625" style="3" customWidth="1"/>
    <col min="16" max="17" width="8.140625" style="3" customWidth="1"/>
    <col min="18" max="18" width="19.7109375" style="3" customWidth="1"/>
    <col min="19" max="19" width="16.42578125" style="3" customWidth="1"/>
    <col min="20" max="21" width="10.42578125" style="3" customWidth="1"/>
    <col min="22" max="22" width="3.42578125" style="3" customWidth="1"/>
  </cols>
  <sheetData>
    <row r="1" spans="2:26" ht="20.25" customHeight="1" x14ac:dyDescent="0.2"/>
    <row r="2" spans="2:26" ht="20.25" customHeight="1" x14ac:dyDescent="0.2">
      <c r="Q2" s="4" t="s">
        <v>3</v>
      </c>
      <c r="R2" s="437" t="s">
        <v>263</v>
      </c>
      <c r="S2" s="438"/>
      <c r="T2" s="438"/>
      <c r="U2" s="439"/>
    </row>
    <row r="3" spans="2:26" ht="20.25" customHeight="1" x14ac:dyDescent="0.2"/>
    <row r="4" spans="2:26" ht="20.25" customHeight="1" x14ac:dyDescent="0.2">
      <c r="B4" s="5"/>
      <c r="C4" s="6"/>
      <c r="D4" s="6"/>
      <c r="E4" s="6"/>
      <c r="F4" s="6"/>
      <c r="G4" s="6"/>
      <c r="Q4" s="7" t="s">
        <v>4</v>
      </c>
      <c r="R4" s="443">
        <v>46216</v>
      </c>
      <c r="S4" s="479"/>
      <c r="T4" s="479"/>
      <c r="U4" s="480"/>
    </row>
    <row r="5" spans="2:26" ht="20.25" customHeight="1" x14ac:dyDescent="0.2">
      <c r="B5" s="118" t="s">
        <v>45</v>
      </c>
      <c r="C5" s="118"/>
      <c r="D5" s="118"/>
      <c r="E5" s="118"/>
      <c r="F5" s="118"/>
      <c r="G5" s="6"/>
    </row>
    <row r="6" spans="2:26" ht="20.25" customHeight="1" x14ac:dyDescent="0.2">
      <c r="B6" s="118" t="s">
        <v>126</v>
      </c>
      <c r="C6" s="118"/>
      <c r="D6" s="118"/>
      <c r="E6" s="118"/>
      <c r="F6" s="118"/>
      <c r="G6" s="6"/>
    </row>
    <row r="7" spans="2:26" ht="20.25" customHeight="1" x14ac:dyDescent="0.2">
      <c r="B7" s="448" t="s">
        <v>47</v>
      </c>
      <c r="C7" s="448"/>
      <c r="D7" s="448"/>
      <c r="E7" s="448"/>
      <c r="F7" s="448"/>
      <c r="G7" s="6"/>
    </row>
    <row r="8" spans="2:26" ht="20.25" customHeight="1" x14ac:dyDescent="0.2">
      <c r="B8" s="8" t="s">
        <v>5</v>
      </c>
    </row>
    <row r="9" spans="2:26" ht="20.25" customHeight="1" x14ac:dyDescent="0.2">
      <c r="B9" s="282" t="s">
        <v>6</v>
      </c>
      <c r="C9" s="9"/>
      <c r="D9" s="9"/>
      <c r="E9" s="281" t="s">
        <v>262</v>
      </c>
      <c r="F9" s="10"/>
      <c r="G9" s="10"/>
      <c r="H9" s="10"/>
      <c r="I9" s="10"/>
      <c r="J9" s="10"/>
      <c r="K9" s="10"/>
      <c r="L9" s="10"/>
      <c r="M9" s="10"/>
      <c r="N9" s="10"/>
      <c r="O9" s="11" t="s">
        <v>7</v>
      </c>
      <c r="P9" s="12"/>
      <c r="Q9" s="12"/>
      <c r="R9" s="10"/>
      <c r="S9" s="10"/>
      <c r="T9" s="10"/>
      <c r="U9" s="13"/>
    </row>
    <row r="10" spans="2:26" ht="20.25" customHeight="1" x14ac:dyDescent="0.2">
      <c r="B10" s="283" t="s">
        <v>8</v>
      </c>
      <c r="E10" s="281" t="s">
        <v>262</v>
      </c>
      <c r="F10" s="16"/>
      <c r="G10" s="16"/>
      <c r="H10" s="16"/>
      <c r="I10" s="16"/>
      <c r="J10" s="16"/>
      <c r="K10" s="16"/>
      <c r="L10" s="16"/>
      <c r="M10" s="16"/>
      <c r="N10" s="16"/>
      <c r="O10" s="16"/>
      <c r="P10" s="3" t="s">
        <v>9</v>
      </c>
      <c r="R10" s="16"/>
      <c r="S10" s="16"/>
      <c r="T10" s="16"/>
      <c r="U10" s="17"/>
    </row>
    <row r="11" spans="2:26" ht="20.25" customHeight="1" x14ac:dyDescent="0.2">
      <c r="B11" s="283" t="s">
        <v>10</v>
      </c>
      <c r="E11" s="15"/>
      <c r="F11" s="16"/>
      <c r="G11" s="16"/>
      <c r="H11" s="16"/>
      <c r="I11" s="16"/>
      <c r="J11" s="16"/>
      <c r="K11" s="16"/>
      <c r="L11" s="16"/>
      <c r="M11" s="16"/>
      <c r="N11" s="16"/>
      <c r="O11" s="16"/>
      <c r="P11" s="16"/>
      <c r="Q11" s="16"/>
      <c r="R11" s="16"/>
      <c r="S11" s="16"/>
      <c r="T11" s="16"/>
      <c r="U11" s="17"/>
      <c r="Z11" s="209"/>
    </row>
    <row r="12" spans="2:26" ht="20.25" customHeight="1" x14ac:dyDescent="0.2">
      <c r="B12" s="283" t="s">
        <v>11</v>
      </c>
      <c r="E12" s="334" t="s">
        <v>261</v>
      </c>
      <c r="F12" s="281"/>
      <c r="G12" s="281"/>
      <c r="H12" s="281"/>
      <c r="I12" s="281"/>
      <c r="J12" s="281"/>
      <c r="K12" s="281"/>
      <c r="L12" s="281"/>
      <c r="M12" s="281"/>
      <c r="N12" s="281"/>
      <c r="O12" s="281"/>
      <c r="P12" s="281"/>
      <c r="Q12" s="281"/>
      <c r="R12" s="281"/>
      <c r="S12" s="281"/>
      <c r="T12" s="281"/>
      <c r="U12" s="281"/>
    </row>
    <row r="13" spans="2:26" ht="20.25" customHeight="1" x14ac:dyDescent="0.2">
      <c r="B13" s="14"/>
      <c r="E13" s="16"/>
      <c r="F13" s="18"/>
      <c r="G13" s="18"/>
      <c r="H13" s="18"/>
      <c r="I13" s="18"/>
      <c r="J13" s="18"/>
      <c r="K13" s="18"/>
      <c r="L13" s="18"/>
      <c r="M13" s="18"/>
      <c r="N13" s="18"/>
      <c r="O13" s="18"/>
      <c r="P13" s="18"/>
      <c r="Q13" s="18"/>
      <c r="R13" s="18"/>
      <c r="S13" s="18"/>
      <c r="T13" s="18"/>
      <c r="U13" s="19"/>
    </row>
    <row r="14" spans="2:26" ht="20.25" customHeight="1" x14ac:dyDescent="0.2">
      <c r="B14" s="20"/>
      <c r="C14" s="21"/>
      <c r="D14" s="21"/>
      <c r="E14" s="21"/>
      <c r="F14" s="21"/>
      <c r="G14" s="21"/>
      <c r="H14" s="21"/>
      <c r="I14" s="21"/>
      <c r="J14" s="21"/>
      <c r="K14" s="21"/>
      <c r="L14" s="21"/>
      <c r="M14" s="21"/>
      <c r="N14" s="21"/>
      <c r="O14" s="22"/>
      <c r="P14" s="22"/>
      <c r="Q14" s="22"/>
      <c r="R14" s="22"/>
      <c r="S14" s="22"/>
      <c r="T14" s="22"/>
      <c r="U14" s="23"/>
    </row>
    <row r="15" spans="2:26" ht="20.25" customHeight="1" x14ac:dyDescent="0.2">
      <c r="B15" s="24" t="s">
        <v>12</v>
      </c>
      <c r="D15" s="25"/>
      <c r="E15" s="26"/>
      <c r="H15" s="27"/>
      <c r="I15" s="28"/>
      <c r="K15" s="29"/>
      <c r="L15" s="30"/>
      <c r="M15" s="30"/>
      <c r="N15" s="30"/>
      <c r="O15" s="30"/>
    </row>
    <row r="16" spans="2:26" ht="20.25" customHeight="1" x14ac:dyDescent="0.2">
      <c r="B16" s="31"/>
      <c r="C16" s="9"/>
      <c r="D16" s="9"/>
      <c r="E16" s="9"/>
      <c r="F16" s="9"/>
      <c r="G16" s="9"/>
      <c r="H16" s="9"/>
      <c r="I16" s="9"/>
      <c r="J16" s="9"/>
      <c r="K16" s="9"/>
      <c r="L16" s="9"/>
      <c r="M16" s="9"/>
      <c r="N16" s="9"/>
      <c r="O16" s="9"/>
      <c r="P16" s="9"/>
      <c r="Q16" s="9"/>
      <c r="R16" s="9"/>
      <c r="S16" s="9"/>
      <c r="T16" s="9"/>
      <c r="U16" s="32"/>
    </row>
    <row r="17" spans="2:21" ht="20.25" customHeight="1" x14ac:dyDescent="0.2">
      <c r="B17" s="33"/>
      <c r="C17" s="461" t="s">
        <v>522</v>
      </c>
      <c r="D17" s="462"/>
      <c r="E17" s="462"/>
      <c r="F17" s="462"/>
      <c r="G17" s="462"/>
      <c r="H17" s="462"/>
      <c r="I17" s="462"/>
      <c r="J17" s="462"/>
      <c r="K17" s="462"/>
      <c r="L17" s="462"/>
      <c r="M17" s="462"/>
      <c r="N17" s="462"/>
      <c r="O17" s="462"/>
      <c r="P17" s="462"/>
      <c r="Q17" s="462"/>
      <c r="R17" s="462"/>
      <c r="S17" s="462"/>
      <c r="T17" s="463"/>
      <c r="U17" s="34"/>
    </row>
    <row r="18" spans="2:21" ht="20.25" customHeight="1" x14ac:dyDescent="0.2">
      <c r="B18" s="33"/>
      <c r="C18" s="464"/>
      <c r="D18" s="465"/>
      <c r="E18" s="465"/>
      <c r="F18" s="465"/>
      <c r="G18" s="465"/>
      <c r="H18" s="465"/>
      <c r="I18" s="465"/>
      <c r="J18" s="465"/>
      <c r="K18" s="465"/>
      <c r="L18" s="465"/>
      <c r="M18" s="465"/>
      <c r="N18" s="465"/>
      <c r="O18" s="465"/>
      <c r="P18" s="465"/>
      <c r="Q18" s="465"/>
      <c r="R18" s="465"/>
      <c r="S18" s="465"/>
      <c r="T18" s="466"/>
      <c r="U18" s="34"/>
    </row>
    <row r="19" spans="2:21" ht="20.25" customHeight="1" x14ac:dyDescent="0.2">
      <c r="B19" s="33"/>
      <c r="C19" s="467"/>
      <c r="D19" s="468"/>
      <c r="E19" s="468"/>
      <c r="F19" s="468"/>
      <c r="G19" s="468"/>
      <c r="H19" s="468"/>
      <c r="I19" s="468"/>
      <c r="J19" s="468"/>
      <c r="K19" s="468"/>
      <c r="L19" s="468"/>
      <c r="M19" s="468"/>
      <c r="N19" s="468"/>
      <c r="O19" s="468"/>
      <c r="P19" s="468"/>
      <c r="Q19" s="468"/>
      <c r="R19" s="468"/>
      <c r="S19" s="468"/>
      <c r="T19" s="469"/>
      <c r="U19" s="34"/>
    </row>
    <row r="20" spans="2:21" ht="20.25" customHeight="1" x14ac:dyDescent="0.2">
      <c r="B20" s="20"/>
      <c r="C20" s="21"/>
      <c r="D20" s="21"/>
      <c r="E20" s="21"/>
      <c r="F20" s="21"/>
      <c r="G20" s="21"/>
      <c r="H20" s="21"/>
      <c r="I20" s="21"/>
      <c r="J20" s="21"/>
      <c r="K20" s="21"/>
      <c r="L20" s="21"/>
      <c r="M20" s="21"/>
      <c r="N20" s="21"/>
      <c r="O20" s="21"/>
      <c r="P20" s="21"/>
      <c r="Q20" s="21"/>
      <c r="R20" s="21"/>
      <c r="S20" s="21"/>
      <c r="T20" s="21"/>
      <c r="U20" s="35"/>
    </row>
    <row r="21" spans="2:21" ht="12.6" customHeight="1" x14ac:dyDescent="0.2"/>
    <row r="22" spans="2:21" ht="20.25" customHeight="1" x14ac:dyDescent="0.2">
      <c r="B22" s="24" t="s">
        <v>13</v>
      </c>
    </row>
    <row r="23" spans="2:21" ht="20.25" customHeight="1" x14ac:dyDescent="0.2">
      <c r="B23" s="473" t="s">
        <v>14</v>
      </c>
      <c r="C23" s="475" t="s">
        <v>15</v>
      </c>
      <c r="D23" s="476"/>
      <c r="E23" s="476"/>
      <c r="F23" s="476"/>
      <c r="G23" s="476"/>
      <c r="H23" s="476"/>
      <c r="I23" s="476"/>
      <c r="J23" s="476"/>
      <c r="K23" s="476"/>
      <c r="L23" s="476"/>
      <c r="M23" s="476"/>
      <c r="N23" s="476"/>
      <c r="O23" s="473" t="s">
        <v>16</v>
      </c>
      <c r="P23" s="485" t="s">
        <v>17</v>
      </c>
      <c r="Q23" s="486"/>
      <c r="R23" s="481" t="s">
        <v>18</v>
      </c>
      <c r="S23" s="482"/>
      <c r="T23" s="481" t="s">
        <v>19</v>
      </c>
      <c r="U23" s="482"/>
    </row>
    <row r="24" spans="2:21" ht="20.25" customHeight="1" x14ac:dyDescent="0.2">
      <c r="B24" s="474"/>
      <c r="C24" s="477"/>
      <c r="D24" s="478"/>
      <c r="E24" s="478"/>
      <c r="F24" s="478"/>
      <c r="G24" s="478"/>
      <c r="H24" s="478"/>
      <c r="I24" s="478"/>
      <c r="J24" s="478"/>
      <c r="K24" s="478"/>
      <c r="L24" s="478"/>
      <c r="M24" s="478"/>
      <c r="N24" s="478"/>
      <c r="O24" s="474"/>
      <c r="P24" s="487" t="s">
        <v>20</v>
      </c>
      <c r="Q24" s="488"/>
      <c r="R24" s="483" t="s">
        <v>21</v>
      </c>
      <c r="S24" s="484"/>
      <c r="T24" s="483"/>
      <c r="U24" s="484"/>
    </row>
    <row r="25" spans="2:21" ht="20.25" customHeight="1" x14ac:dyDescent="0.2">
      <c r="B25" s="36"/>
      <c r="C25" s="37"/>
      <c r="D25" s="38"/>
      <c r="E25" s="38"/>
      <c r="F25" s="38"/>
      <c r="G25" s="38"/>
      <c r="H25" s="38"/>
      <c r="I25" s="38"/>
      <c r="J25" s="38"/>
      <c r="K25" s="38"/>
      <c r="L25" s="38"/>
      <c r="M25" s="38"/>
      <c r="N25" s="38"/>
      <c r="O25" s="36"/>
      <c r="P25" s="423"/>
      <c r="Q25" s="424"/>
      <c r="R25" s="489" t="s">
        <v>438</v>
      </c>
      <c r="S25" s="490"/>
      <c r="T25" s="491" t="s">
        <v>438</v>
      </c>
      <c r="U25" s="492"/>
    </row>
    <row r="26" spans="2:21" ht="35.25" customHeight="1" x14ac:dyDescent="0.2">
      <c r="B26" s="39"/>
      <c r="C26" s="470" t="str">
        <f>E12</f>
        <v>PROYECTO: MOV. TIERRAS, FAB. E INSTALACIÓN DE BANCODUCTOS</v>
      </c>
      <c r="D26" s="471"/>
      <c r="E26" s="471"/>
      <c r="F26" s="471"/>
      <c r="G26" s="471"/>
      <c r="H26" s="471"/>
      <c r="I26" s="471"/>
      <c r="J26" s="471"/>
      <c r="K26" s="471"/>
      <c r="L26" s="471"/>
      <c r="M26" s="471"/>
      <c r="N26" s="472"/>
      <c r="O26" s="41" t="s">
        <v>107</v>
      </c>
      <c r="P26" s="429">
        <v>1</v>
      </c>
      <c r="Q26" s="430"/>
      <c r="R26" s="429">
        <f>CD!H70</f>
        <v>123807.96000000002</v>
      </c>
      <c r="S26" s="430"/>
      <c r="T26" s="427">
        <f>+R26*P26</f>
        <v>123807.96000000002</v>
      </c>
      <c r="U26" s="428"/>
    </row>
    <row r="27" spans="2:21" ht="20.25" customHeight="1" x14ac:dyDescent="0.2">
      <c r="B27" s="39"/>
      <c r="C27" s="40"/>
      <c r="D27" s="40"/>
      <c r="E27" s="40"/>
      <c r="F27" s="40"/>
      <c r="G27" s="40"/>
      <c r="H27" s="40"/>
      <c r="I27" s="40"/>
      <c r="J27" s="40"/>
      <c r="K27" s="40"/>
      <c r="L27" s="40"/>
      <c r="M27" s="40"/>
      <c r="N27" s="40"/>
      <c r="O27" s="42"/>
      <c r="P27" s="423"/>
      <c r="Q27" s="424"/>
      <c r="R27" s="423"/>
      <c r="S27" s="424"/>
      <c r="T27" s="425"/>
      <c r="U27" s="426"/>
    </row>
    <row r="28" spans="2:21" ht="20.25" customHeight="1" x14ac:dyDescent="0.2">
      <c r="B28" s="39"/>
      <c r="C28" s="40"/>
      <c r="D28" s="40"/>
      <c r="E28" s="40"/>
      <c r="F28" s="40"/>
      <c r="G28" s="40"/>
      <c r="H28" s="40"/>
      <c r="I28" s="40"/>
      <c r="J28" s="40"/>
      <c r="K28" s="40"/>
      <c r="L28" s="40"/>
      <c r="M28" s="40"/>
      <c r="N28" s="40"/>
      <c r="O28" s="42"/>
      <c r="P28" s="423"/>
      <c r="Q28" s="424"/>
      <c r="R28" s="423"/>
      <c r="S28" s="424"/>
      <c r="T28" s="425"/>
      <c r="U28" s="426"/>
    </row>
    <row r="29" spans="2:21" ht="20.25" hidden="1" customHeight="1" x14ac:dyDescent="0.2">
      <c r="B29" s="39"/>
      <c r="C29" s="40"/>
      <c r="D29" s="40"/>
      <c r="E29" s="40"/>
      <c r="F29" s="40"/>
      <c r="G29" s="40"/>
      <c r="H29" s="40"/>
      <c r="I29" s="40"/>
      <c r="J29" s="40"/>
      <c r="K29" s="40"/>
      <c r="L29" s="40"/>
      <c r="M29" s="40"/>
      <c r="N29" s="40"/>
      <c r="O29" s="42"/>
      <c r="P29" s="423"/>
      <c r="Q29" s="424"/>
      <c r="R29" s="423"/>
      <c r="S29" s="424"/>
      <c r="T29" s="425"/>
      <c r="U29" s="426"/>
    </row>
    <row r="30" spans="2:21" ht="20.25" hidden="1" customHeight="1" x14ac:dyDescent="0.2">
      <c r="B30" s="39"/>
      <c r="C30" s="40"/>
      <c r="D30" s="40"/>
      <c r="E30" s="40"/>
      <c r="F30" s="40"/>
      <c r="G30" s="40"/>
      <c r="H30" s="40"/>
      <c r="I30" s="40"/>
      <c r="J30" s="40"/>
      <c r="K30" s="40"/>
      <c r="L30" s="40"/>
      <c r="M30" s="40"/>
      <c r="N30" s="40"/>
      <c r="O30" s="42"/>
      <c r="P30" s="423"/>
      <c r="Q30" s="424"/>
      <c r="R30" s="423"/>
      <c r="S30" s="424"/>
      <c r="T30" s="425"/>
      <c r="U30" s="426"/>
    </row>
    <row r="31" spans="2:21" ht="20.25" customHeight="1" x14ac:dyDescent="0.2">
      <c r="B31" s="43"/>
      <c r="C31" s="44"/>
      <c r="D31" s="44"/>
      <c r="E31" s="44"/>
      <c r="F31" s="44"/>
      <c r="G31" s="44"/>
      <c r="H31" s="44"/>
      <c r="I31" s="44"/>
      <c r="J31" s="44"/>
      <c r="K31" s="44"/>
      <c r="L31" s="44"/>
      <c r="M31" s="44"/>
      <c r="N31" s="44"/>
      <c r="O31" s="45"/>
      <c r="P31" s="45"/>
      <c r="Q31" s="46"/>
      <c r="R31" s="46"/>
      <c r="S31" s="47"/>
      <c r="T31" s="457"/>
      <c r="U31" s="458"/>
    </row>
    <row r="32" spans="2:21" ht="20.25" customHeight="1" x14ac:dyDescent="0.2">
      <c r="B32" s="48"/>
      <c r="H32" s="27"/>
      <c r="I32" s="49"/>
      <c r="J32" s="49"/>
      <c r="K32" s="29"/>
      <c r="L32" s="29"/>
      <c r="M32" s="29"/>
      <c r="N32" s="29"/>
      <c r="O32" s="29"/>
      <c r="P32" s="49"/>
      <c r="R32" s="50"/>
      <c r="S32" s="50" t="s">
        <v>439</v>
      </c>
      <c r="T32" s="459">
        <f>+T26</f>
        <v>123807.96000000002</v>
      </c>
      <c r="U32" s="459"/>
    </row>
    <row r="33" spans="2:24" ht="20.25" customHeight="1" x14ac:dyDescent="0.2">
      <c r="B33" s="48" t="s">
        <v>22</v>
      </c>
      <c r="C33" s="259" t="s">
        <v>509</v>
      </c>
      <c r="D33" s="259"/>
      <c r="E33" s="51"/>
      <c r="F33" s="51"/>
      <c r="G33" s="51"/>
      <c r="H33" s="51"/>
      <c r="I33" s="51"/>
      <c r="J33" s="51"/>
      <c r="K33" s="51"/>
      <c r="L33" s="51"/>
      <c r="M33" s="51"/>
      <c r="N33" s="51"/>
      <c r="O33" s="51"/>
      <c r="P33" s="51"/>
      <c r="Q33" s="52"/>
      <c r="R33" s="53" t="s">
        <v>23</v>
      </c>
      <c r="S33" s="54">
        <f>T33/T32</f>
        <v>0.2202916891043456</v>
      </c>
      <c r="T33" s="460">
        <f>GG!I74</f>
        <v>27273.864632963261</v>
      </c>
      <c r="U33" s="460"/>
    </row>
    <row r="34" spans="2:24" ht="20.25" customHeight="1" x14ac:dyDescent="0.2">
      <c r="B34" s="48"/>
      <c r="C34" s="259"/>
      <c r="D34" s="259"/>
      <c r="E34" s="51"/>
      <c r="F34" s="51"/>
      <c r="G34" s="51"/>
      <c r="H34" s="51"/>
      <c r="I34" s="51"/>
      <c r="J34" s="51"/>
      <c r="K34" s="51"/>
      <c r="L34" s="51"/>
      <c r="M34" s="51"/>
      <c r="N34" s="51"/>
      <c r="O34" s="51"/>
      <c r="P34" s="51"/>
      <c r="Q34" s="52"/>
      <c r="R34" s="261" t="s">
        <v>488</v>
      </c>
      <c r="S34" s="262"/>
      <c r="T34" s="452">
        <f>COMBUSTIBLE!H12</f>
        <v>7979.9400000000005</v>
      </c>
      <c r="U34" s="453"/>
    </row>
    <row r="35" spans="2:24" ht="20.25" customHeight="1" thickBot="1" x14ac:dyDescent="0.25">
      <c r="B35" s="48"/>
      <c r="C35" s="260" t="s">
        <v>24</v>
      </c>
      <c r="D35" s="259"/>
      <c r="E35" s="51"/>
      <c r="F35" s="51"/>
      <c r="G35" s="51"/>
      <c r="H35" s="51"/>
      <c r="I35" s="51"/>
      <c r="J35" s="51"/>
      <c r="K35" s="51"/>
      <c r="L35" s="51"/>
      <c r="M35" s="51"/>
      <c r="N35" s="51"/>
      <c r="O35" s="51"/>
      <c r="P35" s="51"/>
      <c r="Q35" s="52"/>
      <c r="R35" s="261" t="s">
        <v>25</v>
      </c>
      <c r="S35" s="262">
        <v>0.1</v>
      </c>
      <c r="T35" s="449">
        <f>+T32*S35</f>
        <v>12380.796000000002</v>
      </c>
      <c r="U35" s="449"/>
    </row>
    <row r="36" spans="2:24" ht="20.25" customHeight="1" thickBot="1" x14ac:dyDescent="0.25">
      <c r="B36" s="48"/>
      <c r="C36" s="51"/>
      <c r="D36" s="51"/>
      <c r="E36" s="51"/>
      <c r="F36" s="51"/>
      <c r="G36" s="51"/>
      <c r="H36" s="51"/>
      <c r="I36" s="51"/>
      <c r="J36" s="51"/>
      <c r="K36" s="51"/>
      <c r="L36" s="51"/>
      <c r="M36" s="51"/>
      <c r="N36" s="51"/>
      <c r="O36" s="51"/>
      <c r="P36" s="51"/>
      <c r="Q36" s="52"/>
      <c r="R36" s="263" t="s">
        <v>26</v>
      </c>
      <c r="S36" s="264" t="s">
        <v>129</v>
      </c>
      <c r="T36" s="450">
        <f>+T35+T33+T32+T34</f>
        <v>171442.56063296329</v>
      </c>
      <c r="U36" s="451"/>
      <c r="X36" s="210"/>
    </row>
    <row r="37" spans="2:24" ht="20.25" customHeight="1" x14ac:dyDescent="0.2">
      <c r="B37" s="48"/>
      <c r="H37" s="27"/>
      <c r="I37" s="49"/>
      <c r="J37" s="49"/>
      <c r="K37" s="29"/>
      <c r="L37" s="29"/>
      <c r="M37" s="29"/>
      <c r="N37" s="29"/>
      <c r="O37" s="29"/>
      <c r="P37" s="49"/>
      <c r="X37" s="199"/>
    </row>
    <row r="38" spans="2:24" ht="20.25" customHeight="1" x14ac:dyDescent="0.2">
      <c r="B38" s="48"/>
      <c r="H38" s="27"/>
      <c r="I38" s="49"/>
      <c r="J38" s="49"/>
      <c r="K38" s="29"/>
      <c r="L38" s="29"/>
      <c r="M38" s="29"/>
      <c r="N38" s="29"/>
      <c r="O38" s="29"/>
      <c r="P38" s="49"/>
      <c r="Q38" s="52"/>
      <c r="R38" s="52"/>
      <c r="S38" s="52"/>
      <c r="T38" s="52"/>
      <c r="U38" s="52"/>
      <c r="X38" s="199"/>
    </row>
    <row r="39" spans="2:24" ht="20.25" customHeight="1" x14ac:dyDescent="0.2">
      <c r="B39" s="24" t="s">
        <v>27</v>
      </c>
      <c r="D39" s="25"/>
      <c r="E39" s="26"/>
      <c r="H39" s="27"/>
      <c r="I39" s="28"/>
      <c r="K39" s="29"/>
      <c r="L39" s="30"/>
      <c r="M39" s="30"/>
      <c r="N39" s="30"/>
      <c r="O39" s="30"/>
      <c r="W39" s="356"/>
    </row>
    <row r="40" spans="2:24" ht="20.25" customHeight="1" x14ac:dyDescent="0.2">
      <c r="B40" s="31"/>
      <c r="C40" s="9"/>
      <c r="D40" s="9"/>
      <c r="E40" s="9"/>
      <c r="F40" s="9"/>
      <c r="G40" s="9"/>
      <c r="H40" s="9"/>
      <c r="I40" s="9"/>
      <c r="J40" s="9"/>
      <c r="K40" s="9"/>
      <c r="L40" s="9"/>
      <c r="M40" s="9"/>
      <c r="N40" s="9"/>
      <c r="O40" s="9"/>
      <c r="P40" s="9"/>
      <c r="Q40" s="9"/>
      <c r="R40" s="9"/>
      <c r="S40" s="9"/>
      <c r="T40" s="9"/>
      <c r="U40" s="32"/>
    </row>
    <row r="41" spans="2:24" ht="20.25" customHeight="1" x14ac:dyDescent="0.2">
      <c r="B41" s="33" t="s">
        <v>28</v>
      </c>
      <c r="D41" s="26"/>
      <c r="E41" s="454">
        <f>+T36</f>
        <v>171442.56063296329</v>
      </c>
      <c r="F41" s="455"/>
      <c r="G41" s="55"/>
      <c r="H41" s="56" t="s">
        <v>144</v>
      </c>
      <c r="I41" s="56"/>
      <c r="J41" s="57"/>
      <c r="K41" s="55" t="s">
        <v>29</v>
      </c>
      <c r="L41" s="265" t="s">
        <v>145</v>
      </c>
      <c r="M41" s="58"/>
      <c r="N41" s="29"/>
      <c r="O41" s="29"/>
      <c r="P41" s="55"/>
      <c r="Q41" s="3" t="s">
        <v>30</v>
      </c>
      <c r="R41" s="51"/>
      <c r="S41" s="51"/>
      <c r="T41" s="51"/>
      <c r="U41" s="59"/>
    </row>
    <row r="42" spans="2:24" ht="20.25" customHeight="1" x14ac:dyDescent="0.2">
      <c r="B42" s="33"/>
      <c r="U42" s="34"/>
    </row>
    <row r="43" spans="2:24" ht="20.25" customHeight="1" x14ac:dyDescent="0.2">
      <c r="B43" s="33" t="s">
        <v>31</v>
      </c>
      <c r="D43" s="26"/>
      <c r="E43" s="26"/>
      <c r="G43" s="200" t="s">
        <v>108</v>
      </c>
      <c r="H43" s="60" t="s">
        <v>32</v>
      </c>
      <c r="I43" s="56"/>
      <c r="K43" s="258"/>
      <c r="L43" s="60" t="s">
        <v>33</v>
      </c>
      <c r="M43" s="61" t="s">
        <v>32</v>
      </c>
      <c r="N43" s="51"/>
      <c r="O43" s="51"/>
      <c r="P43" s="51"/>
      <c r="Q43" s="51"/>
      <c r="R43" s="51"/>
      <c r="S43" s="51"/>
      <c r="T43" s="51"/>
      <c r="U43" s="59"/>
    </row>
    <row r="44" spans="2:24" ht="20.25" customHeight="1" x14ac:dyDescent="0.2">
      <c r="B44" s="33"/>
      <c r="G44" s="62"/>
      <c r="H44" s="62"/>
      <c r="I44" s="62"/>
      <c r="J44" s="62"/>
      <c r="K44" s="62"/>
      <c r="L44" s="62"/>
      <c r="M44" s="62"/>
      <c r="N44" s="62"/>
      <c r="O44" s="62"/>
      <c r="P44" s="62"/>
      <c r="Q44" s="62"/>
      <c r="R44" s="62"/>
      <c r="S44" s="62"/>
      <c r="T44" s="62"/>
      <c r="U44" s="63"/>
    </row>
    <row r="45" spans="2:24" ht="20.25" customHeight="1" x14ac:dyDescent="0.2">
      <c r="B45" s="33" t="s">
        <v>34</v>
      </c>
      <c r="D45" s="26"/>
      <c r="E45" s="26"/>
      <c r="G45" s="51" t="s">
        <v>234</v>
      </c>
      <c r="H45" s="51"/>
      <c r="I45" s="51"/>
      <c r="J45" s="51"/>
      <c r="K45" s="51"/>
      <c r="L45" s="51"/>
      <c r="M45" s="51"/>
      <c r="N45" s="51"/>
      <c r="O45" s="51"/>
      <c r="P45" s="51"/>
      <c r="Q45" s="51"/>
      <c r="R45" s="51"/>
      <c r="S45" s="51"/>
      <c r="T45" s="51"/>
      <c r="U45" s="59"/>
    </row>
    <row r="46" spans="2:24" ht="20.25" customHeight="1" x14ac:dyDescent="0.2">
      <c r="B46" s="33"/>
      <c r="U46" s="34"/>
    </row>
    <row r="47" spans="2:24" ht="20.25" customHeight="1" x14ac:dyDescent="0.2">
      <c r="B47" s="33" t="s">
        <v>35</v>
      </c>
      <c r="E47" s="26"/>
      <c r="F47" s="26"/>
      <c r="G47" s="16" t="s">
        <v>442</v>
      </c>
      <c r="H47" s="16"/>
      <c r="I47" s="16"/>
      <c r="J47" s="16"/>
      <c r="K47" s="16"/>
      <c r="L47" s="16"/>
      <c r="M47" s="16"/>
      <c r="N47" s="16"/>
      <c r="O47" s="16"/>
      <c r="P47" s="16"/>
      <c r="Q47" s="16"/>
      <c r="R47" s="16"/>
      <c r="S47" s="16"/>
      <c r="T47" s="16"/>
      <c r="U47" s="17"/>
    </row>
    <row r="48" spans="2:24" ht="20.25" customHeight="1" x14ac:dyDescent="0.2">
      <c r="B48" s="33"/>
      <c r="U48" s="34"/>
    </row>
    <row r="49" spans="2:21" ht="20.25" customHeight="1" x14ac:dyDescent="0.2">
      <c r="B49" s="33" t="s">
        <v>36</v>
      </c>
      <c r="E49" s="26"/>
      <c r="F49" s="26"/>
      <c r="G49" s="16" t="s">
        <v>37</v>
      </c>
      <c r="H49" s="16"/>
      <c r="I49" s="16"/>
      <c r="J49" s="16"/>
      <c r="K49" s="16"/>
      <c r="L49" s="16"/>
      <c r="M49" s="16"/>
      <c r="N49" s="16"/>
      <c r="O49" s="16"/>
      <c r="P49" s="16"/>
      <c r="Q49" s="16"/>
      <c r="R49" s="16"/>
      <c r="S49" s="16"/>
      <c r="T49" s="16"/>
      <c r="U49" s="17"/>
    </row>
    <row r="50" spans="2:21" ht="20.25" customHeight="1" x14ac:dyDescent="0.2">
      <c r="B50" s="33"/>
      <c r="U50" s="34"/>
    </row>
    <row r="51" spans="2:21" ht="20.25" customHeight="1" x14ac:dyDescent="0.2">
      <c r="B51" s="33" t="s">
        <v>38</v>
      </c>
      <c r="D51" s="26"/>
      <c r="E51" s="26"/>
      <c r="G51" s="51" t="s">
        <v>93</v>
      </c>
      <c r="H51" s="51"/>
      <c r="I51" s="51"/>
      <c r="J51" s="51"/>
      <c r="K51" s="51"/>
      <c r="L51" s="51"/>
      <c r="M51" s="51"/>
      <c r="N51" s="51"/>
      <c r="O51" s="51"/>
      <c r="P51" s="51"/>
      <c r="Q51" s="51"/>
      <c r="R51" s="51"/>
      <c r="S51" s="51"/>
      <c r="T51" s="51"/>
      <c r="U51" s="59"/>
    </row>
    <row r="52" spans="2:21" ht="20.25" customHeight="1" x14ac:dyDescent="0.2">
      <c r="B52" s="33"/>
      <c r="U52" s="34"/>
    </row>
    <row r="53" spans="2:21" ht="20.25" customHeight="1" x14ac:dyDescent="0.2">
      <c r="B53" s="33" t="s">
        <v>39</v>
      </c>
      <c r="G53" s="16" t="s">
        <v>48</v>
      </c>
      <c r="H53" s="16"/>
      <c r="I53" s="16"/>
      <c r="J53" s="16"/>
      <c r="K53" s="16"/>
      <c r="L53" s="16"/>
      <c r="M53" s="16"/>
      <c r="N53" s="16"/>
      <c r="O53" s="16"/>
      <c r="P53" s="16"/>
      <c r="Q53" s="16"/>
      <c r="R53" s="16"/>
      <c r="S53" s="16"/>
      <c r="T53" s="16"/>
      <c r="U53" s="17"/>
    </row>
    <row r="54" spans="2:21" ht="20.25" customHeight="1" x14ac:dyDescent="0.2">
      <c r="B54" s="33"/>
      <c r="G54" s="51" t="s">
        <v>49</v>
      </c>
      <c r="H54" s="18"/>
      <c r="I54" s="18"/>
      <c r="J54" s="18"/>
      <c r="K54" s="18"/>
      <c r="L54" s="18"/>
      <c r="M54" s="18"/>
      <c r="N54" s="18"/>
      <c r="O54" s="18"/>
      <c r="P54" s="18"/>
      <c r="Q54" s="18"/>
      <c r="R54" s="18"/>
      <c r="S54" s="18"/>
      <c r="T54" s="18"/>
      <c r="U54" s="19"/>
    </row>
    <row r="55" spans="2:21" ht="20.25" customHeight="1" x14ac:dyDescent="0.2">
      <c r="B55" s="33"/>
      <c r="U55" s="34"/>
    </row>
    <row r="56" spans="2:21" ht="20.25" customHeight="1" x14ac:dyDescent="0.2">
      <c r="B56" s="64" t="s">
        <v>40</v>
      </c>
      <c r="C56" s="21"/>
      <c r="D56" s="21"/>
      <c r="E56" s="65"/>
      <c r="F56" s="446" t="s">
        <v>231</v>
      </c>
      <c r="G56" s="446"/>
      <c r="H56" s="446"/>
      <c r="I56" s="446"/>
      <c r="J56" s="446"/>
      <c r="K56" s="66" t="s">
        <v>41</v>
      </c>
      <c r="L56" s="432" t="s">
        <v>232</v>
      </c>
      <c r="M56" s="433"/>
      <c r="N56" s="433"/>
      <c r="O56" s="433"/>
      <c r="P56" s="433"/>
      <c r="Q56" s="65" t="s">
        <v>42</v>
      </c>
      <c r="R56" s="441">
        <v>940512282</v>
      </c>
      <c r="S56" s="441"/>
      <c r="T56" s="441"/>
      <c r="U56" s="442"/>
    </row>
    <row r="57" spans="2:21" ht="20.25" customHeight="1" x14ac:dyDescent="0.2">
      <c r="E57" s="26"/>
      <c r="F57" s="201"/>
      <c r="G57" s="201"/>
      <c r="H57" s="201"/>
      <c r="I57" s="201"/>
      <c r="J57" s="201"/>
      <c r="K57" s="202"/>
      <c r="L57" s="203"/>
      <c r="M57" s="204"/>
      <c r="N57" s="204"/>
      <c r="O57" s="204"/>
      <c r="P57" s="204"/>
      <c r="Q57" s="205"/>
      <c r="R57" s="206"/>
      <c r="S57" s="206"/>
      <c r="T57" s="206"/>
      <c r="U57" s="206"/>
    </row>
    <row r="59" spans="2:21" ht="18" x14ac:dyDescent="0.2">
      <c r="Q59" s="4" t="s">
        <v>3</v>
      </c>
      <c r="R59" s="437" t="str">
        <f>+R2</f>
        <v>PS-065-2026 PROMCOSER</v>
      </c>
      <c r="S59" s="438"/>
      <c r="T59" s="438"/>
      <c r="U59" s="439"/>
    </row>
    <row r="61" spans="2:21" x14ac:dyDescent="0.2">
      <c r="B61" s="5"/>
      <c r="C61" s="6"/>
      <c r="D61" s="6"/>
      <c r="E61" s="6"/>
      <c r="F61" s="6"/>
      <c r="G61" s="6"/>
      <c r="Q61" s="7" t="s">
        <v>4</v>
      </c>
      <c r="R61" s="443">
        <f>R4</f>
        <v>46216</v>
      </c>
      <c r="S61" s="438"/>
      <c r="T61" s="438"/>
      <c r="U61" s="439"/>
    </row>
    <row r="62" spans="2:21" x14ac:dyDescent="0.2">
      <c r="B62" s="118" t="s">
        <v>45</v>
      </c>
      <c r="C62" s="118"/>
      <c r="D62" s="118"/>
      <c r="E62" s="118"/>
      <c r="F62" s="118"/>
      <c r="G62" s="6"/>
    </row>
    <row r="63" spans="2:21" x14ac:dyDescent="0.2">
      <c r="B63" s="118" t="s">
        <v>46</v>
      </c>
      <c r="C63" s="118"/>
      <c r="D63" s="118"/>
      <c r="E63" s="118"/>
      <c r="F63" s="118"/>
      <c r="G63" s="6"/>
    </row>
    <row r="64" spans="2:21" x14ac:dyDescent="0.2">
      <c r="B64" s="448" t="s">
        <v>47</v>
      </c>
      <c r="C64" s="448"/>
      <c r="D64" s="448"/>
      <c r="E64" s="448"/>
      <c r="F64" s="448"/>
      <c r="G64" s="6"/>
    </row>
    <row r="65" spans="2:21" x14ac:dyDescent="0.2">
      <c r="B65" s="67"/>
      <c r="C65" s="67"/>
      <c r="D65" s="67"/>
      <c r="E65" s="67"/>
      <c r="F65" s="67"/>
      <c r="G65" s="67"/>
      <c r="H65" s="67"/>
      <c r="I65" s="67"/>
      <c r="J65" s="67"/>
      <c r="K65" s="67"/>
      <c r="L65" s="67"/>
      <c r="M65" s="67"/>
      <c r="N65" s="67"/>
      <c r="O65" s="67"/>
      <c r="P65" s="67"/>
      <c r="Q65" s="67"/>
      <c r="R65" s="67"/>
      <c r="S65" s="67"/>
      <c r="T65" s="67"/>
      <c r="U65" s="67"/>
    </row>
    <row r="66" spans="2:21" ht="18" x14ac:dyDescent="0.2">
      <c r="B66" s="68" t="s">
        <v>50</v>
      </c>
      <c r="C66" s="69"/>
      <c r="D66" s="69"/>
      <c r="E66" s="69"/>
      <c r="F66" s="69"/>
      <c r="G66" s="69"/>
      <c r="H66" s="69"/>
      <c r="I66" s="69"/>
      <c r="J66" s="69"/>
      <c r="K66" s="69"/>
      <c r="L66" s="69"/>
      <c r="M66" s="69"/>
      <c r="N66" s="69"/>
      <c r="O66" s="69"/>
      <c r="P66" s="69"/>
      <c r="Q66" s="69"/>
      <c r="R66" s="69"/>
      <c r="S66" s="69"/>
      <c r="T66" s="69"/>
      <c r="U66" s="67"/>
    </row>
    <row r="67" spans="2:21" x14ac:dyDescent="0.2">
      <c r="B67" s="70"/>
      <c r="C67" s="71"/>
      <c r="D67" s="71"/>
      <c r="E67" s="71"/>
      <c r="F67" s="71"/>
      <c r="G67" s="71"/>
      <c r="H67" s="71"/>
      <c r="I67" s="71"/>
      <c r="J67" s="71"/>
      <c r="K67" s="71"/>
      <c r="L67" s="71"/>
      <c r="M67" s="71"/>
      <c r="N67" s="71"/>
      <c r="O67" s="71"/>
      <c r="P67" s="71"/>
      <c r="Q67" s="71"/>
      <c r="R67" s="71"/>
      <c r="S67" s="71"/>
      <c r="T67" s="71"/>
      <c r="U67" s="72"/>
    </row>
    <row r="68" spans="2:21" x14ac:dyDescent="0.2">
      <c r="B68" s="73"/>
      <c r="C68" s="74"/>
      <c r="D68" s="75"/>
      <c r="E68" s="75"/>
      <c r="F68" s="75"/>
      <c r="G68" s="75"/>
      <c r="H68" s="75"/>
      <c r="I68" s="75"/>
      <c r="J68" s="75"/>
      <c r="K68" s="75"/>
      <c r="L68" s="75"/>
      <c r="M68" s="75"/>
      <c r="N68" s="75"/>
      <c r="O68" s="75"/>
      <c r="P68" s="75"/>
      <c r="Q68" s="75"/>
      <c r="R68" s="75"/>
      <c r="S68" s="75"/>
      <c r="T68" s="76"/>
      <c r="U68" s="77"/>
    </row>
    <row r="69" spans="2:21" x14ac:dyDescent="0.2">
      <c r="B69" s="73"/>
      <c r="C69" s="78"/>
      <c r="D69" s="79" t="s">
        <v>51</v>
      </c>
      <c r="E69" s="80"/>
      <c r="F69" s="80"/>
      <c r="G69" s="80"/>
      <c r="H69" s="80"/>
      <c r="I69" s="80"/>
      <c r="J69" s="80"/>
      <c r="K69" s="80"/>
      <c r="L69" s="80"/>
      <c r="M69" s="80"/>
      <c r="N69" s="80"/>
      <c r="O69" s="80"/>
      <c r="P69" s="80"/>
      <c r="Q69" s="80"/>
      <c r="R69" s="80"/>
      <c r="S69" s="80"/>
      <c r="T69" s="81"/>
      <c r="U69" s="77"/>
    </row>
    <row r="70" spans="2:21" x14ac:dyDescent="0.2">
      <c r="B70" s="73"/>
      <c r="C70" s="78"/>
      <c r="D70" s="82" t="s">
        <v>526</v>
      </c>
      <c r="E70" s="82"/>
      <c r="F70" s="82"/>
      <c r="G70" s="82"/>
      <c r="H70" s="82"/>
      <c r="I70" s="82"/>
      <c r="J70" s="82"/>
      <c r="K70" s="82"/>
      <c r="L70" s="82"/>
      <c r="M70" s="82"/>
      <c r="N70" s="82"/>
      <c r="O70" s="82"/>
      <c r="P70" s="82"/>
      <c r="Q70" s="82"/>
      <c r="R70" s="82"/>
      <c r="S70" s="82"/>
      <c r="T70" s="83"/>
      <c r="U70" s="77"/>
    </row>
    <row r="71" spans="2:21" x14ac:dyDescent="0.2">
      <c r="B71" s="73"/>
      <c r="C71" s="78"/>
      <c r="D71" s="82" t="s">
        <v>520</v>
      </c>
      <c r="E71" s="82"/>
      <c r="F71" s="82"/>
      <c r="G71" s="82"/>
      <c r="H71" s="82"/>
      <c r="I71" s="82"/>
      <c r="J71" s="82"/>
      <c r="K71" s="82"/>
      <c r="L71" s="82"/>
      <c r="M71" s="82"/>
      <c r="N71" s="82"/>
      <c r="O71" s="82"/>
      <c r="P71" s="82"/>
      <c r="Q71" s="82"/>
      <c r="R71" s="82"/>
      <c r="S71" s="82"/>
      <c r="T71" s="83"/>
      <c r="U71" s="77"/>
    </row>
    <row r="72" spans="2:21" x14ac:dyDescent="0.2">
      <c r="B72" s="73"/>
      <c r="C72" s="78"/>
      <c r="D72" s="82" t="s">
        <v>523</v>
      </c>
      <c r="E72" s="82"/>
      <c r="F72" s="82"/>
      <c r="G72" s="82"/>
      <c r="H72" s="82"/>
      <c r="I72" s="82"/>
      <c r="J72" s="82"/>
      <c r="K72" s="82"/>
      <c r="L72" s="82"/>
      <c r="M72" s="82"/>
      <c r="N72" s="82"/>
      <c r="O72" s="82"/>
      <c r="P72" s="82"/>
      <c r="Q72" s="82"/>
      <c r="R72" s="82"/>
      <c r="S72" s="82"/>
      <c r="T72" s="83"/>
      <c r="U72" s="77"/>
    </row>
    <row r="73" spans="2:21" x14ac:dyDescent="0.2">
      <c r="B73" s="73"/>
      <c r="C73" s="78"/>
      <c r="D73" s="82" t="s">
        <v>233</v>
      </c>
      <c r="E73" s="82"/>
      <c r="F73" s="82"/>
      <c r="G73" s="82"/>
      <c r="H73" s="82"/>
      <c r="I73" s="82"/>
      <c r="J73" s="82"/>
      <c r="K73" s="82"/>
      <c r="L73" s="82"/>
      <c r="M73" s="82"/>
      <c r="N73" s="82"/>
      <c r="O73" s="82"/>
      <c r="P73" s="82"/>
      <c r="Q73" s="82"/>
      <c r="R73" s="82"/>
      <c r="S73" s="82"/>
      <c r="T73" s="83"/>
      <c r="U73" s="77"/>
    </row>
    <row r="74" spans="2:21" x14ac:dyDescent="0.2">
      <c r="B74" s="73"/>
      <c r="C74" s="78"/>
      <c r="D74" s="84"/>
      <c r="E74" s="80"/>
      <c r="F74" s="80"/>
      <c r="G74" s="80"/>
      <c r="H74" s="80"/>
      <c r="I74" s="80"/>
      <c r="J74" s="80"/>
      <c r="K74" s="80"/>
      <c r="L74" s="80"/>
      <c r="M74" s="80"/>
      <c r="N74" s="80"/>
      <c r="O74" s="80"/>
      <c r="P74" s="80"/>
      <c r="Q74" s="80"/>
      <c r="R74" s="80"/>
      <c r="S74" s="80"/>
      <c r="T74" s="81"/>
      <c r="U74" s="77"/>
    </row>
    <row r="75" spans="2:21" x14ac:dyDescent="0.2">
      <c r="B75" s="73"/>
      <c r="C75" s="78"/>
      <c r="D75" s="84"/>
      <c r="E75" s="80"/>
      <c r="F75" s="80"/>
      <c r="G75" s="80"/>
      <c r="H75" s="80"/>
      <c r="I75" s="80"/>
      <c r="J75" s="80"/>
      <c r="K75" s="80"/>
      <c r="L75" s="80"/>
      <c r="M75" s="80"/>
      <c r="N75" s="80"/>
      <c r="O75" s="80"/>
      <c r="P75" s="80"/>
      <c r="Q75" s="80"/>
      <c r="R75" s="80"/>
      <c r="S75" s="80"/>
      <c r="T75" s="81"/>
      <c r="U75" s="77"/>
    </row>
    <row r="76" spans="2:21" x14ac:dyDescent="0.2">
      <c r="B76" s="73"/>
      <c r="C76" s="78"/>
      <c r="D76" s="84"/>
      <c r="E76" s="80"/>
      <c r="F76" s="80"/>
      <c r="G76" s="80"/>
      <c r="H76" s="80"/>
      <c r="I76" s="80"/>
      <c r="J76" s="80"/>
      <c r="K76" s="80"/>
      <c r="L76" s="80"/>
      <c r="M76" s="80"/>
      <c r="N76" s="80"/>
      <c r="O76" s="80"/>
      <c r="P76" s="80"/>
      <c r="Q76" s="80"/>
      <c r="R76" s="80"/>
      <c r="S76" s="80"/>
      <c r="T76" s="81"/>
      <c r="U76" s="77"/>
    </row>
    <row r="77" spans="2:21" x14ac:dyDescent="0.2">
      <c r="B77" s="85"/>
      <c r="C77" s="86"/>
      <c r="D77" s="87"/>
      <c r="E77" s="87"/>
      <c r="F77" s="87"/>
      <c r="G77" s="87"/>
      <c r="H77" s="87"/>
      <c r="I77" s="87"/>
      <c r="J77" s="87"/>
      <c r="K77" s="87"/>
      <c r="L77" s="87"/>
      <c r="M77" s="87"/>
      <c r="N77" s="87"/>
      <c r="O77" s="87"/>
      <c r="P77" s="87"/>
      <c r="Q77" s="87"/>
      <c r="R77" s="87"/>
      <c r="S77" s="87"/>
      <c r="T77" s="88"/>
      <c r="U77" s="77"/>
    </row>
    <row r="78" spans="2:21" ht="18" x14ac:dyDescent="0.2">
      <c r="B78" s="89"/>
      <c r="C78" s="90"/>
      <c r="D78" s="90"/>
      <c r="E78" s="90"/>
      <c r="F78" s="90"/>
      <c r="G78" s="90"/>
      <c r="H78" s="90"/>
      <c r="I78" s="90"/>
      <c r="J78" s="90"/>
      <c r="K78" s="90"/>
      <c r="L78" s="90"/>
      <c r="M78" s="90"/>
      <c r="N78" s="90"/>
      <c r="O78" s="90"/>
      <c r="P78" s="90"/>
      <c r="Q78" s="90"/>
      <c r="R78" s="90"/>
      <c r="S78" s="90"/>
      <c r="T78" s="90"/>
      <c r="U78" s="91"/>
    </row>
    <row r="79" spans="2:21" x14ac:dyDescent="0.2">
      <c r="B79" s="92"/>
      <c r="C79" s="93"/>
      <c r="D79" s="93"/>
      <c r="E79" s="93"/>
      <c r="F79" s="93"/>
      <c r="G79" s="93"/>
      <c r="H79" s="93"/>
      <c r="I79" s="93"/>
      <c r="J79" s="93"/>
      <c r="K79" s="93"/>
      <c r="L79" s="93"/>
      <c r="M79" s="93"/>
      <c r="N79" s="93"/>
      <c r="O79" s="93"/>
      <c r="P79" s="93"/>
      <c r="Q79" s="93"/>
      <c r="R79" s="93"/>
      <c r="S79" s="93"/>
      <c r="T79" s="93"/>
      <c r="U79" s="67"/>
    </row>
    <row r="80" spans="2:21" ht="18" x14ac:dyDescent="0.2">
      <c r="B80" s="68" t="s">
        <v>43</v>
      </c>
      <c r="C80" s="69"/>
      <c r="D80" s="69"/>
      <c r="E80" s="69"/>
      <c r="F80" s="69"/>
      <c r="G80" s="69"/>
      <c r="H80" s="69"/>
      <c r="I80" s="69"/>
      <c r="J80" s="69"/>
      <c r="K80" s="69"/>
      <c r="L80" s="69"/>
      <c r="M80" s="69"/>
      <c r="N80" s="69"/>
      <c r="O80" s="69"/>
      <c r="P80" s="69"/>
      <c r="Q80" s="69"/>
      <c r="R80" s="69"/>
      <c r="S80" s="69"/>
      <c r="T80" s="69"/>
      <c r="U80" s="67"/>
    </row>
    <row r="81" spans="2:21" x14ac:dyDescent="0.2">
      <c r="B81" s="70"/>
      <c r="C81" s="444"/>
      <c r="D81" s="444"/>
      <c r="E81" s="444"/>
      <c r="F81" s="444"/>
      <c r="G81" s="444"/>
      <c r="H81" s="444"/>
      <c r="I81" s="444"/>
      <c r="J81" s="444"/>
      <c r="K81" s="444"/>
      <c r="L81" s="444"/>
      <c r="M81" s="444"/>
      <c r="N81" s="444"/>
      <c r="O81" s="444"/>
      <c r="P81" s="444"/>
      <c r="Q81" s="444"/>
      <c r="R81" s="444"/>
      <c r="S81" s="444"/>
      <c r="T81" s="444"/>
      <c r="U81" s="72"/>
    </row>
    <row r="82" spans="2:21" x14ac:dyDescent="0.2">
      <c r="B82" s="73"/>
      <c r="C82" s="94"/>
      <c r="D82" s="38"/>
      <c r="E82" s="38"/>
      <c r="F82" s="38"/>
      <c r="G82" s="38"/>
      <c r="H82" s="38"/>
      <c r="I82" s="38"/>
      <c r="J82" s="38"/>
      <c r="K82" s="38"/>
      <c r="L82" s="38"/>
      <c r="M82" s="38"/>
      <c r="N82" s="38"/>
      <c r="O82" s="38"/>
      <c r="P82" s="38"/>
      <c r="Q82" s="38"/>
      <c r="R82" s="38"/>
      <c r="S82" s="38"/>
      <c r="T82" s="95"/>
      <c r="U82" s="77"/>
    </row>
    <row r="83" spans="2:21" x14ac:dyDescent="0.2">
      <c r="B83" s="73"/>
      <c r="C83" s="96"/>
      <c r="D83" s="79" t="s">
        <v>44</v>
      </c>
      <c r="E83" s="82"/>
      <c r="F83" s="82"/>
      <c r="G83" s="82"/>
      <c r="H83" s="82"/>
      <c r="I83" s="82"/>
      <c r="J83" s="82"/>
      <c r="K83" s="82"/>
      <c r="L83" s="82"/>
      <c r="M83" s="82"/>
      <c r="N83" s="82"/>
      <c r="O83" s="82"/>
      <c r="P83" s="82"/>
      <c r="Q83" s="82"/>
      <c r="R83" s="82"/>
      <c r="S83" s="82"/>
      <c r="T83" s="83"/>
      <c r="U83" s="77"/>
    </row>
    <row r="84" spans="2:21" x14ac:dyDescent="0.2">
      <c r="B84" s="73"/>
      <c r="C84" s="78"/>
      <c r="D84" s="82" t="s">
        <v>524</v>
      </c>
      <c r="E84" s="82"/>
      <c r="F84" s="82"/>
      <c r="G84" s="82"/>
      <c r="H84" s="82"/>
      <c r="I84" s="82"/>
      <c r="J84" s="82"/>
      <c r="K84" s="82"/>
      <c r="L84" s="82"/>
      <c r="M84" s="82"/>
      <c r="N84" s="82"/>
      <c r="O84" s="82"/>
      <c r="P84" s="82"/>
      <c r="Q84" s="82"/>
      <c r="R84" s="82"/>
      <c r="S84" s="82"/>
      <c r="T84" s="83"/>
      <c r="U84" s="77"/>
    </row>
    <row r="85" spans="2:21" x14ac:dyDescent="0.2">
      <c r="B85" s="73"/>
      <c r="C85" s="78"/>
      <c r="D85" s="82" t="s">
        <v>525</v>
      </c>
      <c r="E85" s="82"/>
      <c r="F85" s="82"/>
      <c r="G85" s="82"/>
      <c r="H85" s="82"/>
      <c r="I85" s="82"/>
      <c r="J85" s="82"/>
      <c r="K85" s="82"/>
      <c r="L85" s="82"/>
      <c r="M85" s="82"/>
      <c r="N85" s="82"/>
      <c r="O85" s="82"/>
      <c r="P85" s="82"/>
      <c r="Q85" s="82"/>
      <c r="R85" s="82"/>
      <c r="S85" s="82"/>
      <c r="T85" s="83"/>
      <c r="U85" s="77"/>
    </row>
    <row r="86" spans="2:21" ht="32.25" customHeight="1" x14ac:dyDescent="0.2">
      <c r="B86" s="73"/>
      <c r="C86" s="78"/>
      <c r="D86" s="440" t="s">
        <v>521</v>
      </c>
      <c r="E86" s="440"/>
      <c r="F86" s="440"/>
      <c r="G86" s="440"/>
      <c r="H86" s="440"/>
      <c r="I86" s="440"/>
      <c r="J86" s="440"/>
      <c r="K86" s="440"/>
      <c r="L86" s="440"/>
      <c r="M86" s="440"/>
      <c r="N86" s="440"/>
      <c r="O86" s="440"/>
      <c r="P86" s="440"/>
      <c r="Q86" s="440"/>
      <c r="R86" s="440"/>
      <c r="S86" s="440"/>
      <c r="T86" s="83"/>
      <c r="U86" s="77"/>
    </row>
    <row r="87" spans="2:21" x14ac:dyDescent="0.2">
      <c r="B87" s="73"/>
      <c r="C87" s="78"/>
      <c r="D87" s="82" t="s">
        <v>510</v>
      </c>
      <c r="E87" s="82"/>
      <c r="F87" s="82"/>
      <c r="G87" s="82"/>
      <c r="H87" s="82"/>
      <c r="I87" s="82"/>
      <c r="J87" s="82"/>
      <c r="K87" s="82"/>
      <c r="L87" s="82"/>
      <c r="M87" s="82"/>
      <c r="N87" s="82"/>
      <c r="O87" s="82"/>
      <c r="P87" s="82"/>
      <c r="Q87" s="82"/>
      <c r="R87" s="82"/>
      <c r="S87" s="82"/>
      <c r="T87" s="83"/>
      <c r="U87" s="77"/>
    </row>
    <row r="88" spans="2:21" x14ac:dyDescent="0.2">
      <c r="B88" s="73"/>
      <c r="C88" s="78"/>
      <c r="D88" s="82" t="s">
        <v>449</v>
      </c>
      <c r="E88" s="82"/>
      <c r="F88" s="82"/>
      <c r="G88" s="82"/>
      <c r="H88" s="82"/>
      <c r="I88" s="82"/>
      <c r="J88" s="82"/>
      <c r="K88" s="82"/>
      <c r="L88" s="82"/>
      <c r="M88" s="82"/>
      <c r="N88" s="82"/>
      <c r="O88" s="82"/>
      <c r="P88" s="82"/>
      <c r="Q88" s="82"/>
      <c r="R88" s="82"/>
      <c r="S88" s="82"/>
      <c r="T88" s="83"/>
      <c r="U88" s="77"/>
    </row>
    <row r="89" spans="2:21" x14ac:dyDescent="0.2">
      <c r="B89" s="73"/>
      <c r="C89" s="78"/>
      <c r="D89" s="82" t="s">
        <v>450</v>
      </c>
      <c r="E89" s="82"/>
      <c r="F89" s="82"/>
      <c r="G89" s="82"/>
      <c r="H89" s="82"/>
      <c r="I89" s="82"/>
      <c r="J89" s="82"/>
      <c r="K89" s="82"/>
      <c r="L89" s="82"/>
      <c r="M89" s="82"/>
      <c r="N89" s="82"/>
      <c r="O89" s="82"/>
      <c r="P89" s="82"/>
      <c r="Q89" s="82"/>
      <c r="R89" s="82"/>
      <c r="S89" s="82"/>
      <c r="T89" s="83"/>
      <c r="U89" s="77"/>
    </row>
    <row r="90" spans="2:21" x14ac:dyDescent="0.2">
      <c r="B90" s="73"/>
      <c r="C90" s="78"/>
      <c r="D90" s="82"/>
      <c r="E90" s="82"/>
      <c r="F90" s="82"/>
      <c r="G90" s="82"/>
      <c r="H90" s="82"/>
      <c r="I90" s="82"/>
      <c r="J90" s="82"/>
      <c r="K90" s="82"/>
      <c r="L90" s="82"/>
      <c r="M90" s="82"/>
      <c r="N90" s="82"/>
      <c r="O90" s="82"/>
      <c r="P90" s="82"/>
      <c r="Q90" s="82"/>
      <c r="R90" s="82"/>
      <c r="S90" s="82"/>
      <c r="T90" s="83"/>
      <c r="U90" s="77"/>
    </row>
    <row r="91" spans="2:21" x14ac:dyDescent="0.2">
      <c r="B91" s="73"/>
      <c r="C91" s="86"/>
      <c r="D91" s="97"/>
      <c r="E91" s="98"/>
      <c r="F91" s="98"/>
      <c r="G91" s="98"/>
      <c r="H91" s="98"/>
      <c r="I91" s="98"/>
      <c r="J91" s="98"/>
      <c r="K91" s="98"/>
      <c r="L91" s="98"/>
      <c r="M91" s="98"/>
      <c r="N91" s="98"/>
      <c r="O91" s="98"/>
      <c r="P91" s="98"/>
      <c r="Q91" s="98"/>
      <c r="R91" s="98"/>
      <c r="S91" s="98"/>
      <c r="T91" s="99"/>
      <c r="U91" s="77"/>
    </row>
    <row r="92" spans="2:21" x14ac:dyDescent="0.2">
      <c r="B92" s="100"/>
      <c r="C92" s="101"/>
      <c r="D92" s="102"/>
      <c r="E92" s="101"/>
      <c r="F92" s="101"/>
      <c r="G92" s="101"/>
      <c r="H92" s="101"/>
      <c r="I92" s="101"/>
      <c r="J92" s="101"/>
      <c r="K92" s="101"/>
      <c r="L92" s="103"/>
      <c r="M92" s="104"/>
      <c r="N92" s="105"/>
      <c r="O92" s="445"/>
      <c r="P92" s="445"/>
      <c r="Q92" s="105"/>
      <c r="R92" s="445"/>
      <c r="S92" s="445"/>
      <c r="T92" s="101"/>
      <c r="U92" s="91"/>
    </row>
    <row r="93" spans="2:21" x14ac:dyDescent="0.2">
      <c r="B93" s="92"/>
      <c r="C93" s="69"/>
      <c r="D93" s="69"/>
      <c r="E93" s="69"/>
      <c r="F93" s="69"/>
      <c r="G93" s="69"/>
      <c r="H93" s="69"/>
      <c r="I93" s="69"/>
      <c r="J93" s="69"/>
      <c r="K93" s="69"/>
      <c r="L93" s="106"/>
      <c r="M93" s="106"/>
      <c r="N93" s="107"/>
      <c r="O93" s="108"/>
      <c r="P93" s="108"/>
      <c r="Q93" s="107"/>
      <c r="R93" s="108"/>
      <c r="S93" s="108"/>
      <c r="T93" s="69"/>
      <c r="U93" s="67"/>
    </row>
    <row r="94" spans="2:21" ht="18" x14ac:dyDescent="0.2">
      <c r="B94" s="68" t="s">
        <v>109</v>
      </c>
      <c r="C94" s="67"/>
      <c r="D94" s="109"/>
      <c r="E94" s="110"/>
      <c r="F94" s="67"/>
      <c r="G94" s="67"/>
      <c r="H94" s="111"/>
      <c r="I94" s="112"/>
      <c r="J94" s="67"/>
      <c r="K94" s="113"/>
      <c r="L94" s="114"/>
      <c r="M94" s="114"/>
      <c r="N94" s="114"/>
      <c r="O94" s="114"/>
      <c r="P94" s="67"/>
      <c r="Q94" s="67"/>
      <c r="R94" s="67"/>
      <c r="S94" s="67"/>
      <c r="T94" s="67"/>
      <c r="U94" s="67"/>
    </row>
    <row r="95" spans="2:21" x14ac:dyDescent="0.2">
      <c r="B95" s="70"/>
      <c r="C95" s="115"/>
      <c r="D95" s="115"/>
      <c r="E95" s="115"/>
      <c r="F95" s="115"/>
      <c r="G95" s="115"/>
      <c r="H95" s="115"/>
      <c r="I95" s="115"/>
      <c r="J95" s="115"/>
      <c r="K95" s="115"/>
      <c r="L95" s="115"/>
      <c r="M95" s="115"/>
      <c r="N95" s="115"/>
      <c r="O95" s="115"/>
      <c r="P95" s="115"/>
      <c r="Q95" s="115"/>
      <c r="R95" s="115"/>
      <c r="S95" s="115"/>
      <c r="T95" s="115"/>
      <c r="U95" s="72"/>
    </row>
    <row r="96" spans="2:21" x14ac:dyDescent="0.2">
      <c r="B96" s="73"/>
      <c r="C96" s="74"/>
      <c r="D96" s="75"/>
      <c r="E96" s="75"/>
      <c r="F96" s="75"/>
      <c r="G96" s="75"/>
      <c r="H96" s="75"/>
      <c r="I96" s="75"/>
      <c r="J96" s="75"/>
      <c r="K96" s="75"/>
      <c r="L96" s="75"/>
      <c r="M96" s="75"/>
      <c r="N96" s="75"/>
      <c r="O96" s="75"/>
      <c r="P96" s="75"/>
      <c r="Q96" s="75"/>
      <c r="R96" s="75"/>
      <c r="S96" s="75"/>
      <c r="T96" s="76"/>
      <c r="U96" s="77"/>
    </row>
    <row r="97" spans="2:21" x14ac:dyDescent="0.2">
      <c r="B97" s="73"/>
      <c r="C97" s="116"/>
      <c r="D97" s="79" t="s">
        <v>110</v>
      </c>
      <c r="E97" s="80"/>
      <c r="F97" s="80"/>
      <c r="G97" s="80"/>
      <c r="H97" s="80"/>
      <c r="I97" s="80"/>
      <c r="J97" s="80"/>
      <c r="K97" s="80"/>
      <c r="L97" s="80"/>
      <c r="M97" s="80"/>
      <c r="N97" s="80"/>
      <c r="O97" s="80"/>
      <c r="P97" s="80"/>
      <c r="Q97" s="80"/>
      <c r="R97" s="80"/>
      <c r="S97" s="80"/>
      <c r="T97" s="81"/>
      <c r="U97" s="77"/>
    </row>
    <row r="98" spans="2:21" ht="28.5" customHeight="1" x14ac:dyDescent="0.2">
      <c r="B98" s="73"/>
      <c r="C98" s="78">
        <v>7.1</v>
      </c>
      <c r="D98" s="440" t="s">
        <v>511</v>
      </c>
      <c r="E98" s="440"/>
      <c r="F98" s="440"/>
      <c r="G98" s="440"/>
      <c r="H98" s="440"/>
      <c r="I98" s="440"/>
      <c r="J98" s="440"/>
      <c r="K98" s="440"/>
      <c r="L98" s="440"/>
      <c r="M98" s="440"/>
      <c r="N98" s="440"/>
      <c r="O98" s="440"/>
      <c r="P98" s="440"/>
      <c r="Q98" s="440"/>
      <c r="R98" s="440"/>
      <c r="S98" s="440"/>
      <c r="T98" s="83"/>
      <c r="U98" s="77"/>
    </row>
    <row r="99" spans="2:21" x14ac:dyDescent="0.2">
      <c r="B99" s="73"/>
      <c r="C99" s="78">
        <v>7.2</v>
      </c>
      <c r="D99" s="84" t="s">
        <v>440</v>
      </c>
      <c r="E99" s="82"/>
      <c r="F99" s="82"/>
      <c r="G99" s="82"/>
      <c r="H99" s="82"/>
      <c r="I99" s="82"/>
      <c r="J99" s="82"/>
      <c r="K99" s="82"/>
      <c r="L99" s="82"/>
      <c r="M99" s="82"/>
      <c r="N99" s="82"/>
      <c r="O99" s="82"/>
      <c r="P99" s="82"/>
      <c r="Q99" s="82"/>
      <c r="R99" s="82"/>
      <c r="S99" s="82"/>
      <c r="T99" s="83"/>
      <c r="U99" s="77"/>
    </row>
    <row r="100" spans="2:21" x14ac:dyDescent="0.2">
      <c r="B100" s="73"/>
      <c r="C100" s="78">
        <v>7.3</v>
      </c>
      <c r="D100" s="84" t="s">
        <v>518</v>
      </c>
      <c r="E100" s="82"/>
      <c r="F100" s="82"/>
      <c r="G100" s="82"/>
      <c r="H100" s="82"/>
      <c r="I100" s="82"/>
      <c r="J100" s="82"/>
      <c r="K100" s="82"/>
      <c r="L100" s="82"/>
      <c r="M100" s="82"/>
      <c r="N100" s="82"/>
      <c r="O100" s="82"/>
      <c r="P100" s="82"/>
      <c r="Q100" s="82"/>
      <c r="R100" s="82"/>
      <c r="S100" s="82"/>
      <c r="T100" s="83"/>
      <c r="U100" s="77"/>
    </row>
    <row r="101" spans="2:21" x14ac:dyDescent="0.2">
      <c r="B101" s="73"/>
      <c r="C101" s="78">
        <v>7.4</v>
      </c>
      <c r="D101" s="440" t="s">
        <v>441</v>
      </c>
      <c r="E101" s="440"/>
      <c r="F101" s="440"/>
      <c r="G101" s="440"/>
      <c r="H101" s="440"/>
      <c r="I101" s="440"/>
      <c r="J101" s="440"/>
      <c r="K101" s="440"/>
      <c r="L101" s="440"/>
      <c r="M101" s="440"/>
      <c r="N101" s="440"/>
      <c r="O101" s="440"/>
      <c r="P101" s="440"/>
      <c r="Q101" s="440"/>
      <c r="R101" s="440"/>
      <c r="S101" s="440"/>
      <c r="T101" s="83"/>
      <c r="U101" s="77"/>
    </row>
    <row r="102" spans="2:21" x14ac:dyDescent="0.2">
      <c r="B102" s="73"/>
      <c r="C102" s="78"/>
      <c r="D102" s="440"/>
      <c r="E102" s="440"/>
      <c r="F102" s="440"/>
      <c r="G102" s="440"/>
      <c r="H102" s="440"/>
      <c r="I102" s="440"/>
      <c r="J102" s="440"/>
      <c r="K102" s="440"/>
      <c r="L102" s="440"/>
      <c r="M102" s="440"/>
      <c r="N102" s="440"/>
      <c r="O102" s="440"/>
      <c r="P102" s="440"/>
      <c r="Q102" s="440"/>
      <c r="R102" s="440"/>
      <c r="S102" s="440"/>
      <c r="T102" s="83"/>
      <c r="U102" s="77"/>
    </row>
    <row r="103" spans="2:21" x14ac:dyDescent="0.2">
      <c r="B103" s="73"/>
      <c r="C103" s="78">
        <v>7.5</v>
      </c>
      <c r="D103" s="440" t="s">
        <v>512</v>
      </c>
      <c r="E103" s="440"/>
      <c r="F103" s="440"/>
      <c r="G103" s="440"/>
      <c r="H103" s="440"/>
      <c r="I103" s="440"/>
      <c r="J103" s="440"/>
      <c r="K103" s="440"/>
      <c r="L103" s="440"/>
      <c r="M103" s="440"/>
      <c r="N103" s="440"/>
      <c r="O103" s="440"/>
      <c r="P103" s="440"/>
      <c r="Q103" s="440"/>
      <c r="R103" s="440"/>
      <c r="S103" s="440"/>
      <c r="T103" s="83"/>
      <c r="U103" s="77"/>
    </row>
    <row r="104" spans="2:21" ht="12" customHeight="1" x14ac:dyDescent="0.2">
      <c r="B104" s="73"/>
      <c r="C104" s="78"/>
      <c r="D104" s="440"/>
      <c r="E104" s="440"/>
      <c r="F104" s="440"/>
      <c r="G104" s="440"/>
      <c r="H104" s="440"/>
      <c r="I104" s="440"/>
      <c r="J104" s="440"/>
      <c r="K104" s="440"/>
      <c r="L104" s="440"/>
      <c r="M104" s="440"/>
      <c r="N104" s="440"/>
      <c r="O104" s="440"/>
      <c r="P104" s="440"/>
      <c r="Q104" s="440"/>
      <c r="R104" s="440"/>
      <c r="S104" s="440"/>
      <c r="T104" s="83"/>
      <c r="U104" s="77"/>
    </row>
    <row r="105" spans="2:21" x14ac:dyDescent="0.2">
      <c r="B105" s="73"/>
      <c r="C105" s="78"/>
      <c r="D105" s="84" t="s">
        <v>519</v>
      </c>
      <c r="E105" s="440" t="s">
        <v>513</v>
      </c>
      <c r="F105" s="440"/>
      <c r="G105" s="440"/>
      <c r="H105" s="440"/>
      <c r="I105" s="440"/>
      <c r="J105" s="440"/>
      <c r="K105" s="440"/>
      <c r="L105" s="440"/>
      <c r="M105" s="440"/>
      <c r="N105" s="440"/>
      <c r="O105" s="440"/>
      <c r="P105" s="440"/>
      <c r="Q105" s="440"/>
      <c r="R105" s="440"/>
      <c r="S105" s="440"/>
      <c r="T105" s="83"/>
      <c r="U105" s="77"/>
    </row>
    <row r="106" spans="2:21" x14ac:dyDescent="0.2">
      <c r="B106" s="73"/>
      <c r="C106" s="78"/>
      <c r="D106" s="84"/>
      <c r="E106" s="440"/>
      <c r="F106" s="440"/>
      <c r="G106" s="440"/>
      <c r="H106" s="440"/>
      <c r="I106" s="440"/>
      <c r="J106" s="440"/>
      <c r="K106" s="440"/>
      <c r="L106" s="440"/>
      <c r="M106" s="440"/>
      <c r="N106" s="440"/>
      <c r="O106" s="440"/>
      <c r="P106" s="440"/>
      <c r="Q106" s="440"/>
      <c r="R106" s="440"/>
      <c r="S106" s="440"/>
      <c r="T106" s="83"/>
      <c r="U106" s="77"/>
    </row>
    <row r="107" spans="2:21" ht="15" customHeight="1" x14ac:dyDescent="0.2">
      <c r="B107" s="73"/>
      <c r="C107" s="78">
        <v>7.5</v>
      </c>
      <c r="D107" s="456" t="s">
        <v>487</v>
      </c>
      <c r="E107" s="456"/>
      <c r="F107" s="456"/>
      <c r="G107" s="456"/>
      <c r="H107" s="456"/>
      <c r="I107" s="456"/>
      <c r="J107" s="456"/>
      <c r="K107" s="456"/>
      <c r="L107" s="456"/>
      <c r="M107" s="456"/>
      <c r="N107" s="456"/>
      <c r="O107" s="456"/>
      <c r="P107" s="456"/>
      <c r="Q107" s="456"/>
      <c r="R107" s="456"/>
      <c r="S107" s="456"/>
      <c r="T107" s="83"/>
      <c r="U107" s="77"/>
    </row>
    <row r="108" spans="2:21" x14ac:dyDescent="0.2">
      <c r="B108" s="73"/>
      <c r="C108" s="78"/>
      <c r="D108" s="456"/>
      <c r="E108" s="456"/>
      <c r="F108" s="456"/>
      <c r="G108" s="456"/>
      <c r="H108" s="456"/>
      <c r="I108" s="456"/>
      <c r="J108" s="456"/>
      <c r="K108" s="456"/>
      <c r="L108" s="456"/>
      <c r="M108" s="456"/>
      <c r="N108" s="456"/>
      <c r="O108" s="456"/>
      <c r="P108" s="456"/>
      <c r="Q108" s="456"/>
      <c r="R108" s="456"/>
      <c r="S108" s="456"/>
      <c r="T108" s="83"/>
      <c r="U108" s="77"/>
    </row>
    <row r="109" spans="2:21" x14ac:dyDescent="0.2">
      <c r="B109" s="73"/>
      <c r="C109" s="78"/>
      <c r="D109" s="456"/>
      <c r="E109" s="456"/>
      <c r="F109" s="456"/>
      <c r="G109" s="456"/>
      <c r="H109" s="456"/>
      <c r="I109" s="456"/>
      <c r="J109" s="456"/>
      <c r="K109" s="456"/>
      <c r="L109" s="456"/>
      <c r="M109" s="456"/>
      <c r="N109" s="456"/>
      <c r="O109" s="456"/>
      <c r="P109" s="456"/>
      <c r="Q109" s="456"/>
      <c r="R109" s="456"/>
      <c r="S109" s="456"/>
      <c r="T109" s="83"/>
      <c r="U109" s="77"/>
    </row>
    <row r="110" spans="2:21" x14ac:dyDescent="0.2">
      <c r="B110" s="73"/>
      <c r="C110" s="78"/>
      <c r="D110" s="456"/>
      <c r="E110" s="456"/>
      <c r="F110" s="456"/>
      <c r="G110" s="456"/>
      <c r="H110" s="456"/>
      <c r="I110" s="456"/>
      <c r="J110" s="456"/>
      <c r="K110" s="456"/>
      <c r="L110" s="456"/>
      <c r="M110" s="456"/>
      <c r="N110" s="456"/>
      <c r="O110" s="456"/>
      <c r="P110" s="456"/>
      <c r="Q110" s="456"/>
      <c r="R110" s="456"/>
      <c r="S110" s="456"/>
      <c r="T110" s="83"/>
      <c r="U110" s="77"/>
    </row>
    <row r="111" spans="2:21" x14ac:dyDescent="0.2">
      <c r="B111" s="73"/>
      <c r="C111" s="78"/>
      <c r="D111" s="456"/>
      <c r="E111" s="456"/>
      <c r="F111" s="456"/>
      <c r="G111" s="456"/>
      <c r="H111" s="456"/>
      <c r="I111" s="456"/>
      <c r="J111" s="456"/>
      <c r="K111" s="456"/>
      <c r="L111" s="456"/>
      <c r="M111" s="456"/>
      <c r="N111" s="456"/>
      <c r="O111" s="456"/>
      <c r="P111" s="456"/>
      <c r="Q111" s="456"/>
      <c r="R111" s="456"/>
      <c r="S111" s="456"/>
      <c r="T111" s="83"/>
      <c r="U111" s="77"/>
    </row>
    <row r="112" spans="2:21" x14ac:dyDescent="0.2">
      <c r="B112" s="73"/>
      <c r="C112" s="78"/>
      <c r="D112" s="456"/>
      <c r="E112" s="456"/>
      <c r="F112" s="456"/>
      <c r="G112" s="456"/>
      <c r="H112" s="456"/>
      <c r="I112" s="456"/>
      <c r="J112" s="456"/>
      <c r="K112" s="456"/>
      <c r="L112" s="456"/>
      <c r="M112" s="456"/>
      <c r="N112" s="456"/>
      <c r="O112" s="456"/>
      <c r="P112" s="456"/>
      <c r="Q112" s="456"/>
      <c r="R112" s="456"/>
      <c r="S112" s="456"/>
      <c r="T112" s="83"/>
      <c r="U112" s="77"/>
    </row>
    <row r="113" spans="2:21" x14ac:dyDescent="0.2">
      <c r="B113" s="73"/>
      <c r="C113" s="78"/>
      <c r="D113" s="456"/>
      <c r="E113" s="456"/>
      <c r="F113" s="456"/>
      <c r="G113" s="456"/>
      <c r="H113" s="456"/>
      <c r="I113" s="456"/>
      <c r="J113" s="456"/>
      <c r="K113" s="456"/>
      <c r="L113" s="456"/>
      <c r="M113" s="456"/>
      <c r="N113" s="456"/>
      <c r="O113" s="456"/>
      <c r="P113" s="456"/>
      <c r="Q113" s="456"/>
      <c r="R113" s="456"/>
      <c r="S113" s="456"/>
      <c r="T113" s="83"/>
      <c r="U113" s="77"/>
    </row>
    <row r="114" spans="2:21" x14ac:dyDescent="0.2">
      <c r="B114" s="73"/>
      <c r="C114" s="78"/>
      <c r="D114" s="456"/>
      <c r="E114" s="456"/>
      <c r="F114" s="456"/>
      <c r="G114" s="456"/>
      <c r="H114" s="456"/>
      <c r="I114" s="456"/>
      <c r="J114" s="456"/>
      <c r="K114" s="456"/>
      <c r="L114" s="456"/>
      <c r="M114" s="456"/>
      <c r="N114" s="456"/>
      <c r="O114" s="456"/>
      <c r="P114" s="456"/>
      <c r="Q114" s="456"/>
      <c r="R114" s="456"/>
      <c r="S114" s="456"/>
      <c r="T114" s="83"/>
      <c r="U114" s="77"/>
    </row>
    <row r="115" spans="2:21" x14ac:dyDescent="0.2">
      <c r="B115" s="73"/>
      <c r="C115" s="78"/>
      <c r="D115" s="456"/>
      <c r="E115" s="456"/>
      <c r="F115" s="456"/>
      <c r="G115" s="456"/>
      <c r="H115" s="456"/>
      <c r="I115" s="456"/>
      <c r="J115" s="456"/>
      <c r="K115" s="456"/>
      <c r="L115" s="456"/>
      <c r="M115" s="456"/>
      <c r="N115" s="456"/>
      <c r="O115" s="456"/>
      <c r="P115" s="456"/>
      <c r="Q115" s="456"/>
      <c r="R115" s="456"/>
      <c r="S115" s="456"/>
      <c r="T115" s="83"/>
      <c r="U115" s="77"/>
    </row>
    <row r="116" spans="2:21" x14ac:dyDescent="0.2">
      <c r="B116" s="73"/>
      <c r="C116" s="78"/>
      <c r="D116" s="456"/>
      <c r="E116" s="456"/>
      <c r="F116" s="456"/>
      <c r="G116" s="456"/>
      <c r="H116" s="456"/>
      <c r="I116" s="456"/>
      <c r="J116" s="456"/>
      <c r="K116" s="456"/>
      <c r="L116" s="456"/>
      <c r="M116" s="456"/>
      <c r="N116" s="456"/>
      <c r="O116" s="456"/>
      <c r="P116" s="456"/>
      <c r="Q116" s="456"/>
      <c r="R116" s="456"/>
      <c r="S116" s="456"/>
      <c r="T116" s="83"/>
      <c r="U116" s="77"/>
    </row>
    <row r="117" spans="2:21" x14ac:dyDescent="0.2">
      <c r="B117" s="73"/>
      <c r="C117" s="86"/>
      <c r="D117" s="98"/>
      <c r="E117" s="98"/>
      <c r="F117" s="98"/>
      <c r="G117" s="98"/>
      <c r="H117" s="98"/>
      <c r="I117" s="98"/>
      <c r="J117" s="98"/>
      <c r="K117" s="98"/>
      <c r="L117" s="98"/>
      <c r="M117" s="98"/>
      <c r="N117" s="98"/>
      <c r="O117" s="98"/>
      <c r="P117" s="98"/>
      <c r="Q117" s="98"/>
      <c r="R117" s="98"/>
      <c r="S117" s="98"/>
      <c r="T117" s="99"/>
      <c r="U117" s="77"/>
    </row>
    <row r="118" spans="2:21" x14ac:dyDescent="0.2">
      <c r="B118" s="100"/>
      <c r="C118" s="436"/>
      <c r="D118" s="436"/>
      <c r="E118" s="436"/>
      <c r="F118" s="436"/>
      <c r="G118" s="436"/>
      <c r="H118" s="436"/>
      <c r="I118" s="436"/>
      <c r="J118" s="436"/>
      <c r="K118" s="436"/>
      <c r="L118" s="436"/>
      <c r="M118" s="436"/>
      <c r="N118" s="436"/>
      <c r="O118" s="436"/>
      <c r="P118" s="436"/>
      <c r="Q118" s="436"/>
      <c r="R118" s="436"/>
      <c r="S118" s="436"/>
      <c r="T118" s="436"/>
      <c r="U118" s="91"/>
    </row>
    <row r="119" spans="2:21" x14ac:dyDescent="0.2">
      <c r="B119" s="92"/>
      <c r="C119" s="447"/>
      <c r="D119" s="447"/>
      <c r="E119" s="447"/>
      <c r="F119" s="447"/>
      <c r="G119" s="447"/>
      <c r="H119" s="447"/>
      <c r="I119" s="447"/>
      <c r="J119" s="447"/>
      <c r="K119" s="447"/>
      <c r="L119" s="447"/>
      <c r="M119" s="447"/>
      <c r="N119" s="447"/>
      <c r="O119" s="447"/>
      <c r="P119" s="447"/>
      <c r="Q119" s="447"/>
      <c r="R119" s="447"/>
      <c r="S119" s="447"/>
      <c r="T119" s="447"/>
      <c r="U119" s="67"/>
    </row>
    <row r="120" spans="2:21" x14ac:dyDescent="0.2">
      <c r="B120" s="92"/>
      <c r="C120" s="67"/>
      <c r="D120" s="67"/>
      <c r="E120" s="67"/>
      <c r="F120" s="67"/>
      <c r="G120" s="67"/>
      <c r="H120" s="67"/>
      <c r="I120" s="67"/>
      <c r="J120" s="67"/>
      <c r="K120" s="67"/>
      <c r="L120" s="67"/>
      <c r="M120" s="67"/>
      <c r="N120" s="67"/>
      <c r="O120" s="67"/>
      <c r="P120" s="67"/>
      <c r="Q120" s="67"/>
      <c r="R120" s="67"/>
      <c r="S120" s="67"/>
      <c r="T120" s="67"/>
      <c r="U120" s="67"/>
    </row>
    <row r="121" spans="2:21" x14ac:dyDescent="0.2">
      <c r="B121" s="3" t="s">
        <v>40</v>
      </c>
      <c r="E121" s="26"/>
      <c r="F121" s="431" t="str">
        <f>+F56</f>
        <v>A. Cuellar</v>
      </c>
      <c r="G121" s="431"/>
      <c r="H121" s="431"/>
      <c r="I121" s="431"/>
      <c r="J121" s="431"/>
      <c r="K121" s="117" t="s">
        <v>41</v>
      </c>
      <c r="L121" s="432" t="str">
        <f>L56</f>
        <v>ventas@promcoser.com.pe</v>
      </c>
      <c r="M121" s="433"/>
      <c r="N121" s="433"/>
      <c r="O121" s="433"/>
      <c r="P121" s="433"/>
      <c r="Q121" s="26" t="s">
        <v>42</v>
      </c>
      <c r="R121" s="434">
        <f>+R56</f>
        <v>940512282</v>
      </c>
      <c r="S121" s="434"/>
      <c r="T121" s="434"/>
      <c r="U121" s="435"/>
    </row>
  </sheetData>
  <protectedRanges>
    <protectedRange sqref="C121" name="Rango1_1_1_2_1_1_1_1_1_1_2_1"/>
    <protectedRange sqref="C94" name="Rango1_1_4_2_1_1_2_1"/>
    <protectedRange sqref="C96:C102 C74:C91 C117:C118" name="Rango1_1_11_1_1_1_2_1"/>
    <protectedRange sqref="C67 C69 C119" name="Rango1_1_1_1_1_1_1_2_1"/>
    <protectedRange sqref="C70:C71" name="Rango1_1_1_2_1_1_1_2_1"/>
    <protectedRange sqref="C103:C116" name="Rango1_1_11_1_1_1_2_1_1"/>
  </protectedRanges>
  <mergeCells count="58">
    <mergeCell ref="C17:T19"/>
    <mergeCell ref="C26:N26"/>
    <mergeCell ref="B23:B24"/>
    <mergeCell ref="C23:N24"/>
    <mergeCell ref="R2:U2"/>
    <mergeCell ref="R4:U4"/>
    <mergeCell ref="B7:F7"/>
    <mergeCell ref="T23:U24"/>
    <mergeCell ref="O23:O24"/>
    <mergeCell ref="P23:Q23"/>
    <mergeCell ref="R23:S23"/>
    <mergeCell ref="P24:Q24"/>
    <mergeCell ref="R24:S24"/>
    <mergeCell ref="R25:S25"/>
    <mergeCell ref="T25:U25"/>
    <mergeCell ref="P25:Q25"/>
    <mergeCell ref="T30:U30"/>
    <mergeCell ref="T31:U31"/>
    <mergeCell ref="P29:Q29"/>
    <mergeCell ref="T32:U32"/>
    <mergeCell ref="T33:U33"/>
    <mergeCell ref="R29:S29"/>
    <mergeCell ref="T29:U29"/>
    <mergeCell ref="P30:Q30"/>
    <mergeCell ref="R30:S30"/>
    <mergeCell ref="C119:T119"/>
    <mergeCell ref="B64:F64"/>
    <mergeCell ref="T35:U35"/>
    <mergeCell ref="T36:U36"/>
    <mergeCell ref="T34:U34"/>
    <mergeCell ref="E41:F41"/>
    <mergeCell ref="D86:S86"/>
    <mergeCell ref="D107:S116"/>
    <mergeCell ref="F121:J121"/>
    <mergeCell ref="L121:P121"/>
    <mergeCell ref="R121:U121"/>
    <mergeCell ref="C118:T118"/>
    <mergeCell ref="L56:P56"/>
    <mergeCell ref="R59:U59"/>
    <mergeCell ref="D101:S102"/>
    <mergeCell ref="R56:U56"/>
    <mergeCell ref="E105:S106"/>
    <mergeCell ref="D103:S104"/>
    <mergeCell ref="R61:U61"/>
    <mergeCell ref="C81:T81"/>
    <mergeCell ref="O92:P92"/>
    <mergeCell ref="R92:S92"/>
    <mergeCell ref="F56:J56"/>
    <mergeCell ref="D98:S98"/>
    <mergeCell ref="P28:Q28"/>
    <mergeCell ref="R28:S28"/>
    <mergeCell ref="T28:U28"/>
    <mergeCell ref="T26:U26"/>
    <mergeCell ref="T27:U27"/>
    <mergeCell ref="P26:Q26"/>
    <mergeCell ref="R26:S26"/>
    <mergeCell ref="P27:Q27"/>
    <mergeCell ref="R27:S27"/>
  </mergeCells>
  <hyperlinks>
    <hyperlink ref="L56" r:id="rId1" xr:uid="{D7D4870F-78B3-41BF-955F-9E20D60DA90F}"/>
    <hyperlink ref="L121" r:id="rId2" display="mmachado@promcoser.com.pe" xr:uid="{F5EBC506-08C9-4BB1-9F34-C5EE9D021904}"/>
  </hyperlinks>
  <pageMargins left="0.7" right="0.7" top="0.75" bottom="0.75" header="0.3" footer="0.3"/>
  <pageSetup scale="62" orientation="portrait" r:id="rId3"/>
  <rowBreaks count="1" manualBreakCount="1">
    <brk id="56" max="21" man="1"/>
  </rowBreaks>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03C5C-F073-4BBD-ADA3-96F362460DAE}">
  <dimension ref="A2:O70"/>
  <sheetViews>
    <sheetView view="pageBreakPreview" topLeftCell="C1" zoomScaleNormal="100" zoomScaleSheetLayoutView="100" workbookViewId="0">
      <pane xSplit="1" ySplit="5" topLeftCell="D48" activePane="bottomRight" state="frozen"/>
      <selection activeCell="C1" sqref="C1"/>
      <selection pane="topRight" activeCell="D1" sqref="D1"/>
      <selection pane="bottomLeft" activeCell="C7" sqref="C7"/>
      <selection pane="bottomRight" activeCell="C58" sqref="C58:C59"/>
    </sheetView>
  </sheetViews>
  <sheetFormatPr baseColWidth="10" defaultColWidth="9.28515625" defaultRowHeight="10.199999999999999" x14ac:dyDescent="0.2"/>
  <cols>
    <col min="1" max="2" width="1" customWidth="1"/>
    <col min="3" max="3" width="15.85546875" style="213" customWidth="1"/>
    <col min="4" max="4" width="93.85546875" customWidth="1"/>
    <col min="5" max="5" width="6.85546875" style="213" customWidth="1"/>
    <col min="6" max="6" width="12.42578125" style="213" bestFit="1" customWidth="1"/>
    <col min="7" max="7" width="11.85546875" style="213" customWidth="1"/>
    <col min="8" max="8" width="19.85546875" style="213" customWidth="1"/>
  </cols>
  <sheetData>
    <row r="2" spans="1:11" ht="27" customHeight="1" x14ac:dyDescent="0.2">
      <c r="C2" s="342" t="s">
        <v>133</v>
      </c>
      <c r="D2" s="493" t="str">
        <f>PRESUPUESTO!E12</f>
        <v>PROYECTO: MOV. TIERRAS, FAB. E INSTALACIÓN DE BANCODUCTOS</v>
      </c>
      <c r="E2" s="494"/>
      <c r="F2" s="494"/>
      <c r="G2" s="295"/>
      <c r="H2" s="295"/>
    </row>
    <row r="3" spans="1:11" ht="12" x14ac:dyDescent="0.2">
      <c r="C3" s="342" t="s">
        <v>134</v>
      </c>
      <c r="D3" s="343" t="str">
        <f>PRESUPUESTO!E9</f>
        <v>AESA</v>
      </c>
      <c r="E3" s="344"/>
      <c r="F3" s="344"/>
      <c r="G3" s="295"/>
      <c r="H3" s="295"/>
    </row>
    <row r="4" spans="1:11" ht="10.8" thickBot="1" x14ac:dyDescent="0.25">
      <c r="C4" s="295"/>
      <c r="D4" s="296"/>
      <c r="E4" s="295"/>
      <c r="F4" s="295"/>
      <c r="G4" s="295"/>
      <c r="H4" s="295"/>
    </row>
    <row r="5" spans="1:11" ht="15" customHeight="1" x14ac:dyDescent="0.2">
      <c r="A5" s="1"/>
      <c r="B5" s="1"/>
      <c r="C5" s="310" t="s">
        <v>127</v>
      </c>
      <c r="D5" s="311" t="s">
        <v>63</v>
      </c>
      <c r="E5" s="312" t="s">
        <v>2</v>
      </c>
      <c r="F5" s="313" t="s">
        <v>235</v>
      </c>
      <c r="G5" s="312" t="s">
        <v>376</v>
      </c>
      <c r="H5" s="314" t="s">
        <v>119</v>
      </c>
    </row>
    <row r="6" spans="1:11" s="293" customFormat="1" ht="14.4" x14ac:dyDescent="0.2">
      <c r="A6" s="292"/>
      <c r="B6" s="292"/>
      <c r="C6" s="414">
        <v>1</v>
      </c>
      <c r="D6" s="387" t="s">
        <v>467</v>
      </c>
      <c r="E6" s="388"/>
      <c r="F6" s="389"/>
      <c r="G6" s="389"/>
      <c r="H6" s="390">
        <f>+H7+H8+H9</f>
        <v>16740.41</v>
      </c>
    </row>
    <row r="7" spans="1:11" s="293" customFormat="1" ht="12" x14ac:dyDescent="0.2">
      <c r="A7" s="292"/>
      <c r="B7" s="292"/>
      <c r="C7" s="213">
        <v>1.1000000000000001</v>
      </c>
      <c r="D7" t="s">
        <v>325</v>
      </c>
      <c r="E7" s="213" t="s">
        <v>65</v>
      </c>
      <c r="F7" s="370">
        <v>1.5</v>
      </c>
      <c r="G7" s="370">
        <v>8063.6100000000006</v>
      </c>
      <c r="H7" s="370">
        <v>12095.42</v>
      </c>
    </row>
    <row r="8" spans="1:11" s="293" customFormat="1" ht="12" x14ac:dyDescent="0.2">
      <c r="A8" s="292"/>
      <c r="B8" s="292"/>
      <c r="C8" s="213">
        <v>1.2</v>
      </c>
      <c r="D8" t="s">
        <v>326</v>
      </c>
      <c r="E8" s="213" t="s">
        <v>327</v>
      </c>
      <c r="F8" s="370">
        <v>4</v>
      </c>
      <c r="G8" s="370">
        <v>407.43</v>
      </c>
      <c r="H8" s="370">
        <f>G8*F8</f>
        <v>1629.72</v>
      </c>
      <c r="K8" s="359"/>
    </row>
    <row r="9" spans="1:11" s="293" customFormat="1" ht="12" x14ac:dyDescent="0.2">
      <c r="A9" s="292"/>
      <c r="B9" s="292"/>
      <c r="C9" s="213">
        <v>1.3</v>
      </c>
      <c r="D9" t="s">
        <v>516</v>
      </c>
      <c r="E9" s="213" t="s">
        <v>65</v>
      </c>
      <c r="F9" s="370">
        <v>1.5</v>
      </c>
      <c r="G9" s="370">
        <v>2010.18</v>
      </c>
      <c r="H9" s="370">
        <v>3015.27</v>
      </c>
    </row>
    <row r="10" spans="1:11" s="293" customFormat="1" ht="14.4" x14ac:dyDescent="0.2">
      <c r="A10" s="292"/>
      <c r="B10" s="292"/>
      <c r="C10" s="414">
        <v>2</v>
      </c>
      <c r="D10" s="387" t="s">
        <v>328</v>
      </c>
      <c r="E10" s="388"/>
      <c r="F10" s="389"/>
      <c r="G10" s="389"/>
      <c r="H10" s="390">
        <f>+H11+H20+H29+H32</f>
        <v>33717.730000000003</v>
      </c>
    </row>
    <row r="11" spans="1:11" s="293" customFormat="1" ht="14.4" x14ac:dyDescent="0.2">
      <c r="A11" s="292"/>
      <c r="B11" s="292"/>
      <c r="C11" s="415">
        <v>2.1</v>
      </c>
      <c r="D11" s="391" t="s">
        <v>329</v>
      </c>
      <c r="E11" s="392"/>
      <c r="F11" s="393"/>
      <c r="G11" s="393"/>
      <c r="H11" s="394">
        <v>3490.48</v>
      </c>
    </row>
    <row r="12" spans="1:11" s="293" customFormat="1" ht="12" x14ac:dyDescent="0.2">
      <c r="A12" s="292"/>
      <c r="B12" s="292"/>
      <c r="C12" s="213" t="s">
        <v>330</v>
      </c>
      <c r="D12" s="413" t="s">
        <v>506</v>
      </c>
      <c r="E12" s="213" t="s">
        <v>237</v>
      </c>
      <c r="F12" s="370">
        <v>11.52</v>
      </c>
      <c r="G12" s="370">
        <v>18.260000000000002</v>
      </c>
      <c r="H12" s="370">
        <v>210.36</v>
      </c>
    </row>
    <row r="13" spans="1:11" s="293" customFormat="1" ht="12" x14ac:dyDescent="0.2">
      <c r="A13" s="292"/>
      <c r="B13" s="292"/>
      <c r="C13" s="213" t="s">
        <v>331</v>
      </c>
      <c r="D13" t="s">
        <v>380</v>
      </c>
      <c r="E13" s="213" t="s">
        <v>351</v>
      </c>
      <c r="F13" s="370">
        <v>24</v>
      </c>
      <c r="G13" s="370">
        <v>17.13</v>
      </c>
      <c r="H13" s="370">
        <v>411.12</v>
      </c>
    </row>
    <row r="14" spans="1:11" s="293" customFormat="1" ht="12" x14ac:dyDescent="0.2">
      <c r="A14" s="292"/>
      <c r="B14" s="292"/>
      <c r="C14" s="213" t="s">
        <v>333</v>
      </c>
      <c r="D14" t="s">
        <v>381</v>
      </c>
      <c r="E14" s="213" t="s">
        <v>351</v>
      </c>
      <c r="F14" s="370">
        <v>24</v>
      </c>
      <c r="G14" s="370">
        <v>16.739999999999998</v>
      </c>
      <c r="H14" s="370">
        <v>401.76</v>
      </c>
    </row>
    <row r="15" spans="1:11" s="293" customFormat="1" ht="12" x14ac:dyDescent="0.2">
      <c r="A15" s="292"/>
      <c r="B15" s="292"/>
      <c r="C15" s="213" t="s">
        <v>335</v>
      </c>
      <c r="D15" t="s">
        <v>332</v>
      </c>
      <c r="E15" s="213" t="s">
        <v>55</v>
      </c>
      <c r="F15" s="370">
        <v>24</v>
      </c>
      <c r="G15" s="370">
        <v>51.47</v>
      </c>
      <c r="H15" s="370">
        <v>1235.28</v>
      </c>
    </row>
    <row r="16" spans="1:11" s="293" customFormat="1" ht="12" x14ac:dyDescent="0.2">
      <c r="A16" s="292"/>
      <c r="B16" s="292"/>
      <c r="C16" s="213" t="s">
        <v>422</v>
      </c>
      <c r="D16" t="s">
        <v>334</v>
      </c>
      <c r="E16" s="213" t="s">
        <v>55</v>
      </c>
      <c r="F16" s="370">
        <v>24</v>
      </c>
      <c r="G16" s="370">
        <v>11.41</v>
      </c>
      <c r="H16" s="370">
        <v>273.83999999999997</v>
      </c>
    </row>
    <row r="17" spans="1:15" s="293" customFormat="1" ht="12" x14ac:dyDescent="0.2">
      <c r="A17" s="292"/>
      <c r="B17" s="292"/>
      <c r="C17" s="213" t="s">
        <v>423</v>
      </c>
      <c r="D17" t="s">
        <v>382</v>
      </c>
      <c r="E17" s="213" t="s">
        <v>237</v>
      </c>
      <c r="F17" s="370">
        <v>5.76</v>
      </c>
      <c r="G17" s="370">
        <v>48.24</v>
      </c>
      <c r="H17" s="370">
        <v>277.86</v>
      </c>
    </row>
    <row r="18" spans="1:15" s="293" customFormat="1" ht="12" x14ac:dyDescent="0.2">
      <c r="A18" s="292"/>
      <c r="B18" s="292"/>
      <c r="C18" s="213" t="s">
        <v>424</v>
      </c>
      <c r="D18" t="s">
        <v>383</v>
      </c>
      <c r="E18" s="213" t="s">
        <v>237</v>
      </c>
      <c r="F18" s="370">
        <v>11.52</v>
      </c>
      <c r="G18" s="370">
        <v>43.669999999999987</v>
      </c>
      <c r="H18" s="370">
        <v>503.08</v>
      </c>
    </row>
    <row r="19" spans="1:15" s="293" customFormat="1" ht="12" x14ac:dyDescent="0.2">
      <c r="A19" s="292"/>
      <c r="B19" s="292"/>
      <c r="C19" s="213" t="s">
        <v>425</v>
      </c>
      <c r="D19" t="s">
        <v>384</v>
      </c>
      <c r="E19" s="213" t="s">
        <v>237</v>
      </c>
      <c r="F19" s="370">
        <v>11.52</v>
      </c>
      <c r="G19" s="370">
        <v>15.38</v>
      </c>
      <c r="H19" s="370">
        <v>177.18</v>
      </c>
    </row>
    <row r="20" spans="1:15" s="293" customFormat="1" ht="14.4" x14ac:dyDescent="0.2">
      <c r="A20" s="292"/>
      <c r="B20" s="292"/>
      <c r="C20" s="415">
        <v>2.2000000000000002</v>
      </c>
      <c r="D20" s="391" t="s">
        <v>336</v>
      </c>
      <c r="E20" s="392"/>
      <c r="F20" s="393"/>
      <c r="G20" s="393"/>
      <c r="H20" s="394">
        <v>23269.83</v>
      </c>
    </row>
    <row r="21" spans="1:15" s="293" customFormat="1" ht="12" x14ac:dyDescent="0.2">
      <c r="A21" s="292"/>
      <c r="B21" s="292"/>
      <c r="C21" s="213" t="s">
        <v>337</v>
      </c>
      <c r="D21" s="413" t="s">
        <v>507</v>
      </c>
      <c r="E21" s="213" t="s">
        <v>237</v>
      </c>
      <c r="F21" s="370">
        <v>76.8</v>
      </c>
      <c r="G21" s="370">
        <v>18.260000000000002</v>
      </c>
      <c r="H21" s="370">
        <v>1402.37</v>
      </c>
    </row>
    <row r="22" spans="1:15" s="293" customFormat="1" ht="12" x14ac:dyDescent="0.2">
      <c r="A22" s="292"/>
      <c r="B22" s="292"/>
      <c r="C22" s="213" t="s">
        <v>338</v>
      </c>
      <c r="D22" t="s">
        <v>380</v>
      </c>
      <c r="E22" s="213" t="s">
        <v>351</v>
      </c>
      <c r="F22" s="370">
        <v>160</v>
      </c>
      <c r="G22" s="370">
        <v>17.13</v>
      </c>
      <c r="H22" s="370">
        <v>2740.8</v>
      </c>
    </row>
    <row r="23" spans="1:15" s="293" customFormat="1" ht="12" x14ac:dyDescent="0.2">
      <c r="A23" s="292"/>
      <c r="B23" s="292"/>
      <c r="C23" s="213" t="s">
        <v>339</v>
      </c>
      <c r="D23" t="s">
        <v>381</v>
      </c>
      <c r="E23" s="213" t="s">
        <v>351</v>
      </c>
      <c r="F23" s="370">
        <v>160</v>
      </c>
      <c r="G23" s="370">
        <v>16.739999999999998</v>
      </c>
      <c r="H23" s="370">
        <v>2678.4</v>
      </c>
    </row>
    <row r="24" spans="1:15" s="293" customFormat="1" ht="12" x14ac:dyDescent="0.2">
      <c r="A24" s="292"/>
      <c r="B24" s="292"/>
      <c r="C24" s="213" t="s">
        <v>340</v>
      </c>
      <c r="D24" t="s">
        <v>332</v>
      </c>
      <c r="E24" s="213" t="s">
        <v>55</v>
      </c>
      <c r="F24" s="370">
        <v>160</v>
      </c>
      <c r="G24" s="370">
        <v>51.47</v>
      </c>
      <c r="H24" s="370">
        <v>8235.2000000000007</v>
      </c>
      <c r="O24" s="359"/>
    </row>
    <row r="25" spans="1:15" s="293" customFormat="1" ht="12" x14ac:dyDescent="0.2">
      <c r="A25" s="292"/>
      <c r="B25" s="292"/>
      <c r="C25" s="213" t="s">
        <v>426</v>
      </c>
      <c r="D25" t="s">
        <v>334</v>
      </c>
      <c r="E25" s="213" t="s">
        <v>55</v>
      </c>
      <c r="F25" s="370">
        <v>160</v>
      </c>
      <c r="G25" s="370">
        <v>11.41</v>
      </c>
      <c r="H25" s="370">
        <v>1825.6</v>
      </c>
    </row>
    <row r="26" spans="1:15" s="293" customFormat="1" ht="12" x14ac:dyDescent="0.2">
      <c r="A26" s="292"/>
      <c r="B26" s="292"/>
      <c r="C26" s="213" t="s">
        <v>427</v>
      </c>
      <c r="D26" t="s">
        <v>382</v>
      </c>
      <c r="E26" s="213" t="s">
        <v>237</v>
      </c>
      <c r="F26" s="370">
        <v>38.4</v>
      </c>
      <c r="G26" s="370">
        <v>48.24</v>
      </c>
      <c r="H26" s="370">
        <v>1852.42</v>
      </c>
    </row>
    <row r="27" spans="1:15" s="293" customFormat="1" ht="12" x14ac:dyDescent="0.2">
      <c r="A27" s="292"/>
      <c r="B27" s="292"/>
      <c r="C27" s="213" t="s">
        <v>428</v>
      </c>
      <c r="D27" t="s">
        <v>383</v>
      </c>
      <c r="E27" s="213" t="s">
        <v>237</v>
      </c>
      <c r="F27" s="370">
        <v>76.8</v>
      </c>
      <c r="G27" s="370">
        <v>43.669999999999987</v>
      </c>
      <c r="H27" s="370">
        <v>3353.86</v>
      </c>
    </row>
    <row r="28" spans="1:15" s="293" customFormat="1" ht="12" x14ac:dyDescent="0.2">
      <c r="A28" s="292"/>
      <c r="B28" s="292"/>
      <c r="C28" s="213" t="s">
        <v>429</v>
      </c>
      <c r="D28" t="s">
        <v>384</v>
      </c>
      <c r="E28" s="213" t="s">
        <v>237</v>
      </c>
      <c r="F28" s="370">
        <v>76.8</v>
      </c>
      <c r="G28" s="370">
        <v>15.38</v>
      </c>
      <c r="H28" s="370">
        <v>1181.18</v>
      </c>
    </row>
    <row r="29" spans="1:15" s="293" customFormat="1" ht="14.4" x14ac:dyDescent="0.2">
      <c r="A29" s="292"/>
      <c r="B29" s="292"/>
      <c r="C29" s="415">
        <v>2.2999999999999998</v>
      </c>
      <c r="D29" s="391" t="s">
        <v>341</v>
      </c>
      <c r="E29" s="392"/>
      <c r="F29" s="393"/>
      <c r="G29" s="393"/>
      <c r="H29" s="394">
        <v>2602.48</v>
      </c>
    </row>
    <row r="30" spans="1:15" s="293" customFormat="1" ht="12" x14ac:dyDescent="0.2">
      <c r="A30" s="292"/>
      <c r="B30" s="292"/>
      <c r="C30" s="213" t="s">
        <v>342</v>
      </c>
      <c r="D30" t="s">
        <v>343</v>
      </c>
      <c r="E30" s="213" t="s">
        <v>55</v>
      </c>
      <c r="F30" s="370">
        <v>8</v>
      </c>
      <c r="G30" s="370">
        <v>269.83</v>
      </c>
      <c r="H30" s="370">
        <v>2158.64</v>
      </c>
    </row>
    <row r="31" spans="1:15" s="293" customFormat="1" ht="12" x14ac:dyDescent="0.2">
      <c r="A31" s="292"/>
      <c r="B31" s="292"/>
      <c r="C31" s="213" t="s">
        <v>344</v>
      </c>
      <c r="D31" t="s">
        <v>345</v>
      </c>
      <c r="E31" s="213" t="s">
        <v>55</v>
      </c>
      <c r="F31" s="370">
        <v>8</v>
      </c>
      <c r="G31" s="370">
        <v>55.48</v>
      </c>
      <c r="H31" s="370">
        <v>443.84</v>
      </c>
    </row>
    <row r="32" spans="1:15" s="293" customFormat="1" ht="14.4" x14ac:dyDescent="0.2">
      <c r="A32" s="292"/>
      <c r="B32" s="292"/>
      <c r="C32" s="415">
        <v>2.4</v>
      </c>
      <c r="D32" s="391" t="s">
        <v>346</v>
      </c>
      <c r="E32" s="392"/>
      <c r="F32" s="393"/>
      <c r="G32" s="393"/>
      <c r="H32" s="394">
        <v>4354.9399999999996</v>
      </c>
    </row>
    <row r="33" spans="1:8" s="293" customFormat="1" ht="12" x14ac:dyDescent="0.2">
      <c r="A33" s="292"/>
      <c r="B33" s="292"/>
      <c r="C33" s="213" t="s">
        <v>347</v>
      </c>
      <c r="D33" t="s">
        <v>348</v>
      </c>
      <c r="E33" s="213" t="s">
        <v>107</v>
      </c>
      <c r="F33" s="370">
        <v>1</v>
      </c>
      <c r="G33" s="370">
        <v>2658.7400000000011</v>
      </c>
      <c r="H33" s="370">
        <v>2658.74</v>
      </c>
    </row>
    <row r="34" spans="1:8" s="293" customFormat="1" ht="12" x14ac:dyDescent="0.2">
      <c r="A34" s="292"/>
      <c r="B34" s="292"/>
      <c r="C34" s="213" t="s">
        <v>349</v>
      </c>
      <c r="D34" t="s">
        <v>350</v>
      </c>
      <c r="E34" s="213" t="s">
        <v>351</v>
      </c>
      <c r="F34" s="370">
        <v>165</v>
      </c>
      <c r="G34" s="370">
        <v>10.28</v>
      </c>
      <c r="H34" s="370">
        <v>1696.2</v>
      </c>
    </row>
    <row r="35" spans="1:8" s="293" customFormat="1" ht="14.4" x14ac:dyDescent="0.2">
      <c r="A35" s="292"/>
      <c r="B35" s="292"/>
      <c r="C35" s="414">
        <v>3</v>
      </c>
      <c r="D35" s="387" t="s">
        <v>352</v>
      </c>
      <c r="E35" s="388"/>
      <c r="F35" s="389"/>
      <c r="G35" s="389"/>
      <c r="H35" s="390">
        <f>+H36+H45+H54+H57</f>
        <v>38703.020000000004</v>
      </c>
    </row>
    <row r="36" spans="1:8" s="293" customFormat="1" ht="14.4" x14ac:dyDescent="0.2">
      <c r="A36" s="292"/>
      <c r="B36" s="292"/>
      <c r="C36" s="415">
        <v>3.1</v>
      </c>
      <c r="D36" s="391" t="s">
        <v>329</v>
      </c>
      <c r="E36" s="392"/>
      <c r="F36" s="393"/>
      <c r="G36" s="393"/>
      <c r="H36" s="394">
        <v>3782.59</v>
      </c>
    </row>
    <row r="37" spans="1:8" s="293" customFormat="1" ht="12" x14ac:dyDescent="0.2">
      <c r="A37" s="292"/>
      <c r="B37" s="292"/>
      <c r="C37" s="213" t="s">
        <v>353</v>
      </c>
      <c r="D37" s="413" t="s">
        <v>508</v>
      </c>
      <c r="E37" s="213" t="s">
        <v>237</v>
      </c>
      <c r="F37" s="370">
        <v>14.4</v>
      </c>
      <c r="G37" s="370">
        <v>18.260000000000002</v>
      </c>
      <c r="H37" s="370">
        <v>262.94</v>
      </c>
    </row>
    <row r="38" spans="1:8" s="293" customFormat="1" ht="12" x14ac:dyDescent="0.2">
      <c r="A38" s="292"/>
      <c r="B38" s="292"/>
      <c r="C38" s="213" t="s">
        <v>354</v>
      </c>
      <c r="D38" t="s">
        <v>380</v>
      </c>
      <c r="E38" s="213" t="s">
        <v>351</v>
      </c>
      <c r="F38" s="370">
        <v>24</v>
      </c>
      <c r="G38" s="370">
        <v>17.13</v>
      </c>
      <c r="H38" s="370">
        <v>411.12</v>
      </c>
    </row>
    <row r="39" spans="1:8" s="293" customFormat="1" ht="12" x14ac:dyDescent="0.2">
      <c r="A39" s="292"/>
      <c r="B39" s="292"/>
      <c r="C39" s="213" t="s">
        <v>355</v>
      </c>
      <c r="D39" t="s">
        <v>381</v>
      </c>
      <c r="E39" s="213" t="s">
        <v>351</v>
      </c>
      <c r="F39" s="370">
        <v>24</v>
      </c>
      <c r="G39" s="370">
        <v>16.739999999999998</v>
      </c>
      <c r="H39" s="370">
        <v>401.76</v>
      </c>
    </row>
    <row r="40" spans="1:8" s="293" customFormat="1" ht="12" x14ac:dyDescent="0.2">
      <c r="A40" s="292"/>
      <c r="B40" s="292"/>
      <c r="C40" s="213" t="s">
        <v>356</v>
      </c>
      <c r="D40" t="s">
        <v>332</v>
      </c>
      <c r="E40" s="213" t="s">
        <v>55</v>
      </c>
      <c r="F40" s="370">
        <v>24</v>
      </c>
      <c r="G40" s="370">
        <v>51.47</v>
      </c>
      <c r="H40" s="370">
        <v>1235.28</v>
      </c>
    </row>
    <row r="41" spans="1:8" s="293" customFormat="1" ht="12" x14ac:dyDescent="0.2">
      <c r="A41" s="292"/>
      <c r="B41" s="292"/>
      <c r="C41" s="213" t="s">
        <v>430</v>
      </c>
      <c r="D41" t="s">
        <v>334</v>
      </c>
      <c r="E41" s="213" t="s">
        <v>55</v>
      </c>
      <c r="F41" s="370">
        <v>24</v>
      </c>
      <c r="G41" s="370">
        <v>11.41</v>
      </c>
      <c r="H41" s="370">
        <v>273.83999999999997</v>
      </c>
    </row>
    <row r="42" spans="1:8" s="293" customFormat="1" ht="12" x14ac:dyDescent="0.2">
      <c r="A42" s="292"/>
      <c r="B42" s="292"/>
      <c r="C42" s="213" t="s">
        <v>431</v>
      </c>
      <c r="D42" t="s">
        <v>382</v>
      </c>
      <c r="E42" s="213" t="s">
        <v>237</v>
      </c>
      <c r="F42" s="370">
        <v>7.2</v>
      </c>
      <c r="G42" s="370">
        <v>48.24</v>
      </c>
      <c r="H42" s="370">
        <v>347.33</v>
      </c>
    </row>
    <row r="43" spans="1:8" s="293" customFormat="1" ht="12" x14ac:dyDescent="0.2">
      <c r="A43" s="292"/>
      <c r="B43" s="292"/>
      <c r="C43" s="213" t="s">
        <v>432</v>
      </c>
      <c r="D43" t="s">
        <v>383</v>
      </c>
      <c r="E43" s="213" t="s">
        <v>237</v>
      </c>
      <c r="F43" s="370">
        <v>14.4</v>
      </c>
      <c r="G43" s="370">
        <v>43.669999999999987</v>
      </c>
      <c r="H43" s="370">
        <v>628.85</v>
      </c>
    </row>
    <row r="44" spans="1:8" s="293" customFormat="1" ht="12" x14ac:dyDescent="0.2">
      <c r="A44" s="292"/>
      <c r="B44" s="292"/>
      <c r="C44" s="213" t="s">
        <v>433</v>
      </c>
      <c r="D44" t="s">
        <v>384</v>
      </c>
      <c r="E44" s="213" t="s">
        <v>237</v>
      </c>
      <c r="F44" s="370">
        <v>14.4</v>
      </c>
      <c r="G44" s="370">
        <v>15.38</v>
      </c>
      <c r="H44" s="370">
        <v>221.47</v>
      </c>
    </row>
    <row r="45" spans="1:8" s="293" customFormat="1" ht="14.4" x14ac:dyDescent="0.2">
      <c r="A45" s="292"/>
      <c r="B45" s="292"/>
      <c r="C45" s="415">
        <v>3.2</v>
      </c>
      <c r="D45" s="391" t="s">
        <v>336</v>
      </c>
      <c r="E45" s="392"/>
      <c r="F45" s="393"/>
      <c r="G45" s="393"/>
      <c r="H45" s="394">
        <v>27923.79</v>
      </c>
    </row>
    <row r="46" spans="1:8" s="293" customFormat="1" ht="12" x14ac:dyDescent="0.2">
      <c r="A46" s="292"/>
      <c r="B46" s="292"/>
      <c r="C46" s="213" t="s">
        <v>357</v>
      </c>
      <c r="D46" s="413" t="s">
        <v>507</v>
      </c>
      <c r="E46" s="213" t="s">
        <v>237</v>
      </c>
      <c r="F46" s="370">
        <v>92.16</v>
      </c>
      <c r="G46" s="370">
        <v>18.260000000000002</v>
      </c>
      <c r="H46" s="370">
        <v>1682.84</v>
      </c>
    </row>
    <row r="47" spans="1:8" s="293" customFormat="1" ht="12" x14ac:dyDescent="0.2">
      <c r="A47" s="292"/>
      <c r="B47" s="292"/>
      <c r="C47" s="213" t="s">
        <v>358</v>
      </c>
      <c r="D47" t="s">
        <v>380</v>
      </c>
      <c r="E47" s="213" t="s">
        <v>351</v>
      </c>
      <c r="F47" s="370">
        <v>192</v>
      </c>
      <c r="G47" s="370">
        <v>17.13</v>
      </c>
      <c r="H47" s="370">
        <v>3288.96</v>
      </c>
    </row>
    <row r="48" spans="1:8" s="293" customFormat="1" ht="12" x14ac:dyDescent="0.2">
      <c r="A48" s="292"/>
      <c r="B48" s="292"/>
      <c r="C48" s="213" t="s">
        <v>359</v>
      </c>
      <c r="D48" t="s">
        <v>381</v>
      </c>
      <c r="E48" s="213" t="s">
        <v>351</v>
      </c>
      <c r="F48" s="370">
        <v>192</v>
      </c>
      <c r="G48" s="370">
        <v>16.739999999999998</v>
      </c>
      <c r="H48" s="370">
        <v>3214.08</v>
      </c>
    </row>
    <row r="49" spans="1:11" s="293" customFormat="1" ht="12" x14ac:dyDescent="0.2">
      <c r="A49" s="292"/>
      <c r="B49" s="292"/>
      <c r="C49" s="213" t="s">
        <v>360</v>
      </c>
      <c r="D49" t="s">
        <v>332</v>
      </c>
      <c r="E49" s="213" t="s">
        <v>55</v>
      </c>
      <c r="F49" s="370">
        <v>192</v>
      </c>
      <c r="G49" s="370">
        <v>51.47</v>
      </c>
      <c r="H49" s="370">
        <v>9882.24</v>
      </c>
      <c r="K49" s="359"/>
    </row>
    <row r="50" spans="1:11" s="293" customFormat="1" ht="12" x14ac:dyDescent="0.2">
      <c r="A50" s="292"/>
      <c r="B50" s="292"/>
      <c r="C50" s="213" t="s">
        <v>434</v>
      </c>
      <c r="D50" t="s">
        <v>334</v>
      </c>
      <c r="E50" s="213" t="s">
        <v>55</v>
      </c>
      <c r="F50" s="370">
        <v>192</v>
      </c>
      <c r="G50" s="370">
        <v>11.41</v>
      </c>
      <c r="H50" s="370">
        <v>2190.7199999999998</v>
      </c>
    </row>
    <row r="51" spans="1:11" s="293" customFormat="1" ht="12" x14ac:dyDescent="0.2">
      <c r="A51" s="292"/>
      <c r="B51" s="292"/>
      <c r="C51" s="213" t="s">
        <v>435</v>
      </c>
      <c r="D51" t="s">
        <v>382</v>
      </c>
      <c r="E51" s="213" t="s">
        <v>237</v>
      </c>
      <c r="F51" s="370">
        <v>46.08</v>
      </c>
      <c r="G51" s="370">
        <v>48.24</v>
      </c>
      <c r="H51" s="370">
        <v>2222.9</v>
      </c>
    </row>
    <row r="52" spans="1:11" s="293" customFormat="1" ht="12" x14ac:dyDescent="0.2">
      <c r="A52" s="292"/>
      <c r="B52" s="292"/>
      <c r="C52" s="213" t="s">
        <v>436</v>
      </c>
      <c r="D52" t="s">
        <v>383</v>
      </c>
      <c r="E52" s="213" t="s">
        <v>237</v>
      </c>
      <c r="F52" s="370">
        <v>92.16</v>
      </c>
      <c r="G52" s="370">
        <v>43.669999999999987</v>
      </c>
      <c r="H52" s="370">
        <v>4024.63</v>
      </c>
    </row>
    <row r="53" spans="1:11" s="293" customFormat="1" ht="12" x14ac:dyDescent="0.2">
      <c r="A53" s="292"/>
      <c r="B53" s="292"/>
      <c r="C53" s="213" t="s">
        <v>437</v>
      </c>
      <c r="D53" t="s">
        <v>384</v>
      </c>
      <c r="E53" s="213" t="s">
        <v>237</v>
      </c>
      <c r="F53" s="370">
        <v>92.16</v>
      </c>
      <c r="G53" s="370">
        <v>15.38</v>
      </c>
      <c r="H53" s="370">
        <v>1417.42</v>
      </c>
    </row>
    <row r="54" spans="1:11" ht="14.4" x14ac:dyDescent="0.2">
      <c r="C54" s="415">
        <v>3.3</v>
      </c>
      <c r="D54" s="391" t="s">
        <v>341</v>
      </c>
      <c r="E54" s="392"/>
      <c r="F54" s="393"/>
      <c r="G54" s="393"/>
      <c r="H54" s="394">
        <v>2624.8</v>
      </c>
    </row>
    <row r="55" spans="1:11" x14ac:dyDescent="0.2">
      <c r="C55" s="213" t="s">
        <v>361</v>
      </c>
      <c r="D55" t="s">
        <v>343</v>
      </c>
      <c r="E55" s="213" t="s">
        <v>55</v>
      </c>
      <c r="F55" s="370">
        <v>8</v>
      </c>
      <c r="G55" s="370">
        <v>272.62</v>
      </c>
      <c r="H55" s="370">
        <v>2180.96</v>
      </c>
    </row>
    <row r="56" spans="1:11" x14ac:dyDescent="0.2">
      <c r="C56" s="213" t="s">
        <v>362</v>
      </c>
      <c r="D56" t="s">
        <v>345</v>
      </c>
      <c r="E56" s="213" t="s">
        <v>55</v>
      </c>
      <c r="F56" s="370">
        <v>8</v>
      </c>
      <c r="G56" s="370">
        <v>55.48</v>
      </c>
      <c r="H56" s="370">
        <v>443.84</v>
      </c>
    </row>
    <row r="57" spans="1:11" ht="14.4" x14ac:dyDescent="0.2">
      <c r="C57" s="415">
        <v>3.4</v>
      </c>
      <c r="D57" s="391" t="s">
        <v>385</v>
      </c>
      <c r="E57" s="392"/>
      <c r="F57" s="393"/>
      <c r="G57" s="393"/>
      <c r="H57" s="394">
        <f>+H58+H59</f>
        <v>4371.84</v>
      </c>
    </row>
    <row r="58" spans="1:11" x14ac:dyDescent="0.2">
      <c r="C58" s="213" t="s">
        <v>527</v>
      </c>
      <c r="D58" t="s">
        <v>386</v>
      </c>
      <c r="E58" s="213" t="s">
        <v>107</v>
      </c>
      <c r="F58" s="370">
        <v>1</v>
      </c>
      <c r="G58" s="370">
        <v>2624.24</v>
      </c>
      <c r="H58" s="370">
        <v>2624.24</v>
      </c>
    </row>
    <row r="59" spans="1:11" x14ac:dyDescent="0.2">
      <c r="C59" s="213" t="s">
        <v>528</v>
      </c>
      <c r="D59" t="s">
        <v>387</v>
      </c>
      <c r="E59" s="213" t="s">
        <v>351</v>
      </c>
      <c r="F59" s="370">
        <v>170</v>
      </c>
      <c r="G59" s="370">
        <v>10.28</v>
      </c>
      <c r="H59" s="370">
        <f>G59*F59</f>
        <v>1747.6</v>
      </c>
    </row>
    <row r="60" spans="1:11" ht="14.4" x14ac:dyDescent="0.2">
      <c r="C60" s="414">
        <v>4</v>
      </c>
      <c r="D60" s="387" t="s">
        <v>388</v>
      </c>
      <c r="E60" s="388"/>
      <c r="F60" s="389"/>
      <c r="G60" s="389"/>
      <c r="H60" s="390">
        <v>3167.1</v>
      </c>
    </row>
    <row r="61" spans="1:11" x14ac:dyDescent="0.2">
      <c r="C61" s="213">
        <v>4.0999999999999996</v>
      </c>
      <c r="D61" t="s">
        <v>389</v>
      </c>
      <c r="E61" s="213" t="s">
        <v>351</v>
      </c>
      <c r="F61" s="370">
        <v>765</v>
      </c>
      <c r="G61" s="370">
        <v>4.1400000000000006</v>
      </c>
      <c r="H61" s="370">
        <v>3167.1</v>
      </c>
    </row>
    <row r="62" spans="1:11" ht="14.4" x14ac:dyDescent="0.2">
      <c r="C62" s="414">
        <v>5</v>
      </c>
      <c r="D62" s="387" t="s">
        <v>390</v>
      </c>
      <c r="E62" s="388"/>
      <c r="F62" s="389"/>
      <c r="G62" s="389"/>
      <c r="H62" s="390">
        <v>7277.92</v>
      </c>
    </row>
    <row r="63" spans="1:11" x14ac:dyDescent="0.2">
      <c r="C63" s="213">
        <v>5.0999999999999996</v>
      </c>
      <c r="D63" t="s">
        <v>391</v>
      </c>
      <c r="E63" s="213" t="s">
        <v>327</v>
      </c>
      <c r="F63" s="370">
        <v>8</v>
      </c>
      <c r="G63" s="370">
        <v>909.74</v>
      </c>
      <c r="H63" s="370">
        <v>7277.92</v>
      </c>
    </row>
    <row r="64" spans="1:11" ht="14.4" x14ac:dyDescent="0.2">
      <c r="C64" s="414">
        <v>6</v>
      </c>
      <c r="D64" s="387" t="s">
        <v>448</v>
      </c>
      <c r="E64" s="388"/>
      <c r="F64" s="389"/>
      <c r="G64" s="389"/>
      <c r="H64" s="390">
        <v>14508</v>
      </c>
    </row>
    <row r="65" spans="3:8" x14ac:dyDescent="0.2">
      <c r="C65" s="213">
        <v>6.1</v>
      </c>
      <c r="D65" t="s">
        <v>495</v>
      </c>
      <c r="E65" s="213" t="s">
        <v>444</v>
      </c>
      <c r="F65" s="370">
        <v>45</v>
      </c>
      <c r="G65" s="370">
        <v>322.39999999999998</v>
      </c>
      <c r="H65" s="370">
        <v>14508</v>
      </c>
    </row>
    <row r="66" spans="3:8" ht="14.4" x14ac:dyDescent="0.2">
      <c r="C66" s="414">
        <v>7</v>
      </c>
      <c r="D66" s="387" t="s">
        <v>443</v>
      </c>
      <c r="E66" s="388"/>
      <c r="F66" s="389"/>
      <c r="G66" s="389"/>
      <c r="H66" s="390">
        <v>414</v>
      </c>
    </row>
    <row r="67" spans="3:8" x14ac:dyDescent="0.2">
      <c r="C67" s="213">
        <v>7.1</v>
      </c>
      <c r="D67" t="s">
        <v>468</v>
      </c>
      <c r="E67" s="213" t="s">
        <v>55</v>
      </c>
      <c r="F67" s="370">
        <v>45</v>
      </c>
      <c r="G67" s="370">
        <v>9.1999999999999993</v>
      </c>
      <c r="H67" s="370">
        <v>414</v>
      </c>
    </row>
    <row r="68" spans="3:8" ht="14.4" x14ac:dyDescent="0.2">
      <c r="C68" s="414">
        <v>8</v>
      </c>
      <c r="D68" s="387" t="s">
        <v>496</v>
      </c>
      <c r="E68" s="388"/>
      <c r="F68" s="389"/>
      <c r="G68" s="389"/>
      <c r="H68" s="390">
        <v>9279.7800000000007</v>
      </c>
    </row>
    <row r="69" spans="3:8" x14ac:dyDescent="0.2">
      <c r="C69" s="213">
        <v>8.1</v>
      </c>
      <c r="D69" t="s">
        <v>497</v>
      </c>
      <c r="E69" s="213" t="s">
        <v>65</v>
      </c>
      <c r="F69" s="370">
        <v>1.5</v>
      </c>
      <c r="G69" s="370">
        <v>6186.52</v>
      </c>
      <c r="H69" s="370">
        <v>9279.7800000000007</v>
      </c>
    </row>
    <row r="70" spans="3:8" ht="10.8" thickBot="1" x14ac:dyDescent="0.25">
      <c r="D70" s="495" t="s">
        <v>363</v>
      </c>
      <c r="E70" s="496"/>
      <c r="F70" s="496"/>
      <c r="G70" s="497"/>
      <c r="H70" s="354">
        <f>+H68+H66+H64+H62+H60+H35+H10+H6</f>
        <v>123807.96000000002</v>
      </c>
    </row>
  </sheetData>
  <mergeCells count="2">
    <mergeCell ref="D2:F2"/>
    <mergeCell ref="D70:G70"/>
  </mergeCells>
  <phoneticPr fontId="0" type="noConversion"/>
  <pageMargins left="0.74803149606299213" right="0.74803149606299213" top="0.98425196850393704" bottom="0.98425196850393704" header="0.51181102362204722" footer="0.51181102362204722"/>
  <pageSetup paperSize="9" scale="61"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9A14B-610F-4FCE-8991-5A91F7A96C43}">
  <sheetPr codeName="Hoja1"/>
  <dimension ref="A1:AH768"/>
  <sheetViews>
    <sheetView tabSelected="1" view="pageBreakPreview" topLeftCell="A658" zoomScale="115" zoomScaleNormal="115" zoomScaleSheetLayoutView="115" workbookViewId="0">
      <selection activeCell="A684" sqref="A684"/>
    </sheetView>
  </sheetViews>
  <sheetFormatPr baseColWidth="10" defaultColWidth="11.42578125" defaultRowHeight="12.6" x14ac:dyDescent="0.25"/>
  <cols>
    <col min="1" max="1" width="61.28515625" style="286" customWidth="1"/>
    <col min="2" max="16384" width="11.42578125" style="286"/>
  </cols>
  <sheetData>
    <row r="1" spans="1:34" ht="14.4" x14ac:dyDescent="0.3">
      <c r="A1" s="498" t="s">
        <v>240</v>
      </c>
      <c r="B1" s="499"/>
      <c r="C1" s="499"/>
      <c r="D1" s="499"/>
      <c r="E1" s="499"/>
      <c r="F1" s="499"/>
    </row>
    <row r="2" spans="1:34" ht="14.4" x14ac:dyDescent="0.3">
      <c r="A2" s="395" t="s">
        <v>264</v>
      </c>
      <c r="B2" s="395"/>
      <c r="C2" s="395"/>
      <c r="D2" s="395"/>
      <c r="E2" s="395"/>
      <c r="F2" s="395"/>
      <c r="AF2" s="291"/>
      <c r="AG2" s="291"/>
      <c r="AH2" s="291"/>
    </row>
    <row r="3" spans="1:34" ht="14.4" x14ac:dyDescent="0.3">
      <c r="A3" s="395" t="s">
        <v>265</v>
      </c>
      <c r="B3" s="395"/>
      <c r="C3" s="395"/>
      <c r="D3" s="395"/>
      <c r="E3" s="395"/>
      <c r="F3" s="395"/>
      <c r="AH3" s="288"/>
    </row>
    <row r="4" spans="1:34" ht="14.4" x14ac:dyDescent="0.3">
      <c r="A4" s="395" t="s">
        <v>266</v>
      </c>
      <c r="B4" s="395"/>
      <c r="C4" s="395"/>
      <c r="D4" s="395"/>
      <c r="E4" s="395"/>
      <c r="F4" s="395"/>
    </row>
    <row r="5" spans="1:34" ht="14.4" x14ac:dyDescent="0.3">
      <c r="A5" s="395" t="s">
        <v>498</v>
      </c>
      <c r="B5" s="395"/>
      <c r="C5" s="395"/>
      <c r="D5" s="395"/>
      <c r="E5" s="395"/>
      <c r="F5" s="395"/>
      <c r="AF5" s="290"/>
      <c r="AG5" s="289"/>
      <c r="AH5" s="289"/>
    </row>
    <row r="6" spans="1:34" ht="14.4" x14ac:dyDescent="0.3">
      <c r="A6" s="395" t="s">
        <v>267</v>
      </c>
      <c r="B6" s="395"/>
      <c r="C6" s="395"/>
      <c r="D6" s="395"/>
      <c r="E6" s="395"/>
      <c r="F6" s="395"/>
    </row>
    <row r="7" spans="1:34" ht="14.4" x14ac:dyDescent="0.3">
      <c r="A7" s="395"/>
      <c r="B7" s="395"/>
      <c r="C7" s="395"/>
      <c r="D7" s="395"/>
      <c r="E7" s="395"/>
      <c r="F7" s="395"/>
    </row>
    <row r="8" spans="1:34" ht="14.4" x14ac:dyDescent="0.3">
      <c r="A8" s="396" t="s">
        <v>268</v>
      </c>
      <c r="B8" s="396"/>
      <c r="C8" s="396"/>
      <c r="D8" s="396"/>
      <c r="E8" s="396"/>
      <c r="F8" s="396"/>
    </row>
    <row r="9" spans="1:34" ht="14.4" x14ac:dyDescent="0.25">
      <c r="A9" s="397" t="s">
        <v>269</v>
      </c>
      <c r="B9" s="398"/>
      <c r="C9" s="399" t="s">
        <v>270</v>
      </c>
      <c r="D9" s="400"/>
      <c r="E9" s="401" t="s">
        <v>243</v>
      </c>
      <c r="F9" s="401">
        <v>8063.6100000000006</v>
      </c>
    </row>
    <row r="10" spans="1:34" ht="14.4" x14ac:dyDescent="0.25">
      <c r="A10" s="398" t="s">
        <v>244</v>
      </c>
      <c r="B10" s="398" t="s">
        <v>52</v>
      </c>
      <c r="C10" s="402" t="s">
        <v>53</v>
      </c>
      <c r="D10" s="402" t="s">
        <v>17</v>
      </c>
      <c r="E10" s="403" t="s">
        <v>245</v>
      </c>
      <c r="F10" s="403" t="s">
        <v>246</v>
      </c>
    </row>
    <row r="11" spans="1:34" x14ac:dyDescent="0.25">
      <c r="A11" s="404" t="s">
        <v>271</v>
      </c>
      <c r="B11" s="405" t="s">
        <v>65</v>
      </c>
      <c r="C11" s="406">
        <v>0</v>
      </c>
      <c r="D11" s="407">
        <v>3</v>
      </c>
      <c r="E11" s="341">
        <v>1187.8699999999999</v>
      </c>
      <c r="F11" s="341">
        <v>3563.61</v>
      </c>
    </row>
    <row r="12" spans="1:34" ht="14.4" x14ac:dyDescent="0.25">
      <c r="A12" s="408"/>
      <c r="B12" s="409"/>
      <c r="C12" s="410"/>
      <c r="D12" s="411"/>
      <c r="E12" s="412" t="s">
        <v>256</v>
      </c>
      <c r="F12" s="412">
        <v>3563.61</v>
      </c>
    </row>
    <row r="13" spans="1:34" x14ac:dyDescent="0.25">
      <c r="A13" s="404"/>
      <c r="B13" s="405"/>
      <c r="C13" s="406"/>
      <c r="D13" s="407"/>
      <c r="E13" s="341"/>
      <c r="F13" s="341"/>
    </row>
    <row r="14" spans="1:34" x14ac:dyDescent="0.25">
      <c r="A14" s="404" t="s">
        <v>499</v>
      </c>
      <c r="B14" s="405" t="s">
        <v>500</v>
      </c>
      <c r="C14" s="406"/>
      <c r="D14" s="407">
        <v>0</v>
      </c>
      <c r="E14" s="341">
        <v>5.0999999999999996</v>
      </c>
      <c r="F14" s="341">
        <v>0</v>
      </c>
    </row>
    <row r="15" spans="1:34" ht="14.4" x14ac:dyDescent="0.25">
      <c r="A15" s="408"/>
      <c r="B15" s="409"/>
      <c r="C15" s="410"/>
      <c r="D15" s="411"/>
      <c r="E15" s="412" t="s">
        <v>257</v>
      </c>
      <c r="F15" s="412">
        <v>0</v>
      </c>
    </row>
    <row r="16" spans="1:34" x14ac:dyDescent="0.25">
      <c r="A16" s="404"/>
      <c r="B16" s="405"/>
      <c r="C16" s="406"/>
      <c r="D16" s="407"/>
      <c r="E16" s="341"/>
      <c r="F16" s="341"/>
    </row>
    <row r="17" spans="1:34" x14ac:dyDescent="0.25">
      <c r="A17" s="404" t="s">
        <v>272</v>
      </c>
      <c r="B17" s="405" t="s">
        <v>65</v>
      </c>
      <c r="C17" s="406">
        <v>0</v>
      </c>
      <c r="D17" s="407">
        <v>1</v>
      </c>
      <c r="E17" s="341">
        <v>1800</v>
      </c>
      <c r="F17" s="341">
        <v>1800</v>
      </c>
    </row>
    <row r="18" spans="1:34" x14ac:dyDescent="0.25">
      <c r="A18" s="404" t="s">
        <v>273</v>
      </c>
      <c r="B18" s="405" t="s">
        <v>65</v>
      </c>
      <c r="C18" s="406">
        <v>0</v>
      </c>
      <c r="D18" s="407">
        <v>1</v>
      </c>
      <c r="E18" s="341">
        <v>2700</v>
      </c>
      <c r="F18" s="341">
        <v>2700</v>
      </c>
    </row>
    <row r="19" spans="1:34" ht="14.4" x14ac:dyDescent="0.25">
      <c r="A19" s="408"/>
      <c r="B19" s="409"/>
      <c r="C19" s="410"/>
      <c r="D19" s="411"/>
      <c r="E19" s="412" t="s">
        <v>259</v>
      </c>
      <c r="F19" s="412">
        <v>4500</v>
      </c>
    </row>
    <row r="20" spans="1:34" ht="14.4" x14ac:dyDescent="0.25">
      <c r="A20" s="408" t="s">
        <v>271</v>
      </c>
      <c r="B20" s="409" t="s">
        <v>250</v>
      </c>
      <c r="C20" s="410">
        <v>1</v>
      </c>
      <c r="D20" s="411">
        <v>624</v>
      </c>
      <c r="E20" s="412">
        <v>0</v>
      </c>
      <c r="F20" s="412">
        <v>0</v>
      </c>
    </row>
    <row r="21" spans="1:34" x14ac:dyDescent="0.25">
      <c r="A21" s="417"/>
      <c r="B21" s="405"/>
      <c r="C21" s="406"/>
      <c r="D21" s="407"/>
      <c r="E21" s="341" t="s">
        <v>256</v>
      </c>
      <c r="F21" s="341">
        <v>0</v>
      </c>
    </row>
    <row r="22" spans="1:34" x14ac:dyDescent="0.25">
      <c r="A22" s="404"/>
      <c r="B22" s="405"/>
      <c r="C22" s="406"/>
      <c r="D22" s="407"/>
      <c r="E22" s="341"/>
      <c r="F22" s="341"/>
    </row>
    <row r="23" spans="1:34" ht="14.4" x14ac:dyDescent="0.25">
      <c r="A23" s="397" t="s">
        <v>274</v>
      </c>
      <c r="B23" s="398"/>
      <c r="C23" s="399"/>
      <c r="D23" s="400"/>
      <c r="E23" s="401"/>
      <c r="F23" s="401"/>
    </row>
    <row r="24" spans="1:34" ht="14.4" x14ac:dyDescent="0.25">
      <c r="A24" s="397" t="s">
        <v>275</v>
      </c>
      <c r="B24" s="398"/>
      <c r="C24" s="399" t="s">
        <v>276</v>
      </c>
      <c r="D24" s="400"/>
      <c r="E24" s="401" t="s">
        <v>243</v>
      </c>
      <c r="F24" s="401">
        <f>+F29+F33</f>
        <v>407.43</v>
      </c>
    </row>
    <row r="25" spans="1:34" ht="14.4" x14ac:dyDescent="0.25">
      <c r="A25" s="398" t="s">
        <v>244</v>
      </c>
      <c r="B25" s="398" t="s">
        <v>52</v>
      </c>
      <c r="C25" s="402" t="s">
        <v>53</v>
      </c>
      <c r="D25" s="402" t="s">
        <v>17</v>
      </c>
      <c r="E25" s="403" t="s">
        <v>245</v>
      </c>
      <c r="F25" s="403" t="s">
        <v>246</v>
      </c>
      <c r="AF25" s="287"/>
      <c r="AG25" s="288"/>
    </row>
    <row r="26" spans="1:34" x14ac:dyDescent="0.25">
      <c r="A26" s="404" t="s">
        <v>277</v>
      </c>
      <c r="B26" s="405" t="s">
        <v>250</v>
      </c>
      <c r="C26" s="406">
        <v>0.1</v>
      </c>
      <c r="D26" s="407">
        <v>0.4</v>
      </c>
      <c r="E26" s="341">
        <v>15.38</v>
      </c>
      <c r="F26" s="341">
        <v>6.15</v>
      </c>
    </row>
    <row r="27" spans="1:34" x14ac:dyDescent="0.25">
      <c r="A27" s="404" t="s">
        <v>278</v>
      </c>
      <c r="B27" s="405" t="s">
        <v>250</v>
      </c>
      <c r="C27" s="406">
        <v>1</v>
      </c>
      <c r="D27" s="407">
        <v>4</v>
      </c>
      <c r="E27" s="341">
        <v>13.46</v>
      </c>
      <c r="F27" s="341">
        <v>53.84</v>
      </c>
      <c r="AF27" s="291"/>
      <c r="AG27" s="291"/>
      <c r="AH27" s="291"/>
    </row>
    <row r="28" spans="1:34" x14ac:dyDescent="0.25">
      <c r="A28" s="404" t="s">
        <v>279</v>
      </c>
      <c r="B28" s="405" t="s">
        <v>250</v>
      </c>
      <c r="C28" s="406">
        <v>1</v>
      </c>
      <c r="D28" s="407">
        <v>4</v>
      </c>
      <c r="E28" s="341">
        <v>11.86</v>
      </c>
      <c r="F28" s="341">
        <v>47.44</v>
      </c>
      <c r="AH28" s="288"/>
    </row>
    <row r="29" spans="1:34" ht="14.4" x14ac:dyDescent="0.25">
      <c r="A29" s="408"/>
      <c r="B29" s="409"/>
      <c r="C29" s="410"/>
      <c r="D29" s="411"/>
      <c r="E29" s="412" t="s">
        <v>256</v>
      </c>
      <c r="F29" s="412">
        <v>107.43</v>
      </c>
    </row>
    <row r="30" spans="1:34" x14ac:dyDescent="0.25">
      <c r="A30" s="404"/>
      <c r="B30" s="405"/>
      <c r="C30" s="406"/>
      <c r="D30" s="407"/>
      <c r="E30" s="341"/>
      <c r="F30" s="341"/>
      <c r="AF30" s="290"/>
      <c r="AG30" s="289"/>
      <c r="AH30" s="289"/>
    </row>
    <row r="31" spans="1:34" x14ac:dyDescent="0.25">
      <c r="A31" s="404"/>
      <c r="B31" s="405"/>
      <c r="C31" s="406"/>
      <c r="D31" s="407"/>
      <c r="E31" s="341"/>
      <c r="F31" s="341"/>
      <c r="AF31" s="290"/>
      <c r="AG31" s="289"/>
      <c r="AH31" s="289"/>
    </row>
    <row r="32" spans="1:34" x14ac:dyDescent="0.25">
      <c r="A32" s="404" t="s">
        <v>280</v>
      </c>
      <c r="B32" s="405" t="s">
        <v>251</v>
      </c>
      <c r="C32" s="406">
        <v>1</v>
      </c>
      <c r="D32" s="407">
        <v>4</v>
      </c>
      <c r="E32" s="341">
        <v>75</v>
      </c>
      <c r="F32" s="341">
        <v>300</v>
      </c>
      <c r="AH32" s="288"/>
    </row>
    <row r="33" spans="1:34" ht="14.4" x14ac:dyDescent="0.25">
      <c r="A33" s="408"/>
      <c r="B33" s="409"/>
      <c r="C33" s="410"/>
      <c r="D33" s="411"/>
      <c r="E33" s="412" t="s">
        <v>259</v>
      </c>
      <c r="F33" s="412">
        <v>300</v>
      </c>
    </row>
    <row r="34" spans="1:34" x14ac:dyDescent="0.25">
      <c r="A34" s="404"/>
      <c r="B34" s="405"/>
      <c r="C34" s="406"/>
      <c r="D34" s="407"/>
      <c r="E34" s="341"/>
      <c r="F34" s="341"/>
    </row>
    <row r="35" spans="1:34" ht="10.5" customHeight="1" x14ac:dyDescent="0.25">
      <c r="A35" s="404"/>
      <c r="B35" s="405"/>
      <c r="C35" s="406"/>
      <c r="D35" s="407"/>
      <c r="E35" s="341"/>
      <c r="F35" s="341"/>
    </row>
    <row r="36" spans="1:34" ht="14.4" x14ac:dyDescent="0.25">
      <c r="A36" s="416" t="s">
        <v>517</v>
      </c>
      <c r="B36" s="398"/>
      <c r="C36" s="399"/>
      <c r="D36" s="400"/>
      <c r="E36" s="401"/>
      <c r="F36" s="401"/>
      <c r="AF36" s="287"/>
      <c r="AG36" s="288"/>
    </row>
    <row r="37" spans="1:34" ht="14.4" x14ac:dyDescent="0.25">
      <c r="A37" s="397" t="s">
        <v>392</v>
      </c>
      <c r="B37" s="398"/>
      <c r="C37" s="399" t="s">
        <v>393</v>
      </c>
      <c r="D37" s="400"/>
      <c r="E37" s="401" t="s">
        <v>243</v>
      </c>
      <c r="F37" s="401">
        <v>2010.18</v>
      </c>
    </row>
    <row r="38" spans="1:34" ht="14.4" x14ac:dyDescent="0.25">
      <c r="A38" s="398" t="s">
        <v>244</v>
      </c>
      <c r="B38" s="398" t="s">
        <v>52</v>
      </c>
      <c r="C38" s="402" t="s">
        <v>53</v>
      </c>
      <c r="D38" s="402" t="s">
        <v>17</v>
      </c>
      <c r="E38" s="403" t="s">
        <v>245</v>
      </c>
      <c r="F38" s="403" t="s">
        <v>246</v>
      </c>
      <c r="AF38" s="291"/>
      <c r="AG38" s="291"/>
      <c r="AH38" s="291"/>
    </row>
    <row r="39" spans="1:34" x14ac:dyDescent="0.25">
      <c r="A39" s="404" t="s">
        <v>254</v>
      </c>
      <c r="B39" s="405" t="s">
        <v>65</v>
      </c>
      <c r="C39" s="406">
        <v>0</v>
      </c>
      <c r="D39" s="407">
        <v>0.1</v>
      </c>
      <c r="E39" s="341">
        <v>1484.84</v>
      </c>
      <c r="F39" s="341">
        <v>148.47999999999999</v>
      </c>
    </row>
    <row r="40" spans="1:34" x14ac:dyDescent="0.25">
      <c r="A40" s="404" t="s">
        <v>255</v>
      </c>
      <c r="B40" s="405" t="s">
        <v>65</v>
      </c>
      <c r="C40" s="406">
        <v>0</v>
      </c>
      <c r="D40" s="407">
        <v>0.5</v>
      </c>
      <c r="E40" s="341">
        <v>1272.72</v>
      </c>
      <c r="F40" s="341">
        <v>636.36</v>
      </c>
      <c r="AF40" s="290"/>
      <c r="AG40" s="289"/>
      <c r="AH40" s="289"/>
    </row>
    <row r="41" spans="1:34" ht="14.4" x14ac:dyDescent="0.25">
      <c r="A41" s="408"/>
      <c r="B41" s="409"/>
      <c r="C41" s="410"/>
      <c r="D41" s="411"/>
      <c r="E41" s="412" t="s">
        <v>256</v>
      </c>
      <c r="F41" s="412">
        <v>784.84</v>
      </c>
      <c r="AH41" s="288"/>
    </row>
    <row r="42" spans="1:34" x14ac:dyDescent="0.25">
      <c r="A42" s="404"/>
      <c r="B42" s="405"/>
      <c r="C42" s="406"/>
      <c r="D42" s="407"/>
      <c r="E42" s="341"/>
      <c r="F42" s="341"/>
    </row>
    <row r="43" spans="1:34" x14ac:dyDescent="0.25">
      <c r="A43" s="404" t="s">
        <v>283</v>
      </c>
      <c r="B43" s="405" t="s">
        <v>55</v>
      </c>
      <c r="C43" s="406"/>
      <c r="D43" s="407">
        <v>15</v>
      </c>
      <c r="E43" s="341">
        <v>22.8</v>
      </c>
      <c r="F43" s="341">
        <v>342</v>
      </c>
      <c r="G43" s="290"/>
      <c r="H43" s="290"/>
      <c r="I43" s="290"/>
      <c r="J43" s="290"/>
      <c r="K43" s="290"/>
      <c r="L43" s="290"/>
      <c r="M43" s="290"/>
      <c r="N43" s="290"/>
      <c r="O43" s="290"/>
      <c r="P43" s="290"/>
      <c r="Q43" s="290"/>
      <c r="R43" s="290"/>
      <c r="S43" s="290"/>
      <c r="T43" s="290"/>
      <c r="U43" s="290"/>
      <c r="V43" s="290"/>
      <c r="W43" s="290"/>
      <c r="X43" s="290"/>
      <c r="Y43" s="290"/>
      <c r="Z43" s="290"/>
      <c r="AA43" s="290"/>
      <c r="AB43" s="290"/>
      <c r="AC43" s="290"/>
      <c r="AD43" s="290"/>
      <c r="AE43" s="290"/>
      <c r="AF43" s="290"/>
      <c r="AG43" s="289"/>
      <c r="AH43" s="289"/>
    </row>
    <row r="44" spans="1:34" x14ac:dyDescent="0.25">
      <c r="A44" s="404" t="s">
        <v>284</v>
      </c>
      <c r="B44" s="405" t="s">
        <v>55</v>
      </c>
      <c r="C44" s="406"/>
      <c r="D44" s="407">
        <v>5</v>
      </c>
      <c r="E44" s="341">
        <v>14.4</v>
      </c>
      <c r="F44" s="341">
        <v>72</v>
      </c>
      <c r="AH44" s="288"/>
    </row>
    <row r="45" spans="1:34" x14ac:dyDescent="0.25">
      <c r="A45" s="404" t="s">
        <v>285</v>
      </c>
      <c r="B45" s="405" t="s">
        <v>55</v>
      </c>
      <c r="C45" s="406"/>
      <c r="D45" s="407">
        <v>30</v>
      </c>
      <c r="E45" s="341">
        <v>10.8</v>
      </c>
      <c r="F45" s="341">
        <v>324</v>
      </c>
    </row>
    <row r="46" spans="1:34" x14ac:dyDescent="0.25">
      <c r="A46" s="404" t="s">
        <v>286</v>
      </c>
      <c r="B46" s="405" t="s">
        <v>55</v>
      </c>
      <c r="C46" s="406"/>
      <c r="D46" s="407">
        <v>30</v>
      </c>
      <c r="E46" s="341">
        <v>8.77</v>
      </c>
      <c r="F46" s="341">
        <v>263.10000000000002</v>
      </c>
      <c r="G46" s="290"/>
      <c r="H46" s="290"/>
      <c r="I46" s="290"/>
      <c r="J46" s="290"/>
      <c r="K46" s="290"/>
      <c r="L46" s="290"/>
      <c r="M46" s="290"/>
      <c r="N46" s="290"/>
      <c r="O46" s="290"/>
      <c r="P46" s="290"/>
      <c r="Q46" s="290"/>
      <c r="R46" s="290"/>
      <c r="S46" s="290"/>
      <c r="T46" s="290"/>
      <c r="U46" s="290"/>
      <c r="V46" s="290"/>
      <c r="W46" s="290"/>
      <c r="X46" s="290"/>
      <c r="Y46" s="290"/>
      <c r="Z46" s="290"/>
      <c r="AA46" s="290"/>
      <c r="AB46" s="290"/>
      <c r="AC46" s="290"/>
      <c r="AD46" s="290"/>
      <c r="AE46" s="290"/>
      <c r="AF46" s="290"/>
      <c r="AG46" s="289"/>
      <c r="AH46" s="289"/>
    </row>
    <row r="47" spans="1:34" x14ac:dyDescent="0.25">
      <c r="A47" s="404" t="s">
        <v>287</v>
      </c>
      <c r="B47" s="405" t="s">
        <v>107</v>
      </c>
      <c r="C47" s="406"/>
      <c r="D47" s="407">
        <v>1</v>
      </c>
      <c r="E47" s="341">
        <v>65</v>
      </c>
      <c r="F47" s="341">
        <v>65</v>
      </c>
      <c r="AH47" s="288"/>
    </row>
    <row r="48" spans="1:34" x14ac:dyDescent="0.25">
      <c r="A48" s="404" t="s">
        <v>288</v>
      </c>
      <c r="B48" s="405" t="s">
        <v>107</v>
      </c>
      <c r="C48" s="406"/>
      <c r="D48" s="407">
        <v>1</v>
      </c>
      <c r="E48" s="341">
        <v>120</v>
      </c>
      <c r="F48" s="341">
        <v>120</v>
      </c>
    </row>
    <row r="49" spans="1:32" ht="14.4" x14ac:dyDescent="0.25">
      <c r="A49" s="408"/>
      <c r="B49" s="409"/>
      <c r="C49" s="410"/>
      <c r="D49" s="411"/>
      <c r="E49" s="412" t="s">
        <v>257</v>
      </c>
      <c r="F49" s="412">
        <v>1186.0999999999999</v>
      </c>
      <c r="G49" s="122"/>
      <c r="H49" s="122"/>
      <c r="I49" s="122"/>
      <c r="J49" s="122"/>
      <c r="K49" s="122"/>
      <c r="L49" s="122"/>
      <c r="M49" s="122"/>
      <c r="N49" s="122"/>
      <c r="O49" s="122"/>
      <c r="P49" s="122"/>
      <c r="Q49" s="122"/>
      <c r="R49" s="122"/>
      <c r="S49" s="122"/>
      <c r="T49" s="122"/>
      <c r="U49" s="122"/>
      <c r="V49" s="122"/>
      <c r="W49" s="122"/>
      <c r="X49" s="122"/>
      <c r="Y49" s="122"/>
      <c r="Z49" s="122"/>
      <c r="AA49" s="122"/>
      <c r="AB49" s="122"/>
      <c r="AC49" s="122"/>
      <c r="AD49" s="122"/>
      <c r="AE49" s="122"/>
      <c r="AF49" s="122"/>
    </row>
    <row r="50" spans="1:32" x14ac:dyDescent="0.25">
      <c r="A50" s="404"/>
      <c r="B50" s="405"/>
      <c r="C50" s="406"/>
      <c r="D50" s="407"/>
      <c r="E50" s="341"/>
      <c r="F50" s="341"/>
      <c r="G50" s="122"/>
      <c r="H50" s="122"/>
      <c r="I50" s="122"/>
      <c r="J50" s="122"/>
      <c r="K50" s="122"/>
      <c r="L50" s="122"/>
      <c r="M50" s="122"/>
      <c r="N50" s="122"/>
      <c r="O50" s="122"/>
      <c r="P50" s="122"/>
      <c r="Q50" s="122"/>
      <c r="R50" s="122"/>
      <c r="S50" s="122"/>
      <c r="T50" s="122"/>
      <c r="U50" s="122"/>
      <c r="V50" s="122"/>
      <c r="W50" s="122"/>
      <c r="X50" s="122"/>
      <c r="Y50" s="122"/>
      <c r="Z50" s="122"/>
      <c r="AA50" s="122"/>
      <c r="AB50" s="122"/>
      <c r="AC50" s="122"/>
      <c r="AD50" s="122"/>
      <c r="AE50" s="122"/>
      <c r="AF50" s="122"/>
    </row>
    <row r="51" spans="1:32" x14ac:dyDescent="0.25">
      <c r="A51" s="404" t="s">
        <v>258</v>
      </c>
      <c r="B51" s="405" t="s">
        <v>252</v>
      </c>
      <c r="C51" s="406"/>
      <c r="D51" s="407">
        <v>5</v>
      </c>
      <c r="E51" s="341">
        <v>784.84</v>
      </c>
      <c r="F51" s="341">
        <v>39.24</v>
      </c>
      <c r="G51" s="335"/>
      <c r="H51" s="335"/>
      <c r="I51" s="335"/>
      <c r="J51" s="335"/>
      <c r="K51" s="335"/>
      <c r="L51" s="335"/>
      <c r="M51" s="335"/>
      <c r="N51" s="335"/>
      <c r="O51" s="335"/>
      <c r="P51" s="335"/>
      <c r="Q51" s="335"/>
      <c r="R51" s="335"/>
      <c r="S51" s="335"/>
      <c r="T51" s="335"/>
      <c r="U51" s="335"/>
      <c r="V51" s="335"/>
      <c r="W51" s="335"/>
      <c r="X51" s="335"/>
      <c r="Y51" s="335"/>
      <c r="Z51" s="335"/>
      <c r="AA51" s="335"/>
      <c r="AB51" s="335"/>
      <c r="AC51" s="335"/>
      <c r="AD51" s="335"/>
      <c r="AE51" s="335"/>
      <c r="AF51" s="122"/>
    </row>
    <row r="52" spans="1:32" ht="14.4" x14ac:dyDescent="0.25">
      <c r="A52" s="408"/>
      <c r="B52" s="409"/>
      <c r="C52" s="410"/>
      <c r="D52" s="411"/>
      <c r="E52" s="412" t="s">
        <v>259</v>
      </c>
      <c r="F52" s="412">
        <v>39.24</v>
      </c>
      <c r="G52" s="122"/>
      <c r="H52" s="122"/>
      <c r="I52" s="122"/>
      <c r="J52" s="122"/>
      <c r="K52" s="122"/>
      <c r="L52" s="122"/>
      <c r="M52" s="122"/>
      <c r="N52" s="122"/>
      <c r="O52" s="122"/>
      <c r="P52" s="122"/>
      <c r="Q52" s="122"/>
      <c r="R52" s="122"/>
      <c r="S52" s="122"/>
      <c r="T52" s="122"/>
      <c r="U52" s="122"/>
      <c r="V52" s="122"/>
      <c r="W52" s="122"/>
      <c r="X52" s="122"/>
      <c r="Y52" s="122"/>
      <c r="Z52" s="122"/>
      <c r="AA52" s="122"/>
      <c r="AB52" s="122"/>
      <c r="AC52" s="122"/>
      <c r="AD52" s="122"/>
      <c r="AE52" s="122"/>
      <c r="AF52" s="122"/>
    </row>
    <row r="53" spans="1:32" ht="14.4" x14ac:dyDescent="0.25">
      <c r="A53" s="408" t="s">
        <v>254</v>
      </c>
      <c r="B53" s="409" t="s">
        <v>250</v>
      </c>
      <c r="C53" s="410">
        <v>1</v>
      </c>
      <c r="D53" s="411">
        <v>20.8</v>
      </c>
      <c r="E53" s="412">
        <v>0</v>
      </c>
      <c r="F53" s="412">
        <v>0</v>
      </c>
      <c r="G53" s="122"/>
      <c r="H53" s="122"/>
      <c r="I53" s="122"/>
      <c r="J53" s="122"/>
      <c r="K53" s="122"/>
      <c r="L53" s="122"/>
      <c r="M53" s="122"/>
      <c r="N53" s="122"/>
      <c r="O53" s="122"/>
      <c r="P53" s="122"/>
      <c r="Q53" s="122"/>
      <c r="R53" s="122"/>
      <c r="S53" s="122"/>
      <c r="T53" s="122"/>
      <c r="U53" s="122"/>
      <c r="V53" s="122"/>
      <c r="W53" s="122"/>
      <c r="X53" s="122"/>
      <c r="Y53" s="122"/>
      <c r="Z53" s="122"/>
      <c r="AA53" s="122"/>
      <c r="AB53" s="122"/>
      <c r="AC53" s="122"/>
      <c r="AD53" s="122"/>
      <c r="AE53" s="122"/>
      <c r="AF53" s="122"/>
    </row>
    <row r="54" spans="1:32" x14ac:dyDescent="0.25">
      <c r="A54" s="417" t="s">
        <v>255</v>
      </c>
      <c r="B54" s="405" t="s">
        <v>250</v>
      </c>
      <c r="C54" s="406">
        <v>1</v>
      </c>
      <c r="D54" s="407">
        <v>104</v>
      </c>
      <c r="E54" s="341">
        <v>0</v>
      </c>
      <c r="F54" s="341">
        <v>0</v>
      </c>
      <c r="G54" s="336"/>
      <c r="H54" s="336"/>
      <c r="I54" s="336"/>
      <c r="J54" s="336"/>
      <c r="K54" s="336"/>
      <c r="L54" s="336"/>
      <c r="M54" s="336"/>
      <c r="N54" s="336"/>
      <c r="O54" s="336"/>
      <c r="P54" s="336"/>
      <c r="Q54" s="336"/>
      <c r="R54" s="336"/>
      <c r="S54" s="336"/>
      <c r="T54" s="336"/>
      <c r="U54" s="336"/>
      <c r="V54" s="336"/>
      <c r="W54" s="336"/>
      <c r="X54" s="336"/>
      <c r="Y54" s="336"/>
      <c r="Z54" s="336"/>
      <c r="AA54" s="336"/>
      <c r="AB54" s="336"/>
      <c r="AC54" s="336"/>
      <c r="AD54" s="336"/>
      <c r="AE54" s="336"/>
      <c r="AF54" s="336"/>
    </row>
    <row r="55" spans="1:32" x14ac:dyDescent="0.25">
      <c r="A55" s="417"/>
      <c r="B55" s="405"/>
      <c r="C55" s="406"/>
      <c r="D55" s="407"/>
      <c r="E55" s="341" t="s">
        <v>256</v>
      </c>
      <c r="F55" s="341">
        <v>0</v>
      </c>
      <c r="G55" s="122"/>
      <c r="H55" s="122"/>
      <c r="I55" s="337"/>
      <c r="J55" s="122"/>
      <c r="K55" s="122"/>
      <c r="L55" s="122"/>
      <c r="M55" s="122"/>
      <c r="N55" s="122"/>
      <c r="O55" s="122"/>
      <c r="P55" s="122"/>
      <c r="Q55" s="122"/>
      <c r="R55" s="122"/>
      <c r="S55" s="122"/>
      <c r="T55" s="122"/>
      <c r="U55" s="122"/>
      <c r="V55" s="122"/>
      <c r="W55" s="122"/>
      <c r="X55" s="122"/>
      <c r="Y55" s="122"/>
      <c r="Z55" s="122"/>
      <c r="AA55" s="122"/>
      <c r="AB55" s="122"/>
      <c r="AC55" s="122"/>
      <c r="AD55" s="122"/>
      <c r="AE55" s="122"/>
      <c r="AF55" s="122"/>
    </row>
    <row r="56" spans="1:32" ht="14.4" x14ac:dyDescent="0.25">
      <c r="A56" s="397" t="s">
        <v>289</v>
      </c>
      <c r="B56" s="398"/>
      <c r="C56" s="399"/>
      <c r="D56" s="400"/>
      <c r="E56" s="401"/>
      <c r="F56" s="401"/>
      <c r="G56" s="337"/>
      <c r="H56" s="337"/>
      <c r="J56" s="337"/>
      <c r="K56" s="337"/>
      <c r="L56" s="337"/>
      <c r="M56" s="337"/>
      <c r="N56" s="337"/>
      <c r="O56" s="337"/>
      <c r="P56" s="337"/>
      <c r="Q56" s="337"/>
      <c r="R56" s="337"/>
      <c r="S56" s="337"/>
      <c r="T56" s="337"/>
      <c r="U56" s="337"/>
      <c r="V56" s="337"/>
      <c r="W56" s="337"/>
      <c r="X56" s="337"/>
      <c r="Y56" s="337"/>
      <c r="Z56" s="337"/>
      <c r="AA56" s="337"/>
      <c r="AB56" s="337"/>
      <c r="AC56" s="337"/>
      <c r="AD56" s="337"/>
      <c r="AE56" s="337"/>
      <c r="AF56" s="338"/>
    </row>
    <row r="57" spans="1:32" ht="14.4" x14ac:dyDescent="0.25">
      <c r="A57" s="397" t="s">
        <v>394</v>
      </c>
      <c r="B57" s="398"/>
      <c r="C57" s="399" t="s">
        <v>253</v>
      </c>
      <c r="D57" s="400"/>
      <c r="E57" s="401" t="s">
        <v>243</v>
      </c>
      <c r="F57" s="401">
        <v>18.260000000000002</v>
      </c>
      <c r="G57" s="340" t="s">
        <v>95</v>
      </c>
      <c r="H57" s="122"/>
      <c r="I57" s="122"/>
      <c r="J57" s="122"/>
      <c r="K57" s="122"/>
      <c r="L57" s="122"/>
      <c r="M57" s="122"/>
      <c r="N57" s="122"/>
      <c r="O57" s="122"/>
      <c r="P57" s="122"/>
      <c r="Q57" s="122"/>
      <c r="R57" s="122"/>
      <c r="S57" s="122"/>
      <c r="T57" s="122"/>
      <c r="U57" s="122"/>
      <c r="V57" s="122"/>
      <c r="W57" s="122"/>
      <c r="X57" s="122"/>
      <c r="Y57" s="122"/>
      <c r="Z57" s="122"/>
      <c r="AA57" s="122"/>
      <c r="AB57" s="122"/>
      <c r="AC57" s="122"/>
      <c r="AD57" s="122"/>
      <c r="AE57" s="122"/>
      <c r="AF57" s="339"/>
    </row>
    <row r="58" spans="1:32" ht="14.4" x14ac:dyDescent="0.25">
      <c r="A58" s="398" t="s">
        <v>244</v>
      </c>
      <c r="B58" s="398" t="s">
        <v>52</v>
      </c>
      <c r="C58" s="402" t="s">
        <v>53</v>
      </c>
      <c r="D58" s="402" t="s">
        <v>17</v>
      </c>
      <c r="E58" s="403" t="s">
        <v>245</v>
      </c>
      <c r="F58" s="403" t="s">
        <v>246</v>
      </c>
      <c r="G58" s="122"/>
      <c r="H58" s="122"/>
      <c r="I58" s="122"/>
      <c r="J58" s="122"/>
      <c r="K58" s="122"/>
      <c r="L58" s="122"/>
      <c r="M58" s="122"/>
      <c r="N58" s="122"/>
      <c r="O58" s="122"/>
      <c r="P58" s="122"/>
      <c r="Q58" s="122"/>
      <c r="R58" s="122"/>
      <c r="S58" s="122"/>
      <c r="T58" s="122"/>
      <c r="U58" s="122"/>
      <c r="V58" s="122"/>
      <c r="W58" s="122"/>
      <c r="X58" s="122"/>
      <c r="Y58" s="122"/>
      <c r="Z58" s="122"/>
      <c r="AA58" s="122"/>
      <c r="AB58" s="122"/>
      <c r="AC58" s="122"/>
      <c r="AD58" s="122"/>
      <c r="AE58" s="122"/>
      <c r="AF58" s="122"/>
    </row>
    <row r="59" spans="1:32" x14ac:dyDescent="0.25">
      <c r="A59" s="404" t="s">
        <v>277</v>
      </c>
      <c r="B59" s="405" t="s">
        <v>250</v>
      </c>
      <c r="C59" s="406">
        <v>0.1</v>
      </c>
      <c r="D59" s="407">
        <v>2.6700000000000002E-2</v>
      </c>
      <c r="E59" s="341">
        <v>15.38</v>
      </c>
      <c r="F59" s="341">
        <v>0.41</v>
      </c>
      <c r="G59" s="122"/>
      <c r="H59" s="122"/>
      <c r="I59" s="122"/>
      <c r="J59" s="122"/>
      <c r="K59" s="122"/>
      <c r="L59" s="122"/>
      <c r="M59" s="122"/>
      <c r="N59" s="122"/>
      <c r="O59" s="122"/>
      <c r="P59" s="122"/>
      <c r="Q59" s="122"/>
      <c r="R59" s="122"/>
      <c r="S59" s="122"/>
      <c r="T59" s="122"/>
      <c r="U59" s="122"/>
      <c r="V59" s="122"/>
      <c r="W59" s="122"/>
      <c r="X59" s="122"/>
      <c r="Y59" s="122"/>
      <c r="Z59" s="122"/>
      <c r="AA59" s="122"/>
      <c r="AB59" s="122"/>
      <c r="AC59" s="122"/>
      <c r="AD59" s="122"/>
      <c r="AE59" s="122"/>
      <c r="AF59" s="339"/>
    </row>
    <row r="60" spans="1:32" x14ac:dyDescent="0.25">
      <c r="A60" s="404" t="s">
        <v>290</v>
      </c>
      <c r="B60" s="405" t="s">
        <v>250</v>
      </c>
      <c r="C60" s="406">
        <v>1</v>
      </c>
      <c r="D60" s="407">
        <v>0.26669999999999999</v>
      </c>
      <c r="E60" s="341">
        <v>15.2</v>
      </c>
      <c r="F60" s="341">
        <v>4.05</v>
      </c>
      <c r="G60" s="122"/>
      <c r="H60" s="122"/>
      <c r="I60" s="122"/>
      <c r="J60" s="122"/>
      <c r="K60" s="122"/>
      <c r="L60" s="122"/>
      <c r="M60" s="122"/>
      <c r="N60" s="122"/>
      <c r="O60" s="122"/>
      <c r="P60" s="122"/>
      <c r="Q60" s="122"/>
      <c r="R60" s="122"/>
      <c r="S60" s="122"/>
      <c r="T60" s="122"/>
      <c r="U60" s="122"/>
      <c r="V60" s="122"/>
      <c r="W60" s="122"/>
      <c r="X60" s="122"/>
      <c r="Y60" s="122"/>
      <c r="Z60" s="122"/>
      <c r="AA60" s="122"/>
      <c r="AB60" s="122"/>
      <c r="AC60" s="122"/>
      <c r="AD60" s="122"/>
      <c r="AE60" s="122"/>
      <c r="AF60" s="122"/>
    </row>
    <row r="61" spans="1:32" x14ac:dyDescent="0.25">
      <c r="A61" s="404" t="s">
        <v>279</v>
      </c>
      <c r="B61" s="405" t="s">
        <v>250</v>
      </c>
      <c r="C61" s="406">
        <v>1</v>
      </c>
      <c r="D61" s="407">
        <v>0.26669999999999999</v>
      </c>
      <c r="E61" s="341">
        <v>11.86</v>
      </c>
      <c r="F61" s="341">
        <v>3.16</v>
      </c>
      <c r="G61" s="337"/>
      <c r="H61" s="337"/>
      <c r="I61" s="337"/>
      <c r="J61" s="337"/>
      <c r="K61" s="337"/>
      <c r="L61" s="337"/>
      <c r="M61" s="337"/>
      <c r="N61" s="337"/>
      <c r="O61" s="337"/>
      <c r="P61" s="337"/>
      <c r="Q61" s="337"/>
      <c r="R61" s="337"/>
      <c r="S61" s="337"/>
      <c r="T61" s="337"/>
      <c r="U61" s="337"/>
      <c r="V61" s="337"/>
      <c r="W61" s="337"/>
      <c r="X61" s="337"/>
      <c r="Y61" s="337"/>
      <c r="Z61" s="337"/>
      <c r="AA61" s="337"/>
      <c r="AB61" s="337"/>
      <c r="AC61" s="337"/>
      <c r="AD61" s="337"/>
      <c r="AE61" s="337"/>
      <c r="AF61" s="338"/>
    </row>
    <row r="62" spans="1:32" ht="14.4" x14ac:dyDescent="0.25">
      <c r="A62" s="408"/>
      <c r="B62" s="409"/>
      <c r="C62" s="410"/>
      <c r="D62" s="411"/>
      <c r="E62" s="412" t="s">
        <v>256</v>
      </c>
      <c r="F62" s="412">
        <v>7.62</v>
      </c>
      <c r="G62" s="122"/>
      <c r="H62" s="122"/>
      <c r="I62" s="122"/>
      <c r="J62" s="122"/>
      <c r="K62" s="122"/>
      <c r="L62" s="122"/>
      <c r="M62" s="122"/>
      <c r="N62" s="122"/>
      <c r="O62" s="122"/>
      <c r="P62" s="122"/>
      <c r="Q62" s="122"/>
      <c r="R62" s="122"/>
      <c r="S62" s="122"/>
      <c r="T62" s="122"/>
      <c r="U62" s="122"/>
      <c r="V62" s="122"/>
      <c r="W62" s="122"/>
      <c r="X62" s="122"/>
      <c r="Y62" s="122"/>
      <c r="Z62" s="122"/>
      <c r="AA62" s="122"/>
      <c r="AB62" s="122"/>
      <c r="AC62" s="122"/>
      <c r="AD62" s="122"/>
      <c r="AE62" s="122"/>
      <c r="AF62" s="339"/>
    </row>
    <row r="63" spans="1:32" x14ac:dyDescent="0.25">
      <c r="A63" s="404"/>
      <c r="B63" s="405"/>
      <c r="C63" s="406"/>
      <c r="D63" s="407"/>
      <c r="E63" s="341"/>
      <c r="F63" s="341"/>
    </row>
    <row r="64" spans="1:32" x14ac:dyDescent="0.25">
      <c r="A64" s="404" t="s">
        <v>501</v>
      </c>
      <c r="B64" s="405" t="s">
        <v>55</v>
      </c>
      <c r="C64" s="406"/>
      <c r="D64" s="407">
        <v>2.5069999999999999E-2</v>
      </c>
      <c r="E64" s="341">
        <v>2.36</v>
      </c>
      <c r="F64" s="341">
        <v>0.06</v>
      </c>
    </row>
    <row r="65" spans="1:6" x14ac:dyDescent="0.25">
      <c r="A65" s="404" t="s">
        <v>291</v>
      </c>
      <c r="B65" s="405" t="s">
        <v>251</v>
      </c>
      <c r="C65" s="406"/>
      <c r="D65" s="407">
        <v>0.26669999999999999</v>
      </c>
      <c r="E65" s="341">
        <v>38.229999999999997</v>
      </c>
      <c r="F65" s="341">
        <v>10.199999999999999</v>
      </c>
    </row>
    <row r="66" spans="1:6" ht="14.4" x14ac:dyDescent="0.25">
      <c r="A66" s="408"/>
      <c r="B66" s="409"/>
      <c r="C66" s="410"/>
      <c r="D66" s="411"/>
      <c r="E66" s="412" t="s">
        <v>257</v>
      </c>
      <c r="F66" s="412">
        <v>10.26</v>
      </c>
    </row>
    <row r="67" spans="1:6" x14ac:dyDescent="0.25">
      <c r="A67" s="404"/>
      <c r="B67" s="405"/>
      <c r="C67" s="406"/>
      <c r="D67" s="407"/>
      <c r="E67" s="341"/>
      <c r="F67" s="341"/>
    </row>
    <row r="68" spans="1:6" x14ac:dyDescent="0.25">
      <c r="A68" s="404" t="s">
        <v>258</v>
      </c>
      <c r="B68" s="405" t="s">
        <v>252</v>
      </c>
      <c r="C68" s="406"/>
      <c r="D68" s="407">
        <v>5</v>
      </c>
      <c r="E68" s="341">
        <v>7.62</v>
      </c>
      <c r="F68" s="341">
        <v>0.38</v>
      </c>
    </row>
    <row r="69" spans="1:6" ht="14.4" x14ac:dyDescent="0.25">
      <c r="A69" s="408"/>
      <c r="B69" s="409"/>
      <c r="C69" s="410"/>
      <c r="D69" s="411"/>
      <c r="E69" s="412" t="s">
        <v>259</v>
      </c>
      <c r="F69" s="412">
        <v>0.38</v>
      </c>
    </row>
    <row r="70" spans="1:6" x14ac:dyDescent="0.25">
      <c r="A70" s="404"/>
      <c r="B70" s="405"/>
      <c r="C70" s="406"/>
      <c r="D70" s="407"/>
      <c r="E70" s="341"/>
      <c r="F70" s="341"/>
    </row>
    <row r="71" spans="1:6" x14ac:dyDescent="0.25">
      <c r="A71" s="404"/>
      <c r="B71" s="405"/>
      <c r="C71" s="406"/>
      <c r="D71" s="407"/>
      <c r="E71" s="341"/>
      <c r="F71" s="341"/>
    </row>
    <row r="72" spans="1:6" ht="14.4" x14ac:dyDescent="0.25">
      <c r="A72" s="397" t="s">
        <v>395</v>
      </c>
      <c r="B72" s="398"/>
      <c r="C72" s="399"/>
      <c r="D72" s="400"/>
      <c r="E72" s="401"/>
      <c r="F72" s="401"/>
    </row>
    <row r="73" spans="1:6" ht="14.4" x14ac:dyDescent="0.25">
      <c r="A73" s="397" t="s">
        <v>396</v>
      </c>
      <c r="B73" s="398"/>
      <c r="C73" s="399" t="s">
        <v>317</v>
      </c>
      <c r="D73" s="400"/>
      <c r="E73" s="401" t="s">
        <v>243</v>
      </c>
      <c r="F73" s="401">
        <v>17.13</v>
      </c>
    </row>
    <row r="74" spans="1:6" ht="14.4" x14ac:dyDescent="0.25">
      <c r="A74" s="398" t="s">
        <v>244</v>
      </c>
      <c r="B74" s="398" t="s">
        <v>52</v>
      </c>
      <c r="C74" s="402" t="s">
        <v>53</v>
      </c>
      <c r="D74" s="402" t="s">
        <v>17</v>
      </c>
      <c r="E74" s="403" t="s">
        <v>245</v>
      </c>
      <c r="F74" s="403" t="s">
        <v>246</v>
      </c>
    </row>
    <row r="75" spans="1:6" x14ac:dyDescent="0.25">
      <c r="A75" s="404" t="s">
        <v>277</v>
      </c>
      <c r="B75" s="405" t="s">
        <v>250</v>
      </c>
      <c r="C75" s="406">
        <v>0.1</v>
      </c>
      <c r="D75" s="407">
        <v>0.04</v>
      </c>
      <c r="E75" s="341">
        <v>15.38</v>
      </c>
      <c r="F75" s="341">
        <v>0.62</v>
      </c>
    </row>
    <row r="76" spans="1:6" x14ac:dyDescent="0.25">
      <c r="A76" s="404" t="s">
        <v>514</v>
      </c>
      <c r="B76" s="405" t="s">
        <v>250</v>
      </c>
      <c r="C76" s="406">
        <v>1</v>
      </c>
      <c r="D76" s="407">
        <v>0.4</v>
      </c>
      <c r="E76" s="341">
        <v>13.47</v>
      </c>
      <c r="F76" s="341">
        <v>5.39</v>
      </c>
    </row>
    <row r="77" spans="1:6" x14ac:dyDescent="0.25">
      <c r="A77" s="404" t="s">
        <v>515</v>
      </c>
      <c r="B77" s="405" t="s">
        <v>250</v>
      </c>
      <c r="C77" s="406">
        <v>1</v>
      </c>
      <c r="D77" s="407">
        <v>0.4</v>
      </c>
      <c r="E77" s="341">
        <v>13.37</v>
      </c>
      <c r="F77" s="341">
        <v>5.35</v>
      </c>
    </row>
    <row r="78" spans="1:6" ht="14.4" x14ac:dyDescent="0.25">
      <c r="A78" s="408"/>
      <c r="B78" s="409"/>
      <c r="C78" s="410"/>
      <c r="D78" s="411"/>
      <c r="E78" s="412" t="s">
        <v>256</v>
      </c>
      <c r="F78" s="412">
        <v>11.36</v>
      </c>
    </row>
    <row r="79" spans="1:6" x14ac:dyDescent="0.25">
      <c r="A79" s="404"/>
      <c r="B79" s="405"/>
      <c r="C79" s="406"/>
      <c r="D79" s="407"/>
      <c r="E79" s="341"/>
      <c r="F79" s="341"/>
    </row>
    <row r="80" spans="1:6" x14ac:dyDescent="0.25">
      <c r="A80" s="404" t="s">
        <v>260</v>
      </c>
      <c r="B80" s="405" t="s">
        <v>237</v>
      </c>
      <c r="C80" s="406"/>
      <c r="D80" s="407">
        <v>0.02</v>
      </c>
      <c r="E80" s="341">
        <v>6.2</v>
      </c>
      <c r="F80" s="341">
        <v>0.12</v>
      </c>
    </row>
    <row r="81" spans="1:6" ht="14.4" x14ac:dyDescent="0.25">
      <c r="A81" s="408"/>
      <c r="B81" s="409"/>
      <c r="C81" s="410"/>
      <c r="D81" s="411"/>
      <c r="E81" s="412" t="s">
        <v>257</v>
      </c>
      <c r="F81" s="412">
        <v>0.12</v>
      </c>
    </row>
    <row r="82" spans="1:6" x14ac:dyDescent="0.25">
      <c r="A82" s="404"/>
      <c r="B82" s="405"/>
      <c r="C82" s="406"/>
      <c r="D82" s="407"/>
      <c r="E82" s="341"/>
      <c r="F82" s="341"/>
    </row>
    <row r="83" spans="1:6" x14ac:dyDescent="0.25">
      <c r="A83" s="404" t="s">
        <v>258</v>
      </c>
      <c r="B83" s="405" t="s">
        <v>252</v>
      </c>
      <c r="C83" s="406"/>
      <c r="D83" s="407">
        <v>5</v>
      </c>
      <c r="E83" s="341">
        <v>11.36</v>
      </c>
      <c r="F83" s="341">
        <v>0.56999999999999995</v>
      </c>
    </row>
    <row r="84" spans="1:6" x14ac:dyDescent="0.25">
      <c r="A84" s="404" t="s">
        <v>397</v>
      </c>
      <c r="B84" s="405" t="s">
        <v>251</v>
      </c>
      <c r="C84" s="406">
        <v>1</v>
      </c>
      <c r="D84" s="407">
        <v>0.4</v>
      </c>
      <c r="E84" s="341">
        <v>3.5</v>
      </c>
      <c r="F84" s="341">
        <v>1.4</v>
      </c>
    </row>
    <row r="85" spans="1:6" x14ac:dyDescent="0.25">
      <c r="A85" s="404" t="s">
        <v>398</v>
      </c>
      <c r="B85" s="405" t="s">
        <v>251</v>
      </c>
      <c r="C85" s="406">
        <v>1</v>
      </c>
      <c r="D85" s="407">
        <v>0.4</v>
      </c>
      <c r="E85" s="341">
        <v>9.1999999999999993</v>
      </c>
      <c r="F85" s="341">
        <v>3.68</v>
      </c>
    </row>
    <row r="86" spans="1:6" ht="14.4" x14ac:dyDescent="0.25">
      <c r="A86" s="408"/>
      <c r="B86" s="409"/>
      <c r="C86" s="410"/>
      <c r="D86" s="411"/>
      <c r="E86" s="412" t="s">
        <v>259</v>
      </c>
      <c r="F86" s="412">
        <v>5.65</v>
      </c>
    </row>
    <row r="87" spans="1:6" x14ac:dyDescent="0.25">
      <c r="A87" s="404"/>
      <c r="B87" s="405"/>
      <c r="C87" s="406"/>
      <c r="D87" s="407"/>
      <c r="E87" s="341"/>
      <c r="F87" s="341"/>
    </row>
    <row r="88" spans="1:6" x14ac:dyDescent="0.25">
      <c r="A88" s="404"/>
      <c r="B88" s="405"/>
      <c r="C88" s="406"/>
      <c r="D88" s="407"/>
      <c r="E88" s="341"/>
      <c r="F88" s="341"/>
    </row>
    <row r="89" spans="1:6" ht="14.4" x14ac:dyDescent="0.25">
      <c r="A89" s="397" t="s">
        <v>399</v>
      </c>
      <c r="B89" s="398"/>
      <c r="C89" s="399"/>
      <c r="D89" s="400"/>
      <c r="E89" s="401"/>
      <c r="F89" s="401"/>
    </row>
    <row r="90" spans="1:6" ht="14.4" x14ac:dyDescent="0.25">
      <c r="A90" s="397" t="s">
        <v>400</v>
      </c>
      <c r="B90" s="398"/>
      <c r="C90" s="399" t="s">
        <v>317</v>
      </c>
      <c r="D90" s="400"/>
      <c r="E90" s="401" t="s">
        <v>243</v>
      </c>
      <c r="F90" s="401">
        <v>16.739999999999998</v>
      </c>
    </row>
    <row r="91" spans="1:6" ht="14.4" x14ac:dyDescent="0.25">
      <c r="A91" s="398" t="s">
        <v>244</v>
      </c>
      <c r="B91" s="398" t="s">
        <v>52</v>
      </c>
      <c r="C91" s="402" t="s">
        <v>53</v>
      </c>
      <c r="D91" s="402" t="s">
        <v>17</v>
      </c>
      <c r="E91" s="403" t="s">
        <v>245</v>
      </c>
      <c r="F91" s="403" t="s">
        <v>246</v>
      </c>
    </row>
    <row r="92" spans="1:6" x14ac:dyDescent="0.25">
      <c r="A92" s="404" t="s">
        <v>277</v>
      </c>
      <c r="B92" s="405" t="s">
        <v>250</v>
      </c>
      <c r="C92" s="406">
        <v>0.1</v>
      </c>
      <c r="D92" s="407">
        <v>1.3299999999999999E-2</v>
      </c>
      <c r="E92" s="341">
        <v>15.38</v>
      </c>
      <c r="F92" s="341">
        <v>0.2</v>
      </c>
    </row>
    <row r="93" spans="1:6" x14ac:dyDescent="0.25">
      <c r="A93" s="404" t="s">
        <v>298</v>
      </c>
      <c r="B93" s="405" t="s">
        <v>250</v>
      </c>
      <c r="C93" s="406">
        <v>1</v>
      </c>
      <c r="D93" s="407">
        <v>0.1333</v>
      </c>
      <c r="E93" s="341">
        <v>11.86</v>
      </c>
      <c r="F93" s="341">
        <v>1.58</v>
      </c>
    </row>
    <row r="94" spans="1:6" x14ac:dyDescent="0.25">
      <c r="A94" s="404" t="s">
        <v>515</v>
      </c>
      <c r="B94" s="405" t="s">
        <v>250</v>
      </c>
      <c r="C94" s="406">
        <v>1</v>
      </c>
      <c r="D94" s="407">
        <v>0.1333</v>
      </c>
      <c r="E94" s="341">
        <v>13.37</v>
      </c>
      <c r="F94" s="341">
        <v>1.78</v>
      </c>
    </row>
    <row r="95" spans="1:6" ht="14.4" x14ac:dyDescent="0.25">
      <c r="A95" s="408"/>
      <c r="B95" s="409"/>
      <c r="C95" s="410"/>
      <c r="D95" s="411"/>
      <c r="E95" s="412" t="s">
        <v>256</v>
      </c>
      <c r="F95" s="412">
        <v>3.56</v>
      </c>
    </row>
    <row r="96" spans="1:6" x14ac:dyDescent="0.25">
      <c r="A96" s="404"/>
      <c r="B96" s="405"/>
      <c r="C96" s="406"/>
      <c r="D96" s="407"/>
      <c r="E96" s="341"/>
      <c r="F96" s="341"/>
    </row>
    <row r="97" spans="1:6" x14ac:dyDescent="0.25">
      <c r="A97" s="404" t="s">
        <v>401</v>
      </c>
      <c r="B97" s="405" t="s">
        <v>237</v>
      </c>
      <c r="C97" s="406"/>
      <c r="D97" s="407">
        <v>0.12</v>
      </c>
      <c r="E97" s="341">
        <v>25.03</v>
      </c>
      <c r="F97" s="341">
        <v>3</v>
      </c>
    </row>
    <row r="98" spans="1:6" ht="14.4" x14ac:dyDescent="0.25">
      <c r="A98" s="408"/>
      <c r="B98" s="409"/>
      <c r="C98" s="410"/>
      <c r="D98" s="411"/>
      <c r="E98" s="412" t="s">
        <v>257</v>
      </c>
      <c r="F98" s="412">
        <v>3</v>
      </c>
    </row>
    <row r="99" spans="1:6" x14ac:dyDescent="0.25">
      <c r="A99" s="404"/>
      <c r="B99" s="405"/>
      <c r="C99" s="406"/>
      <c r="D99" s="407"/>
      <c r="E99" s="341"/>
      <c r="F99" s="341"/>
    </row>
    <row r="100" spans="1:6" x14ac:dyDescent="0.25">
      <c r="A100" s="404" t="s">
        <v>258</v>
      </c>
      <c r="B100" s="405" t="s">
        <v>252</v>
      </c>
      <c r="C100" s="406"/>
      <c r="D100" s="407">
        <v>5</v>
      </c>
      <c r="E100" s="341">
        <v>3.56</v>
      </c>
      <c r="F100" s="341">
        <v>0.18</v>
      </c>
    </row>
    <row r="101" spans="1:6" x14ac:dyDescent="0.25">
      <c r="A101" s="404" t="s">
        <v>402</v>
      </c>
      <c r="B101" s="405" t="s">
        <v>251</v>
      </c>
      <c r="C101" s="406">
        <v>1</v>
      </c>
      <c r="D101" s="407">
        <v>0.1333</v>
      </c>
      <c r="E101" s="341">
        <v>75</v>
      </c>
      <c r="F101" s="341">
        <v>10</v>
      </c>
    </row>
    <row r="102" spans="1:6" ht="14.4" x14ac:dyDescent="0.25">
      <c r="A102" s="408"/>
      <c r="B102" s="409"/>
      <c r="C102" s="410"/>
      <c r="D102" s="411"/>
      <c r="E102" s="412" t="s">
        <v>259</v>
      </c>
      <c r="F102" s="412">
        <v>10.18</v>
      </c>
    </row>
    <row r="103" spans="1:6" x14ac:dyDescent="0.25">
      <c r="A103" s="404"/>
      <c r="B103" s="405"/>
      <c r="C103" s="406"/>
      <c r="D103" s="407"/>
      <c r="E103" s="341"/>
      <c r="F103" s="341"/>
    </row>
    <row r="104" spans="1:6" x14ac:dyDescent="0.25">
      <c r="A104" s="404"/>
      <c r="B104" s="405"/>
      <c r="C104" s="406"/>
      <c r="D104" s="407"/>
      <c r="E104" s="341"/>
      <c r="F104" s="341"/>
    </row>
    <row r="105" spans="1:6" ht="14.4" x14ac:dyDescent="0.25">
      <c r="A105" s="397" t="s">
        <v>403</v>
      </c>
      <c r="B105" s="398"/>
      <c r="C105" s="399"/>
      <c r="D105" s="400"/>
      <c r="E105" s="401"/>
      <c r="F105" s="401"/>
    </row>
    <row r="106" spans="1:6" ht="14.4" x14ac:dyDescent="0.25">
      <c r="A106" s="397" t="s">
        <v>241</v>
      </c>
      <c r="B106" s="398"/>
      <c r="C106" s="399" t="s">
        <v>242</v>
      </c>
      <c r="D106" s="400"/>
      <c r="E106" s="401" t="s">
        <v>243</v>
      </c>
      <c r="F106" s="401">
        <v>51.47</v>
      </c>
    </row>
    <row r="107" spans="1:6" ht="14.4" x14ac:dyDescent="0.25">
      <c r="A107" s="398" t="s">
        <v>244</v>
      </c>
      <c r="B107" s="398" t="s">
        <v>52</v>
      </c>
      <c r="C107" s="402" t="s">
        <v>53</v>
      </c>
      <c r="D107" s="402" t="s">
        <v>17</v>
      </c>
      <c r="E107" s="403" t="s">
        <v>245</v>
      </c>
      <c r="F107" s="403" t="s">
        <v>246</v>
      </c>
    </row>
    <row r="108" spans="1:6" x14ac:dyDescent="0.25">
      <c r="A108" s="404" t="s">
        <v>293</v>
      </c>
      <c r="B108" s="405" t="s">
        <v>55</v>
      </c>
      <c r="C108" s="406"/>
      <c r="D108" s="407">
        <v>0.33329999999999999</v>
      </c>
      <c r="E108" s="341">
        <v>21.64</v>
      </c>
      <c r="F108" s="341">
        <v>7.21</v>
      </c>
    </row>
    <row r="109" spans="1:6" ht="14.4" x14ac:dyDescent="0.25">
      <c r="A109" s="408"/>
      <c r="B109" s="409"/>
      <c r="C109" s="410"/>
      <c r="D109" s="411"/>
      <c r="E109" s="412" t="s">
        <v>257</v>
      </c>
      <c r="F109" s="412">
        <v>7.21</v>
      </c>
    </row>
    <row r="110" spans="1:6" x14ac:dyDescent="0.25">
      <c r="A110" s="404"/>
      <c r="B110" s="405"/>
      <c r="C110" s="406"/>
      <c r="D110" s="407"/>
      <c r="E110" s="341"/>
      <c r="F110" s="341"/>
    </row>
    <row r="111" spans="1:6" x14ac:dyDescent="0.25">
      <c r="A111" s="404" t="s">
        <v>294</v>
      </c>
      <c r="B111" s="405" t="s">
        <v>237</v>
      </c>
      <c r="C111" s="406"/>
      <c r="D111" s="407">
        <v>4.1000000000000002E-2</v>
      </c>
      <c r="E111" s="341">
        <v>284.38000000000011</v>
      </c>
      <c r="F111" s="341">
        <v>11.66</v>
      </c>
    </row>
    <row r="112" spans="1:6" x14ac:dyDescent="0.25">
      <c r="A112" s="404" t="s">
        <v>296</v>
      </c>
      <c r="B112" s="405" t="s">
        <v>238</v>
      </c>
      <c r="C112" s="406"/>
      <c r="D112" s="407">
        <v>0.9</v>
      </c>
      <c r="E112" s="341">
        <v>36.220000000000013</v>
      </c>
      <c r="F112" s="341">
        <v>32.6</v>
      </c>
    </row>
    <row r="113" spans="1:6" ht="14.4" x14ac:dyDescent="0.25">
      <c r="A113" s="408"/>
      <c r="B113" s="409"/>
      <c r="C113" s="410"/>
      <c r="D113" s="411"/>
      <c r="E113" s="412" t="s">
        <v>249</v>
      </c>
      <c r="F113" s="412">
        <v>44.260000000000012</v>
      </c>
    </row>
    <row r="114" spans="1:6" ht="14.4" x14ac:dyDescent="0.25">
      <c r="A114" s="408" t="s">
        <v>254</v>
      </c>
      <c r="B114" s="409" t="s">
        <v>250</v>
      </c>
      <c r="C114" s="410">
        <v>1</v>
      </c>
      <c r="D114" s="411">
        <v>7.7834809274467245E-2</v>
      </c>
      <c r="E114" s="412">
        <v>0</v>
      </c>
      <c r="F114" s="412">
        <v>0</v>
      </c>
    </row>
    <row r="115" spans="1:6" ht="14.4" x14ac:dyDescent="0.25">
      <c r="A115" s="408" t="s">
        <v>592</v>
      </c>
      <c r="B115" s="409" t="s">
        <v>250</v>
      </c>
      <c r="C115" s="410">
        <v>1</v>
      </c>
      <c r="D115" s="411">
        <v>0.71676634630445957</v>
      </c>
      <c r="E115" s="412">
        <v>0</v>
      </c>
      <c r="F115" s="412">
        <v>0</v>
      </c>
    </row>
    <row r="116" spans="1:6" ht="14.4" x14ac:dyDescent="0.25">
      <c r="A116" s="408" t="s">
        <v>255</v>
      </c>
      <c r="B116" s="409" t="s">
        <v>250</v>
      </c>
      <c r="C116" s="410">
        <v>1</v>
      </c>
      <c r="D116" s="411">
        <v>0.81982791719811721</v>
      </c>
      <c r="E116" s="412">
        <v>0</v>
      </c>
      <c r="F116" s="412">
        <v>0</v>
      </c>
    </row>
    <row r="117" spans="1:6" ht="14.4" x14ac:dyDescent="0.25">
      <c r="A117" s="408" t="s">
        <v>593</v>
      </c>
      <c r="B117" s="409" t="s">
        <v>250</v>
      </c>
      <c r="C117" s="410">
        <v>1</v>
      </c>
      <c r="D117" s="411">
        <v>0.25515426055628898</v>
      </c>
      <c r="E117" s="412">
        <v>0</v>
      </c>
      <c r="F117" s="412">
        <v>0</v>
      </c>
    </row>
    <row r="118" spans="1:6" x14ac:dyDescent="0.25">
      <c r="A118" s="418"/>
      <c r="B118" s="405"/>
      <c r="C118" s="406"/>
      <c r="D118" s="407"/>
      <c r="E118" s="341" t="s">
        <v>256</v>
      </c>
      <c r="F118" s="341">
        <v>0</v>
      </c>
    </row>
    <row r="119" spans="1:6" x14ac:dyDescent="0.25">
      <c r="A119" s="404"/>
      <c r="B119" s="405"/>
      <c r="C119" s="406"/>
      <c r="D119" s="407"/>
      <c r="E119" s="341"/>
      <c r="F119" s="341"/>
    </row>
    <row r="120" spans="1:6" ht="14.4" x14ac:dyDescent="0.25">
      <c r="A120" s="397" t="s">
        <v>451</v>
      </c>
      <c r="B120" s="398"/>
      <c r="C120" s="399"/>
      <c r="D120" s="400"/>
      <c r="E120" s="401"/>
      <c r="F120" s="401"/>
    </row>
    <row r="121" spans="1:6" ht="14.4" x14ac:dyDescent="0.25">
      <c r="A121" s="397" t="s">
        <v>297</v>
      </c>
      <c r="B121" s="398"/>
      <c r="C121" s="399" t="s">
        <v>242</v>
      </c>
      <c r="D121" s="400"/>
      <c r="E121" s="401" t="s">
        <v>243</v>
      </c>
      <c r="F121" s="401">
        <v>11.41</v>
      </c>
    </row>
    <row r="122" spans="1:6" ht="14.4" x14ac:dyDescent="0.25">
      <c r="A122" s="398" t="s">
        <v>244</v>
      </c>
      <c r="B122" s="398" t="s">
        <v>52</v>
      </c>
      <c r="C122" s="402" t="s">
        <v>53</v>
      </c>
      <c r="D122" s="402" t="s">
        <v>17</v>
      </c>
      <c r="E122" s="403" t="s">
        <v>245</v>
      </c>
      <c r="F122" s="403" t="s">
        <v>246</v>
      </c>
    </row>
    <row r="123" spans="1:6" x14ac:dyDescent="0.25">
      <c r="A123" s="404" t="s">
        <v>277</v>
      </c>
      <c r="B123" s="405" t="s">
        <v>250</v>
      </c>
      <c r="C123" s="406">
        <v>0.1</v>
      </c>
      <c r="D123" s="407">
        <v>0.02</v>
      </c>
      <c r="E123" s="341">
        <v>15.38</v>
      </c>
      <c r="F123" s="341">
        <v>0.31</v>
      </c>
    </row>
    <row r="124" spans="1:6" x14ac:dyDescent="0.25">
      <c r="A124" s="404" t="s">
        <v>514</v>
      </c>
      <c r="B124" s="405" t="s">
        <v>250</v>
      </c>
      <c r="C124" s="406">
        <v>1</v>
      </c>
      <c r="D124" s="407">
        <v>0.2</v>
      </c>
      <c r="E124" s="341">
        <v>13.47</v>
      </c>
      <c r="F124" s="341">
        <v>2.69</v>
      </c>
    </row>
    <row r="125" spans="1:6" x14ac:dyDescent="0.25">
      <c r="A125" s="404" t="s">
        <v>515</v>
      </c>
      <c r="B125" s="405" t="s">
        <v>250</v>
      </c>
      <c r="C125" s="406">
        <v>1</v>
      </c>
      <c r="D125" s="407">
        <v>0.2</v>
      </c>
      <c r="E125" s="341">
        <v>13.37</v>
      </c>
      <c r="F125" s="341">
        <v>2.67</v>
      </c>
    </row>
    <row r="126" spans="1:6" x14ac:dyDescent="0.25">
      <c r="A126" s="404" t="s">
        <v>298</v>
      </c>
      <c r="B126" s="405" t="s">
        <v>250</v>
      </c>
      <c r="C126" s="406">
        <v>1</v>
      </c>
      <c r="D126" s="407">
        <v>0.2</v>
      </c>
      <c r="E126" s="341">
        <v>11.86</v>
      </c>
      <c r="F126" s="341">
        <v>2.37</v>
      </c>
    </row>
    <row r="127" spans="1:6" ht="14.4" x14ac:dyDescent="0.25">
      <c r="A127" s="408"/>
      <c r="B127" s="409"/>
      <c r="C127" s="410"/>
      <c r="D127" s="411"/>
      <c r="E127" s="412" t="s">
        <v>256</v>
      </c>
      <c r="F127" s="412">
        <v>8.0399999999999991</v>
      </c>
    </row>
    <row r="128" spans="1:6" x14ac:dyDescent="0.25">
      <c r="A128" s="404"/>
      <c r="B128" s="405"/>
      <c r="C128" s="406"/>
      <c r="D128" s="407"/>
      <c r="E128" s="341"/>
      <c r="F128" s="341"/>
    </row>
    <row r="129" spans="1:6" x14ac:dyDescent="0.25">
      <c r="A129" s="404" t="s">
        <v>299</v>
      </c>
      <c r="B129" s="405" t="s">
        <v>55</v>
      </c>
      <c r="C129" s="406"/>
      <c r="D129" s="407">
        <v>0.5</v>
      </c>
      <c r="E129" s="341">
        <v>4.29</v>
      </c>
      <c r="F129" s="341">
        <v>2.15</v>
      </c>
    </row>
    <row r="130" spans="1:6" x14ac:dyDescent="0.25">
      <c r="A130" s="404" t="s">
        <v>260</v>
      </c>
      <c r="B130" s="405" t="s">
        <v>237</v>
      </c>
      <c r="C130" s="406"/>
      <c r="D130" s="407">
        <v>0.02</v>
      </c>
      <c r="E130" s="341">
        <v>6.2</v>
      </c>
      <c r="F130" s="341">
        <v>0.12</v>
      </c>
    </row>
    <row r="131" spans="1:6" ht="14.4" x14ac:dyDescent="0.25">
      <c r="A131" s="408"/>
      <c r="B131" s="409"/>
      <c r="C131" s="410"/>
      <c r="D131" s="411"/>
      <c r="E131" s="412" t="s">
        <v>257</v>
      </c>
      <c r="F131" s="412">
        <v>2.27</v>
      </c>
    </row>
    <row r="132" spans="1:6" x14ac:dyDescent="0.25">
      <c r="A132" s="404"/>
      <c r="B132" s="405"/>
      <c r="C132" s="406"/>
      <c r="D132" s="407"/>
      <c r="E132" s="341"/>
      <c r="F132" s="341"/>
    </row>
    <row r="133" spans="1:6" x14ac:dyDescent="0.25">
      <c r="A133" s="404" t="s">
        <v>258</v>
      </c>
      <c r="B133" s="405" t="s">
        <v>252</v>
      </c>
      <c r="C133" s="406"/>
      <c r="D133" s="407">
        <v>5</v>
      </c>
      <c r="E133" s="341">
        <v>8.0399999999999991</v>
      </c>
      <c r="F133" s="341">
        <v>0.4</v>
      </c>
    </row>
    <row r="134" spans="1:6" x14ac:dyDescent="0.25">
      <c r="A134" s="404" t="s">
        <v>300</v>
      </c>
      <c r="B134" s="405" t="s">
        <v>251</v>
      </c>
      <c r="C134" s="406">
        <v>1</v>
      </c>
      <c r="D134" s="407">
        <v>0.2</v>
      </c>
      <c r="E134" s="341">
        <v>3.5</v>
      </c>
      <c r="F134" s="341">
        <v>0.7</v>
      </c>
    </row>
    <row r="135" spans="1:6" ht="14.4" x14ac:dyDescent="0.25">
      <c r="A135" s="408"/>
      <c r="B135" s="409"/>
      <c r="C135" s="410"/>
      <c r="D135" s="411"/>
      <c r="E135" s="412" t="s">
        <v>259</v>
      </c>
      <c r="F135" s="412">
        <v>1.1000000000000001</v>
      </c>
    </row>
    <row r="136" spans="1:6" x14ac:dyDescent="0.25">
      <c r="A136" s="404"/>
      <c r="B136" s="405"/>
      <c r="C136" s="406"/>
      <c r="D136" s="407"/>
      <c r="E136" s="341"/>
      <c r="F136" s="341"/>
    </row>
    <row r="137" spans="1:6" x14ac:dyDescent="0.25">
      <c r="A137" s="404"/>
      <c r="B137" s="405"/>
      <c r="C137" s="406"/>
      <c r="D137" s="407"/>
      <c r="E137" s="341"/>
      <c r="F137" s="341"/>
    </row>
    <row r="138" spans="1:6" ht="14.4" x14ac:dyDescent="0.25">
      <c r="A138" s="397" t="s">
        <v>452</v>
      </c>
      <c r="B138" s="398"/>
      <c r="C138" s="399"/>
      <c r="D138" s="400"/>
      <c r="E138" s="401"/>
      <c r="F138" s="401"/>
    </row>
    <row r="139" spans="1:6" ht="14.4" x14ac:dyDescent="0.25">
      <c r="A139" s="397" t="s">
        <v>404</v>
      </c>
      <c r="B139" s="398"/>
      <c r="C139" s="399" t="s">
        <v>253</v>
      </c>
      <c r="D139" s="400"/>
      <c r="E139" s="401" t="s">
        <v>243</v>
      </c>
      <c r="F139" s="401">
        <v>48.24</v>
      </c>
    </row>
    <row r="140" spans="1:6" ht="14.4" x14ac:dyDescent="0.25">
      <c r="A140" s="398" t="s">
        <v>244</v>
      </c>
      <c r="B140" s="398" t="s">
        <v>52</v>
      </c>
      <c r="C140" s="402" t="s">
        <v>53</v>
      </c>
      <c r="D140" s="402" t="s">
        <v>17</v>
      </c>
      <c r="E140" s="403" t="s">
        <v>245</v>
      </c>
      <c r="F140" s="403" t="s">
        <v>246</v>
      </c>
    </row>
    <row r="141" spans="1:6" x14ac:dyDescent="0.25">
      <c r="A141" s="404" t="s">
        <v>292</v>
      </c>
      <c r="B141" s="405" t="s">
        <v>250</v>
      </c>
      <c r="C141" s="406">
        <v>0.03</v>
      </c>
      <c r="D141" s="407">
        <v>0.2</v>
      </c>
      <c r="E141" s="341">
        <v>13.94</v>
      </c>
      <c r="F141" s="341">
        <v>2.79</v>
      </c>
    </row>
    <row r="142" spans="1:6" ht="14.4" x14ac:dyDescent="0.25">
      <c r="A142" s="408"/>
      <c r="B142" s="409"/>
      <c r="C142" s="410"/>
      <c r="D142" s="411"/>
      <c r="E142" s="412" t="s">
        <v>256</v>
      </c>
      <c r="F142" s="412">
        <v>2.79</v>
      </c>
    </row>
    <row r="143" spans="1:6" x14ac:dyDescent="0.25">
      <c r="A143" s="404"/>
      <c r="B143" s="405"/>
      <c r="C143" s="406"/>
      <c r="D143" s="407"/>
      <c r="E143" s="341"/>
      <c r="F143" s="341"/>
    </row>
    <row r="144" spans="1:6" x14ac:dyDescent="0.25">
      <c r="A144" s="404" t="s">
        <v>405</v>
      </c>
      <c r="B144" s="405" t="s">
        <v>237</v>
      </c>
      <c r="C144" s="406"/>
      <c r="D144" s="407">
        <v>1</v>
      </c>
      <c r="E144" s="341">
        <v>45.45</v>
      </c>
      <c r="F144" s="341">
        <v>45.45</v>
      </c>
    </row>
    <row r="145" spans="1:6" ht="14.4" x14ac:dyDescent="0.25">
      <c r="A145" s="408"/>
      <c r="B145" s="409"/>
      <c r="C145" s="410"/>
      <c r="D145" s="411"/>
      <c r="E145" s="412" t="s">
        <v>406</v>
      </c>
      <c r="F145" s="412">
        <v>45.45</v>
      </c>
    </row>
    <row r="146" spans="1:6" x14ac:dyDescent="0.25">
      <c r="A146" s="404"/>
      <c r="B146" s="405"/>
      <c r="C146" s="406"/>
      <c r="D146" s="407"/>
      <c r="E146" s="341"/>
      <c r="F146" s="341"/>
    </row>
    <row r="147" spans="1:6" x14ac:dyDescent="0.25">
      <c r="A147" s="404"/>
      <c r="B147" s="405"/>
      <c r="C147" s="406"/>
      <c r="D147" s="407"/>
      <c r="E147" s="341"/>
      <c r="F147" s="341"/>
    </row>
    <row r="148" spans="1:6" ht="14.4" x14ac:dyDescent="0.25">
      <c r="A148" s="397" t="s">
        <v>453</v>
      </c>
      <c r="B148" s="398"/>
      <c r="C148" s="399"/>
      <c r="D148" s="400"/>
      <c r="E148" s="401"/>
      <c r="F148" s="401"/>
    </row>
    <row r="149" spans="1:6" ht="14.4" x14ac:dyDescent="0.25">
      <c r="A149" s="397" t="s">
        <v>301</v>
      </c>
      <c r="B149" s="398"/>
      <c r="C149" s="399" t="s">
        <v>253</v>
      </c>
      <c r="D149" s="400"/>
      <c r="E149" s="401" t="s">
        <v>243</v>
      </c>
      <c r="F149" s="401">
        <v>43.669999999999987</v>
      </c>
    </row>
    <row r="150" spans="1:6" ht="14.4" x14ac:dyDescent="0.25">
      <c r="A150" s="398" t="s">
        <v>244</v>
      </c>
      <c r="B150" s="398" t="s">
        <v>52</v>
      </c>
      <c r="C150" s="402" t="s">
        <v>53</v>
      </c>
      <c r="D150" s="402" t="s">
        <v>17</v>
      </c>
      <c r="E150" s="403" t="s">
        <v>245</v>
      </c>
      <c r="F150" s="403" t="s">
        <v>246</v>
      </c>
    </row>
    <row r="151" spans="1:6" x14ac:dyDescent="0.25">
      <c r="A151" s="404" t="s">
        <v>277</v>
      </c>
      <c r="B151" s="405" t="s">
        <v>250</v>
      </c>
      <c r="C151" s="406">
        <v>0.1</v>
      </c>
      <c r="D151" s="407">
        <v>6.6699999999999995E-2</v>
      </c>
      <c r="E151" s="341">
        <v>15.38</v>
      </c>
      <c r="F151" s="341">
        <v>1.03</v>
      </c>
    </row>
    <row r="152" spans="1:6" x14ac:dyDescent="0.25">
      <c r="A152" s="404" t="s">
        <v>514</v>
      </c>
      <c r="B152" s="405" t="s">
        <v>250</v>
      </c>
      <c r="C152" s="406">
        <v>1</v>
      </c>
      <c r="D152" s="407">
        <v>0.66669999999999996</v>
      </c>
      <c r="E152" s="341">
        <v>13.47</v>
      </c>
      <c r="F152" s="341">
        <v>8.98</v>
      </c>
    </row>
    <row r="153" spans="1:6" x14ac:dyDescent="0.25">
      <c r="A153" s="404" t="s">
        <v>298</v>
      </c>
      <c r="B153" s="405" t="s">
        <v>250</v>
      </c>
      <c r="C153" s="406">
        <v>3</v>
      </c>
      <c r="D153" s="407">
        <v>2</v>
      </c>
      <c r="E153" s="341">
        <v>11.86</v>
      </c>
      <c r="F153" s="341">
        <v>23.72</v>
      </c>
    </row>
    <row r="154" spans="1:6" ht="14.4" x14ac:dyDescent="0.25">
      <c r="A154" s="408"/>
      <c r="B154" s="409"/>
      <c r="C154" s="410"/>
      <c r="D154" s="411"/>
      <c r="E154" s="412" t="s">
        <v>256</v>
      </c>
      <c r="F154" s="412">
        <v>33.729999999999997</v>
      </c>
    </row>
    <row r="155" spans="1:6" x14ac:dyDescent="0.25">
      <c r="A155" s="404"/>
      <c r="B155" s="405"/>
      <c r="C155" s="406"/>
      <c r="D155" s="407"/>
      <c r="E155" s="341"/>
      <c r="F155" s="341"/>
    </row>
    <row r="156" spans="1:6" x14ac:dyDescent="0.25">
      <c r="A156" s="404" t="s">
        <v>260</v>
      </c>
      <c r="B156" s="405" t="s">
        <v>237</v>
      </c>
      <c r="C156" s="406"/>
      <c r="D156" s="407">
        <v>0.02</v>
      </c>
      <c r="E156" s="341">
        <v>6.2</v>
      </c>
      <c r="F156" s="341">
        <v>0.12</v>
      </c>
    </row>
    <row r="157" spans="1:6" ht="14.4" x14ac:dyDescent="0.25">
      <c r="A157" s="408"/>
      <c r="B157" s="409"/>
      <c r="C157" s="410"/>
      <c r="D157" s="411"/>
      <c r="E157" s="412" t="s">
        <v>257</v>
      </c>
      <c r="F157" s="412">
        <v>0.12</v>
      </c>
    </row>
    <row r="158" spans="1:6" x14ac:dyDescent="0.25">
      <c r="A158" s="404"/>
      <c r="B158" s="405"/>
      <c r="C158" s="406"/>
      <c r="D158" s="407"/>
      <c r="E158" s="341"/>
      <c r="F158" s="341"/>
    </row>
    <row r="159" spans="1:6" x14ac:dyDescent="0.25">
      <c r="A159" s="404" t="s">
        <v>258</v>
      </c>
      <c r="B159" s="405" t="s">
        <v>252</v>
      </c>
      <c r="C159" s="406"/>
      <c r="D159" s="407">
        <v>5</v>
      </c>
      <c r="E159" s="341">
        <v>33.729999999999997</v>
      </c>
      <c r="F159" s="341">
        <v>1.69</v>
      </c>
    </row>
    <row r="160" spans="1:6" x14ac:dyDescent="0.25">
      <c r="A160" s="404" t="s">
        <v>302</v>
      </c>
      <c r="B160" s="405" t="s">
        <v>251</v>
      </c>
      <c r="C160" s="406">
        <v>1</v>
      </c>
      <c r="D160" s="407">
        <v>0.66669999999999996</v>
      </c>
      <c r="E160" s="341">
        <v>12.2</v>
      </c>
      <c r="F160" s="341">
        <v>8.1300000000000008</v>
      </c>
    </row>
    <row r="161" spans="1:6" ht="14.4" x14ac:dyDescent="0.25">
      <c r="A161" s="408"/>
      <c r="B161" s="409"/>
      <c r="C161" s="410"/>
      <c r="D161" s="411"/>
      <c r="E161" s="412" t="s">
        <v>259</v>
      </c>
      <c r="F161" s="412">
        <v>9.82</v>
      </c>
    </row>
    <row r="162" spans="1:6" x14ac:dyDescent="0.25">
      <c r="A162" s="404"/>
      <c r="B162" s="405"/>
      <c r="C162" s="406"/>
      <c r="D162" s="407"/>
      <c r="E162" s="341"/>
      <c r="F162" s="341"/>
    </row>
    <row r="163" spans="1:6" x14ac:dyDescent="0.25">
      <c r="A163" s="404"/>
      <c r="B163" s="405"/>
      <c r="C163" s="406"/>
      <c r="D163" s="407"/>
      <c r="E163" s="341"/>
      <c r="F163" s="341"/>
    </row>
    <row r="164" spans="1:6" ht="14.4" x14ac:dyDescent="0.25">
      <c r="A164" s="397" t="s">
        <v>454</v>
      </c>
      <c r="B164" s="398"/>
      <c r="C164" s="399"/>
      <c r="D164" s="400"/>
      <c r="E164" s="401"/>
      <c r="F164" s="401"/>
    </row>
    <row r="165" spans="1:6" ht="14.4" x14ac:dyDescent="0.25">
      <c r="A165" s="397" t="s">
        <v>407</v>
      </c>
      <c r="B165" s="398"/>
      <c r="C165" s="399" t="s">
        <v>253</v>
      </c>
      <c r="D165" s="400"/>
      <c r="E165" s="401" t="s">
        <v>243</v>
      </c>
      <c r="F165" s="401">
        <v>15.38</v>
      </c>
    </row>
    <row r="166" spans="1:6" ht="14.4" x14ac:dyDescent="0.25">
      <c r="A166" s="398" t="s">
        <v>244</v>
      </c>
      <c r="B166" s="398" t="s">
        <v>52</v>
      </c>
      <c r="C166" s="402" t="s">
        <v>53</v>
      </c>
      <c r="D166" s="402" t="s">
        <v>17</v>
      </c>
      <c r="E166" s="403" t="s">
        <v>245</v>
      </c>
      <c r="F166" s="403" t="s">
        <v>246</v>
      </c>
    </row>
    <row r="167" spans="1:6" x14ac:dyDescent="0.25">
      <c r="A167" s="404" t="s">
        <v>278</v>
      </c>
      <c r="B167" s="405" t="s">
        <v>250</v>
      </c>
      <c r="C167" s="406">
        <v>1</v>
      </c>
      <c r="D167" s="407">
        <v>0.1</v>
      </c>
      <c r="E167" s="341">
        <v>13.46</v>
      </c>
      <c r="F167" s="341">
        <v>1.35</v>
      </c>
    </row>
    <row r="168" spans="1:6" x14ac:dyDescent="0.25">
      <c r="A168" s="404" t="s">
        <v>290</v>
      </c>
      <c r="B168" s="405" t="s">
        <v>250</v>
      </c>
      <c r="C168" s="406">
        <v>1</v>
      </c>
      <c r="D168" s="407">
        <v>0.1</v>
      </c>
      <c r="E168" s="341">
        <v>15.2</v>
      </c>
      <c r="F168" s="341">
        <v>1.52</v>
      </c>
    </row>
    <row r="169" spans="1:6" x14ac:dyDescent="0.25">
      <c r="A169" s="404" t="s">
        <v>279</v>
      </c>
      <c r="B169" s="405" t="s">
        <v>250</v>
      </c>
      <c r="C169" s="406">
        <v>1</v>
      </c>
      <c r="D169" s="407">
        <v>0.1</v>
      </c>
      <c r="E169" s="341">
        <v>11.86</v>
      </c>
      <c r="F169" s="341">
        <v>1.19</v>
      </c>
    </row>
    <row r="170" spans="1:6" ht="14.4" x14ac:dyDescent="0.25">
      <c r="A170" s="408"/>
      <c r="B170" s="409"/>
      <c r="C170" s="410"/>
      <c r="D170" s="411"/>
      <c r="E170" s="412" t="s">
        <v>256</v>
      </c>
      <c r="F170" s="412">
        <v>4.0599999999999996</v>
      </c>
    </row>
    <row r="171" spans="1:6" x14ac:dyDescent="0.25">
      <c r="A171" s="404"/>
      <c r="B171" s="405"/>
      <c r="C171" s="406"/>
      <c r="D171" s="407"/>
      <c r="E171" s="341"/>
      <c r="F171" s="341"/>
    </row>
    <row r="172" spans="1:6" x14ac:dyDescent="0.25">
      <c r="A172" s="404" t="s">
        <v>291</v>
      </c>
      <c r="B172" s="405" t="s">
        <v>251</v>
      </c>
      <c r="C172" s="406"/>
      <c r="D172" s="407">
        <v>0.1</v>
      </c>
      <c r="E172" s="341">
        <v>38.229999999999997</v>
      </c>
      <c r="F172" s="341">
        <v>3.82</v>
      </c>
    </row>
    <row r="173" spans="1:6" ht="14.4" x14ac:dyDescent="0.25">
      <c r="A173" s="408"/>
      <c r="B173" s="409"/>
      <c r="C173" s="410"/>
      <c r="D173" s="411"/>
      <c r="E173" s="412" t="s">
        <v>257</v>
      </c>
      <c r="F173" s="412">
        <v>3.82</v>
      </c>
    </row>
    <row r="174" spans="1:6" x14ac:dyDescent="0.25">
      <c r="A174" s="404"/>
      <c r="B174" s="405"/>
      <c r="C174" s="406"/>
      <c r="D174" s="407"/>
      <c r="E174" s="341"/>
      <c r="F174" s="341"/>
    </row>
    <row r="175" spans="1:6" x14ac:dyDescent="0.25">
      <c r="A175" s="404" t="s">
        <v>402</v>
      </c>
      <c r="B175" s="405" t="s">
        <v>251</v>
      </c>
      <c r="C175" s="406">
        <v>1</v>
      </c>
      <c r="D175" s="407">
        <v>0.1</v>
      </c>
      <c r="E175" s="341">
        <v>75</v>
      </c>
      <c r="F175" s="341">
        <v>7.5</v>
      </c>
    </row>
    <row r="176" spans="1:6" ht="14.4" x14ac:dyDescent="0.25">
      <c r="A176" s="408"/>
      <c r="B176" s="409"/>
      <c r="C176" s="410"/>
      <c r="D176" s="411"/>
      <c r="E176" s="412" t="s">
        <v>259</v>
      </c>
      <c r="F176" s="412">
        <v>7.5</v>
      </c>
    </row>
    <row r="177" spans="1:6" x14ac:dyDescent="0.25">
      <c r="A177" s="404"/>
      <c r="B177" s="405"/>
      <c r="C177" s="406"/>
      <c r="D177" s="407"/>
      <c r="E177" s="341"/>
      <c r="F177" s="341"/>
    </row>
    <row r="178" spans="1:6" x14ac:dyDescent="0.25">
      <c r="A178" s="404"/>
      <c r="B178" s="405"/>
      <c r="C178" s="406"/>
      <c r="D178" s="407"/>
      <c r="E178" s="341"/>
      <c r="F178" s="341"/>
    </row>
    <row r="179" spans="1:6" ht="14.4" x14ac:dyDescent="0.25">
      <c r="A179" s="397" t="s">
        <v>303</v>
      </c>
      <c r="B179" s="398"/>
      <c r="C179" s="399"/>
      <c r="D179" s="400"/>
      <c r="E179" s="401"/>
      <c r="F179" s="401"/>
    </row>
    <row r="180" spans="1:6" ht="14.4" x14ac:dyDescent="0.25">
      <c r="A180" s="397" t="s">
        <v>394</v>
      </c>
      <c r="B180" s="398"/>
      <c r="C180" s="399" t="s">
        <v>253</v>
      </c>
      <c r="D180" s="400"/>
      <c r="E180" s="401" t="s">
        <v>243</v>
      </c>
      <c r="F180" s="401">
        <v>18.260000000000002</v>
      </c>
    </row>
    <row r="181" spans="1:6" ht="14.4" x14ac:dyDescent="0.25">
      <c r="A181" s="398" t="s">
        <v>244</v>
      </c>
      <c r="B181" s="398" t="s">
        <v>52</v>
      </c>
      <c r="C181" s="402" t="s">
        <v>53</v>
      </c>
      <c r="D181" s="402" t="s">
        <v>17</v>
      </c>
      <c r="E181" s="403" t="s">
        <v>245</v>
      </c>
      <c r="F181" s="403" t="s">
        <v>246</v>
      </c>
    </row>
    <row r="182" spans="1:6" x14ac:dyDescent="0.25">
      <c r="A182" s="404" t="s">
        <v>277</v>
      </c>
      <c r="B182" s="405" t="s">
        <v>250</v>
      </c>
      <c r="C182" s="406">
        <v>0.1</v>
      </c>
      <c r="D182" s="407">
        <v>2.6700000000000002E-2</v>
      </c>
      <c r="E182" s="341">
        <v>15.38</v>
      </c>
      <c r="F182" s="341">
        <v>0.41</v>
      </c>
    </row>
    <row r="183" spans="1:6" x14ac:dyDescent="0.25">
      <c r="A183" s="404" t="s">
        <v>290</v>
      </c>
      <c r="B183" s="405" t="s">
        <v>250</v>
      </c>
      <c r="C183" s="406">
        <v>1</v>
      </c>
      <c r="D183" s="407">
        <v>0.26669999999999999</v>
      </c>
      <c r="E183" s="341">
        <v>15.2</v>
      </c>
      <c r="F183" s="341">
        <v>4.05</v>
      </c>
    </row>
    <row r="184" spans="1:6" x14ac:dyDescent="0.25">
      <c r="A184" s="404" t="s">
        <v>279</v>
      </c>
      <c r="B184" s="405" t="s">
        <v>250</v>
      </c>
      <c r="C184" s="406">
        <v>1</v>
      </c>
      <c r="D184" s="407">
        <v>0.26669999999999999</v>
      </c>
      <c r="E184" s="341">
        <v>11.86</v>
      </c>
      <c r="F184" s="341">
        <v>3.16</v>
      </c>
    </row>
    <row r="185" spans="1:6" ht="14.4" x14ac:dyDescent="0.25">
      <c r="A185" s="408"/>
      <c r="B185" s="409"/>
      <c r="C185" s="410"/>
      <c r="D185" s="411"/>
      <c r="E185" s="412" t="s">
        <v>256</v>
      </c>
      <c r="F185" s="412">
        <v>7.62</v>
      </c>
    </row>
    <row r="186" spans="1:6" x14ac:dyDescent="0.25">
      <c r="A186" s="404"/>
      <c r="B186" s="405"/>
      <c r="C186" s="406"/>
      <c r="D186" s="407"/>
      <c r="E186" s="341"/>
      <c r="F186" s="341"/>
    </row>
    <row r="187" spans="1:6" x14ac:dyDescent="0.25">
      <c r="A187" s="404" t="s">
        <v>501</v>
      </c>
      <c r="B187" s="405" t="s">
        <v>55</v>
      </c>
      <c r="C187" s="406"/>
      <c r="D187" s="407">
        <v>2.571E-2</v>
      </c>
      <c r="E187" s="341">
        <v>2.36</v>
      </c>
      <c r="F187" s="341">
        <v>0.06</v>
      </c>
    </row>
    <row r="188" spans="1:6" x14ac:dyDescent="0.25">
      <c r="A188" s="404" t="s">
        <v>291</v>
      </c>
      <c r="B188" s="405" t="s">
        <v>251</v>
      </c>
      <c r="C188" s="406"/>
      <c r="D188" s="407">
        <v>0.26669999999999999</v>
      </c>
      <c r="E188" s="341">
        <v>38.229999999999997</v>
      </c>
      <c r="F188" s="341">
        <v>10.199999999999999</v>
      </c>
    </row>
    <row r="189" spans="1:6" ht="14.4" x14ac:dyDescent="0.25">
      <c r="A189" s="408"/>
      <c r="B189" s="409"/>
      <c r="C189" s="410"/>
      <c r="D189" s="411"/>
      <c r="E189" s="412" t="s">
        <v>257</v>
      </c>
      <c r="F189" s="412">
        <v>10.26</v>
      </c>
    </row>
    <row r="190" spans="1:6" x14ac:dyDescent="0.25">
      <c r="A190" s="404"/>
      <c r="B190" s="405"/>
      <c r="C190" s="406"/>
      <c r="D190" s="407"/>
      <c r="E190" s="341"/>
      <c r="F190" s="341"/>
    </row>
    <row r="191" spans="1:6" x14ac:dyDescent="0.25">
      <c r="A191" s="404" t="s">
        <v>258</v>
      </c>
      <c r="B191" s="405" t="s">
        <v>252</v>
      </c>
      <c r="C191" s="406"/>
      <c r="D191" s="407">
        <v>5</v>
      </c>
      <c r="E191" s="341">
        <v>7.62</v>
      </c>
      <c r="F191" s="341">
        <v>0.38</v>
      </c>
    </row>
    <row r="192" spans="1:6" ht="14.4" x14ac:dyDescent="0.25">
      <c r="A192" s="408"/>
      <c r="B192" s="409"/>
      <c r="C192" s="410"/>
      <c r="D192" s="411"/>
      <c r="E192" s="412" t="s">
        <v>259</v>
      </c>
      <c r="F192" s="412">
        <v>0.38</v>
      </c>
    </row>
    <row r="193" spans="1:6" x14ac:dyDescent="0.25">
      <c r="A193" s="404"/>
      <c r="B193" s="405"/>
      <c r="C193" s="406"/>
      <c r="D193" s="407"/>
      <c r="E193" s="341"/>
      <c r="F193" s="341"/>
    </row>
    <row r="194" spans="1:6" x14ac:dyDescent="0.25">
      <c r="A194" s="404"/>
      <c r="B194" s="405"/>
      <c r="C194" s="406"/>
      <c r="D194" s="407"/>
      <c r="E194" s="341"/>
      <c r="F194" s="341"/>
    </row>
    <row r="195" spans="1:6" ht="14.4" x14ac:dyDescent="0.25">
      <c r="A195" s="397" t="s">
        <v>408</v>
      </c>
      <c r="B195" s="398"/>
      <c r="C195" s="399"/>
      <c r="D195" s="400"/>
      <c r="E195" s="401"/>
      <c r="F195" s="401"/>
    </row>
    <row r="196" spans="1:6" ht="14.4" x14ac:dyDescent="0.25">
      <c r="A196" s="397" t="s">
        <v>396</v>
      </c>
      <c r="B196" s="398"/>
      <c r="C196" s="399" t="s">
        <v>317</v>
      </c>
      <c r="D196" s="400"/>
      <c r="E196" s="401" t="s">
        <v>243</v>
      </c>
      <c r="F196" s="401">
        <v>17.13</v>
      </c>
    </row>
    <row r="197" spans="1:6" ht="14.4" x14ac:dyDescent="0.25">
      <c r="A197" s="398" t="s">
        <v>244</v>
      </c>
      <c r="B197" s="398" t="s">
        <v>52</v>
      </c>
      <c r="C197" s="402" t="s">
        <v>53</v>
      </c>
      <c r="D197" s="402" t="s">
        <v>17</v>
      </c>
      <c r="E197" s="403" t="s">
        <v>245</v>
      </c>
      <c r="F197" s="403" t="s">
        <v>246</v>
      </c>
    </row>
    <row r="198" spans="1:6" x14ac:dyDescent="0.25">
      <c r="A198" s="404" t="s">
        <v>277</v>
      </c>
      <c r="B198" s="405" t="s">
        <v>250</v>
      </c>
      <c r="C198" s="406">
        <v>0.1</v>
      </c>
      <c r="D198" s="407">
        <v>0.04</v>
      </c>
      <c r="E198" s="341">
        <v>15.38</v>
      </c>
      <c r="F198" s="341">
        <v>0.62</v>
      </c>
    </row>
    <row r="199" spans="1:6" x14ac:dyDescent="0.25">
      <c r="A199" s="404" t="s">
        <v>514</v>
      </c>
      <c r="B199" s="405" t="s">
        <v>250</v>
      </c>
      <c r="C199" s="406">
        <v>1</v>
      </c>
      <c r="D199" s="407">
        <v>0.4</v>
      </c>
      <c r="E199" s="341">
        <v>13.47</v>
      </c>
      <c r="F199" s="341">
        <v>5.39</v>
      </c>
    </row>
    <row r="200" spans="1:6" x14ac:dyDescent="0.25">
      <c r="A200" s="404" t="s">
        <v>515</v>
      </c>
      <c r="B200" s="405" t="s">
        <v>250</v>
      </c>
      <c r="C200" s="406">
        <v>1</v>
      </c>
      <c r="D200" s="407">
        <v>0.4</v>
      </c>
      <c r="E200" s="341">
        <v>13.37</v>
      </c>
      <c r="F200" s="341">
        <v>5.35</v>
      </c>
    </row>
    <row r="201" spans="1:6" ht="14.4" x14ac:dyDescent="0.25">
      <c r="A201" s="408"/>
      <c r="B201" s="409"/>
      <c r="C201" s="410"/>
      <c r="D201" s="411"/>
      <c r="E201" s="412" t="s">
        <v>256</v>
      </c>
      <c r="F201" s="412">
        <v>11.36</v>
      </c>
    </row>
    <row r="202" spans="1:6" x14ac:dyDescent="0.25">
      <c r="A202" s="404"/>
      <c r="B202" s="405"/>
      <c r="C202" s="406"/>
      <c r="D202" s="407"/>
      <c r="E202" s="341"/>
      <c r="F202" s="341"/>
    </row>
    <row r="203" spans="1:6" x14ac:dyDescent="0.25">
      <c r="A203" s="404" t="s">
        <v>260</v>
      </c>
      <c r="B203" s="405" t="s">
        <v>237</v>
      </c>
      <c r="C203" s="406"/>
      <c r="D203" s="407">
        <v>0.02</v>
      </c>
      <c r="E203" s="341">
        <v>6.2</v>
      </c>
      <c r="F203" s="341">
        <v>0.12</v>
      </c>
    </row>
    <row r="204" spans="1:6" ht="14.4" x14ac:dyDescent="0.25">
      <c r="A204" s="408"/>
      <c r="B204" s="409"/>
      <c r="C204" s="410"/>
      <c r="D204" s="411"/>
      <c r="E204" s="412" t="s">
        <v>257</v>
      </c>
      <c r="F204" s="412">
        <v>0.12</v>
      </c>
    </row>
    <row r="205" spans="1:6" x14ac:dyDescent="0.25">
      <c r="A205" s="404"/>
      <c r="B205" s="405"/>
      <c r="C205" s="406"/>
      <c r="D205" s="407"/>
      <c r="E205" s="341"/>
      <c r="F205" s="341"/>
    </row>
    <row r="206" spans="1:6" x14ac:dyDescent="0.25">
      <c r="A206" s="404" t="s">
        <v>258</v>
      </c>
      <c r="B206" s="405" t="s">
        <v>252</v>
      </c>
      <c r="C206" s="406"/>
      <c r="D206" s="407">
        <v>5</v>
      </c>
      <c r="E206" s="341">
        <v>11.36</v>
      </c>
      <c r="F206" s="341">
        <v>0.56999999999999995</v>
      </c>
    </row>
    <row r="207" spans="1:6" x14ac:dyDescent="0.25">
      <c r="A207" s="404" t="s">
        <v>397</v>
      </c>
      <c r="B207" s="405" t="s">
        <v>251</v>
      </c>
      <c r="C207" s="406">
        <v>1</v>
      </c>
      <c r="D207" s="407">
        <v>0.4</v>
      </c>
      <c r="E207" s="341">
        <v>3.5</v>
      </c>
      <c r="F207" s="341">
        <v>1.4</v>
      </c>
    </row>
    <row r="208" spans="1:6" x14ac:dyDescent="0.25">
      <c r="A208" s="404" t="s">
        <v>398</v>
      </c>
      <c r="B208" s="405" t="s">
        <v>251</v>
      </c>
      <c r="C208" s="406">
        <v>1</v>
      </c>
      <c r="D208" s="407">
        <v>0.4</v>
      </c>
      <c r="E208" s="341">
        <v>9.1999999999999993</v>
      </c>
      <c r="F208" s="341">
        <v>3.68</v>
      </c>
    </row>
    <row r="209" spans="1:6" ht="14.4" x14ac:dyDescent="0.25">
      <c r="A209" s="408"/>
      <c r="B209" s="409"/>
      <c r="C209" s="410"/>
      <c r="D209" s="411"/>
      <c r="E209" s="412" t="s">
        <v>259</v>
      </c>
      <c r="F209" s="412">
        <v>5.65</v>
      </c>
    </row>
    <row r="210" spans="1:6" x14ac:dyDescent="0.25">
      <c r="A210" s="404"/>
      <c r="B210" s="405"/>
      <c r="C210" s="406"/>
      <c r="D210" s="407"/>
      <c r="E210" s="341"/>
      <c r="F210" s="341"/>
    </row>
    <row r="211" spans="1:6" x14ac:dyDescent="0.25">
      <c r="A211" s="404"/>
      <c r="B211" s="405"/>
      <c r="C211" s="406"/>
      <c r="D211" s="407"/>
      <c r="E211" s="341"/>
      <c r="F211" s="341"/>
    </row>
    <row r="212" spans="1:6" ht="14.4" x14ac:dyDescent="0.25">
      <c r="A212" s="397" t="s">
        <v>409</v>
      </c>
      <c r="B212" s="398"/>
      <c r="C212" s="399"/>
      <c r="D212" s="400"/>
      <c r="E212" s="401"/>
      <c r="F212" s="401"/>
    </row>
    <row r="213" spans="1:6" ht="14.4" x14ac:dyDescent="0.25">
      <c r="A213" s="397" t="s">
        <v>400</v>
      </c>
      <c r="B213" s="398"/>
      <c r="C213" s="399" t="s">
        <v>317</v>
      </c>
      <c r="D213" s="400"/>
      <c r="E213" s="401" t="s">
        <v>243</v>
      </c>
      <c r="F213" s="401">
        <v>16.739999999999998</v>
      </c>
    </row>
    <row r="214" spans="1:6" ht="14.4" x14ac:dyDescent="0.25">
      <c r="A214" s="398" t="s">
        <v>244</v>
      </c>
      <c r="B214" s="398" t="s">
        <v>52</v>
      </c>
      <c r="C214" s="402" t="s">
        <v>53</v>
      </c>
      <c r="D214" s="402" t="s">
        <v>17</v>
      </c>
      <c r="E214" s="403" t="s">
        <v>245</v>
      </c>
      <c r="F214" s="403" t="s">
        <v>246</v>
      </c>
    </row>
    <row r="215" spans="1:6" x14ac:dyDescent="0.25">
      <c r="A215" s="404" t="s">
        <v>277</v>
      </c>
      <c r="B215" s="405" t="s">
        <v>250</v>
      </c>
      <c r="C215" s="406">
        <v>0.1</v>
      </c>
      <c r="D215" s="407">
        <v>1.3299999999999999E-2</v>
      </c>
      <c r="E215" s="341">
        <v>15.38</v>
      </c>
      <c r="F215" s="341">
        <v>0.2</v>
      </c>
    </row>
    <row r="216" spans="1:6" x14ac:dyDescent="0.25">
      <c r="A216" s="404" t="s">
        <v>298</v>
      </c>
      <c r="B216" s="405" t="s">
        <v>250</v>
      </c>
      <c r="C216" s="406">
        <v>1</v>
      </c>
      <c r="D216" s="407">
        <v>0.1333</v>
      </c>
      <c r="E216" s="341">
        <v>11.86</v>
      </c>
      <c r="F216" s="341">
        <v>1.58</v>
      </c>
    </row>
    <row r="217" spans="1:6" x14ac:dyDescent="0.25">
      <c r="A217" s="404" t="s">
        <v>515</v>
      </c>
      <c r="B217" s="405" t="s">
        <v>250</v>
      </c>
      <c r="C217" s="406">
        <v>1</v>
      </c>
      <c r="D217" s="407">
        <v>0.1333</v>
      </c>
      <c r="E217" s="341">
        <v>13.37</v>
      </c>
      <c r="F217" s="341">
        <v>1.78</v>
      </c>
    </row>
    <row r="218" spans="1:6" ht="14.4" x14ac:dyDescent="0.25">
      <c r="A218" s="408"/>
      <c r="B218" s="409"/>
      <c r="C218" s="410"/>
      <c r="D218" s="411"/>
      <c r="E218" s="412" t="s">
        <v>256</v>
      </c>
      <c r="F218" s="412">
        <v>3.56</v>
      </c>
    </row>
    <row r="219" spans="1:6" x14ac:dyDescent="0.25">
      <c r="A219" s="404"/>
      <c r="B219" s="405"/>
      <c r="C219" s="406"/>
      <c r="D219" s="407"/>
      <c r="E219" s="341"/>
      <c r="F219" s="341"/>
    </row>
    <row r="220" spans="1:6" x14ac:dyDescent="0.25">
      <c r="A220" s="404" t="s">
        <v>401</v>
      </c>
      <c r="B220" s="405" t="s">
        <v>237</v>
      </c>
      <c r="C220" s="406"/>
      <c r="D220" s="407">
        <v>0.12</v>
      </c>
      <c r="E220" s="341">
        <v>25.03</v>
      </c>
      <c r="F220" s="341">
        <v>3</v>
      </c>
    </row>
    <row r="221" spans="1:6" ht="14.4" x14ac:dyDescent="0.25">
      <c r="A221" s="408"/>
      <c r="B221" s="409"/>
      <c r="C221" s="410"/>
      <c r="D221" s="411"/>
      <c r="E221" s="412" t="s">
        <v>257</v>
      </c>
      <c r="F221" s="412">
        <v>3</v>
      </c>
    </row>
    <row r="222" spans="1:6" x14ac:dyDescent="0.25">
      <c r="A222" s="404"/>
      <c r="B222" s="405"/>
      <c r="C222" s="406"/>
      <c r="D222" s="407"/>
      <c r="E222" s="341"/>
      <c r="F222" s="341"/>
    </row>
    <row r="223" spans="1:6" x14ac:dyDescent="0.25">
      <c r="A223" s="404" t="s">
        <v>258</v>
      </c>
      <c r="B223" s="405" t="s">
        <v>252</v>
      </c>
      <c r="C223" s="406"/>
      <c r="D223" s="407">
        <v>5</v>
      </c>
      <c r="E223" s="341">
        <v>3.56</v>
      </c>
      <c r="F223" s="341">
        <v>0.18</v>
      </c>
    </row>
    <row r="224" spans="1:6" x14ac:dyDescent="0.25">
      <c r="A224" s="404" t="s">
        <v>402</v>
      </c>
      <c r="B224" s="405" t="s">
        <v>251</v>
      </c>
      <c r="C224" s="406">
        <v>1</v>
      </c>
      <c r="D224" s="407">
        <v>0.1333</v>
      </c>
      <c r="E224" s="341">
        <v>75</v>
      </c>
      <c r="F224" s="341">
        <v>10</v>
      </c>
    </row>
    <row r="225" spans="1:6" ht="14.4" x14ac:dyDescent="0.25">
      <c r="A225" s="408"/>
      <c r="B225" s="409"/>
      <c r="C225" s="410"/>
      <c r="D225" s="411"/>
      <c r="E225" s="412" t="s">
        <v>259</v>
      </c>
      <c r="F225" s="412">
        <v>10.18</v>
      </c>
    </row>
    <row r="226" spans="1:6" x14ac:dyDescent="0.25">
      <c r="A226" s="404"/>
      <c r="B226" s="405"/>
      <c r="C226" s="406"/>
      <c r="D226" s="407"/>
      <c r="E226" s="341"/>
      <c r="F226" s="341"/>
    </row>
    <row r="227" spans="1:6" x14ac:dyDescent="0.25">
      <c r="A227" s="404"/>
      <c r="B227" s="405"/>
      <c r="C227" s="406"/>
      <c r="D227" s="407"/>
      <c r="E227" s="341"/>
      <c r="F227" s="341"/>
    </row>
    <row r="228" spans="1:6" ht="14.4" x14ac:dyDescent="0.25">
      <c r="A228" s="397" t="s">
        <v>410</v>
      </c>
      <c r="B228" s="398"/>
      <c r="C228" s="399"/>
      <c r="D228" s="400"/>
      <c r="E228" s="401"/>
      <c r="F228" s="401"/>
    </row>
    <row r="229" spans="1:6" ht="14.4" x14ac:dyDescent="0.25">
      <c r="A229" s="397" t="s">
        <v>241</v>
      </c>
      <c r="B229" s="398"/>
      <c r="C229" s="399" t="s">
        <v>242</v>
      </c>
      <c r="D229" s="400"/>
      <c r="E229" s="401" t="s">
        <v>243</v>
      </c>
      <c r="F229" s="401">
        <v>51.47</v>
      </c>
    </row>
    <row r="230" spans="1:6" ht="14.4" x14ac:dyDescent="0.25">
      <c r="A230" s="398" t="s">
        <v>244</v>
      </c>
      <c r="B230" s="398" t="s">
        <v>52</v>
      </c>
      <c r="C230" s="402" t="s">
        <v>53</v>
      </c>
      <c r="D230" s="402" t="s">
        <v>17</v>
      </c>
      <c r="E230" s="403" t="s">
        <v>245</v>
      </c>
      <c r="F230" s="403" t="s">
        <v>246</v>
      </c>
    </row>
    <row r="231" spans="1:6" x14ac:dyDescent="0.25">
      <c r="A231" s="404" t="s">
        <v>293</v>
      </c>
      <c r="B231" s="405" t="s">
        <v>55</v>
      </c>
      <c r="C231" s="406"/>
      <c r="D231" s="407">
        <v>0.33329999999999999</v>
      </c>
      <c r="E231" s="341">
        <v>21.64</v>
      </c>
      <c r="F231" s="341">
        <v>7.21</v>
      </c>
    </row>
    <row r="232" spans="1:6" ht="14.4" x14ac:dyDescent="0.25">
      <c r="A232" s="408"/>
      <c r="B232" s="409"/>
      <c r="C232" s="410"/>
      <c r="D232" s="411"/>
      <c r="E232" s="412" t="s">
        <v>257</v>
      </c>
      <c r="F232" s="412">
        <v>7.21</v>
      </c>
    </row>
    <row r="233" spans="1:6" x14ac:dyDescent="0.25">
      <c r="A233" s="404"/>
      <c r="B233" s="405"/>
      <c r="C233" s="406"/>
      <c r="D233" s="407"/>
      <c r="E233" s="341"/>
      <c r="F233" s="341"/>
    </row>
    <row r="234" spans="1:6" x14ac:dyDescent="0.25">
      <c r="A234" s="404" t="s">
        <v>294</v>
      </c>
      <c r="B234" s="405" t="s">
        <v>237</v>
      </c>
      <c r="C234" s="406"/>
      <c r="D234" s="407">
        <v>4.1000000000000002E-2</v>
      </c>
      <c r="E234" s="341">
        <v>284.38000000000011</v>
      </c>
      <c r="F234" s="341">
        <v>11.66</v>
      </c>
    </row>
    <row r="235" spans="1:6" x14ac:dyDescent="0.25">
      <c r="A235" s="404" t="s">
        <v>296</v>
      </c>
      <c r="B235" s="405" t="s">
        <v>238</v>
      </c>
      <c r="C235" s="406"/>
      <c r="D235" s="407">
        <v>0.9</v>
      </c>
      <c r="E235" s="341">
        <v>36.220000000000013</v>
      </c>
      <c r="F235" s="341">
        <v>32.6</v>
      </c>
    </row>
    <row r="236" spans="1:6" ht="14.4" x14ac:dyDescent="0.25">
      <c r="A236" s="408"/>
      <c r="B236" s="409"/>
      <c r="C236" s="410"/>
      <c r="D236" s="411"/>
      <c r="E236" s="412" t="s">
        <v>249</v>
      </c>
      <c r="F236" s="412">
        <v>44.260000000000012</v>
      </c>
    </row>
    <row r="237" spans="1:6" ht="14.4" x14ac:dyDescent="0.25">
      <c r="A237" s="408" t="s">
        <v>254</v>
      </c>
      <c r="B237" s="409" t="s">
        <v>250</v>
      </c>
      <c r="C237" s="410">
        <v>1</v>
      </c>
      <c r="D237" s="411">
        <v>7.7836543948175158E-2</v>
      </c>
      <c r="E237" s="412">
        <v>0</v>
      </c>
      <c r="F237" s="412">
        <v>0</v>
      </c>
    </row>
    <row r="238" spans="1:6" ht="14.4" x14ac:dyDescent="0.25">
      <c r="A238" s="408" t="s">
        <v>592</v>
      </c>
      <c r="B238" s="409" t="s">
        <v>250</v>
      </c>
      <c r="C238" s="410">
        <v>1</v>
      </c>
      <c r="D238" s="411">
        <v>0.7167823205934345</v>
      </c>
      <c r="E238" s="412">
        <v>0</v>
      </c>
      <c r="F238" s="412">
        <v>0</v>
      </c>
    </row>
    <row r="239" spans="1:6" ht="14.4" x14ac:dyDescent="0.25">
      <c r="A239" s="408" t="s">
        <v>255</v>
      </c>
      <c r="B239" s="409" t="s">
        <v>250</v>
      </c>
      <c r="C239" s="410">
        <v>1</v>
      </c>
      <c r="D239" s="411">
        <v>0.81984618837969059</v>
      </c>
      <c r="E239" s="412">
        <v>0</v>
      </c>
      <c r="F239" s="412">
        <v>0</v>
      </c>
    </row>
    <row r="240" spans="1:6" ht="14.4" x14ac:dyDescent="0.25">
      <c r="A240" s="408" t="s">
        <v>593</v>
      </c>
      <c r="B240" s="409" t="s">
        <v>250</v>
      </c>
      <c r="C240" s="410">
        <v>1</v>
      </c>
      <c r="D240" s="411">
        <v>0.25515994707869943</v>
      </c>
      <c r="E240" s="412">
        <v>0</v>
      </c>
      <c r="F240" s="412">
        <v>0</v>
      </c>
    </row>
    <row r="241" spans="1:6" x14ac:dyDescent="0.25">
      <c r="A241" s="418"/>
      <c r="B241" s="405"/>
      <c r="C241" s="406"/>
      <c r="D241" s="407"/>
      <c r="E241" s="341" t="s">
        <v>256</v>
      </c>
      <c r="F241" s="341">
        <v>0</v>
      </c>
    </row>
    <row r="242" spans="1:6" x14ac:dyDescent="0.25">
      <c r="A242" s="404"/>
      <c r="B242" s="405"/>
      <c r="C242" s="406"/>
      <c r="D242" s="407"/>
      <c r="E242" s="341"/>
      <c r="F242" s="341"/>
    </row>
    <row r="243" spans="1:6" ht="14.4" x14ac:dyDescent="0.25">
      <c r="A243" s="397" t="s">
        <v>455</v>
      </c>
      <c r="B243" s="398"/>
      <c r="C243" s="399"/>
      <c r="D243" s="400"/>
      <c r="E243" s="401"/>
      <c r="F243" s="401"/>
    </row>
    <row r="244" spans="1:6" ht="14.4" x14ac:dyDescent="0.25">
      <c r="A244" s="397" t="s">
        <v>297</v>
      </c>
      <c r="B244" s="398"/>
      <c r="C244" s="399" t="s">
        <v>242</v>
      </c>
      <c r="D244" s="400"/>
      <c r="E244" s="401" t="s">
        <v>243</v>
      </c>
      <c r="F244" s="401">
        <v>11.41</v>
      </c>
    </row>
    <row r="245" spans="1:6" ht="14.4" x14ac:dyDescent="0.25">
      <c r="A245" s="398" t="s">
        <v>244</v>
      </c>
      <c r="B245" s="398" t="s">
        <v>52</v>
      </c>
      <c r="C245" s="402" t="s">
        <v>53</v>
      </c>
      <c r="D245" s="402" t="s">
        <v>17</v>
      </c>
      <c r="E245" s="403" t="s">
        <v>245</v>
      </c>
      <c r="F245" s="403" t="s">
        <v>246</v>
      </c>
    </row>
    <row r="246" spans="1:6" x14ac:dyDescent="0.25">
      <c r="A246" s="404" t="s">
        <v>277</v>
      </c>
      <c r="B246" s="405" t="s">
        <v>250</v>
      </c>
      <c r="C246" s="406">
        <v>0.1</v>
      </c>
      <c r="D246" s="407">
        <v>0.02</v>
      </c>
      <c r="E246" s="341">
        <v>15.38</v>
      </c>
      <c r="F246" s="341">
        <v>0.31</v>
      </c>
    </row>
    <row r="247" spans="1:6" x14ac:dyDescent="0.25">
      <c r="A247" s="404" t="s">
        <v>514</v>
      </c>
      <c r="B247" s="405" t="s">
        <v>250</v>
      </c>
      <c r="C247" s="406">
        <v>1</v>
      </c>
      <c r="D247" s="407">
        <v>0.2</v>
      </c>
      <c r="E247" s="341">
        <v>13.47</v>
      </c>
      <c r="F247" s="341">
        <v>2.69</v>
      </c>
    </row>
    <row r="248" spans="1:6" x14ac:dyDescent="0.25">
      <c r="A248" s="404" t="s">
        <v>515</v>
      </c>
      <c r="B248" s="405" t="s">
        <v>250</v>
      </c>
      <c r="C248" s="406">
        <v>1</v>
      </c>
      <c r="D248" s="407">
        <v>0.2</v>
      </c>
      <c r="E248" s="341">
        <v>13.37</v>
      </c>
      <c r="F248" s="341">
        <v>2.67</v>
      </c>
    </row>
    <row r="249" spans="1:6" x14ac:dyDescent="0.25">
      <c r="A249" s="404" t="s">
        <v>298</v>
      </c>
      <c r="B249" s="405" t="s">
        <v>250</v>
      </c>
      <c r="C249" s="406">
        <v>1</v>
      </c>
      <c r="D249" s="407">
        <v>0.2</v>
      </c>
      <c r="E249" s="341">
        <v>11.86</v>
      </c>
      <c r="F249" s="341">
        <v>2.37</v>
      </c>
    </row>
    <row r="250" spans="1:6" ht="14.4" x14ac:dyDescent="0.25">
      <c r="A250" s="408"/>
      <c r="B250" s="409"/>
      <c r="C250" s="410"/>
      <c r="D250" s="411"/>
      <c r="E250" s="412" t="s">
        <v>256</v>
      </c>
      <c r="F250" s="412">
        <v>8.0399999999999991</v>
      </c>
    </row>
    <row r="251" spans="1:6" x14ac:dyDescent="0.25">
      <c r="A251" s="404"/>
      <c r="B251" s="405"/>
      <c r="C251" s="406"/>
      <c r="D251" s="407"/>
      <c r="E251" s="341"/>
      <c r="F251" s="341"/>
    </row>
    <row r="252" spans="1:6" x14ac:dyDescent="0.25">
      <c r="A252" s="404" t="s">
        <v>299</v>
      </c>
      <c r="B252" s="405" t="s">
        <v>55</v>
      </c>
      <c r="C252" s="406"/>
      <c r="D252" s="407">
        <v>0.5</v>
      </c>
      <c r="E252" s="341">
        <v>4.29</v>
      </c>
      <c r="F252" s="341">
        <v>2.15</v>
      </c>
    </row>
    <row r="253" spans="1:6" x14ac:dyDescent="0.25">
      <c r="A253" s="404" t="s">
        <v>260</v>
      </c>
      <c r="B253" s="405" t="s">
        <v>237</v>
      </c>
      <c r="C253" s="406"/>
      <c r="D253" s="407">
        <v>0.02</v>
      </c>
      <c r="E253" s="341">
        <v>6.2</v>
      </c>
      <c r="F253" s="341">
        <v>0.12</v>
      </c>
    </row>
    <row r="254" spans="1:6" ht="14.4" x14ac:dyDescent="0.25">
      <c r="A254" s="408"/>
      <c r="B254" s="409"/>
      <c r="C254" s="410"/>
      <c r="D254" s="411"/>
      <c r="E254" s="412" t="s">
        <v>257</v>
      </c>
      <c r="F254" s="412">
        <v>2.27</v>
      </c>
    </row>
    <row r="255" spans="1:6" x14ac:dyDescent="0.25">
      <c r="A255" s="404"/>
      <c r="B255" s="405"/>
      <c r="C255" s="406"/>
      <c r="D255" s="407"/>
      <c r="E255" s="341"/>
      <c r="F255" s="341"/>
    </row>
    <row r="256" spans="1:6" x14ac:dyDescent="0.25">
      <c r="A256" s="404" t="s">
        <v>258</v>
      </c>
      <c r="B256" s="405" t="s">
        <v>252</v>
      </c>
      <c r="C256" s="406"/>
      <c r="D256" s="407">
        <v>5</v>
      </c>
      <c r="E256" s="341">
        <v>8.0399999999999991</v>
      </c>
      <c r="F256" s="341">
        <v>0.4</v>
      </c>
    </row>
    <row r="257" spans="1:6" x14ac:dyDescent="0.25">
      <c r="A257" s="404" t="s">
        <v>300</v>
      </c>
      <c r="B257" s="405" t="s">
        <v>251</v>
      </c>
      <c r="C257" s="406">
        <v>1</v>
      </c>
      <c r="D257" s="407">
        <v>0.2</v>
      </c>
      <c r="E257" s="341">
        <v>3.5</v>
      </c>
      <c r="F257" s="341">
        <v>0.7</v>
      </c>
    </row>
    <row r="258" spans="1:6" ht="14.4" x14ac:dyDescent="0.25">
      <c r="A258" s="408"/>
      <c r="B258" s="409"/>
      <c r="C258" s="410"/>
      <c r="D258" s="411"/>
      <c r="E258" s="412" t="s">
        <v>259</v>
      </c>
      <c r="F258" s="412">
        <v>1.1000000000000001</v>
      </c>
    </row>
    <row r="259" spans="1:6" x14ac:dyDescent="0.25">
      <c r="A259" s="404"/>
      <c r="B259" s="405"/>
      <c r="C259" s="406"/>
      <c r="D259" s="407"/>
      <c r="E259" s="341"/>
      <c r="F259" s="341"/>
    </row>
    <row r="260" spans="1:6" x14ac:dyDescent="0.25">
      <c r="A260" s="404"/>
      <c r="B260" s="405"/>
      <c r="C260" s="406"/>
      <c r="D260" s="407"/>
      <c r="E260" s="341"/>
      <c r="F260" s="341"/>
    </row>
    <row r="261" spans="1:6" ht="14.4" x14ac:dyDescent="0.25">
      <c r="A261" s="397" t="s">
        <v>456</v>
      </c>
      <c r="B261" s="398"/>
      <c r="C261" s="399"/>
      <c r="D261" s="400"/>
      <c r="E261" s="401"/>
      <c r="F261" s="401"/>
    </row>
    <row r="262" spans="1:6" ht="14.4" x14ac:dyDescent="0.25">
      <c r="A262" s="397" t="s">
        <v>404</v>
      </c>
      <c r="B262" s="398"/>
      <c r="C262" s="399" t="s">
        <v>253</v>
      </c>
      <c r="D262" s="400"/>
      <c r="E262" s="401" t="s">
        <v>243</v>
      </c>
      <c r="F262" s="401">
        <v>48.24</v>
      </c>
    </row>
    <row r="263" spans="1:6" ht="14.4" x14ac:dyDescent="0.25">
      <c r="A263" s="398" t="s">
        <v>244</v>
      </c>
      <c r="B263" s="398" t="s">
        <v>52</v>
      </c>
      <c r="C263" s="402" t="s">
        <v>53</v>
      </c>
      <c r="D263" s="402" t="s">
        <v>17</v>
      </c>
      <c r="E263" s="403" t="s">
        <v>245</v>
      </c>
      <c r="F263" s="403" t="s">
        <v>246</v>
      </c>
    </row>
    <row r="264" spans="1:6" x14ac:dyDescent="0.25">
      <c r="A264" s="404" t="s">
        <v>292</v>
      </c>
      <c r="B264" s="405" t="s">
        <v>250</v>
      </c>
      <c r="C264" s="406">
        <v>0.03</v>
      </c>
      <c r="D264" s="407">
        <v>0.2</v>
      </c>
      <c r="E264" s="341">
        <v>13.94</v>
      </c>
      <c r="F264" s="341">
        <v>2.79</v>
      </c>
    </row>
    <row r="265" spans="1:6" ht="14.4" x14ac:dyDescent="0.25">
      <c r="A265" s="408"/>
      <c r="B265" s="409"/>
      <c r="C265" s="410"/>
      <c r="D265" s="411"/>
      <c r="E265" s="412" t="s">
        <v>256</v>
      </c>
      <c r="F265" s="412">
        <v>2.79</v>
      </c>
    </row>
    <row r="266" spans="1:6" x14ac:dyDescent="0.25">
      <c r="A266" s="404"/>
      <c r="B266" s="405"/>
      <c r="C266" s="406"/>
      <c r="D266" s="407"/>
      <c r="E266" s="341"/>
      <c r="F266" s="341"/>
    </row>
    <row r="267" spans="1:6" x14ac:dyDescent="0.25">
      <c r="A267" s="404" t="s">
        <v>405</v>
      </c>
      <c r="B267" s="405" t="s">
        <v>237</v>
      </c>
      <c r="C267" s="406"/>
      <c r="D267" s="407">
        <v>1</v>
      </c>
      <c r="E267" s="341">
        <v>45.45</v>
      </c>
      <c r="F267" s="341">
        <v>45.45</v>
      </c>
    </row>
    <row r="268" spans="1:6" ht="14.4" x14ac:dyDescent="0.25">
      <c r="A268" s="408"/>
      <c r="B268" s="409"/>
      <c r="C268" s="410"/>
      <c r="D268" s="411"/>
      <c r="E268" s="412" t="s">
        <v>406</v>
      </c>
      <c r="F268" s="412">
        <v>45.45</v>
      </c>
    </row>
    <row r="269" spans="1:6" x14ac:dyDescent="0.25">
      <c r="A269" s="404"/>
      <c r="B269" s="405"/>
      <c r="C269" s="406"/>
      <c r="D269" s="407"/>
      <c r="E269" s="341"/>
      <c r="F269" s="341"/>
    </row>
    <row r="270" spans="1:6" x14ac:dyDescent="0.25">
      <c r="A270" s="404"/>
      <c r="B270" s="405"/>
      <c r="C270" s="406"/>
      <c r="D270" s="407"/>
      <c r="E270" s="341"/>
      <c r="F270" s="341"/>
    </row>
    <row r="271" spans="1:6" ht="14.4" x14ac:dyDescent="0.25">
      <c r="A271" s="397" t="s">
        <v>457</v>
      </c>
      <c r="B271" s="398"/>
      <c r="C271" s="399"/>
      <c r="D271" s="400"/>
      <c r="E271" s="401"/>
      <c r="F271" s="401"/>
    </row>
    <row r="272" spans="1:6" ht="14.4" x14ac:dyDescent="0.25">
      <c r="A272" s="397" t="s">
        <v>301</v>
      </c>
      <c r="B272" s="398"/>
      <c r="C272" s="399" t="s">
        <v>253</v>
      </c>
      <c r="D272" s="400"/>
      <c r="E272" s="401" t="s">
        <v>243</v>
      </c>
      <c r="F272" s="401">
        <v>43.669999999999987</v>
      </c>
    </row>
    <row r="273" spans="1:6" ht="14.4" x14ac:dyDescent="0.25">
      <c r="A273" s="398" t="s">
        <v>244</v>
      </c>
      <c r="B273" s="398" t="s">
        <v>52</v>
      </c>
      <c r="C273" s="402" t="s">
        <v>53</v>
      </c>
      <c r="D273" s="402" t="s">
        <v>17</v>
      </c>
      <c r="E273" s="403" t="s">
        <v>245</v>
      </c>
      <c r="F273" s="403" t="s">
        <v>246</v>
      </c>
    </row>
    <row r="274" spans="1:6" x14ac:dyDescent="0.25">
      <c r="A274" s="404" t="s">
        <v>277</v>
      </c>
      <c r="B274" s="405" t="s">
        <v>250</v>
      </c>
      <c r="C274" s="406">
        <v>0.1</v>
      </c>
      <c r="D274" s="407">
        <v>6.6699999999999995E-2</v>
      </c>
      <c r="E274" s="341">
        <v>15.38</v>
      </c>
      <c r="F274" s="341">
        <v>1.03</v>
      </c>
    </row>
    <row r="275" spans="1:6" x14ac:dyDescent="0.25">
      <c r="A275" s="404" t="s">
        <v>514</v>
      </c>
      <c r="B275" s="405" t="s">
        <v>250</v>
      </c>
      <c r="C275" s="406">
        <v>1</v>
      </c>
      <c r="D275" s="407">
        <v>0.66669999999999996</v>
      </c>
      <c r="E275" s="341">
        <v>13.47</v>
      </c>
      <c r="F275" s="341">
        <v>8.98</v>
      </c>
    </row>
    <row r="276" spans="1:6" x14ac:dyDescent="0.25">
      <c r="A276" s="404" t="s">
        <v>298</v>
      </c>
      <c r="B276" s="405" t="s">
        <v>250</v>
      </c>
      <c r="C276" s="406">
        <v>3</v>
      </c>
      <c r="D276" s="407">
        <v>2</v>
      </c>
      <c r="E276" s="341">
        <v>11.86</v>
      </c>
      <c r="F276" s="341">
        <v>23.72</v>
      </c>
    </row>
    <row r="277" spans="1:6" ht="14.4" x14ac:dyDescent="0.25">
      <c r="A277" s="408"/>
      <c r="B277" s="409"/>
      <c r="C277" s="410"/>
      <c r="D277" s="411"/>
      <c r="E277" s="412" t="s">
        <v>256</v>
      </c>
      <c r="F277" s="412">
        <v>33.729999999999997</v>
      </c>
    </row>
    <row r="278" spans="1:6" x14ac:dyDescent="0.25">
      <c r="A278" s="404"/>
      <c r="B278" s="405"/>
      <c r="C278" s="406"/>
      <c r="D278" s="407"/>
      <c r="E278" s="341"/>
      <c r="F278" s="341"/>
    </row>
    <row r="279" spans="1:6" x14ac:dyDescent="0.25">
      <c r="A279" s="404" t="s">
        <v>260</v>
      </c>
      <c r="B279" s="405" t="s">
        <v>237</v>
      </c>
      <c r="C279" s="406"/>
      <c r="D279" s="407">
        <v>0.02</v>
      </c>
      <c r="E279" s="341">
        <v>6.2</v>
      </c>
      <c r="F279" s="341">
        <v>0.12</v>
      </c>
    </row>
    <row r="280" spans="1:6" ht="14.4" x14ac:dyDescent="0.25">
      <c r="A280" s="408"/>
      <c r="B280" s="409"/>
      <c r="C280" s="410"/>
      <c r="D280" s="411"/>
      <c r="E280" s="412" t="s">
        <v>257</v>
      </c>
      <c r="F280" s="412">
        <v>0.12</v>
      </c>
    </row>
    <row r="281" spans="1:6" x14ac:dyDescent="0.25">
      <c r="A281" s="404"/>
      <c r="B281" s="405"/>
      <c r="C281" s="406"/>
      <c r="D281" s="407"/>
      <c r="E281" s="341"/>
      <c r="F281" s="341"/>
    </row>
    <row r="282" spans="1:6" x14ac:dyDescent="0.25">
      <c r="A282" s="404" t="s">
        <v>258</v>
      </c>
      <c r="B282" s="405" t="s">
        <v>252</v>
      </c>
      <c r="C282" s="406"/>
      <c r="D282" s="407">
        <v>5</v>
      </c>
      <c r="E282" s="341">
        <v>33.729999999999997</v>
      </c>
      <c r="F282" s="341">
        <v>1.69</v>
      </c>
    </row>
    <row r="283" spans="1:6" x14ac:dyDescent="0.25">
      <c r="A283" s="404" t="s">
        <v>302</v>
      </c>
      <c r="B283" s="405" t="s">
        <v>251</v>
      </c>
      <c r="C283" s="406">
        <v>1</v>
      </c>
      <c r="D283" s="407">
        <v>0.66669999999999996</v>
      </c>
      <c r="E283" s="341">
        <v>12.2</v>
      </c>
      <c r="F283" s="341">
        <v>8.1300000000000008</v>
      </c>
    </row>
    <row r="284" spans="1:6" ht="14.4" x14ac:dyDescent="0.25">
      <c r="A284" s="408"/>
      <c r="B284" s="409"/>
      <c r="C284" s="410"/>
      <c r="D284" s="411"/>
      <c r="E284" s="412" t="s">
        <v>259</v>
      </c>
      <c r="F284" s="412">
        <v>9.82</v>
      </c>
    </row>
    <row r="285" spans="1:6" x14ac:dyDescent="0.25">
      <c r="A285" s="404"/>
      <c r="B285" s="405"/>
      <c r="C285" s="406"/>
      <c r="D285" s="407"/>
      <c r="E285" s="341"/>
      <c r="F285" s="341"/>
    </row>
    <row r="286" spans="1:6" x14ac:dyDescent="0.25">
      <c r="A286" s="404"/>
      <c r="B286" s="405"/>
      <c r="C286" s="406"/>
      <c r="D286" s="407"/>
      <c r="E286" s="341"/>
      <c r="F286" s="341"/>
    </row>
    <row r="287" spans="1:6" ht="14.4" x14ac:dyDescent="0.25">
      <c r="A287" s="397" t="s">
        <v>458</v>
      </c>
      <c r="B287" s="398"/>
      <c r="C287" s="399"/>
      <c r="D287" s="400"/>
      <c r="E287" s="401"/>
      <c r="F287" s="401"/>
    </row>
    <row r="288" spans="1:6" ht="14.4" x14ac:dyDescent="0.25">
      <c r="A288" s="397" t="s">
        <v>407</v>
      </c>
      <c r="B288" s="398"/>
      <c r="C288" s="399" t="s">
        <v>253</v>
      </c>
      <c r="D288" s="400"/>
      <c r="E288" s="401" t="s">
        <v>243</v>
      </c>
      <c r="F288" s="401">
        <v>15.38</v>
      </c>
    </row>
    <row r="289" spans="1:6" ht="14.4" x14ac:dyDescent="0.25">
      <c r="A289" s="398" t="s">
        <v>244</v>
      </c>
      <c r="B289" s="398" t="s">
        <v>52</v>
      </c>
      <c r="C289" s="402" t="s">
        <v>53</v>
      </c>
      <c r="D289" s="402" t="s">
        <v>17</v>
      </c>
      <c r="E289" s="403" t="s">
        <v>245</v>
      </c>
      <c r="F289" s="403" t="s">
        <v>246</v>
      </c>
    </row>
    <row r="290" spans="1:6" x14ac:dyDescent="0.25">
      <c r="A290" s="404" t="s">
        <v>278</v>
      </c>
      <c r="B290" s="405" t="s">
        <v>250</v>
      </c>
      <c r="C290" s="406">
        <v>1</v>
      </c>
      <c r="D290" s="407">
        <v>0.1</v>
      </c>
      <c r="E290" s="341">
        <v>13.46</v>
      </c>
      <c r="F290" s="341">
        <v>1.35</v>
      </c>
    </row>
    <row r="291" spans="1:6" x14ac:dyDescent="0.25">
      <c r="A291" s="404" t="s">
        <v>290</v>
      </c>
      <c r="B291" s="405" t="s">
        <v>250</v>
      </c>
      <c r="C291" s="406">
        <v>1</v>
      </c>
      <c r="D291" s="407">
        <v>0.1</v>
      </c>
      <c r="E291" s="341">
        <v>15.2</v>
      </c>
      <c r="F291" s="341">
        <v>1.52</v>
      </c>
    </row>
    <row r="292" spans="1:6" x14ac:dyDescent="0.25">
      <c r="A292" s="404" t="s">
        <v>279</v>
      </c>
      <c r="B292" s="405" t="s">
        <v>250</v>
      </c>
      <c r="C292" s="406">
        <v>1</v>
      </c>
      <c r="D292" s="407">
        <v>0.1</v>
      </c>
      <c r="E292" s="341">
        <v>11.86</v>
      </c>
      <c r="F292" s="341">
        <v>1.19</v>
      </c>
    </row>
    <row r="293" spans="1:6" ht="14.4" x14ac:dyDescent="0.25">
      <c r="A293" s="408"/>
      <c r="B293" s="409"/>
      <c r="C293" s="410"/>
      <c r="D293" s="411"/>
      <c r="E293" s="412" t="s">
        <v>256</v>
      </c>
      <c r="F293" s="412">
        <v>4.0599999999999996</v>
      </c>
    </row>
    <row r="294" spans="1:6" x14ac:dyDescent="0.25">
      <c r="A294" s="404"/>
      <c r="B294" s="405"/>
      <c r="C294" s="406"/>
      <c r="D294" s="407"/>
      <c r="E294" s="341"/>
      <c r="F294" s="341"/>
    </row>
    <row r="295" spans="1:6" x14ac:dyDescent="0.25">
      <c r="A295" s="404" t="s">
        <v>291</v>
      </c>
      <c r="B295" s="405" t="s">
        <v>251</v>
      </c>
      <c r="C295" s="406"/>
      <c r="D295" s="407">
        <v>0.1</v>
      </c>
      <c r="E295" s="341">
        <v>38.229999999999997</v>
      </c>
      <c r="F295" s="341">
        <v>3.82</v>
      </c>
    </row>
    <row r="296" spans="1:6" ht="14.4" x14ac:dyDescent="0.25">
      <c r="A296" s="408"/>
      <c r="B296" s="409"/>
      <c r="C296" s="410"/>
      <c r="D296" s="411"/>
      <c r="E296" s="412" t="s">
        <v>257</v>
      </c>
      <c r="F296" s="412">
        <v>3.82</v>
      </c>
    </row>
    <row r="297" spans="1:6" x14ac:dyDescent="0.25">
      <c r="A297" s="404"/>
      <c r="B297" s="405"/>
      <c r="C297" s="406"/>
      <c r="D297" s="407"/>
      <c r="E297" s="341"/>
      <c r="F297" s="341"/>
    </row>
    <row r="298" spans="1:6" x14ac:dyDescent="0.25">
      <c r="A298" s="404" t="s">
        <v>402</v>
      </c>
      <c r="B298" s="405" t="s">
        <v>251</v>
      </c>
      <c r="C298" s="406">
        <v>1</v>
      </c>
      <c r="D298" s="407">
        <v>0.1</v>
      </c>
      <c r="E298" s="341">
        <v>75</v>
      </c>
      <c r="F298" s="341">
        <v>7.5</v>
      </c>
    </row>
    <row r="299" spans="1:6" ht="14.4" x14ac:dyDescent="0.25">
      <c r="A299" s="408"/>
      <c r="B299" s="409"/>
      <c r="C299" s="410"/>
      <c r="D299" s="411"/>
      <c r="E299" s="412" t="s">
        <v>259</v>
      </c>
      <c r="F299" s="412">
        <v>7.5</v>
      </c>
    </row>
    <row r="300" spans="1:6" x14ac:dyDescent="0.25">
      <c r="A300" s="404"/>
      <c r="B300" s="405"/>
      <c r="C300" s="406"/>
      <c r="D300" s="407"/>
      <c r="E300" s="341"/>
      <c r="F300" s="341"/>
    </row>
    <row r="301" spans="1:6" x14ac:dyDescent="0.25">
      <c r="A301" s="404"/>
      <c r="B301" s="405"/>
      <c r="C301" s="406"/>
      <c r="D301" s="407"/>
      <c r="E301" s="341"/>
      <c r="F301" s="341"/>
    </row>
    <row r="302" spans="1:6" ht="14.4" x14ac:dyDescent="0.25">
      <c r="A302" s="397" t="s">
        <v>305</v>
      </c>
      <c r="B302" s="398"/>
      <c r="C302" s="399"/>
      <c r="D302" s="400"/>
      <c r="E302" s="401"/>
      <c r="F302" s="401"/>
    </row>
    <row r="303" spans="1:6" ht="14.4" x14ac:dyDescent="0.25">
      <c r="A303" s="397" t="s">
        <v>241</v>
      </c>
      <c r="B303" s="398"/>
      <c r="C303" s="399" t="s">
        <v>242</v>
      </c>
      <c r="D303" s="400"/>
      <c r="E303" s="401" t="s">
        <v>243</v>
      </c>
      <c r="F303" s="401">
        <v>269.83</v>
      </c>
    </row>
    <row r="304" spans="1:6" ht="14.4" x14ac:dyDescent="0.25">
      <c r="A304" s="398" t="s">
        <v>244</v>
      </c>
      <c r="B304" s="398" t="s">
        <v>52</v>
      </c>
      <c r="C304" s="402" t="s">
        <v>53</v>
      </c>
      <c r="D304" s="402" t="s">
        <v>17</v>
      </c>
      <c r="E304" s="403" t="s">
        <v>245</v>
      </c>
      <c r="F304" s="403" t="s">
        <v>246</v>
      </c>
    </row>
    <row r="305" spans="1:6" x14ac:dyDescent="0.25">
      <c r="A305" s="404" t="s">
        <v>294</v>
      </c>
      <c r="B305" s="405" t="s">
        <v>237</v>
      </c>
      <c r="C305" s="406"/>
      <c r="D305" s="407">
        <v>0.215</v>
      </c>
      <c r="E305" s="341">
        <v>284.38000000000011</v>
      </c>
      <c r="F305" s="341">
        <v>61.14</v>
      </c>
    </row>
    <row r="306" spans="1:6" x14ac:dyDescent="0.25">
      <c r="A306" s="404" t="s">
        <v>295</v>
      </c>
      <c r="B306" s="405" t="s">
        <v>247</v>
      </c>
      <c r="C306" s="406"/>
      <c r="D306" s="407">
        <v>17.5</v>
      </c>
      <c r="E306" s="341">
        <v>3.08</v>
      </c>
      <c r="F306" s="341">
        <v>53.9</v>
      </c>
    </row>
    <row r="307" spans="1:6" x14ac:dyDescent="0.25">
      <c r="A307" s="404" t="s">
        <v>296</v>
      </c>
      <c r="B307" s="405" t="s">
        <v>238</v>
      </c>
      <c r="C307" s="406"/>
      <c r="D307" s="407">
        <v>3.92</v>
      </c>
      <c r="E307" s="341">
        <v>36.220000000000013</v>
      </c>
      <c r="F307" s="341">
        <v>141.97999999999999</v>
      </c>
    </row>
    <row r="308" spans="1:6" x14ac:dyDescent="0.25">
      <c r="A308" s="404" t="s">
        <v>248</v>
      </c>
      <c r="B308" s="405" t="s">
        <v>55</v>
      </c>
      <c r="C308" s="406"/>
      <c r="D308" s="407">
        <v>1</v>
      </c>
      <c r="E308" s="341">
        <v>6.25</v>
      </c>
      <c r="F308" s="341">
        <v>6.25</v>
      </c>
    </row>
    <row r="309" spans="1:6" x14ac:dyDescent="0.25">
      <c r="A309" s="404" t="s">
        <v>304</v>
      </c>
      <c r="B309" s="405" t="s">
        <v>55</v>
      </c>
      <c r="C309" s="406"/>
      <c r="D309" s="407">
        <v>1</v>
      </c>
      <c r="E309" s="341">
        <v>6.5600000000000014</v>
      </c>
      <c r="F309" s="341">
        <v>6.56</v>
      </c>
    </row>
    <row r="310" spans="1:6" ht="14.4" x14ac:dyDescent="0.25">
      <c r="A310" s="408"/>
      <c r="B310" s="409"/>
      <c r="C310" s="410"/>
      <c r="D310" s="411"/>
      <c r="E310" s="412" t="s">
        <v>249</v>
      </c>
      <c r="F310" s="412">
        <v>269.83</v>
      </c>
    </row>
    <row r="311" spans="1:6" ht="14.4" x14ac:dyDescent="0.25">
      <c r="A311" s="408" t="s">
        <v>254</v>
      </c>
      <c r="B311" s="409" t="s">
        <v>250</v>
      </c>
      <c r="C311" s="410">
        <v>1</v>
      </c>
      <c r="D311" s="411">
        <v>0.37973742140123967</v>
      </c>
      <c r="E311" s="412">
        <v>0</v>
      </c>
      <c r="F311" s="412">
        <v>0</v>
      </c>
    </row>
    <row r="312" spans="1:6" ht="14.4" x14ac:dyDescent="0.25">
      <c r="A312" s="408" t="s">
        <v>592</v>
      </c>
      <c r="B312" s="409" t="s">
        <v>250</v>
      </c>
      <c r="C312" s="410">
        <v>1</v>
      </c>
      <c r="D312" s="411">
        <v>3.4969315994987578</v>
      </c>
      <c r="E312" s="412">
        <v>0</v>
      </c>
      <c r="F312" s="412">
        <v>0</v>
      </c>
    </row>
    <row r="313" spans="1:6" ht="14.4" x14ac:dyDescent="0.25">
      <c r="A313" s="408" t="s">
        <v>255</v>
      </c>
      <c r="B313" s="409" t="s">
        <v>250</v>
      </c>
      <c r="C313" s="410">
        <v>1</v>
      </c>
      <c r="D313" s="411">
        <v>3.9997443582313319</v>
      </c>
      <c r="E313" s="412">
        <v>0</v>
      </c>
      <c r="F313" s="412">
        <v>0</v>
      </c>
    </row>
    <row r="314" spans="1:6" ht="14.4" x14ac:dyDescent="0.25">
      <c r="A314" s="408" t="s">
        <v>593</v>
      </c>
      <c r="B314" s="409" t="s">
        <v>250</v>
      </c>
      <c r="C314" s="410">
        <v>1</v>
      </c>
      <c r="D314" s="411">
        <v>1.2448366208686699</v>
      </c>
      <c r="E314" s="412">
        <v>0</v>
      </c>
      <c r="F314" s="412">
        <v>0</v>
      </c>
    </row>
    <row r="315" spans="1:6" x14ac:dyDescent="0.25">
      <c r="A315" s="418"/>
      <c r="B315" s="405"/>
      <c r="C315" s="406"/>
      <c r="D315" s="407"/>
      <c r="E315" s="341" t="s">
        <v>256</v>
      </c>
      <c r="F315" s="341">
        <v>0</v>
      </c>
    </row>
    <row r="316" spans="1:6" x14ac:dyDescent="0.25">
      <c r="A316" s="404"/>
      <c r="B316" s="405"/>
      <c r="C316" s="406"/>
      <c r="D316" s="407"/>
      <c r="E316" s="341"/>
      <c r="F316" s="341"/>
    </row>
    <row r="317" spans="1:6" ht="14.4" x14ac:dyDescent="0.25">
      <c r="A317" s="397" t="s">
        <v>306</v>
      </c>
      <c r="B317" s="398"/>
      <c r="C317" s="399"/>
      <c r="D317" s="400"/>
      <c r="E317" s="401"/>
      <c r="F317" s="401"/>
    </row>
    <row r="318" spans="1:6" ht="14.4" x14ac:dyDescent="0.25">
      <c r="A318" s="397" t="s">
        <v>307</v>
      </c>
      <c r="B318" s="398"/>
      <c r="C318" s="399" t="s">
        <v>242</v>
      </c>
      <c r="D318" s="400"/>
      <c r="E318" s="401" t="s">
        <v>243</v>
      </c>
      <c r="F318" s="401">
        <v>55.48</v>
      </c>
    </row>
    <row r="319" spans="1:6" ht="14.4" x14ac:dyDescent="0.25">
      <c r="A319" s="398" t="s">
        <v>244</v>
      </c>
      <c r="B319" s="398" t="s">
        <v>52</v>
      </c>
      <c r="C319" s="402" t="s">
        <v>53</v>
      </c>
      <c r="D319" s="402" t="s">
        <v>17</v>
      </c>
      <c r="E319" s="403" t="s">
        <v>245</v>
      </c>
      <c r="F319" s="403" t="s">
        <v>246</v>
      </c>
    </row>
    <row r="320" spans="1:6" x14ac:dyDescent="0.25">
      <c r="A320" s="404" t="s">
        <v>277</v>
      </c>
      <c r="B320" s="405" t="s">
        <v>250</v>
      </c>
      <c r="C320" s="406">
        <v>0.1</v>
      </c>
      <c r="D320" s="407">
        <v>0.2</v>
      </c>
      <c r="E320" s="341">
        <v>15.38</v>
      </c>
      <c r="F320" s="341">
        <v>3.08</v>
      </c>
    </row>
    <row r="321" spans="1:6" x14ac:dyDescent="0.25">
      <c r="A321" s="404" t="s">
        <v>514</v>
      </c>
      <c r="B321" s="405" t="s">
        <v>250</v>
      </c>
      <c r="C321" s="406">
        <v>1</v>
      </c>
      <c r="D321" s="407">
        <v>2</v>
      </c>
      <c r="E321" s="341">
        <v>13.47</v>
      </c>
      <c r="F321" s="341">
        <v>26.94</v>
      </c>
    </row>
    <row r="322" spans="1:6" x14ac:dyDescent="0.25">
      <c r="A322" s="404" t="s">
        <v>515</v>
      </c>
      <c r="B322" s="405" t="s">
        <v>250</v>
      </c>
      <c r="C322" s="406">
        <v>0.5</v>
      </c>
      <c r="D322" s="407">
        <v>1</v>
      </c>
      <c r="E322" s="341">
        <v>13.37</v>
      </c>
      <c r="F322" s="341">
        <v>13.37</v>
      </c>
    </row>
    <row r="323" spans="1:6" ht="14.4" x14ac:dyDescent="0.25">
      <c r="A323" s="408"/>
      <c r="B323" s="409"/>
      <c r="C323" s="410"/>
      <c r="D323" s="411"/>
      <c r="E323" s="412" t="s">
        <v>256</v>
      </c>
      <c r="F323" s="412">
        <v>43.39</v>
      </c>
    </row>
    <row r="324" spans="1:6" x14ac:dyDescent="0.25">
      <c r="A324" s="404"/>
      <c r="B324" s="405"/>
      <c r="C324" s="406"/>
      <c r="D324" s="407"/>
      <c r="E324" s="341"/>
      <c r="F324" s="341"/>
    </row>
    <row r="325" spans="1:6" x14ac:dyDescent="0.25">
      <c r="A325" s="404" t="s">
        <v>308</v>
      </c>
      <c r="B325" s="405" t="s">
        <v>55</v>
      </c>
      <c r="C325" s="406"/>
      <c r="D325" s="407">
        <v>2</v>
      </c>
      <c r="E325" s="341">
        <v>4.9000000000000004</v>
      </c>
      <c r="F325" s="341">
        <v>9.8000000000000007</v>
      </c>
    </row>
    <row r="326" spans="1:6" x14ac:dyDescent="0.25">
      <c r="A326" s="404" t="s">
        <v>260</v>
      </c>
      <c r="B326" s="405" t="s">
        <v>237</v>
      </c>
      <c r="C326" s="406"/>
      <c r="D326" s="407">
        <v>0.02</v>
      </c>
      <c r="E326" s="341">
        <v>6.2</v>
      </c>
      <c r="F326" s="341">
        <v>0.12</v>
      </c>
    </row>
    <row r="327" spans="1:6" ht="14.4" x14ac:dyDescent="0.25">
      <c r="A327" s="408"/>
      <c r="B327" s="409"/>
      <c r="C327" s="410"/>
      <c r="D327" s="411"/>
      <c r="E327" s="412" t="s">
        <v>257</v>
      </c>
      <c r="F327" s="412">
        <v>9.92</v>
      </c>
    </row>
    <row r="328" spans="1:6" x14ac:dyDescent="0.25">
      <c r="A328" s="404"/>
      <c r="B328" s="405"/>
      <c r="C328" s="406"/>
      <c r="D328" s="407"/>
      <c r="E328" s="341"/>
      <c r="F328" s="341"/>
    </row>
    <row r="329" spans="1:6" x14ac:dyDescent="0.25">
      <c r="A329" s="404" t="s">
        <v>258</v>
      </c>
      <c r="B329" s="405" t="s">
        <v>252</v>
      </c>
      <c r="C329" s="406"/>
      <c r="D329" s="407">
        <v>5</v>
      </c>
      <c r="E329" s="341">
        <v>43.39</v>
      </c>
      <c r="F329" s="341">
        <v>2.17</v>
      </c>
    </row>
    <row r="330" spans="1:6" ht="14.4" x14ac:dyDescent="0.25">
      <c r="A330" s="408"/>
      <c r="B330" s="409"/>
      <c r="C330" s="410"/>
      <c r="D330" s="411"/>
      <c r="E330" s="412" t="s">
        <v>259</v>
      </c>
      <c r="F330" s="412">
        <v>2.17</v>
      </c>
    </row>
    <row r="331" spans="1:6" x14ac:dyDescent="0.25">
      <c r="A331" s="404"/>
      <c r="B331" s="405"/>
      <c r="C331" s="406"/>
      <c r="D331" s="407"/>
      <c r="E331" s="341"/>
      <c r="F331" s="341"/>
    </row>
    <row r="332" spans="1:6" x14ac:dyDescent="0.25">
      <c r="A332" s="404"/>
      <c r="B332" s="405"/>
      <c r="C332" s="406"/>
      <c r="D332" s="407"/>
      <c r="E332" s="341"/>
      <c r="F332" s="341"/>
    </row>
    <row r="333" spans="1:6" ht="14.4" x14ac:dyDescent="0.25">
      <c r="A333" s="397" t="s">
        <v>309</v>
      </c>
      <c r="B333" s="398"/>
      <c r="C333" s="399"/>
      <c r="D333" s="400"/>
      <c r="E333" s="401"/>
      <c r="F333" s="401"/>
    </row>
    <row r="334" spans="1:6" ht="14.4" x14ac:dyDescent="0.25">
      <c r="A334" s="397" t="s">
        <v>281</v>
      </c>
      <c r="B334" s="398"/>
      <c r="C334" s="399" t="s">
        <v>282</v>
      </c>
      <c r="D334" s="400"/>
      <c r="E334" s="401" t="s">
        <v>243</v>
      </c>
      <c r="F334" s="401">
        <v>2658.7400000000011</v>
      </c>
    </row>
    <row r="335" spans="1:6" ht="14.4" x14ac:dyDescent="0.25">
      <c r="A335" s="398" t="s">
        <v>244</v>
      </c>
      <c r="B335" s="398" t="s">
        <v>52</v>
      </c>
      <c r="C335" s="402" t="s">
        <v>53</v>
      </c>
      <c r="D335" s="402" t="s">
        <v>17</v>
      </c>
      <c r="E335" s="403" t="s">
        <v>245</v>
      </c>
      <c r="F335" s="403" t="s">
        <v>246</v>
      </c>
    </row>
    <row r="336" spans="1:6" x14ac:dyDescent="0.25">
      <c r="A336" s="404" t="s">
        <v>292</v>
      </c>
      <c r="B336" s="405" t="s">
        <v>250</v>
      </c>
      <c r="C336" s="406">
        <v>1</v>
      </c>
      <c r="D336" s="407">
        <v>8</v>
      </c>
      <c r="E336" s="341">
        <v>13.94</v>
      </c>
      <c r="F336" s="341">
        <v>111.52</v>
      </c>
    </row>
    <row r="337" spans="1:6" ht="14.4" x14ac:dyDescent="0.25">
      <c r="A337" s="408"/>
      <c r="B337" s="409"/>
      <c r="C337" s="410"/>
      <c r="D337" s="411"/>
      <c r="E337" s="412" t="s">
        <v>256</v>
      </c>
      <c r="F337" s="412">
        <v>111.52</v>
      </c>
    </row>
    <row r="338" spans="1:6" x14ac:dyDescent="0.25">
      <c r="A338" s="404"/>
      <c r="B338" s="405"/>
      <c r="C338" s="406"/>
      <c r="D338" s="407"/>
      <c r="E338" s="341"/>
      <c r="F338" s="341"/>
    </row>
    <row r="339" spans="1:6" x14ac:dyDescent="0.25">
      <c r="A339" s="404" t="s">
        <v>310</v>
      </c>
      <c r="B339" s="405" t="s">
        <v>55</v>
      </c>
      <c r="C339" s="406"/>
      <c r="D339" s="407">
        <v>3.2</v>
      </c>
      <c r="E339" s="341">
        <v>607.23</v>
      </c>
      <c r="F339" s="341">
        <v>1943.14</v>
      </c>
    </row>
    <row r="340" spans="1:6" x14ac:dyDescent="0.25">
      <c r="A340" s="404" t="s">
        <v>311</v>
      </c>
      <c r="B340" s="405" t="s">
        <v>55</v>
      </c>
      <c r="C340" s="406"/>
      <c r="D340" s="407">
        <v>17</v>
      </c>
      <c r="E340" s="341">
        <v>24.72</v>
      </c>
      <c r="F340" s="341">
        <v>420.24</v>
      </c>
    </row>
    <row r="341" spans="1:6" x14ac:dyDescent="0.25">
      <c r="A341" s="404" t="s">
        <v>312</v>
      </c>
      <c r="B341" s="405" t="s">
        <v>55</v>
      </c>
      <c r="C341" s="406"/>
      <c r="D341" s="407">
        <v>34</v>
      </c>
      <c r="E341" s="341">
        <v>4.8899999999999997</v>
      </c>
      <c r="F341" s="341">
        <v>166.26</v>
      </c>
    </row>
    <row r="342" spans="1:6" x14ac:dyDescent="0.25">
      <c r="A342" s="404" t="s">
        <v>313</v>
      </c>
      <c r="B342" s="405" t="s">
        <v>55</v>
      </c>
      <c r="C342" s="406"/>
      <c r="D342" s="407">
        <v>2</v>
      </c>
      <c r="E342" s="341">
        <v>2.54</v>
      </c>
      <c r="F342" s="341">
        <v>5.08</v>
      </c>
    </row>
    <row r="343" spans="1:6" x14ac:dyDescent="0.25">
      <c r="A343" s="404" t="s">
        <v>314</v>
      </c>
      <c r="B343" s="405" t="s">
        <v>55</v>
      </c>
      <c r="C343" s="406"/>
      <c r="D343" s="407">
        <v>1</v>
      </c>
      <c r="E343" s="341">
        <v>12.5</v>
      </c>
      <c r="F343" s="341">
        <v>12.5</v>
      </c>
    </row>
    <row r="344" spans="1:6" ht="14.4" x14ac:dyDescent="0.25">
      <c r="A344" s="408"/>
      <c r="B344" s="409"/>
      <c r="C344" s="410"/>
      <c r="D344" s="411"/>
      <c r="E344" s="412" t="s">
        <v>257</v>
      </c>
      <c r="F344" s="412">
        <v>2547.2199999999998</v>
      </c>
    </row>
    <row r="345" spans="1:6" x14ac:dyDescent="0.25">
      <c r="A345" s="404"/>
      <c r="B345" s="405"/>
      <c r="C345" s="406"/>
      <c r="D345" s="407"/>
      <c r="E345" s="341"/>
      <c r="F345" s="341"/>
    </row>
    <row r="346" spans="1:6" x14ac:dyDescent="0.25">
      <c r="A346" s="404"/>
      <c r="B346" s="405"/>
      <c r="C346" s="406"/>
      <c r="D346" s="407"/>
      <c r="E346" s="341"/>
      <c r="F346" s="341"/>
    </row>
    <row r="347" spans="1:6" ht="14.4" x14ac:dyDescent="0.25">
      <c r="A347" s="397" t="s">
        <v>315</v>
      </c>
      <c r="B347" s="398"/>
      <c r="C347" s="399"/>
      <c r="D347" s="400"/>
      <c r="E347" s="401"/>
      <c r="F347" s="401"/>
    </row>
    <row r="348" spans="1:6" ht="14.4" x14ac:dyDescent="0.25">
      <c r="A348" s="397" t="s">
        <v>316</v>
      </c>
      <c r="B348" s="398"/>
      <c r="C348" s="399" t="s">
        <v>317</v>
      </c>
      <c r="D348" s="400"/>
      <c r="E348" s="401" t="s">
        <v>243</v>
      </c>
      <c r="F348" s="401">
        <v>10.28</v>
      </c>
    </row>
    <row r="349" spans="1:6" ht="14.4" x14ac:dyDescent="0.25">
      <c r="A349" s="398" t="s">
        <v>244</v>
      </c>
      <c r="B349" s="398" t="s">
        <v>52</v>
      </c>
      <c r="C349" s="402" t="s">
        <v>53</v>
      </c>
      <c r="D349" s="402" t="s">
        <v>17</v>
      </c>
      <c r="E349" s="403" t="s">
        <v>245</v>
      </c>
      <c r="F349" s="403" t="s">
        <v>246</v>
      </c>
    </row>
    <row r="350" spans="1:6" x14ac:dyDescent="0.25">
      <c r="A350" s="404" t="s">
        <v>277</v>
      </c>
      <c r="B350" s="405" t="s">
        <v>250</v>
      </c>
      <c r="C350" s="406">
        <v>0.1</v>
      </c>
      <c r="D350" s="407">
        <v>3.2000000000000001E-2</v>
      </c>
      <c r="E350" s="341">
        <v>15.38</v>
      </c>
      <c r="F350" s="341">
        <v>0.49</v>
      </c>
    </row>
    <row r="351" spans="1:6" x14ac:dyDescent="0.25">
      <c r="A351" s="404" t="s">
        <v>318</v>
      </c>
      <c r="B351" s="405" t="s">
        <v>250</v>
      </c>
      <c r="C351" s="406">
        <v>1</v>
      </c>
      <c r="D351" s="407">
        <v>0.32</v>
      </c>
      <c r="E351" s="341">
        <v>13.47</v>
      </c>
      <c r="F351" s="341">
        <v>4.3099999999999996</v>
      </c>
    </row>
    <row r="352" spans="1:6" x14ac:dyDescent="0.25">
      <c r="A352" s="404" t="s">
        <v>319</v>
      </c>
      <c r="B352" s="405" t="s">
        <v>250</v>
      </c>
      <c r="C352" s="406">
        <v>1</v>
      </c>
      <c r="D352" s="407">
        <v>0.32</v>
      </c>
      <c r="E352" s="341">
        <v>12.66</v>
      </c>
      <c r="F352" s="341">
        <v>4.05</v>
      </c>
    </row>
    <row r="353" spans="1:6" ht="14.4" x14ac:dyDescent="0.25">
      <c r="A353" s="408"/>
      <c r="B353" s="409"/>
      <c r="C353" s="410"/>
      <c r="D353" s="411"/>
      <c r="E353" s="412" t="s">
        <v>256</v>
      </c>
      <c r="F353" s="412">
        <v>8.85</v>
      </c>
    </row>
    <row r="354" spans="1:6" x14ac:dyDescent="0.25">
      <c r="A354" s="404"/>
      <c r="B354" s="405"/>
      <c r="C354" s="406"/>
      <c r="D354" s="407"/>
      <c r="E354" s="341"/>
      <c r="F354" s="341"/>
    </row>
    <row r="355" spans="1:6" x14ac:dyDescent="0.25">
      <c r="A355" s="404" t="s">
        <v>258</v>
      </c>
      <c r="B355" s="405" t="s">
        <v>252</v>
      </c>
      <c r="C355" s="406"/>
      <c r="D355" s="407">
        <v>5</v>
      </c>
      <c r="E355" s="341">
        <v>8.85</v>
      </c>
      <c r="F355" s="341">
        <v>0.44</v>
      </c>
    </row>
    <row r="356" spans="1:6" x14ac:dyDescent="0.25">
      <c r="A356" s="404" t="s">
        <v>320</v>
      </c>
      <c r="B356" s="405" t="s">
        <v>251</v>
      </c>
      <c r="C356" s="406">
        <v>1</v>
      </c>
      <c r="D356" s="407">
        <v>0.32</v>
      </c>
      <c r="E356" s="341">
        <v>3.1</v>
      </c>
      <c r="F356" s="341">
        <v>0.99</v>
      </c>
    </row>
    <row r="357" spans="1:6" ht="14.4" x14ac:dyDescent="0.25">
      <c r="A357" s="408"/>
      <c r="B357" s="409"/>
      <c r="C357" s="410"/>
      <c r="D357" s="411"/>
      <c r="E357" s="412" t="s">
        <v>259</v>
      </c>
      <c r="F357" s="412">
        <v>1.43</v>
      </c>
    </row>
    <row r="358" spans="1:6" x14ac:dyDescent="0.25">
      <c r="A358" s="404"/>
      <c r="B358" s="405"/>
      <c r="C358" s="406"/>
      <c r="D358" s="407"/>
      <c r="E358" s="341"/>
      <c r="F358" s="341"/>
    </row>
    <row r="359" spans="1:6" x14ac:dyDescent="0.25">
      <c r="A359" s="404"/>
      <c r="B359" s="405"/>
      <c r="C359" s="406"/>
      <c r="D359" s="407"/>
      <c r="E359" s="341"/>
      <c r="F359" s="341"/>
    </row>
    <row r="360" spans="1:6" ht="14.4" x14ac:dyDescent="0.25">
      <c r="A360" s="397" t="s">
        <v>321</v>
      </c>
      <c r="B360" s="398"/>
      <c r="C360" s="399"/>
      <c r="D360" s="400"/>
      <c r="E360" s="401"/>
      <c r="F360" s="401"/>
    </row>
    <row r="361" spans="1:6" ht="14.4" x14ac:dyDescent="0.25">
      <c r="A361" s="397" t="s">
        <v>394</v>
      </c>
      <c r="B361" s="398"/>
      <c r="C361" s="399" t="s">
        <v>253</v>
      </c>
      <c r="D361" s="400"/>
      <c r="E361" s="401" t="s">
        <v>243</v>
      </c>
      <c r="F361" s="401">
        <v>18.260000000000002</v>
      </c>
    </row>
    <row r="362" spans="1:6" ht="14.4" x14ac:dyDescent="0.25">
      <c r="A362" s="398" t="s">
        <v>244</v>
      </c>
      <c r="B362" s="398" t="s">
        <v>52</v>
      </c>
      <c r="C362" s="402" t="s">
        <v>53</v>
      </c>
      <c r="D362" s="402" t="s">
        <v>17</v>
      </c>
      <c r="E362" s="403" t="s">
        <v>245</v>
      </c>
      <c r="F362" s="403" t="s">
        <v>246</v>
      </c>
    </row>
    <row r="363" spans="1:6" x14ac:dyDescent="0.25">
      <c r="A363" s="404" t="s">
        <v>277</v>
      </c>
      <c r="B363" s="405" t="s">
        <v>250</v>
      </c>
      <c r="C363" s="406">
        <v>0.1</v>
      </c>
      <c r="D363" s="407">
        <v>2.6700000000000002E-2</v>
      </c>
      <c r="E363" s="341">
        <v>15.38</v>
      </c>
      <c r="F363" s="341">
        <v>0.41</v>
      </c>
    </row>
    <row r="364" spans="1:6" x14ac:dyDescent="0.25">
      <c r="A364" s="404" t="s">
        <v>290</v>
      </c>
      <c r="B364" s="405" t="s">
        <v>250</v>
      </c>
      <c r="C364" s="406">
        <v>1</v>
      </c>
      <c r="D364" s="407">
        <v>0.26669999999999999</v>
      </c>
      <c r="E364" s="341">
        <v>15.2</v>
      </c>
      <c r="F364" s="341">
        <v>4.05</v>
      </c>
    </row>
    <row r="365" spans="1:6" x14ac:dyDescent="0.25">
      <c r="A365" s="404" t="s">
        <v>279</v>
      </c>
      <c r="B365" s="405" t="s">
        <v>250</v>
      </c>
      <c r="C365" s="406">
        <v>1</v>
      </c>
      <c r="D365" s="407">
        <v>0.26669999999999999</v>
      </c>
      <c r="E365" s="341">
        <v>11.86</v>
      </c>
      <c r="F365" s="341">
        <v>3.16</v>
      </c>
    </row>
    <row r="366" spans="1:6" ht="14.4" x14ac:dyDescent="0.25">
      <c r="A366" s="408"/>
      <c r="B366" s="409"/>
      <c r="C366" s="410"/>
      <c r="D366" s="411"/>
      <c r="E366" s="412" t="s">
        <v>256</v>
      </c>
      <c r="F366" s="412">
        <v>7.62</v>
      </c>
    </row>
    <row r="367" spans="1:6" x14ac:dyDescent="0.25">
      <c r="A367" s="404"/>
      <c r="B367" s="405"/>
      <c r="C367" s="406"/>
      <c r="D367" s="407"/>
      <c r="E367" s="341"/>
      <c r="F367" s="341"/>
    </row>
    <row r="368" spans="1:6" x14ac:dyDescent="0.25">
      <c r="A368" s="404" t="s">
        <v>501</v>
      </c>
      <c r="B368" s="405" t="s">
        <v>55</v>
      </c>
      <c r="C368" s="406"/>
      <c r="D368" s="407">
        <v>2.5700000000000001E-2</v>
      </c>
      <c r="E368" s="341">
        <v>2.36</v>
      </c>
      <c r="F368" s="341">
        <v>0.06</v>
      </c>
    </row>
    <row r="369" spans="1:6" x14ac:dyDescent="0.25">
      <c r="A369" s="404" t="s">
        <v>291</v>
      </c>
      <c r="B369" s="405" t="s">
        <v>251</v>
      </c>
      <c r="C369" s="406"/>
      <c r="D369" s="407">
        <v>0.26669999999999999</v>
      </c>
      <c r="E369" s="341">
        <v>38.229999999999997</v>
      </c>
      <c r="F369" s="341">
        <v>10.199999999999999</v>
      </c>
    </row>
    <row r="370" spans="1:6" ht="14.4" x14ac:dyDescent="0.25">
      <c r="A370" s="408"/>
      <c r="B370" s="409"/>
      <c r="C370" s="410"/>
      <c r="D370" s="411"/>
      <c r="E370" s="412" t="s">
        <v>257</v>
      </c>
      <c r="F370" s="412">
        <v>10.26</v>
      </c>
    </row>
    <row r="371" spans="1:6" x14ac:dyDescent="0.25">
      <c r="A371" s="404"/>
      <c r="B371" s="405"/>
      <c r="C371" s="406"/>
      <c r="D371" s="407"/>
      <c r="E371" s="341"/>
      <c r="F371" s="341"/>
    </row>
    <row r="372" spans="1:6" x14ac:dyDescent="0.25">
      <c r="A372" s="404" t="s">
        <v>258</v>
      </c>
      <c r="B372" s="405" t="s">
        <v>252</v>
      </c>
      <c r="C372" s="406"/>
      <c r="D372" s="407">
        <v>5</v>
      </c>
      <c r="E372" s="341">
        <v>7.62</v>
      </c>
      <c r="F372" s="341">
        <v>0.38</v>
      </c>
    </row>
    <row r="373" spans="1:6" ht="14.4" x14ac:dyDescent="0.25">
      <c r="A373" s="408"/>
      <c r="B373" s="409"/>
      <c r="C373" s="410"/>
      <c r="D373" s="411"/>
      <c r="E373" s="412" t="s">
        <v>259</v>
      </c>
      <c r="F373" s="412">
        <v>0.38</v>
      </c>
    </row>
    <row r="374" spans="1:6" x14ac:dyDescent="0.25">
      <c r="A374" s="404"/>
      <c r="B374" s="405"/>
      <c r="C374" s="406"/>
      <c r="D374" s="407"/>
      <c r="E374" s="341"/>
      <c r="F374" s="341"/>
    </row>
    <row r="375" spans="1:6" x14ac:dyDescent="0.25">
      <c r="A375" s="404"/>
      <c r="B375" s="405"/>
      <c r="C375" s="406"/>
      <c r="D375" s="407"/>
      <c r="E375" s="341"/>
      <c r="F375" s="341"/>
    </row>
    <row r="376" spans="1:6" ht="14.4" x14ac:dyDescent="0.25">
      <c r="A376" s="397" t="s">
        <v>411</v>
      </c>
      <c r="B376" s="398"/>
      <c r="C376" s="399"/>
      <c r="D376" s="400"/>
      <c r="E376" s="401"/>
      <c r="F376" s="401"/>
    </row>
    <row r="377" spans="1:6" ht="14.4" x14ac:dyDescent="0.25">
      <c r="A377" s="397" t="s">
        <v>396</v>
      </c>
      <c r="B377" s="398"/>
      <c r="C377" s="399" t="s">
        <v>317</v>
      </c>
      <c r="D377" s="400"/>
      <c r="E377" s="401" t="s">
        <v>243</v>
      </c>
      <c r="F377" s="401">
        <v>17.13</v>
      </c>
    </row>
    <row r="378" spans="1:6" ht="14.4" x14ac:dyDescent="0.25">
      <c r="A378" s="398" t="s">
        <v>244</v>
      </c>
      <c r="B378" s="398" t="s">
        <v>52</v>
      </c>
      <c r="C378" s="402" t="s">
        <v>53</v>
      </c>
      <c r="D378" s="402" t="s">
        <v>17</v>
      </c>
      <c r="E378" s="403" t="s">
        <v>245</v>
      </c>
      <c r="F378" s="403" t="s">
        <v>246</v>
      </c>
    </row>
    <row r="379" spans="1:6" x14ac:dyDescent="0.25">
      <c r="A379" s="404" t="s">
        <v>277</v>
      </c>
      <c r="B379" s="405" t="s">
        <v>250</v>
      </c>
      <c r="C379" s="406">
        <v>0.1</v>
      </c>
      <c r="D379" s="407">
        <v>0.04</v>
      </c>
      <c r="E379" s="341">
        <v>15.38</v>
      </c>
      <c r="F379" s="341">
        <v>0.62</v>
      </c>
    </row>
    <row r="380" spans="1:6" x14ac:dyDescent="0.25">
      <c r="A380" s="404" t="s">
        <v>514</v>
      </c>
      <c r="B380" s="405" t="s">
        <v>250</v>
      </c>
      <c r="C380" s="406">
        <v>1</v>
      </c>
      <c r="D380" s="407">
        <v>0.4</v>
      </c>
      <c r="E380" s="341">
        <v>13.47</v>
      </c>
      <c r="F380" s="341">
        <v>5.39</v>
      </c>
    </row>
    <row r="381" spans="1:6" x14ac:dyDescent="0.25">
      <c r="A381" s="404" t="s">
        <v>515</v>
      </c>
      <c r="B381" s="405" t="s">
        <v>250</v>
      </c>
      <c r="C381" s="406">
        <v>1</v>
      </c>
      <c r="D381" s="407">
        <v>0.4</v>
      </c>
      <c r="E381" s="341">
        <v>13.37</v>
      </c>
      <c r="F381" s="341">
        <v>5.35</v>
      </c>
    </row>
    <row r="382" spans="1:6" ht="14.4" x14ac:dyDescent="0.25">
      <c r="A382" s="408"/>
      <c r="B382" s="409"/>
      <c r="C382" s="410"/>
      <c r="D382" s="411"/>
      <c r="E382" s="412" t="s">
        <v>256</v>
      </c>
      <c r="F382" s="412">
        <v>11.36</v>
      </c>
    </row>
    <row r="383" spans="1:6" x14ac:dyDescent="0.25">
      <c r="A383" s="404"/>
      <c r="B383" s="405"/>
      <c r="C383" s="406"/>
      <c r="D383" s="407"/>
      <c r="E383" s="341"/>
      <c r="F383" s="341"/>
    </row>
    <row r="384" spans="1:6" x14ac:dyDescent="0.25">
      <c r="A384" s="404" t="s">
        <v>260</v>
      </c>
      <c r="B384" s="405" t="s">
        <v>237</v>
      </c>
      <c r="C384" s="406"/>
      <c r="D384" s="407">
        <v>0.02</v>
      </c>
      <c r="E384" s="341">
        <v>6.2</v>
      </c>
      <c r="F384" s="341">
        <v>0.12</v>
      </c>
    </row>
    <row r="385" spans="1:6" ht="14.4" x14ac:dyDescent="0.25">
      <c r="A385" s="408"/>
      <c r="B385" s="409"/>
      <c r="C385" s="410"/>
      <c r="D385" s="411"/>
      <c r="E385" s="412" t="s">
        <v>257</v>
      </c>
      <c r="F385" s="412">
        <v>0.12</v>
      </c>
    </row>
    <row r="386" spans="1:6" x14ac:dyDescent="0.25">
      <c r="A386" s="404"/>
      <c r="B386" s="405"/>
      <c r="C386" s="406"/>
      <c r="D386" s="407"/>
      <c r="E386" s="341"/>
      <c r="F386" s="341"/>
    </row>
    <row r="387" spans="1:6" x14ac:dyDescent="0.25">
      <c r="A387" s="404" t="s">
        <v>258</v>
      </c>
      <c r="B387" s="405" t="s">
        <v>252</v>
      </c>
      <c r="C387" s="406"/>
      <c r="D387" s="407">
        <v>5</v>
      </c>
      <c r="E387" s="341">
        <v>11.36</v>
      </c>
      <c r="F387" s="341">
        <v>0.56999999999999995</v>
      </c>
    </row>
    <row r="388" spans="1:6" x14ac:dyDescent="0.25">
      <c r="A388" s="404" t="s">
        <v>397</v>
      </c>
      <c r="B388" s="405" t="s">
        <v>251</v>
      </c>
      <c r="C388" s="406">
        <v>1</v>
      </c>
      <c r="D388" s="407">
        <v>0.4</v>
      </c>
      <c r="E388" s="341">
        <v>3.5</v>
      </c>
      <c r="F388" s="341">
        <v>1.4</v>
      </c>
    </row>
    <row r="389" spans="1:6" x14ac:dyDescent="0.25">
      <c r="A389" s="404" t="s">
        <v>398</v>
      </c>
      <c r="B389" s="405" t="s">
        <v>251</v>
      </c>
      <c r="C389" s="406">
        <v>1</v>
      </c>
      <c r="D389" s="407">
        <v>0.4</v>
      </c>
      <c r="E389" s="341">
        <v>9.1999999999999993</v>
      </c>
      <c r="F389" s="341">
        <v>3.68</v>
      </c>
    </row>
    <row r="390" spans="1:6" ht="14.4" x14ac:dyDescent="0.25">
      <c r="A390" s="408"/>
      <c r="B390" s="409"/>
      <c r="C390" s="410"/>
      <c r="D390" s="411"/>
      <c r="E390" s="412" t="s">
        <v>259</v>
      </c>
      <c r="F390" s="412">
        <v>5.65</v>
      </c>
    </row>
    <row r="391" spans="1:6" x14ac:dyDescent="0.25">
      <c r="A391" s="404"/>
      <c r="B391" s="405"/>
      <c r="C391" s="406"/>
      <c r="D391" s="407"/>
      <c r="E391" s="341"/>
      <c r="F391" s="341"/>
    </row>
    <row r="392" spans="1:6" x14ac:dyDescent="0.25">
      <c r="A392" s="404"/>
      <c r="B392" s="405"/>
      <c r="C392" s="406"/>
      <c r="D392" s="407"/>
      <c r="E392" s="341"/>
      <c r="F392" s="341"/>
    </row>
    <row r="393" spans="1:6" ht="14.4" x14ac:dyDescent="0.25">
      <c r="A393" s="397" t="s">
        <v>412</v>
      </c>
      <c r="B393" s="398"/>
      <c r="C393" s="399"/>
      <c r="D393" s="400"/>
      <c r="E393" s="401"/>
      <c r="F393" s="401"/>
    </row>
    <row r="394" spans="1:6" ht="14.4" x14ac:dyDescent="0.25">
      <c r="A394" s="397" t="s">
        <v>400</v>
      </c>
      <c r="B394" s="398"/>
      <c r="C394" s="399" t="s">
        <v>317</v>
      </c>
      <c r="D394" s="400"/>
      <c r="E394" s="401" t="s">
        <v>243</v>
      </c>
      <c r="F394" s="401">
        <v>16.739999999999998</v>
      </c>
    </row>
    <row r="395" spans="1:6" ht="14.4" x14ac:dyDescent="0.25">
      <c r="A395" s="398" t="s">
        <v>244</v>
      </c>
      <c r="B395" s="398" t="s">
        <v>52</v>
      </c>
      <c r="C395" s="402" t="s">
        <v>53</v>
      </c>
      <c r="D395" s="402" t="s">
        <v>17</v>
      </c>
      <c r="E395" s="403" t="s">
        <v>245</v>
      </c>
      <c r="F395" s="403" t="s">
        <v>246</v>
      </c>
    </row>
    <row r="396" spans="1:6" x14ac:dyDescent="0.25">
      <c r="A396" s="404" t="s">
        <v>277</v>
      </c>
      <c r="B396" s="405" t="s">
        <v>250</v>
      </c>
      <c r="C396" s="406">
        <v>0.1</v>
      </c>
      <c r="D396" s="407">
        <v>1.3299999999999999E-2</v>
      </c>
      <c r="E396" s="341">
        <v>15.38</v>
      </c>
      <c r="F396" s="341">
        <v>0.2</v>
      </c>
    </row>
    <row r="397" spans="1:6" x14ac:dyDescent="0.25">
      <c r="A397" s="404" t="s">
        <v>298</v>
      </c>
      <c r="B397" s="405" t="s">
        <v>250</v>
      </c>
      <c r="C397" s="406">
        <v>1</v>
      </c>
      <c r="D397" s="407">
        <v>0.1333</v>
      </c>
      <c r="E397" s="341">
        <v>11.86</v>
      </c>
      <c r="F397" s="341">
        <v>1.58</v>
      </c>
    </row>
    <row r="398" spans="1:6" x14ac:dyDescent="0.25">
      <c r="A398" s="404" t="s">
        <v>515</v>
      </c>
      <c r="B398" s="405" t="s">
        <v>250</v>
      </c>
      <c r="C398" s="406">
        <v>1</v>
      </c>
      <c r="D398" s="407">
        <v>0.1333</v>
      </c>
      <c r="E398" s="341">
        <v>13.37</v>
      </c>
      <c r="F398" s="341">
        <v>1.78</v>
      </c>
    </row>
    <row r="399" spans="1:6" ht="14.4" x14ac:dyDescent="0.25">
      <c r="A399" s="408"/>
      <c r="B399" s="409"/>
      <c r="C399" s="410"/>
      <c r="D399" s="411"/>
      <c r="E399" s="412" t="s">
        <v>256</v>
      </c>
      <c r="F399" s="412">
        <v>3.56</v>
      </c>
    </row>
    <row r="400" spans="1:6" x14ac:dyDescent="0.25">
      <c r="A400" s="404"/>
      <c r="B400" s="405"/>
      <c r="C400" s="406"/>
      <c r="D400" s="407"/>
      <c r="E400" s="341"/>
      <c r="F400" s="341"/>
    </row>
    <row r="401" spans="1:6" x14ac:dyDescent="0.25">
      <c r="A401" s="404" t="s">
        <v>401</v>
      </c>
      <c r="B401" s="405" t="s">
        <v>237</v>
      </c>
      <c r="C401" s="406"/>
      <c r="D401" s="407">
        <v>0.12</v>
      </c>
      <c r="E401" s="341">
        <v>25.03</v>
      </c>
      <c r="F401" s="341">
        <v>3</v>
      </c>
    </row>
    <row r="402" spans="1:6" ht="14.4" x14ac:dyDescent="0.25">
      <c r="A402" s="408"/>
      <c r="B402" s="409"/>
      <c r="C402" s="410"/>
      <c r="D402" s="411"/>
      <c r="E402" s="412" t="s">
        <v>257</v>
      </c>
      <c r="F402" s="412">
        <v>3</v>
      </c>
    </row>
    <row r="403" spans="1:6" x14ac:dyDescent="0.25">
      <c r="A403" s="404"/>
      <c r="B403" s="405"/>
      <c r="C403" s="406"/>
      <c r="D403" s="407"/>
      <c r="E403" s="341"/>
      <c r="F403" s="341"/>
    </row>
    <row r="404" spans="1:6" x14ac:dyDescent="0.25">
      <c r="A404" s="404" t="s">
        <v>258</v>
      </c>
      <c r="B404" s="405" t="s">
        <v>252</v>
      </c>
      <c r="C404" s="406"/>
      <c r="D404" s="407">
        <v>5</v>
      </c>
      <c r="E404" s="341">
        <v>3.56</v>
      </c>
      <c r="F404" s="341">
        <v>0.18</v>
      </c>
    </row>
    <row r="405" spans="1:6" x14ac:dyDescent="0.25">
      <c r="A405" s="404" t="s">
        <v>402</v>
      </c>
      <c r="B405" s="405" t="s">
        <v>251</v>
      </c>
      <c r="C405" s="406">
        <v>1</v>
      </c>
      <c r="D405" s="407">
        <v>0.1333</v>
      </c>
      <c r="E405" s="341">
        <v>75</v>
      </c>
      <c r="F405" s="341">
        <v>10</v>
      </c>
    </row>
    <row r="406" spans="1:6" ht="14.4" x14ac:dyDescent="0.25">
      <c r="A406" s="408"/>
      <c r="B406" s="409"/>
      <c r="C406" s="410"/>
      <c r="D406" s="411"/>
      <c r="E406" s="412" t="s">
        <v>259</v>
      </c>
      <c r="F406" s="412">
        <v>10.18</v>
      </c>
    </row>
    <row r="407" spans="1:6" x14ac:dyDescent="0.25">
      <c r="A407" s="404"/>
      <c r="B407" s="405"/>
      <c r="C407" s="406"/>
      <c r="D407" s="407"/>
      <c r="E407" s="341"/>
      <c r="F407" s="341"/>
    </row>
    <row r="408" spans="1:6" x14ac:dyDescent="0.25">
      <c r="A408" s="404"/>
      <c r="B408" s="405"/>
      <c r="C408" s="406"/>
      <c r="D408" s="407"/>
      <c r="E408" s="341"/>
      <c r="F408" s="341"/>
    </row>
    <row r="409" spans="1:6" ht="14.4" x14ac:dyDescent="0.25">
      <c r="A409" s="397" t="s">
        <v>413</v>
      </c>
      <c r="B409" s="398"/>
      <c r="C409" s="399"/>
      <c r="D409" s="400"/>
      <c r="E409" s="401"/>
      <c r="F409" s="401"/>
    </row>
    <row r="410" spans="1:6" ht="14.4" x14ac:dyDescent="0.25">
      <c r="A410" s="397" t="s">
        <v>241</v>
      </c>
      <c r="B410" s="398"/>
      <c r="C410" s="399" t="s">
        <v>242</v>
      </c>
      <c r="D410" s="400"/>
      <c r="E410" s="401" t="s">
        <v>243</v>
      </c>
      <c r="F410" s="401">
        <v>51.47</v>
      </c>
    </row>
    <row r="411" spans="1:6" ht="14.4" x14ac:dyDescent="0.25">
      <c r="A411" s="398" t="s">
        <v>244</v>
      </c>
      <c r="B411" s="398" t="s">
        <v>52</v>
      </c>
      <c r="C411" s="402" t="s">
        <v>53</v>
      </c>
      <c r="D411" s="402" t="s">
        <v>17</v>
      </c>
      <c r="E411" s="403" t="s">
        <v>245</v>
      </c>
      <c r="F411" s="403" t="s">
        <v>246</v>
      </c>
    </row>
    <row r="412" spans="1:6" x14ac:dyDescent="0.25">
      <c r="A412" s="404" t="s">
        <v>293</v>
      </c>
      <c r="B412" s="405" t="s">
        <v>55</v>
      </c>
      <c r="C412" s="406"/>
      <c r="D412" s="407">
        <v>0.33329999999999999</v>
      </c>
      <c r="E412" s="341">
        <v>21.64</v>
      </c>
      <c r="F412" s="341">
        <v>7.21</v>
      </c>
    </row>
    <row r="413" spans="1:6" ht="14.4" x14ac:dyDescent="0.25">
      <c r="A413" s="408"/>
      <c r="B413" s="409"/>
      <c r="C413" s="410"/>
      <c r="D413" s="411"/>
      <c r="E413" s="412" t="s">
        <v>257</v>
      </c>
      <c r="F413" s="412">
        <v>7.21</v>
      </c>
    </row>
    <row r="414" spans="1:6" x14ac:dyDescent="0.25">
      <c r="A414" s="404"/>
      <c r="B414" s="405"/>
      <c r="C414" s="406"/>
      <c r="D414" s="407"/>
      <c r="E414" s="341"/>
      <c r="F414" s="341"/>
    </row>
    <row r="415" spans="1:6" x14ac:dyDescent="0.25">
      <c r="A415" s="404" t="s">
        <v>294</v>
      </c>
      <c r="B415" s="405" t="s">
        <v>237</v>
      </c>
      <c r="C415" s="406"/>
      <c r="D415" s="407">
        <v>4.1000000000000002E-2</v>
      </c>
      <c r="E415" s="341">
        <v>284.38000000000011</v>
      </c>
      <c r="F415" s="341">
        <v>11.66</v>
      </c>
    </row>
    <row r="416" spans="1:6" x14ac:dyDescent="0.25">
      <c r="A416" s="404" t="s">
        <v>296</v>
      </c>
      <c r="B416" s="405" t="s">
        <v>238</v>
      </c>
      <c r="C416" s="406"/>
      <c r="D416" s="407">
        <v>0.9</v>
      </c>
      <c r="E416" s="341">
        <v>36.220000000000013</v>
      </c>
      <c r="F416" s="341">
        <v>32.6</v>
      </c>
    </row>
    <row r="417" spans="1:6" ht="14.4" x14ac:dyDescent="0.25">
      <c r="A417" s="408"/>
      <c r="B417" s="409"/>
      <c r="C417" s="410"/>
      <c r="D417" s="411"/>
      <c r="E417" s="412" t="s">
        <v>249</v>
      </c>
      <c r="F417" s="412">
        <v>44.260000000000012</v>
      </c>
    </row>
    <row r="418" spans="1:6" ht="14.4" x14ac:dyDescent="0.25">
      <c r="A418" s="408" t="s">
        <v>254</v>
      </c>
      <c r="B418" s="409" t="s">
        <v>250</v>
      </c>
      <c r="C418" s="410">
        <v>1</v>
      </c>
      <c r="D418" s="411">
        <v>7.7834809274467245E-2</v>
      </c>
      <c r="E418" s="412">
        <v>0</v>
      </c>
      <c r="F418" s="412">
        <v>0</v>
      </c>
    </row>
    <row r="419" spans="1:6" ht="14.4" x14ac:dyDescent="0.25">
      <c r="A419" s="408" t="s">
        <v>592</v>
      </c>
      <c r="B419" s="409" t="s">
        <v>250</v>
      </c>
      <c r="C419" s="410">
        <v>1</v>
      </c>
      <c r="D419" s="411">
        <v>0.71676634630445957</v>
      </c>
      <c r="E419" s="412">
        <v>0</v>
      </c>
      <c r="F419" s="412">
        <v>0</v>
      </c>
    </row>
    <row r="420" spans="1:6" ht="14.4" x14ac:dyDescent="0.25">
      <c r="A420" s="408" t="s">
        <v>255</v>
      </c>
      <c r="B420" s="409" t="s">
        <v>250</v>
      </c>
      <c r="C420" s="410">
        <v>1</v>
      </c>
      <c r="D420" s="411">
        <v>0.81982791719811721</v>
      </c>
      <c r="E420" s="412">
        <v>0</v>
      </c>
      <c r="F420" s="412">
        <v>0</v>
      </c>
    </row>
    <row r="421" spans="1:6" ht="14.4" x14ac:dyDescent="0.25">
      <c r="A421" s="408" t="s">
        <v>593</v>
      </c>
      <c r="B421" s="409" t="s">
        <v>250</v>
      </c>
      <c r="C421" s="410">
        <v>1</v>
      </c>
      <c r="D421" s="411">
        <v>0.25515426055628898</v>
      </c>
      <c r="E421" s="412">
        <v>0</v>
      </c>
      <c r="F421" s="412">
        <v>0</v>
      </c>
    </row>
    <row r="422" spans="1:6" x14ac:dyDescent="0.25">
      <c r="A422" s="418"/>
      <c r="B422" s="405"/>
      <c r="C422" s="406"/>
      <c r="D422" s="407"/>
      <c r="E422" s="341" t="s">
        <v>256</v>
      </c>
      <c r="F422" s="341">
        <v>0</v>
      </c>
    </row>
    <row r="423" spans="1:6" x14ac:dyDescent="0.25">
      <c r="A423" s="404"/>
      <c r="B423" s="405"/>
      <c r="C423" s="406"/>
      <c r="D423" s="407"/>
      <c r="E423" s="341"/>
      <c r="F423" s="341"/>
    </row>
    <row r="424" spans="1:6" ht="14.4" x14ac:dyDescent="0.25">
      <c r="A424" s="397" t="s">
        <v>459</v>
      </c>
      <c r="B424" s="398"/>
      <c r="C424" s="399"/>
      <c r="D424" s="400"/>
      <c r="E424" s="401"/>
      <c r="F424" s="401"/>
    </row>
    <row r="425" spans="1:6" ht="14.4" x14ac:dyDescent="0.25">
      <c r="A425" s="397" t="s">
        <v>297</v>
      </c>
      <c r="B425" s="398"/>
      <c r="C425" s="399" t="s">
        <v>242</v>
      </c>
      <c r="D425" s="400"/>
      <c r="E425" s="401" t="s">
        <v>243</v>
      </c>
      <c r="F425" s="401">
        <v>11.41</v>
      </c>
    </row>
    <row r="426" spans="1:6" ht="14.4" x14ac:dyDescent="0.25">
      <c r="A426" s="398" t="s">
        <v>244</v>
      </c>
      <c r="B426" s="398" t="s">
        <v>52</v>
      </c>
      <c r="C426" s="402" t="s">
        <v>53</v>
      </c>
      <c r="D426" s="402" t="s">
        <v>17</v>
      </c>
      <c r="E426" s="403" t="s">
        <v>245</v>
      </c>
      <c r="F426" s="403" t="s">
        <v>246</v>
      </c>
    </row>
    <row r="427" spans="1:6" x14ac:dyDescent="0.25">
      <c r="A427" s="404" t="s">
        <v>277</v>
      </c>
      <c r="B427" s="405" t="s">
        <v>250</v>
      </c>
      <c r="C427" s="406">
        <v>0.1</v>
      </c>
      <c r="D427" s="407">
        <v>0.02</v>
      </c>
      <c r="E427" s="341">
        <v>15.38</v>
      </c>
      <c r="F427" s="341">
        <v>0.31</v>
      </c>
    </row>
    <row r="428" spans="1:6" x14ac:dyDescent="0.25">
      <c r="A428" s="404" t="s">
        <v>514</v>
      </c>
      <c r="B428" s="405" t="s">
        <v>250</v>
      </c>
      <c r="C428" s="406">
        <v>1</v>
      </c>
      <c r="D428" s="407">
        <v>0.2</v>
      </c>
      <c r="E428" s="341">
        <v>13.47</v>
      </c>
      <c r="F428" s="341">
        <v>2.69</v>
      </c>
    </row>
    <row r="429" spans="1:6" x14ac:dyDescent="0.25">
      <c r="A429" s="404" t="s">
        <v>515</v>
      </c>
      <c r="B429" s="405" t="s">
        <v>250</v>
      </c>
      <c r="C429" s="406">
        <v>1</v>
      </c>
      <c r="D429" s="407">
        <v>0.2</v>
      </c>
      <c r="E429" s="341">
        <v>13.37</v>
      </c>
      <c r="F429" s="341">
        <v>2.67</v>
      </c>
    </row>
    <row r="430" spans="1:6" x14ac:dyDescent="0.25">
      <c r="A430" s="404" t="s">
        <v>298</v>
      </c>
      <c r="B430" s="405" t="s">
        <v>250</v>
      </c>
      <c r="C430" s="406">
        <v>1</v>
      </c>
      <c r="D430" s="407">
        <v>0.2</v>
      </c>
      <c r="E430" s="341">
        <v>11.86</v>
      </c>
      <c r="F430" s="341">
        <v>2.37</v>
      </c>
    </row>
    <row r="431" spans="1:6" ht="14.4" x14ac:dyDescent="0.25">
      <c r="A431" s="408"/>
      <c r="B431" s="409"/>
      <c r="C431" s="410"/>
      <c r="D431" s="411"/>
      <c r="E431" s="412" t="s">
        <v>256</v>
      </c>
      <c r="F431" s="412">
        <v>8.0399999999999991</v>
      </c>
    </row>
    <row r="432" spans="1:6" x14ac:dyDescent="0.25">
      <c r="A432" s="404"/>
      <c r="B432" s="405"/>
      <c r="C432" s="406"/>
      <c r="D432" s="407"/>
      <c r="E432" s="341"/>
      <c r="F432" s="341"/>
    </row>
    <row r="433" spans="1:6" x14ac:dyDescent="0.25">
      <c r="A433" s="404" t="s">
        <v>299</v>
      </c>
      <c r="B433" s="405" t="s">
        <v>55</v>
      </c>
      <c r="C433" s="406"/>
      <c r="D433" s="407">
        <v>0.5</v>
      </c>
      <c r="E433" s="341">
        <v>4.29</v>
      </c>
      <c r="F433" s="341">
        <v>2.15</v>
      </c>
    </row>
    <row r="434" spans="1:6" x14ac:dyDescent="0.25">
      <c r="A434" s="404" t="s">
        <v>260</v>
      </c>
      <c r="B434" s="405" t="s">
        <v>237</v>
      </c>
      <c r="C434" s="406"/>
      <c r="D434" s="407">
        <v>0.02</v>
      </c>
      <c r="E434" s="341">
        <v>6.2</v>
      </c>
      <c r="F434" s="341">
        <v>0.12</v>
      </c>
    </row>
    <row r="435" spans="1:6" ht="14.4" x14ac:dyDescent="0.25">
      <c r="A435" s="408"/>
      <c r="B435" s="409"/>
      <c r="C435" s="410"/>
      <c r="D435" s="411"/>
      <c r="E435" s="412" t="s">
        <v>257</v>
      </c>
      <c r="F435" s="412">
        <v>2.27</v>
      </c>
    </row>
    <row r="436" spans="1:6" x14ac:dyDescent="0.25">
      <c r="A436" s="404"/>
      <c r="B436" s="405"/>
      <c r="C436" s="406"/>
      <c r="D436" s="407"/>
      <c r="E436" s="341"/>
      <c r="F436" s="341"/>
    </row>
    <row r="437" spans="1:6" x14ac:dyDescent="0.25">
      <c r="A437" s="404" t="s">
        <v>258</v>
      </c>
      <c r="B437" s="405" t="s">
        <v>252</v>
      </c>
      <c r="C437" s="406"/>
      <c r="D437" s="407">
        <v>5</v>
      </c>
      <c r="E437" s="341">
        <v>8.0399999999999991</v>
      </c>
      <c r="F437" s="341">
        <v>0.4</v>
      </c>
    </row>
    <row r="438" spans="1:6" x14ac:dyDescent="0.25">
      <c r="A438" s="404" t="s">
        <v>300</v>
      </c>
      <c r="B438" s="405" t="s">
        <v>251</v>
      </c>
      <c r="C438" s="406">
        <v>1</v>
      </c>
      <c r="D438" s="407">
        <v>0.2</v>
      </c>
      <c r="E438" s="341">
        <v>3.5</v>
      </c>
      <c r="F438" s="341">
        <v>0.7</v>
      </c>
    </row>
    <row r="439" spans="1:6" ht="14.4" x14ac:dyDescent="0.25">
      <c r="A439" s="408"/>
      <c r="B439" s="409"/>
      <c r="C439" s="410"/>
      <c r="D439" s="411"/>
      <c r="E439" s="412" t="s">
        <v>259</v>
      </c>
      <c r="F439" s="412">
        <v>1.1000000000000001</v>
      </c>
    </row>
    <row r="440" spans="1:6" x14ac:dyDescent="0.25">
      <c r="A440" s="404"/>
      <c r="B440" s="405"/>
      <c r="C440" s="406"/>
      <c r="D440" s="407"/>
      <c r="E440" s="341"/>
      <c r="F440" s="341"/>
    </row>
    <row r="441" spans="1:6" x14ac:dyDescent="0.25">
      <c r="A441" s="404"/>
      <c r="B441" s="405"/>
      <c r="C441" s="406"/>
      <c r="D441" s="407"/>
      <c r="E441" s="341"/>
      <c r="F441" s="341"/>
    </row>
    <row r="442" spans="1:6" ht="14.4" x14ac:dyDescent="0.25">
      <c r="A442" s="397" t="s">
        <v>460</v>
      </c>
      <c r="B442" s="398"/>
      <c r="C442" s="399"/>
      <c r="D442" s="400"/>
      <c r="E442" s="401"/>
      <c r="F442" s="401"/>
    </row>
    <row r="443" spans="1:6" ht="14.4" x14ac:dyDescent="0.25">
      <c r="A443" s="397" t="s">
        <v>404</v>
      </c>
      <c r="B443" s="398"/>
      <c r="C443" s="399" t="s">
        <v>253</v>
      </c>
      <c r="D443" s="400"/>
      <c r="E443" s="401" t="s">
        <v>243</v>
      </c>
      <c r="F443" s="401">
        <v>48.24</v>
      </c>
    </row>
    <row r="444" spans="1:6" ht="14.4" x14ac:dyDescent="0.25">
      <c r="A444" s="398" t="s">
        <v>244</v>
      </c>
      <c r="B444" s="398" t="s">
        <v>52</v>
      </c>
      <c r="C444" s="402" t="s">
        <v>53</v>
      </c>
      <c r="D444" s="402" t="s">
        <v>17</v>
      </c>
      <c r="E444" s="403" t="s">
        <v>245</v>
      </c>
      <c r="F444" s="403" t="s">
        <v>246</v>
      </c>
    </row>
    <row r="445" spans="1:6" x14ac:dyDescent="0.25">
      <c r="A445" s="404" t="s">
        <v>292</v>
      </c>
      <c r="B445" s="405" t="s">
        <v>250</v>
      </c>
      <c r="C445" s="406">
        <v>0.03</v>
      </c>
      <c r="D445" s="407">
        <v>0.2</v>
      </c>
      <c r="E445" s="341">
        <v>13.94</v>
      </c>
      <c r="F445" s="341">
        <v>2.79</v>
      </c>
    </row>
    <row r="446" spans="1:6" ht="14.4" x14ac:dyDescent="0.25">
      <c r="A446" s="408"/>
      <c r="B446" s="409"/>
      <c r="C446" s="410"/>
      <c r="D446" s="411"/>
      <c r="E446" s="412" t="s">
        <v>256</v>
      </c>
      <c r="F446" s="412">
        <v>2.79</v>
      </c>
    </row>
    <row r="447" spans="1:6" x14ac:dyDescent="0.25">
      <c r="A447" s="404"/>
      <c r="B447" s="405"/>
      <c r="C447" s="406"/>
      <c r="D447" s="407"/>
      <c r="E447" s="341"/>
      <c r="F447" s="341"/>
    </row>
    <row r="448" spans="1:6" x14ac:dyDescent="0.25">
      <c r="A448" s="404" t="s">
        <v>405</v>
      </c>
      <c r="B448" s="405" t="s">
        <v>237</v>
      </c>
      <c r="C448" s="406"/>
      <c r="D448" s="407">
        <v>1</v>
      </c>
      <c r="E448" s="341">
        <v>45.45</v>
      </c>
      <c r="F448" s="341">
        <v>45.45</v>
      </c>
    </row>
    <row r="449" spans="1:6" ht="14.4" x14ac:dyDescent="0.25">
      <c r="A449" s="408"/>
      <c r="B449" s="409"/>
      <c r="C449" s="410"/>
      <c r="D449" s="411"/>
      <c r="E449" s="412" t="s">
        <v>406</v>
      </c>
      <c r="F449" s="412">
        <v>45.45</v>
      </c>
    </row>
    <row r="450" spans="1:6" x14ac:dyDescent="0.25">
      <c r="A450" s="404"/>
      <c r="B450" s="405"/>
      <c r="C450" s="406"/>
      <c r="D450" s="407"/>
      <c r="E450" s="341"/>
      <c r="F450" s="341"/>
    </row>
    <row r="451" spans="1:6" x14ac:dyDescent="0.25">
      <c r="A451" s="404"/>
      <c r="B451" s="405"/>
      <c r="C451" s="406"/>
      <c r="D451" s="407"/>
      <c r="E451" s="341"/>
      <c r="F451" s="341"/>
    </row>
    <row r="452" spans="1:6" ht="14.4" x14ac:dyDescent="0.25">
      <c r="A452" s="397" t="s">
        <v>461</v>
      </c>
      <c r="B452" s="398"/>
      <c r="C452" s="399"/>
      <c r="D452" s="400"/>
      <c r="E452" s="401"/>
      <c r="F452" s="401"/>
    </row>
    <row r="453" spans="1:6" ht="14.4" x14ac:dyDescent="0.25">
      <c r="A453" s="397" t="s">
        <v>301</v>
      </c>
      <c r="B453" s="398"/>
      <c r="C453" s="399" t="s">
        <v>253</v>
      </c>
      <c r="D453" s="400"/>
      <c r="E453" s="401" t="s">
        <v>243</v>
      </c>
      <c r="F453" s="401">
        <v>43.669999999999987</v>
      </c>
    </row>
    <row r="454" spans="1:6" ht="14.4" x14ac:dyDescent="0.25">
      <c r="A454" s="398" t="s">
        <v>244</v>
      </c>
      <c r="B454" s="398" t="s">
        <v>52</v>
      </c>
      <c r="C454" s="402" t="s">
        <v>53</v>
      </c>
      <c r="D454" s="402" t="s">
        <v>17</v>
      </c>
      <c r="E454" s="403" t="s">
        <v>245</v>
      </c>
      <c r="F454" s="403" t="s">
        <v>246</v>
      </c>
    </row>
    <row r="455" spans="1:6" x14ac:dyDescent="0.25">
      <c r="A455" s="404" t="s">
        <v>277</v>
      </c>
      <c r="B455" s="405" t="s">
        <v>250</v>
      </c>
      <c r="C455" s="406">
        <v>0.1</v>
      </c>
      <c r="D455" s="407">
        <v>6.6699999999999995E-2</v>
      </c>
      <c r="E455" s="341">
        <v>15.38</v>
      </c>
      <c r="F455" s="341">
        <v>1.03</v>
      </c>
    </row>
    <row r="456" spans="1:6" x14ac:dyDescent="0.25">
      <c r="A456" s="404" t="s">
        <v>514</v>
      </c>
      <c r="B456" s="405" t="s">
        <v>250</v>
      </c>
      <c r="C456" s="406">
        <v>1</v>
      </c>
      <c r="D456" s="407">
        <v>0.66669999999999996</v>
      </c>
      <c r="E456" s="341">
        <v>13.47</v>
      </c>
      <c r="F456" s="341">
        <v>8.98</v>
      </c>
    </row>
    <row r="457" spans="1:6" x14ac:dyDescent="0.25">
      <c r="A457" s="404" t="s">
        <v>298</v>
      </c>
      <c r="B457" s="405" t="s">
        <v>250</v>
      </c>
      <c r="C457" s="406">
        <v>3</v>
      </c>
      <c r="D457" s="407">
        <v>2</v>
      </c>
      <c r="E457" s="341">
        <v>11.86</v>
      </c>
      <c r="F457" s="341">
        <v>23.72</v>
      </c>
    </row>
    <row r="458" spans="1:6" ht="14.4" x14ac:dyDescent="0.25">
      <c r="A458" s="408"/>
      <c r="B458" s="409"/>
      <c r="C458" s="410"/>
      <c r="D458" s="411"/>
      <c r="E458" s="412" t="s">
        <v>256</v>
      </c>
      <c r="F458" s="412">
        <v>33.729999999999997</v>
      </c>
    </row>
    <row r="459" spans="1:6" x14ac:dyDescent="0.25">
      <c r="A459" s="404"/>
      <c r="B459" s="405"/>
      <c r="C459" s="406"/>
      <c r="D459" s="407"/>
      <c r="E459" s="341"/>
      <c r="F459" s="341"/>
    </row>
    <row r="460" spans="1:6" x14ac:dyDescent="0.25">
      <c r="A460" s="404" t="s">
        <v>260</v>
      </c>
      <c r="B460" s="405" t="s">
        <v>237</v>
      </c>
      <c r="C460" s="406"/>
      <c r="D460" s="407">
        <v>0.02</v>
      </c>
      <c r="E460" s="341">
        <v>6.2</v>
      </c>
      <c r="F460" s="341">
        <v>0.12</v>
      </c>
    </row>
    <row r="461" spans="1:6" ht="14.4" x14ac:dyDescent="0.25">
      <c r="A461" s="408"/>
      <c r="B461" s="409"/>
      <c r="C461" s="410"/>
      <c r="D461" s="411"/>
      <c r="E461" s="412" t="s">
        <v>257</v>
      </c>
      <c r="F461" s="412">
        <v>0.12</v>
      </c>
    </row>
    <row r="462" spans="1:6" x14ac:dyDescent="0.25">
      <c r="A462" s="404"/>
      <c r="B462" s="405"/>
      <c r="C462" s="406"/>
      <c r="D462" s="407"/>
      <c r="E462" s="341"/>
      <c r="F462" s="341"/>
    </row>
    <row r="463" spans="1:6" x14ac:dyDescent="0.25">
      <c r="A463" s="404" t="s">
        <v>258</v>
      </c>
      <c r="B463" s="405" t="s">
        <v>252</v>
      </c>
      <c r="C463" s="406"/>
      <c r="D463" s="407">
        <v>5</v>
      </c>
      <c r="E463" s="341">
        <v>33.729999999999997</v>
      </c>
      <c r="F463" s="341">
        <v>1.69</v>
      </c>
    </row>
    <row r="464" spans="1:6" x14ac:dyDescent="0.25">
      <c r="A464" s="404" t="s">
        <v>302</v>
      </c>
      <c r="B464" s="405" t="s">
        <v>251</v>
      </c>
      <c r="C464" s="406">
        <v>1</v>
      </c>
      <c r="D464" s="407">
        <v>0.66669999999999996</v>
      </c>
      <c r="E464" s="341">
        <v>12.2</v>
      </c>
      <c r="F464" s="341">
        <v>8.1300000000000008</v>
      </c>
    </row>
    <row r="465" spans="1:6" ht="14.4" x14ac:dyDescent="0.25">
      <c r="A465" s="408"/>
      <c r="B465" s="409"/>
      <c r="C465" s="410"/>
      <c r="D465" s="411"/>
      <c r="E465" s="412" t="s">
        <v>259</v>
      </c>
      <c r="F465" s="412">
        <v>9.82</v>
      </c>
    </row>
    <row r="466" spans="1:6" x14ac:dyDescent="0.25">
      <c r="A466" s="404"/>
      <c r="B466" s="405"/>
      <c r="C466" s="406"/>
      <c r="D466" s="407"/>
      <c r="E466" s="341"/>
      <c r="F466" s="341"/>
    </row>
    <row r="467" spans="1:6" x14ac:dyDescent="0.25">
      <c r="A467" s="404"/>
      <c r="B467" s="405"/>
      <c r="C467" s="406"/>
      <c r="D467" s="407"/>
      <c r="E467" s="341"/>
      <c r="F467" s="341"/>
    </row>
    <row r="468" spans="1:6" ht="14.4" x14ac:dyDescent="0.25">
      <c r="A468" s="397" t="s">
        <v>462</v>
      </c>
      <c r="B468" s="398"/>
      <c r="C468" s="399"/>
      <c r="D468" s="400"/>
      <c r="E468" s="401"/>
      <c r="F468" s="401"/>
    </row>
    <row r="469" spans="1:6" ht="14.4" x14ac:dyDescent="0.25">
      <c r="A469" s="397" t="s">
        <v>407</v>
      </c>
      <c r="B469" s="398"/>
      <c r="C469" s="399" t="s">
        <v>253</v>
      </c>
      <c r="D469" s="400"/>
      <c r="E469" s="401" t="s">
        <v>243</v>
      </c>
      <c r="F469" s="401">
        <v>15.38</v>
      </c>
    </row>
    <row r="470" spans="1:6" ht="14.4" x14ac:dyDescent="0.25">
      <c r="A470" s="398" t="s">
        <v>244</v>
      </c>
      <c r="B470" s="398" t="s">
        <v>52</v>
      </c>
      <c r="C470" s="402" t="s">
        <v>53</v>
      </c>
      <c r="D470" s="402" t="s">
        <v>17</v>
      </c>
      <c r="E470" s="403" t="s">
        <v>245</v>
      </c>
      <c r="F470" s="403" t="s">
        <v>246</v>
      </c>
    </row>
    <row r="471" spans="1:6" x14ac:dyDescent="0.25">
      <c r="A471" s="404" t="s">
        <v>278</v>
      </c>
      <c r="B471" s="405" t="s">
        <v>250</v>
      </c>
      <c r="C471" s="406">
        <v>1</v>
      </c>
      <c r="D471" s="407">
        <v>0.1</v>
      </c>
      <c r="E471" s="341">
        <v>13.46</v>
      </c>
      <c r="F471" s="341">
        <v>1.35</v>
      </c>
    </row>
    <row r="472" spans="1:6" x14ac:dyDescent="0.25">
      <c r="A472" s="404" t="s">
        <v>290</v>
      </c>
      <c r="B472" s="405" t="s">
        <v>250</v>
      </c>
      <c r="C472" s="406">
        <v>1</v>
      </c>
      <c r="D472" s="407">
        <v>0.1</v>
      </c>
      <c r="E472" s="341">
        <v>15.2</v>
      </c>
      <c r="F472" s="341">
        <v>1.52</v>
      </c>
    </row>
    <row r="473" spans="1:6" x14ac:dyDescent="0.25">
      <c r="A473" s="404" t="s">
        <v>279</v>
      </c>
      <c r="B473" s="405" t="s">
        <v>250</v>
      </c>
      <c r="C473" s="406">
        <v>1</v>
      </c>
      <c r="D473" s="407">
        <v>0.1</v>
      </c>
      <c r="E473" s="341">
        <v>11.86</v>
      </c>
      <c r="F473" s="341">
        <v>1.19</v>
      </c>
    </row>
    <row r="474" spans="1:6" ht="14.4" x14ac:dyDescent="0.25">
      <c r="A474" s="408"/>
      <c r="B474" s="409"/>
      <c r="C474" s="410"/>
      <c r="D474" s="411"/>
      <c r="E474" s="412" t="s">
        <v>256</v>
      </c>
      <c r="F474" s="412">
        <v>4.0599999999999996</v>
      </c>
    </row>
    <row r="475" spans="1:6" x14ac:dyDescent="0.25">
      <c r="A475" s="404"/>
      <c r="B475" s="405"/>
      <c r="C475" s="406"/>
      <c r="D475" s="407"/>
      <c r="E475" s="341"/>
      <c r="F475" s="341"/>
    </row>
    <row r="476" spans="1:6" x14ac:dyDescent="0.25">
      <c r="A476" s="404" t="s">
        <v>291</v>
      </c>
      <c r="B476" s="405" t="s">
        <v>251</v>
      </c>
      <c r="C476" s="406"/>
      <c r="D476" s="407">
        <v>0.1</v>
      </c>
      <c r="E476" s="341">
        <v>38.229999999999997</v>
      </c>
      <c r="F476" s="341">
        <v>3.82</v>
      </c>
    </row>
    <row r="477" spans="1:6" ht="14.4" x14ac:dyDescent="0.25">
      <c r="A477" s="408"/>
      <c r="B477" s="409"/>
      <c r="C477" s="410"/>
      <c r="D477" s="411"/>
      <c r="E477" s="412" t="s">
        <v>257</v>
      </c>
      <c r="F477" s="412">
        <v>3.82</v>
      </c>
    </row>
    <row r="478" spans="1:6" x14ac:dyDescent="0.25">
      <c r="A478" s="404"/>
      <c r="B478" s="405"/>
      <c r="C478" s="406"/>
      <c r="D478" s="407"/>
      <c r="E478" s="341"/>
      <c r="F478" s="341"/>
    </row>
    <row r="479" spans="1:6" x14ac:dyDescent="0.25">
      <c r="A479" s="404" t="s">
        <v>402</v>
      </c>
      <c r="B479" s="405" t="s">
        <v>251</v>
      </c>
      <c r="C479" s="406">
        <v>1</v>
      </c>
      <c r="D479" s="407">
        <v>0.1</v>
      </c>
      <c r="E479" s="341">
        <v>75</v>
      </c>
      <c r="F479" s="341">
        <v>7.5</v>
      </c>
    </row>
    <row r="480" spans="1:6" ht="14.4" x14ac:dyDescent="0.25">
      <c r="A480" s="408"/>
      <c r="B480" s="409"/>
      <c r="C480" s="410"/>
      <c r="D480" s="411"/>
      <c r="E480" s="412" t="s">
        <v>259</v>
      </c>
      <c r="F480" s="412">
        <v>7.5</v>
      </c>
    </row>
    <row r="481" spans="1:6" x14ac:dyDescent="0.25">
      <c r="A481" s="404"/>
      <c r="B481" s="405"/>
      <c r="C481" s="406"/>
      <c r="D481" s="407"/>
      <c r="E481" s="341"/>
      <c r="F481" s="341"/>
    </row>
    <row r="482" spans="1:6" x14ac:dyDescent="0.25">
      <c r="A482" s="404"/>
      <c r="B482" s="405"/>
      <c r="C482" s="406"/>
      <c r="D482" s="407"/>
      <c r="E482" s="341"/>
      <c r="F482" s="341"/>
    </row>
    <row r="483" spans="1:6" ht="14.4" x14ac:dyDescent="0.25">
      <c r="A483" s="397" t="s">
        <v>322</v>
      </c>
      <c r="B483" s="398"/>
      <c r="C483" s="399"/>
      <c r="D483" s="400"/>
      <c r="E483" s="401"/>
      <c r="F483" s="401"/>
    </row>
    <row r="484" spans="1:6" ht="14.4" x14ac:dyDescent="0.25">
      <c r="A484" s="397" t="s">
        <v>394</v>
      </c>
      <c r="B484" s="398"/>
      <c r="C484" s="399" t="s">
        <v>253</v>
      </c>
      <c r="D484" s="400"/>
      <c r="E484" s="401" t="s">
        <v>243</v>
      </c>
      <c r="F484" s="401">
        <v>18.260000000000002</v>
      </c>
    </row>
    <row r="485" spans="1:6" ht="14.4" x14ac:dyDescent="0.25">
      <c r="A485" s="398" t="s">
        <v>244</v>
      </c>
      <c r="B485" s="398" t="s">
        <v>52</v>
      </c>
      <c r="C485" s="402" t="s">
        <v>53</v>
      </c>
      <c r="D485" s="402" t="s">
        <v>17</v>
      </c>
      <c r="E485" s="403" t="s">
        <v>245</v>
      </c>
      <c r="F485" s="403" t="s">
        <v>246</v>
      </c>
    </row>
    <row r="486" spans="1:6" x14ac:dyDescent="0.25">
      <c r="A486" s="404" t="s">
        <v>277</v>
      </c>
      <c r="B486" s="405" t="s">
        <v>250</v>
      </c>
      <c r="C486" s="406">
        <v>0.1</v>
      </c>
      <c r="D486" s="407">
        <v>2.6700000000000002E-2</v>
      </c>
      <c r="E486" s="341">
        <v>15.38</v>
      </c>
      <c r="F486" s="341">
        <v>0.41</v>
      </c>
    </row>
    <row r="487" spans="1:6" x14ac:dyDescent="0.25">
      <c r="A487" s="404" t="s">
        <v>290</v>
      </c>
      <c r="B487" s="405" t="s">
        <v>250</v>
      </c>
      <c r="C487" s="406">
        <v>1</v>
      </c>
      <c r="D487" s="407">
        <v>0.26669999999999999</v>
      </c>
      <c r="E487" s="341">
        <v>15.2</v>
      </c>
      <c r="F487" s="341">
        <v>4.05</v>
      </c>
    </row>
    <row r="488" spans="1:6" x14ac:dyDescent="0.25">
      <c r="A488" s="404" t="s">
        <v>279</v>
      </c>
      <c r="B488" s="405" t="s">
        <v>250</v>
      </c>
      <c r="C488" s="406">
        <v>1</v>
      </c>
      <c r="D488" s="407">
        <v>0.26669999999999999</v>
      </c>
      <c r="E488" s="341">
        <v>11.86</v>
      </c>
      <c r="F488" s="341">
        <v>3.16</v>
      </c>
    </row>
    <row r="489" spans="1:6" ht="14.4" x14ac:dyDescent="0.25">
      <c r="A489" s="408"/>
      <c r="B489" s="409"/>
      <c r="C489" s="410"/>
      <c r="D489" s="411"/>
      <c r="E489" s="412" t="s">
        <v>256</v>
      </c>
      <c r="F489" s="412">
        <v>7.62</v>
      </c>
    </row>
    <row r="490" spans="1:6" x14ac:dyDescent="0.25">
      <c r="A490" s="404"/>
      <c r="B490" s="405"/>
      <c r="C490" s="406"/>
      <c r="D490" s="407"/>
      <c r="E490" s="341"/>
      <c r="F490" s="341"/>
    </row>
    <row r="491" spans="1:6" x14ac:dyDescent="0.25">
      <c r="A491" s="404" t="s">
        <v>501</v>
      </c>
      <c r="B491" s="405" t="s">
        <v>55</v>
      </c>
      <c r="C491" s="406"/>
      <c r="D491" s="407">
        <v>2.5700000000000001E-2</v>
      </c>
      <c r="E491" s="341">
        <v>2.36</v>
      </c>
      <c r="F491" s="341">
        <v>0.06</v>
      </c>
    </row>
    <row r="492" spans="1:6" x14ac:dyDescent="0.25">
      <c r="A492" s="404" t="s">
        <v>291</v>
      </c>
      <c r="B492" s="405" t="s">
        <v>251</v>
      </c>
      <c r="C492" s="406"/>
      <c r="D492" s="407">
        <v>0.26669999999999999</v>
      </c>
      <c r="E492" s="341">
        <v>38.229999999999997</v>
      </c>
      <c r="F492" s="341">
        <v>10.199999999999999</v>
      </c>
    </row>
    <row r="493" spans="1:6" ht="14.4" x14ac:dyDescent="0.25">
      <c r="A493" s="408"/>
      <c r="B493" s="409"/>
      <c r="C493" s="410"/>
      <c r="D493" s="411"/>
      <c r="E493" s="412" t="s">
        <v>257</v>
      </c>
      <c r="F493" s="412">
        <v>10.26</v>
      </c>
    </row>
    <row r="494" spans="1:6" x14ac:dyDescent="0.25">
      <c r="A494" s="404"/>
      <c r="B494" s="405"/>
      <c r="C494" s="406"/>
      <c r="D494" s="407"/>
      <c r="E494" s="341"/>
      <c r="F494" s="341"/>
    </row>
    <row r="495" spans="1:6" x14ac:dyDescent="0.25">
      <c r="A495" s="404" t="s">
        <v>258</v>
      </c>
      <c r="B495" s="405" t="s">
        <v>252</v>
      </c>
      <c r="C495" s="406"/>
      <c r="D495" s="407">
        <v>5</v>
      </c>
      <c r="E495" s="341">
        <v>7.62</v>
      </c>
      <c r="F495" s="341">
        <v>0.38</v>
      </c>
    </row>
    <row r="496" spans="1:6" ht="14.4" x14ac:dyDescent="0.25">
      <c r="A496" s="408"/>
      <c r="B496" s="409"/>
      <c r="C496" s="410"/>
      <c r="D496" s="411"/>
      <c r="E496" s="412" t="s">
        <v>259</v>
      </c>
      <c r="F496" s="412">
        <v>0.38</v>
      </c>
    </row>
    <row r="497" spans="1:6" x14ac:dyDescent="0.25">
      <c r="A497" s="404"/>
      <c r="B497" s="405"/>
      <c r="C497" s="406"/>
      <c r="D497" s="407"/>
      <c r="E497" s="341"/>
      <c r="F497" s="341"/>
    </row>
    <row r="498" spans="1:6" x14ac:dyDescent="0.25">
      <c r="A498" s="404"/>
      <c r="B498" s="405"/>
      <c r="C498" s="406"/>
      <c r="D498" s="407"/>
      <c r="E498" s="341"/>
      <c r="F498" s="341"/>
    </row>
    <row r="499" spans="1:6" ht="14.4" x14ac:dyDescent="0.25">
      <c r="A499" s="397" t="s">
        <v>414</v>
      </c>
      <c r="B499" s="398"/>
      <c r="C499" s="399"/>
      <c r="D499" s="400"/>
      <c r="E499" s="401"/>
      <c r="F499" s="401"/>
    </row>
    <row r="500" spans="1:6" ht="14.4" x14ac:dyDescent="0.25">
      <c r="A500" s="397" t="s">
        <v>396</v>
      </c>
      <c r="B500" s="398"/>
      <c r="C500" s="399" t="s">
        <v>317</v>
      </c>
      <c r="D500" s="400"/>
      <c r="E500" s="401" t="s">
        <v>243</v>
      </c>
      <c r="F500" s="401">
        <v>17.13</v>
      </c>
    </row>
    <row r="501" spans="1:6" ht="14.4" x14ac:dyDescent="0.25">
      <c r="A501" s="398" t="s">
        <v>244</v>
      </c>
      <c r="B501" s="398" t="s">
        <v>52</v>
      </c>
      <c r="C501" s="402" t="s">
        <v>53</v>
      </c>
      <c r="D501" s="402" t="s">
        <v>17</v>
      </c>
      <c r="E501" s="403" t="s">
        <v>245</v>
      </c>
      <c r="F501" s="403" t="s">
        <v>246</v>
      </c>
    </row>
    <row r="502" spans="1:6" x14ac:dyDescent="0.25">
      <c r="A502" s="404" t="s">
        <v>277</v>
      </c>
      <c r="B502" s="405" t="s">
        <v>250</v>
      </c>
      <c r="C502" s="406">
        <v>0.1</v>
      </c>
      <c r="D502" s="407">
        <v>0.04</v>
      </c>
      <c r="E502" s="341">
        <v>15.38</v>
      </c>
      <c r="F502" s="341">
        <v>0.62</v>
      </c>
    </row>
    <row r="503" spans="1:6" x14ac:dyDescent="0.25">
      <c r="A503" s="404" t="s">
        <v>514</v>
      </c>
      <c r="B503" s="405" t="s">
        <v>250</v>
      </c>
      <c r="C503" s="406">
        <v>1</v>
      </c>
      <c r="D503" s="407">
        <v>0.4</v>
      </c>
      <c r="E503" s="341">
        <v>13.47</v>
      </c>
      <c r="F503" s="341">
        <v>5.39</v>
      </c>
    </row>
    <row r="504" spans="1:6" x14ac:dyDescent="0.25">
      <c r="A504" s="404" t="s">
        <v>515</v>
      </c>
      <c r="B504" s="405" t="s">
        <v>250</v>
      </c>
      <c r="C504" s="406">
        <v>1</v>
      </c>
      <c r="D504" s="407">
        <v>0.4</v>
      </c>
      <c r="E504" s="341">
        <v>13.37</v>
      </c>
      <c r="F504" s="341">
        <v>5.35</v>
      </c>
    </row>
    <row r="505" spans="1:6" ht="14.4" x14ac:dyDescent="0.25">
      <c r="A505" s="408"/>
      <c r="B505" s="409"/>
      <c r="C505" s="410"/>
      <c r="D505" s="411"/>
      <c r="E505" s="412" t="s">
        <v>256</v>
      </c>
      <c r="F505" s="412">
        <v>11.36</v>
      </c>
    </row>
    <row r="506" spans="1:6" x14ac:dyDescent="0.25">
      <c r="A506" s="404"/>
      <c r="B506" s="405"/>
      <c r="C506" s="406"/>
      <c r="D506" s="407"/>
      <c r="E506" s="341"/>
      <c r="F506" s="341"/>
    </row>
    <row r="507" spans="1:6" x14ac:dyDescent="0.25">
      <c r="A507" s="404" t="s">
        <v>260</v>
      </c>
      <c r="B507" s="405" t="s">
        <v>237</v>
      </c>
      <c r="C507" s="406"/>
      <c r="D507" s="407">
        <v>0.02</v>
      </c>
      <c r="E507" s="341">
        <v>6.2</v>
      </c>
      <c r="F507" s="341">
        <v>0.12</v>
      </c>
    </row>
    <row r="508" spans="1:6" ht="14.4" x14ac:dyDescent="0.25">
      <c r="A508" s="408"/>
      <c r="B508" s="409"/>
      <c r="C508" s="410"/>
      <c r="D508" s="411"/>
      <c r="E508" s="412" t="s">
        <v>257</v>
      </c>
      <c r="F508" s="412">
        <v>0.12</v>
      </c>
    </row>
    <row r="509" spans="1:6" x14ac:dyDescent="0.25">
      <c r="A509" s="404"/>
      <c r="B509" s="405"/>
      <c r="C509" s="406"/>
      <c r="D509" s="407"/>
      <c r="E509" s="341"/>
      <c r="F509" s="341"/>
    </row>
    <row r="510" spans="1:6" x14ac:dyDescent="0.25">
      <c r="A510" s="404" t="s">
        <v>258</v>
      </c>
      <c r="B510" s="405" t="s">
        <v>252</v>
      </c>
      <c r="C510" s="406"/>
      <c r="D510" s="407">
        <v>5</v>
      </c>
      <c r="E510" s="341">
        <v>11.36</v>
      </c>
      <c r="F510" s="341">
        <v>0.56999999999999995</v>
      </c>
    </row>
    <row r="511" spans="1:6" x14ac:dyDescent="0.25">
      <c r="A511" s="404" t="s">
        <v>397</v>
      </c>
      <c r="B511" s="405" t="s">
        <v>251</v>
      </c>
      <c r="C511" s="406">
        <v>1</v>
      </c>
      <c r="D511" s="407">
        <v>0.4</v>
      </c>
      <c r="E511" s="341">
        <v>3.5</v>
      </c>
      <c r="F511" s="341">
        <v>1.4</v>
      </c>
    </row>
    <row r="512" spans="1:6" x14ac:dyDescent="0.25">
      <c r="A512" s="404" t="s">
        <v>398</v>
      </c>
      <c r="B512" s="405" t="s">
        <v>251</v>
      </c>
      <c r="C512" s="406">
        <v>1</v>
      </c>
      <c r="D512" s="407">
        <v>0.4</v>
      </c>
      <c r="E512" s="341">
        <v>9.1999999999999993</v>
      </c>
      <c r="F512" s="341">
        <v>3.68</v>
      </c>
    </row>
    <row r="513" spans="1:6" ht="14.4" x14ac:dyDescent="0.25">
      <c r="A513" s="408"/>
      <c r="B513" s="409"/>
      <c r="C513" s="410"/>
      <c r="D513" s="411"/>
      <c r="E513" s="412" t="s">
        <v>259</v>
      </c>
      <c r="F513" s="412">
        <v>5.65</v>
      </c>
    </row>
    <row r="514" spans="1:6" x14ac:dyDescent="0.25">
      <c r="A514" s="404"/>
      <c r="B514" s="405"/>
      <c r="C514" s="406"/>
      <c r="D514" s="407"/>
      <c r="E514" s="341"/>
      <c r="F514" s="341"/>
    </row>
    <row r="515" spans="1:6" x14ac:dyDescent="0.25">
      <c r="A515" s="404"/>
      <c r="B515" s="405"/>
      <c r="C515" s="406"/>
      <c r="D515" s="407"/>
      <c r="E515" s="341"/>
      <c r="F515" s="341"/>
    </row>
    <row r="516" spans="1:6" ht="14.4" x14ac:dyDescent="0.25">
      <c r="A516" s="397" t="s">
        <v>415</v>
      </c>
      <c r="B516" s="398"/>
      <c r="C516" s="399"/>
      <c r="D516" s="400"/>
      <c r="E516" s="401"/>
      <c r="F516" s="401"/>
    </row>
    <row r="517" spans="1:6" ht="14.4" x14ac:dyDescent="0.25">
      <c r="A517" s="397" t="s">
        <v>400</v>
      </c>
      <c r="B517" s="398"/>
      <c r="C517" s="399" t="s">
        <v>317</v>
      </c>
      <c r="D517" s="400"/>
      <c r="E517" s="401" t="s">
        <v>243</v>
      </c>
      <c r="F517" s="401">
        <v>16.739999999999998</v>
      </c>
    </row>
    <row r="518" spans="1:6" ht="14.4" x14ac:dyDescent="0.25">
      <c r="A518" s="398" t="s">
        <v>244</v>
      </c>
      <c r="B518" s="398" t="s">
        <v>52</v>
      </c>
      <c r="C518" s="402" t="s">
        <v>53</v>
      </c>
      <c r="D518" s="402" t="s">
        <v>17</v>
      </c>
      <c r="E518" s="403" t="s">
        <v>245</v>
      </c>
      <c r="F518" s="403" t="s">
        <v>246</v>
      </c>
    </row>
    <row r="519" spans="1:6" x14ac:dyDescent="0.25">
      <c r="A519" s="404" t="s">
        <v>277</v>
      </c>
      <c r="B519" s="405" t="s">
        <v>250</v>
      </c>
      <c r="C519" s="406">
        <v>0.1</v>
      </c>
      <c r="D519" s="407">
        <v>1.3299999999999999E-2</v>
      </c>
      <c r="E519" s="341">
        <v>15.38</v>
      </c>
      <c r="F519" s="341">
        <v>0.2</v>
      </c>
    </row>
    <row r="520" spans="1:6" x14ac:dyDescent="0.25">
      <c r="A520" s="404" t="s">
        <v>298</v>
      </c>
      <c r="B520" s="405" t="s">
        <v>250</v>
      </c>
      <c r="C520" s="406">
        <v>1</v>
      </c>
      <c r="D520" s="407">
        <v>0.1333</v>
      </c>
      <c r="E520" s="341">
        <v>11.86</v>
      </c>
      <c r="F520" s="341">
        <v>1.58</v>
      </c>
    </row>
    <row r="521" spans="1:6" x14ac:dyDescent="0.25">
      <c r="A521" s="404" t="s">
        <v>515</v>
      </c>
      <c r="B521" s="405" t="s">
        <v>250</v>
      </c>
      <c r="C521" s="406">
        <v>1</v>
      </c>
      <c r="D521" s="407">
        <v>0.1333</v>
      </c>
      <c r="E521" s="341">
        <v>13.37</v>
      </c>
      <c r="F521" s="341">
        <v>1.78</v>
      </c>
    </row>
    <row r="522" spans="1:6" ht="14.4" x14ac:dyDescent="0.25">
      <c r="A522" s="408"/>
      <c r="B522" s="409"/>
      <c r="C522" s="410"/>
      <c r="D522" s="411"/>
      <c r="E522" s="412" t="s">
        <v>256</v>
      </c>
      <c r="F522" s="412">
        <v>3.56</v>
      </c>
    </row>
    <row r="523" spans="1:6" x14ac:dyDescent="0.25">
      <c r="A523" s="404"/>
      <c r="B523" s="405"/>
      <c r="C523" s="406"/>
      <c r="D523" s="407"/>
      <c r="E523" s="341"/>
      <c r="F523" s="341"/>
    </row>
    <row r="524" spans="1:6" x14ac:dyDescent="0.25">
      <c r="A524" s="404" t="s">
        <v>401</v>
      </c>
      <c r="B524" s="405" t="s">
        <v>237</v>
      </c>
      <c r="C524" s="406"/>
      <c r="D524" s="407">
        <v>0.12</v>
      </c>
      <c r="E524" s="341">
        <v>25.03</v>
      </c>
      <c r="F524" s="341">
        <v>3</v>
      </c>
    </row>
    <row r="525" spans="1:6" ht="14.4" x14ac:dyDescent="0.25">
      <c r="A525" s="408"/>
      <c r="B525" s="409"/>
      <c r="C525" s="410"/>
      <c r="D525" s="411"/>
      <c r="E525" s="412" t="s">
        <v>257</v>
      </c>
      <c r="F525" s="412">
        <v>3</v>
      </c>
    </row>
    <row r="526" spans="1:6" x14ac:dyDescent="0.25">
      <c r="A526" s="404"/>
      <c r="B526" s="405"/>
      <c r="C526" s="406"/>
      <c r="D526" s="407"/>
      <c r="E526" s="341"/>
      <c r="F526" s="341"/>
    </row>
    <row r="527" spans="1:6" x14ac:dyDescent="0.25">
      <c r="A527" s="404" t="s">
        <v>258</v>
      </c>
      <c r="B527" s="405" t="s">
        <v>252</v>
      </c>
      <c r="C527" s="406"/>
      <c r="D527" s="407">
        <v>5</v>
      </c>
      <c r="E527" s="341">
        <v>3.56</v>
      </c>
      <c r="F527" s="341">
        <v>0.18</v>
      </c>
    </row>
    <row r="528" spans="1:6" x14ac:dyDescent="0.25">
      <c r="A528" s="404" t="s">
        <v>402</v>
      </c>
      <c r="B528" s="405" t="s">
        <v>251</v>
      </c>
      <c r="C528" s="406">
        <v>1</v>
      </c>
      <c r="D528" s="407">
        <v>0.1333</v>
      </c>
      <c r="E528" s="341">
        <v>75</v>
      </c>
      <c r="F528" s="341">
        <v>10</v>
      </c>
    </row>
    <row r="529" spans="1:6" ht="14.4" x14ac:dyDescent="0.25">
      <c r="A529" s="408"/>
      <c r="B529" s="409"/>
      <c r="C529" s="410"/>
      <c r="D529" s="411"/>
      <c r="E529" s="412" t="s">
        <v>259</v>
      </c>
      <c r="F529" s="412">
        <v>10.18</v>
      </c>
    </row>
    <row r="530" spans="1:6" x14ac:dyDescent="0.25">
      <c r="A530" s="404"/>
      <c r="B530" s="405"/>
      <c r="C530" s="406"/>
      <c r="D530" s="407"/>
      <c r="E530" s="341"/>
      <c r="F530" s="341"/>
    </row>
    <row r="531" spans="1:6" x14ac:dyDescent="0.25">
      <c r="A531" s="404"/>
      <c r="B531" s="405"/>
      <c r="C531" s="406"/>
      <c r="D531" s="407"/>
      <c r="E531" s="341"/>
      <c r="F531" s="341"/>
    </row>
    <row r="532" spans="1:6" ht="14.4" x14ac:dyDescent="0.25">
      <c r="A532" s="397" t="s">
        <v>416</v>
      </c>
      <c r="B532" s="398"/>
      <c r="C532" s="399"/>
      <c r="D532" s="400"/>
      <c r="E532" s="401"/>
      <c r="F532" s="401"/>
    </row>
    <row r="533" spans="1:6" ht="14.4" x14ac:dyDescent="0.25">
      <c r="A533" s="397" t="s">
        <v>241</v>
      </c>
      <c r="B533" s="398"/>
      <c r="C533" s="399" t="s">
        <v>242</v>
      </c>
      <c r="D533" s="400"/>
      <c r="E533" s="401" t="s">
        <v>243</v>
      </c>
      <c r="F533" s="401">
        <v>51.47</v>
      </c>
    </row>
    <row r="534" spans="1:6" ht="14.4" x14ac:dyDescent="0.25">
      <c r="A534" s="398" t="s">
        <v>244</v>
      </c>
      <c r="B534" s="398" t="s">
        <v>52</v>
      </c>
      <c r="C534" s="402" t="s">
        <v>53</v>
      </c>
      <c r="D534" s="402" t="s">
        <v>17</v>
      </c>
      <c r="E534" s="403" t="s">
        <v>245</v>
      </c>
      <c r="F534" s="403" t="s">
        <v>246</v>
      </c>
    </row>
    <row r="535" spans="1:6" x14ac:dyDescent="0.25">
      <c r="A535" s="404" t="s">
        <v>293</v>
      </c>
      <c r="B535" s="405" t="s">
        <v>55</v>
      </c>
      <c r="C535" s="406"/>
      <c r="D535" s="407">
        <v>0.33329999999999999</v>
      </c>
      <c r="E535" s="341">
        <v>21.64</v>
      </c>
      <c r="F535" s="341">
        <v>7.21</v>
      </c>
    </row>
    <row r="536" spans="1:6" ht="14.4" x14ac:dyDescent="0.25">
      <c r="A536" s="408"/>
      <c r="B536" s="409"/>
      <c r="C536" s="410"/>
      <c r="D536" s="411"/>
      <c r="E536" s="412" t="s">
        <v>257</v>
      </c>
      <c r="F536" s="412">
        <v>7.21</v>
      </c>
    </row>
    <row r="537" spans="1:6" x14ac:dyDescent="0.25">
      <c r="A537" s="404"/>
      <c r="B537" s="405"/>
      <c r="C537" s="406"/>
      <c r="D537" s="407"/>
      <c r="E537" s="341"/>
      <c r="F537" s="341"/>
    </row>
    <row r="538" spans="1:6" x14ac:dyDescent="0.25">
      <c r="A538" s="404" t="s">
        <v>294</v>
      </c>
      <c r="B538" s="405" t="s">
        <v>237</v>
      </c>
      <c r="C538" s="406"/>
      <c r="D538" s="407">
        <v>4.1000000000000002E-2</v>
      </c>
      <c r="E538" s="341">
        <v>284.38000000000011</v>
      </c>
      <c r="F538" s="341">
        <v>11.66</v>
      </c>
    </row>
    <row r="539" spans="1:6" x14ac:dyDescent="0.25">
      <c r="A539" s="404" t="s">
        <v>296</v>
      </c>
      <c r="B539" s="405" t="s">
        <v>238</v>
      </c>
      <c r="C539" s="406"/>
      <c r="D539" s="407">
        <v>0.9</v>
      </c>
      <c r="E539" s="341">
        <v>36.220000000000013</v>
      </c>
      <c r="F539" s="341">
        <v>32.6</v>
      </c>
    </row>
    <row r="540" spans="1:6" ht="14.4" x14ac:dyDescent="0.25">
      <c r="A540" s="408"/>
      <c r="B540" s="409"/>
      <c r="C540" s="410"/>
      <c r="D540" s="411"/>
      <c r="E540" s="412" t="s">
        <v>249</v>
      </c>
      <c r="F540" s="412">
        <v>44.260000000000012</v>
      </c>
    </row>
    <row r="541" spans="1:6" ht="14.4" x14ac:dyDescent="0.25">
      <c r="A541" s="408" t="s">
        <v>254</v>
      </c>
      <c r="B541" s="409" t="s">
        <v>250</v>
      </c>
      <c r="C541" s="410">
        <v>1</v>
      </c>
      <c r="D541" s="411">
        <v>7.7834809274467245E-2</v>
      </c>
      <c r="E541" s="412">
        <v>0</v>
      </c>
      <c r="F541" s="412">
        <v>0</v>
      </c>
    </row>
    <row r="542" spans="1:6" ht="14.4" x14ac:dyDescent="0.25">
      <c r="A542" s="408" t="s">
        <v>592</v>
      </c>
      <c r="B542" s="409" t="s">
        <v>250</v>
      </c>
      <c r="C542" s="410">
        <v>1</v>
      </c>
      <c r="D542" s="411">
        <v>0.71676634630445957</v>
      </c>
      <c r="E542" s="412">
        <v>0</v>
      </c>
      <c r="F542" s="412">
        <v>0</v>
      </c>
    </row>
    <row r="543" spans="1:6" ht="14.4" x14ac:dyDescent="0.25">
      <c r="A543" s="408" t="s">
        <v>255</v>
      </c>
      <c r="B543" s="409" t="s">
        <v>250</v>
      </c>
      <c r="C543" s="410">
        <v>1</v>
      </c>
      <c r="D543" s="411">
        <v>0.81982791719811721</v>
      </c>
      <c r="E543" s="412">
        <v>0</v>
      </c>
      <c r="F543" s="412">
        <v>0</v>
      </c>
    </row>
    <row r="544" spans="1:6" ht="14.4" x14ac:dyDescent="0.25">
      <c r="A544" s="408" t="s">
        <v>593</v>
      </c>
      <c r="B544" s="409" t="s">
        <v>250</v>
      </c>
      <c r="C544" s="410">
        <v>1</v>
      </c>
      <c r="D544" s="411">
        <v>0.25515426055628898</v>
      </c>
      <c r="E544" s="412">
        <v>0</v>
      </c>
      <c r="F544" s="412">
        <v>0</v>
      </c>
    </row>
    <row r="545" spans="1:6" x14ac:dyDescent="0.25">
      <c r="A545" s="418"/>
      <c r="B545" s="405"/>
      <c r="C545" s="406"/>
      <c r="D545" s="407"/>
      <c r="E545" s="341" t="s">
        <v>256</v>
      </c>
      <c r="F545" s="341">
        <v>0</v>
      </c>
    </row>
    <row r="546" spans="1:6" x14ac:dyDescent="0.25">
      <c r="A546" s="404"/>
      <c r="B546" s="405"/>
      <c r="C546" s="406"/>
      <c r="D546" s="407"/>
      <c r="E546" s="341"/>
      <c r="F546" s="341"/>
    </row>
    <row r="547" spans="1:6" ht="14.4" x14ac:dyDescent="0.25">
      <c r="A547" s="397" t="s">
        <v>463</v>
      </c>
      <c r="B547" s="398"/>
      <c r="C547" s="399"/>
      <c r="D547" s="400"/>
      <c r="E547" s="401"/>
      <c r="F547" s="401"/>
    </row>
    <row r="548" spans="1:6" ht="14.4" x14ac:dyDescent="0.25">
      <c r="A548" s="397" t="s">
        <v>297</v>
      </c>
      <c r="B548" s="398"/>
      <c r="C548" s="399" t="s">
        <v>242</v>
      </c>
      <c r="D548" s="400"/>
      <c r="E548" s="401" t="s">
        <v>243</v>
      </c>
      <c r="F548" s="401">
        <v>11.41</v>
      </c>
    </row>
    <row r="549" spans="1:6" ht="14.4" x14ac:dyDescent="0.25">
      <c r="A549" s="398" t="s">
        <v>244</v>
      </c>
      <c r="B549" s="398" t="s">
        <v>52</v>
      </c>
      <c r="C549" s="402" t="s">
        <v>53</v>
      </c>
      <c r="D549" s="402" t="s">
        <v>17</v>
      </c>
      <c r="E549" s="403" t="s">
        <v>245</v>
      </c>
      <c r="F549" s="403" t="s">
        <v>246</v>
      </c>
    </row>
    <row r="550" spans="1:6" x14ac:dyDescent="0.25">
      <c r="A550" s="404" t="s">
        <v>277</v>
      </c>
      <c r="B550" s="405" t="s">
        <v>250</v>
      </c>
      <c r="C550" s="406">
        <v>0.1</v>
      </c>
      <c r="D550" s="407">
        <v>0.02</v>
      </c>
      <c r="E550" s="341">
        <v>15.38</v>
      </c>
      <c r="F550" s="341">
        <v>0.31</v>
      </c>
    </row>
    <row r="551" spans="1:6" x14ac:dyDescent="0.25">
      <c r="A551" s="404" t="s">
        <v>514</v>
      </c>
      <c r="B551" s="405" t="s">
        <v>250</v>
      </c>
      <c r="C551" s="406">
        <v>1</v>
      </c>
      <c r="D551" s="407">
        <v>0.2</v>
      </c>
      <c r="E551" s="341">
        <v>13.47</v>
      </c>
      <c r="F551" s="341">
        <v>2.69</v>
      </c>
    </row>
    <row r="552" spans="1:6" x14ac:dyDescent="0.25">
      <c r="A552" s="404" t="s">
        <v>515</v>
      </c>
      <c r="B552" s="405" t="s">
        <v>250</v>
      </c>
      <c r="C552" s="406">
        <v>1</v>
      </c>
      <c r="D552" s="407">
        <v>0.2</v>
      </c>
      <c r="E552" s="341">
        <v>13.37</v>
      </c>
      <c r="F552" s="341">
        <v>2.67</v>
      </c>
    </row>
    <row r="553" spans="1:6" x14ac:dyDescent="0.25">
      <c r="A553" s="404" t="s">
        <v>298</v>
      </c>
      <c r="B553" s="405" t="s">
        <v>250</v>
      </c>
      <c r="C553" s="406">
        <v>1</v>
      </c>
      <c r="D553" s="407">
        <v>0.2</v>
      </c>
      <c r="E553" s="341">
        <v>11.86</v>
      </c>
      <c r="F553" s="341">
        <v>2.37</v>
      </c>
    </row>
    <row r="554" spans="1:6" ht="14.4" x14ac:dyDescent="0.25">
      <c r="A554" s="408"/>
      <c r="B554" s="409"/>
      <c r="C554" s="410"/>
      <c r="D554" s="411"/>
      <c r="E554" s="412" t="s">
        <v>256</v>
      </c>
      <c r="F554" s="412">
        <v>8.0399999999999991</v>
      </c>
    </row>
    <row r="555" spans="1:6" x14ac:dyDescent="0.25">
      <c r="A555" s="404"/>
      <c r="B555" s="405"/>
      <c r="C555" s="406"/>
      <c r="D555" s="407"/>
      <c r="E555" s="341"/>
      <c r="F555" s="341"/>
    </row>
    <row r="556" spans="1:6" x14ac:dyDescent="0.25">
      <c r="A556" s="404" t="s">
        <v>299</v>
      </c>
      <c r="B556" s="405" t="s">
        <v>55</v>
      </c>
      <c r="C556" s="406"/>
      <c r="D556" s="407">
        <v>0.5</v>
      </c>
      <c r="E556" s="341">
        <v>4.29</v>
      </c>
      <c r="F556" s="341">
        <v>2.15</v>
      </c>
    </row>
    <row r="557" spans="1:6" x14ac:dyDescent="0.25">
      <c r="A557" s="404" t="s">
        <v>260</v>
      </c>
      <c r="B557" s="405" t="s">
        <v>237</v>
      </c>
      <c r="C557" s="406"/>
      <c r="D557" s="407">
        <v>0.02</v>
      </c>
      <c r="E557" s="341">
        <v>6.2</v>
      </c>
      <c r="F557" s="341">
        <v>0.12</v>
      </c>
    </row>
    <row r="558" spans="1:6" ht="14.4" x14ac:dyDescent="0.25">
      <c r="A558" s="408"/>
      <c r="B558" s="409"/>
      <c r="C558" s="410"/>
      <c r="D558" s="411"/>
      <c r="E558" s="412" t="s">
        <v>257</v>
      </c>
      <c r="F558" s="412">
        <v>2.27</v>
      </c>
    </row>
    <row r="559" spans="1:6" x14ac:dyDescent="0.25">
      <c r="A559" s="404"/>
      <c r="B559" s="405"/>
      <c r="C559" s="406"/>
      <c r="D559" s="407"/>
      <c r="E559" s="341"/>
      <c r="F559" s="341"/>
    </row>
    <row r="560" spans="1:6" x14ac:dyDescent="0.25">
      <c r="A560" s="404" t="s">
        <v>258</v>
      </c>
      <c r="B560" s="405" t="s">
        <v>252</v>
      </c>
      <c r="C560" s="406"/>
      <c r="D560" s="407">
        <v>5</v>
      </c>
      <c r="E560" s="341">
        <v>8.0399999999999991</v>
      </c>
      <c r="F560" s="341">
        <v>0.4</v>
      </c>
    </row>
    <row r="561" spans="1:6" x14ac:dyDescent="0.25">
      <c r="A561" s="404" t="s">
        <v>300</v>
      </c>
      <c r="B561" s="405" t="s">
        <v>251</v>
      </c>
      <c r="C561" s="406">
        <v>1</v>
      </c>
      <c r="D561" s="407">
        <v>0.2</v>
      </c>
      <c r="E561" s="341">
        <v>3.5</v>
      </c>
      <c r="F561" s="341">
        <v>0.7</v>
      </c>
    </row>
    <row r="562" spans="1:6" ht="14.4" x14ac:dyDescent="0.25">
      <c r="A562" s="408"/>
      <c r="B562" s="409"/>
      <c r="C562" s="410"/>
      <c r="D562" s="411"/>
      <c r="E562" s="412" t="s">
        <v>259</v>
      </c>
      <c r="F562" s="412">
        <v>1.1000000000000001</v>
      </c>
    </row>
    <row r="563" spans="1:6" x14ac:dyDescent="0.25">
      <c r="A563" s="404"/>
      <c r="B563" s="405"/>
      <c r="C563" s="406"/>
      <c r="D563" s="407"/>
      <c r="E563" s="341"/>
      <c r="F563" s="341"/>
    </row>
    <row r="564" spans="1:6" x14ac:dyDescent="0.25">
      <c r="A564" s="404"/>
      <c r="B564" s="405"/>
      <c r="C564" s="406"/>
      <c r="D564" s="407"/>
      <c r="E564" s="341"/>
      <c r="F564" s="341"/>
    </row>
    <row r="565" spans="1:6" ht="14.4" x14ac:dyDescent="0.25">
      <c r="A565" s="397" t="s">
        <v>464</v>
      </c>
      <c r="B565" s="398"/>
      <c r="C565" s="399"/>
      <c r="D565" s="400"/>
      <c r="E565" s="401"/>
      <c r="F565" s="401"/>
    </row>
    <row r="566" spans="1:6" ht="14.4" x14ac:dyDescent="0.25">
      <c r="A566" s="397" t="s">
        <v>404</v>
      </c>
      <c r="B566" s="398"/>
      <c r="C566" s="399" t="s">
        <v>253</v>
      </c>
      <c r="D566" s="400"/>
      <c r="E566" s="401" t="s">
        <v>243</v>
      </c>
      <c r="F566" s="401">
        <v>48.24</v>
      </c>
    </row>
    <row r="567" spans="1:6" ht="14.4" x14ac:dyDescent="0.25">
      <c r="A567" s="398" t="s">
        <v>244</v>
      </c>
      <c r="B567" s="398" t="s">
        <v>52</v>
      </c>
      <c r="C567" s="402" t="s">
        <v>53</v>
      </c>
      <c r="D567" s="402" t="s">
        <v>17</v>
      </c>
      <c r="E567" s="403" t="s">
        <v>245</v>
      </c>
      <c r="F567" s="403" t="s">
        <v>246</v>
      </c>
    </row>
    <row r="568" spans="1:6" x14ac:dyDescent="0.25">
      <c r="A568" s="404" t="s">
        <v>292</v>
      </c>
      <c r="B568" s="405" t="s">
        <v>250</v>
      </c>
      <c r="C568" s="406">
        <v>0.03</v>
      </c>
      <c r="D568" s="407">
        <v>0.2</v>
      </c>
      <c r="E568" s="341">
        <v>13.94</v>
      </c>
      <c r="F568" s="341">
        <v>2.79</v>
      </c>
    </row>
    <row r="569" spans="1:6" ht="14.4" x14ac:dyDescent="0.25">
      <c r="A569" s="408"/>
      <c r="B569" s="409"/>
      <c r="C569" s="410"/>
      <c r="D569" s="411"/>
      <c r="E569" s="412" t="s">
        <v>256</v>
      </c>
      <c r="F569" s="412">
        <v>2.79</v>
      </c>
    </row>
    <row r="570" spans="1:6" x14ac:dyDescent="0.25">
      <c r="A570" s="404"/>
      <c r="B570" s="405"/>
      <c r="C570" s="406"/>
      <c r="D570" s="407"/>
      <c r="E570" s="341"/>
      <c r="F570" s="341"/>
    </row>
    <row r="571" spans="1:6" x14ac:dyDescent="0.25">
      <c r="A571" s="404" t="s">
        <v>405</v>
      </c>
      <c r="B571" s="405" t="s">
        <v>237</v>
      </c>
      <c r="C571" s="406"/>
      <c r="D571" s="407">
        <v>1</v>
      </c>
      <c r="E571" s="341">
        <v>45.45</v>
      </c>
      <c r="F571" s="341">
        <v>45.45</v>
      </c>
    </row>
    <row r="572" spans="1:6" ht="14.4" x14ac:dyDescent="0.25">
      <c r="A572" s="408"/>
      <c r="B572" s="409"/>
      <c r="C572" s="410"/>
      <c r="D572" s="411"/>
      <c r="E572" s="412" t="s">
        <v>406</v>
      </c>
      <c r="F572" s="412">
        <v>45.45</v>
      </c>
    </row>
    <row r="573" spans="1:6" x14ac:dyDescent="0.25">
      <c r="A573" s="404"/>
      <c r="B573" s="405"/>
      <c r="C573" s="406"/>
      <c r="D573" s="407"/>
      <c r="E573" s="341"/>
      <c r="F573" s="341"/>
    </row>
    <row r="574" spans="1:6" x14ac:dyDescent="0.25">
      <c r="A574" s="404"/>
      <c r="B574" s="405"/>
      <c r="C574" s="406"/>
      <c r="D574" s="407"/>
      <c r="E574" s="341"/>
      <c r="F574" s="341"/>
    </row>
    <row r="575" spans="1:6" ht="14.4" x14ac:dyDescent="0.25">
      <c r="A575" s="397" t="s">
        <v>465</v>
      </c>
      <c r="B575" s="398"/>
      <c r="C575" s="399"/>
      <c r="D575" s="400"/>
      <c r="E575" s="401"/>
      <c r="F575" s="401"/>
    </row>
    <row r="576" spans="1:6" ht="14.4" x14ac:dyDescent="0.25">
      <c r="A576" s="397" t="s">
        <v>301</v>
      </c>
      <c r="B576" s="398"/>
      <c r="C576" s="399" t="s">
        <v>253</v>
      </c>
      <c r="D576" s="400"/>
      <c r="E576" s="401" t="s">
        <v>243</v>
      </c>
      <c r="F576" s="401">
        <v>43.669999999999987</v>
      </c>
    </row>
    <row r="577" spans="1:6" ht="14.4" x14ac:dyDescent="0.25">
      <c r="A577" s="398" t="s">
        <v>244</v>
      </c>
      <c r="B577" s="398" t="s">
        <v>52</v>
      </c>
      <c r="C577" s="402" t="s">
        <v>53</v>
      </c>
      <c r="D577" s="402" t="s">
        <v>17</v>
      </c>
      <c r="E577" s="403" t="s">
        <v>245</v>
      </c>
      <c r="F577" s="403" t="s">
        <v>246</v>
      </c>
    </row>
    <row r="578" spans="1:6" x14ac:dyDescent="0.25">
      <c r="A578" s="404" t="s">
        <v>277</v>
      </c>
      <c r="B578" s="405" t="s">
        <v>250</v>
      </c>
      <c r="C578" s="406">
        <v>0.1</v>
      </c>
      <c r="D578" s="407">
        <v>6.6699999999999995E-2</v>
      </c>
      <c r="E578" s="341">
        <v>15.38</v>
      </c>
      <c r="F578" s="341">
        <v>1.03</v>
      </c>
    </row>
    <row r="579" spans="1:6" x14ac:dyDescent="0.25">
      <c r="A579" s="404" t="s">
        <v>514</v>
      </c>
      <c r="B579" s="405" t="s">
        <v>250</v>
      </c>
      <c r="C579" s="406">
        <v>1</v>
      </c>
      <c r="D579" s="407">
        <v>0.66669999999999996</v>
      </c>
      <c r="E579" s="341">
        <v>13.47</v>
      </c>
      <c r="F579" s="341">
        <v>8.98</v>
      </c>
    </row>
    <row r="580" spans="1:6" x14ac:dyDescent="0.25">
      <c r="A580" s="404" t="s">
        <v>298</v>
      </c>
      <c r="B580" s="405" t="s">
        <v>250</v>
      </c>
      <c r="C580" s="406">
        <v>3</v>
      </c>
      <c r="D580" s="407">
        <v>2</v>
      </c>
      <c r="E580" s="341">
        <v>11.86</v>
      </c>
      <c r="F580" s="341">
        <v>23.72</v>
      </c>
    </row>
    <row r="581" spans="1:6" ht="14.4" x14ac:dyDescent="0.25">
      <c r="A581" s="408"/>
      <c r="B581" s="409"/>
      <c r="C581" s="410"/>
      <c r="D581" s="411"/>
      <c r="E581" s="412" t="s">
        <v>256</v>
      </c>
      <c r="F581" s="412">
        <v>33.729999999999997</v>
      </c>
    </row>
    <row r="582" spans="1:6" x14ac:dyDescent="0.25">
      <c r="A582" s="404"/>
      <c r="B582" s="405"/>
      <c r="C582" s="406"/>
      <c r="D582" s="407"/>
      <c r="E582" s="341"/>
      <c r="F582" s="341"/>
    </row>
    <row r="583" spans="1:6" x14ac:dyDescent="0.25">
      <c r="A583" s="404" t="s">
        <v>260</v>
      </c>
      <c r="B583" s="405" t="s">
        <v>237</v>
      </c>
      <c r="C583" s="406"/>
      <c r="D583" s="407">
        <v>0.02</v>
      </c>
      <c r="E583" s="341">
        <v>6.2</v>
      </c>
      <c r="F583" s="341">
        <v>0.12</v>
      </c>
    </row>
    <row r="584" spans="1:6" ht="14.4" x14ac:dyDescent="0.25">
      <c r="A584" s="408"/>
      <c r="B584" s="409"/>
      <c r="C584" s="410"/>
      <c r="D584" s="411"/>
      <c r="E584" s="412" t="s">
        <v>257</v>
      </c>
      <c r="F584" s="412">
        <v>0.12</v>
      </c>
    </row>
    <row r="585" spans="1:6" x14ac:dyDescent="0.25">
      <c r="A585" s="404"/>
      <c r="B585" s="405"/>
      <c r="C585" s="406"/>
      <c r="D585" s="407"/>
      <c r="E585" s="341"/>
      <c r="F585" s="341"/>
    </row>
    <row r="586" spans="1:6" x14ac:dyDescent="0.25">
      <c r="A586" s="404" t="s">
        <v>258</v>
      </c>
      <c r="B586" s="405" t="s">
        <v>252</v>
      </c>
      <c r="C586" s="406"/>
      <c r="D586" s="407">
        <v>5</v>
      </c>
      <c r="E586" s="341">
        <v>33.729999999999997</v>
      </c>
      <c r="F586" s="341">
        <v>1.69</v>
      </c>
    </row>
    <row r="587" spans="1:6" x14ac:dyDescent="0.25">
      <c r="A587" s="404" t="s">
        <v>302</v>
      </c>
      <c r="B587" s="405" t="s">
        <v>251</v>
      </c>
      <c r="C587" s="406">
        <v>1</v>
      </c>
      <c r="D587" s="407">
        <v>0.66669999999999996</v>
      </c>
      <c r="E587" s="341">
        <v>12.2</v>
      </c>
      <c r="F587" s="341">
        <v>8.1300000000000008</v>
      </c>
    </row>
    <row r="588" spans="1:6" ht="14.4" x14ac:dyDescent="0.25">
      <c r="A588" s="408"/>
      <c r="B588" s="409"/>
      <c r="C588" s="410"/>
      <c r="D588" s="411"/>
      <c r="E588" s="412" t="s">
        <v>259</v>
      </c>
      <c r="F588" s="412">
        <v>9.82</v>
      </c>
    </row>
    <row r="589" spans="1:6" x14ac:dyDescent="0.25">
      <c r="A589" s="404"/>
      <c r="B589" s="405"/>
      <c r="C589" s="406"/>
      <c r="D589" s="407"/>
      <c r="E589" s="341"/>
      <c r="F589" s="341"/>
    </row>
    <row r="590" spans="1:6" x14ac:dyDescent="0.25">
      <c r="A590" s="404"/>
      <c r="B590" s="405"/>
      <c r="C590" s="406"/>
      <c r="D590" s="407"/>
      <c r="E590" s="341"/>
      <c r="F590" s="341"/>
    </row>
    <row r="591" spans="1:6" ht="14.4" x14ac:dyDescent="0.25">
      <c r="A591" s="397" t="s">
        <v>466</v>
      </c>
      <c r="B591" s="398"/>
      <c r="C591" s="399"/>
      <c r="D591" s="400"/>
      <c r="E591" s="401"/>
      <c r="F591" s="401"/>
    </row>
    <row r="592" spans="1:6" ht="14.4" x14ac:dyDescent="0.25">
      <c r="A592" s="397" t="s">
        <v>407</v>
      </c>
      <c r="B592" s="398"/>
      <c r="C592" s="399" t="s">
        <v>253</v>
      </c>
      <c r="D592" s="400"/>
      <c r="E592" s="401" t="s">
        <v>243</v>
      </c>
      <c r="F592" s="401">
        <v>15.38</v>
      </c>
    </row>
    <row r="593" spans="1:6" ht="14.4" x14ac:dyDescent="0.25">
      <c r="A593" s="398" t="s">
        <v>244</v>
      </c>
      <c r="B593" s="398" t="s">
        <v>52</v>
      </c>
      <c r="C593" s="402" t="s">
        <v>53</v>
      </c>
      <c r="D593" s="402" t="s">
        <v>17</v>
      </c>
      <c r="E593" s="403" t="s">
        <v>245</v>
      </c>
      <c r="F593" s="403" t="s">
        <v>246</v>
      </c>
    </row>
    <row r="594" spans="1:6" x14ac:dyDescent="0.25">
      <c r="A594" s="404" t="s">
        <v>278</v>
      </c>
      <c r="B594" s="405" t="s">
        <v>250</v>
      </c>
      <c r="C594" s="406">
        <v>1</v>
      </c>
      <c r="D594" s="407">
        <v>0.1</v>
      </c>
      <c r="E594" s="341">
        <v>13.46</v>
      </c>
      <c r="F594" s="341">
        <v>1.35</v>
      </c>
    </row>
    <row r="595" spans="1:6" x14ac:dyDescent="0.25">
      <c r="A595" s="404" t="s">
        <v>290</v>
      </c>
      <c r="B595" s="405" t="s">
        <v>250</v>
      </c>
      <c r="C595" s="406">
        <v>1</v>
      </c>
      <c r="D595" s="407">
        <v>0.1</v>
      </c>
      <c r="E595" s="341">
        <v>15.2</v>
      </c>
      <c r="F595" s="341">
        <v>1.52</v>
      </c>
    </row>
    <row r="596" spans="1:6" x14ac:dyDescent="0.25">
      <c r="A596" s="404" t="s">
        <v>279</v>
      </c>
      <c r="B596" s="405" t="s">
        <v>250</v>
      </c>
      <c r="C596" s="406">
        <v>1</v>
      </c>
      <c r="D596" s="407">
        <v>0.1</v>
      </c>
      <c r="E596" s="341">
        <v>11.86</v>
      </c>
      <c r="F596" s="341">
        <v>1.19</v>
      </c>
    </row>
    <row r="597" spans="1:6" ht="14.4" x14ac:dyDescent="0.25">
      <c r="A597" s="408"/>
      <c r="B597" s="409"/>
      <c r="C597" s="410"/>
      <c r="D597" s="411"/>
      <c r="E597" s="412" t="s">
        <v>256</v>
      </c>
      <c r="F597" s="412">
        <v>4.0599999999999996</v>
      </c>
    </row>
    <row r="598" spans="1:6" x14ac:dyDescent="0.25">
      <c r="A598" s="404"/>
      <c r="B598" s="405"/>
      <c r="C598" s="406"/>
      <c r="D598" s="407"/>
      <c r="E598" s="341"/>
      <c r="F598" s="341"/>
    </row>
    <row r="599" spans="1:6" x14ac:dyDescent="0.25">
      <c r="A599" s="404" t="s">
        <v>291</v>
      </c>
      <c r="B599" s="405" t="s">
        <v>251</v>
      </c>
      <c r="C599" s="406"/>
      <c r="D599" s="407">
        <v>0.1</v>
      </c>
      <c r="E599" s="341">
        <v>38.229999999999997</v>
      </c>
      <c r="F599" s="341">
        <v>3.82</v>
      </c>
    </row>
    <row r="600" spans="1:6" ht="14.4" x14ac:dyDescent="0.25">
      <c r="A600" s="408"/>
      <c r="B600" s="409"/>
      <c r="C600" s="410"/>
      <c r="D600" s="411"/>
      <c r="E600" s="412" t="s">
        <v>257</v>
      </c>
      <c r="F600" s="412">
        <v>3.82</v>
      </c>
    </row>
    <row r="601" spans="1:6" x14ac:dyDescent="0.25">
      <c r="A601" s="404"/>
      <c r="B601" s="405"/>
      <c r="C601" s="406"/>
      <c r="D601" s="407"/>
      <c r="E601" s="341"/>
      <c r="F601" s="341"/>
    </row>
    <row r="602" spans="1:6" x14ac:dyDescent="0.25">
      <c r="A602" s="404" t="s">
        <v>402</v>
      </c>
      <c r="B602" s="405" t="s">
        <v>251</v>
      </c>
      <c r="C602" s="406">
        <v>1</v>
      </c>
      <c r="D602" s="407">
        <v>0.1</v>
      </c>
      <c r="E602" s="341">
        <v>75</v>
      </c>
      <c r="F602" s="341">
        <v>7.5</v>
      </c>
    </row>
    <row r="603" spans="1:6" ht="14.4" x14ac:dyDescent="0.25">
      <c r="A603" s="408"/>
      <c r="B603" s="409"/>
      <c r="C603" s="410"/>
      <c r="D603" s="411"/>
      <c r="E603" s="412" t="s">
        <v>259</v>
      </c>
      <c r="F603" s="412">
        <v>7.5</v>
      </c>
    </row>
    <row r="604" spans="1:6" x14ac:dyDescent="0.25">
      <c r="A604" s="404"/>
      <c r="B604" s="405"/>
      <c r="C604" s="406"/>
      <c r="D604" s="407"/>
      <c r="E604" s="341"/>
      <c r="F604" s="341"/>
    </row>
    <row r="605" spans="1:6" x14ac:dyDescent="0.25">
      <c r="A605" s="404"/>
      <c r="B605" s="405"/>
      <c r="C605" s="406"/>
      <c r="D605" s="407"/>
      <c r="E605" s="341"/>
      <c r="F605" s="341"/>
    </row>
    <row r="606" spans="1:6" ht="14.4" x14ac:dyDescent="0.25">
      <c r="A606" s="397" t="s">
        <v>323</v>
      </c>
      <c r="B606" s="398"/>
      <c r="C606" s="399"/>
      <c r="D606" s="400"/>
      <c r="E606" s="401"/>
      <c r="F606" s="401"/>
    </row>
    <row r="607" spans="1:6" ht="14.4" x14ac:dyDescent="0.25">
      <c r="A607" s="397" t="s">
        <v>241</v>
      </c>
      <c r="B607" s="398"/>
      <c r="C607" s="399" t="s">
        <v>242</v>
      </c>
      <c r="D607" s="400"/>
      <c r="E607" s="401" t="s">
        <v>243</v>
      </c>
      <c r="F607" s="401">
        <v>272.62</v>
      </c>
    </row>
    <row r="608" spans="1:6" ht="14.4" x14ac:dyDescent="0.25">
      <c r="A608" s="398" t="s">
        <v>244</v>
      </c>
      <c r="B608" s="398" t="s">
        <v>52</v>
      </c>
      <c r="C608" s="402" t="s">
        <v>53</v>
      </c>
      <c r="D608" s="402" t="s">
        <v>17</v>
      </c>
      <c r="E608" s="403" t="s">
        <v>245</v>
      </c>
      <c r="F608" s="403" t="s">
        <v>246</v>
      </c>
    </row>
    <row r="609" spans="1:6" x14ac:dyDescent="0.25">
      <c r="A609" s="404" t="s">
        <v>292</v>
      </c>
      <c r="B609" s="405" t="s">
        <v>250</v>
      </c>
      <c r="C609" s="406">
        <v>0.03</v>
      </c>
      <c r="D609" s="407">
        <v>0.2</v>
      </c>
      <c r="E609" s="341">
        <v>13.94</v>
      </c>
      <c r="F609" s="341">
        <v>2.79</v>
      </c>
    </row>
    <row r="610" spans="1:6" ht="14.4" x14ac:dyDescent="0.25">
      <c r="A610" s="408"/>
      <c r="B610" s="409"/>
      <c r="C610" s="410"/>
      <c r="D610" s="411"/>
      <c r="E610" s="412" t="s">
        <v>256</v>
      </c>
      <c r="F610" s="412">
        <v>2.79</v>
      </c>
    </row>
    <row r="611" spans="1:6" x14ac:dyDescent="0.25">
      <c r="A611" s="404"/>
      <c r="B611" s="405"/>
      <c r="C611" s="406"/>
      <c r="D611" s="407"/>
      <c r="E611" s="341"/>
      <c r="F611" s="341"/>
    </row>
    <row r="612" spans="1:6" x14ac:dyDescent="0.25">
      <c r="A612" s="404" t="s">
        <v>294</v>
      </c>
      <c r="B612" s="405" t="s">
        <v>237</v>
      </c>
      <c r="C612" s="406"/>
      <c r="D612" s="407">
        <v>0.215</v>
      </c>
      <c r="E612" s="341">
        <v>284.38000000000011</v>
      </c>
      <c r="F612" s="341">
        <v>61.14</v>
      </c>
    </row>
    <row r="613" spans="1:6" x14ac:dyDescent="0.25">
      <c r="A613" s="404" t="s">
        <v>295</v>
      </c>
      <c r="B613" s="405" t="s">
        <v>247</v>
      </c>
      <c r="C613" s="406"/>
      <c r="D613" s="407">
        <v>17.5</v>
      </c>
      <c r="E613" s="341">
        <v>3.08</v>
      </c>
      <c r="F613" s="341">
        <v>53.9</v>
      </c>
    </row>
    <row r="614" spans="1:6" x14ac:dyDescent="0.25">
      <c r="A614" s="404" t="s">
        <v>296</v>
      </c>
      <c r="B614" s="405" t="s">
        <v>238</v>
      </c>
      <c r="C614" s="406"/>
      <c r="D614" s="407">
        <v>3.92</v>
      </c>
      <c r="E614" s="341">
        <v>36.220000000000013</v>
      </c>
      <c r="F614" s="341">
        <v>141.97999999999999</v>
      </c>
    </row>
    <row r="615" spans="1:6" x14ac:dyDescent="0.25">
      <c r="A615" s="404" t="s">
        <v>248</v>
      </c>
      <c r="B615" s="405" t="s">
        <v>55</v>
      </c>
      <c r="C615" s="406"/>
      <c r="D615" s="407">
        <v>1</v>
      </c>
      <c r="E615" s="341">
        <v>6.25</v>
      </c>
      <c r="F615" s="341">
        <v>6.25</v>
      </c>
    </row>
    <row r="616" spans="1:6" x14ac:dyDescent="0.25">
      <c r="A616" s="404" t="s">
        <v>304</v>
      </c>
      <c r="B616" s="405" t="s">
        <v>55</v>
      </c>
      <c r="C616" s="406"/>
      <c r="D616" s="407">
        <v>1</v>
      </c>
      <c r="E616" s="341">
        <v>6.5600000000000014</v>
      </c>
      <c r="F616" s="341">
        <v>6.56</v>
      </c>
    </row>
    <row r="617" spans="1:6" ht="14.4" x14ac:dyDescent="0.25">
      <c r="A617" s="408"/>
      <c r="B617" s="409"/>
      <c r="C617" s="410"/>
      <c r="D617" s="411"/>
      <c r="E617" s="412" t="s">
        <v>249</v>
      </c>
      <c r="F617" s="412">
        <v>269.83</v>
      </c>
    </row>
    <row r="618" spans="1:6" ht="14.4" x14ac:dyDescent="0.25">
      <c r="A618" s="408" t="s">
        <v>254</v>
      </c>
      <c r="B618" s="409" t="s">
        <v>250</v>
      </c>
      <c r="C618" s="410">
        <v>1</v>
      </c>
      <c r="D618" s="411">
        <v>0.37973742140123967</v>
      </c>
      <c r="E618" s="412">
        <v>0</v>
      </c>
      <c r="F618" s="412">
        <v>0</v>
      </c>
    </row>
    <row r="619" spans="1:6" ht="14.4" x14ac:dyDescent="0.25">
      <c r="A619" s="408" t="s">
        <v>592</v>
      </c>
      <c r="B619" s="409" t="s">
        <v>250</v>
      </c>
      <c r="C619" s="410">
        <v>1</v>
      </c>
      <c r="D619" s="411">
        <v>3.4969315994987578</v>
      </c>
      <c r="E619" s="412">
        <v>0</v>
      </c>
      <c r="F619" s="412">
        <v>0</v>
      </c>
    </row>
    <row r="620" spans="1:6" ht="14.4" x14ac:dyDescent="0.25">
      <c r="A620" s="408" t="s">
        <v>255</v>
      </c>
      <c r="B620" s="409" t="s">
        <v>250</v>
      </c>
      <c r="C620" s="410">
        <v>1</v>
      </c>
      <c r="D620" s="411">
        <v>3.9997443582313319</v>
      </c>
      <c r="E620" s="412">
        <v>0</v>
      </c>
      <c r="F620" s="412">
        <v>0</v>
      </c>
    </row>
    <row r="621" spans="1:6" ht="14.4" x14ac:dyDescent="0.25">
      <c r="A621" s="408" t="s">
        <v>593</v>
      </c>
      <c r="B621" s="409" t="s">
        <v>250</v>
      </c>
      <c r="C621" s="410">
        <v>1</v>
      </c>
      <c r="D621" s="411">
        <v>1.2448366208686699</v>
      </c>
      <c r="E621" s="412">
        <v>0</v>
      </c>
      <c r="F621" s="412">
        <v>0</v>
      </c>
    </row>
    <row r="622" spans="1:6" x14ac:dyDescent="0.25">
      <c r="A622" s="418"/>
      <c r="B622" s="405"/>
      <c r="C622" s="406"/>
      <c r="D622" s="407"/>
      <c r="E622" s="341" t="s">
        <v>256</v>
      </c>
      <c r="F622" s="341">
        <v>0</v>
      </c>
    </row>
    <row r="623" spans="1:6" x14ac:dyDescent="0.25">
      <c r="A623" s="404"/>
      <c r="B623" s="405"/>
      <c r="C623" s="406"/>
      <c r="D623" s="407"/>
      <c r="E623" s="341"/>
      <c r="F623" s="341"/>
    </row>
    <row r="624" spans="1:6" ht="14.4" x14ac:dyDescent="0.25">
      <c r="A624" s="397" t="s">
        <v>324</v>
      </c>
      <c r="B624" s="398"/>
      <c r="C624" s="399"/>
      <c r="D624" s="400"/>
      <c r="E624" s="401"/>
      <c r="F624" s="401"/>
    </row>
    <row r="625" spans="1:6" ht="14.4" x14ac:dyDescent="0.25">
      <c r="A625" s="397" t="s">
        <v>307</v>
      </c>
      <c r="B625" s="398"/>
      <c r="C625" s="399" t="s">
        <v>242</v>
      </c>
      <c r="D625" s="400"/>
      <c r="E625" s="401" t="s">
        <v>243</v>
      </c>
      <c r="F625" s="401">
        <v>55.48</v>
      </c>
    </row>
    <row r="626" spans="1:6" ht="14.4" x14ac:dyDescent="0.25">
      <c r="A626" s="398" t="s">
        <v>244</v>
      </c>
      <c r="B626" s="398" t="s">
        <v>52</v>
      </c>
      <c r="C626" s="402" t="s">
        <v>53</v>
      </c>
      <c r="D626" s="402" t="s">
        <v>17</v>
      </c>
      <c r="E626" s="403" t="s">
        <v>245</v>
      </c>
      <c r="F626" s="403" t="s">
        <v>246</v>
      </c>
    </row>
    <row r="627" spans="1:6" x14ac:dyDescent="0.25">
      <c r="A627" s="404" t="s">
        <v>277</v>
      </c>
      <c r="B627" s="405" t="s">
        <v>250</v>
      </c>
      <c r="C627" s="406">
        <v>0.1</v>
      </c>
      <c r="D627" s="407">
        <v>0.2</v>
      </c>
      <c r="E627" s="341">
        <v>15.38</v>
      </c>
      <c r="F627" s="341">
        <v>3.08</v>
      </c>
    </row>
    <row r="628" spans="1:6" x14ac:dyDescent="0.25">
      <c r="A628" s="404" t="s">
        <v>514</v>
      </c>
      <c r="B628" s="405" t="s">
        <v>250</v>
      </c>
      <c r="C628" s="406">
        <v>1</v>
      </c>
      <c r="D628" s="407">
        <v>2</v>
      </c>
      <c r="E628" s="341">
        <v>13.47</v>
      </c>
      <c r="F628" s="341">
        <v>26.94</v>
      </c>
    </row>
    <row r="629" spans="1:6" x14ac:dyDescent="0.25">
      <c r="A629" s="404" t="s">
        <v>515</v>
      </c>
      <c r="B629" s="405" t="s">
        <v>250</v>
      </c>
      <c r="C629" s="406">
        <v>0.5</v>
      </c>
      <c r="D629" s="407">
        <v>1</v>
      </c>
      <c r="E629" s="341">
        <v>13.37</v>
      </c>
      <c r="F629" s="341">
        <v>13.37</v>
      </c>
    </row>
    <row r="630" spans="1:6" ht="14.4" x14ac:dyDescent="0.25">
      <c r="A630" s="408"/>
      <c r="B630" s="409"/>
      <c r="C630" s="410"/>
      <c r="D630" s="411"/>
      <c r="E630" s="412" t="s">
        <v>256</v>
      </c>
      <c r="F630" s="412">
        <v>43.39</v>
      </c>
    </row>
    <row r="631" spans="1:6" x14ac:dyDescent="0.25">
      <c r="A631" s="404"/>
      <c r="B631" s="405"/>
      <c r="C631" s="406"/>
      <c r="D631" s="407"/>
      <c r="E631" s="341"/>
      <c r="F631" s="341"/>
    </row>
    <row r="632" spans="1:6" x14ac:dyDescent="0.25">
      <c r="A632" s="404" t="s">
        <v>308</v>
      </c>
      <c r="B632" s="405" t="s">
        <v>55</v>
      </c>
      <c r="C632" s="406"/>
      <c r="D632" s="407">
        <v>2</v>
      </c>
      <c r="E632" s="341">
        <v>4.9000000000000004</v>
      </c>
      <c r="F632" s="341">
        <v>9.8000000000000007</v>
      </c>
    </row>
    <row r="633" spans="1:6" x14ac:dyDescent="0.25">
      <c r="A633" s="404" t="s">
        <v>260</v>
      </c>
      <c r="B633" s="405" t="s">
        <v>237</v>
      </c>
      <c r="C633" s="406"/>
      <c r="D633" s="407">
        <v>0.02</v>
      </c>
      <c r="E633" s="341">
        <v>6.2</v>
      </c>
      <c r="F633" s="341">
        <v>0.12</v>
      </c>
    </row>
    <row r="634" spans="1:6" ht="14.4" x14ac:dyDescent="0.25">
      <c r="A634" s="408"/>
      <c r="B634" s="409"/>
      <c r="C634" s="410"/>
      <c r="D634" s="411"/>
      <c r="E634" s="412" t="s">
        <v>257</v>
      </c>
      <c r="F634" s="412">
        <v>9.92</v>
      </c>
    </row>
    <row r="635" spans="1:6" x14ac:dyDescent="0.25">
      <c r="A635" s="404"/>
      <c r="B635" s="405"/>
      <c r="C635" s="406"/>
      <c r="D635" s="407"/>
      <c r="E635" s="341"/>
      <c r="F635" s="341"/>
    </row>
    <row r="636" spans="1:6" x14ac:dyDescent="0.25">
      <c r="A636" s="404" t="s">
        <v>258</v>
      </c>
      <c r="B636" s="405" t="s">
        <v>252</v>
      </c>
      <c r="C636" s="406"/>
      <c r="D636" s="407">
        <v>5</v>
      </c>
      <c r="E636" s="341">
        <v>43.39</v>
      </c>
      <c r="F636" s="341">
        <v>2.17</v>
      </c>
    </row>
    <row r="637" spans="1:6" ht="14.4" x14ac:dyDescent="0.25">
      <c r="A637" s="408"/>
      <c r="B637" s="409"/>
      <c r="C637" s="410"/>
      <c r="D637" s="411"/>
      <c r="E637" s="412" t="s">
        <v>259</v>
      </c>
      <c r="F637" s="412">
        <v>2.17</v>
      </c>
    </row>
    <row r="638" spans="1:6" x14ac:dyDescent="0.25">
      <c r="A638" s="404"/>
      <c r="B638" s="405"/>
      <c r="C638" s="406"/>
      <c r="D638" s="407"/>
      <c r="E638" s="341"/>
      <c r="F638" s="341"/>
    </row>
    <row r="639" spans="1:6" x14ac:dyDescent="0.25">
      <c r="A639" s="404"/>
      <c r="B639" s="405"/>
      <c r="C639" s="406"/>
      <c r="D639" s="407"/>
      <c r="E639" s="341"/>
      <c r="F639" s="341"/>
    </row>
    <row r="640" spans="1:6" ht="14.4" x14ac:dyDescent="0.25">
      <c r="A640" s="416" t="s">
        <v>529</v>
      </c>
      <c r="B640" s="398"/>
      <c r="C640" s="399"/>
      <c r="D640" s="400"/>
      <c r="E640" s="401"/>
      <c r="F640" s="401"/>
    </row>
    <row r="641" spans="1:6" ht="14.4" x14ac:dyDescent="0.25">
      <c r="A641" s="397" t="s">
        <v>281</v>
      </c>
      <c r="B641" s="398"/>
      <c r="C641" s="399" t="s">
        <v>282</v>
      </c>
      <c r="D641" s="400"/>
      <c r="E641" s="401" t="s">
        <v>243</v>
      </c>
      <c r="F641" s="401">
        <v>2624.24</v>
      </c>
    </row>
    <row r="642" spans="1:6" ht="14.4" x14ac:dyDescent="0.25">
      <c r="A642" s="398" t="s">
        <v>244</v>
      </c>
      <c r="B642" s="398" t="s">
        <v>52</v>
      </c>
      <c r="C642" s="402" t="s">
        <v>53</v>
      </c>
      <c r="D642" s="402" t="s">
        <v>17</v>
      </c>
      <c r="E642" s="403" t="s">
        <v>245</v>
      </c>
      <c r="F642" s="403" t="s">
        <v>246</v>
      </c>
    </row>
    <row r="643" spans="1:6" x14ac:dyDescent="0.25">
      <c r="A643" s="404" t="s">
        <v>292</v>
      </c>
      <c r="B643" s="405" t="s">
        <v>250</v>
      </c>
      <c r="C643" s="406">
        <v>1</v>
      </c>
      <c r="D643" s="407">
        <v>8</v>
      </c>
      <c r="E643" s="341">
        <v>13.94</v>
      </c>
      <c r="F643" s="341">
        <v>111.52</v>
      </c>
    </row>
    <row r="644" spans="1:6" ht="14.4" x14ac:dyDescent="0.25">
      <c r="A644" s="408"/>
      <c r="B644" s="409"/>
      <c r="C644" s="410"/>
      <c r="D644" s="411"/>
      <c r="E644" s="412" t="s">
        <v>256</v>
      </c>
      <c r="F644" s="412">
        <v>111.52</v>
      </c>
    </row>
    <row r="645" spans="1:6" x14ac:dyDescent="0.25">
      <c r="A645" s="404"/>
      <c r="B645" s="405"/>
      <c r="C645" s="406"/>
      <c r="D645" s="407"/>
      <c r="E645" s="341"/>
      <c r="F645" s="341"/>
    </row>
    <row r="646" spans="1:6" x14ac:dyDescent="0.25">
      <c r="A646" s="404" t="s">
        <v>310</v>
      </c>
      <c r="B646" s="405" t="s">
        <v>55</v>
      </c>
      <c r="C646" s="406"/>
      <c r="D646" s="407">
        <v>3.2</v>
      </c>
      <c r="E646" s="341">
        <v>607.23</v>
      </c>
      <c r="F646" s="341">
        <v>1943.14</v>
      </c>
    </row>
    <row r="647" spans="1:6" x14ac:dyDescent="0.25">
      <c r="A647" s="404" t="s">
        <v>311</v>
      </c>
      <c r="B647" s="405" t="s">
        <v>55</v>
      </c>
      <c r="C647" s="406"/>
      <c r="D647" s="407">
        <v>16</v>
      </c>
      <c r="E647" s="341">
        <v>24.72</v>
      </c>
      <c r="F647" s="341">
        <v>395.52</v>
      </c>
    </row>
    <row r="648" spans="1:6" x14ac:dyDescent="0.25">
      <c r="A648" s="404" t="s">
        <v>312</v>
      </c>
      <c r="B648" s="405" t="s">
        <v>55</v>
      </c>
      <c r="C648" s="406"/>
      <c r="D648" s="407">
        <v>32</v>
      </c>
      <c r="E648" s="341">
        <v>4.8899999999999997</v>
      </c>
      <c r="F648" s="341">
        <v>156.47999999999999</v>
      </c>
    </row>
    <row r="649" spans="1:6" x14ac:dyDescent="0.25">
      <c r="A649" s="404" t="s">
        <v>313</v>
      </c>
      <c r="B649" s="405" t="s">
        <v>55</v>
      </c>
      <c r="C649" s="406"/>
      <c r="D649" s="407">
        <v>2</v>
      </c>
      <c r="E649" s="341">
        <v>2.54</v>
      </c>
      <c r="F649" s="341">
        <v>5.08</v>
      </c>
    </row>
    <row r="650" spans="1:6" x14ac:dyDescent="0.25">
      <c r="A650" s="404" t="s">
        <v>314</v>
      </c>
      <c r="B650" s="405" t="s">
        <v>55</v>
      </c>
      <c r="C650" s="406"/>
      <c r="D650" s="407">
        <v>1</v>
      </c>
      <c r="E650" s="341">
        <v>12.5</v>
      </c>
      <c r="F650" s="341">
        <v>12.5</v>
      </c>
    </row>
    <row r="651" spans="1:6" ht="14.4" x14ac:dyDescent="0.25">
      <c r="A651" s="408"/>
      <c r="B651" s="409"/>
      <c r="C651" s="410"/>
      <c r="D651" s="411"/>
      <c r="E651" s="412" t="s">
        <v>257</v>
      </c>
      <c r="F651" s="412">
        <v>2512.7199999999998</v>
      </c>
    </row>
    <row r="652" spans="1:6" x14ac:dyDescent="0.25">
      <c r="A652" s="404"/>
      <c r="B652" s="405"/>
      <c r="C652" s="406"/>
      <c r="D652" s="407"/>
      <c r="E652" s="341"/>
      <c r="F652" s="341"/>
    </row>
    <row r="653" spans="1:6" x14ac:dyDescent="0.25">
      <c r="A653" s="404"/>
      <c r="B653" s="405"/>
      <c r="C653" s="406"/>
      <c r="D653" s="407"/>
      <c r="E653" s="341"/>
      <c r="F653" s="341"/>
    </row>
    <row r="654" spans="1:6" ht="14.4" x14ac:dyDescent="0.25">
      <c r="A654" s="416" t="s">
        <v>530</v>
      </c>
      <c r="B654" s="398"/>
      <c r="C654" s="399"/>
      <c r="D654" s="400"/>
      <c r="E654" s="401"/>
      <c r="F654" s="401"/>
    </row>
    <row r="655" spans="1:6" ht="14.4" x14ac:dyDescent="0.25">
      <c r="A655" s="397" t="s">
        <v>316</v>
      </c>
      <c r="B655" s="398"/>
      <c r="C655" s="399" t="s">
        <v>317</v>
      </c>
      <c r="D655" s="400"/>
      <c r="E655" s="401" t="s">
        <v>243</v>
      </c>
      <c r="F655" s="401">
        <v>10.28</v>
      </c>
    </row>
    <row r="656" spans="1:6" ht="14.4" x14ac:dyDescent="0.25">
      <c r="A656" s="398" t="s">
        <v>244</v>
      </c>
      <c r="B656" s="398" t="s">
        <v>52</v>
      </c>
      <c r="C656" s="402" t="s">
        <v>53</v>
      </c>
      <c r="D656" s="402" t="s">
        <v>17</v>
      </c>
      <c r="E656" s="403" t="s">
        <v>245</v>
      </c>
      <c r="F656" s="403" t="s">
        <v>246</v>
      </c>
    </row>
    <row r="657" spans="1:6" x14ac:dyDescent="0.25">
      <c r="A657" s="404" t="s">
        <v>277</v>
      </c>
      <c r="B657" s="405" t="s">
        <v>250</v>
      </c>
      <c r="C657" s="406">
        <v>0.1</v>
      </c>
      <c r="D657" s="407">
        <v>3.2000000000000001E-2</v>
      </c>
      <c r="E657" s="341">
        <v>15.38</v>
      </c>
      <c r="F657" s="341">
        <v>0.49</v>
      </c>
    </row>
    <row r="658" spans="1:6" x14ac:dyDescent="0.25">
      <c r="A658" s="404" t="s">
        <v>318</v>
      </c>
      <c r="B658" s="405" t="s">
        <v>250</v>
      </c>
      <c r="C658" s="406">
        <v>1</v>
      </c>
      <c r="D658" s="407">
        <v>0.32</v>
      </c>
      <c r="E658" s="341">
        <v>13.47</v>
      </c>
      <c r="F658" s="341">
        <v>4.3099999999999996</v>
      </c>
    </row>
    <row r="659" spans="1:6" x14ac:dyDescent="0.25">
      <c r="A659" s="404" t="s">
        <v>319</v>
      </c>
      <c r="B659" s="405" t="s">
        <v>250</v>
      </c>
      <c r="C659" s="406">
        <v>1</v>
      </c>
      <c r="D659" s="407">
        <v>0.32</v>
      </c>
      <c r="E659" s="341">
        <v>12.66</v>
      </c>
      <c r="F659" s="341">
        <v>4.05</v>
      </c>
    </row>
    <row r="660" spans="1:6" ht="14.4" x14ac:dyDescent="0.25">
      <c r="A660" s="408"/>
      <c r="B660" s="409"/>
      <c r="C660" s="410"/>
      <c r="D660" s="411"/>
      <c r="E660" s="412" t="s">
        <v>256</v>
      </c>
      <c r="F660" s="412">
        <v>8.85</v>
      </c>
    </row>
    <row r="661" spans="1:6" x14ac:dyDescent="0.25">
      <c r="A661" s="404"/>
      <c r="B661" s="405"/>
      <c r="C661" s="406"/>
      <c r="D661" s="407"/>
      <c r="E661" s="341"/>
      <c r="F661" s="341"/>
    </row>
    <row r="662" spans="1:6" x14ac:dyDescent="0.25">
      <c r="A662" s="404" t="s">
        <v>258</v>
      </c>
      <c r="B662" s="405" t="s">
        <v>252</v>
      </c>
      <c r="C662" s="406"/>
      <c r="D662" s="407">
        <v>5</v>
      </c>
      <c r="E662" s="341">
        <v>8.85</v>
      </c>
      <c r="F662" s="341">
        <v>0.44</v>
      </c>
    </row>
    <row r="663" spans="1:6" x14ac:dyDescent="0.25">
      <c r="A663" s="404" t="s">
        <v>320</v>
      </c>
      <c r="B663" s="405" t="s">
        <v>251</v>
      </c>
      <c r="C663" s="406">
        <v>1</v>
      </c>
      <c r="D663" s="407">
        <v>0.32</v>
      </c>
      <c r="E663" s="341">
        <v>3.1</v>
      </c>
      <c r="F663" s="341">
        <v>0.99</v>
      </c>
    </row>
    <row r="664" spans="1:6" ht="14.4" x14ac:dyDescent="0.25">
      <c r="A664" s="408"/>
      <c r="B664" s="409"/>
      <c r="C664" s="410"/>
      <c r="D664" s="411"/>
      <c r="E664" s="412" t="s">
        <v>259</v>
      </c>
      <c r="F664" s="412">
        <v>1.43</v>
      </c>
    </row>
    <row r="665" spans="1:6" x14ac:dyDescent="0.25">
      <c r="A665" s="404"/>
      <c r="B665" s="405"/>
      <c r="C665" s="406"/>
      <c r="D665" s="407"/>
      <c r="E665" s="341"/>
      <c r="F665" s="341"/>
    </row>
    <row r="666" spans="1:6" x14ac:dyDescent="0.25">
      <c r="A666" s="404"/>
      <c r="B666" s="405"/>
      <c r="C666" s="406"/>
      <c r="D666" s="407"/>
      <c r="E666" s="341"/>
      <c r="F666" s="341"/>
    </row>
    <row r="667" spans="1:6" ht="14.4" x14ac:dyDescent="0.25">
      <c r="A667" s="416" t="s">
        <v>531</v>
      </c>
      <c r="B667" s="398"/>
      <c r="C667" s="399"/>
      <c r="D667" s="400"/>
      <c r="E667" s="401"/>
      <c r="F667" s="401"/>
    </row>
    <row r="668" spans="1:6" ht="14.4" x14ac:dyDescent="0.25">
      <c r="A668" s="397" t="s">
        <v>417</v>
      </c>
      <c r="B668" s="398"/>
      <c r="C668" s="399" t="s">
        <v>317</v>
      </c>
      <c r="D668" s="400"/>
      <c r="E668" s="401" t="s">
        <v>243</v>
      </c>
      <c r="F668" s="401">
        <v>4.1400000000000006</v>
      </c>
    </row>
    <row r="669" spans="1:6" ht="14.4" x14ac:dyDescent="0.25">
      <c r="A669" s="398" t="s">
        <v>244</v>
      </c>
      <c r="B669" s="398" t="s">
        <v>52</v>
      </c>
      <c r="C669" s="402" t="s">
        <v>53</v>
      </c>
      <c r="D669" s="402" t="s">
        <v>17</v>
      </c>
      <c r="E669" s="403" t="s">
        <v>245</v>
      </c>
      <c r="F669" s="403" t="s">
        <v>246</v>
      </c>
    </row>
    <row r="670" spans="1:6" x14ac:dyDescent="0.25">
      <c r="A670" s="404" t="s">
        <v>318</v>
      </c>
      <c r="B670" s="405" t="s">
        <v>250</v>
      </c>
      <c r="C670" s="406">
        <v>1</v>
      </c>
      <c r="D670" s="407">
        <v>0.1</v>
      </c>
      <c r="E670" s="341">
        <v>13.47</v>
      </c>
      <c r="F670" s="341">
        <v>1.35</v>
      </c>
    </row>
    <row r="671" spans="1:6" x14ac:dyDescent="0.25">
      <c r="A671" s="404" t="s">
        <v>319</v>
      </c>
      <c r="B671" s="405" t="s">
        <v>250</v>
      </c>
      <c r="C671" s="406">
        <v>1</v>
      </c>
      <c r="D671" s="407">
        <v>0.1</v>
      </c>
      <c r="E671" s="341">
        <v>12.66</v>
      </c>
      <c r="F671" s="341">
        <v>1.27</v>
      </c>
    </row>
    <row r="672" spans="1:6" x14ac:dyDescent="0.25">
      <c r="A672" s="404" t="s">
        <v>277</v>
      </c>
      <c r="B672" s="405" t="s">
        <v>250</v>
      </c>
      <c r="C672" s="406">
        <v>0.1</v>
      </c>
      <c r="D672" s="407">
        <v>0.01</v>
      </c>
      <c r="E672" s="341">
        <v>15.38</v>
      </c>
      <c r="F672" s="341">
        <v>0.15</v>
      </c>
    </row>
    <row r="673" spans="1:6" ht="14.4" x14ac:dyDescent="0.25">
      <c r="A673" s="408"/>
      <c r="B673" s="409"/>
      <c r="C673" s="410"/>
      <c r="D673" s="411"/>
      <c r="E673" s="412" t="s">
        <v>256</v>
      </c>
      <c r="F673" s="412">
        <v>2.77</v>
      </c>
    </row>
    <row r="674" spans="1:6" x14ac:dyDescent="0.25">
      <c r="A674" s="404"/>
      <c r="B674" s="405"/>
      <c r="C674" s="406"/>
      <c r="D674" s="407"/>
      <c r="E674" s="341"/>
      <c r="F674" s="341"/>
    </row>
    <row r="675" spans="1:6" x14ac:dyDescent="0.25">
      <c r="A675" s="404" t="s">
        <v>418</v>
      </c>
      <c r="B675" s="405" t="s">
        <v>55</v>
      </c>
      <c r="C675" s="406"/>
      <c r="D675" s="407">
        <v>0.2</v>
      </c>
      <c r="E675" s="341">
        <v>0.8</v>
      </c>
      <c r="F675" s="341">
        <v>0.16</v>
      </c>
    </row>
    <row r="676" spans="1:6" ht="14.4" x14ac:dyDescent="0.25">
      <c r="A676" s="408"/>
      <c r="B676" s="409"/>
      <c r="C676" s="410"/>
      <c r="D676" s="411"/>
      <c r="E676" s="412" t="s">
        <v>257</v>
      </c>
      <c r="F676" s="412">
        <v>0.16</v>
      </c>
    </row>
    <row r="677" spans="1:6" x14ac:dyDescent="0.25">
      <c r="A677" s="404"/>
      <c r="B677" s="405"/>
      <c r="C677" s="406"/>
      <c r="D677" s="407"/>
      <c r="E677" s="341"/>
      <c r="F677" s="341"/>
    </row>
    <row r="678" spans="1:6" x14ac:dyDescent="0.25">
      <c r="A678" s="404" t="s">
        <v>320</v>
      </c>
      <c r="B678" s="405" t="s">
        <v>251</v>
      </c>
      <c r="C678" s="406">
        <v>1</v>
      </c>
      <c r="D678" s="407">
        <v>0.1</v>
      </c>
      <c r="E678" s="341">
        <v>3.1</v>
      </c>
      <c r="F678" s="341">
        <v>0.31</v>
      </c>
    </row>
    <row r="679" spans="1:6" x14ac:dyDescent="0.25">
      <c r="A679" s="404" t="s">
        <v>419</v>
      </c>
      <c r="B679" s="405" t="s">
        <v>251</v>
      </c>
      <c r="C679" s="406">
        <v>1</v>
      </c>
      <c r="D679" s="407">
        <v>0.1</v>
      </c>
      <c r="E679" s="341">
        <v>2.5299999999999998</v>
      </c>
      <c r="F679" s="341">
        <v>0.25</v>
      </c>
    </row>
    <row r="680" spans="1:6" x14ac:dyDescent="0.25">
      <c r="A680" s="404" t="s">
        <v>420</v>
      </c>
      <c r="B680" s="405" t="s">
        <v>55</v>
      </c>
      <c r="C680" s="406">
        <v>0</v>
      </c>
      <c r="D680" s="407">
        <v>0.01</v>
      </c>
      <c r="E680" s="341">
        <v>65.45</v>
      </c>
      <c r="F680" s="341">
        <v>0.65</v>
      </c>
    </row>
    <row r="681" spans="1:6" ht="14.4" x14ac:dyDescent="0.25">
      <c r="A681" s="408"/>
      <c r="B681" s="409"/>
      <c r="C681" s="410"/>
      <c r="D681" s="411"/>
      <c r="E681" s="412" t="s">
        <v>259</v>
      </c>
      <c r="F681" s="412">
        <v>1.21</v>
      </c>
    </row>
    <row r="682" spans="1:6" x14ac:dyDescent="0.25">
      <c r="A682" s="404"/>
      <c r="B682" s="405"/>
      <c r="C682" s="406"/>
      <c r="D682" s="407"/>
      <c r="E682" s="341"/>
      <c r="F682" s="341"/>
    </row>
    <row r="683" spans="1:6" x14ac:dyDescent="0.25">
      <c r="A683" s="404"/>
      <c r="B683" s="405"/>
      <c r="C683" s="406"/>
      <c r="D683" s="407"/>
      <c r="E683" s="341"/>
      <c r="F683" s="341"/>
    </row>
    <row r="684" spans="1:6" ht="14.4" x14ac:dyDescent="0.25">
      <c r="A684" s="416" t="s">
        <v>532</v>
      </c>
      <c r="B684" s="398"/>
      <c r="C684" s="399"/>
      <c r="D684" s="400"/>
      <c r="E684" s="401"/>
      <c r="F684" s="401"/>
    </row>
    <row r="685" spans="1:6" ht="14.4" x14ac:dyDescent="0.25">
      <c r="A685" s="397" t="s">
        <v>421</v>
      </c>
      <c r="B685" s="398"/>
      <c r="C685" s="399" t="s">
        <v>276</v>
      </c>
      <c r="D685" s="400"/>
      <c r="E685" s="401" t="s">
        <v>243</v>
      </c>
      <c r="F685" s="401">
        <v>909.74</v>
      </c>
    </row>
    <row r="686" spans="1:6" ht="14.4" x14ac:dyDescent="0.25">
      <c r="A686" s="398" t="s">
        <v>244</v>
      </c>
      <c r="B686" s="398" t="s">
        <v>52</v>
      </c>
      <c r="C686" s="402" t="s">
        <v>53</v>
      </c>
      <c r="D686" s="402" t="s">
        <v>17</v>
      </c>
      <c r="E686" s="403" t="s">
        <v>245</v>
      </c>
      <c r="F686" s="403" t="s">
        <v>246</v>
      </c>
    </row>
    <row r="687" spans="1:6" x14ac:dyDescent="0.25">
      <c r="A687" s="404" t="s">
        <v>277</v>
      </c>
      <c r="B687" s="405" t="s">
        <v>250</v>
      </c>
      <c r="C687" s="406">
        <v>0.1</v>
      </c>
      <c r="D687" s="407">
        <v>0.8</v>
      </c>
      <c r="E687" s="341">
        <v>15.38</v>
      </c>
      <c r="F687" s="341">
        <v>12.3</v>
      </c>
    </row>
    <row r="688" spans="1:6" x14ac:dyDescent="0.25">
      <c r="A688" s="404" t="s">
        <v>278</v>
      </c>
      <c r="B688" s="405" t="s">
        <v>250</v>
      </c>
      <c r="C688" s="406">
        <v>1</v>
      </c>
      <c r="D688" s="407">
        <v>8</v>
      </c>
      <c r="E688" s="341">
        <v>13.46</v>
      </c>
      <c r="F688" s="341">
        <v>107.68</v>
      </c>
    </row>
    <row r="689" spans="1:6" x14ac:dyDescent="0.25">
      <c r="A689" s="404" t="s">
        <v>279</v>
      </c>
      <c r="B689" s="405" t="s">
        <v>250</v>
      </c>
      <c r="C689" s="406">
        <v>1</v>
      </c>
      <c r="D689" s="407">
        <v>8</v>
      </c>
      <c r="E689" s="341">
        <v>11.86</v>
      </c>
      <c r="F689" s="341">
        <v>94.88</v>
      </c>
    </row>
    <row r="690" spans="1:6" x14ac:dyDescent="0.25">
      <c r="A690" s="404" t="s">
        <v>298</v>
      </c>
      <c r="B690" s="405" t="s">
        <v>250</v>
      </c>
      <c r="C690" s="406">
        <v>1</v>
      </c>
      <c r="D690" s="407">
        <v>8</v>
      </c>
      <c r="E690" s="341">
        <v>11.86</v>
      </c>
      <c r="F690" s="341">
        <v>94.88</v>
      </c>
    </row>
    <row r="691" spans="1:6" ht="14.4" x14ac:dyDescent="0.25">
      <c r="A691" s="408"/>
      <c r="B691" s="409"/>
      <c r="C691" s="410"/>
      <c r="D691" s="411"/>
      <c r="E691" s="412" t="s">
        <v>256</v>
      </c>
      <c r="F691" s="412">
        <v>309.74</v>
      </c>
    </row>
    <row r="692" spans="1:6" x14ac:dyDescent="0.25">
      <c r="A692" s="404"/>
      <c r="B692" s="405"/>
      <c r="C692" s="406"/>
      <c r="D692" s="407"/>
      <c r="E692" s="341"/>
      <c r="F692" s="341"/>
    </row>
    <row r="693" spans="1:6" x14ac:dyDescent="0.25">
      <c r="A693" s="404" t="s">
        <v>280</v>
      </c>
      <c r="B693" s="405" t="s">
        <v>251</v>
      </c>
      <c r="C693" s="406">
        <v>1</v>
      </c>
      <c r="D693" s="407">
        <v>8</v>
      </c>
      <c r="E693" s="341">
        <v>75</v>
      </c>
      <c r="F693" s="341">
        <v>600</v>
      </c>
    </row>
    <row r="694" spans="1:6" ht="14.4" x14ac:dyDescent="0.25">
      <c r="A694" s="408"/>
      <c r="B694" s="409"/>
      <c r="C694" s="410"/>
      <c r="D694" s="411"/>
      <c r="E694" s="412" t="s">
        <v>259</v>
      </c>
      <c r="F694" s="412">
        <v>600</v>
      </c>
    </row>
    <row r="695" spans="1:6" x14ac:dyDescent="0.25">
      <c r="A695" s="404"/>
      <c r="B695" s="405"/>
      <c r="C695" s="406"/>
      <c r="D695" s="407"/>
      <c r="E695" s="341"/>
      <c r="F695" s="341"/>
    </row>
    <row r="696" spans="1:6" x14ac:dyDescent="0.25">
      <c r="A696" s="404"/>
      <c r="B696" s="405"/>
      <c r="C696" s="406"/>
      <c r="D696" s="407"/>
      <c r="E696" s="341"/>
      <c r="F696" s="341"/>
    </row>
    <row r="697" spans="1:6" ht="14.4" x14ac:dyDescent="0.25">
      <c r="A697" s="416" t="s">
        <v>533</v>
      </c>
      <c r="B697" s="398"/>
      <c r="C697" s="399"/>
      <c r="D697" s="400"/>
      <c r="E697" s="401"/>
      <c r="F697" s="401"/>
    </row>
    <row r="698" spans="1:6" ht="14.4" x14ac:dyDescent="0.25">
      <c r="A698" s="397" t="s">
        <v>445</v>
      </c>
      <c r="B698" s="398"/>
      <c r="C698" s="399" t="s">
        <v>446</v>
      </c>
      <c r="D698" s="400"/>
      <c r="E698" s="401" t="s">
        <v>243</v>
      </c>
      <c r="F698" s="401">
        <v>322.39999999999998</v>
      </c>
    </row>
    <row r="699" spans="1:6" ht="14.4" x14ac:dyDescent="0.25">
      <c r="A699" s="398" t="s">
        <v>244</v>
      </c>
      <c r="B699" s="398" t="s">
        <v>52</v>
      </c>
      <c r="C699" s="402" t="s">
        <v>53</v>
      </c>
      <c r="D699" s="402" t="s">
        <v>17</v>
      </c>
      <c r="E699" s="403" t="s">
        <v>245</v>
      </c>
      <c r="F699" s="403" t="s">
        <v>246</v>
      </c>
    </row>
    <row r="700" spans="1:6" x14ac:dyDescent="0.25">
      <c r="A700" s="404" t="s">
        <v>277</v>
      </c>
      <c r="B700" s="405" t="s">
        <v>250</v>
      </c>
      <c r="C700" s="406">
        <v>0.1</v>
      </c>
      <c r="D700" s="407">
        <v>0.60150000000000003</v>
      </c>
      <c r="E700" s="341">
        <v>15.38</v>
      </c>
      <c r="F700" s="341">
        <v>9.25</v>
      </c>
    </row>
    <row r="701" spans="1:6" x14ac:dyDescent="0.25">
      <c r="A701" s="404" t="s">
        <v>290</v>
      </c>
      <c r="B701" s="405" t="s">
        <v>250</v>
      </c>
      <c r="C701" s="406">
        <v>1</v>
      </c>
      <c r="D701" s="407">
        <v>6.0149999999999997</v>
      </c>
      <c r="E701" s="341">
        <v>15.2</v>
      </c>
      <c r="F701" s="341">
        <v>91.43</v>
      </c>
    </row>
    <row r="702" spans="1:6" x14ac:dyDescent="0.25">
      <c r="A702" s="404" t="s">
        <v>279</v>
      </c>
      <c r="B702" s="405" t="s">
        <v>250</v>
      </c>
      <c r="C702" s="406">
        <v>1</v>
      </c>
      <c r="D702" s="407">
        <v>6.0149999999999997</v>
      </c>
      <c r="E702" s="341">
        <v>11.86</v>
      </c>
      <c r="F702" s="341">
        <v>71.34</v>
      </c>
    </row>
    <row r="703" spans="1:6" ht="14.4" x14ac:dyDescent="0.25">
      <c r="A703" s="408"/>
      <c r="B703" s="409"/>
      <c r="C703" s="410"/>
      <c r="D703" s="411"/>
      <c r="E703" s="412" t="s">
        <v>256</v>
      </c>
      <c r="F703" s="412">
        <v>172.02</v>
      </c>
    </row>
    <row r="704" spans="1:6" x14ac:dyDescent="0.25">
      <c r="A704" s="404"/>
      <c r="B704" s="405"/>
      <c r="C704" s="406"/>
      <c r="D704" s="407"/>
      <c r="E704" s="341"/>
      <c r="F704" s="341"/>
    </row>
    <row r="705" spans="1:6" x14ac:dyDescent="0.25">
      <c r="A705" s="404" t="s">
        <v>502</v>
      </c>
      <c r="B705" s="405" t="s">
        <v>251</v>
      </c>
      <c r="C705" s="406">
        <v>1</v>
      </c>
      <c r="D705" s="407">
        <v>6.0149999999999997</v>
      </c>
      <c r="E705" s="341">
        <v>25</v>
      </c>
      <c r="F705" s="341">
        <v>150.38</v>
      </c>
    </row>
    <row r="706" spans="1:6" ht="14.4" x14ac:dyDescent="0.25">
      <c r="A706" s="408"/>
      <c r="B706" s="409"/>
      <c r="C706" s="410"/>
      <c r="D706" s="411"/>
      <c r="E706" s="412" t="s">
        <v>259</v>
      </c>
      <c r="F706" s="412">
        <v>150.38</v>
      </c>
    </row>
    <row r="707" spans="1:6" x14ac:dyDescent="0.25">
      <c r="A707" s="404"/>
      <c r="B707" s="405"/>
      <c r="C707" s="406"/>
      <c r="D707" s="407"/>
      <c r="E707" s="341"/>
      <c r="F707" s="341"/>
    </row>
    <row r="708" spans="1:6" x14ac:dyDescent="0.25">
      <c r="A708" s="404"/>
      <c r="B708" s="405"/>
      <c r="C708" s="406"/>
      <c r="D708" s="407"/>
      <c r="E708" s="341"/>
      <c r="F708" s="341"/>
    </row>
    <row r="709" spans="1:6" ht="14.4" x14ac:dyDescent="0.25">
      <c r="A709" s="416" t="s">
        <v>534</v>
      </c>
      <c r="B709" s="398"/>
      <c r="C709" s="399"/>
      <c r="D709" s="400"/>
      <c r="E709" s="401"/>
      <c r="F709" s="401"/>
    </row>
    <row r="710" spans="1:6" ht="14.4" x14ac:dyDescent="0.25">
      <c r="A710" s="397" t="s">
        <v>241</v>
      </c>
      <c r="B710" s="398"/>
      <c r="C710" s="399" t="s">
        <v>242</v>
      </c>
      <c r="D710" s="400"/>
      <c r="E710" s="401" t="s">
        <v>243</v>
      </c>
      <c r="F710" s="401">
        <v>9.1999999999999993</v>
      </c>
    </row>
    <row r="711" spans="1:6" ht="14.4" x14ac:dyDescent="0.25">
      <c r="A711" s="398" t="s">
        <v>244</v>
      </c>
      <c r="B711" s="398" t="s">
        <v>52</v>
      </c>
      <c r="C711" s="402" t="s">
        <v>53</v>
      </c>
      <c r="D711" s="402" t="s">
        <v>17</v>
      </c>
      <c r="E711" s="403" t="s">
        <v>245</v>
      </c>
      <c r="F711" s="403" t="s">
        <v>246</v>
      </c>
    </row>
    <row r="712" spans="1:6" x14ac:dyDescent="0.25">
      <c r="A712" s="404" t="s">
        <v>292</v>
      </c>
      <c r="B712" s="405" t="s">
        <v>250</v>
      </c>
      <c r="C712" s="406">
        <v>0</v>
      </c>
      <c r="D712" s="407">
        <v>8.0000000000000002E-3</v>
      </c>
      <c r="E712" s="341">
        <v>13.94</v>
      </c>
      <c r="F712" s="341">
        <v>0.11</v>
      </c>
    </row>
    <row r="713" spans="1:6" ht="14.4" x14ac:dyDescent="0.25">
      <c r="A713" s="408"/>
      <c r="B713" s="409"/>
      <c r="C713" s="410"/>
      <c r="D713" s="411"/>
      <c r="E713" s="412" t="s">
        <v>256</v>
      </c>
      <c r="F713" s="412">
        <v>0.11</v>
      </c>
    </row>
    <row r="714" spans="1:6" x14ac:dyDescent="0.25">
      <c r="A714" s="404"/>
      <c r="B714" s="405"/>
      <c r="C714" s="406"/>
      <c r="D714" s="407"/>
      <c r="E714" s="341"/>
      <c r="F714" s="341"/>
    </row>
    <row r="715" spans="1:6" x14ac:dyDescent="0.25">
      <c r="A715" s="404" t="s">
        <v>447</v>
      </c>
      <c r="B715" s="405" t="s">
        <v>55</v>
      </c>
      <c r="C715" s="406"/>
      <c r="D715" s="407">
        <v>1</v>
      </c>
      <c r="E715" s="341">
        <v>9.09</v>
      </c>
      <c r="F715" s="341">
        <v>9.09</v>
      </c>
    </row>
    <row r="716" spans="1:6" ht="14.4" x14ac:dyDescent="0.25">
      <c r="A716" s="408"/>
      <c r="B716" s="409"/>
      <c r="C716" s="410"/>
      <c r="D716" s="411"/>
      <c r="E716" s="412" t="s">
        <v>257</v>
      </c>
      <c r="F716" s="412">
        <v>9.09</v>
      </c>
    </row>
    <row r="717" spans="1:6" x14ac:dyDescent="0.25">
      <c r="A717" s="404"/>
      <c r="B717" s="405"/>
      <c r="C717" s="406"/>
      <c r="D717" s="407"/>
      <c r="E717" s="341"/>
      <c r="F717" s="341"/>
    </row>
    <row r="718" spans="1:6" x14ac:dyDescent="0.25">
      <c r="A718" s="404"/>
      <c r="B718" s="405"/>
      <c r="C718" s="406"/>
      <c r="D718" s="407"/>
      <c r="E718" s="341"/>
      <c r="F718" s="341"/>
    </row>
    <row r="719" spans="1:6" ht="14.4" x14ac:dyDescent="0.25">
      <c r="A719" s="416" t="s">
        <v>535</v>
      </c>
      <c r="B719" s="398"/>
      <c r="C719" s="399"/>
      <c r="D719" s="400"/>
      <c r="E719" s="401"/>
      <c r="F719" s="401"/>
    </row>
    <row r="720" spans="1:6" ht="14.4" x14ac:dyDescent="0.25">
      <c r="A720" s="397" t="s">
        <v>269</v>
      </c>
      <c r="B720" s="398"/>
      <c r="C720" s="399" t="s">
        <v>270</v>
      </c>
      <c r="D720" s="400"/>
      <c r="E720" s="401" t="s">
        <v>243</v>
      </c>
      <c r="F720" s="401">
        <v>6186.52</v>
      </c>
    </row>
    <row r="721" spans="1:7" ht="14.4" x14ac:dyDescent="0.25">
      <c r="A721" s="398" t="s">
        <v>244</v>
      </c>
      <c r="B721" s="398" t="s">
        <v>52</v>
      </c>
      <c r="C721" s="402" t="s">
        <v>53</v>
      </c>
      <c r="D721" s="402" t="s">
        <v>17</v>
      </c>
      <c r="E721" s="403" t="s">
        <v>245</v>
      </c>
      <c r="F721" s="403" t="s">
        <v>246</v>
      </c>
    </row>
    <row r="722" spans="1:7" x14ac:dyDescent="0.25">
      <c r="A722" s="404" t="s">
        <v>503</v>
      </c>
      <c r="B722" s="405" t="s">
        <v>65</v>
      </c>
      <c r="C722" s="406">
        <v>0</v>
      </c>
      <c r="D722" s="407">
        <v>1</v>
      </c>
      <c r="E722" s="341">
        <v>2585.6</v>
      </c>
      <c r="F722" s="341">
        <v>2585.6</v>
      </c>
    </row>
    <row r="723" spans="1:7" x14ac:dyDescent="0.25">
      <c r="A723" s="404" t="s">
        <v>504</v>
      </c>
      <c r="B723" s="405" t="s">
        <v>65</v>
      </c>
      <c r="C723" s="406">
        <v>0</v>
      </c>
      <c r="D723" s="407">
        <v>1</v>
      </c>
      <c r="E723" s="341">
        <v>2026.2</v>
      </c>
      <c r="F723" s="341">
        <v>2026.2</v>
      </c>
    </row>
    <row r="724" spans="1:7" ht="14.4" x14ac:dyDescent="0.25">
      <c r="A724" s="408"/>
      <c r="B724" s="409"/>
      <c r="C724" s="410"/>
      <c r="D724" s="411"/>
      <c r="E724" s="412" t="s">
        <v>256</v>
      </c>
      <c r="F724" s="412">
        <v>4611.8</v>
      </c>
    </row>
    <row r="725" spans="1:7" x14ac:dyDescent="0.25">
      <c r="A725" s="404"/>
      <c r="B725" s="405"/>
      <c r="C725" s="406"/>
      <c r="D725" s="407"/>
      <c r="E725" s="341"/>
      <c r="F725" s="341"/>
    </row>
    <row r="726" spans="1:7" x14ac:dyDescent="0.25">
      <c r="A726" s="404" t="s">
        <v>505</v>
      </c>
      <c r="B726" s="405" t="s">
        <v>65</v>
      </c>
      <c r="C726" s="406"/>
      <c r="D726" s="407">
        <v>1</v>
      </c>
      <c r="E726" s="341">
        <v>1574.72</v>
      </c>
      <c r="F726" s="341">
        <v>1574.72</v>
      </c>
    </row>
    <row r="727" spans="1:7" ht="14.4" x14ac:dyDescent="0.25">
      <c r="A727" s="408"/>
      <c r="B727" s="409"/>
      <c r="C727" s="410"/>
      <c r="D727" s="411"/>
      <c r="E727" s="412" t="s">
        <v>257</v>
      </c>
      <c r="F727" s="412">
        <v>1574.72</v>
      </c>
    </row>
    <row r="728" spans="1:7" x14ac:dyDescent="0.25">
      <c r="A728" t="s">
        <v>419</v>
      </c>
      <c r="B728" s="213" t="s">
        <v>251</v>
      </c>
      <c r="C728" s="368">
        <v>1</v>
      </c>
      <c r="D728" s="369">
        <v>0.1</v>
      </c>
      <c r="E728" s="370">
        <v>2.5299999999999998</v>
      </c>
      <c r="F728" s="370">
        <v>0.25</v>
      </c>
    </row>
    <row r="729" spans="1:7" x14ac:dyDescent="0.25">
      <c r="A729" t="s">
        <v>420</v>
      </c>
      <c r="B729" s="213" t="s">
        <v>55</v>
      </c>
      <c r="C729" s="368">
        <v>0</v>
      </c>
      <c r="D729" s="369">
        <v>0.01</v>
      </c>
      <c r="E729" s="370">
        <v>65.45</v>
      </c>
      <c r="F729" s="370">
        <v>0.65</v>
      </c>
    </row>
    <row r="730" spans="1:7" ht="14.4" x14ac:dyDescent="0.25">
      <c r="A730" s="361"/>
      <c r="B730" s="362"/>
      <c r="C730" s="363"/>
      <c r="D730" s="364"/>
      <c r="E730" s="365" t="s">
        <v>259</v>
      </c>
      <c r="F730" s="365">
        <v>1.21</v>
      </c>
    </row>
    <row r="731" spans="1:7" ht="14.4" x14ac:dyDescent="0.25">
      <c r="A731" s="361" t="s">
        <v>503</v>
      </c>
      <c r="B731" s="362" t="s">
        <v>250</v>
      </c>
      <c r="C731" s="363">
        <v>1</v>
      </c>
      <c r="D731" s="364">
        <v>208</v>
      </c>
      <c r="E731" s="365">
        <v>0</v>
      </c>
      <c r="F731" s="365">
        <v>0</v>
      </c>
    </row>
    <row r="732" spans="1:7" x14ac:dyDescent="0.25">
      <c r="A732" s="419" t="s">
        <v>504</v>
      </c>
      <c r="B732" s="213" t="s">
        <v>250</v>
      </c>
      <c r="C732" s="368">
        <v>1</v>
      </c>
      <c r="D732" s="369">
        <v>208</v>
      </c>
      <c r="E732" s="370">
        <v>0</v>
      </c>
      <c r="F732" s="370">
        <v>0</v>
      </c>
      <c r="G732" s="286" t="s">
        <v>536</v>
      </c>
    </row>
    <row r="733" spans="1:7" x14ac:dyDescent="0.25">
      <c r="A733" s="419"/>
      <c r="B733" s="213"/>
      <c r="C733" s="368"/>
      <c r="D733" s="369"/>
      <c r="E733" s="370" t="s">
        <v>256</v>
      </c>
      <c r="F733" s="370">
        <v>0</v>
      </c>
      <c r="G733" s="286" t="s">
        <v>536</v>
      </c>
    </row>
    <row r="734" spans="1:7" ht="14.4" x14ac:dyDescent="0.25">
      <c r="A734" s="361"/>
      <c r="B734" s="362"/>
      <c r="C734" s="363"/>
      <c r="D734" s="364"/>
      <c r="E734" s="365"/>
      <c r="F734" s="365"/>
    </row>
    <row r="735" spans="1:7" ht="14.4" x14ac:dyDescent="0.25">
      <c r="A735" s="361"/>
      <c r="B735" s="362"/>
      <c r="C735" s="363"/>
      <c r="D735" s="364"/>
      <c r="E735" s="365"/>
      <c r="F735" s="365"/>
    </row>
    <row r="736" spans="1:7" ht="14.4" x14ac:dyDescent="0.25">
      <c r="A736" s="362"/>
      <c r="B736" s="362"/>
      <c r="C736" s="366"/>
      <c r="D736" s="366"/>
      <c r="E736" s="367"/>
      <c r="F736" s="367"/>
    </row>
    <row r="737" spans="1:6" x14ac:dyDescent="0.25">
      <c r="A737"/>
      <c r="B737" s="213"/>
      <c r="C737" s="368"/>
      <c r="D737" s="369"/>
      <c r="E737" s="370"/>
      <c r="F737" s="370"/>
    </row>
    <row r="738" spans="1:6" x14ac:dyDescent="0.25">
      <c r="A738"/>
      <c r="B738" s="213"/>
      <c r="C738" s="368"/>
      <c r="D738" s="369"/>
      <c r="E738" s="370"/>
      <c r="F738" s="370"/>
    </row>
    <row r="739" spans="1:6" x14ac:dyDescent="0.25">
      <c r="A739"/>
      <c r="B739" s="213"/>
      <c r="C739" s="368"/>
      <c r="D739" s="369"/>
      <c r="E739" s="370"/>
      <c r="F739" s="370"/>
    </row>
    <row r="740" spans="1:6" x14ac:dyDescent="0.25">
      <c r="A740"/>
      <c r="B740" s="213"/>
      <c r="C740" s="368"/>
      <c r="D740" s="369"/>
      <c r="E740" s="370"/>
      <c r="F740" s="370"/>
    </row>
    <row r="741" spans="1:6" ht="14.4" x14ac:dyDescent="0.25">
      <c r="A741" s="361"/>
      <c r="B741" s="362"/>
      <c r="C741" s="363"/>
      <c r="D741" s="364"/>
      <c r="E741" s="365"/>
      <c r="F741" s="365"/>
    </row>
    <row r="742" spans="1:6" x14ac:dyDescent="0.25">
      <c r="A742"/>
      <c r="B742" s="213"/>
      <c r="C742" s="368"/>
      <c r="D742" s="369"/>
      <c r="E742" s="370"/>
      <c r="F742" s="370"/>
    </row>
    <row r="743" spans="1:6" x14ac:dyDescent="0.25">
      <c r="A743"/>
      <c r="B743" s="213"/>
      <c r="C743" s="368"/>
      <c r="D743" s="369"/>
      <c r="E743" s="370"/>
      <c r="F743" s="370"/>
    </row>
    <row r="744" spans="1:6" ht="14.4" x14ac:dyDescent="0.25">
      <c r="A744" s="361"/>
      <c r="B744" s="362"/>
      <c r="C744" s="363"/>
      <c r="D744" s="364"/>
      <c r="E744" s="365"/>
      <c r="F744" s="365"/>
    </row>
    <row r="745" spans="1:6" x14ac:dyDescent="0.25">
      <c r="A745"/>
      <c r="B745" s="213"/>
      <c r="C745" s="368"/>
      <c r="D745" s="369"/>
      <c r="E745" s="370"/>
      <c r="F745" s="370"/>
    </row>
    <row r="746" spans="1:6" x14ac:dyDescent="0.25">
      <c r="A746"/>
      <c r="B746" s="213"/>
      <c r="C746" s="368"/>
      <c r="D746" s="369"/>
      <c r="E746" s="370"/>
      <c r="F746" s="370"/>
    </row>
    <row r="747" spans="1:6" ht="14.4" x14ac:dyDescent="0.25">
      <c r="A747" s="361"/>
      <c r="B747" s="362"/>
      <c r="C747" s="363"/>
      <c r="D747" s="364"/>
      <c r="E747" s="365"/>
      <c r="F747" s="365"/>
    </row>
    <row r="748" spans="1:6" ht="14.4" x14ac:dyDescent="0.25">
      <c r="A748" s="361"/>
      <c r="B748" s="362"/>
      <c r="C748" s="363"/>
      <c r="D748" s="364"/>
      <c r="E748" s="365"/>
      <c r="F748" s="365"/>
    </row>
    <row r="749" spans="1:6" ht="14.4" x14ac:dyDescent="0.25">
      <c r="A749" s="362"/>
      <c r="B749" s="362"/>
      <c r="C749" s="366"/>
      <c r="D749" s="366"/>
      <c r="E749" s="367"/>
      <c r="F749" s="367"/>
    </row>
    <row r="750" spans="1:6" x14ac:dyDescent="0.25">
      <c r="A750"/>
      <c r="B750" s="213"/>
      <c r="C750" s="368"/>
      <c r="D750" s="369"/>
      <c r="E750" s="370"/>
      <c r="F750" s="370"/>
    </row>
    <row r="751" spans="1:6" x14ac:dyDescent="0.25">
      <c r="A751"/>
      <c r="B751" s="213"/>
      <c r="C751" s="368"/>
      <c r="D751" s="369"/>
      <c r="E751" s="370"/>
      <c r="F751" s="370"/>
    </row>
    <row r="752" spans="1:6" x14ac:dyDescent="0.25">
      <c r="A752"/>
      <c r="B752" s="213"/>
      <c r="C752" s="368"/>
      <c r="D752" s="369"/>
      <c r="E752" s="370"/>
      <c r="F752" s="370"/>
    </row>
    <row r="753" spans="1:6" ht="14.4" x14ac:dyDescent="0.25">
      <c r="A753" s="361"/>
      <c r="B753" s="362"/>
      <c r="C753" s="363"/>
      <c r="D753" s="364"/>
      <c r="E753" s="365"/>
      <c r="F753" s="365"/>
    </row>
    <row r="754" spans="1:6" x14ac:dyDescent="0.25">
      <c r="A754"/>
      <c r="B754" s="213"/>
      <c r="C754" s="368"/>
      <c r="D754" s="369"/>
      <c r="E754" s="370"/>
      <c r="F754" s="370"/>
    </row>
    <row r="755" spans="1:6" x14ac:dyDescent="0.25">
      <c r="A755"/>
      <c r="B755" s="213"/>
      <c r="C755" s="368"/>
      <c r="D755" s="369"/>
      <c r="E755" s="370"/>
      <c r="F755" s="370"/>
    </row>
    <row r="756" spans="1:6" ht="14.4" x14ac:dyDescent="0.25">
      <c r="A756" s="361"/>
      <c r="B756" s="362"/>
      <c r="C756" s="363"/>
      <c r="D756" s="364"/>
      <c r="E756" s="365"/>
      <c r="F756" s="365"/>
    </row>
    <row r="757" spans="1:6" x14ac:dyDescent="0.25">
      <c r="A757"/>
      <c r="B757" s="213"/>
      <c r="C757" s="368"/>
      <c r="D757" s="369"/>
      <c r="E757" s="370"/>
      <c r="F757" s="370"/>
    </row>
    <row r="758" spans="1:6" x14ac:dyDescent="0.25">
      <c r="A758"/>
      <c r="B758" s="213"/>
      <c r="C758" s="368"/>
      <c r="D758" s="369"/>
      <c r="E758" s="370"/>
      <c r="F758" s="370"/>
    </row>
    <row r="759" spans="1:6" ht="14.4" x14ac:dyDescent="0.25">
      <c r="A759" s="361"/>
      <c r="B759" s="362"/>
      <c r="C759" s="363"/>
      <c r="D759" s="364"/>
      <c r="E759" s="365"/>
      <c r="F759" s="365"/>
    </row>
    <row r="760" spans="1:6" ht="14.4" x14ac:dyDescent="0.25">
      <c r="A760" s="361"/>
      <c r="B760" s="362"/>
      <c r="C760" s="363"/>
      <c r="D760" s="364"/>
      <c r="E760" s="365"/>
      <c r="F760" s="365"/>
    </row>
    <row r="761" spans="1:6" ht="14.4" x14ac:dyDescent="0.25">
      <c r="A761" s="362"/>
      <c r="B761" s="362"/>
      <c r="C761" s="366"/>
      <c r="D761" s="366"/>
      <c r="E761" s="367"/>
      <c r="F761" s="367"/>
    </row>
    <row r="762" spans="1:6" x14ac:dyDescent="0.25">
      <c r="A762"/>
      <c r="B762" s="213"/>
      <c r="C762" s="368"/>
      <c r="D762" s="369"/>
      <c r="E762" s="370"/>
      <c r="F762" s="370"/>
    </row>
    <row r="763" spans="1:6" ht="14.4" x14ac:dyDescent="0.25">
      <c r="A763" s="361"/>
      <c r="B763" s="362"/>
      <c r="C763" s="363"/>
      <c r="D763" s="364"/>
      <c r="E763" s="365"/>
      <c r="F763" s="365"/>
    </row>
    <row r="764" spans="1:6" x14ac:dyDescent="0.25">
      <c r="A764"/>
      <c r="B764" s="213"/>
      <c r="C764" s="368"/>
      <c r="D764" s="369"/>
      <c r="E764" s="370"/>
      <c r="F764" s="370"/>
    </row>
    <row r="765" spans="1:6" x14ac:dyDescent="0.25">
      <c r="A765"/>
      <c r="B765" s="213"/>
      <c r="C765" s="368"/>
      <c r="D765" s="369"/>
      <c r="E765" s="370"/>
      <c r="F765" s="370"/>
    </row>
    <row r="766" spans="1:6" ht="14.4" x14ac:dyDescent="0.25">
      <c r="A766" s="361"/>
      <c r="B766" s="362"/>
      <c r="C766" s="363"/>
      <c r="D766" s="364"/>
      <c r="E766" s="365"/>
      <c r="F766" s="365"/>
    </row>
    <row r="767" spans="1:6" x14ac:dyDescent="0.25">
      <c r="A767"/>
      <c r="B767" s="213"/>
      <c r="C767" s="368"/>
      <c r="D767" s="369"/>
      <c r="E767" s="370"/>
      <c r="F767" s="370"/>
    </row>
    <row r="768" spans="1:6" x14ac:dyDescent="0.25">
      <c r="A768"/>
      <c r="B768" s="213"/>
      <c r="C768" s="368"/>
      <c r="D768" s="369"/>
      <c r="E768" s="370"/>
      <c r="F768" s="370"/>
    </row>
  </sheetData>
  <mergeCells count="1">
    <mergeCell ref="A1:F1"/>
  </mergeCells>
  <phoneticPr fontId="0" type="noConversion"/>
  <pageMargins left="0.24996875390576176" right="0.24996875390576176" top="0.24996875390576176" bottom="0.24996875390576176" header="0.5" footer="0.5"/>
  <pageSetup paperSize="9" scale="74" orientation="portrait" r:id="rId1"/>
  <rowBreaks count="10" manualBreakCount="10">
    <brk id="53" max="5" man="1"/>
    <brk id="119" max="5" man="1"/>
    <brk id="194" max="5" man="1"/>
    <brk id="286" max="5" man="1"/>
    <brk id="345" max="5" man="1"/>
    <brk id="408" max="5" man="1"/>
    <brk id="480" max="5" man="1"/>
    <brk id="546" max="5" man="1"/>
    <brk id="623" max="5" man="1"/>
    <brk id="694" max="5" man="1"/>
  </rowBreaks>
  <drawing r:id="rId2"/>
  <legacyDrawing r:id="rId3"/>
  <controls>
    <mc:AlternateContent xmlns:mc="http://schemas.openxmlformats.org/markup-compatibility/2006">
      <mc:Choice Requires="x14">
        <control shapeId="4097" r:id="rId4" name="Control 1">
          <controlPr defaultSize="0" r:id="rId5">
            <anchor moveWithCells="1">
              <from>
                <xdr:col>33</xdr:col>
                <xdr:colOff>182880</xdr:colOff>
                <xdr:row>6</xdr:row>
                <xdr:rowOff>0</xdr:rowOff>
              </from>
              <to>
                <xdr:col>33</xdr:col>
                <xdr:colOff>426720</xdr:colOff>
                <xdr:row>7</xdr:row>
                <xdr:rowOff>83820</xdr:rowOff>
              </to>
            </anchor>
          </controlPr>
        </control>
      </mc:Choice>
      <mc:Fallback>
        <control shapeId="4097" r:id="rId4" name="Control 1"/>
      </mc:Fallback>
    </mc:AlternateContent>
    <mc:AlternateContent xmlns:mc="http://schemas.openxmlformats.org/markup-compatibility/2006">
      <mc:Choice Requires="x14">
        <control shapeId="4098" r:id="rId6" name="Control 2">
          <controlPr defaultSize="0" r:id="rId7">
            <anchor moveWithCells="1">
              <from>
                <xdr:col>33</xdr:col>
                <xdr:colOff>182880</xdr:colOff>
                <xdr:row>6</xdr:row>
                <xdr:rowOff>0</xdr:rowOff>
              </from>
              <to>
                <xdr:col>33</xdr:col>
                <xdr:colOff>426720</xdr:colOff>
                <xdr:row>7</xdr:row>
                <xdr:rowOff>83820</xdr:rowOff>
              </to>
            </anchor>
          </controlPr>
        </control>
      </mc:Choice>
      <mc:Fallback>
        <control shapeId="4098" r:id="rId6" name="Control 2"/>
      </mc:Fallback>
    </mc:AlternateContent>
    <mc:AlternateContent xmlns:mc="http://schemas.openxmlformats.org/markup-compatibility/2006">
      <mc:Choice Requires="x14">
        <control shapeId="4099" r:id="rId8" name="Control 3">
          <controlPr defaultSize="0" r:id="rId9">
            <anchor moveWithCells="1">
              <from>
                <xdr:col>33</xdr:col>
                <xdr:colOff>182880</xdr:colOff>
                <xdr:row>6</xdr:row>
                <xdr:rowOff>0</xdr:rowOff>
              </from>
              <to>
                <xdr:col>33</xdr:col>
                <xdr:colOff>426720</xdr:colOff>
                <xdr:row>7</xdr:row>
                <xdr:rowOff>83820</xdr:rowOff>
              </to>
            </anchor>
          </controlPr>
        </control>
      </mc:Choice>
      <mc:Fallback>
        <control shapeId="4099" r:id="rId8" name="Control 3"/>
      </mc:Fallback>
    </mc:AlternateContent>
    <mc:AlternateContent xmlns:mc="http://schemas.openxmlformats.org/markup-compatibility/2006">
      <mc:Choice Requires="x14">
        <control shapeId="4100" r:id="rId10" name="Control 4">
          <controlPr defaultSize="0" r:id="rId11">
            <anchor moveWithCells="1">
              <from>
                <xdr:col>33</xdr:col>
                <xdr:colOff>182880</xdr:colOff>
                <xdr:row>6</xdr:row>
                <xdr:rowOff>0</xdr:rowOff>
              </from>
              <to>
                <xdr:col>33</xdr:col>
                <xdr:colOff>426720</xdr:colOff>
                <xdr:row>7</xdr:row>
                <xdr:rowOff>83820</xdr:rowOff>
              </to>
            </anchor>
          </controlPr>
        </control>
      </mc:Choice>
      <mc:Fallback>
        <control shapeId="4100" r:id="rId10" name="Control 4"/>
      </mc:Fallback>
    </mc:AlternateContent>
    <mc:AlternateContent xmlns:mc="http://schemas.openxmlformats.org/markup-compatibility/2006">
      <mc:Choice Requires="x14">
        <control shapeId="4101" r:id="rId12" name="Control 5">
          <controlPr defaultSize="0" r:id="rId13">
            <anchor moveWithCells="1">
              <from>
                <xdr:col>33</xdr:col>
                <xdr:colOff>182880</xdr:colOff>
                <xdr:row>7</xdr:row>
                <xdr:rowOff>0</xdr:rowOff>
              </from>
              <to>
                <xdr:col>33</xdr:col>
                <xdr:colOff>426720</xdr:colOff>
                <xdr:row>8</xdr:row>
                <xdr:rowOff>76200</xdr:rowOff>
              </to>
            </anchor>
          </controlPr>
        </control>
      </mc:Choice>
      <mc:Fallback>
        <control shapeId="4101" r:id="rId12" name="Control 5"/>
      </mc:Fallback>
    </mc:AlternateContent>
    <mc:AlternateContent xmlns:mc="http://schemas.openxmlformats.org/markup-compatibility/2006">
      <mc:Choice Requires="x14">
        <control shapeId="4102" r:id="rId14" name="Control 6">
          <controlPr defaultSize="0" r:id="rId15">
            <anchor moveWithCells="1">
              <from>
                <xdr:col>33</xdr:col>
                <xdr:colOff>182880</xdr:colOff>
                <xdr:row>7</xdr:row>
                <xdr:rowOff>0</xdr:rowOff>
              </from>
              <to>
                <xdr:col>33</xdr:col>
                <xdr:colOff>426720</xdr:colOff>
                <xdr:row>8</xdr:row>
                <xdr:rowOff>76200</xdr:rowOff>
              </to>
            </anchor>
          </controlPr>
        </control>
      </mc:Choice>
      <mc:Fallback>
        <control shapeId="4102" r:id="rId14" name="Control 6"/>
      </mc:Fallback>
    </mc:AlternateContent>
    <mc:AlternateContent xmlns:mc="http://schemas.openxmlformats.org/markup-compatibility/2006">
      <mc:Choice Requires="x14">
        <control shapeId="4103" r:id="rId16" name="Control 7">
          <controlPr defaultSize="0" r:id="rId17">
            <anchor moveWithCells="1">
              <from>
                <xdr:col>33</xdr:col>
                <xdr:colOff>182880</xdr:colOff>
                <xdr:row>7</xdr:row>
                <xdr:rowOff>0</xdr:rowOff>
              </from>
              <to>
                <xdr:col>33</xdr:col>
                <xdr:colOff>426720</xdr:colOff>
                <xdr:row>8</xdr:row>
                <xdr:rowOff>76200</xdr:rowOff>
              </to>
            </anchor>
          </controlPr>
        </control>
      </mc:Choice>
      <mc:Fallback>
        <control shapeId="4103" r:id="rId16" name="Control 7"/>
      </mc:Fallback>
    </mc:AlternateContent>
    <mc:AlternateContent xmlns:mc="http://schemas.openxmlformats.org/markup-compatibility/2006">
      <mc:Choice Requires="x14">
        <control shapeId="4104" r:id="rId18" name="Control 8">
          <controlPr defaultSize="0" r:id="rId19">
            <anchor moveWithCells="1">
              <from>
                <xdr:col>33</xdr:col>
                <xdr:colOff>182880</xdr:colOff>
                <xdr:row>7</xdr:row>
                <xdr:rowOff>0</xdr:rowOff>
              </from>
              <to>
                <xdr:col>33</xdr:col>
                <xdr:colOff>426720</xdr:colOff>
                <xdr:row>8</xdr:row>
                <xdr:rowOff>76200</xdr:rowOff>
              </to>
            </anchor>
          </controlPr>
        </control>
      </mc:Choice>
      <mc:Fallback>
        <control shapeId="4104" r:id="rId18" name="Control 8"/>
      </mc:Fallback>
    </mc:AlternateContent>
    <mc:AlternateContent xmlns:mc="http://schemas.openxmlformats.org/markup-compatibility/2006">
      <mc:Choice Requires="x14">
        <control shapeId="4105" r:id="rId20" name="Control 9">
          <controlPr defaultSize="0" r:id="rId21">
            <anchor moveWithCells="1">
              <from>
                <xdr:col>33</xdr:col>
                <xdr:colOff>182880</xdr:colOff>
                <xdr:row>7</xdr:row>
                <xdr:rowOff>137160</xdr:rowOff>
              </from>
              <to>
                <xdr:col>33</xdr:col>
                <xdr:colOff>426720</xdr:colOff>
                <xdr:row>9</xdr:row>
                <xdr:rowOff>30480</xdr:rowOff>
              </to>
            </anchor>
          </controlPr>
        </control>
      </mc:Choice>
      <mc:Fallback>
        <control shapeId="4105" r:id="rId20" name="Control 9"/>
      </mc:Fallback>
    </mc:AlternateContent>
    <mc:AlternateContent xmlns:mc="http://schemas.openxmlformats.org/markup-compatibility/2006">
      <mc:Choice Requires="x14">
        <control shapeId="4106" r:id="rId22" name="Control 10">
          <controlPr defaultSize="0" r:id="rId23">
            <anchor moveWithCells="1">
              <from>
                <xdr:col>33</xdr:col>
                <xdr:colOff>182880</xdr:colOff>
                <xdr:row>7</xdr:row>
                <xdr:rowOff>137160</xdr:rowOff>
              </from>
              <to>
                <xdr:col>33</xdr:col>
                <xdr:colOff>426720</xdr:colOff>
                <xdr:row>9</xdr:row>
                <xdr:rowOff>30480</xdr:rowOff>
              </to>
            </anchor>
          </controlPr>
        </control>
      </mc:Choice>
      <mc:Fallback>
        <control shapeId="4106" r:id="rId22" name="Control 10"/>
      </mc:Fallback>
    </mc:AlternateContent>
    <mc:AlternateContent xmlns:mc="http://schemas.openxmlformats.org/markup-compatibility/2006">
      <mc:Choice Requires="x14">
        <control shapeId="4107" r:id="rId24" name="Control 11">
          <controlPr defaultSize="0" r:id="rId25">
            <anchor moveWithCells="1">
              <from>
                <xdr:col>33</xdr:col>
                <xdr:colOff>182880</xdr:colOff>
                <xdr:row>7</xdr:row>
                <xdr:rowOff>137160</xdr:rowOff>
              </from>
              <to>
                <xdr:col>33</xdr:col>
                <xdr:colOff>426720</xdr:colOff>
                <xdr:row>9</xdr:row>
                <xdr:rowOff>30480</xdr:rowOff>
              </to>
            </anchor>
          </controlPr>
        </control>
      </mc:Choice>
      <mc:Fallback>
        <control shapeId="4107" r:id="rId24" name="Control 11"/>
      </mc:Fallback>
    </mc:AlternateContent>
    <mc:AlternateContent xmlns:mc="http://schemas.openxmlformats.org/markup-compatibility/2006">
      <mc:Choice Requires="x14">
        <control shapeId="4108" r:id="rId26" name="Control 12">
          <controlPr defaultSize="0" r:id="rId19">
            <anchor moveWithCells="1">
              <from>
                <xdr:col>33</xdr:col>
                <xdr:colOff>182880</xdr:colOff>
                <xdr:row>7</xdr:row>
                <xdr:rowOff>137160</xdr:rowOff>
              </from>
              <to>
                <xdr:col>33</xdr:col>
                <xdr:colOff>426720</xdr:colOff>
                <xdr:row>9</xdr:row>
                <xdr:rowOff>30480</xdr:rowOff>
              </to>
            </anchor>
          </controlPr>
        </control>
      </mc:Choice>
      <mc:Fallback>
        <control shapeId="4108" r:id="rId26" name="Control 12"/>
      </mc:Fallback>
    </mc:AlternateContent>
    <mc:AlternateContent xmlns:mc="http://schemas.openxmlformats.org/markup-compatibility/2006">
      <mc:Choice Requires="x14">
        <control shapeId="4109" r:id="rId27" name="Control 13">
          <controlPr defaultSize="0" r:id="rId28">
            <anchor moveWithCells="1">
              <from>
                <xdr:col>33</xdr:col>
                <xdr:colOff>182880</xdr:colOff>
                <xdr:row>8</xdr:row>
                <xdr:rowOff>114300</xdr:rowOff>
              </from>
              <to>
                <xdr:col>33</xdr:col>
                <xdr:colOff>426720</xdr:colOff>
                <xdr:row>10</xdr:row>
                <xdr:rowOff>15240</xdr:rowOff>
              </to>
            </anchor>
          </controlPr>
        </control>
      </mc:Choice>
      <mc:Fallback>
        <control shapeId="4109" r:id="rId27" name="Control 13"/>
      </mc:Fallback>
    </mc:AlternateContent>
    <mc:AlternateContent xmlns:mc="http://schemas.openxmlformats.org/markup-compatibility/2006">
      <mc:Choice Requires="x14">
        <control shapeId="4110" r:id="rId29" name="Control 14">
          <controlPr defaultSize="0" r:id="rId30">
            <anchor moveWithCells="1">
              <from>
                <xdr:col>33</xdr:col>
                <xdr:colOff>182880</xdr:colOff>
                <xdr:row>8</xdr:row>
                <xdr:rowOff>114300</xdr:rowOff>
              </from>
              <to>
                <xdr:col>33</xdr:col>
                <xdr:colOff>426720</xdr:colOff>
                <xdr:row>10</xdr:row>
                <xdr:rowOff>15240</xdr:rowOff>
              </to>
            </anchor>
          </controlPr>
        </control>
      </mc:Choice>
      <mc:Fallback>
        <control shapeId="4110" r:id="rId29" name="Control 14"/>
      </mc:Fallback>
    </mc:AlternateContent>
    <mc:AlternateContent xmlns:mc="http://schemas.openxmlformats.org/markup-compatibility/2006">
      <mc:Choice Requires="x14">
        <control shapeId="4111" r:id="rId31" name="Control 15">
          <controlPr defaultSize="0" r:id="rId32">
            <anchor moveWithCells="1">
              <from>
                <xdr:col>33</xdr:col>
                <xdr:colOff>182880</xdr:colOff>
                <xdr:row>8</xdr:row>
                <xdr:rowOff>114300</xdr:rowOff>
              </from>
              <to>
                <xdr:col>33</xdr:col>
                <xdr:colOff>426720</xdr:colOff>
                <xdr:row>10</xdr:row>
                <xdr:rowOff>15240</xdr:rowOff>
              </to>
            </anchor>
          </controlPr>
        </control>
      </mc:Choice>
      <mc:Fallback>
        <control shapeId="4111" r:id="rId31" name="Control 15"/>
      </mc:Fallback>
    </mc:AlternateContent>
    <mc:AlternateContent xmlns:mc="http://schemas.openxmlformats.org/markup-compatibility/2006">
      <mc:Choice Requires="x14">
        <control shapeId="4112" r:id="rId33" name="Control 16">
          <controlPr defaultSize="0" r:id="rId11">
            <anchor moveWithCells="1">
              <from>
                <xdr:col>33</xdr:col>
                <xdr:colOff>182880</xdr:colOff>
                <xdr:row>8</xdr:row>
                <xdr:rowOff>114300</xdr:rowOff>
              </from>
              <to>
                <xdr:col>33</xdr:col>
                <xdr:colOff>426720</xdr:colOff>
                <xdr:row>10</xdr:row>
                <xdr:rowOff>15240</xdr:rowOff>
              </to>
            </anchor>
          </controlPr>
        </control>
      </mc:Choice>
      <mc:Fallback>
        <control shapeId="4112" r:id="rId33" name="Control 16"/>
      </mc:Fallback>
    </mc:AlternateContent>
    <mc:AlternateContent xmlns:mc="http://schemas.openxmlformats.org/markup-compatibility/2006">
      <mc:Choice Requires="x14">
        <control shapeId="4113" r:id="rId34" name="Control 17">
          <controlPr defaultSize="0" autoPict="0" r:id="rId35">
            <anchor moveWithCells="1">
              <from>
                <xdr:col>33</xdr:col>
                <xdr:colOff>182880</xdr:colOff>
                <xdr:row>9</xdr:row>
                <xdr:rowOff>83820</xdr:rowOff>
              </from>
              <to>
                <xdr:col>33</xdr:col>
                <xdr:colOff>396240</xdr:colOff>
                <xdr:row>10</xdr:row>
                <xdr:rowOff>129540</xdr:rowOff>
              </to>
            </anchor>
          </controlPr>
        </control>
      </mc:Choice>
      <mc:Fallback>
        <control shapeId="4113" r:id="rId34" name="Control 17"/>
      </mc:Fallback>
    </mc:AlternateContent>
    <mc:AlternateContent xmlns:mc="http://schemas.openxmlformats.org/markup-compatibility/2006">
      <mc:Choice Requires="x14">
        <control shapeId="4114" r:id="rId36" name="Control 18">
          <controlPr defaultSize="0" autoPict="0" r:id="rId11">
            <anchor moveWithCells="1">
              <from>
                <xdr:col>33</xdr:col>
                <xdr:colOff>182880</xdr:colOff>
                <xdr:row>9</xdr:row>
                <xdr:rowOff>83820</xdr:rowOff>
              </from>
              <to>
                <xdr:col>33</xdr:col>
                <xdr:colOff>396240</xdr:colOff>
                <xdr:row>10</xdr:row>
                <xdr:rowOff>129540</xdr:rowOff>
              </to>
            </anchor>
          </controlPr>
        </control>
      </mc:Choice>
      <mc:Fallback>
        <control shapeId="4114" r:id="rId36" name="Control 18"/>
      </mc:Fallback>
    </mc:AlternateContent>
    <mc:AlternateContent xmlns:mc="http://schemas.openxmlformats.org/markup-compatibility/2006">
      <mc:Choice Requires="x14">
        <control shapeId="4115" r:id="rId37" name="Control 19">
          <controlPr defaultSize="0" autoPict="0" r:id="rId38">
            <anchor moveWithCells="1">
              <from>
                <xdr:col>33</xdr:col>
                <xdr:colOff>182880</xdr:colOff>
                <xdr:row>9</xdr:row>
                <xdr:rowOff>83820</xdr:rowOff>
              </from>
              <to>
                <xdr:col>33</xdr:col>
                <xdr:colOff>396240</xdr:colOff>
                <xdr:row>10</xdr:row>
                <xdr:rowOff>129540</xdr:rowOff>
              </to>
            </anchor>
          </controlPr>
        </control>
      </mc:Choice>
      <mc:Fallback>
        <control shapeId="4115" r:id="rId37" name="Control 19"/>
      </mc:Fallback>
    </mc:AlternateContent>
    <mc:AlternateContent xmlns:mc="http://schemas.openxmlformats.org/markup-compatibility/2006">
      <mc:Choice Requires="x14">
        <control shapeId="4116" r:id="rId39" name="Control 20">
          <controlPr defaultSize="0" autoPict="0" r:id="rId11">
            <anchor moveWithCells="1">
              <from>
                <xdr:col>33</xdr:col>
                <xdr:colOff>182880</xdr:colOff>
                <xdr:row>9</xdr:row>
                <xdr:rowOff>83820</xdr:rowOff>
              </from>
              <to>
                <xdr:col>33</xdr:col>
                <xdr:colOff>396240</xdr:colOff>
                <xdr:row>10</xdr:row>
                <xdr:rowOff>129540</xdr:rowOff>
              </to>
            </anchor>
          </controlPr>
        </control>
      </mc:Choice>
      <mc:Fallback>
        <control shapeId="4116" r:id="rId39" name="Control 20"/>
      </mc:Fallback>
    </mc:AlternateContent>
    <mc:AlternateContent xmlns:mc="http://schemas.openxmlformats.org/markup-compatibility/2006">
      <mc:Choice Requires="x14">
        <control shapeId="4117" r:id="rId40" name="Control 21">
          <controlPr defaultSize="0" r:id="rId41">
            <anchor moveWithCells="1">
              <from>
                <xdr:col>33</xdr:col>
                <xdr:colOff>182880</xdr:colOff>
                <xdr:row>10</xdr:row>
                <xdr:rowOff>60960</xdr:rowOff>
              </from>
              <to>
                <xdr:col>33</xdr:col>
                <xdr:colOff>426720</xdr:colOff>
                <xdr:row>11</xdr:row>
                <xdr:rowOff>167640</xdr:rowOff>
              </to>
            </anchor>
          </controlPr>
        </control>
      </mc:Choice>
      <mc:Fallback>
        <control shapeId="4117" r:id="rId40" name="Control 21"/>
      </mc:Fallback>
    </mc:AlternateContent>
    <mc:AlternateContent xmlns:mc="http://schemas.openxmlformats.org/markup-compatibility/2006">
      <mc:Choice Requires="x14">
        <control shapeId="4118" r:id="rId42" name="Control 22">
          <controlPr defaultSize="0" r:id="rId11">
            <anchor moveWithCells="1">
              <from>
                <xdr:col>33</xdr:col>
                <xdr:colOff>182880</xdr:colOff>
                <xdr:row>10</xdr:row>
                <xdr:rowOff>60960</xdr:rowOff>
              </from>
              <to>
                <xdr:col>33</xdr:col>
                <xdr:colOff>426720</xdr:colOff>
                <xdr:row>11</xdr:row>
                <xdr:rowOff>167640</xdr:rowOff>
              </to>
            </anchor>
          </controlPr>
        </control>
      </mc:Choice>
      <mc:Fallback>
        <control shapeId="4118" r:id="rId42" name="Control 22"/>
      </mc:Fallback>
    </mc:AlternateContent>
    <mc:AlternateContent xmlns:mc="http://schemas.openxmlformats.org/markup-compatibility/2006">
      <mc:Choice Requires="x14">
        <control shapeId="4119" r:id="rId43" name="Control 23">
          <controlPr defaultSize="0" r:id="rId44">
            <anchor moveWithCells="1">
              <from>
                <xdr:col>33</xdr:col>
                <xdr:colOff>182880</xdr:colOff>
                <xdr:row>10</xdr:row>
                <xdr:rowOff>60960</xdr:rowOff>
              </from>
              <to>
                <xdr:col>33</xdr:col>
                <xdr:colOff>426720</xdr:colOff>
                <xdr:row>11</xdr:row>
                <xdr:rowOff>167640</xdr:rowOff>
              </to>
            </anchor>
          </controlPr>
        </control>
      </mc:Choice>
      <mc:Fallback>
        <control shapeId="4119" r:id="rId43" name="Control 23"/>
      </mc:Fallback>
    </mc:AlternateContent>
    <mc:AlternateContent xmlns:mc="http://schemas.openxmlformats.org/markup-compatibility/2006">
      <mc:Choice Requires="x14">
        <control shapeId="4120" r:id="rId45" name="Control 24">
          <controlPr defaultSize="0" r:id="rId11">
            <anchor moveWithCells="1">
              <from>
                <xdr:col>33</xdr:col>
                <xdr:colOff>182880</xdr:colOff>
                <xdr:row>10</xdr:row>
                <xdr:rowOff>60960</xdr:rowOff>
              </from>
              <to>
                <xdr:col>33</xdr:col>
                <xdr:colOff>426720</xdr:colOff>
                <xdr:row>11</xdr:row>
                <xdr:rowOff>167640</xdr:rowOff>
              </to>
            </anchor>
          </controlPr>
        </control>
      </mc:Choice>
      <mc:Fallback>
        <control shapeId="4120" r:id="rId45" name="Control 24"/>
      </mc:Fallback>
    </mc:AlternateContent>
    <mc:AlternateContent xmlns:mc="http://schemas.openxmlformats.org/markup-compatibility/2006">
      <mc:Choice Requires="x14">
        <control shapeId="4121" r:id="rId46" name="Control 25">
          <controlPr defaultSize="0" r:id="rId47">
            <anchor moveWithCells="1">
              <from>
                <xdr:col>33</xdr:col>
                <xdr:colOff>182880</xdr:colOff>
                <xdr:row>10</xdr:row>
                <xdr:rowOff>137160</xdr:rowOff>
              </from>
              <to>
                <xdr:col>33</xdr:col>
                <xdr:colOff>426720</xdr:colOff>
                <xdr:row>12</xdr:row>
                <xdr:rowOff>53340</xdr:rowOff>
              </to>
            </anchor>
          </controlPr>
        </control>
      </mc:Choice>
      <mc:Fallback>
        <control shapeId="4121" r:id="rId46" name="Control 25"/>
      </mc:Fallback>
    </mc:AlternateContent>
    <mc:AlternateContent xmlns:mc="http://schemas.openxmlformats.org/markup-compatibility/2006">
      <mc:Choice Requires="x14">
        <control shapeId="4122" r:id="rId48" name="Control 26">
          <controlPr defaultSize="0" r:id="rId19">
            <anchor moveWithCells="1">
              <from>
                <xdr:col>33</xdr:col>
                <xdr:colOff>182880</xdr:colOff>
                <xdr:row>10</xdr:row>
                <xdr:rowOff>137160</xdr:rowOff>
              </from>
              <to>
                <xdr:col>33</xdr:col>
                <xdr:colOff>426720</xdr:colOff>
                <xdr:row>12</xdr:row>
                <xdr:rowOff>53340</xdr:rowOff>
              </to>
            </anchor>
          </controlPr>
        </control>
      </mc:Choice>
      <mc:Fallback>
        <control shapeId="4122" r:id="rId48" name="Control 26"/>
      </mc:Fallback>
    </mc:AlternateContent>
    <mc:AlternateContent xmlns:mc="http://schemas.openxmlformats.org/markup-compatibility/2006">
      <mc:Choice Requires="x14">
        <control shapeId="4123" r:id="rId49" name="Control 27">
          <controlPr defaultSize="0" r:id="rId50">
            <anchor moveWithCells="1">
              <from>
                <xdr:col>33</xdr:col>
                <xdr:colOff>182880</xdr:colOff>
                <xdr:row>10</xdr:row>
                <xdr:rowOff>137160</xdr:rowOff>
              </from>
              <to>
                <xdr:col>33</xdr:col>
                <xdr:colOff>426720</xdr:colOff>
                <xdr:row>12</xdr:row>
                <xdr:rowOff>53340</xdr:rowOff>
              </to>
            </anchor>
          </controlPr>
        </control>
      </mc:Choice>
      <mc:Fallback>
        <control shapeId="4123" r:id="rId49" name="Control 27"/>
      </mc:Fallback>
    </mc:AlternateContent>
    <mc:AlternateContent xmlns:mc="http://schemas.openxmlformats.org/markup-compatibility/2006">
      <mc:Choice Requires="x14">
        <control shapeId="4124" r:id="rId51" name="Control 28">
          <controlPr defaultSize="0" r:id="rId19">
            <anchor moveWithCells="1">
              <from>
                <xdr:col>33</xdr:col>
                <xdr:colOff>182880</xdr:colOff>
                <xdr:row>10</xdr:row>
                <xdr:rowOff>137160</xdr:rowOff>
              </from>
              <to>
                <xdr:col>33</xdr:col>
                <xdr:colOff>426720</xdr:colOff>
                <xdr:row>12</xdr:row>
                <xdr:rowOff>53340</xdr:rowOff>
              </to>
            </anchor>
          </controlPr>
        </control>
      </mc:Choice>
      <mc:Fallback>
        <control shapeId="4124" r:id="rId51" name="Control 28"/>
      </mc:Fallback>
    </mc:AlternateContent>
    <mc:AlternateContent xmlns:mc="http://schemas.openxmlformats.org/markup-compatibility/2006">
      <mc:Choice Requires="x14">
        <control shapeId="4125" r:id="rId52" name="Control 29">
          <controlPr defaultSize="0" r:id="rId53">
            <anchor moveWithCells="1">
              <from>
                <xdr:col>33</xdr:col>
                <xdr:colOff>182880</xdr:colOff>
                <xdr:row>10</xdr:row>
                <xdr:rowOff>137160</xdr:rowOff>
              </from>
              <to>
                <xdr:col>33</xdr:col>
                <xdr:colOff>426720</xdr:colOff>
                <xdr:row>12</xdr:row>
                <xdr:rowOff>53340</xdr:rowOff>
              </to>
            </anchor>
          </controlPr>
        </control>
      </mc:Choice>
      <mc:Fallback>
        <control shapeId="4125" r:id="rId52" name="Control 29"/>
      </mc:Fallback>
    </mc:AlternateContent>
    <mc:AlternateContent xmlns:mc="http://schemas.openxmlformats.org/markup-compatibility/2006">
      <mc:Choice Requires="x14">
        <control shapeId="4126" r:id="rId54" name="Control 30">
          <controlPr defaultSize="0" r:id="rId55">
            <anchor moveWithCells="1">
              <from>
                <xdr:col>33</xdr:col>
                <xdr:colOff>182880</xdr:colOff>
                <xdr:row>10</xdr:row>
                <xdr:rowOff>137160</xdr:rowOff>
              </from>
              <to>
                <xdr:col>33</xdr:col>
                <xdr:colOff>426720</xdr:colOff>
                <xdr:row>12</xdr:row>
                <xdr:rowOff>53340</xdr:rowOff>
              </to>
            </anchor>
          </controlPr>
        </control>
      </mc:Choice>
      <mc:Fallback>
        <control shapeId="4126" r:id="rId54" name="Control 30"/>
      </mc:Fallback>
    </mc:AlternateContent>
    <mc:AlternateContent xmlns:mc="http://schemas.openxmlformats.org/markup-compatibility/2006">
      <mc:Choice Requires="x14">
        <control shapeId="4127" r:id="rId56" name="Control 31">
          <controlPr defaultSize="0" r:id="rId57">
            <anchor moveWithCells="1">
              <from>
                <xdr:col>33</xdr:col>
                <xdr:colOff>182880</xdr:colOff>
                <xdr:row>10</xdr:row>
                <xdr:rowOff>137160</xdr:rowOff>
              </from>
              <to>
                <xdr:col>33</xdr:col>
                <xdr:colOff>426720</xdr:colOff>
                <xdr:row>12</xdr:row>
                <xdr:rowOff>53340</xdr:rowOff>
              </to>
            </anchor>
          </controlPr>
        </control>
      </mc:Choice>
      <mc:Fallback>
        <control shapeId="4127" r:id="rId56" name="Control 31"/>
      </mc:Fallback>
    </mc:AlternateContent>
    <mc:AlternateContent xmlns:mc="http://schemas.openxmlformats.org/markup-compatibility/2006">
      <mc:Choice Requires="x14">
        <control shapeId="4128" r:id="rId58" name="Control 32">
          <controlPr defaultSize="0" r:id="rId19">
            <anchor moveWithCells="1">
              <from>
                <xdr:col>33</xdr:col>
                <xdr:colOff>182880</xdr:colOff>
                <xdr:row>10</xdr:row>
                <xdr:rowOff>137160</xdr:rowOff>
              </from>
              <to>
                <xdr:col>33</xdr:col>
                <xdr:colOff>426720</xdr:colOff>
                <xdr:row>12</xdr:row>
                <xdr:rowOff>53340</xdr:rowOff>
              </to>
            </anchor>
          </controlPr>
        </control>
      </mc:Choice>
      <mc:Fallback>
        <control shapeId="4128" r:id="rId58" name="Control 32"/>
      </mc:Fallback>
    </mc:AlternateContent>
    <mc:AlternateContent xmlns:mc="http://schemas.openxmlformats.org/markup-compatibility/2006">
      <mc:Choice Requires="x14">
        <control shapeId="4129" r:id="rId59" name="Control 33">
          <controlPr defaultSize="0" r:id="rId60">
            <anchor moveWithCells="1">
              <from>
                <xdr:col>33</xdr:col>
                <xdr:colOff>182880</xdr:colOff>
                <xdr:row>10</xdr:row>
                <xdr:rowOff>137160</xdr:rowOff>
              </from>
              <to>
                <xdr:col>33</xdr:col>
                <xdr:colOff>426720</xdr:colOff>
                <xdr:row>12</xdr:row>
                <xdr:rowOff>53340</xdr:rowOff>
              </to>
            </anchor>
          </controlPr>
        </control>
      </mc:Choice>
      <mc:Fallback>
        <control shapeId="4129" r:id="rId59" name="Control 33"/>
      </mc:Fallback>
    </mc:AlternateContent>
    <mc:AlternateContent xmlns:mc="http://schemas.openxmlformats.org/markup-compatibility/2006">
      <mc:Choice Requires="x14">
        <control shapeId="4130" r:id="rId61" name="Control 34">
          <controlPr defaultSize="0" r:id="rId62">
            <anchor moveWithCells="1">
              <from>
                <xdr:col>33</xdr:col>
                <xdr:colOff>182880</xdr:colOff>
                <xdr:row>10</xdr:row>
                <xdr:rowOff>137160</xdr:rowOff>
              </from>
              <to>
                <xdr:col>33</xdr:col>
                <xdr:colOff>426720</xdr:colOff>
                <xdr:row>12</xdr:row>
                <xdr:rowOff>53340</xdr:rowOff>
              </to>
            </anchor>
          </controlPr>
        </control>
      </mc:Choice>
      <mc:Fallback>
        <control shapeId="4130" r:id="rId61" name="Control 34"/>
      </mc:Fallback>
    </mc:AlternateContent>
    <mc:AlternateContent xmlns:mc="http://schemas.openxmlformats.org/markup-compatibility/2006">
      <mc:Choice Requires="x14">
        <control shapeId="4131" r:id="rId63" name="Control 35">
          <controlPr defaultSize="0" r:id="rId64">
            <anchor moveWithCells="1">
              <from>
                <xdr:col>33</xdr:col>
                <xdr:colOff>182880</xdr:colOff>
                <xdr:row>10</xdr:row>
                <xdr:rowOff>137160</xdr:rowOff>
              </from>
              <to>
                <xdr:col>33</xdr:col>
                <xdr:colOff>426720</xdr:colOff>
                <xdr:row>12</xdr:row>
                <xdr:rowOff>53340</xdr:rowOff>
              </to>
            </anchor>
          </controlPr>
        </control>
      </mc:Choice>
      <mc:Fallback>
        <control shapeId="4131" r:id="rId63" name="Control 35"/>
      </mc:Fallback>
    </mc:AlternateContent>
    <mc:AlternateContent xmlns:mc="http://schemas.openxmlformats.org/markup-compatibility/2006">
      <mc:Choice Requires="x14">
        <control shapeId="4132" r:id="rId65" name="Control 36">
          <controlPr defaultSize="0" r:id="rId19">
            <anchor moveWithCells="1">
              <from>
                <xdr:col>33</xdr:col>
                <xdr:colOff>182880</xdr:colOff>
                <xdr:row>10</xdr:row>
                <xdr:rowOff>137160</xdr:rowOff>
              </from>
              <to>
                <xdr:col>33</xdr:col>
                <xdr:colOff>426720</xdr:colOff>
                <xdr:row>12</xdr:row>
                <xdr:rowOff>53340</xdr:rowOff>
              </to>
            </anchor>
          </controlPr>
        </control>
      </mc:Choice>
      <mc:Fallback>
        <control shapeId="4132" r:id="rId65" name="Control 36"/>
      </mc:Fallback>
    </mc:AlternateContent>
    <mc:AlternateContent xmlns:mc="http://schemas.openxmlformats.org/markup-compatibility/2006">
      <mc:Choice Requires="x14">
        <control shapeId="4133" r:id="rId66" name="Control 37">
          <controlPr defaultSize="0" r:id="rId67">
            <anchor moveWithCells="1">
              <from>
                <xdr:col>33</xdr:col>
                <xdr:colOff>182880</xdr:colOff>
                <xdr:row>11</xdr:row>
                <xdr:rowOff>38100</xdr:rowOff>
              </from>
              <to>
                <xdr:col>33</xdr:col>
                <xdr:colOff>426720</xdr:colOff>
                <xdr:row>12</xdr:row>
                <xdr:rowOff>114300</xdr:rowOff>
              </to>
            </anchor>
          </controlPr>
        </control>
      </mc:Choice>
      <mc:Fallback>
        <control shapeId="4133" r:id="rId66" name="Control 37"/>
      </mc:Fallback>
    </mc:AlternateContent>
    <mc:AlternateContent xmlns:mc="http://schemas.openxmlformats.org/markup-compatibility/2006">
      <mc:Choice Requires="x14">
        <control shapeId="4134" r:id="rId68" name="Control 38">
          <controlPr defaultSize="0" r:id="rId19">
            <anchor moveWithCells="1">
              <from>
                <xdr:col>33</xdr:col>
                <xdr:colOff>182880</xdr:colOff>
                <xdr:row>11</xdr:row>
                <xdr:rowOff>38100</xdr:rowOff>
              </from>
              <to>
                <xdr:col>33</xdr:col>
                <xdr:colOff>426720</xdr:colOff>
                <xdr:row>12</xdr:row>
                <xdr:rowOff>114300</xdr:rowOff>
              </to>
            </anchor>
          </controlPr>
        </control>
      </mc:Choice>
      <mc:Fallback>
        <control shapeId="4134" r:id="rId68" name="Control 38"/>
      </mc:Fallback>
    </mc:AlternateContent>
    <mc:AlternateContent xmlns:mc="http://schemas.openxmlformats.org/markup-compatibility/2006">
      <mc:Choice Requires="x14">
        <control shapeId="4135" r:id="rId69" name="Control 39">
          <controlPr defaultSize="0" r:id="rId70">
            <anchor moveWithCells="1">
              <from>
                <xdr:col>33</xdr:col>
                <xdr:colOff>182880</xdr:colOff>
                <xdr:row>11</xdr:row>
                <xdr:rowOff>38100</xdr:rowOff>
              </from>
              <to>
                <xdr:col>33</xdr:col>
                <xdr:colOff>426720</xdr:colOff>
                <xdr:row>12</xdr:row>
                <xdr:rowOff>114300</xdr:rowOff>
              </to>
            </anchor>
          </controlPr>
        </control>
      </mc:Choice>
      <mc:Fallback>
        <control shapeId="4135" r:id="rId69" name="Control 39"/>
      </mc:Fallback>
    </mc:AlternateContent>
    <mc:AlternateContent xmlns:mc="http://schemas.openxmlformats.org/markup-compatibility/2006">
      <mc:Choice Requires="x14">
        <control shapeId="4136" r:id="rId71" name="Control 40">
          <controlPr defaultSize="0" r:id="rId19">
            <anchor moveWithCells="1">
              <from>
                <xdr:col>33</xdr:col>
                <xdr:colOff>182880</xdr:colOff>
                <xdr:row>11</xdr:row>
                <xdr:rowOff>38100</xdr:rowOff>
              </from>
              <to>
                <xdr:col>33</xdr:col>
                <xdr:colOff>426720</xdr:colOff>
                <xdr:row>12</xdr:row>
                <xdr:rowOff>114300</xdr:rowOff>
              </to>
            </anchor>
          </controlPr>
        </control>
      </mc:Choice>
      <mc:Fallback>
        <control shapeId="4136" r:id="rId71" name="Control 40"/>
      </mc:Fallback>
    </mc:AlternateContent>
    <mc:AlternateContent xmlns:mc="http://schemas.openxmlformats.org/markup-compatibility/2006">
      <mc:Choice Requires="x14">
        <control shapeId="4137" r:id="rId72" name="Control 41">
          <controlPr defaultSize="0" r:id="rId19">
            <anchor moveWithCells="1">
              <from>
                <xdr:col>33</xdr:col>
                <xdr:colOff>182880</xdr:colOff>
                <xdr:row>11</xdr:row>
                <xdr:rowOff>99060</xdr:rowOff>
              </from>
              <to>
                <xdr:col>33</xdr:col>
                <xdr:colOff>426720</xdr:colOff>
                <xdr:row>13</xdr:row>
                <xdr:rowOff>15240</xdr:rowOff>
              </to>
            </anchor>
          </controlPr>
        </control>
      </mc:Choice>
      <mc:Fallback>
        <control shapeId="4137" r:id="rId72" name="Control 41"/>
      </mc:Fallback>
    </mc:AlternateContent>
    <mc:AlternateContent xmlns:mc="http://schemas.openxmlformats.org/markup-compatibility/2006">
      <mc:Choice Requires="x14">
        <control shapeId="4138" r:id="rId73" name="Control 42">
          <controlPr defaultSize="0" r:id="rId19">
            <anchor moveWithCells="1">
              <from>
                <xdr:col>33</xdr:col>
                <xdr:colOff>182880</xdr:colOff>
                <xdr:row>11</xdr:row>
                <xdr:rowOff>160020</xdr:rowOff>
              </from>
              <to>
                <xdr:col>33</xdr:col>
                <xdr:colOff>426720</xdr:colOff>
                <xdr:row>13</xdr:row>
                <xdr:rowOff>76200</xdr:rowOff>
              </to>
            </anchor>
          </controlPr>
        </control>
      </mc:Choice>
      <mc:Fallback>
        <control shapeId="4138" r:id="rId73" name="Control 42"/>
      </mc:Fallback>
    </mc:AlternateContent>
    <mc:AlternateContent xmlns:mc="http://schemas.openxmlformats.org/markup-compatibility/2006">
      <mc:Choice Requires="x14">
        <control shapeId="4139" r:id="rId74" name="Control 43">
          <controlPr defaultSize="0" r:id="rId75">
            <anchor moveWithCells="1">
              <from>
                <xdr:col>33</xdr:col>
                <xdr:colOff>182880</xdr:colOff>
                <xdr:row>13</xdr:row>
                <xdr:rowOff>30480</xdr:rowOff>
              </from>
              <to>
                <xdr:col>33</xdr:col>
                <xdr:colOff>426720</xdr:colOff>
                <xdr:row>14</xdr:row>
                <xdr:rowOff>144780</xdr:rowOff>
              </to>
            </anchor>
          </controlPr>
        </control>
      </mc:Choice>
      <mc:Fallback>
        <control shapeId="4139" r:id="rId74" name="Control 43"/>
      </mc:Fallback>
    </mc:AlternateContent>
  </control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F0E70-040C-49D4-8FDC-7B16F6AD47FC}">
  <dimension ref="A2:P52"/>
  <sheetViews>
    <sheetView view="pageBreakPreview" topLeftCell="A2" zoomScale="110" zoomScaleNormal="100" zoomScaleSheetLayoutView="110" workbookViewId="0">
      <selection activeCell="F10" sqref="F10"/>
    </sheetView>
  </sheetViews>
  <sheetFormatPr baseColWidth="10" defaultColWidth="9.28515625" defaultRowHeight="10.199999999999999" x14ac:dyDescent="0.2"/>
  <cols>
    <col min="1" max="2" width="1" customWidth="1"/>
    <col min="3" max="3" width="15.85546875" customWidth="1"/>
    <col min="4" max="4" width="63.28515625" customWidth="1"/>
    <col min="5" max="5" width="6.85546875" style="213" customWidth="1"/>
    <col min="6" max="6" width="12.42578125" style="213" bestFit="1" customWidth="1"/>
    <col min="7" max="8" width="11.85546875" style="213" customWidth="1"/>
  </cols>
  <sheetData>
    <row r="2" spans="1:16" ht="27" customHeight="1" x14ac:dyDescent="0.2">
      <c r="C2" s="309" t="s">
        <v>133</v>
      </c>
      <c r="D2" s="500" t="str">
        <f>+PRESUPUESTO!C26</f>
        <v>PROYECTO: MOV. TIERRAS, FAB. E INSTALACIÓN DE BANCODUCTOS</v>
      </c>
      <c r="E2" s="501"/>
      <c r="F2" s="501"/>
      <c r="G2" s="295"/>
      <c r="H2" s="295"/>
    </row>
    <row r="3" spans="1:16" x14ac:dyDescent="0.2">
      <c r="C3" s="309" t="s">
        <v>134</v>
      </c>
      <c r="D3" s="296" t="s">
        <v>146</v>
      </c>
      <c r="E3" s="295"/>
      <c r="F3" s="295"/>
      <c r="G3" s="295"/>
      <c r="H3" s="295"/>
    </row>
    <row r="4" spans="1:16" x14ac:dyDescent="0.2">
      <c r="C4" s="309" t="s">
        <v>135</v>
      </c>
      <c r="D4" s="297">
        <v>30</v>
      </c>
      <c r="E4" s="297" t="s">
        <v>132</v>
      </c>
      <c r="F4" s="295"/>
      <c r="G4" s="295"/>
      <c r="H4" s="295"/>
    </row>
    <row r="5" spans="1:16" ht="10.8" thickBot="1" x14ac:dyDescent="0.25">
      <c r="C5" s="296"/>
      <c r="D5" s="296"/>
      <c r="E5" s="295"/>
      <c r="F5" s="295">
        <f>8175/30</f>
        <v>272.5</v>
      </c>
      <c r="G5" s="295"/>
      <c r="H5" s="295"/>
    </row>
    <row r="6" spans="1:16" ht="10.8" thickBot="1" x14ac:dyDescent="0.25">
      <c r="A6" s="1"/>
      <c r="B6" s="1"/>
      <c r="C6" s="310" t="s">
        <v>127</v>
      </c>
      <c r="D6" s="311" t="s">
        <v>63</v>
      </c>
      <c r="E6" s="312" t="s">
        <v>55</v>
      </c>
      <c r="F6" s="313" t="s">
        <v>128</v>
      </c>
      <c r="G6" s="312" t="s">
        <v>120</v>
      </c>
      <c r="H6" s="314" t="s">
        <v>119</v>
      </c>
    </row>
    <row r="7" spans="1:16" s="293" customFormat="1" ht="12" x14ac:dyDescent="0.2">
      <c r="A7" s="292"/>
      <c r="B7" s="292"/>
      <c r="C7" s="315" t="s">
        <v>1</v>
      </c>
      <c r="D7" s="316" t="s">
        <v>150</v>
      </c>
      <c r="E7" s="317"/>
      <c r="F7" s="317"/>
      <c r="G7" s="317"/>
      <c r="H7" s="318" t="e">
        <f>SUM(H8:H12)</f>
        <v>#REF!</v>
      </c>
      <c r="P7" s="293" t="s">
        <v>95</v>
      </c>
    </row>
    <row r="8" spans="1:16" x14ac:dyDescent="0.2">
      <c r="A8" s="2"/>
      <c r="B8" s="2"/>
      <c r="C8" s="319" t="s">
        <v>56</v>
      </c>
      <c r="D8" s="320" t="s">
        <v>151</v>
      </c>
      <c r="E8" s="321" t="s">
        <v>72</v>
      </c>
      <c r="F8" s="322">
        <v>1</v>
      </c>
      <c r="G8" s="322">
        <v>8175</v>
      </c>
      <c r="H8" s="323">
        <f>G8*F8</f>
        <v>8175</v>
      </c>
    </row>
    <row r="9" spans="1:16" ht="20.399999999999999" x14ac:dyDescent="0.2">
      <c r="A9" s="2"/>
      <c r="B9" s="2"/>
      <c r="C9" s="319" t="s">
        <v>112</v>
      </c>
      <c r="D9" s="320" t="s">
        <v>152</v>
      </c>
      <c r="E9" s="321" t="s">
        <v>153</v>
      </c>
      <c r="F9" s="322">
        <v>1</v>
      </c>
      <c r="G9" s="322">
        <v>479.06</v>
      </c>
      <c r="H9" s="323">
        <f>G9*F9</f>
        <v>479.06</v>
      </c>
    </row>
    <row r="10" spans="1:16" x14ac:dyDescent="0.2">
      <c r="A10" s="2"/>
      <c r="B10" s="2"/>
      <c r="C10" s="319" t="s">
        <v>123</v>
      </c>
      <c r="D10" s="320" t="s">
        <v>154</v>
      </c>
      <c r="E10" s="321" t="s">
        <v>111</v>
      </c>
      <c r="F10" s="322">
        <v>1</v>
      </c>
      <c r="G10" s="322">
        <v>2615.85</v>
      </c>
      <c r="H10" s="323">
        <f>G10*F10</f>
        <v>2615.85</v>
      </c>
    </row>
    <row r="11" spans="1:16" x14ac:dyDescent="0.2">
      <c r="A11" s="2"/>
      <c r="B11" s="2"/>
      <c r="C11" s="319" t="s">
        <v>220</v>
      </c>
      <c r="D11" s="320" t="s">
        <v>221</v>
      </c>
      <c r="E11" s="321" t="s">
        <v>153</v>
      </c>
      <c r="F11" s="322">
        <v>2</v>
      </c>
      <c r="G11" s="322" t="e">
        <f>APU!#REF!</f>
        <v>#REF!</v>
      </c>
      <c r="H11" s="323" t="e">
        <f>G11*F11</f>
        <v>#REF!</v>
      </c>
    </row>
    <row r="12" spans="1:16" x14ac:dyDescent="0.2">
      <c r="A12" s="2"/>
      <c r="B12" s="2"/>
      <c r="C12" s="333" t="s">
        <v>230</v>
      </c>
      <c r="D12" s="320" t="s">
        <v>229</v>
      </c>
      <c r="E12" s="321" t="s">
        <v>155</v>
      </c>
      <c r="F12" s="322">
        <v>30</v>
      </c>
      <c r="G12" s="322" t="e">
        <f>APU!#REF!</f>
        <v>#REF!</v>
      </c>
      <c r="H12" s="323" t="e">
        <f>G12*F12</f>
        <v>#REF!</v>
      </c>
      <c r="J12" s="331"/>
    </row>
    <row r="13" spans="1:16" s="293" customFormat="1" ht="12" x14ac:dyDescent="0.2">
      <c r="A13" s="292"/>
      <c r="B13" s="292"/>
      <c r="C13" s="324" t="s">
        <v>105</v>
      </c>
      <c r="D13" s="325" t="s">
        <v>162</v>
      </c>
      <c r="E13" s="326"/>
      <c r="F13" s="326"/>
      <c r="G13" s="326"/>
      <c r="H13" s="327">
        <f>SUM(H14:H17)</f>
        <v>947.01</v>
      </c>
    </row>
    <row r="14" spans="1:16" x14ac:dyDescent="0.2">
      <c r="A14" s="2"/>
      <c r="B14" s="2"/>
      <c r="C14" s="319" t="s">
        <v>103</v>
      </c>
      <c r="D14" s="320" t="s">
        <v>163</v>
      </c>
      <c r="E14" s="321" t="s">
        <v>155</v>
      </c>
      <c r="F14" s="322">
        <v>2</v>
      </c>
      <c r="G14" s="322">
        <v>97.18</v>
      </c>
      <c r="H14" s="323">
        <f>+G14*F14</f>
        <v>194.36</v>
      </c>
    </row>
    <row r="15" spans="1:16" x14ac:dyDescent="0.2">
      <c r="A15" s="2"/>
      <c r="B15" s="2"/>
      <c r="C15" s="319" t="s">
        <v>124</v>
      </c>
      <c r="D15" s="320" t="s">
        <v>164</v>
      </c>
      <c r="E15" s="321" t="s">
        <v>159</v>
      </c>
      <c r="F15" s="322">
        <v>20</v>
      </c>
      <c r="G15" s="322">
        <v>0.69000000000000006</v>
      </c>
      <c r="H15" s="323">
        <f>+G15*F15</f>
        <v>13.8</v>
      </c>
    </row>
    <row r="16" spans="1:16" x14ac:dyDescent="0.2">
      <c r="A16" s="2"/>
      <c r="B16" s="2"/>
      <c r="C16" s="319" t="s">
        <v>125</v>
      </c>
      <c r="D16" s="320" t="s">
        <v>165</v>
      </c>
      <c r="E16" s="321" t="s">
        <v>2</v>
      </c>
      <c r="F16" s="322">
        <v>1</v>
      </c>
      <c r="G16" s="322">
        <v>563.05000000000007</v>
      </c>
      <c r="H16" s="323">
        <f>+G16*F16</f>
        <v>563.05000000000007</v>
      </c>
    </row>
    <row r="17" spans="1:8" x14ac:dyDescent="0.2">
      <c r="A17" s="2"/>
      <c r="B17" s="2"/>
      <c r="C17" s="319" t="s">
        <v>149</v>
      </c>
      <c r="D17" s="320" t="s">
        <v>166</v>
      </c>
      <c r="E17" s="321" t="s">
        <v>159</v>
      </c>
      <c r="F17" s="322">
        <v>60</v>
      </c>
      <c r="G17" s="322">
        <v>2.93</v>
      </c>
      <c r="H17" s="323">
        <f>+G17*F17</f>
        <v>175.8</v>
      </c>
    </row>
    <row r="18" spans="1:8" x14ac:dyDescent="0.2">
      <c r="A18" s="2"/>
      <c r="B18" s="2"/>
      <c r="C18" s="324" t="s">
        <v>106</v>
      </c>
      <c r="D18" s="325" t="s">
        <v>167</v>
      </c>
      <c r="E18" s="326"/>
      <c r="F18" s="326"/>
      <c r="G18" s="326"/>
      <c r="H18" s="327">
        <f>SUM(H19:H23)</f>
        <v>1606.1999999999998</v>
      </c>
    </row>
    <row r="19" spans="1:8" s="293" customFormat="1" ht="12" x14ac:dyDescent="0.2">
      <c r="A19" s="292"/>
      <c r="B19" s="292"/>
      <c r="C19" s="319" t="s">
        <v>104</v>
      </c>
      <c r="D19" s="320" t="s">
        <v>160</v>
      </c>
      <c r="E19" s="321" t="s">
        <v>155</v>
      </c>
      <c r="F19" s="322">
        <v>2</v>
      </c>
      <c r="G19" s="322">
        <v>176.6</v>
      </c>
      <c r="H19" s="323">
        <f>G19*F19</f>
        <v>353.2</v>
      </c>
    </row>
    <row r="20" spans="1:8" x14ac:dyDescent="0.2">
      <c r="A20" s="2"/>
      <c r="B20" s="2"/>
      <c r="C20" s="319" t="s">
        <v>131</v>
      </c>
      <c r="D20" s="320" t="s">
        <v>168</v>
      </c>
      <c r="E20" s="321" t="s">
        <v>159</v>
      </c>
      <c r="F20" s="322">
        <v>40</v>
      </c>
      <c r="G20" s="322">
        <v>12.68</v>
      </c>
      <c r="H20" s="323">
        <f>G20*F20</f>
        <v>507.2</v>
      </c>
    </row>
    <row r="21" spans="1:8" x14ac:dyDescent="0.2">
      <c r="A21" s="2"/>
      <c r="B21" s="2"/>
      <c r="C21" s="319" t="s">
        <v>161</v>
      </c>
      <c r="D21" s="320" t="s">
        <v>169</v>
      </c>
      <c r="E21" s="321" t="s">
        <v>159</v>
      </c>
      <c r="F21" s="322">
        <v>40</v>
      </c>
      <c r="G21" s="322">
        <v>2.3000000000000003</v>
      </c>
      <c r="H21" s="323">
        <f>G21*F21</f>
        <v>92.000000000000014</v>
      </c>
    </row>
    <row r="22" spans="1:8" x14ac:dyDescent="0.2">
      <c r="C22" s="328" t="s">
        <v>170</v>
      </c>
      <c r="D22" s="329" t="s">
        <v>171</v>
      </c>
      <c r="E22" s="321" t="s">
        <v>172</v>
      </c>
      <c r="F22" s="322">
        <v>20</v>
      </c>
      <c r="G22" s="330" t="s">
        <v>203</v>
      </c>
      <c r="H22" s="323"/>
    </row>
    <row r="23" spans="1:8" s="293" customFormat="1" ht="11.4" x14ac:dyDescent="0.2">
      <c r="C23" s="319" t="s">
        <v>173</v>
      </c>
      <c r="D23" s="320" t="s">
        <v>174</v>
      </c>
      <c r="E23" s="321" t="s">
        <v>172</v>
      </c>
      <c r="F23" s="322">
        <v>20</v>
      </c>
      <c r="G23" s="322">
        <v>32.69</v>
      </c>
      <c r="H23" s="323">
        <f>G23*F23</f>
        <v>653.79999999999995</v>
      </c>
    </row>
    <row r="24" spans="1:8" x14ac:dyDescent="0.2">
      <c r="C24" s="324" t="s">
        <v>156</v>
      </c>
      <c r="D24" s="325" t="s">
        <v>175</v>
      </c>
      <c r="E24" s="326"/>
      <c r="F24" s="326"/>
      <c r="G24" s="326"/>
      <c r="H24" s="327">
        <f>+SUM(H25:H34)</f>
        <v>10027.93</v>
      </c>
    </row>
    <row r="25" spans="1:8" ht="13.95" customHeight="1" x14ac:dyDescent="0.2">
      <c r="C25" s="319" t="s">
        <v>157</v>
      </c>
      <c r="D25" s="320" t="s">
        <v>176</v>
      </c>
      <c r="E25" s="321" t="s">
        <v>155</v>
      </c>
      <c r="F25" s="322">
        <v>8</v>
      </c>
      <c r="G25" s="322">
        <v>218.59</v>
      </c>
      <c r="H25" s="323">
        <f>+G25*F25</f>
        <v>1748.72</v>
      </c>
    </row>
    <row r="26" spans="1:8" x14ac:dyDescent="0.2">
      <c r="C26" s="319" t="s">
        <v>177</v>
      </c>
      <c r="D26" s="320" t="s">
        <v>178</v>
      </c>
      <c r="E26" s="321" t="s">
        <v>172</v>
      </c>
      <c r="F26" s="322">
        <v>100</v>
      </c>
      <c r="G26" s="322">
        <v>4.55</v>
      </c>
      <c r="H26" s="323">
        <f t="shared" ref="H26:H34" si="0">+G26*F26</f>
        <v>455</v>
      </c>
    </row>
    <row r="27" spans="1:8" x14ac:dyDescent="0.2">
      <c r="C27" s="319" t="s">
        <v>179</v>
      </c>
      <c r="D27" s="320" t="s">
        <v>180</v>
      </c>
      <c r="E27" s="321" t="s">
        <v>172</v>
      </c>
      <c r="F27" s="322">
        <v>60</v>
      </c>
      <c r="G27" s="322">
        <v>17.490000000000002</v>
      </c>
      <c r="H27" s="323">
        <f>+G27*F27</f>
        <v>1049.4000000000001</v>
      </c>
    </row>
    <row r="28" spans="1:8" x14ac:dyDescent="0.2">
      <c r="C28" s="319" t="s">
        <v>181</v>
      </c>
      <c r="D28" s="320" t="s">
        <v>182</v>
      </c>
      <c r="E28" s="321" t="s">
        <v>172</v>
      </c>
      <c r="F28" s="322">
        <v>60</v>
      </c>
      <c r="G28" s="322">
        <v>24.96</v>
      </c>
      <c r="H28" s="323">
        <f t="shared" si="0"/>
        <v>1497.6000000000001</v>
      </c>
    </row>
    <row r="29" spans="1:8" x14ac:dyDescent="0.2">
      <c r="C29" s="319" t="s">
        <v>183</v>
      </c>
      <c r="D29" s="320" t="s">
        <v>184</v>
      </c>
      <c r="E29" s="321" t="s">
        <v>172</v>
      </c>
      <c r="F29" s="322">
        <v>60</v>
      </c>
      <c r="G29" s="322">
        <v>17.73</v>
      </c>
      <c r="H29" s="323">
        <f t="shared" si="0"/>
        <v>1063.8</v>
      </c>
    </row>
    <row r="30" spans="1:8" x14ac:dyDescent="0.2">
      <c r="C30" s="319" t="s">
        <v>185</v>
      </c>
      <c r="D30" s="320" t="s">
        <v>186</v>
      </c>
      <c r="E30" s="321" t="s">
        <v>187</v>
      </c>
      <c r="F30" s="322">
        <v>100</v>
      </c>
      <c r="G30" s="322">
        <v>6.97</v>
      </c>
      <c r="H30" s="323">
        <f t="shared" si="0"/>
        <v>697</v>
      </c>
    </row>
    <row r="31" spans="1:8" x14ac:dyDescent="0.2">
      <c r="C31" s="319" t="s">
        <v>188</v>
      </c>
      <c r="D31" s="320" t="s">
        <v>189</v>
      </c>
      <c r="E31" s="321" t="s">
        <v>187</v>
      </c>
      <c r="F31" s="322">
        <v>50</v>
      </c>
      <c r="G31" s="322">
        <v>43.78</v>
      </c>
      <c r="H31" s="323">
        <f t="shared" si="0"/>
        <v>2189</v>
      </c>
    </row>
    <row r="32" spans="1:8" x14ac:dyDescent="0.2">
      <c r="C32" s="319" t="s">
        <v>190</v>
      </c>
      <c r="D32" s="320" t="s">
        <v>191</v>
      </c>
      <c r="E32" s="321" t="s">
        <v>2</v>
      </c>
      <c r="F32" s="322">
        <v>32</v>
      </c>
      <c r="G32" s="322">
        <v>26.02</v>
      </c>
      <c r="H32" s="323">
        <f t="shared" si="0"/>
        <v>832.64</v>
      </c>
    </row>
    <row r="33" spans="3:11" x14ac:dyDescent="0.2">
      <c r="C33" s="319" t="s">
        <v>192</v>
      </c>
      <c r="D33" s="320" t="s">
        <v>193</v>
      </c>
      <c r="E33" s="321" t="s">
        <v>2</v>
      </c>
      <c r="F33" s="322">
        <v>4</v>
      </c>
      <c r="G33" s="322">
        <v>89.88</v>
      </c>
      <c r="H33" s="323">
        <f t="shared" si="0"/>
        <v>359.52</v>
      </c>
    </row>
    <row r="34" spans="3:11" x14ac:dyDescent="0.2">
      <c r="C34" s="319" t="s">
        <v>194</v>
      </c>
      <c r="D34" s="320" t="s">
        <v>195</v>
      </c>
      <c r="E34" s="321" t="s">
        <v>2</v>
      </c>
      <c r="F34" s="322">
        <v>5</v>
      </c>
      <c r="G34" s="322">
        <v>27.05</v>
      </c>
      <c r="H34" s="323">
        <f t="shared" si="0"/>
        <v>135.25</v>
      </c>
    </row>
    <row r="35" spans="3:11" x14ac:dyDescent="0.2">
      <c r="C35" s="324" t="s">
        <v>196</v>
      </c>
      <c r="D35" s="325" t="s">
        <v>197</v>
      </c>
      <c r="E35" s="326"/>
      <c r="F35" s="326"/>
      <c r="G35" s="326"/>
      <c r="H35" s="327">
        <f>SUM(H36:H37)</f>
        <v>1961.3999999999999</v>
      </c>
    </row>
    <row r="36" spans="3:11" x14ac:dyDescent="0.2">
      <c r="C36" s="332" t="s">
        <v>198</v>
      </c>
      <c r="D36" s="329" t="s">
        <v>171</v>
      </c>
      <c r="E36" s="321" t="s">
        <v>172</v>
      </c>
      <c r="F36" s="322">
        <v>60</v>
      </c>
      <c r="G36" s="330" t="s">
        <v>203</v>
      </c>
      <c r="H36" s="323"/>
    </row>
    <row r="37" spans="3:11" x14ac:dyDescent="0.2">
      <c r="C37" s="333" t="s">
        <v>199</v>
      </c>
      <c r="D37" s="320" t="s">
        <v>174</v>
      </c>
      <c r="E37" s="321" t="s">
        <v>172</v>
      </c>
      <c r="F37" s="322">
        <v>60</v>
      </c>
      <c r="G37" s="322">
        <v>32.69</v>
      </c>
      <c r="H37" s="323">
        <f>+G37*F37</f>
        <v>1961.3999999999999</v>
      </c>
      <c r="K37" s="331"/>
    </row>
    <row r="38" spans="3:11" x14ac:dyDescent="0.2">
      <c r="C38" s="298" t="s">
        <v>200</v>
      </c>
      <c r="D38" s="299" t="s">
        <v>207</v>
      </c>
      <c r="E38" s="300"/>
      <c r="F38" s="301"/>
      <c r="G38" s="301"/>
      <c r="H38" s="302" t="e">
        <f>SUM(H39:H40)</f>
        <v>#REF!</v>
      </c>
    </row>
    <row r="39" spans="3:11" x14ac:dyDescent="0.2">
      <c r="C39" s="303" t="s">
        <v>201</v>
      </c>
      <c r="D39" s="304" t="s">
        <v>222</v>
      </c>
      <c r="E39" s="305" t="s">
        <v>208</v>
      </c>
      <c r="F39" s="306">
        <v>12</v>
      </c>
      <c r="G39" s="306" t="e">
        <f>APU!#REF!</f>
        <v>#REF!</v>
      </c>
      <c r="H39" s="307" t="e">
        <f>+G39*F39</f>
        <v>#REF!</v>
      </c>
    </row>
    <row r="40" spans="3:11" x14ac:dyDescent="0.2">
      <c r="C40" s="303" t="s">
        <v>212</v>
      </c>
      <c r="D40" s="304" t="s">
        <v>223</v>
      </c>
      <c r="E40" s="305" t="s">
        <v>209</v>
      </c>
      <c r="F40" s="306">
        <v>110</v>
      </c>
      <c r="G40" s="306" t="e">
        <f>APU!#REF!</f>
        <v>#REF!</v>
      </c>
      <c r="H40" s="307" t="e">
        <f>+G40*F40</f>
        <v>#REF!</v>
      </c>
    </row>
    <row r="41" spans="3:11" x14ac:dyDescent="0.2">
      <c r="C41" s="298" t="s">
        <v>213</v>
      </c>
      <c r="D41" s="299" t="s">
        <v>210</v>
      </c>
      <c r="E41" s="300"/>
      <c r="F41" s="301"/>
      <c r="G41" s="301"/>
      <c r="H41" s="302" t="e">
        <f>SUM(H42:H43)</f>
        <v>#REF!</v>
      </c>
    </row>
    <row r="42" spans="3:11" x14ac:dyDescent="0.2">
      <c r="C42" s="303" t="s">
        <v>214</v>
      </c>
      <c r="D42" s="304" t="s">
        <v>224</v>
      </c>
      <c r="E42" s="305" t="s">
        <v>208</v>
      </c>
      <c r="F42" s="306">
        <v>10</v>
      </c>
      <c r="G42" s="306" t="e">
        <f>APU!#REF!</f>
        <v>#REF!</v>
      </c>
      <c r="H42" s="307" t="e">
        <f>+G42*F42</f>
        <v>#REF!</v>
      </c>
    </row>
    <row r="43" spans="3:11" x14ac:dyDescent="0.2">
      <c r="C43" s="303" t="s">
        <v>215</v>
      </c>
      <c r="D43" s="304" t="s">
        <v>225</v>
      </c>
      <c r="E43" s="305" t="s">
        <v>208</v>
      </c>
      <c r="F43" s="306">
        <v>12</v>
      </c>
      <c r="G43" s="306" t="e">
        <f>APU!#REF!</f>
        <v>#REF!</v>
      </c>
      <c r="H43" s="307" t="e">
        <f>+G43*F43</f>
        <v>#REF!</v>
      </c>
    </row>
    <row r="44" spans="3:11" x14ac:dyDescent="0.2">
      <c r="C44" s="298" t="s">
        <v>216</v>
      </c>
      <c r="D44" s="299" t="s">
        <v>211</v>
      </c>
      <c r="E44" s="300"/>
      <c r="F44" s="301"/>
      <c r="G44" s="301"/>
      <c r="H44" s="302" t="e">
        <f>SUM(H45:H47)</f>
        <v>#REF!</v>
      </c>
    </row>
    <row r="45" spans="3:11" x14ac:dyDescent="0.2">
      <c r="C45" s="303" t="s">
        <v>217</v>
      </c>
      <c r="D45" s="308" t="s">
        <v>226</v>
      </c>
      <c r="E45" s="305" t="s">
        <v>208</v>
      </c>
      <c r="F45" s="306">
        <v>40</v>
      </c>
      <c r="G45" s="306" t="e">
        <f>APU!#REF!</f>
        <v>#REF!</v>
      </c>
      <c r="H45" s="307" t="e">
        <f>G45*F45</f>
        <v>#REF!</v>
      </c>
    </row>
    <row r="46" spans="3:11" x14ac:dyDescent="0.2">
      <c r="C46" s="303" t="s">
        <v>218</v>
      </c>
      <c r="D46" s="308" t="s">
        <v>227</v>
      </c>
      <c r="E46" s="305" t="s">
        <v>208</v>
      </c>
      <c r="F46" s="306">
        <v>40</v>
      </c>
      <c r="G46" s="306" t="e">
        <f>APU!#REF!</f>
        <v>#REF!</v>
      </c>
      <c r="H46" s="307" t="e">
        <f>G46*F46</f>
        <v>#REF!</v>
      </c>
    </row>
    <row r="47" spans="3:11" x14ac:dyDescent="0.2">
      <c r="C47" s="303" t="s">
        <v>219</v>
      </c>
      <c r="D47" s="308" t="s">
        <v>228</v>
      </c>
      <c r="E47" s="305" t="s">
        <v>208</v>
      </c>
      <c r="F47" s="306">
        <v>40</v>
      </c>
      <c r="G47" s="306" t="e">
        <f>APU!#REF!</f>
        <v>#REF!</v>
      </c>
      <c r="H47" s="307" t="e">
        <f>G47*F47</f>
        <v>#REF!</v>
      </c>
    </row>
    <row r="48" spans="3:11" x14ac:dyDescent="0.2">
      <c r="C48" s="324" t="s">
        <v>200</v>
      </c>
      <c r="D48" s="325" t="s">
        <v>206</v>
      </c>
      <c r="E48" s="326"/>
      <c r="F48" s="326"/>
      <c r="G48" s="326"/>
      <c r="H48" s="327" t="e">
        <f>H49</f>
        <v>#REF!</v>
      </c>
    </row>
    <row r="49" spans="3:8" x14ac:dyDescent="0.2">
      <c r="C49" s="319" t="s">
        <v>201</v>
      </c>
      <c r="D49" s="320" t="s">
        <v>158</v>
      </c>
      <c r="E49" s="321" t="s">
        <v>72</v>
      </c>
      <c r="F49" s="322">
        <v>1</v>
      </c>
      <c r="G49" s="322" t="e">
        <f>APU!#REF!</f>
        <v>#REF!</v>
      </c>
      <c r="H49" s="323" t="e">
        <f>G49*F49</f>
        <v>#REF!</v>
      </c>
    </row>
    <row r="50" spans="3:8" ht="10.8" thickBot="1" x14ac:dyDescent="0.25">
      <c r="C50" s="502" t="s">
        <v>202</v>
      </c>
      <c r="D50" s="503"/>
      <c r="E50" s="503"/>
      <c r="F50" s="503"/>
      <c r="G50" s="504" t="e">
        <f>+H48+H35+H24+H38+H41+H44+H18+H13+H7</f>
        <v>#REF!</v>
      </c>
      <c r="H50" s="505"/>
    </row>
    <row r="51" spans="3:8" x14ac:dyDescent="0.2">
      <c r="C51" s="213"/>
      <c r="D51" s="294"/>
    </row>
    <row r="52" spans="3:8" ht="10.8" x14ac:dyDescent="0.2">
      <c r="C52" s="213"/>
      <c r="D52" s="506"/>
      <c r="E52" s="506"/>
      <c r="F52" s="506"/>
      <c r="G52" s="506"/>
      <c r="H52" s="506"/>
    </row>
  </sheetData>
  <mergeCells count="4">
    <mergeCell ref="D2:F2"/>
    <mergeCell ref="C50:F50"/>
    <mergeCell ref="G50:H50"/>
    <mergeCell ref="D52:H52"/>
  </mergeCells>
  <phoneticPr fontId="4" type="noConversion"/>
  <pageMargins left="0.74803149606299213" right="0.74803149606299213" top="0.98425196850393704" bottom="0.98425196850393704" header="0.51181102362204722" footer="0.51181102362204722"/>
  <pageSetup paperSize="9" scale="88"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E4D1D-C4CA-4DE8-9E02-0B6E65A5DCC5}">
  <dimension ref="B1:K75"/>
  <sheetViews>
    <sheetView view="pageBreakPreview" zoomScaleNormal="100" zoomScaleSheetLayoutView="100" workbookViewId="0">
      <selection sqref="A1:I1048576"/>
    </sheetView>
  </sheetViews>
  <sheetFormatPr baseColWidth="10" defaultColWidth="12" defaultRowHeight="13.2" x14ac:dyDescent="0.25"/>
  <cols>
    <col min="1" max="1" width="5.140625" style="119" customWidth="1"/>
    <col min="2" max="2" width="17.42578125" style="119" customWidth="1"/>
    <col min="3" max="3" width="48.140625" style="119" customWidth="1"/>
    <col min="4" max="4" width="9.85546875" style="214" customWidth="1"/>
    <col min="5" max="5" width="9" style="214" customWidth="1"/>
    <col min="6" max="6" width="14.140625" style="214" customWidth="1"/>
    <col min="7" max="7" width="13.7109375" style="214" customWidth="1"/>
    <col min="8" max="8" width="18.42578125" style="214" customWidth="1"/>
    <col min="9" max="9" width="22.140625" style="214" customWidth="1"/>
    <col min="10" max="16384" width="12" style="119"/>
  </cols>
  <sheetData>
    <row r="1" spans="2:9" ht="13.8" thickBot="1" x14ac:dyDescent="0.3"/>
    <row r="2" spans="2:9" ht="16.2" thickBot="1" x14ac:dyDescent="0.35">
      <c r="B2" s="120" t="s">
        <v>92</v>
      </c>
      <c r="C2" s="121"/>
      <c r="D2" s="215"/>
      <c r="E2" s="216"/>
      <c r="F2" s="216"/>
      <c r="G2" s="216"/>
      <c r="H2" s="216"/>
      <c r="I2" s="217"/>
    </row>
    <row r="3" spans="2:9" ht="13.8" thickBot="1" x14ac:dyDescent="0.3">
      <c r="B3" s="122"/>
      <c r="C3" s="122"/>
      <c r="D3" s="212"/>
      <c r="E3" s="212"/>
      <c r="F3" s="212"/>
      <c r="G3" s="212"/>
      <c r="H3" s="212"/>
      <c r="I3" s="212"/>
    </row>
    <row r="4" spans="2:9" x14ac:dyDescent="0.25">
      <c r="B4" s="123" t="s">
        <v>57</v>
      </c>
      <c r="C4" s="124" t="str">
        <f>+'PS..'!D2</f>
        <v>PROYECTO: MOV. TIERRAS, FAB. E INSTALACIÓN DE BANCODUCTOS</v>
      </c>
      <c r="D4" s="218"/>
      <c r="E4" s="219"/>
      <c r="F4" s="220"/>
      <c r="G4" s="220"/>
      <c r="H4" s="220"/>
      <c r="I4" s="221"/>
    </row>
    <row r="5" spans="2:9" x14ac:dyDescent="0.25">
      <c r="B5" s="125" t="s">
        <v>58</v>
      </c>
      <c r="C5" s="126" t="str">
        <f>+C4</f>
        <v>PROYECTO: MOV. TIERRAS, FAB. E INSTALACIÓN DE BANCODUCTOS</v>
      </c>
      <c r="D5" s="222"/>
      <c r="E5" s="223"/>
      <c r="F5" s="224"/>
      <c r="G5" s="224"/>
      <c r="H5" s="224"/>
      <c r="I5" s="225"/>
    </row>
    <row r="6" spans="2:9" x14ac:dyDescent="0.25">
      <c r="B6" s="125" t="s">
        <v>59</v>
      </c>
      <c r="C6" s="126" t="s">
        <v>121</v>
      </c>
      <c r="D6" s="223"/>
      <c r="E6" s="223"/>
      <c r="F6" s="224"/>
      <c r="G6" s="224"/>
      <c r="H6" s="224"/>
      <c r="I6" s="225"/>
    </row>
    <row r="7" spans="2:9" x14ac:dyDescent="0.25">
      <c r="B7" s="127" t="s">
        <v>60</v>
      </c>
      <c r="C7" s="128">
        <v>46133</v>
      </c>
      <c r="E7" s="223"/>
      <c r="F7" s="224"/>
      <c r="G7" s="224"/>
      <c r="H7" s="224"/>
      <c r="I7" s="225"/>
    </row>
    <row r="8" spans="2:9" x14ac:dyDescent="0.25">
      <c r="B8" s="127" t="s">
        <v>61</v>
      </c>
      <c r="C8" s="129"/>
      <c r="D8" s="130">
        <v>1.5</v>
      </c>
      <c r="E8" s="223"/>
      <c r="F8" s="224"/>
      <c r="G8" s="224"/>
      <c r="H8" s="224"/>
      <c r="I8" s="225"/>
    </row>
    <row r="9" spans="2:9" ht="13.8" thickBot="1" x14ac:dyDescent="0.3">
      <c r="B9" s="131"/>
      <c r="C9" s="132"/>
      <c r="D9" s="226"/>
      <c r="E9" s="227"/>
      <c r="F9" s="228"/>
      <c r="G9" s="228"/>
      <c r="H9" s="228"/>
      <c r="I9" s="229"/>
    </row>
    <row r="10" spans="2:9" ht="15.6" x14ac:dyDescent="0.25">
      <c r="B10" s="133"/>
      <c r="C10" s="134"/>
      <c r="D10" s="230"/>
      <c r="E10" s="230"/>
      <c r="F10" s="230"/>
      <c r="G10" s="230"/>
      <c r="H10" s="230"/>
      <c r="I10" s="231"/>
    </row>
    <row r="11" spans="2:9" ht="18" x14ac:dyDescent="0.25">
      <c r="B11" s="508" t="s">
        <v>62</v>
      </c>
      <c r="C11" s="509"/>
      <c r="D11" s="509"/>
      <c r="E11" s="509"/>
      <c r="F11" s="509"/>
      <c r="G11" s="509"/>
      <c r="H11" s="509"/>
      <c r="I11" s="510"/>
    </row>
    <row r="12" spans="2:9" ht="13.8" x14ac:dyDescent="0.25">
      <c r="B12" s="511" t="s">
        <v>0</v>
      </c>
      <c r="C12" s="511" t="s">
        <v>63</v>
      </c>
      <c r="D12" s="511" t="s">
        <v>55</v>
      </c>
      <c r="E12" s="511" t="s">
        <v>64</v>
      </c>
      <c r="F12" s="511" t="s">
        <v>65</v>
      </c>
      <c r="G12" s="211"/>
      <c r="H12" s="135" t="s">
        <v>66</v>
      </c>
      <c r="I12" s="514" t="s">
        <v>67</v>
      </c>
    </row>
    <row r="13" spans="2:9" ht="12.75" customHeight="1" x14ac:dyDescent="0.25">
      <c r="B13" s="512"/>
      <c r="C13" s="512"/>
      <c r="D13" s="512"/>
      <c r="E13" s="512"/>
      <c r="F13" s="512"/>
      <c r="G13" s="516" t="s">
        <v>68</v>
      </c>
      <c r="H13" s="518" t="s">
        <v>69</v>
      </c>
      <c r="I13" s="515"/>
    </row>
    <row r="14" spans="2:9" ht="12.75" customHeight="1" x14ac:dyDescent="0.25">
      <c r="B14" s="512"/>
      <c r="C14" s="512"/>
      <c r="D14" s="512"/>
      <c r="E14" s="512"/>
      <c r="F14" s="512"/>
      <c r="G14" s="517"/>
      <c r="H14" s="519"/>
      <c r="I14" s="515"/>
    </row>
    <row r="15" spans="2:9" ht="13.5" customHeight="1" x14ac:dyDescent="0.3">
      <c r="B15" s="513"/>
      <c r="C15" s="513"/>
      <c r="D15" s="513"/>
      <c r="E15" s="513"/>
      <c r="F15" s="513"/>
      <c r="G15" s="136" t="s">
        <v>118</v>
      </c>
      <c r="H15" s="136" t="s">
        <v>118</v>
      </c>
      <c r="I15" s="137" t="s">
        <v>118</v>
      </c>
    </row>
    <row r="16" spans="2:9" ht="15.6" x14ac:dyDescent="0.3">
      <c r="B16" s="138">
        <v>1</v>
      </c>
      <c r="C16" s="139" t="s">
        <v>70</v>
      </c>
      <c r="D16" s="232"/>
      <c r="E16" s="147"/>
      <c r="F16" s="144"/>
      <c r="G16" s="141"/>
      <c r="H16" s="142"/>
      <c r="I16" s="233"/>
    </row>
    <row r="17" spans="2:11" ht="15.6" x14ac:dyDescent="0.3">
      <c r="B17" s="138"/>
      <c r="C17" s="143" t="s">
        <v>71</v>
      </c>
      <c r="D17" s="144" t="s">
        <v>72</v>
      </c>
      <c r="E17" s="147">
        <v>1</v>
      </c>
      <c r="F17" s="144">
        <v>0</v>
      </c>
      <c r="G17" s="207">
        <v>2300</v>
      </c>
      <c r="H17" s="208">
        <f>+G17*1.45</f>
        <v>3335</v>
      </c>
      <c r="I17" s="234">
        <f>E17*F17*H17</f>
        <v>0</v>
      </c>
    </row>
    <row r="18" spans="2:11" ht="15.6" x14ac:dyDescent="0.3">
      <c r="B18" s="138"/>
      <c r="C18" s="143" t="s">
        <v>113</v>
      </c>
      <c r="D18" s="144" t="s">
        <v>72</v>
      </c>
      <c r="E18" s="147">
        <v>1.5</v>
      </c>
      <c r="F18" s="144">
        <v>1</v>
      </c>
      <c r="G18" s="207">
        <f>6031.4/3.4</f>
        <v>1773.9411764705881</v>
      </c>
      <c r="H18" s="208">
        <f>+G18*1.45</f>
        <v>2572.2147058823525</v>
      </c>
      <c r="I18" s="360">
        <f>E18*F18*H18</f>
        <v>3858.322058823529</v>
      </c>
      <c r="K18" s="341"/>
    </row>
    <row r="19" spans="2:11" ht="15.6" x14ac:dyDescent="0.3">
      <c r="B19" s="138"/>
      <c r="C19" s="143" t="s">
        <v>114</v>
      </c>
      <c r="D19" s="144" t="s">
        <v>72</v>
      </c>
      <c r="E19" s="147">
        <v>1</v>
      </c>
      <c r="F19" s="144">
        <v>0.5</v>
      </c>
      <c r="G19" s="207">
        <f>6000/3.3</f>
        <v>1818.1818181818182</v>
      </c>
      <c r="H19" s="208">
        <f>+G19*1.45</f>
        <v>2636.3636363636365</v>
      </c>
      <c r="I19" s="360">
        <f>E19*F19*H19</f>
        <v>1318.1818181818182</v>
      </c>
    </row>
    <row r="20" spans="2:11" ht="15.6" x14ac:dyDescent="0.3">
      <c r="B20" s="138"/>
      <c r="C20" s="143" t="s">
        <v>122</v>
      </c>
      <c r="D20" s="144" t="s">
        <v>72</v>
      </c>
      <c r="E20" s="147">
        <v>1.5</v>
      </c>
      <c r="F20" s="144">
        <v>1</v>
      </c>
      <c r="G20" s="207">
        <f>5125.11/3.45</f>
        <v>1485.5391304347825</v>
      </c>
      <c r="H20" s="208">
        <f>+G20*1.45</f>
        <v>2154.0317391304343</v>
      </c>
      <c r="I20" s="360">
        <f>E20*F20*H20</f>
        <v>3231.0476086956514</v>
      </c>
    </row>
    <row r="21" spans="2:11" ht="15.6" x14ac:dyDescent="0.3">
      <c r="B21" s="138"/>
      <c r="C21" s="143" t="s">
        <v>73</v>
      </c>
      <c r="D21" s="144" t="s">
        <v>72</v>
      </c>
      <c r="E21" s="147">
        <v>1.5</v>
      </c>
      <c r="F21" s="144">
        <v>1</v>
      </c>
      <c r="G21" s="207">
        <f>4714.51/3.4</f>
        <v>1386.6205882352942</v>
      </c>
      <c r="H21" s="208">
        <f>+G21*1.45</f>
        <v>2010.5998529411766</v>
      </c>
      <c r="I21" s="360">
        <f>E21*F21*H21</f>
        <v>3015.8997794117649</v>
      </c>
      <c r="K21" s="341"/>
    </row>
    <row r="22" spans="2:11" ht="13.8" x14ac:dyDescent="0.3">
      <c r="B22" s="145"/>
      <c r="C22" s="140"/>
      <c r="D22" s="146"/>
      <c r="E22" s="147"/>
      <c r="F22" s="148"/>
      <c r="G22" s="235"/>
      <c r="H22" s="185"/>
      <c r="I22" s="236"/>
    </row>
    <row r="23" spans="2:11" ht="13.8" x14ac:dyDescent="0.3">
      <c r="B23" s="149"/>
      <c r="C23" s="150"/>
      <c r="D23" s="151"/>
      <c r="E23" s="152">
        <f>SUM(E17:E22)</f>
        <v>6.5</v>
      </c>
      <c r="F23" s="153"/>
      <c r="G23" s="237"/>
      <c r="H23" s="238">
        <v>1</v>
      </c>
      <c r="I23" s="239">
        <f>SUM(I17:I22)</f>
        <v>11423.451265112762</v>
      </c>
    </row>
    <row r="24" spans="2:11" ht="15.6" x14ac:dyDescent="0.3">
      <c r="B24" s="154">
        <v>2</v>
      </c>
      <c r="C24" s="155" t="s">
        <v>140</v>
      </c>
      <c r="D24" s="146"/>
      <c r="E24" s="147"/>
      <c r="F24" s="156"/>
      <c r="G24" s="235"/>
      <c r="H24" s="185"/>
      <c r="I24" s="236"/>
    </row>
    <row r="25" spans="2:11" ht="15.6" x14ac:dyDescent="0.3">
      <c r="B25" s="154"/>
      <c r="C25" s="143" t="s">
        <v>94</v>
      </c>
      <c r="D25" s="144" t="s">
        <v>72</v>
      </c>
      <c r="E25" s="147">
        <v>1</v>
      </c>
      <c r="F25" s="144">
        <v>0.5</v>
      </c>
      <c r="G25" s="141">
        <v>757.58</v>
      </c>
      <c r="H25" s="142">
        <f>+G25*1.45</f>
        <v>1098.491</v>
      </c>
      <c r="I25" s="234">
        <f>E25*F25*H25</f>
        <v>549.24549999999999</v>
      </c>
    </row>
    <row r="26" spans="2:11" ht="15.6" x14ac:dyDescent="0.3">
      <c r="B26" s="154"/>
      <c r="C26" s="143" t="s">
        <v>141</v>
      </c>
      <c r="D26" s="144" t="s">
        <v>72</v>
      </c>
      <c r="E26" s="147">
        <v>1</v>
      </c>
      <c r="F26" s="144">
        <v>0.5</v>
      </c>
      <c r="G26" s="141">
        <v>757.58</v>
      </c>
      <c r="H26" s="142">
        <f>+G26*1.45</f>
        <v>1098.491</v>
      </c>
      <c r="I26" s="234">
        <f>E26*F26*H26</f>
        <v>549.24549999999999</v>
      </c>
    </row>
    <row r="27" spans="2:11" ht="15.6" x14ac:dyDescent="0.3">
      <c r="B27" s="154"/>
      <c r="C27" s="155"/>
      <c r="D27" s="146"/>
      <c r="E27" s="147"/>
      <c r="F27" s="156"/>
      <c r="G27" s="235"/>
      <c r="H27" s="185"/>
      <c r="I27" s="236"/>
    </row>
    <row r="28" spans="2:11" ht="13.8" x14ac:dyDescent="0.3">
      <c r="B28" s="157"/>
      <c r="C28" s="140"/>
      <c r="D28" s="146"/>
      <c r="E28" s="147"/>
      <c r="F28" s="156"/>
      <c r="G28" s="235"/>
      <c r="H28" s="240"/>
      <c r="I28" s="241"/>
    </row>
    <row r="29" spans="2:11" ht="13.8" x14ac:dyDescent="0.3">
      <c r="B29" s="149"/>
      <c r="C29" s="150"/>
      <c r="D29" s="151"/>
      <c r="E29" s="152">
        <f>SUM(E25:E28)</f>
        <v>2</v>
      </c>
      <c r="F29" s="153"/>
      <c r="G29" s="237"/>
      <c r="H29" s="238">
        <v>2</v>
      </c>
      <c r="I29" s="239">
        <f>SUM(I25:I28)</f>
        <v>1098.491</v>
      </c>
    </row>
    <row r="30" spans="2:11" ht="15.6" x14ac:dyDescent="0.3">
      <c r="B30" s="138">
        <v>3</v>
      </c>
      <c r="C30" s="155" t="s">
        <v>74</v>
      </c>
      <c r="D30" s="146"/>
      <c r="E30" s="158"/>
      <c r="F30" s="148"/>
      <c r="G30" s="235"/>
      <c r="H30" s="185"/>
      <c r="I30" s="234"/>
    </row>
    <row r="31" spans="2:11" ht="15.6" x14ac:dyDescent="0.3">
      <c r="B31" s="138"/>
      <c r="C31" s="155" t="s">
        <v>75</v>
      </c>
      <c r="D31" s="146"/>
      <c r="E31" s="147"/>
      <c r="F31" s="147"/>
      <c r="G31" s="159" t="s">
        <v>117</v>
      </c>
      <c r="H31" s="242"/>
      <c r="I31" s="234"/>
    </row>
    <row r="32" spans="2:11" ht="15.6" x14ac:dyDescent="0.3">
      <c r="B32" s="138"/>
      <c r="C32" s="140" t="s">
        <v>115</v>
      </c>
      <c r="D32" s="146" t="s">
        <v>72</v>
      </c>
      <c r="E32" s="147">
        <v>1</v>
      </c>
      <c r="F32" s="148">
        <v>0.5</v>
      </c>
      <c r="G32" s="243">
        <f>60*30</f>
        <v>1800</v>
      </c>
      <c r="H32" s="242"/>
      <c r="I32" s="236">
        <f>E32*G32*F32</f>
        <v>900</v>
      </c>
    </row>
    <row r="33" spans="2:9" ht="13.8" x14ac:dyDescent="0.3">
      <c r="B33" s="160"/>
      <c r="C33" s="140" t="s">
        <v>116</v>
      </c>
      <c r="D33" s="146" t="s">
        <v>72</v>
      </c>
      <c r="E33" s="147">
        <v>1</v>
      </c>
      <c r="F33" s="148">
        <v>0.5</v>
      </c>
      <c r="G33" s="243">
        <f>120*5.1</f>
        <v>612</v>
      </c>
      <c r="H33" s="242"/>
      <c r="I33" s="236">
        <f>E33*G33*F33</f>
        <v>306</v>
      </c>
    </row>
    <row r="34" spans="2:9" ht="13.8" x14ac:dyDescent="0.3">
      <c r="B34" s="161"/>
      <c r="C34" s="140" t="s">
        <v>95</v>
      </c>
      <c r="D34" s="146"/>
      <c r="E34" s="147"/>
      <c r="F34" s="148"/>
      <c r="G34" s="243"/>
      <c r="H34" s="242"/>
      <c r="I34" s="236"/>
    </row>
    <row r="35" spans="2:9" ht="13.8" x14ac:dyDescent="0.3">
      <c r="B35" s="149"/>
      <c r="C35" s="150"/>
      <c r="D35" s="151"/>
      <c r="E35" s="162"/>
      <c r="F35" s="162"/>
      <c r="G35" s="237"/>
      <c r="H35" s="238">
        <v>3</v>
      </c>
      <c r="I35" s="244">
        <f>SUM(I31:I34)</f>
        <v>1206</v>
      </c>
    </row>
    <row r="36" spans="2:9" ht="15.6" x14ac:dyDescent="0.3">
      <c r="B36" s="163">
        <v>4</v>
      </c>
      <c r="C36" s="164" t="s">
        <v>76</v>
      </c>
      <c r="D36" s="146"/>
      <c r="E36" s="147"/>
      <c r="F36" s="165"/>
      <c r="G36" s="235"/>
      <c r="H36" s="245"/>
      <c r="I36" s="234"/>
    </row>
    <row r="37" spans="2:9" s="270" customFormat="1" ht="41.4" x14ac:dyDescent="0.2">
      <c r="B37" s="277"/>
      <c r="C37" s="269" t="s">
        <v>77</v>
      </c>
      <c r="D37" s="276" t="s">
        <v>136</v>
      </c>
      <c r="E37" s="278">
        <v>2</v>
      </c>
      <c r="F37" s="279"/>
      <c r="G37" s="273">
        <f>350/3</f>
        <v>116.66666666666667</v>
      </c>
      <c r="H37" s="280"/>
      <c r="I37" s="275">
        <f t="shared" ref="I37:I42" si="0">E37*G37</f>
        <v>233.33333333333334</v>
      </c>
    </row>
    <row r="38" spans="2:9" ht="13.8" x14ac:dyDescent="0.3">
      <c r="B38" s="161"/>
      <c r="C38" s="140" t="s">
        <v>148</v>
      </c>
      <c r="D38" s="276" t="s">
        <v>136</v>
      </c>
      <c r="E38" s="167">
        <v>2</v>
      </c>
      <c r="F38" s="168"/>
      <c r="G38" s="243">
        <f>284/3.4/3</f>
        <v>27.843137254901961</v>
      </c>
      <c r="H38" s="242"/>
      <c r="I38" s="236">
        <f t="shared" si="0"/>
        <v>55.686274509803923</v>
      </c>
    </row>
    <row r="39" spans="2:9" ht="13.8" x14ac:dyDescent="0.3">
      <c r="B39" s="161"/>
      <c r="C39" s="140" t="s">
        <v>204</v>
      </c>
      <c r="D39" s="276" t="s">
        <v>205</v>
      </c>
      <c r="E39" s="167">
        <v>1</v>
      </c>
      <c r="F39" s="168"/>
      <c r="G39" s="243">
        <v>400</v>
      </c>
      <c r="H39" s="242"/>
      <c r="I39" s="236">
        <f t="shared" si="0"/>
        <v>400</v>
      </c>
    </row>
    <row r="40" spans="2:9" ht="13.8" x14ac:dyDescent="0.3">
      <c r="B40" s="161"/>
      <c r="C40" s="140" t="s">
        <v>147</v>
      </c>
      <c r="D40" s="276" t="s">
        <v>136</v>
      </c>
      <c r="E40" s="167">
        <v>2</v>
      </c>
      <c r="F40" s="168"/>
      <c r="G40" s="243">
        <f>560/3.4/3</f>
        <v>54.901960784313729</v>
      </c>
      <c r="H40" s="242"/>
      <c r="I40" s="236">
        <f t="shared" si="0"/>
        <v>109.80392156862746</v>
      </c>
    </row>
    <row r="41" spans="2:9" s="270" customFormat="1" ht="55.2" x14ac:dyDescent="0.2">
      <c r="B41" s="268"/>
      <c r="C41" s="269" t="s">
        <v>138</v>
      </c>
      <c r="D41" s="276" t="s">
        <v>136</v>
      </c>
      <c r="E41" s="271"/>
      <c r="F41" s="272"/>
      <c r="G41" s="273">
        <f>45*3</f>
        <v>135</v>
      </c>
      <c r="H41" s="274"/>
      <c r="I41" s="275">
        <f t="shared" si="0"/>
        <v>0</v>
      </c>
    </row>
    <row r="42" spans="2:9" ht="41.4" x14ac:dyDescent="0.3">
      <c r="B42" s="161"/>
      <c r="C42" s="166" t="s">
        <v>139</v>
      </c>
      <c r="D42" s="276" t="s">
        <v>136</v>
      </c>
      <c r="E42" s="271"/>
      <c r="F42" s="272"/>
      <c r="G42" s="273">
        <v>176</v>
      </c>
      <c r="H42" s="242"/>
      <c r="I42" s="275">
        <f t="shared" si="0"/>
        <v>0</v>
      </c>
    </row>
    <row r="43" spans="2:9" ht="13.8" x14ac:dyDescent="0.3">
      <c r="B43" s="161"/>
      <c r="C43" s="140"/>
      <c r="D43" s="146"/>
      <c r="E43" s="167"/>
      <c r="F43" s="168"/>
      <c r="G43" s="243"/>
      <c r="H43" s="242"/>
      <c r="I43" s="236"/>
    </row>
    <row r="44" spans="2:9" ht="13.8" x14ac:dyDescent="0.3">
      <c r="B44" s="161"/>
      <c r="C44" s="140"/>
      <c r="D44" s="146"/>
      <c r="E44" s="167"/>
      <c r="F44" s="148"/>
      <c r="G44" s="243"/>
      <c r="H44" s="242"/>
      <c r="I44" s="236"/>
    </row>
    <row r="45" spans="2:9" ht="13.8" x14ac:dyDescent="0.3">
      <c r="B45" s="149"/>
      <c r="C45" s="169"/>
      <c r="D45" s="151"/>
      <c r="E45" s="162"/>
      <c r="F45" s="162"/>
      <c r="G45" s="237"/>
      <c r="H45" s="246">
        <v>4</v>
      </c>
      <c r="I45" s="244">
        <f>SUM(I37:I44)</f>
        <v>798.82352941176464</v>
      </c>
    </row>
    <row r="46" spans="2:9" ht="31.2" x14ac:dyDescent="0.3">
      <c r="B46" s="170">
        <v>5</v>
      </c>
      <c r="C46" s="171" t="s">
        <v>78</v>
      </c>
      <c r="D46" s="146"/>
      <c r="E46" s="147" t="s">
        <v>79</v>
      </c>
      <c r="F46" s="172" t="s">
        <v>80</v>
      </c>
      <c r="G46" s="173" t="s">
        <v>81</v>
      </c>
      <c r="H46" s="247"/>
      <c r="I46" s="234"/>
    </row>
    <row r="47" spans="2:9" ht="13.8" x14ac:dyDescent="0.3">
      <c r="B47" s="161"/>
      <c r="C47" s="174" t="s">
        <v>54</v>
      </c>
      <c r="D47" s="146"/>
      <c r="E47" s="144"/>
      <c r="F47" s="172"/>
      <c r="G47" s="173"/>
      <c r="H47" s="247"/>
      <c r="I47" s="234"/>
    </row>
    <row r="48" spans="2:9" ht="13.8" x14ac:dyDescent="0.3">
      <c r="B48" s="161"/>
      <c r="C48" s="140" t="s">
        <v>82</v>
      </c>
      <c r="D48" s="146"/>
      <c r="E48" s="144">
        <v>2</v>
      </c>
      <c r="F48" s="175">
        <v>0.3</v>
      </c>
      <c r="G48" s="248">
        <v>484.84848484848487</v>
      </c>
      <c r="H48" s="242"/>
      <c r="I48" s="236">
        <f>G48*F48*E48</f>
        <v>290.90909090909093</v>
      </c>
    </row>
    <row r="49" spans="2:9" ht="13.8" x14ac:dyDescent="0.3">
      <c r="B49" s="161"/>
      <c r="C49" s="140" t="s">
        <v>83</v>
      </c>
      <c r="D49" s="146"/>
      <c r="E49" s="144">
        <v>2</v>
      </c>
      <c r="F49" s="175">
        <v>1</v>
      </c>
      <c r="G49" s="248">
        <v>27.272727272727273</v>
      </c>
      <c r="H49" s="242"/>
      <c r="I49" s="236">
        <f>G49*F49*E49</f>
        <v>54.545454545454547</v>
      </c>
    </row>
    <row r="50" spans="2:9" ht="13.8" x14ac:dyDescent="0.3">
      <c r="B50" s="161"/>
      <c r="C50" s="140"/>
      <c r="D50" s="146"/>
      <c r="E50" s="147"/>
      <c r="F50" s="175"/>
      <c r="G50" s="248"/>
      <c r="H50" s="242"/>
      <c r="I50" s="236"/>
    </row>
    <row r="51" spans="2:9" ht="13.8" x14ac:dyDescent="0.3">
      <c r="B51" s="161"/>
      <c r="C51" s="174" t="s">
        <v>84</v>
      </c>
      <c r="D51" s="146"/>
      <c r="E51" s="147"/>
      <c r="F51" s="175"/>
      <c r="G51" s="248"/>
      <c r="H51" s="242"/>
      <c r="I51" s="236"/>
    </row>
    <row r="52" spans="2:9" ht="13.8" x14ac:dyDescent="0.3">
      <c r="B52" s="161"/>
      <c r="C52" s="140" t="s">
        <v>85</v>
      </c>
      <c r="D52" s="146"/>
      <c r="E52" s="147">
        <v>2</v>
      </c>
      <c r="F52" s="248">
        <v>1</v>
      </c>
      <c r="G52" s="248">
        <v>151.51515151515153</v>
      </c>
      <c r="H52" s="242"/>
      <c r="I52" s="236">
        <f>G52*F52*E52</f>
        <v>303.03030303030306</v>
      </c>
    </row>
    <row r="53" spans="2:9" ht="13.8" x14ac:dyDescent="0.3">
      <c r="B53" s="161"/>
      <c r="C53" s="140" t="s">
        <v>86</v>
      </c>
      <c r="D53" s="146"/>
      <c r="E53" s="147">
        <v>2</v>
      </c>
      <c r="F53" s="248">
        <v>1</v>
      </c>
      <c r="G53" s="248">
        <v>333.33333333333337</v>
      </c>
      <c r="H53" s="242"/>
      <c r="I53" s="236">
        <f>G53*F53*E53</f>
        <v>666.66666666666674</v>
      </c>
    </row>
    <row r="54" spans="2:9" ht="13.8" x14ac:dyDescent="0.3">
      <c r="B54" s="161"/>
      <c r="C54" s="140" t="s">
        <v>87</v>
      </c>
      <c r="D54" s="146"/>
      <c r="E54" s="147">
        <v>1</v>
      </c>
      <c r="F54" s="248">
        <v>20</v>
      </c>
      <c r="G54" s="248">
        <v>6.6969696969696981</v>
      </c>
      <c r="H54" s="242"/>
      <c r="I54" s="236">
        <f>G54*F54*E54</f>
        <v>133.93939393939397</v>
      </c>
    </row>
    <row r="55" spans="2:9" ht="13.8" x14ac:dyDescent="0.3">
      <c r="B55" s="160"/>
      <c r="C55" s="140"/>
      <c r="D55" s="146"/>
      <c r="E55" s="147"/>
      <c r="F55" s="176"/>
      <c r="G55" s="243"/>
      <c r="H55" s="242"/>
      <c r="I55" s="234"/>
    </row>
    <row r="56" spans="2:9" ht="13.8" x14ac:dyDescent="0.3">
      <c r="B56" s="149"/>
      <c r="C56" s="169"/>
      <c r="D56" s="151"/>
      <c r="E56" s="162"/>
      <c r="F56" s="162"/>
      <c r="G56" s="249"/>
      <c r="H56" s="238">
        <v>5</v>
      </c>
      <c r="I56" s="244">
        <f>SUM(I48:I54)</f>
        <v>1449.0909090909092</v>
      </c>
    </row>
    <row r="57" spans="2:9" ht="15.75" customHeight="1" x14ac:dyDescent="0.3">
      <c r="B57" s="189">
        <v>6</v>
      </c>
      <c r="C57" s="190" t="s">
        <v>102</v>
      </c>
      <c r="D57" s="178"/>
      <c r="E57" s="191"/>
      <c r="F57" s="192"/>
      <c r="G57" s="193"/>
      <c r="H57" s="193" t="s">
        <v>96</v>
      </c>
      <c r="I57" s="250"/>
    </row>
    <row r="58" spans="2:9" ht="15.6" x14ac:dyDescent="0.3">
      <c r="B58" s="154"/>
      <c r="C58" s="143" t="s">
        <v>137</v>
      </c>
      <c r="D58" s="144" t="s">
        <v>72</v>
      </c>
      <c r="E58" s="147">
        <v>1</v>
      </c>
      <c r="F58" s="251">
        <v>0.3</v>
      </c>
      <c r="G58" s="141"/>
      <c r="H58" s="207">
        <f>2000*1.45/3.3</f>
        <v>878.78787878787887</v>
      </c>
      <c r="I58" s="236">
        <f t="shared" ref="I58:I63" si="1">+H58*F58*E58</f>
        <v>263.63636363636363</v>
      </c>
    </row>
    <row r="59" spans="2:9" ht="15.6" x14ac:dyDescent="0.3">
      <c r="B59" s="154"/>
      <c r="C59" s="143" t="s">
        <v>97</v>
      </c>
      <c r="D59" s="144" t="s">
        <v>72</v>
      </c>
      <c r="E59" s="147">
        <v>1</v>
      </c>
      <c r="F59" s="251">
        <v>0.3</v>
      </c>
      <c r="G59" s="141"/>
      <c r="H59" s="207">
        <f>2000*1.45/3.3</f>
        <v>878.78787878787887</v>
      </c>
      <c r="I59" s="236">
        <f t="shared" si="1"/>
        <v>263.63636363636363</v>
      </c>
    </row>
    <row r="60" spans="2:9" ht="15.6" x14ac:dyDescent="0.3">
      <c r="B60" s="154"/>
      <c r="C60" s="143" t="s">
        <v>98</v>
      </c>
      <c r="D60" s="144" t="s">
        <v>72</v>
      </c>
      <c r="E60" s="147">
        <v>1</v>
      </c>
      <c r="F60" s="251">
        <v>0.3</v>
      </c>
      <c r="G60" s="141"/>
      <c r="H60" s="207">
        <f>6200*1.45/3.3</f>
        <v>2724.2424242424245</v>
      </c>
      <c r="I60" s="236">
        <f t="shared" si="1"/>
        <v>817.27272727272737</v>
      </c>
    </row>
    <row r="61" spans="2:9" ht="15.6" x14ac:dyDescent="0.3">
      <c r="B61" s="154"/>
      <c r="C61" s="143" t="s">
        <v>99</v>
      </c>
      <c r="D61" s="144" t="s">
        <v>72</v>
      </c>
      <c r="E61" s="147">
        <v>1</v>
      </c>
      <c r="F61" s="251">
        <v>0.3</v>
      </c>
      <c r="G61" s="141"/>
      <c r="H61" s="207">
        <f>363/3.3</f>
        <v>110</v>
      </c>
      <c r="I61" s="236">
        <f t="shared" si="1"/>
        <v>33</v>
      </c>
    </row>
    <row r="62" spans="2:9" ht="15.6" x14ac:dyDescent="0.3">
      <c r="B62" s="154"/>
      <c r="C62" s="143" t="s">
        <v>100</v>
      </c>
      <c r="D62" s="144" t="s">
        <v>72</v>
      </c>
      <c r="E62" s="147">
        <v>1</v>
      </c>
      <c r="F62" s="251">
        <v>0.3</v>
      </c>
      <c r="G62" s="141"/>
      <c r="H62" s="207">
        <f>345/3.3</f>
        <v>104.54545454545455</v>
      </c>
      <c r="I62" s="236">
        <f t="shared" si="1"/>
        <v>31.363636363636363</v>
      </c>
    </row>
    <row r="63" spans="2:9" ht="15.6" x14ac:dyDescent="0.3">
      <c r="B63" s="154"/>
      <c r="C63" s="143" t="s">
        <v>101</v>
      </c>
      <c r="D63" s="144" t="s">
        <v>72</v>
      </c>
      <c r="E63" s="147">
        <v>1</v>
      </c>
      <c r="F63" s="251">
        <v>0.3</v>
      </c>
      <c r="G63" s="141"/>
      <c r="H63" s="207">
        <v>254.14</v>
      </c>
      <c r="I63" s="236">
        <f t="shared" si="1"/>
        <v>76.24199999999999</v>
      </c>
    </row>
    <row r="64" spans="2:9" ht="15.6" x14ac:dyDescent="0.3">
      <c r="B64" s="154"/>
      <c r="C64" s="155"/>
      <c r="D64" s="146"/>
      <c r="E64" s="147"/>
      <c r="F64" s="156"/>
      <c r="G64" s="235"/>
      <c r="H64" s="235"/>
      <c r="I64" s="236"/>
    </row>
    <row r="65" spans="2:11" ht="13.8" x14ac:dyDescent="0.3">
      <c r="B65" s="194"/>
      <c r="C65" s="195"/>
      <c r="D65" s="196"/>
      <c r="E65" s="197"/>
      <c r="F65" s="198"/>
      <c r="G65" s="252"/>
      <c r="H65" s="238">
        <v>6</v>
      </c>
      <c r="I65" s="253">
        <f>SUM(I58:I63)</f>
        <v>1485.1510909090907</v>
      </c>
    </row>
    <row r="66" spans="2:11" ht="15.6" x14ac:dyDescent="0.3">
      <c r="B66" s="177">
        <v>7</v>
      </c>
      <c r="C66" s="155" t="s">
        <v>88</v>
      </c>
      <c r="D66" s="146"/>
      <c r="E66" s="147" t="s">
        <v>79</v>
      </c>
      <c r="F66" s="172"/>
      <c r="G66" s="173" t="s">
        <v>81</v>
      </c>
      <c r="H66" s="242"/>
      <c r="I66" s="234"/>
    </row>
    <row r="67" spans="2:11" ht="15.6" x14ac:dyDescent="0.3">
      <c r="B67" s="177"/>
      <c r="C67" s="179" t="s">
        <v>89</v>
      </c>
      <c r="D67" s="180"/>
      <c r="E67" s="181">
        <v>0</v>
      </c>
      <c r="F67" s="182">
        <v>1.5E-3</v>
      </c>
      <c r="G67" s="248"/>
      <c r="H67" s="183"/>
      <c r="I67" s="236">
        <f>+E67*G67*F67</f>
        <v>0</v>
      </c>
    </row>
    <row r="68" spans="2:11" ht="13.8" x14ac:dyDescent="0.3">
      <c r="B68" s="184"/>
      <c r="C68" s="179" t="s">
        <v>90</v>
      </c>
      <c r="D68" s="180"/>
      <c r="E68" s="181">
        <v>0</v>
      </c>
      <c r="F68" s="182">
        <v>2E-3</v>
      </c>
      <c r="G68" s="248"/>
      <c r="H68" s="185"/>
      <c r="I68" s="236">
        <f>+E68*G68*F68</f>
        <v>0</v>
      </c>
    </row>
    <row r="69" spans="2:11" ht="13.8" x14ac:dyDescent="0.3">
      <c r="B69" s="184"/>
      <c r="C69" s="179" t="s">
        <v>130</v>
      </c>
      <c r="D69" s="180"/>
      <c r="E69" s="267">
        <v>1</v>
      </c>
      <c r="F69" s="182"/>
      <c r="G69" s="266">
        <f>7000/12/3.4</f>
        <v>171.56862745098042</v>
      </c>
      <c r="H69" s="185"/>
      <c r="I69" s="236">
        <f>+E69*G69</f>
        <v>171.56862745098042</v>
      </c>
    </row>
    <row r="70" spans="2:11" ht="13.8" x14ac:dyDescent="0.3">
      <c r="B70" s="184"/>
      <c r="C70" s="179" t="s">
        <v>91</v>
      </c>
      <c r="D70" s="180"/>
      <c r="E70" s="181">
        <v>1</v>
      </c>
      <c r="F70" s="186"/>
      <c r="G70" s="214">
        <v>550</v>
      </c>
      <c r="H70" s="185"/>
      <c r="I70" s="236">
        <f>+E70*G70</f>
        <v>550</v>
      </c>
    </row>
    <row r="71" spans="2:11" ht="13.8" x14ac:dyDescent="0.3">
      <c r="B71" s="149"/>
      <c r="C71" s="169"/>
      <c r="D71" s="151"/>
      <c r="E71" s="162"/>
      <c r="F71" s="162"/>
      <c r="G71" s="249"/>
      <c r="H71" s="238">
        <v>7</v>
      </c>
      <c r="I71" s="244">
        <f>SUM(I67:I70)</f>
        <v>721.56862745098044</v>
      </c>
    </row>
    <row r="72" spans="2:11" ht="13.8" x14ac:dyDescent="0.3">
      <c r="B72" s="187"/>
      <c r="C72" s="187"/>
      <c r="D72" s="254"/>
      <c r="E72" s="254"/>
      <c r="F72" s="254"/>
      <c r="G72" s="254"/>
      <c r="H72" s="255"/>
      <c r="I72" s="256"/>
    </row>
    <row r="73" spans="2:11" ht="13.95" customHeight="1" x14ac:dyDescent="0.35">
      <c r="B73" s="187"/>
      <c r="C73" s="187"/>
      <c r="D73" s="254"/>
      <c r="E73" s="254"/>
      <c r="F73" s="254"/>
      <c r="G73" s="507" t="s">
        <v>143</v>
      </c>
      <c r="H73" s="507"/>
      <c r="I73" s="358">
        <f>(+I56+I45+I35+I29+I23+I71+I65)</f>
        <v>18182.576421975507</v>
      </c>
      <c r="K73" s="357"/>
    </row>
    <row r="74" spans="2:11" ht="14.4" x14ac:dyDescent="0.3">
      <c r="B74" s="187"/>
      <c r="C74" s="188"/>
      <c r="D74" s="254"/>
      <c r="E74" s="254"/>
      <c r="F74" s="254"/>
      <c r="G74" s="284" t="s">
        <v>142</v>
      </c>
      <c r="H74" s="285">
        <v>1.5</v>
      </c>
      <c r="I74" s="355">
        <f>+I73*H74</f>
        <v>27273.864632963261</v>
      </c>
    </row>
    <row r="75" spans="2:11" x14ac:dyDescent="0.25">
      <c r="I75" s="257"/>
    </row>
  </sheetData>
  <mergeCells count="10">
    <mergeCell ref="G73:H73"/>
    <mergeCell ref="B11:I11"/>
    <mergeCell ref="B12:B15"/>
    <mergeCell ref="C12:C15"/>
    <mergeCell ref="D12:D15"/>
    <mergeCell ref="E12:E15"/>
    <mergeCell ref="F12:F15"/>
    <mergeCell ref="I12:I14"/>
    <mergeCell ref="G13:G14"/>
    <mergeCell ref="H13:H14"/>
  </mergeCells>
  <pageMargins left="0.7" right="0.7" top="0.75" bottom="0.75" header="0.3" footer="0.3"/>
  <pageSetup paperSize="9" scale="68"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548CE-EE31-4E3A-A894-4A99A0B6E9E6}">
  <dimension ref="A2:M15"/>
  <sheetViews>
    <sheetView view="pageBreakPreview" zoomScale="130" zoomScaleNormal="100" zoomScaleSheetLayoutView="130" workbookViewId="0">
      <selection activeCell="B7" sqref="B7:G7"/>
    </sheetView>
  </sheetViews>
  <sheetFormatPr baseColWidth="10" defaultRowHeight="10.199999999999999" x14ac:dyDescent="0.2"/>
  <cols>
    <col min="2" max="2" width="38.28515625" customWidth="1"/>
    <col min="3" max="6" width="17.7109375" customWidth="1"/>
    <col min="7" max="7" width="18.28515625" customWidth="1"/>
    <col min="8" max="8" width="17.7109375" customWidth="1"/>
  </cols>
  <sheetData>
    <row r="2" spans="1:13" ht="28.8" x14ac:dyDescent="0.2">
      <c r="A2" s="371" t="s">
        <v>127</v>
      </c>
      <c r="B2" s="371" t="s">
        <v>469</v>
      </c>
      <c r="C2" s="372" t="s">
        <v>470</v>
      </c>
      <c r="D2" s="372" t="s">
        <v>471</v>
      </c>
      <c r="E2" s="372" t="s">
        <v>472</v>
      </c>
      <c r="F2" s="372" t="s">
        <v>55</v>
      </c>
      <c r="G2" s="372" t="s">
        <v>128</v>
      </c>
      <c r="H2" s="372" t="s">
        <v>473</v>
      </c>
    </row>
    <row r="3" spans="1:13" x14ac:dyDescent="0.2">
      <c r="A3" s="373" t="s">
        <v>1</v>
      </c>
      <c r="B3" s="374" t="s">
        <v>474</v>
      </c>
      <c r="C3" s="375">
        <v>1</v>
      </c>
      <c r="D3" s="375">
        <v>2</v>
      </c>
      <c r="E3" s="375">
        <v>6</v>
      </c>
      <c r="F3" s="375" t="s">
        <v>132</v>
      </c>
      <c r="G3" s="375">
        <v>45</v>
      </c>
      <c r="H3" s="375">
        <f>E3*D3*C3*G3</f>
        <v>540</v>
      </c>
    </row>
    <row r="4" spans="1:13" x14ac:dyDescent="0.2">
      <c r="A4" s="373" t="s">
        <v>105</v>
      </c>
      <c r="B4" s="374" t="s">
        <v>475</v>
      </c>
      <c r="C4" s="375">
        <v>1</v>
      </c>
      <c r="D4" s="375">
        <v>1</v>
      </c>
      <c r="E4" s="375">
        <v>120</v>
      </c>
      <c r="F4" s="375" t="s">
        <v>478</v>
      </c>
      <c r="G4" s="375">
        <v>1.5</v>
      </c>
      <c r="H4" s="375">
        <f t="shared" ref="H4:H6" si="0">E4*D4*C4*G4</f>
        <v>180</v>
      </c>
    </row>
    <row r="5" spans="1:13" x14ac:dyDescent="0.2">
      <c r="A5" s="373" t="s">
        <v>106</v>
      </c>
      <c r="B5" s="374" t="s">
        <v>476</v>
      </c>
      <c r="C5" s="375">
        <v>1</v>
      </c>
      <c r="D5" s="375">
        <v>1</v>
      </c>
      <c r="E5" s="375">
        <v>120</v>
      </c>
      <c r="F5" s="375" t="s">
        <v>478</v>
      </c>
      <c r="G5" s="375">
        <v>1.5</v>
      </c>
      <c r="H5" s="375">
        <f t="shared" si="0"/>
        <v>180</v>
      </c>
    </row>
    <row r="6" spans="1:13" x14ac:dyDescent="0.2">
      <c r="A6" s="373" t="s">
        <v>156</v>
      </c>
      <c r="B6" s="374" t="s">
        <v>479</v>
      </c>
      <c r="C6" s="375">
        <v>1</v>
      </c>
      <c r="D6" s="375">
        <v>5</v>
      </c>
      <c r="E6" s="375">
        <v>4</v>
      </c>
      <c r="F6" s="375" t="s">
        <v>153</v>
      </c>
      <c r="G6" s="375">
        <v>26</v>
      </c>
      <c r="H6" s="375">
        <f t="shared" si="0"/>
        <v>520</v>
      </c>
    </row>
    <row r="7" spans="1:13" x14ac:dyDescent="0.2">
      <c r="A7" s="373" t="s">
        <v>196</v>
      </c>
      <c r="B7" s="374" t="s">
        <v>477</v>
      </c>
      <c r="C7" s="375">
        <v>1</v>
      </c>
      <c r="D7" s="375">
        <v>4</v>
      </c>
      <c r="E7" s="375">
        <v>4</v>
      </c>
      <c r="F7" s="375" t="s">
        <v>153</v>
      </c>
      <c r="G7" s="375">
        <v>12</v>
      </c>
      <c r="H7" s="375">
        <f>E7*D7*C7*G7</f>
        <v>192</v>
      </c>
    </row>
    <row r="8" spans="1:13" x14ac:dyDescent="0.2">
      <c r="A8" s="373" t="s">
        <v>200</v>
      </c>
      <c r="B8" s="374" t="s">
        <v>483</v>
      </c>
      <c r="C8" s="375">
        <v>1</v>
      </c>
      <c r="D8" s="375">
        <v>0.25</v>
      </c>
      <c r="E8" s="375">
        <v>6</v>
      </c>
      <c r="F8" s="375" t="s">
        <v>132</v>
      </c>
      <c r="G8" s="375">
        <v>30</v>
      </c>
      <c r="H8" s="375">
        <f>E8*D8*C8*G8</f>
        <v>45</v>
      </c>
    </row>
    <row r="9" spans="1:13" x14ac:dyDescent="0.2">
      <c r="A9" s="373" t="s">
        <v>213</v>
      </c>
      <c r="B9" s="374" t="s">
        <v>482</v>
      </c>
      <c r="C9" s="375">
        <v>1</v>
      </c>
      <c r="D9" s="375">
        <v>1.5</v>
      </c>
      <c r="E9" s="375">
        <v>6</v>
      </c>
      <c r="F9" s="375" t="s">
        <v>132</v>
      </c>
      <c r="G9" s="375">
        <v>45</v>
      </c>
      <c r="H9" s="375">
        <f>E9*D9*C9*G9</f>
        <v>405</v>
      </c>
    </row>
    <row r="10" spans="1:13" ht="14.4" x14ac:dyDescent="0.3">
      <c r="A10" s="212"/>
      <c r="B10" s="122"/>
      <c r="C10" s="122"/>
      <c r="F10" s="520" t="s">
        <v>484</v>
      </c>
      <c r="G10" s="520"/>
      <c r="H10" s="376">
        <f>SUM(H3:H9)</f>
        <v>2062</v>
      </c>
    </row>
    <row r="12" spans="1:13" x14ac:dyDescent="0.2">
      <c r="F12" s="521" t="s">
        <v>485</v>
      </c>
      <c r="G12" s="522"/>
      <c r="H12" s="377">
        <f>H10*3.87</f>
        <v>7979.9400000000005</v>
      </c>
    </row>
    <row r="13" spans="1:13" hidden="1" x14ac:dyDescent="0.2">
      <c r="F13" s="381" t="s">
        <v>480</v>
      </c>
      <c r="G13" s="382">
        <v>0.1</v>
      </c>
      <c r="H13" s="378">
        <f>H12*G13</f>
        <v>797.99400000000014</v>
      </c>
    </row>
    <row r="14" spans="1:13" hidden="1" x14ac:dyDescent="0.2">
      <c r="F14" s="383" t="s">
        <v>481</v>
      </c>
      <c r="G14" s="384">
        <v>0.1</v>
      </c>
      <c r="H14" s="379">
        <f>G14*H12</f>
        <v>797.99400000000014</v>
      </c>
    </row>
    <row r="15" spans="1:13" hidden="1" x14ac:dyDescent="0.2">
      <c r="F15" s="521" t="s">
        <v>486</v>
      </c>
      <c r="G15" s="522"/>
      <c r="H15" s="380">
        <f>+H14+H13+H12</f>
        <v>9575.9279999999999</v>
      </c>
      <c r="M15" s="385"/>
    </row>
  </sheetData>
  <mergeCells count="3">
    <mergeCell ref="F10:G10"/>
    <mergeCell ref="F12:G12"/>
    <mergeCell ref="F15:G15"/>
  </mergeCells>
  <phoneticPr fontId="0" type="noConversion"/>
  <pageMargins left="0.7" right="0.7" top="0.75" bottom="0.75" header="0.3" footer="0.3"/>
  <pageSetup paperSize="9" scale="7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0B18A-EDF5-47C5-B99B-65EE629AAF39}">
  <dimension ref="A1:F46"/>
  <sheetViews>
    <sheetView view="pageBreakPreview" topLeftCell="A16" zoomScale="115" zoomScaleNormal="100" zoomScaleSheetLayoutView="115" workbookViewId="0">
      <selection activeCell="C39" sqref="C32:C39"/>
    </sheetView>
  </sheetViews>
  <sheetFormatPr baseColWidth="10" defaultRowHeight="10.199999999999999" x14ac:dyDescent="0.2"/>
  <cols>
    <col min="1" max="1" width="4" customWidth="1"/>
    <col min="3" max="3" width="50" customWidth="1"/>
  </cols>
  <sheetData>
    <row r="1" spans="1:6" x14ac:dyDescent="0.2">
      <c r="A1" s="122"/>
      <c r="B1" s="122"/>
      <c r="C1" s="122"/>
      <c r="D1" s="122"/>
      <c r="E1" s="122"/>
      <c r="F1" s="122"/>
    </row>
    <row r="2" spans="1:6" ht="14.4" x14ac:dyDescent="0.3">
      <c r="A2" s="122"/>
      <c r="B2" s="523" t="s">
        <v>364</v>
      </c>
      <c r="C2" s="523"/>
      <c r="D2" s="523"/>
      <c r="E2" s="523"/>
      <c r="F2" s="122"/>
    </row>
    <row r="3" spans="1:6" ht="14.4" x14ac:dyDescent="0.3">
      <c r="A3" s="122"/>
      <c r="B3" s="346" t="s">
        <v>365</v>
      </c>
      <c r="C3" s="345" t="s">
        <v>366</v>
      </c>
      <c r="D3" s="345" t="s">
        <v>52</v>
      </c>
      <c r="E3" s="345" t="s">
        <v>236</v>
      </c>
      <c r="F3" s="122"/>
    </row>
    <row r="4" spans="1:6" ht="14.4" x14ac:dyDescent="0.3">
      <c r="A4" s="122"/>
      <c r="B4" s="351">
        <v>1</v>
      </c>
      <c r="C4" s="347" t="s">
        <v>367</v>
      </c>
      <c r="D4" s="350"/>
      <c r="E4" s="350"/>
      <c r="F4" s="122"/>
    </row>
    <row r="5" spans="1:6" x14ac:dyDescent="0.2">
      <c r="A5" s="122"/>
      <c r="B5" s="352">
        <v>1.1000000000000001</v>
      </c>
      <c r="C5" s="349" t="s">
        <v>490</v>
      </c>
      <c r="D5" s="350" t="s">
        <v>239</v>
      </c>
      <c r="E5" s="350">
        <f>0.6*0.8*24</f>
        <v>11.52</v>
      </c>
      <c r="F5" s="122"/>
    </row>
    <row r="6" spans="1:6" x14ac:dyDescent="0.2">
      <c r="A6" s="122"/>
      <c r="B6" s="352">
        <v>1.2</v>
      </c>
      <c r="C6" s="349" t="s">
        <v>491</v>
      </c>
      <c r="D6" s="350" t="s">
        <v>2</v>
      </c>
      <c r="E6" s="350">
        <v>24</v>
      </c>
      <c r="F6" s="122"/>
    </row>
    <row r="7" spans="1:6" x14ac:dyDescent="0.2">
      <c r="A7" s="122"/>
      <c r="B7" s="352">
        <v>1.3</v>
      </c>
      <c r="C7" s="349" t="s">
        <v>368</v>
      </c>
      <c r="D7" s="350" t="s">
        <v>187</v>
      </c>
      <c r="E7" s="350">
        <v>24</v>
      </c>
      <c r="F7" s="122"/>
    </row>
    <row r="8" spans="1:6" x14ac:dyDescent="0.2">
      <c r="A8" s="122"/>
      <c r="B8" s="352">
        <v>1.5</v>
      </c>
      <c r="C8" s="348" t="s">
        <v>494</v>
      </c>
      <c r="D8" s="350" t="s">
        <v>187</v>
      </c>
      <c r="E8" s="353">
        <v>30</v>
      </c>
      <c r="F8" s="122"/>
    </row>
    <row r="9" spans="1:6" x14ac:dyDescent="0.2">
      <c r="A9" s="122"/>
      <c r="B9" s="352"/>
      <c r="C9" s="348"/>
      <c r="D9" s="350"/>
      <c r="E9" s="350"/>
      <c r="F9" s="122"/>
    </row>
    <row r="10" spans="1:6" ht="14.4" x14ac:dyDescent="0.3">
      <c r="A10" s="122"/>
      <c r="B10" s="351">
        <v>2</v>
      </c>
      <c r="C10" s="347" t="s">
        <v>369</v>
      </c>
      <c r="D10" s="350"/>
      <c r="E10" s="350"/>
      <c r="F10" s="122"/>
    </row>
    <row r="11" spans="1:6" x14ac:dyDescent="0.2">
      <c r="A11" s="122"/>
      <c r="B11" s="352">
        <v>2.1</v>
      </c>
      <c r="C11" s="348" t="s">
        <v>492</v>
      </c>
      <c r="D11" s="350" t="s">
        <v>239</v>
      </c>
      <c r="E11" s="350">
        <f>0.6*0.8*160</f>
        <v>76.8</v>
      </c>
      <c r="F11" s="122"/>
    </row>
    <row r="12" spans="1:6" x14ac:dyDescent="0.2">
      <c r="A12" s="122"/>
      <c r="B12" s="352">
        <v>2.2000000000000002</v>
      </c>
      <c r="C12" s="348" t="s">
        <v>378</v>
      </c>
      <c r="D12" s="350" t="s">
        <v>2</v>
      </c>
      <c r="E12" s="350">
        <v>160</v>
      </c>
      <c r="F12" s="122"/>
    </row>
    <row r="13" spans="1:6" x14ac:dyDescent="0.2">
      <c r="A13" s="122"/>
      <c r="B13" s="352">
        <v>2.2999999999999998</v>
      </c>
      <c r="C13" s="348" t="s">
        <v>368</v>
      </c>
      <c r="D13" s="350" t="s">
        <v>187</v>
      </c>
      <c r="E13" s="350">
        <v>160</v>
      </c>
      <c r="F13" s="122"/>
    </row>
    <row r="14" spans="1:6" x14ac:dyDescent="0.2">
      <c r="A14" s="122"/>
      <c r="B14" s="352">
        <v>2.5</v>
      </c>
      <c r="C14" s="348" t="s">
        <v>494</v>
      </c>
      <c r="D14" s="350" t="s">
        <v>187</v>
      </c>
      <c r="E14" s="353">
        <v>166</v>
      </c>
      <c r="F14" s="122"/>
    </row>
    <row r="15" spans="1:6" x14ac:dyDescent="0.2">
      <c r="A15" s="122"/>
      <c r="B15" s="350"/>
      <c r="C15" s="348"/>
      <c r="D15" s="350"/>
      <c r="E15" s="350"/>
      <c r="F15" s="122"/>
    </row>
    <row r="16" spans="1:6" ht="14.4" x14ac:dyDescent="0.3">
      <c r="A16" s="122"/>
      <c r="B16" s="351">
        <v>3</v>
      </c>
      <c r="C16" s="347" t="s">
        <v>370</v>
      </c>
      <c r="D16" s="350"/>
      <c r="E16" s="350"/>
      <c r="F16" s="386">
        <f>E8+E14+E20+E30+E36+E42</f>
        <v>765</v>
      </c>
    </row>
    <row r="17" spans="1:6" x14ac:dyDescent="0.2">
      <c r="A17" s="122"/>
      <c r="B17" s="352">
        <v>3.1</v>
      </c>
      <c r="C17" s="348" t="s">
        <v>379</v>
      </c>
      <c r="D17" s="350" t="s">
        <v>2</v>
      </c>
      <c r="E17" s="350">
        <v>8</v>
      </c>
      <c r="F17" s="122"/>
    </row>
    <row r="18" spans="1:6" x14ac:dyDescent="0.2">
      <c r="A18" s="122"/>
      <c r="B18" s="350"/>
      <c r="C18" s="348"/>
      <c r="D18" s="350"/>
      <c r="E18" s="350"/>
      <c r="F18" s="122"/>
    </row>
    <row r="19" spans="1:6" ht="14.4" x14ac:dyDescent="0.3">
      <c r="A19" s="122"/>
      <c r="B19" s="351">
        <v>4</v>
      </c>
      <c r="C19" s="347" t="s">
        <v>372</v>
      </c>
      <c r="D19" s="350"/>
      <c r="E19" s="350"/>
      <c r="F19" s="122"/>
    </row>
    <row r="20" spans="1:6" x14ac:dyDescent="0.2">
      <c r="A20" s="122"/>
      <c r="B20" s="352">
        <v>4.0999999999999996</v>
      </c>
      <c r="C20" s="348" t="s">
        <v>494</v>
      </c>
      <c r="D20" s="350" t="s">
        <v>187</v>
      </c>
      <c r="E20" s="353">
        <v>165</v>
      </c>
      <c r="F20" s="122"/>
    </row>
    <row r="21" spans="1:6" x14ac:dyDescent="0.2">
      <c r="A21" s="122"/>
      <c r="B21" s="352">
        <v>4.2</v>
      </c>
      <c r="C21" s="348" t="s">
        <v>373</v>
      </c>
      <c r="D21" s="350" t="s">
        <v>187</v>
      </c>
      <c r="E21" s="350">
        <v>165</v>
      </c>
      <c r="F21" s="122"/>
    </row>
    <row r="22" spans="1:6" x14ac:dyDescent="0.2">
      <c r="A22" s="122"/>
      <c r="B22" s="352">
        <v>4.3</v>
      </c>
      <c r="C22" s="348" t="s">
        <v>374</v>
      </c>
      <c r="D22" s="350" t="s">
        <v>2</v>
      </c>
      <c r="E22" s="350">
        <v>30</v>
      </c>
      <c r="F22" s="122"/>
    </row>
    <row r="23" spans="1:6" x14ac:dyDescent="0.2">
      <c r="A23" s="122"/>
      <c r="B23" s="212"/>
      <c r="C23" s="122"/>
      <c r="D23" s="212"/>
      <c r="E23" s="212"/>
      <c r="F23" s="122"/>
    </row>
    <row r="24" spans="1:6" ht="14.4" x14ac:dyDescent="0.3">
      <c r="A24" s="122"/>
      <c r="B24" s="523" t="s">
        <v>375</v>
      </c>
      <c r="C24" s="523"/>
      <c r="D24" s="523"/>
      <c r="E24" s="523"/>
      <c r="F24" s="122"/>
    </row>
    <row r="25" spans="1:6" ht="14.4" x14ac:dyDescent="0.3">
      <c r="A25" s="122"/>
      <c r="B25" s="346" t="s">
        <v>365</v>
      </c>
      <c r="C25" s="345" t="s">
        <v>366</v>
      </c>
      <c r="D25" s="345" t="s">
        <v>52</v>
      </c>
      <c r="E25" s="345" t="s">
        <v>236</v>
      </c>
      <c r="F25" s="122"/>
    </row>
    <row r="26" spans="1:6" ht="14.4" x14ac:dyDescent="0.3">
      <c r="A26" s="122"/>
      <c r="B26" s="351">
        <v>1</v>
      </c>
      <c r="C26" s="347" t="s">
        <v>367</v>
      </c>
      <c r="D26" s="350"/>
      <c r="E26" s="350"/>
      <c r="F26" s="122"/>
    </row>
    <row r="27" spans="1:6" x14ac:dyDescent="0.2">
      <c r="A27" s="122"/>
      <c r="B27" s="352">
        <v>1.1000000000000001</v>
      </c>
      <c r="C27" s="348" t="s">
        <v>489</v>
      </c>
      <c r="D27" s="350" t="s">
        <v>239</v>
      </c>
      <c r="E27" s="350">
        <f>0.6*1*24</f>
        <v>14.399999999999999</v>
      </c>
      <c r="F27" s="122"/>
    </row>
    <row r="28" spans="1:6" x14ac:dyDescent="0.2">
      <c r="A28" s="122"/>
      <c r="B28" s="352">
        <v>1.2</v>
      </c>
      <c r="C28" s="348" t="s">
        <v>377</v>
      </c>
      <c r="D28" s="350" t="s">
        <v>2</v>
      </c>
      <c r="E28" s="350">
        <v>24</v>
      </c>
      <c r="F28" s="122"/>
    </row>
    <row r="29" spans="1:6" x14ac:dyDescent="0.2">
      <c r="A29" s="122"/>
      <c r="B29" s="352">
        <v>1.3</v>
      </c>
      <c r="C29" s="348" t="s">
        <v>368</v>
      </c>
      <c r="D29" s="350" t="s">
        <v>187</v>
      </c>
      <c r="E29" s="350">
        <v>24</v>
      </c>
      <c r="F29" s="122"/>
    </row>
    <row r="30" spans="1:6" x14ac:dyDescent="0.2">
      <c r="A30" s="122"/>
      <c r="B30" s="352">
        <v>1.5</v>
      </c>
      <c r="C30" s="348" t="s">
        <v>494</v>
      </c>
      <c r="D30" s="350" t="s">
        <v>187</v>
      </c>
      <c r="E30" s="353">
        <v>30</v>
      </c>
      <c r="F30" s="122"/>
    </row>
    <row r="31" spans="1:6" x14ac:dyDescent="0.2">
      <c r="A31" s="122"/>
      <c r="B31" s="352"/>
      <c r="C31" s="348"/>
      <c r="D31" s="350"/>
      <c r="E31" s="350"/>
      <c r="F31" s="122"/>
    </row>
    <row r="32" spans="1:6" ht="14.4" x14ac:dyDescent="0.3">
      <c r="A32" s="122"/>
      <c r="B32" s="351">
        <v>2</v>
      </c>
      <c r="C32" s="347" t="s">
        <v>369</v>
      </c>
      <c r="D32" s="350"/>
      <c r="E32" s="350"/>
      <c r="F32" s="122"/>
    </row>
    <row r="33" spans="1:6" x14ac:dyDescent="0.2">
      <c r="A33" s="122"/>
      <c r="B33" s="352">
        <v>2.1</v>
      </c>
      <c r="C33" s="348" t="s">
        <v>493</v>
      </c>
      <c r="D33" s="350" t="s">
        <v>239</v>
      </c>
      <c r="E33" s="350">
        <f>0.6*0.8*E35</f>
        <v>92.16</v>
      </c>
      <c r="F33" s="122"/>
    </row>
    <row r="34" spans="1:6" x14ac:dyDescent="0.2">
      <c r="A34" s="122"/>
      <c r="B34" s="352">
        <v>2.2000000000000002</v>
      </c>
      <c r="C34" s="348" t="s">
        <v>377</v>
      </c>
      <c r="D34" s="350" t="s">
        <v>2</v>
      </c>
      <c r="E34" s="350">
        <v>192</v>
      </c>
      <c r="F34" s="122"/>
    </row>
    <row r="35" spans="1:6" x14ac:dyDescent="0.2">
      <c r="A35" s="122"/>
      <c r="B35" s="352">
        <v>2.2999999999999998</v>
      </c>
      <c r="C35" s="348" t="s">
        <v>368</v>
      </c>
      <c r="D35" s="350" t="s">
        <v>187</v>
      </c>
      <c r="E35" s="350">
        <v>192</v>
      </c>
      <c r="F35" s="122"/>
    </row>
    <row r="36" spans="1:6" x14ac:dyDescent="0.2">
      <c r="A36" s="122"/>
      <c r="B36" s="352">
        <v>2.5</v>
      </c>
      <c r="C36" s="348" t="s">
        <v>494</v>
      </c>
      <c r="D36" s="350" t="s">
        <v>187</v>
      </c>
      <c r="E36" s="353">
        <v>198</v>
      </c>
      <c r="F36" s="122"/>
    </row>
    <row r="37" spans="1:6" x14ac:dyDescent="0.2">
      <c r="A37" s="122"/>
      <c r="B37" s="350"/>
      <c r="C37" s="348"/>
      <c r="D37" s="350"/>
      <c r="E37" s="350"/>
      <c r="F37" s="122"/>
    </row>
    <row r="38" spans="1:6" ht="14.4" x14ac:dyDescent="0.3">
      <c r="A38" s="122"/>
      <c r="B38" s="351">
        <v>3</v>
      </c>
      <c r="C38" s="347" t="s">
        <v>370</v>
      </c>
      <c r="D38" s="350"/>
      <c r="E38" s="350"/>
      <c r="F38" s="122"/>
    </row>
    <row r="39" spans="1:6" x14ac:dyDescent="0.2">
      <c r="A39" s="122"/>
      <c r="B39" s="352">
        <v>3.1</v>
      </c>
      <c r="C39" s="348" t="s">
        <v>371</v>
      </c>
      <c r="D39" s="350" t="s">
        <v>2</v>
      </c>
      <c r="E39" s="350">
        <v>8</v>
      </c>
      <c r="F39" s="122"/>
    </row>
    <row r="40" spans="1:6" x14ac:dyDescent="0.2">
      <c r="A40" s="122"/>
      <c r="B40" s="350"/>
      <c r="C40" s="348"/>
      <c r="D40" s="350"/>
      <c r="E40" s="350"/>
      <c r="F40" s="122"/>
    </row>
    <row r="41" spans="1:6" ht="14.4" x14ac:dyDescent="0.3">
      <c r="A41" s="122"/>
      <c r="B41" s="351">
        <v>4</v>
      </c>
      <c r="C41" s="347" t="s">
        <v>372</v>
      </c>
      <c r="D41" s="350"/>
      <c r="E41" s="350"/>
      <c r="F41" s="122"/>
    </row>
    <row r="42" spans="1:6" x14ac:dyDescent="0.2">
      <c r="A42" s="122"/>
      <c r="B42" s="352">
        <v>4.0999999999999996</v>
      </c>
      <c r="C42" s="348" t="s">
        <v>494</v>
      </c>
      <c r="D42" s="350" t="s">
        <v>187</v>
      </c>
      <c r="E42" s="353">
        <v>176</v>
      </c>
      <c r="F42" s="122"/>
    </row>
    <row r="43" spans="1:6" x14ac:dyDescent="0.2">
      <c r="A43" s="122"/>
      <c r="B43" s="352">
        <v>4.2</v>
      </c>
      <c r="C43" s="348" t="s">
        <v>373</v>
      </c>
      <c r="D43" s="350" t="s">
        <v>187</v>
      </c>
      <c r="E43" s="350">
        <v>170</v>
      </c>
      <c r="F43" s="122"/>
    </row>
    <row r="44" spans="1:6" x14ac:dyDescent="0.2">
      <c r="A44" s="122"/>
      <c r="B44" s="352">
        <v>4.3</v>
      </c>
      <c r="C44" s="348" t="s">
        <v>374</v>
      </c>
      <c r="D44" s="350" t="s">
        <v>2</v>
      </c>
      <c r="E44" s="350">
        <v>35</v>
      </c>
      <c r="F44" s="122"/>
    </row>
    <row r="45" spans="1:6" x14ac:dyDescent="0.2">
      <c r="A45" s="122"/>
      <c r="B45" s="122"/>
      <c r="C45" s="122"/>
      <c r="D45" s="122"/>
      <c r="E45" s="122"/>
      <c r="F45" s="122"/>
    </row>
    <row r="46" spans="1:6" x14ac:dyDescent="0.2">
      <c r="A46" s="122"/>
      <c r="B46" s="122"/>
      <c r="C46" s="122"/>
      <c r="D46" s="122"/>
      <c r="E46" s="122"/>
      <c r="F46" s="122"/>
    </row>
  </sheetData>
  <mergeCells count="2">
    <mergeCell ref="B2:E2"/>
    <mergeCell ref="B24:E24"/>
  </mergeCells>
  <pageMargins left="0.7" right="0.7" top="0.75" bottom="0.75" header="0.3" footer="0.3"/>
  <pageSetup paperSize="9" orientation="portrait" r:id="rId1"/>
  <colBreaks count="1" manualBreakCount="1">
    <brk id="5" max="1048575"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60814-8378-4723-867B-733BFB845CF1}">
  <dimension ref="A1:G74"/>
  <sheetViews>
    <sheetView workbookViewId="0"/>
  </sheetViews>
  <sheetFormatPr baseColWidth="10" defaultRowHeight="10.199999999999999" x14ac:dyDescent="0.2"/>
  <cols>
    <col min="1" max="1" width="247.28515625" bestFit="1" customWidth="1"/>
    <col min="2" max="2" width="89.42578125" bestFit="1" customWidth="1"/>
    <col min="3" max="3" width="26" bestFit="1" customWidth="1"/>
    <col min="4" max="4" width="20.42578125" bestFit="1" customWidth="1"/>
    <col min="5" max="5" width="16.140625" bestFit="1" customWidth="1"/>
    <col min="6" max="6" width="57.7109375" bestFit="1" customWidth="1"/>
    <col min="7" max="7" width="17.42578125" bestFit="1" customWidth="1"/>
  </cols>
  <sheetData>
    <row r="1" spans="1:7" ht="17.399999999999999" x14ac:dyDescent="0.2">
      <c r="A1" s="421" t="s">
        <v>537</v>
      </c>
    </row>
    <row r="2" spans="1:7" x14ac:dyDescent="0.2">
      <c r="A2" t="s">
        <v>538</v>
      </c>
    </row>
    <row r="3" spans="1:7" x14ac:dyDescent="0.2">
      <c r="A3" t="s">
        <v>539</v>
      </c>
    </row>
    <row r="4" spans="1:7" x14ac:dyDescent="0.2">
      <c r="A4" s="422" t="s">
        <v>540</v>
      </c>
    </row>
    <row r="6" spans="1:7" x14ac:dyDescent="0.2">
      <c r="A6" s="420" t="s">
        <v>541</v>
      </c>
    </row>
    <row r="7" spans="1:7" x14ac:dyDescent="0.2">
      <c r="A7" s="420" t="s">
        <v>542</v>
      </c>
      <c r="B7" s="420" t="s">
        <v>543</v>
      </c>
      <c r="C7" s="420" t="s">
        <v>236</v>
      </c>
      <c r="D7" s="420" t="s">
        <v>544</v>
      </c>
      <c r="E7" s="420" t="s">
        <v>545</v>
      </c>
      <c r="F7" s="420" t="s">
        <v>546</v>
      </c>
      <c r="G7" s="420" t="s">
        <v>547</v>
      </c>
    </row>
    <row r="8" spans="1:7" x14ac:dyDescent="0.2">
      <c r="A8">
        <v>1.1000000000000001</v>
      </c>
      <c r="B8" t="s">
        <v>548</v>
      </c>
      <c r="C8">
        <v>1.5</v>
      </c>
      <c r="D8">
        <v>0</v>
      </c>
      <c r="E8">
        <v>936</v>
      </c>
      <c r="F8" t="s">
        <v>549</v>
      </c>
      <c r="G8">
        <v>936</v>
      </c>
    </row>
    <row r="9" spans="1:7" x14ac:dyDescent="0.2">
      <c r="A9">
        <v>1.2</v>
      </c>
      <c r="B9" t="s">
        <v>152</v>
      </c>
      <c r="C9">
        <v>4</v>
      </c>
      <c r="D9">
        <v>33.6</v>
      </c>
      <c r="E9">
        <v>0</v>
      </c>
      <c r="G9">
        <v>33.6</v>
      </c>
    </row>
    <row r="10" spans="1:7" x14ac:dyDescent="0.2">
      <c r="A10">
        <v>1.3</v>
      </c>
      <c r="B10" t="s">
        <v>550</v>
      </c>
      <c r="C10">
        <v>1.5</v>
      </c>
      <c r="D10">
        <v>0</v>
      </c>
      <c r="E10">
        <v>187.2</v>
      </c>
      <c r="F10" t="s">
        <v>551</v>
      </c>
      <c r="G10">
        <v>187.2</v>
      </c>
    </row>
    <row r="11" spans="1:7" x14ac:dyDescent="0.2">
      <c r="A11" t="s">
        <v>330</v>
      </c>
      <c r="B11" t="s">
        <v>552</v>
      </c>
      <c r="C11">
        <v>11.52</v>
      </c>
      <c r="D11">
        <v>6.45</v>
      </c>
      <c r="E11">
        <v>0</v>
      </c>
      <c r="G11">
        <v>6.45</v>
      </c>
    </row>
    <row r="12" spans="1:7" x14ac:dyDescent="0.2">
      <c r="A12" t="s">
        <v>331</v>
      </c>
      <c r="B12" t="s">
        <v>553</v>
      </c>
      <c r="C12">
        <v>24</v>
      </c>
      <c r="D12">
        <v>20.16</v>
      </c>
      <c r="E12">
        <v>0</v>
      </c>
      <c r="G12">
        <v>20.16</v>
      </c>
    </row>
    <row r="13" spans="1:7" x14ac:dyDescent="0.2">
      <c r="A13" t="s">
        <v>333</v>
      </c>
      <c r="B13" t="s">
        <v>554</v>
      </c>
      <c r="C13">
        <v>24</v>
      </c>
      <c r="D13">
        <v>6.72</v>
      </c>
      <c r="E13">
        <v>0</v>
      </c>
      <c r="G13">
        <v>6.72</v>
      </c>
    </row>
    <row r="14" spans="1:7" x14ac:dyDescent="0.2">
      <c r="A14" t="s">
        <v>335</v>
      </c>
      <c r="B14" t="s">
        <v>555</v>
      </c>
      <c r="C14">
        <v>24</v>
      </c>
      <c r="D14">
        <v>0</v>
      </c>
      <c r="E14">
        <v>44.87</v>
      </c>
      <c r="F14" t="s">
        <v>556</v>
      </c>
      <c r="G14">
        <v>44.87</v>
      </c>
    </row>
    <row r="15" spans="1:7" x14ac:dyDescent="0.2">
      <c r="A15" t="s">
        <v>422</v>
      </c>
      <c r="B15" t="s">
        <v>557</v>
      </c>
      <c r="C15">
        <v>24</v>
      </c>
      <c r="D15">
        <v>14.88</v>
      </c>
      <c r="E15">
        <v>0</v>
      </c>
      <c r="G15">
        <v>14.88</v>
      </c>
    </row>
    <row r="16" spans="1:7" x14ac:dyDescent="0.2">
      <c r="A16" t="s">
        <v>423</v>
      </c>
      <c r="B16" t="s">
        <v>558</v>
      </c>
      <c r="C16">
        <v>5.76</v>
      </c>
      <c r="D16">
        <v>1.1499999999999999</v>
      </c>
      <c r="E16">
        <v>0</v>
      </c>
      <c r="G16">
        <v>1.1499999999999999</v>
      </c>
    </row>
    <row r="17" spans="1:7" x14ac:dyDescent="0.2">
      <c r="A17" t="s">
        <v>424</v>
      </c>
      <c r="B17" t="s">
        <v>559</v>
      </c>
      <c r="C17">
        <v>11.52</v>
      </c>
      <c r="D17">
        <v>31.49</v>
      </c>
      <c r="E17">
        <v>0</v>
      </c>
      <c r="G17">
        <v>31.49</v>
      </c>
    </row>
    <row r="18" spans="1:7" x14ac:dyDescent="0.2">
      <c r="A18" t="s">
        <v>425</v>
      </c>
      <c r="B18" t="s">
        <v>560</v>
      </c>
      <c r="C18">
        <v>11.52</v>
      </c>
      <c r="D18">
        <v>3.46</v>
      </c>
      <c r="E18">
        <v>0</v>
      </c>
      <c r="G18">
        <v>3.46</v>
      </c>
    </row>
    <row r="19" spans="1:7" x14ac:dyDescent="0.2">
      <c r="A19" t="s">
        <v>337</v>
      </c>
      <c r="B19" t="s">
        <v>561</v>
      </c>
      <c r="C19">
        <v>76.8</v>
      </c>
      <c r="D19">
        <v>43.02</v>
      </c>
      <c r="E19">
        <v>0</v>
      </c>
      <c r="G19">
        <v>43.02</v>
      </c>
    </row>
    <row r="20" spans="1:7" x14ac:dyDescent="0.2">
      <c r="A20" t="s">
        <v>338</v>
      </c>
      <c r="B20" t="s">
        <v>553</v>
      </c>
      <c r="C20">
        <v>160</v>
      </c>
      <c r="D20">
        <v>134.4</v>
      </c>
      <c r="E20">
        <v>0</v>
      </c>
      <c r="G20">
        <v>134.4</v>
      </c>
    </row>
    <row r="21" spans="1:7" x14ac:dyDescent="0.2">
      <c r="A21" t="s">
        <v>339</v>
      </c>
      <c r="B21" t="s">
        <v>554</v>
      </c>
      <c r="C21">
        <v>160</v>
      </c>
      <c r="D21">
        <v>44.78</v>
      </c>
      <c r="E21">
        <v>0</v>
      </c>
      <c r="G21">
        <v>44.78</v>
      </c>
    </row>
    <row r="22" spans="1:7" x14ac:dyDescent="0.2">
      <c r="A22" t="s">
        <v>340</v>
      </c>
      <c r="B22" t="s">
        <v>555</v>
      </c>
      <c r="C22">
        <v>160</v>
      </c>
      <c r="D22">
        <v>0</v>
      </c>
      <c r="E22">
        <v>299.14</v>
      </c>
      <c r="F22" t="s">
        <v>556</v>
      </c>
      <c r="G22">
        <v>299.14</v>
      </c>
    </row>
    <row r="23" spans="1:7" x14ac:dyDescent="0.2">
      <c r="A23" t="s">
        <v>426</v>
      </c>
      <c r="B23" t="s">
        <v>557</v>
      </c>
      <c r="C23">
        <v>160</v>
      </c>
      <c r="D23">
        <v>99.2</v>
      </c>
      <c r="E23">
        <v>0</v>
      </c>
      <c r="G23">
        <v>99.2</v>
      </c>
    </row>
    <row r="24" spans="1:7" x14ac:dyDescent="0.2">
      <c r="A24" t="s">
        <v>427</v>
      </c>
      <c r="B24" t="s">
        <v>558</v>
      </c>
      <c r="C24">
        <v>38.4</v>
      </c>
      <c r="D24">
        <v>7.68</v>
      </c>
      <c r="E24">
        <v>0</v>
      </c>
      <c r="G24">
        <v>7.68</v>
      </c>
    </row>
    <row r="25" spans="1:7" x14ac:dyDescent="0.2">
      <c r="A25" t="s">
        <v>428</v>
      </c>
      <c r="B25" t="s">
        <v>559</v>
      </c>
      <c r="C25">
        <v>76.8</v>
      </c>
      <c r="D25">
        <v>209.93</v>
      </c>
      <c r="E25">
        <v>0</v>
      </c>
      <c r="G25">
        <v>209.93</v>
      </c>
    </row>
    <row r="26" spans="1:7" x14ac:dyDescent="0.2">
      <c r="A26" t="s">
        <v>429</v>
      </c>
      <c r="B26" t="s">
        <v>560</v>
      </c>
      <c r="C26">
        <v>76.8</v>
      </c>
      <c r="D26">
        <v>23.04</v>
      </c>
      <c r="E26">
        <v>0</v>
      </c>
      <c r="G26">
        <v>23.04</v>
      </c>
    </row>
    <row r="27" spans="1:7" x14ac:dyDescent="0.2">
      <c r="A27" t="s">
        <v>342</v>
      </c>
      <c r="B27" t="s">
        <v>562</v>
      </c>
      <c r="C27">
        <v>8</v>
      </c>
      <c r="D27">
        <v>0</v>
      </c>
      <c r="E27">
        <v>72.97</v>
      </c>
      <c r="F27" t="s">
        <v>563</v>
      </c>
      <c r="G27">
        <v>72.97</v>
      </c>
    </row>
    <row r="28" spans="1:7" x14ac:dyDescent="0.2">
      <c r="A28" t="s">
        <v>344</v>
      </c>
      <c r="B28" t="s">
        <v>564</v>
      </c>
      <c r="C28">
        <v>8</v>
      </c>
      <c r="D28">
        <v>25.6</v>
      </c>
      <c r="E28">
        <v>0</v>
      </c>
      <c r="G28">
        <v>25.6</v>
      </c>
    </row>
    <row r="29" spans="1:7" x14ac:dyDescent="0.2">
      <c r="A29" t="s">
        <v>347</v>
      </c>
      <c r="B29" t="s">
        <v>565</v>
      </c>
      <c r="C29">
        <v>1</v>
      </c>
      <c r="D29">
        <v>8</v>
      </c>
      <c r="E29">
        <v>0</v>
      </c>
      <c r="G29">
        <v>8</v>
      </c>
    </row>
    <row r="30" spans="1:7" x14ac:dyDescent="0.2">
      <c r="A30" t="s">
        <v>349</v>
      </c>
      <c r="B30" t="s">
        <v>566</v>
      </c>
      <c r="C30">
        <v>165</v>
      </c>
      <c r="D30">
        <v>110.88</v>
      </c>
      <c r="E30">
        <v>0</v>
      </c>
      <c r="G30">
        <v>110.88</v>
      </c>
    </row>
    <row r="31" spans="1:7" x14ac:dyDescent="0.2">
      <c r="A31" t="s">
        <v>353</v>
      </c>
      <c r="B31" t="s">
        <v>567</v>
      </c>
      <c r="C31">
        <v>14.4</v>
      </c>
      <c r="D31">
        <v>8.07</v>
      </c>
      <c r="E31">
        <v>0</v>
      </c>
      <c r="G31">
        <v>8.07</v>
      </c>
    </row>
    <row r="32" spans="1:7" x14ac:dyDescent="0.2">
      <c r="A32" t="s">
        <v>354</v>
      </c>
      <c r="B32" t="s">
        <v>553</v>
      </c>
      <c r="C32">
        <v>24</v>
      </c>
      <c r="D32">
        <v>20.16</v>
      </c>
      <c r="E32">
        <v>0</v>
      </c>
      <c r="G32">
        <v>20.16</v>
      </c>
    </row>
    <row r="33" spans="1:7" x14ac:dyDescent="0.2">
      <c r="A33" t="s">
        <v>355</v>
      </c>
      <c r="B33" t="s">
        <v>554</v>
      </c>
      <c r="C33">
        <v>24</v>
      </c>
      <c r="D33">
        <v>6.72</v>
      </c>
      <c r="E33">
        <v>0</v>
      </c>
      <c r="G33">
        <v>6.72</v>
      </c>
    </row>
    <row r="34" spans="1:7" x14ac:dyDescent="0.2">
      <c r="A34" t="s">
        <v>356</v>
      </c>
      <c r="B34" t="s">
        <v>555</v>
      </c>
      <c r="C34">
        <v>24</v>
      </c>
      <c r="D34">
        <v>0</v>
      </c>
      <c r="E34">
        <v>44.87</v>
      </c>
      <c r="F34" t="s">
        <v>556</v>
      </c>
      <c r="G34">
        <v>44.87</v>
      </c>
    </row>
    <row r="35" spans="1:7" x14ac:dyDescent="0.2">
      <c r="A35" t="s">
        <v>430</v>
      </c>
      <c r="B35" t="s">
        <v>557</v>
      </c>
      <c r="C35">
        <v>24</v>
      </c>
      <c r="D35">
        <v>14.88</v>
      </c>
      <c r="E35">
        <v>0</v>
      </c>
      <c r="G35">
        <v>14.88</v>
      </c>
    </row>
    <row r="36" spans="1:7" x14ac:dyDescent="0.2">
      <c r="A36" t="s">
        <v>431</v>
      </c>
      <c r="B36" t="s">
        <v>558</v>
      </c>
      <c r="C36">
        <v>7.2</v>
      </c>
      <c r="D36">
        <v>1.44</v>
      </c>
      <c r="E36">
        <v>0</v>
      </c>
      <c r="G36">
        <v>1.44</v>
      </c>
    </row>
    <row r="37" spans="1:7" x14ac:dyDescent="0.2">
      <c r="A37" t="s">
        <v>432</v>
      </c>
      <c r="B37" t="s">
        <v>559</v>
      </c>
      <c r="C37">
        <v>14.4</v>
      </c>
      <c r="D37">
        <v>39.36</v>
      </c>
      <c r="E37">
        <v>0</v>
      </c>
      <c r="G37">
        <v>39.36</v>
      </c>
    </row>
    <row r="38" spans="1:7" x14ac:dyDescent="0.2">
      <c r="A38" t="s">
        <v>433</v>
      </c>
      <c r="B38" t="s">
        <v>560</v>
      </c>
      <c r="C38">
        <v>14.4</v>
      </c>
      <c r="D38">
        <v>4.32</v>
      </c>
      <c r="E38">
        <v>0</v>
      </c>
      <c r="G38">
        <v>4.32</v>
      </c>
    </row>
    <row r="39" spans="1:7" x14ac:dyDescent="0.2">
      <c r="A39" t="s">
        <v>357</v>
      </c>
      <c r="B39" t="s">
        <v>561</v>
      </c>
      <c r="C39">
        <v>92.16</v>
      </c>
      <c r="D39">
        <v>51.62</v>
      </c>
      <c r="E39">
        <v>0</v>
      </c>
      <c r="G39">
        <v>51.62</v>
      </c>
    </row>
    <row r="40" spans="1:7" x14ac:dyDescent="0.2">
      <c r="A40" t="s">
        <v>358</v>
      </c>
      <c r="B40" t="s">
        <v>553</v>
      </c>
      <c r="C40">
        <v>192</v>
      </c>
      <c r="D40">
        <v>161.28</v>
      </c>
      <c r="E40">
        <v>0</v>
      </c>
      <c r="G40">
        <v>161.28</v>
      </c>
    </row>
    <row r="41" spans="1:7" x14ac:dyDescent="0.2">
      <c r="A41" t="s">
        <v>359</v>
      </c>
      <c r="B41" t="s">
        <v>554</v>
      </c>
      <c r="C41">
        <v>192</v>
      </c>
      <c r="D41">
        <v>53.74</v>
      </c>
      <c r="E41">
        <v>0</v>
      </c>
      <c r="G41">
        <v>53.74</v>
      </c>
    </row>
    <row r="42" spans="1:7" x14ac:dyDescent="0.2">
      <c r="A42" t="s">
        <v>360</v>
      </c>
      <c r="B42" t="s">
        <v>555</v>
      </c>
      <c r="C42">
        <v>192</v>
      </c>
      <c r="D42">
        <v>0</v>
      </c>
      <c r="E42">
        <v>358.96</v>
      </c>
      <c r="F42" t="s">
        <v>556</v>
      </c>
      <c r="G42">
        <v>358.96</v>
      </c>
    </row>
    <row r="43" spans="1:7" x14ac:dyDescent="0.2">
      <c r="A43" t="s">
        <v>434</v>
      </c>
      <c r="B43" t="s">
        <v>557</v>
      </c>
      <c r="C43">
        <v>192</v>
      </c>
      <c r="D43">
        <v>119.04</v>
      </c>
      <c r="E43">
        <v>0</v>
      </c>
      <c r="G43">
        <v>119.04</v>
      </c>
    </row>
    <row r="44" spans="1:7" x14ac:dyDescent="0.2">
      <c r="A44" t="s">
        <v>435</v>
      </c>
      <c r="B44" t="s">
        <v>558</v>
      </c>
      <c r="C44">
        <v>46.08</v>
      </c>
      <c r="D44">
        <v>9.2200000000000006</v>
      </c>
      <c r="E44">
        <v>0</v>
      </c>
      <c r="G44">
        <v>9.2200000000000006</v>
      </c>
    </row>
    <row r="45" spans="1:7" x14ac:dyDescent="0.2">
      <c r="A45" t="s">
        <v>436</v>
      </c>
      <c r="B45" t="s">
        <v>559</v>
      </c>
      <c r="C45">
        <v>92.16</v>
      </c>
      <c r="D45">
        <v>251.91</v>
      </c>
      <c r="E45">
        <v>0</v>
      </c>
      <c r="G45">
        <v>251.91</v>
      </c>
    </row>
    <row r="46" spans="1:7" x14ac:dyDescent="0.2">
      <c r="A46" t="s">
        <v>437</v>
      </c>
      <c r="B46" t="s">
        <v>560</v>
      </c>
      <c r="C46">
        <v>92.16</v>
      </c>
      <c r="D46">
        <v>27.65</v>
      </c>
      <c r="E46">
        <v>0</v>
      </c>
      <c r="G46">
        <v>27.65</v>
      </c>
    </row>
    <row r="47" spans="1:7" x14ac:dyDescent="0.2">
      <c r="A47" t="s">
        <v>361</v>
      </c>
      <c r="B47" t="s">
        <v>562</v>
      </c>
      <c r="C47">
        <v>8</v>
      </c>
      <c r="D47">
        <v>1.6</v>
      </c>
      <c r="E47">
        <v>72.97</v>
      </c>
      <c r="F47" t="s">
        <v>563</v>
      </c>
      <c r="G47">
        <v>74.569999999999993</v>
      </c>
    </row>
    <row r="48" spans="1:7" x14ac:dyDescent="0.2">
      <c r="A48" t="s">
        <v>362</v>
      </c>
      <c r="B48" t="s">
        <v>564</v>
      </c>
      <c r="C48">
        <v>8</v>
      </c>
      <c r="D48">
        <v>25.6</v>
      </c>
      <c r="E48">
        <v>0</v>
      </c>
      <c r="G48">
        <v>25.6</v>
      </c>
    </row>
    <row r="49" spans="1:7" x14ac:dyDescent="0.2">
      <c r="A49" t="s">
        <v>527</v>
      </c>
      <c r="B49" t="s">
        <v>565</v>
      </c>
      <c r="C49">
        <v>1</v>
      </c>
      <c r="D49">
        <v>8</v>
      </c>
      <c r="E49">
        <v>0</v>
      </c>
      <c r="G49">
        <v>8</v>
      </c>
    </row>
    <row r="50" spans="1:7" x14ac:dyDescent="0.2">
      <c r="A50" t="s">
        <v>528</v>
      </c>
      <c r="B50" t="s">
        <v>566</v>
      </c>
      <c r="C50">
        <v>170</v>
      </c>
      <c r="D50">
        <v>114.24</v>
      </c>
      <c r="E50">
        <v>0</v>
      </c>
      <c r="G50">
        <v>114.24</v>
      </c>
    </row>
    <row r="51" spans="1:7" x14ac:dyDescent="0.2">
      <c r="A51">
        <v>4.0999999999999996</v>
      </c>
      <c r="B51" t="s">
        <v>568</v>
      </c>
      <c r="C51">
        <v>765</v>
      </c>
      <c r="D51">
        <v>160.65</v>
      </c>
      <c r="E51">
        <v>0</v>
      </c>
      <c r="G51">
        <v>160.65</v>
      </c>
    </row>
    <row r="52" spans="1:7" x14ac:dyDescent="0.2">
      <c r="A52">
        <v>5.0999999999999996</v>
      </c>
      <c r="B52" t="s">
        <v>569</v>
      </c>
      <c r="C52">
        <v>8</v>
      </c>
      <c r="D52">
        <v>198.4</v>
      </c>
      <c r="E52">
        <v>0</v>
      </c>
      <c r="G52">
        <v>198.4</v>
      </c>
    </row>
    <row r="53" spans="1:7" x14ac:dyDescent="0.2">
      <c r="A53">
        <v>6.1</v>
      </c>
      <c r="B53" t="s">
        <v>570</v>
      </c>
      <c r="C53">
        <v>45</v>
      </c>
      <c r="D53">
        <v>568.41999999999996</v>
      </c>
      <c r="E53">
        <v>0</v>
      </c>
      <c r="G53">
        <v>568.41999999999996</v>
      </c>
    </row>
    <row r="54" spans="1:7" x14ac:dyDescent="0.2">
      <c r="A54">
        <v>7.1</v>
      </c>
      <c r="B54" t="s">
        <v>571</v>
      </c>
      <c r="C54">
        <v>45</v>
      </c>
      <c r="D54">
        <v>0.36</v>
      </c>
      <c r="E54">
        <v>0</v>
      </c>
      <c r="G54">
        <v>0.36</v>
      </c>
    </row>
    <row r="55" spans="1:7" x14ac:dyDescent="0.2">
      <c r="A55">
        <v>8.1</v>
      </c>
      <c r="B55" t="s">
        <v>572</v>
      </c>
      <c r="C55">
        <v>1.5</v>
      </c>
      <c r="D55">
        <v>0</v>
      </c>
      <c r="E55">
        <v>624</v>
      </c>
      <c r="F55" t="s">
        <v>573</v>
      </c>
      <c r="G55">
        <v>624</v>
      </c>
    </row>
    <row r="56" spans="1:7" x14ac:dyDescent="0.2">
      <c r="B56" s="420" t="s">
        <v>67</v>
      </c>
      <c r="D56" s="420">
        <f>SUM(D8:D55)</f>
        <v>2671.1200000000003</v>
      </c>
      <c r="E56" s="420">
        <f>SUM(E8:E55)</f>
        <v>2640.98</v>
      </c>
      <c r="G56" s="420">
        <f>SUM(G8:G55)</f>
        <v>5312.0999999999995</v>
      </c>
    </row>
    <row r="59" spans="1:7" x14ac:dyDescent="0.2">
      <c r="A59" s="420" t="s">
        <v>574</v>
      </c>
    </row>
    <row r="60" spans="1:7" x14ac:dyDescent="0.2">
      <c r="A60" s="420" t="s">
        <v>575</v>
      </c>
      <c r="B60" s="420" t="s">
        <v>576</v>
      </c>
      <c r="C60" s="420" t="s">
        <v>577</v>
      </c>
      <c r="D60" s="420" t="s">
        <v>578</v>
      </c>
      <c r="E60" s="420" t="s">
        <v>579</v>
      </c>
    </row>
    <row r="61" spans="1:7" x14ac:dyDescent="0.2">
      <c r="A61" t="s">
        <v>580</v>
      </c>
      <c r="B61">
        <v>104.16</v>
      </c>
      <c r="C61">
        <v>37.21</v>
      </c>
      <c r="D61">
        <v>31.2</v>
      </c>
      <c r="E61">
        <v>172.57</v>
      </c>
    </row>
    <row r="62" spans="1:7" x14ac:dyDescent="0.2">
      <c r="A62" t="s">
        <v>581</v>
      </c>
      <c r="B62">
        <v>99.49</v>
      </c>
      <c r="C62">
        <v>0</v>
      </c>
      <c r="D62">
        <v>0</v>
      </c>
      <c r="E62">
        <v>99.49</v>
      </c>
    </row>
    <row r="63" spans="1:7" x14ac:dyDescent="0.2">
      <c r="A63" t="s">
        <v>582</v>
      </c>
      <c r="B63">
        <v>422.14</v>
      </c>
      <c r="C63">
        <v>0</v>
      </c>
      <c r="D63">
        <v>0</v>
      </c>
      <c r="E63">
        <v>422.14</v>
      </c>
    </row>
    <row r="64" spans="1:7" x14ac:dyDescent="0.2">
      <c r="A64" t="s">
        <v>583</v>
      </c>
      <c r="B64">
        <v>342.14</v>
      </c>
      <c r="C64">
        <v>0</v>
      </c>
      <c r="D64">
        <v>0</v>
      </c>
      <c r="E64">
        <v>342.14</v>
      </c>
    </row>
    <row r="65" spans="1:5" x14ac:dyDescent="0.2">
      <c r="A65" t="s">
        <v>584</v>
      </c>
      <c r="B65">
        <v>309.32</v>
      </c>
      <c r="C65">
        <v>342.66</v>
      </c>
      <c r="D65">
        <v>0</v>
      </c>
      <c r="E65">
        <v>651.98</v>
      </c>
    </row>
    <row r="66" spans="1:5" x14ac:dyDescent="0.2">
      <c r="A66" t="s">
        <v>585</v>
      </c>
      <c r="B66">
        <v>401.93</v>
      </c>
      <c r="C66">
        <v>391.93</v>
      </c>
      <c r="D66">
        <v>156</v>
      </c>
      <c r="E66">
        <v>949.86</v>
      </c>
    </row>
    <row r="67" spans="1:5" x14ac:dyDescent="0.2">
      <c r="A67" t="s">
        <v>586</v>
      </c>
      <c r="B67">
        <v>587.08000000000004</v>
      </c>
      <c r="C67">
        <v>121.98</v>
      </c>
      <c r="D67">
        <v>0</v>
      </c>
      <c r="E67">
        <v>709.06</v>
      </c>
    </row>
    <row r="68" spans="1:5" x14ac:dyDescent="0.2">
      <c r="A68" t="s">
        <v>587</v>
      </c>
      <c r="B68">
        <v>37.450000000000003</v>
      </c>
      <c r="C68">
        <v>0</v>
      </c>
      <c r="D68">
        <v>0</v>
      </c>
      <c r="E68">
        <v>37.450000000000003</v>
      </c>
    </row>
    <row r="69" spans="1:5" x14ac:dyDescent="0.2">
      <c r="A69" t="s">
        <v>588</v>
      </c>
      <c r="B69">
        <v>183.7</v>
      </c>
      <c r="C69">
        <v>0</v>
      </c>
      <c r="D69">
        <v>0</v>
      </c>
      <c r="E69">
        <v>183.7</v>
      </c>
    </row>
    <row r="70" spans="1:5" x14ac:dyDescent="0.2">
      <c r="A70" t="s">
        <v>589</v>
      </c>
      <c r="B70">
        <v>183.7</v>
      </c>
      <c r="C70">
        <v>0</v>
      </c>
      <c r="D70">
        <v>0</v>
      </c>
      <c r="E70">
        <v>183.7</v>
      </c>
    </row>
    <row r="71" spans="1:5" x14ac:dyDescent="0.2">
      <c r="A71" t="s">
        <v>94</v>
      </c>
      <c r="B71">
        <v>0</v>
      </c>
      <c r="C71">
        <v>0</v>
      </c>
      <c r="D71">
        <v>936</v>
      </c>
      <c r="E71">
        <v>936</v>
      </c>
    </row>
    <row r="72" spans="1:5" x14ac:dyDescent="0.2">
      <c r="A72" t="s">
        <v>590</v>
      </c>
      <c r="B72">
        <v>0</v>
      </c>
      <c r="C72">
        <v>0</v>
      </c>
      <c r="D72">
        <v>312</v>
      </c>
      <c r="E72">
        <v>312</v>
      </c>
    </row>
    <row r="73" spans="1:5" x14ac:dyDescent="0.2">
      <c r="A73" t="s">
        <v>591</v>
      </c>
      <c r="B73">
        <v>0</v>
      </c>
      <c r="C73">
        <v>0</v>
      </c>
      <c r="D73">
        <v>312</v>
      </c>
      <c r="E73">
        <v>312</v>
      </c>
    </row>
    <row r="74" spans="1:5" x14ac:dyDescent="0.2">
      <c r="A74" s="420" t="s">
        <v>67</v>
      </c>
      <c r="B74" s="420">
        <f>SUM(B61:B73)</f>
        <v>2671.1099999999997</v>
      </c>
      <c r="C74" s="420">
        <f>SUM(C61:C73)</f>
        <v>893.78</v>
      </c>
      <c r="D74" s="420">
        <f>SUM(D61:D73)</f>
        <v>1747.2</v>
      </c>
      <c r="E74" s="420">
        <f>SUM(E61:E73)</f>
        <v>5312.09</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6</vt:i4>
      </vt:variant>
    </vt:vector>
  </HeadingPairs>
  <TitlesOfParts>
    <vt:vector size="14" baseType="lpstr">
      <vt:lpstr>PRESUPUESTO</vt:lpstr>
      <vt:lpstr>CD</vt:lpstr>
      <vt:lpstr>APU</vt:lpstr>
      <vt:lpstr>PS..</vt:lpstr>
      <vt:lpstr>GG</vt:lpstr>
      <vt:lpstr>COMBUSTIBLE</vt:lpstr>
      <vt:lpstr>METRADO</vt:lpstr>
      <vt:lpstr>Ajuste HH MOD</vt:lpstr>
      <vt:lpstr>APU!Print_Area</vt:lpstr>
      <vt:lpstr>CD!Print_Area</vt:lpstr>
      <vt:lpstr>GG!Print_Area</vt:lpstr>
      <vt:lpstr>METRADO!Print_Area</vt:lpstr>
      <vt:lpstr>PRESUPUESTO!Print_Area</vt:lpstr>
      <vt:lpstr>PS..!Print_Area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Intel</dc:creator>
  <cp:lastModifiedBy>BRANDY</cp:lastModifiedBy>
  <cp:lastPrinted>2026-07-13T22:38:30Z</cp:lastPrinted>
  <dcterms:created xsi:type="dcterms:W3CDTF">2017-11-09T01:07:20Z</dcterms:created>
  <dcterms:modified xsi:type="dcterms:W3CDTF">2026-09-15T19:43:08Z</dcterms:modified>
</cp:coreProperties>
</file>