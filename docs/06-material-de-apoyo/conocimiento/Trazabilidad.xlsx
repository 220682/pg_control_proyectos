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namedSheetViews/namedSheetView1.xml" ContentType="application/vnd.ms-excel.namedsheetview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tables/table1.xml" ContentType="application/vnd.openxmlformats-officedocument.spreadsheetml.table+xml"/>
  <Override PartName="/xl/charts/chart1.xml" ContentType="application/vnd.openxmlformats-officedocument.drawingml.chart+xml"/>
  <Override PartName="/xl/drawings/drawing4.xml" ContentType="application/vnd.openxmlformats-officedocument.drawing+xml"/>
  <Override PartName="/xl/namedSheetViews/namedSheetView2.xml" ContentType="application/vnd.ms-excel.namedsheetviews+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mc:AlternateContent xmlns:mc="http://schemas.openxmlformats.org/markup-compatibility/2006">
    <mc:Choice Requires="x15">
      <x15ac:absPath xmlns:x15ac="http://schemas.microsoft.com/office/spreadsheetml/2010/11/ac" url="D:\VICTOR\CLAUDE CODE\pg_control_proyectos\docs\06-material-de-apoyo\conocimiento\"/>
    </mc:Choice>
  </mc:AlternateContent>
  <xr:revisionPtr revIDLastSave="0" documentId="13_ncr:1_{1389CCB1-213F-4268-9F17-5A6471BE597B}" xr6:coauthVersionLast="47" xr6:coauthVersionMax="47" xr10:uidLastSave="{00000000-0000-0000-0000-000000000000}"/>
  <bookViews>
    <workbookView xWindow="768" yWindow="1188" windowWidth="22272" windowHeight="11052" tabRatio="909" xr2:uid="{00000000-000D-0000-FFFF-FFFF00000000}"/>
  </bookViews>
  <sheets>
    <sheet name="3WLA-movimiento de tierra" sheetId="35" r:id="rId1"/>
    <sheet name="Trazabilidad" sheetId="14" r:id="rId2"/>
    <sheet name="OT" sheetId="16" r:id="rId3"/>
    <sheet name="CS" sheetId="15" r:id="rId4"/>
    <sheet name="DP plantilla (2)" sheetId="34" r:id="rId5"/>
    <sheet name="CURVA S" sheetId="19" r:id="rId6"/>
    <sheet name="3WLA" sheetId="12" r:id="rId7"/>
    <sheet name="RDT" sheetId="7" r:id="rId8"/>
    <sheet name="PR" sheetId="4" r:id="rId9"/>
    <sheet name="DP plantilla" sheetId="5" r:id="rId10"/>
    <sheet name="CD" sheetId="18" r:id="rId11"/>
    <sheet name="APU" sheetId="17" r:id="rId12"/>
  </sheets>
  <definedNames>
    <definedName name="_xlnm.Print_Area" localSheetId="3">CS!$A$1:$W$15</definedName>
    <definedName name="_xlnm.Print_Area" localSheetId="2">OT!$A$1:$O$66</definedName>
    <definedName name="_xlnm.Print_Area" localSheetId="8">PR!$A$1:$J$91</definedName>
    <definedName name="_xlnm.Print_Area" localSheetId="7">RDT!$A$1:$AC$43</definedName>
    <definedName name="FECHA_CORTE_PRUEBA1" localSheetId="0">#REF!</definedName>
    <definedName name="FECHA_CORTE_PRUEBA1">#REF!</definedName>
    <definedName name="Print_Area" localSheetId="4">'DP plantilla (2)'!$B$1:$G$112</definedName>
    <definedName name="Print_Area" localSheetId="8">PR!$A$1:$J$91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W72" i="35" l="1"/>
  <c r="X72" i="35" s="1"/>
  <c r="Y72" i="35" s="1"/>
  <c r="V72" i="35"/>
  <c r="Q72" i="35"/>
  <c r="P72" i="35"/>
  <c r="AJ71" i="35"/>
  <c r="X70" i="35"/>
  <c r="Y70" i="35" s="1"/>
  <c r="W70" i="35"/>
  <c r="V70" i="35"/>
  <c r="Q70" i="35"/>
  <c r="P70" i="35"/>
  <c r="AJ69" i="35"/>
  <c r="W68" i="35"/>
  <c r="V68" i="35"/>
  <c r="Q68" i="35"/>
  <c r="P68" i="35"/>
  <c r="AJ67" i="35"/>
  <c r="W66" i="35"/>
  <c r="X66" i="35" s="1"/>
  <c r="Y66" i="35" s="1"/>
  <c r="V66" i="35"/>
  <c r="Q66" i="35"/>
  <c r="P66" i="35"/>
  <c r="AJ65" i="35"/>
  <c r="W64" i="35"/>
  <c r="X64" i="35" s="1"/>
  <c r="Y64" i="35" s="1"/>
  <c r="V64" i="35"/>
  <c r="Q64" i="35"/>
  <c r="P64" i="35"/>
  <c r="AJ63" i="35"/>
  <c r="W62" i="35"/>
  <c r="X62" i="35" s="1"/>
  <c r="Y62" i="35" s="1"/>
  <c r="V62" i="35"/>
  <c r="Q62" i="35"/>
  <c r="P62" i="35"/>
  <c r="W61" i="35"/>
  <c r="X61" i="35" s="1"/>
  <c r="Y61" i="35" s="1"/>
  <c r="V61" i="35"/>
  <c r="Q61" i="35"/>
  <c r="P61" i="35"/>
  <c r="AJ60" i="35"/>
  <c r="W59" i="35"/>
  <c r="X59" i="35" s="1"/>
  <c r="Y59" i="35" s="1"/>
  <c r="V59" i="35"/>
  <c r="Q59" i="35"/>
  <c r="P59" i="35"/>
  <c r="W58" i="35"/>
  <c r="V58" i="35"/>
  <c r="Q58" i="35"/>
  <c r="P58" i="35"/>
  <c r="AJ57" i="35"/>
  <c r="W56" i="35"/>
  <c r="X56" i="35" s="1"/>
  <c r="Y56" i="35" s="1"/>
  <c r="V56" i="35"/>
  <c r="Q56" i="35"/>
  <c r="P56" i="35"/>
  <c r="W55" i="35"/>
  <c r="X55" i="35" s="1"/>
  <c r="Y55" i="35" s="1"/>
  <c r="V55" i="35"/>
  <c r="Q55" i="35"/>
  <c r="P55" i="35"/>
  <c r="W54" i="35"/>
  <c r="X54" i="35" s="1"/>
  <c r="Y54" i="35" s="1"/>
  <c r="V54" i="35"/>
  <c r="Q54" i="35"/>
  <c r="P54" i="35"/>
  <c r="W53" i="35"/>
  <c r="X53" i="35" s="1"/>
  <c r="Y53" i="35" s="1"/>
  <c r="V53" i="35"/>
  <c r="Q53" i="35"/>
  <c r="P53" i="35"/>
  <c r="W52" i="35"/>
  <c r="X52" i="35" s="1"/>
  <c r="Y52" i="35" s="1"/>
  <c r="V52" i="35"/>
  <c r="Q52" i="35"/>
  <c r="P52" i="35"/>
  <c r="W51" i="35"/>
  <c r="V51" i="35"/>
  <c r="Q51" i="35"/>
  <c r="P51" i="35"/>
  <c r="W50" i="35"/>
  <c r="X50" i="35" s="1"/>
  <c r="Y50" i="35" s="1"/>
  <c r="V50" i="35"/>
  <c r="Q50" i="35"/>
  <c r="P50" i="35"/>
  <c r="W49" i="35"/>
  <c r="X49" i="35" s="1"/>
  <c r="Y49" i="35" s="1"/>
  <c r="V49" i="35"/>
  <c r="Q49" i="35"/>
  <c r="P49" i="35"/>
  <c r="AJ48" i="35"/>
  <c r="W47" i="35"/>
  <c r="X47" i="35" s="1"/>
  <c r="Y47" i="35" s="1"/>
  <c r="V47" i="35"/>
  <c r="Q47" i="35"/>
  <c r="P47" i="35"/>
  <c r="W46" i="35"/>
  <c r="V46" i="35"/>
  <c r="Q46" i="35"/>
  <c r="P46" i="35"/>
  <c r="W45" i="35"/>
  <c r="V45" i="35"/>
  <c r="Q45" i="35"/>
  <c r="P45" i="35"/>
  <c r="W44" i="35"/>
  <c r="X44" i="35" s="1"/>
  <c r="Y44" i="35" s="1"/>
  <c r="V44" i="35"/>
  <c r="Q44" i="35"/>
  <c r="P44" i="35"/>
  <c r="W43" i="35"/>
  <c r="V43" i="35"/>
  <c r="Q43" i="35"/>
  <c r="P43" i="35"/>
  <c r="W42" i="35"/>
  <c r="V42" i="35"/>
  <c r="Q42" i="35"/>
  <c r="P42" i="35"/>
  <c r="W41" i="35"/>
  <c r="X41" i="35" s="1"/>
  <c r="Y41" i="35" s="1"/>
  <c r="V41" i="35"/>
  <c r="Q41" i="35"/>
  <c r="P41" i="35"/>
  <c r="W40" i="35"/>
  <c r="X40" i="35" s="1"/>
  <c r="Y40" i="35" s="1"/>
  <c r="V40" i="35"/>
  <c r="Q40" i="35"/>
  <c r="P40" i="35"/>
  <c r="AJ39" i="35"/>
  <c r="W38" i="35"/>
  <c r="X38" i="35" s="1"/>
  <c r="Y38" i="35" s="1"/>
  <c r="V38" i="35"/>
  <c r="Q38" i="35"/>
  <c r="P38" i="35"/>
  <c r="W37" i="35"/>
  <c r="X37" i="35" s="1"/>
  <c r="Y37" i="35" s="1"/>
  <c r="V37" i="35"/>
  <c r="Q37" i="35"/>
  <c r="P37" i="35"/>
  <c r="AJ36" i="35"/>
  <c r="W35" i="35"/>
  <c r="X35" i="35" s="1"/>
  <c r="Y35" i="35" s="1"/>
  <c r="V35" i="35"/>
  <c r="R35" i="35"/>
  <c r="Q35" i="35"/>
  <c r="P35" i="35"/>
  <c r="W34" i="35"/>
  <c r="V34" i="35"/>
  <c r="Q34" i="35"/>
  <c r="P34" i="35"/>
  <c r="AJ33" i="35"/>
  <c r="W32" i="35"/>
  <c r="X32" i="35" s="1"/>
  <c r="Y32" i="35" s="1"/>
  <c r="V32" i="35"/>
  <c r="Q32" i="35"/>
  <c r="P32" i="35"/>
  <c r="W31" i="35"/>
  <c r="X31" i="35" s="1"/>
  <c r="Y31" i="35" s="1"/>
  <c r="V31" i="35"/>
  <c r="Q31" i="35"/>
  <c r="P31" i="35"/>
  <c r="W30" i="35"/>
  <c r="X30" i="35" s="1"/>
  <c r="Y30" i="35" s="1"/>
  <c r="V30" i="35"/>
  <c r="Q30" i="35"/>
  <c r="P30" i="35"/>
  <c r="W29" i="35"/>
  <c r="V29" i="35"/>
  <c r="Q29" i="35"/>
  <c r="P29" i="35"/>
  <c r="W28" i="35"/>
  <c r="X28" i="35" s="1"/>
  <c r="Y28" i="35" s="1"/>
  <c r="V28" i="35"/>
  <c r="Q28" i="35"/>
  <c r="P28" i="35"/>
  <c r="W27" i="35"/>
  <c r="X27" i="35" s="1"/>
  <c r="Y27" i="35" s="1"/>
  <c r="V27" i="35"/>
  <c r="Q27" i="35"/>
  <c r="P27" i="35"/>
  <c r="X26" i="35"/>
  <c r="Y26" i="35" s="1"/>
  <c r="W26" i="35"/>
  <c r="V26" i="35"/>
  <c r="Q26" i="35"/>
  <c r="P26" i="35"/>
  <c r="W25" i="35"/>
  <c r="X25" i="35" s="1"/>
  <c r="Y25" i="35" s="1"/>
  <c r="V25" i="35"/>
  <c r="Q25" i="35"/>
  <c r="P25" i="35"/>
  <c r="AJ24" i="35"/>
  <c r="W23" i="35"/>
  <c r="X23" i="35" s="1"/>
  <c r="Y23" i="35" s="1"/>
  <c r="V23" i="35"/>
  <c r="Q23" i="35"/>
  <c r="P23" i="35"/>
  <c r="W22" i="35"/>
  <c r="V22" i="35"/>
  <c r="Q22" i="35"/>
  <c r="P22" i="35"/>
  <c r="W21" i="35"/>
  <c r="X21" i="35" s="1"/>
  <c r="Y21" i="35" s="1"/>
  <c r="V21" i="35"/>
  <c r="Q21" i="35"/>
  <c r="P21" i="35"/>
  <c r="W20" i="35"/>
  <c r="X20" i="35" s="1"/>
  <c r="Y20" i="35" s="1"/>
  <c r="V20" i="35"/>
  <c r="Q20" i="35"/>
  <c r="P20" i="35"/>
  <c r="W19" i="35"/>
  <c r="X19" i="35" s="1"/>
  <c r="Y19" i="35" s="1"/>
  <c r="V19" i="35"/>
  <c r="Q19" i="35"/>
  <c r="P19" i="35"/>
  <c r="W18" i="35"/>
  <c r="V18" i="35"/>
  <c r="Q18" i="35"/>
  <c r="P18" i="35"/>
  <c r="W17" i="35"/>
  <c r="X17" i="35" s="1"/>
  <c r="Y17" i="35" s="1"/>
  <c r="V17" i="35"/>
  <c r="Q17" i="35"/>
  <c r="P17" i="35"/>
  <c r="W16" i="35"/>
  <c r="V16" i="35"/>
  <c r="Q16" i="35"/>
  <c r="P16" i="35"/>
  <c r="AW15" i="35"/>
  <c r="AJ15" i="35"/>
  <c r="W14" i="35"/>
  <c r="V14" i="35"/>
  <c r="Q14" i="35"/>
  <c r="P14" i="35"/>
  <c r="AJ13" i="35"/>
  <c r="W13" i="35"/>
  <c r="AW13" i="35" s="1"/>
  <c r="V13" i="35"/>
  <c r="Q13" i="35"/>
  <c r="P13" i="35"/>
  <c r="W12" i="35"/>
  <c r="V12" i="35"/>
  <c r="Q12" i="35"/>
  <c r="P12" i="35"/>
  <c r="AW11" i="35"/>
  <c r="AJ11" i="35"/>
  <c r="U10" i="35"/>
  <c r="U9" i="35" s="1"/>
  <c r="T10" i="35"/>
  <c r="R30" i="35" s="1"/>
  <c r="O10" i="35"/>
  <c r="N10" i="35"/>
  <c r="AP9" i="35"/>
  <c r="AP22" i="35" s="1"/>
  <c r="AC9" i="35"/>
  <c r="AC40" i="35" s="1"/>
  <c r="AC7" i="35"/>
  <c r="AP23" i="35" l="1"/>
  <c r="AP18" i="35"/>
  <c r="AP21" i="35"/>
  <c r="AC42" i="35"/>
  <c r="AC32" i="35"/>
  <c r="R68" i="35"/>
  <c r="S68" i="35" s="1"/>
  <c r="S46" i="35"/>
  <c r="AC56" i="35"/>
  <c r="AC64" i="35"/>
  <c r="R26" i="35"/>
  <c r="S26" i="35" s="1"/>
  <c r="AC43" i="35"/>
  <c r="R46" i="35"/>
  <c r="AC54" i="35"/>
  <c r="AP8" i="35"/>
  <c r="AC20" i="35"/>
  <c r="AC31" i="35"/>
  <c r="S35" i="35"/>
  <c r="R44" i="35"/>
  <c r="S44" i="35" s="1"/>
  <c r="AW12" i="35"/>
  <c r="X12" i="35"/>
  <c r="AD9" i="35"/>
  <c r="X16" i="35"/>
  <c r="Y16" i="35" s="1"/>
  <c r="S18" i="35"/>
  <c r="X46" i="35"/>
  <c r="Y46" i="35" s="1"/>
  <c r="R49" i="35"/>
  <c r="S49" i="35" s="1"/>
  <c r="R72" i="35"/>
  <c r="S72" i="35" s="1"/>
  <c r="S30" i="35"/>
  <c r="X34" i="35"/>
  <c r="Y34" i="35" s="1"/>
  <c r="AC34" i="35"/>
  <c r="S37" i="35"/>
  <c r="X58" i="35"/>
  <c r="Y58" i="35" s="1"/>
  <c r="X42" i="35"/>
  <c r="Y42" i="35" s="1"/>
  <c r="X45" i="35"/>
  <c r="Y45" i="35" s="1"/>
  <c r="R51" i="35"/>
  <c r="S51" i="35" s="1"/>
  <c r="R45" i="35"/>
  <c r="S45" i="35" s="1"/>
  <c r="R27" i="35"/>
  <c r="S27" i="35" s="1"/>
  <c r="R56" i="35"/>
  <c r="S56" i="35" s="1"/>
  <c r="R32" i="35"/>
  <c r="S32" i="35" s="1"/>
  <c r="R22" i="35"/>
  <c r="S22" i="35" s="1"/>
  <c r="R66" i="35"/>
  <c r="S66" i="35" s="1"/>
  <c r="R61" i="35"/>
  <c r="S61" i="35" s="1"/>
  <c r="R54" i="35"/>
  <c r="S54" i="35" s="1"/>
  <c r="R19" i="35"/>
  <c r="S19" i="35" s="1"/>
  <c r="R14" i="35"/>
  <c r="S14" i="35" s="1"/>
  <c r="R18" i="35"/>
  <c r="R17" i="35"/>
  <c r="S17" i="35" s="1"/>
  <c r="R42" i="35"/>
  <c r="R29" i="35"/>
  <c r="S29" i="35" s="1"/>
  <c r="R16" i="35"/>
  <c r="S16" i="35" s="1"/>
  <c r="R12" i="35"/>
  <c r="S12" i="35" s="1"/>
  <c r="R64" i="35"/>
  <c r="S64" i="35" s="1"/>
  <c r="R62" i="35"/>
  <c r="S62" i="35" s="1"/>
  <c r="R59" i="35"/>
  <c r="S59" i="35" s="1"/>
  <c r="R58" i="35"/>
  <c r="S58" i="35" s="1"/>
  <c r="R43" i="35"/>
  <c r="S43" i="35" s="1"/>
  <c r="R40" i="35"/>
  <c r="S40" i="35" s="1"/>
  <c r="T9" i="35"/>
  <c r="R53" i="35"/>
  <c r="S53" i="35" s="1"/>
  <c r="R52" i="35"/>
  <c r="S52" i="35" s="1"/>
  <c r="R41" i="35"/>
  <c r="S41" i="35" s="1"/>
  <c r="R20" i="35"/>
  <c r="S20" i="35" s="1"/>
  <c r="R55" i="35"/>
  <c r="S55" i="35" s="1"/>
  <c r="R31" i="35"/>
  <c r="S31" i="35" s="1"/>
  <c r="R50" i="35"/>
  <c r="S50" i="35" s="1"/>
  <c r="R23" i="35"/>
  <c r="S23" i="35" s="1"/>
  <c r="R28" i="35"/>
  <c r="S28" i="35" s="1"/>
  <c r="R34" i="35"/>
  <c r="S34" i="35" s="1"/>
  <c r="AC21" i="35"/>
  <c r="AC16" i="35"/>
  <c r="AC68" i="35"/>
  <c r="AC62" i="35"/>
  <c r="AC50" i="35"/>
  <c r="AC44" i="35"/>
  <c r="AC38" i="35"/>
  <c r="AC26" i="35"/>
  <c r="AC59" i="35"/>
  <c r="AC8" i="35"/>
  <c r="AC55" i="35"/>
  <c r="AC41" i="35"/>
  <c r="AC28" i="35"/>
  <c r="AC25" i="35"/>
  <c r="AC51" i="35"/>
  <c r="AC30" i="35"/>
  <c r="AC47" i="35"/>
  <c r="AC45" i="35"/>
  <c r="AC35" i="35"/>
  <c r="AC53" i="35"/>
  <c r="AC52" i="35"/>
  <c r="AC23" i="35"/>
  <c r="AC14" i="35"/>
  <c r="AC72" i="35"/>
  <c r="AC49" i="35"/>
  <c r="AC37" i="35"/>
  <c r="AC29" i="35"/>
  <c r="AC18" i="35"/>
  <c r="AC27" i="35"/>
  <c r="AC70" i="35"/>
  <c r="AC66" i="35"/>
  <c r="AC61" i="35"/>
  <c r="AC46" i="35"/>
  <c r="R13" i="35"/>
  <c r="S13" i="35" s="1"/>
  <c r="R21" i="35"/>
  <c r="S21" i="35" s="1"/>
  <c r="R25" i="35"/>
  <c r="S25" i="35" s="1"/>
  <c r="R38" i="35"/>
  <c r="S38" i="35" s="1"/>
  <c r="X68" i="35"/>
  <c r="Y68" i="35" s="1"/>
  <c r="X22" i="35"/>
  <c r="Y22" i="35" s="1"/>
  <c r="AL13" i="35"/>
  <c r="X13" i="35"/>
  <c r="Y13" i="35" s="1"/>
  <c r="AC17" i="35"/>
  <c r="AC19" i="35"/>
  <c r="AC22" i="35"/>
  <c r="R37" i="35"/>
  <c r="X43" i="35"/>
  <c r="Y43" i="35" s="1"/>
  <c r="R47" i="35"/>
  <c r="S47" i="35" s="1"/>
  <c r="AC58" i="35"/>
  <c r="R70" i="35"/>
  <c r="S70" i="35" s="1"/>
  <c r="AQ9" i="35"/>
  <c r="X29" i="35"/>
  <c r="Y29" i="35" s="1"/>
  <c r="X51" i="35"/>
  <c r="Y51" i="35" s="1"/>
  <c r="S42" i="35"/>
  <c r="AP19" i="35"/>
  <c r="AP17" i="35"/>
  <c r="AP16" i="35"/>
  <c r="X18" i="35"/>
  <c r="Y18" i="35" s="1"/>
  <c r="X14" i="35"/>
  <c r="Y14" i="35" s="1"/>
  <c r="AP20" i="35"/>
  <c r="P10" i="35"/>
  <c r="V10" i="35"/>
  <c r="V9" i="35" s="1"/>
  <c r="S10" i="35" l="1"/>
  <c r="AD68" i="35"/>
  <c r="AD62" i="35"/>
  <c r="AD50" i="35"/>
  <c r="AD44" i="35"/>
  <c r="AD38" i="35"/>
  <c r="AD26" i="35"/>
  <c r="AD16" i="35"/>
  <c r="AD55" i="35"/>
  <c r="AD31" i="35"/>
  <c r="AD23" i="35"/>
  <c r="AE9" i="35"/>
  <c r="AD41" i="35"/>
  <c r="AD46" i="35"/>
  <c r="AD28" i="35"/>
  <c r="AD25" i="35"/>
  <c r="AD34" i="35"/>
  <c r="AD30" i="35"/>
  <c r="AD53" i="35"/>
  <c r="AD52" i="35"/>
  <c r="AD14" i="35"/>
  <c r="AD8" i="35"/>
  <c r="AD66" i="35"/>
  <c r="AD61" i="35"/>
  <c r="AD72" i="35"/>
  <c r="AD49" i="35"/>
  <c r="AD37" i="35"/>
  <c r="AD29" i="35"/>
  <c r="AD18" i="35"/>
  <c r="AD27" i="35"/>
  <c r="AD21" i="35"/>
  <c r="AD70" i="35"/>
  <c r="AD47" i="35"/>
  <c r="AD45" i="35"/>
  <c r="AD35" i="35"/>
  <c r="AD19" i="35"/>
  <c r="AD40" i="35"/>
  <c r="AD54" i="35"/>
  <c r="AD64" i="35"/>
  <c r="AD42" i="35"/>
  <c r="AD56" i="35"/>
  <c r="AD43" i="35"/>
  <c r="AD32" i="35"/>
  <c r="AD20" i="35"/>
  <c r="AD58" i="35"/>
  <c r="AD17" i="35"/>
  <c r="AD59" i="35"/>
  <c r="AD51" i="35"/>
  <c r="AD22" i="35"/>
  <c r="Y12" i="35"/>
  <c r="Y9" i="35" s="1"/>
  <c r="X10" i="35"/>
  <c r="AQ21" i="35"/>
  <c r="AQ19" i="35"/>
  <c r="AQ17" i="35"/>
  <c r="AQ22" i="35"/>
  <c r="AQ20" i="35"/>
  <c r="AR9" i="35"/>
  <c r="AQ8" i="35"/>
  <c r="AQ23" i="35"/>
  <c r="AQ18" i="35"/>
  <c r="AE55" i="35" l="1"/>
  <c r="AE31" i="35"/>
  <c r="AE23" i="35"/>
  <c r="AF9" i="35"/>
  <c r="AE42" i="35"/>
  <c r="AE18" i="35"/>
  <c r="AE50" i="35"/>
  <c r="AE28" i="35"/>
  <c r="AE25" i="35"/>
  <c r="AE68" i="35"/>
  <c r="AE52" i="35"/>
  <c r="AE34" i="35"/>
  <c r="AE30" i="35"/>
  <c r="AE46" i="35"/>
  <c r="AE43" i="35"/>
  <c r="AE37" i="35"/>
  <c r="AE22" i="35"/>
  <c r="AE20" i="35"/>
  <c r="AE72" i="35"/>
  <c r="AE49" i="35"/>
  <c r="AE29" i="35"/>
  <c r="AE19" i="35"/>
  <c r="AE26" i="35"/>
  <c r="AE27" i="35"/>
  <c r="AE21" i="35"/>
  <c r="AE38" i="35"/>
  <c r="AE70" i="35"/>
  <c r="AE47" i="35"/>
  <c r="AE45" i="35"/>
  <c r="AE35" i="35"/>
  <c r="AE66" i="35"/>
  <c r="AE61" i="35"/>
  <c r="AE64" i="35"/>
  <c r="AE58" i="35"/>
  <c r="AE44" i="35"/>
  <c r="AE59" i="35"/>
  <c r="AE53" i="35"/>
  <c r="AE41" i="35"/>
  <c r="AE32" i="35"/>
  <c r="AE40" i="35"/>
  <c r="AE16" i="35"/>
  <c r="AE62" i="35"/>
  <c r="AE54" i="35"/>
  <c r="AE14" i="35"/>
  <c r="AE51" i="35"/>
  <c r="AE56" i="35"/>
  <c r="AE17" i="35"/>
  <c r="AE8" i="35"/>
  <c r="AR21" i="35"/>
  <c r="AR16" i="35"/>
  <c r="AR8" i="35"/>
  <c r="AR22" i="35"/>
  <c r="AR20" i="35"/>
  <c r="AS9" i="35"/>
  <c r="AR23" i="35"/>
  <c r="AR19" i="35"/>
  <c r="AR18" i="35"/>
  <c r="X9" i="35"/>
  <c r="S9" i="35" s="1"/>
  <c r="Y10" i="35"/>
  <c r="AF42" i="35" l="1"/>
  <c r="AF18" i="35"/>
  <c r="AF59" i="35"/>
  <c r="AF53" i="35"/>
  <c r="AF47" i="35"/>
  <c r="AF35" i="35"/>
  <c r="AF29" i="35"/>
  <c r="AF14" i="35"/>
  <c r="AF70" i="35"/>
  <c r="AF64" i="35"/>
  <c r="AF55" i="35"/>
  <c r="AF34" i="35"/>
  <c r="AF30" i="35"/>
  <c r="AF62" i="35"/>
  <c r="AF54" i="35"/>
  <c r="AF46" i="35"/>
  <c r="AF43" i="35"/>
  <c r="AF37" i="35"/>
  <c r="AF22" i="35"/>
  <c r="AF20" i="35"/>
  <c r="AF68" i="35"/>
  <c r="AF52" i="35"/>
  <c r="AF49" i="35"/>
  <c r="AF40" i="35"/>
  <c r="AF27" i="35"/>
  <c r="AF23" i="35"/>
  <c r="AF21" i="35"/>
  <c r="AF72" i="35"/>
  <c r="AF58" i="35"/>
  <c r="AF28" i="35"/>
  <c r="AF19" i="35"/>
  <c r="AF26" i="35"/>
  <c r="AF38" i="35"/>
  <c r="AF50" i="35"/>
  <c r="AF45" i="35"/>
  <c r="AF66" i="35"/>
  <c r="AF61" i="35"/>
  <c r="AF32" i="35"/>
  <c r="AF16" i="35"/>
  <c r="AF44" i="35"/>
  <c r="AF41" i="35"/>
  <c r="AF51" i="35"/>
  <c r="AF31" i="35"/>
  <c r="AF8" i="35"/>
  <c r="AG9" i="35"/>
  <c r="AF56" i="35"/>
  <c r="AF17" i="35"/>
  <c r="AF12" i="35"/>
  <c r="AF25" i="35"/>
  <c r="AS16" i="35"/>
  <c r="AS23" i="35"/>
  <c r="AT9" i="35"/>
  <c r="AS8" i="35"/>
  <c r="AS22" i="35"/>
  <c r="AS20" i="35"/>
  <c r="AS17" i="35"/>
  <c r="AS19" i="35"/>
  <c r="AS21" i="35"/>
  <c r="AG59" i="35" l="1"/>
  <c r="AG53" i="35"/>
  <c r="AG47" i="35"/>
  <c r="AG35" i="35"/>
  <c r="AG29" i="35"/>
  <c r="AG14" i="35"/>
  <c r="AG70" i="35"/>
  <c r="AG64" i="35"/>
  <c r="AG40" i="35"/>
  <c r="AG20" i="35"/>
  <c r="AG13" i="35"/>
  <c r="AG46" i="35"/>
  <c r="AG43" i="35"/>
  <c r="AG37" i="35"/>
  <c r="AG22" i="35"/>
  <c r="AG72" i="35"/>
  <c r="AG66" i="35"/>
  <c r="AG61" i="35"/>
  <c r="AG45" i="35"/>
  <c r="AG68" i="35"/>
  <c r="AG52" i="35"/>
  <c r="AG49" i="35"/>
  <c r="AG27" i="35"/>
  <c r="AG23" i="35"/>
  <c r="AG21" i="35"/>
  <c r="AG62" i="35"/>
  <c r="AG58" i="35"/>
  <c r="AG54" i="35"/>
  <c r="AG38" i="35"/>
  <c r="AG18" i="35"/>
  <c r="AG16" i="35"/>
  <c r="AG44" i="35"/>
  <c r="AG50" i="35"/>
  <c r="AG28" i="35"/>
  <c r="AG19" i="35"/>
  <c r="AG26" i="35"/>
  <c r="AG32" i="35"/>
  <c r="AG25" i="35"/>
  <c r="AG56" i="35"/>
  <c r="AG34" i="35"/>
  <c r="AH9" i="35"/>
  <c r="AG51" i="35"/>
  <c r="AG42" i="35"/>
  <c r="AG55" i="35"/>
  <c r="AG30" i="35"/>
  <c r="AG41" i="35"/>
  <c r="AG31" i="35"/>
  <c r="AG12" i="35"/>
  <c r="AG8" i="35"/>
  <c r="AT23" i="35"/>
  <c r="AU9" i="35"/>
  <c r="AT8" i="35"/>
  <c r="AT18" i="35"/>
  <c r="AT14" i="35"/>
  <c r="AT17" i="35"/>
  <c r="AT13" i="35"/>
  <c r="AT12" i="35"/>
  <c r="AT16" i="35"/>
  <c r="AT21" i="35"/>
  <c r="AT20" i="35"/>
  <c r="AT22" i="35"/>
  <c r="AT19" i="35"/>
  <c r="AJ12" i="35"/>
  <c r="AL12" i="35"/>
  <c r="AU18" i="35" l="1"/>
  <c r="AU8" i="35"/>
  <c r="AU12" i="35"/>
  <c r="AU17" i="35"/>
  <c r="AU13" i="35"/>
  <c r="AU23" i="35"/>
  <c r="AV9" i="35"/>
  <c r="AU16" i="35"/>
  <c r="AU20" i="35"/>
  <c r="AU22" i="35"/>
  <c r="AU14" i="35"/>
  <c r="AH70" i="35"/>
  <c r="AH64" i="35"/>
  <c r="AH40" i="35"/>
  <c r="AH20" i="35"/>
  <c r="AH13" i="35"/>
  <c r="AH51" i="35"/>
  <c r="AH45" i="35"/>
  <c r="AH27" i="35"/>
  <c r="AH68" i="35"/>
  <c r="AH52" i="35"/>
  <c r="AH49" i="35"/>
  <c r="AH23" i="35"/>
  <c r="AH21" i="35"/>
  <c r="AI9" i="35"/>
  <c r="AH72" i="35"/>
  <c r="AH62" i="35"/>
  <c r="AH58" i="35"/>
  <c r="AH54" i="35"/>
  <c r="AH66" i="35"/>
  <c r="AH61" i="35"/>
  <c r="AH32" i="35"/>
  <c r="AH19" i="35"/>
  <c r="AH50" i="35"/>
  <c r="AH37" i="35"/>
  <c r="AH16" i="35"/>
  <c r="AH25" i="35"/>
  <c r="AH56" i="35"/>
  <c r="AH46" i="35"/>
  <c r="AH43" i="35"/>
  <c r="AH42" i="35"/>
  <c r="AH34" i="35"/>
  <c r="AH28" i="35"/>
  <c r="AH47" i="35"/>
  <c r="AH35" i="35"/>
  <c r="AH26" i="35"/>
  <c r="AH44" i="35"/>
  <c r="AH17" i="35"/>
  <c r="AH59" i="35"/>
  <c r="AH41" i="35"/>
  <c r="AH14" i="35"/>
  <c r="AH29" i="35"/>
  <c r="AH31" i="35"/>
  <c r="AH12" i="35"/>
  <c r="AH22" i="35"/>
  <c r="AH38" i="35"/>
  <c r="AH53" i="35"/>
  <c r="AH55" i="35"/>
  <c r="AH30" i="35"/>
  <c r="AH8" i="35"/>
  <c r="AV20" i="35" l="1"/>
  <c r="AW20" i="35" s="1"/>
  <c r="AX20" i="35" s="1"/>
  <c r="AV8" i="35"/>
  <c r="AV12" i="35"/>
  <c r="AX12" i="35" s="1"/>
  <c r="AX9" i="35" s="1"/>
  <c r="AW22" i="35"/>
  <c r="AX22" i="35" s="1"/>
  <c r="AV23" i="35"/>
  <c r="AW23" i="35" s="1"/>
  <c r="AX23" i="35" s="1"/>
  <c r="AV21" i="35"/>
  <c r="AW21" i="35" s="1"/>
  <c r="AX21" i="35" s="1"/>
  <c r="AV18" i="35"/>
  <c r="AW18" i="35" s="1"/>
  <c r="AX18" i="35" s="1"/>
  <c r="AV19" i="35"/>
  <c r="AW19" i="35" s="1"/>
  <c r="AX19" i="35" s="1"/>
  <c r="AV13" i="35"/>
  <c r="AX13" i="35" s="1"/>
  <c r="AV17" i="35"/>
  <c r="AW17" i="35" s="1"/>
  <c r="AX17" i="35" s="1"/>
  <c r="AV16" i="35"/>
  <c r="AW16" i="35" s="1"/>
  <c r="AX16" i="35" s="1"/>
  <c r="AV14" i="35"/>
  <c r="AW14" i="35" s="1"/>
  <c r="AI51" i="35"/>
  <c r="AJ51" i="35" s="1"/>
  <c r="AI45" i="35"/>
  <c r="AJ45" i="35" s="1"/>
  <c r="AI27" i="35"/>
  <c r="AJ27" i="35" s="1"/>
  <c r="AI56" i="35"/>
  <c r="AJ56" i="35" s="1"/>
  <c r="AI32" i="35"/>
  <c r="AJ32" i="35" s="1"/>
  <c r="AI22" i="35"/>
  <c r="AA6" i="35"/>
  <c r="AI61" i="35"/>
  <c r="AJ61" i="35" s="1"/>
  <c r="AI72" i="35"/>
  <c r="AJ72" i="35" s="1"/>
  <c r="AI62" i="35"/>
  <c r="AJ62" i="35" s="1"/>
  <c r="AI58" i="35"/>
  <c r="AJ58" i="35" s="1"/>
  <c r="AI54" i="35"/>
  <c r="AJ54" i="35" s="1"/>
  <c r="AI20" i="35"/>
  <c r="AI66" i="35"/>
  <c r="AJ66" i="35" s="1"/>
  <c r="AI40" i="35"/>
  <c r="AJ40" i="35" s="1"/>
  <c r="AI17" i="35"/>
  <c r="AI13" i="35"/>
  <c r="AY13" i="35" s="1"/>
  <c r="AI28" i="35"/>
  <c r="AJ28" i="35" s="1"/>
  <c r="AI23" i="35"/>
  <c r="AI21" i="35"/>
  <c r="AI70" i="35"/>
  <c r="AJ70" i="35" s="1"/>
  <c r="AI25" i="35"/>
  <c r="AJ25" i="35" s="1"/>
  <c r="AI46" i="35"/>
  <c r="AJ46" i="35" s="1"/>
  <c r="AI34" i="35"/>
  <c r="AJ34" i="35" s="1"/>
  <c r="AI68" i="35"/>
  <c r="AJ68" i="35" s="1"/>
  <c r="AI64" i="35"/>
  <c r="AJ64" i="35" s="1"/>
  <c r="AI59" i="35"/>
  <c r="AJ59" i="35" s="1"/>
  <c r="AI47" i="35"/>
  <c r="AJ47" i="35" s="1"/>
  <c r="AI35" i="35"/>
  <c r="AJ35" i="35" s="1"/>
  <c r="AI26" i="35"/>
  <c r="AJ26" i="35" s="1"/>
  <c r="AI16" i="35"/>
  <c r="AI44" i="35"/>
  <c r="AJ44" i="35" s="1"/>
  <c r="AI43" i="35"/>
  <c r="AJ43" i="35" s="1"/>
  <c r="AI42" i="35"/>
  <c r="AJ42" i="35" s="1"/>
  <c r="AI41" i="35"/>
  <c r="AJ41" i="35" s="1"/>
  <c r="AI12" i="35"/>
  <c r="AI52" i="35"/>
  <c r="AJ52" i="35" s="1"/>
  <c r="AI49" i="35"/>
  <c r="AJ49" i="35" s="1"/>
  <c r="AI38" i="35"/>
  <c r="AJ38" i="35" s="1"/>
  <c r="AI14" i="35"/>
  <c r="AI50" i="35"/>
  <c r="AJ50" i="35" s="1"/>
  <c r="AI29" i="35"/>
  <c r="AJ29" i="35" s="1"/>
  <c r="AI31" i="35"/>
  <c r="AJ31" i="35" s="1"/>
  <c r="AI30" i="35"/>
  <c r="AJ30" i="35" s="1"/>
  <c r="AI8" i="35"/>
  <c r="AI37" i="35"/>
  <c r="AJ37" i="35" s="1"/>
  <c r="AI18" i="35"/>
  <c r="AI53" i="35"/>
  <c r="AJ53" i="35" s="1"/>
  <c r="AI55" i="35"/>
  <c r="AJ55" i="35" s="1"/>
  <c r="AK37" i="35" l="1"/>
  <c r="AL37" i="35"/>
  <c r="AK42" i="35"/>
  <c r="AL42" i="35"/>
  <c r="AK25" i="35"/>
  <c r="AL25" i="35"/>
  <c r="AK58" i="35"/>
  <c r="AL58" i="35"/>
  <c r="AK43" i="35"/>
  <c r="AL43" i="35"/>
  <c r="AK70" i="35"/>
  <c r="AL70" i="35"/>
  <c r="AK62" i="35"/>
  <c r="AL62" i="35"/>
  <c r="AK30" i="35"/>
  <c r="AL30" i="35"/>
  <c r="AL44" i="35"/>
  <c r="AK44" i="35"/>
  <c r="AY21" i="35"/>
  <c r="AJ21" i="35"/>
  <c r="AK72" i="35"/>
  <c r="AL72" i="35"/>
  <c r="AL31" i="35"/>
  <c r="AK31" i="35"/>
  <c r="AY16" i="35"/>
  <c r="AJ16" i="35"/>
  <c r="AY23" i="35"/>
  <c r="AJ23" i="35"/>
  <c r="AK61" i="35"/>
  <c r="AL61" i="35"/>
  <c r="AK29" i="35"/>
  <c r="AL29" i="35"/>
  <c r="AL26" i="35"/>
  <c r="AK26" i="35"/>
  <c r="AK28" i="35"/>
  <c r="AL28" i="35"/>
  <c r="B42" i="35"/>
  <c r="B18" i="35"/>
  <c r="B59" i="35"/>
  <c r="B53" i="35"/>
  <c r="B47" i="35"/>
  <c r="B35" i="35"/>
  <c r="B29" i="35"/>
  <c r="B14" i="35"/>
  <c r="B70" i="35"/>
  <c r="B64" i="35"/>
  <c r="B62" i="35"/>
  <c r="B52" i="35"/>
  <c r="B43" i="35"/>
  <c r="B37" i="35"/>
  <c r="B30" i="35"/>
  <c r="B23" i="35"/>
  <c r="B21" i="35"/>
  <c r="B32" i="35"/>
  <c r="B66" i="35"/>
  <c r="B61" i="35"/>
  <c r="B54" i="35"/>
  <c r="B45" i="35"/>
  <c r="B58" i="35"/>
  <c r="B49" i="35"/>
  <c r="B27" i="35"/>
  <c r="B20" i="35"/>
  <c r="B72" i="35"/>
  <c r="B40" i="35"/>
  <c r="B13" i="35"/>
  <c r="B22" i="35"/>
  <c r="B41" i="35"/>
  <c r="B56" i="35"/>
  <c r="B68" i="35"/>
  <c r="B46" i="35"/>
  <c r="B26" i="35"/>
  <c r="B19" i="35"/>
  <c r="B16" i="35"/>
  <c r="B12" i="35"/>
  <c r="B44" i="35"/>
  <c r="B34" i="35"/>
  <c r="B25" i="35"/>
  <c r="B17" i="35"/>
  <c r="B55" i="35"/>
  <c r="B31" i="35"/>
  <c r="B38" i="35"/>
  <c r="B51" i="35"/>
  <c r="B28" i="35"/>
  <c r="B50" i="35"/>
  <c r="AL50" i="35"/>
  <c r="AK50" i="35"/>
  <c r="AL35" i="35"/>
  <c r="AK35" i="35"/>
  <c r="AY22" i="35"/>
  <c r="AJ22" i="35"/>
  <c r="AY14" i="35"/>
  <c r="AJ14" i="35"/>
  <c r="AY17" i="35"/>
  <c r="AJ17" i="35"/>
  <c r="AL59" i="35"/>
  <c r="AK59" i="35"/>
  <c r="AL56" i="35"/>
  <c r="AK56" i="35"/>
  <c r="AK49" i="35"/>
  <c r="AL49" i="35"/>
  <c r="AL64" i="35"/>
  <c r="AK64" i="35"/>
  <c r="AL40" i="35"/>
  <c r="AK40" i="35"/>
  <c r="AK27" i="35"/>
  <c r="AL27" i="35"/>
  <c r="AL55" i="35"/>
  <c r="AK55" i="35"/>
  <c r="AL47" i="35"/>
  <c r="AK47" i="35"/>
  <c r="AK32" i="35"/>
  <c r="AL32" i="35"/>
  <c r="AL38" i="35"/>
  <c r="AK38" i="35"/>
  <c r="AY19" i="35"/>
  <c r="AJ19" i="35"/>
  <c r="AL52" i="35"/>
  <c r="AK52" i="35"/>
  <c r="AK68" i="35"/>
  <c r="AL68" i="35"/>
  <c r="AK66" i="35"/>
  <c r="AL66" i="35"/>
  <c r="AK45" i="35"/>
  <c r="AL45" i="35"/>
  <c r="AL53" i="35"/>
  <c r="AK53" i="35"/>
  <c r="AY12" i="35"/>
  <c r="AY9" i="35" s="1"/>
  <c r="AK12" i="35"/>
  <c r="AK34" i="35"/>
  <c r="AL34" i="35"/>
  <c r="AY20" i="35"/>
  <c r="AJ20" i="35"/>
  <c r="AK51" i="35"/>
  <c r="AL51" i="35"/>
  <c r="AY18" i="35"/>
  <c r="AJ18" i="35"/>
  <c r="AK41" i="35"/>
  <c r="AL41" i="35"/>
  <c r="AK46" i="35"/>
  <c r="AL46" i="35"/>
  <c r="AK54" i="35"/>
  <c r="AL54" i="35"/>
  <c r="AX14" i="35"/>
  <c r="AW9" i="35"/>
  <c r="AK13" i="35"/>
  <c r="AL21" i="35" l="1"/>
  <c r="AK21" i="35"/>
  <c r="AK22" i="35"/>
  <c r="AL22" i="35"/>
  <c r="AK20" i="35"/>
  <c r="AL20" i="35"/>
  <c r="AK14" i="35"/>
  <c r="AL14" i="35"/>
  <c r="AJ9" i="35"/>
  <c r="AK18" i="35"/>
  <c r="AL18" i="35"/>
  <c r="AK23" i="35"/>
  <c r="AL23" i="35"/>
  <c r="AK17" i="35"/>
  <c r="AL17" i="35"/>
  <c r="AK19" i="35"/>
  <c r="AL19" i="35"/>
  <c r="AK16" i="35"/>
  <c r="AL16" i="35"/>
  <c r="AK9" i="35" l="1"/>
  <c r="AL9" i="35"/>
  <c r="G112" i="34"/>
  <c r="G106" i="34"/>
  <c r="E87" i="34"/>
  <c r="E72" i="34"/>
  <c r="G45" i="34"/>
  <c r="F45" i="34"/>
  <c r="G89" i="5"/>
  <c r="G84" i="5"/>
  <c r="G72" i="34" l="1"/>
  <c r="G87" i="34"/>
  <c r="D56" i="34" s="1"/>
  <c r="D14" i="19"/>
  <c r="E14" i="19" s="1"/>
  <c r="D12" i="19"/>
  <c r="E12" i="19" s="1"/>
  <c r="D10" i="19"/>
  <c r="E10" i="19" s="1"/>
  <c r="F10" i="19" l="1"/>
  <c r="G10" i="19" s="1"/>
  <c r="H10" i="19" s="1"/>
  <c r="F12" i="19"/>
  <c r="G12" i="19" s="1"/>
  <c r="H12" i="19" s="1"/>
  <c r="F14" i="19"/>
  <c r="G14" i="19" s="1"/>
  <c r="H14" i="19" s="1"/>
  <c r="N27" i="12"/>
  <c r="N26" i="12"/>
  <c r="O26" i="12" s="1"/>
  <c r="P26" i="12" s="1"/>
  <c r="N25" i="12"/>
  <c r="N23" i="12"/>
  <c r="N22" i="12"/>
  <c r="O22" i="12" s="1"/>
  <c r="P22" i="12" s="1"/>
  <c r="N21" i="12"/>
  <c r="O21" i="12" s="1"/>
  <c r="N18" i="12"/>
  <c r="N17" i="12"/>
  <c r="O17" i="12" s="1"/>
  <c r="P17" i="12" s="1"/>
  <c r="N16" i="12"/>
  <c r="O16" i="12" s="1"/>
  <c r="P16" i="12" s="1"/>
  <c r="N14" i="12"/>
  <c r="O14" i="12" s="1"/>
  <c r="P14" i="12" s="1"/>
  <c r="N13" i="12"/>
  <c r="O13" i="12" s="1"/>
  <c r="P13" i="12" s="1"/>
  <c r="N12" i="12"/>
  <c r="O12" i="12" s="1"/>
  <c r="P12" i="12" s="1"/>
  <c r="M27" i="12"/>
  <c r="M26" i="12"/>
  <c r="M25" i="12"/>
  <c r="M23" i="12"/>
  <c r="M18" i="12"/>
  <c r="M16" i="12"/>
  <c r="M13" i="12"/>
  <c r="M12" i="12"/>
  <c r="H27" i="12"/>
  <c r="G27" i="12"/>
  <c r="H26" i="12"/>
  <c r="G26" i="12"/>
  <c r="H25" i="12"/>
  <c r="G25" i="12"/>
  <c r="H23" i="12"/>
  <c r="G23" i="12"/>
  <c r="H22" i="12"/>
  <c r="G22" i="12"/>
  <c r="M21" i="12"/>
  <c r="H21" i="12"/>
  <c r="G21" i="12"/>
  <c r="L19" i="12"/>
  <c r="F19" i="12"/>
  <c r="E19" i="12"/>
  <c r="H18" i="12"/>
  <c r="G18" i="12"/>
  <c r="M17" i="12"/>
  <c r="H17" i="12"/>
  <c r="G17" i="12"/>
  <c r="H16" i="12"/>
  <c r="G16" i="12"/>
  <c r="H14" i="12"/>
  <c r="G14" i="12"/>
  <c r="H13" i="12"/>
  <c r="G13" i="12"/>
  <c r="H12" i="12"/>
  <c r="G12" i="12"/>
  <c r="AB11" i="12"/>
  <c r="L10" i="12"/>
  <c r="F10" i="12"/>
  <c r="E10" i="12"/>
  <c r="U9" i="12"/>
  <c r="U7" i="12"/>
  <c r="D40" i="5"/>
  <c r="E64" i="5"/>
  <c r="G62" i="5"/>
  <c r="G61" i="5"/>
  <c r="G60" i="5"/>
  <c r="G59" i="5"/>
  <c r="G58" i="5"/>
  <c r="E54" i="5"/>
  <c r="D42" i="5" s="1"/>
  <c r="G53" i="5"/>
  <c r="G52" i="5"/>
  <c r="G51" i="5"/>
  <c r="G50" i="5"/>
  <c r="G49" i="5"/>
  <c r="G48" i="5"/>
  <c r="G34" i="5"/>
  <c r="F34" i="5"/>
  <c r="G93" i="5" l="1"/>
  <c r="G42" i="5"/>
  <c r="D41" i="5"/>
  <c r="G38" i="5"/>
  <c r="G41" i="5" s="1"/>
  <c r="G54" i="5"/>
  <c r="D38" i="5" s="1"/>
  <c r="I14" i="19"/>
  <c r="J14" i="19" s="1"/>
  <c r="I12" i="19"/>
  <c r="J12" i="19" s="1"/>
  <c r="I10" i="19"/>
  <c r="J10" i="19" s="1"/>
  <c r="L9" i="12"/>
  <c r="G64" i="5"/>
  <c r="D39" i="5" s="1"/>
  <c r="K19" i="12"/>
  <c r="M22" i="12"/>
  <c r="M19" i="12" s="1"/>
  <c r="O18" i="12"/>
  <c r="P18" i="12" s="1"/>
  <c r="K10" i="12"/>
  <c r="M14" i="12"/>
  <c r="M10" i="12" s="1"/>
  <c r="O27" i="12"/>
  <c r="P27" i="12" s="1"/>
  <c r="O25" i="12"/>
  <c r="P25" i="12" s="1"/>
  <c r="O23" i="12"/>
  <c r="P23" i="12" s="1"/>
  <c r="G19" i="12"/>
  <c r="P21" i="12"/>
  <c r="G10" i="12"/>
  <c r="V9" i="12"/>
  <c r="U8" i="12"/>
  <c r="U24" i="12"/>
  <c r="D44" i="5" l="1"/>
  <c r="G94" i="5" s="1"/>
  <c r="G95" i="5" s="1"/>
  <c r="G96" i="5" s="1"/>
  <c r="G97" i="5" s="1"/>
  <c r="T15" i="15"/>
  <c r="F15" i="15"/>
  <c r="O19" i="12"/>
  <c r="P19" i="12" s="1"/>
  <c r="V21" i="12"/>
  <c r="V14" i="12"/>
  <c r="V17" i="12"/>
  <c r="V18" i="12"/>
  <c r="V16" i="12"/>
  <c r="V12" i="12"/>
  <c r="O15" i="15"/>
  <c r="I13" i="12"/>
  <c r="J13" i="12" s="1"/>
  <c r="I12" i="12"/>
  <c r="J12" i="12" s="1"/>
  <c r="I16" i="12"/>
  <c r="J16" i="12" s="1"/>
  <c r="I18" i="12"/>
  <c r="J18" i="12" s="1"/>
  <c r="I17" i="12"/>
  <c r="J17" i="12" s="1"/>
  <c r="I14" i="12"/>
  <c r="J14" i="12" s="1"/>
  <c r="I22" i="12"/>
  <c r="J22" i="12" s="1"/>
  <c r="I21" i="12"/>
  <c r="J21" i="12" s="1"/>
  <c r="I25" i="12"/>
  <c r="J25" i="12" s="1"/>
  <c r="I27" i="12"/>
  <c r="J27" i="12" s="1"/>
  <c r="I26" i="12"/>
  <c r="J26" i="12" s="1"/>
  <c r="I23" i="12"/>
  <c r="J23" i="12" s="1"/>
  <c r="M15" i="15"/>
  <c r="H15" i="15"/>
  <c r="K9" i="12"/>
  <c r="M9" i="12"/>
  <c r="V24" i="12"/>
  <c r="V26" i="12"/>
  <c r="V25" i="12"/>
  <c r="V23" i="12"/>
  <c r="V22" i="12"/>
  <c r="V8" i="12"/>
  <c r="V13" i="12"/>
  <c r="W9" i="12"/>
  <c r="V27" i="12"/>
  <c r="O10" i="12"/>
  <c r="B99" i="5" l="1"/>
  <c r="O9" i="12"/>
  <c r="J9" i="12" s="1"/>
  <c r="P10" i="12"/>
  <c r="S15" i="15"/>
  <c r="W17" i="12"/>
  <c r="W14" i="12"/>
  <c r="W21" i="12"/>
  <c r="W18" i="12"/>
  <c r="W16" i="12"/>
  <c r="W12" i="12"/>
  <c r="P9" i="12"/>
  <c r="J10" i="12"/>
  <c r="J19" i="12"/>
  <c r="W23" i="12"/>
  <c r="W22" i="12"/>
  <c r="W8" i="12"/>
  <c r="W26" i="12"/>
  <c r="W25" i="12"/>
  <c r="W24" i="12"/>
  <c r="W13" i="12"/>
  <c r="X9" i="12"/>
  <c r="W27" i="12"/>
  <c r="X17" i="12" l="1"/>
  <c r="X14" i="12"/>
  <c r="X18" i="12"/>
  <c r="X16" i="12"/>
  <c r="X12" i="12"/>
  <c r="X21" i="12"/>
  <c r="X22" i="12"/>
  <c r="X8" i="12"/>
  <c r="X23" i="12"/>
  <c r="X25" i="12"/>
  <c r="X24" i="12"/>
  <c r="X13" i="12"/>
  <c r="Y9" i="12"/>
  <c r="X27" i="12"/>
  <c r="X26" i="12"/>
  <c r="Y17" i="12" l="1"/>
  <c r="Y14" i="12"/>
  <c r="Y21" i="12"/>
  <c r="Y18" i="12"/>
  <c r="Y16" i="12"/>
  <c r="Y12" i="12"/>
  <c r="Y13" i="12"/>
  <c r="Y24" i="12"/>
  <c r="Y23" i="12"/>
  <c r="Y22" i="12"/>
  <c r="Y8" i="12"/>
  <c r="Z9" i="12"/>
  <c r="Y27" i="12"/>
  <c r="Y26" i="12"/>
  <c r="Y25" i="12"/>
  <c r="Z17" i="12" l="1"/>
  <c r="Z14" i="12"/>
  <c r="Z16" i="12"/>
  <c r="Z18" i="12"/>
  <c r="Z12" i="12"/>
  <c r="Z21" i="12"/>
  <c r="Z13" i="12"/>
  <c r="Z23" i="12"/>
  <c r="Z22" i="12"/>
  <c r="Z8" i="12"/>
  <c r="AA9" i="12"/>
  <c r="Z27" i="12"/>
  <c r="Z26" i="12"/>
  <c r="Z25" i="12"/>
  <c r="AA17" i="12" l="1"/>
  <c r="AB17" i="12" s="1"/>
  <c r="AA14" i="12"/>
  <c r="AB14" i="12" s="1"/>
  <c r="AA18" i="12"/>
  <c r="AB18" i="12" s="1"/>
  <c r="AA16" i="12"/>
  <c r="AB16" i="12" s="1"/>
  <c r="AA12" i="12"/>
  <c r="AB12" i="12" s="1"/>
  <c r="AA21" i="12"/>
  <c r="AB21" i="12" s="1"/>
  <c r="AA22" i="12"/>
  <c r="AB22" i="12" s="1"/>
  <c r="AA13" i="12"/>
  <c r="AB13" i="12" s="1"/>
  <c r="AA8" i="12"/>
  <c r="AA27" i="12"/>
  <c r="AA26" i="12"/>
  <c r="AB26" i="12" s="1"/>
  <c r="AA25" i="12"/>
  <c r="AB25" i="12" s="1"/>
  <c r="AA23" i="12"/>
  <c r="AB23" i="12" s="1"/>
  <c r="AD12" i="12" l="1"/>
  <c r="AC12" i="12"/>
  <c r="AC21" i="12"/>
  <c r="AD21" i="12"/>
  <c r="AD16" i="12"/>
  <c r="AC16" i="12"/>
  <c r="AD18" i="12"/>
  <c r="AC18" i="12"/>
  <c r="AC14" i="12"/>
  <c r="AD14" i="12"/>
  <c r="AD17" i="12"/>
  <c r="AC17" i="12"/>
  <c r="AC13" i="12"/>
  <c r="B27" i="12"/>
  <c r="AB27" i="12"/>
  <c r="AB9" i="12" s="1"/>
  <c r="AD26" i="12"/>
  <c r="AC26" i="12"/>
  <c r="AD25" i="12"/>
  <c r="AC25" i="12"/>
  <c r="AD23" i="12"/>
  <c r="AC23" i="12"/>
  <c r="AD22" i="12"/>
  <c r="AC22" i="12"/>
  <c r="AD13" i="12"/>
  <c r="AD27" i="12" l="1"/>
  <c r="AD9" i="12" s="1"/>
  <c r="AC27" i="12"/>
  <c r="AC9" i="12" s="1"/>
</calcChain>
</file>

<file path=xl/sharedStrings.xml><?xml version="1.0" encoding="utf-8"?>
<sst xmlns="http://schemas.openxmlformats.org/spreadsheetml/2006/main" count="2705" uniqueCount="782">
  <si>
    <t>Proyecto:</t>
  </si>
  <si>
    <t>Cliente:</t>
  </si>
  <si>
    <t>WBS</t>
  </si>
  <si>
    <t>Partida</t>
  </si>
  <si>
    <t>Und.</t>
  </si>
  <si>
    <t>Metrado Contractual</t>
  </si>
  <si>
    <t>Materiales</t>
  </si>
  <si>
    <t>Equipos</t>
  </si>
  <si>
    <t>Subcontratos</t>
  </si>
  <si>
    <t>CONTROL DE PROYECTOS</t>
  </si>
  <si>
    <t>A.   DATOS GENERALES</t>
  </si>
  <si>
    <t>Fecha de inicio:</t>
  </si>
  <si>
    <t>Fecha de cierre:</t>
  </si>
  <si>
    <t>Area:</t>
  </si>
  <si>
    <t>Plazo contractual:</t>
  </si>
  <si>
    <t>Plazo restante:</t>
  </si>
  <si>
    <t>B Working package</t>
  </si>
  <si>
    <t>B1.   Partidas de control</t>
  </si>
  <si>
    <t>hh und part.</t>
  </si>
  <si>
    <t>Metrado
restante</t>
  </si>
  <si>
    <t>P.U.
($.)</t>
  </si>
  <si>
    <t>Costo
Parcial</t>
  </si>
  <si>
    <t>HH Contractual</t>
  </si>
  <si>
    <t>Costo mano de obra</t>
  </si>
  <si>
    <t>Costo equipos</t>
  </si>
  <si>
    <t>Duración estimada (días):</t>
  </si>
  <si>
    <t>C RECURSOS</t>
  </si>
  <si>
    <t>C1.   Mano de obra directa</t>
  </si>
  <si>
    <t>N°</t>
  </si>
  <si>
    <t>Mod</t>
  </si>
  <si>
    <t>HH
contractual</t>
  </si>
  <si>
    <t>HH
acumulado</t>
  </si>
  <si>
    <t>HH
restante</t>
  </si>
  <si>
    <t>hh acumulado total</t>
  </si>
  <si>
    <t>Costo total hh</t>
  </si>
  <si>
    <t>% total horas consumidas</t>
  </si>
  <si>
    <t>hh contractual</t>
  </si>
  <si>
    <t>Costo HH contractual</t>
  </si>
  <si>
    <t>C2.   Equipos</t>
  </si>
  <si>
    <t>hm
contractual</t>
  </si>
  <si>
    <t>hm
acumulado</t>
  </si>
  <si>
    <t>hm
restante</t>
  </si>
  <si>
    <t>% hh consumidas</t>
  </si>
  <si>
    <t>Herramientas menores (%MO)</t>
  </si>
  <si>
    <t>%mo</t>
  </si>
  <si>
    <t>hm acumulado total</t>
  </si>
  <si>
    <t>Costo total hm</t>
  </si>
  <si>
    <t>% total hm consumidas</t>
  </si>
  <si>
    <t>hm contractual</t>
  </si>
  <si>
    <t>Costo HM contractual</t>
  </si>
  <si>
    <t>C3.   Materiales</t>
  </si>
  <si>
    <t>glb</t>
  </si>
  <si>
    <t>Descripcion</t>
  </si>
  <si>
    <t>002</t>
  </si>
  <si>
    <t>02</t>
  </si>
  <si>
    <t>SUMINISTRO, INSTALACION, PRUEBAS Y PUESTA EN MARCHA - RAMAL CONTRAINCENDIOS HDPE TIE-IN-06 A GCI - AMPLIACION CAMPAMENTO JUSTA SUBTERRANEA</t>
  </si>
  <si>
    <t>COPREFA CONSTRUCCIONES PRE-FABRICADAS S.R.C. (EPC DE MARCOBRE)</t>
  </si>
  <si>
    <t>Área:</t>
  </si>
  <si>
    <t>CAMPAMENTO JUSTA SUBTERRANEA - MARCOBRE - ICA</t>
  </si>
  <si>
    <t>00.01</t>
  </si>
  <si>
    <t>MOVILIZACION DE TUBERIA HDPE Y ACCESORIOS</t>
  </si>
  <si>
    <t>VJE</t>
  </si>
  <si>
    <t>01.01</t>
  </si>
  <si>
    <t>TEE HDPE PE100 SDR11 D=110MM (IGUAL, 3 SALIDAS D=110MM)</t>
  </si>
  <si>
    <t>UND</t>
  </si>
  <si>
    <t>01.02</t>
  </si>
  <si>
    <t>REDUCCION HDPE PE100 SDR11 D=110MM X D=90MM (CONCENTRICA)</t>
  </si>
  <si>
    <t>01.03</t>
  </si>
  <si>
    <t>STUB END HDPE PE100 SDR11 D=90MM/3"</t>
  </si>
  <si>
    <t>01.04</t>
  </si>
  <si>
    <t>BACKING RING D=90MM/3" (HDPE)</t>
  </si>
  <si>
    <t>01.05</t>
  </si>
  <si>
    <t>EMPAQUETADURA EPDM D=90MM/3"</t>
  </si>
  <si>
    <t>01.06</t>
  </si>
  <si>
    <t>ESPARRAGO INOXIDABLE 3/4" + TUERCAS + GOLILLAS (JGO)</t>
  </si>
  <si>
    <t>JGO</t>
  </si>
  <si>
    <t>01.07</t>
  </si>
  <si>
    <t>VALVULA COMPUERTA 3" NRS, FLANGED, 125 PSI, UL/FM</t>
  </si>
  <si>
    <t>01.08</t>
  </si>
  <si>
    <t>BRIDA SLIP-ON D=90MM/3" (ACERO, PARA RISER)</t>
  </si>
  <si>
    <t>01.09</t>
  </si>
  <si>
    <t>REDUCCION CONCENTRICA DE ACERO D=3" X D=1 1/2", SCH.40</t>
  </si>
  <si>
    <t>01.10</t>
  </si>
  <si>
    <t>TUBERIA DE ACERO SCH.40 1 1/2" (RISER)</t>
  </si>
  <si>
    <t>01.11</t>
  </si>
  <si>
    <t>CODO DE ACERO SCH.40 1 1/2" 90°</t>
  </si>
  <si>
    <t>01.12</t>
  </si>
  <si>
    <t>TUBERIA HDPE PE100 SDR11 PN16 D=90MM X 6M</t>
  </si>
  <si>
    <t>01.13</t>
  </si>
  <si>
    <t>CODO HDPE PE100 SDR11 90°, D=90MM</t>
  </si>
  <si>
    <t>01.14</t>
  </si>
  <si>
    <t>CONSUMIBLES DE TERMOFUSION HDPE</t>
  </si>
  <si>
    <t>GLB</t>
  </si>
  <si>
    <t>02.01</t>
  </si>
  <si>
    <t>TIE-IN A RED EXISTENTE (LOTOTO) Y ARMADO DE CARRETE DE DESMONTAJE</t>
  </si>
  <si>
    <t>02.02</t>
  </si>
  <si>
    <t>TENDIDO DE TUBERIA HDPE DENTRO DE ZANJA PREPARADA POR COPREFA</t>
  </si>
  <si>
    <t>ML</t>
  </si>
  <si>
    <t>02.03</t>
  </si>
  <si>
    <t>TERMOFUSION DE JUNTAS HDPE (TRABAJO EN CALIENTE)</t>
  </si>
  <si>
    <t>02.04</t>
  </si>
  <si>
    <t>FABRICACION DE RISER DE ACERO: CORTE, ESMERILADO Y SOLDADURA</t>
  </si>
  <si>
    <t>02.05</t>
  </si>
  <si>
    <t>MONTAJE DE VALVULA COMPUERTA Y TRANSICIONES (ARMADO DE JUNTAS BRIDADAS)</t>
  </si>
  <si>
    <t>02.06</t>
  </si>
  <si>
    <t>CONEXION FINAL DE LA TUBERIA AL GABINETE CONTRAINCENDIOS (GCI) EXISTENTE</t>
  </si>
  <si>
    <t>03.01</t>
  </si>
  <si>
    <t>PRUEBA HIDROSTATICA SEGUN NFPA 24 - SUBCONTRATADO</t>
  </si>
  <si>
    <t>04.01</t>
  </si>
  <si>
    <t>COMISIONAMIENTO (APERTURA DE VALVULAS, PURGA DE AIRE, VERIFICACION DE PRESION)</t>
  </si>
  <si>
    <t>TOTAL</t>
  </si>
  <si>
    <t>ID</t>
  </si>
  <si>
    <t>Costo parcial</t>
  </si>
  <si>
    <t>Costo materiales</t>
  </si>
  <si>
    <t>Horas por jornada:</t>
  </si>
  <si>
    <t>Costo subcontratos</t>
  </si>
  <si>
    <t>C1.  MANO DE OBRA DIRECTA - línea base</t>
  </si>
  <si>
    <t>Cargo</t>
  </si>
  <si>
    <t>P.U. (costo-hora)</t>
  </si>
  <si>
    <t>Costo Contractual</t>
  </si>
  <si>
    <t>Oficial Mecanico</t>
  </si>
  <si>
    <t>hh</t>
  </si>
  <si>
    <t>Capataz</t>
  </si>
  <si>
    <t>Operario Armador</t>
  </si>
  <si>
    <t>Operario Termofusionista Hdpe</t>
  </si>
  <si>
    <t>Operario Mecanico</t>
  </si>
  <si>
    <t>Operario Soldador</t>
  </si>
  <si>
    <t>Equipo</t>
  </si>
  <si>
    <t>HM Contractual</t>
  </si>
  <si>
    <t>Esmeril Angular 4 1/2"</t>
  </si>
  <si>
    <t>hm</t>
  </si>
  <si>
    <t>Maquina De Soldar</t>
  </si>
  <si>
    <t>Esmeril Angular 7"</t>
  </si>
  <si>
    <t>Camion Baranda</t>
  </si>
  <si>
    <t>Maquina De Termofusion Hdpe (Alquiler)</t>
  </si>
  <si>
    <t>Tuberia Hdpe Pe100 Sdr11 Pn16 D=90Mm X 6M</t>
  </si>
  <si>
    <t>Valvula Compuerta 3" Nrs Flanged 125Psi Ul/Fm</t>
  </si>
  <si>
    <t>Esparrago Inoxidable 3/4" + Tuercas + Golillas (Jgo)</t>
  </si>
  <si>
    <t>Stub End Hdpe Pe100 Sdr11 D=90Mm/3"</t>
  </si>
  <si>
    <t>Consumibles De Termofusion Hdpe (Discos, Insertos, Gas)</t>
  </si>
  <si>
    <t>Backing Ring D=90Mm/3" (Hdpe)</t>
  </si>
  <si>
    <t>Consumibles De Trabajo En Caliente (Discos Corte P/Esmeril, Electrodos)</t>
  </si>
  <si>
    <t>Brida Slip-On D=90Mm/3" (Acero, Para Riser)</t>
  </si>
  <si>
    <t>Codo Hdpe Pe100 Sdr11 90°, D=90Mm</t>
  </si>
  <si>
    <t>Empaquetadura D=90Mm/3"</t>
  </si>
  <si>
    <t>Tee Hdpe Pe100 Sdr11 D=110Mm (Igual)</t>
  </si>
  <si>
    <t>Reduccion Hdpe Pe100 Sdr11 D=110Mm X D=90Mm</t>
  </si>
  <si>
    <t>Reduccion Concentrica De Acero D=3" X D=1 1/2", Sch.40</t>
  </si>
  <si>
    <t>Tuberia De Acero Sch.40 1 1/2" (Riser) X 6M</t>
  </si>
  <si>
    <t>Materiales Lototo (Candados, Tarjetas, Formatos)</t>
  </si>
  <si>
    <t>Codo De Acero Sch.40 1 1/2" 90°</t>
  </si>
  <si>
    <t>Prueba Hidrostatica Nfpa 24 (Incl. Tecnico, Equipo De Presion, Consumibles)</t>
  </si>
  <si>
    <t>VALIDACION / AUDITORIA - RECONCILIACION DE COSTOS</t>
  </si>
  <si>
    <t>Concepto</t>
  </si>
  <si>
    <t>Monto / Resultado</t>
  </si>
  <si>
    <t>Diferencia absoluta</t>
  </si>
  <si>
    <t>RECONCILIACION</t>
  </si>
  <si>
    <t>ITEM</t>
  </si>
  <si>
    <t>01</t>
  </si>
  <si>
    <t>03</t>
  </si>
  <si>
    <t>04</t>
  </si>
  <si>
    <t>ACTIVIDAD DE LA CONSTRUCION</t>
  </si>
  <si>
    <t>Revisión:</t>
  </si>
  <si>
    <t>1.0 IDENTIFICACIÓN</t>
  </si>
  <si>
    <t>Registro  N°:</t>
  </si>
  <si>
    <t>Cliente (N.º de contrato)</t>
  </si>
  <si>
    <t>Unidad:</t>
  </si>
  <si>
    <t>Razón Social:</t>
  </si>
  <si>
    <t>Nombre Proyecto (DCI):</t>
  </si>
  <si>
    <t>Semana N.º:</t>
  </si>
  <si>
    <t>Fecha:</t>
  </si>
  <si>
    <t>Ubicación:</t>
  </si>
  <si>
    <t>Especialidad:</t>
  </si>
  <si>
    <t>Turno:</t>
  </si>
  <si>
    <t>N° RDT:</t>
  </si>
  <si>
    <t>2.0 REPORTE DE AVANCE</t>
  </si>
  <si>
    <t>Descripción de la Actividad / Descripción de partida</t>
  </si>
  <si>
    <t>TA</t>
  </si>
  <si>
    <t>Unid.</t>
  </si>
  <si>
    <t>Restricciones</t>
  </si>
  <si>
    <t>T1</t>
  </si>
  <si>
    <t>T2</t>
  </si>
  <si>
    <t>T3</t>
  </si>
  <si>
    <t>T4</t>
  </si>
  <si>
    <t>T5</t>
  </si>
  <si>
    <t>T6</t>
  </si>
  <si>
    <t>T7</t>
  </si>
  <si>
    <t>T8</t>
  </si>
  <si>
    <t>3.0 TAREO PERSONAL</t>
  </si>
  <si>
    <t>Tareo</t>
  </si>
  <si>
    <t>Ingreso</t>
  </si>
  <si>
    <t>Salida</t>
  </si>
  <si>
    <t>DNI</t>
  </si>
  <si>
    <t>Apellido y nombre</t>
  </si>
  <si>
    <t xml:space="preserve">Cargo </t>
  </si>
  <si>
    <t>Especialidad</t>
  </si>
  <si>
    <t>Total</t>
  </si>
  <si>
    <t>Hora</t>
  </si>
  <si>
    <t>Firma</t>
  </si>
  <si>
    <t>Cant.</t>
  </si>
  <si>
    <t>TOTAL HH</t>
  </si>
  <si>
    <t>4.0 APROBACIÓN</t>
  </si>
  <si>
    <t>Responsable Cuadrilla</t>
  </si>
  <si>
    <t>Supervisor de Especialidad</t>
  </si>
  <si>
    <t>Jeje de especialidad</t>
  </si>
  <si>
    <t>Recepción — Oficina Técnica</t>
  </si>
  <si>
    <t>Recepción — Administración</t>
  </si>
  <si>
    <t>Nombre y Apellido:</t>
  </si>
  <si>
    <t>Firma:</t>
  </si>
  <si>
    <t>C4.   Subcontrata</t>
  </si>
  <si>
    <t>GESTION DE PROYECTOS</t>
  </si>
  <si>
    <t>Nº Semana de inicio</t>
  </si>
  <si>
    <t>Inicio 3WLA</t>
  </si>
  <si>
    <t>Fin 3WLA</t>
  </si>
  <si>
    <t>METRADO</t>
  </si>
  <si>
    <t>HH</t>
  </si>
  <si>
    <t>TIEMPO</t>
  </si>
  <si>
    <t>Total Metrado</t>
  </si>
  <si>
    <t>% Avance proyectado</t>
  </si>
  <si>
    <t>HH Semanales</t>
  </si>
  <si>
    <t>DISCIPLINA</t>
  </si>
  <si>
    <t>Programado</t>
  </si>
  <si>
    <t>Descripción de la actividad</t>
  </si>
  <si>
    <t>Incidencia
x partida</t>
  </si>
  <si>
    <t>HH ganadas</t>
  </si>
  <si>
    <t>IP</t>
  </si>
  <si>
    <t>INICIO</t>
  </si>
  <si>
    <t>FIN</t>
  </si>
  <si>
    <t>0001</t>
  </si>
  <si>
    <t xml:space="preserve">  Proyecto A</t>
  </si>
  <si>
    <t>0001.1</t>
  </si>
  <si>
    <t xml:space="preserve">    Subpresupuesto 1</t>
  </si>
  <si>
    <t>NO</t>
  </si>
  <si>
    <t>0001.2</t>
  </si>
  <si>
    <t xml:space="preserve">    Subpresupuesto 2</t>
  </si>
  <si>
    <t>0002</t>
  </si>
  <si>
    <t xml:space="preserve">  Proyecto B</t>
  </si>
  <si>
    <t>0002.1</t>
  </si>
  <si>
    <t>0002.2</t>
  </si>
  <si>
    <t>CIV</t>
  </si>
  <si>
    <t>Varios</t>
  </si>
  <si>
    <t>Minajusta</t>
  </si>
  <si>
    <t>DURACION
(dias)</t>
  </si>
  <si>
    <t xml:space="preserve">  Portafolio</t>
  </si>
  <si>
    <t xml:space="preserve">      </t>
  </si>
  <si>
    <t>1. DATOS GENERALES</t>
  </si>
  <si>
    <t>Fecha de adjudicacion</t>
  </si>
  <si>
    <t>Descripcion de partida</t>
  </si>
  <si>
    <t>Unidad</t>
  </si>
  <si>
    <t>Mano de obra (HH)</t>
  </si>
  <si>
    <t>Equipos (HM)</t>
  </si>
  <si>
    <t>Autorizado por:</t>
  </si>
  <si>
    <t>Plazo contractual</t>
  </si>
  <si>
    <t>Emitido por:</t>
  </si>
  <si>
    <t>Fecha de emision:</t>
  </si>
  <si>
    <t>Fecha de autorizacion:</t>
  </si>
  <si>
    <t>Fecha de inicio estimado:</t>
  </si>
  <si>
    <t>Fecha de cierre estimada:</t>
  </si>
  <si>
    <t>Servicio / Proyecto:</t>
  </si>
  <si>
    <t>Alcance:</t>
  </si>
  <si>
    <t>Item</t>
  </si>
  <si>
    <t>05</t>
  </si>
  <si>
    <t>06</t>
  </si>
  <si>
    <t>07</t>
  </si>
  <si>
    <t>08</t>
  </si>
  <si>
    <t>Semana</t>
  </si>
  <si>
    <t>Metrado restante</t>
  </si>
  <si>
    <t>CNC</t>
  </si>
  <si>
    <t>Valor Ganado (EV)</t>
  </si>
  <si>
    <t>N° OT:</t>
  </si>
  <si>
    <t>N° OC / orden del cliente:</t>
  </si>
  <si>
    <t>Metrado</t>
  </si>
  <si>
    <t>PARCIAL</t>
  </si>
  <si>
    <t>HH restante</t>
  </si>
  <si>
    <t>ORDEN DE TRABAJO (OT)</t>
  </si>
  <si>
    <t>2. EMISION ORDEN DE TRABAJO</t>
  </si>
  <si>
    <t>3. DESCRIPCION DEL SERVICIO</t>
  </si>
  <si>
    <t>PARTIDAS</t>
  </si>
  <si>
    <t>4. CONTROL DEL SERVICIO (SEMANAL)</t>
  </si>
  <si>
    <t>5. GASTOS DEL SERVICIO</t>
  </si>
  <si>
    <t>6. SEGURIDAD Y CALIDAD</t>
  </si>
  <si>
    <t>7. RESUMEN EJECUTIVO</t>
  </si>
  <si>
    <t>8. CIERRE DE ORDEN DE TRABAJO</t>
  </si>
  <si>
    <t>REPORTE DIARIO DE TRABAJO (RDT)</t>
  </si>
  <si>
    <t>DATOS DE PROYECTO (DP)</t>
  </si>
  <si>
    <t>PROYECT REPORT (PR)</t>
  </si>
  <si>
    <t>THREE WEEK LOOK AHEAD DEL PROYECTO (3WLA)</t>
  </si>
  <si>
    <t>CONSOLIDADO DE SERVICIOS — TRAZABILIDAD DE TERMINOLOGIA</t>
  </si>
  <si>
    <t>Compara el nombre de cada metrica del plan de control de calidad (archivo base: 'Indicadores EVM - Teoria y Ejemplo.xlsx') contra el nombre real que recibe esa misma metrica en los formatos DP, PR y RDT. El objetivo es que un mismo dato se llame igual en todos los archivos por los que pasa (trazabilidad).</t>
  </si>
  <si>
    <t>Indicadores (base)</t>
  </si>
  <si>
    <t>DP</t>
  </si>
  <si>
    <t>PR</t>
  </si>
  <si>
    <t>RDT</t>
  </si>
  <si>
    <t>¿Coherente?</t>
  </si>
  <si>
    <t>Observacion / accion propuesta</t>
  </si>
  <si>
    <t>Identificador de partida</t>
  </si>
  <si>
    <t>Item (correlativo 1,2,3...)</t>
  </si>
  <si>
    <t>WBS (##.##)</t>
  </si>
  <si>
    <t>WBS  /  Item (T1,T2...)</t>
  </si>
  <si>
    <t>DP/PR/RDT ya son coherentes entre si (WBS). Indicadores usa un correlativo simple porque es un ejemplo pedagogico, no un presupuesto real -- no requiere cambio.</t>
  </si>
  <si>
    <t>Nombre de la partida</t>
  </si>
  <si>
    <t>Descripcion de la Actividad</t>
  </si>
  <si>
    <t>RDT usa un nombre distinto al resto. Unificar a 'Partida' en RDT (columna C, hoja RDT) para que la trazabilidad textual sea directa.</t>
  </si>
  <si>
    <t>Unidad de medida</t>
  </si>
  <si>
    <t>Tres abreviaturas distintas para el mismo dato. Unificar a 'Und.' (ya es mayoria en DP/PR).</t>
  </si>
  <si>
    <t>Metrado contractual (linea base)</t>
  </si>
  <si>
    <t>-- (no existe)</t>
  </si>
  <si>
    <t>Indicadores dice solo 'Metrado' pero es el contractual (columna D, hoja 2). Renombrar a 'Metrado Contractual' para que calce exacto con DP/PR.</t>
  </si>
  <si>
    <t>Metrado planificado acumulado (a la fecha)</t>
  </si>
  <si>
    <t>Metrado Planificado Acumulado (a la fecha)</t>
  </si>
  <si>
    <t>-- (no aplica, DP es linea base)</t>
  </si>
  <si>
    <t>-- (no existe una columna acumulada)</t>
  </si>
  <si>
    <t>Cant. Prog. (diario, por RDT)</t>
  </si>
  <si>
    <t>Falta el eslabon intermedio: RDT reporta 'Cant. Prog.' dia a dia pero el PR no tiene una columna que la acumule a la fecha de corte con ese nombre. Sin esa columna en PR, el dato de Indicadores no tiene de donde salir en la practica.</t>
  </si>
  <si>
    <t>Metrado ejecutado acumulado (real)</t>
  </si>
  <si>
    <t>Metrado Ejecutado Acumulado (real)</t>
  </si>
  <si>
    <t>-- (no aplica)</t>
  </si>
  <si>
    <t>Metrado acumulado</t>
  </si>
  <si>
    <t>Cant. Ejec. (diario, por RDT)</t>
  </si>
  <si>
    <t>PR le quita la palabra 'Ejecutado' al nombre. Renombrar la columna H de PR (fila 12) a 'Metrado Ejecutado Acumulado' para que coincida con el archivo base.</t>
  </si>
  <si>
    <t>Precio unitario</t>
  </si>
  <si>
    <t>Precio Unitario (S/)</t>
  </si>
  <si>
    <t>Costo real acumulado</t>
  </si>
  <si>
    <t>Costo Real Acumulado (S/)</t>
  </si>
  <si>
    <t>-- (no existe consolidado por partida)</t>
  </si>
  <si>
    <t>PR calcula 'Costo Parcial' por recurso (mano de obra/equipos/materiales) pero no arma un Costo Real Acumulado POR PARTIDA (WBS) que sea el equivalente exacto de esta columna de Indicadores. Sin esto no se puede calcular AC ni CPI por partida en el PR, solo a nivel de recurso.</t>
  </si>
  <si>
    <t>Rendimiento estandar (HH por unidad)</t>
  </si>
  <si>
    <t>Rendimiento Estandar (HH/Und)</t>
  </si>
  <si>
    <t>Rend hh x part.</t>
  </si>
  <si>
    <t>TRES nombres distintos para el mismo dato (el de mayor riesgo de confusion). Unificar a 'Rendimiento (HH/Und)' en DP y PR.</t>
  </si>
  <si>
    <t>HH reales acumuladas</t>
  </si>
  <si>
    <t>HH Reales Acumuladas</t>
  </si>
  <si>
    <t>hh acumulado (por recurso de mano de obra, no por partida)</t>
  </si>
  <si>
    <t>TOTAL HH (por dia, no por partida)</t>
  </si>
  <si>
    <t>Ni el PR ni el RDT acumulan HH real POR PARTIDA (WBS): el PR las acumula por trabajador/recurso, y el RDT sirve el dato solo por dia. Falta el cruce Tareo-RDT -&gt; WBS para poder trazar 'HH Reales Acumuladas' hasta el nivel de partida que pide Indicadores.</t>
  </si>
  <si>
    <t>HH Ganadas (=Metr.Ejec. x Rendim.)</t>
  </si>
  <si>
    <t>P. horas ganadas</t>
  </si>
  <si>
    <t>Nombre distinto. Renombrar la columna L de PR (fila 12) a 'HH Ganadas' para que coincida.</t>
  </si>
  <si>
    <t>EV (S/)</t>
  </si>
  <si>
    <t>SI</t>
  </si>
  <si>
    <t>PR es mas explicito (nombra el indicador completo) pero es la misma magnitud sin ambiguedad. No requiere cambio.</t>
  </si>
  <si>
    <t>Indice de Productividad (IP)</t>
  </si>
  <si>
    <t>IP (=HH Ganadas/HH Reales)</t>
  </si>
  <si>
    <t>El PR calcula 'P. horas ganadas' pero nunca llega a dividirlo entre HH reales para obtener el IP. Es el indicador que Victor acaba de agregar en Indicadores (columnas J/K) y todavia no tiene bajada al PR.</t>
  </si>
  <si>
    <t>RESUMEN</t>
  </si>
  <si>
    <t>Total de metricas revisadas: 13</t>
  </si>
  <si>
    <t>Parcialmente coherentes: 1</t>
  </si>
  <si>
    <t>Nota: la mayoria de los 'NO' son simples diferencias de nombre (facil de corregir renombrando encabezados, sin tocar formulas). Las dos excepciones con hueco real de datos, no solo de nombre, son:
1) 'HH Reales Acumuladas' y 'Metrado Ejecutado Acumulado' no llegan HOY al PR desglosados por partida (WBS) desde el RDT -- el Tareo del RDT registra horas por persona/dia, no por partida.
2) El IP (Indice de Productividad) se calcula en Indicadores pero el PR nunca lo recibe: falta la columna 'HH Reales Acumuladas' por partida en el PR para poder dividir y obtener el IP ahi tambien.</t>
  </si>
  <si>
    <t>EQUIPOS</t>
  </si>
  <si>
    <t>MATERIALES</t>
  </si>
  <si>
    <t>C5.   CNC (causas de no cumplimiento)</t>
  </si>
  <si>
    <t>001</t>
  </si>
  <si>
    <t>003</t>
  </si>
  <si>
    <t>004</t>
  </si>
  <si>
    <t>005</t>
  </si>
  <si>
    <t>006</t>
  </si>
  <si>
    <t>007</t>
  </si>
  <si>
    <t>008</t>
  </si>
  <si>
    <t>009</t>
  </si>
  <si>
    <t>010</t>
  </si>
  <si>
    <t>011</t>
  </si>
  <si>
    <t>012</t>
  </si>
  <si>
    <t>Falta de capacitación específica.</t>
  </si>
  <si>
    <t>Falta de movilidad</t>
  </si>
  <si>
    <t>Planificación y programación inadecuadas.</t>
  </si>
  <si>
    <t>Falta de suministro oportuno de materiales.</t>
  </si>
  <si>
    <t>Cambios en el diseño o alcance del proyecto.</t>
  </si>
  <si>
    <t>Condiciones climáticas adversas.</t>
  </si>
  <si>
    <t>Uso de materiales inadecuados o de baja calidad.</t>
  </si>
  <si>
    <t>Mala comunicación y coordinación entre equipos.</t>
  </si>
  <si>
    <t>Demoras en permisos y aprobaciones legales.</t>
  </si>
  <si>
    <t>Mano de obra no calificada</t>
  </si>
  <si>
    <t>Mano de obra insuficiente.</t>
  </si>
  <si>
    <t>Falta de equipos y herramientas</t>
  </si>
  <si>
    <t>CS - CONSOLIDADO DEL SERVICIO</t>
  </si>
  <si>
    <t>A. LINEA BASE (CONTRACTUAL - DP)</t>
  </si>
  <si>
    <t>B. ACUMULADO REAL (RDT -&gt; PR)</t>
  </si>
  <si>
    <t>C. DERIVADOS (EVM CALCULADO)</t>
  </si>
  <si>
    <t>Rendimiento
(HH/Und)</t>
  </si>
  <si>
    <t>Precio Unit.</t>
  </si>
  <si>
    <t>BAC
(parcial, $/)</t>
  </si>
  <si>
    <t>Metrado Ejecutado
Acumulado</t>
  </si>
  <si>
    <t>Metrado Planificado
Acumulado</t>
  </si>
  <si>
    <t>Costo Real
Acumulado</t>
  </si>
  <si>
    <t>HH Reales
Acumuladas</t>
  </si>
  <si>
    <t>BAC</t>
  </si>
  <si>
    <t>PV</t>
  </si>
  <si>
    <t>EV</t>
  </si>
  <si>
    <t>AC</t>
  </si>
  <si>
    <t>CPI</t>
  </si>
  <si>
    <t>SPI</t>
  </si>
  <si>
    <t>% Avance Fisico</t>
  </si>
  <si>
    <t>HH Ganadas</t>
  </si>
  <si>
    <t>EAC</t>
  </si>
  <si>
    <t>VAC</t>
  </si>
  <si>
    <t>Pendiente</t>
  </si>
  <si>
    <t>TOTAL PROYECTO</t>
  </si>
  <si>
    <t>N/A (unidades distintas)</t>
  </si>
  <si>
    <t>ANALISIS DE COSTOS UNITARIOS</t>
  </si>
  <si>
    <t>PROYECTO: CASA HABITACION</t>
  </si>
  <si>
    <t>SUBPRESUPUESTO: ESTRUCTURAS</t>
  </si>
  <si>
    <t>CLIENTE: PRESUPUESTOS.PE</t>
  </si>
  <si>
    <t>UBICACION:  - MIRAFLORES - LIMA - LIMA</t>
  </si>
  <si>
    <t>FECHA BASE: 2026-08-10</t>
  </si>
  <si>
    <t>MONEDA: SOLES</t>
  </si>
  <si>
    <t>1.1 MOVILIZACION Y DESMOVILIZACION DE EQUIPOS</t>
  </si>
  <si>
    <t>Rendimiento: 1.0000 GLB/DIA</t>
  </si>
  <si>
    <t>Unidad: GLB</t>
  </si>
  <si>
    <t>Costo Unitario:</t>
  </si>
  <si>
    <t>Insumo</t>
  </si>
  <si>
    <t>Cuadrilla</t>
  </si>
  <si>
    <t>Cantidad</t>
  </si>
  <si>
    <t>PU</t>
  </si>
  <si>
    <t>Parcial</t>
  </si>
  <si>
    <t xml:space="preserve">  MOVILIZACION Y DESMOVILIZACION DE EQUIPOS</t>
  </si>
  <si>
    <t>Subcontratos:</t>
  </si>
  <si>
    <t>1.2 CARTEL DE IDENTIFICACION DE OBRA 3.60M X 2.40M</t>
  </si>
  <si>
    <t xml:space="preserve">  PEON</t>
  </si>
  <si>
    <t>Mano de obra:</t>
  </si>
  <si>
    <t xml:space="preserve">  CLAVOS C/C 3/4"</t>
  </si>
  <si>
    <t>KG</t>
  </si>
  <si>
    <t xml:space="preserve">  CEMENTO PORTLAND TIPO I (42.5KG)</t>
  </si>
  <si>
    <t>BOL</t>
  </si>
  <si>
    <t xml:space="preserve">  MADERA TORNILLO</t>
  </si>
  <si>
    <t>P2</t>
  </si>
  <si>
    <t xml:space="preserve">  HORMIGON</t>
  </si>
  <si>
    <t>M3</t>
  </si>
  <si>
    <t>Materiales:</t>
  </si>
  <si>
    <t xml:space="preserve">  HERRAMIENTAS MANUALES</t>
  </si>
  <si>
    <t>%MO</t>
  </si>
  <si>
    <t>Equipo:</t>
  </si>
  <si>
    <t xml:space="preserve">  GIGANTOGRAFIA DE 3.60x2.40M S/DISEÑO</t>
  </si>
  <si>
    <t>1.3 LIMPIEZA MANUAL DE TERRENO</t>
  </si>
  <si>
    <t>Rendimiento: 25.0000 M2/DIA</t>
  </si>
  <si>
    <t>Unidad: M2</t>
  </si>
  <si>
    <t xml:space="preserve">  OPERARIO</t>
  </si>
  <si>
    <t>1.4 TRAZO Y REPLANTEO</t>
  </si>
  <si>
    <t>Rendimiento: 50.0000 M2/DIA</t>
  </si>
  <si>
    <t xml:space="preserve">  TOPOGRAFO</t>
  </si>
  <si>
    <t xml:space="preserve">  CAPATAZ</t>
  </si>
  <si>
    <t xml:space="preserve">  OFICIAL</t>
  </si>
  <si>
    <t xml:space="preserve">  CLAVOS 3"</t>
  </si>
  <si>
    <t xml:space="preserve">  YESO BOLSA 25 KG</t>
  </si>
  <si>
    <t>BLS</t>
  </si>
  <si>
    <t xml:space="preserve">  WINCHA</t>
  </si>
  <si>
    <t xml:space="preserve">  PINTURA ESMALTE</t>
  </si>
  <si>
    <t>GAL</t>
  </si>
  <si>
    <t xml:space="preserve">  OCRE ROJO</t>
  </si>
  <si>
    <t xml:space="preserve">  MIRA TOPOGRAFICA</t>
  </si>
  <si>
    <t>HM</t>
  </si>
  <si>
    <t xml:space="preserve">  JALON</t>
  </si>
  <si>
    <t xml:space="preserve">  TEODOLITO</t>
  </si>
  <si>
    <t>2.1 DEMOLICION MANUAL DE CIMIENTOS</t>
  </si>
  <si>
    <t>Rendimiento: 0.3000 M3/DIA</t>
  </si>
  <si>
    <t>Unidad: M3</t>
  </si>
  <si>
    <t>2.2 DEMOLICION MANUAL DE COLUMNAS</t>
  </si>
  <si>
    <t>Rendimiento: 0.2500 M3/DIA</t>
  </si>
  <si>
    <t>2.3 DEMOLICION DE MUROS DE ADOBE - QUINCHA</t>
  </si>
  <si>
    <t>Rendimiento: 14.0000 M2/DIA</t>
  </si>
  <si>
    <t>3.1 EXCAVACION MANUAL H=1.00 EN TERRENO NORMAL</t>
  </si>
  <si>
    <t>Rendimiento: 4.0000 M3/DIA</t>
  </si>
  <si>
    <t>3.2 NIVELACION, REFINE Y COMPACTACION, PISÓN MANUAL</t>
  </si>
  <si>
    <t>Rendimiento: 100.0000 M2/DIA</t>
  </si>
  <si>
    <t xml:space="preserve">  AGUA PARA LA OBRA</t>
  </si>
  <si>
    <t xml:space="preserve">  PISON MANUAL</t>
  </si>
  <si>
    <t>3.3 ELIMINACION DE MATERIAL EXCEDENTE A MANO</t>
  </si>
  <si>
    <t>Rendimiento: 6.0000 M3/DIA</t>
  </si>
  <si>
    <t>4.1 CONCRETO PARA SOLADOS, E=0.10 M. C:H, 1:12</t>
  </si>
  <si>
    <t>Rendimiento: 60.0000 M2/DIA</t>
  </si>
  <si>
    <t xml:space="preserve">  OPERADOR DE EQUIPO LIVIANO</t>
  </si>
  <si>
    <t xml:space="preserve">  GASOLINA 84 OCTANOS</t>
  </si>
  <si>
    <t xml:space="preserve">  MEZCLADORA DE CONCRETO 8 HP 9 P3</t>
  </si>
  <si>
    <t>4.2 CONCRETO PARA CIMIENTOS CICLÓPEO 1:10+30% PG</t>
  </si>
  <si>
    <t>Rendimiento: 25.0000 M3/DIA</t>
  </si>
  <si>
    <t xml:space="preserve">  PIEDRA GRANDE PARA ZANJA</t>
  </si>
  <si>
    <t xml:space="preserve">  MEZCLADORA DE CONCRETO 18 HP 11-12 P3</t>
  </si>
  <si>
    <t>4.3 ENCOFRADO Y DESENCOFRADO NORMAL PARA SOBRECIMIENTO</t>
  </si>
  <si>
    <t>Rendimiento: 16.0000 M2/DIA</t>
  </si>
  <si>
    <t xml:space="preserve">  CLAVOS 2"</t>
  </si>
  <si>
    <t>4.4 CONCRETO PARA SOBRECIMENTO CICLÓPEO 1:8+25% PM</t>
  </si>
  <si>
    <t>Rendimiento: 12.0000 M3/DIA</t>
  </si>
  <si>
    <t>4.5 CONCRETO PARA FALSO PISO E=4" MEZCLA 1:8 C:H</t>
  </si>
  <si>
    <t>Rendimiento: 110.0000 M2/DIA</t>
  </si>
  <si>
    <t xml:space="preserve">  REGLA DE MADERA</t>
  </si>
  <si>
    <t xml:space="preserve">  GRASA MULTI PROPOSITOS</t>
  </si>
  <si>
    <t>5.1.1 CONCRETO PARA ZAPATAS F´C=210 KG/CM2</t>
  </si>
  <si>
    <t>Rendimiento: 17.0000 M3/DIA</t>
  </si>
  <si>
    <t xml:space="preserve">  ARENA GRUESA</t>
  </si>
  <si>
    <t xml:space="preserve">  PIEDRA CHANCADA DE 1/2"</t>
  </si>
  <si>
    <t xml:space="preserve">  VIBRADOR DE CONCRETO 4 HP 1.50"</t>
  </si>
  <si>
    <t>5.1.2 ENCOFRADO/ DESENCOFRADO NORMAL, ZAPATA</t>
  </si>
  <si>
    <t>5.1.3 ACERO DE REFUERZO F´Y = 4200 KG/CM2</t>
  </si>
  <si>
    <t>Rendimiento: 250.0000 KG/DIA</t>
  </si>
  <si>
    <t>Unidad: KG</t>
  </si>
  <si>
    <t xml:space="preserve">  ALAMBRE NEGRO N° 16</t>
  </si>
  <si>
    <t xml:space="preserve">  ACERO CORRUGADO F´Y = 4200 KG/CM2 GRADO 60</t>
  </si>
  <si>
    <t>5.2.1 CONCRETO PARA VIGAS DE CIMENTACIÓN F¨C=210 KG/CM2</t>
  </si>
  <si>
    <t>5.2.2 ENCOFRADO/ DESENCOFRADO NORMAL, VIGAS DE CIMENTACIÓN</t>
  </si>
  <si>
    <t>Rendimiento: 10.0000 M2/DIA</t>
  </si>
  <si>
    <t>5.2.3 ACERO DE REFUERZO F´Y = 4200 KG/CM2</t>
  </si>
  <si>
    <t>5.3.1 CONCRETO PARA COLUMNAS F´C=210 KG/CM2</t>
  </si>
  <si>
    <t>Rendimiento: 9.0000 M3/DIA</t>
  </si>
  <si>
    <t>5.3.2 ENCOFRADO Y DESENCOFRADO NORMAL PARA COLUMNAS</t>
  </si>
  <si>
    <t xml:space="preserve">  ALAMBRE NEGRO N° 8</t>
  </si>
  <si>
    <t xml:space="preserve">  CLAVOS</t>
  </si>
  <si>
    <t xml:space="preserve">  TRIPLAY DE 4´X 8´X 18 MM</t>
  </si>
  <si>
    <t>PLN</t>
  </si>
  <si>
    <t xml:space="preserve">  LACA DESMOLDEADORA</t>
  </si>
  <si>
    <t>5.3.3 ACERO DE REFUERZO F´Y = 4200 KG/CM2</t>
  </si>
  <si>
    <t>5.4.1 CONCRETO PARA VIGAS F'C=210 KG/CM2</t>
  </si>
  <si>
    <t>5.4.2 ENCOFRADO Y DESENCOFRADO NORMAL PARA VIGAS</t>
  </si>
  <si>
    <t xml:space="preserve">  MADERA PARA ENCOFRADO</t>
  </si>
  <si>
    <t>5.4.3 ACERO DE REFUERZO F´Y = 4200 KG/CM2</t>
  </si>
  <si>
    <t>5.5.1 CONCRETO PARA LOSAS ALIGERADAS F´C=210 KG/CM2</t>
  </si>
  <si>
    <t>5.5.2 ENCOFRADO Y DESENCOFRADO NORMAL PARA LOSAS ALIGERADAS</t>
  </si>
  <si>
    <t xml:space="preserve">  CLAVOS 4"</t>
  </si>
  <si>
    <t>5.5.3 ACERO DE REFUERZO F´Y = 4200 KG/CM2</t>
  </si>
  <si>
    <t>5.5.4 LADRILLO HUECO DE ARCILLA H = 15 CM PARA LOSA ALIGERADA</t>
  </si>
  <si>
    <t>Rendimiento: 1,600.0000 PZA/DIA</t>
  </si>
  <si>
    <t>Unidad: PZA</t>
  </si>
  <si>
    <t xml:space="preserve">  LADRILLO ARCILLA HUECO 15 15x30x30cm</t>
  </si>
  <si>
    <t>MLL</t>
  </si>
  <si>
    <t>5.6.1 CONCRETO PARA ESCALERAS F´C=210 KG/CM2</t>
  </si>
  <si>
    <t>5.6.2 ENCOFRADO Y DESENCOFRADO NORMAL PARA ESCALERAS</t>
  </si>
  <si>
    <t>5.6.3 ACERO DE REFUERZO F´Y = 4200 KG/CM2</t>
  </si>
  <si>
    <t>PRESUPUESTO</t>
  </si>
  <si>
    <t>PROYECTO:</t>
  </si>
  <si>
    <t>CASA HABITACION</t>
  </si>
  <si>
    <t>CLIENTE:</t>
  </si>
  <si>
    <t>PRESUPUESTOS.PE</t>
  </si>
  <si>
    <t>FECHA BASE:</t>
  </si>
  <si>
    <t>2026-08-10</t>
  </si>
  <si>
    <t>MONEDA:</t>
  </si>
  <si>
    <t>SOLES</t>
  </si>
  <si>
    <t>CU</t>
  </si>
  <si>
    <t xml:space="preserve"> OBRAS PRELIMINARES</t>
  </si>
  <si>
    <t xml:space="preserve">  CARTEL DE IDENTIFICACION DE OBRA 3.60M X 2.40M</t>
  </si>
  <si>
    <t xml:space="preserve">  LIMPIEZA MANUAL DE TERRENO</t>
  </si>
  <si>
    <t>M2</t>
  </si>
  <si>
    <t xml:space="preserve">  TRAZO Y REPLANTEO</t>
  </si>
  <si>
    <t xml:space="preserve"> DEMOLICIONES</t>
  </si>
  <si>
    <t xml:space="preserve">  DEMOLICION MANUAL DE CIMIENTOS</t>
  </si>
  <si>
    <t xml:space="preserve">  DEMOLICION MANUAL DE COLUMNAS</t>
  </si>
  <si>
    <t xml:space="preserve">  DEMOLICION DE MUROS DE ADOBE - QUINCHA</t>
  </si>
  <si>
    <t xml:space="preserve"> MOVIMIENTO DE TIERRA</t>
  </si>
  <si>
    <t xml:space="preserve">  EXCAVACION MANUAL H=1.00 EN TERRENO NORMAL</t>
  </si>
  <si>
    <t xml:space="preserve">  NIVELACION, REFINE Y COMPACTACION, PISÓN MANUAL</t>
  </si>
  <si>
    <t xml:space="preserve">  ELIMINACION DE MATERIAL EXCEDENTE A MANO</t>
  </si>
  <si>
    <t xml:space="preserve"> OBRAS DE CONCRETO SIMPLE</t>
  </si>
  <si>
    <t xml:space="preserve">  CONCRETO PARA SOLADOS, E=0.10 M. C:H, 1:12</t>
  </si>
  <si>
    <t xml:space="preserve">  CONCRETO PARA CIMIENTOS CICLÓPEO 1:10+30% PG</t>
  </si>
  <si>
    <t xml:space="preserve">  ENCOFRADO Y DESENCOFRADO NORMAL PARA SOBRECIMIENTO</t>
  </si>
  <si>
    <t xml:space="preserve">  CONCRETO PARA SOBRECIMENTO CICLÓPEO 1:8+25% PM</t>
  </si>
  <si>
    <t xml:space="preserve">  CONCRETO PARA FALSO PISO E=4" MEZCLA 1:8 C:H</t>
  </si>
  <si>
    <t xml:space="preserve"> OBRAS DE CONCRETO ARMADO</t>
  </si>
  <si>
    <t xml:space="preserve">  ZAPATAS</t>
  </si>
  <si>
    <t>5.1.1</t>
  </si>
  <si>
    <t xml:space="preserve">   CONCRETO PARA ZAPATAS F´C=210 KG/CM2</t>
  </si>
  <si>
    <t>5.1.2</t>
  </si>
  <si>
    <t xml:space="preserve">   ENCOFRADO/ DESENCOFRADO NORMAL, ZAPATA</t>
  </si>
  <si>
    <t>5.1.3</t>
  </si>
  <si>
    <t xml:space="preserve">   ACERO DE REFUERZO F´Y = 4200 KG/CM2</t>
  </si>
  <si>
    <t xml:space="preserve">  VIGAS DE CIMENTACION</t>
  </si>
  <si>
    <t>5.2.1</t>
  </si>
  <si>
    <t xml:space="preserve">   CONCRETO PARA VIGAS DE CIMENTACIÓN F¨C=210 KG/CM2</t>
  </si>
  <si>
    <t>5.2.2</t>
  </si>
  <si>
    <t xml:space="preserve">   ENCOFRADO/ DESENCOFRADO NORMAL, VIGAS DE CIMENTACIÓN</t>
  </si>
  <si>
    <t>5.2.3</t>
  </si>
  <si>
    <t xml:space="preserve">  COLUMNAS</t>
  </si>
  <si>
    <t>5.3.1</t>
  </si>
  <si>
    <t xml:space="preserve">   CONCRETO PARA COLUMNAS F´C=210 KG/CM2</t>
  </si>
  <si>
    <t>5.3.2</t>
  </si>
  <si>
    <t xml:space="preserve">   ENCOFRADO Y DESENCOFRADO NORMAL PARA COLUMNAS</t>
  </si>
  <si>
    <t>5.3.3</t>
  </si>
  <si>
    <t xml:space="preserve">  VIGAS</t>
  </si>
  <si>
    <t>5.4.1</t>
  </si>
  <si>
    <t xml:space="preserve">   CONCRETO PARA VIGAS F'C=210 KG/CM2</t>
  </si>
  <si>
    <t>5.4.2</t>
  </si>
  <si>
    <t xml:space="preserve">   ENCOFRADO Y DESENCOFRADO NORMAL PARA VIGAS</t>
  </si>
  <si>
    <t>5.4.3</t>
  </si>
  <si>
    <t xml:space="preserve">  LOSAS ALIGERADAS</t>
  </si>
  <si>
    <t>5.5.1</t>
  </si>
  <si>
    <t xml:space="preserve">   CONCRETO PARA LOSAS ALIGERADAS F´C=210 KG/CM2</t>
  </si>
  <si>
    <t>5.5.2</t>
  </si>
  <si>
    <t xml:space="preserve">   ENCOFRADO Y DESENCOFRADO NORMAL PARA LOSAS ALIGERADAS</t>
  </si>
  <si>
    <t>5.5.3</t>
  </si>
  <si>
    <t>5.5.4</t>
  </si>
  <si>
    <t xml:space="preserve">   LADRILLO HUECO DE ARCILLA H = 15 CM PARA LOSA ALIGERADA</t>
  </si>
  <si>
    <t>PZA</t>
  </si>
  <si>
    <t xml:space="preserve">  ESCALERAS</t>
  </si>
  <si>
    <t>5.6.1</t>
  </si>
  <si>
    <t xml:space="preserve">   CONCRETO PARA ESCALERAS F´C=210 KG/CM2</t>
  </si>
  <si>
    <t>5.6.2</t>
  </si>
  <si>
    <t xml:space="preserve">   ENCOFRADO Y DESENCOFRADO NORMAL PARA ESCALERAS</t>
  </si>
  <si>
    <t>5.6.3</t>
  </si>
  <si>
    <t>COSTO DIRECTO</t>
  </si>
  <si>
    <t>GASTOS GENERALES 13.4396%</t>
  </si>
  <si>
    <t>UTILIDAD 10%</t>
  </si>
  <si>
    <t>SUB TOTAL</t>
  </si>
  <si>
    <t>IGV 18%</t>
  </si>
  <si>
    <t>TOTAL PRESUPUESTO</t>
  </si>
  <si>
    <t>SON: CUATROCIENTOS CATORCE  MIL QUINIENTOS DOS CON 95/100 SOLES</t>
  </si>
  <si>
    <t>Rendimiento</t>
  </si>
  <si>
    <t>Metrado Ejecutado Acumulado</t>
  </si>
  <si>
    <t>Metrado Programado</t>
  </si>
  <si>
    <t>Metrado Ejecutado</t>
  </si>
  <si>
    <t>BAC (parcial)</t>
  </si>
  <si>
    <t>% Avance Fisico x Partida</t>
  </si>
  <si>
    <t>Curva S de Recursos</t>
  </si>
  <si>
    <t>ID:</t>
  </si>
  <si>
    <t>Fecha de Inicio</t>
  </si>
  <si>
    <t>Fecha Fin:</t>
  </si>
  <si>
    <t>Fecha de Corte:</t>
  </si>
  <si>
    <t>1/01/2025</t>
  </si>
  <si>
    <t>1/02/2025</t>
  </si>
  <si>
    <t>1/03/2025</t>
  </si>
  <si>
    <t>1/04/2025</t>
  </si>
  <si>
    <t>1/05/2025</t>
  </si>
  <si>
    <t>1/06/2025</t>
  </si>
  <si>
    <t>1/07/2025</t>
  </si>
  <si>
    <t>1/08/2025</t>
  </si>
  <si>
    <t>1/09/2025</t>
  </si>
  <si>
    <t>1/10/2025</t>
  </si>
  <si>
    <t>1/11/2025</t>
  </si>
  <si>
    <t>1/12/2025</t>
  </si>
  <si>
    <t>Columna2</t>
  </si>
  <si>
    <t>CURVA S</t>
  </si>
  <si>
    <t>Cliente</t>
  </si>
  <si>
    <t>Indicador</t>
  </si>
  <si>
    <t>PV Periodo</t>
  </si>
  <si>
    <t>EV Periodo</t>
  </si>
  <si>
    <t>AC Periodo</t>
  </si>
  <si>
    <t>Item (aux, agregado para Prueba 1)</t>
  </si>
  <si>
    <t>Categoria (aux, agregado para Prueba 1)</t>
  </si>
  <si>
    <t>Mano de obra</t>
  </si>
  <si>
    <t>AREA</t>
  </si>
  <si>
    <t>MIRAFLORES</t>
  </si>
  <si>
    <t>Subcontrado</t>
  </si>
  <si>
    <t>Bac</t>
  </si>
  <si>
    <t xml:space="preserve">HH Contractual </t>
  </si>
  <si>
    <t>0009</t>
  </si>
  <si>
    <t>A. DATOS GENERALES</t>
  </si>
  <si>
    <t>B1 PARTIDAS</t>
  </si>
  <si>
    <t>Cuadrilla promedio x actividad:</t>
  </si>
  <si>
    <t>A DATOS GENERALES</t>
  </si>
  <si>
    <t>C3.  MATERIALES</t>
  </si>
  <si>
    <t>C4.  SUBCONTRATOS</t>
  </si>
  <si>
    <t>C2.  EQUIPOS</t>
  </si>
  <si>
    <t>B2.  RESUMEN</t>
  </si>
  <si>
    <t>BAC (Monto contractual) — Work Package (top-down: metrado x P.U. contractual)</t>
  </si>
  <si>
    <t>BAC (Monto contractual) — Recursos agregados (bottom-up: Mano de Obra + Equipos + Materiales + Subcontratos)</t>
  </si>
  <si>
    <t>Diferencia relativa (% del BAC)</t>
  </si>
  <si>
    <t>BAC (Costo directo contractual)</t>
  </si>
  <si>
    <t>Tiempo estimado</t>
  </si>
  <si>
    <t>pag. 2/2</t>
  </si>
  <si>
    <t>Pag. 1/2</t>
  </si>
  <si>
    <t>Precio Unit. ($/)</t>
  </si>
  <si>
    <t>Resuelto: se definio '($/)' como indicador unico de moneda para todo el sistema (dolares, sin repetir el signo $ en cada valor -- ver DP/PR en py_control_proyectos_web). DP y PR quedan unificados a 'Precio Unit. ($/)'.</t>
  </si>
  <si>
    <t>Coherentes en todos los archivos: 2</t>
  </si>
  <si>
    <t>Con inconsistencia de nombre o hueco de trazabilidad: 10</t>
  </si>
  <si>
    <t>PROM-GP-001</t>
  </si>
  <si>
    <t>Codigo:</t>
  </si>
  <si>
    <t>Cod:</t>
  </si>
  <si>
    <t>PROM-GP-002</t>
  </si>
  <si>
    <t>PLAN MAESTRO</t>
  </si>
  <si>
    <t>MOV. TIERRAS, FAB. E INSTALACIÓN DE BANCODUCTOS</t>
  </si>
  <si>
    <t>AESA</t>
  </si>
  <si>
    <t>Rampa Zona Sur y Norte</t>
  </si>
  <si>
    <t>CONTRACTUAL</t>
  </si>
  <si>
    <t>Avance economico programado</t>
  </si>
  <si>
    <t>% Avance fisico proyectado</t>
  </si>
  <si>
    <t>HH programadas</t>
  </si>
  <si>
    <t>Avance economico real</t>
  </si>
  <si>
    <t>% Avance fisico real</t>
  </si>
  <si>
    <t>HH reales</t>
  </si>
  <si>
    <t>Semana 2</t>
  </si>
  <si>
    <t>Und</t>
  </si>
  <si>
    <t>costo unitario</t>
  </si>
  <si>
    <t xml:space="preserve">  MOV. TIERRAS, FAB. E INSTALACIÓN DE BANCODUCTOS</t>
  </si>
  <si>
    <t>1</t>
  </si>
  <si>
    <t xml:space="preserve">    TRABAJOS PRELIMINARES</t>
  </si>
  <si>
    <t>1.1</t>
  </si>
  <si>
    <t xml:space="preserve">      MOVILIZACIÓN Y DESMOVILIZACION DE PERSONAL (MES)</t>
  </si>
  <si>
    <t>150</t>
  </si>
  <si>
    <t>1.2</t>
  </si>
  <si>
    <t xml:space="preserve">      MOVILIZACION Y DESMOVILIZACION DE EQUIPOS, HERRAMIENTAS Y MATERIALES (VJE)</t>
  </si>
  <si>
    <t>4</t>
  </si>
  <si>
    <t>100</t>
  </si>
  <si>
    <t>1.3</t>
  </si>
  <si>
    <t xml:space="preserve">      SEGURIDAD Y SEÑALIZACION DE PROYECTO (MES)</t>
  </si>
  <si>
    <t>2.1</t>
  </si>
  <si>
    <t xml:space="preserve">    RAMPA ZONA SUR — BANCO DUCTO EN VÍA</t>
  </si>
  <si>
    <t>2.1.1</t>
  </si>
  <si>
    <t xml:space="preserve">      EXCAVACIÓN DE ZANJA CON RETROEXCAVADORA 0.6 X 1.00M (M3)</t>
  </si>
  <si>
    <t>m3</t>
  </si>
  <si>
    <t>2.1.2</t>
  </si>
  <si>
    <t xml:space="preserve">      PERFILADO Y NIVELACION DE TERRENO (ML)</t>
  </si>
  <si>
    <t>2.1.3</t>
  </si>
  <si>
    <t xml:space="preserve">      COLOCACION DE CAMA DE ARENA E=0.20 (ML)</t>
  </si>
  <si>
    <t>2.1.4</t>
  </si>
  <si>
    <t xml:space="preserve">      FABRICACIÓN DE BANCO DUCTOS 0.20 X 0.20 X 1.00M (UND)</t>
  </si>
  <si>
    <t>2.1.5</t>
  </si>
  <si>
    <t xml:space="preserve">      INSTALACIÓN DE BANCODUCTOS (UND)</t>
  </si>
  <si>
    <t>2.1.6</t>
  </si>
  <si>
    <t xml:space="preserve">      SUMINISTRO DE AFIRMADO (M3)</t>
  </si>
  <si>
    <t>2.1.7</t>
  </si>
  <si>
    <t xml:space="preserve">      RELLENO Y COMPACTACION EN CAPAS DE 200MM (M3)</t>
  </si>
  <si>
    <t>2.1.8</t>
  </si>
  <si>
    <t xml:space="preserve">      ELIMINACION DE MATERIAL EXCEDENTE D= 5 KM (M3)</t>
  </si>
  <si>
    <t>2.2</t>
  </si>
  <si>
    <t xml:space="preserve">    RAMPA ZONA SUR — BANCO DUCTO EN CAMINO</t>
  </si>
  <si>
    <t>2.2.1</t>
  </si>
  <si>
    <t xml:space="preserve">      EXCAVACIÓN DE ZANJA CON RETROEXCAVADORA 0.60 X 0.80M (M3)</t>
  </si>
  <si>
    <t>2.2.2</t>
  </si>
  <si>
    <t>2.2.3</t>
  </si>
  <si>
    <t>2.2.4</t>
  </si>
  <si>
    <t>2.2.5</t>
  </si>
  <si>
    <t>2.2.6</t>
  </si>
  <si>
    <t>2.2.7</t>
  </si>
  <si>
    <t>2.2.8</t>
  </si>
  <si>
    <t>2.3</t>
  </si>
  <si>
    <t xml:space="preserve">    RAMPA ZONA SUR — CAJAS DE REGISTRO</t>
  </si>
  <si>
    <t>2.3.1</t>
  </si>
  <si>
    <t xml:space="preserve">      SUMINISTRO DE BUZON DE PASO 0.60 X 0.60 X 0.80M (UND)</t>
  </si>
  <si>
    <t>2.3.2</t>
  </si>
  <si>
    <t xml:space="preserve">      INSTALACIÓN DE BUZON DE PASO (UND)</t>
  </si>
  <si>
    <t>2.4</t>
  </si>
  <si>
    <t xml:space="preserve">    RAMPA ZONA SUR — TENDIDO DE TUBERIA FLEXIBLE</t>
  </si>
  <si>
    <t>2.4.1</t>
  </si>
  <si>
    <t xml:space="preserve">      SUMINISTRO TUBERÍA CONDUIT FLEXIBLE CON FORRO DE PVC LIQUID TIGHT 2" Y ACCESORIOS (GLB)</t>
  </si>
  <si>
    <t>2.4.2</t>
  </si>
  <si>
    <t xml:space="preserve">      INSTALACIÓN DE TUBERIA FLEXIBLE (ML)</t>
  </si>
  <si>
    <t>3.1</t>
  </si>
  <si>
    <t xml:space="preserve">    RAMPA ZONA NORTE — BANCO DUCTO EN VÍA</t>
  </si>
  <si>
    <t>3.1.1</t>
  </si>
  <si>
    <t xml:space="preserve">      EXCAVACIÓN DE ZANJA CON RETROEXCAVADORA 0.60 X 1.00M (M3)</t>
  </si>
  <si>
    <t>3.1.2</t>
  </si>
  <si>
    <t>3.1.3</t>
  </si>
  <si>
    <t>3.1.4</t>
  </si>
  <si>
    <t>3.1.5</t>
  </si>
  <si>
    <t>3.1.6</t>
  </si>
  <si>
    <t>3.1.7</t>
  </si>
  <si>
    <t>3.1.8</t>
  </si>
  <si>
    <t>3.2</t>
  </si>
  <si>
    <t xml:space="preserve">    RAMPA ZONA NORTE — BANCO DUCTO EN CAMINO</t>
  </si>
  <si>
    <t>3.2.1</t>
  </si>
  <si>
    <t>3.2.2</t>
  </si>
  <si>
    <t>3.2.3</t>
  </si>
  <si>
    <t>3.2.4</t>
  </si>
  <si>
    <t>3.2.5</t>
  </si>
  <si>
    <t>3.2.6</t>
  </si>
  <si>
    <t>3.2.7</t>
  </si>
  <si>
    <t>3.2.8</t>
  </si>
  <si>
    <t>3.3</t>
  </si>
  <si>
    <t xml:space="preserve">    RAMPA ZONA NORTE — CAJAS DE REGISTRO</t>
  </si>
  <si>
    <t>3.3.1</t>
  </si>
  <si>
    <t>3.3.2</t>
  </si>
  <si>
    <t>3.4</t>
  </si>
  <si>
    <t xml:space="preserve">    RAMPA ZONA NORTE — TENDIDO DE TUBERIA FLEXIBLE</t>
  </si>
  <si>
    <t>3.4.1</t>
  </si>
  <si>
    <t>3.4.2</t>
  </si>
  <si>
    <t xml:space="preserve">    TENDIDO DE CABLE COAXIAL</t>
  </si>
  <si>
    <t>4.1</t>
  </si>
  <si>
    <t xml:space="preserve">      TENDIDO DE CABLE COAXIAL (ML)</t>
  </si>
  <si>
    <t>5</t>
  </si>
  <si>
    <t xml:space="preserve">    MOVILIZACIÓN DE BANCODUCTOS</t>
  </si>
  <si>
    <t>5.1</t>
  </si>
  <si>
    <t xml:space="preserve">      MOVILIZACIÓN Y DESCARGA DE BANCO DUCTOS (VJE)</t>
  </si>
  <si>
    <t>6</t>
  </si>
  <si>
    <t xml:space="preserve">    MINICARGADOR</t>
  </si>
  <si>
    <t>6.1</t>
  </si>
  <si>
    <t xml:space="preserve">      DESCARGA / ACARREO DE BANCODUCTOS CON MINICARGADOR (INCL. OPERADOR Y VIGIA) (DIA)</t>
  </si>
  <si>
    <t>7</t>
  </si>
  <si>
    <t xml:space="preserve">    PARIHUELAS</t>
  </si>
  <si>
    <t>7.1</t>
  </si>
  <si>
    <t xml:space="preserve">      SUMINISTRO DE PARIHUELAS PARA ALMACENAMIENTO (UND)</t>
  </si>
  <si>
    <t>8</t>
  </si>
  <si>
    <t xml:space="preserve">    TRAZO Y REPLANTEO</t>
  </si>
  <si>
    <t>8.1</t>
  </si>
  <si>
    <t xml:space="preserve">      TRAZO Y REPLANTEO CON ESTACIÓN TOTAL (MES)</t>
  </si>
  <si>
    <t>ECONOMICO</t>
  </si>
  <si>
    <t>COSTO 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</si>
</sst>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4">
    <numFmt numFmtId="164" formatCode="_-[$$-409]* #,##0.00_ ;_-[$$-409]* \-#,##0.00\ ;_-[$$-409]* &quot;-&quot;??_ ;_-@_ "/>
    <numFmt numFmtId="165" formatCode="\$#,##0.00"/>
    <numFmt numFmtId="166" formatCode="&quot;$&quot;#,##0.00"/>
    <numFmt numFmtId="167" formatCode="0.0000%"/>
    <numFmt numFmtId="168" formatCode="0.00000%"/>
    <numFmt numFmtId="169" formatCode="&quot;Semana&quot;\ 00"/>
    <numFmt numFmtId="170" formatCode="0.0000"/>
    <numFmt numFmtId="171" formatCode="ddd"/>
    <numFmt numFmtId="172" formatCode="_(* #,##0.00_);_(* \(#,##0.00\);_(* &quot;-&quot;??_);_(@_)"/>
    <numFmt numFmtId="173" formatCode="_(* #,##0.000_);_(* \(#,##0.000\);_(* &quot;-&quot;??_);_(@_)"/>
    <numFmt numFmtId="174" formatCode="#,##0.0000"/>
    <numFmt numFmtId="175" formatCode="_-&quot;$&quot;* #,##0.00_-;\-&quot;$&quot;* #,##0.00_-;_-&quot;$&quot;* &quot;-&quot;??_-;_-@_-"/>
    <numFmt numFmtId="176" formatCode="_-&quot;$&quot;* #,##0_-;\-&quot;$&quot;* #,##0_-;_-&quot;$&quot;* &quot;-&quot;??_-;_-@_-"/>
    <numFmt numFmtId="177" formatCode="[$$-409]#,##0.00"/>
  </numFmts>
  <fonts count="53" x14ac:knownFonts="1">
    <font>
      <sz val="11"/>
      <color theme="1"/>
      <name val="Calibri"/>
      <family val="2"/>
      <scheme val="minor"/>
    </font>
    <font>
      <sz val="11"/>
      <color theme="1"/>
      <name val="Calibri"/>
      <family val="2"/>
      <scheme val="minor"/>
    </font>
    <font>
      <sz val="12"/>
      <color theme="1"/>
      <name val="Calibri"/>
      <family val="2"/>
      <scheme val="minor"/>
    </font>
    <font>
      <sz val="8"/>
      <name val="Calibri"/>
      <family val="2"/>
      <scheme val="minor"/>
    </font>
    <font>
      <b/>
      <sz val="9"/>
      <name val="Calibri"/>
      <family val="2"/>
    </font>
    <font>
      <sz val="9"/>
      <color theme="1"/>
      <name val="Calibri"/>
      <family val="2"/>
      <scheme val="minor"/>
    </font>
    <font>
      <sz val="9"/>
      <name val="Calibri"/>
      <family val="2"/>
      <scheme val="minor"/>
    </font>
    <font>
      <sz val="9"/>
      <color rgb="FF000000"/>
      <name val="Calibri"/>
      <family val="2"/>
    </font>
    <font>
      <b/>
      <sz val="9"/>
      <name val="Calibri"/>
      <family val="2"/>
      <scheme val="minor"/>
    </font>
    <font>
      <sz val="9"/>
      <name val="Calibri"/>
      <family val="2"/>
    </font>
    <font>
      <sz val="9"/>
      <color theme="1"/>
      <name val="Calibri"/>
      <family val="2"/>
    </font>
    <font>
      <b/>
      <sz val="8"/>
      <name val="Calibri"/>
      <family val="2"/>
    </font>
    <font>
      <sz val="8"/>
      <name val="Arial"/>
      <family val="2"/>
    </font>
    <font>
      <b/>
      <sz val="8"/>
      <name val="Calibri"/>
      <family val="2"/>
      <scheme val="minor"/>
    </font>
    <font>
      <b/>
      <sz val="9"/>
      <color theme="1"/>
      <name val="Calibri"/>
      <family val="2"/>
      <scheme val="minor"/>
    </font>
    <font>
      <b/>
      <sz val="9"/>
      <color theme="0"/>
      <name val="Calibri"/>
      <family val="2"/>
    </font>
    <font>
      <b/>
      <sz val="11"/>
      <name val="Calibri"/>
      <family val="2"/>
    </font>
    <font>
      <sz val="8"/>
      <name val="Calibri"/>
      <family val="2"/>
    </font>
    <font>
      <sz val="10"/>
      <name val="Arial"/>
      <family val="2"/>
    </font>
    <font>
      <b/>
      <sz val="9"/>
      <color theme="0"/>
      <name val="Calibri"/>
      <family val="2"/>
      <scheme val="minor"/>
    </font>
    <font>
      <b/>
      <sz val="9"/>
      <color rgb="FF000000"/>
      <name val="Calibri"/>
      <family val="2"/>
      <scheme val="minor"/>
    </font>
    <font>
      <b/>
      <sz val="9"/>
      <color rgb="FF0070C0"/>
      <name val="Calibri"/>
      <family val="2"/>
      <scheme val="minor"/>
    </font>
    <font>
      <b/>
      <sz val="9"/>
      <color rgb="FF0000CC"/>
      <name val="Calibri"/>
      <family val="2"/>
      <scheme val="minor"/>
    </font>
    <font>
      <sz val="9"/>
      <color rgb="FF0000FF"/>
      <name val="Calibri"/>
      <family val="2"/>
      <scheme val="minor"/>
    </font>
    <font>
      <b/>
      <sz val="9"/>
      <color rgb="FF0000FF"/>
      <name val="Calibri"/>
      <family val="2"/>
      <scheme val="minor"/>
    </font>
    <font>
      <sz val="9"/>
      <color theme="4" tint="-0.249977111117893"/>
      <name val="Calibri"/>
      <family val="2"/>
      <scheme val="minor"/>
    </font>
    <font>
      <b/>
      <sz val="11"/>
      <color theme="1"/>
      <name val="Calibri"/>
      <family val="2"/>
      <scheme val="minor"/>
    </font>
    <font>
      <sz val="11"/>
      <name val="Calibri"/>
      <family val="2"/>
      <scheme val="minor"/>
    </font>
    <font>
      <i/>
      <sz val="8"/>
      <name val="Calibri"/>
      <family val="2"/>
    </font>
    <font>
      <b/>
      <sz val="14"/>
      <color theme="1"/>
      <name val="Calibri"/>
      <family val="2"/>
      <scheme val="minor"/>
    </font>
    <font>
      <i/>
      <sz val="9"/>
      <name val="Calibri"/>
      <family val="2"/>
    </font>
    <font>
      <i/>
      <sz val="9"/>
      <name val="Calibri"/>
      <family val="2"/>
      <scheme val="minor"/>
    </font>
    <font>
      <b/>
      <sz val="12"/>
      <color rgb="FFFFFFFF"/>
      <name val="Calibri"/>
      <family val="2"/>
    </font>
    <font>
      <i/>
      <sz val="9"/>
      <color rgb="FF404040"/>
      <name val="Calibri"/>
      <family val="2"/>
    </font>
    <font>
      <b/>
      <sz val="10"/>
      <color rgb="FFFFFFFF"/>
      <name val="Calibri"/>
      <family val="2"/>
    </font>
    <font>
      <sz val="11"/>
      <color theme="0"/>
      <name val="Calibri"/>
      <family val="2"/>
      <scheme val="minor"/>
    </font>
    <font>
      <b/>
      <sz val="11"/>
      <color rgb="FFFFFFFF"/>
      <name val="Calibri"/>
      <family val="2"/>
      <scheme val="minor"/>
    </font>
    <font>
      <i/>
      <sz val="11"/>
      <color theme="1"/>
      <name val="Calibri"/>
      <family val="2"/>
      <scheme val="minor"/>
    </font>
    <font>
      <sz val="11"/>
      <color rgb="FF000000"/>
      <name val="Calibri"/>
      <family val="2"/>
    </font>
    <font>
      <b/>
      <sz val="11"/>
      <color rgb="FF000000"/>
      <name val="Calibri"/>
      <family val="2"/>
    </font>
    <font>
      <sz val="10"/>
      <color theme="1"/>
      <name val="Calibri"/>
      <family val="2"/>
      <scheme val="minor"/>
    </font>
    <font>
      <b/>
      <sz val="10"/>
      <color theme="1"/>
      <name val="Calibri"/>
      <family val="2"/>
      <scheme val="minor"/>
    </font>
    <font>
      <b/>
      <sz val="10"/>
      <color theme="0"/>
      <name val="Calibri"/>
      <family val="2"/>
      <scheme val="minor"/>
    </font>
    <font>
      <sz val="10"/>
      <color theme="0"/>
      <name val="Calibri"/>
      <family val="2"/>
      <scheme val="minor"/>
    </font>
    <font>
      <b/>
      <sz val="12"/>
      <color theme="1"/>
      <name val="Calibri"/>
      <family val="2"/>
      <scheme val="minor"/>
    </font>
    <font>
      <i/>
      <sz val="11"/>
      <color rgb="FF000000"/>
      <name val="Calibri"/>
      <family val="2"/>
    </font>
    <font>
      <sz val="8"/>
      <color theme="0"/>
      <name val="Calibri"/>
      <family val="2"/>
    </font>
    <font>
      <b/>
      <sz val="8"/>
      <color theme="0"/>
      <name val="Calibri"/>
      <family val="2"/>
    </font>
    <font>
      <sz val="8"/>
      <color theme="0"/>
      <name val="Calibri"/>
      <family val="2"/>
      <scheme val="minor"/>
    </font>
    <font>
      <b/>
      <sz val="11"/>
      <name val="Calibri"/>
      <family val="2"/>
      <scheme val="minor"/>
    </font>
    <font>
      <b/>
      <sz val="10"/>
      <name val="Calibri"/>
      <family val="2"/>
    </font>
    <font>
      <b/>
      <sz val="11"/>
      <color theme="0"/>
      <name val="Calibri"/>
      <family val="2"/>
    </font>
    <font>
      <sz val="11"/>
      <name val="Calibri"/>
      <family val="2"/>
    </font>
  </fonts>
  <fills count="27">
    <fill>
      <patternFill patternType="none"/>
    </fill>
    <fill>
      <patternFill patternType="gray125"/>
    </fill>
    <fill>
      <patternFill patternType="solid">
        <fgColor theme="8" tint="0.79998168889431442"/>
        <bgColor indexed="64"/>
      </patternFill>
    </fill>
    <fill>
      <patternFill patternType="solid">
        <fgColor theme="0"/>
        <bgColor indexed="64"/>
      </patternFill>
    </fill>
    <fill>
      <patternFill patternType="solid">
        <fgColor indexed="9"/>
        <bgColor indexed="64"/>
      </patternFill>
    </fill>
    <fill>
      <patternFill patternType="solid">
        <fgColor theme="3" tint="-0.249977111117893"/>
        <bgColor indexed="64"/>
      </patternFill>
    </fill>
    <fill>
      <patternFill patternType="solid">
        <fgColor rgb="FF1F4E78"/>
      </patternFill>
    </fill>
    <fill>
      <patternFill patternType="solid">
        <fgColor theme="0" tint="-0.14999847407452621"/>
        <bgColor indexed="64"/>
      </patternFill>
    </fill>
    <fill>
      <patternFill patternType="solid">
        <fgColor rgb="FF80FF80"/>
        <bgColor indexed="64"/>
      </patternFill>
    </fill>
    <fill>
      <patternFill patternType="solid">
        <fgColor rgb="FF0070C0"/>
        <bgColor indexed="64"/>
      </patternFill>
    </fill>
    <fill>
      <patternFill patternType="solid">
        <fgColor rgb="FFFF0000"/>
        <bgColor indexed="64"/>
      </patternFill>
    </fill>
    <fill>
      <patternFill patternType="solid">
        <fgColor rgb="FFFFC000"/>
        <bgColor indexed="64"/>
      </patternFill>
    </fill>
    <fill>
      <patternFill patternType="solid">
        <fgColor rgb="FF002060"/>
        <bgColor indexed="64"/>
      </patternFill>
    </fill>
    <fill>
      <patternFill patternType="solid">
        <fgColor rgb="FF305496"/>
      </patternFill>
    </fill>
    <fill>
      <patternFill patternType="solid">
        <fgColor rgb="FFFFE699"/>
      </patternFill>
    </fill>
    <fill>
      <patternFill patternType="solid">
        <fgColor rgb="FFF4B183"/>
      </patternFill>
    </fill>
    <fill>
      <patternFill patternType="solid">
        <fgColor rgb="FFC6E0B4"/>
      </patternFill>
    </fill>
    <fill>
      <patternFill patternType="solid">
        <fgColor rgb="FF053078"/>
        <bgColor indexed="64"/>
      </patternFill>
    </fill>
    <fill>
      <patternFill patternType="solid">
        <fgColor rgb="FF004B96"/>
        <bgColor indexed="64"/>
      </patternFill>
    </fill>
    <fill>
      <patternFill patternType="solid">
        <fgColor rgb="FFD9D9D9"/>
        <bgColor indexed="64"/>
      </patternFill>
    </fill>
    <fill>
      <patternFill patternType="solid">
        <fgColor rgb="FFC5D9F1"/>
        <bgColor rgb="FF000000"/>
      </patternFill>
    </fill>
    <fill>
      <patternFill patternType="solid">
        <fgColor theme="1"/>
        <bgColor indexed="64"/>
      </patternFill>
    </fill>
    <fill>
      <patternFill patternType="solid">
        <fgColor rgb="FF00376C"/>
        <bgColor indexed="64"/>
      </patternFill>
    </fill>
    <fill>
      <patternFill patternType="solid">
        <fgColor rgb="FF00B0F0"/>
        <bgColor indexed="64"/>
      </patternFill>
    </fill>
    <fill>
      <patternFill patternType="solid">
        <fgColor theme="8" tint="0.59999389629810485"/>
        <bgColor indexed="64"/>
      </patternFill>
    </fill>
    <fill>
      <patternFill patternType="solid">
        <fgColor theme="7" tint="0.39997558519241921"/>
        <bgColor indexed="64"/>
      </patternFill>
    </fill>
    <fill>
      <patternFill patternType="solid">
        <fgColor theme="4" tint="0.59999389629810485"/>
        <bgColor indexed="64"/>
      </patternFill>
    </fill>
  </fills>
  <borders count="162">
    <border>
      <left/>
      <right/>
      <top/>
      <bottom/>
      <diagonal/>
    </border>
    <border>
      <left/>
      <right style="thin">
        <color rgb="FF000000"/>
      </right>
      <top style="thin">
        <color rgb="FF000000"/>
      </top>
      <bottom/>
      <diagonal/>
    </border>
    <border>
      <left style="double">
        <color indexed="64"/>
      </left>
      <right style="thin">
        <color indexed="64"/>
      </right>
      <top style="double">
        <color indexed="64"/>
      </top>
      <bottom style="thin">
        <color indexed="64"/>
      </bottom>
      <diagonal/>
    </border>
    <border>
      <left style="thin">
        <color indexed="64"/>
      </left>
      <right style="thin">
        <color indexed="64"/>
      </right>
      <top style="double">
        <color indexed="64"/>
      </top>
      <bottom style="thin">
        <color indexed="64"/>
      </bottom>
      <diagonal/>
    </border>
    <border>
      <left style="thin">
        <color indexed="64"/>
      </left>
      <right style="double">
        <color indexed="64"/>
      </right>
      <top style="double">
        <color indexed="64"/>
      </top>
      <bottom style="thin">
        <color indexed="64"/>
      </bottom>
      <diagonal/>
    </border>
    <border>
      <left/>
      <right style="thin">
        <color indexed="64"/>
      </right>
      <top style="double">
        <color indexed="64"/>
      </top>
      <bottom style="thin">
        <color indexed="64"/>
      </bottom>
      <diagonal/>
    </border>
    <border>
      <left style="double">
        <color indexed="64"/>
      </left>
      <right style="double">
        <color indexed="64"/>
      </right>
      <top style="double">
        <color indexed="64"/>
      </top>
      <bottom style="thin">
        <color indexed="64"/>
      </bottom>
      <diagonal/>
    </border>
    <border>
      <left/>
      <right style="double">
        <color indexed="64"/>
      </right>
      <top style="double">
        <color indexed="64"/>
      </top>
      <bottom style="thin">
        <color indexed="64"/>
      </bottom>
      <diagonal/>
    </border>
    <border>
      <left style="double">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double">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double">
        <color indexed="64"/>
      </left>
      <right style="double">
        <color indexed="64"/>
      </right>
      <top style="thin">
        <color indexed="64"/>
      </top>
      <bottom style="thin">
        <color indexed="64"/>
      </bottom>
      <diagonal/>
    </border>
    <border>
      <left/>
      <right style="double">
        <color indexed="64"/>
      </right>
      <top style="thin">
        <color indexed="64"/>
      </top>
      <bottom style="thin">
        <color indexed="64"/>
      </bottom>
      <diagonal/>
    </border>
    <border>
      <left style="double">
        <color indexed="64"/>
      </left>
      <right style="thin">
        <color indexed="64"/>
      </right>
      <top style="thin">
        <color indexed="64"/>
      </top>
      <bottom style="double">
        <color indexed="64"/>
      </bottom>
      <diagonal/>
    </border>
    <border>
      <left style="thin">
        <color indexed="64"/>
      </left>
      <right style="thin">
        <color indexed="64"/>
      </right>
      <top style="thin">
        <color indexed="64"/>
      </top>
      <bottom style="double">
        <color indexed="64"/>
      </bottom>
      <diagonal/>
    </border>
    <border>
      <left style="thin">
        <color indexed="64"/>
      </left>
      <right style="double">
        <color indexed="64"/>
      </right>
      <top style="thin">
        <color indexed="64"/>
      </top>
      <bottom style="double">
        <color indexed="64"/>
      </bottom>
      <diagonal/>
    </border>
    <border>
      <left/>
      <right style="thin">
        <color indexed="64"/>
      </right>
      <top style="thin">
        <color indexed="64"/>
      </top>
      <bottom style="double">
        <color indexed="64"/>
      </bottom>
      <diagonal/>
    </border>
    <border>
      <left style="thin">
        <color indexed="64"/>
      </left>
      <right/>
      <top style="thin">
        <color indexed="64"/>
      </top>
      <bottom style="double">
        <color indexed="64"/>
      </bottom>
      <diagonal/>
    </border>
    <border>
      <left style="double">
        <color indexed="64"/>
      </left>
      <right style="double">
        <color indexed="64"/>
      </right>
      <top style="thin">
        <color indexed="64"/>
      </top>
      <bottom style="double">
        <color indexed="64"/>
      </bottom>
      <diagonal/>
    </border>
    <border>
      <left/>
      <right style="double">
        <color indexed="64"/>
      </right>
      <top style="thin">
        <color indexed="64"/>
      </top>
      <bottom style="double">
        <color indexed="64"/>
      </bottom>
      <diagonal/>
    </border>
    <border>
      <left/>
      <right style="thin">
        <color indexed="64"/>
      </right>
      <top/>
      <bottom/>
      <diagonal/>
    </border>
    <border>
      <left style="double">
        <color indexed="64"/>
      </left>
      <right/>
      <top style="double">
        <color indexed="64"/>
      </top>
      <bottom style="double">
        <color indexed="64"/>
      </bottom>
      <diagonal/>
    </border>
    <border>
      <left/>
      <right/>
      <top style="double">
        <color indexed="64"/>
      </top>
      <bottom style="double">
        <color indexed="64"/>
      </bottom>
      <diagonal/>
    </border>
    <border>
      <left style="double">
        <color indexed="64"/>
      </left>
      <right style="thin">
        <color indexed="64"/>
      </right>
      <top style="double">
        <color indexed="64"/>
      </top>
      <bottom style="double">
        <color indexed="64"/>
      </bottom>
      <diagonal/>
    </border>
    <border>
      <left style="thin">
        <color indexed="64"/>
      </left>
      <right style="thin">
        <color indexed="64"/>
      </right>
      <top style="double">
        <color indexed="64"/>
      </top>
      <bottom style="double">
        <color indexed="64"/>
      </bottom>
      <diagonal/>
    </border>
    <border>
      <left style="thin">
        <color indexed="64"/>
      </left>
      <right/>
      <top style="double">
        <color indexed="64"/>
      </top>
      <bottom style="double">
        <color indexed="64"/>
      </bottom>
      <diagonal/>
    </border>
    <border>
      <left style="thin">
        <color indexed="64"/>
      </left>
      <right style="double">
        <color indexed="64"/>
      </right>
      <top style="double">
        <color indexed="64"/>
      </top>
      <bottom style="double">
        <color indexed="64"/>
      </bottom>
      <diagonal/>
    </border>
    <border>
      <left style="double">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top style="double">
        <color indexed="64"/>
      </top>
      <bottom style="thin">
        <color indexed="64"/>
      </bottom>
      <diagonal/>
    </border>
    <border>
      <left/>
      <right/>
      <top style="thin">
        <color indexed="64"/>
      </top>
      <bottom style="thin">
        <color indexed="64"/>
      </bottom>
      <diagonal/>
    </border>
    <border>
      <left/>
      <right/>
      <top style="thin">
        <color indexed="64"/>
      </top>
      <bottom style="double">
        <color indexed="64"/>
      </bottom>
      <diagonal/>
    </border>
    <border>
      <left style="double">
        <color indexed="64"/>
      </left>
      <right style="thin">
        <color indexed="64"/>
      </right>
      <top style="double">
        <color indexed="64"/>
      </top>
      <bottom/>
      <diagonal/>
    </border>
    <border>
      <left/>
      <right style="thin">
        <color indexed="64"/>
      </right>
      <top style="double">
        <color indexed="64"/>
      </top>
      <bottom style="double">
        <color indexed="64"/>
      </bottom>
      <diagonal/>
    </border>
    <border>
      <left style="thin">
        <color indexed="64"/>
      </left>
      <right style="double">
        <color indexed="64"/>
      </right>
      <top/>
      <bottom style="thin">
        <color indexed="64"/>
      </bottom>
      <diagonal/>
    </border>
    <border>
      <left/>
      <right style="double">
        <color indexed="64"/>
      </right>
      <top style="double">
        <color indexed="64"/>
      </top>
      <bottom style="double">
        <color indexed="64"/>
      </bottom>
      <diagonal/>
    </border>
    <border>
      <left style="double">
        <color indexed="64"/>
      </left>
      <right/>
      <top/>
      <bottom style="thin">
        <color indexed="64"/>
      </bottom>
      <diagonal/>
    </border>
    <border>
      <left style="double">
        <color indexed="64"/>
      </left>
      <right style="double">
        <color indexed="64"/>
      </right>
      <top style="double">
        <color indexed="64"/>
      </top>
      <bottom style="double">
        <color indexed="64"/>
      </bottom>
      <diagonal/>
    </border>
    <border>
      <left style="double">
        <color indexed="64"/>
      </left>
      <right/>
      <top/>
      <bottom style="double">
        <color indexed="64"/>
      </bottom>
      <diagonal/>
    </border>
    <border>
      <left/>
      <right/>
      <top/>
      <bottom style="double">
        <color indexed="64"/>
      </bottom>
      <diagonal/>
    </border>
    <border>
      <left/>
      <right style="thin">
        <color indexed="64"/>
      </right>
      <top/>
      <bottom style="double">
        <color indexed="64"/>
      </bottom>
      <diagonal/>
    </border>
    <border>
      <left style="double">
        <color indexed="64"/>
      </left>
      <right style="thin">
        <color indexed="64"/>
      </right>
      <top/>
      <bottom style="double">
        <color indexed="64"/>
      </bottom>
      <diagonal/>
    </border>
    <border>
      <left style="thin">
        <color indexed="64"/>
      </left>
      <right style="thin">
        <color indexed="64"/>
      </right>
      <top/>
      <bottom style="double">
        <color indexed="64"/>
      </bottom>
      <diagonal/>
    </border>
    <border>
      <left style="thin">
        <color indexed="64"/>
      </left>
      <right style="double">
        <color indexed="64"/>
      </right>
      <top/>
      <bottom style="double">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double">
        <color indexed="64"/>
      </left>
      <right/>
      <top style="double">
        <color indexed="64"/>
      </top>
      <bottom/>
      <diagonal/>
    </border>
    <border>
      <left/>
      <right/>
      <top style="double">
        <color indexed="64"/>
      </top>
      <bottom/>
      <diagonal/>
    </border>
    <border>
      <left/>
      <right style="double">
        <color indexed="64"/>
      </right>
      <top style="double">
        <color indexed="64"/>
      </top>
      <bottom/>
      <diagonal/>
    </border>
    <border>
      <left/>
      <right style="double">
        <color indexed="64"/>
      </right>
      <top/>
      <bottom/>
      <diagonal/>
    </border>
    <border>
      <left style="thin">
        <color indexed="64"/>
      </left>
      <right/>
      <top/>
      <bottom style="double">
        <color indexed="64"/>
      </bottom>
      <diagonal/>
    </border>
    <border>
      <left style="thin">
        <color indexed="64"/>
      </left>
      <right style="double">
        <color indexed="64"/>
      </right>
      <top style="thin">
        <color indexed="64"/>
      </top>
      <bottom/>
      <diagonal/>
    </border>
    <border>
      <left/>
      <right style="double">
        <color indexed="64"/>
      </right>
      <top/>
      <bottom style="thin">
        <color indexed="64"/>
      </bottom>
      <diagonal/>
    </border>
    <border>
      <left/>
      <right style="double">
        <color indexed="64"/>
      </right>
      <top/>
      <bottom style="double">
        <color indexed="64"/>
      </bottom>
      <diagonal/>
    </border>
    <border>
      <left style="double">
        <color indexed="64"/>
      </left>
      <right style="double">
        <color indexed="64"/>
      </right>
      <top style="double">
        <color indexed="64"/>
      </top>
      <bottom/>
      <diagonal/>
    </border>
    <border>
      <left style="double">
        <color indexed="64"/>
      </left>
      <right style="double">
        <color indexed="64"/>
      </right>
      <top style="thin">
        <color indexed="64"/>
      </top>
      <bottom/>
      <diagonal/>
    </border>
    <border>
      <left style="thin">
        <color rgb="FF000000"/>
      </left>
      <right style="thin">
        <color rgb="FF000000"/>
      </right>
      <top style="thin">
        <color rgb="FF000000"/>
      </top>
      <bottom/>
      <diagonal/>
    </border>
    <border>
      <left style="double">
        <color indexed="64"/>
      </left>
      <right/>
      <top/>
      <bottom/>
      <diagonal/>
    </border>
    <border>
      <left style="thin">
        <color indexed="64"/>
      </left>
      <right style="thin">
        <color indexed="64"/>
      </right>
      <top style="thin">
        <color indexed="64"/>
      </top>
      <bottom/>
      <diagonal/>
    </border>
    <border>
      <left/>
      <right/>
      <top style="thin">
        <color rgb="FF000000"/>
      </top>
      <bottom style="thin">
        <color indexed="64"/>
      </bottom>
      <diagonal/>
    </border>
    <border>
      <left/>
      <right style="thin">
        <color rgb="FF000000"/>
      </right>
      <top style="thin">
        <color rgb="FF000000"/>
      </top>
      <bottom style="thin">
        <color indexed="64"/>
      </bottom>
      <diagonal/>
    </border>
    <border>
      <left/>
      <right/>
      <top style="double">
        <color indexed="64"/>
      </top>
      <bottom style="thin">
        <color rgb="FF000000"/>
      </bottom>
      <diagonal/>
    </border>
    <border>
      <left/>
      <right style="double">
        <color indexed="64"/>
      </right>
      <top style="double">
        <color indexed="64"/>
      </top>
      <bottom style="thin">
        <color rgb="FF000000"/>
      </bottom>
      <diagonal/>
    </border>
    <border>
      <left style="double">
        <color indexed="64"/>
      </left>
      <right style="thin">
        <color rgb="FF000000"/>
      </right>
      <top style="thin">
        <color rgb="FF000000"/>
      </top>
      <bottom/>
      <diagonal/>
    </border>
    <border>
      <left style="thin">
        <color rgb="FF000000"/>
      </left>
      <right style="double">
        <color indexed="64"/>
      </right>
      <top style="thin">
        <color rgb="FF000000"/>
      </top>
      <bottom/>
      <diagonal/>
    </border>
    <border>
      <left style="double">
        <color indexed="64"/>
      </left>
      <right style="double">
        <color indexed="64"/>
      </right>
      <top/>
      <bottom/>
      <diagonal/>
    </border>
    <border>
      <left style="double">
        <color indexed="64"/>
      </left>
      <right style="double">
        <color indexed="64"/>
      </right>
      <top style="double">
        <color indexed="64"/>
      </top>
      <bottom style="thin">
        <color rgb="FF000000"/>
      </bottom>
      <diagonal/>
    </border>
    <border>
      <left/>
      <right style="thin">
        <color indexed="64"/>
      </right>
      <top style="double">
        <color indexed="64"/>
      </top>
      <bottom/>
      <diagonal/>
    </border>
    <border>
      <left/>
      <right style="double">
        <color indexed="64"/>
      </right>
      <top style="thin">
        <color indexed="64"/>
      </top>
      <bottom/>
      <diagonal/>
    </border>
    <border>
      <left style="thin">
        <color indexed="64"/>
      </left>
      <right style="thin">
        <color indexed="64"/>
      </right>
      <top/>
      <bottom/>
      <diagonal/>
    </border>
    <border>
      <left style="double">
        <color indexed="64"/>
      </left>
      <right style="double">
        <color indexed="64"/>
      </right>
      <top/>
      <bottom style="thin">
        <color indexed="64"/>
      </bottom>
      <diagonal/>
    </border>
    <border>
      <left style="double">
        <color indexed="64"/>
      </left>
      <right style="double">
        <color indexed="64"/>
      </right>
      <top/>
      <bottom style="double">
        <color indexed="64"/>
      </bottom>
      <diagonal/>
    </border>
    <border>
      <left/>
      <right/>
      <top/>
      <bottom style="thin">
        <color rgb="FF999999"/>
      </bottom>
      <diagonal/>
    </border>
    <border>
      <left/>
      <right/>
      <top style="medium">
        <color indexed="64"/>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dashDot">
        <color indexed="64"/>
      </left>
      <right style="dashDot">
        <color indexed="64"/>
      </right>
      <top/>
      <bottom style="dashDot">
        <color indexed="64"/>
      </bottom>
      <diagonal/>
    </border>
    <border>
      <left/>
      <right/>
      <top style="thin">
        <color rgb="FF999999"/>
      </top>
      <bottom style="thin">
        <color rgb="FF999999"/>
      </bottom>
      <diagonal/>
    </border>
    <border>
      <left/>
      <right style="thin">
        <color rgb="FF999999"/>
      </right>
      <top style="thin">
        <color rgb="FF999999"/>
      </top>
      <bottom style="thin">
        <color rgb="FF999999"/>
      </bottom>
      <diagonal/>
    </border>
    <border>
      <left style="thin">
        <color rgb="FF999999"/>
      </left>
      <right/>
      <top style="thin">
        <color rgb="FF999999"/>
      </top>
      <bottom style="thin">
        <color rgb="FF999999"/>
      </bottom>
      <diagonal/>
    </border>
    <border>
      <left/>
      <right style="thin">
        <color rgb="FF999999"/>
      </right>
      <top/>
      <bottom style="thin">
        <color rgb="FF999999"/>
      </bottom>
      <diagonal/>
    </border>
    <border>
      <left style="thin">
        <color rgb="FF999999"/>
      </left>
      <right/>
      <top/>
      <bottom style="thin">
        <color rgb="FF999999"/>
      </bottom>
      <diagonal/>
    </border>
    <border>
      <left style="thin">
        <color rgb="FF999999"/>
      </left>
      <right style="thin">
        <color rgb="FF999999"/>
      </right>
      <top style="thin">
        <color rgb="FF999999"/>
      </top>
      <bottom style="thin">
        <color rgb="FF999999"/>
      </bottom>
      <diagonal/>
    </border>
    <border>
      <left style="double">
        <color indexed="64"/>
      </left>
      <right/>
      <top style="double">
        <color indexed="64"/>
      </top>
      <bottom style="thin">
        <color indexed="64"/>
      </bottom>
      <diagonal/>
    </border>
    <border>
      <left/>
      <right style="thin">
        <color rgb="FF999999"/>
      </right>
      <top/>
      <bottom/>
      <diagonal/>
    </border>
    <border>
      <left style="thin">
        <color rgb="FF999999"/>
      </left>
      <right/>
      <top/>
      <bottom/>
      <diagonal/>
    </border>
    <border>
      <left style="thin">
        <color indexed="64"/>
      </left>
      <right/>
      <top style="medium">
        <color indexed="64"/>
      </top>
      <bottom style="thin">
        <color indexed="64"/>
      </bottom>
      <diagonal/>
    </border>
    <border>
      <left/>
      <right/>
      <top style="medium">
        <color indexed="64"/>
      </top>
      <bottom style="thin">
        <color auto="1"/>
      </bottom>
      <diagonal/>
    </border>
    <border>
      <left/>
      <right style="thin">
        <color indexed="64"/>
      </right>
      <top style="medium">
        <color indexed="64"/>
      </top>
      <bottom style="thin">
        <color indexed="64"/>
      </bottom>
      <diagonal/>
    </border>
    <border>
      <left style="thin">
        <color indexed="64"/>
      </left>
      <right/>
      <top/>
      <bottom/>
      <diagonal/>
    </border>
    <border>
      <left style="thin">
        <color indexed="64"/>
      </left>
      <right style="medium">
        <color indexed="64"/>
      </right>
      <top style="thin">
        <color indexed="64"/>
      </top>
      <bottom/>
      <diagonal/>
    </border>
    <border>
      <left style="thin">
        <color indexed="64"/>
      </left>
      <right style="thin">
        <color indexed="64"/>
      </right>
      <top/>
      <bottom style="medium">
        <color indexed="64"/>
      </bottom>
      <diagonal/>
    </border>
    <border>
      <left style="thin">
        <color rgb="FF000000"/>
      </left>
      <right style="thin">
        <color rgb="FF000000"/>
      </right>
      <top/>
      <bottom/>
      <diagonal/>
    </border>
    <border>
      <left style="medium">
        <color indexed="64"/>
      </left>
      <right style="thin">
        <color indexed="64"/>
      </right>
      <top style="thin">
        <color indexed="64"/>
      </top>
      <bottom/>
      <diagonal/>
    </border>
    <border>
      <left style="hair">
        <color indexed="64"/>
      </left>
      <right style="hair">
        <color indexed="64"/>
      </right>
      <top style="hair">
        <color indexed="64"/>
      </top>
      <bottom style="hair">
        <color indexed="64"/>
      </bottom>
      <diagonal/>
    </border>
    <border>
      <left style="medium">
        <color indexed="64"/>
      </left>
      <right style="hair">
        <color indexed="64"/>
      </right>
      <top/>
      <bottom style="medium">
        <color indexed="64"/>
      </bottom>
      <diagonal/>
    </border>
    <border>
      <left style="hair">
        <color indexed="64"/>
      </left>
      <right style="hair">
        <color indexed="64"/>
      </right>
      <top/>
      <bottom style="medium">
        <color indexed="64"/>
      </bottom>
      <diagonal/>
    </border>
    <border>
      <left style="thin">
        <color indexed="64"/>
      </left>
      <right style="thin">
        <color indexed="64"/>
      </right>
      <top style="thin">
        <color indexed="64"/>
      </top>
      <bottom style="medium">
        <color indexed="64"/>
      </bottom>
      <diagonal/>
    </border>
    <border>
      <left/>
      <right/>
      <top/>
      <bottom style="medium">
        <color indexed="64"/>
      </bottom>
      <diagonal/>
    </border>
    <border>
      <left style="thin">
        <color indexed="64"/>
      </left>
      <right style="medium">
        <color indexed="64"/>
      </right>
      <top/>
      <bottom style="medium">
        <color indexed="64"/>
      </bottom>
      <diagonal/>
    </border>
    <border>
      <left style="thin">
        <color indexed="64"/>
      </left>
      <right/>
      <top style="hair">
        <color indexed="64"/>
      </top>
      <bottom style="hair">
        <color indexed="64"/>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thin">
        <color rgb="FFBFBFBF"/>
      </left>
      <right style="thin">
        <color rgb="FFBFBFBF"/>
      </right>
      <top style="thin">
        <color rgb="FFBFBFBF"/>
      </top>
      <bottom style="thin">
        <color rgb="FFBFBFBF"/>
      </bottom>
      <diagonal/>
    </border>
    <border>
      <left style="thin">
        <color indexed="64"/>
      </left>
      <right style="thin">
        <color rgb="FF999999"/>
      </right>
      <top style="thin">
        <color rgb="FF999999"/>
      </top>
      <bottom style="thin">
        <color rgb="FF999999"/>
      </bottom>
      <diagonal/>
    </border>
    <border>
      <left/>
      <right style="thin">
        <color indexed="64"/>
      </right>
      <top style="thin">
        <color rgb="FF999999"/>
      </top>
      <bottom style="thin">
        <color rgb="FF999999"/>
      </bottom>
      <diagonal/>
    </border>
    <border>
      <left style="thin">
        <color indexed="64"/>
      </left>
      <right style="thin">
        <color rgb="FF999999"/>
      </right>
      <top style="thin">
        <color rgb="FF999999"/>
      </top>
      <bottom style="thin">
        <color indexed="64"/>
      </bottom>
      <diagonal/>
    </border>
    <border>
      <left/>
      <right/>
      <top style="thin">
        <color rgb="FF999999"/>
      </top>
      <bottom style="thin">
        <color indexed="64"/>
      </bottom>
      <diagonal/>
    </border>
    <border>
      <left/>
      <right style="thin">
        <color indexed="64"/>
      </right>
      <top style="thin">
        <color rgb="FF999999"/>
      </top>
      <bottom style="thin">
        <color indexed="64"/>
      </bottom>
      <diagonal/>
    </border>
    <border>
      <left style="thin">
        <color rgb="FF999999"/>
      </left>
      <right style="thin">
        <color indexed="64"/>
      </right>
      <top style="thin">
        <color rgb="FF999999"/>
      </top>
      <bottom style="thin">
        <color rgb="FF999999"/>
      </bottom>
      <diagonal/>
    </border>
    <border>
      <left/>
      <right style="thin">
        <color rgb="FF999999"/>
      </right>
      <top style="thin">
        <color rgb="FF999999"/>
      </top>
      <bottom style="thin">
        <color indexed="64"/>
      </bottom>
      <diagonal/>
    </border>
    <border>
      <left style="thin">
        <color rgb="FF999999"/>
      </left>
      <right style="thin">
        <color rgb="FF999999"/>
      </right>
      <top style="thin">
        <color rgb="FF999999"/>
      </top>
      <bottom style="thin">
        <color indexed="64"/>
      </bottom>
      <diagonal/>
    </border>
    <border>
      <left style="thin">
        <color rgb="FF999999"/>
      </left>
      <right style="thin">
        <color indexed="64"/>
      </right>
      <top style="thin">
        <color rgb="FF999999"/>
      </top>
      <bottom style="thin">
        <color indexed="64"/>
      </bottom>
      <diagonal/>
    </border>
    <border>
      <left style="thin">
        <color rgb="FF999999"/>
      </left>
      <right style="thin">
        <color rgb="FF999999"/>
      </right>
      <top/>
      <bottom style="thin">
        <color rgb="FF999999"/>
      </bottom>
      <diagonal/>
    </border>
    <border>
      <left/>
      <right style="medium">
        <color indexed="64"/>
      </right>
      <top style="thin">
        <color indexed="64"/>
      </top>
      <bottom style="thin">
        <color indexed="64"/>
      </bottom>
      <diagonal/>
    </border>
    <border>
      <left style="thin">
        <color rgb="FF000000"/>
      </left>
      <right/>
      <top style="thin">
        <color rgb="FF000000"/>
      </top>
      <bottom style="thin">
        <color indexed="64"/>
      </bottom>
      <diagonal/>
    </border>
    <border>
      <left style="thin">
        <color indexed="64"/>
      </left>
      <right/>
      <top style="double">
        <color indexed="64"/>
      </top>
      <bottom/>
      <diagonal/>
    </border>
    <border>
      <left/>
      <right/>
      <top style="thin">
        <color rgb="FF999999"/>
      </top>
      <bottom/>
      <diagonal/>
    </border>
    <border>
      <left style="thin">
        <color indexed="64"/>
      </left>
      <right/>
      <top/>
      <bottom style="thin">
        <color rgb="FF999999"/>
      </bottom>
      <diagonal/>
    </border>
    <border>
      <left style="thin">
        <color indexed="64"/>
      </left>
      <right/>
      <top style="thin">
        <color rgb="FF999999"/>
      </top>
      <bottom style="thin">
        <color rgb="FF999999"/>
      </bottom>
      <diagonal/>
    </border>
    <border>
      <left style="thin">
        <color indexed="64"/>
      </left>
      <right/>
      <top style="thin">
        <color rgb="FF999999"/>
      </top>
      <bottom style="thin">
        <color indexed="64"/>
      </bottom>
      <diagonal/>
    </border>
    <border>
      <left style="thin">
        <color rgb="FF999999"/>
      </left>
      <right style="thin">
        <color indexed="64"/>
      </right>
      <top/>
      <bottom style="thin">
        <color indexed="64"/>
      </bottom>
      <diagonal/>
    </border>
    <border>
      <left style="double">
        <color indexed="64"/>
      </left>
      <right/>
      <top style="thin">
        <color indexed="64"/>
      </top>
      <bottom style="double">
        <color indexed="64"/>
      </bottom>
      <diagonal/>
    </border>
    <border>
      <left style="thin">
        <color indexed="64"/>
      </left>
      <right style="double">
        <color indexed="64"/>
      </right>
      <top style="thin">
        <color indexed="64"/>
      </top>
      <bottom style="thin">
        <color rgb="FF000000"/>
      </bottom>
      <diagonal/>
    </border>
    <border>
      <left/>
      <right/>
      <top style="thin">
        <color indexed="64"/>
      </top>
      <bottom style="thin">
        <color rgb="FF000000"/>
      </bottom>
      <diagonal/>
    </border>
    <border>
      <left/>
      <right style="thin">
        <color indexed="64"/>
      </right>
      <top style="thin">
        <color indexed="64"/>
      </top>
      <bottom style="thin">
        <color rgb="FF000000"/>
      </bottom>
      <diagonal/>
    </border>
    <border>
      <left style="thin">
        <color indexed="64"/>
      </left>
      <right style="thin">
        <color rgb="FF000000"/>
      </right>
      <top style="thin">
        <color rgb="FF000000"/>
      </top>
      <bottom/>
      <diagonal/>
    </border>
    <border>
      <left style="thin">
        <color rgb="FF000000"/>
      </left>
      <right style="thin">
        <color indexed="64"/>
      </right>
      <top style="thin">
        <color rgb="FF000000"/>
      </top>
      <bottom/>
      <diagonal/>
    </border>
    <border>
      <left style="thin">
        <color indexed="64"/>
      </left>
      <right/>
      <top style="double">
        <color indexed="64"/>
      </top>
      <bottom style="thin">
        <color indexed="64"/>
      </bottom>
      <diagonal/>
    </border>
    <border>
      <left style="thin">
        <color indexed="64"/>
      </left>
      <right style="thin">
        <color indexed="64"/>
      </right>
      <top style="double">
        <color indexed="64"/>
      </top>
      <bottom/>
      <diagonal/>
    </border>
    <border>
      <left style="thin">
        <color indexed="64"/>
      </left>
      <right style="double">
        <color indexed="64"/>
      </right>
      <top style="double">
        <color indexed="64"/>
      </top>
      <bottom/>
      <diagonal/>
    </border>
    <border>
      <left style="double">
        <color indexed="64"/>
      </left>
      <right/>
      <top style="thin">
        <color indexed="64"/>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style="medium">
        <color indexed="64"/>
      </top>
      <bottom style="thin">
        <color auto="1"/>
      </bottom>
      <diagonal/>
    </border>
    <border>
      <left/>
      <right style="medium">
        <color indexed="64"/>
      </right>
      <top style="medium">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top/>
      <bottom style="medium">
        <color indexed="64"/>
      </bottom>
      <diagonal/>
    </border>
    <border>
      <left style="medium">
        <color indexed="64"/>
      </left>
      <right style="thin">
        <color indexed="64"/>
      </right>
      <top/>
      <bottom/>
      <diagonal/>
    </border>
    <border>
      <left style="thin">
        <color indexed="64"/>
      </left>
      <right style="medium">
        <color indexed="64"/>
      </right>
      <top/>
      <bottom/>
      <diagonal/>
    </border>
    <border>
      <left/>
      <right style="medium">
        <color indexed="64"/>
      </right>
      <top/>
      <bottom/>
      <diagonal/>
    </border>
    <border>
      <left style="medium">
        <color indexed="64"/>
      </left>
      <right style="thin">
        <color rgb="FF000000"/>
      </right>
      <top/>
      <bottom/>
      <diagonal/>
    </border>
    <border>
      <left style="thin">
        <color indexed="64"/>
      </left>
      <right style="medium">
        <color indexed="64"/>
      </right>
      <top style="medium">
        <color indexed="64"/>
      </top>
      <bottom style="thin">
        <color indexed="64"/>
      </bottom>
      <diagonal/>
    </border>
    <border>
      <left style="medium">
        <color indexed="64"/>
      </left>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bottom style="thin">
        <color indexed="64"/>
      </bottom>
      <diagonal/>
    </border>
    <border>
      <left style="hair">
        <color indexed="64"/>
      </left>
      <right style="hair">
        <color indexed="64"/>
      </right>
      <top/>
      <bottom style="hair">
        <color indexed="64"/>
      </bottom>
      <diagonal/>
    </border>
    <border>
      <left/>
      <right/>
      <top style="thin">
        <color indexed="64"/>
      </top>
      <bottom style="medium">
        <color indexed="64"/>
      </bottom>
      <diagonal/>
    </border>
  </borders>
  <cellStyleXfs count="10">
    <xf numFmtId="0" fontId="0" fillId="0" borderId="0"/>
    <xf numFmtId="9" fontId="1" fillId="0" borderId="0"/>
    <xf numFmtId="0" fontId="12" fillId="0" borderId="0">
      <alignment vertical="center"/>
    </xf>
    <xf numFmtId="0" fontId="18" fillId="0" borderId="0"/>
    <xf numFmtId="9" fontId="1" fillId="0" borderId="0" applyFont="0" applyFill="0" applyBorder="0" applyAlignment="0" applyProtection="0"/>
    <xf numFmtId="0" fontId="1" fillId="0" borderId="0"/>
    <xf numFmtId="0" fontId="18" fillId="0" borderId="0"/>
    <xf numFmtId="172" fontId="18" fillId="0" borderId="0" applyFont="0" applyFill="0" applyBorder="0" applyAlignment="0" applyProtection="0"/>
    <xf numFmtId="0" fontId="38" fillId="0" borderId="0"/>
    <xf numFmtId="175" fontId="1" fillId="0" borderId="0" applyFont="0" applyFill="0" applyBorder="0" applyAlignment="0" applyProtection="0"/>
  </cellStyleXfs>
  <cellXfs count="901">
    <xf numFmtId="0" fontId="0" fillId="0" borderId="0" xfId="0"/>
    <xf numFmtId="0" fontId="2" fillId="0" borderId="6" xfId="0" applyFont="1" applyBorder="1" applyAlignment="1">
      <alignment vertical="center"/>
    </xf>
    <xf numFmtId="0" fontId="2" fillId="0" borderId="13" xfId="0" applyFont="1" applyBorder="1" applyAlignment="1">
      <alignment vertical="center"/>
    </xf>
    <xf numFmtId="0" fontId="2" fillId="0" borderId="20" xfId="0" applyFont="1" applyBorder="1" applyAlignment="1">
      <alignment vertical="center"/>
    </xf>
    <xf numFmtId="0" fontId="2" fillId="0" borderId="42" xfId="0" applyFont="1" applyBorder="1" applyAlignment="1">
      <alignment vertical="center"/>
    </xf>
    <xf numFmtId="0" fontId="2" fillId="0" borderId="46" xfId="0" applyFont="1" applyBorder="1" applyAlignment="1">
      <alignment vertical="center"/>
    </xf>
    <xf numFmtId="0" fontId="2" fillId="0" borderId="47" xfId="0" applyFont="1" applyBorder="1" applyAlignment="1">
      <alignment vertical="center"/>
    </xf>
    <xf numFmtId="0" fontId="2" fillId="0" borderId="48" xfId="0" applyFont="1" applyBorder="1" applyAlignment="1">
      <alignment vertical="center"/>
    </xf>
    <xf numFmtId="0" fontId="2" fillId="0" borderId="24" xfId="0" applyFont="1" applyBorder="1" applyAlignment="1">
      <alignment horizontal="center" vertical="center"/>
    </xf>
    <xf numFmtId="0" fontId="2" fillId="0" borderId="22" xfId="0" applyFont="1" applyBorder="1" applyAlignment="1">
      <alignment vertical="center"/>
    </xf>
    <xf numFmtId="0" fontId="2" fillId="0" borderId="46" xfId="0" applyFont="1" applyBorder="1" applyAlignment="1">
      <alignment horizontal="center" vertical="center"/>
    </xf>
    <xf numFmtId="0" fontId="2" fillId="0" borderId="56" xfId="0" applyFont="1" applyBorder="1" applyAlignment="1">
      <alignment horizontal="center" vertical="center"/>
    </xf>
    <xf numFmtId="0" fontId="2" fillId="0" borderId="48" xfId="0" applyFont="1" applyBorder="1" applyAlignment="1">
      <alignment horizontal="center" vertical="center"/>
    </xf>
    <xf numFmtId="0" fontId="2" fillId="0" borderId="49" xfId="0" applyFont="1" applyBorder="1" applyAlignment="1">
      <alignment vertical="center"/>
    </xf>
    <xf numFmtId="0" fontId="2" fillId="0" borderId="57" xfId="0" applyFont="1" applyBorder="1" applyAlignment="1">
      <alignment vertical="center"/>
    </xf>
    <xf numFmtId="0" fontId="2" fillId="0" borderId="23" xfId="0" applyFont="1" applyBorder="1" applyAlignment="1">
      <alignment horizontal="center" vertical="center"/>
    </xf>
    <xf numFmtId="0" fontId="2" fillId="0" borderId="0" xfId="0" applyFont="1" applyAlignment="1">
      <alignment horizontal="center" vertical="center"/>
    </xf>
    <xf numFmtId="0" fontId="2" fillId="0" borderId="17" xfId="0" applyFont="1" applyBorder="1" applyAlignment="1">
      <alignment vertical="center"/>
    </xf>
    <xf numFmtId="0" fontId="2" fillId="0" borderId="12" xfId="0" applyFont="1" applyBorder="1" applyAlignment="1">
      <alignment vertical="center"/>
    </xf>
    <xf numFmtId="0" fontId="2" fillId="0" borderId="10" xfId="0" applyFont="1" applyBorder="1" applyAlignment="1">
      <alignment vertical="center"/>
    </xf>
    <xf numFmtId="0" fontId="2" fillId="0" borderId="27" xfId="0" applyFont="1" applyBorder="1" applyAlignment="1">
      <alignment horizontal="center" vertical="center"/>
    </xf>
    <xf numFmtId="0" fontId="2" fillId="0" borderId="31" xfId="0" applyFont="1" applyBorder="1" applyAlignment="1">
      <alignment vertical="center"/>
    </xf>
    <xf numFmtId="0" fontId="2" fillId="0" borderId="39" xfId="0" applyFont="1" applyBorder="1" applyAlignment="1">
      <alignment vertical="center"/>
    </xf>
    <xf numFmtId="0" fontId="5" fillId="0" borderId="63" xfId="0" applyFont="1" applyBorder="1"/>
    <xf numFmtId="0" fontId="5" fillId="3" borderId="53" xfId="0" applyFont="1" applyFill="1" applyBorder="1"/>
    <xf numFmtId="0" fontId="7" fillId="3" borderId="44" xfId="0" applyFont="1" applyFill="1" applyBorder="1" applyAlignment="1">
      <alignment horizontal="left" vertical="center"/>
    </xf>
    <xf numFmtId="0" fontId="9" fillId="0" borderId="8" xfId="0" applyFont="1" applyBorder="1" applyAlignment="1">
      <alignment horizontal="center" vertical="center" wrapText="1"/>
    </xf>
    <xf numFmtId="2" fontId="9" fillId="0" borderId="9" xfId="0" applyNumberFormat="1" applyFont="1" applyBorder="1" applyAlignment="1">
      <alignment horizontal="center" vertical="center" wrapText="1"/>
    </xf>
    <xf numFmtId="164" fontId="9" fillId="0" borderId="9" xfId="0" applyNumberFormat="1" applyFont="1" applyBorder="1" applyAlignment="1">
      <alignment horizontal="center" vertical="center" wrapText="1"/>
    </xf>
    <xf numFmtId="0" fontId="10" fillId="3" borderId="0" xfId="0" applyFont="1" applyFill="1" applyAlignment="1">
      <alignment horizontal="left" vertical="center"/>
    </xf>
    <xf numFmtId="0" fontId="10" fillId="3" borderId="0" xfId="0" applyFont="1" applyFill="1" applyAlignment="1">
      <alignment horizontal="center" vertical="center"/>
    </xf>
    <xf numFmtId="0" fontId="5" fillId="0" borderId="55" xfId="0" applyFont="1" applyBorder="1"/>
    <xf numFmtId="0" fontId="4" fillId="2" borderId="69" xfId="0" applyFont="1" applyFill="1" applyBorder="1" applyAlignment="1">
      <alignment horizontal="center" vertical="center" wrapText="1"/>
    </xf>
    <xf numFmtId="0" fontId="4" fillId="2" borderId="70" xfId="0" applyFont="1" applyFill="1" applyBorder="1" applyAlignment="1">
      <alignment horizontal="center" vertical="center" wrapText="1"/>
    </xf>
    <xf numFmtId="49" fontId="9" fillId="0" borderId="8" xfId="0" applyNumberFormat="1" applyFont="1" applyBorder="1" applyAlignment="1">
      <alignment horizontal="center" vertical="center" wrapText="1"/>
    </xf>
    <xf numFmtId="164" fontId="9" fillId="0" borderId="10" xfId="0" applyNumberFormat="1" applyFont="1" applyBorder="1" applyAlignment="1">
      <alignment horizontal="center" vertical="center" wrapText="1"/>
    </xf>
    <xf numFmtId="9" fontId="5" fillId="0" borderId="9" xfId="1" applyFont="1" applyBorder="1"/>
    <xf numFmtId="0" fontId="9" fillId="0" borderId="12" xfId="0" applyFont="1" applyBorder="1" applyAlignment="1">
      <alignment horizontal="center" vertical="center" wrapText="1"/>
    </xf>
    <xf numFmtId="2" fontId="5" fillId="0" borderId="11" xfId="1" applyNumberFormat="1" applyFont="1" applyBorder="1"/>
    <xf numFmtId="0" fontId="9" fillId="0" borderId="11" xfId="0" applyFont="1" applyBorder="1" applyAlignment="1">
      <alignment horizontal="center" vertical="center" wrapText="1"/>
    </xf>
    <xf numFmtId="0" fontId="9" fillId="3" borderId="11" xfId="0" applyFont="1" applyFill="1" applyBorder="1" applyAlignment="1">
      <alignment horizontal="center" vertical="center" wrapText="1"/>
    </xf>
    <xf numFmtId="164" fontId="9" fillId="3" borderId="10" xfId="0" applyNumberFormat="1" applyFont="1" applyFill="1" applyBorder="1" applyAlignment="1">
      <alignment horizontal="center" vertical="center" wrapText="1"/>
    </xf>
    <xf numFmtId="9" fontId="8" fillId="3" borderId="16" xfId="1" applyFont="1" applyFill="1" applyBorder="1"/>
    <xf numFmtId="0" fontId="4" fillId="3" borderId="9" xfId="0" applyFont="1" applyFill="1" applyBorder="1" applyAlignment="1">
      <alignment vertical="center" wrapText="1"/>
    </xf>
    <xf numFmtId="164" fontId="4" fillId="3" borderId="10" xfId="0" applyNumberFormat="1" applyFont="1" applyFill="1" applyBorder="1" applyAlignment="1">
      <alignment horizontal="center" vertical="center" wrapText="1"/>
    </xf>
    <xf numFmtId="164" fontId="14" fillId="0" borderId="10" xfId="0" applyNumberFormat="1" applyFont="1" applyBorder="1"/>
    <xf numFmtId="0" fontId="15" fillId="5" borderId="16" xfId="0" applyFont="1" applyFill="1" applyBorder="1" applyAlignment="1">
      <alignment vertical="center" wrapText="1"/>
    </xf>
    <xf numFmtId="164" fontId="15" fillId="5" borderId="17" xfId="0" applyNumberFormat="1" applyFont="1" applyFill="1" applyBorder="1" applyAlignment="1">
      <alignment horizontal="center" vertical="center" wrapText="1"/>
    </xf>
    <xf numFmtId="0" fontId="9" fillId="3" borderId="9" xfId="0" applyFont="1" applyFill="1" applyBorder="1" applyAlignment="1">
      <alignment horizontal="center" vertical="center" wrapText="1"/>
    </xf>
    <xf numFmtId="9" fontId="6" fillId="0" borderId="9" xfId="1" applyFont="1" applyBorder="1"/>
    <xf numFmtId="0" fontId="9" fillId="3" borderId="84" xfId="0" applyFont="1" applyFill="1" applyBorder="1" applyAlignment="1">
      <alignment horizontal="center" vertical="center" wrapText="1"/>
    </xf>
    <xf numFmtId="2" fontId="15" fillId="3" borderId="0" xfId="0" applyNumberFormat="1" applyFont="1" applyFill="1" applyAlignment="1">
      <alignment horizontal="right" vertical="center" wrapText="1"/>
    </xf>
    <xf numFmtId="0" fontId="11" fillId="3" borderId="0" xfId="0" applyFont="1" applyFill="1" applyAlignment="1">
      <alignment horizontal="right"/>
    </xf>
    <xf numFmtId="0" fontId="11" fillId="3" borderId="0" xfId="0" applyFont="1" applyFill="1"/>
    <xf numFmtId="0" fontId="7" fillId="3" borderId="0" xfId="0" applyFont="1" applyFill="1" applyAlignment="1">
      <alignment horizontal="center" vertical="center"/>
    </xf>
    <xf numFmtId="0" fontId="5" fillId="3" borderId="0" xfId="0" applyFont="1" applyFill="1" applyAlignment="1">
      <alignment horizontal="right"/>
    </xf>
    <xf numFmtId="0" fontId="5" fillId="3" borderId="63" xfId="0" applyFont="1" applyFill="1" applyBorder="1"/>
    <xf numFmtId="165" fontId="11" fillId="3" borderId="0" xfId="0" applyNumberFormat="1" applyFont="1" applyFill="1"/>
    <xf numFmtId="0" fontId="5" fillId="0" borderId="0" xfId="0" applyFont="1"/>
    <xf numFmtId="0" fontId="5" fillId="3" borderId="0" xfId="0" applyFont="1" applyFill="1"/>
    <xf numFmtId="0" fontId="9" fillId="0" borderId="9" xfId="0" applyFont="1" applyBorder="1" applyAlignment="1">
      <alignment horizontal="center" vertical="center" wrapText="1"/>
    </xf>
    <xf numFmtId="0" fontId="4" fillId="2" borderId="62" xfId="0" applyFont="1" applyFill="1" applyBorder="1" applyAlignment="1">
      <alignment horizontal="center" vertical="center" wrapText="1"/>
    </xf>
    <xf numFmtId="0" fontId="7" fillId="3" borderId="0" xfId="0" applyFont="1" applyFill="1" applyAlignment="1">
      <alignment horizontal="left" vertical="center"/>
    </xf>
    <xf numFmtId="0" fontId="5" fillId="0" borderId="0" xfId="0" applyFont="1"/>
    <xf numFmtId="10" fontId="5" fillId="0" borderId="0" xfId="4" applyNumberFormat="1" applyFont="1" applyBorder="1" applyAlignment="1">
      <alignment horizontal="center"/>
    </xf>
    <xf numFmtId="10" fontId="5" fillId="0" borderId="0" xfId="4" applyNumberFormat="1" applyFont="1" applyBorder="1" applyAlignment="1">
      <alignment horizontal="center" vertical="center"/>
    </xf>
    <xf numFmtId="0" fontId="5" fillId="0" borderId="0" xfId="0" applyFont="1" applyAlignment="1">
      <alignment vertical="center"/>
    </xf>
    <xf numFmtId="10" fontId="5" fillId="0" borderId="50" xfId="4" applyNumberFormat="1" applyFont="1" applyBorder="1" applyAlignment="1">
      <alignment horizontal="center" vertical="center"/>
    </xf>
    <xf numFmtId="10" fontId="14" fillId="0" borderId="0" xfId="4" applyNumberFormat="1" applyFont="1" applyBorder="1" applyAlignment="1">
      <alignment horizontal="center" vertical="center"/>
    </xf>
    <xf numFmtId="0" fontId="14" fillId="0" borderId="0" xfId="0" applyFont="1" applyAlignment="1">
      <alignment vertical="center"/>
    </xf>
    <xf numFmtId="10" fontId="14" fillId="0" borderId="32" xfId="4" applyNumberFormat="1" applyFont="1" applyBorder="1" applyAlignment="1">
      <alignment horizontal="center" vertical="center"/>
    </xf>
    <xf numFmtId="0" fontId="5" fillId="0" borderId="0" xfId="0" applyFont="1" applyAlignment="1">
      <alignment wrapText="1"/>
    </xf>
    <xf numFmtId="0" fontId="5" fillId="0" borderId="0" xfId="0" applyFont="1" applyAlignment="1">
      <alignment horizontal="center"/>
    </xf>
    <xf numFmtId="2" fontId="5" fillId="0" borderId="0" xfId="0" applyNumberFormat="1" applyFont="1" applyAlignment="1">
      <alignment horizontal="center"/>
    </xf>
    <xf numFmtId="9" fontId="5" fillId="0" borderId="0" xfId="4" applyFont="1" applyAlignment="1">
      <alignment horizontal="center"/>
    </xf>
    <xf numFmtId="1" fontId="5" fillId="0" borderId="0" xfId="0" applyNumberFormat="1" applyFont="1" applyAlignment="1">
      <alignment horizontal="center"/>
    </xf>
    <xf numFmtId="168" fontId="5" fillId="0" borderId="0" xfId="4" applyNumberFormat="1" applyFont="1" applyAlignment="1">
      <alignment horizontal="center"/>
    </xf>
    <xf numFmtId="170" fontId="5" fillId="0" borderId="0" xfId="4" applyNumberFormat="1" applyFont="1" applyAlignment="1">
      <alignment horizontal="center"/>
    </xf>
    <xf numFmtId="0" fontId="14" fillId="0" borderId="0" xfId="0" applyFont="1" applyAlignment="1">
      <alignment horizontal="left" vertical="center"/>
    </xf>
    <xf numFmtId="0" fontId="14" fillId="0" borderId="0" xfId="0" applyFont="1" applyAlignment="1">
      <alignment horizontal="center" vertical="center"/>
    </xf>
    <xf numFmtId="168" fontId="14" fillId="0" borderId="0" xfId="0" applyNumberFormat="1" applyFont="1" applyAlignment="1">
      <alignment horizontal="center" vertical="center"/>
    </xf>
    <xf numFmtId="0" fontId="14" fillId="0" borderId="50" xfId="0" applyFont="1" applyBorder="1" applyAlignment="1">
      <alignment horizontal="center" vertical="center"/>
    </xf>
    <xf numFmtId="0" fontId="14" fillId="0" borderId="99" xfId="0" applyFont="1" applyBorder="1" applyAlignment="1">
      <alignment horizontal="center" vertical="center" wrapText="1"/>
    </xf>
    <xf numFmtId="9" fontId="14" fillId="0" borderId="0" xfId="4" applyFont="1" applyBorder="1" applyAlignment="1">
      <alignment horizontal="center" vertical="center" wrapText="1"/>
    </xf>
    <xf numFmtId="0" fontId="8" fillId="2" borderId="100" xfId="0" applyFont="1" applyFill="1" applyBorder="1" applyAlignment="1">
      <alignment horizontal="center" vertical="center" wrapText="1"/>
    </xf>
    <xf numFmtId="4" fontId="19" fillId="10" borderId="64" xfId="0" applyNumberFormat="1" applyFont="1" applyFill="1" applyBorder="1" applyAlignment="1">
      <alignment horizontal="center" vertical="center" wrapText="1"/>
    </xf>
    <xf numFmtId="49" fontId="20" fillId="8" borderId="101" xfId="0" applyNumberFormat="1" applyFont="1" applyFill="1" applyBorder="1" applyAlignment="1">
      <alignment horizontal="center" vertical="center" wrapText="1"/>
    </xf>
    <xf numFmtId="49" fontId="20" fillId="8" borderId="64" xfId="0" applyNumberFormat="1" applyFont="1" applyFill="1" applyBorder="1" applyAlignment="1">
      <alignment horizontal="center" vertical="center" wrapText="1"/>
    </xf>
    <xf numFmtId="0" fontId="20" fillId="8" borderId="64" xfId="0" applyFont="1" applyFill="1" applyBorder="1" applyAlignment="1">
      <alignment horizontal="left" vertical="center" wrapText="1"/>
    </xf>
    <xf numFmtId="4" fontId="20" fillId="8" borderId="64" xfId="0" applyNumberFormat="1" applyFont="1" applyFill="1" applyBorder="1" applyAlignment="1">
      <alignment horizontal="center" vertical="center" wrapText="1"/>
    </xf>
    <xf numFmtId="0" fontId="20" fillId="8" borderId="64" xfId="0" applyFont="1" applyFill="1" applyBorder="1" applyAlignment="1">
      <alignment horizontal="center" vertical="center" wrapText="1"/>
    </xf>
    <xf numFmtId="14" fontId="20" fillId="8" borderId="64" xfId="0" applyNumberFormat="1" applyFont="1" applyFill="1" applyBorder="1" applyAlignment="1">
      <alignment horizontal="center" vertical="center" wrapText="1"/>
    </xf>
    <xf numFmtId="14" fontId="20" fillId="8" borderId="98" xfId="0" applyNumberFormat="1" applyFont="1" applyFill="1" applyBorder="1" applyAlignment="1">
      <alignment horizontal="center" vertical="center" wrapText="1"/>
    </xf>
    <xf numFmtId="0" fontId="8" fillId="3" borderId="9" xfId="0" applyFont="1" applyFill="1" applyBorder="1" applyAlignment="1">
      <alignment horizontal="center" vertical="center" wrapText="1"/>
    </xf>
    <xf numFmtId="49" fontId="20" fillId="3" borderId="9" xfId="0" applyNumberFormat="1" applyFont="1" applyFill="1" applyBorder="1" applyAlignment="1">
      <alignment horizontal="center" vertical="center" wrapText="1"/>
    </xf>
    <xf numFmtId="0" fontId="22" fillId="3" borderId="9" xfId="0" applyFont="1" applyFill="1" applyBorder="1" applyAlignment="1">
      <alignment horizontal="left" vertical="center" wrapText="1"/>
    </xf>
    <xf numFmtId="2" fontId="8" fillId="3" borderId="9" xfId="0" applyNumberFormat="1" applyFont="1" applyFill="1" applyBorder="1" applyAlignment="1">
      <alignment horizontal="center" vertical="center" wrapText="1"/>
    </xf>
    <xf numFmtId="9" fontId="8" fillId="3" borderId="9" xfId="4" applyFont="1" applyFill="1" applyBorder="1" applyAlignment="1">
      <alignment horizontal="center" vertical="center" wrapText="1"/>
    </xf>
    <xf numFmtId="4" fontId="8" fillId="3" borderId="9" xfId="0" applyNumberFormat="1" applyFont="1" applyFill="1" applyBorder="1" applyAlignment="1">
      <alignment horizontal="center" vertical="center" wrapText="1"/>
    </xf>
    <xf numFmtId="14" fontId="8" fillId="3" borderId="9" xfId="0" applyNumberFormat="1" applyFont="1" applyFill="1" applyBorder="1" applyAlignment="1">
      <alignment horizontal="center" vertical="center" wrapText="1"/>
    </xf>
    <xf numFmtId="172" fontId="23" fillId="0" borderId="9" xfId="7" applyFont="1" applyBorder="1" applyAlignment="1">
      <alignment horizontal="center" vertical="center"/>
    </xf>
    <xf numFmtId="172" fontId="14" fillId="2" borderId="9" xfId="0" applyNumberFormat="1" applyFont="1" applyFill="1" applyBorder="1" applyAlignment="1">
      <alignment vertical="center"/>
    </xf>
    <xf numFmtId="10" fontId="14" fillId="2" borderId="9" xfId="4" applyNumberFormat="1" applyFont="1" applyFill="1" applyBorder="1" applyAlignment="1">
      <alignment horizontal="center" vertical="center"/>
    </xf>
    <xf numFmtId="2" fontId="14" fillId="2" borderId="83" xfId="4" applyNumberFormat="1" applyFont="1" applyFill="1" applyBorder="1" applyAlignment="1">
      <alignment horizontal="center" vertical="center"/>
    </xf>
    <xf numFmtId="0" fontId="19" fillId="3" borderId="9" xfId="0" applyFont="1" applyFill="1" applyBorder="1" applyAlignment="1">
      <alignment vertical="center" wrapText="1"/>
    </xf>
    <xf numFmtId="10" fontId="8" fillId="3" borderId="9" xfId="4" applyNumberFormat="1" applyFont="1" applyFill="1" applyBorder="1" applyAlignment="1">
      <alignment horizontal="center" vertical="center" wrapText="1"/>
    </xf>
    <xf numFmtId="2" fontId="8" fillId="2" borderId="9" xfId="0" applyNumberFormat="1" applyFont="1" applyFill="1" applyBorder="1" applyAlignment="1">
      <alignment horizontal="center" vertical="center" wrapText="1"/>
    </xf>
    <xf numFmtId="0" fontId="6" fillId="3" borderId="9" xfId="0" applyFont="1" applyFill="1" applyBorder="1" applyAlignment="1">
      <alignment horizontal="center" vertical="center"/>
    </xf>
    <xf numFmtId="14" fontId="6" fillId="3" borderId="9" xfId="0" applyNumberFormat="1" applyFont="1" applyFill="1" applyBorder="1" applyAlignment="1">
      <alignment horizontal="center" vertical="center"/>
    </xf>
    <xf numFmtId="173" fontId="23" fillId="0" borderId="9" xfId="7" applyNumberFormat="1" applyFont="1" applyBorder="1" applyAlignment="1">
      <alignment horizontal="center" vertical="center"/>
    </xf>
    <xf numFmtId="0" fontId="8" fillId="3" borderId="9" xfId="0" applyFont="1" applyFill="1" applyBorder="1" applyAlignment="1">
      <alignment horizontal="center" vertical="center"/>
    </xf>
    <xf numFmtId="14" fontId="8" fillId="3" borderId="9" xfId="0" applyNumberFormat="1" applyFont="1" applyFill="1" applyBorder="1" applyAlignment="1">
      <alignment horizontal="center" vertical="center"/>
    </xf>
    <xf numFmtId="172" fontId="24" fillId="0" borderId="9" xfId="7" applyFont="1" applyBorder="1" applyAlignment="1">
      <alignment horizontal="center" vertical="center"/>
    </xf>
    <xf numFmtId="9" fontId="20" fillId="8" borderId="64" xfId="4" applyFont="1" applyFill="1" applyBorder="1" applyAlignment="1">
      <alignment horizontal="center" vertical="center" wrapText="1"/>
    </xf>
    <xf numFmtId="0" fontId="5" fillId="3" borderId="9" xfId="0" applyFont="1" applyFill="1" applyBorder="1" applyAlignment="1">
      <alignment horizontal="center" vertical="center"/>
    </xf>
    <xf numFmtId="14" fontId="5" fillId="3" borderId="9" xfId="0" applyNumberFormat="1" applyFont="1" applyFill="1" applyBorder="1" applyAlignment="1">
      <alignment horizontal="center" vertical="center"/>
    </xf>
    <xf numFmtId="0" fontId="5" fillId="3" borderId="9" xfId="0" applyFont="1" applyFill="1" applyBorder="1" applyAlignment="1">
      <alignment vertical="center"/>
    </xf>
    <xf numFmtId="2" fontId="8" fillId="3" borderId="105" xfId="0" applyNumberFormat="1" applyFont="1" applyFill="1" applyBorder="1" applyAlignment="1">
      <alignment horizontal="center" vertical="center" wrapText="1"/>
    </xf>
    <xf numFmtId="10" fontId="8" fillId="3" borderId="105" xfId="4" applyNumberFormat="1" applyFont="1" applyFill="1" applyBorder="1" applyAlignment="1">
      <alignment horizontal="center" vertical="center" wrapText="1"/>
    </xf>
    <xf numFmtId="4" fontId="8" fillId="3" borderId="105" xfId="0" applyNumberFormat="1" applyFont="1" applyFill="1" applyBorder="1" applyAlignment="1">
      <alignment horizontal="center" vertical="center" wrapText="1"/>
    </xf>
    <xf numFmtId="0" fontId="5" fillId="3" borderId="104" xfId="0" applyFont="1" applyFill="1" applyBorder="1" applyAlignment="1">
      <alignment vertical="center"/>
    </xf>
    <xf numFmtId="0" fontId="19" fillId="3" borderId="99" xfId="0" applyFont="1" applyFill="1" applyBorder="1" applyAlignment="1">
      <alignment vertical="center" wrapText="1"/>
    </xf>
    <xf numFmtId="0" fontId="25" fillId="3" borderId="104" xfId="0" applyFont="1" applyFill="1" applyBorder="1" applyAlignment="1">
      <alignment horizontal="center" vertical="center"/>
    </xf>
    <xf numFmtId="14" fontId="25" fillId="3" borderId="104" xfId="0" applyNumberFormat="1" applyFont="1" applyFill="1" applyBorder="1" applyAlignment="1">
      <alignment horizontal="center" vertical="center"/>
    </xf>
    <xf numFmtId="10" fontId="5" fillId="0" borderId="106" xfId="4" applyNumberFormat="1" applyFont="1" applyBorder="1" applyAlignment="1">
      <alignment horizontal="center" vertical="center"/>
    </xf>
    <xf numFmtId="172" fontId="23" fillId="0" borderId="99" xfId="7" applyFont="1" applyBorder="1" applyAlignment="1">
      <alignment horizontal="center" vertical="center"/>
    </xf>
    <xf numFmtId="172" fontId="14" fillId="2" borderId="99" xfId="0" applyNumberFormat="1" applyFont="1" applyFill="1" applyBorder="1" applyAlignment="1">
      <alignment vertical="center"/>
    </xf>
    <xf numFmtId="10" fontId="14" fillId="2" borderId="99" xfId="4" applyNumberFormat="1" applyFont="1" applyFill="1" applyBorder="1" applyAlignment="1">
      <alignment horizontal="center" vertical="center"/>
    </xf>
    <xf numFmtId="2" fontId="14" fillId="2" borderId="107" xfId="4" applyNumberFormat="1" applyFont="1" applyFill="1" applyBorder="1" applyAlignment="1">
      <alignment horizontal="center" vertical="center"/>
    </xf>
    <xf numFmtId="0" fontId="14" fillId="0" borderId="0" xfId="0" applyFont="1" applyBorder="1" applyAlignment="1">
      <alignment horizontal="center" vertical="center"/>
    </xf>
    <xf numFmtId="0" fontId="5" fillId="0" borderId="12" xfId="0" applyFont="1" applyBorder="1"/>
    <xf numFmtId="4" fontId="8" fillId="11" borderId="9" xfId="0" applyNumberFormat="1" applyFont="1" applyFill="1" applyBorder="1" applyAlignment="1">
      <alignment horizontal="center" vertical="center" wrapText="1"/>
    </xf>
    <xf numFmtId="2" fontId="8" fillId="11" borderId="9" xfId="0" applyNumberFormat="1" applyFont="1" applyFill="1" applyBorder="1" applyAlignment="1">
      <alignment horizontal="center" vertical="center" wrapText="1"/>
    </xf>
    <xf numFmtId="4" fontId="19" fillId="12" borderId="64" xfId="0" applyNumberFormat="1" applyFont="1" applyFill="1" applyBorder="1" applyAlignment="1">
      <alignment horizontal="center" vertical="center" wrapText="1"/>
    </xf>
    <xf numFmtId="10" fontId="19" fillId="12" borderId="64" xfId="4" applyNumberFormat="1" applyFont="1" applyFill="1" applyBorder="1" applyAlignment="1">
      <alignment horizontal="center" vertical="center" wrapText="1"/>
    </xf>
    <xf numFmtId="10" fontId="14" fillId="9" borderId="0" xfId="4" applyNumberFormat="1" applyFont="1" applyFill="1" applyBorder="1" applyAlignment="1">
      <alignment horizontal="center"/>
    </xf>
    <xf numFmtId="0" fontId="19" fillId="9" borderId="31" xfId="0" applyFont="1" applyFill="1" applyBorder="1" applyAlignment="1">
      <alignment vertical="center" wrapText="1"/>
    </xf>
    <xf numFmtId="49" fontId="20" fillId="8" borderId="49" xfId="0" applyNumberFormat="1" applyFont="1" applyFill="1" applyBorder="1" applyAlignment="1">
      <alignment horizontal="center" vertical="center" wrapText="1"/>
    </xf>
    <xf numFmtId="0" fontId="8" fillId="3" borderId="12" xfId="0" applyFont="1" applyFill="1" applyBorder="1" applyAlignment="1">
      <alignment horizontal="left" vertical="center" wrapText="1"/>
    </xf>
    <xf numFmtId="0" fontId="8" fillId="3" borderId="12" xfId="0" applyFont="1" applyFill="1" applyBorder="1" applyAlignment="1">
      <alignment vertical="center" wrapText="1"/>
    </xf>
    <xf numFmtId="0" fontId="6" fillId="3" borderId="108" xfId="0" applyFont="1" applyFill="1" applyBorder="1" applyAlignment="1">
      <alignment vertical="center" wrapText="1"/>
    </xf>
    <xf numFmtId="0" fontId="6" fillId="3" borderId="12" xfId="0" applyFont="1" applyFill="1" applyBorder="1" applyAlignment="1">
      <alignment vertical="center" wrapText="1"/>
    </xf>
    <xf numFmtId="0" fontId="5" fillId="0" borderId="31" xfId="0" applyFont="1" applyBorder="1" applyAlignment="1">
      <alignment vertical="center" wrapText="1"/>
    </xf>
    <xf numFmtId="2" fontId="8" fillId="3" borderId="75" xfId="6" applyNumberFormat="1" applyFont="1" applyFill="1" applyBorder="1" applyAlignment="1">
      <alignment horizontal="center" vertical="center" wrapText="1"/>
    </xf>
    <xf numFmtId="0" fontId="14" fillId="0" borderId="75" xfId="0" applyFont="1" applyBorder="1" applyAlignment="1">
      <alignment horizontal="center" vertical="center"/>
    </xf>
    <xf numFmtId="0" fontId="14" fillId="0" borderId="75" xfId="0" applyFont="1" applyBorder="1" applyAlignment="1">
      <alignment horizontal="center" vertical="center" wrapText="1"/>
    </xf>
    <xf numFmtId="9" fontId="14" fillId="0" borderId="109" xfId="4" applyFont="1" applyBorder="1" applyAlignment="1">
      <alignment horizontal="center" vertical="center" wrapText="1"/>
    </xf>
    <xf numFmtId="1" fontId="14" fillId="0" borderId="75" xfId="0" applyNumberFormat="1" applyFont="1" applyBorder="1" applyAlignment="1">
      <alignment horizontal="center" vertical="center" wrapText="1"/>
    </xf>
    <xf numFmtId="0" fontId="14" fillId="0" borderId="109" xfId="0" applyFont="1" applyBorder="1" applyAlignment="1">
      <alignment horizontal="center" vertical="center" wrapText="1"/>
    </xf>
    <xf numFmtId="0" fontId="14" fillId="0" borderId="109" xfId="0" applyFont="1" applyBorder="1" applyAlignment="1">
      <alignment horizontal="center" vertical="center"/>
    </xf>
    <xf numFmtId="0" fontId="14" fillId="0" borderId="110" xfId="0" applyFont="1" applyBorder="1" applyAlignment="1">
      <alignment horizontal="center" vertical="center"/>
    </xf>
    <xf numFmtId="171" fontId="21" fillId="0" borderId="64" xfId="5" applyNumberFormat="1" applyFont="1" applyBorder="1" applyAlignment="1">
      <alignment horizontal="center" vertical="center" textRotation="90" wrapText="1"/>
    </xf>
    <xf numFmtId="0" fontId="19" fillId="9" borderId="80" xfId="0" applyFont="1" applyFill="1" applyBorder="1" applyAlignment="1">
      <alignment horizontal="center" vertical="center" wrapText="1"/>
    </xf>
    <xf numFmtId="0" fontId="19" fillId="9" borderId="81" xfId="0" applyFont="1" applyFill="1" applyBorder="1" applyAlignment="1">
      <alignment horizontal="center" vertical="center" wrapText="1"/>
    </xf>
    <xf numFmtId="10" fontId="5" fillId="0" borderId="79" xfId="4" applyNumberFormat="1" applyFont="1" applyBorder="1" applyAlignment="1">
      <alignment horizontal="center" vertical="center"/>
    </xf>
    <xf numFmtId="16" fontId="21" fillId="0" borderId="81" xfId="5" applyNumberFormat="1" applyFont="1" applyBorder="1" applyAlignment="1">
      <alignment horizontal="center" vertical="center" textRotation="90" wrapText="1"/>
    </xf>
    <xf numFmtId="4" fontId="19" fillId="12" borderId="109" xfId="0" applyNumberFormat="1" applyFont="1" applyFill="1" applyBorder="1" applyAlignment="1">
      <alignment horizontal="center" vertical="center" wrapText="1"/>
    </xf>
    <xf numFmtId="4" fontId="19" fillId="12" borderId="110" xfId="0" applyNumberFormat="1" applyFont="1" applyFill="1" applyBorder="1" applyAlignment="1">
      <alignment horizontal="center" vertical="center" wrapText="1"/>
    </xf>
    <xf numFmtId="0" fontId="8" fillId="3" borderId="82" xfId="0" applyFont="1" applyFill="1" applyBorder="1" applyAlignment="1">
      <alignment horizontal="center" vertical="center" wrapText="1"/>
    </xf>
    <xf numFmtId="0" fontId="8" fillId="3" borderId="82" xfId="0" applyFont="1" applyFill="1" applyBorder="1" applyAlignment="1">
      <alignment horizontal="center" vertical="center"/>
    </xf>
    <xf numFmtId="0" fontId="5" fillId="0" borderId="103" xfId="0" applyFont="1" applyBorder="1" applyAlignment="1">
      <alignment horizontal="center" vertical="center"/>
    </xf>
    <xf numFmtId="0" fontId="14" fillId="3" borderId="9" xfId="0" applyFont="1" applyFill="1" applyBorder="1" applyAlignment="1">
      <alignment horizontal="right" vertical="center"/>
    </xf>
    <xf numFmtId="10" fontId="19" fillId="12" borderId="79" xfId="1" applyNumberFormat="1" applyFont="1" applyFill="1" applyBorder="1" applyAlignment="1">
      <alignment horizontal="center" vertical="center"/>
    </xf>
    <xf numFmtId="0" fontId="19" fillId="9" borderId="94" xfId="0" applyFont="1" applyFill="1" applyBorder="1" applyAlignment="1">
      <alignment vertical="center" wrapText="1"/>
    </xf>
    <xf numFmtId="0" fontId="19" fillId="9" borderId="95" xfId="0" applyFont="1" applyFill="1" applyBorder="1" applyAlignment="1">
      <alignment vertical="center" wrapText="1"/>
    </xf>
    <xf numFmtId="0" fontId="19" fillId="9" borderId="96" xfId="0" applyFont="1" applyFill="1" applyBorder="1" applyAlignment="1">
      <alignment vertical="center" wrapText="1"/>
    </xf>
    <xf numFmtId="4" fontId="19" fillId="9" borderId="9" xfId="0" applyNumberFormat="1" applyFont="1" applyFill="1" applyBorder="1" applyAlignment="1">
      <alignment horizontal="center" vertical="center" wrapText="1"/>
    </xf>
    <xf numFmtId="49" fontId="5" fillId="3" borderId="102" xfId="0" applyNumberFormat="1" applyFont="1" applyFill="1" applyBorder="1" applyAlignment="1">
      <alignment vertical="center"/>
    </xf>
    <xf numFmtId="2" fontId="9" fillId="3" borderId="9" xfId="0" applyNumberFormat="1" applyFont="1" applyFill="1" applyBorder="1" applyAlignment="1">
      <alignment horizontal="center" vertical="center" wrapText="1"/>
    </xf>
    <xf numFmtId="2" fontId="5" fillId="0" borderId="11" xfId="1" applyNumberFormat="1" applyFont="1" applyBorder="1" applyAlignment="1">
      <alignment horizontal="center"/>
    </xf>
    <xf numFmtId="2" fontId="9" fillId="0" borderId="11" xfId="0" applyNumberFormat="1" applyFont="1" applyBorder="1" applyAlignment="1">
      <alignment horizontal="center" vertical="center" wrapText="1"/>
    </xf>
    <xf numFmtId="10" fontId="5" fillId="0" borderId="9" xfId="1" applyNumberFormat="1" applyFont="1" applyBorder="1"/>
    <xf numFmtId="10" fontId="6" fillId="0" borderId="9" xfId="1" applyNumberFormat="1" applyFont="1" applyBorder="1"/>
    <xf numFmtId="10" fontId="19" fillId="9" borderId="0" xfId="1" applyNumberFormat="1" applyFont="1" applyFill="1" applyAlignment="1">
      <alignment horizontal="center" vertical="center"/>
    </xf>
    <xf numFmtId="0" fontId="17" fillId="3" borderId="0" xfId="0" applyFont="1" applyFill="1" applyAlignment="1">
      <alignment horizontal="left" vertical="center" wrapText="1"/>
    </xf>
    <xf numFmtId="0" fontId="3" fillId="3" borderId="0" xfId="0" applyFont="1" applyFill="1"/>
    <xf numFmtId="0" fontId="3" fillId="3" borderId="0" xfId="0" applyFont="1" applyFill="1" applyAlignment="1">
      <alignment horizontal="center"/>
    </xf>
    <xf numFmtId="0" fontId="3" fillId="3" borderId="0" xfId="0" applyFont="1" applyFill="1" applyAlignment="1">
      <alignment horizontal="left"/>
    </xf>
    <xf numFmtId="0" fontId="11" fillId="3" borderId="0" xfId="0" applyFont="1" applyFill="1" applyAlignment="1">
      <alignment horizontal="right" vertical="center" wrapText="1"/>
    </xf>
    <xf numFmtId="0" fontId="17" fillId="3" borderId="90" xfId="0" applyFont="1" applyFill="1" applyBorder="1" applyAlignment="1">
      <alignment horizontal="center"/>
    </xf>
    <xf numFmtId="0" fontId="11" fillId="3" borderId="49" xfId="0" applyFont="1" applyFill="1" applyBorder="1" applyAlignment="1">
      <alignment horizontal="left"/>
    </xf>
    <xf numFmtId="0" fontId="3" fillId="3" borderId="50" xfId="0" applyFont="1" applyFill="1" applyBorder="1"/>
    <xf numFmtId="0" fontId="3" fillId="3" borderId="51" xfId="0" applyFont="1" applyFill="1" applyBorder="1"/>
    <xf numFmtId="0" fontId="11" fillId="3" borderId="112" xfId="0" applyFont="1" applyFill="1" applyBorder="1" applyAlignment="1">
      <alignment horizontal="center" vertical="center" wrapText="1"/>
    </xf>
    <xf numFmtId="0" fontId="11" fillId="3" borderId="117" xfId="0" applyFont="1" applyFill="1" applyBorder="1" applyAlignment="1">
      <alignment horizontal="center" vertical="center" wrapText="1"/>
    </xf>
    <xf numFmtId="0" fontId="17" fillId="3" borderId="112" xfId="0" applyFont="1" applyFill="1" applyBorder="1" applyAlignment="1">
      <alignment horizontal="center"/>
    </xf>
    <xf numFmtId="0" fontId="17" fillId="3" borderId="90" xfId="0" applyFont="1" applyFill="1" applyBorder="1" applyAlignment="1">
      <alignment vertical="center" wrapText="1"/>
    </xf>
    <xf numFmtId="165" fontId="17" fillId="3" borderId="117" xfId="0" applyNumberFormat="1" applyFont="1" applyFill="1" applyBorder="1"/>
    <xf numFmtId="2" fontId="11" fillId="3" borderId="119" xfId="0" applyNumberFormat="1" applyFont="1" applyFill="1" applyBorder="1" applyAlignment="1">
      <alignment horizontal="center"/>
    </xf>
    <xf numFmtId="165" fontId="11" fillId="3" borderId="120" xfId="0" applyNumberFormat="1" applyFont="1" applyFill="1" applyBorder="1"/>
    <xf numFmtId="0" fontId="17" fillId="3" borderId="90" xfId="0" applyFont="1" applyFill="1" applyBorder="1"/>
    <xf numFmtId="165" fontId="17" fillId="3" borderId="90" xfId="0" applyNumberFormat="1" applyFont="1" applyFill="1" applyBorder="1"/>
    <xf numFmtId="2" fontId="17" fillId="3" borderId="117" xfId="0" applyNumberFormat="1" applyFont="1" applyFill="1" applyBorder="1"/>
    <xf numFmtId="165" fontId="11" fillId="3" borderId="119" xfId="0" applyNumberFormat="1" applyFont="1" applyFill="1" applyBorder="1"/>
    <xf numFmtId="0" fontId="11" fillId="3" borderId="119" xfId="0" applyFont="1" applyFill="1" applyBorder="1"/>
    <xf numFmtId="0" fontId="3" fillId="3" borderId="119" xfId="0" applyFont="1" applyFill="1" applyBorder="1"/>
    <xf numFmtId="166" fontId="17" fillId="3" borderId="117" xfId="0" applyNumberFormat="1" applyFont="1" applyFill="1" applyBorder="1"/>
    <xf numFmtId="167" fontId="17" fillId="3" borderId="117" xfId="0" applyNumberFormat="1" applyFont="1" applyFill="1" applyBorder="1"/>
    <xf numFmtId="2" fontId="11" fillId="3" borderId="112" xfId="0" applyNumberFormat="1" applyFont="1" applyFill="1" applyBorder="1" applyAlignment="1">
      <alignment horizontal="right"/>
    </xf>
    <xf numFmtId="165" fontId="11" fillId="3" borderId="117" xfId="0" applyNumberFormat="1" applyFont="1" applyFill="1" applyBorder="1" applyAlignment="1">
      <alignment horizontal="left" vertical="center" wrapText="1"/>
    </xf>
    <xf numFmtId="0" fontId="3" fillId="3" borderId="31" xfId="0" applyFont="1" applyFill="1" applyBorder="1"/>
    <xf numFmtId="0" fontId="3" fillId="3" borderId="32" xfId="0" applyFont="1" applyFill="1" applyBorder="1"/>
    <xf numFmtId="0" fontId="3" fillId="3" borderId="33" xfId="0" applyFont="1" applyFill="1" applyBorder="1"/>
    <xf numFmtId="0" fontId="5" fillId="3" borderId="0" xfId="0" applyFont="1" applyFill="1" applyBorder="1"/>
    <xf numFmtId="0" fontId="0" fillId="0" borderId="0" xfId="0"/>
    <xf numFmtId="0" fontId="6" fillId="3" borderId="9" xfId="0" applyFont="1" applyFill="1" applyBorder="1"/>
    <xf numFmtId="0" fontId="6" fillId="3" borderId="0" xfId="0" applyFont="1" applyFill="1"/>
    <xf numFmtId="0" fontId="5" fillId="0" borderId="0" xfId="0" applyFont="1"/>
    <xf numFmtId="0" fontId="7" fillId="3" borderId="0" xfId="0" applyFont="1" applyFill="1" applyBorder="1" applyAlignment="1">
      <alignment horizontal="left" vertical="center"/>
    </xf>
    <xf numFmtId="0" fontId="5" fillId="0" borderId="0" xfId="0" applyFont="1" applyBorder="1"/>
    <xf numFmtId="0" fontId="4" fillId="2" borderId="62" xfId="0" applyFont="1" applyFill="1" applyBorder="1" applyAlignment="1">
      <alignment horizontal="center" vertical="center" wrapText="1"/>
    </xf>
    <xf numFmtId="0" fontId="9" fillId="0" borderId="9" xfId="0" applyFont="1" applyBorder="1" applyAlignment="1">
      <alignment horizontal="center" vertical="center" wrapText="1"/>
    </xf>
    <xf numFmtId="0" fontId="6" fillId="3" borderId="0" xfId="0" applyFont="1" applyFill="1" applyAlignment="1">
      <alignment horizontal="center"/>
    </xf>
    <xf numFmtId="0" fontId="8" fillId="3" borderId="122" xfId="0" applyFont="1" applyFill="1" applyBorder="1" applyAlignment="1">
      <alignment vertical="center" wrapText="1"/>
    </xf>
    <xf numFmtId="0" fontId="6" fillId="3" borderId="30" xfId="0" applyFont="1" applyFill="1" applyBorder="1"/>
    <xf numFmtId="0" fontId="8" fillId="3" borderId="9" xfId="0" applyFont="1" applyFill="1" applyBorder="1"/>
    <xf numFmtId="0" fontId="8" fillId="3" borderId="9" xfId="0" applyFont="1" applyFill="1" applyBorder="1" applyAlignment="1">
      <alignment horizontal="center" wrapText="1"/>
    </xf>
    <xf numFmtId="0" fontId="34" fillId="13" borderId="111" xfId="0" applyFont="1" applyFill="1" applyBorder="1" applyAlignment="1">
      <alignment horizontal="center" vertical="center" wrapText="1"/>
    </xf>
    <xf numFmtId="0" fontId="0" fillId="0" borderId="111" xfId="0" applyBorder="1" applyAlignment="1">
      <alignment vertical="top" wrapText="1"/>
    </xf>
    <xf numFmtId="0" fontId="16" fillId="14" borderId="111" xfId="0" applyFont="1" applyFill="1" applyBorder="1" applyAlignment="1">
      <alignment horizontal="center" vertical="center" wrapText="1"/>
    </xf>
    <xf numFmtId="0" fontId="16" fillId="15" borderId="111" xfId="0" applyFont="1" applyFill="1" applyBorder="1" applyAlignment="1">
      <alignment horizontal="center" vertical="center" wrapText="1"/>
    </xf>
    <xf numFmtId="0" fontId="16" fillId="16" borderId="111" xfId="0" applyFont="1" applyFill="1" applyBorder="1" applyAlignment="1">
      <alignment horizontal="center" vertical="center" wrapText="1"/>
    </xf>
    <xf numFmtId="0" fontId="0" fillId="16" borderId="0" xfId="0" applyFill="1"/>
    <xf numFmtId="0" fontId="0" fillId="14" borderId="0" xfId="0" applyFill="1"/>
    <xf numFmtId="0" fontId="0" fillId="15" borderId="0" xfId="0" applyFill="1"/>
    <xf numFmtId="0" fontId="17" fillId="3" borderId="90" xfId="0" applyFont="1" applyFill="1" applyBorder="1" applyAlignment="1">
      <alignment horizontal="center"/>
    </xf>
    <xf numFmtId="0" fontId="2" fillId="0" borderId="9" xfId="0" applyFont="1" applyBorder="1" applyAlignment="1">
      <alignment vertical="center"/>
    </xf>
    <xf numFmtId="0" fontId="2" fillId="0" borderId="16" xfId="0" applyFont="1" applyBorder="1" applyAlignment="1">
      <alignment vertical="center"/>
    </xf>
    <xf numFmtId="0" fontId="2" fillId="0" borderId="28" xfId="0" applyFont="1" applyBorder="1" applyAlignment="1">
      <alignment horizontal="center" vertical="center"/>
    </xf>
    <xf numFmtId="0" fontId="2" fillId="0" borderId="0" xfId="0" applyFont="1" applyAlignment="1">
      <alignment vertical="center"/>
    </xf>
    <xf numFmtId="0" fontId="2" fillId="0" borderId="8" xfId="0" applyFont="1" applyBorder="1" applyAlignment="1">
      <alignment vertical="center"/>
    </xf>
    <xf numFmtId="0" fontId="2" fillId="0" borderId="25" xfId="0" applyFont="1" applyBorder="1" applyAlignment="1">
      <alignment horizontal="center" vertical="center"/>
    </xf>
    <xf numFmtId="0" fontId="2" fillId="0" borderId="33" xfId="0" applyFont="1" applyBorder="1" applyAlignment="1">
      <alignment vertical="center"/>
    </xf>
    <xf numFmtId="0" fontId="2" fillId="0" borderId="8" xfId="0" applyFont="1" applyBorder="1" applyAlignment="1">
      <alignment horizontal="center" vertical="center"/>
    </xf>
    <xf numFmtId="0" fontId="2" fillId="0" borderId="29" xfId="0" applyFont="1" applyBorder="1" applyAlignment="1">
      <alignment vertical="center"/>
    </xf>
    <xf numFmtId="0" fontId="2" fillId="0" borderId="26" xfId="0" applyFont="1" applyBorder="1" applyAlignment="1">
      <alignment horizontal="center" vertical="center"/>
    </xf>
    <xf numFmtId="0" fontId="2" fillId="0" borderId="47" xfId="0" applyFont="1" applyBorder="1" applyAlignment="1">
      <alignment horizontal="center" vertical="center"/>
    </xf>
    <xf numFmtId="0" fontId="2" fillId="0" borderId="30" xfId="0" applyFont="1" applyBorder="1" applyAlignment="1">
      <alignment vertical="center"/>
    </xf>
    <xf numFmtId="0" fontId="2" fillId="0" borderId="40" xfId="0" applyFont="1" applyBorder="1" applyAlignment="1">
      <alignment horizontal="center" vertical="center"/>
    </xf>
    <xf numFmtId="0" fontId="2" fillId="0" borderId="29" xfId="0" applyFont="1" applyBorder="1" applyAlignment="1">
      <alignment horizontal="center" vertical="center"/>
    </xf>
    <xf numFmtId="0" fontId="6" fillId="3" borderId="0" xfId="0" applyFont="1" applyFill="1" applyAlignment="1">
      <alignment vertical="center" indent="1"/>
    </xf>
    <xf numFmtId="0" fontId="8" fillId="3" borderId="0" xfId="0" applyFont="1" applyFill="1" applyAlignment="1">
      <alignment horizontal="center" vertical="top"/>
    </xf>
    <xf numFmtId="0" fontId="0" fillId="0" borderId="11" xfId="0" applyBorder="1" applyAlignment="1"/>
    <xf numFmtId="0" fontId="7" fillId="3" borderId="55" xfId="0" applyFont="1" applyFill="1" applyBorder="1" applyAlignment="1">
      <alignment horizontal="center" vertical="center"/>
    </xf>
    <xf numFmtId="0" fontId="7" fillId="3" borderId="59" xfId="0" applyFont="1" applyFill="1" applyBorder="1" applyAlignment="1">
      <alignment horizontal="center" vertical="center"/>
    </xf>
    <xf numFmtId="0" fontId="0" fillId="0" borderId="54" xfId="0" applyBorder="1" applyAlignment="1"/>
    <xf numFmtId="0" fontId="0" fillId="0" borderId="4" xfId="0" applyBorder="1" applyAlignment="1"/>
    <xf numFmtId="0" fontId="37" fillId="0" borderId="0" xfId="0" applyFont="1"/>
    <xf numFmtId="0" fontId="29" fillId="0" borderId="0" xfId="0" applyFont="1"/>
    <xf numFmtId="0" fontId="0" fillId="0" borderId="17" xfId="0" applyBorder="1" applyAlignment="1"/>
    <xf numFmtId="0" fontId="38" fillId="0" borderId="0" xfId="8"/>
    <xf numFmtId="0" fontId="39" fillId="0" borderId="0" xfId="8" applyFont="1"/>
    <xf numFmtId="0" fontId="39" fillId="20" borderId="0" xfId="8" applyFont="1" applyFill="1"/>
    <xf numFmtId="0" fontId="39" fillId="20" borderId="0" xfId="8" applyFont="1" applyFill="1" applyAlignment="1">
      <alignment vertical="center"/>
    </xf>
    <xf numFmtId="0" fontId="39" fillId="20" borderId="0" xfId="8" applyFont="1" applyFill="1" applyAlignment="1">
      <alignment horizontal="center" vertical="center"/>
    </xf>
    <xf numFmtId="174" fontId="39" fillId="20" borderId="0" xfId="8" applyNumberFormat="1" applyFont="1" applyFill="1" applyAlignment="1">
      <alignment vertical="center"/>
    </xf>
    <xf numFmtId="174" fontId="39" fillId="20" borderId="0" xfId="8" applyNumberFormat="1" applyFont="1" applyFill="1" applyAlignment="1">
      <alignment horizontal="right" vertical="center"/>
    </xf>
    <xf numFmtId="4" fontId="39" fillId="20" borderId="0" xfId="8" applyNumberFormat="1" applyFont="1" applyFill="1" applyAlignment="1">
      <alignment horizontal="right" vertical="center"/>
    </xf>
    <xf numFmtId="174" fontId="39" fillId="20" borderId="0" xfId="8" applyNumberFormat="1" applyFont="1" applyFill="1" applyAlignment="1">
      <alignment horizontal="center" vertical="center"/>
    </xf>
    <xf numFmtId="4" fontId="39" fillId="20" borderId="0" xfId="8" applyNumberFormat="1" applyFont="1" applyFill="1" applyAlignment="1">
      <alignment horizontal="center" vertical="center"/>
    </xf>
    <xf numFmtId="0" fontId="38" fillId="0" borderId="0" xfId="8" applyAlignment="1">
      <alignment vertical="center"/>
    </xf>
    <xf numFmtId="0" fontId="38" fillId="0" borderId="0" xfId="8" applyAlignment="1">
      <alignment horizontal="center" vertical="center"/>
    </xf>
    <xf numFmtId="174" fontId="38" fillId="0" borderId="0" xfId="8" applyNumberFormat="1" applyAlignment="1">
      <alignment vertical="center"/>
    </xf>
    <xf numFmtId="174" fontId="38" fillId="0" borderId="0" xfId="8" applyNumberFormat="1" applyAlignment="1">
      <alignment horizontal="right" vertical="center"/>
    </xf>
    <xf numFmtId="4" fontId="38" fillId="0" borderId="0" xfId="8" applyNumberFormat="1" applyAlignment="1">
      <alignment horizontal="right" vertical="center"/>
    </xf>
    <xf numFmtId="0" fontId="39" fillId="0" borderId="0" xfId="8" applyFont="1" applyAlignment="1">
      <alignment vertical="center"/>
    </xf>
    <xf numFmtId="0" fontId="39" fillId="0" borderId="0" xfId="8" applyFont="1" applyAlignment="1">
      <alignment horizontal="center" vertical="center"/>
    </xf>
    <xf numFmtId="174" fontId="39" fillId="0" borderId="0" xfId="8" applyNumberFormat="1" applyFont="1" applyAlignment="1">
      <alignment vertical="center"/>
    </xf>
    <xf numFmtId="174" fontId="39" fillId="0" borderId="0" xfId="8" applyNumberFormat="1" applyFont="1" applyAlignment="1">
      <alignment horizontal="right" vertical="center"/>
    </xf>
    <xf numFmtId="4" fontId="39" fillId="0" borderId="0" xfId="8" applyNumberFormat="1" applyFont="1" applyAlignment="1">
      <alignment horizontal="right" vertical="center"/>
    </xf>
    <xf numFmtId="0" fontId="39" fillId="20" borderId="0" xfId="8" applyFont="1" applyFill="1" applyAlignment="1">
      <alignment horizontal="center"/>
    </xf>
    <xf numFmtId="0" fontId="39" fillId="0" borderId="0" xfId="8" applyFont="1" applyAlignment="1">
      <alignment horizontal="right" vertical="center"/>
    </xf>
    <xf numFmtId="0" fontId="38" fillId="0" borderId="0" xfId="8" applyAlignment="1">
      <alignment horizontal="right" vertical="center"/>
    </xf>
    <xf numFmtId="0" fontId="39" fillId="20" borderId="0" xfId="8" applyFont="1" applyFill="1" applyAlignment="1">
      <alignment horizontal="right" vertical="center"/>
    </xf>
    <xf numFmtId="0" fontId="39" fillId="0" borderId="0" xfId="8" applyFont="1" applyAlignment="1">
      <alignment horizontal="left" vertical="center"/>
    </xf>
    <xf numFmtId="0" fontId="40" fillId="0" borderId="52" xfId="0" applyFont="1" applyBorder="1"/>
    <xf numFmtId="0" fontId="40" fillId="0" borderId="0" xfId="0" applyFont="1"/>
    <xf numFmtId="0" fontId="40" fillId="0" borderId="63" xfId="0" applyFont="1" applyBorder="1"/>
    <xf numFmtId="0" fontId="42" fillId="22" borderId="63" xfId="0" applyFont="1" applyFill="1" applyBorder="1" applyAlignment="1">
      <alignment horizontal="right"/>
    </xf>
    <xf numFmtId="0" fontId="40" fillId="0" borderId="55" xfId="0" applyFont="1" applyBorder="1"/>
    <xf numFmtId="0" fontId="42" fillId="0" borderId="63" xfId="0" applyFont="1" applyBorder="1" applyAlignment="1">
      <alignment horizontal="right"/>
    </xf>
    <xf numFmtId="0" fontId="40" fillId="0" borderId="0" xfId="0" applyFont="1" applyBorder="1" applyAlignment="1">
      <alignment horizontal="left"/>
    </xf>
    <xf numFmtId="0" fontId="42" fillId="22" borderId="63" xfId="0" applyFont="1" applyFill="1" applyBorder="1"/>
    <xf numFmtId="14" fontId="42" fillId="22" borderId="0" xfId="0" applyNumberFormat="1" applyFont="1" applyFill="1" applyBorder="1" applyAlignment="1">
      <alignment horizontal="center"/>
    </xf>
    <xf numFmtId="0" fontId="42" fillId="22" borderId="55" xfId="0" applyFont="1" applyFill="1" applyBorder="1" applyAlignment="1">
      <alignment horizontal="center"/>
    </xf>
    <xf numFmtId="176" fontId="43" fillId="23" borderId="0" xfId="9" applyNumberFormat="1" applyFont="1" applyFill="1" applyBorder="1"/>
    <xf numFmtId="176" fontId="43" fillId="23" borderId="55" xfId="9" applyNumberFormat="1" applyFont="1" applyFill="1" applyBorder="1"/>
    <xf numFmtId="176" fontId="40" fillId="0" borderId="0" xfId="9" applyNumberFormat="1" applyFont="1" applyBorder="1"/>
    <xf numFmtId="176" fontId="40" fillId="0" borderId="55" xfId="9" applyNumberFormat="1" applyFont="1" applyBorder="1"/>
    <xf numFmtId="0" fontId="40" fillId="0" borderId="0" xfId="0" applyFont="1" applyBorder="1"/>
    <xf numFmtId="0" fontId="40" fillId="0" borderId="63" xfId="0" applyFont="1" applyBorder="1" applyAlignment="1">
      <alignment wrapText="1"/>
    </xf>
    <xf numFmtId="0" fontId="40" fillId="0" borderId="0" xfId="0" applyFont="1" applyBorder="1" applyAlignment="1">
      <alignment vertical="center"/>
    </xf>
    <xf numFmtId="9" fontId="40" fillId="0" borderId="0" xfId="4" applyFont="1" applyBorder="1" applyAlignment="1">
      <alignment vertical="center"/>
    </xf>
    <xf numFmtId="0" fontId="40" fillId="0" borderId="43" xfId="0" applyFont="1" applyBorder="1"/>
    <xf numFmtId="0" fontId="40" fillId="0" borderId="44" xfId="0" applyFont="1" applyBorder="1"/>
    <xf numFmtId="0" fontId="40" fillId="0" borderId="59" xfId="0" applyFont="1" applyBorder="1"/>
    <xf numFmtId="0" fontId="40" fillId="0" borderId="0" xfId="0" applyFont="1" applyBorder="1" applyAlignment="1"/>
    <xf numFmtId="0" fontId="2" fillId="0" borderId="26" xfId="0" applyFont="1" applyBorder="1" applyAlignment="1">
      <alignment horizontal="center" vertical="center" wrapText="1"/>
    </xf>
    <xf numFmtId="0" fontId="2" fillId="0" borderId="28" xfId="0" applyFont="1" applyBorder="1" applyAlignment="1">
      <alignment horizontal="center" vertical="center" wrapText="1"/>
    </xf>
    <xf numFmtId="0" fontId="0" fillId="0" borderId="9" xfId="0" applyBorder="1"/>
    <xf numFmtId="0" fontId="45" fillId="0" borderId="0" xfId="8" applyFont="1"/>
    <xf numFmtId="0" fontId="17" fillId="3" borderId="9" xfId="0" applyFont="1" applyFill="1" applyBorder="1" applyAlignment="1">
      <alignment horizontal="left"/>
    </xf>
    <xf numFmtId="0" fontId="46" fillId="12" borderId="126" xfId="0" applyFont="1" applyFill="1" applyBorder="1" applyAlignment="1">
      <alignment horizontal="left"/>
    </xf>
    <xf numFmtId="0" fontId="46" fillId="12" borderId="127" xfId="0" applyFont="1" applyFill="1" applyBorder="1" applyAlignment="1">
      <alignment horizontal="left"/>
    </xf>
    <xf numFmtId="0" fontId="46" fillId="12" borderId="128" xfId="0" applyFont="1" applyFill="1" applyBorder="1" applyAlignment="1">
      <alignment horizontal="left"/>
    </xf>
    <xf numFmtId="0" fontId="47" fillId="12" borderId="90" xfId="0" applyFont="1" applyFill="1" applyBorder="1" applyAlignment="1">
      <alignment horizontal="center" vertical="center" wrapText="1"/>
    </xf>
    <xf numFmtId="0" fontId="3" fillId="3" borderId="9" xfId="0" applyFont="1" applyFill="1" applyBorder="1"/>
    <xf numFmtId="0" fontId="11" fillId="3" borderId="9" xfId="0" applyFont="1" applyFill="1" applyBorder="1" applyAlignment="1">
      <alignment horizontal="center" vertical="center" wrapText="1"/>
    </xf>
    <xf numFmtId="165" fontId="17" fillId="3" borderId="9" xfId="0" applyNumberFormat="1" applyFont="1" applyFill="1" applyBorder="1"/>
    <xf numFmtId="165" fontId="11" fillId="3" borderId="9" xfId="0" applyNumberFormat="1" applyFont="1" applyFill="1" applyBorder="1"/>
    <xf numFmtId="0" fontId="3" fillId="3" borderId="9" xfId="0" applyFont="1" applyFill="1" applyBorder="1" applyAlignment="1">
      <alignment horizontal="center"/>
    </xf>
    <xf numFmtId="0" fontId="47" fillId="12" borderId="9" xfId="0" applyFont="1" applyFill="1" applyBorder="1" applyAlignment="1">
      <alignment horizontal="center" vertical="center" wrapText="1"/>
    </xf>
    <xf numFmtId="0" fontId="17" fillId="3" borderId="9" xfId="0" applyFont="1" applyFill="1" applyBorder="1" applyAlignment="1">
      <alignment horizontal="center"/>
    </xf>
    <xf numFmtId="0" fontId="17" fillId="3" borderId="9" xfId="0" applyFont="1" applyFill="1" applyBorder="1" applyAlignment="1">
      <alignment vertical="center" wrapText="1"/>
    </xf>
    <xf numFmtId="0" fontId="11" fillId="3" borderId="9" xfId="0" applyFont="1" applyFill="1" applyBorder="1" applyAlignment="1">
      <alignment horizontal="right"/>
    </xf>
    <xf numFmtId="0" fontId="48" fillId="12" borderId="9" xfId="0" applyFont="1" applyFill="1" applyBorder="1" applyAlignment="1">
      <alignment horizontal="center"/>
    </xf>
    <xf numFmtId="0" fontId="47" fillId="12" borderId="117" xfId="0" applyFont="1" applyFill="1" applyBorder="1" applyAlignment="1">
      <alignment horizontal="center" vertical="center" wrapText="1"/>
    </xf>
    <xf numFmtId="0" fontId="47" fillId="12" borderId="112" xfId="0" applyFont="1" applyFill="1" applyBorder="1" applyAlignment="1">
      <alignment horizontal="center" vertical="center" wrapText="1"/>
    </xf>
    <xf numFmtId="49" fontId="17" fillId="3" borderId="32" xfId="0" applyNumberFormat="1" applyFont="1" applyFill="1" applyBorder="1" applyAlignment="1">
      <alignment horizontal="right" vertical="center"/>
    </xf>
    <xf numFmtId="0" fontId="46" fillId="12" borderId="125" xfId="0" applyFont="1" applyFill="1" applyBorder="1" applyAlignment="1">
      <alignment horizontal="center" vertical="center"/>
    </xf>
    <xf numFmtId="2" fontId="11" fillId="3" borderId="114" xfId="0" applyNumberFormat="1" applyFont="1" applyFill="1" applyBorder="1" applyAlignment="1"/>
    <xf numFmtId="0" fontId="46" fillId="12" borderId="90" xfId="0" applyFont="1" applyFill="1" applyBorder="1"/>
    <xf numFmtId="0" fontId="46" fillId="12" borderId="87" xfId="0" applyFont="1" applyFill="1" applyBorder="1" applyAlignment="1">
      <alignment horizontal="left"/>
    </xf>
    <xf numFmtId="0" fontId="46" fillId="12" borderId="86" xfId="0" applyFont="1" applyFill="1" applyBorder="1" applyAlignment="1">
      <alignment horizontal="left"/>
    </xf>
    <xf numFmtId="0" fontId="47" fillId="10" borderId="49" xfId="0" applyFont="1" applyFill="1" applyBorder="1" applyAlignment="1">
      <alignment horizontal="left"/>
    </xf>
    <xf numFmtId="0" fontId="48" fillId="10" borderId="50" xfId="0" applyFont="1" applyFill="1" applyBorder="1"/>
    <xf numFmtId="165" fontId="11" fillId="3" borderId="129" xfId="0" applyNumberFormat="1" applyFont="1" applyFill="1" applyBorder="1"/>
    <xf numFmtId="0" fontId="48" fillId="10" borderId="50" xfId="0" applyFont="1" applyFill="1" applyBorder="1" applyAlignment="1">
      <alignment horizontal="center"/>
    </xf>
    <xf numFmtId="0" fontId="48" fillId="10" borderId="51" xfId="0" applyFont="1" applyFill="1" applyBorder="1"/>
    <xf numFmtId="0" fontId="50" fillId="24" borderId="9" xfId="0" applyFont="1" applyFill="1" applyBorder="1" applyAlignment="1">
      <alignment horizontal="center" vertical="center" wrapText="1"/>
    </xf>
    <xf numFmtId="0" fontId="27" fillId="3" borderId="0" xfId="0" applyFont="1" applyFill="1" applyAlignment="1">
      <alignment horizontal="center" vertical="center"/>
    </xf>
    <xf numFmtId="0" fontId="27" fillId="3" borderId="9" xfId="0" applyFont="1" applyFill="1" applyBorder="1" applyAlignment="1">
      <alignment vertical="center"/>
    </xf>
    <xf numFmtId="0" fontId="27" fillId="3" borderId="0" xfId="0" applyFont="1" applyFill="1" applyAlignment="1">
      <alignment vertical="center"/>
    </xf>
    <xf numFmtId="49" fontId="27" fillId="3" borderId="9" xfId="0" applyNumberFormat="1" applyFont="1" applyFill="1" applyBorder="1" applyAlignment="1">
      <alignment horizontal="center" vertical="center"/>
    </xf>
    <xf numFmtId="0" fontId="16" fillId="3" borderId="9" xfId="0" applyFont="1" applyFill="1" applyBorder="1" applyAlignment="1">
      <alignment horizontal="left" vertical="center"/>
    </xf>
    <xf numFmtId="0" fontId="16" fillId="24" borderId="9" xfId="0" applyFont="1" applyFill="1" applyBorder="1" applyAlignment="1">
      <alignment horizontal="center" vertical="center" wrapText="1"/>
    </xf>
    <xf numFmtId="0" fontId="52" fillId="3" borderId="9" xfId="0" applyFont="1" applyFill="1" applyBorder="1" applyAlignment="1">
      <alignment horizontal="center" vertical="center"/>
    </xf>
    <xf numFmtId="0" fontId="52" fillId="3" borderId="9" xfId="0" applyFont="1" applyFill="1" applyBorder="1" applyAlignment="1">
      <alignment vertical="center" wrapText="1"/>
    </xf>
    <xf numFmtId="165" fontId="52" fillId="3" borderId="9" xfId="0" applyNumberFormat="1" applyFont="1" applyFill="1" applyBorder="1" applyAlignment="1">
      <alignment vertical="center"/>
    </xf>
    <xf numFmtId="2" fontId="16" fillId="3" borderId="9" xfId="0" applyNumberFormat="1" applyFont="1" applyFill="1" applyBorder="1" applyAlignment="1">
      <alignment horizontal="center" vertical="center"/>
    </xf>
    <xf numFmtId="165" fontId="16" fillId="3" borderId="9" xfId="0" applyNumberFormat="1" applyFont="1" applyFill="1" applyBorder="1" applyAlignment="1">
      <alignment vertical="center"/>
    </xf>
    <xf numFmtId="49" fontId="16" fillId="3" borderId="9" xfId="0" applyNumberFormat="1" applyFont="1" applyFill="1" applyBorder="1" applyAlignment="1">
      <alignment horizontal="center" vertical="center"/>
    </xf>
    <xf numFmtId="0" fontId="16" fillId="3" borderId="9" xfId="0" applyFont="1" applyFill="1" applyBorder="1"/>
    <xf numFmtId="0" fontId="16" fillId="3" borderId="9" xfId="0" applyFont="1" applyFill="1" applyBorder="1" applyAlignment="1">
      <alignment vertical="center"/>
    </xf>
    <xf numFmtId="2" fontId="52" fillId="3" borderId="9" xfId="0" applyNumberFormat="1" applyFont="1" applyFill="1" applyBorder="1" applyAlignment="1">
      <alignment vertical="center"/>
    </xf>
    <xf numFmtId="0" fontId="27" fillId="3" borderId="9" xfId="0" applyFont="1" applyFill="1" applyBorder="1" applyAlignment="1">
      <alignment horizontal="center" vertical="center"/>
    </xf>
    <xf numFmtId="2" fontId="16" fillId="3" borderId="9" xfId="0" applyNumberFormat="1" applyFont="1" applyFill="1" applyBorder="1" applyAlignment="1">
      <alignment horizontal="right" vertical="center"/>
    </xf>
    <xf numFmtId="0" fontId="49" fillId="24" borderId="9" xfId="0" applyFont="1" applyFill="1" applyBorder="1" applyAlignment="1">
      <alignment horizontal="center" vertical="center"/>
    </xf>
    <xf numFmtId="0" fontId="16" fillId="3" borderId="9" xfId="0" applyFont="1" applyFill="1" applyBorder="1" applyAlignment="1">
      <alignment horizontal="right" vertical="center"/>
    </xf>
    <xf numFmtId="0" fontId="16" fillId="24" borderId="9" xfId="0" applyFont="1" applyFill="1" applyBorder="1" applyAlignment="1">
      <alignment horizontal="left" vertical="center"/>
    </xf>
    <xf numFmtId="0" fontId="16" fillId="24" borderId="9" xfId="0" applyFont="1" applyFill="1" applyBorder="1" applyAlignment="1">
      <alignment horizontal="center" vertical="center"/>
    </xf>
    <xf numFmtId="0" fontId="52" fillId="3" borderId="9" xfId="0" applyFont="1" applyFill="1" applyBorder="1" applyAlignment="1">
      <alignment vertical="center"/>
    </xf>
    <xf numFmtId="2" fontId="16" fillId="3" borderId="9" xfId="0" applyNumberFormat="1" applyFont="1" applyFill="1" applyBorder="1" applyAlignment="1">
      <alignment vertical="center"/>
    </xf>
    <xf numFmtId="0" fontId="5" fillId="0" borderId="36" xfId="0" applyFont="1" applyBorder="1" applyAlignment="1">
      <alignment vertical="center"/>
    </xf>
    <xf numFmtId="0" fontId="5" fillId="0" borderId="130" xfId="0" applyFont="1" applyBorder="1" applyAlignment="1">
      <alignment vertical="center"/>
    </xf>
    <xf numFmtId="0" fontId="5" fillId="0" borderId="19" xfId="0" applyFont="1" applyBorder="1" applyAlignment="1">
      <alignment horizontal="right" vertical="center"/>
    </xf>
    <xf numFmtId="0" fontId="4" fillId="2" borderId="134" xfId="0" applyFont="1" applyFill="1" applyBorder="1" applyAlignment="1">
      <alignment horizontal="center" vertical="center" wrapText="1"/>
    </xf>
    <xf numFmtId="0" fontId="4" fillId="2" borderId="135" xfId="0" applyFont="1" applyFill="1" applyBorder="1" applyAlignment="1">
      <alignment horizontal="center" vertical="center" wrapText="1"/>
    </xf>
    <xf numFmtId="49" fontId="9" fillId="0" borderId="9" xfId="0" applyNumberFormat="1" applyFont="1" applyBorder="1" applyAlignment="1">
      <alignment horizontal="center" vertical="center" wrapText="1"/>
    </xf>
    <xf numFmtId="0" fontId="5" fillId="0" borderId="9" xfId="0" applyFont="1" applyBorder="1"/>
    <xf numFmtId="0" fontId="5" fillId="0" borderId="31" xfId="0" applyFont="1" applyBorder="1" applyAlignment="1">
      <alignment vertical="center"/>
    </xf>
    <xf numFmtId="0" fontId="5" fillId="0" borderId="32" xfId="0" applyFont="1" applyBorder="1"/>
    <xf numFmtId="0" fontId="5" fillId="0" borderId="32" xfId="0" applyFont="1" applyBorder="1" applyAlignment="1">
      <alignment vertical="center"/>
    </xf>
    <xf numFmtId="164" fontId="15" fillId="5" borderId="33" xfId="0" applyNumberFormat="1" applyFont="1" applyFill="1" applyBorder="1" applyAlignment="1">
      <alignment horizontal="center" vertical="center" wrapText="1"/>
    </xf>
    <xf numFmtId="0" fontId="5" fillId="0" borderId="32" xfId="0" applyFont="1" applyBorder="1" applyAlignment="1">
      <alignment horizontal="right" vertical="center"/>
    </xf>
    <xf numFmtId="0" fontId="4" fillId="2" borderId="8" xfId="0" applyFont="1" applyFill="1" applyBorder="1" applyAlignment="1">
      <alignment horizontal="center" vertical="center" wrapText="1"/>
    </xf>
    <xf numFmtId="0" fontId="4" fillId="2" borderId="9" xfId="0" applyFont="1" applyFill="1" applyBorder="1" applyAlignment="1">
      <alignment horizontal="center" vertical="center" wrapText="1"/>
    </xf>
    <xf numFmtId="0" fontId="4" fillId="2" borderId="64" xfId="0" applyFont="1" applyFill="1" applyBorder="1" applyAlignment="1">
      <alignment horizontal="center" vertical="center" wrapText="1"/>
    </xf>
    <xf numFmtId="0" fontId="4" fillId="2" borderId="10" xfId="0" applyFont="1" applyFill="1" applyBorder="1" applyAlignment="1">
      <alignment horizontal="center" vertical="center" wrapText="1"/>
    </xf>
    <xf numFmtId="0" fontId="7" fillId="3" borderId="43" xfId="0" applyFont="1" applyFill="1" applyBorder="1" applyAlignment="1">
      <alignment vertical="center"/>
    </xf>
    <xf numFmtId="0" fontId="0" fillId="0" borderId="44" xfId="0" applyBorder="1" applyAlignment="1"/>
    <xf numFmtId="0" fontId="8" fillId="3" borderId="9" xfId="0" applyFont="1" applyFill="1" applyBorder="1" applyAlignment="1">
      <alignment horizontal="center" vertical="center" wrapText="1"/>
    </xf>
    <xf numFmtId="0" fontId="2" fillId="0" borderId="9" xfId="0" applyFont="1" applyBorder="1" applyAlignment="1">
      <alignment vertical="center"/>
    </xf>
    <xf numFmtId="0" fontId="2" fillId="0" borderId="8" xfId="0" applyFont="1" applyBorder="1" applyAlignment="1">
      <alignment horizontal="center" vertical="center"/>
    </xf>
    <xf numFmtId="0" fontId="2" fillId="0" borderId="29" xfId="0" applyFont="1" applyBorder="1" applyAlignment="1">
      <alignment horizontal="center" vertical="center"/>
    </xf>
    <xf numFmtId="0" fontId="2" fillId="0" borderId="30" xfId="0" applyFont="1" applyBorder="1" applyAlignment="1">
      <alignment vertical="center"/>
    </xf>
    <xf numFmtId="0" fontId="2" fillId="0" borderId="15" xfId="0" applyFont="1" applyBorder="1" applyAlignment="1">
      <alignment horizontal="center" vertical="center"/>
    </xf>
    <xf numFmtId="0" fontId="2" fillId="0" borderId="26" xfId="0" applyFont="1" applyBorder="1" applyAlignment="1">
      <alignment horizontal="center" vertical="center"/>
    </xf>
    <xf numFmtId="0" fontId="2" fillId="0" borderId="25" xfId="0" applyFont="1" applyBorder="1" applyAlignment="1">
      <alignment horizontal="center" vertical="center"/>
    </xf>
    <xf numFmtId="0" fontId="2" fillId="0" borderId="16" xfId="0" applyFont="1" applyBorder="1" applyAlignment="1">
      <alignment vertical="center"/>
    </xf>
    <xf numFmtId="0" fontId="8" fillId="3" borderId="8" xfId="0" applyFont="1" applyFill="1" applyBorder="1" applyAlignment="1">
      <alignment horizontal="center" vertical="center"/>
    </xf>
    <xf numFmtId="0" fontId="8" fillId="3" borderId="10" xfId="0" applyFont="1" applyFill="1" applyBorder="1" applyAlignment="1">
      <alignment horizontal="center" vertical="center" wrapText="1"/>
    </xf>
    <xf numFmtId="49" fontId="6" fillId="3" borderId="8" xfId="0" applyNumberFormat="1" applyFont="1" applyFill="1" applyBorder="1" applyAlignment="1">
      <alignment horizontal="center"/>
    </xf>
    <xf numFmtId="0" fontId="6" fillId="3" borderId="10" xfId="0" applyFont="1" applyFill="1" applyBorder="1"/>
    <xf numFmtId="49" fontId="6" fillId="3" borderId="15" xfId="0" applyNumberFormat="1" applyFont="1" applyFill="1" applyBorder="1" applyAlignment="1">
      <alignment horizontal="center"/>
    </xf>
    <xf numFmtId="0" fontId="6" fillId="3" borderId="16" xfId="0" applyFont="1" applyFill="1" applyBorder="1"/>
    <xf numFmtId="0" fontId="6" fillId="3" borderId="17" xfId="0" applyFont="1" applyFill="1" applyBorder="1"/>
    <xf numFmtId="0" fontId="8" fillId="3" borderId="0" xfId="0" applyFont="1" applyFill="1" applyBorder="1" applyAlignment="1">
      <alignment horizontal="center" wrapText="1"/>
    </xf>
    <xf numFmtId="0" fontId="6" fillId="3" borderId="8" xfId="0" applyFont="1" applyFill="1" applyBorder="1"/>
    <xf numFmtId="0" fontId="6" fillId="3" borderId="15" xfId="0" applyFont="1" applyFill="1" applyBorder="1"/>
    <xf numFmtId="0" fontId="8" fillId="3" borderId="8" xfId="0" applyFont="1" applyFill="1" applyBorder="1" applyAlignment="1">
      <alignment horizontal="center"/>
    </xf>
    <xf numFmtId="0" fontId="8" fillId="3" borderId="10" xfId="0" applyFont="1" applyFill="1" applyBorder="1" applyAlignment="1">
      <alignment horizontal="center" wrapText="1"/>
    </xf>
    <xf numFmtId="0" fontId="36" fillId="18" borderId="9" xfId="0" applyFont="1" applyFill="1" applyBorder="1" applyAlignment="1">
      <alignment horizontal="center" vertical="center" wrapText="1"/>
    </xf>
    <xf numFmtId="0" fontId="0" fillId="19" borderId="31" xfId="0" applyFill="1" applyBorder="1"/>
    <xf numFmtId="0" fontId="26" fillId="19" borderId="32" xfId="0" applyFont="1" applyFill="1" applyBorder="1"/>
    <xf numFmtId="0" fontId="0" fillId="19" borderId="32" xfId="0" applyFill="1" applyBorder="1"/>
    <xf numFmtId="0" fontId="37" fillId="19" borderId="32" xfId="0" applyFont="1" applyFill="1" applyBorder="1"/>
    <xf numFmtId="2" fontId="26" fillId="19" borderId="32" xfId="0" applyNumberFormat="1" applyFont="1" applyFill="1" applyBorder="1"/>
    <xf numFmtId="0" fontId="26" fillId="19" borderId="58" xfId="0" applyFont="1" applyFill="1" applyBorder="1"/>
    <xf numFmtId="0" fontId="37" fillId="19" borderId="41" xfId="0" applyFont="1" applyFill="1" applyBorder="1"/>
    <xf numFmtId="0" fontId="26" fillId="19" borderId="41" xfId="0" applyFont="1" applyFill="1" applyBorder="1"/>
    <xf numFmtId="0" fontId="26" fillId="19" borderId="33" xfId="0" applyFont="1" applyFill="1" applyBorder="1"/>
    <xf numFmtId="2" fontId="0" fillId="0" borderId="9" xfId="0" applyNumberFormat="1" applyBorder="1"/>
    <xf numFmtId="0" fontId="8" fillId="3" borderId="9" xfId="0" applyFont="1" applyFill="1" applyBorder="1" applyAlignment="1">
      <alignment horizontal="center" vertical="center" wrapText="1"/>
    </xf>
    <xf numFmtId="0" fontId="8" fillId="3" borderId="12" xfId="0" applyFont="1" applyFill="1" applyBorder="1" applyAlignment="1">
      <alignment horizontal="center" vertical="center" wrapText="1"/>
    </xf>
    <xf numFmtId="0" fontId="5" fillId="0" borderId="0" xfId="0" applyFont="1"/>
    <xf numFmtId="0" fontId="36" fillId="18" borderId="82" xfId="0" applyFont="1" applyFill="1" applyBorder="1" applyAlignment="1">
      <alignment horizontal="center" vertical="center" wrapText="1"/>
    </xf>
    <xf numFmtId="0" fontId="36" fillId="18" borderId="83" xfId="0" applyFont="1" applyFill="1" applyBorder="1" applyAlignment="1">
      <alignment horizontal="center" vertical="center" wrapText="1"/>
    </xf>
    <xf numFmtId="0" fontId="0" fillId="0" borderId="82" xfId="0" applyBorder="1"/>
    <xf numFmtId="0" fontId="0" fillId="0" borderId="83" xfId="0" applyBorder="1"/>
    <xf numFmtId="0" fontId="0" fillId="0" borderId="142" xfId="0" applyBorder="1"/>
    <xf numFmtId="0" fontId="0" fillId="0" borderId="105" xfId="0" applyBorder="1"/>
    <xf numFmtId="2" fontId="0" fillId="0" borderId="105" xfId="0" applyNumberFormat="1" applyBorder="1"/>
    <xf numFmtId="0" fontId="0" fillId="0" borderId="143" xfId="0" applyBorder="1"/>
    <xf numFmtId="2" fontId="0" fillId="0" borderId="82" xfId="0" applyNumberFormat="1" applyBorder="1"/>
    <xf numFmtId="2" fontId="0" fillId="0" borderId="142" xfId="0" applyNumberFormat="1" applyBorder="1"/>
    <xf numFmtId="0" fontId="14" fillId="3" borderId="64" xfId="0" applyFont="1" applyFill="1" applyBorder="1" applyAlignment="1">
      <alignment horizontal="right" vertical="center"/>
    </xf>
    <xf numFmtId="0" fontId="5" fillId="0" borderId="12" xfId="0" applyFont="1" applyBorder="1" applyAlignment="1">
      <alignment horizontal="center"/>
    </xf>
    <xf numFmtId="0" fontId="14" fillId="9" borderId="144" xfId="0" applyFont="1" applyFill="1" applyBorder="1"/>
    <xf numFmtId="0" fontId="14" fillId="0" borderId="151" xfId="0" applyFont="1" applyBorder="1" applyAlignment="1">
      <alignment horizontal="center" vertical="center" wrapText="1"/>
    </xf>
    <xf numFmtId="2" fontId="8" fillId="3" borderId="152" xfId="6" applyNumberFormat="1" applyFont="1" applyFill="1" applyBorder="1" applyAlignment="1">
      <alignment horizontal="center" vertical="center" wrapText="1"/>
    </xf>
    <xf numFmtId="0" fontId="14" fillId="0" borderId="153" xfId="0" applyFont="1" applyBorder="1" applyAlignment="1">
      <alignment horizontal="center" vertical="center" wrapText="1"/>
    </xf>
    <xf numFmtId="9" fontId="14" fillId="0" borderId="152" xfId="4" applyFont="1" applyBorder="1" applyAlignment="1">
      <alignment horizontal="center" vertical="center" wrapText="1"/>
    </xf>
    <xf numFmtId="9" fontId="14" fillId="0" borderId="75" xfId="4" applyFont="1" applyBorder="1" applyAlignment="1">
      <alignment horizontal="center" vertical="center" wrapText="1"/>
    </xf>
    <xf numFmtId="9" fontId="14" fillId="0" borderId="153" xfId="4" applyFont="1" applyBorder="1" applyAlignment="1">
      <alignment horizontal="center" vertical="center" wrapText="1"/>
    </xf>
    <xf numFmtId="9" fontId="14" fillId="0" borderId="154" xfId="4" applyFont="1" applyBorder="1" applyAlignment="1">
      <alignment horizontal="center" vertical="center" wrapText="1"/>
    </xf>
    <xf numFmtId="0" fontId="8" fillId="2" borderId="155" xfId="0" applyFont="1" applyFill="1" applyBorder="1" applyAlignment="1">
      <alignment horizontal="center" vertical="center" wrapText="1"/>
    </xf>
    <xf numFmtId="1" fontId="14" fillId="0" borderId="153" xfId="0" applyNumberFormat="1" applyFont="1" applyBorder="1" applyAlignment="1">
      <alignment horizontal="center" vertical="center" wrapText="1"/>
    </xf>
    <xf numFmtId="0" fontId="14" fillId="0" borderId="152" xfId="0" applyFont="1" applyBorder="1" applyAlignment="1">
      <alignment horizontal="center" vertical="center" wrapText="1"/>
    </xf>
    <xf numFmtId="0" fontId="14" fillId="0" borderId="153" xfId="0" applyFont="1" applyBorder="1" applyAlignment="1">
      <alignment horizontal="center" vertical="center"/>
    </xf>
    <xf numFmtId="171" fontId="21" fillId="0" borderId="75" xfId="5" applyNumberFormat="1" applyFont="1" applyBorder="1" applyAlignment="1">
      <alignment horizontal="center" vertical="center" textRotation="90" wrapText="1"/>
    </xf>
    <xf numFmtId="0" fontId="19" fillId="9" borderId="31" xfId="0" applyFont="1" applyFill="1" applyBorder="1" applyAlignment="1">
      <alignment horizontal="center" vertical="center" wrapText="1"/>
    </xf>
    <xf numFmtId="0" fontId="19" fillId="9" borderId="156" xfId="0" applyFont="1" applyFill="1" applyBorder="1" applyAlignment="1">
      <alignment vertical="center" wrapText="1"/>
    </xf>
    <xf numFmtId="0" fontId="19" fillId="9" borderId="157" xfId="0" applyFont="1" applyFill="1" applyBorder="1" applyAlignment="1">
      <alignment vertical="center" wrapText="1"/>
    </xf>
    <xf numFmtId="0" fontId="19" fillId="9" borderId="158" xfId="0" applyFont="1" applyFill="1" applyBorder="1" applyAlignment="1">
      <alignment vertical="center" wrapText="1"/>
    </xf>
    <xf numFmtId="10" fontId="19" fillId="9" borderId="154" xfId="1" applyNumberFormat="1" applyFont="1" applyFill="1" applyBorder="1" applyAlignment="1">
      <alignment horizontal="center" vertical="center"/>
    </xf>
    <xf numFmtId="4" fontId="19" fillId="9" borderId="82" xfId="0" applyNumberFormat="1" applyFont="1" applyFill="1" applyBorder="1" applyAlignment="1">
      <alignment horizontal="center" vertical="center" wrapText="1"/>
    </xf>
    <xf numFmtId="4" fontId="19" fillId="9" borderId="83" xfId="0" applyNumberFormat="1" applyFont="1" applyFill="1" applyBorder="1" applyAlignment="1">
      <alignment horizontal="center" vertical="center" wrapText="1"/>
    </xf>
    <xf numFmtId="0" fontId="19" fillId="9" borderId="144" xfId="0" applyFont="1" applyFill="1" applyBorder="1" applyAlignment="1">
      <alignment vertical="center" wrapText="1"/>
    </xf>
    <xf numFmtId="0" fontId="19" fillId="9" borderId="145" xfId="0" applyFont="1" applyFill="1" applyBorder="1" applyAlignment="1">
      <alignment vertical="center" wrapText="1"/>
    </xf>
    <xf numFmtId="177" fontId="19" fillId="12" borderId="109" xfId="0" applyNumberFormat="1" applyFont="1" applyFill="1" applyBorder="1" applyAlignment="1">
      <alignment horizontal="center" vertical="center" wrapText="1"/>
    </xf>
    <xf numFmtId="10" fontId="19" fillId="12" borderId="9" xfId="4" applyNumberFormat="1" applyFont="1" applyFill="1" applyBorder="1" applyAlignment="1">
      <alignment horizontal="center" vertical="center"/>
    </xf>
    <xf numFmtId="0" fontId="20" fillId="8" borderId="98" xfId="0" applyFont="1" applyFill="1" applyBorder="1" applyAlignment="1">
      <alignment horizontal="left" vertical="center" wrapText="1"/>
    </xf>
    <xf numFmtId="0" fontId="20" fillId="8" borderId="101" xfId="0" applyFont="1" applyFill="1" applyBorder="1" applyAlignment="1">
      <alignment horizontal="left" vertical="center" wrapText="1"/>
    </xf>
    <xf numFmtId="4" fontId="19" fillId="10" borderId="101" xfId="0" applyNumberFormat="1" applyFont="1" applyFill="1" applyBorder="1" applyAlignment="1">
      <alignment horizontal="center" vertical="center" wrapText="1"/>
    </xf>
    <xf numFmtId="10" fontId="19" fillId="12" borderId="98" xfId="4" applyNumberFormat="1" applyFont="1" applyFill="1" applyBorder="1" applyAlignment="1">
      <alignment horizontal="center" vertical="center" wrapText="1"/>
    </xf>
    <xf numFmtId="4" fontId="19" fillId="12" borderId="98" xfId="0" applyNumberFormat="1" applyFont="1" applyFill="1" applyBorder="1" applyAlignment="1">
      <alignment horizontal="center" vertical="center" wrapText="1"/>
    </xf>
    <xf numFmtId="0" fontId="20" fillId="8" borderId="101" xfId="0" applyFont="1" applyFill="1" applyBorder="1" applyAlignment="1">
      <alignment horizontal="center" vertical="center" wrapText="1"/>
    </xf>
    <xf numFmtId="0" fontId="22" fillId="3" borderId="83" xfId="0" applyFont="1" applyFill="1" applyBorder="1" applyAlignment="1">
      <alignment horizontal="left" vertical="center" wrapText="1"/>
    </xf>
    <xf numFmtId="0" fontId="22" fillId="3" borderId="82" xfId="0" applyFont="1" applyFill="1" applyBorder="1" applyAlignment="1">
      <alignment horizontal="left" vertical="center" wrapText="1"/>
    </xf>
    <xf numFmtId="2" fontId="8" fillId="3" borderId="82" xfId="0" applyNumberFormat="1" applyFont="1" applyFill="1" applyBorder="1" applyAlignment="1">
      <alignment horizontal="center" vertical="center" wrapText="1"/>
    </xf>
    <xf numFmtId="9" fontId="8" fillId="3" borderId="83" xfId="4" applyFont="1" applyFill="1" applyBorder="1" applyAlignment="1">
      <alignment horizontal="center" vertical="center" wrapText="1"/>
    </xf>
    <xf numFmtId="4" fontId="8" fillId="3" borderId="82" xfId="0" applyNumberFormat="1" applyFont="1" applyFill="1" applyBorder="1" applyAlignment="1">
      <alignment horizontal="center" vertical="center" wrapText="1"/>
    </xf>
    <xf numFmtId="4" fontId="8" fillId="3" borderId="83" xfId="0" applyNumberFormat="1" applyFont="1" applyFill="1" applyBorder="1" applyAlignment="1">
      <alignment horizontal="center" vertical="center" wrapText="1"/>
    </xf>
    <xf numFmtId="14" fontId="8" fillId="3" borderId="83" xfId="0" applyNumberFormat="1" applyFont="1" applyFill="1" applyBorder="1" applyAlignment="1">
      <alignment horizontal="center" vertical="center" wrapText="1"/>
    </xf>
    <xf numFmtId="49" fontId="14" fillId="3" borderId="83" xfId="0" applyNumberFormat="1" applyFont="1" applyFill="1" applyBorder="1" applyAlignment="1">
      <alignment vertical="center" wrapText="1"/>
    </xf>
    <xf numFmtId="49" fontId="14" fillId="3" borderId="82" xfId="0" applyNumberFormat="1" applyFont="1" applyFill="1" applyBorder="1" applyAlignment="1">
      <alignment vertical="center" wrapText="1"/>
    </xf>
    <xf numFmtId="49" fontId="14" fillId="3" borderId="9" xfId="0" applyNumberFormat="1" applyFont="1" applyFill="1" applyBorder="1" applyAlignment="1">
      <alignment vertical="center" wrapText="1"/>
    </xf>
    <xf numFmtId="4" fontId="8" fillId="25" borderId="9" xfId="0" applyNumberFormat="1" applyFont="1" applyFill="1" applyBorder="1" applyAlignment="1">
      <alignment horizontal="center" vertical="center" wrapText="1"/>
    </xf>
    <xf numFmtId="10" fontId="8" fillId="3" borderId="83" xfId="4" applyNumberFormat="1" applyFont="1" applyFill="1" applyBorder="1" applyAlignment="1">
      <alignment horizontal="center" vertical="center" wrapText="1"/>
    </xf>
    <xf numFmtId="2" fontId="8" fillId="0" borderId="9" xfId="0" applyNumberFormat="1" applyFont="1" applyBorder="1" applyAlignment="1">
      <alignment horizontal="center" vertical="center" wrapText="1"/>
    </xf>
    <xf numFmtId="164" fontId="8" fillId="2" borderId="9" xfId="0" applyNumberFormat="1" applyFont="1" applyFill="1" applyBorder="1" applyAlignment="1">
      <alignment horizontal="center" vertical="center" wrapText="1"/>
    </xf>
    <xf numFmtId="0" fontId="6" fillId="3" borderId="108" xfId="0" applyFont="1" applyFill="1" applyBorder="1" applyAlignment="1">
      <alignment horizontal="center" vertical="center" wrapText="1"/>
    </xf>
    <xf numFmtId="0" fontId="6" fillId="3" borderId="82" xfId="0" applyFont="1" applyFill="1" applyBorder="1" applyAlignment="1">
      <alignment horizontal="center" vertical="center"/>
    </xf>
    <xf numFmtId="14" fontId="6" fillId="3" borderId="83" xfId="0" applyNumberFormat="1" applyFont="1" applyFill="1" applyBorder="1" applyAlignment="1">
      <alignment horizontal="center" vertical="center"/>
    </xf>
    <xf numFmtId="172" fontId="23" fillId="0" borderId="9" xfId="7" applyFont="1" applyFill="1" applyBorder="1" applyAlignment="1">
      <alignment horizontal="center" vertical="center"/>
    </xf>
    <xf numFmtId="49" fontId="14" fillId="3" borderId="82" xfId="0" applyNumberFormat="1" applyFont="1" applyFill="1" applyBorder="1" applyAlignment="1">
      <alignment horizontal="center" vertical="center" wrapText="1"/>
    </xf>
    <xf numFmtId="49" fontId="14" fillId="3" borderId="9" xfId="0" applyNumberFormat="1" applyFont="1" applyFill="1" applyBorder="1" applyAlignment="1">
      <alignment horizontal="right" vertical="center" wrapText="1"/>
    </xf>
    <xf numFmtId="164" fontId="14" fillId="3" borderId="83" xfId="0" applyNumberFormat="1" applyFont="1" applyFill="1" applyBorder="1" applyAlignment="1">
      <alignment vertical="center" wrapText="1"/>
    </xf>
    <xf numFmtId="164" fontId="14" fillId="3" borderId="82" xfId="0" applyNumberFormat="1" applyFont="1" applyFill="1" applyBorder="1" applyAlignment="1">
      <alignment vertical="center" wrapText="1"/>
    </xf>
    <xf numFmtId="164" fontId="14" fillId="3" borderId="9" xfId="0" applyNumberFormat="1" applyFont="1" applyFill="1" applyBorder="1" applyAlignment="1">
      <alignment vertical="center" wrapText="1"/>
    </xf>
    <xf numFmtId="4" fontId="8" fillId="26" borderId="82" xfId="0" applyNumberFormat="1" applyFont="1" applyFill="1" applyBorder="1" applyAlignment="1">
      <alignment horizontal="center" vertical="center" wrapText="1"/>
    </xf>
    <xf numFmtId="0" fontId="8" fillId="3" borderId="142" xfId="0" applyFont="1" applyFill="1" applyBorder="1" applyAlignment="1">
      <alignment horizontal="center" vertical="center" wrapText="1"/>
    </xf>
    <xf numFmtId="49" fontId="20" fillId="3" borderId="105" xfId="0" applyNumberFormat="1" applyFont="1" applyFill="1" applyBorder="1" applyAlignment="1">
      <alignment horizontal="center" vertical="center" wrapText="1"/>
    </xf>
    <xf numFmtId="0" fontId="22" fillId="3" borderId="143" xfId="0" applyFont="1" applyFill="1" applyBorder="1" applyAlignment="1">
      <alignment horizontal="left" vertical="center" wrapText="1"/>
    </xf>
    <xf numFmtId="0" fontId="22" fillId="3" borderId="142" xfId="0" applyFont="1" applyFill="1" applyBorder="1" applyAlignment="1">
      <alignment horizontal="left" vertical="center" wrapText="1"/>
    </xf>
    <xf numFmtId="0" fontId="22" fillId="3" borderId="105" xfId="0" applyFont="1" applyFill="1" applyBorder="1" applyAlignment="1">
      <alignment horizontal="left" vertical="center" wrapText="1"/>
    </xf>
    <xf numFmtId="2" fontId="8" fillId="3" borderId="142" xfId="0" applyNumberFormat="1" applyFont="1" applyFill="1" applyBorder="1" applyAlignment="1">
      <alignment horizontal="center" vertical="center" wrapText="1"/>
    </xf>
    <xf numFmtId="9" fontId="8" fillId="3" borderId="105" xfId="4" applyFont="1" applyFill="1" applyBorder="1" applyAlignment="1">
      <alignment horizontal="center" vertical="center" wrapText="1"/>
    </xf>
    <xf numFmtId="9" fontId="8" fillId="3" borderId="143" xfId="4" applyFont="1" applyFill="1" applyBorder="1" applyAlignment="1">
      <alignment horizontal="center" vertical="center" wrapText="1"/>
    </xf>
    <xf numFmtId="4" fontId="8" fillId="3" borderId="142" xfId="0" applyNumberFormat="1" applyFont="1" applyFill="1" applyBorder="1" applyAlignment="1">
      <alignment horizontal="center" vertical="center" wrapText="1"/>
    </xf>
    <xf numFmtId="4" fontId="8" fillId="3" borderId="143" xfId="0" applyNumberFormat="1" applyFont="1" applyFill="1" applyBorder="1" applyAlignment="1">
      <alignment horizontal="center" vertical="center" wrapText="1"/>
    </xf>
    <xf numFmtId="14" fontId="8" fillId="3" borderId="105" xfId="0" applyNumberFormat="1" applyFont="1" applyFill="1" applyBorder="1" applyAlignment="1">
      <alignment horizontal="center" vertical="center" wrapText="1"/>
    </xf>
    <xf numFmtId="14" fontId="8" fillId="3" borderId="143" xfId="0" applyNumberFormat="1" applyFont="1" applyFill="1" applyBorder="1" applyAlignment="1">
      <alignment horizontal="center" vertical="center" wrapText="1"/>
    </xf>
    <xf numFmtId="0" fontId="8" fillId="3" borderId="159" xfId="0" applyFont="1" applyFill="1" applyBorder="1" applyAlignment="1">
      <alignment horizontal="center" vertical="center" wrapText="1"/>
    </xf>
    <xf numFmtId="49" fontId="5" fillId="3" borderId="160" xfId="0" applyNumberFormat="1" applyFont="1" applyFill="1" applyBorder="1" applyAlignment="1">
      <alignment vertical="center"/>
    </xf>
    <xf numFmtId="49" fontId="14" fillId="3" borderId="30" xfId="0" applyNumberFormat="1" applyFont="1" applyFill="1" applyBorder="1" applyAlignment="1">
      <alignment vertical="center" wrapText="1"/>
    </xf>
    <xf numFmtId="4" fontId="8" fillId="3" borderId="30" xfId="0" applyNumberFormat="1" applyFont="1" applyFill="1" applyBorder="1" applyAlignment="1">
      <alignment horizontal="center" vertical="center" wrapText="1"/>
    </xf>
    <xf numFmtId="4" fontId="8" fillId="25" borderId="30" xfId="0" applyNumberFormat="1" applyFont="1" applyFill="1" applyBorder="1" applyAlignment="1">
      <alignment horizontal="center" vertical="center" wrapText="1"/>
    </xf>
    <xf numFmtId="2" fontId="8" fillId="3" borderId="30" xfId="0" applyNumberFormat="1" applyFont="1" applyFill="1" applyBorder="1" applyAlignment="1">
      <alignment horizontal="center" vertical="center" wrapText="1"/>
    </xf>
    <xf numFmtId="10" fontId="8" fillId="3" borderId="30" xfId="4" applyNumberFormat="1" applyFont="1" applyFill="1" applyBorder="1" applyAlignment="1">
      <alignment horizontal="center" vertical="center" wrapText="1"/>
    </xf>
    <xf numFmtId="4" fontId="8" fillId="11" borderId="30" xfId="0" applyNumberFormat="1" applyFont="1" applyFill="1" applyBorder="1" applyAlignment="1">
      <alignment horizontal="center" vertical="center" wrapText="1"/>
    </xf>
    <xf numFmtId="0" fontId="8" fillId="3" borderId="30" xfId="0" applyFont="1" applyFill="1" applyBorder="1" applyAlignment="1">
      <alignment horizontal="center" vertical="center" wrapText="1"/>
    </xf>
    <xf numFmtId="14" fontId="8" fillId="3" borderId="30" xfId="0" applyNumberFormat="1" applyFont="1" applyFill="1" applyBorder="1" applyAlignment="1">
      <alignment horizontal="center" vertical="center" wrapText="1"/>
    </xf>
    <xf numFmtId="4" fontId="8" fillId="26" borderId="9" xfId="0" applyNumberFormat="1" applyFont="1" applyFill="1" applyBorder="1" applyAlignment="1">
      <alignment horizontal="center" vertical="center" wrapText="1"/>
    </xf>
    <xf numFmtId="0" fontId="5" fillId="0" borderId="0" xfId="0" applyFont="1" applyAlignment="1">
      <alignment horizontal="center" wrapText="1"/>
    </xf>
    <xf numFmtId="0" fontId="14" fillId="2" borderId="9" xfId="0" applyFont="1" applyFill="1" applyBorder="1" applyAlignment="1">
      <alignment horizontal="center" vertical="center" textRotation="90" wrapText="1"/>
    </xf>
    <xf numFmtId="0" fontId="14" fillId="2" borderId="64" xfId="0" applyFont="1" applyFill="1" applyBorder="1" applyAlignment="1">
      <alignment horizontal="center" vertical="center" textRotation="90" wrapText="1"/>
    </xf>
    <xf numFmtId="168" fontId="14" fillId="2" borderId="64" xfId="4" applyNumberFormat="1" applyFont="1" applyFill="1" applyBorder="1" applyAlignment="1">
      <alignment horizontal="center" vertical="center" textRotation="90" wrapText="1"/>
    </xf>
    <xf numFmtId="168" fontId="14" fillId="2" borderId="99" xfId="4" applyNumberFormat="1" applyFont="1" applyFill="1" applyBorder="1" applyAlignment="1">
      <alignment horizontal="center" vertical="center" textRotation="90" wrapText="1"/>
    </xf>
    <xf numFmtId="170" fontId="14" fillId="2" borderId="64" xfId="4" applyNumberFormat="1" applyFont="1" applyFill="1" applyBorder="1" applyAlignment="1">
      <alignment horizontal="center" vertical="center" textRotation="90" wrapText="1"/>
    </xf>
    <xf numFmtId="4" fontId="19" fillId="9" borderId="157" xfId="0" applyNumberFormat="1" applyFont="1" applyFill="1" applyBorder="1" applyAlignment="1">
      <alignment horizontal="center" vertical="center" wrapText="1"/>
    </xf>
    <xf numFmtId="4" fontId="19" fillId="9" borderId="32" xfId="0" applyNumberFormat="1" applyFont="1" applyFill="1" applyBorder="1" applyAlignment="1">
      <alignment horizontal="center" vertical="center" wrapText="1"/>
    </xf>
    <xf numFmtId="4" fontId="19" fillId="9" borderId="33" xfId="0" applyNumberFormat="1" applyFont="1" applyFill="1" applyBorder="1" applyAlignment="1">
      <alignment horizontal="center" vertical="center" wrapText="1"/>
    </xf>
    <xf numFmtId="169" fontId="19" fillId="9" borderId="9" xfId="5" applyNumberFormat="1" applyFont="1" applyFill="1" applyBorder="1" applyAlignment="1">
      <alignment horizontal="center" vertical="center" wrapText="1"/>
    </xf>
    <xf numFmtId="2" fontId="19" fillId="9" borderId="146" xfId="0" applyNumberFormat="1" applyFont="1" applyFill="1" applyBorder="1" applyAlignment="1">
      <alignment horizontal="center" vertical="center"/>
    </xf>
    <xf numFmtId="2" fontId="19" fillId="9" borderId="147" xfId="0" applyNumberFormat="1" applyFont="1" applyFill="1" applyBorder="1" applyAlignment="1">
      <alignment horizontal="center" vertical="center"/>
    </xf>
    <xf numFmtId="2" fontId="19" fillId="9" borderId="148" xfId="0" applyNumberFormat="1" applyFont="1" applyFill="1" applyBorder="1" applyAlignment="1">
      <alignment horizontal="center" vertical="center"/>
    </xf>
    <xf numFmtId="169" fontId="19" fillId="9" borderId="149" xfId="5" applyNumberFormat="1" applyFont="1" applyFill="1" applyBorder="1" applyAlignment="1">
      <alignment horizontal="center" vertical="center" wrapText="1"/>
    </xf>
    <xf numFmtId="169" fontId="19" fillId="9" borderId="150" xfId="5" applyNumberFormat="1" applyFont="1" applyFill="1" applyBorder="1" applyAlignment="1">
      <alignment horizontal="center" vertical="center" wrapText="1"/>
    </xf>
    <xf numFmtId="0" fontId="14" fillId="2" borderId="11" xfId="0" applyFont="1" applyFill="1" applyBorder="1" applyAlignment="1">
      <alignment horizontal="center" vertical="center" textRotation="90" wrapText="1"/>
    </xf>
    <xf numFmtId="0" fontId="14" fillId="0" borderId="9" xfId="0" applyFont="1" applyBorder="1" applyAlignment="1">
      <alignment horizontal="left" vertical="center"/>
    </xf>
    <xf numFmtId="0" fontId="14" fillId="0" borderId="64" xfId="0" applyFont="1" applyBorder="1" applyAlignment="1">
      <alignment horizontal="left" vertical="center"/>
    </xf>
    <xf numFmtId="3" fontId="20" fillId="8" borderId="64" xfId="0" applyNumberFormat="1" applyFont="1" applyFill="1" applyBorder="1" applyAlignment="1">
      <alignment horizontal="center" vertical="center" wrapText="1"/>
    </xf>
    <xf numFmtId="14" fontId="14" fillId="4" borderId="64" xfId="3" applyNumberFormat="1" applyFont="1" applyFill="1" applyBorder="1" applyAlignment="1">
      <alignment horizontal="center" vertical="center" wrapText="1"/>
    </xf>
    <xf numFmtId="0" fontId="19" fillId="9" borderId="95" xfId="0" applyFont="1" applyFill="1" applyBorder="1" applyAlignment="1">
      <alignment horizontal="center" vertical="center"/>
    </xf>
    <xf numFmtId="0" fontId="19" fillId="9" borderId="145" xfId="0" applyFont="1" applyFill="1" applyBorder="1" applyAlignment="1">
      <alignment horizontal="center" vertical="center"/>
    </xf>
    <xf numFmtId="0" fontId="19" fillId="9" borderId="146" xfId="0" applyFont="1" applyFill="1" applyBorder="1" applyAlignment="1">
      <alignment horizontal="center" vertical="center"/>
    </xf>
    <xf numFmtId="0" fontId="19" fillId="9" borderId="147" xfId="0" applyFont="1" applyFill="1" applyBorder="1" applyAlignment="1">
      <alignment horizontal="center" vertical="center"/>
    </xf>
    <xf numFmtId="0" fontId="19" fillId="9" borderId="148" xfId="0" applyFont="1" applyFill="1" applyBorder="1" applyAlignment="1">
      <alignment horizontal="center" vertical="center"/>
    </xf>
    <xf numFmtId="0" fontId="19" fillId="9" borderId="146" xfId="0" applyFont="1" applyFill="1" applyBorder="1" applyAlignment="1">
      <alignment horizontal="center"/>
    </xf>
    <xf numFmtId="0" fontId="19" fillId="9" borderId="147" xfId="0" applyFont="1" applyFill="1" applyBorder="1" applyAlignment="1">
      <alignment horizontal="center"/>
    </xf>
    <xf numFmtId="0" fontId="19" fillId="9" borderId="148" xfId="0" applyFont="1" applyFill="1" applyBorder="1" applyAlignment="1">
      <alignment horizontal="center"/>
    </xf>
    <xf numFmtId="2" fontId="19" fillId="9" borderId="146" xfId="0" applyNumberFormat="1" applyFont="1" applyFill="1" applyBorder="1" applyAlignment="1">
      <alignment horizontal="center" vertical="center" wrapText="1"/>
    </xf>
    <xf numFmtId="2" fontId="19" fillId="9" borderId="147" xfId="0" applyNumberFormat="1" applyFont="1" applyFill="1" applyBorder="1" applyAlignment="1">
      <alignment horizontal="center" vertical="center" wrapText="1"/>
    </xf>
    <xf numFmtId="2" fontId="19" fillId="9" borderId="148" xfId="0" applyNumberFormat="1" applyFont="1" applyFill="1" applyBorder="1" applyAlignment="1">
      <alignment horizontal="center" vertical="center" wrapText="1"/>
    </xf>
    <xf numFmtId="0" fontId="14" fillId="0" borderId="0" xfId="0" applyFont="1" applyAlignment="1">
      <alignment horizontal="center" vertical="center"/>
    </xf>
    <xf numFmtId="0" fontId="5" fillId="0" borderId="49" xfId="0" applyFont="1" applyBorder="1" applyAlignment="1">
      <alignment horizontal="center" wrapText="1"/>
    </xf>
    <xf numFmtId="0" fontId="5" fillId="0" borderId="50" xfId="0" applyFont="1" applyBorder="1" applyAlignment="1">
      <alignment horizontal="center" wrapText="1"/>
    </xf>
    <xf numFmtId="0" fontId="5" fillId="0" borderId="97" xfId="0" applyFont="1" applyBorder="1" applyAlignment="1">
      <alignment horizontal="center" wrapText="1"/>
    </xf>
    <xf numFmtId="0" fontId="5" fillId="0" borderId="0" xfId="0" applyFont="1" applyAlignment="1">
      <alignment horizontal="center" wrapText="1"/>
    </xf>
    <xf numFmtId="0" fontId="5" fillId="0" borderId="31" xfId="0" applyFont="1" applyBorder="1" applyAlignment="1">
      <alignment horizontal="center" wrapText="1"/>
    </xf>
    <xf numFmtId="0" fontId="14" fillId="0" borderId="12" xfId="0" applyFont="1" applyBorder="1" applyAlignment="1">
      <alignment horizontal="center" vertical="center"/>
    </xf>
    <xf numFmtId="0" fontId="14" fillId="0" borderId="35" xfId="0" applyFont="1" applyBorder="1" applyAlignment="1">
      <alignment horizontal="center" vertical="center"/>
    </xf>
    <xf numFmtId="0" fontId="14" fillId="0" borderId="11" xfId="0" applyFont="1" applyBorder="1" applyAlignment="1">
      <alignment horizontal="center" vertical="center"/>
    </xf>
    <xf numFmtId="0" fontId="14" fillId="0" borderId="50" xfId="0" applyFont="1" applyBorder="1" applyAlignment="1">
      <alignment horizontal="center" vertical="center"/>
    </xf>
    <xf numFmtId="0" fontId="14" fillId="0" borderId="51" xfId="0" applyFont="1" applyBorder="1" applyAlignment="1">
      <alignment horizontal="center" vertical="center"/>
    </xf>
    <xf numFmtId="0" fontId="14" fillId="0" borderId="32" xfId="0" applyFont="1" applyBorder="1" applyAlignment="1">
      <alignment horizontal="center" vertical="center"/>
    </xf>
    <xf numFmtId="0" fontId="14" fillId="0" borderId="33" xfId="0" applyFont="1" applyBorder="1" applyAlignment="1">
      <alignment horizontal="center" vertical="center"/>
    </xf>
    <xf numFmtId="0" fontId="8" fillId="7" borderId="9" xfId="3" applyFont="1" applyFill="1" applyBorder="1" applyAlignment="1">
      <alignment horizontal="center" vertical="center" wrapText="1"/>
    </xf>
    <xf numFmtId="0" fontId="14" fillId="0" borderId="22" xfId="0" applyFont="1" applyBorder="1" applyAlignment="1">
      <alignment horizontal="center" vertical="center"/>
    </xf>
    <xf numFmtId="0" fontId="32" fillId="6" borderId="0" xfId="0" applyFont="1" applyFill="1" applyAlignment="1">
      <alignment horizontal="center" vertical="center"/>
    </xf>
    <xf numFmtId="0" fontId="0" fillId="0" borderId="0" xfId="0"/>
    <xf numFmtId="0" fontId="33" fillId="0" borderId="0" xfId="0" applyFont="1" applyAlignment="1">
      <alignment vertical="top" wrapText="1"/>
    </xf>
    <xf numFmtId="0" fontId="34" fillId="13" borderId="0" xfId="0" applyFont="1" applyFill="1" applyAlignment="1">
      <alignment horizontal="center"/>
    </xf>
    <xf numFmtId="0" fontId="30" fillId="0" borderId="0" xfId="0" applyFont="1" applyAlignment="1">
      <alignment vertical="top" wrapText="1"/>
    </xf>
    <xf numFmtId="0" fontId="6" fillId="3" borderId="2" xfId="0" applyFont="1" applyFill="1" applyBorder="1" applyAlignment="1">
      <alignment horizontal="center"/>
    </xf>
    <xf numFmtId="0" fontId="6" fillId="3" borderId="3" xfId="0" applyFont="1" applyFill="1" applyBorder="1" applyAlignment="1">
      <alignment horizontal="center"/>
    </xf>
    <xf numFmtId="0" fontId="6" fillId="3" borderId="8" xfId="0" applyFont="1" applyFill="1" applyBorder="1" applyAlignment="1">
      <alignment horizontal="center"/>
    </xf>
    <xf numFmtId="0" fontId="6" fillId="3" borderId="9" xfId="0" applyFont="1" applyFill="1" applyBorder="1" applyAlignment="1">
      <alignment horizontal="center"/>
    </xf>
    <xf numFmtId="0" fontId="6" fillId="3" borderId="15" xfId="0" applyFont="1" applyFill="1" applyBorder="1" applyAlignment="1">
      <alignment horizontal="center"/>
    </xf>
    <xf numFmtId="0" fontId="6" fillId="3" borderId="16" xfId="0" applyFont="1" applyFill="1" applyBorder="1" applyAlignment="1">
      <alignment horizontal="center"/>
    </xf>
    <xf numFmtId="0" fontId="8" fillId="3" borderId="136" xfId="0" applyFont="1" applyFill="1" applyBorder="1" applyAlignment="1">
      <alignment horizontal="center"/>
    </xf>
    <xf numFmtId="0" fontId="8" fillId="3" borderId="34" xfId="0" applyFont="1" applyFill="1" applyBorder="1" applyAlignment="1">
      <alignment horizontal="center"/>
    </xf>
    <xf numFmtId="0" fontId="8" fillId="3" borderId="7" xfId="0" applyFont="1" applyFill="1" applyBorder="1" applyAlignment="1">
      <alignment horizontal="center"/>
    </xf>
    <xf numFmtId="0" fontId="8" fillId="3" borderId="12" xfId="0" applyFont="1" applyFill="1" applyBorder="1" applyAlignment="1">
      <alignment horizontal="center"/>
    </xf>
    <xf numFmtId="0" fontId="8" fillId="3" borderId="35" xfId="0" applyFont="1" applyFill="1" applyBorder="1" applyAlignment="1">
      <alignment horizontal="center"/>
    </xf>
    <xf numFmtId="0" fontId="8" fillId="3" borderId="14" xfId="0" applyFont="1" applyFill="1" applyBorder="1" applyAlignment="1">
      <alignment horizontal="center"/>
    </xf>
    <xf numFmtId="0" fontId="6" fillId="3" borderId="19" xfId="0" applyFont="1" applyFill="1" applyBorder="1" applyAlignment="1">
      <alignment horizontal="center"/>
    </xf>
    <xf numFmtId="0" fontId="6" fillId="3" borderId="36" xfId="0" applyFont="1" applyFill="1" applyBorder="1" applyAlignment="1">
      <alignment horizontal="center"/>
    </xf>
    <xf numFmtId="0" fontId="8" fillId="3" borderId="19" xfId="0" applyFont="1" applyFill="1" applyBorder="1" applyAlignment="1">
      <alignment horizontal="center"/>
    </xf>
    <xf numFmtId="0" fontId="8" fillId="3" borderId="21" xfId="0" applyFont="1" applyFill="1" applyBorder="1" applyAlignment="1">
      <alignment horizontal="center"/>
    </xf>
    <xf numFmtId="0" fontId="6" fillId="3" borderId="8" xfId="0" applyFont="1" applyFill="1" applyBorder="1" applyAlignment="1">
      <alignment horizontal="left" vertical="center"/>
    </xf>
    <xf numFmtId="0" fontId="6" fillId="3" borderId="9" xfId="0" applyFont="1" applyFill="1" applyBorder="1" applyAlignment="1">
      <alignment horizontal="left" vertical="center"/>
    </xf>
    <xf numFmtId="0" fontId="6" fillId="3" borderId="9" xfId="0" applyFont="1" applyFill="1" applyBorder="1" applyAlignment="1">
      <alignment horizontal="center" vertical="center"/>
    </xf>
    <xf numFmtId="0" fontId="6" fillId="3" borderId="12" xfId="0" applyFont="1" applyFill="1" applyBorder="1" applyAlignment="1">
      <alignment horizontal="left" vertical="center"/>
    </xf>
    <xf numFmtId="0" fontId="6" fillId="3" borderId="35" xfId="0" applyFont="1" applyFill="1" applyBorder="1" applyAlignment="1">
      <alignment horizontal="left" vertical="center"/>
    </xf>
    <xf numFmtId="0" fontId="6" fillId="3" borderId="11" xfId="0" applyFont="1" applyFill="1" applyBorder="1" applyAlignment="1">
      <alignment horizontal="left" vertical="center"/>
    </xf>
    <xf numFmtId="0" fontId="6" fillId="3" borderId="10" xfId="0" applyFont="1" applyFill="1" applyBorder="1" applyAlignment="1">
      <alignment horizontal="center" vertical="center"/>
    </xf>
    <xf numFmtId="0" fontId="6" fillId="3" borderId="15" xfId="0" applyFont="1" applyFill="1" applyBorder="1" applyAlignment="1">
      <alignment horizontal="left" vertical="center"/>
    </xf>
    <xf numFmtId="0" fontId="6" fillId="3" borderId="16" xfId="0" applyFont="1" applyFill="1" applyBorder="1" applyAlignment="1">
      <alignment horizontal="left" vertical="center"/>
    </xf>
    <xf numFmtId="0" fontId="6" fillId="3" borderId="16" xfId="0" applyFont="1" applyFill="1" applyBorder="1" applyAlignment="1">
      <alignment horizontal="center" vertical="center"/>
    </xf>
    <xf numFmtId="0" fontId="6" fillId="3" borderId="19" xfId="0" applyFont="1" applyFill="1" applyBorder="1" applyAlignment="1">
      <alignment horizontal="left" vertical="center"/>
    </xf>
    <xf numFmtId="0" fontId="6" fillId="3" borderId="36" xfId="0" applyFont="1" applyFill="1" applyBorder="1" applyAlignment="1">
      <alignment horizontal="left" vertical="center"/>
    </xf>
    <xf numFmtId="0" fontId="6" fillId="3" borderId="18" xfId="0" applyFont="1" applyFill="1" applyBorder="1" applyAlignment="1">
      <alignment horizontal="left" vertical="center"/>
    </xf>
    <xf numFmtId="0" fontId="6" fillId="3" borderId="17" xfId="0" applyFont="1" applyFill="1" applyBorder="1" applyAlignment="1">
      <alignment horizontal="center" vertical="center"/>
    </xf>
    <xf numFmtId="0" fontId="8" fillId="3" borderId="2" xfId="0" applyFont="1" applyFill="1" applyBorder="1" applyAlignment="1">
      <alignment horizontal="left" vertical="center"/>
    </xf>
    <xf numFmtId="0" fontId="8" fillId="3" borderId="3" xfId="0" applyFont="1" applyFill="1" applyBorder="1" applyAlignment="1">
      <alignment horizontal="left" vertical="center"/>
    </xf>
    <xf numFmtId="0" fontId="8" fillId="3" borderId="4" xfId="0" applyFont="1" applyFill="1" applyBorder="1" applyAlignment="1">
      <alignment horizontal="left" vertical="center"/>
    </xf>
    <xf numFmtId="0" fontId="6" fillId="3" borderId="97" xfId="0" applyFont="1" applyFill="1" applyBorder="1" applyAlignment="1">
      <alignment horizontal="center" vertical="center"/>
    </xf>
    <xf numFmtId="0" fontId="6" fillId="3" borderId="0" xfId="0" applyFont="1" applyFill="1" applyBorder="1" applyAlignment="1">
      <alignment horizontal="center" vertical="center"/>
    </xf>
    <xf numFmtId="0" fontId="6" fillId="3" borderId="22" xfId="0" applyFont="1" applyFill="1" applyBorder="1" applyAlignment="1">
      <alignment horizontal="center" vertical="center"/>
    </xf>
    <xf numFmtId="0" fontId="8" fillId="3" borderId="91" xfId="0" applyFont="1" applyFill="1" applyBorder="1" applyAlignment="1">
      <alignment horizontal="left" vertical="center"/>
    </xf>
    <xf numFmtId="0" fontId="8" fillId="3" borderId="34" xfId="0" applyFont="1" applyFill="1" applyBorder="1" applyAlignment="1">
      <alignment horizontal="left" vertical="center"/>
    </xf>
    <xf numFmtId="0" fontId="8" fillId="3" borderId="7" xfId="0" applyFont="1" applyFill="1" applyBorder="1" applyAlignment="1">
      <alignment horizontal="left" vertical="center"/>
    </xf>
    <xf numFmtId="0" fontId="8" fillId="3" borderId="9" xfId="0" applyFont="1" applyFill="1" applyBorder="1" applyAlignment="1">
      <alignment horizontal="center" vertical="center" wrapText="1"/>
    </xf>
    <xf numFmtId="0" fontId="8" fillId="3" borderId="12" xfId="0" applyFont="1" applyFill="1" applyBorder="1" applyAlignment="1">
      <alignment horizontal="center" vertical="center" wrapText="1"/>
    </xf>
    <xf numFmtId="0" fontId="8" fillId="3" borderId="11" xfId="0" applyFont="1" applyFill="1" applyBorder="1" applyAlignment="1">
      <alignment horizontal="center" vertical="center" wrapText="1"/>
    </xf>
    <xf numFmtId="0" fontId="6" fillId="3" borderId="12" xfId="0" applyFont="1" applyFill="1" applyBorder="1" applyAlignment="1">
      <alignment horizontal="center"/>
    </xf>
    <xf numFmtId="0" fontId="6" fillId="3" borderId="11" xfId="0" applyFont="1" applyFill="1" applyBorder="1" applyAlignment="1">
      <alignment horizontal="center"/>
    </xf>
    <xf numFmtId="0" fontId="8" fillId="3" borderId="8" xfId="0" applyFont="1" applyFill="1" applyBorder="1" applyAlignment="1">
      <alignment horizontal="left" vertical="top" wrapText="1"/>
    </xf>
    <xf numFmtId="0" fontId="8" fillId="3" borderId="9" xfId="0" applyFont="1" applyFill="1" applyBorder="1" applyAlignment="1">
      <alignment horizontal="left" vertical="top" wrapText="1"/>
    </xf>
    <xf numFmtId="0" fontId="8" fillId="3" borderId="10" xfId="0" applyFont="1" applyFill="1" applyBorder="1" applyAlignment="1">
      <alignment horizontal="left" vertical="top" wrapText="1"/>
    </xf>
    <xf numFmtId="0" fontId="8" fillId="3" borderId="15" xfId="0" applyFont="1" applyFill="1" applyBorder="1" applyAlignment="1">
      <alignment horizontal="left" vertical="top" wrapText="1"/>
    </xf>
    <xf numFmtId="0" fontId="8" fillId="3" borderId="16" xfId="0" applyFont="1" applyFill="1" applyBorder="1" applyAlignment="1">
      <alignment horizontal="left" vertical="top" wrapText="1"/>
    </xf>
    <xf numFmtId="0" fontId="8" fillId="3" borderId="17" xfId="0" applyFont="1" applyFill="1" applyBorder="1" applyAlignment="1">
      <alignment horizontal="left" vertical="top" wrapText="1"/>
    </xf>
    <xf numFmtId="0" fontId="31" fillId="3" borderId="0" xfId="0" applyFont="1" applyFill="1"/>
    <xf numFmtId="0" fontId="6" fillId="3" borderId="0" xfId="0" applyFont="1" applyFill="1"/>
    <xf numFmtId="0" fontId="8" fillId="3" borderId="37" xfId="0" applyFont="1" applyFill="1" applyBorder="1" applyAlignment="1">
      <alignment horizontal="left" vertical="center"/>
    </xf>
    <xf numFmtId="0" fontId="8" fillId="3" borderId="137" xfId="0" applyFont="1" applyFill="1" applyBorder="1" applyAlignment="1">
      <alignment horizontal="left" vertical="center"/>
    </xf>
    <xf numFmtId="0" fontId="8" fillId="3" borderId="138" xfId="0" applyFont="1" applyFill="1" applyBorder="1" applyAlignment="1">
      <alignment horizontal="left" vertical="center"/>
    </xf>
    <xf numFmtId="0" fontId="6" fillId="3" borderId="31" xfId="0" applyFont="1" applyFill="1" applyBorder="1" applyAlignment="1">
      <alignment horizontal="right"/>
    </xf>
    <xf numFmtId="0" fontId="6" fillId="3" borderId="32" xfId="0" applyFont="1" applyFill="1" applyBorder="1" applyAlignment="1">
      <alignment horizontal="right"/>
    </xf>
    <xf numFmtId="0" fontId="6" fillId="3" borderId="33" xfId="0" applyFont="1" applyFill="1" applyBorder="1" applyAlignment="1">
      <alignment horizontal="right"/>
    </xf>
    <xf numFmtId="0" fontId="8" fillId="3" borderId="35" xfId="0" applyFont="1" applyFill="1" applyBorder="1" applyAlignment="1">
      <alignment horizontal="center" vertical="center" wrapText="1"/>
    </xf>
    <xf numFmtId="0" fontId="8" fillId="3" borderId="16" xfId="0" applyFont="1" applyFill="1" applyBorder="1" applyAlignment="1">
      <alignment horizontal="center" vertical="center" wrapText="1"/>
    </xf>
    <xf numFmtId="0" fontId="8" fillId="3" borderId="19" xfId="0" applyFont="1" applyFill="1" applyBorder="1" applyAlignment="1">
      <alignment horizontal="center" vertical="center" wrapText="1"/>
    </xf>
    <xf numFmtId="0" fontId="8" fillId="3" borderId="18" xfId="0" applyFont="1" applyFill="1" applyBorder="1" applyAlignment="1">
      <alignment horizontal="center" vertical="center" wrapText="1"/>
    </xf>
    <xf numFmtId="0" fontId="6" fillId="3" borderId="18" xfId="0" applyFont="1" applyFill="1" applyBorder="1" applyAlignment="1">
      <alignment horizontal="center"/>
    </xf>
    <xf numFmtId="0" fontId="8" fillId="3" borderId="36" xfId="0" applyFont="1" applyFill="1" applyBorder="1" applyAlignment="1">
      <alignment horizontal="center" vertical="center" wrapText="1"/>
    </xf>
    <xf numFmtId="0" fontId="8" fillId="3" borderId="9" xfId="0" applyFont="1" applyFill="1" applyBorder="1" applyAlignment="1">
      <alignment horizontal="center"/>
    </xf>
    <xf numFmtId="0" fontId="8" fillId="3" borderId="11" xfId="0" applyFont="1" applyFill="1" applyBorder="1" applyAlignment="1">
      <alignment horizontal="center"/>
    </xf>
    <xf numFmtId="0" fontId="8" fillId="3" borderId="12" xfId="0" applyFont="1" applyFill="1" applyBorder="1" applyAlignment="1">
      <alignment horizontal="center" wrapText="1"/>
    </xf>
    <xf numFmtId="0" fontId="8" fillId="3" borderId="11" xfId="0" applyFont="1" applyFill="1" applyBorder="1" applyAlignment="1">
      <alignment horizontal="center" wrapText="1"/>
    </xf>
    <xf numFmtId="0" fontId="8" fillId="3" borderId="130" xfId="0" applyFont="1" applyFill="1" applyBorder="1" applyAlignment="1">
      <alignment horizontal="right" vertical="center"/>
    </xf>
    <xf numFmtId="0" fontId="8" fillId="3" borderId="36" xfId="0" applyFont="1" applyFill="1" applyBorder="1" applyAlignment="1">
      <alignment horizontal="right" vertical="center"/>
    </xf>
    <xf numFmtId="0" fontId="8" fillId="3" borderId="18" xfId="0" applyFont="1" applyFill="1" applyBorder="1" applyAlignment="1">
      <alignment horizontal="right" vertical="center"/>
    </xf>
    <xf numFmtId="0" fontId="8" fillId="3" borderId="18" xfId="0" applyFont="1" applyFill="1" applyBorder="1" applyAlignment="1">
      <alignment horizontal="center"/>
    </xf>
    <xf numFmtId="0" fontId="8" fillId="3" borderId="139" xfId="0" applyFont="1" applyFill="1" applyBorder="1" applyAlignment="1">
      <alignment horizontal="center" vertical="center"/>
    </xf>
    <xf numFmtId="0" fontId="8" fillId="3" borderId="50" xfId="0" applyFont="1" applyFill="1" applyBorder="1" applyAlignment="1">
      <alignment horizontal="center" vertical="center"/>
    </xf>
    <xf numFmtId="0" fontId="8" fillId="3" borderId="74" xfId="0" applyFont="1" applyFill="1" applyBorder="1" applyAlignment="1">
      <alignment horizontal="center" vertical="center"/>
    </xf>
    <xf numFmtId="0" fontId="8" fillId="3" borderId="63" xfId="0" applyFont="1" applyFill="1" applyBorder="1" applyAlignment="1">
      <alignment horizontal="center" vertical="center"/>
    </xf>
    <xf numFmtId="0" fontId="8" fillId="3" borderId="0" xfId="0" applyFont="1" applyFill="1" applyBorder="1" applyAlignment="1">
      <alignment horizontal="center" vertical="center"/>
    </xf>
    <xf numFmtId="0" fontId="8" fillId="3" borderId="55" xfId="0" applyFont="1" applyFill="1" applyBorder="1" applyAlignment="1">
      <alignment horizontal="center" vertical="center"/>
    </xf>
    <xf numFmtId="0" fontId="8" fillId="3" borderId="43" xfId="0" applyFont="1" applyFill="1" applyBorder="1" applyAlignment="1">
      <alignment horizontal="center" vertical="center"/>
    </xf>
    <xf numFmtId="0" fontId="8" fillId="3" borderId="44" xfId="0" applyFont="1" applyFill="1" applyBorder="1" applyAlignment="1">
      <alignment horizontal="center" vertical="center"/>
    </xf>
    <xf numFmtId="0" fontId="8" fillId="3" borderId="59" xfId="0" applyFont="1" applyFill="1" applyBorder="1" applyAlignment="1">
      <alignment horizontal="center" vertical="center"/>
    </xf>
    <xf numFmtId="0" fontId="8" fillId="3" borderId="139" xfId="0" applyFont="1" applyFill="1" applyBorder="1" applyAlignment="1">
      <alignment horizontal="center" vertical="top"/>
    </xf>
    <xf numFmtId="0" fontId="8" fillId="3" borderId="50" xfId="0" applyFont="1" applyFill="1" applyBorder="1" applyAlignment="1">
      <alignment horizontal="center" vertical="top"/>
    </xf>
    <xf numFmtId="0" fontId="8" fillId="3" borderId="74" xfId="0" applyFont="1" applyFill="1" applyBorder="1" applyAlignment="1">
      <alignment horizontal="center" vertical="top"/>
    </xf>
    <xf numFmtId="0" fontId="8" fillId="3" borderId="63" xfId="0" applyFont="1" applyFill="1" applyBorder="1" applyAlignment="1">
      <alignment horizontal="center" vertical="top"/>
    </xf>
    <xf numFmtId="0" fontId="8" fillId="3" borderId="0" xfId="0" applyFont="1" applyFill="1" applyBorder="1" applyAlignment="1">
      <alignment horizontal="center" vertical="top"/>
    </xf>
    <xf numFmtId="0" fontId="8" fillId="3" borderId="55" xfId="0" applyFont="1" applyFill="1" applyBorder="1" applyAlignment="1">
      <alignment horizontal="center" vertical="top"/>
    </xf>
    <xf numFmtId="0" fontId="8" fillId="3" borderId="43" xfId="0" applyFont="1" applyFill="1" applyBorder="1" applyAlignment="1">
      <alignment horizontal="center" vertical="top"/>
    </xf>
    <xf numFmtId="0" fontId="8" fillId="3" borderId="44" xfId="0" applyFont="1" applyFill="1" applyBorder="1" applyAlignment="1">
      <alignment horizontal="center" vertical="top"/>
    </xf>
    <xf numFmtId="0" fontId="8" fillId="3" borderId="59" xfId="0" applyFont="1" applyFill="1" applyBorder="1" applyAlignment="1">
      <alignment horizontal="center" vertical="top"/>
    </xf>
    <xf numFmtId="0" fontId="36" fillId="17" borderId="140" xfId="0" applyFont="1" applyFill="1" applyBorder="1" applyAlignment="1">
      <alignment horizontal="center"/>
    </xf>
    <xf numFmtId="0" fontId="36" fillId="17" borderId="79" xfId="0" applyFont="1" applyFill="1" applyBorder="1" applyAlignment="1">
      <alignment horizontal="center"/>
    </xf>
    <xf numFmtId="0" fontId="36" fillId="17" borderId="141" xfId="0" applyFont="1" applyFill="1" applyBorder="1" applyAlignment="1">
      <alignment horizontal="center"/>
    </xf>
    <xf numFmtId="0" fontId="52" fillId="3" borderId="9" xfId="0" applyFont="1" applyFill="1" applyBorder="1" applyAlignment="1">
      <alignment horizontal="left" vertical="center"/>
    </xf>
    <xf numFmtId="0" fontId="27" fillId="3" borderId="9" xfId="0" applyFont="1" applyFill="1" applyBorder="1" applyAlignment="1">
      <alignment horizontal="center" vertical="center"/>
    </xf>
    <xf numFmtId="0" fontId="16" fillId="3" borderId="9" xfId="0" applyFont="1" applyFill="1" applyBorder="1" applyAlignment="1">
      <alignment horizontal="right" vertical="center"/>
    </xf>
    <xf numFmtId="0" fontId="27" fillId="3" borderId="9" xfId="0" applyFont="1" applyFill="1" applyBorder="1" applyAlignment="1">
      <alignment vertical="center"/>
    </xf>
    <xf numFmtId="0" fontId="51" fillId="12" borderId="9" xfId="0" applyFont="1" applyFill="1" applyBorder="1" applyAlignment="1">
      <alignment horizontal="left" vertical="center"/>
    </xf>
    <xf numFmtId="0" fontId="49" fillId="3" borderId="9" xfId="0" applyFont="1" applyFill="1" applyBorder="1" applyAlignment="1">
      <alignment horizontal="center" vertical="center"/>
    </xf>
    <xf numFmtId="0" fontId="16" fillId="3" borderId="9" xfId="0" applyFont="1" applyFill="1" applyBorder="1" applyAlignment="1">
      <alignment horizontal="center" vertical="center"/>
    </xf>
    <xf numFmtId="0" fontId="52" fillId="3" borderId="9" xfId="0" applyFont="1" applyFill="1" applyBorder="1" applyAlignment="1">
      <alignment horizontal="center" vertical="center"/>
    </xf>
    <xf numFmtId="0" fontId="27" fillId="3" borderId="64" xfId="0" applyFont="1" applyFill="1" applyBorder="1" applyAlignment="1">
      <alignment horizontal="center" vertical="center"/>
    </xf>
    <xf numFmtId="0" fontId="27" fillId="3" borderId="75" xfId="0" applyFont="1" applyFill="1" applyBorder="1" applyAlignment="1">
      <alignment horizontal="center" vertical="center"/>
    </xf>
    <xf numFmtId="0" fontId="27" fillId="3" borderId="30" xfId="0" applyFont="1" applyFill="1" applyBorder="1" applyAlignment="1">
      <alignment horizontal="center" vertical="center"/>
    </xf>
    <xf numFmtId="0" fontId="52" fillId="3" borderId="9" xfId="0" applyFont="1" applyFill="1" applyBorder="1" applyAlignment="1">
      <alignment horizontal="left" vertical="center" wrapText="1"/>
    </xf>
    <xf numFmtId="2" fontId="16" fillId="3" borderId="9" xfId="0" applyNumberFormat="1" applyFont="1" applyFill="1" applyBorder="1" applyAlignment="1">
      <alignment horizontal="center" vertical="center"/>
    </xf>
    <xf numFmtId="0" fontId="16" fillId="24" borderId="9" xfId="0" applyFont="1" applyFill="1" applyBorder="1" applyAlignment="1">
      <alignment horizontal="center" vertical="center" wrapText="1"/>
    </xf>
    <xf numFmtId="0" fontId="27" fillId="3" borderId="12" xfId="0" applyFont="1" applyFill="1" applyBorder="1" applyAlignment="1">
      <alignment horizontal="center" vertical="center"/>
    </xf>
    <xf numFmtId="0" fontId="27" fillId="3" borderId="35" xfId="0" applyFont="1" applyFill="1" applyBorder="1" applyAlignment="1">
      <alignment horizontal="center" vertical="center"/>
    </xf>
    <xf numFmtId="0" fontId="27" fillId="3" borderId="11" xfId="0" applyFont="1" applyFill="1" applyBorder="1" applyAlignment="1">
      <alignment horizontal="center" vertical="center"/>
    </xf>
    <xf numFmtId="0" fontId="52" fillId="3" borderId="9" xfId="0" applyFont="1" applyFill="1" applyBorder="1" applyAlignment="1">
      <alignment horizontal="center" vertical="center" wrapText="1"/>
    </xf>
    <xf numFmtId="0" fontId="16" fillId="3" borderId="12" xfId="0" applyFont="1" applyFill="1" applyBorder="1" applyAlignment="1">
      <alignment horizontal="center" vertical="center"/>
    </xf>
    <xf numFmtId="0" fontId="16" fillId="3" borderId="35" xfId="0" applyFont="1" applyFill="1" applyBorder="1" applyAlignment="1">
      <alignment horizontal="center" vertical="center"/>
    </xf>
    <xf numFmtId="0" fontId="16" fillId="3" borderId="11" xfId="0" applyFont="1" applyFill="1" applyBorder="1" applyAlignment="1">
      <alignment horizontal="center" vertical="center"/>
    </xf>
    <xf numFmtId="0" fontId="16" fillId="3" borderId="9" xfId="0" applyFont="1" applyFill="1" applyBorder="1" applyAlignment="1">
      <alignment horizontal="left" vertical="center"/>
    </xf>
    <xf numFmtId="0" fontId="16" fillId="24" borderId="9" xfId="0" applyFont="1" applyFill="1" applyBorder="1" applyAlignment="1">
      <alignment horizontal="center" vertical="center"/>
    </xf>
    <xf numFmtId="0" fontId="42" fillId="22" borderId="0" xfId="0" applyFont="1" applyFill="1" applyBorder="1" applyAlignment="1">
      <alignment horizontal="right"/>
    </xf>
    <xf numFmtId="0" fontId="41" fillId="0" borderId="9" xfId="0" applyFont="1" applyBorder="1" applyAlignment="1">
      <alignment horizontal="center" vertical="center"/>
    </xf>
    <xf numFmtId="0" fontId="40" fillId="0" borderId="124" xfId="0" applyFont="1" applyBorder="1" applyAlignment="1">
      <alignment horizontal="center"/>
    </xf>
    <xf numFmtId="0" fontId="40" fillId="0" borderId="54" xfId="0" applyFont="1" applyBorder="1" applyAlignment="1">
      <alignment horizontal="center"/>
    </xf>
    <xf numFmtId="0" fontId="40" fillId="0" borderId="97" xfId="0" applyFont="1" applyBorder="1" applyAlignment="1">
      <alignment horizontal="center"/>
    </xf>
    <xf numFmtId="0" fontId="40" fillId="0" borderId="55" xfId="0" applyFont="1" applyBorder="1" applyAlignment="1">
      <alignment horizontal="center"/>
    </xf>
    <xf numFmtId="14" fontId="40" fillId="0" borderId="0" xfId="0" applyNumberFormat="1" applyFont="1" applyBorder="1" applyAlignment="1">
      <alignment horizontal="center"/>
    </xf>
    <xf numFmtId="0" fontId="40" fillId="0" borderId="0" xfId="0" applyFont="1" applyBorder="1" applyAlignment="1">
      <alignment horizontal="center"/>
    </xf>
    <xf numFmtId="0" fontId="42" fillId="21" borderId="63" xfId="0" applyFont="1" applyFill="1" applyBorder="1" applyAlignment="1">
      <alignment horizontal="center"/>
    </xf>
    <xf numFmtId="0" fontId="42" fillId="21" borderId="0" xfId="0" applyFont="1" applyFill="1" applyBorder="1" applyAlignment="1">
      <alignment horizontal="center"/>
    </xf>
    <xf numFmtId="0" fontId="42" fillId="21" borderId="55" xfId="0" applyFont="1" applyFill="1" applyBorder="1" applyAlignment="1">
      <alignment horizontal="center"/>
    </xf>
    <xf numFmtId="4" fontId="19" fillId="9" borderId="31" xfId="0" applyNumberFormat="1" applyFont="1" applyFill="1" applyBorder="1" applyAlignment="1">
      <alignment horizontal="center" vertical="center" wrapText="1"/>
    </xf>
    <xf numFmtId="0" fontId="14" fillId="0" borderId="0" xfId="0" applyFont="1" applyBorder="1" applyAlignment="1">
      <alignment horizontal="center" vertical="center"/>
    </xf>
    <xf numFmtId="0" fontId="14" fillId="0" borderId="9" xfId="0" applyFont="1" applyBorder="1" applyAlignment="1">
      <alignment horizontal="center" vertical="center"/>
    </xf>
    <xf numFmtId="3" fontId="20" fillId="8" borderId="9" xfId="0" applyNumberFormat="1" applyFont="1" applyFill="1" applyBorder="1" applyAlignment="1">
      <alignment horizontal="center" vertical="center" wrapText="1"/>
    </xf>
    <xf numFmtId="14" fontId="14" fillId="4" borderId="9" xfId="3" applyNumberFormat="1" applyFont="1" applyFill="1" applyBorder="1" applyAlignment="1">
      <alignment horizontal="center" vertical="center" wrapText="1"/>
    </xf>
    <xf numFmtId="2" fontId="19" fillId="9" borderId="0" xfId="0" applyNumberFormat="1" applyFont="1" applyFill="1" applyBorder="1" applyAlignment="1">
      <alignment horizontal="center" vertical="center"/>
    </xf>
    <xf numFmtId="2" fontId="19" fillId="9" borderId="30" xfId="0" applyNumberFormat="1" applyFont="1" applyFill="1" applyBorder="1" applyAlignment="1">
      <alignment horizontal="center" vertical="center" wrapText="1"/>
    </xf>
    <xf numFmtId="2" fontId="19" fillId="9" borderId="30" xfId="0" applyNumberFormat="1" applyFont="1" applyFill="1" applyBorder="1" applyAlignment="1">
      <alignment horizontal="center" vertical="center"/>
    </xf>
    <xf numFmtId="0" fontId="14" fillId="9" borderId="35" xfId="0" applyFont="1" applyFill="1" applyBorder="1" applyAlignment="1">
      <alignment horizontal="center"/>
    </xf>
    <xf numFmtId="0" fontId="14" fillId="9" borderId="11" xfId="0" applyFont="1" applyFill="1" applyBorder="1" applyAlignment="1">
      <alignment horizontal="center"/>
    </xf>
    <xf numFmtId="0" fontId="5" fillId="0" borderId="0" xfId="0" applyFont="1" applyBorder="1" applyAlignment="1">
      <alignment horizontal="center" wrapText="1"/>
    </xf>
    <xf numFmtId="0" fontId="5" fillId="0" borderId="32" xfId="0" applyFont="1" applyBorder="1" applyAlignment="1">
      <alignment horizontal="center" wrapText="1"/>
    </xf>
    <xf numFmtId="0" fontId="2" fillId="0" borderId="76" xfId="0" applyFont="1" applyBorder="1" applyAlignment="1">
      <alignment horizontal="center" vertical="center"/>
    </xf>
    <xf numFmtId="0" fontId="2" fillId="0" borderId="32" xfId="0" applyFont="1" applyBorder="1"/>
    <xf numFmtId="0" fontId="2" fillId="0" borderId="58" xfId="0" applyFont="1" applyBorder="1"/>
    <xf numFmtId="0" fontId="2" fillId="0" borderId="9" xfId="0" applyFont="1" applyBorder="1" applyAlignment="1">
      <alignment vertical="center"/>
    </xf>
    <xf numFmtId="0" fontId="2" fillId="0" borderId="11" xfId="0" applyFont="1" applyBorder="1"/>
    <xf numFmtId="0" fontId="2" fillId="0" borderId="35" xfId="0" applyFont="1" applyBorder="1"/>
    <xf numFmtId="0" fontId="2" fillId="0" borderId="61" xfId="0" applyFont="1" applyBorder="1" applyAlignment="1">
      <alignment horizontal="center" vertical="center"/>
    </xf>
    <xf numFmtId="0" fontId="2" fillId="0" borderId="50" xfId="0" applyFont="1" applyBorder="1"/>
    <xf numFmtId="0" fontId="2" fillId="0" borderId="74" xfId="0" applyFont="1" applyBorder="1"/>
    <xf numFmtId="0" fontId="2" fillId="0" borderId="17" xfId="0" applyFont="1" applyBorder="1" applyAlignment="1">
      <alignment horizontal="center" vertical="center"/>
    </xf>
    <xf numFmtId="0" fontId="2" fillId="0" borderId="36" xfId="0" applyFont="1" applyBorder="1"/>
    <xf numFmtId="0" fontId="2" fillId="0" borderId="21" xfId="0" applyFont="1" applyBorder="1"/>
    <xf numFmtId="0" fontId="2" fillId="0" borderId="13" xfId="0" applyFont="1" applyBorder="1" applyAlignment="1">
      <alignment horizontal="center" vertical="center"/>
    </xf>
    <xf numFmtId="0" fontId="2" fillId="0" borderId="14" xfId="0" applyFont="1" applyBorder="1"/>
    <xf numFmtId="0" fontId="2" fillId="0" borderId="19" xfId="0" applyFont="1" applyBorder="1" applyAlignment="1">
      <alignment horizontal="center" vertical="center"/>
    </xf>
    <xf numFmtId="0" fontId="2" fillId="0" borderId="9" xfId="0" applyFont="1" applyBorder="1" applyAlignment="1">
      <alignment horizontal="center" vertical="center"/>
    </xf>
    <xf numFmtId="0" fontId="2" fillId="0" borderId="12" xfId="0" applyFont="1" applyBorder="1" applyAlignment="1">
      <alignment horizontal="center" vertical="center"/>
    </xf>
    <xf numFmtId="0" fontId="2" fillId="2" borderId="3" xfId="0" applyFont="1" applyFill="1" applyBorder="1" applyAlignment="1">
      <alignment horizontal="center" vertical="center"/>
    </xf>
    <xf numFmtId="0" fontId="2" fillId="0" borderId="34" xfId="0" applyFont="1" applyBorder="1"/>
    <xf numFmtId="0" fontId="2" fillId="0" borderId="5" xfId="0" applyFont="1" applyBorder="1"/>
    <xf numFmtId="0" fontId="2" fillId="2" borderId="2" xfId="0" applyFont="1" applyFill="1" applyBorder="1" applyAlignment="1">
      <alignment vertical="center"/>
    </xf>
    <xf numFmtId="0" fontId="2" fillId="0" borderId="8" xfId="0" applyFont="1" applyBorder="1" applyAlignment="1">
      <alignment horizontal="left" vertical="center"/>
    </xf>
    <xf numFmtId="0" fontId="2" fillId="0" borderId="15" xfId="0" applyFont="1" applyBorder="1" applyAlignment="1">
      <alignment horizontal="left" vertical="center"/>
    </xf>
    <xf numFmtId="0" fontId="2" fillId="0" borderId="18" xfId="0" applyFont="1" applyBorder="1"/>
    <xf numFmtId="0" fontId="2" fillId="0" borderId="16" xfId="0" applyFont="1" applyBorder="1" applyAlignment="1">
      <alignment horizontal="center" vertical="center"/>
    </xf>
    <xf numFmtId="0" fontId="2" fillId="0" borderId="10" xfId="0" applyFont="1" applyBorder="1" applyAlignment="1">
      <alignment horizontal="center" vertical="center"/>
    </xf>
    <xf numFmtId="0" fontId="2" fillId="0" borderId="31" xfId="0" applyFont="1" applyBorder="1" applyAlignment="1">
      <alignment horizontal="right" vertical="center"/>
    </xf>
    <xf numFmtId="0" fontId="2" fillId="2" borderId="4" xfId="0" applyFont="1" applyFill="1" applyBorder="1" applyAlignment="1">
      <alignment horizontal="center" vertical="center"/>
    </xf>
    <xf numFmtId="0" fontId="2" fillId="0" borderId="7" xfId="0" applyFont="1" applyBorder="1"/>
    <xf numFmtId="0" fontId="2" fillId="0" borderId="16" xfId="0" applyFont="1" applyBorder="1" applyAlignment="1">
      <alignment vertical="center"/>
    </xf>
    <xf numFmtId="0" fontId="2" fillId="2" borderId="25" xfId="0" applyFont="1" applyFill="1" applyBorder="1" applyAlignment="1">
      <alignment vertical="center"/>
    </xf>
    <xf numFmtId="0" fontId="2" fillId="0" borderId="24" xfId="0" applyFont="1" applyBorder="1"/>
    <xf numFmtId="0" fontId="2" fillId="0" borderId="38" xfId="0" applyFont="1" applyBorder="1"/>
    <xf numFmtId="0" fontId="2" fillId="0" borderId="28" xfId="0" applyFont="1" applyBorder="1" applyAlignment="1">
      <alignment horizontal="center" vertical="center"/>
    </xf>
    <xf numFmtId="0" fontId="2" fillId="0" borderId="40" xfId="0" applyFont="1" applyBorder="1"/>
    <xf numFmtId="0" fontId="2" fillId="0" borderId="42" xfId="0" applyFont="1" applyBorder="1" applyAlignment="1">
      <alignment horizontal="center" vertical="center"/>
    </xf>
    <xf numFmtId="0" fontId="44" fillId="0" borderId="11" xfId="0" applyFont="1" applyBorder="1" applyAlignment="1">
      <alignment horizontal="center" vertical="center"/>
    </xf>
    <xf numFmtId="0" fontId="44" fillId="0" borderId="35" xfId="0" applyFont="1" applyBorder="1"/>
    <xf numFmtId="0" fontId="44" fillId="0" borderId="11" xfId="0" applyFont="1" applyBorder="1"/>
    <xf numFmtId="0" fontId="2" fillId="0" borderId="64" xfId="0" applyFont="1" applyBorder="1" applyAlignment="1">
      <alignment horizontal="center" vertical="center"/>
    </xf>
    <xf numFmtId="0" fontId="2" fillId="0" borderId="51" xfId="0" applyFont="1" applyBorder="1"/>
    <xf numFmtId="0" fontId="44" fillId="0" borderId="18" xfId="0" applyFont="1" applyBorder="1" applyAlignment="1">
      <alignment horizontal="center" vertical="center"/>
    </xf>
    <xf numFmtId="0" fontId="44" fillId="0" borderId="36" xfId="0" applyFont="1" applyBorder="1"/>
    <xf numFmtId="0" fontId="44" fillId="0" borderId="18" xfId="0" applyFont="1" applyBorder="1"/>
    <xf numFmtId="0" fontId="2" fillId="0" borderId="11" xfId="0" applyFont="1" applyBorder="1" applyAlignment="1">
      <alignment vertical="center"/>
    </xf>
    <xf numFmtId="0" fontId="2" fillId="0" borderId="2" xfId="0" applyFont="1" applyBorder="1" applyAlignment="1">
      <alignment horizontal="center" vertical="center"/>
    </xf>
    <xf numFmtId="0" fontId="2" fillId="0" borderId="53" xfId="0" applyFont="1" applyBorder="1"/>
    <xf numFmtId="0" fontId="2" fillId="0" borderId="73" xfId="0" applyFont="1" applyBorder="1"/>
    <xf numFmtId="0" fontId="2" fillId="0" borderId="63" xfId="0" applyFont="1" applyBorder="1"/>
    <xf numFmtId="0" fontId="2" fillId="0" borderId="0" xfId="0" applyFont="1" applyAlignment="1">
      <alignment vertical="center"/>
    </xf>
    <xf numFmtId="0" fontId="2" fillId="0" borderId="22" xfId="0" applyFont="1" applyBorder="1"/>
    <xf numFmtId="0" fontId="2" fillId="0" borderId="41" xfId="0" applyFont="1" applyBorder="1"/>
    <xf numFmtId="0" fontId="2" fillId="0" borderId="33" xfId="0" applyFont="1" applyBorder="1"/>
    <xf numFmtId="0" fontId="2" fillId="0" borderId="8" xfId="0" applyFont="1" applyBorder="1" applyAlignment="1">
      <alignment vertical="center"/>
    </xf>
    <xf numFmtId="0" fontId="2" fillId="2" borderId="37" xfId="0" applyFont="1" applyFill="1" applyBorder="1" applyAlignment="1">
      <alignment vertical="center"/>
    </xf>
    <xf numFmtId="0" fontId="2" fillId="0" borderId="54" xfId="0" applyFont="1" applyBorder="1"/>
    <xf numFmtId="0" fontId="2" fillId="0" borderId="33" xfId="0" applyFont="1" applyBorder="1" applyAlignment="1">
      <alignment horizontal="center" vertical="center"/>
    </xf>
    <xf numFmtId="0" fontId="2" fillId="0" borderId="18" xfId="0" applyFont="1" applyBorder="1" applyAlignment="1">
      <alignment vertical="center"/>
    </xf>
    <xf numFmtId="0" fontId="2" fillId="0" borderId="31" xfId="0" applyFont="1" applyBorder="1" applyAlignment="1">
      <alignment horizontal="center" vertical="center"/>
    </xf>
    <xf numFmtId="0" fontId="2" fillId="0" borderId="25" xfId="0" applyFont="1" applyBorder="1" applyAlignment="1">
      <alignment horizontal="center" vertical="center"/>
    </xf>
    <xf numFmtId="0" fontId="2" fillId="0" borderId="60" xfId="0" applyFont="1" applyBorder="1" applyAlignment="1">
      <alignment horizontal="center" vertical="center"/>
    </xf>
    <xf numFmtId="0" fontId="2" fillId="0" borderId="33" xfId="0" applyFont="1" applyBorder="1" applyAlignment="1">
      <alignment vertical="center"/>
    </xf>
    <xf numFmtId="0" fontId="44" fillId="2" borderId="5" xfId="0" applyFont="1" applyFill="1" applyBorder="1" applyAlignment="1">
      <alignment horizontal="center" vertical="center"/>
    </xf>
    <xf numFmtId="0" fontId="44" fillId="0" borderId="34" xfId="0" applyFont="1" applyBorder="1"/>
    <xf numFmtId="0" fontId="44" fillId="0" borderId="5" xfId="0" applyFont="1" applyBorder="1"/>
    <xf numFmtId="0" fontId="2" fillId="0" borderId="6" xfId="0" applyFont="1" applyBorder="1" applyAlignment="1">
      <alignment horizontal="center" vertical="center"/>
    </xf>
    <xf numFmtId="0" fontId="2" fillId="0" borderId="75" xfId="0" applyFont="1" applyBorder="1" applyAlignment="1">
      <alignment horizontal="center" vertical="center"/>
    </xf>
    <xf numFmtId="0" fontId="2" fillId="0" borderId="30" xfId="0" applyFont="1" applyBorder="1" applyAlignment="1">
      <alignment horizontal="left" vertical="center"/>
    </xf>
    <xf numFmtId="0" fontId="2" fillId="0" borderId="15" xfId="0" applyFont="1" applyBorder="1" applyAlignment="1">
      <alignment horizontal="center" vertical="center"/>
    </xf>
    <xf numFmtId="0" fontId="2" fillId="0" borderId="8" xfId="0" applyFont="1" applyBorder="1" applyAlignment="1">
      <alignment horizontal="center" vertical="center"/>
    </xf>
    <xf numFmtId="0" fontId="2" fillId="0" borderId="29" xfId="0" applyFont="1" applyBorder="1" applyAlignment="1">
      <alignment vertical="center"/>
    </xf>
    <xf numFmtId="0" fontId="2" fillId="0" borderId="26" xfId="0" applyFont="1" applyBorder="1" applyAlignment="1">
      <alignment horizontal="center" vertical="center"/>
    </xf>
    <xf numFmtId="0" fontId="2" fillId="0" borderId="16" xfId="0" applyFont="1" applyBorder="1" applyAlignment="1">
      <alignment horizontal="left" vertical="center"/>
    </xf>
    <xf numFmtId="0" fontId="2" fillId="0" borderId="15" xfId="0" applyFont="1" applyBorder="1" applyAlignment="1">
      <alignment vertical="center"/>
    </xf>
    <xf numFmtId="0" fontId="2" fillId="0" borderId="47" xfId="0" applyFont="1" applyBorder="1" applyAlignment="1">
      <alignment horizontal="center" vertical="center"/>
    </xf>
    <xf numFmtId="0" fontId="2" fillId="0" borderId="44" xfId="0" applyFont="1" applyBorder="1"/>
    <xf numFmtId="0" fontId="2" fillId="0" borderId="45" xfId="0" applyFont="1" applyBorder="1"/>
    <xf numFmtId="0" fontId="2" fillId="0" borderId="38" xfId="0" applyFont="1" applyBorder="1" applyAlignment="1">
      <alignment horizontal="center" vertical="center"/>
    </xf>
    <xf numFmtId="0" fontId="2" fillId="0" borderId="30" xfId="0" applyFont="1" applyBorder="1" applyAlignment="1">
      <alignment vertical="center"/>
    </xf>
    <xf numFmtId="0" fontId="2" fillId="0" borderId="9" xfId="0" applyFont="1" applyBorder="1" applyAlignment="1">
      <alignment horizontal="left" vertical="center"/>
    </xf>
    <xf numFmtId="0" fontId="2" fillId="0" borderId="4" xfId="0" applyFont="1" applyBorder="1" applyAlignment="1">
      <alignment horizontal="center" vertical="center"/>
    </xf>
    <xf numFmtId="0" fontId="2" fillId="0" borderId="40" xfId="0" applyFont="1" applyBorder="1" applyAlignment="1">
      <alignment horizontal="center" vertical="center"/>
    </xf>
    <xf numFmtId="0" fontId="2" fillId="0" borderId="20" xfId="0" applyFont="1" applyBorder="1" applyAlignment="1">
      <alignment horizontal="center" vertical="center"/>
    </xf>
    <xf numFmtId="0" fontId="2" fillId="0" borderId="29" xfId="0" applyFont="1" applyBorder="1" applyAlignment="1">
      <alignment horizontal="center" vertical="center"/>
    </xf>
    <xf numFmtId="0" fontId="2" fillId="0" borderId="30" xfId="0" applyFont="1" applyBorder="1" applyAlignment="1">
      <alignment horizontal="center" vertical="center"/>
    </xf>
    <xf numFmtId="0" fontId="2" fillId="0" borderId="77" xfId="0" applyFont="1" applyBorder="1" applyAlignment="1">
      <alignment horizontal="center" vertical="center"/>
    </xf>
    <xf numFmtId="0" fontId="2" fillId="0" borderId="59" xfId="0" applyFont="1" applyBorder="1"/>
    <xf numFmtId="0" fontId="2" fillId="2" borderId="23" xfId="0" applyFont="1" applyFill="1" applyBorder="1" applyAlignment="1">
      <alignment horizontal="left" vertical="center"/>
    </xf>
    <xf numFmtId="0" fontId="9" fillId="0" borderId="12" xfId="0" applyFont="1" applyBorder="1" applyAlignment="1">
      <alignment horizontal="center" vertical="center" wrapText="1"/>
    </xf>
    <xf numFmtId="0" fontId="9" fillId="0" borderId="35" xfId="0" applyFont="1" applyBorder="1" applyAlignment="1">
      <alignment horizontal="center" vertical="center" wrapText="1"/>
    </xf>
    <xf numFmtId="0" fontId="9" fillId="0" borderId="11" xfId="0" applyFont="1" applyBorder="1" applyAlignment="1">
      <alignment horizontal="center" vertical="center" wrapText="1"/>
    </xf>
    <xf numFmtId="0" fontId="9" fillId="0" borderId="9" xfId="0" applyFont="1" applyBorder="1" applyAlignment="1">
      <alignment horizontal="left" vertical="center" wrapText="1"/>
    </xf>
    <xf numFmtId="0" fontId="0" fillId="0" borderId="35" xfId="0" applyBorder="1"/>
    <xf numFmtId="0" fontId="0" fillId="0" borderId="11" xfId="0" applyBorder="1"/>
    <xf numFmtId="0" fontId="4" fillId="3" borderId="42" xfId="0" applyFont="1" applyFill="1" applyBorder="1" applyAlignment="1">
      <alignment horizontal="left" vertical="center" wrapText="1"/>
    </xf>
    <xf numFmtId="0" fontId="0" fillId="0" borderId="24" xfId="0" applyBorder="1" applyAlignment="1">
      <alignment horizontal="left"/>
    </xf>
    <xf numFmtId="0" fontId="0" fillId="0" borderId="40" xfId="0" applyBorder="1" applyAlignment="1">
      <alignment horizontal="left"/>
    </xf>
    <xf numFmtId="0" fontId="9" fillId="0" borderId="9" xfId="0" applyFont="1" applyBorder="1" applyAlignment="1">
      <alignment vertical="center" wrapText="1"/>
    </xf>
    <xf numFmtId="0" fontId="5" fillId="2" borderId="15" xfId="0" applyFont="1" applyFill="1" applyBorder="1" applyAlignment="1">
      <alignment horizontal="right"/>
    </xf>
    <xf numFmtId="0" fontId="0" fillId="0" borderId="18" xfId="0" applyBorder="1"/>
    <xf numFmtId="0" fontId="9" fillId="2" borderId="9" xfId="0" applyFont="1" applyFill="1" applyBorder="1" applyAlignment="1">
      <alignment horizontal="right" vertical="center" wrapText="1"/>
    </xf>
    <xf numFmtId="0" fontId="9" fillId="2" borderId="16" xfId="0" applyFont="1" applyFill="1" applyBorder="1" applyAlignment="1">
      <alignment horizontal="right" vertical="center" wrapText="1"/>
    </xf>
    <xf numFmtId="0" fontId="0" fillId="0" borderId="36" xfId="0" applyBorder="1"/>
    <xf numFmtId="0" fontId="7" fillId="3" borderId="63" xfId="0" applyFont="1" applyFill="1" applyBorder="1" applyAlignment="1">
      <alignment horizontal="left" vertical="center"/>
    </xf>
    <xf numFmtId="0" fontId="5" fillId="0" borderId="0" xfId="0" applyFont="1" applyBorder="1"/>
    <xf numFmtId="0" fontId="7" fillId="3" borderId="44" xfId="0" applyFont="1" applyFill="1" applyBorder="1" applyAlignment="1">
      <alignment horizontal="left" vertical="center" wrapText="1"/>
    </xf>
    <xf numFmtId="0" fontId="0" fillId="0" borderId="44" xfId="0" applyBorder="1"/>
    <xf numFmtId="0" fontId="4" fillId="2" borderId="9" xfId="0" applyFont="1" applyFill="1" applyBorder="1" applyAlignment="1">
      <alignment horizontal="center" vertical="center" wrapText="1"/>
    </xf>
    <xf numFmtId="0" fontId="27" fillId="2" borderId="11" xfId="0" applyFont="1" applyFill="1" applyBorder="1"/>
    <xf numFmtId="0" fontId="4" fillId="2" borderId="60" xfId="0" applyFont="1" applyFill="1" applyBorder="1" applyAlignment="1">
      <alignment horizontal="left" vertical="center" wrapText="1"/>
    </xf>
    <xf numFmtId="0" fontId="0" fillId="0" borderId="53" xfId="0" applyBorder="1"/>
    <xf numFmtId="0" fontId="0" fillId="0" borderId="54" xfId="0" applyBorder="1"/>
    <xf numFmtId="0" fontId="4" fillId="2" borderId="8" xfId="0" applyFont="1" applyFill="1" applyBorder="1" applyAlignment="1">
      <alignment horizontal="left" vertical="center" wrapText="1"/>
    </xf>
    <xf numFmtId="0" fontId="0" fillId="0" borderId="14" xfId="0" applyBorder="1"/>
    <xf numFmtId="0" fontId="4" fillId="3" borderId="42" xfId="0" applyFont="1" applyFill="1" applyBorder="1" applyAlignment="1">
      <alignment horizontal="center" vertical="center" wrapText="1"/>
    </xf>
    <xf numFmtId="0" fontId="0" fillId="0" borderId="43" xfId="0" applyBorder="1"/>
    <xf numFmtId="0" fontId="5" fillId="3" borderId="63" xfId="0" applyFont="1" applyFill="1" applyBorder="1" applyAlignment="1">
      <alignment horizontal="left"/>
    </xf>
    <xf numFmtId="0" fontId="5" fillId="3" borderId="63" xfId="0" applyFont="1" applyFill="1" applyBorder="1" applyAlignment="1">
      <alignment horizontal="center"/>
    </xf>
    <xf numFmtId="0" fontId="5" fillId="0" borderId="0" xfId="0" applyFont="1"/>
    <xf numFmtId="0" fontId="7" fillId="3" borderId="53" xfId="0" applyFont="1" applyFill="1" applyBorder="1" applyAlignment="1">
      <alignment horizontal="left" vertical="center"/>
    </xf>
    <xf numFmtId="0" fontId="5" fillId="3" borderId="52" xfId="0" applyFont="1" applyFill="1" applyBorder="1" applyAlignment="1">
      <alignment horizontal="left"/>
    </xf>
    <xf numFmtId="0" fontId="7" fillId="3" borderId="0" xfId="0" applyFont="1" applyFill="1" applyBorder="1" applyAlignment="1">
      <alignment horizontal="left" vertical="center"/>
    </xf>
    <xf numFmtId="0" fontId="4" fillId="2" borderId="72" xfId="0" applyFont="1" applyFill="1" applyBorder="1" applyAlignment="1">
      <alignment horizontal="left" vertical="center" wrapText="1"/>
    </xf>
    <xf numFmtId="0" fontId="0" fillId="0" borderId="67" xfId="0" applyBorder="1"/>
    <xf numFmtId="0" fontId="0" fillId="0" borderId="68" xfId="0" applyBorder="1"/>
    <xf numFmtId="0" fontId="4" fillId="2" borderId="62" xfId="0" applyFont="1" applyFill="1" applyBorder="1" applyAlignment="1">
      <alignment horizontal="center" vertical="center" wrapText="1"/>
    </xf>
    <xf numFmtId="0" fontId="0" fillId="0" borderId="1" xfId="0" applyBorder="1"/>
    <xf numFmtId="0" fontId="4" fillId="3" borderId="91" xfId="0" applyFont="1" applyFill="1" applyBorder="1" applyAlignment="1">
      <alignment horizontal="center" vertical="center" wrapText="1"/>
    </xf>
    <xf numFmtId="0" fontId="4" fillId="3" borderId="34" xfId="0" applyFont="1" applyFill="1" applyBorder="1" applyAlignment="1">
      <alignment horizontal="center" vertical="center" wrapText="1"/>
    </xf>
    <xf numFmtId="0" fontId="4" fillId="2" borderId="131" xfId="0" applyFont="1" applyFill="1" applyBorder="1" applyAlignment="1">
      <alignment horizontal="left" vertical="center" wrapText="1"/>
    </xf>
    <xf numFmtId="0" fontId="0" fillId="0" borderId="132" xfId="0" applyBorder="1"/>
    <xf numFmtId="0" fontId="0" fillId="0" borderId="133" xfId="0" applyBorder="1"/>
    <xf numFmtId="0" fontId="5" fillId="2" borderId="16" xfId="0" applyFont="1" applyFill="1" applyBorder="1" applyAlignment="1">
      <alignment horizontal="right"/>
    </xf>
    <xf numFmtId="0" fontId="5" fillId="0" borderId="15" xfId="0" applyFont="1" applyBorder="1" applyAlignment="1">
      <alignment horizontal="right"/>
    </xf>
    <xf numFmtId="0" fontId="9" fillId="0" borderId="12" xfId="0" applyFont="1" applyBorder="1" applyAlignment="1">
      <alignment horizontal="left" vertical="center" wrapText="1"/>
    </xf>
    <xf numFmtId="0" fontId="9" fillId="0" borderId="35" xfId="0" applyFont="1" applyBorder="1" applyAlignment="1">
      <alignment horizontal="left" vertical="center" wrapText="1"/>
    </xf>
    <xf numFmtId="0" fontId="9" fillId="0" borderId="11" xfId="0" applyFont="1" applyBorder="1" applyAlignment="1">
      <alignment horizontal="left" vertical="center" wrapText="1"/>
    </xf>
    <xf numFmtId="0" fontId="4" fillId="2" borderId="123" xfId="0" applyFont="1" applyFill="1" applyBorder="1" applyAlignment="1">
      <alignment horizontal="center" vertical="center" wrapText="1"/>
    </xf>
    <xf numFmtId="0" fontId="4" fillId="2" borderId="65" xfId="0" applyFont="1" applyFill="1" applyBorder="1" applyAlignment="1">
      <alignment horizontal="center" vertical="center" wrapText="1"/>
    </xf>
    <xf numFmtId="0" fontId="4" fillId="2" borderId="66" xfId="0" applyFont="1" applyFill="1" applyBorder="1" applyAlignment="1">
      <alignment horizontal="center" vertical="center" wrapText="1"/>
    </xf>
    <xf numFmtId="0" fontId="9" fillId="3" borderId="0" xfId="0" applyFont="1" applyFill="1" applyAlignment="1">
      <alignment vertical="center" wrapText="1"/>
    </xf>
    <xf numFmtId="0" fontId="5" fillId="3" borderId="8" xfId="0" applyFont="1" applyFill="1" applyBorder="1" applyAlignment="1">
      <alignment horizontal="center"/>
    </xf>
    <xf numFmtId="0" fontId="9" fillId="0" borderId="13" xfId="0" applyFont="1" applyBorder="1" applyAlignment="1">
      <alignment horizontal="center" vertical="center" wrapText="1"/>
    </xf>
    <xf numFmtId="0" fontId="4" fillId="2" borderId="71" xfId="0" applyFont="1" applyFill="1" applyBorder="1" applyAlignment="1">
      <alignment horizontal="left" vertical="center" wrapText="1"/>
    </xf>
    <xf numFmtId="0" fontId="0" fillId="0" borderId="55" xfId="0" applyBorder="1"/>
    <xf numFmtId="0" fontId="4" fillId="3" borderId="19" xfId="0" applyFont="1" applyFill="1" applyBorder="1" applyAlignment="1">
      <alignment horizontal="center" vertical="center" wrapText="1"/>
    </xf>
    <xf numFmtId="0" fontId="4" fillId="3" borderId="36" xfId="0" applyFont="1" applyFill="1" applyBorder="1" applyAlignment="1">
      <alignment horizontal="center" vertical="center" wrapText="1"/>
    </xf>
    <xf numFmtId="0" fontId="4" fillId="3" borderId="18" xfId="0" applyFont="1" applyFill="1" applyBorder="1" applyAlignment="1">
      <alignment horizontal="center" vertical="center" wrapText="1"/>
    </xf>
    <xf numFmtId="0" fontId="5" fillId="3" borderId="53" xfId="0" applyFont="1" applyFill="1" applyBorder="1" applyAlignment="1">
      <alignment horizontal="left"/>
    </xf>
    <xf numFmtId="0" fontId="5" fillId="3" borderId="0" xfId="0" applyFont="1" applyFill="1" applyBorder="1" applyAlignment="1">
      <alignment horizontal="left"/>
    </xf>
    <xf numFmtId="0" fontId="5" fillId="3" borderId="44" xfId="0" applyFont="1" applyFill="1" applyBorder="1" applyAlignment="1">
      <alignment horizontal="left"/>
    </xf>
    <xf numFmtId="0" fontId="17" fillId="3" borderId="12" xfId="0" applyFont="1" applyFill="1" applyBorder="1" applyAlignment="1">
      <alignment horizontal="center" vertical="center" wrapText="1"/>
    </xf>
    <xf numFmtId="0" fontId="17" fillId="3" borderId="11" xfId="0" applyFont="1" applyFill="1" applyBorder="1" applyAlignment="1">
      <alignment horizontal="center" vertical="center" wrapText="1"/>
    </xf>
    <xf numFmtId="0" fontId="17" fillId="3" borderId="12" xfId="0" applyFont="1" applyFill="1" applyBorder="1" applyAlignment="1">
      <alignment horizontal="left" vertical="center" wrapText="1"/>
    </xf>
    <xf numFmtId="0" fontId="17" fillId="3" borderId="11" xfId="0" applyFont="1" applyFill="1" applyBorder="1" applyAlignment="1">
      <alignment horizontal="left" vertical="center" wrapText="1"/>
    </xf>
    <xf numFmtId="0" fontId="47" fillId="10" borderId="12" xfId="0" applyFont="1" applyFill="1" applyBorder="1" applyAlignment="1">
      <alignment horizontal="left"/>
    </xf>
    <xf numFmtId="0" fontId="47" fillId="10" borderId="35" xfId="0" applyFont="1" applyFill="1" applyBorder="1" applyAlignment="1">
      <alignment horizontal="left"/>
    </xf>
    <xf numFmtId="0" fontId="47" fillId="10" borderId="11" xfId="0" applyFont="1" applyFill="1" applyBorder="1" applyAlignment="1">
      <alignment horizontal="left"/>
    </xf>
    <xf numFmtId="0" fontId="47" fillId="12" borderId="9" xfId="0" applyFont="1" applyFill="1" applyBorder="1" applyAlignment="1">
      <alignment horizontal="center" vertical="center" wrapText="1"/>
    </xf>
    <xf numFmtId="0" fontId="3" fillId="3" borderId="32" xfId="0" applyFont="1" applyFill="1" applyBorder="1" applyAlignment="1">
      <alignment horizontal="center"/>
    </xf>
    <xf numFmtId="0" fontId="47" fillId="10" borderId="12" xfId="0" applyFont="1" applyFill="1" applyBorder="1" applyAlignment="1">
      <alignment horizontal="left" vertical="center"/>
    </xf>
    <xf numFmtId="0" fontId="47" fillId="10" borderId="35" xfId="0" applyFont="1" applyFill="1" applyBorder="1" applyAlignment="1">
      <alignment horizontal="left" vertical="center"/>
    </xf>
    <xf numFmtId="0" fontId="47" fillId="10" borderId="9" xfId="0" applyFont="1" applyFill="1" applyBorder="1" applyAlignment="1">
      <alignment horizontal="left"/>
    </xf>
    <xf numFmtId="0" fontId="47" fillId="12" borderId="12" xfId="0" applyFont="1" applyFill="1" applyBorder="1" applyAlignment="1">
      <alignment horizontal="center" vertical="center" wrapText="1"/>
    </xf>
    <xf numFmtId="0" fontId="47" fillId="12" borderId="11" xfId="0" applyFont="1" applyFill="1" applyBorder="1" applyAlignment="1">
      <alignment horizontal="center" vertical="center" wrapText="1"/>
    </xf>
    <xf numFmtId="0" fontId="46" fillId="12" borderId="87" xfId="0" applyFont="1" applyFill="1" applyBorder="1" applyAlignment="1">
      <alignment horizontal="left"/>
    </xf>
    <xf numFmtId="0" fontId="46" fillId="12" borderId="86" xfId="0" applyFont="1" applyFill="1" applyBorder="1" applyAlignment="1">
      <alignment horizontal="left"/>
    </xf>
    <xf numFmtId="0" fontId="13" fillId="3" borderId="9" xfId="0" applyFont="1" applyFill="1" applyBorder="1" applyAlignment="1">
      <alignment horizontal="center"/>
    </xf>
    <xf numFmtId="0" fontId="11" fillId="3" borderId="9" xfId="0" applyFont="1" applyFill="1" applyBorder="1" applyAlignment="1">
      <alignment horizontal="center" vertical="center"/>
    </xf>
    <xf numFmtId="0" fontId="3" fillId="3" borderId="64" xfId="0" applyFont="1" applyFill="1" applyBorder="1" applyAlignment="1">
      <alignment horizontal="center"/>
    </xf>
    <xf numFmtId="0" fontId="3" fillId="3" borderId="0" xfId="0" applyFont="1" applyFill="1" applyBorder="1" applyAlignment="1">
      <alignment horizontal="center"/>
    </xf>
    <xf numFmtId="0" fontId="3" fillId="3" borderId="78" xfId="0" applyFont="1" applyFill="1" applyBorder="1" applyAlignment="1">
      <alignment horizontal="center"/>
    </xf>
    <xf numFmtId="0" fontId="17" fillId="3" borderId="9" xfId="0" applyFont="1" applyFill="1" applyBorder="1" applyAlignment="1">
      <alignment horizontal="left"/>
    </xf>
    <xf numFmtId="0" fontId="28" fillId="3" borderId="121" xfId="0" applyFont="1" applyFill="1" applyBorder="1" applyAlignment="1">
      <alignment vertical="top" wrapText="1"/>
    </xf>
    <xf numFmtId="0" fontId="27" fillId="3" borderId="0" xfId="0" applyFont="1" applyFill="1" applyBorder="1"/>
    <xf numFmtId="0" fontId="27" fillId="3" borderId="92" xfId="0" applyFont="1" applyFill="1" applyBorder="1"/>
    <xf numFmtId="0" fontId="27" fillId="3" borderId="93" xfId="0" applyFont="1" applyFill="1" applyBorder="1"/>
    <xf numFmtId="0" fontId="3" fillId="3" borderId="0" xfId="0" applyFont="1" applyFill="1"/>
    <xf numFmtId="0" fontId="27" fillId="3" borderId="89" xfId="0" applyFont="1" applyFill="1" applyBorder="1"/>
    <xf numFmtId="0" fontId="27" fillId="3" borderId="78" xfId="0" applyFont="1" applyFill="1" applyBorder="1"/>
    <xf numFmtId="0" fontId="27" fillId="3" borderId="88" xfId="0" applyFont="1" applyFill="1" applyBorder="1"/>
    <xf numFmtId="0" fontId="17" fillId="3" borderId="90" xfId="0" applyFont="1" applyFill="1" applyBorder="1" applyAlignment="1">
      <alignment horizontal="center"/>
    </xf>
    <xf numFmtId="0" fontId="27" fillId="3" borderId="86" xfId="0" applyFont="1" applyFill="1" applyBorder="1"/>
    <xf numFmtId="0" fontId="11" fillId="3" borderId="114" xfId="0" applyFont="1" applyFill="1" applyBorder="1" applyAlignment="1">
      <alignment horizontal="right"/>
    </xf>
    <xf numFmtId="0" fontId="27" fillId="3" borderId="115" xfId="0" applyFont="1" applyFill="1" applyBorder="1"/>
    <xf numFmtId="0" fontId="27" fillId="3" borderId="118" xfId="0" applyFont="1" applyFill="1" applyBorder="1"/>
    <xf numFmtId="0" fontId="8" fillId="3" borderId="86" xfId="0" applyFont="1" applyFill="1" applyBorder="1" applyAlignment="1">
      <alignment horizontal="right" vertical="center"/>
    </xf>
    <xf numFmtId="0" fontId="8" fillId="3" borderId="85" xfId="0" applyFont="1" applyFill="1" applyBorder="1" applyAlignment="1">
      <alignment horizontal="right" vertical="center"/>
    </xf>
    <xf numFmtId="0" fontId="47" fillId="10" borderId="90" xfId="0" applyFont="1" applyFill="1" applyBorder="1" applyAlignment="1">
      <alignment horizontal="left" vertical="center" wrapText="1"/>
    </xf>
    <xf numFmtId="0" fontId="35" fillId="10" borderId="85" xfId="0" applyFont="1" applyFill="1" applyBorder="1" applyAlignment="1">
      <alignment horizontal="left"/>
    </xf>
    <xf numFmtId="0" fontId="35" fillId="10" borderId="113" xfId="0" applyFont="1" applyFill="1" applyBorder="1" applyAlignment="1">
      <alignment horizontal="left"/>
    </xf>
    <xf numFmtId="0" fontId="17" fillId="3" borderId="90" xfId="0" applyFont="1" applyFill="1" applyBorder="1"/>
    <xf numFmtId="0" fontId="27" fillId="3" borderId="85" xfId="0" applyFont="1" applyFill="1" applyBorder="1"/>
    <xf numFmtId="0" fontId="11" fillId="3" borderId="90" xfId="0" applyFont="1" applyFill="1" applyBorder="1" applyAlignment="1">
      <alignment horizontal="center" vertical="center" wrapText="1"/>
    </xf>
    <xf numFmtId="2" fontId="11" fillId="3" borderId="119" xfId="0" applyNumberFormat="1" applyFont="1" applyFill="1" applyBorder="1" applyAlignment="1">
      <alignment horizontal="center"/>
    </xf>
    <xf numFmtId="0" fontId="27" fillId="3" borderId="116" xfId="0" applyFont="1" applyFill="1" applyBorder="1"/>
    <xf numFmtId="0" fontId="11" fillId="3" borderId="49" xfId="0" applyFont="1" applyFill="1" applyBorder="1" applyAlignment="1">
      <alignment horizontal="left"/>
    </xf>
    <xf numFmtId="0" fontId="3" fillId="3" borderId="50" xfId="0" applyFont="1" applyFill="1" applyBorder="1"/>
    <xf numFmtId="0" fontId="3" fillId="3" borderId="51" xfId="0" applyFont="1" applyFill="1" applyBorder="1"/>
    <xf numFmtId="0" fontId="46" fillId="12" borderId="90" xfId="0" applyFont="1" applyFill="1" applyBorder="1" applyAlignment="1">
      <alignment horizontal="left"/>
    </xf>
    <xf numFmtId="0" fontId="35" fillId="12" borderId="86" xfId="0" applyFont="1" applyFill="1" applyBorder="1" applyAlignment="1">
      <alignment horizontal="left"/>
    </xf>
    <xf numFmtId="0" fontId="11" fillId="3" borderId="97" xfId="0" applyFont="1" applyFill="1" applyBorder="1" applyAlignment="1">
      <alignment horizontal="right"/>
    </xf>
    <xf numFmtId="0" fontId="11" fillId="3" borderId="0" xfId="0" applyFont="1" applyFill="1" applyBorder="1" applyAlignment="1">
      <alignment horizontal="right"/>
    </xf>
    <xf numFmtId="0" fontId="11" fillId="3" borderId="92" xfId="0" applyFont="1" applyFill="1" applyBorder="1" applyAlignment="1">
      <alignment horizontal="right"/>
    </xf>
    <xf numFmtId="0" fontId="39" fillId="0" borderId="0" xfId="8" applyFont="1" applyAlignment="1">
      <alignment horizontal="center"/>
    </xf>
    <xf numFmtId="0" fontId="39" fillId="0" borderId="0" xfId="8" applyFont="1"/>
    <xf numFmtId="9" fontId="19" fillId="10" borderId="75" xfId="4" applyFont="1" applyFill="1" applyBorder="1" applyAlignment="1">
      <alignment horizontal="center" vertical="center" wrapText="1"/>
    </xf>
    <xf numFmtId="0" fontId="19" fillId="10" borderId="100" xfId="0" applyFont="1" applyFill="1" applyBorder="1" applyAlignment="1">
      <alignment horizontal="center" vertical="center" wrapText="1"/>
    </xf>
    <xf numFmtId="0" fontId="19" fillId="9" borderId="32" xfId="0" applyFont="1" applyFill="1" applyBorder="1" applyAlignment="1">
      <alignment vertical="center" wrapText="1"/>
    </xf>
    <xf numFmtId="0" fontId="20" fillId="8" borderId="50" xfId="0" applyFont="1" applyFill="1" applyBorder="1" applyAlignment="1">
      <alignment horizontal="left" vertical="center" wrapText="1"/>
    </xf>
    <xf numFmtId="0" fontId="22" fillId="3" borderId="35" xfId="0" applyFont="1" applyFill="1" applyBorder="1" applyAlignment="1">
      <alignment horizontal="left" vertical="center" wrapText="1"/>
    </xf>
    <xf numFmtId="49" fontId="14" fillId="3" borderId="35" xfId="0" applyNumberFormat="1" applyFont="1" applyFill="1" applyBorder="1" applyAlignment="1">
      <alignment vertical="center" wrapText="1"/>
    </xf>
    <xf numFmtId="0" fontId="22" fillId="3" borderId="161" xfId="0" applyFont="1" applyFill="1" applyBorder="1" applyAlignment="1">
      <alignment horizontal="left" vertical="center" wrapText="1"/>
    </xf>
    <xf numFmtId="0" fontId="19" fillId="9" borderId="79" xfId="0" applyFont="1" applyFill="1" applyBorder="1" applyAlignment="1">
      <alignment horizontal="center" vertical="center"/>
    </xf>
    <xf numFmtId="0" fontId="19" fillId="9" borderId="140" xfId="0" applyFont="1" applyFill="1" applyBorder="1" applyAlignment="1">
      <alignment horizontal="center" vertical="center"/>
    </xf>
    <xf numFmtId="0" fontId="19" fillId="9" borderId="141" xfId="0" applyFont="1" applyFill="1" applyBorder="1" applyAlignment="1">
      <alignment horizontal="center" vertical="center"/>
    </xf>
  </cellXfs>
  <cellStyles count="10">
    <cellStyle name="Cancel 2 2" xfId="3" xr:uid="{936D8ED8-69E2-4EFE-BC18-9FA38B864EF1}"/>
    <cellStyle name="Millares 17" xfId="7" xr:uid="{63B9134F-4124-42EC-BAE4-58A89F1EEBBD}"/>
    <cellStyle name="Moneda 2" xfId="9" xr:uid="{78B37C11-584C-4DBE-A6C5-7D4F336DEA7A}"/>
    <cellStyle name="Normal" xfId="0" builtinId="0"/>
    <cellStyle name="Normal 12 2" xfId="6" xr:uid="{5AA2A309-456E-4889-A04E-EF0410C45C39}"/>
    <cellStyle name="Normal 2" xfId="2" xr:uid="{00000000-0005-0000-0000-000002000000}"/>
    <cellStyle name="Normal 2 2" xfId="8" xr:uid="{635F778E-DC1B-401A-A883-9B8E606F883D}"/>
    <cellStyle name="Normal 358" xfId="5" xr:uid="{462EAFE5-45C0-4DDF-8279-BB9D5885B562}"/>
    <cellStyle name="Porcentaje" xfId="1" builtinId="5"/>
    <cellStyle name="Porcentaje 2" xfId="4" xr:uid="{DFA98A3C-65E0-4C6D-AFCD-A06C367635D2}"/>
  </cellStyles>
  <dxfs count="22">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val="0"/>
        <i val="0"/>
        <strike val="0"/>
        <condense val="0"/>
        <extend val="0"/>
        <outline val="0"/>
        <shadow val="0"/>
        <u val="none"/>
        <vertAlign val="baseline"/>
        <sz val="10"/>
        <color theme="1"/>
        <name val="Calibri"/>
        <family val="2"/>
        <scheme val="minor"/>
      </font>
      <numFmt numFmtId="176" formatCode="_-&quot;$&quot;* #,##0_-;\-&quot;$&quot;* #,##0_-;_-&quot;$&quot;* &quot;-&quot;??_-;_-@_-"/>
    </dxf>
    <dxf>
      <font>
        <b val="0"/>
        <i val="0"/>
        <strike val="0"/>
        <condense val="0"/>
        <extend val="0"/>
        <outline val="0"/>
        <shadow val="0"/>
        <u val="none"/>
        <vertAlign val="baseline"/>
        <sz val="10"/>
        <color theme="1"/>
        <name val="Calibri"/>
        <family val="2"/>
        <scheme val="minor"/>
      </font>
      <numFmt numFmtId="176" formatCode="_-&quot;$&quot;* #,##0_-;\-&quot;$&quot;* #,##0_-;_-&quot;$&quot;* &quot;-&quot;??_-;_-@_-"/>
    </dxf>
    <dxf>
      <font>
        <b val="0"/>
        <i val="0"/>
        <strike val="0"/>
        <condense val="0"/>
        <extend val="0"/>
        <outline val="0"/>
        <shadow val="0"/>
        <u val="none"/>
        <vertAlign val="baseline"/>
        <sz val="10"/>
        <color theme="1"/>
        <name val="Calibri"/>
        <family val="2"/>
        <scheme val="minor"/>
      </font>
      <numFmt numFmtId="176" formatCode="_-&quot;$&quot;* #,##0_-;\-&quot;$&quot;* #,##0_-;_-&quot;$&quot;* &quot;-&quot;??_-;_-@_-"/>
    </dxf>
    <dxf>
      <font>
        <b val="0"/>
        <i val="0"/>
        <strike val="0"/>
        <condense val="0"/>
        <extend val="0"/>
        <outline val="0"/>
        <shadow val="0"/>
        <u val="none"/>
        <vertAlign val="baseline"/>
        <sz val="10"/>
        <color theme="1"/>
        <name val="Calibri"/>
        <family val="2"/>
        <scheme val="minor"/>
      </font>
      <numFmt numFmtId="176" formatCode="_-&quot;$&quot;* #,##0_-;\-&quot;$&quot;* #,##0_-;_-&quot;$&quot;* &quot;-&quot;??_-;_-@_-"/>
    </dxf>
    <dxf>
      <font>
        <b val="0"/>
        <i val="0"/>
        <strike val="0"/>
        <condense val="0"/>
        <extend val="0"/>
        <outline val="0"/>
        <shadow val="0"/>
        <u val="none"/>
        <vertAlign val="baseline"/>
        <sz val="10"/>
        <color theme="1"/>
        <name val="Calibri"/>
        <family val="2"/>
        <scheme val="minor"/>
      </font>
      <numFmt numFmtId="176" formatCode="_-&quot;$&quot;* #,##0_-;\-&quot;$&quot;* #,##0_-;_-&quot;$&quot;* &quot;-&quot;??_-;_-@_-"/>
    </dxf>
    <dxf>
      <font>
        <b val="0"/>
        <i val="0"/>
        <strike val="0"/>
        <condense val="0"/>
        <extend val="0"/>
        <outline val="0"/>
        <shadow val="0"/>
        <u val="none"/>
        <vertAlign val="baseline"/>
        <sz val="10"/>
        <color theme="1"/>
        <name val="Calibri"/>
        <family val="2"/>
        <scheme val="minor"/>
      </font>
      <numFmt numFmtId="176" formatCode="_-&quot;$&quot;* #,##0_-;\-&quot;$&quot;* #,##0_-;_-&quot;$&quot;* &quot;-&quot;??_-;_-@_-"/>
    </dxf>
    <dxf>
      <font>
        <b val="0"/>
        <i val="0"/>
        <strike val="0"/>
        <condense val="0"/>
        <extend val="0"/>
        <outline val="0"/>
        <shadow val="0"/>
        <u val="none"/>
        <vertAlign val="baseline"/>
        <sz val="10"/>
        <color theme="1"/>
        <name val="Calibri"/>
        <family val="2"/>
        <scheme val="minor"/>
      </font>
      <numFmt numFmtId="176" formatCode="_-&quot;$&quot;* #,##0_-;\-&quot;$&quot;* #,##0_-;_-&quot;$&quot;* &quot;-&quot;??_-;_-@_-"/>
    </dxf>
    <dxf>
      <font>
        <b val="0"/>
        <i val="0"/>
        <strike val="0"/>
        <condense val="0"/>
        <extend val="0"/>
        <outline val="0"/>
        <shadow val="0"/>
        <u val="none"/>
        <vertAlign val="baseline"/>
        <sz val="10"/>
        <color theme="1"/>
        <name val="Calibri"/>
        <family val="2"/>
        <scheme val="minor"/>
      </font>
      <numFmt numFmtId="176" formatCode="_-&quot;$&quot;* #,##0_-;\-&quot;$&quot;* #,##0_-;_-&quot;$&quot;* &quot;-&quot;??_-;_-@_-"/>
    </dxf>
    <dxf>
      <font>
        <b val="0"/>
        <i val="0"/>
        <strike val="0"/>
        <condense val="0"/>
        <extend val="0"/>
        <outline val="0"/>
        <shadow val="0"/>
        <u val="none"/>
        <vertAlign val="baseline"/>
        <sz val="10"/>
        <color theme="1"/>
        <name val="Calibri"/>
        <family val="2"/>
        <scheme val="minor"/>
      </font>
      <numFmt numFmtId="176" formatCode="_-&quot;$&quot;* #,##0_-;\-&quot;$&quot;* #,##0_-;_-&quot;$&quot;* &quot;-&quot;??_-;_-@_-"/>
    </dxf>
    <dxf>
      <font>
        <b val="0"/>
        <i val="0"/>
        <strike val="0"/>
        <condense val="0"/>
        <extend val="0"/>
        <outline val="0"/>
        <shadow val="0"/>
        <u val="none"/>
        <vertAlign val="baseline"/>
        <sz val="10"/>
        <color theme="1"/>
        <name val="Calibri"/>
        <family val="2"/>
        <scheme val="minor"/>
      </font>
      <numFmt numFmtId="176" formatCode="_-&quot;$&quot;* #,##0_-;\-&quot;$&quot;* #,##0_-;_-&quot;$&quot;* &quot;-&quot;??_-;_-@_-"/>
    </dxf>
    <dxf>
      <font>
        <b val="0"/>
        <i val="0"/>
        <strike val="0"/>
        <condense val="0"/>
        <extend val="0"/>
        <outline val="0"/>
        <shadow val="0"/>
        <u val="none"/>
        <vertAlign val="baseline"/>
        <sz val="10"/>
        <color theme="1"/>
        <name val="Calibri"/>
        <family val="2"/>
        <scheme val="minor"/>
      </font>
      <numFmt numFmtId="176" formatCode="_-&quot;$&quot;* #,##0_-;\-&quot;$&quot;* #,##0_-;_-&quot;$&quot;* &quot;-&quot;??_-;_-@_-"/>
    </dxf>
    <dxf>
      <font>
        <b val="0"/>
        <i val="0"/>
        <strike val="0"/>
        <condense val="0"/>
        <extend val="0"/>
        <outline val="0"/>
        <shadow val="0"/>
        <u val="none"/>
        <vertAlign val="baseline"/>
        <sz val="10"/>
        <color theme="1"/>
        <name val="Calibri"/>
        <family val="2"/>
        <scheme val="minor"/>
      </font>
      <numFmt numFmtId="176" formatCode="_-&quot;$&quot;* #,##0_-;\-&quot;$&quot;* #,##0_-;_-&quot;$&quot;* &quot;-&quot;??_-;_-@_-"/>
    </dxf>
    <dxf>
      <font>
        <b val="0"/>
        <i val="0"/>
        <strike val="0"/>
        <condense val="0"/>
        <extend val="0"/>
        <outline val="0"/>
        <shadow val="0"/>
        <u val="none"/>
        <vertAlign val="baseline"/>
        <sz val="10"/>
        <color theme="1"/>
        <name val="Calibri"/>
        <family val="2"/>
        <scheme val="minor"/>
      </font>
      <numFmt numFmtId="176" formatCode="_-&quot;$&quot;* #,##0_-;\-&quot;$&quot;* #,##0_-;_-&quot;$&quot;* &quot;-&quot;??_-;_-@_-"/>
    </dxf>
    <dxf>
      <font>
        <b/>
        <i val="0"/>
        <strike val="0"/>
        <condense val="0"/>
        <extend val="0"/>
        <outline val="0"/>
        <shadow val="0"/>
        <u val="none"/>
        <vertAlign val="baseline"/>
        <sz val="10"/>
        <color theme="0"/>
        <name val="Calibri"/>
        <family val="2"/>
        <scheme val="minor"/>
      </font>
      <fill>
        <patternFill patternType="solid">
          <fgColor indexed="64"/>
          <bgColor rgb="FF00376C"/>
        </patternFill>
      </fill>
      <alignment horizontal="right" vertical="bottom" textRotation="0" wrapText="0" indent="0" justifyLastLine="0" shrinkToFit="0" readingOrder="0"/>
    </dxf>
    <dxf>
      <border outline="0">
        <top style="thin">
          <color indexed="64"/>
        </top>
      </border>
    </dxf>
    <dxf>
      <border outline="0">
        <left style="thin">
          <color indexed="64"/>
        </left>
        <top style="thin">
          <color indexed="64"/>
        </top>
        <bottom style="thin">
          <color indexed="64"/>
        </bottom>
      </border>
    </dxf>
    <dxf>
      <font>
        <b val="0"/>
        <i val="0"/>
        <strike val="0"/>
        <condense val="0"/>
        <extend val="0"/>
        <outline val="0"/>
        <shadow val="0"/>
        <u val="none"/>
        <vertAlign val="baseline"/>
        <sz val="10"/>
        <color theme="1"/>
        <name val="Calibri"/>
        <family val="2"/>
        <scheme val="minor"/>
      </font>
    </dxf>
    <dxf>
      <border outline="0">
        <bottom style="thin">
          <color indexed="64"/>
        </bottom>
      </border>
    </dxf>
    <dxf>
      <font>
        <b/>
        <i val="0"/>
        <strike val="0"/>
        <condense val="0"/>
        <extend val="0"/>
        <outline val="0"/>
        <shadow val="0"/>
        <u val="none"/>
        <vertAlign val="baseline"/>
        <sz val="10"/>
        <color theme="0"/>
        <name val="Calibri"/>
        <family val="2"/>
        <scheme val="minor"/>
      </font>
      <fill>
        <patternFill patternType="solid">
          <fgColor indexed="64"/>
          <bgColor rgb="FF00376C"/>
        </patternFill>
      </fill>
      <alignment horizontal="center" vertical="bottom" textRotation="0" wrapText="0" indent="0" justifyLastLine="0" shrinkToFit="0" readingOrder="0"/>
      <border diagonalUp="0" diagonalDown="0" outline="0">
        <left style="thin">
          <color indexed="64"/>
        </left>
        <right style="thin">
          <color indexed="64"/>
        </right>
        <top/>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8.7569208778480151E-2"/>
          <c:y val="1.706998513297726E-2"/>
          <c:w val="0.70602619742954664"/>
          <c:h val="0.89886944551511483"/>
        </c:manualLayout>
      </c:layout>
      <c:lineChart>
        <c:grouping val="standard"/>
        <c:varyColors val="0"/>
        <c:ser>
          <c:idx val="1"/>
          <c:order val="0"/>
          <c:tx>
            <c:strRef>
              <c:f>'CURVA S'!$C$10</c:f>
              <c:strCache>
                <c:ptCount val="1"/>
                <c:pt idx="0">
                  <c:v>PV</c:v>
                </c:pt>
              </c:strCache>
            </c:strRef>
          </c:tx>
          <c:marker>
            <c:symbol val="none"/>
          </c:marker>
          <c:cat>
            <c:strRef>
              <c:f>'CURVA S'!$D$8:$O$8</c:f>
              <c:strCache>
                <c:ptCount val="12"/>
                <c:pt idx="0">
                  <c:v>1/01/2025</c:v>
                </c:pt>
                <c:pt idx="1">
                  <c:v>1/02/2025</c:v>
                </c:pt>
                <c:pt idx="2">
                  <c:v>1/03/2025</c:v>
                </c:pt>
                <c:pt idx="3">
                  <c:v>1/04/2025</c:v>
                </c:pt>
                <c:pt idx="4">
                  <c:v>1/05/2025</c:v>
                </c:pt>
                <c:pt idx="5">
                  <c:v>1/06/2025</c:v>
                </c:pt>
                <c:pt idx="6">
                  <c:v>1/07/2025</c:v>
                </c:pt>
                <c:pt idx="7">
                  <c:v>1/08/2025</c:v>
                </c:pt>
                <c:pt idx="8">
                  <c:v>1/09/2025</c:v>
                </c:pt>
                <c:pt idx="9">
                  <c:v>1/10/2025</c:v>
                </c:pt>
                <c:pt idx="10">
                  <c:v>1/11/2025</c:v>
                </c:pt>
                <c:pt idx="11">
                  <c:v>1/12/2025</c:v>
                </c:pt>
              </c:strCache>
            </c:strRef>
          </c:cat>
          <c:val>
            <c:numRef>
              <c:f>'CURVA S'!$D$10:$O$10</c:f>
              <c:numCache>
                <c:formatCode>_-"$"* #,##0_-;\-"$"* #,##0_-;_-"$"* "-"??_-;_-@_-</c:formatCode>
                <c:ptCount val="12"/>
                <c:pt idx="0">
                  <c:v>20000</c:v>
                </c:pt>
                <c:pt idx="1">
                  <c:v>60000</c:v>
                </c:pt>
                <c:pt idx="2">
                  <c:v>120000</c:v>
                </c:pt>
                <c:pt idx="3">
                  <c:v>200000</c:v>
                </c:pt>
                <c:pt idx="4">
                  <c:v>320000</c:v>
                </c:pt>
                <c:pt idx="5">
                  <c:v>460000</c:v>
                </c:pt>
                <c:pt idx="6">
                  <c:v>620000</c:v>
                </c:pt>
              </c:numCache>
            </c:numRef>
          </c:val>
          <c:smooth val="0"/>
          <c:extLst>
            <c:ext xmlns:c16="http://schemas.microsoft.com/office/drawing/2014/chart" uri="{C3380CC4-5D6E-409C-BE32-E72D297353CC}">
              <c16:uniqueId val="{00000000-8ABE-406C-9F14-21F2CDDB901F}"/>
            </c:ext>
          </c:extLst>
        </c:ser>
        <c:ser>
          <c:idx val="3"/>
          <c:order val="1"/>
          <c:tx>
            <c:strRef>
              <c:f>'CURVA S'!$C$14</c:f>
              <c:strCache>
                <c:ptCount val="1"/>
                <c:pt idx="0">
                  <c:v>AC</c:v>
                </c:pt>
              </c:strCache>
            </c:strRef>
          </c:tx>
          <c:marker>
            <c:symbol val="none"/>
          </c:marker>
          <c:cat>
            <c:strRef>
              <c:f>'CURVA S'!$D$8:$O$8</c:f>
              <c:strCache>
                <c:ptCount val="12"/>
                <c:pt idx="0">
                  <c:v>1/01/2025</c:v>
                </c:pt>
                <c:pt idx="1">
                  <c:v>1/02/2025</c:v>
                </c:pt>
                <c:pt idx="2">
                  <c:v>1/03/2025</c:v>
                </c:pt>
                <c:pt idx="3">
                  <c:v>1/04/2025</c:v>
                </c:pt>
                <c:pt idx="4">
                  <c:v>1/05/2025</c:v>
                </c:pt>
                <c:pt idx="5">
                  <c:v>1/06/2025</c:v>
                </c:pt>
                <c:pt idx="6">
                  <c:v>1/07/2025</c:v>
                </c:pt>
                <c:pt idx="7">
                  <c:v>1/08/2025</c:v>
                </c:pt>
                <c:pt idx="8">
                  <c:v>1/09/2025</c:v>
                </c:pt>
                <c:pt idx="9">
                  <c:v>1/10/2025</c:v>
                </c:pt>
                <c:pt idx="10">
                  <c:v>1/11/2025</c:v>
                </c:pt>
                <c:pt idx="11">
                  <c:v>1/12/2025</c:v>
                </c:pt>
              </c:strCache>
            </c:strRef>
          </c:cat>
          <c:val>
            <c:numRef>
              <c:f>'CURVA S'!$D$14:$O$14</c:f>
              <c:numCache>
                <c:formatCode>_-"$"* #,##0_-;\-"$"* #,##0_-;_-"$"* "-"??_-;_-@_-</c:formatCode>
                <c:ptCount val="12"/>
                <c:pt idx="0">
                  <c:v>20000</c:v>
                </c:pt>
                <c:pt idx="1">
                  <c:v>50000</c:v>
                </c:pt>
                <c:pt idx="2">
                  <c:v>100000</c:v>
                </c:pt>
                <c:pt idx="3">
                  <c:v>175000</c:v>
                </c:pt>
                <c:pt idx="4">
                  <c:v>225000</c:v>
                </c:pt>
                <c:pt idx="5">
                  <c:v>335000</c:v>
                </c:pt>
                <c:pt idx="6">
                  <c:v>465000</c:v>
                </c:pt>
              </c:numCache>
            </c:numRef>
          </c:val>
          <c:smooth val="0"/>
          <c:extLst>
            <c:ext xmlns:c16="http://schemas.microsoft.com/office/drawing/2014/chart" uri="{C3380CC4-5D6E-409C-BE32-E72D297353CC}">
              <c16:uniqueId val="{00000001-8ABE-406C-9F14-21F2CDDB901F}"/>
            </c:ext>
          </c:extLst>
        </c:ser>
        <c:ser>
          <c:idx val="0"/>
          <c:order val="2"/>
          <c:tx>
            <c:v>Valor Ganado Acumulado</c:v>
          </c:tx>
          <c:marker>
            <c:symbol val="none"/>
          </c:marker>
          <c:val>
            <c:numRef>
              <c:f>'CURVA S'!$D$12:$O$12</c:f>
              <c:numCache>
                <c:formatCode>_-"$"* #,##0_-;\-"$"* #,##0_-;_-"$"* "-"??_-;_-@_-</c:formatCode>
                <c:ptCount val="12"/>
                <c:pt idx="0">
                  <c:v>20000</c:v>
                </c:pt>
                <c:pt idx="1">
                  <c:v>50000</c:v>
                </c:pt>
                <c:pt idx="2">
                  <c:v>90000</c:v>
                </c:pt>
                <c:pt idx="3">
                  <c:v>160000</c:v>
                </c:pt>
                <c:pt idx="4">
                  <c:v>210000</c:v>
                </c:pt>
                <c:pt idx="5">
                  <c:v>310000</c:v>
                </c:pt>
                <c:pt idx="6">
                  <c:v>430000</c:v>
                </c:pt>
              </c:numCache>
            </c:numRef>
          </c:val>
          <c:smooth val="0"/>
          <c:extLst>
            <c:ext xmlns:c16="http://schemas.microsoft.com/office/drawing/2014/chart" uri="{C3380CC4-5D6E-409C-BE32-E72D297353CC}">
              <c16:uniqueId val="{00000002-8ABE-406C-9F14-21F2CDDB901F}"/>
            </c:ext>
          </c:extLst>
        </c:ser>
        <c:dLbls>
          <c:showLegendKey val="0"/>
          <c:showVal val="0"/>
          <c:showCatName val="0"/>
          <c:showSerName val="0"/>
          <c:showPercent val="0"/>
          <c:showBubbleSize val="0"/>
        </c:dLbls>
        <c:smooth val="0"/>
        <c:axId val="193911808"/>
        <c:axId val="194196224"/>
      </c:lineChart>
      <c:catAx>
        <c:axId val="193911808"/>
        <c:scaling>
          <c:orientation val="minMax"/>
        </c:scaling>
        <c:delete val="0"/>
        <c:axPos val="b"/>
        <c:numFmt formatCode="General" sourceLinked="0"/>
        <c:majorTickMark val="out"/>
        <c:minorTickMark val="none"/>
        <c:tickLblPos val="nextTo"/>
        <c:crossAx val="194196224"/>
        <c:crosses val="autoZero"/>
        <c:auto val="1"/>
        <c:lblAlgn val="ctr"/>
        <c:lblOffset val="100"/>
        <c:noMultiLvlLbl val="0"/>
      </c:catAx>
      <c:valAx>
        <c:axId val="194196224"/>
        <c:scaling>
          <c:orientation val="minMax"/>
        </c:scaling>
        <c:delete val="0"/>
        <c:axPos val="l"/>
        <c:majorGridlines/>
        <c:numFmt formatCode="_-&quot;$&quot;* #,##0_-;\-&quot;$&quot;* #,##0_-;_-&quot;$&quot;* &quot;-&quot;??_-;_-@_-" sourceLinked="1"/>
        <c:majorTickMark val="out"/>
        <c:minorTickMark val="none"/>
        <c:tickLblPos val="nextTo"/>
        <c:crossAx val="193911808"/>
        <c:crosses val="autoZero"/>
        <c:crossBetween val="between"/>
      </c:valAx>
    </c:plotArea>
    <c:legend>
      <c:legendPos val="r"/>
      <c:overlay val="0"/>
    </c:legend>
    <c:plotVisOnly val="1"/>
    <c:dispBlanksAs val="gap"/>
    <c:showDLblsOverMax val="0"/>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chart" Target="../charts/chart1.xml"/></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198452</xdr:colOff>
      <xdr:row>0</xdr:row>
      <xdr:rowOff>22861</xdr:rowOff>
    </xdr:from>
    <xdr:to>
      <xdr:col>1</xdr:col>
      <xdr:colOff>735496</xdr:colOff>
      <xdr:row>2</xdr:row>
      <xdr:rowOff>132688</xdr:rowOff>
    </xdr:to>
    <xdr:pic>
      <xdr:nvPicPr>
        <xdr:cNvPr id="2" name="Imagen 1" descr="http://promcoser.com/wp-content/uploads/2014/10/logo2.png">
          <a:extLst>
            <a:ext uri="{FF2B5EF4-FFF2-40B4-BE49-F238E27FC236}">
              <a16:creationId xmlns:a16="http://schemas.microsoft.com/office/drawing/2014/main" id="{DDA2B4B5-65D3-4800-B261-EC2FE4184D28}"/>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98452" y="22861"/>
          <a:ext cx="879944" cy="460347"/>
        </a:xfrm>
        <a:prstGeom prst="rect">
          <a:avLst/>
        </a:prstGeom>
        <a:noFill/>
        <a:ln>
          <a:noFill/>
          <a:prstDash val="solid"/>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15199</xdr:colOff>
      <xdr:row>0</xdr:row>
      <xdr:rowOff>139925</xdr:rowOff>
    </xdr:from>
    <xdr:to>
      <xdr:col>1</xdr:col>
      <xdr:colOff>807507</xdr:colOff>
      <xdr:row>2</xdr:row>
      <xdr:rowOff>161360</xdr:rowOff>
    </xdr:to>
    <xdr:pic>
      <xdr:nvPicPr>
        <xdr:cNvPr id="2" name="Imagen 1" descr="http://promcoser.com/wp-content/uploads/2014/10/logo2.png">
          <a:extLst>
            <a:ext uri="{FF2B5EF4-FFF2-40B4-BE49-F238E27FC236}">
              <a16:creationId xmlns:a16="http://schemas.microsoft.com/office/drawing/2014/main" id="{FAC79D78-FF63-4E30-9E6A-1F6C643B5D19}"/>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230352" y="139925"/>
          <a:ext cx="792308" cy="397953"/>
        </a:xfrm>
        <a:prstGeom prst="rect">
          <a:avLst/>
        </a:prstGeom>
        <a:noFill/>
        <a:ln>
          <a:noFill/>
          <a:prstDash val="solid"/>
        </a:ln>
      </xdr:spPr>
    </xdr:pic>
    <xdr:clientData/>
  </xdr:twoCellAnchor>
  <xdr:oneCellAnchor>
    <xdr:from>
      <xdr:col>1</xdr:col>
      <xdr:colOff>51060</xdr:colOff>
      <xdr:row>57</xdr:row>
      <xdr:rowOff>113034</xdr:rowOff>
    </xdr:from>
    <xdr:ext cx="728870" cy="366090"/>
    <xdr:pic>
      <xdr:nvPicPr>
        <xdr:cNvPr id="3" name="Imagen 2" descr="http://promcoser.com/wp-content/uploads/2014/10/logo2.png">
          <a:extLst>
            <a:ext uri="{FF2B5EF4-FFF2-40B4-BE49-F238E27FC236}">
              <a16:creationId xmlns:a16="http://schemas.microsoft.com/office/drawing/2014/main" id="{3BC3C47D-5255-4FCB-8AD5-43458DD1446C}"/>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266213" y="10521058"/>
          <a:ext cx="728870" cy="366090"/>
        </a:xfrm>
        <a:prstGeom prst="rect">
          <a:avLst/>
        </a:prstGeom>
        <a:noFill/>
        <a:ln>
          <a:noFill/>
          <a:prstDash val="solid"/>
        </a:ln>
      </xdr:spPr>
    </xdr:pic>
    <xdr:clientData/>
  </xdr:oneCellAnchor>
</xdr:wsDr>
</file>

<file path=xl/drawings/drawing3.xml><?xml version="1.0" encoding="utf-8"?>
<xdr:wsDr xmlns:xdr="http://schemas.openxmlformats.org/drawingml/2006/spreadsheetDrawing" xmlns:a="http://schemas.openxmlformats.org/drawingml/2006/main">
  <xdr:twoCellAnchor>
    <xdr:from>
      <xdr:col>3</xdr:col>
      <xdr:colOff>746126</xdr:colOff>
      <xdr:row>14</xdr:row>
      <xdr:rowOff>142875</xdr:rowOff>
    </xdr:from>
    <xdr:to>
      <xdr:col>10</xdr:col>
      <xdr:colOff>367553</xdr:colOff>
      <xdr:row>32</xdr:row>
      <xdr:rowOff>98612</xdr:rowOff>
    </xdr:to>
    <xdr:graphicFrame macro="">
      <xdr:nvGraphicFramePr>
        <xdr:cNvPr id="2" name="2 Gráfico">
          <a:extLst>
            <a:ext uri="{FF2B5EF4-FFF2-40B4-BE49-F238E27FC236}">
              <a16:creationId xmlns:a16="http://schemas.microsoft.com/office/drawing/2014/main" id="{1B9CC484-69D9-4AEC-A6AE-5C287B31327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67733</xdr:colOff>
      <xdr:row>1</xdr:row>
      <xdr:rowOff>152400</xdr:rowOff>
    </xdr:from>
    <xdr:to>
      <xdr:col>1</xdr:col>
      <xdr:colOff>417395</xdr:colOff>
      <xdr:row>3</xdr:row>
      <xdr:rowOff>127000</xdr:rowOff>
    </xdr:to>
    <xdr:pic>
      <xdr:nvPicPr>
        <xdr:cNvPr id="2" name="Imagen 1" descr="http://promcoser.com/wp-content/uploads/2014/10/logo2.png">
          <a:extLst>
            <a:ext uri="{FF2B5EF4-FFF2-40B4-BE49-F238E27FC236}">
              <a16:creationId xmlns:a16="http://schemas.microsoft.com/office/drawing/2014/main" id="{1A8A45F3-5D26-4A25-98F6-D24B193D442F}"/>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67733" y="304800"/>
          <a:ext cx="874595" cy="448733"/>
        </a:xfrm>
        <a:prstGeom prst="rect">
          <a:avLst/>
        </a:prstGeom>
        <a:noFill/>
        <a:ln>
          <a:noFill/>
          <a:prstDash val="solid"/>
        </a:ln>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124691</xdr:colOff>
      <xdr:row>0</xdr:row>
      <xdr:rowOff>96982</xdr:rowOff>
    </xdr:from>
    <xdr:to>
      <xdr:col>2</xdr:col>
      <xdr:colOff>498662</xdr:colOff>
      <xdr:row>2</xdr:row>
      <xdr:rowOff>277091</xdr:rowOff>
    </xdr:to>
    <xdr:pic>
      <xdr:nvPicPr>
        <xdr:cNvPr id="2" name="Imagen 1" descr="http://promcoser.com/wp-content/uploads/2014/10/logo2.png">
          <a:extLst>
            <a:ext uri="{FF2B5EF4-FFF2-40B4-BE49-F238E27FC236}">
              <a16:creationId xmlns:a16="http://schemas.microsoft.com/office/drawing/2014/main" id="{00000000-0008-0000-0600-000002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24691" y="96982"/>
          <a:ext cx="1593171" cy="817418"/>
        </a:xfrm>
        <a:prstGeom prst="rect">
          <a:avLst/>
        </a:prstGeom>
        <a:noFill/>
        <a:ln>
          <a:noFill/>
          <a:prstDash val="solid"/>
        </a:ln>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341890</xdr:colOff>
      <xdr:row>0</xdr:row>
      <xdr:rowOff>56148</xdr:rowOff>
    </xdr:from>
    <xdr:to>
      <xdr:col>1</xdr:col>
      <xdr:colOff>610616</xdr:colOff>
      <xdr:row>1</xdr:row>
      <xdr:rowOff>216569</xdr:rowOff>
    </xdr:to>
    <xdr:pic>
      <xdr:nvPicPr>
        <xdr:cNvPr id="2" name="Imagen 1" descr="http://promcoser.com/wp-content/uploads/2014/10/logo2.png">
          <a:extLst>
            <a:ext uri="{FF2B5EF4-FFF2-40B4-BE49-F238E27FC236}">
              <a16:creationId xmlns:a16="http://schemas.microsoft.com/office/drawing/2014/main" id="{00000000-0008-0000-0300-000002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341890" y="56148"/>
          <a:ext cx="766031" cy="393032"/>
        </a:xfrm>
        <a:prstGeom prst="rect">
          <a:avLst/>
        </a:prstGeom>
        <a:noFill/>
        <a:ln>
          <a:noFill/>
          <a:prstDash val="solid"/>
        </a:ln>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1</xdr:col>
      <xdr:colOff>33130</xdr:colOff>
      <xdr:row>0</xdr:row>
      <xdr:rowOff>86140</xdr:rowOff>
    </xdr:from>
    <xdr:to>
      <xdr:col>1</xdr:col>
      <xdr:colOff>682487</xdr:colOff>
      <xdr:row>2</xdr:row>
      <xdr:rowOff>134387</xdr:rowOff>
    </xdr:to>
    <xdr:pic>
      <xdr:nvPicPr>
        <xdr:cNvPr id="2" name="Imagen 1" descr="http://promcoser.com/wp-content/uploads/2014/10/logo2.png">
          <a:extLst>
            <a:ext uri="{FF2B5EF4-FFF2-40B4-BE49-F238E27FC236}">
              <a16:creationId xmlns:a16="http://schemas.microsoft.com/office/drawing/2014/main" id="{14C34AAC-893D-4769-991F-06C053AE3D3E}"/>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22777" y="86140"/>
          <a:ext cx="649357" cy="326153"/>
        </a:xfrm>
        <a:prstGeom prst="rect">
          <a:avLst/>
        </a:prstGeom>
        <a:noFill/>
        <a:ln>
          <a:noFill/>
          <a:prstDash val="solid"/>
        </a:ln>
      </xdr:spPr>
    </xdr:pic>
    <xdr:clientData/>
  </xdr:twoCellAnchor>
</xdr:wsDr>
</file>

<file path=xl/namedSheetViews/namedSheetView1.xml><?xml version="1.0" encoding="utf-8"?>
<namedSheetViews xmlns="http://schemas.microsoft.com/office/spreadsheetml/2019/namedsheetviews" xmlns:x="http://schemas.openxmlformats.org/spreadsheetml/2006/main">
  <namedSheetView name="HEL" id="{6625E50E-0D49-4F6F-A134-8636E2E90BF2}">
    <nsvFilter filterId="{58921106-B134-4F33-B536-79D0F79C1B31}" ref="A8:AL14" tableId="0"/>
  </namedSheetView>
</namedSheetViews>
</file>

<file path=xl/namedSheetViews/namedSheetView2.xml><?xml version="1.0" encoding="utf-8"?>
<namedSheetViews xmlns="http://schemas.microsoft.com/office/spreadsheetml/2019/namedsheetviews" xmlns:x="http://schemas.openxmlformats.org/spreadsheetml/2006/main">
  <namedSheetView name="HEL" id="{E911675B-E4D6-4C56-B5D4-DDB1A889DA88}">
    <nsvFilter filterId="{58921106-B134-4F33-B536-79D0F79C1B31}" ref="A8:AD27" tableId="0"/>
  </namedSheetView>
</namedSheetView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B8CEEAF-56F9-49DE-A64E-4236D145A6FC}" name="CURVA_S" displayName="CURVA_S" ref="C8:P14" totalsRowShown="0" headerRowDxfId="21" dataDxfId="19" headerRowBorderDxfId="20" tableBorderDxfId="18" totalsRowBorderDxfId="17">
  <autoFilter ref="C8:P14" xr:uid="{6E8442FA-C810-4596-9741-47700B222F55}"/>
  <tableColumns count="14">
    <tableColumn id="1" xr3:uid="{68871BE9-CF68-470B-B125-01FA68FD9AFC}" name="Indicador" dataDxfId="16"/>
    <tableColumn id="2" xr3:uid="{EF232D3E-A955-4A0D-A978-17F8480E20CE}" name="1/01/2025" dataDxfId="15"/>
    <tableColumn id="3" xr3:uid="{361E6BD9-F90C-42B0-987B-54BFA03EBE55}" name="1/02/2025" dataDxfId="14"/>
    <tableColumn id="4" xr3:uid="{C1660AB8-A271-43D0-91D7-C3132DEEC808}" name="1/03/2025" dataDxfId="13"/>
    <tableColumn id="5" xr3:uid="{09B21E07-92B7-4C33-9377-69940A6C5901}" name="1/04/2025" dataDxfId="12"/>
    <tableColumn id="6" xr3:uid="{D123631C-2BBF-49CC-871F-CD078C8F3D46}" name="1/05/2025" dataDxfId="11"/>
    <tableColumn id="7" xr3:uid="{501E213C-5AE6-45FD-A22B-623C83E76DCA}" name="1/06/2025" dataDxfId="10"/>
    <tableColumn id="8" xr3:uid="{35608051-6BB0-458A-A5E0-A1A3659F269F}" name="1/07/2025" dataDxfId="9"/>
    <tableColumn id="9" xr3:uid="{0DBD95B5-B4D0-4B4F-83C5-29F403950FCA}" name="1/08/2025" dataDxfId="8"/>
    <tableColumn id="10" xr3:uid="{091EEBDD-ED2F-41DC-B625-42DE58682213}" name="1/09/2025" dataDxfId="7"/>
    <tableColumn id="11" xr3:uid="{81A2D0C2-FA8B-4A28-9F39-CD0B3FE91435}" name="1/10/2025" dataDxfId="6"/>
    <tableColumn id="12" xr3:uid="{0D1CF85F-C3E7-4341-8A8A-BFFDDD3E78BF}" name="1/11/2025" dataDxfId="5"/>
    <tableColumn id="13" xr3:uid="{B94DC6DB-F683-4B4F-8B23-E06002D66F36}" name="1/12/2025" dataDxfId="4"/>
    <tableColumn id="14" xr3:uid="{07210539-DA18-44DD-BFED-60CBC954D00D}" name="Columna2" dataDxfId="3"/>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microsoft.com/office/2019/04/relationships/namedSheetView" Target="../namedSheetViews/namedSheetView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3.xml"/><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3" Type="http://schemas.microsoft.com/office/2019/04/relationships/namedSheetView" Target="../namedSheetViews/namedSheetView2.xml"/><Relationship Id="rId2" Type="http://schemas.openxmlformats.org/officeDocument/2006/relationships/drawing" Target="../drawings/drawing4.xml"/><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161B04-A17B-4725-AF0A-3E01F33F2182}">
  <sheetPr>
    <tabColor theme="0"/>
    <pageSetUpPr fitToPage="1"/>
  </sheetPr>
  <dimension ref="A1:BB72"/>
  <sheetViews>
    <sheetView tabSelected="1" view="pageBreakPreview" zoomScale="80" zoomScaleNormal="85" zoomScaleSheetLayoutView="80" workbookViewId="0">
      <selection activeCell="F8" sqref="F8"/>
    </sheetView>
  </sheetViews>
  <sheetFormatPr baseColWidth="10" defaultColWidth="11.88671875" defaultRowHeight="8.4" customHeight="1" outlineLevelRow="1" x14ac:dyDescent="0.25"/>
  <cols>
    <col min="1" max="1" width="6.21875" style="495" customWidth="1"/>
    <col min="2" max="2" width="7.6640625" style="72" customWidth="1"/>
    <col min="3" max="3" width="5.44140625" style="405" customWidth="1"/>
    <col min="4" max="4" width="43.44140625" style="71" customWidth="1"/>
    <col min="5" max="7" width="7.88671875" style="71" customWidth="1"/>
    <col min="8" max="8" width="5.109375" style="71" hidden="1" customWidth="1"/>
    <col min="9" max="9" width="7.21875" style="71" hidden="1" customWidth="1"/>
    <col min="10" max="10" width="6.77734375" style="71" hidden="1" customWidth="1"/>
    <col min="11" max="12" width="4.6640625" style="71" hidden="1" customWidth="1"/>
    <col min="13" max="13" width="8.44140625" style="71" hidden="1" customWidth="1"/>
    <col min="14" max="14" width="7" style="73" customWidth="1"/>
    <col min="15" max="16" width="7.88671875" style="73" customWidth="1"/>
    <col min="17" max="19" width="7.88671875" style="74" customWidth="1"/>
    <col min="20" max="22" width="7.88671875" style="75" customWidth="1"/>
    <col min="23" max="23" width="6.6640625" style="75" customWidth="1"/>
    <col min="24" max="24" width="7.88671875" style="75" customWidth="1"/>
    <col min="25" max="25" width="5.88671875" style="75" customWidth="1"/>
    <col min="26" max="26" width="5.21875" style="72" customWidth="1"/>
    <col min="27" max="28" width="4.33203125" style="72" customWidth="1"/>
    <col min="29" max="35" width="4.77734375" style="405" customWidth="1"/>
    <col min="36" max="36" width="7.77734375" style="405" customWidth="1"/>
    <col min="37" max="37" width="6.21875" style="76" customWidth="1"/>
    <col min="38" max="38" width="6.21875" style="77" customWidth="1"/>
    <col min="39" max="41" width="5.109375" style="405" hidden="1" customWidth="1"/>
    <col min="42" max="48" width="4.6640625" style="405" customWidth="1"/>
    <col min="49" max="51" width="7.21875" style="405" customWidth="1"/>
    <col min="52" max="54" width="4.109375" style="405" hidden="1" customWidth="1"/>
    <col min="55" max="16384" width="11.88671875" style="405"/>
  </cols>
  <sheetData>
    <row r="1" spans="1:54" ht="12" customHeight="1" thickBot="1" x14ac:dyDescent="0.3">
      <c r="A1" s="526" t="s">
        <v>664</v>
      </c>
      <c r="B1" s="526"/>
      <c r="C1" s="526"/>
      <c r="D1" s="526"/>
      <c r="E1" s="526"/>
      <c r="F1" s="526"/>
      <c r="G1" s="526"/>
      <c r="H1" s="526"/>
      <c r="I1" s="526"/>
      <c r="J1" s="526"/>
      <c r="K1" s="526"/>
      <c r="L1" s="526"/>
      <c r="M1" s="526"/>
      <c r="N1" s="526"/>
      <c r="O1" s="526"/>
      <c r="P1" s="526"/>
      <c r="Q1" s="526"/>
      <c r="R1" s="526"/>
      <c r="S1" s="526"/>
      <c r="T1" s="526"/>
      <c r="U1" s="526"/>
      <c r="V1" s="526"/>
      <c r="W1" s="526"/>
      <c r="X1" s="526"/>
      <c r="Y1" s="526"/>
      <c r="Z1" s="526"/>
      <c r="AA1" s="526"/>
      <c r="AB1" s="526"/>
      <c r="AC1" s="526"/>
      <c r="AD1" s="526"/>
      <c r="AE1" s="526"/>
      <c r="AF1" s="526"/>
      <c r="AG1" s="526"/>
      <c r="AH1" s="526"/>
      <c r="AI1" s="526"/>
      <c r="AJ1" s="526"/>
      <c r="AK1" s="526"/>
      <c r="AL1" s="526"/>
      <c r="AM1" s="526"/>
      <c r="AN1" s="526"/>
      <c r="AO1" s="526"/>
    </row>
    <row r="2" spans="1:54" ht="18.600000000000001" hidden="1" customHeight="1" outlineLevel="1" thickBot="1" x14ac:dyDescent="0.3">
      <c r="A2" s="527"/>
      <c r="B2" s="528"/>
      <c r="C2" s="532" t="s">
        <v>210</v>
      </c>
      <c r="D2" s="533"/>
      <c r="E2" s="533"/>
      <c r="F2" s="533"/>
      <c r="G2" s="533"/>
      <c r="H2" s="533"/>
      <c r="I2" s="533"/>
      <c r="J2" s="533"/>
      <c r="K2" s="533"/>
      <c r="L2" s="533"/>
      <c r="M2" s="533"/>
      <c r="N2" s="533"/>
      <c r="O2" s="533"/>
      <c r="P2" s="533"/>
      <c r="Q2" s="533"/>
      <c r="R2" s="533"/>
      <c r="S2" s="533"/>
      <c r="T2" s="533"/>
      <c r="U2" s="533"/>
      <c r="V2" s="533"/>
      <c r="W2" s="533"/>
      <c r="X2" s="533"/>
      <c r="Y2" s="533"/>
      <c r="Z2" s="533"/>
      <c r="AA2" s="533"/>
      <c r="AB2" s="534"/>
      <c r="AC2" s="535"/>
      <c r="AD2" s="535"/>
      <c r="AE2" s="535"/>
      <c r="AF2" s="535"/>
      <c r="AG2" s="535"/>
      <c r="AH2" s="535"/>
      <c r="AI2" s="535"/>
      <c r="AJ2" s="535"/>
      <c r="AK2" s="535"/>
      <c r="AL2" s="536"/>
    </row>
    <row r="3" spans="1:54" ht="18.600000000000001" hidden="1" customHeight="1" outlineLevel="1" thickBot="1" x14ac:dyDescent="0.3">
      <c r="A3" s="529"/>
      <c r="B3" s="530"/>
      <c r="C3" s="532" t="s">
        <v>286</v>
      </c>
      <c r="D3" s="533"/>
      <c r="E3" s="533"/>
      <c r="F3" s="533"/>
      <c r="G3" s="533"/>
      <c r="H3" s="533"/>
      <c r="I3" s="533"/>
      <c r="J3" s="533"/>
      <c r="K3" s="533"/>
      <c r="L3" s="533"/>
      <c r="M3" s="533"/>
      <c r="N3" s="533"/>
      <c r="O3" s="533"/>
      <c r="P3" s="533"/>
      <c r="Q3" s="533"/>
      <c r="R3" s="533"/>
      <c r="S3" s="533"/>
      <c r="T3" s="533"/>
      <c r="U3" s="533"/>
      <c r="V3" s="533"/>
      <c r="W3" s="533"/>
      <c r="X3" s="533"/>
      <c r="Y3" s="533"/>
      <c r="Z3" s="533"/>
      <c r="AA3" s="533"/>
      <c r="AB3" s="534"/>
      <c r="AC3" s="537"/>
      <c r="AD3" s="537"/>
      <c r="AE3" s="537"/>
      <c r="AF3" s="537"/>
      <c r="AG3" s="537"/>
      <c r="AH3" s="537"/>
      <c r="AI3" s="537"/>
      <c r="AJ3" s="537"/>
      <c r="AK3" s="537"/>
      <c r="AL3" s="538"/>
    </row>
    <row r="4" spans="1:54" ht="12" hidden="1" customHeight="1" outlineLevel="1" thickBot="1" x14ac:dyDescent="0.3">
      <c r="A4" s="529"/>
      <c r="B4" s="530"/>
      <c r="C4" s="161" t="s">
        <v>0</v>
      </c>
      <c r="D4" s="511" t="s">
        <v>665</v>
      </c>
      <c r="E4" s="511"/>
      <c r="F4" s="511"/>
      <c r="G4" s="511"/>
      <c r="H4" s="511"/>
      <c r="I4" s="511"/>
      <c r="J4" s="511"/>
      <c r="K4" s="511"/>
      <c r="L4" s="511"/>
      <c r="M4" s="511"/>
      <c r="N4" s="511"/>
      <c r="O4" s="511"/>
      <c r="P4" s="511"/>
      <c r="Q4" s="511"/>
      <c r="R4" s="511"/>
      <c r="S4" s="511"/>
      <c r="T4" s="511"/>
      <c r="U4" s="511"/>
      <c r="V4" s="511"/>
      <c r="W4" s="539" t="s">
        <v>211</v>
      </c>
      <c r="X4" s="539"/>
      <c r="Y4" s="539" t="s">
        <v>212</v>
      </c>
      <c r="Z4" s="539"/>
      <c r="AA4" s="539" t="s">
        <v>213</v>
      </c>
      <c r="AB4" s="539"/>
      <c r="AC4" s="535"/>
      <c r="AD4" s="535"/>
      <c r="AE4" s="535"/>
      <c r="AF4" s="535"/>
      <c r="AG4" s="535"/>
      <c r="AH4" s="535"/>
      <c r="AI4" s="535"/>
      <c r="AJ4" s="535"/>
      <c r="AK4" s="535"/>
      <c r="AL4" s="536"/>
    </row>
    <row r="5" spans="1:54" ht="12" hidden="1" customHeight="1" outlineLevel="1" thickBot="1" x14ac:dyDescent="0.3">
      <c r="A5" s="529"/>
      <c r="B5" s="530"/>
      <c r="C5" s="161" t="s">
        <v>1</v>
      </c>
      <c r="D5" s="511" t="s">
        <v>666</v>
      </c>
      <c r="E5" s="511"/>
      <c r="F5" s="511"/>
      <c r="G5" s="511"/>
      <c r="H5" s="511"/>
      <c r="I5" s="511"/>
      <c r="J5" s="511"/>
      <c r="K5" s="511"/>
      <c r="L5" s="511"/>
      <c r="M5" s="511"/>
      <c r="N5" s="511"/>
      <c r="O5" s="511"/>
      <c r="P5" s="511"/>
      <c r="Q5" s="511"/>
      <c r="R5" s="511"/>
      <c r="S5" s="511"/>
      <c r="T5" s="511"/>
      <c r="U5" s="511"/>
      <c r="V5" s="511"/>
      <c r="W5" s="539"/>
      <c r="X5" s="539"/>
      <c r="Y5" s="539"/>
      <c r="Z5" s="539"/>
      <c r="AA5" s="539"/>
      <c r="AB5" s="539"/>
      <c r="AC5" s="526"/>
      <c r="AD5" s="526"/>
      <c r="AE5" s="526"/>
      <c r="AF5" s="526"/>
      <c r="AG5" s="526"/>
      <c r="AH5" s="526"/>
      <c r="AI5" s="526"/>
      <c r="AJ5" s="526"/>
      <c r="AK5" s="526"/>
      <c r="AL5" s="540"/>
    </row>
    <row r="6" spans="1:54" ht="19.2" hidden="1" customHeight="1" outlineLevel="1" thickBot="1" x14ac:dyDescent="0.3">
      <c r="A6" s="531"/>
      <c r="B6" s="530"/>
      <c r="C6" s="416" t="s">
        <v>13</v>
      </c>
      <c r="D6" s="512" t="s">
        <v>667</v>
      </c>
      <c r="E6" s="512"/>
      <c r="F6" s="512"/>
      <c r="G6" s="512"/>
      <c r="H6" s="512"/>
      <c r="I6" s="512"/>
      <c r="J6" s="512"/>
      <c r="K6" s="512"/>
      <c r="L6" s="512"/>
      <c r="M6" s="512"/>
      <c r="N6" s="512"/>
      <c r="O6" s="512"/>
      <c r="P6" s="512"/>
      <c r="Q6" s="512"/>
      <c r="R6" s="512"/>
      <c r="S6" s="512"/>
      <c r="T6" s="512"/>
      <c r="U6" s="512"/>
      <c r="V6" s="512"/>
      <c r="W6" s="513">
        <v>1</v>
      </c>
      <c r="X6" s="513"/>
      <c r="Y6" s="514">
        <v>46262</v>
      </c>
      <c r="Z6" s="514"/>
      <c r="AA6" s="514">
        <f>AI9</f>
        <v>46268</v>
      </c>
      <c r="AB6" s="514"/>
      <c r="AC6" s="526"/>
      <c r="AD6" s="526"/>
      <c r="AE6" s="526"/>
      <c r="AF6" s="526"/>
      <c r="AG6" s="526"/>
      <c r="AH6" s="526"/>
      <c r="AI6" s="526"/>
      <c r="AJ6" s="537"/>
      <c r="AK6" s="537"/>
      <c r="AL6" s="538"/>
    </row>
    <row r="7" spans="1:54" ht="17.399999999999999" customHeight="1" collapsed="1" thickBot="1" x14ac:dyDescent="0.3">
      <c r="A7" s="417"/>
      <c r="B7" s="418"/>
      <c r="C7" s="515" t="s">
        <v>277</v>
      </c>
      <c r="D7" s="516"/>
      <c r="E7" s="899" t="s">
        <v>780</v>
      </c>
      <c r="F7" s="898"/>
      <c r="G7" s="900"/>
      <c r="H7" s="517" t="s">
        <v>668</v>
      </c>
      <c r="I7" s="518"/>
      <c r="J7" s="519"/>
      <c r="K7" s="520"/>
      <c r="L7" s="521"/>
      <c r="M7" s="522"/>
      <c r="N7" s="505" t="s">
        <v>214</v>
      </c>
      <c r="O7" s="506"/>
      <c r="P7" s="506"/>
      <c r="Q7" s="506"/>
      <c r="R7" s="506"/>
      <c r="S7" s="507"/>
      <c r="T7" s="523" t="s">
        <v>215</v>
      </c>
      <c r="U7" s="524"/>
      <c r="V7" s="524"/>
      <c r="W7" s="524"/>
      <c r="X7" s="524"/>
      <c r="Y7" s="525"/>
      <c r="Z7" s="505" t="s">
        <v>216</v>
      </c>
      <c r="AA7" s="506"/>
      <c r="AB7" s="507"/>
      <c r="AC7" s="508">
        <f>+W6</f>
        <v>1</v>
      </c>
      <c r="AD7" s="508"/>
      <c r="AE7" s="508"/>
      <c r="AF7" s="508"/>
      <c r="AG7" s="508"/>
      <c r="AH7" s="508"/>
      <c r="AI7" s="509"/>
      <c r="AJ7" s="510" t="s">
        <v>669</v>
      </c>
      <c r="AK7" s="498" t="s">
        <v>670</v>
      </c>
      <c r="AL7" s="500" t="s">
        <v>671</v>
      </c>
      <c r="AM7" s="496" t="s">
        <v>672</v>
      </c>
      <c r="AN7" s="498" t="s">
        <v>673</v>
      </c>
      <c r="AO7" s="500" t="s">
        <v>674</v>
      </c>
      <c r="AP7" s="504" t="s">
        <v>675</v>
      </c>
      <c r="AQ7" s="504"/>
      <c r="AR7" s="504"/>
      <c r="AS7" s="504"/>
      <c r="AT7" s="504"/>
      <c r="AU7" s="504"/>
      <c r="AV7" s="504"/>
      <c r="AW7" s="496" t="s">
        <v>669</v>
      </c>
      <c r="AX7" s="498" t="s">
        <v>670</v>
      </c>
      <c r="AY7" s="500" t="s">
        <v>671</v>
      </c>
      <c r="AZ7" s="496" t="s">
        <v>672</v>
      </c>
      <c r="BA7" s="498" t="s">
        <v>673</v>
      </c>
      <c r="BB7" s="500" t="s">
        <v>674</v>
      </c>
    </row>
    <row r="8" spans="1:54" s="66" customFormat="1" ht="43.8" customHeight="1" thickBot="1" x14ac:dyDescent="0.35">
      <c r="A8" s="419" t="s">
        <v>220</v>
      </c>
      <c r="B8" s="420" t="s">
        <v>221</v>
      </c>
      <c r="C8" s="144" t="s">
        <v>2</v>
      </c>
      <c r="D8" s="421" t="s">
        <v>222</v>
      </c>
      <c r="E8" s="422" t="s">
        <v>781</v>
      </c>
      <c r="F8" s="891" t="s">
        <v>603</v>
      </c>
      <c r="G8" s="423" t="s">
        <v>19</v>
      </c>
      <c r="H8" s="422" t="s">
        <v>676</v>
      </c>
      <c r="I8" s="423" t="s">
        <v>271</v>
      </c>
      <c r="J8" s="424" t="s">
        <v>677</v>
      </c>
      <c r="K8" s="422" t="s">
        <v>386</v>
      </c>
      <c r="L8" s="423" t="s">
        <v>387</v>
      </c>
      <c r="M8" s="424" t="s">
        <v>388</v>
      </c>
      <c r="N8" s="422" t="s">
        <v>271</v>
      </c>
      <c r="O8" s="891" t="s">
        <v>603</v>
      </c>
      <c r="P8" s="423" t="s">
        <v>19</v>
      </c>
      <c r="Q8" s="423" t="s">
        <v>607</v>
      </c>
      <c r="R8" s="83" t="s">
        <v>223</v>
      </c>
      <c r="S8" s="425" t="s">
        <v>391</v>
      </c>
      <c r="T8" s="426" t="s">
        <v>22</v>
      </c>
      <c r="U8" s="892" t="s">
        <v>331</v>
      </c>
      <c r="V8" s="84" t="s">
        <v>32</v>
      </c>
      <c r="W8" s="84" t="s">
        <v>602</v>
      </c>
      <c r="X8" s="84" t="s">
        <v>392</v>
      </c>
      <c r="Y8" s="427" t="s">
        <v>225</v>
      </c>
      <c r="Z8" s="428" t="s">
        <v>242</v>
      </c>
      <c r="AA8" s="144" t="s">
        <v>226</v>
      </c>
      <c r="AB8" s="429" t="s">
        <v>227</v>
      </c>
      <c r="AC8" s="430">
        <f t="shared" ref="AC8:AI8" si="0">AC9</f>
        <v>46262</v>
      </c>
      <c r="AD8" s="430">
        <f t="shared" si="0"/>
        <v>46263</v>
      </c>
      <c r="AE8" s="430">
        <f t="shared" si="0"/>
        <v>46264</v>
      </c>
      <c r="AF8" s="430">
        <f t="shared" si="0"/>
        <v>46265</v>
      </c>
      <c r="AG8" s="430">
        <f t="shared" si="0"/>
        <v>46266</v>
      </c>
      <c r="AH8" s="430">
        <f t="shared" si="0"/>
        <v>46267</v>
      </c>
      <c r="AI8" s="430">
        <f t="shared" si="0"/>
        <v>46268</v>
      </c>
      <c r="AJ8" s="497"/>
      <c r="AK8" s="499"/>
      <c r="AL8" s="500"/>
      <c r="AM8" s="497"/>
      <c r="AN8" s="499"/>
      <c r="AO8" s="500"/>
      <c r="AP8" s="151">
        <f t="shared" ref="AP8:AV8" si="1">AP9</f>
        <v>0</v>
      </c>
      <c r="AQ8" s="151">
        <f t="shared" si="1"/>
        <v>1</v>
      </c>
      <c r="AR8" s="151">
        <f t="shared" si="1"/>
        <v>2</v>
      </c>
      <c r="AS8" s="151">
        <f t="shared" si="1"/>
        <v>3</v>
      </c>
      <c r="AT8" s="151">
        <f t="shared" si="1"/>
        <v>4</v>
      </c>
      <c r="AU8" s="151">
        <f t="shared" si="1"/>
        <v>5</v>
      </c>
      <c r="AV8" s="151">
        <f t="shared" si="1"/>
        <v>6</v>
      </c>
      <c r="AW8" s="497"/>
      <c r="AX8" s="499"/>
      <c r="AY8" s="500"/>
      <c r="AZ8" s="497"/>
      <c r="BA8" s="499"/>
      <c r="BB8" s="500"/>
    </row>
    <row r="9" spans="1:54" s="66" customFormat="1" ht="42" customHeight="1" x14ac:dyDescent="0.3">
      <c r="A9" s="431"/>
      <c r="B9" s="152"/>
      <c r="C9" s="153">
        <v>1</v>
      </c>
      <c r="D9" s="432" t="s">
        <v>243</v>
      </c>
      <c r="E9" s="893"/>
      <c r="F9" s="893"/>
      <c r="G9" s="893"/>
      <c r="H9" s="433"/>
      <c r="I9" s="136"/>
      <c r="J9" s="434"/>
      <c r="K9" s="433"/>
      <c r="L9" s="136"/>
      <c r="M9" s="434"/>
      <c r="N9" s="501"/>
      <c r="O9" s="502"/>
      <c r="P9" s="502"/>
      <c r="Q9" s="503"/>
      <c r="R9" s="166"/>
      <c r="S9" s="435">
        <f>IFERROR(X9/T9,0)</f>
        <v>0.22539401306018805</v>
      </c>
      <c r="T9" s="436">
        <f>T10</f>
        <v>5312.0827999999992</v>
      </c>
      <c r="U9" s="166">
        <f>U10</f>
        <v>1240</v>
      </c>
      <c r="V9" s="166">
        <f>V10</f>
        <v>4072.0828000000006</v>
      </c>
      <c r="W9" s="166"/>
      <c r="X9" s="166">
        <f>X10</f>
        <v>1197.3116600000001</v>
      </c>
      <c r="Y9" s="437">
        <f>SUM(Y12:Y14)/3</f>
        <v>0.83072561673414302</v>
      </c>
      <c r="Z9" s="438"/>
      <c r="AA9" s="164"/>
      <c r="AB9" s="439"/>
      <c r="AC9" s="155">
        <f>+Y6</f>
        <v>46262</v>
      </c>
      <c r="AD9" s="155">
        <f t="shared" ref="AD9:AI9" si="2">AC9+1</f>
        <v>46263</v>
      </c>
      <c r="AE9" s="155">
        <f t="shared" si="2"/>
        <v>46264</v>
      </c>
      <c r="AF9" s="155">
        <f t="shared" si="2"/>
        <v>46265</v>
      </c>
      <c r="AG9" s="155">
        <f t="shared" si="2"/>
        <v>46266</v>
      </c>
      <c r="AH9" s="155">
        <f t="shared" si="2"/>
        <v>46267</v>
      </c>
      <c r="AI9" s="155">
        <f t="shared" si="2"/>
        <v>46268</v>
      </c>
      <c r="AJ9" s="440">
        <f>SUM(AJ11:AJ72)</f>
        <v>297</v>
      </c>
      <c r="AK9" s="441">
        <f>SUM(AK10:AK72)</f>
        <v>7.4240514944533653E-2</v>
      </c>
      <c r="AL9" s="157">
        <f>SUM(AL10:AL72)</f>
        <v>394.37176250000005</v>
      </c>
      <c r="AM9" s="440"/>
      <c r="AN9" s="441"/>
      <c r="AO9" s="157"/>
      <c r="AP9" s="155">
        <f>+AK6</f>
        <v>0</v>
      </c>
      <c r="AQ9" s="155">
        <f t="shared" ref="AQ9:AV9" si="3">AP9+1</f>
        <v>1</v>
      </c>
      <c r="AR9" s="155">
        <f t="shared" si="3"/>
        <v>2</v>
      </c>
      <c r="AS9" s="155">
        <f t="shared" si="3"/>
        <v>3</v>
      </c>
      <c r="AT9" s="155">
        <f t="shared" si="3"/>
        <v>4</v>
      </c>
      <c r="AU9" s="155">
        <f t="shared" si="3"/>
        <v>5</v>
      </c>
      <c r="AV9" s="155">
        <f t="shared" si="3"/>
        <v>6</v>
      </c>
      <c r="AW9" s="440">
        <f>SUM(AW11:AW72)</f>
        <v>18</v>
      </c>
      <c r="AX9" s="441" t="e">
        <f>SUM(AX10:AX72)</f>
        <v>#DIV/0!</v>
      </c>
      <c r="AY9" s="157" t="e">
        <f>SUM(AY10:AY72)</f>
        <v>#VALUE!</v>
      </c>
      <c r="AZ9" s="440"/>
      <c r="BA9" s="441"/>
      <c r="BB9" s="157"/>
    </row>
    <row r="10" spans="1:54" s="66" customFormat="1" ht="12" customHeight="1" collapsed="1" x14ac:dyDescent="0.3">
      <c r="A10" s="137"/>
      <c r="B10" s="86"/>
      <c r="C10" s="87" t="s">
        <v>228</v>
      </c>
      <c r="D10" s="442" t="s">
        <v>678</v>
      </c>
      <c r="E10" s="894"/>
      <c r="F10" s="894"/>
      <c r="G10" s="894"/>
      <c r="H10" s="443"/>
      <c r="I10" s="88"/>
      <c r="J10" s="442"/>
      <c r="K10" s="443"/>
      <c r="L10" s="88"/>
      <c r="M10" s="442"/>
      <c r="N10" s="444">
        <f>SUM(N12:N14)+SUM(N16:N23)+SUM(N25:N32)+SUM(N34:N35)+SUM(N37:N38)+SUM(N40:N47)+SUM(N49:N56)+SUM(N58:N59)+SUM(N61:N62)+SUM(N64:N64)+SUM(N66:N66)+SUM(N68:N68)+SUM(N70:N70)+SUM(N72:N72)</f>
        <v>3522.58</v>
      </c>
      <c r="O10" s="133">
        <f>SUM(O12:O14)+SUM(O16:O23)+SUM(O25:O32)+SUM(O34:O35)+SUM(O37:O38)+SUM(O40:O47)+SUM(O49:O56)+SUM(O58:O59)+SUM(O61:O62)+SUM(O64:O64)+SUM(O66:O66)+SUM(O68:O68)+SUM(O70:O70)+SUM(O72:O72)</f>
        <v>4.7</v>
      </c>
      <c r="P10" s="133">
        <f>SUM(P12:P14)+SUM(P16:P23)+SUM(P25:P32)+SUM(P34:P35)+SUM(P37:P38)+SUM(P40:P47)+SUM(P49:P56)+SUM(P58:P59)+SUM(P61:P62)+SUM(P64:P64)+SUM(P66:P66)+SUM(P68:P68)+SUM(P70:P70)+SUM(P72:P72)</f>
        <v>3517.88</v>
      </c>
      <c r="Q10" s="89"/>
      <c r="R10" s="89"/>
      <c r="S10" s="445">
        <f>SUM(S12:S14)+SUM(S16:S23)+SUM(S25:S32)+SUM(S34:S35)+SUM(S37:S38)+SUM(S40:S47)+SUM(S49:S56)+SUM(S58:S59)+SUM(S61:S62)+SUM(S64:S64)+SUM(S66:S66)+SUM(S68:S68)+SUM(S70:S70)+SUM(S72:S72)</f>
        <v>0.22539401306018803</v>
      </c>
      <c r="T10" s="444">
        <f>SUM(T12:T14)+SUM(T16:T23)+SUM(T25:T32)+SUM(T34:T35)+SUM(T37:T38)+SUM(T40:T47)+SUM(T49:T56)+SUM(T58:T59)+SUM(T61:T62)+SUM(T64:T64)+SUM(T66:T66)+SUM(T68:T68)+SUM(T70:T70)+SUM(T72:T72)</f>
        <v>5312.0827999999992</v>
      </c>
      <c r="U10" s="133">
        <f>SUM(U12:U14)+SUM(U16:U23)+SUM(U25:U32)+SUM(U34:U35)+SUM(U37:U38)+SUM(U40:U47)+SUM(U49:U56)+SUM(U58:U59)+SUM(U61:U62)+SUM(U64:U64)+SUM(U66:U66)+SUM(U68:U68)+SUM(U70:U70)+SUM(U72:U72)</f>
        <v>1240</v>
      </c>
      <c r="V10" s="133">
        <f>SUM(V12:V14)+SUM(V16:V23)+SUM(V25:V32)+SUM(V34:V35)+SUM(V37:V38)+SUM(V40:V47)+SUM(V49:V56)+SUM(V58:V59)+SUM(V61:V62)+SUM(V64:V64)+SUM(V66:V66)+SUM(V68:V68)+SUM(V70:V70)+SUM(V72:V72)</f>
        <v>4072.0828000000006</v>
      </c>
      <c r="W10" s="89"/>
      <c r="X10" s="133">
        <f>SUM(X12:X14)+SUM(X16:X23)+SUM(X25:X32)+SUM(X34:X35)+SUM(X37:X38)+SUM(X40:X47)+SUM(X49:X56)+SUM(X58:X59)+SUM(X61:X62)+SUM(X64:X64)+SUM(X66:X66)+SUM(X68:X68)+SUM(X70:X70)+SUM(X72:X72)</f>
        <v>1197.3116600000001</v>
      </c>
      <c r="Y10" s="446">
        <f>IFERROR(X10/U10,0)</f>
        <v>0.96557391935483872</v>
      </c>
      <c r="Z10" s="447"/>
      <c r="AA10" s="91"/>
      <c r="AB10" s="92"/>
      <c r="AC10" s="91"/>
      <c r="AD10" s="91"/>
      <c r="AE10" s="91"/>
      <c r="AF10" s="91"/>
      <c r="AG10" s="91"/>
      <c r="AH10" s="91"/>
      <c r="AI10" s="91"/>
      <c r="AJ10" s="91"/>
      <c r="AK10" s="91"/>
      <c r="AL10" s="92"/>
      <c r="AM10" s="91"/>
      <c r="AN10" s="91"/>
      <c r="AO10" s="92"/>
      <c r="AP10" s="91"/>
      <c r="AQ10" s="91"/>
      <c r="AR10" s="91"/>
      <c r="AS10" s="91"/>
      <c r="AT10" s="91"/>
      <c r="AU10" s="91"/>
      <c r="AV10" s="91"/>
      <c r="AW10" s="91"/>
      <c r="AX10" s="91"/>
      <c r="AY10" s="92"/>
      <c r="AZ10" s="91"/>
      <c r="BA10" s="91"/>
      <c r="BB10" s="92"/>
    </row>
    <row r="11" spans="1:54" s="66" customFormat="1" ht="12" customHeight="1" x14ac:dyDescent="0.3">
      <c r="A11" s="404"/>
      <c r="B11" s="158"/>
      <c r="C11" s="94" t="s">
        <v>679</v>
      </c>
      <c r="D11" s="448" t="s">
        <v>680</v>
      </c>
      <c r="E11" s="895"/>
      <c r="F11" s="895"/>
      <c r="G11" s="895"/>
      <c r="H11" s="449"/>
      <c r="I11" s="95"/>
      <c r="J11" s="448"/>
      <c r="K11" s="449"/>
      <c r="L11" s="95"/>
      <c r="M11" s="448"/>
      <c r="N11" s="450"/>
      <c r="O11" s="96"/>
      <c r="P11" s="96"/>
      <c r="Q11" s="97"/>
      <c r="R11" s="97"/>
      <c r="S11" s="451"/>
      <c r="T11" s="452"/>
      <c r="U11" s="98"/>
      <c r="V11" s="98"/>
      <c r="W11" s="98"/>
      <c r="X11" s="98"/>
      <c r="Y11" s="453"/>
      <c r="Z11" s="158"/>
      <c r="AA11" s="99"/>
      <c r="AB11" s="454"/>
      <c r="AC11" s="100"/>
      <c r="AD11" s="100"/>
      <c r="AE11" s="100"/>
      <c r="AF11" s="100"/>
      <c r="AG11" s="100"/>
      <c r="AH11" s="100"/>
      <c r="AI11" s="100"/>
      <c r="AJ11" s="101">
        <f t="shared" ref="AJ11" si="4">SUM(AC11:AI11)</f>
        <v>0</v>
      </c>
      <c r="AK11" s="102"/>
      <c r="AL11" s="103"/>
      <c r="AM11" s="101"/>
      <c r="AN11" s="102"/>
      <c r="AO11" s="103"/>
      <c r="AP11" s="100"/>
      <c r="AQ11" s="100"/>
      <c r="AR11" s="100"/>
      <c r="AS11" s="100"/>
      <c r="AT11" s="100"/>
      <c r="AU11" s="100"/>
      <c r="AV11" s="100"/>
      <c r="AW11" s="101">
        <f t="shared" ref="AW11" si="5">SUM(AP11:AV11)</f>
        <v>0</v>
      </c>
      <c r="AX11" s="102"/>
      <c r="AY11" s="103"/>
      <c r="AZ11" s="101"/>
      <c r="BA11" s="102"/>
      <c r="BB11" s="103"/>
    </row>
    <row r="12" spans="1:54" s="66" customFormat="1" ht="12" customHeight="1" x14ac:dyDescent="0.3">
      <c r="A12" s="404" t="s">
        <v>239</v>
      </c>
      <c r="B12" s="158" t="str">
        <f>+IF(SUMIFS($AC12:$AL12,$AC$8:$AL$8,"&gt;="&amp;$Y$6,$AC$8:$AL$8,"&lt;="&amp;$AA$6)&gt;0,"Si","NO")</f>
        <v>Si</v>
      </c>
      <c r="C12" s="167" t="s">
        <v>681</v>
      </c>
      <c r="D12" s="455" t="s">
        <v>682</v>
      </c>
      <c r="E12" s="896"/>
      <c r="F12" s="896"/>
      <c r="G12" s="896"/>
      <c r="H12" s="456"/>
      <c r="I12" s="457"/>
      <c r="J12" s="455" t="s">
        <v>683</v>
      </c>
      <c r="K12" s="456"/>
      <c r="L12" s="457"/>
      <c r="M12" s="455"/>
      <c r="N12" s="452">
        <v>1.5</v>
      </c>
      <c r="O12" s="458">
        <v>1.5</v>
      </c>
      <c r="P12" s="96">
        <f t="shared" ref="P12:P14" si="6">N12-O12</f>
        <v>0</v>
      </c>
      <c r="Q12" s="105">
        <f t="shared" ref="Q12:Q14" si="7">IFERROR(O12/N12,0)</f>
        <v>1</v>
      </c>
      <c r="R12" s="105">
        <f>IFERROR(T12/$T$10,0)</f>
        <v>0.17620207275383587</v>
      </c>
      <c r="S12" s="459">
        <f>Q12*R12</f>
        <v>0.17620207275383587</v>
      </c>
      <c r="T12" s="452">
        <v>936</v>
      </c>
      <c r="U12" s="131">
        <v>950</v>
      </c>
      <c r="V12" s="98">
        <f>T12-U12</f>
        <v>-14</v>
      </c>
      <c r="W12" s="98">
        <f>IFERROR(T12/N12,0)</f>
        <v>624</v>
      </c>
      <c r="X12" s="98">
        <f>O12*W12</f>
        <v>936</v>
      </c>
      <c r="Y12" s="453">
        <f>IFERROR(X12/U12,0)</f>
        <v>0.98526315789473684</v>
      </c>
      <c r="Z12" s="158"/>
      <c r="AA12" s="99"/>
      <c r="AB12" s="454"/>
      <c r="AC12" s="460">
        <v>0.2</v>
      </c>
      <c r="AD12" s="460">
        <v>0.2</v>
      </c>
      <c r="AE12" s="460">
        <v>0.2</v>
      </c>
      <c r="AF12" s="100" t="str">
        <f>IFERROR(IF(AND(AF$9&gt;=$AA12,AF$9&lt;=$AB12),$P12/$Z12,""),"")</f>
        <v/>
      </c>
      <c r="AG12" s="100" t="str">
        <f>IFERROR(IF(AND(AG$9&gt;=$AA12,AG$9&lt;=$AB12),$P12/$Z12,""),"")</f>
        <v/>
      </c>
      <c r="AH12" s="100" t="str">
        <f>IFERROR(IF(AND(AH$9&gt;=$AA12,AH$9&lt;=$AB12),$P12/$Z12,""),"")</f>
        <v/>
      </c>
      <c r="AI12" s="100" t="str">
        <f>IFERROR(IF(AND(AI$9&gt;=$AA12,AI$9&lt;=$AB12),$P12/$Z12,""),"")</f>
        <v/>
      </c>
      <c r="AJ12" s="461">
        <f>SUM(AC12:AF12)*J12</f>
        <v>90.000000000000014</v>
      </c>
      <c r="AK12" s="102">
        <f>((SUM(AC12:AI12)/N12)*R12)</f>
        <v>7.0480829101534359E-2</v>
      </c>
      <c r="AL12" s="103">
        <f>SUM(AC12:AF12)*W12</f>
        <v>374.40000000000003</v>
      </c>
      <c r="AM12" s="461"/>
      <c r="AN12" s="102"/>
      <c r="AO12" s="103"/>
      <c r="AP12" s="460"/>
      <c r="AQ12" s="460"/>
      <c r="AR12" s="460"/>
      <c r="AS12" s="100"/>
      <c r="AT12" s="100" t="str">
        <f t="shared" ref="AT12:AV14" si="8">IFERROR(IF(AND(AT$9&gt;=$AA12,AT$9&lt;=$AB12),$P12/$Z12,""),"")</f>
        <v/>
      </c>
      <c r="AU12" s="100" t="str">
        <f t="shared" si="8"/>
        <v/>
      </c>
      <c r="AV12" s="100" t="str">
        <f t="shared" si="8"/>
        <v/>
      </c>
      <c r="AW12" s="461">
        <f>SUM(AP12:AS12)*W12</f>
        <v>0</v>
      </c>
      <c r="AX12" s="102" t="e">
        <f>((SUM(AP12:AV12)/AA12)*AD12)</f>
        <v>#DIV/0!</v>
      </c>
      <c r="AY12" s="103" t="e">
        <f>SUM(AP12:AS12)*AI12</f>
        <v>#VALUE!</v>
      </c>
      <c r="AZ12" s="461"/>
      <c r="BA12" s="102"/>
      <c r="BB12" s="103"/>
    </row>
    <row r="13" spans="1:54" s="66" customFormat="1" ht="12" customHeight="1" x14ac:dyDescent="0.3">
      <c r="A13" s="462" t="s">
        <v>239</v>
      </c>
      <c r="B13" s="158" t="str">
        <f>+IF(SUMIFS($AC13:$AL13,$AC$8:$AL$8,"&gt;="&amp;$Y$6,$AC$8:$AL$8,"&lt;="&amp;$AA$6)&gt;0,"Si","NO")</f>
        <v>Si</v>
      </c>
      <c r="C13" s="167" t="s">
        <v>684</v>
      </c>
      <c r="D13" s="455" t="s">
        <v>685</v>
      </c>
      <c r="E13" s="896"/>
      <c r="F13" s="896"/>
      <c r="G13" s="896"/>
      <c r="H13" s="456"/>
      <c r="I13" s="457" t="s">
        <v>686</v>
      </c>
      <c r="J13" s="455" t="s">
        <v>687</v>
      </c>
      <c r="K13" s="456"/>
      <c r="L13" s="457"/>
      <c r="M13" s="455"/>
      <c r="N13" s="452">
        <v>4</v>
      </c>
      <c r="O13" s="458">
        <v>2</v>
      </c>
      <c r="P13" s="96">
        <f t="shared" si="6"/>
        <v>2</v>
      </c>
      <c r="Q13" s="105">
        <f t="shared" si="7"/>
        <v>0.5</v>
      </c>
      <c r="R13" s="105">
        <f>IFERROR(T13/$T$10,0)</f>
        <v>6.4079949958611351E-3</v>
      </c>
      <c r="S13" s="459">
        <f t="shared" ref="S13:S14" si="9">Q13*R13</f>
        <v>3.2039974979305675E-3</v>
      </c>
      <c r="T13" s="452">
        <v>34.0398</v>
      </c>
      <c r="U13" s="131">
        <v>30</v>
      </c>
      <c r="V13" s="98">
        <f t="shared" ref="V13:V14" si="10">T13-U13</f>
        <v>4.0397999999999996</v>
      </c>
      <c r="W13" s="98">
        <f>IFERROR(T13/N13,0)</f>
        <v>8.5099499999999999</v>
      </c>
      <c r="X13" s="98">
        <f t="shared" ref="X13:X14" si="11">O13*W13</f>
        <v>17.0199</v>
      </c>
      <c r="Y13" s="453">
        <f>IFERROR(X13/U13,0)</f>
        <v>0.56733</v>
      </c>
      <c r="Z13" s="463"/>
      <c r="AA13" s="108"/>
      <c r="AB13" s="464"/>
      <c r="AC13" s="460"/>
      <c r="AD13" s="460"/>
      <c r="AE13" s="460">
        <v>1</v>
      </c>
      <c r="AF13" s="460">
        <v>1</v>
      </c>
      <c r="AG13" s="109" t="str">
        <f t="shared" ref="AG13:AI14" si="12">IFERROR(IF(AND(AG$9&gt;=$AA13,AG$9&lt;=$AB13),$P13/$Z13,""),"")</f>
        <v/>
      </c>
      <c r="AH13" s="109" t="str">
        <f t="shared" si="12"/>
        <v/>
      </c>
      <c r="AI13" s="109" t="str">
        <f t="shared" si="12"/>
        <v/>
      </c>
      <c r="AJ13" s="461">
        <f>SUM(AC13:AF13)*J13</f>
        <v>200</v>
      </c>
      <c r="AK13" s="102">
        <f>((SUM(AC13:AI13)/N13)*R13)</f>
        <v>3.2039974979305675E-3</v>
      </c>
      <c r="AL13" s="103">
        <f>SUM(AC13:AF13)*W13</f>
        <v>17.0199</v>
      </c>
      <c r="AM13" s="461"/>
      <c r="AN13" s="102"/>
      <c r="AO13" s="103"/>
      <c r="AP13" s="460"/>
      <c r="AQ13" s="460"/>
      <c r="AR13" s="460"/>
      <c r="AS13" s="460"/>
      <c r="AT13" s="109" t="str">
        <f t="shared" si="8"/>
        <v/>
      </c>
      <c r="AU13" s="109" t="str">
        <f t="shared" si="8"/>
        <v/>
      </c>
      <c r="AV13" s="109" t="str">
        <f t="shared" si="8"/>
        <v/>
      </c>
      <c r="AW13" s="461">
        <f>SUM(AP13:AS13)*W13</f>
        <v>0</v>
      </c>
      <c r="AX13" s="102" t="e">
        <f>((SUM(AP13:AV13)/AA13)*AD13)</f>
        <v>#DIV/0!</v>
      </c>
      <c r="AY13" s="103" t="e">
        <f>SUM(AP13:AS13)*AI13</f>
        <v>#VALUE!</v>
      </c>
      <c r="AZ13" s="461"/>
      <c r="BA13" s="102"/>
      <c r="BB13" s="103"/>
    </row>
    <row r="14" spans="1:54" s="66" customFormat="1" ht="12" customHeight="1" x14ac:dyDescent="0.3">
      <c r="A14" s="404" t="s">
        <v>239</v>
      </c>
      <c r="B14" s="158" t="str">
        <f>+IF(SUMIFS($AC14:$AL14,$AC$8:$AL$8,"&gt;="&amp;$Y$6,$AC$8:$AL$8,"&lt;="&amp;$AA$6)&gt;0,"Si","NO")</f>
        <v>NO</v>
      </c>
      <c r="C14" s="167" t="s">
        <v>688</v>
      </c>
      <c r="D14" s="455" t="s">
        <v>689</v>
      </c>
      <c r="E14" s="896"/>
      <c r="F14" s="896"/>
      <c r="G14" s="896"/>
      <c r="H14" s="456"/>
      <c r="I14" s="457"/>
      <c r="J14" s="455"/>
      <c r="K14" s="456"/>
      <c r="L14" s="457"/>
      <c r="M14" s="455"/>
      <c r="N14" s="452">
        <v>1.5</v>
      </c>
      <c r="O14" s="458">
        <v>1.2</v>
      </c>
      <c r="P14" s="96">
        <f t="shared" si="6"/>
        <v>0.30000000000000004</v>
      </c>
      <c r="Q14" s="105">
        <f t="shared" si="7"/>
        <v>0.79999999999999993</v>
      </c>
      <c r="R14" s="105">
        <f>IFERROR(T14/$T$10,0)</f>
        <v>5.7484928510526993E-2</v>
      </c>
      <c r="S14" s="459">
        <f t="shared" si="9"/>
        <v>4.598794280842159E-2</v>
      </c>
      <c r="T14" s="452">
        <v>305.36470000000003</v>
      </c>
      <c r="U14" s="131">
        <v>260</v>
      </c>
      <c r="V14" s="98">
        <f t="shared" si="10"/>
        <v>45.364700000000028</v>
      </c>
      <c r="W14" s="98">
        <f>IFERROR(T14/N14,0)</f>
        <v>203.57646666666668</v>
      </c>
      <c r="X14" s="98">
        <f t="shared" si="11"/>
        <v>244.29176000000001</v>
      </c>
      <c r="Y14" s="453">
        <f>IFERROR(X14/U14,0)</f>
        <v>0.93958369230769234</v>
      </c>
      <c r="Z14" s="158"/>
      <c r="AA14" s="99"/>
      <c r="AB14" s="454"/>
      <c r="AC14" s="460" t="str">
        <f>IFERROR(IF(AND(AC$9&gt;=$AA14,AC$9&lt;=$AB14),$P14/$Z14,""),"")</f>
        <v/>
      </c>
      <c r="AD14" s="100" t="str">
        <f>IFERROR(IF(AND(AD$9&gt;=$AA14,AD$9&lt;=$AB14),$P14/$Z14,""),"")</f>
        <v/>
      </c>
      <c r="AE14" s="100" t="str">
        <f>IFERROR(IF(AND(AE$9&gt;=$AA14,AE$9&lt;=$AB14),$P14/$Z14,""),"")</f>
        <v/>
      </c>
      <c r="AF14" s="100" t="str">
        <f>IFERROR(IF(AND(AF$9&gt;=$AA14,AF$9&lt;=$AB14),$P14/$Z14,""),"")</f>
        <v/>
      </c>
      <c r="AG14" s="100" t="str">
        <f t="shared" si="12"/>
        <v/>
      </c>
      <c r="AH14" s="100" t="str">
        <f t="shared" si="12"/>
        <v/>
      </c>
      <c r="AI14" s="100" t="str">
        <f t="shared" si="12"/>
        <v/>
      </c>
      <c r="AJ14" s="461">
        <f t="shared" ref="AJ14:AJ23" si="13">SUM(AC14:AI14)</f>
        <v>0</v>
      </c>
      <c r="AK14" s="102">
        <f>IFERROR(AJ14/N14*R14,0)</f>
        <v>0</v>
      </c>
      <c r="AL14" s="103">
        <f>W14*AJ14</f>
        <v>0</v>
      </c>
      <c r="AM14" s="461"/>
      <c r="AN14" s="102"/>
      <c r="AO14" s="103"/>
      <c r="AP14" s="460"/>
      <c r="AQ14" s="100"/>
      <c r="AR14" s="100"/>
      <c r="AS14" s="100"/>
      <c r="AT14" s="100" t="str">
        <f t="shared" si="8"/>
        <v/>
      </c>
      <c r="AU14" s="100" t="str">
        <f t="shared" si="8"/>
        <v/>
      </c>
      <c r="AV14" s="100" t="str">
        <f t="shared" si="8"/>
        <v/>
      </c>
      <c r="AW14" s="461">
        <f t="shared" ref="AW14:AW23" si="14">SUM(AP14:AV14)</f>
        <v>0</v>
      </c>
      <c r="AX14" s="102">
        <f>IFERROR(AW14/AA14*AD14,0)</f>
        <v>0</v>
      </c>
      <c r="AY14" s="103" t="e">
        <f>AI14*AW14</f>
        <v>#VALUE!</v>
      </c>
      <c r="AZ14" s="461"/>
      <c r="BA14" s="102"/>
      <c r="BB14" s="103"/>
    </row>
    <row r="15" spans="1:54" s="66" customFormat="1" ht="12" customHeight="1" x14ac:dyDescent="0.3">
      <c r="A15" s="404"/>
      <c r="B15" s="158"/>
      <c r="C15" s="94" t="s">
        <v>690</v>
      </c>
      <c r="D15" s="448" t="s">
        <v>691</v>
      </c>
      <c r="E15" s="895"/>
      <c r="F15" s="895"/>
      <c r="G15" s="895"/>
      <c r="H15" s="449"/>
      <c r="I15" s="95"/>
      <c r="J15" s="448"/>
      <c r="K15" s="449"/>
      <c r="L15" s="95"/>
      <c r="M15" s="448"/>
      <c r="N15" s="450"/>
      <c r="O15" s="96"/>
      <c r="P15" s="96"/>
      <c r="Q15" s="97"/>
      <c r="R15" s="97"/>
      <c r="S15" s="451"/>
      <c r="T15" s="452"/>
      <c r="U15" s="98"/>
      <c r="V15" s="98"/>
      <c r="W15" s="98"/>
      <c r="X15" s="98"/>
      <c r="Y15" s="453"/>
      <c r="Z15" s="158"/>
      <c r="AA15" s="99"/>
      <c r="AB15" s="454"/>
      <c r="AC15" s="465"/>
      <c r="AD15" s="100"/>
      <c r="AE15" s="100"/>
      <c r="AF15" s="100"/>
      <c r="AG15" s="100"/>
      <c r="AH15" s="100"/>
      <c r="AI15" s="100"/>
      <c r="AJ15" s="101">
        <f t="shared" si="13"/>
        <v>0</v>
      </c>
      <c r="AK15" s="102"/>
      <c r="AL15" s="103"/>
      <c r="AM15" s="101"/>
      <c r="AN15" s="102"/>
      <c r="AO15" s="103"/>
      <c r="AP15" s="465"/>
      <c r="AQ15" s="100"/>
      <c r="AR15" s="100"/>
      <c r="AS15" s="100"/>
      <c r="AT15" s="100"/>
      <c r="AU15" s="100"/>
      <c r="AV15" s="100"/>
      <c r="AW15" s="101">
        <f t="shared" si="14"/>
        <v>0</v>
      </c>
      <c r="AX15" s="102"/>
      <c r="AY15" s="103"/>
      <c r="AZ15" s="101"/>
      <c r="BA15" s="102"/>
      <c r="BB15" s="103"/>
    </row>
    <row r="16" spans="1:54" s="66" customFormat="1" ht="12" customHeight="1" x14ac:dyDescent="0.3">
      <c r="A16" s="404" t="s">
        <v>239</v>
      </c>
      <c r="B16" s="158" t="str">
        <f t="shared" ref="B16:B23" si="15">+IF(SUMIFS($AC16:$AL16,$AC$8:$AL$8,"&gt;="&amp;$Y$6,$AC$8:$AL$8,"&lt;="&amp;$AA$6)&gt;0,"Si","NO")</f>
        <v>NO</v>
      </c>
      <c r="C16" s="167" t="s">
        <v>692</v>
      </c>
      <c r="D16" s="455" t="s">
        <v>693</v>
      </c>
      <c r="E16" s="896"/>
      <c r="F16" s="896"/>
      <c r="G16" s="896"/>
      <c r="H16" s="466" t="s">
        <v>694</v>
      </c>
      <c r="I16" s="467"/>
      <c r="J16" s="468"/>
      <c r="K16" s="469"/>
      <c r="L16" s="470"/>
      <c r="M16" s="468"/>
      <c r="N16" s="452">
        <v>11.52</v>
      </c>
      <c r="O16" s="458"/>
      <c r="P16" s="96">
        <f t="shared" ref="P16:P23" si="16">N16-O16</f>
        <v>11.52</v>
      </c>
      <c r="Q16" s="105">
        <f t="shared" ref="Q16:Q23" si="17">IFERROR(O16/N16,0)</f>
        <v>0</v>
      </c>
      <c r="R16" s="105">
        <f t="shared" ref="R16:R23" si="18">IFERROR(T16/$T$10,0)</f>
        <v>1.2305719331031514E-3</v>
      </c>
      <c r="S16" s="459">
        <f t="shared" ref="S16:S23" si="19">Q16*R16</f>
        <v>0</v>
      </c>
      <c r="T16" s="452">
        <v>6.5369000000000002</v>
      </c>
      <c r="U16" s="131"/>
      <c r="V16" s="98">
        <f t="shared" ref="V16:V23" si="20">T16-U16</f>
        <v>6.5369000000000002</v>
      </c>
      <c r="W16" s="98">
        <f t="shared" ref="W16:W22" si="21">IFERROR(T16/N16,0)</f>
        <v>0.56743923611111113</v>
      </c>
      <c r="X16" s="98">
        <f t="shared" ref="X16:X23" si="22">O16*W16</f>
        <v>0</v>
      </c>
      <c r="Y16" s="453">
        <f t="shared" ref="Y16:Y23" si="23">IFERROR(X16/U16,0)</f>
        <v>0</v>
      </c>
      <c r="Z16" s="158"/>
      <c r="AA16" s="99"/>
      <c r="AB16" s="454"/>
      <c r="AC16" s="460" t="str">
        <f>IFERROR(IF(AND(AC$9&gt;=$AA16,AC$9&lt;=$AB16),$P16/$Z16,""),"")</f>
        <v/>
      </c>
      <c r="AD16" s="100" t="str">
        <f>IFERROR(IF(AND(AD$9&gt;=$AA16,AD$9&lt;=$AB16),$P16/$Z16,""),"")</f>
        <v/>
      </c>
      <c r="AE16" s="100" t="str">
        <f>IFERROR(IF(AND(AE$9&gt;=$AA16,AE$9&lt;=$AB16),$P16/$Z16,""),"")</f>
        <v/>
      </c>
      <c r="AF16" s="100" t="str">
        <f>IFERROR(IF(AND(AF$9&gt;=$AA16,AF$9&lt;=$AB16),$P16/$Z16,""),"")</f>
        <v/>
      </c>
      <c r="AG16" s="100" t="str">
        <f>IFERROR(IF(AND(AG$9&gt;=$AA16,AG$9&lt;=$AB16),$P16/$Z16,""),"")</f>
        <v/>
      </c>
      <c r="AH16" s="100" t="str">
        <f>IFERROR(IF(AND(AH$9&gt;=$AA16,AH$9&lt;=$AB16),$P16/$Z16,""),"")</f>
        <v/>
      </c>
      <c r="AI16" s="100" t="str">
        <f>IFERROR(IF(AND(AI$9&gt;=$AA16,AI$9&lt;=$AB16),$P16/$Z16,""),"")</f>
        <v/>
      </c>
      <c r="AJ16" s="106">
        <f t="shared" si="13"/>
        <v>0</v>
      </c>
      <c r="AK16" s="102">
        <f t="shared" ref="AK16:AK23" si="24">IFERROR(AJ16/N16*R16,0)</f>
        <v>0</v>
      </c>
      <c r="AL16" s="103">
        <f t="shared" ref="AL16:AL23" si="25">W16*AJ16</f>
        <v>0</v>
      </c>
      <c r="AM16" s="106"/>
      <c r="AN16" s="102"/>
      <c r="AO16" s="103"/>
      <c r="AP16" s="460" t="str">
        <f>IFERROR(IF(AND(AP$9&gt;=$AA16,AP$9&lt;=$AB16),$P16/$Z16,""),"")</f>
        <v/>
      </c>
      <c r="AQ16" s="100">
        <v>2</v>
      </c>
      <c r="AR16" s="100" t="str">
        <f>IFERROR(IF(AND(AR$9&gt;=$AA16,AR$9&lt;=$AB16),$P16/$Z16,""),"")</f>
        <v/>
      </c>
      <c r="AS16" s="100" t="str">
        <f>IFERROR(IF(AND(AS$9&gt;=$AA16,AS$9&lt;=$AB16),$P16/$Z16,""),"")</f>
        <v/>
      </c>
      <c r="AT16" s="100" t="str">
        <f>IFERROR(IF(AND(AT$9&gt;=$AA16,AT$9&lt;=$AB16),$P16/$Z16,""),"")</f>
        <v/>
      </c>
      <c r="AU16" s="100" t="str">
        <f>IFERROR(IF(AND(AU$9&gt;=$AA16,AU$9&lt;=$AB16),$P16/$Z16,""),"")</f>
        <v/>
      </c>
      <c r="AV16" s="100" t="str">
        <f>IFERROR(IF(AND(AV$9&gt;=$AA16,AV$9&lt;=$AB16),$P16/$Z16,""),"")</f>
        <v/>
      </c>
      <c r="AW16" s="106">
        <f t="shared" si="14"/>
        <v>2</v>
      </c>
      <c r="AX16" s="102">
        <f t="shared" ref="AX16:AX23" si="26">IFERROR(AW16/AA16*AD16,0)</f>
        <v>0</v>
      </c>
      <c r="AY16" s="103" t="e">
        <f t="shared" ref="AY16:AY23" si="27">AI16*AW16</f>
        <v>#VALUE!</v>
      </c>
      <c r="AZ16" s="106"/>
      <c r="BA16" s="102"/>
      <c r="BB16" s="103"/>
    </row>
    <row r="17" spans="1:54" s="66" customFormat="1" ht="12" customHeight="1" x14ac:dyDescent="0.3">
      <c r="A17" s="404" t="s">
        <v>239</v>
      </c>
      <c r="B17" s="158" t="str">
        <f t="shared" si="15"/>
        <v>Si</v>
      </c>
      <c r="C17" s="167" t="s">
        <v>695</v>
      </c>
      <c r="D17" s="455" t="s">
        <v>696</v>
      </c>
      <c r="E17" s="896"/>
      <c r="F17" s="896"/>
      <c r="G17" s="896"/>
      <c r="H17" s="456"/>
      <c r="I17" s="457"/>
      <c r="J17" s="455"/>
      <c r="K17" s="456"/>
      <c r="L17" s="457"/>
      <c r="M17" s="455"/>
      <c r="N17" s="452">
        <v>24</v>
      </c>
      <c r="O17" s="458"/>
      <c r="P17" s="96">
        <f t="shared" si="16"/>
        <v>24</v>
      </c>
      <c r="Q17" s="105">
        <f t="shared" si="17"/>
        <v>0</v>
      </c>
      <c r="R17" s="105">
        <f t="shared" si="18"/>
        <v>7.1163047383222275E-3</v>
      </c>
      <c r="S17" s="459">
        <f t="shared" si="19"/>
        <v>0</v>
      </c>
      <c r="T17" s="452">
        <v>37.802399999999999</v>
      </c>
      <c r="U17" s="131"/>
      <c r="V17" s="98">
        <f t="shared" si="20"/>
        <v>37.802399999999999</v>
      </c>
      <c r="W17" s="98">
        <f t="shared" si="21"/>
        <v>1.5750999999999999</v>
      </c>
      <c r="X17" s="98">
        <f t="shared" si="22"/>
        <v>0</v>
      </c>
      <c r="Y17" s="453">
        <f t="shared" si="23"/>
        <v>0</v>
      </c>
      <c r="Z17" s="158"/>
      <c r="AA17" s="99"/>
      <c r="AB17" s="454"/>
      <c r="AC17" s="460" t="str">
        <f>IFERROR(IF(AND(AC$9&gt;=$AA17,AC$9&lt;=$AB17),$P17/$Z17,""),"")</f>
        <v/>
      </c>
      <c r="AD17" s="100" t="str">
        <f>IFERROR(IF(AND(AD$9&gt;=$AA17,AD$9&lt;=$AB17),$P17/$Z17,""),"")</f>
        <v/>
      </c>
      <c r="AE17" s="100" t="str">
        <f>IFERROR(IF(AND(AE$9&gt;=$AA17,AE$9&lt;=$AB17),$P17/$Z17,""),"")</f>
        <v/>
      </c>
      <c r="AF17" s="100" t="str">
        <f>IFERROR(IF(AND(AF$9&gt;=$AA17,AF$9&lt;=$AB17),$P17/$Z17,""),"")</f>
        <v/>
      </c>
      <c r="AG17" s="100">
        <v>1</v>
      </c>
      <c r="AH17" s="100" t="str">
        <f>IFERROR(IF(AND(AH$9&gt;=$AA17,AH$9&lt;=$AB17),$P17/$Z17,""),"")</f>
        <v/>
      </c>
      <c r="AI17" s="100" t="str">
        <f>IFERROR(IF(AND(AI$9&gt;=$AA17,AI$9&lt;=$AB17),$P17/$Z17,""),"")</f>
        <v/>
      </c>
      <c r="AJ17" s="106">
        <f t="shared" si="13"/>
        <v>1</v>
      </c>
      <c r="AK17" s="102">
        <f t="shared" si="24"/>
        <v>2.9651269743009281E-4</v>
      </c>
      <c r="AL17" s="103">
        <f t="shared" si="25"/>
        <v>1.5750999999999999</v>
      </c>
      <c r="AM17" s="106"/>
      <c r="AN17" s="102"/>
      <c r="AO17" s="103"/>
      <c r="AP17" s="460" t="str">
        <f>IFERROR(IF(AND(AP$9&gt;=$AA17,AP$9&lt;=$AB17),$P17/$Z17,""),"")</f>
        <v/>
      </c>
      <c r="AQ17" s="100" t="str">
        <f>IFERROR(IF(AND(AQ$9&gt;=$AA17,AQ$9&lt;=$AB17),$P17/$Z17,""),"")</f>
        <v/>
      </c>
      <c r="AR17" s="100">
        <v>2</v>
      </c>
      <c r="AS17" s="100" t="str">
        <f>IFERROR(IF(AND(AS$9&gt;=$AA17,AS$9&lt;=$AB17),$P17/$Z17,""),"")</f>
        <v/>
      </c>
      <c r="AT17" s="100" t="str">
        <f>IFERROR(IF(AND(AT$9&gt;=$AA17,AT$9&lt;=$AB17),$P17/$Z17,""),"")</f>
        <v/>
      </c>
      <c r="AU17" s="100" t="str">
        <f>IFERROR(IF(AND(AU$9&gt;=$AA17,AU$9&lt;=$AB17),$P17/$Z17,""),"")</f>
        <v/>
      </c>
      <c r="AV17" s="100" t="str">
        <f>IFERROR(IF(AND(AV$9&gt;=$AA17,AV$9&lt;=$AB17),$P17/$Z17,""),"")</f>
        <v/>
      </c>
      <c r="AW17" s="106">
        <f t="shared" si="14"/>
        <v>2</v>
      </c>
      <c r="AX17" s="102">
        <f t="shared" si="26"/>
        <v>0</v>
      </c>
      <c r="AY17" s="103" t="e">
        <f t="shared" si="27"/>
        <v>#VALUE!</v>
      </c>
      <c r="AZ17" s="106"/>
      <c r="BA17" s="102"/>
      <c r="BB17" s="103"/>
    </row>
    <row r="18" spans="1:54" s="66" customFormat="1" ht="12" customHeight="1" x14ac:dyDescent="0.3">
      <c r="A18" s="404" t="s">
        <v>239</v>
      </c>
      <c r="B18" s="158" t="str">
        <f t="shared" si="15"/>
        <v>Si</v>
      </c>
      <c r="C18" s="167" t="s">
        <v>697</v>
      </c>
      <c r="D18" s="455" t="s">
        <v>698</v>
      </c>
      <c r="E18" s="896"/>
      <c r="F18" s="896"/>
      <c r="G18" s="896"/>
      <c r="H18" s="456"/>
      <c r="I18" s="457"/>
      <c r="J18" s="455"/>
      <c r="K18" s="456"/>
      <c r="L18" s="457"/>
      <c r="M18" s="455"/>
      <c r="N18" s="452">
        <v>24</v>
      </c>
      <c r="O18" s="458"/>
      <c r="P18" s="96">
        <f t="shared" si="16"/>
        <v>24</v>
      </c>
      <c r="Q18" s="105">
        <f t="shared" si="17"/>
        <v>0</v>
      </c>
      <c r="R18" s="105">
        <f t="shared" si="18"/>
        <v>2.0734051811089993E-3</v>
      </c>
      <c r="S18" s="459">
        <f t="shared" si="19"/>
        <v>0</v>
      </c>
      <c r="T18" s="452">
        <v>11.014099999999999</v>
      </c>
      <c r="U18" s="131"/>
      <c r="V18" s="98">
        <f t="shared" si="20"/>
        <v>11.014099999999999</v>
      </c>
      <c r="W18" s="98">
        <f t="shared" si="21"/>
        <v>0.45892083333333328</v>
      </c>
      <c r="X18" s="98">
        <f t="shared" si="22"/>
        <v>0</v>
      </c>
      <c r="Y18" s="453">
        <f t="shared" si="23"/>
        <v>0</v>
      </c>
      <c r="Z18" s="158"/>
      <c r="AA18" s="99"/>
      <c r="AB18" s="454"/>
      <c r="AC18" s="460" t="str">
        <f>IFERROR(IF(AND(AC$9&gt;=$AA18,AC$9&lt;=$AB18),$P18/$Z18,""),"")</f>
        <v/>
      </c>
      <c r="AD18" s="100" t="str">
        <f>IFERROR(IF(AND(AD$9&gt;=$AA18,AD$9&lt;=$AB18),$P18/$Z18,""),"")</f>
        <v/>
      </c>
      <c r="AE18" s="100" t="str">
        <f>IFERROR(IF(AND(AE$9&gt;=$AA18,AE$9&lt;=$AB18),$P18/$Z18,""),"")</f>
        <v/>
      </c>
      <c r="AF18" s="100" t="str">
        <f>IFERROR(IF(AND(AF$9&gt;=$AA18,AF$9&lt;=$AB18),$P18/$Z18,""),"")</f>
        <v/>
      </c>
      <c r="AG18" s="100" t="str">
        <f>IFERROR(IF(AND(AG$9&gt;=$AA18,AG$9&lt;=$AB18),$P18/$Z18,""),"")</f>
        <v/>
      </c>
      <c r="AH18" s="100">
        <v>3</v>
      </c>
      <c r="AI18" s="100" t="str">
        <f>IFERROR(IF(AND(AI$9&gt;=$AA18,AI$9&lt;=$AB18),$P18/$Z18,""),"")</f>
        <v/>
      </c>
      <c r="AJ18" s="106">
        <f t="shared" si="13"/>
        <v>3</v>
      </c>
      <c r="AK18" s="102">
        <f t="shared" si="24"/>
        <v>2.5917564763862491E-4</v>
      </c>
      <c r="AL18" s="103">
        <f t="shared" si="25"/>
        <v>1.3767624999999999</v>
      </c>
      <c r="AM18" s="106"/>
      <c r="AN18" s="102"/>
      <c r="AO18" s="103"/>
      <c r="AP18" s="460" t="str">
        <f>IFERROR(IF(AND(AP$9&gt;=$AA18,AP$9&lt;=$AB18),$P18/$Z18,""),"")</f>
        <v/>
      </c>
      <c r="AQ18" s="100" t="str">
        <f>IFERROR(IF(AND(AQ$9&gt;=$AA18,AQ$9&lt;=$AB18),$P18/$Z18,""),"")</f>
        <v/>
      </c>
      <c r="AR18" s="100" t="str">
        <f>IFERROR(IF(AND(AR$9&gt;=$AA18,AR$9&lt;=$AB18),$P18/$Z18,""),"")</f>
        <v/>
      </c>
      <c r="AS18" s="100">
        <v>3</v>
      </c>
      <c r="AT18" s="100" t="str">
        <f>IFERROR(IF(AND(AT$9&gt;=$AA18,AT$9&lt;=$AB18),$P18/$Z18,""),"")</f>
        <v/>
      </c>
      <c r="AU18" s="100" t="str">
        <f>IFERROR(IF(AND(AU$9&gt;=$AA18,AU$9&lt;=$AB18),$P18/$Z18,""),"")</f>
        <v/>
      </c>
      <c r="AV18" s="100" t="str">
        <f>IFERROR(IF(AND(AV$9&gt;=$AA18,AV$9&lt;=$AB18),$P18/$Z18,""),"")</f>
        <v/>
      </c>
      <c r="AW18" s="106">
        <f t="shared" si="14"/>
        <v>3</v>
      </c>
      <c r="AX18" s="102">
        <f t="shared" si="26"/>
        <v>0</v>
      </c>
      <c r="AY18" s="103" t="e">
        <f t="shared" si="27"/>
        <v>#VALUE!</v>
      </c>
      <c r="AZ18" s="106"/>
      <c r="BA18" s="102"/>
      <c r="BB18" s="103"/>
    </row>
    <row r="19" spans="1:54" s="66" customFormat="1" ht="12" customHeight="1" x14ac:dyDescent="0.3">
      <c r="A19" s="404" t="s">
        <v>239</v>
      </c>
      <c r="B19" s="158" t="str">
        <f t="shared" si="15"/>
        <v>Si</v>
      </c>
      <c r="C19" s="167" t="s">
        <v>699</v>
      </c>
      <c r="D19" s="455" t="s">
        <v>700</v>
      </c>
      <c r="E19" s="896"/>
      <c r="F19" s="896"/>
      <c r="G19" s="896"/>
      <c r="H19" s="456"/>
      <c r="I19" s="457"/>
      <c r="J19" s="455"/>
      <c r="K19" s="456"/>
      <c r="L19" s="457"/>
      <c r="M19" s="455"/>
      <c r="N19" s="452">
        <v>24</v>
      </c>
      <c r="O19" s="458"/>
      <c r="P19" s="96">
        <f t="shared" si="16"/>
        <v>24</v>
      </c>
      <c r="Q19" s="105">
        <f t="shared" si="17"/>
        <v>0</v>
      </c>
      <c r="R19" s="105">
        <f t="shared" si="18"/>
        <v>0</v>
      </c>
      <c r="S19" s="459">
        <f t="shared" si="19"/>
        <v>0</v>
      </c>
      <c r="T19" s="471">
        <v>0</v>
      </c>
      <c r="U19" s="131"/>
      <c r="V19" s="98">
        <f t="shared" si="20"/>
        <v>0</v>
      </c>
      <c r="W19" s="98">
        <f t="shared" si="21"/>
        <v>0</v>
      </c>
      <c r="X19" s="98">
        <f t="shared" si="22"/>
        <v>0</v>
      </c>
      <c r="Y19" s="453">
        <f t="shared" si="23"/>
        <v>0</v>
      </c>
      <c r="Z19" s="158"/>
      <c r="AA19" s="99"/>
      <c r="AB19" s="454"/>
      <c r="AC19" s="460" t="str">
        <f>IFERROR(IF(AND(AC$9&gt;=$AA19,AC$9&lt;=$AB19),$P19/$Z19,""),"")</f>
        <v/>
      </c>
      <c r="AD19" s="100" t="str">
        <f>IFERROR(IF(AND(AD$9&gt;=$AA19,AD$9&lt;=$AB19),$P19/$Z19,""),"")</f>
        <v/>
      </c>
      <c r="AE19" s="100" t="str">
        <f>IFERROR(IF(AND(AE$9&gt;=$AA19,AE$9&lt;=$AB19),$P19/$Z19,""),"")</f>
        <v/>
      </c>
      <c r="AF19" s="100" t="str">
        <f>IFERROR(IF(AND(AF$9&gt;=$AA19,AF$9&lt;=$AB19),$P19/$Z19,""),"")</f>
        <v/>
      </c>
      <c r="AG19" s="100" t="str">
        <f>IFERROR(IF(AND(AG$9&gt;=$AA19,AG$9&lt;=$AB19),$P19/$Z19,""),"")</f>
        <v/>
      </c>
      <c r="AH19" s="100" t="str">
        <f>IFERROR(IF(AND(AH$9&gt;=$AA19,AH$9&lt;=$AB19),$P19/$Z19,""),"")</f>
        <v/>
      </c>
      <c r="AI19" s="100">
        <v>3</v>
      </c>
      <c r="AJ19" s="106">
        <f t="shared" si="13"/>
        <v>3</v>
      </c>
      <c r="AK19" s="102">
        <f t="shared" si="24"/>
        <v>0</v>
      </c>
      <c r="AL19" s="103">
        <f t="shared" si="25"/>
        <v>0</v>
      </c>
      <c r="AM19" s="106"/>
      <c r="AN19" s="102"/>
      <c r="AO19" s="103"/>
      <c r="AP19" s="460" t="str">
        <f>IFERROR(IF(AND(AP$9&gt;=$AA19,AP$9&lt;=$AB19),$P19/$Z19,""),"")</f>
        <v/>
      </c>
      <c r="AQ19" s="100" t="str">
        <f>IFERROR(IF(AND(AQ$9&gt;=$AA19,AQ$9&lt;=$AB19),$P19/$Z19,""),"")</f>
        <v/>
      </c>
      <c r="AR19" s="100" t="str">
        <f>IFERROR(IF(AND(AR$9&gt;=$AA19,AR$9&lt;=$AB19),$P19/$Z19,""),"")</f>
        <v/>
      </c>
      <c r="AS19" s="100" t="str">
        <f>IFERROR(IF(AND(AS$9&gt;=$AA19,AS$9&lt;=$AB19),$P19/$Z19,""),"")</f>
        <v/>
      </c>
      <c r="AT19" s="100" t="str">
        <f>IFERROR(IF(AND(AT$9&gt;=$AA19,AT$9&lt;=$AB19),$P19/$Z19,""),"")</f>
        <v/>
      </c>
      <c r="AU19" s="100">
        <v>5</v>
      </c>
      <c r="AV19" s="100" t="str">
        <f>IFERROR(IF(AND(AV$9&gt;=$AA19,AV$9&lt;=$AB19),$P19/$Z19,""),"")</f>
        <v/>
      </c>
      <c r="AW19" s="106">
        <f t="shared" si="14"/>
        <v>5</v>
      </c>
      <c r="AX19" s="102">
        <f t="shared" si="26"/>
        <v>0</v>
      </c>
      <c r="AY19" s="103">
        <f t="shared" si="27"/>
        <v>15</v>
      </c>
      <c r="AZ19" s="106"/>
      <c r="BA19" s="102"/>
      <c r="BB19" s="103"/>
    </row>
    <row r="20" spans="1:54" s="66" customFormat="1" ht="12" customHeight="1" x14ac:dyDescent="0.3">
      <c r="A20" s="404" t="s">
        <v>239</v>
      </c>
      <c r="B20" s="158" t="str">
        <f t="shared" si="15"/>
        <v>NO</v>
      </c>
      <c r="C20" s="167" t="s">
        <v>701</v>
      </c>
      <c r="D20" s="455" t="s">
        <v>702</v>
      </c>
      <c r="E20" s="896"/>
      <c r="F20" s="896"/>
      <c r="G20" s="896"/>
      <c r="H20" s="456"/>
      <c r="I20" s="457"/>
      <c r="J20" s="455"/>
      <c r="K20" s="456"/>
      <c r="L20" s="457"/>
      <c r="M20" s="455"/>
      <c r="N20" s="452">
        <v>24</v>
      </c>
      <c r="O20" s="458"/>
      <c r="P20" s="96">
        <f t="shared" si="16"/>
        <v>24</v>
      </c>
      <c r="Q20" s="105">
        <f t="shared" si="17"/>
        <v>0</v>
      </c>
      <c r="R20" s="105">
        <f t="shared" si="18"/>
        <v>4.6494945447762984E-3</v>
      </c>
      <c r="S20" s="459">
        <f t="shared" si="19"/>
        <v>0</v>
      </c>
      <c r="T20" s="452">
        <v>24.698499999999999</v>
      </c>
      <c r="U20" s="131"/>
      <c r="V20" s="98">
        <f t="shared" si="20"/>
        <v>24.698499999999999</v>
      </c>
      <c r="W20" s="98">
        <f t="shared" si="21"/>
        <v>1.0291041666666667</v>
      </c>
      <c r="X20" s="98">
        <f t="shared" si="22"/>
        <v>0</v>
      </c>
      <c r="Y20" s="453">
        <f t="shared" si="23"/>
        <v>0</v>
      </c>
      <c r="Z20" s="158"/>
      <c r="AA20" s="99"/>
      <c r="AB20" s="454"/>
      <c r="AC20" s="460" t="str">
        <f>IFERROR(IF(AND(AC$9&gt;=$AA20,AC$9&lt;=$AB20),$P20/$Z20,""),"")</f>
        <v/>
      </c>
      <c r="AD20" s="100" t="str">
        <f>IFERROR(IF(AND(AD$9&gt;=$AA20,AD$9&lt;=$AB20),$P20/$Z20,""),"")</f>
        <v/>
      </c>
      <c r="AE20" s="100" t="str">
        <f>IFERROR(IF(AND(AE$9&gt;=$AA20,AE$9&lt;=$AB20),$P20/$Z20,""),"")</f>
        <v/>
      </c>
      <c r="AF20" s="100" t="str">
        <f>IFERROR(IF(AND(AF$9&gt;=$AA20,AF$9&lt;=$AB20),$P20/$Z20,""),"")</f>
        <v/>
      </c>
      <c r="AG20" s="100" t="str">
        <f>IFERROR(IF(AND(AG$9&gt;=$AA20,AG$9&lt;=$AB20),$P20/$Z20,""),"")</f>
        <v/>
      </c>
      <c r="AH20" s="100" t="str">
        <f>IFERROR(IF(AND(AH$9&gt;=$AA20,AH$9&lt;=$AB20),$P20/$Z20,""),"")</f>
        <v/>
      </c>
      <c r="AI20" s="100" t="str">
        <f>IFERROR(IF(AND(AI$9&gt;=$AA20,AI$9&lt;=$AB20),$P20/$Z20,""),"")</f>
        <v/>
      </c>
      <c r="AJ20" s="106">
        <f t="shared" si="13"/>
        <v>0</v>
      </c>
      <c r="AK20" s="102">
        <f t="shared" si="24"/>
        <v>0</v>
      </c>
      <c r="AL20" s="103">
        <f t="shared" si="25"/>
        <v>0</v>
      </c>
      <c r="AM20" s="106"/>
      <c r="AN20" s="102"/>
      <c r="AO20" s="103"/>
      <c r="AP20" s="460" t="str">
        <f>IFERROR(IF(AND(AP$9&gt;=$AA20,AP$9&lt;=$AB20),$P20/$Z20,""),"")</f>
        <v/>
      </c>
      <c r="AQ20" s="100" t="str">
        <f>IFERROR(IF(AND(AQ$9&gt;=$AA20,AQ$9&lt;=$AB20),$P20/$Z20,""),"")</f>
        <v/>
      </c>
      <c r="AR20" s="100" t="str">
        <f>IFERROR(IF(AND(AR$9&gt;=$AA20,AR$9&lt;=$AB20),$P20/$Z20,""),"")</f>
        <v/>
      </c>
      <c r="AS20" s="100" t="str">
        <f>IFERROR(IF(AND(AS$9&gt;=$AA20,AS$9&lt;=$AB20),$P20/$Z20,""),"")</f>
        <v/>
      </c>
      <c r="AT20" s="100" t="str">
        <f>IFERROR(IF(AND(AT$9&gt;=$AA20,AT$9&lt;=$AB20),$P20/$Z20,""),"")</f>
        <v/>
      </c>
      <c r="AU20" s="100" t="str">
        <f>IFERROR(IF(AND(AU$9&gt;=$AA20,AU$9&lt;=$AB20),$P20/$Z20,""),"")</f>
        <v/>
      </c>
      <c r="AV20" s="100" t="str">
        <f>IFERROR(IF(AND(AV$9&gt;=$AA20,AV$9&lt;=$AB20),$P20/$Z20,""),"")</f>
        <v/>
      </c>
      <c r="AW20" s="106">
        <f t="shared" si="14"/>
        <v>0</v>
      </c>
      <c r="AX20" s="102">
        <f t="shared" si="26"/>
        <v>0</v>
      </c>
      <c r="AY20" s="103" t="e">
        <f t="shared" si="27"/>
        <v>#VALUE!</v>
      </c>
      <c r="AZ20" s="106"/>
      <c r="BA20" s="102"/>
      <c r="BB20" s="103"/>
    </row>
    <row r="21" spans="1:54" s="66" customFormat="1" ht="12" customHeight="1" x14ac:dyDescent="0.3">
      <c r="A21" s="404" t="s">
        <v>239</v>
      </c>
      <c r="B21" s="158" t="str">
        <f t="shared" si="15"/>
        <v>NO</v>
      </c>
      <c r="C21" s="167" t="s">
        <v>703</v>
      </c>
      <c r="D21" s="455" t="s">
        <v>704</v>
      </c>
      <c r="E21" s="896"/>
      <c r="F21" s="896"/>
      <c r="G21" s="896"/>
      <c r="H21" s="456"/>
      <c r="I21" s="457"/>
      <c r="J21" s="455"/>
      <c r="K21" s="456"/>
      <c r="L21" s="457"/>
      <c r="M21" s="455"/>
      <c r="N21" s="452">
        <v>5.76</v>
      </c>
      <c r="O21" s="458"/>
      <c r="P21" s="96">
        <f t="shared" si="16"/>
        <v>5.76</v>
      </c>
      <c r="Q21" s="105">
        <f t="shared" si="17"/>
        <v>0</v>
      </c>
      <c r="R21" s="105">
        <f t="shared" si="18"/>
        <v>2.1686408954318259E-4</v>
      </c>
      <c r="S21" s="459">
        <f t="shared" si="19"/>
        <v>0</v>
      </c>
      <c r="T21" s="452">
        <v>1.1519999999999999</v>
      </c>
      <c r="U21" s="131"/>
      <c r="V21" s="98">
        <f t="shared" si="20"/>
        <v>1.1519999999999999</v>
      </c>
      <c r="W21" s="98">
        <f t="shared" si="21"/>
        <v>0.19999999999999998</v>
      </c>
      <c r="X21" s="98">
        <f t="shared" si="22"/>
        <v>0</v>
      </c>
      <c r="Y21" s="453">
        <f t="shared" si="23"/>
        <v>0</v>
      </c>
      <c r="Z21" s="158"/>
      <c r="AA21" s="99"/>
      <c r="AB21" s="454"/>
      <c r="AC21" s="460" t="str">
        <f>IFERROR(IF(AND(AC$9&gt;=$AA21,AC$9&lt;=$AB21),$P21/$Z21,""),"")</f>
        <v/>
      </c>
      <c r="AD21" s="100" t="str">
        <f>IFERROR(IF(AND(AD$9&gt;=$AA21,AD$9&lt;=$AB21),$P21/$Z21,""),"")</f>
        <v/>
      </c>
      <c r="AE21" s="100" t="str">
        <f>IFERROR(IF(AND(AE$9&gt;=$AA21,AE$9&lt;=$AB21),$P21/$Z21,""),"")</f>
        <v/>
      </c>
      <c r="AF21" s="100" t="str">
        <f>IFERROR(IF(AND(AF$9&gt;=$AA21,AF$9&lt;=$AB21),$P21/$Z21,""),"")</f>
        <v/>
      </c>
      <c r="AG21" s="100" t="str">
        <f>IFERROR(IF(AND(AG$9&gt;=$AA21,AG$9&lt;=$AB21),$P21/$Z21,""),"")</f>
        <v/>
      </c>
      <c r="AH21" s="100" t="str">
        <f>IFERROR(IF(AND(AH$9&gt;=$AA21,AH$9&lt;=$AB21),$P21/$Z21,""),"")</f>
        <v/>
      </c>
      <c r="AI21" s="100" t="str">
        <f>IFERROR(IF(AND(AI$9&gt;=$AA21,AI$9&lt;=$AB21),$P21/$Z21,""),"")</f>
        <v/>
      </c>
      <c r="AJ21" s="106">
        <f t="shared" si="13"/>
        <v>0</v>
      </c>
      <c r="AK21" s="102">
        <f t="shared" si="24"/>
        <v>0</v>
      </c>
      <c r="AL21" s="103">
        <f t="shared" si="25"/>
        <v>0</v>
      </c>
      <c r="AM21" s="106"/>
      <c r="AN21" s="102"/>
      <c r="AO21" s="103"/>
      <c r="AP21" s="460" t="str">
        <f>IFERROR(IF(AND(AP$9&gt;=$AA21,AP$9&lt;=$AB21),$P21/$Z21,""),"")</f>
        <v/>
      </c>
      <c r="AQ21" s="100" t="str">
        <f>IFERROR(IF(AND(AQ$9&gt;=$AA21,AQ$9&lt;=$AB21),$P21/$Z21,""),"")</f>
        <v/>
      </c>
      <c r="AR21" s="100" t="str">
        <f>IFERROR(IF(AND(AR$9&gt;=$AA21,AR$9&lt;=$AB21),$P21/$Z21,""),"")</f>
        <v/>
      </c>
      <c r="AS21" s="100" t="str">
        <f>IFERROR(IF(AND(AS$9&gt;=$AA21,AS$9&lt;=$AB21),$P21/$Z21,""),"")</f>
        <v/>
      </c>
      <c r="AT21" s="100" t="str">
        <f>IFERROR(IF(AND(AT$9&gt;=$AA21,AT$9&lt;=$AB21),$P21/$Z21,""),"")</f>
        <v/>
      </c>
      <c r="AU21" s="100">
        <v>3</v>
      </c>
      <c r="AV21" s="100" t="str">
        <f>IFERROR(IF(AND(AV$9&gt;=$AA21,AV$9&lt;=$AB21),$P21/$Z21,""),"")</f>
        <v/>
      </c>
      <c r="AW21" s="106">
        <f t="shared" si="14"/>
        <v>3</v>
      </c>
      <c r="AX21" s="102">
        <f t="shared" si="26"/>
        <v>0</v>
      </c>
      <c r="AY21" s="103" t="e">
        <f t="shared" si="27"/>
        <v>#VALUE!</v>
      </c>
      <c r="AZ21" s="106"/>
      <c r="BA21" s="102"/>
      <c r="BB21" s="103"/>
    </row>
    <row r="22" spans="1:54" s="66" customFormat="1" ht="12" customHeight="1" x14ac:dyDescent="0.3">
      <c r="A22" s="404" t="s">
        <v>239</v>
      </c>
      <c r="B22" s="158" t="str">
        <f t="shared" si="15"/>
        <v>NO</v>
      </c>
      <c r="C22" s="167" t="s">
        <v>705</v>
      </c>
      <c r="D22" s="455" t="s">
        <v>706</v>
      </c>
      <c r="E22" s="896"/>
      <c r="F22" s="896"/>
      <c r="G22" s="896"/>
      <c r="H22" s="456"/>
      <c r="I22" s="457"/>
      <c r="J22" s="455"/>
      <c r="K22" s="456"/>
      <c r="L22" s="457"/>
      <c r="M22" s="455"/>
      <c r="N22" s="452">
        <v>11.52</v>
      </c>
      <c r="O22" s="458"/>
      <c r="P22" s="96">
        <f t="shared" si="16"/>
        <v>11.52</v>
      </c>
      <c r="Q22" s="105">
        <f t="shared" si="17"/>
        <v>0</v>
      </c>
      <c r="R22" s="105">
        <f t="shared" si="18"/>
        <v>7.8844027054698774E-3</v>
      </c>
      <c r="S22" s="459">
        <f t="shared" si="19"/>
        <v>0</v>
      </c>
      <c r="T22" s="452">
        <v>41.882599999999996</v>
      </c>
      <c r="U22" s="131"/>
      <c r="V22" s="98">
        <f t="shared" si="20"/>
        <v>41.882599999999996</v>
      </c>
      <c r="W22" s="98">
        <f t="shared" si="21"/>
        <v>3.6356423611111111</v>
      </c>
      <c r="X22" s="98">
        <f>O22*W22</f>
        <v>0</v>
      </c>
      <c r="Y22" s="453">
        <f t="shared" si="23"/>
        <v>0</v>
      </c>
      <c r="Z22" s="158"/>
      <c r="AA22" s="99"/>
      <c r="AB22" s="454"/>
      <c r="AC22" s="460" t="str">
        <f>IFERROR(IF(AND(AC$9&gt;=$AA22,AC$9&lt;=$AB22),$P22/$Z22,""),"")</f>
        <v/>
      </c>
      <c r="AD22" s="100" t="str">
        <f>IFERROR(IF(AND(AD$9&gt;=$AA22,AD$9&lt;=$AB22),$P22/$Z22,""),"")</f>
        <v/>
      </c>
      <c r="AE22" s="100" t="str">
        <f>IFERROR(IF(AND(AE$9&gt;=$AA22,AE$9&lt;=$AB22),$P22/$Z22,""),"")</f>
        <v/>
      </c>
      <c r="AF22" s="100" t="str">
        <f>IFERROR(IF(AND(AF$9&gt;=$AA22,AF$9&lt;=$AB22),$P22/$Z22,""),"")</f>
        <v/>
      </c>
      <c r="AG22" s="100" t="str">
        <f>IFERROR(IF(AND(AG$9&gt;=$AA22,AG$9&lt;=$AB22),$P22/$Z22,""),"")</f>
        <v/>
      </c>
      <c r="AH22" s="100" t="str">
        <f>IFERROR(IF(AND(AH$9&gt;=$AA22,AH$9&lt;=$AB22),$P22/$Z22,""),"")</f>
        <v/>
      </c>
      <c r="AI22" s="100" t="str">
        <f>IFERROR(IF(AND(AI$9&gt;=$AA22,AI$9&lt;=$AB22),$P22/$Z22,""),"")</f>
        <v/>
      </c>
      <c r="AJ22" s="106">
        <f t="shared" si="13"/>
        <v>0</v>
      </c>
      <c r="AK22" s="102">
        <f t="shared" si="24"/>
        <v>0</v>
      </c>
      <c r="AL22" s="103">
        <f t="shared" si="25"/>
        <v>0</v>
      </c>
      <c r="AM22" s="106"/>
      <c r="AN22" s="102"/>
      <c r="AO22" s="103"/>
      <c r="AP22" s="460" t="str">
        <f>IFERROR(IF(AND(AP$9&gt;=$AA22,AP$9&lt;=$AB22),$P22/$Z22,""),"")</f>
        <v/>
      </c>
      <c r="AQ22" s="100" t="str">
        <f>IFERROR(IF(AND(AQ$9&gt;=$AA22,AQ$9&lt;=$AB22),$P22/$Z22,""),"")</f>
        <v/>
      </c>
      <c r="AR22" s="100" t="str">
        <f>IFERROR(IF(AND(AR$9&gt;=$AA22,AR$9&lt;=$AB22),$P22/$Z22,""),"")</f>
        <v/>
      </c>
      <c r="AS22" s="100" t="str">
        <f>IFERROR(IF(AND(AS$9&gt;=$AA22,AS$9&lt;=$AB22),$P22/$Z22,""),"")</f>
        <v/>
      </c>
      <c r="AT22" s="100" t="str">
        <f>IFERROR(IF(AND(AT$9&gt;=$AA22,AT$9&lt;=$AB22),$P22/$Z22,""),"")</f>
        <v/>
      </c>
      <c r="AU22" s="100" t="str">
        <f>IFERROR(IF(AND(AU$9&gt;=$AA22,AU$9&lt;=$AB22),$P22/$Z22,""),"")</f>
        <v/>
      </c>
      <c r="AV22" s="100">
        <v>3</v>
      </c>
      <c r="AW22" s="106">
        <f t="shared" si="14"/>
        <v>3</v>
      </c>
      <c r="AX22" s="102">
        <f t="shared" si="26"/>
        <v>0</v>
      </c>
      <c r="AY22" s="103" t="e">
        <f t="shared" si="27"/>
        <v>#VALUE!</v>
      </c>
      <c r="AZ22" s="106"/>
      <c r="BA22" s="102"/>
      <c r="BB22" s="103"/>
    </row>
    <row r="23" spans="1:54" s="66" customFormat="1" ht="12" customHeight="1" x14ac:dyDescent="0.3">
      <c r="A23" s="404" t="s">
        <v>239</v>
      </c>
      <c r="B23" s="158" t="str">
        <f t="shared" si="15"/>
        <v>NO</v>
      </c>
      <c r="C23" s="167" t="s">
        <v>707</v>
      </c>
      <c r="D23" s="455" t="s">
        <v>708</v>
      </c>
      <c r="E23" s="896"/>
      <c r="F23" s="896"/>
      <c r="G23" s="896"/>
      <c r="H23" s="456"/>
      <c r="I23" s="457"/>
      <c r="J23" s="455"/>
      <c r="K23" s="456"/>
      <c r="L23" s="457"/>
      <c r="M23" s="455"/>
      <c r="N23" s="452">
        <v>11.52</v>
      </c>
      <c r="O23" s="458"/>
      <c r="P23" s="96">
        <f t="shared" si="16"/>
        <v>11.52</v>
      </c>
      <c r="Q23" s="105">
        <f t="shared" si="17"/>
        <v>0</v>
      </c>
      <c r="R23" s="105">
        <f t="shared" si="18"/>
        <v>6.5059226862954783E-4</v>
      </c>
      <c r="S23" s="459">
        <f t="shared" si="19"/>
        <v>0</v>
      </c>
      <c r="T23" s="452">
        <v>3.456</v>
      </c>
      <c r="U23" s="131"/>
      <c r="V23" s="98">
        <f t="shared" si="20"/>
        <v>3.456</v>
      </c>
      <c r="W23" s="98">
        <f>IFERROR(T23/N23,0)</f>
        <v>0.3</v>
      </c>
      <c r="X23" s="98">
        <f t="shared" si="22"/>
        <v>0</v>
      </c>
      <c r="Y23" s="453">
        <f t="shared" si="23"/>
        <v>0</v>
      </c>
      <c r="Z23" s="158"/>
      <c r="AA23" s="99"/>
      <c r="AB23" s="454"/>
      <c r="AC23" s="460" t="str">
        <f>IFERROR(IF(AND(AC$9&gt;=$AA23,AC$9&lt;=$AB23),$P23/$Z23,""),"")</f>
        <v/>
      </c>
      <c r="AD23" s="100" t="str">
        <f>IFERROR(IF(AND(AD$9&gt;=$AA23,AD$9&lt;=$AB23),$P23/$Z23,""),"")</f>
        <v/>
      </c>
      <c r="AE23" s="100" t="str">
        <f>IFERROR(IF(AND(AE$9&gt;=$AA23,AE$9&lt;=$AB23),$P23/$Z23,""),"")</f>
        <v/>
      </c>
      <c r="AF23" s="100" t="str">
        <f>IFERROR(IF(AND(AF$9&gt;=$AA23,AF$9&lt;=$AB23),$P23/$Z23,""),"")</f>
        <v/>
      </c>
      <c r="AG23" s="100" t="str">
        <f>IFERROR(IF(AND(AG$9&gt;=$AA23,AG$9&lt;=$AB23),$P23/$Z23,""),"")</f>
        <v/>
      </c>
      <c r="AH23" s="100" t="str">
        <f>IFERROR(IF(AND(AH$9&gt;=$AA23,AH$9&lt;=$AB23),$P23/$Z23,""),"")</f>
        <v/>
      </c>
      <c r="AI23" s="100" t="str">
        <f>IFERROR(IF(AND(AI$9&gt;=$AA23,AI$9&lt;=$AB23),$P23/$Z23,""),"")</f>
        <v/>
      </c>
      <c r="AJ23" s="106">
        <f t="shared" si="13"/>
        <v>0</v>
      </c>
      <c r="AK23" s="102">
        <f t="shared" si="24"/>
        <v>0</v>
      </c>
      <c r="AL23" s="103">
        <f t="shared" si="25"/>
        <v>0</v>
      </c>
      <c r="AM23" s="106"/>
      <c r="AN23" s="102"/>
      <c r="AO23" s="103"/>
      <c r="AP23" s="460" t="str">
        <f>IFERROR(IF(AND(AP$9&gt;=$AA23,AP$9&lt;=$AB23),$P23/$Z23,""),"")</f>
        <v/>
      </c>
      <c r="AQ23" s="100" t="str">
        <f>IFERROR(IF(AND(AQ$9&gt;=$AA23,AQ$9&lt;=$AB23),$P23/$Z23,""),"")</f>
        <v/>
      </c>
      <c r="AR23" s="100" t="str">
        <f>IFERROR(IF(AND(AR$9&gt;=$AA23,AR$9&lt;=$AB23),$P23/$Z23,""),"")</f>
        <v/>
      </c>
      <c r="AS23" s="100" t="str">
        <f>IFERROR(IF(AND(AS$9&gt;=$AA23,AS$9&lt;=$AB23),$P23/$Z23,""),"")</f>
        <v/>
      </c>
      <c r="AT23" s="100" t="str">
        <f>IFERROR(IF(AND(AT$9&gt;=$AA23,AT$9&lt;=$AB23),$P23/$Z23,""),"")</f>
        <v/>
      </c>
      <c r="AU23" s="100" t="str">
        <f>IFERROR(IF(AND(AU$9&gt;=$AA23,AU$9&lt;=$AB23),$P23/$Z23,""),"")</f>
        <v/>
      </c>
      <c r="AV23" s="100" t="str">
        <f>IFERROR(IF(AND(AV$9&gt;=$AA23,AV$9&lt;=$AB23),$P23/$Z23,""),"")</f>
        <v/>
      </c>
      <c r="AW23" s="106">
        <f t="shared" si="14"/>
        <v>0</v>
      </c>
      <c r="AX23" s="102">
        <f t="shared" si="26"/>
        <v>0</v>
      </c>
      <c r="AY23" s="103" t="e">
        <f t="shared" si="27"/>
        <v>#VALUE!</v>
      </c>
      <c r="AZ23" s="106"/>
      <c r="BA23" s="102"/>
      <c r="BB23" s="103"/>
    </row>
    <row r="24" spans="1:54" s="66" customFormat="1" ht="12" customHeight="1" thickBot="1" x14ac:dyDescent="0.35">
      <c r="A24" s="404"/>
      <c r="B24" s="472"/>
      <c r="C24" s="473" t="s">
        <v>709</v>
      </c>
      <c r="D24" s="474" t="s">
        <v>710</v>
      </c>
      <c r="E24" s="897"/>
      <c r="F24" s="897"/>
      <c r="G24" s="897"/>
      <c r="H24" s="475"/>
      <c r="I24" s="476"/>
      <c r="J24" s="474"/>
      <c r="K24" s="475"/>
      <c r="L24" s="476"/>
      <c r="M24" s="474"/>
      <c r="N24" s="477"/>
      <c r="O24" s="117"/>
      <c r="P24" s="117"/>
      <c r="Q24" s="478"/>
      <c r="R24" s="478"/>
      <c r="S24" s="479"/>
      <c r="T24" s="480"/>
      <c r="U24" s="119"/>
      <c r="V24" s="119"/>
      <c r="W24" s="119"/>
      <c r="X24" s="119"/>
      <c r="Y24" s="481"/>
      <c r="Z24" s="472"/>
      <c r="AA24" s="482"/>
      <c r="AB24" s="483"/>
      <c r="AC24" s="465"/>
      <c r="AD24" s="100"/>
      <c r="AE24" s="100"/>
      <c r="AF24" s="100"/>
      <c r="AG24" s="100"/>
      <c r="AH24" s="100"/>
      <c r="AI24" s="100"/>
      <c r="AJ24" s="101">
        <f t="shared" ref="AJ24" si="28">SUM(AC24:AI24)</f>
        <v>0</v>
      </c>
      <c r="AK24" s="102"/>
      <c r="AL24" s="103"/>
      <c r="AM24" s="101"/>
      <c r="AN24" s="102"/>
      <c r="AO24" s="103"/>
    </row>
    <row r="25" spans="1:54" s="66" customFormat="1" ht="12" customHeight="1" x14ac:dyDescent="0.3">
      <c r="A25" s="404" t="s">
        <v>239</v>
      </c>
      <c r="B25" s="484" t="str">
        <f t="shared" ref="B25:B32" si="29">+IF(SUMIFS($AC25:$AL25,$AC$8:$AL$8,"&gt;="&amp;$Y$6,$AC$8:$AL$8,"&lt;="&amp;$AA$6)&gt;0,"Si","NO")</f>
        <v>NO</v>
      </c>
      <c r="C25" s="485" t="s">
        <v>711</v>
      </c>
      <c r="D25" s="486" t="s">
        <v>712</v>
      </c>
      <c r="E25" s="486"/>
      <c r="F25" s="486"/>
      <c r="G25" s="486"/>
      <c r="H25" s="486"/>
      <c r="I25" s="486"/>
      <c r="J25" s="486"/>
      <c r="K25" s="486"/>
      <c r="L25" s="486"/>
      <c r="M25" s="486"/>
      <c r="N25" s="487">
        <v>76.8</v>
      </c>
      <c r="O25" s="488"/>
      <c r="P25" s="489">
        <f t="shared" ref="P25:P32" si="30">N25-O25</f>
        <v>76.8</v>
      </c>
      <c r="Q25" s="490">
        <f t="shared" ref="Q25:Q32" si="31">IFERROR(O25/N25,0)</f>
        <v>0</v>
      </c>
      <c r="R25" s="490">
        <f t="shared" ref="R25:R32" si="32">IFERROR(T25/$T$10,0)</f>
        <v>8.203825437359525E-3</v>
      </c>
      <c r="S25" s="490">
        <f t="shared" ref="S25:S32" si="33">Q25*R25</f>
        <v>0</v>
      </c>
      <c r="T25" s="487">
        <v>43.5794</v>
      </c>
      <c r="U25" s="491">
        <v>0</v>
      </c>
      <c r="V25" s="487">
        <f t="shared" ref="V25:V32" si="34">T25-U25</f>
        <v>43.5794</v>
      </c>
      <c r="W25" s="487">
        <f t="shared" ref="W25:W32" si="35">IFERROR(T25/N25,0)</f>
        <v>0.56744010416666668</v>
      </c>
      <c r="X25" s="487">
        <f t="shared" ref="X25:X32" si="36">O25*W25</f>
        <v>0</v>
      </c>
      <c r="Y25" s="487">
        <f t="shared" ref="Y25:Y32" si="37">IFERROR(X25/U25,0)</f>
        <v>0</v>
      </c>
      <c r="Z25" s="492"/>
      <c r="AA25" s="493"/>
      <c r="AB25" s="493"/>
      <c r="AC25" s="460" t="str">
        <f t="shared" ref="AC25:AI32" si="38">IFERROR(IF(AND(AC$9&gt;=$AA25,AC$9&lt;=$AB25),$P25/$Z25,""),"")</f>
        <v/>
      </c>
      <c r="AD25" s="100" t="str">
        <f t="shared" si="38"/>
        <v/>
      </c>
      <c r="AE25" s="100" t="str">
        <f t="shared" si="38"/>
        <v/>
      </c>
      <c r="AF25" s="100" t="str">
        <f t="shared" si="38"/>
        <v/>
      </c>
      <c r="AG25" s="100" t="str">
        <f t="shared" si="38"/>
        <v/>
      </c>
      <c r="AH25" s="100" t="str">
        <f t="shared" si="38"/>
        <v/>
      </c>
      <c r="AI25" s="100" t="str">
        <f t="shared" si="38"/>
        <v/>
      </c>
      <c r="AJ25" s="106">
        <f t="shared" ref="AJ25:AJ32" si="39">SUM(AC25:AI25)</f>
        <v>0</v>
      </c>
      <c r="AK25" s="102">
        <f t="shared" ref="AK25:AK32" si="40">IFERROR(AJ25/N25*R25,0)</f>
        <v>0</v>
      </c>
      <c r="AL25" s="103">
        <f t="shared" ref="AL25:AL32" si="41">W25*AJ25</f>
        <v>0</v>
      </c>
      <c r="AM25" s="106"/>
      <c r="AN25" s="102"/>
      <c r="AO25" s="103"/>
    </row>
    <row r="26" spans="1:54" s="66" customFormat="1" ht="12" customHeight="1" x14ac:dyDescent="0.3">
      <c r="A26" s="404" t="s">
        <v>239</v>
      </c>
      <c r="B26" s="158" t="str">
        <f t="shared" si="29"/>
        <v>NO</v>
      </c>
      <c r="C26" s="167" t="s">
        <v>713</v>
      </c>
      <c r="D26" s="457" t="s">
        <v>696</v>
      </c>
      <c r="E26" s="457"/>
      <c r="F26" s="457"/>
      <c r="G26" s="457"/>
      <c r="H26" s="457"/>
      <c r="I26" s="457"/>
      <c r="J26" s="457"/>
      <c r="K26" s="457"/>
      <c r="L26" s="457"/>
      <c r="M26" s="457"/>
      <c r="N26" s="98">
        <v>160</v>
      </c>
      <c r="O26" s="458"/>
      <c r="P26" s="96">
        <f t="shared" si="30"/>
        <v>160</v>
      </c>
      <c r="Q26" s="105">
        <f t="shared" si="31"/>
        <v>0</v>
      </c>
      <c r="R26" s="105">
        <f t="shared" si="32"/>
        <v>4.7442012763807072E-2</v>
      </c>
      <c r="S26" s="105">
        <f t="shared" si="33"/>
        <v>0</v>
      </c>
      <c r="T26" s="98">
        <v>252.01589999999999</v>
      </c>
      <c r="U26" s="131">
        <v>0</v>
      </c>
      <c r="V26" s="98">
        <f t="shared" si="34"/>
        <v>252.01589999999999</v>
      </c>
      <c r="W26" s="98">
        <f t="shared" si="35"/>
        <v>1.575099375</v>
      </c>
      <c r="X26" s="98">
        <f t="shared" si="36"/>
        <v>0</v>
      </c>
      <c r="Y26" s="98">
        <f t="shared" si="37"/>
        <v>0</v>
      </c>
      <c r="Z26" s="403"/>
      <c r="AA26" s="99"/>
      <c r="AB26" s="99"/>
      <c r="AC26" s="460" t="str">
        <f t="shared" si="38"/>
        <v/>
      </c>
      <c r="AD26" s="100" t="str">
        <f t="shared" si="38"/>
        <v/>
      </c>
      <c r="AE26" s="100" t="str">
        <f t="shared" si="38"/>
        <v/>
      </c>
      <c r="AF26" s="100" t="str">
        <f t="shared" si="38"/>
        <v/>
      </c>
      <c r="AG26" s="100" t="str">
        <f t="shared" si="38"/>
        <v/>
      </c>
      <c r="AH26" s="100" t="str">
        <f t="shared" si="38"/>
        <v/>
      </c>
      <c r="AI26" s="100" t="str">
        <f t="shared" si="38"/>
        <v/>
      </c>
      <c r="AJ26" s="106">
        <f t="shared" si="39"/>
        <v>0</v>
      </c>
      <c r="AK26" s="102">
        <f t="shared" si="40"/>
        <v>0</v>
      </c>
      <c r="AL26" s="103">
        <f t="shared" si="41"/>
        <v>0</v>
      </c>
      <c r="AM26" s="106"/>
      <c r="AN26" s="102"/>
      <c r="AO26" s="103"/>
    </row>
    <row r="27" spans="1:54" s="66" customFormat="1" ht="12" customHeight="1" x14ac:dyDescent="0.3">
      <c r="A27" s="404" t="s">
        <v>239</v>
      </c>
      <c r="B27" s="158" t="str">
        <f t="shared" si="29"/>
        <v>NO</v>
      </c>
      <c r="C27" s="167" t="s">
        <v>714</v>
      </c>
      <c r="D27" s="457" t="s">
        <v>698</v>
      </c>
      <c r="E27" s="457"/>
      <c r="F27" s="457"/>
      <c r="G27" s="457"/>
      <c r="H27" s="457"/>
      <c r="I27" s="457"/>
      <c r="J27" s="457"/>
      <c r="K27" s="457"/>
      <c r="L27" s="457"/>
      <c r="M27" s="457"/>
      <c r="N27" s="98">
        <v>160</v>
      </c>
      <c r="O27" s="458"/>
      <c r="P27" s="96">
        <f t="shared" si="30"/>
        <v>160</v>
      </c>
      <c r="Q27" s="105">
        <f t="shared" si="31"/>
        <v>0</v>
      </c>
      <c r="R27" s="105">
        <f t="shared" si="32"/>
        <v>1.3822657282375193E-2</v>
      </c>
      <c r="S27" s="105">
        <f t="shared" si="33"/>
        <v>0</v>
      </c>
      <c r="T27" s="98">
        <v>73.427099999999996</v>
      </c>
      <c r="U27" s="131">
        <v>0</v>
      </c>
      <c r="V27" s="98">
        <f t="shared" si="34"/>
        <v>73.427099999999996</v>
      </c>
      <c r="W27" s="98">
        <f t="shared" si="35"/>
        <v>0.45891937499999996</v>
      </c>
      <c r="X27" s="98">
        <f t="shared" si="36"/>
        <v>0</v>
      </c>
      <c r="Y27" s="98">
        <f t="shared" si="37"/>
        <v>0</v>
      </c>
      <c r="Z27" s="403"/>
      <c r="AA27" s="99"/>
      <c r="AB27" s="99"/>
      <c r="AC27" s="460" t="str">
        <f t="shared" si="38"/>
        <v/>
      </c>
      <c r="AD27" s="100" t="str">
        <f t="shared" si="38"/>
        <v/>
      </c>
      <c r="AE27" s="100" t="str">
        <f t="shared" si="38"/>
        <v/>
      </c>
      <c r="AF27" s="100" t="str">
        <f t="shared" si="38"/>
        <v/>
      </c>
      <c r="AG27" s="100" t="str">
        <f t="shared" si="38"/>
        <v/>
      </c>
      <c r="AH27" s="100" t="str">
        <f t="shared" si="38"/>
        <v/>
      </c>
      <c r="AI27" s="100" t="str">
        <f t="shared" si="38"/>
        <v/>
      </c>
      <c r="AJ27" s="106">
        <f t="shared" si="39"/>
        <v>0</v>
      </c>
      <c r="AK27" s="102">
        <f t="shared" si="40"/>
        <v>0</v>
      </c>
      <c r="AL27" s="103">
        <f t="shared" si="41"/>
        <v>0</v>
      </c>
      <c r="AM27" s="106"/>
      <c r="AN27" s="102"/>
      <c r="AO27" s="103"/>
    </row>
    <row r="28" spans="1:54" s="66" customFormat="1" ht="12" customHeight="1" x14ac:dyDescent="0.3">
      <c r="A28" s="404" t="s">
        <v>239</v>
      </c>
      <c r="B28" s="158" t="str">
        <f t="shared" si="29"/>
        <v>NO</v>
      </c>
      <c r="C28" s="167" t="s">
        <v>715</v>
      </c>
      <c r="D28" s="457" t="s">
        <v>700</v>
      </c>
      <c r="E28" s="457"/>
      <c r="F28" s="457"/>
      <c r="G28" s="457"/>
      <c r="H28" s="457"/>
      <c r="I28" s="457"/>
      <c r="J28" s="457"/>
      <c r="K28" s="457"/>
      <c r="L28" s="457"/>
      <c r="M28" s="457"/>
      <c r="N28" s="98">
        <v>160</v>
      </c>
      <c r="O28" s="458"/>
      <c r="P28" s="96">
        <f t="shared" si="30"/>
        <v>160</v>
      </c>
      <c r="Q28" s="105">
        <f t="shared" si="31"/>
        <v>0</v>
      </c>
      <c r="R28" s="105">
        <f t="shared" si="32"/>
        <v>0</v>
      </c>
      <c r="S28" s="105">
        <f t="shared" si="33"/>
        <v>0</v>
      </c>
      <c r="T28" s="494">
        <v>0</v>
      </c>
      <c r="U28" s="131">
        <v>0</v>
      </c>
      <c r="V28" s="98">
        <f t="shared" si="34"/>
        <v>0</v>
      </c>
      <c r="W28" s="98">
        <f t="shared" si="35"/>
        <v>0</v>
      </c>
      <c r="X28" s="98">
        <f t="shared" si="36"/>
        <v>0</v>
      </c>
      <c r="Y28" s="98">
        <f t="shared" si="37"/>
        <v>0</v>
      </c>
      <c r="Z28" s="403"/>
      <c r="AA28" s="99"/>
      <c r="AB28" s="99"/>
      <c r="AC28" s="460" t="str">
        <f t="shared" si="38"/>
        <v/>
      </c>
      <c r="AD28" s="100" t="str">
        <f t="shared" si="38"/>
        <v/>
      </c>
      <c r="AE28" s="100" t="str">
        <f t="shared" si="38"/>
        <v/>
      </c>
      <c r="AF28" s="100" t="str">
        <f t="shared" si="38"/>
        <v/>
      </c>
      <c r="AG28" s="100" t="str">
        <f t="shared" si="38"/>
        <v/>
      </c>
      <c r="AH28" s="100" t="str">
        <f t="shared" si="38"/>
        <v/>
      </c>
      <c r="AI28" s="100" t="str">
        <f t="shared" si="38"/>
        <v/>
      </c>
      <c r="AJ28" s="106">
        <f t="shared" si="39"/>
        <v>0</v>
      </c>
      <c r="AK28" s="102">
        <f t="shared" si="40"/>
        <v>0</v>
      </c>
      <c r="AL28" s="103">
        <f t="shared" si="41"/>
        <v>0</v>
      </c>
      <c r="AM28" s="106"/>
      <c r="AN28" s="102"/>
      <c r="AO28" s="103"/>
    </row>
    <row r="29" spans="1:54" s="66" customFormat="1" ht="12" customHeight="1" x14ac:dyDescent="0.3">
      <c r="A29" s="404" t="s">
        <v>239</v>
      </c>
      <c r="B29" s="158" t="str">
        <f t="shared" si="29"/>
        <v>NO</v>
      </c>
      <c r="C29" s="167" t="s">
        <v>716</v>
      </c>
      <c r="D29" s="457" t="s">
        <v>702</v>
      </c>
      <c r="E29" s="457"/>
      <c r="F29" s="457"/>
      <c r="G29" s="457"/>
      <c r="H29" s="457"/>
      <c r="I29" s="457"/>
      <c r="J29" s="457"/>
      <c r="K29" s="457"/>
      <c r="L29" s="457"/>
      <c r="M29" s="457"/>
      <c r="N29" s="98">
        <v>160</v>
      </c>
      <c r="O29" s="458"/>
      <c r="P29" s="96">
        <f t="shared" si="30"/>
        <v>160</v>
      </c>
      <c r="Q29" s="105">
        <f t="shared" si="31"/>
        <v>0</v>
      </c>
      <c r="R29" s="105">
        <f t="shared" si="32"/>
        <v>3.0996674223526793E-2</v>
      </c>
      <c r="S29" s="105">
        <f t="shared" si="33"/>
        <v>0</v>
      </c>
      <c r="T29" s="98">
        <v>164.65690000000001</v>
      </c>
      <c r="U29" s="131">
        <v>0</v>
      </c>
      <c r="V29" s="98">
        <f t="shared" si="34"/>
        <v>164.65690000000001</v>
      </c>
      <c r="W29" s="98">
        <f t="shared" si="35"/>
        <v>1.0291056250000001</v>
      </c>
      <c r="X29" s="98">
        <f t="shared" si="36"/>
        <v>0</v>
      </c>
      <c r="Y29" s="98">
        <f t="shared" si="37"/>
        <v>0</v>
      </c>
      <c r="Z29" s="403"/>
      <c r="AA29" s="99"/>
      <c r="AB29" s="99"/>
      <c r="AC29" s="460" t="str">
        <f t="shared" si="38"/>
        <v/>
      </c>
      <c r="AD29" s="100" t="str">
        <f t="shared" si="38"/>
        <v/>
      </c>
      <c r="AE29" s="100" t="str">
        <f t="shared" si="38"/>
        <v/>
      </c>
      <c r="AF29" s="100" t="str">
        <f t="shared" si="38"/>
        <v/>
      </c>
      <c r="AG29" s="100" t="str">
        <f t="shared" si="38"/>
        <v/>
      </c>
      <c r="AH29" s="100" t="str">
        <f t="shared" si="38"/>
        <v/>
      </c>
      <c r="AI29" s="100" t="str">
        <f t="shared" si="38"/>
        <v/>
      </c>
      <c r="AJ29" s="106">
        <f t="shared" si="39"/>
        <v>0</v>
      </c>
      <c r="AK29" s="102">
        <f t="shared" si="40"/>
        <v>0</v>
      </c>
      <c r="AL29" s="103">
        <f t="shared" si="41"/>
        <v>0</v>
      </c>
      <c r="AM29" s="106"/>
      <c r="AN29" s="102"/>
      <c r="AO29" s="103"/>
    </row>
    <row r="30" spans="1:54" s="66" customFormat="1" ht="12" customHeight="1" x14ac:dyDescent="0.3">
      <c r="A30" s="404" t="s">
        <v>239</v>
      </c>
      <c r="B30" s="158" t="str">
        <f t="shared" si="29"/>
        <v>NO</v>
      </c>
      <c r="C30" s="167" t="s">
        <v>717</v>
      </c>
      <c r="D30" s="457" t="s">
        <v>704</v>
      </c>
      <c r="E30" s="457"/>
      <c r="F30" s="457"/>
      <c r="G30" s="457"/>
      <c r="H30" s="457"/>
      <c r="I30" s="457"/>
      <c r="J30" s="457"/>
      <c r="K30" s="457"/>
      <c r="L30" s="457"/>
      <c r="M30" s="457"/>
      <c r="N30" s="98">
        <v>38.4</v>
      </c>
      <c r="O30" s="458"/>
      <c r="P30" s="96">
        <f t="shared" si="30"/>
        <v>38.4</v>
      </c>
      <c r="Q30" s="105">
        <f t="shared" si="31"/>
        <v>0</v>
      </c>
      <c r="R30" s="105">
        <f t="shared" si="32"/>
        <v>1.4457605969545506E-3</v>
      </c>
      <c r="S30" s="105">
        <f t="shared" si="33"/>
        <v>0</v>
      </c>
      <c r="T30" s="98">
        <v>7.68</v>
      </c>
      <c r="U30" s="131">
        <v>0</v>
      </c>
      <c r="V30" s="98">
        <f t="shared" si="34"/>
        <v>7.68</v>
      </c>
      <c r="W30" s="98">
        <f t="shared" si="35"/>
        <v>0.2</v>
      </c>
      <c r="X30" s="98">
        <f t="shared" si="36"/>
        <v>0</v>
      </c>
      <c r="Y30" s="98">
        <f t="shared" si="37"/>
        <v>0</v>
      </c>
      <c r="Z30" s="403"/>
      <c r="AA30" s="99"/>
      <c r="AB30" s="99"/>
      <c r="AC30" s="460" t="str">
        <f t="shared" si="38"/>
        <v/>
      </c>
      <c r="AD30" s="100" t="str">
        <f t="shared" si="38"/>
        <v/>
      </c>
      <c r="AE30" s="100" t="str">
        <f t="shared" si="38"/>
        <v/>
      </c>
      <c r="AF30" s="100" t="str">
        <f t="shared" si="38"/>
        <v/>
      </c>
      <c r="AG30" s="100" t="str">
        <f t="shared" si="38"/>
        <v/>
      </c>
      <c r="AH30" s="100" t="str">
        <f t="shared" si="38"/>
        <v/>
      </c>
      <c r="AI30" s="100" t="str">
        <f t="shared" si="38"/>
        <v/>
      </c>
      <c r="AJ30" s="106">
        <f t="shared" si="39"/>
        <v>0</v>
      </c>
      <c r="AK30" s="102">
        <f t="shared" si="40"/>
        <v>0</v>
      </c>
      <c r="AL30" s="103">
        <f t="shared" si="41"/>
        <v>0</v>
      </c>
      <c r="AM30" s="106"/>
      <c r="AN30" s="102"/>
      <c r="AO30" s="103"/>
    </row>
    <row r="31" spans="1:54" s="66" customFormat="1" ht="12" customHeight="1" x14ac:dyDescent="0.3">
      <c r="A31" s="404" t="s">
        <v>239</v>
      </c>
      <c r="B31" s="158" t="str">
        <f t="shared" si="29"/>
        <v>NO</v>
      </c>
      <c r="C31" s="167" t="s">
        <v>718</v>
      </c>
      <c r="D31" s="457" t="s">
        <v>706</v>
      </c>
      <c r="E31" s="457"/>
      <c r="F31" s="457"/>
      <c r="G31" s="457"/>
      <c r="H31" s="457"/>
      <c r="I31" s="457"/>
      <c r="J31" s="457"/>
      <c r="K31" s="457"/>
      <c r="L31" s="457"/>
      <c r="M31" s="457"/>
      <c r="N31" s="98">
        <v>76.8</v>
      </c>
      <c r="O31" s="458"/>
      <c r="P31" s="96">
        <f t="shared" si="30"/>
        <v>76.8</v>
      </c>
      <c r="Q31" s="105">
        <f t="shared" si="31"/>
        <v>0</v>
      </c>
      <c r="R31" s="105">
        <f t="shared" si="32"/>
        <v>5.2562734903153253E-2</v>
      </c>
      <c r="S31" s="105">
        <f t="shared" si="33"/>
        <v>0</v>
      </c>
      <c r="T31" s="98">
        <v>279.2176</v>
      </c>
      <c r="U31" s="131">
        <v>0</v>
      </c>
      <c r="V31" s="98">
        <f t="shared" si="34"/>
        <v>279.2176</v>
      </c>
      <c r="W31" s="98">
        <f t="shared" si="35"/>
        <v>3.6356458333333337</v>
      </c>
      <c r="X31" s="98">
        <f t="shared" si="36"/>
        <v>0</v>
      </c>
      <c r="Y31" s="98">
        <f t="shared" si="37"/>
        <v>0</v>
      </c>
      <c r="Z31" s="403"/>
      <c r="AA31" s="99"/>
      <c r="AB31" s="99"/>
      <c r="AC31" s="460" t="str">
        <f t="shared" si="38"/>
        <v/>
      </c>
      <c r="AD31" s="100" t="str">
        <f t="shared" si="38"/>
        <v/>
      </c>
      <c r="AE31" s="100" t="str">
        <f t="shared" si="38"/>
        <v/>
      </c>
      <c r="AF31" s="100" t="str">
        <f t="shared" si="38"/>
        <v/>
      </c>
      <c r="AG31" s="100" t="str">
        <f t="shared" si="38"/>
        <v/>
      </c>
      <c r="AH31" s="100" t="str">
        <f t="shared" si="38"/>
        <v/>
      </c>
      <c r="AI31" s="100" t="str">
        <f t="shared" si="38"/>
        <v/>
      </c>
      <c r="AJ31" s="106">
        <f t="shared" si="39"/>
        <v>0</v>
      </c>
      <c r="AK31" s="102">
        <f t="shared" si="40"/>
        <v>0</v>
      </c>
      <c r="AL31" s="103">
        <f t="shared" si="41"/>
        <v>0</v>
      </c>
      <c r="AM31" s="106"/>
      <c r="AN31" s="102"/>
      <c r="AO31" s="103"/>
    </row>
    <row r="32" spans="1:54" s="66" customFormat="1" ht="12" customHeight="1" x14ac:dyDescent="0.3">
      <c r="A32" s="404" t="s">
        <v>239</v>
      </c>
      <c r="B32" s="158" t="str">
        <f t="shared" si="29"/>
        <v>NO</v>
      </c>
      <c r="C32" s="167" t="s">
        <v>719</v>
      </c>
      <c r="D32" s="457" t="s">
        <v>708</v>
      </c>
      <c r="E32" s="457"/>
      <c r="F32" s="457"/>
      <c r="G32" s="457"/>
      <c r="H32" s="457"/>
      <c r="I32" s="457"/>
      <c r="J32" s="457"/>
      <c r="K32" s="457"/>
      <c r="L32" s="457"/>
      <c r="M32" s="457"/>
      <c r="N32" s="98">
        <v>76.8</v>
      </c>
      <c r="O32" s="458"/>
      <c r="P32" s="96">
        <f t="shared" si="30"/>
        <v>76.8</v>
      </c>
      <c r="Q32" s="105">
        <f t="shared" si="31"/>
        <v>0</v>
      </c>
      <c r="R32" s="105">
        <f t="shared" si="32"/>
        <v>4.3372817908636516E-3</v>
      </c>
      <c r="S32" s="105">
        <f t="shared" si="33"/>
        <v>0</v>
      </c>
      <c r="T32" s="98">
        <v>23.04</v>
      </c>
      <c r="U32" s="131">
        <v>0</v>
      </c>
      <c r="V32" s="98">
        <f t="shared" si="34"/>
        <v>23.04</v>
      </c>
      <c r="W32" s="98">
        <f t="shared" si="35"/>
        <v>0.3</v>
      </c>
      <c r="X32" s="98">
        <f t="shared" si="36"/>
        <v>0</v>
      </c>
      <c r="Y32" s="98">
        <f t="shared" si="37"/>
        <v>0</v>
      </c>
      <c r="Z32" s="403"/>
      <c r="AA32" s="99"/>
      <c r="AB32" s="99"/>
      <c r="AC32" s="460" t="str">
        <f t="shared" si="38"/>
        <v/>
      </c>
      <c r="AD32" s="100" t="str">
        <f t="shared" si="38"/>
        <v/>
      </c>
      <c r="AE32" s="100" t="str">
        <f t="shared" si="38"/>
        <v/>
      </c>
      <c r="AF32" s="100" t="str">
        <f t="shared" si="38"/>
        <v/>
      </c>
      <c r="AG32" s="100" t="str">
        <f t="shared" si="38"/>
        <v/>
      </c>
      <c r="AH32" s="100" t="str">
        <f t="shared" si="38"/>
        <v/>
      </c>
      <c r="AI32" s="100" t="str">
        <f t="shared" si="38"/>
        <v/>
      </c>
      <c r="AJ32" s="106">
        <f t="shared" si="39"/>
        <v>0</v>
      </c>
      <c r="AK32" s="102">
        <f t="shared" si="40"/>
        <v>0</v>
      </c>
      <c r="AL32" s="103">
        <f t="shared" si="41"/>
        <v>0</v>
      </c>
    </row>
    <row r="33" spans="1:38" s="66" customFormat="1" ht="12" customHeight="1" x14ac:dyDescent="0.3">
      <c r="A33" s="404"/>
      <c r="B33" s="158"/>
      <c r="C33" s="94" t="s">
        <v>720</v>
      </c>
      <c r="D33" s="95" t="s">
        <v>721</v>
      </c>
      <c r="E33" s="95"/>
      <c r="F33" s="95"/>
      <c r="G33" s="95"/>
      <c r="H33" s="95"/>
      <c r="I33" s="95"/>
      <c r="J33" s="95"/>
      <c r="K33" s="95"/>
      <c r="L33" s="95"/>
      <c r="M33" s="95"/>
      <c r="N33" s="96"/>
      <c r="O33" s="96"/>
      <c r="P33" s="96"/>
      <c r="Q33" s="97"/>
      <c r="R33" s="97"/>
      <c r="S33" s="97"/>
      <c r="T33" s="98"/>
      <c r="U33" s="98"/>
      <c r="V33" s="98"/>
      <c r="W33" s="98"/>
      <c r="X33" s="98"/>
      <c r="Y33" s="98"/>
      <c r="Z33" s="403"/>
      <c r="AA33" s="99"/>
      <c r="AB33" s="99"/>
      <c r="AC33" s="465"/>
      <c r="AD33" s="100"/>
      <c r="AE33" s="100"/>
      <c r="AF33" s="100"/>
      <c r="AG33" s="100"/>
      <c r="AH33" s="100"/>
      <c r="AI33" s="100"/>
      <c r="AJ33" s="101">
        <f t="shared" ref="AJ33" si="42">SUM(AC33:AI33)</f>
        <v>0</v>
      </c>
      <c r="AK33" s="102"/>
      <c r="AL33" s="103"/>
    </row>
    <row r="34" spans="1:38" s="66" customFormat="1" ht="12" customHeight="1" x14ac:dyDescent="0.3">
      <c r="A34" s="404" t="s">
        <v>239</v>
      </c>
      <c r="B34" s="158" t="str">
        <f>+IF(SUMIFS($AC34:$AL34,$AC$8:$AL$8,"&gt;="&amp;$Y$6,$AC$8:$AL$8,"&lt;="&amp;$AA$6)&gt;0,"Si","NO")</f>
        <v>NO</v>
      </c>
      <c r="C34" s="167" t="s">
        <v>722</v>
      </c>
      <c r="D34" s="457" t="s">
        <v>723</v>
      </c>
      <c r="E34" s="457"/>
      <c r="F34" s="457"/>
      <c r="G34" s="457"/>
      <c r="H34" s="457"/>
      <c r="I34" s="457"/>
      <c r="J34" s="457"/>
      <c r="K34" s="457"/>
      <c r="L34" s="457"/>
      <c r="M34" s="457"/>
      <c r="N34" s="98">
        <v>8</v>
      </c>
      <c r="O34" s="458"/>
      <c r="P34" s="96">
        <f t="shared" ref="P34:P35" si="43">N34-O34</f>
        <v>8</v>
      </c>
      <c r="Q34" s="105">
        <f t="shared" ref="Q34:Q35" si="44">IFERROR(O34/N34,0)</f>
        <v>0</v>
      </c>
      <c r="R34" s="105">
        <f>IFERROR(T34/$T$10,0)</f>
        <v>0</v>
      </c>
      <c r="S34" s="105">
        <f>Q34*R34</f>
        <v>0</v>
      </c>
      <c r="T34" s="494">
        <v>0</v>
      </c>
      <c r="U34" s="131">
        <v>0</v>
      </c>
      <c r="V34" s="98">
        <f>T34-U34</f>
        <v>0</v>
      </c>
      <c r="W34" s="98">
        <f>IFERROR(T34/N34,0)</f>
        <v>0</v>
      </c>
      <c r="X34" s="98">
        <f>O34*W34</f>
        <v>0</v>
      </c>
      <c r="Y34" s="98">
        <f>IFERROR(X34/U34,0)</f>
        <v>0</v>
      </c>
      <c r="Z34" s="403"/>
      <c r="AA34" s="99"/>
      <c r="AB34" s="99"/>
      <c r="AC34" s="460" t="str">
        <f t="shared" ref="AC34:AI35" si="45">IFERROR(IF(AND(AC$9&gt;=$AA34,AC$9&lt;=$AB34),$P34/$Z34,""),"")</f>
        <v/>
      </c>
      <c r="AD34" s="100" t="str">
        <f t="shared" si="45"/>
        <v/>
      </c>
      <c r="AE34" s="100" t="str">
        <f t="shared" si="45"/>
        <v/>
      </c>
      <c r="AF34" s="100" t="str">
        <f t="shared" si="45"/>
        <v/>
      </c>
      <c r="AG34" s="100" t="str">
        <f t="shared" si="45"/>
        <v/>
      </c>
      <c r="AH34" s="100" t="str">
        <f t="shared" si="45"/>
        <v/>
      </c>
      <c r="AI34" s="100" t="str">
        <f t="shared" si="45"/>
        <v/>
      </c>
      <c r="AJ34" s="106">
        <f>SUM(AC34:AI34)</f>
        <v>0</v>
      </c>
      <c r="AK34" s="102">
        <f>IFERROR(AJ34/N34*R34,0)</f>
        <v>0</v>
      </c>
      <c r="AL34" s="103">
        <f>W34*AJ34</f>
        <v>0</v>
      </c>
    </row>
    <row r="35" spans="1:38" s="66" customFormat="1" ht="12" customHeight="1" x14ac:dyDescent="0.3">
      <c r="A35" s="404" t="s">
        <v>239</v>
      </c>
      <c r="B35" s="158" t="str">
        <f>+IF(SUMIFS($AC35:$AL35,$AC$8:$AL$8,"&gt;="&amp;$Y$6,$AC$8:$AL$8,"&lt;="&amp;$AA$6)&gt;0,"Si","NO")</f>
        <v>NO</v>
      </c>
      <c r="C35" s="167" t="s">
        <v>724</v>
      </c>
      <c r="D35" s="457" t="s">
        <v>725</v>
      </c>
      <c r="E35" s="457"/>
      <c r="F35" s="457"/>
      <c r="G35" s="457"/>
      <c r="H35" s="457"/>
      <c r="I35" s="457"/>
      <c r="J35" s="457"/>
      <c r="K35" s="457"/>
      <c r="L35" s="457"/>
      <c r="M35" s="457"/>
      <c r="N35" s="98">
        <v>8</v>
      </c>
      <c r="O35" s="458"/>
      <c r="P35" s="96">
        <f t="shared" si="43"/>
        <v>8</v>
      </c>
      <c r="Q35" s="105">
        <f t="shared" si="44"/>
        <v>0</v>
      </c>
      <c r="R35" s="105">
        <f>IFERROR(T35/$T$10,0)</f>
        <v>8.6861974365309239E-3</v>
      </c>
      <c r="S35" s="105">
        <f>Q35*R35</f>
        <v>0</v>
      </c>
      <c r="T35" s="98">
        <v>46.141800000000003</v>
      </c>
      <c r="U35" s="131">
        <v>0</v>
      </c>
      <c r="V35" s="98">
        <f>T35-U35</f>
        <v>46.141800000000003</v>
      </c>
      <c r="W35" s="98">
        <f>IFERROR(T35/N35,0)</f>
        <v>5.7677250000000004</v>
      </c>
      <c r="X35" s="98">
        <f>O35*W35</f>
        <v>0</v>
      </c>
      <c r="Y35" s="98">
        <f>IFERROR(X35/U35,0)</f>
        <v>0</v>
      </c>
      <c r="Z35" s="403"/>
      <c r="AA35" s="99"/>
      <c r="AB35" s="99"/>
      <c r="AC35" s="460" t="str">
        <f t="shared" si="45"/>
        <v/>
      </c>
      <c r="AD35" s="100" t="str">
        <f t="shared" si="45"/>
        <v/>
      </c>
      <c r="AE35" s="100" t="str">
        <f t="shared" si="45"/>
        <v/>
      </c>
      <c r="AF35" s="100" t="str">
        <f t="shared" si="45"/>
        <v/>
      </c>
      <c r="AG35" s="100" t="str">
        <f t="shared" si="45"/>
        <v/>
      </c>
      <c r="AH35" s="100" t="str">
        <f t="shared" si="45"/>
        <v/>
      </c>
      <c r="AI35" s="100" t="str">
        <f t="shared" si="45"/>
        <v/>
      </c>
      <c r="AJ35" s="106">
        <f>SUM(AC35:AI35)</f>
        <v>0</v>
      </c>
      <c r="AK35" s="102">
        <f>IFERROR(AJ35/N35*R35,0)</f>
        <v>0</v>
      </c>
      <c r="AL35" s="103">
        <f>W35*AJ35</f>
        <v>0</v>
      </c>
    </row>
    <row r="36" spans="1:38" s="66" customFormat="1" ht="12" customHeight="1" x14ac:dyDescent="0.3">
      <c r="A36" s="404"/>
      <c r="B36" s="158"/>
      <c r="C36" s="94" t="s">
        <v>726</v>
      </c>
      <c r="D36" s="95" t="s">
        <v>727</v>
      </c>
      <c r="E36" s="95"/>
      <c r="F36" s="95"/>
      <c r="G36" s="95"/>
      <c r="H36" s="95"/>
      <c r="I36" s="95"/>
      <c r="J36" s="95"/>
      <c r="K36" s="95"/>
      <c r="L36" s="95"/>
      <c r="M36" s="95"/>
      <c r="N36" s="96"/>
      <c r="O36" s="96"/>
      <c r="P36" s="96"/>
      <c r="Q36" s="97"/>
      <c r="R36" s="97"/>
      <c r="S36" s="97"/>
      <c r="T36" s="98"/>
      <c r="U36" s="98"/>
      <c r="V36" s="98"/>
      <c r="W36" s="98"/>
      <c r="X36" s="98"/>
      <c r="Y36" s="98"/>
      <c r="Z36" s="403"/>
      <c r="AA36" s="99"/>
      <c r="AB36" s="99"/>
      <c r="AC36" s="465"/>
      <c r="AD36" s="100"/>
      <c r="AE36" s="100"/>
      <c r="AF36" s="100"/>
      <c r="AG36" s="100"/>
      <c r="AH36" s="100"/>
      <c r="AI36" s="100"/>
      <c r="AJ36" s="101">
        <f t="shared" ref="AJ36" si="46">SUM(AC36:AI36)</f>
        <v>0</v>
      </c>
      <c r="AK36" s="102"/>
      <c r="AL36" s="103"/>
    </row>
    <row r="37" spans="1:38" s="66" customFormat="1" ht="12" customHeight="1" x14ac:dyDescent="0.3">
      <c r="A37" s="404" t="s">
        <v>239</v>
      </c>
      <c r="B37" s="158" t="str">
        <f>+IF(SUMIFS($AC37:$AL37,$AC$8:$AL$8,"&gt;="&amp;$Y$6,$AC$8:$AL$8,"&lt;="&amp;$AA$6)&gt;0,"Si","NO")</f>
        <v>NO</v>
      </c>
      <c r="C37" s="167" t="s">
        <v>728</v>
      </c>
      <c r="D37" s="457" t="s">
        <v>729</v>
      </c>
      <c r="E37" s="457"/>
      <c r="F37" s="457"/>
      <c r="G37" s="457"/>
      <c r="H37" s="457"/>
      <c r="I37" s="457"/>
      <c r="J37" s="457"/>
      <c r="K37" s="457"/>
      <c r="L37" s="457"/>
      <c r="M37" s="457"/>
      <c r="N37" s="98">
        <v>1</v>
      </c>
      <c r="O37" s="458"/>
      <c r="P37" s="96">
        <f t="shared" ref="P37:P38" si="47">N37-O37</f>
        <v>1</v>
      </c>
      <c r="Q37" s="105">
        <f t="shared" ref="Q37:Q38" si="48">IFERROR(O37/N37,0)</f>
        <v>0</v>
      </c>
      <c r="R37" s="105">
        <f>IFERROR(T37/$T$10,0)</f>
        <v>1.506000621827657E-3</v>
      </c>
      <c r="S37" s="105">
        <f>Q37*R37</f>
        <v>0</v>
      </c>
      <c r="T37" s="98">
        <v>8</v>
      </c>
      <c r="U37" s="131">
        <v>0</v>
      </c>
      <c r="V37" s="98">
        <f>T37-U37</f>
        <v>8</v>
      </c>
      <c r="W37" s="98">
        <f>IFERROR(T37/N37,0)</f>
        <v>8</v>
      </c>
      <c r="X37" s="98">
        <f>O37*W37</f>
        <v>0</v>
      </c>
      <c r="Y37" s="98">
        <f>IFERROR(X37/U37,0)</f>
        <v>0</v>
      </c>
      <c r="Z37" s="403"/>
      <c r="AA37" s="99"/>
      <c r="AB37" s="99"/>
      <c r="AC37" s="460" t="str">
        <f t="shared" ref="AC37:AI38" si="49">IFERROR(IF(AND(AC$9&gt;=$AA37,AC$9&lt;=$AB37),$P37/$Z37,""),"")</f>
        <v/>
      </c>
      <c r="AD37" s="100" t="str">
        <f t="shared" si="49"/>
        <v/>
      </c>
      <c r="AE37" s="100" t="str">
        <f t="shared" si="49"/>
        <v/>
      </c>
      <c r="AF37" s="100" t="str">
        <f t="shared" si="49"/>
        <v/>
      </c>
      <c r="AG37" s="100" t="str">
        <f t="shared" si="49"/>
        <v/>
      </c>
      <c r="AH37" s="100" t="str">
        <f t="shared" si="49"/>
        <v/>
      </c>
      <c r="AI37" s="100" t="str">
        <f t="shared" si="49"/>
        <v/>
      </c>
      <c r="AJ37" s="106">
        <f>SUM(AC37:AI37)</f>
        <v>0</v>
      </c>
      <c r="AK37" s="102">
        <f>IFERROR(AJ37/N37*R37,0)</f>
        <v>0</v>
      </c>
      <c r="AL37" s="103">
        <f>W37*AJ37</f>
        <v>0</v>
      </c>
    </row>
    <row r="38" spans="1:38" s="66" customFormat="1" ht="12" customHeight="1" x14ac:dyDescent="0.3">
      <c r="A38" s="404" t="s">
        <v>239</v>
      </c>
      <c r="B38" s="158" t="str">
        <f>+IF(SUMIFS($AC38:$AL38,$AC$8:$AL$8,"&gt;="&amp;$Y$6,$AC$8:$AL$8,"&lt;="&amp;$AA$6)&gt;0,"Si","NO")</f>
        <v>NO</v>
      </c>
      <c r="C38" s="167" t="s">
        <v>730</v>
      </c>
      <c r="D38" s="457" t="s">
        <v>731</v>
      </c>
      <c r="E38" s="457"/>
      <c r="F38" s="457"/>
      <c r="G38" s="457"/>
      <c r="H38" s="457"/>
      <c r="I38" s="457"/>
      <c r="J38" s="457"/>
      <c r="K38" s="457"/>
      <c r="L38" s="457"/>
      <c r="M38" s="457"/>
      <c r="N38" s="98">
        <v>165</v>
      </c>
      <c r="O38" s="458"/>
      <c r="P38" s="96">
        <f t="shared" si="47"/>
        <v>165</v>
      </c>
      <c r="Q38" s="105">
        <f t="shared" si="48"/>
        <v>0</v>
      </c>
      <c r="R38" s="105">
        <f>IFERROR(T38/$T$10,0)</f>
        <v>2.1146413606354181E-2</v>
      </c>
      <c r="S38" s="105">
        <f>Q38*R38</f>
        <v>0</v>
      </c>
      <c r="T38" s="98">
        <v>112.33150000000001</v>
      </c>
      <c r="U38" s="131">
        <v>0</v>
      </c>
      <c r="V38" s="98">
        <f>T38-U38</f>
        <v>112.33150000000001</v>
      </c>
      <c r="W38" s="98">
        <f>IFERROR(T38/N38,0)</f>
        <v>0.68079696969696968</v>
      </c>
      <c r="X38" s="98">
        <f>O38*W38</f>
        <v>0</v>
      </c>
      <c r="Y38" s="98">
        <f>IFERROR(X38/U38,0)</f>
        <v>0</v>
      </c>
      <c r="Z38" s="403"/>
      <c r="AA38" s="99"/>
      <c r="AB38" s="99"/>
      <c r="AC38" s="460" t="str">
        <f t="shared" si="49"/>
        <v/>
      </c>
      <c r="AD38" s="100" t="str">
        <f t="shared" si="49"/>
        <v/>
      </c>
      <c r="AE38" s="100" t="str">
        <f t="shared" si="49"/>
        <v/>
      </c>
      <c r="AF38" s="100" t="str">
        <f t="shared" si="49"/>
        <v/>
      </c>
      <c r="AG38" s="100" t="str">
        <f t="shared" si="49"/>
        <v/>
      </c>
      <c r="AH38" s="100" t="str">
        <f t="shared" si="49"/>
        <v/>
      </c>
      <c r="AI38" s="100" t="str">
        <f t="shared" si="49"/>
        <v/>
      </c>
      <c r="AJ38" s="106">
        <f>SUM(AC38:AI38)</f>
        <v>0</v>
      </c>
      <c r="AK38" s="102">
        <f>IFERROR(AJ38/N38*R38,0)</f>
        <v>0</v>
      </c>
      <c r="AL38" s="103">
        <f>W38*AJ38</f>
        <v>0</v>
      </c>
    </row>
    <row r="39" spans="1:38" s="66" customFormat="1" ht="12" customHeight="1" x14ac:dyDescent="0.3">
      <c r="A39" s="404"/>
      <c r="B39" s="158"/>
      <c r="C39" s="94" t="s">
        <v>732</v>
      </c>
      <c r="D39" s="95" t="s">
        <v>733</v>
      </c>
      <c r="E39" s="95"/>
      <c r="F39" s="95"/>
      <c r="G39" s="95"/>
      <c r="H39" s="95"/>
      <c r="I39" s="95"/>
      <c r="J39" s="95"/>
      <c r="K39" s="95"/>
      <c r="L39" s="95"/>
      <c r="M39" s="95"/>
      <c r="N39" s="96"/>
      <c r="O39" s="96"/>
      <c r="P39" s="96"/>
      <c r="Q39" s="97"/>
      <c r="R39" s="97"/>
      <c r="S39" s="97"/>
      <c r="T39" s="98"/>
      <c r="U39" s="98"/>
      <c r="V39" s="98"/>
      <c r="W39" s="98"/>
      <c r="X39" s="98"/>
      <c r="Y39" s="98"/>
      <c r="Z39" s="403"/>
      <c r="AA39" s="99"/>
      <c r="AB39" s="99"/>
      <c r="AC39" s="465"/>
      <c r="AD39" s="100"/>
      <c r="AE39" s="100"/>
      <c r="AF39" s="100"/>
      <c r="AG39" s="100"/>
      <c r="AH39" s="100"/>
      <c r="AI39" s="100"/>
      <c r="AJ39" s="101">
        <f t="shared" ref="AJ39" si="50">SUM(AC39:AI39)</f>
        <v>0</v>
      </c>
      <c r="AK39" s="102"/>
      <c r="AL39" s="103"/>
    </row>
    <row r="40" spans="1:38" s="66" customFormat="1" ht="12" customHeight="1" x14ac:dyDescent="0.3">
      <c r="A40" s="404" t="s">
        <v>239</v>
      </c>
      <c r="B40" s="158" t="str">
        <f t="shared" ref="B40:B47" si="51">+IF(SUMIFS($AC40:$AL40,$AC$8:$AL$8,"&gt;="&amp;$Y$6,$AC$8:$AL$8,"&lt;="&amp;$AA$6)&gt;0,"Si","NO")</f>
        <v>NO</v>
      </c>
      <c r="C40" s="167" t="s">
        <v>734</v>
      </c>
      <c r="D40" s="457" t="s">
        <v>735</v>
      </c>
      <c r="E40" s="457"/>
      <c r="F40" s="457"/>
      <c r="G40" s="457"/>
      <c r="H40" s="457"/>
      <c r="I40" s="457"/>
      <c r="J40" s="457"/>
      <c r="K40" s="457"/>
      <c r="L40" s="457"/>
      <c r="M40" s="457"/>
      <c r="N40" s="98">
        <v>14.4</v>
      </c>
      <c r="O40" s="458"/>
      <c r="P40" s="96">
        <f t="shared" ref="P40:P47" si="52">N40-O40</f>
        <v>14.4</v>
      </c>
      <c r="Q40" s="105">
        <f t="shared" ref="Q40:Q47" si="53">IFERROR(O40/N40,0)</f>
        <v>0</v>
      </c>
      <c r="R40" s="105">
        <f t="shared" ref="R40:R47" si="54">IFERROR(T40/$T$10,0)</f>
        <v>1.5382102101269958E-3</v>
      </c>
      <c r="S40" s="105">
        <f t="shared" ref="S40:S47" si="55">Q40*R40</f>
        <v>0</v>
      </c>
      <c r="T40" s="98">
        <v>8.1710999999999991</v>
      </c>
      <c r="U40" s="131">
        <v>0</v>
      </c>
      <c r="V40" s="98">
        <f t="shared" ref="V40:V47" si="56">T40-U40</f>
        <v>8.1710999999999991</v>
      </c>
      <c r="W40" s="98">
        <f t="shared" ref="W40:W47" si="57">IFERROR(T40/N40,0)</f>
        <v>0.56743749999999993</v>
      </c>
      <c r="X40" s="98">
        <f t="shared" ref="X40:X47" si="58">O40*W40</f>
        <v>0</v>
      </c>
      <c r="Y40" s="98">
        <f t="shared" ref="Y40:Y47" si="59">IFERROR(X40/U40,0)</f>
        <v>0</v>
      </c>
      <c r="Z40" s="403"/>
      <c r="AA40" s="99"/>
      <c r="AB40" s="99"/>
      <c r="AC40" s="460" t="str">
        <f t="shared" ref="AC40:AI47" si="60">IFERROR(IF(AND(AC$9&gt;=$AA40,AC$9&lt;=$AB40),$P40/$Z40,""),"")</f>
        <v/>
      </c>
      <c r="AD40" s="100" t="str">
        <f t="shared" si="60"/>
        <v/>
      </c>
      <c r="AE40" s="100" t="str">
        <f t="shared" si="60"/>
        <v/>
      </c>
      <c r="AF40" s="100" t="str">
        <f t="shared" si="60"/>
        <v/>
      </c>
      <c r="AG40" s="100" t="str">
        <f t="shared" si="60"/>
        <v/>
      </c>
      <c r="AH40" s="100" t="str">
        <f t="shared" si="60"/>
        <v/>
      </c>
      <c r="AI40" s="100" t="str">
        <f t="shared" si="60"/>
        <v/>
      </c>
      <c r="AJ40" s="106">
        <f t="shared" ref="AJ40:AJ47" si="61">SUM(AC40:AI40)</f>
        <v>0</v>
      </c>
      <c r="AK40" s="102">
        <f t="shared" ref="AK40:AK47" si="62">IFERROR(AJ40/N40*R40,0)</f>
        <v>0</v>
      </c>
      <c r="AL40" s="103">
        <f t="shared" ref="AL40:AL47" si="63">W40*AJ40</f>
        <v>0</v>
      </c>
    </row>
    <row r="41" spans="1:38" s="66" customFormat="1" ht="12" customHeight="1" x14ac:dyDescent="0.3">
      <c r="A41" s="404" t="s">
        <v>239</v>
      </c>
      <c r="B41" s="158" t="str">
        <f t="shared" si="51"/>
        <v>NO</v>
      </c>
      <c r="C41" s="167" t="s">
        <v>736</v>
      </c>
      <c r="D41" s="457" t="s">
        <v>696</v>
      </c>
      <c r="E41" s="457"/>
      <c r="F41" s="457"/>
      <c r="G41" s="457"/>
      <c r="H41" s="457"/>
      <c r="I41" s="457"/>
      <c r="J41" s="457"/>
      <c r="K41" s="457"/>
      <c r="L41" s="457"/>
      <c r="M41" s="457"/>
      <c r="N41" s="98">
        <v>24</v>
      </c>
      <c r="O41" s="458"/>
      <c r="P41" s="96">
        <f t="shared" si="52"/>
        <v>24</v>
      </c>
      <c r="Q41" s="105">
        <f t="shared" si="53"/>
        <v>0</v>
      </c>
      <c r="R41" s="105">
        <f t="shared" si="54"/>
        <v>7.1163047383222275E-3</v>
      </c>
      <c r="S41" s="105">
        <f t="shared" si="55"/>
        <v>0</v>
      </c>
      <c r="T41" s="98">
        <v>37.802399999999999</v>
      </c>
      <c r="U41" s="131">
        <v>0</v>
      </c>
      <c r="V41" s="98">
        <f t="shared" si="56"/>
        <v>37.802399999999999</v>
      </c>
      <c r="W41" s="98">
        <f t="shared" si="57"/>
        <v>1.5750999999999999</v>
      </c>
      <c r="X41" s="98">
        <f t="shared" si="58"/>
        <v>0</v>
      </c>
      <c r="Y41" s="98">
        <f t="shared" si="59"/>
        <v>0</v>
      </c>
      <c r="Z41" s="403"/>
      <c r="AA41" s="99"/>
      <c r="AB41" s="99"/>
      <c r="AC41" s="460" t="str">
        <f t="shared" si="60"/>
        <v/>
      </c>
      <c r="AD41" s="100" t="str">
        <f t="shared" si="60"/>
        <v/>
      </c>
      <c r="AE41" s="100" t="str">
        <f t="shared" si="60"/>
        <v/>
      </c>
      <c r="AF41" s="100" t="str">
        <f t="shared" si="60"/>
        <v/>
      </c>
      <c r="AG41" s="100" t="str">
        <f t="shared" si="60"/>
        <v/>
      </c>
      <c r="AH41" s="100" t="str">
        <f t="shared" si="60"/>
        <v/>
      </c>
      <c r="AI41" s="100" t="str">
        <f t="shared" si="60"/>
        <v/>
      </c>
      <c r="AJ41" s="106">
        <f t="shared" si="61"/>
        <v>0</v>
      </c>
      <c r="AK41" s="102">
        <f t="shared" si="62"/>
        <v>0</v>
      </c>
      <c r="AL41" s="103">
        <f t="shared" si="63"/>
        <v>0</v>
      </c>
    </row>
    <row r="42" spans="1:38" s="66" customFormat="1" ht="12" customHeight="1" x14ac:dyDescent="0.3">
      <c r="A42" s="404" t="s">
        <v>239</v>
      </c>
      <c r="B42" s="158" t="str">
        <f t="shared" si="51"/>
        <v>NO</v>
      </c>
      <c r="C42" s="167" t="s">
        <v>737</v>
      </c>
      <c r="D42" s="457" t="s">
        <v>698</v>
      </c>
      <c r="E42" s="457"/>
      <c r="F42" s="457"/>
      <c r="G42" s="457"/>
      <c r="H42" s="457"/>
      <c r="I42" s="457"/>
      <c r="J42" s="457"/>
      <c r="K42" s="457"/>
      <c r="L42" s="457"/>
      <c r="M42" s="457"/>
      <c r="N42" s="98">
        <v>24</v>
      </c>
      <c r="O42" s="458"/>
      <c r="P42" s="96">
        <f t="shared" si="52"/>
        <v>24</v>
      </c>
      <c r="Q42" s="105">
        <f t="shared" si="53"/>
        <v>0</v>
      </c>
      <c r="R42" s="105">
        <f t="shared" si="54"/>
        <v>2.0734051811089993E-3</v>
      </c>
      <c r="S42" s="105">
        <f t="shared" si="55"/>
        <v>0</v>
      </c>
      <c r="T42" s="98">
        <v>11.014099999999999</v>
      </c>
      <c r="U42" s="131">
        <v>0</v>
      </c>
      <c r="V42" s="98">
        <f t="shared" si="56"/>
        <v>11.014099999999999</v>
      </c>
      <c r="W42" s="98">
        <f t="shared" si="57"/>
        <v>0.45892083333333328</v>
      </c>
      <c r="X42" s="98">
        <f t="shared" si="58"/>
        <v>0</v>
      </c>
      <c r="Y42" s="98">
        <f t="shared" si="59"/>
        <v>0</v>
      </c>
      <c r="Z42" s="403"/>
      <c r="AA42" s="99"/>
      <c r="AB42" s="99"/>
      <c r="AC42" s="460" t="str">
        <f t="shared" si="60"/>
        <v/>
      </c>
      <c r="AD42" s="100" t="str">
        <f t="shared" si="60"/>
        <v/>
      </c>
      <c r="AE42" s="100" t="str">
        <f t="shared" si="60"/>
        <v/>
      </c>
      <c r="AF42" s="100" t="str">
        <f t="shared" si="60"/>
        <v/>
      </c>
      <c r="AG42" s="100" t="str">
        <f t="shared" si="60"/>
        <v/>
      </c>
      <c r="AH42" s="100" t="str">
        <f t="shared" si="60"/>
        <v/>
      </c>
      <c r="AI42" s="100" t="str">
        <f t="shared" si="60"/>
        <v/>
      </c>
      <c r="AJ42" s="106">
        <f t="shared" si="61"/>
        <v>0</v>
      </c>
      <c r="AK42" s="102">
        <f t="shared" si="62"/>
        <v>0</v>
      </c>
      <c r="AL42" s="103">
        <f t="shared" si="63"/>
        <v>0</v>
      </c>
    </row>
    <row r="43" spans="1:38" s="66" customFormat="1" ht="12" customHeight="1" x14ac:dyDescent="0.3">
      <c r="A43" s="404" t="s">
        <v>239</v>
      </c>
      <c r="B43" s="158" t="str">
        <f t="shared" si="51"/>
        <v>NO</v>
      </c>
      <c r="C43" s="167" t="s">
        <v>738</v>
      </c>
      <c r="D43" s="457" t="s">
        <v>700</v>
      </c>
      <c r="E43" s="457"/>
      <c r="F43" s="457"/>
      <c r="G43" s="457"/>
      <c r="H43" s="457"/>
      <c r="I43" s="457"/>
      <c r="J43" s="457"/>
      <c r="K43" s="457"/>
      <c r="L43" s="457"/>
      <c r="M43" s="457"/>
      <c r="N43" s="98">
        <v>24</v>
      </c>
      <c r="O43" s="458"/>
      <c r="P43" s="96">
        <f t="shared" si="52"/>
        <v>24</v>
      </c>
      <c r="Q43" s="105">
        <f t="shared" si="53"/>
        <v>0</v>
      </c>
      <c r="R43" s="105">
        <f t="shared" si="54"/>
        <v>0</v>
      </c>
      <c r="S43" s="105">
        <f t="shared" si="55"/>
        <v>0</v>
      </c>
      <c r="T43" s="494">
        <v>0</v>
      </c>
      <c r="U43" s="131">
        <v>0</v>
      </c>
      <c r="V43" s="98">
        <f t="shared" si="56"/>
        <v>0</v>
      </c>
      <c r="W43" s="98">
        <f t="shared" si="57"/>
        <v>0</v>
      </c>
      <c r="X43" s="98">
        <f t="shared" si="58"/>
        <v>0</v>
      </c>
      <c r="Y43" s="98">
        <f t="shared" si="59"/>
        <v>0</v>
      </c>
      <c r="Z43" s="403"/>
      <c r="AA43" s="99"/>
      <c r="AB43" s="99"/>
      <c r="AC43" s="460" t="str">
        <f t="shared" si="60"/>
        <v/>
      </c>
      <c r="AD43" s="100" t="str">
        <f t="shared" si="60"/>
        <v/>
      </c>
      <c r="AE43" s="100" t="str">
        <f t="shared" si="60"/>
        <v/>
      </c>
      <c r="AF43" s="100" t="str">
        <f t="shared" si="60"/>
        <v/>
      </c>
      <c r="AG43" s="100" t="str">
        <f t="shared" si="60"/>
        <v/>
      </c>
      <c r="AH43" s="100" t="str">
        <f t="shared" si="60"/>
        <v/>
      </c>
      <c r="AI43" s="100" t="str">
        <f t="shared" si="60"/>
        <v/>
      </c>
      <c r="AJ43" s="106">
        <f t="shared" si="61"/>
        <v>0</v>
      </c>
      <c r="AK43" s="102">
        <f t="shared" si="62"/>
        <v>0</v>
      </c>
      <c r="AL43" s="103">
        <f t="shared" si="63"/>
        <v>0</v>
      </c>
    </row>
    <row r="44" spans="1:38" s="66" customFormat="1" ht="12" customHeight="1" x14ac:dyDescent="0.3">
      <c r="A44" s="404" t="s">
        <v>239</v>
      </c>
      <c r="B44" s="158" t="str">
        <f t="shared" si="51"/>
        <v>NO</v>
      </c>
      <c r="C44" s="167" t="s">
        <v>739</v>
      </c>
      <c r="D44" s="457" t="s">
        <v>702</v>
      </c>
      <c r="E44" s="457"/>
      <c r="F44" s="457"/>
      <c r="G44" s="457"/>
      <c r="H44" s="457"/>
      <c r="I44" s="457"/>
      <c r="J44" s="457"/>
      <c r="K44" s="457"/>
      <c r="L44" s="457"/>
      <c r="M44" s="457"/>
      <c r="N44" s="98">
        <v>24</v>
      </c>
      <c r="O44" s="458"/>
      <c r="P44" s="96">
        <f t="shared" si="52"/>
        <v>24</v>
      </c>
      <c r="Q44" s="105">
        <f t="shared" si="53"/>
        <v>0</v>
      </c>
      <c r="R44" s="105">
        <f t="shared" si="54"/>
        <v>4.6494945447762984E-3</v>
      </c>
      <c r="S44" s="105">
        <f t="shared" si="55"/>
        <v>0</v>
      </c>
      <c r="T44" s="98">
        <v>24.698499999999999</v>
      </c>
      <c r="U44" s="131">
        <v>0</v>
      </c>
      <c r="V44" s="98">
        <f t="shared" si="56"/>
        <v>24.698499999999999</v>
      </c>
      <c r="W44" s="98">
        <f t="shared" si="57"/>
        <v>1.0291041666666667</v>
      </c>
      <c r="X44" s="98">
        <f t="shared" si="58"/>
        <v>0</v>
      </c>
      <c r="Y44" s="98">
        <f t="shared" si="59"/>
        <v>0</v>
      </c>
      <c r="Z44" s="403"/>
      <c r="AA44" s="99"/>
      <c r="AB44" s="99"/>
      <c r="AC44" s="460" t="str">
        <f t="shared" si="60"/>
        <v/>
      </c>
      <c r="AD44" s="100" t="str">
        <f t="shared" si="60"/>
        <v/>
      </c>
      <c r="AE44" s="100" t="str">
        <f t="shared" si="60"/>
        <v/>
      </c>
      <c r="AF44" s="100" t="str">
        <f t="shared" si="60"/>
        <v/>
      </c>
      <c r="AG44" s="100" t="str">
        <f t="shared" si="60"/>
        <v/>
      </c>
      <c r="AH44" s="100" t="str">
        <f t="shared" si="60"/>
        <v/>
      </c>
      <c r="AI44" s="100" t="str">
        <f t="shared" si="60"/>
        <v/>
      </c>
      <c r="AJ44" s="106">
        <f t="shared" si="61"/>
        <v>0</v>
      </c>
      <c r="AK44" s="102">
        <f t="shared" si="62"/>
        <v>0</v>
      </c>
      <c r="AL44" s="103">
        <f t="shared" si="63"/>
        <v>0</v>
      </c>
    </row>
    <row r="45" spans="1:38" s="66" customFormat="1" ht="12" customHeight="1" x14ac:dyDescent="0.3">
      <c r="A45" s="404" t="s">
        <v>239</v>
      </c>
      <c r="B45" s="158" t="str">
        <f t="shared" si="51"/>
        <v>NO</v>
      </c>
      <c r="C45" s="167" t="s">
        <v>740</v>
      </c>
      <c r="D45" s="457" t="s">
        <v>704</v>
      </c>
      <c r="E45" s="457"/>
      <c r="F45" s="457"/>
      <c r="G45" s="457"/>
      <c r="H45" s="457"/>
      <c r="I45" s="457"/>
      <c r="J45" s="457"/>
      <c r="K45" s="457"/>
      <c r="L45" s="457"/>
      <c r="M45" s="457"/>
      <c r="N45" s="98">
        <v>7.2</v>
      </c>
      <c r="O45" s="458"/>
      <c r="P45" s="96">
        <f t="shared" si="52"/>
        <v>7.2</v>
      </c>
      <c r="Q45" s="105">
        <f t="shared" si="53"/>
        <v>0</v>
      </c>
      <c r="R45" s="105">
        <f t="shared" si="54"/>
        <v>2.7108011192897822E-4</v>
      </c>
      <c r="S45" s="105">
        <f t="shared" si="55"/>
        <v>0</v>
      </c>
      <c r="T45" s="98">
        <v>1.44</v>
      </c>
      <c r="U45" s="131">
        <v>0</v>
      </c>
      <c r="V45" s="98">
        <f t="shared" si="56"/>
        <v>1.44</v>
      </c>
      <c r="W45" s="98">
        <f t="shared" si="57"/>
        <v>0.19999999999999998</v>
      </c>
      <c r="X45" s="98">
        <f t="shared" si="58"/>
        <v>0</v>
      </c>
      <c r="Y45" s="98">
        <f t="shared" si="59"/>
        <v>0</v>
      </c>
      <c r="Z45" s="403"/>
      <c r="AA45" s="99"/>
      <c r="AB45" s="99"/>
      <c r="AC45" s="460" t="str">
        <f t="shared" si="60"/>
        <v/>
      </c>
      <c r="AD45" s="100" t="str">
        <f t="shared" si="60"/>
        <v/>
      </c>
      <c r="AE45" s="100" t="str">
        <f t="shared" si="60"/>
        <v/>
      </c>
      <c r="AF45" s="100" t="str">
        <f t="shared" si="60"/>
        <v/>
      </c>
      <c r="AG45" s="100" t="str">
        <f t="shared" si="60"/>
        <v/>
      </c>
      <c r="AH45" s="100" t="str">
        <f t="shared" si="60"/>
        <v/>
      </c>
      <c r="AI45" s="100" t="str">
        <f t="shared" si="60"/>
        <v/>
      </c>
      <c r="AJ45" s="106">
        <f t="shared" si="61"/>
        <v>0</v>
      </c>
      <c r="AK45" s="102">
        <f t="shared" si="62"/>
        <v>0</v>
      </c>
      <c r="AL45" s="103">
        <f t="shared" si="63"/>
        <v>0</v>
      </c>
    </row>
    <row r="46" spans="1:38" s="66" customFormat="1" ht="12" customHeight="1" x14ac:dyDescent="0.3">
      <c r="A46" s="404" t="s">
        <v>239</v>
      </c>
      <c r="B46" s="158" t="str">
        <f t="shared" si="51"/>
        <v>NO</v>
      </c>
      <c r="C46" s="167" t="s">
        <v>741</v>
      </c>
      <c r="D46" s="457" t="s">
        <v>706</v>
      </c>
      <c r="E46" s="457"/>
      <c r="F46" s="457"/>
      <c r="G46" s="457"/>
      <c r="H46" s="457"/>
      <c r="I46" s="457"/>
      <c r="J46" s="457"/>
      <c r="K46" s="457"/>
      <c r="L46" s="457"/>
      <c r="M46" s="457"/>
      <c r="N46" s="98">
        <v>14.4</v>
      </c>
      <c r="O46" s="458"/>
      <c r="P46" s="96">
        <f t="shared" si="52"/>
        <v>14.4</v>
      </c>
      <c r="Q46" s="105">
        <f t="shared" si="53"/>
        <v>0</v>
      </c>
      <c r="R46" s="105">
        <f t="shared" si="54"/>
        <v>9.8555127943412337E-3</v>
      </c>
      <c r="S46" s="105">
        <f t="shared" si="55"/>
        <v>0</v>
      </c>
      <c r="T46" s="98">
        <v>52.353299999999997</v>
      </c>
      <c r="U46" s="131">
        <v>0</v>
      </c>
      <c r="V46" s="98">
        <f t="shared" si="56"/>
        <v>52.353299999999997</v>
      </c>
      <c r="W46" s="98">
        <f t="shared" si="57"/>
        <v>3.6356458333333332</v>
      </c>
      <c r="X46" s="98">
        <f t="shared" si="58"/>
        <v>0</v>
      </c>
      <c r="Y46" s="98">
        <f t="shared" si="59"/>
        <v>0</v>
      </c>
      <c r="Z46" s="403"/>
      <c r="AA46" s="99"/>
      <c r="AB46" s="99"/>
      <c r="AC46" s="460" t="str">
        <f t="shared" si="60"/>
        <v/>
      </c>
      <c r="AD46" s="100" t="str">
        <f t="shared" si="60"/>
        <v/>
      </c>
      <c r="AE46" s="100" t="str">
        <f t="shared" si="60"/>
        <v/>
      </c>
      <c r="AF46" s="100" t="str">
        <f t="shared" si="60"/>
        <v/>
      </c>
      <c r="AG46" s="100" t="str">
        <f t="shared" si="60"/>
        <v/>
      </c>
      <c r="AH46" s="100" t="str">
        <f t="shared" si="60"/>
        <v/>
      </c>
      <c r="AI46" s="100" t="str">
        <f t="shared" si="60"/>
        <v/>
      </c>
      <c r="AJ46" s="106">
        <f t="shared" si="61"/>
        <v>0</v>
      </c>
      <c r="AK46" s="102">
        <f t="shared" si="62"/>
        <v>0</v>
      </c>
      <c r="AL46" s="103">
        <f t="shared" si="63"/>
        <v>0</v>
      </c>
    </row>
    <row r="47" spans="1:38" s="66" customFormat="1" ht="12" customHeight="1" x14ac:dyDescent="0.3">
      <c r="A47" s="404" t="s">
        <v>239</v>
      </c>
      <c r="B47" s="158" t="str">
        <f t="shared" si="51"/>
        <v>NO</v>
      </c>
      <c r="C47" s="167" t="s">
        <v>742</v>
      </c>
      <c r="D47" s="457" t="s">
        <v>708</v>
      </c>
      <c r="E47" s="457"/>
      <c r="F47" s="457"/>
      <c r="G47" s="457"/>
      <c r="H47" s="457"/>
      <c r="I47" s="457"/>
      <c r="J47" s="457"/>
      <c r="K47" s="457"/>
      <c r="L47" s="457"/>
      <c r="M47" s="457"/>
      <c r="N47" s="98">
        <v>14.4</v>
      </c>
      <c r="O47" s="458"/>
      <c r="P47" s="96">
        <f t="shared" si="52"/>
        <v>14.4</v>
      </c>
      <c r="Q47" s="105">
        <f t="shared" si="53"/>
        <v>0</v>
      </c>
      <c r="R47" s="105">
        <f t="shared" si="54"/>
        <v>8.1324033578693484E-4</v>
      </c>
      <c r="S47" s="105">
        <f t="shared" si="55"/>
        <v>0</v>
      </c>
      <c r="T47" s="98">
        <v>4.32</v>
      </c>
      <c r="U47" s="131">
        <v>0</v>
      </c>
      <c r="V47" s="98">
        <f t="shared" si="56"/>
        <v>4.32</v>
      </c>
      <c r="W47" s="98">
        <f t="shared" si="57"/>
        <v>0.3</v>
      </c>
      <c r="X47" s="98">
        <f t="shared" si="58"/>
        <v>0</v>
      </c>
      <c r="Y47" s="98">
        <f t="shared" si="59"/>
        <v>0</v>
      </c>
      <c r="Z47" s="403"/>
      <c r="AA47" s="99"/>
      <c r="AB47" s="99"/>
      <c r="AC47" s="460" t="str">
        <f t="shared" si="60"/>
        <v/>
      </c>
      <c r="AD47" s="100" t="str">
        <f t="shared" si="60"/>
        <v/>
      </c>
      <c r="AE47" s="100" t="str">
        <f t="shared" si="60"/>
        <v/>
      </c>
      <c r="AF47" s="100" t="str">
        <f t="shared" si="60"/>
        <v/>
      </c>
      <c r="AG47" s="100" t="str">
        <f t="shared" si="60"/>
        <v/>
      </c>
      <c r="AH47" s="100" t="str">
        <f t="shared" si="60"/>
        <v/>
      </c>
      <c r="AI47" s="100" t="str">
        <f t="shared" si="60"/>
        <v/>
      </c>
      <c r="AJ47" s="106">
        <f t="shared" si="61"/>
        <v>0</v>
      </c>
      <c r="AK47" s="102">
        <f t="shared" si="62"/>
        <v>0</v>
      </c>
      <c r="AL47" s="103">
        <f t="shared" si="63"/>
        <v>0</v>
      </c>
    </row>
    <row r="48" spans="1:38" s="66" customFormat="1" ht="12" customHeight="1" x14ac:dyDescent="0.3">
      <c r="A48" s="404"/>
      <c r="B48" s="158"/>
      <c r="C48" s="94" t="s">
        <v>743</v>
      </c>
      <c r="D48" s="95" t="s">
        <v>744</v>
      </c>
      <c r="E48" s="95"/>
      <c r="F48" s="95"/>
      <c r="G48" s="95"/>
      <c r="H48" s="95"/>
      <c r="I48" s="95"/>
      <c r="J48" s="95"/>
      <c r="K48" s="95"/>
      <c r="L48" s="95"/>
      <c r="M48" s="95"/>
      <c r="N48" s="96"/>
      <c r="O48" s="96"/>
      <c r="P48" s="96"/>
      <c r="Q48" s="97"/>
      <c r="R48" s="97"/>
      <c r="S48" s="97"/>
      <c r="T48" s="98"/>
      <c r="U48" s="98"/>
      <c r="V48" s="98"/>
      <c r="W48" s="98"/>
      <c r="X48" s="98"/>
      <c r="Y48" s="98"/>
      <c r="Z48" s="403"/>
      <c r="AA48" s="99"/>
      <c r="AB48" s="99"/>
      <c r="AC48" s="465"/>
      <c r="AD48" s="100"/>
      <c r="AE48" s="100"/>
      <c r="AF48" s="100"/>
      <c r="AG48" s="100"/>
      <c r="AH48" s="100"/>
      <c r="AI48" s="100"/>
      <c r="AJ48" s="101">
        <f t="shared" ref="AJ48" si="64">SUM(AC48:AI48)</f>
        <v>0</v>
      </c>
      <c r="AK48" s="102"/>
      <c r="AL48" s="103"/>
    </row>
    <row r="49" spans="1:38" s="66" customFormat="1" ht="12" customHeight="1" x14ac:dyDescent="0.3">
      <c r="A49" s="404" t="s">
        <v>239</v>
      </c>
      <c r="B49" s="158" t="str">
        <f t="shared" ref="B49:B56" si="65">+IF(SUMIFS($AC49:$AL49,$AC$8:$AL$8,"&gt;="&amp;$Y$6,$AC$8:$AL$8,"&lt;="&amp;$AA$6)&gt;0,"Si","NO")</f>
        <v>NO</v>
      </c>
      <c r="C49" s="167" t="s">
        <v>745</v>
      </c>
      <c r="D49" s="457" t="s">
        <v>712</v>
      </c>
      <c r="E49" s="457"/>
      <c r="F49" s="457"/>
      <c r="G49" s="457"/>
      <c r="H49" s="457"/>
      <c r="I49" s="457"/>
      <c r="J49" s="457"/>
      <c r="K49" s="457"/>
      <c r="L49" s="457"/>
      <c r="M49" s="457"/>
      <c r="N49" s="98">
        <v>92.16</v>
      </c>
      <c r="O49" s="458"/>
      <c r="P49" s="96">
        <f t="shared" ref="P49:P56" si="66">N49-O49</f>
        <v>92.16</v>
      </c>
      <c r="Q49" s="105">
        <f t="shared" ref="Q49:Q56" si="67">IFERROR(O49/N49,0)</f>
        <v>0</v>
      </c>
      <c r="R49" s="105">
        <f t="shared" ref="R49:R56" si="68">IFERROR(T49/$T$10,0)</f>
        <v>9.8445942898329839E-3</v>
      </c>
      <c r="S49" s="105">
        <f t="shared" ref="S49:S56" si="69">Q49*R49</f>
        <v>0</v>
      </c>
      <c r="T49" s="98">
        <v>52.295299999999997</v>
      </c>
      <c r="U49" s="131">
        <v>0</v>
      </c>
      <c r="V49" s="98">
        <f t="shared" ref="V49:V56" si="70">T49-U49</f>
        <v>52.295299999999997</v>
      </c>
      <c r="W49" s="98">
        <f t="shared" ref="W49:W56" si="71">IFERROR(T49/N49,0)</f>
        <v>0.56744032118055554</v>
      </c>
      <c r="X49" s="98">
        <f t="shared" ref="X49:X56" si="72">O49*W49</f>
        <v>0</v>
      </c>
      <c r="Y49" s="98">
        <f t="shared" ref="Y49:Y56" si="73">IFERROR(X49/U49,0)</f>
        <v>0</v>
      </c>
      <c r="Z49" s="403"/>
      <c r="AA49" s="99"/>
      <c r="AB49" s="99"/>
      <c r="AC49" s="460" t="str">
        <f t="shared" ref="AC49:AI56" si="74">IFERROR(IF(AND(AC$9&gt;=$AA49,AC$9&lt;=$AB49),$P49/$Z49,""),"")</f>
        <v/>
      </c>
      <c r="AD49" s="100" t="str">
        <f t="shared" si="74"/>
        <v/>
      </c>
      <c r="AE49" s="100" t="str">
        <f t="shared" si="74"/>
        <v/>
      </c>
      <c r="AF49" s="100" t="str">
        <f t="shared" si="74"/>
        <v/>
      </c>
      <c r="AG49" s="100" t="str">
        <f t="shared" si="74"/>
        <v/>
      </c>
      <c r="AH49" s="100" t="str">
        <f t="shared" si="74"/>
        <v/>
      </c>
      <c r="AI49" s="100" t="str">
        <f t="shared" si="74"/>
        <v/>
      </c>
      <c r="AJ49" s="106">
        <f t="shared" ref="AJ49:AJ56" si="75">SUM(AC49:AI49)</f>
        <v>0</v>
      </c>
      <c r="AK49" s="102">
        <f t="shared" ref="AK49:AK56" si="76">IFERROR(AJ49/N49*R49,0)</f>
        <v>0</v>
      </c>
      <c r="AL49" s="103">
        <f t="shared" ref="AL49:AL56" si="77">W49*AJ49</f>
        <v>0</v>
      </c>
    </row>
    <row r="50" spans="1:38" s="66" customFormat="1" ht="12" customHeight="1" x14ac:dyDescent="0.3">
      <c r="A50" s="404" t="s">
        <v>239</v>
      </c>
      <c r="B50" s="158" t="str">
        <f t="shared" si="65"/>
        <v>NO</v>
      </c>
      <c r="C50" s="167" t="s">
        <v>746</v>
      </c>
      <c r="D50" s="457" t="s">
        <v>696</v>
      </c>
      <c r="E50" s="457"/>
      <c r="F50" s="457"/>
      <c r="G50" s="457"/>
      <c r="H50" s="457"/>
      <c r="I50" s="457"/>
      <c r="J50" s="457"/>
      <c r="K50" s="457"/>
      <c r="L50" s="457"/>
      <c r="M50" s="457"/>
      <c r="N50" s="98">
        <v>192</v>
      </c>
      <c r="O50" s="458"/>
      <c r="P50" s="96">
        <f t="shared" si="66"/>
        <v>192</v>
      </c>
      <c r="Q50" s="105">
        <f t="shared" si="67"/>
        <v>0</v>
      </c>
      <c r="R50" s="105">
        <f t="shared" si="68"/>
        <v>5.6930419081570052E-2</v>
      </c>
      <c r="S50" s="105">
        <f t="shared" si="69"/>
        <v>0</v>
      </c>
      <c r="T50" s="98">
        <v>302.41910000000001</v>
      </c>
      <c r="U50" s="131">
        <v>0</v>
      </c>
      <c r="V50" s="98">
        <f t="shared" si="70"/>
        <v>302.41910000000001</v>
      </c>
      <c r="W50" s="98">
        <f t="shared" si="71"/>
        <v>1.5750994791666668</v>
      </c>
      <c r="X50" s="98">
        <f t="shared" si="72"/>
        <v>0</v>
      </c>
      <c r="Y50" s="98">
        <f t="shared" si="73"/>
        <v>0</v>
      </c>
      <c r="Z50" s="403"/>
      <c r="AA50" s="99"/>
      <c r="AB50" s="99"/>
      <c r="AC50" s="460" t="str">
        <f t="shared" si="74"/>
        <v/>
      </c>
      <c r="AD50" s="100" t="str">
        <f t="shared" si="74"/>
        <v/>
      </c>
      <c r="AE50" s="100" t="str">
        <f t="shared" si="74"/>
        <v/>
      </c>
      <c r="AF50" s="100" t="str">
        <f t="shared" si="74"/>
        <v/>
      </c>
      <c r="AG50" s="100" t="str">
        <f t="shared" si="74"/>
        <v/>
      </c>
      <c r="AH50" s="100" t="str">
        <f t="shared" si="74"/>
        <v/>
      </c>
      <c r="AI50" s="100" t="str">
        <f t="shared" si="74"/>
        <v/>
      </c>
      <c r="AJ50" s="106">
        <f t="shared" si="75"/>
        <v>0</v>
      </c>
      <c r="AK50" s="102">
        <f t="shared" si="76"/>
        <v>0</v>
      </c>
      <c r="AL50" s="103">
        <f t="shared" si="77"/>
        <v>0</v>
      </c>
    </row>
    <row r="51" spans="1:38" s="66" customFormat="1" ht="12" customHeight="1" x14ac:dyDescent="0.3">
      <c r="A51" s="404" t="s">
        <v>239</v>
      </c>
      <c r="B51" s="158" t="str">
        <f t="shared" si="65"/>
        <v>NO</v>
      </c>
      <c r="C51" s="167" t="s">
        <v>747</v>
      </c>
      <c r="D51" s="457" t="s">
        <v>698</v>
      </c>
      <c r="E51" s="457"/>
      <c r="F51" s="457"/>
      <c r="G51" s="457"/>
      <c r="H51" s="457"/>
      <c r="I51" s="457"/>
      <c r="J51" s="457"/>
      <c r="K51" s="457"/>
      <c r="L51" s="457"/>
      <c r="M51" s="457"/>
      <c r="N51" s="98">
        <v>192</v>
      </c>
      <c r="O51" s="458"/>
      <c r="P51" s="96">
        <f t="shared" si="66"/>
        <v>192</v>
      </c>
      <c r="Q51" s="105">
        <f t="shared" si="67"/>
        <v>0</v>
      </c>
      <c r="R51" s="105">
        <f t="shared" si="68"/>
        <v>1.6587184973848677E-2</v>
      </c>
      <c r="S51" s="105">
        <f t="shared" si="69"/>
        <v>0</v>
      </c>
      <c r="T51" s="98">
        <v>88.112499999999997</v>
      </c>
      <c r="U51" s="131">
        <v>0</v>
      </c>
      <c r="V51" s="98">
        <f t="shared" si="70"/>
        <v>88.112499999999997</v>
      </c>
      <c r="W51" s="98">
        <f t="shared" si="71"/>
        <v>0.45891927083333334</v>
      </c>
      <c r="X51" s="98">
        <f t="shared" si="72"/>
        <v>0</v>
      </c>
      <c r="Y51" s="98">
        <f t="shared" si="73"/>
        <v>0</v>
      </c>
      <c r="Z51" s="403"/>
      <c r="AA51" s="99"/>
      <c r="AB51" s="99"/>
      <c r="AC51" s="460" t="str">
        <f t="shared" si="74"/>
        <v/>
      </c>
      <c r="AD51" s="100" t="str">
        <f t="shared" si="74"/>
        <v/>
      </c>
      <c r="AE51" s="100" t="str">
        <f t="shared" si="74"/>
        <v/>
      </c>
      <c r="AF51" s="100" t="str">
        <f t="shared" si="74"/>
        <v/>
      </c>
      <c r="AG51" s="100" t="str">
        <f t="shared" si="74"/>
        <v/>
      </c>
      <c r="AH51" s="100" t="str">
        <f t="shared" si="74"/>
        <v/>
      </c>
      <c r="AI51" s="100" t="str">
        <f t="shared" si="74"/>
        <v/>
      </c>
      <c r="AJ51" s="106">
        <f t="shared" si="75"/>
        <v>0</v>
      </c>
      <c r="AK51" s="102">
        <f t="shared" si="76"/>
        <v>0</v>
      </c>
      <c r="AL51" s="103">
        <f t="shared" si="77"/>
        <v>0</v>
      </c>
    </row>
    <row r="52" spans="1:38" s="66" customFormat="1" ht="12" customHeight="1" x14ac:dyDescent="0.3">
      <c r="A52" s="404" t="s">
        <v>239</v>
      </c>
      <c r="B52" s="158" t="str">
        <f t="shared" si="65"/>
        <v>NO</v>
      </c>
      <c r="C52" s="167" t="s">
        <v>748</v>
      </c>
      <c r="D52" s="457" t="s">
        <v>700</v>
      </c>
      <c r="E52" s="457"/>
      <c r="F52" s="457"/>
      <c r="G52" s="457"/>
      <c r="H52" s="457"/>
      <c r="I52" s="457"/>
      <c r="J52" s="457"/>
      <c r="K52" s="457"/>
      <c r="L52" s="457"/>
      <c r="M52" s="457"/>
      <c r="N52" s="98">
        <v>192</v>
      </c>
      <c r="O52" s="458"/>
      <c r="P52" s="96">
        <f t="shared" si="66"/>
        <v>192</v>
      </c>
      <c r="Q52" s="105">
        <f t="shared" si="67"/>
        <v>0</v>
      </c>
      <c r="R52" s="105">
        <f t="shared" si="68"/>
        <v>0</v>
      </c>
      <c r="S52" s="105">
        <f t="shared" si="69"/>
        <v>0</v>
      </c>
      <c r="T52" s="494">
        <v>0</v>
      </c>
      <c r="U52" s="131">
        <v>0</v>
      </c>
      <c r="V52" s="98">
        <f t="shared" si="70"/>
        <v>0</v>
      </c>
      <c r="W52" s="98">
        <f t="shared" si="71"/>
        <v>0</v>
      </c>
      <c r="X52" s="98">
        <f t="shared" si="72"/>
        <v>0</v>
      </c>
      <c r="Y52" s="98">
        <f t="shared" si="73"/>
        <v>0</v>
      </c>
      <c r="Z52" s="403"/>
      <c r="AA52" s="99"/>
      <c r="AB52" s="99"/>
      <c r="AC52" s="460" t="str">
        <f t="shared" si="74"/>
        <v/>
      </c>
      <c r="AD52" s="100" t="str">
        <f t="shared" si="74"/>
        <v/>
      </c>
      <c r="AE52" s="100" t="str">
        <f t="shared" si="74"/>
        <v/>
      </c>
      <c r="AF52" s="100" t="str">
        <f t="shared" si="74"/>
        <v/>
      </c>
      <c r="AG52" s="100" t="str">
        <f t="shared" si="74"/>
        <v/>
      </c>
      <c r="AH52" s="100" t="str">
        <f t="shared" si="74"/>
        <v/>
      </c>
      <c r="AI52" s="100" t="str">
        <f t="shared" si="74"/>
        <v/>
      </c>
      <c r="AJ52" s="106">
        <f t="shared" si="75"/>
        <v>0</v>
      </c>
      <c r="AK52" s="102">
        <f t="shared" si="76"/>
        <v>0</v>
      </c>
      <c r="AL52" s="103">
        <f t="shared" si="77"/>
        <v>0</v>
      </c>
    </row>
    <row r="53" spans="1:38" s="66" customFormat="1" ht="12" customHeight="1" x14ac:dyDescent="0.3">
      <c r="A53" s="404" t="s">
        <v>239</v>
      </c>
      <c r="B53" s="158" t="str">
        <f t="shared" si="65"/>
        <v>NO</v>
      </c>
      <c r="C53" s="167" t="s">
        <v>749</v>
      </c>
      <c r="D53" s="457" t="s">
        <v>702</v>
      </c>
      <c r="E53" s="457"/>
      <c r="F53" s="457"/>
      <c r="G53" s="457"/>
      <c r="H53" s="457"/>
      <c r="I53" s="457"/>
      <c r="J53" s="457"/>
      <c r="K53" s="457"/>
      <c r="L53" s="457"/>
      <c r="M53" s="457"/>
      <c r="N53" s="98">
        <v>192</v>
      </c>
      <c r="O53" s="458"/>
      <c r="P53" s="96">
        <f t="shared" si="66"/>
        <v>192</v>
      </c>
      <c r="Q53" s="105">
        <f t="shared" si="67"/>
        <v>0</v>
      </c>
      <c r="R53" s="105">
        <f t="shared" si="68"/>
        <v>3.7196012833233705E-2</v>
      </c>
      <c r="S53" s="105">
        <f t="shared" si="69"/>
        <v>0</v>
      </c>
      <c r="T53" s="98">
        <v>197.5883</v>
      </c>
      <c r="U53" s="131">
        <v>0</v>
      </c>
      <c r="V53" s="98">
        <f t="shared" si="70"/>
        <v>197.5883</v>
      </c>
      <c r="W53" s="98">
        <f t="shared" si="71"/>
        <v>1.0291057291666668</v>
      </c>
      <c r="X53" s="98">
        <f t="shared" si="72"/>
        <v>0</v>
      </c>
      <c r="Y53" s="98">
        <f t="shared" si="73"/>
        <v>0</v>
      </c>
      <c r="Z53" s="403"/>
      <c r="AA53" s="99"/>
      <c r="AB53" s="99"/>
      <c r="AC53" s="460" t="str">
        <f t="shared" si="74"/>
        <v/>
      </c>
      <c r="AD53" s="100" t="str">
        <f t="shared" si="74"/>
        <v/>
      </c>
      <c r="AE53" s="100" t="str">
        <f t="shared" si="74"/>
        <v/>
      </c>
      <c r="AF53" s="100" t="str">
        <f t="shared" si="74"/>
        <v/>
      </c>
      <c r="AG53" s="100" t="str">
        <f t="shared" si="74"/>
        <v/>
      </c>
      <c r="AH53" s="100" t="str">
        <f t="shared" si="74"/>
        <v/>
      </c>
      <c r="AI53" s="100" t="str">
        <f t="shared" si="74"/>
        <v/>
      </c>
      <c r="AJ53" s="106">
        <f t="shared" si="75"/>
        <v>0</v>
      </c>
      <c r="AK53" s="102">
        <f t="shared" si="76"/>
        <v>0</v>
      </c>
      <c r="AL53" s="103">
        <f t="shared" si="77"/>
        <v>0</v>
      </c>
    </row>
    <row r="54" spans="1:38" s="66" customFormat="1" ht="12" customHeight="1" x14ac:dyDescent="0.3">
      <c r="A54" s="404" t="s">
        <v>239</v>
      </c>
      <c r="B54" s="158" t="str">
        <f t="shared" si="65"/>
        <v>NO</v>
      </c>
      <c r="C54" s="167" t="s">
        <v>750</v>
      </c>
      <c r="D54" s="457" t="s">
        <v>704</v>
      </c>
      <c r="E54" s="457"/>
      <c r="F54" s="457"/>
      <c r="G54" s="457"/>
      <c r="H54" s="457"/>
      <c r="I54" s="457"/>
      <c r="J54" s="457"/>
      <c r="K54" s="457"/>
      <c r="L54" s="457"/>
      <c r="M54" s="457"/>
      <c r="N54" s="98">
        <v>46.08</v>
      </c>
      <c r="O54" s="458"/>
      <c r="P54" s="96">
        <f t="shared" si="66"/>
        <v>46.08</v>
      </c>
      <c r="Q54" s="105">
        <f t="shared" si="67"/>
        <v>0</v>
      </c>
      <c r="R54" s="105">
        <f t="shared" si="68"/>
        <v>1.7349127163454607E-3</v>
      </c>
      <c r="S54" s="105">
        <f t="shared" si="69"/>
        <v>0</v>
      </c>
      <c r="T54" s="98">
        <v>9.2159999999999993</v>
      </c>
      <c r="U54" s="131">
        <v>0</v>
      </c>
      <c r="V54" s="98">
        <f t="shared" si="70"/>
        <v>9.2159999999999993</v>
      </c>
      <c r="W54" s="98">
        <f t="shared" si="71"/>
        <v>0.19999999999999998</v>
      </c>
      <c r="X54" s="98">
        <f t="shared" si="72"/>
        <v>0</v>
      </c>
      <c r="Y54" s="98">
        <f t="shared" si="73"/>
        <v>0</v>
      </c>
      <c r="Z54" s="403"/>
      <c r="AA54" s="99"/>
      <c r="AB54" s="99"/>
      <c r="AC54" s="460" t="str">
        <f t="shared" si="74"/>
        <v/>
      </c>
      <c r="AD54" s="100" t="str">
        <f t="shared" si="74"/>
        <v/>
      </c>
      <c r="AE54" s="100" t="str">
        <f t="shared" si="74"/>
        <v/>
      </c>
      <c r="AF54" s="100" t="str">
        <f t="shared" si="74"/>
        <v/>
      </c>
      <c r="AG54" s="100" t="str">
        <f t="shared" si="74"/>
        <v/>
      </c>
      <c r="AH54" s="100" t="str">
        <f t="shared" si="74"/>
        <v/>
      </c>
      <c r="AI54" s="100" t="str">
        <f t="shared" si="74"/>
        <v/>
      </c>
      <c r="AJ54" s="106">
        <f t="shared" si="75"/>
        <v>0</v>
      </c>
      <c r="AK54" s="102">
        <f t="shared" si="76"/>
        <v>0</v>
      </c>
      <c r="AL54" s="103">
        <f t="shared" si="77"/>
        <v>0</v>
      </c>
    </row>
    <row r="55" spans="1:38" s="66" customFormat="1" ht="12" customHeight="1" x14ac:dyDescent="0.3">
      <c r="A55" s="404" t="s">
        <v>239</v>
      </c>
      <c r="B55" s="158" t="str">
        <f t="shared" si="65"/>
        <v>NO</v>
      </c>
      <c r="C55" s="167" t="s">
        <v>751</v>
      </c>
      <c r="D55" s="457" t="s">
        <v>706</v>
      </c>
      <c r="E55" s="457"/>
      <c r="F55" s="457"/>
      <c r="G55" s="457"/>
      <c r="H55" s="457"/>
      <c r="I55" s="457"/>
      <c r="J55" s="457"/>
      <c r="K55" s="457"/>
      <c r="L55" s="457"/>
      <c r="M55" s="457"/>
      <c r="N55" s="98">
        <v>92.16</v>
      </c>
      <c r="O55" s="458"/>
      <c r="P55" s="96">
        <f t="shared" si="66"/>
        <v>92.16</v>
      </c>
      <c r="Q55" s="105">
        <f t="shared" si="67"/>
        <v>0</v>
      </c>
      <c r="R55" s="105">
        <f t="shared" si="68"/>
        <v>6.3075278118782344E-2</v>
      </c>
      <c r="S55" s="105">
        <f t="shared" si="69"/>
        <v>0</v>
      </c>
      <c r="T55" s="98">
        <v>335.06110000000001</v>
      </c>
      <c r="U55" s="131">
        <v>0</v>
      </c>
      <c r="V55" s="98">
        <f t="shared" si="70"/>
        <v>335.06110000000001</v>
      </c>
      <c r="W55" s="98">
        <f t="shared" si="71"/>
        <v>3.6356456163194446</v>
      </c>
      <c r="X55" s="98">
        <f t="shared" si="72"/>
        <v>0</v>
      </c>
      <c r="Y55" s="98">
        <f t="shared" si="73"/>
        <v>0</v>
      </c>
      <c r="Z55" s="403"/>
      <c r="AA55" s="99"/>
      <c r="AB55" s="99"/>
      <c r="AC55" s="460" t="str">
        <f t="shared" si="74"/>
        <v/>
      </c>
      <c r="AD55" s="100" t="str">
        <f t="shared" si="74"/>
        <v/>
      </c>
      <c r="AE55" s="100" t="str">
        <f t="shared" si="74"/>
        <v/>
      </c>
      <c r="AF55" s="100" t="str">
        <f t="shared" si="74"/>
        <v/>
      </c>
      <c r="AG55" s="100" t="str">
        <f t="shared" si="74"/>
        <v/>
      </c>
      <c r="AH55" s="100" t="str">
        <f t="shared" si="74"/>
        <v/>
      </c>
      <c r="AI55" s="100" t="str">
        <f t="shared" si="74"/>
        <v/>
      </c>
      <c r="AJ55" s="106">
        <f t="shared" si="75"/>
        <v>0</v>
      </c>
      <c r="AK55" s="102">
        <f t="shared" si="76"/>
        <v>0</v>
      </c>
      <c r="AL55" s="103">
        <f t="shared" si="77"/>
        <v>0</v>
      </c>
    </row>
    <row r="56" spans="1:38" s="66" customFormat="1" ht="12" customHeight="1" x14ac:dyDescent="0.3">
      <c r="A56" s="404" t="s">
        <v>239</v>
      </c>
      <c r="B56" s="158" t="str">
        <f t="shared" si="65"/>
        <v>NO</v>
      </c>
      <c r="C56" s="167" t="s">
        <v>752</v>
      </c>
      <c r="D56" s="457" t="s">
        <v>708</v>
      </c>
      <c r="E56" s="457"/>
      <c r="F56" s="457"/>
      <c r="G56" s="457"/>
      <c r="H56" s="457"/>
      <c r="I56" s="457"/>
      <c r="J56" s="457"/>
      <c r="K56" s="457"/>
      <c r="L56" s="457"/>
      <c r="M56" s="457"/>
      <c r="N56" s="98">
        <v>92.16</v>
      </c>
      <c r="O56" s="458"/>
      <c r="P56" s="96">
        <f t="shared" si="66"/>
        <v>92.16</v>
      </c>
      <c r="Q56" s="105">
        <f t="shared" si="67"/>
        <v>0</v>
      </c>
      <c r="R56" s="105">
        <f t="shared" si="68"/>
        <v>5.2047381490363826E-3</v>
      </c>
      <c r="S56" s="105">
        <f t="shared" si="69"/>
        <v>0</v>
      </c>
      <c r="T56" s="98">
        <v>27.648</v>
      </c>
      <c r="U56" s="131">
        <v>0</v>
      </c>
      <c r="V56" s="98">
        <f t="shared" si="70"/>
        <v>27.648</v>
      </c>
      <c r="W56" s="98">
        <f t="shared" si="71"/>
        <v>0.3</v>
      </c>
      <c r="X56" s="98">
        <f t="shared" si="72"/>
        <v>0</v>
      </c>
      <c r="Y56" s="98">
        <f t="shared" si="73"/>
        <v>0</v>
      </c>
      <c r="Z56" s="403"/>
      <c r="AA56" s="99"/>
      <c r="AB56" s="99"/>
      <c r="AC56" s="460" t="str">
        <f t="shared" si="74"/>
        <v/>
      </c>
      <c r="AD56" s="100" t="str">
        <f t="shared" si="74"/>
        <v/>
      </c>
      <c r="AE56" s="100" t="str">
        <f t="shared" si="74"/>
        <v/>
      </c>
      <c r="AF56" s="100" t="str">
        <f t="shared" si="74"/>
        <v/>
      </c>
      <c r="AG56" s="100" t="str">
        <f t="shared" si="74"/>
        <v/>
      </c>
      <c r="AH56" s="100" t="str">
        <f t="shared" si="74"/>
        <v/>
      </c>
      <c r="AI56" s="100" t="str">
        <f t="shared" si="74"/>
        <v/>
      </c>
      <c r="AJ56" s="106">
        <f t="shared" si="75"/>
        <v>0</v>
      </c>
      <c r="AK56" s="102">
        <f t="shared" si="76"/>
        <v>0</v>
      </c>
      <c r="AL56" s="103">
        <f t="shared" si="77"/>
        <v>0</v>
      </c>
    </row>
    <row r="57" spans="1:38" s="66" customFormat="1" ht="12" customHeight="1" x14ac:dyDescent="0.3">
      <c r="A57" s="404"/>
      <c r="B57" s="158"/>
      <c r="C57" s="94" t="s">
        <v>753</v>
      </c>
      <c r="D57" s="95" t="s">
        <v>754</v>
      </c>
      <c r="E57" s="95"/>
      <c r="F57" s="95"/>
      <c r="G57" s="95"/>
      <c r="H57" s="95"/>
      <c r="I57" s="95"/>
      <c r="J57" s="95"/>
      <c r="K57" s="95"/>
      <c r="L57" s="95"/>
      <c r="M57" s="95"/>
      <c r="N57" s="96"/>
      <c r="O57" s="96"/>
      <c r="P57" s="96"/>
      <c r="Q57" s="97"/>
      <c r="R57" s="97"/>
      <c r="S57" s="97"/>
      <c r="T57" s="98"/>
      <c r="U57" s="98"/>
      <c r="V57" s="98"/>
      <c r="W57" s="98"/>
      <c r="X57" s="98"/>
      <c r="Y57" s="98"/>
      <c r="Z57" s="403"/>
      <c r="AA57" s="99"/>
      <c r="AB57" s="99"/>
      <c r="AC57" s="465"/>
      <c r="AD57" s="100"/>
      <c r="AE57" s="100"/>
      <c r="AF57" s="100"/>
      <c r="AG57" s="100"/>
      <c r="AH57" s="100"/>
      <c r="AI57" s="100"/>
      <c r="AJ57" s="101">
        <f t="shared" ref="AJ57" si="78">SUM(AC57:AI57)</f>
        <v>0</v>
      </c>
      <c r="AK57" s="102"/>
      <c r="AL57" s="103"/>
    </row>
    <row r="58" spans="1:38" s="66" customFormat="1" ht="12" customHeight="1" x14ac:dyDescent="0.3">
      <c r="A58" s="404" t="s">
        <v>239</v>
      </c>
      <c r="B58" s="158" t="str">
        <f>+IF(SUMIFS($AC58:$AL58,$AC$8:$AL$8,"&gt;="&amp;$Y$6,$AC$8:$AL$8,"&lt;="&amp;$AA$6)&gt;0,"Si","NO")</f>
        <v>NO</v>
      </c>
      <c r="C58" s="167" t="s">
        <v>755</v>
      </c>
      <c r="D58" s="457" t="s">
        <v>723</v>
      </c>
      <c r="E58" s="457"/>
      <c r="F58" s="457"/>
      <c r="G58" s="457"/>
      <c r="H58" s="457"/>
      <c r="I58" s="457"/>
      <c r="J58" s="457"/>
      <c r="K58" s="457"/>
      <c r="L58" s="457"/>
      <c r="M58" s="457"/>
      <c r="N58" s="98">
        <v>8</v>
      </c>
      <c r="O58" s="458"/>
      <c r="P58" s="96">
        <f t="shared" ref="P58:P59" si="79">N58-O58</f>
        <v>8</v>
      </c>
      <c r="Q58" s="105">
        <f t="shared" ref="Q58:Q59" si="80">IFERROR(O58/N58,0)</f>
        <v>0</v>
      </c>
      <c r="R58" s="105">
        <f>IFERROR(T58/$T$10,0)</f>
        <v>3.0120012436553139E-4</v>
      </c>
      <c r="S58" s="105">
        <f>Q58*R58</f>
        <v>0</v>
      </c>
      <c r="T58" s="494">
        <v>1.6</v>
      </c>
      <c r="U58" s="131">
        <v>0</v>
      </c>
      <c r="V58" s="98">
        <f>T58-U58</f>
        <v>1.6</v>
      </c>
      <c r="W58" s="98">
        <f>IFERROR(T58/N58,0)</f>
        <v>0.2</v>
      </c>
      <c r="X58" s="98">
        <f>O58*W58</f>
        <v>0</v>
      </c>
      <c r="Y58" s="98">
        <f>IFERROR(X58/U58,0)</f>
        <v>0</v>
      </c>
      <c r="Z58" s="403"/>
      <c r="AA58" s="99"/>
      <c r="AB58" s="99"/>
      <c r="AC58" s="460" t="str">
        <f t="shared" ref="AC58:AI59" si="81">IFERROR(IF(AND(AC$9&gt;=$AA58,AC$9&lt;=$AB58),$P58/$Z58,""),"")</f>
        <v/>
      </c>
      <c r="AD58" s="100" t="str">
        <f t="shared" si="81"/>
        <v/>
      </c>
      <c r="AE58" s="100" t="str">
        <f t="shared" si="81"/>
        <v/>
      </c>
      <c r="AF58" s="100" t="str">
        <f t="shared" si="81"/>
        <v/>
      </c>
      <c r="AG58" s="100" t="str">
        <f t="shared" si="81"/>
        <v/>
      </c>
      <c r="AH58" s="100" t="str">
        <f t="shared" si="81"/>
        <v/>
      </c>
      <c r="AI58" s="100" t="str">
        <f t="shared" si="81"/>
        <v/>
      </c>
      <c r="AJ58" s="106">
        <f>SUM(AC58:AI58)</f>
        <v>0</v>
      </c>
      <c r="AK58" s="102">
        <f>IFERROR(AJ58/N58*R58,0)</f>
        <v>0</v>
      </c>
      <c r="AL58" s="103">
        <f>W58*AJ58</f>
        <v>0</v>
      </c>
    </row>
    <row r="59" spans="1:38" s="66" customFormat="1" ht="12" customHeight="1" x14ac:dyDescent="0.3">
      <c r="A59" s="404" t="s">
        <v>239</v>
      </c>
      <c r="B59" s="158" t="str">
        <f>+IF(SUMIFS($AC59:$AL59,$AC$8:$AL$8,"&gt;="&amp;$Y$6,$AC$8:$AL$8,"&lt;="&amp;$AA$6)&gt;0,"Si","NO")</f>
        <v>NO</v>
      </c>
      <c r="C59" s="167" t="s">
        <v>756</v>
      </c>
      <c r="D59" s="457" t="s">
        <v>725</v>
      </c>
      <c r="E59" s="457"/>
      <c r="F59" s="457"/>
      <c r="G59" s="457"/>
      <c r="H59" s="457"/>
      <c r="I59" s="457"/>
      <c r="J59" s="457"/>
      <c r="K59" s="457"/>
      <c r="L59" s="457"/>
      <c r="M59" s="457"/>
      <c r="N59" s="98">
        <v>8</v>
      </c>
      <c r="O59" s="458"/>
      <c r="P59" s="96">
        <f t="shared" si="79"/>
        <v>8</v>
      </c>
      <c r="Q59" s="105">
        <f t="shared" si="80"/>
        <v>0</v>
      </c>
      <c r="R59" s="105">
        <f>IFERROR(T59/$T$10,0)</f>
        <v>8.6861974365309239E-3</v>
      </c>
      <c r="S59" s="105">
        <f>Q59*R59</f>
        <v>0</v>
      </c>
      <c r="T59" s="98">
        <v>46.141800000000003</v>
      </c>
      <c r="U59" s="131">
        <v>0</v>
      </c>
      <c r="V59" s="98">
        <f>T59-U59</f>
        <v>46.141800000000003</v>
      </c>
      <c r="W59" s="98">
        <f>IFERROR(T59/N59,0)</f>
        <v>5.7677250000000004</v>
      </c>
      <c r="X59" s="98">
        <f>O59*W59</f>
        <v>0</v>
      </c>
      <c r="Y59" s="98">
        <f>IFERROR(X59/U59,0)</f>
        <v>0</v>
      </c>
      <c r="Z59" s="403"/>
      <c r="AA59" s="99"/>
      <c r="AB59" s="99"/>
      <c r="AC59" s="460" t="str">
        <f t="shared" si="81"/>
        <v/>
      </c>
      <c r="AD59" s="100" t="str">
        <f t="shared" si="81"/>
        <v/>
      </c>
      <c r="AE59" s="100" t="str">
        <f t="shared" si="81"/>
        <v/>
      </c>
      <c r="AF59" s="100" t="str">
        <f t="shared" si="81"/>
        <v/>
      </c>
      <c r="AG59" s="100" t="str">
        <f t="shared" si="81"/>
        <v/>
      </c>
      <c r="AH59" s="100" t="str">
        <f t="shared" si="81"/>
        <v/>
      </c>
      <c r="AI59" s="100" t="str">
        <f t="shared" si="81"/>
        <v/>
      </c>
      <c r="AJ59" s="106">
        <f>SUM(AC59:AI59)</f>
        <v>0</v>
      </c>
      <c r="AK59" s="102">
        <f>IFERROR(AJ59/N59*R59,0)</f>
        <v>0</v>
      </c>
      <c r="AL59" s="103">
        <f>W59*AJ59</f>
        <v>0</v>
      </c>
    </row>
    <row r="60" spans="1:38" s="66" customFormat="1" ht="12" customHeight="1" x14ac:dyDescent="0.3">
      <c r="A60" s="404"/>
      <c r="B60" s="158"/>
      <c r="C60" s="94" t="s">
        <v>757</v>
      </c>
      <c r="D60" s="95" t="s">
        <v>758</v>
      </c>
      <c r="E60" s="95"/>
      <c r="F60" s="95"/>
      <c r="G60" s="95"/>
      <c r="H60" s="95"/>
      <c r="I60" s="95"/>
      <c r="J60" s="95"/>
      <c r="K60" s="95"/>
      <c r="L60" s="95"/>
      <c r="M60" s="95"/>
      <c r="N60" s="96"/>
      <c r="O60" s="96"/>
      <c r="P60" s="96"/>
      <c r="Q60" s="97"/>
      <c r="R60" s="97"/>
      <c r="S60" s="97"/>
      <c r="T60" s="98"/>
      <c r="U60" s="98"/>
      <c r="V60" s="98"/>
      <c r="W60" s="98"/>
      <c r="X60" s="98"/>
      <c r="Y60" s="98"/>
      <c r="Z60" s="403"/>
      <c r="AA60" s="99"/>
      <c r="AB60" s="99"/>
      <c r="AC60" s="465"/>
      <c r="AD60" s="100"/>
      <c r="AE60" s="100"/>
      <c r="AF60" s="100"/>
      <c r="AG60" s="100"/>
      <c r="AH60" s="100"/>
      <c r="AI60" s="100"/>
      <c r="AJ60" s="101">
        <f t="shared" ref="AJ60" si="82">SUM(AC60:AI60)</f>
        <v>0</v>
      </c>
      <c r="AK60" s="102"/>
      <c r="AL60" s="103"/>
    </row>
    <row r="61" spans="1:38" s="66" customFormat="1" ht="12" customHeight="1" x14ac:dyDescent="0.3">
      <c r="A61" s="404" t="s">
        <v>239</v>
      </c>
      <c r="B61" s="158" t="str">
        <f>+IF(SUMIFS($AC61:$AL61,$AC$8:$AL$8,"&gt;="&amp;$Y$6,$AC$8:$AL$8,"&lt;="&amp;$AA$6)&gt;0,"Si","NO")</f>
        <v>NO</v>
      </c>
      <c r="C61" s="167" t="s">
        <v>759</v>
      </c>
      <c r="D61" s="457" t="s">
        <v>729</v>
      </c>
      <c r="E61" s="457"/>
      <c r="F61" s="457"/>
      <c r="G61" s="457"/>
      <c r="H61" s="457"/>
      <c r="I61" s="457"/>
      <c r="J61" s="457"/>
      <c r="K61" s="457"/>
      <c r="L61" s="457"/>
      <c r="M61" s="457"/>
      <c r="N61" s="98">
        <v>1</v>
      </c>
      <c r="O61" s="458"/>
      <c r="P61" s="96">
        <f t="shared" ref="P61:P62" si="83">N61-O61</f>
        <v>1</v>
      </c>
      <c r="Q61" s="105">
        <f t="shared" ref="Q61:Q62" si="84">IFERROR(O61/N61,0)</f>
        <v>0</v>
      </c>
      <c r="R61" s="105">
        <f>IFERROR(T61/$T$10,0)</f>
        <v>1.506000621827657E-3</v>
      </c>
      <c r="S61" s="105">
        <f>Q61*R61</f>
        <v>0</v>
      </c>
      <c r="T61" s="98">
        <v>8</v>
      </c>
      <c r="U61" s="131">
        <v>0</v>
      </c>
      <c r="V61" s="98">
        <f>T61-U61</f>
        <v>8</v>
      </c>
      <c r="W61" s="98">
        <f>IFERROR(T61/N61,0)</f>
        <v>8</v>
      </c>
      <c r="X61" s="98">
        <f>O61*W61</f>
        <v>0</v>
      </c>
      <c r="Y61" s="98">
        <f>IFERROR(X61/U61,0)</f>
        <v>0</v>
      </c>
      <c r="Z61" s="403"/>
      <c r="AA61" s="99"/>
      <c r="AB61" s="99"/>
      <c r="AC61" s="460" t="str">
        <f t="shared" ref="AC61:AI62" si="85">IFERROR(IF(AND(AC$9&gt;=$AA61,AC$9&lt;=$AB61),$P61/$Z61,""),"")</f>
        <v/>
      </c>
      <c r="AD61" s="100" t="str">
        <f t="shared" si="85"/>
        <v/>
      </c>
      <c r="AE61" s="100" t="str">
        <f t="shared" si="85"/>
        <v/>
      </c>
      <c r="AF61" s="100" t="str">
        <f t="shared" si="85"/>
        <v/>
      </c>
      <c r="AG61" s="100" t="str">
        <f t="shared" si="85"/>
        <v/>
      </c>
      <c r="AH61" s="100" t="str">
        <f t="shared" si="85"/>
        <v/>
      </c>
      <c r="AI61" s="100" t="str">
        <f t="shared" si="85"/>
        <v/>
      </c>
      <c r="AJ61" s="106">
        <f>SUM(AC61:AI61)</f>
        <v>0</v>
      </c>
      <c r="AK61" s="102">
        <f>IFERROR(AJ61/N61*R61,0)</f>
        <v>0</v>
      </c>
      <c r="AL61" s="103">
        <f>W61*AJ61</f>
        <v>0</v>
      </c>
    </row>
    <row r="62" spans="1:38" s="66" customFormat="1" ht="12" customHeight="1" x14ac:dyDescent="0.3">
      <c r="A62" s="404" t="s">
        <v>239</v>
      </c>
      <c r="B62" s="158" t="str">
        <f>+IF(SUMIFS($AC62:$AL62,$AC$8:$AL$8,"&gt;="&amp;$Y$6,$AC$8:$AL$8,"&lt;="&amp;$AA$6)&gt;0,"Si","NO")</f>
        <v>NO</v>
      </c>
      <c r="C62" s="167" t="s">
        <v>760</v>
      </c>
      <c r="D62" s="457" t="s">
        <v>731</v>
      </c>
      <c r="E62" s="457"/>
      <c r="F62" s="457"/>
      <c r="G62" s="457"/>
      <c r="H62" s="457"/>
      <c r="I62" s="457"/>
      <c r="J62" s="457"/>
      <c r="K62" s="457"/>
      <c r="L62" s="457"/>
      <c r="M62" s="457"/>
      <c r="N62" s="98">
        <v>170</v>
      </c>
      <c r="O62" s="458"/>
      <c r="P62" s="96">
        <f t="shared" si="83"/>
        <v>170</v>
      </c>
      <c r="Q62" s="105">
        <f t="shared" si="84"/>
        <v>0</v>
      </c>
      <c r="R62" s="105">
        <f>IFERROR(T62/$T$10,0)</f>
        <v>2.1787198045934077E-2</v>
      </c>
      <c r="S62" s="105">
        <f>Q62*R62</f>
        <v>0</v>
      </c>
      <c r="T62" s="98">
        <v>115.7354</v>
      </c>
      <c r="U62" s="131">
        <v>0</v>
      </c>
      <c r="V62" s="98">
        <f>T62-U62</f>
        <v>115.7354</v>
      </c>
      <c r="W62" s="98">
        <f>IFERROR(T62/N62,0)</f>
        <v>0.68079647058823534</v>
      </c>
      <c r="X62" s="98">
        <f>O62*W62</f>
        <v>0</v>
      </c>
      <c r="Y62" s="98">
        <f>IFERROR(X62/U62,0)</f>
        <v>0</v>
      </c>
      <c r="Z62" s="403"/>
      <c r="AA62" s="99"/>
      <c r="AB62" s="99"/>
      <c r="AC62" s="460" t="str">
        <f>IFERROR(IF(AND(AC$9&gt;=$AA62,AC$9&lt;=$AB62),$P62/$Z62,""),"")</f>
        <v/>
      </c>
      <c r="AD62" s="100" t="str">
        <f>IFERROR(IF(AND(AD$9&gt;=$AA62,AD$9&lt;=$AB62),$P62/$Z62,""),"")</f>
        <v/>
      </c>
      <c r="AE62" s="100" t="str">
        <f>IFERROR(IF(AND(AE$9&gt;=$AA62,AE$9&lt;=$AB62),$P62/$Z62,""),"")</f>
        <v/>
      </c>
      <c r="AF62" s="100" t="str">
        <f>IFERROR(IF(AND(AF$9&gt;=$AA62,AF$9&lt;=$AB62),$P62/$Z62,""),"")</f>
        <v/>
      </c>
      <c r="AG62" s="100" t="str">
        <f t="shared" si="85"/>
        <v/>
      </c>
      <c r="AH62" s="100" t="str">
        <f t="shared" si="85"/>
        <v/>
      </c>
      <c r="AI62" s="100" t="str">
        <f t="shared" si="85"/>
        <v/>
      </c>
      <c r="AJ62" s="106">
        <f>SUM(AC62:AI62)</f>
        <v>0</v>
      </c>
      <c r="AK62" s="102">
        <f>IFERROR(AJ62/N62*R62,0)</f>
        <v>0</v>
      </c>
      <c r="AL62" s="103">
        <f>W62*AJ62</f>
        <v>0</v>
      </c>
    </row>
    <row r="63" spans="1:38" s="66" customFormat="1" ht="12" customHeight="1" x14ac:dyDescent="0.3">
      <c r="A63" s="404"/>
      <c r="B63" s="158"/>
      <c r="C63" s="94" t="s">
        <v>686</v>
      </c>
      <c r="D63" s="95" t="s">
        <v>761</v>
      </c>
      <c r="E63" s="95"/>
      <c r="F63" s="95"/>
      <c r="G63" s="95"/>
      <c r="H63" s="95"/>
      <c r="I63" s="95"/>
      <c r="J63" s="95"/>
      <c r="K63" s="95"/>
      <c r="L63" s="95"/>
      <c r="M63" s="95"/>
      <c r="N63" s="96"/>
      <c r="O63" s="96"/>
      <c r="P63" s="96"/>
      <c r="Q63" s="97"/>
      <c r="R63" s="97"/>
      <c r="S63" s="97"/>
      <c r="T63" s="98"/>
      <c r="U63" s="98"/>
      <c r="V63" s="98"/>
      <c r="W63" s="98"/>
      <c r="X63" s="98"/>
      <c r="Y63" s="98"/>
      <c r="Z63" s="403"/>
      <c r="AA63" s="99"/>
      <c r="AB63" s="99"/>
      <c r="AC63" s="465"/>
      <c r="AD63" s="100"/>
      <c r="AE63" s="100"/>
      <c r="AF63" s="100"/>
      <c r="AG63" s="100"/>
      <c r="AH63" s="100"/>
      <c r="AI63" s="100"/>
      <c r="AJ63" s="101">
        <f t="shared" ref="AJ63" si="86">SUM(AC63:AI63)</f>
        <v>0</v>
      </c>
      <c r="AK63" s="102"/>
      <c r="AL63" s="103"/>
    </row>
    <row r="64" spans="1:38" s="66" customFormat="1" ht="12" customHeight="1" x14ac:dyDescent="0.3">
      <c r="A64" s="404" t="s">
        <v>239</v>
      </c>
      <c r="B64" s="158" t="str">
        <f>+IF(SUMIFS($AC64:$AL64,$AC$8:$AL$8,"&gt;="&amp;$Y$6,$AC$8:$AL$8,"&lt;="&amp;$AA$6)&gt;0,"Si","NO")</f>
        <v>NO</v>
      </c>
      <c r="C64" s="167" t="s">
        <v>762</v>
      </c>
      <c r="D64" s="457" t="s">
        <v>763</v>
      </c>
      <c r="E64" s="457"/>
      <c r="F64" s="457"/>
      <c r="G64" s="457"/>
      <c r="H64" s="457"/>
      <c r="I64" s="457"/>
      <c r="J64" s="457"/>
      <c r="K64" s="457"/>
      <c r="L64" s="457"/>
      <c r="M64" s="457"/>
      <c r="N64" s="98">
        <v>765</v>
      </c>
      <c r="O64" s="458"/>
      <c r="P64" s="96">
        <f t="shared" ref="P64" si="87">N64-O64</f>
        <v>765</v>
      </c>
      <c r="Q64" s="105">
        <f t="shared" ref="Q64" si="88">IFERROR(O64/N64,0)</f>
        <v>0</v>
      </c>
      <c r="R64" s="105">
        <f>IFERROR(T64/$T$10,0)</f>
        <v>3.0638264900539579E-2</v>
      </c>
      <c r="S64" s="105">
        <f>Q64*R64</f>
        <v>0</v>
      </c>
      <c r="T64" s="98">
        <v>162.75299999999999</v>
      </c>
      <c r="U64" s="131">
        <v>0</v>
      </c>
      <c r="V64" s="98">
        <f>T64-U64</f>
        <v>162.75299999999999</v>
      </c>
      <c r="W64" s="98">
        <f>IFERROR(T64/N64,0)</f>
        <v>0.21274901960784312</v>
      </c>
      <c r="X64" s="98">
        <f>O64*W64</f>
        <v>0</v>
      </c>
      <c r="Y64" s="98">
        <f>IFERROR(X64/U64,0)</f>
        <v>0</v>
      </c>
      <c r="Z64" s="403"/>
      <c r="AA64" s="99"/>
      <c r="AB64" s="99"/>
      <c r="AC64" s="460" t="str">
        <f>IFERROR(IF(AND(AC$9&gt;=$AA64,AC$9&lt;=$AB64),$P64/$Z64,""),"")</f>
        <v/>
      </c>
      <c r="AD64" s="100" t="str">
        <f t="shared" ref="AD64:AI64" si="89">IFERROR(IF(AND(AD$9&gt;=$AA64,AD$9&lt;=$AB64),$P64/$Z64,""),"")</f>
        <v/>
      </c>
      <c r="AE64" s="100" t="str">
        <f t="shared" si="89"/>
        <v/>
      </c>
      <c r="AF64" s="100" t="str">
        <f t="shared" si="89"/>
        <v/>
      </c>
      <c r="AG64" s="100" t="str">
        <f t="shared" si="89"/>
        <v/>
      </c>
      <c r="AH64" s="100" t="str">
        <f t="shared" si="89"/>
        <v/>
      </c>
      <c r="AI64" s="100" t="str">
        <f t="shared" si="89"/>
        <v/>
      </c>
      <c r="AJ64" s="106">
        <f>SUM(AC64:AI64)</f>
        <v>0</v>
      </c>
      <c r="AK64" s="102">
        <f>IFERROR(AJ64/N64*R64,0)</f>
        <v>0</v>
      </c>
      <c r="AL64" s="103">
        <f>W64*AJ64</f>
        <v>0</v>
      </c>
    </row>
    <row r="65" spans="1:38" s="66" customFormat="1" ht="12" customHeight="1" x14ac:dyDescent="0.3">
      <c r="A65" s="404"/>
      <c r="B65" s="158"/>
      <c r="C65" s="94" t="s">
        <v>764</v>
      </c>
      <c r="D65" s="95" t="s">
        <v>765</v>
      </c>
      <c r="E65" s="95"/>
      <c r="F65" s="95"/>
      <c r="G65" s="95"/>
      <c r="H65" s="95"/>
      <c r="I65" s="95"/>
      <c r="J65" s="95"/>
      <c r="K65" s="95"/>
      <c r="L65" s="95"/>
      <c r="M65" s="95"/>
      <c r="N65" s="96"/>
      <c r="O65" s="96"/>
      <c r="P65" s="96"/>
      <c r="Q65" s="97"/>
      <c r="R65" s="97"/>
      <c r="S65" s="97"/>
      <c r="T65" s="98"/>
      <c r="U65" s="98"/>
      <c r="V65" s="98"/>
      <c r="W65" s="98"/>
      <c r="X65" s="98"/>
      <c r="Y65" s="98"/>
      <c r="Z65" s="403"/>
      <c r="AA65" s="99"/>
      <c r="AB65" s="99"/>
      <c r="AC65" s="465"/>
      <c r="AD65" s="100"/>
      <c r="AE65" s="100"/>
      <c r="AF65" s="100"/>
      <c r="AG65" s="100"/>
      <c r="AH65" s="100"/>
      <c r="AI65" s="100"/>
      <c r="AJ65" s="101">
        <f t="shared" ref="AJ65" si="90">SUM(AC65:AI65)</f>
        <v>0</v>
      </c>
      <c r="AK65" s="102"/>
      <c r="AL65" s="103"/>
    </row>
    <row r="66" spans="1:38" s="66" customFormat="1" ht="12" customHeight="1" x14ac:dyDescent="0.3">
      <c r="A66" s="404" t="s">
        <v>239</v>
      </c>
      <c r="B66" s="158" t="str">
        <f>+IF(SUMIFS($AC66:$AL66,$AC$8:$AL$8,"&gt;="&amp;$Y$6,$AC$8:$AL$8,"&lt;="&amp;$AA$6)&gt;0,"Si","NO")</f>
        <v>NO</v>
      </c>
      <c r="C66" s="167" t="s">
        <v>766</v>
      </c>
      <c r="D66" s="457" t="s">
        <v>767</v>
      </c>
      <c r="E66" s="457"/>
      <c r="F66" s="457"/>
      <c r="G66" s="457"/>
      <c r="H66" s="457"/>
      <c r="I66" s="457"/>
      <c r="J66" s="457"/>
      <c r="K66" s="457"/>
      <c r="L66" s="457"/>
      <c r="M66" s="457"/>
      <c r="N66" s="98">
        <v>8</v>
      </c>
      <c r="O66" s="458"/>
      <c r="P66" s="96">
        <f t="shared" ref="P66" si="91">N66-O66</f>
        <v>8</v>
      </c>
      <c r="Q66" s="105">
        <f t="shared" ref="Q66" si="92">IFERROR(O66/N66,0)</f>
        <v>0</v>
      </c>
      <c r="R66" s="105">
        <f>IFERROR(T66/$T$10,0)</f>
        <v>4.018335331670659E-2</v>
      </c>
      <c r="S66" s="105">
        <f>Q66*R66</f>
        <v>0</v>
      </c>
      <c r="T66" s="98">
        <v>213.4573</v>
      </c>
      <c r="U66" s="131">
        <v>0</v>
      </c>
      <c r="V66" s="98">
        <f>T66-U66</f>
        <v>213.4573</v>
      </c>
      <c r="W66" s="98">
        <f>IFERROR(T66/N66,0)</f>
        <v>26.6821625</v>
      </c>
      <c r="X66" s="98">
        <f>O66*W66</f>
        <v>0</v>
      </c>
      <c r="Y66" s="98">
        <f>IFERROR(X66/U66,0)</f>
        <v>0</v>
      </c>
      <c r="Z66" s="403"/>
      <c r="AA66" s="99"/>
      <c r="AB66" s="99"/>
      <c r="AC66" s="460" t="str">
        <f>IFERROR(IF(AND(AC$9&gt;=$AA66,AC$9&lt;=$AB66),$P66/$Z66,""),"")</f>
        <v/>
      </c>
      <c r="AD66" s="100" t="str">
        <f t="shared" ref="AD66:AI66" si="93">IFERROR(IF(AND(AD$9&gt;=$AA66,AD$9&lt;=$AB66),$P66/$Z66,""),"")</f>
        <v/>
      </c>
      <c r="AE66" s="100" t="str">
        <f t="shared" si="93"/>
        <v/>
      </c>
      <c r="AF66" s="100" t="str">
        <f t="shared" si="93"/>
        <v/>
      </c>
      <c r="AG66" s="100" t="str">
        <f t="shared" si="93"/>
        <v/>
      </c>
      <c r="AH66" s="100" t="str">
        <f t="shared" si="93"/>
        <v/>
      </c>
      <c r="AI66" s="100" t="str">
        <f t="shared" si="93"/>
        <v/>
      </c>
      <c r="AJ66" s="106">
        <f>SUM(AC66:AI66)</f>
        <v>0</v>
      </c>
      <c r="AK66" s="102">
        <f>IFERROR(AJ66/N66*R66,0)</f>
        <v>0</v>
      </c>
      <c r="AL66" s="103">
        <f>W66*AJ66</f>
        <v>0</v>
      </c>
    </row>
    <row r="67" spans="1:38" s="66" customFormat="1" ht="12" customHeight="1" x14ac:dyDescent="0.3">
      <c r="A67" s="404"/>
      <c r="B67" s="158"/>
      <c r="C67" s="94" t="s">
        <v>768</v>
      </c>
      <c r="D67" s="95" t="s">
        <v>769</v>
      </c>
      <c r="E67" s="95"/>
      <c r="F67" s="95"/>
      <c r="G67" s="95"/>
      <c r="H67" s="95"/>
      <c r="I67" s="95"/>
      <c r="J67" s="95"/>
      <c r="K67" s="95"/>
      <c r="L67" s="95"/>
      <c r="M67" s="95"/>
      <c r="N67" s="96"/>
      <c r="O67" s="96"/>
      <c r="P67" s="96"/>
      <c r="Q67" s="97"/>
      <c r="R67" s="97"/>
      <c r="S67" s="97"/>
      <c r="T67" s="98"/>
      <c r="U67" s="98"/>
      <c r="V67" s="98"/>
      <c r="W67" s="98"/>
      <c r="X67" s="98"/>
      <c r="Y67" s="98"/>
      <c r="Z67" s="403"/>
      <c r="AA67" s="99"/>
      <c r="AB67" s="99"/>
      <c r="AC67" s="465"/>
      <c r="AD67" s="100"/>
      <c r="AE67" s="100"/>
      <c r="AF67" s="100"/>
      <c r="AG67" s="100"/>
      <c r="AH67" s="100"/>
      <c r="AI67" s="100"/>
      <c r="AJ67" s="101">
        <f t="shared" ref="AJ67" si="94">SUM(AC67:AI67)</f>
        <v>0</v>
      </c>
      <c r="AK67" s="102"/>
      <c r="AL67" s="103"/>
    </row>
    <row r="68" spans="1:38" s="66" customFormat="1" ht="12" customHeight="1" x14ac:dyDescent="0.3">
      <c r="A68" s="404" t="s">
        <v>239</v>
      </c>
      <c r="B68" s="158" t="str">
        <f>+IF(SUMIFS($AC68:$AL68,$AC$8:$AL$8,"&gt;="&amp;$Y$6,$AC$8:$AL$8,"&lt;="&amp;$AA$6)&gt;0,"Si","NO")</f>
        <v>NO</v>
      </c>
      <c r="C68" s="167" t="s">
        <v>770</v>
      </c>
      <c r="D68" s="457" t="s">
        <v>771</v>
      </c>
      <c r="E68" s="457"/>
      <c r="F68" s="457"/>
      <c r="G68" s="457"/>
      <c r="H68" s="457"/>
      <c r="I68" s="457"/>
      <c r="J68" s="457"/>
      <c r="K68" s="457"/>
      <c r="L68" s="457"/>
      <c r="M68" s="457"/>
      <c r="N68" s="98">
        <v>45</v>
      </c>
      <c r="O68" s="458"/>
      <c r="P68" s="96">
        <f t="shared" ref="P68" si="95">N68-O68</f>
        <v>45</v>
      </c>
      <c r="Q68" s="105">
        <f t="shared" ref="Q68" si="96">IFERROR(O68/N68,0)</f>
        <v>0</v>
      </c>
      <c r="R68" s="105">
        <f>IFERROR(T68/$T$10,0)</f>
        <v>0.10840538856058494</v>
      </c>
      <c r="S68" s="105">
        <f>Q68*R68</f>
        <v>0</v>
      </c>
      <c r="T68" s="98">
        <v>575.85839999999996</v>
      </c>
      <c r="U68" s="131">
        <v>0</v>
      </c>
      <c r="V68" s="98">
        <f>T68-U68</f>
        <v>575.85839999999996</v>
      </c>
      <c r="W68" s="98">
        <f>IFERROR(T68/N68,0)</f>
        <v>12.796853333333333</v>
      </c>
      <c r="X68" s="98">
        <f>O68*W68</f>
        <v>0</v>
      </c>
      <c r="Y68" s="98">
        <f>IFERROR(X68/U68,0)</f>
        <v>0</v>
      </c>
      <c r="Z68" s="403"/>
      <c r="AA68" s="99"/>
      <c r="AB68" s="99"/>
      <c r="AC68" s="460" t="str">
        <f>IFERROR(IF(AND(AC$9&gt;=$AA68,AC$9&lt;=$AB68),$P68/$Z68,""),"")</f>
        <v/>
      </c>
      <c r="AD68" s="100" t="str">
        <f t="shared" ref="AD68:AI68" si="97">IFERROR(IF(AND(AD$9&gt;=$AA68,AD$9&lt;=$AB68),$P68/$Z68,""),"")</f>
        <v/>
      </c>
      <c r="AE68" s="100" t="str">
        <f t="shared" si="97"/>
        <v/>
      </c>
      <c r="AF68" s="100" t="str">
        <f t="shared" si="97"/>
        <v/>
      </c>
      <c r="AG68" s="100" t="str">
        <f t="shared" si="97"/>
        <v/>
      </c>
      <c r="AH68" s="100" t="str">
        <f t="shared" si="97"/>
        <v/>
      </c>
      <c r="AI68" s="100" t="str">
        <f t="shared" si="97"/>
        <v/>
      </c>
      <c r="AJ68" s="106">
        <f>SUM(AC68:AI68)</f>
        <v>0</v>
      </c>
      <c r="AK68" s="102">
        <f>IFERROR(AJ68/N68*R68,0)</f>
        <v>0</v>
      </c>
      <c r="AL68" s="103">
        <f>W68*AJ68</f>
        <v>0</v>
      </c>
    </row>
    <row r="69" spans="1:38" s="66" customFormat="1" ht="12" customHeight="1" x14ac:dyDescent="0.3">
      <c r="A69" s="404"/>
      <c r="B69" s="158"/>
      <c r="C69" s="94" t="s">
        <v>772</v>
      </c>
      <c r="D69" s="95" t="s">
        <v>773</v>
      </c>
      <c r="E69" s="95"/>
      <c r="F69" s="95"/>
      <c r="G69" s="95"/>
      <c r="H69" s="95"/>
      <c r="I69" s="95"/>
      <c r="J69" s="95"/>
      <c r="K69" s="95"/>
      <c r="L69" s="95"/>
      <c r="M69" s="95"/>
      <c r="N69" s="96"/>
      <c r="O69" s="96"/>
      <c r="P69" s="96"/>
      <c r="Q69" s="97"/>
      <c r="R69" s="97"/>
      <c r="S69" s="97"/>
      <c r="T69" s="98"/>
      <c r="U69" s="98"/>
      <c r="V69" s="98"/>
      <c r="W69" s="98"/>
      <c r="X69" s="98"/>
      <c r="Y69" s="98"/>
      <c r="Z69" s="403"/>
      <c r="AA69" s="99"/>
      <c r="AB69" s="99"/>
      <c r="AC69" s="465"/>
      <c r="AD69" s="100"/>
      <c r="AE69" s="100"/>
      <c r="AF69" s="100"/>
      <c r="AG69" s="100"/>
      <c r="AH69" s="100"/>
      <c r="AI69" s="100"/>
      <c r="AJ69" s="101">
        <f t="shared" ref="AJ69" si="98">SUM(AC69:AI69)</f>
        <v>0</v>
      </c>
      <c r="AK69" s="102"/>
      <c r="AL69" s="103"/>
    </row>
    <row r="70" spans="1:38" s="66" customFormat="1" ht="12" customHeight="1" x14ac:dyDescent="0.3">
      <c r="A70" s="404" t="s">
        <v>239</v>
      </c>
      <c r="B70" s="158" t="str">
        <f>+IF(SUMIFS($AC70:$AL70,$AC$8:$AL$8,"&gt;="&amp;$Y$6,$AC$8:$AL$8,"&lt;="&amp;$AA$6)&gt;0,"Si","NO")</f>
        <v>NO</v>
      </c>
      <c r="C70" s="167" t="s">
        <v>774</v>
      </c>
      <c r="D70" s="457" t="s">
        <v>775</v>
      </c>
      <c r="E70" s="457"/>
      <c r="F70" s="457"/>
      <c r="G70" s="457"/>
      <c r="H70" s="457"/>
      <c r="I70" s="457"/>
      <c r="J70" s="457"/>
      <c r="K70" s="457"/>
      <c r="L70" s="457"/>
      <c r="M70" s="457"/>
      <c r="N70" s="98">
        <v>45</v>
      </c>
      <c r="O70" s="458"/>
      <c r="P70" s="96">
        <f t="shared" ref="P70" si="99">N70-O70</f>
        <v>45</v>
      </c>
      <c r="Q70" s="105">
        <f t="shared" ref="Q70" si="100">IFERROR(O70/N70,0)</f>
        <v>0</v>
      </c>
      <c r="R70" s="105">
        <f>IFERROR(T70/$T$10,0)</f>
        <v>6.7770027982244556E-5</v>
      </c>
      <c r="S70" s="105">
        <f>Q70*R70</f>
        <v>0</v>
      </c>
      <c r="T70" s="98">
        <v>0.36</v>
      </c>
      <c r="U70" s="131">
        <v>0</v>
      </c>
      <c r="V70" s="98">
        <f>T70-U70</f>
        <v>0.36</v>
      </c>
      <c r="W70" s="98">
        <f>IFERROR(T70/N70,0)</f>
        <v>8.0000000000000002E-3</v>
      </c>
      <c r="X70" s="98">
        <f>O70*W70</f>
        <v>0</v>
      </c>
      <c r="Y70" s="98">
        <f>IFERROR(X70/U70,0)</f>
        <v>0</v>
      </c>
      <c r="Z70" s="403"/>
      <c r="AA70" s="99"/>
      <c r="AB70" s="99"/>
      <c r="AC70" s="460" t="str">
        <f>IFERROR(IF(AND(AC$9&gt;=$AA70,AC$9&lt;=$AB70),$P70/$Z70,""),"")</f>
        <v/>
      </c>
      <c r="AD70" s="100" t="str">
        <f t="shared" ref="AD70:AI70" si="101">IFERROR(IF(AND(AD$9&gt;=$AA70,AD$9&lt;=$AB70),$P70/$Z70,""),"")</f>
        <v/>
      </c>
      <c r="AE70" s="100" t="str">
        <f t="shared" si="101"/>
        <v/>
      </c>
      <c r="AF70" s="100" t="str">
        <f t="shared" si="101"/>
        <v/>
      </c>
      <c r="AG70" s="100" t="str">
        <f t="shared" si="101"/>
        <v/>
      </c>
      <c r="AH70" s="100" t="str">
        <f t="shared" si="101"/>
        <v/>
      </c>
      <c r="AI70" s="100" t="str">
        <f t="shared" si="101"/>
        <v/>
      </c>
      <c r="AJ70" s="106">
        <f>SUM(AC70:AI70)</f>
        <v>0</v>
      </c>
      <c r="AK70" s="102">
        <f>IFERROR(AJ70/N70*R70,0)</f>
        <v>0</v>
      </c>
      <c r="AL70" s="103">
        <f>W70*AJ70</f>
        <v>0</v>
      </c>
    </row>
    <row r="71" spans="1:38" s="66" customFormat="1" ht="12" customHeight="1" x14ac:dyDescent="0.3">
      <c r="A71" s="404"/>
      <c r="B71" s="158"/>
      <c r="C71" s="94" t="s">
        <v>776</v>
      </c>
      <c r="D71" s="95" t="s">
        <v>777</v>
      </c>
      <c r="E71" s="95"/>
      <c r="F71" s="95"/>
      <c r="G71" s="95"/>
      <c r="H71" s="95"/>
      <c r="I71" s="95"/>
      <c r="J71" s="95"/>
      <c r="K71" s="95"/>
      <c r="L71" s="95"/>
      <c r="M71" s="95"/>
      <c r="N71" s="96"/>
      <c r="O71" s="96"/>
      <c r="P71" s="96"/>
      <c r="Q71" s="97"/>
      <c r="R71" s="97"/>
      <c r="S71" s="97"/>
      <c r="T71" s="98"/>
      <c r="U71" s="98"/>
      <c r="V71" s="98"/>
      <c r="W71" s="98"/>
      <c r="X71" s="98"/>
      <c r="Y71" s="98"/>
      <c r="Z71" s="403"/>
      <c r="AA71" s="99"/>
      <c r="AB71" s="99"/>
      <c r="AC71" s="465"/>
      <c r="AD71" s="100"/>
      <c r="AE71" s="100"/>
      <c r="AF71" s="100"/>
      <c r="AG71" s="100"/>
      <c r="AH71" s="100"/>
      <c r="AI71" s="100"/>
      <c r="AJ71" s="101">
        <f t="shared" ref="AJ71" si="102">SUM(AC71:AI71)</f>
        <v>0</v>
      </c>
      <c r="AK71" s="102"/>
      <c r="AL71" s="103"/>
    </row>
    <row r="72" spans="1:38" s="66" customFormat="1" ht="12" customHeight="1" x14ac:dyDescent="0.3">
      <c r="A72" s="404" t="s">
        <v>239</v>
      </c>
      <c r="B72" s="158" t="str">
        <f>+IF(SUMIFS($AC72:$AL72,$AC$8:$AL$8,"&gt;="&amp;$Y$6,$AC$8:$AL$8,"&lt;="&amp;$AA$6)&gt;0,"Si","NO")</f>
        <v>NO</v>
      </c>
      <c r="C72" s="167" t="s">
        <v>778</v>
      </c>
      <c r="D72" s="457" t="s">
        <v>779</v>
      </c>
      <c r="E72" s="457"/>
      <c r="F72" s="457"/>
      <c r="G72" s="457"/>
      <c r="H72" s="457"/>
      <c r="I72" s="457"/>
      <c r="J72" s="457"/>
      <c r="K72" s="457"/>
      <c r="L72" s="457"/>
      <c r="M72" s="457"/>
      <c r="N72" s="98">
        <v>1.5</v>
      </c>
      <c r="O72" s="458"/>
      <c r="P72" s="96">
        <f t="shared" ref="P72" si="103">N72-O72</f>
        <v>1.5</v>
      </c>
      <c r="Q72" s="105">
        <f t="shared" ref="Q72" si="104">IFERROR(O72/N72,0)</f>
        <v>0</v>
      </c>
      <c r="R72" s="105">
        <f>IFERROR(T72/$T$10,0)</f>
        <v>0.11746804850255724</v>
      </c>
      <c r="S72" s="105">
        <f>Q72*R72</f>
        <v>0</v>
      </c>
      <c r="T72" s="98">
        <v>624</v>
      </c>
      <c r="U72" s="131">
        <v>0</v>
      </c>
      <c r="V72" s="98">
        <f>T72-U72</f>
        <v>624</v>
      </c>
      <c r="W72" s="98">
        <f>IFERROR(T72/N72,0)</f>
        <v>416</v>
      </c>
      <c r="X72" s="98">
        <f>O72*W72</f>
        <v>0</v>
      </c>
      <c r="Y72" s="98">
        <f>IFERROR(X72/U72,0)</f>
        <v>0</v>
      </c>
      <c r="Z72" s="403"/>
      <c r="AA72" s="99"/>
      <c r="AB72" s="99"/>
      <c r="AC72" s="460" t="str">
        <f>IFERROR(IF(AND(AC$9&gt;=$AA72,AC$9&lt;=$AB72),$P72/$Z72,""),"")</f>
        <v/>
      </c>
      <c r="AD72" s="100" t="str">
        <f t="shared" ref="AD72:AI72" si="105">IFERROR(IF(AND(AD$9&gt;=$AA72,AD$9&lt;=$AB72),$P72/$Z72,""),"")</f>
        <v/>
      </c>
      <c r="AE72" s="100" t="str">
        <f t="shared" si="105"/>
        <v/>
      </c>
      <c r="AF72" s="100" t="str">
        <f t="shared" si="105"/>
        <v/>
      </c>
      <c r="AG72" s="100" t="str">
        <f t="shared" si="105"/>
        <v/>
      </c>
      <c r="AH72" s="100" t="str">
        <f t="shared" si="105"/>
        <v/>
      </c>
      <c r="AI72" s="100" t="str">
        <f t="shared" si="105"/>
        <v/>
      </c>
      <c r="AJ72" s="106">
        <f>SUM(AC72:AI72)</f>
        <v>0</v>
      </c>
      <c r="AK72" s="102">
        <f>IFERROR(AJ72/N72*R72,0)</f>
        <v>0</v>
      </c>
      <c r="AL72" s="103">
        <f>W72*AJ72</f>
        <v>0</v>
      </c>
    </row>
  </sheetData>
  <autoFilter ref="A8:AL14" xr:uid="{58921106-B134-4F33-B536-79D0F79C1B31}"/>
  <mergeCells count="37">
    <mergeCell ref="A1:AO1"/>
    <mergeCell ref="A2:B6"/>
    <mergeCell ref="C2:AB2"/>
    <mergeCell ref="AC2:AL3"/>
    <mergeCell ref="C3:AB3"/>
    <mergeCell ref="D4:V4"/>
    <mergeCell ref="W4:X5"/>
    <mergeCell ref="Y4:Z5"/>
    <mergeCell ref="AA4:AB5"/>
    <mergeCell ref="AC4:AL6"/>
    <mergeCell ref="C7:D7"/>
    <mergeCell ref="H7:J7"/>
    <mergeCell ref="K7:M7"/>
    <mergeCell ref="N7:S7"/>
    <mergeCell ref="T7:Y7"/>
    <mergeCell ref="E7:G7"/>
    <mergeCell ref="D5:V5"/>
    <mergeCell ref="D6:V6"/>
    <mergeCell ref="W6:X6"/>
    <mergeCell ref="Y6:Z6"/>
    <mergeCell ref="AA6:AB6"/>
    <mergeCell ref="AZ7:AZ8"/>
    <mergeCell ref="BA7:BA8"/>
    <mergeCell ref="BB7:BB8"/>
    <mergeCell ref="N9:Q9"/>
    <mergeCell ref="AN7:AN8"/>
    <mergeCell ref="AO7:AO8"/>
    <mergeCell ref="AP7:AV7"/>
    <mergeCell ref="AW7:AW8"/>
    <mergeCell ref="AX7:AX8"/>
    <mergeCell ref="AY7:AY8"/>
    <mergeCell ref="Z7:AB7"/>
    <mergeCell ref="AC7:AI7"/>
    <mergeCell ref="AJ7:AJ8"/>
    <mergeCell ref="AK7:AK8"/>
    <mergeCell ref="AL7:AL8"/>
    <mergeCell ref="AM7:AM8"/>
  </mergeCells>
  <conditionalFormatting sqref="AC9:AI9">
    <cfRule type="cellIs" dxfId="2" priority="2" operator="equal">
      <formula>TODAY()</formula>
    </cfRule>
  </conditionalFormatting>
  <conditionalFormatting sqref="AP9:AV9">
    <cfRule type="cellIs" dxfId="1" priority="1" operator="equal">
      <formula>TODAY()</formula>
    </cfRule>
  </conditionalFormatting>
  <printOptions horizontalCentered="1"/>
  <pageMargins left="0.11811023622047245" right="0.11811023622047245" top="0.39370078740157483" bottom="0.35433070866141736" header="0.31496062992125984" footer="0.31496062992125984"/>
  <pageSetup paperSize="9" scale="48" fitToHeight="0"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B5C9A6-2986-4596-A16D-1767698384C4}">
  <dimension ref="A1:G29"/>
  <sheetViews>
    <sheetView zoomScale="70" zoomScaleNormal="70" workbookViewId="0">
      <pane ySplit="4" topLeftCell="A5" activePane="bottomLeft" state="frozen"/>
      <selection pane="bottomLeft" activeCell="B8" sqref="B8"/>
    </sheetView>
  </sheetViews>
  <sheetFormatPr baseColWidth="10" defaultColWidth="8.88671875" defaultRowHeight="14.4" x14ac:dyDescent="0.3"/>
  <cols>
    <col min="1" max="2" width="30" style="204" customWidth="1"/>
    <col min="3" max="5" width="26" style="204" customWidth="1"/>
    <col min="6" max="6" width="12" style="204" customWidth="1"/>
    <col min="7" max="7" width="55" style="204" customWidth="1"/>
    <col min="8" max="16384" width="8.88671875" style="204"/>
  </cols>
  <sheetData>
    <row r="1" spans="1:7" ht="25.95" customHeight="1" x14ac:dyDescent="0.3">
      <c r="A1" s="541" t="s">
        <v>287</v>
      </c>
      <c r="B1" s="542"/>
      <c r="C1" s="542"/>
      <c r="D1" s="542"/>
      <c r="E1" s="542"/>
      <c r="F1" s="542"/>
      <c r="G1" s="542"/>
    </row>
    <row r="2" spans="1:7" ht="30" customHeight="1" x14ac:dyDescent="0.3">
      <c r="A2" s="543" t="s">
        <v>288</v>
      </c>
      <c r="B2" s="542"/>
      <c r="C2" s="542"/>
      <c r="D2" s="542"/>
      <c r="E2" s="542"/>
      <c r="F2" s="542"/>
      <c r="G2" s="542"/>
    </row>
    <row r="4" spans="1:7" ht="60" customHeight="1" x14ac:dyDescent="0.3">
      <c r="A4" s="217" t="s">
        <v>153</v>
      </c>
      <c r="B4" s="217" t="s">
        <v>289</v>
      </c>
      <c r="C4" s="217" t="s">
        <v>290</v>
      </c>
      <c r="D4" s="217" t="s">
        <v>291</v>
      </c>
      <c r="E4" s="217" t="s">
        <v>292</v>
      </c>
      <c r="F4" s="217" t="s">
        <v>293</v>
      </c>
      <c r="G4" s="217" t="s">
        <v>294</v>
      </c>
    </row>
    <row r="5" spans="1:7" ht="60" customHeight="1" x14ac:dyDescent="0.3">
      <c r="A5" s="218" t="s">
        <v>295</v>
      </c>
      <c r="B5" s="218" t="s">
        <v>296</v>
      </c>
      <c r="C5" s="218" t="s">
        <v>297</v>
      </c>
      <c r="D5" s="218" t="s">
        <v>297</v>
      </c>
      <c r="E5" s="218" t="s">
        <v>298</v>
      </c>
      <c r="F5" s="219" t="s">
        <v>272</v>
      </c>
      <c r="G5" s="218" t="s">
        <v>299</v>
      </c>
    </row>
    <row r="6" spans="1:7" ht="60" customHeight="1" x14ac:dyDescent="0.3">
      <c r="A6" s="218" t="s">
        <v>300</v>
      </c>
      <c r="B6" s="218" t="s">
        <v>3</v>
      </c>
      <c r="C6" s="218" t="s">
        <v>3</v>
      </c>
      <c r="D6" s="218" t="s">
        <v>3</v>
      </c>
      <c r="E6" s="218" t="s">
        <v>301</v>
      </c>
      <c r="F6" s="220" t="s">
        <v>232</v>
      </c>
      <c r="G6" s="218" t="s">
        <v>302</v>
      </c>
    </row>
    <row r="7" spans="1:7" ht="60" customHeight="1" x14ac:dyDescent="0.3">
      <c r="A7" s="218" t="s">
        <v>303</v>
      </c>
      <c r="B7" s="218" t="s">
        <v>248</v>
      </c>
      <c r="C7" s="218" t="s">
        <v>4</v>
      </c>
      <c r="D7" s="218" t="s">
        <v>4</v>
      </c>
      <c r="E7" s="218" t="s">
        <v>178</v>
      </c>
      <c r="F7" s="220" t="s">
        <v>232</v>
      </c>
      <c r="G7" s="218" t="s">
        <v>304</v>
      </c>
    </row>
    <row r="8" spans="1:7" ht="60" customHeight="1" x14ac:dyDescent="0.3">
      <c r="A8" s="218" t="s">
        <v>305</v>
      </c>
      <c r="B8" s="218" t="s">
        <v>271</v>
      </c>
      <c r="C8" s="218" t="s">
        <v>5</v>
      </c>
      <c r="D8" s="218" t="s">
        <v>5</v>
      </c>
      <c r="E8" s="218" t="s">
        <v>306</v>
      </c>
      <c r="F8" s="220" t="s">
        <v>232</v>
      </c>
      <c r="G8" s="218" t="s">
        <v>307</v>
      </c>
    </row>
    <row r="9" spans="1:7" ht="60" customHeight="1" x14ac:dyDescent="0.3">
      <c r="A9" s="218" t="s">
        <v>308</v>
      </c>
      <c r="B9" s="218" t="s">
        <v>309</v>
      </c>
      <c r="C9" s="218" t="s">
        <v>310</v>
      </c>
      <c r="D9" s="218" t="s">
        <v>311</v>
      </c>
      <c r="E9" s="218" t="s">
        <v>312</v>
      </c>
      <c r="F9" s="220" t="s">
        <v>232</v>
      </c>
      <c r="G9" s="218" t="s">
        <v>313</v>
      </c>
    </row>
    <row r="10" spans="1:7" ht="60" customHeight="1" x14ac:dyDescent="0.3">
      <c r="A10" s="218" t="s">
        <v>314</v>
      </c>
      <c r="B10" s="218" t="s">
        <v>315</v>
      </c>
      <c r="C10" s="218" t="s">
        <v>316</v>
      </c>
      <c r="D10" s="218" t="s">
        <v>317</v>
      </c>
      <c r="E10" s="218" t="s">
        <v>318</v>
      </c>
      <c r="F10" s="220" t="s">
        <v>232</v>
      </c>
      <c r="G10" s="218" t="s">
        <v>319</v>
      </c>
    </row>
    <row r="11" spans="1:7" ht="60" customHeight="1" x14ac:dyDescent="0.3">
      <c r="A11" s="218" t="s">
        <v>320</v>
      </c>
      <c r="B11" s="218" t="s">
        <v>321</v>
      </c>
      <c r="C11" s="218" t="s">
        <v>656</v>
      </c>
      <c r="D11" s="218" t="s">
        <v>656</v>
      </c>
      <c r="E11" s="218" t="s">
        <v>316</v>
      </c>
      <c r="F11" s="220" t="s">
        <v>339</v>
      </c>
      <c r="G11" s="218" t="s">
        <v>657</v>
      </c>
    </row>
    <row r="12" spans="1:7" ht="60" customHeight="1" x14ac:dyDescent="0.3">
      <c r="A12" s="218" t="s">
        <v>322</v>
      </c>
      <c r="B12" s="218" t="s">
        <v>323</v>
      </c>
      <c r="C12" s="218" t="s">
        <v>316</v>
      </c>
      <c r="D12" s="218" t="s">
        <v>324</v>
      </c>
      <c r="E12" s="218" t="s">
        <v>316</v>
      </c>
      <c r="F12" s="220" t="s">
        <v>232</v>
      </c>
      <c r="G12" s="218" t="s">
        <v>325</v>
      </c>
    </row>
    <row r="13" spans="1:7" ht="60" customHeight="1" x14ac:dyDescent="0.3">
      <c r="A13" s="218" t="s">
        <v>326</v>
      </c>
      <c r="B13" s="218" t="s">
        <v>327</v>
      </c>
      <c r="C13" s="218" t="s">
        <v>18</v>
      </c>
      <c r="D13" s="218" t="s">
        <v>328</v>
      </c>
      <c r="E13" s="218" t="s">
        <v>316</v>
      </c>
      <c r="F13" s="220" t="s">
        <v>232</v>
      </c>
      <c r="G13" s="218" t="s">
        <v>329</v>
      </c>
    </row>
    <row r="14" spans="1:7" ht="60" customHeight="1" x14ac:dyDescent="0.3">
      <c r="A14" s="218" t="s">
        <v>330</v>
      </c>
      <c r="B14" s="218" t="s">
        <v>331</v>
      </c>
      <c r="C14" s="218" t="s">
        <v>316</v>
      </c>
      <c r="D14" s="218" t="s">
        <v>332</v>
      </c>
      <c r="E14" s="218" t="s">
        <v>333</v>
      </c>
      <c r="F14" s="220" t="s">
        <v>232</v>
      </c>
      <c r="G14" s="218" t="s">
        <v>334</v>
      </c>
    </row>
    <row r="15" spans="1:7" ht="60" customHeight="1" x14ac:dyDescent="0.3">
      <c r="A15" s="218" t="s">
        <v>224</v>
      </c>
      <c r="B15" s="218" t="s">
        <v>335</v>
      </c>
      <c r="C15" s="218" t="s">
        <v>316</v>
      </c>
      <c r="D15" s="218" t="s">
        <v>336</v>
      </c>
      <c r="E15" s="218" t="s">
        <v>316</v>
      </c>
      <c r="F15" s="220" t="s">
        <v>232</v>
      </c>
      <c r="G15" s="218" t="s">
        <v>337</v>
      </c>
    </row>
    <row r="16" spans="1:7" ht="60" customHeight="1" x14ac:dyDescent="0.3">
      <c r="A16" s="218" t="s">
        <v>268</v>
      </c>
      <c r="B16" s="218" t="s">
        <v>338</v>
      </c>
      <c r="C16" s="218" t="s">
        <v>316</v>
      </c>
      <c r="D16" s="218" t="s">
        <v>268</v>
      </c>
      <c r="E16" s="218" t="s">
        <v>316</v>
      </c>
      <c r="F16" s="221" t="s">
        <v>339</v>
      </c>
      <c r="G16" s="218" t="s">
        <v>340</v>
      </c>
    </row>
    <row r="17" spans="1:7" ht="60" customHeight="1" x14ac:dyDescent="0.3">
      <c r="A17" s="218" t="s">
        <v>341</v>
      </c>
      <c r="B17" s="218" t="s">
        <v>342</v>
      </c>
      <c r="C17" s="218" t="s">
        <v>316</v>
      </c>
      <c r="D17" s="218" t="s">
        <v>306</v>
      </c>
      <c r="E17" s="218" t="s">
        <v>316</v>
      </c>
      <c r="F17" s="220" t="s">
        <v>232</v>
      </c>
      <c r="G17" s="218" t="s">
        <v>343</v>
      </c>
    </row>
    <row r="20" spans="1:7" x14ac:dyDescent="0.3">
      <c r="A20" s="544" t="s">
        <v>344</v>
      </c>
      <c r="B20" s="542"/>
      <c r="C20" s="542"/>
      <c r="D20" s="542"/>
      <c r="E20" s="542"/>
      <c r="F20" s="542"/>
      <c r="G20" s="542"/>
    </row>
    <row r="21" spans="1:7" x14ac:dyDescent="0.3">
      <c r="A21" s="204" t="s">
        <v>345</v>
      </c>
    </row>
    <row r="22" spans="1:7" x14ac:dyDescent="0.3">
      <c r="A22" s="222" t="s">
        <v>658</v>
      </c>
    </row>
    <row r="23" spans="1:7" x14ac:dyDescent="0.3">
      <c r="A23" s="223" t="s">
        <v>346</v>
      </c>
    </row>
    <row r="24" spans="1:7" x14ac:dyDescent="0.3">
      <c r="A24" s="224" t="s">
        <v>659</v>
      </c>
    </row>
    <row r="26" spans="1:7" x14ac:dyDescent="0.3">
      <c r="A26" s="545" t="s">
        <v>347</v>
      </c>
      <c r="B26" s="542"/>
      <c r="C26" s="542"/>
      <c r="D26" s="542"/>
      <c r="E26" s="542"/>
      <c r="F26" s="542"/>
      <c r="G26" s="542"/>
    </row>
    <row r="27" spans="1:7" x14ac:dyDescent="0.3">
      <c r="A27" s="542"/>
      <c r="B27" s="542"/>
      <c r="C27" s="542"/>
      <c r="D27" s="542"/>
      <c r="E27" s="542"/>
      <c r="F27" s="542"/>
      <c r="G27" s="542"/>
    </row>
    <row r="28" spans="1:7" x14ac:dyDescent="0.3">
      <c r="A28" s="542"/>
      <c r="B28" s="542"/>
      <c r="C28" s="542"/>
      <c r="D28" s="542"/>
      <c r="E28" s="542"/>
      <c r="F28" s="542"/>
      <c r="G28" s="542"/>
    </row>
    <row r="29" spans="1:7" x14ac:dyDescent="0.3">
      <c r="A29" s="542"/>
      <c r="B29" s="542"/>
      <c r="C29" s="542"/>
      <c r="D29" s="542"/>
      <c r="E29" s="542"/>
      <c r="F29" s="542"/>
      <c r="G29" s="542"/>
    </row>
  </sheetData>
  <mergeCells count="4">
    <mergeCell ref="A1:G1"/>
    <mergeCell ref="A2:G2"/>
    <mergeCell ref="A20:G20"/>
    <mergeCell ref="A26:G29"/>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FF183B-B5C2-4149-AA0D-29AE6711DB06}">
  <sheetPr>
    <pageSetUpPr fitToPage="1"/>
  </sheetPr>
  <dimension ref="A1:O67"/>
  <sheetViews>
    <sheetView showGridLines="0" view="pageBreakPreview" zoomScaleNormal="100" zoomScaleSheetLayoutView="100" workbookViewId="0">
      <selection activeCell="E71" sqref="E71"/>
    </sheetView>
  </sheetViews>
  <sheetFormatPr baseColWidth="10" defaultColWidth="8.88671875" defaultRowHeight="15" customHeight="1" x14ac:dyDescent="0.25"/>
  <cols>
    <col min="1" max="1" width="5" style="206" customWidth="1"/>
    <col min="2" max="2" width="15" style="206" customWidth="1"/>
    <col min="3" max="9" width="8" style="206" customWidth="1"/>
    <col min="10" max="12" width="8.77734375" style="206" customWidth="1"/>
    <col min="13" max="14" width="8" style="206" customWidth="1"/>
    <col min="15" max="15" width="11.33203125" style="206" customWidth="1"/>
    <col min="16" max="16384" width="8.88671875" style="206"/>
  </cols>
  <sheetData>
    <row r="1" spans="1:15" ht="13.95" customHeight="1" thickTop="1" x14ac:dyDescent="0.25">
      <c r="A1" s="546"/>
      <c r="B1" s="547"/>
      <c r="C1" s="552" t="s">
        <v>9</v>
      </c>
      <c r="D1" s="553"/>
      <c r="E1" s="553"/>
      <c r="F1" s="553"/>
      <c r="G1" s="553"/>
      <c r="H1" s="553"/>
      <c r="I1" s="553"/>
      <c r="J1" s="553"/>
      <c r="K1" s="553"/>
      <c r="L1" s="553"/>
      <c r="M1" s="553"/>
      <c r="N1" s="552" t="s">
        <v>661</v>
      </c>
      <c r="O1" s="554"/>
    </row>
    <row r="2" spans="1:15" ht="13.95" customHeight="1" x14ac:dyDescent="0.25">
      <c r="A2" s="548"/>
      <c r="B2" s="549"/>
      <c r="C2" s="555" t="s">
        <v>274</v>
      </c>
      <c r="D2" s="556"/>
      <c r="E2" s="556"/>
      <c r="F2" s="556"/>
      <c r="G2" s="556"/>
      <c r="H2" s="556"/>
      <c r="I2" s="556"/>
      <c r="J2" s="556"/>
      <c r="K2" s="556"/>
      <c r="L2" s="556"/>
      <c r="M2" s="556"/>
      <c r="N2" s="555" t="s">
        <v>660</v>
      </c>
      <c r="O2" s="557"/>
    </row>
    <row r="3" spans="1:15" ht="13.95" customHeight="1" thickBot="1" x14ac:dyDescent="0.3">
      <c r="A3" s="550"/>
      <c r="B3" s="551"/>
      <c r="C3" s="558"/>
      <c r="D3" s="559"/>
      <c r="E3" s="559"/>
      <c r="F3" s="559"/>
      <c r="G3" s="559"/>
      <c r="H3" s="559"/>
      <c r="I3" s="559"/>
      <c r="J3" s="559"/>
      <c r="K3" s="559"/>
      <c r="L3" s="559"/>
      <c r="M3" s="559"/>
      <c r="N3" s="560"/>
      <c r="O3" s="561"/>
    </row>
    <row r="4" spans="1:15" ht="6" customHeight="1" thickTop="1" thickBot="1" x14ac:dyDescent="0.3">
      <c r="B4" s="212"/>
      <c r="C4" s="212"/>
      <c r="D4" s="212"/>
      <c r="E4" s="212"/>
      <c r="F4" s="212"/>
      <c r="G4" s="212"/>
      <c r="H4" s="212"/>
      <c r="I4" s="212"/>
      <c r="J4" s="212"/>
      <c r="K4" s="212"/>
      <c r="L4" s="212"/>
      <c r="M4" s="212"/>
      <c r="N4" s="212"/>
      <c r="O4" s="212"/>
    </row>
    <row r="5" spans="1:15" ht="13.95" customHeight="1" thickTop="1" x14ac:dyDescent="0.25">
      <c r="A5" s="576" t="s">
        <v>245</v>
      </c>
      <c r="B5" s="577"/>
      <c r="C5" s="577"/>
      <c r="D5" s="577"/>
      <c r="E5" s="577"/>
      <c r="F5" s="577"/>
      <c r="G5" s="577"/>
      <c r="H5" s="577"/>
      <c r="I5" s="577"/>
      <c r="J5" s="577"/>
      <c r="K5" s="577"/>
      <c r="L5" s="577"/>
      <c r="M5" s="577"/>
      <c r="N5" s="577"/>
      <c r="O5" s="578"/>
    </row>
    <row r="6" spans="1:15" ht="16.05" customHeight="1" x14ac:dyDescent="0.25">
      <c r="A6" s="562" t="s">
        <v>269</v>
      </c>
      <c r="B6" s="563"/>
      <c r="C6" s="564"/>
      <c r="D6" s="564"/>
      <c r="E6" s="564"/>
      <c r="F6" s="564"/>
      <c r="G6" s="564"/>
      <c r="H6" s="564"/>
      <c r="I6" s="565" t="s">
        <v>246</v>
      </c>
      <c r="J6" s="566"/>
      <c r="K6" s="567"/>
      <c r="L6" s="564"/>
      <c r="M6" s="564"/>
      <c r="N6" s="564"/>
      <c r="O6" s="568"/>
    </row>
    <row r="7" spans="1:15" ht="16.05" customHeight="1" x14ac:dyDescent="0.25">
      <c r="A7" s="562" t="s">
        <v>270</v>
      </c>
      <c r="B7" s="563"/>
      <c r="C7" s="564"/>
      <c r="D7" s="564"/>
      <c r="E7" s="564"/>
      <c r="F7" s="564"/>
      <c r="G7" s="564"/>
      <c r="H7" s="564"/>
      <c r="I7" s="565" t="s">
        <v>252</v>
      </c>
      <c r="J7" s="566"/>
      <c r="K7" s="567"/>
      <c r="L7" s="564"/>
      <c r="M7" s="564"/>
      <c r="N7" s="564"/>
      <c r="O7" s="568"/>
    </row>
    <row r="8" spans="1:15" ht="16.05" customHeight="1" x14ac:dyDescent="0.25">
      <c r="A8" s="562" t="s">
        <v>258</v>
      </c>
      <c r="B8" s="563"/>
      <c r="C8" s="564"/>
      <c r="D8" s="564"/>
      <c r="E8" s="564"/>
      <c r="F8" s="564"/>
      <c r="G8" s="564"/>
      <c r="H8" s="564"/>
      <c r="I8" s="565" t="s">
        <v>256</v>
      </c>
      <c r="J8" s="566"/>
      <c r="K8" s="567"/>
      <c r="L8" s="564"/>
      <c r="M8" s="564"/>
      <c r="N8" s="564"/>
      <c r="O8" s="568"/>
    </row>
    <row r="9" spans="1:15" ht="16.05" customHeight="1" thickBot="1" x14ac:dyDescent="0.3">
      <c r="A9" s="569" t="s">
        <v>1</v>
      </c>
      <c r="B9" s="570"/>
      <c r="C9" s="571"/>
      <c r="D9" s="571"/>
      <c r="E9" s="571"/>
      <c r="F9" s="571"/>
      <c r="G9" s="571"/>
      <c r="H9" s="571"/>
      <c r="I9" s="572" t="s">
        <v>257</v>
      </c>
      <c r="J9" s="573"/>
      <c r="K9" s="574"/>
      <c r="L9" s="571"/>
      <c r="M9" s="571"/>
      <c r="N9" s="571"/>
      <c r="O9" s="575"/>
    </row>
    <row r="10" spans="1:15" ht="6" customHeight="1" thickTop="1" thickBot="1" x14ac:dyDescent="0.3">
      <c r="A10" s="579"/>
      <c r="B10" s="580"/>
      <c r="C10" s="580"/>
      <c r="D10" s="580"/>
      <c r="E10" s="580"/>
      <c r="F10" s="580"/>
      <c r="G10" s="580"/>
      <c r="H10" s="580"/>
      <c r="I10" s="580"/>
      <c r="J10" s="580"/>
      <c r="K10" s="580"/>
      <c r="L10" s="580"/>
      <c r="M10" s="580"/>
      <c r="N10" s="580"/>
      <c r="O10" s="581"/>
    </row>
    <row r="11" spans="1:15" ht="13.95" customHeight="1" thickTop="1" x14ac:dyDescent="0.25">
      <c r="A11" s="582" t="s">
        <v>275</v>
      </c>
      <c r="B11" s="583"/>
      <c r="C11" s="583"/>
      <c r="D11" s="583"/>
      <c r="E11" s="583"/>
      <c r="F11" s="583"/>
      <c r="G11" s="583"/>
      <c r="H11" s="583"/>
      <c r="I11" s="583"/>
      <c r="J11" s="583"/>
      <c r="K11" s="583"/>
      <c r="L11" s="583"/>
      <c r="M11" s="583"/>
      <c r="N11" s="583"/>
      <c r="O11" s="584"/>
    </row>
    <row r="12" spans="1:15" ht="16.05" customHeight="1" x14ac:dyDescent="0.25">
      <c r="A12" s="562" t="s">
        <v>251</v>
      </c>
      <c r="B12" s="563"/>
      <c r="C12" s="564"/>
      <c r="D12" s="564"/>
      <c r="E12" s="564"/>
      <c r="F12" s="564"/>
      <c r="G12" s="564"/>
      <c r="H12" s="564"/>
      <c r="I12" s="565" t="s">
        <v>253</v>
      </c>
      <c r="J12" s="566"/>
      <c r="K12" s="567"/>
      <c r="L12" s="564"/>
      <c r="M12" s="564"/>
      <c r="N12" s="564"/>
      <c r="O12" s="568"/>
    </row>
    <row r="13" spans="1:15" ht="16.05" customHeight="1" x14ac:dyDescent="0.25">
      <c r="A13" s="562" t="s">
        <v>255</v>
      </c>
      <c r="B13" s="563"/>
      <c r="C13" s="564"/>
      <c r="D13" s="564"/>
      <c r="E13" s="564"/>
      <c r="F13" s="564"/>
      <c r="G13" s="564"/>
      <c r="H13" s="564"/>
      <c r="I13" s="565" t="s">
        <v>254</v>
      </c>
      <c r="J13" s="566"/>
      <c r="K13" s="567"/>
      <c r="L13" s="564"/>
      <c r="M13" s="564"/>
      <c r="N13" s="564"/>
      <c r="O13" s="568"/>
    </row>
    <row r="14" spans="1:15" ht="16.05" customHeight="1" thickBot="1" x14ac:dyDescent="0.3">
      <c r="A14" s="569" t="s">
        <v>208</v>
      </c>
      <c r="B14" s="570"/>
      <c r="C14" s="571"/>
      <c r="D14" s="571"/>
      <c r="E14" s="571"/>
      <c r="F14" s="571"/>
      <c r="G14" s="571"/>
      <c r="H14" s="571"/>
      <c r="I14" s="572" t="s">
        <v>208</v>
      </c>
      <c r="J14" s="573"/>
      <c r="K14" s="574"/>
      <c r="L14" s="571"/>
      <c r="M14" s="571"/>
      <c r="N14" s="571"/>
      <c r="O14" s="575"/>
    </row>
    <row r="15" spans="1:15" ht="6" customHeight="1" thickTop="1" thickBot="1" x14ac:dyDescent="0.3">
      <c r="B15" s="240"/>
      <c r="C15" s="240"/>
      <c r="D15" s="240"/>
      <c r="E15" s="240"/>
      <c r="F15" s="240"/>
      <c r="G15" s="240"/>
      <c r="H15" s="212"/>
      <c r="I15" s="212"/>
      <c r="J15" s="212"/>
      <c r="K15" s="240"/>
      <c r="L15" s="240"/>
      <c r="M15" s="240"/>
      <c r="N15" s="240"/>
      <c r="O15" s="212"/>
    </row>
    <row r="16" spans="1:15" ht="13.95" customHeight="1" thickTop="1" x14ac:dyDescent="0.25">
      <c r="A16" s="576" t="s">
        <v>276</v>
      </c>
      <c r="B16" s="577"/>
      <c r="C16" s="577"/>
      <c r="D16" s="577"/>
      <c r="E16" s="577"/>
      <c r="F16" s="577"/>
      <c r="G16" s="577"/>
      <c r="H16" s="577"/>
      <c r="I16" s="577"/>
      <c r="J16" s="577"/>
      <c r="K16" s="577"/>
      <c r="L16" s="577"/>
      <c r="M16" s="577"/>
      <c r="N16" s="577"/>
      <c r="O16" s="578"/>
    </row>
    <row r="17" spans="1:15" ht="13.95" customHeight="1" x14ac:dyDescent="0.25">
      <c r="A17" s="590" t="s">
        <v>259</v>
      </c>
      <c r="B17" s="591"/>
      <c r="C17" s="591"/>
      <c r="D17" s="591"/>
      <c r="E17" s="591"/>
      <c r="F17" s="591"/>
      <c r="G17" s="591"/>
      <c r="H17" s="591"/>
      <c r="I17" s="591"/>
      <c r="J17" s="591"/>
      <c r="K17" s="591"/>
      <c r="L17" s="591"/>
      <c r="M17" s="591"/>
      <c r="N17" s="591"/>
      <c r="O17" s="592"/>
    </row>
    <row r="18" spans="1:15" ht="13.95" customHeight="1" x14ac:dyDescent="0.25">
      <c r="A18" s="590"/>
      <c r="B18" s="591"/>
      <c r="C18" s="591"/>
      <c r="D18" s="591"/>
      <c r="E18" s="591"/>
      <c r="F18" s="591"/>
      <c r="G18" s="591"/>
      <c r="H18" s="591"/>
      <c r="I18" s="591"/>
      <c r="J18" s="591"/>
      <c r="K18" s="591"/>
      <c r="L18" s="591"/>
      <c r="M18" s="591"/>
      <c r="N18" s="591"/>
      <c r="O18" s="592"/>
    </row>
    <row r="19" spans="1:15" ht="13.95" customHeight="1" thickBot="1" x14ac:dyDescent="0.3">
      <c r="A19" s="593"/>
      <c r="B19" s="594"/>
      <c r="C19" s="594"/>
      <c r="D19" s="594"/>
      <c r="E19" s="594"/>
      <c r="F19" s="594"/>
      <c r="G19" s="594"/>
      <c r="H19" s="594"/>
      <c r="I19" s="594"/>
      <c r="J19" s="594"/>
      <c r="K19" s="594"/>
      <c r="L19" s="594"/>
      <c r="M19" s="594"/>
      <c r="N19" s="594"/>
      <c r="O19" s="595"/>
    </row>
    <row r="20" spans="1:15" ht="6" customHeight="1" thickTop="1" thickBot="1" x14ac:dyDescent="0.3">
      <c r="B20" s="596"/>
      <c r="C20" s="596"/>
      <c r="D20" s="596"/>
      <c r="E20" s="596"/>
      <c r="F20" s="596"/>
      <c r="G20" s="596"/>
      <c r="H20" s="597"/>
      <c r="I20" s="597"/>
      <c r="J20" s="597"/>
      <c r="K20" s="597"/>
      <c r="L20" s="597"/>
      <c r="M20" s="597"/>
      <c r="N20" s="597"/>
      <c r="O20" s="597"/>
    </row>
    <row r="21" spans="1:15" ht="13.95" customHeight="1" thickTop="1" x14ac:dyDescent="0.25">
      <c r="A21" s="598" t="s">
        <v>277</v>
      </c>
      <c r="B21" s="599"/>
      <c r="C21" s="599"/>
      <c r="D21" s="599"/>
      <c r="E21" s="599"/>
      <c r="F21" s="599"/>
      <c r="G21" s="599"/>
      <c r="H21" s="599"/>
      <c r="I21" s="599"/>
      <c r="J21" s="599"/>
      <c r="K21" s="599"/>
      <c r="L21" s="599"/>
      <c r="M21" s="599"/>
      <c r="N21" s="599"/>
      <c r="O21" s="600"/>
    </row>
    <row r="22" spans="1:15" ht="25.05" customHeight="1" x14ac:dyDescent="0.25">
      <c r="A22" s="380" t="s">
        <v>28</v>
      </c>
      <c r="B22" s="371" t="s">
        <v>2</v>
      </c>
      <c r="C22" s="585" t="s">
        <v>247</v>
      </c>
      <c r="D22" s="585"/>
      <c r="E22" s="585"/>
      <c r="F22" s="585"/>
      <c r="G22" s="585"/>
      <c r="H22" s="585"/>
      <c r="I22" s="586" t="s">
        <v>178</v>
      </c>
      <c r="J22" s="587"/>
      <c r="K22" s="585" t="s">
        <v>271</v>
      </c>
      <c r="L22" s="585"/>
      <c r="M22" s="585" t="s">
        <v>379</v>
      </c>
      <c r="N22" s="585"/>
      <c r="O22" s="381" t="s">
        <v>606</v>
      </c>
    </row>
    <row r="23" spans="1:15" ht="16.05" customHeight="1" x14ac:dyDescent="0.25">
      <c r="A23" s="382" t="s">
        <v>158</v>
      </c>
      <c r="B23" s="205"/>
      <c r="C23" s="585"/>
      <c r="D23" s="585"/>
      <c r="E23" s="585"/>
      <c r="F23" s="585"/>
      <c r="G23" s="585"/>
      <c r="H23" s="585"/>
      <c r="I23" s="586"/>
      <c r="J23" s="587"/>
      <c r="K23" s="588"/>
      <c r="L23" s="589"/>
      <c r="M23" s="588"/>
      <c r="N23" s="589"/>
      <c r="O23" s="383"/>
    </row>
    <row r="24" spans="1:15" ht="16.05" customHeight="1" x14ac:dyDescent="0.25">
      <c r="A24" s="382" t="s">
        <v>54</v>
      </c>
      <c r="B24" s="205"/>
      <c r="C24" s="585"/>
      <c r="D24" s="585"/>
      <c r="E24" s="585"/>
      <c r="F24" s="585"/>
      <c r="G24" s="585"/>
      <c r="H24" s="585"/>
      <c r="I24" s="586"/>
      <c r="J24" s="587"/>
      <c r="K24" s="588"/>
      <c r="L24" s="589"/>
      <c r="M24" s="588"/>
      <c r="N24" s="589"/>
      <c r="O24" s="383"/>
    </row>
    <row r="25" spans="1:15" ht="16.05" customHeight="1" x14ac:dyDescent="0.25">
      <c r="A25" s="382" t="s">
        <v>159</v>
      </c>
      <c r="B25" s="205"/>
      <c r="C25" s="585"/>
      <c r="D25" s="585"/>
      <c r="E25" s="585"/>
      <c r="F25" s="585"/>
      <c r="G25" s="585"/>
      <c r="H25" s="585"/>
      <c r="I25" s="586"/>
      <c r="J25" s="587"/>
      <c r="K25" s="588"/>
      <c r="L25" s="589"/>
      <c r="M25" s="588"/>
      <c r="N25" s="589"/>
      <c r="O25" s="383"/>
    </row>
    <row r="26" spans="1:15" ht="16.05" customHeight="1" x14ac:dyDescent="0.25">
      <c r="A26" s="382" t="s">
        <v>160</v>
      </c>
      <c r="B26" s="205"/>
      <c r="C26" s="585"/>
      <c r="D26" s="585"/>
      <c r="E26" s="585"/>
      <c r="F26" s="585"/>
      <c r="G26" s="585"/>
      <c r="H26" s="585"/>
      <c r="I26" s="586"/>
      <c r="J26" s="587"/>
      <c r="K26" s="588"/>
      <c r="L26" s="589"/>
      <c r="M26" s="588"/>
      <c r="N26" s="589"/>
      <c r="O26" s="383"/>
    </row>
    <row r="27" spans="1:15" ht="16.05" customHeight="1" x14ac:dyDescent="0.25">
      <c r="A27" s="382" t="s">
        <v>261</v>
      </c>
      <c r="B27" s="205"/>
      <c r="C27" s="585"/>
      <c r="D27" s="585"/>
      <c r="E27" s="585"/>
      <c r="F27" s="585"/>
      <c r="G27" s="585"/>
      <c r="H27" s="585"/>
      <c r="I27" s="586"/>
      <c r="J27" s="587"/>
      <c r="K27" s="588"/>
      <c r="L27" s="589"/>
      <c r="M27" s="588"/>
      <c r="N27" s="589"/>
      <c r="O27" s="383"/>
    </row>
    <row r="28" spans="1:15" ht="16.05" customHeight="1" x14ac:dyDescent="0.25">
      <c r="A28" s="382" t="s">
        <v>262</v>
      </c>
      <c r="B28" s="205"/>
      <c r="C28" s="585"/>
      <c r="D28" s="585"/>
      <c r="E28" s="585"/>
      <c r="F28" s="585"/>
      <c r="G28" s="585"/>
      <c r="H28" s="585"/>
      <c r="I28" s="586"/>
      <c r="J28" s="587"/>
      <c r="K28" s="588"/>
      <c r="L28" s="589"/>
      <c r="M28" s="588"/>
      <c r="N28" s="589"/>
      <c r="O28" s="383"/>
    </row>
    <row r="29" spans="1:15" ht="16.05" customHeight="1" x14ac:dyDescent="0.25">
      <c r="A29" s="382" t="s">
        <v>263</v>
      </c>
      <c r="B29" s="205"/>
      <c r="C29" s="585"/>
      <c r="D29" s="585"/>
      <c r="E29" s="585"/>
      <c r="F29" s="585"/>
      <c r="G29" s="585"/>
      <c r="H29" s="585"/>
      <c r="I29" s="586"/>
      <c r="J29" s="587"/>
      <c r="K29" s="588"/>
      <c r="L29" s="589"/>
      <c r="M29" s="588"/>
      <c r="N29" s="589"/>
      <c r="O29" s="383"/>
    </row>
    <row r="30" spans="1:15" ht="16.05" customHeight="1" thickBot="1" x14ac:dyDescent="0.3">
      <c r="A30" s="384" t="s">
        <v>264</v>
      </c>
      <c r="B30" s="385"/>
      <c r="C30" s="605"/>
      <c r="D30" s="605"/>
      <c r="E30" s="605"/>
      <c r="F30" s="605"/>
      <c r="G30" s="605"/>
      <c r="H30" s="605"/>
      <c r="I30" s="606"/>
      <c r="J30" s="607"/>
      <c r="K30" s="558"/>
      <c r="L30" s="608"/>
      <c r="M30" s="558"/>
      <c r="N30" s="608"/>
      <c r="O30" s="386"/>
    </row>
    <row r="31" spans="1:15" ht="13.95" customHeight="1" thickTop="1" x14ac:dyDescent="0.25">
      <c r="A31" s="601" t="s">
        <v>110</v>
      </c>
      <c r="B31" s="602"/>
      <c r="C31" s="602"/>
      <c r="D31" s="602"/>
      <c r="E31" s="602"/>
      <c r="F31" s="602"/>
      <c r="G31" s="602"/>
      <c r="H31" s="602"/>
      <c r="I31" s="602"/>
      <c r="J31" s="602"/>
      <c r="K31" s="602"/>
      <c r="L31" s="602"/>
      <c r="M31" s="602"/>
      <c r="N31" s="603"/>
      <c r="O31" s="214"/>
    </row>
    <row r="32" spans="1:15" ht="6" customHeight="1" thickBot="1" x14ac:dyDescent="0.3">
      <c r="B32" s="596"/>
      <c r="C32" s="596"/>
      <c r="D32" s="596"/>
      <c r="E32" s="596"/>
      <c r="F32" s="596"/>
      <c r="G32" s="596"/>
      <c r="H32" s="597"/>
      <c r="I32" s="597"/>
      <c r="J32" s="597"/>
      <c r="K32" s="597"/>
      <c r="L32" s="597"/>
      <c r="M32" s="597"/>
      <c r="N32" s="597"/>
      <c r="O32" s="597"/>
    </row>
    <row r="33" spans="1:15" ht="13.95" customHeight="1" thickTop="1" x14ac:dyDescent="0.25">
      <c r="A33" s="582" t="s">
        <v>278</v>
      </c>
      <c r="B33" s="583"/>
      <c r="C33" s="583"/>
      <c r="D33" s="583"/>
      <c r="E33" s="583"/>
      <c r="F33" s="583"/>
      <c r="G33" s="583"/>
      <c r="H33" s="583"/>
      <c r="I33" s="583"/>
      <c r="J33" s="583"/>
      <c r="K33" s="583"/>
      <c r="L33" s="583"/>
      <c r="M33" s="583"/>
      <c r="N33" s="583"/>
      <c r="O33" s="584"/>
    </row>
    <row r="34" spans="1:15" ht="25.05" customHeight="1" x14ac:dyDescent="0.25">
      <c r="A34" s="380" t="s">
        <v>28</v>
      </c>
      <c r="B34" s="371" t="s">
        <v>265</v>
      </c>
      <c r="C34" s="585" t="s">
        <v>247</v>
      </c>
      <c r="D34" s="585"/>
      <c r="E34" s="585"/>
      <c r="F34" s="585"/>
      <c r="G34" s="585"/>
      <c r="H34" s="585"/>
      <c r="I34" s="585"/>
      <c r="J34" s="213" t="s">
        <v>271</v>
      </c>
      <c r="K34" s="371" t="s">
        <v>266</v>
      </c>
      <c r="L34" s="387" t="s">
        <v>22</v>
      </c>
      <c r="M34" s="216" t="s">
        <v>273</v>
      </c>
      <c r="N34" s="371" t="s">
        <v>391</v>
      </c>
      <c r="O34" s="381" t="s">
        <v>225</v>
      </c>
    </row>
    <row r="35" spans="1:15" ht="16.05" customHeight="1" x14ac:dyDescent="0.25">
      <c r="A35" s="388"/>
      <c r="B35" s="205"/>
      <c r="C35" s="586"/>
      <c r="D35" s="604"/>
      <c r="E35" s="604"/>
      <c r="F35" s="604"/>
      <c r="G35" s="604"/>
      <c r="H35" s="604"/>
      <c r="I35" s="604"/>
      <c r="J35" s="205"/>
      <c r="K35" s="205"/>
      <c r="L35" s="205"/>
      <c r="M35" s="205"/>
      <c r="N35" s="205"/>
      <c r="O35" s="383"/>
    </row>
    <row r="36" spans="1:15" ht="16.05" customHeight="1" x14ac:dyDescent="0.25">
      <c r="A36" s="388"/>
      <c r="B36" s="205"/>
      <c r="C36" s="586"/>
      <c r="D36" s="604"/>
      <c r="E36" s="604"/>
      <c r="F36" s="604"/>
      <c r="G36" s="604"/>
      <c r="H36" s="604"/>
      <c r="I36" s="604"/>
      <c r="J36" s="205"/>
      <c r="K36" s="205"/>
      <c r="L36" s="205"/>
      <c r="M36" s="205"/>
      <c r="N36" s="205"/>
      <c r="O36" s="383"/>
    </row>
    <row r="37" spans="1:15" ht="16.05" customHeight="1" x14ac:dyDescent="0.25">
      <c r="A37" s="388"/>
      <c r="B37" s="205"/>
      <c r="C37" s="586"/>
      <c r="D37" s="604"/>
      <c r="E37" s="604"/>
      <c r="F37" s="604"/>
      <c r="G37" s="604"/>
      <c r="H37" s="604"/>
      <c r="I37" s="604"/>
      <c r="J37" s="205"/>
      <c r="K37" s="205"/>
      <c r="L37" s="205"/>
      <c r="M37" s="205"/>
      <c r="N37" s="205"/>
      <c r="O37" s="383"/>
    </row>
    <row r="38" spans="1:15" ht="16.05" customHeight="1" x14ac:dyDescent="0.25">
      <c r="A38" s="388"/>
      <c r="B38" s="205"/>
      <c r="C38" s="586"/>
      <c r="D38" s="604"/>
      <c r="E38" s="604"/>
      <c r="F38" s="604"/>
      <c r="G38" s="604"/>
      <c r="H38" s="604"/>
      <c r="I38" s="604"/>
      <c r="J38" s="205"/>
      <c r="K38" s="205"/>
      <c r="L38" s="205"/>
      <c r="M38" s="205"/>
      <c r="N38" s="205"/>
      <c r="O38" s="383"/>
    </row>
    <row r="39" spans="1:15" ht="16.05" customHeight="1" x14ac:dyDescent="0.25">
      <c r="A39" s="388"/>
      <c r="B39" s="205"/>
      <c r="C39" s="586"/>
      <c r="D39" s="604"/>
      <c r="E39" s="604"/>
      <c r="F39" s="604"/>
      <c r="G39" s="604"/>
      <c r="H39" s="604"/>
      <c r="I39" s="604"/>
      <c r="J39" s="205"/>
      <c r="K39" s="205"/>
      <c r="L39" s="205"/>
      <c r="M39" s="205"/>
      <c r="N39" s="205"/>
      <c r="O39" s="383"/>
    </row>
    <row r="40" spans="1:15" ht="16.05" customHeight="1" thickBot="1" x14ac:dyDescent="0.3">
      <c r="A40" s="389"/>
      <c r="B40" s="385"/>
      <c r="C40" s="606"/>
      <c r="D40" s="609"/>
      <c r="E40" s="609"/>
      <c r="F40" s="609"/>
      <c r="G40" s="609"/>
      <c r="H40" s="609"/>
      <c r="I40" s="609"/>
      <c r="J40" s="385"/>
      <c r="K40" s="385"/>
      <c r="L40" s="385"/>
      <c r="M40" s="385"/>
      <c r="N40" s="385"/>
      <c r="O40" s="386"/>
    </row>
    <row r="41" spans="1:15" ht="6" customHeight="1" thickTop="1" thickBot="1" x14ac:dyDescent="0.3"/>
    <row r="42" spans="1:15" ht="13.95" customHeight="1" thickTop="1" x14ac:dyDescent="0.25">
      <c r="A42" s="576" t="s">
        <v>279</v>
      </c>
      <c r="B42" s="577"/>
      <c r="C42" s="577"/>
      <c r="D42" s="577"/>
      <c r="E42" s="577"/>
      <c r="F42" s="577"/>
      <c r="G42" s="577"/>
      <c r="H42" s="577"/>
      <c r="I42" s="577"/>
      <c r="J42" s="577"/>
      <c r="K42" s="577"/>
      <c r="L42" s="577"/>
      <c r="M42" s="577"/>
      <c r="N42" s="577"/>
      <c r="O42" s="578"/>
    </row>
    <row r="43" spans="1:15" s="212" customFormat="1" ht="13.95" customHeight="1" x14ac:dyDescent="0.25">
      <c r="A43" s="390" t="s">
        <v>28</v>
      </c>
      <c r="B43" s="216" t="s">
        <v>265</v>
      </c>
      <c r="C43" s="610" t="s">
        <v>249</v>
      </c>
      <c r="D43" s="610"/>
      <c r="E43" s="610" t="s">
        <v>250</v>
      </c>
      <c r="F43" s="610"/>
      <c r="G43" s="610" t="s">
        <v>6</v>
      </c>
      <c r="H43" s="610"/>
      <c r="I43" s="610" t="s">
        <v>8</v>
      </c>
      <c r="J43" s="610"/>
      <c r="K43" s="588"/>
      <c r="L43" s="589"/>
      <c r="M43" s="612"/>
      <c r="N43" s="613"/>
      <c r="O43" s="391" t="s">
        <v>272</v>
      </c>
    </row>
    <row r="44" spans="1:15" ht="16.05" customHeight="1" x14ac:dyDescent="0.25">
      <c r="A44" s="388"/>
      <c r="B44" s="215"/>
      <c r="C44" s="555"/>
      <c r="D44" s="611"/>
      <c r="E44" s="555"/>
      <c r="F44" s="611"/>
      <c r="G44" s="555"/>
      <c r="H44" s="611"/>
      <c r="I44" s="555"/>
      <c r="J44" s="611"/>
      <c r="K44" s="555"/>
      <c r="L44" s="611"/>
      <c r="M44" s="555"/>
      <c r="N44" s="611"/>
      <c r="O44" s="383"/>
    </row>
    <row r="45" spans="1:15" ht="16.05" customHeight="1" x14ac:dyDescent="0.25">
      <c r="A45" s="388"/>
      <c r="B45" s="215"/>
      <c r="C45" s="555"/>
      <c r="D45" s="611"/>
      <c r="E45" s="555"/>
      <c r="F45" s="611"/>
      <c r="G45" s="555"/>
      <c r="H45" s="611"/>
      <c r="I45" s="555"/>
      <c r="J45" s="611"/>
      <c r="K45" s="555"/>
      <c r="L45" s="611"/>
      <c r="M45" s="555"/>
      <c r="N45" s="611"/>
      <c r="O45" s="383"/>
    </row>
    <row r="46" spans="1:15" ht="16.05" customHeight="1" x14ac:dyDescent="0.25">
      <c r="A46" s="388"/>
      <c r="B46" s="215"/>
      <c r="C46" s="555"/>
      <c r="D46" s="611"/>
      <c r="E46" s="555"/>
      <c r="F46" s="611"/>
      <c r="G46" s="555"/>
      <c r="H46" s="611"/>
      <c r="I46" s="555"/>
      <c r="J46" s="611"/>
      <c r="K46" s="555"/>
      <c r="L46" s="611"/>
      <c r="M46" s="555"/>
      <c r="N46" s="611"/>
      <c r="O46" s="383"/>
    </row>
    <row r="47" spans="1:15" ht="16.05" customHeight="1" x14ac:dyDescent="0.25">
      <c r="A47" s="388"/>
      <c r="B47" s="215"/>
      <c r="C47" s="555"/>
      <c r="D47" s="611"/>
      <c r="E47" s="555"/>
      <c r="F47" s="611"/>
      <c r="G47" s="555"/>
      <c r="H47" s="611"/>
      <c r="I47" s="555"/>
      <c r="J47" s="611"/>
      <c r="K47" s="555"/>
      <c r="L47" s="611"/>
      <c r="M47" s="555"/>
      <c r="N47" s="611"/>
      <c r="O47" s="383"/>
    </row>
    <row r="48" spans="1:15" ht="16.05" customHeight="1" x14ac:dyDescent="0.25">
      <c r="A48" s="388"/>
      <c r="B48" s="215"/>
      <c r="C48" s="555"/>
      <c r="D48" s="611"/>
      <c r="E48" s="555"/>
      <c r="F48" s="611"/>
      <c r="G48" s="555"/>
      <c r="H48" s="611"/>
      <c r="I48" s="555"/>
      <c r="J48" s="611"/>
      <c r="K48" s="555"/>
      <c r="L48" s="611"/>
      <c r="M48" s="555"/>
      <c r="N48" s="611"/>
      <c r="O48" s="383"/>
    </row>
    <row r="49" spans="1:15" ht="13.95" customHeight="1" thickBot="1" x14ac:dyDescent="0.3">
      <c r="A49" s="614" t="s">
        <v>110</v>
      </c>
      <c r="B49" s="615"/>
      <c r="C49" s="615"/>
      <c r="D49" s="616"/>
      <c r="E49" s="560"/>
      <c r="F49" s="617"/>
      <c r="G49" s="560"/>
      <c r="H49" s="617"/>
      <c r="I49" s="560"/>
      <c r="J49" s="617"/>
      <c r="K49" s="560"/>
      <c r="L49" s="617"/>
      <c r="M49" s="560"/>
      <c r="N49" s="617"/>
      <c r="O49" s="386"/>
    </row>
    <row r="50" spans="1:15" ht="6" customHeight="1" thickTop="1" thickBot="1" x14ac:dyDescent="0.3"/>
    <row r="51" spans="1:15" ht="13.95" customHeight="1" thickTop="1" x14ac:dyDescent="0.25">
      <c r="A51" s="582" t="s">
        <v>280</v>
      </c>
      <c r="B51" s="583"/>
      <c r="C51" s="583"/>
      <c r="D51" s="583"/>
      <c r="E51" s="583"/>
      <c r="F51" s="583"/>
      <c r="G51" s="583"/>
      <c r="H51" s="583"/>
      <c r="I51" s="583"/>
      <c r="J51" s="583"/>
      <c r="K51" s="583"/>
      <c r="L51" s="583"/>
      <c r="M51" s="583"/>
      <c r="N51" s="583"/>
      <c r="O51" s="584"/>
    </row>
    <row r="52" spans="1:15" ht="13.95" customHeight="1" x14ac:dyDescent="0.25">
      <c r="A52" s="618"/>
      <c r="B52" s="619"/>
      <c r="C52" s="619"/>
      <c r="D52" s="619"/>
      <c r="E52" s="619"/>
      <c r="F52" s="619"/>
      <c r="G52" s="619"/>
      <c r="H52" s="619"/>
      <c r="I52" s="619"/>
      <c r="J52" s="619"/>
      <c r="K52" s="619"/>
      <c r="L52" s="619"/>
      <c r="M52" s="619"/>
      <c r="N52" s="619"/>
      <c r="O52" s="620"/>
    </row>
    <row r="53" spans="1:15" ht="13.95" customHeight="1" x14ac:dyDescent="0.25">
      <c r="A53" s="621"/>
      <c r="B53" s="622"/>
      <c r="C53" s="622"/>
      <c r="D53" s="622"/>
      <c r="E53" s="622"/>
      <c r="F53" s="622"/>
      <c r="G53" s="622"/>
      <c r="H53" s="622"/>
      <c r="I53" s="622"/>
      <c r="J53" s="622"/>
      <c r="K53" s="622"/>
      <c r="L53" s="622"/>
      <c r="M53" s="622"/>
      <c r="N53" s="622"/>
      <c r="O53" s="623"/>
    </row>
    <row r="54" spans="1:15" ht="13.95" customHeight="1" thickBot="1" x14ac:dyDescent="0.3">
      <c r="A54" s="624"/>
      <c r="B54" s="625"/>
      <c r="C54" s="625"/>
      <c r="D54" s="625"/>
      <c r="E54" s="625"/>
      <c r="F54" s="625"/>
      <c r="G54" s="625"/>
      <c r="H54" s="625"/>
      <c r="I54" s="625"/>
      <c r="J54" s="625"/>
      <c r="K54" s="625"/>
      <c r="L54" s="625"/>
      <c r="M54" s="625"/>
      <c r="N54" s="625"/>
      <c r="O54" s="626"/>
    </row>
    <row r="55" spans="1:15" ht="6" customHeight="1" thickTop="1" thickBot="1" x14ac:dyDescent="0.3"/>
    <row r="56" spans="1:15" ht="13.95" customHeight="1" thickTop="1" x14ac:dyDescent="0.25">
      <c r="A56" s="582" t="s">
        <v>281</v>
      </c>
      <c r="B56" s="583"/>
      <c r="C56" s="583"/>
      <c r="D56" s="583"/>
      <c r="E56" s="583"/>
      <c r="F56" s="583"/>
      <c r="G56" s="583"/>
      <c r="H56" s="583"/>
      <c r="I56" s="583"/>
      <c r="J56" s="583"/>
      <c r="K56" s="583"/>
      <c r="L56" s="583"/>
      <c r="M56" s="583"/>
      <c r="N56" s="583"/>
      <c r="O56" s="584"/>
    </row>
    <row r="57" spans="1:15" ht="13.95" customHeight="1" x14ac:dyDescent="0.25">
      <c r="A57" s="627"/>
      <c r="B57" s="628"/>
      <c r="C57" s="628"/>
      <c r="D57" s="628"/>
      <c r="E57" s="628"/>
      <c r="F57" s="628"/>
      <c r="G57" s="628"/>
      <c r="H57" s="628"/>
      <c r="I57" s="628"/>
      <c r="J57" s="628"/>
      <c r="K57" s="628"/>
      <c r="L57" s="628"/>
      <c r="M57" s="628"/>
      <c r="N57" s="628"/>
      <c r="O57" s="629"/>
    </row>
    <row r="58" spans="1:15" ht="13.95" customHeight="1" x14ac:dyDescent="0.25">
      <c r="A58" s="630"/>
      <c r="B58" s="631"/>
      <c r="C58" s="631"/>
      <c r="D58" s="631"/>
      <c r="E58" s="631"/>
      <c r="F58" s="631"/>
      <c r="G58" s="631"/>
      <c r="H58" s="631"/>
      <c r="I58" s="631"/>
      <c r="J58" s="631"/>
      <c r="K58" s="631"/>
      <c r="L58" s="631"/>
      <c r="M58" s="631"/>
      <c r="N58" s="631"/>
      <c r="O58" s="632"/>
    </row>
    <row r="59" spans="1:15" ht="13.95" customHeight="1" x14ac:dyDescent="0.25">
      <c r="A59" s="630"/>
      <c r="B59" s="631"/>
      <c r="C59" s="631"/>
      <c r="D59" s="631"/>
      <c r="E59" s="631"/>
      <c r="F59" s="631"/>
      <c r="G59" s="631"/>
      <c r="H59" s="631"/>
      <c r="I59" s="631"/>
      <c r="J59" s="631"/>
      <c r="K59" s="631"/>
      <c r="L59" s="631"/>
      <c r="M59" s="631"/>
      <c r="N59" s="631"/>
      <c r="O59" s="632"/>
    </row>
    <row r="60" spans="1:15" ht="13.95" customHeight="1" x14ac:dyDescent="0.25">
      <c r="A60" s="630"/>
      <c r="B60" s="631"/>
      <c r="C60" s="631"/>
      <c r="D60" s="631"/>
      <c r="E60" s="631"/>
      <c r="F60" s="631"/>
      <c r="G60" s="631"/>
      <c r="H60" s="631"/>
      <c r="I60" s="631"/>
      <c r="J60" s="631"/>
      <c r="K60" s="631"/>
      <c r="L60" s="631"/>
      <c r="M60" s="631"/>
      <c r="N60" s="631"/>
      <c r="O60" s="632"/>
    </row>
    <row r="61" spans="1:15" ht="13.95" customHeight="1" thickBot="1" x14ac:dyDescent="0.3">
      <c r="A61" s="633"/>
      <c r="B61" s="634"/>
      <c r="C61" s="634"/>
      <c r="D61" s="634"/>
      <c r="E61" s="634"/>
      <c r="F61" s="634"/>
      <c r="G61" s="634"/>
      <c r="H61" s="634"/>
      <c r="I61" s="634"/>
      <c r="J61" s="634"/>
      <c r="K61" s="634"/>
      <c r="L61" s="634"/>
      <c r="M61" s="634"/>
      <c r="N61" s="634"/>
      <c r="O61" s="635"/>
    </row>
    <row r="62" spans="1:15" ht="6" customHeight="1" thickTop="1" thickBot="1" x14ac:dyDescent="0.3">
      <c r="A62" s="241"/>
      <c r="B62" s="241"/>
      <c r="C62" s="241"/>
      <c r="D62" s="241"/>
      <c r="E62" s="241"/>
      <c r="F62" s="241"/>
      <c r="G62" s="241"/>
      <c r="H62" s="241"/>
      <c r="I62" s="241"/>
      <c r="J62" s="241"/>
      <c r="K62" s="241"/>
      <c r="L62" s="241"/>
      <c r="M62" s="241"/>
      <c r="N62" s="241"/>
      <c r="O62" s="241"/>
    </row>
    <row r="63" spans="1:15" ht="13.95" customHeight="1" thickTop="1" x14ac:dyDescent="0.25">
      <c r="A63" s="582" t="s">
        <v>282</v>
      </c>
      <c r="B63" s="583"/>
      <c r="C63" s="583"/>
      <c r="D63" s="583"/>
      <c r="E63" s="583"/>
      <c r="F63" s="583"/>
      <c r="G63" s="583"/>
      <c r="H63" s="583"/>
      <c r="I63" s="583"/>
      <c r="J63" s="583"/>
      <c r="K63" s="583"/>
      <c r="L63" s="583"/>
      <c r="M63" s="583"/>
      <c r="N63" s="583"/>
      <c r="O63" s="584"/>
    </row>
    <row r="64" spans="1:15" ht="16.05" customHeight="1" x14ac:dyDescent="0.25">
      <c r="A64" s="562" t="s">
        <v>251</v>
      </c>
      <c r="B64" s="563"/>
      <c r="C64" s="564"/>
      <c r="D64" s="564"/>
      <c r="E64" s="564"/>
      <c r="F64" s="564"/>
      <c r="G64" s="564"/>
      <c r="H64" s="564"/>
      <c r="I64" s="565" t="s">
        <v>253</v>
      </c>
      <c r="J64" s="566"/>
      <c r="K64" s="567"/>
      <c r="L64" s="564"/>
      <c r="M64" s="564"/>
      <c r="N64" s="564"/>
      <c r="O64" s="568"/>
    </row>
    <row r="65" spans="1:15" ht="16.05" customHeight="1" x14ac:dyDescent="0.25">
      <c r="A65" s="562" t="s">
        <v>255</v>
      </c>
      <c r="B65" s="563"/>
      <c r="C65" s="564"/>
      <c r="D65" s="564"/>
      <c r="E65" s="564"/>
      <c r="F65" s="564"/>
      <c r="G65" s="564"/>
      <c r="H65" s="564"/>
      <c r="I65" s="565" t="s">
        <v>254</v>
      </c>
      <c r="J65" s="566"/>
      <c r="K65" s="567"/>
      <c r="L65" s="564"/>
      <c r="M65" s="564"/>
      <c r="N65" s="564"/>
      <c r="O65" s="568"/>
    </row>
    <row r="66" spans="1:15" ht="16.05" customHeight="1" thickBot="1" x14ac:dyDescent="0.3">
      <c r="A66" s="569" t="s">
        <v>208</v>
      </c>
      <c r="B66" s="570"/>
      <c r="C66" s="571"/>
      <c r="D66" s="571"/>
      <c r="E66" s="571"/>
      <c r="F66" s="571"/>
      <c r="G66" s="571"/>
      <c r="H66" s="571"/>
      <c r="I66" s="572" t="s">
        <v>208</v>
      </c>
      <c r="J66" s="573"/>
      <c r="K66" s="574"/>
      <c r="L66" s="571"/>
      <c r="M66" s="571"/>
      <c r="N66" s="571"/>
      <c r="O66" s="575"/>
    </row>
    <row r="67" spans="1:15" ht="15" customHeight="1" thickTop="1" x14ac:dyDescent="0.25"/>
  </sheetData>
  <mergeCells count="148">
    <mergeCell ref="A65:B65"/>
    <mergeCell ref="C65:H65"/>
    <mergeCell ref="I65:K65"/>
    <mergeCell ref="L65:O65"/>
    <mergeCell ref="A66:B66"/>
    <mergeCell ref="C66:H66"/>
    <mergeCell ref="I66:K66"/>
    <mergeCell ref="L66:O66"/>
    <mergeCell ref="A51:O51"/>
    <mergeCell ref="A52:O54"/>
    <mergeCell ref="A56:O56"/>
    <mergeCell ref="A57:O61"/>
    <mergeCell ref="A63:O63"/>
    <mergeCell ref="A64:B64"/>
    <mergeCell ref="C64:H64"/>
    <mergeCell ref="I64:K64"/>
    <mergeCell ref="L64:O64"/>
    <mergeCell ref="A49:D49"/>
    <mergeCell ref="E49:F49"/>
    <mergeCell ref="G49:H49"/>
    <mergeCell ref="I49:J49"/>
    <mergeCell ref="K49:L49"/>
    <mergeCell ref="M49:N49"/>
    <mergeCell ref="C48:D48"/>
    <mergeCell ref="E48:F48"/>
    <mergeCell ref="G48:H48"/>
    <mergeCell ref="I48:J48"/>
    <mergeCell ref="K48:L48"/>
    <mergeCell ref="M48:N48"/>
    <mergeCell ref="C47:D47"/>
    <mergeCell ref="E47:F47"/>
    <mergeCell ref="G47:H47"/>
    <mergeCell ref="I47:J47"/>
    <mergeCell ref="K47:L47"/>
    <mergeCell ref="M47:N47"/>
    <mergeCell ref="C46:D46"/>
    <mergeCell ref="E46:F46"/>
    <mergeCell ref="G46:H46"/>
    <mergeCell ref="I46:J46"/>
    <mergeCell ref="K46:L46"/>
    <mergeCell ref="M46:N46"/>
    <mergeCell ref="C45:D45"/>
    <mergeCell ref="E45:F45"/>
    <mergeCell ref="G45:H45"/>
    <mergeCell ref="I45:J45"/>
    <mergeCell ref="K45:L45"/>
    <mergeCell ref="M45:N45"/>
    <mergeCell ref="M43:N43"/>
    <mergeCell ref="C44:D44"/>
    <mergeCell ref="E44:F44"/>
    <mergeCell ref="G44:H44"/>
    <mergeCell ref="I44:J44"/>
    <mergeCell ref="K44:L44"/>
    <mergeCell ref="M44:N44"/>
    <mergeCell ref="C37:I37"/>
    <mergeCell ref="C38:I38"/>
    <mergeCell ref="C39:I39"/>
    <mergeCell ref="C40:I40"/>
    <mergeCell ref="A42:O42"/>
    <mergeCell ref="C43:D43"/>
    <mergeCell ref="E43:F43"/>
    <mergeCell ref="G43:H43"/>
    <mergeCell ref="I43:J43"/>
    <mergeCell ref="K43:L43"/>
    <mergeCell ref="A31:N31"/>
    <mergeCell ref="B32:O32"/>
    <mergeCell ref="A33:O33"/>
    <mergeCell ref="C34:I34"/>
    <mergeCell ref="C35:I35"/>
    <mergeCell ref="C36:I36"/>
    <mergeCell ref="C29:H29"/>
    <mergeCell ref="I29:J29"/>
    <mergeCell ref="K29:L29"/>
    <mergeCell ref="M29:N29"/>
    <mergeCell ref="C30:H30"/>
    <mergeCell ref="I30:J30"/>
    <mergeCell ref="K30:L30"/>
    <mergeCell ref="M30:N30"/>
    <mergeCell ref="C27:H27"/>
    <mergeCell ref="I27:J27"/>
    <mergeCell ref="K27:L27"/>
    <mergeCell ref="M27:N27"/>
    <mergeCell ref="C28:H28"/>
    <mergeCell ref="I28:J28"/>
    <mergeCell ref="K28:L28"/>
    <mergeCell ref="M28:N28"/>
    <mergeCell ref="C25:H25"/>
    <mergeCell ref="I25:J25"/>
    <mergeCell ref="K25:L25"/>
    <mergeCell ref="M25:N25"/>
    <mergeCell ref="C26:H26"/>
    <mergeCell ref="I26:J26"/>
    <mergeCell ref="K26:L26"/>
    <mergeCell ref="M26:N26"/>
    <mergeCell ref="C23:H23"/>
    <mergeCell ref="I23:J23"/>
    <mergeCell ref="K23:L23"/>
    <mergeCell ref="M23:N23"/>
    <mergeCell ref="C24:H24"/>
    <mergeCell ref="I24:J24"/>
    <mergeCell ref="K24:L24"/>
    <mergeCell ref="M24:N24"/>
    <mergeCell ref="A16:O16"/>
    <mergeCell ref="A17:O19"/>
    <mergeCell ref="B20:O20"/>
    <mergeCell ref="A21:O21"/>
    <mergeCell ref="C22:H22"/>
    <mergeCell ref="I22:J22"/>
    <mergeCell ref="K22:L22"/>
    <mergeCell ref="M22:N22"/>
    <mergeCell ref="A13:B13"/>
    <mergeCell ref="C13:H13"/>
    <mergeCell ref="I13:K13"/>
    <mergeCell ref="L13:O13"/>
    <mergeCell ref="A14:B14"/>
    <mergeCell ref="C14:H14"/>
    <mergeCell ref="I14:K14"/>
    <mergeCell ref="L14:O14"/>
    <mergeCell ref="A10:O10"/>
    <mergeCell ref="A11:O11"/>
    <mergeCell ref="A12:B12"/>
    <mergeCell ref="C12:H12"/>
    <mergeCell ref="I12:K12"/>
    <mergeCell ref="L12:O12"/>
    <mergeCell ref="A9:B9"/>
    <mergeCell ref="C9:H9"/>
    <mergeCell ref="I9:K9"/>
    <mergeCell ref="L9:O9"/>
    <mergeCell ref="A5:O5"/>
    <mergeCell ref="A6:B6"/>
    <mergeCell ref="C6:H6"/>
    <mergeCell ref="I6:K6"/>
    <mergeCell ref="L6:O6"/>
    <mergeCell ref="A7:B7"/>
    <mergeCell ref="C7:H7"/>
    <mergeCell ref="I7:K7"/>
    <mergeCell ref="L7:O7"/>
    <mergeCell ref="A1:B3"/>
    <mergeCell ref="C1:M1"/>
    <mergeCell ref="N1:O1"/>
    <mergeCell ref="C2:M2"/>
    <mergeCell ref="N2:O2"/>
    <mergeCell ref="C3:M3"/>
    <mergeCell ref="N3:O3"/>
    <mergeCell ref="A8:B8"/>
    <mergeCell ref="C8:H8"/>
    <mergeCell ref="I8:K8"/>
    <mergeCell ref="L8:O8"/>
  </mergeCells>
  <pageMargins left="0.27559055118110237" right="0.19685039370078741" top="0.31496062992125984" bottom="0" header="0.15748031496062992" footer="0.24"/>
  <pageSetup paperSize="9" scale="76" fitToHeight="0"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BB61BD-7627-4D4B-8969-EB9E93F48D35}">
  <dimension ref="A1:W15"/>
  <sheetViews>
    <sheetView view="pageBreakPreview" zoomScaleNormal="100" zoomScaleSheetLayoutView="100" workbookViewId="0">
      <selection activeCell="F5" sqref="F5"/>
    </sheetView>
  </sheetViews>
  <sheetFormatPr baseColWidth="10" defaultRowHeight="14.4" x14ac:dyDescent="0.3"/>
  <cols>
    <col min="1" max="23" width="8.33203125" customWidth="1"/>
  </cols>
  <sheetData>
    <row r="1" spans="1:23" s="248" customFormat="1" ht="18" x14ac:dyDescent="0.35">
      <c r="A1" s="248" t="s">
        <v>374</v>
      </c>
    </row>
    <row r="2" spans="1:23" s="247" customFormat="1" x14ac:dyDescent="0.3"/>
    <row r="3" spans="1:23" ht="15" thickBot="1" x14ac:dyDescent="0.35"/>
    <row r="4" spans="1:23" ht="18" customHeight="1" x14ac:dyDescent="0.3">
      <c r="A4" s="636" t="s">
        <v>375</v>
      </c>
      <c r="B4" s="637"/>
      <c r="C4" s="637"/>
      <c r="D4" s="637"/>
      <c r="E4" s="637"/>
      <c r="F4" s="637"/>
      <c r="G4" s="637"/>
      <c r="H4" s="638"/>
      <c r="I4" s="636" t="s">
        <v>376</v>
      </c>
      <c r="J4" s="637"/>
      <c r="K4" s="637"/>
      <c r="L4" s="638"/>
      <c r="M4" s="636" t="s">
        <v>377</v>
      </c>
      <c r="N4" s="637"/>
      <c r="O4" s="637"/>
      <c r="P4" s="637"/>
      <c r="Q4" s="637"/>
      <c r="R4" s="637"/>
      <c r="S4" s="637"/>
      <c r="T4" s="637"/>
      <c r="U4" s="637"/>
      <c r="V4" s="637"/>
      <c r="W4" s="638"/>
    </row>
    <row r="5" spans="1:23" ht="42" customHeight="1" x14ac:dyDescent="0.3">
      <c r="A5" s="406" t="s">
        <v>2</v>
      </c>
      <c r="B5" s="392" t="s">
        <v>3</v>
      </c>
      <c r="C5" s="392" t="s">
        <v>178</v>
      </c>
      <c r="D5" s="392" t="s">
        <v>271</v>
      </c>
      <c r="E5" s="392" t="s">
        <v>378</v>
      </c>
      <c r="F5" s="392" t="s">
        <v>22</v>
      </c>
      <c r="G5" s="392" t="s">
        <v>379</v>
      </c>
      <c r="H5" s="407" t="s">
        <v>380</v>
      </c>
      <c r="I5" s="406" t="s">
        <v>381</v>
      </c>
      <c r="J5" s="392" t="s">
        <v>382</v>
      </c>
      <c r="K5" s="392" t="s">
        <v>383</v>
      </c>
      <c r="L5" s="407" t="s">
        <v>384</v>
      </c>
      <c r="M5" s="406" t="s">
        <v>385</v>
      </c>
      <c r="N5" s="392" t="s">
        <v>386</v>
      </c>
      <c r="O5" s="392" t="s">
        <v>387</v>
      </c>
      <c r="P5" s="392" t="s">
        <v>388</v>
      </c>
      <c r="Q5" s="392" t="s">
        <v>389</v>
      </c>
      <c r="R5" s="392" t="s">
        <v>390</v>
      </c>
      <c r="S5" s="392" t="s">
        <v>391</v>
      </c>
      <c r="T5" s="392" t="s">
        <v>392</v>
      </c>
      <c r="U5" s="392" t="s">
        <v>225</v>
      </c>
      <c r="V5" s="392" t="s">
        <v>393</v>
      </c>
      <c r="W5" s="407" t="s">
        <v>394</v>
      </c>
    </row>
    <row r="6" spans="1:23" x14ac:dyDescent="0.3">
      <c r="A6" s="408"/>
      <c r="B6" s="299"/>
      <c r="C6" s="299"/>
      <c r="D6" s="402"/>
      <c r="E6" s="402"/>
      <c r="F6" s="402"/>
      <c r="G6" s="299"/>
      <c r="H6" s="409"/>
      <c r="I6" s="414"/>
      <c r="J6" s="299"/>
      <c r="K6" s="299"/>
      <c r="L6" s="409"/>
      <c r="M6" s="408"/>
      <c r="N6" s="299"/>
      <c r="O6" s="299"/>
      <c r="P6" s="299"/>
      <c r="Q6" s="299"/>
      <c r="R6" s="299"/>
      <c r="S6" s="299"/>
      <c r="T6" s="299"/>
      <c r="U6" s="299"/>
      <c r="V6" s="299"/>
      <c r="W6" s="409"/>
    </row>
    <row r="7" spans="1:23" x14ac:dyDescent="0.3">
      <c r="A7" s="408"/>
      <c r="B7" s="299"/>
      <c r="C7" s="299"/>
      <c r="D7" s="402"/>
      <c r="E7" s="402"/>
      <c r="F7" s="402"/>
      <c r="G7" s="299"/>
      <c r="H7" s="409"/>
      <c r="I7" s="414"/>
      <c r="J7" s="299"/>
      <c r="K7" s="299"/>
      <c r="L7" s="409"/>
      <c r="M7" s="408"/>
      <c r="N7" s="299"/>
      <c r="O7" s="299"/>
      <c r="P7" s="299"/>
      <c r="Q7" s="299"/>
      <c r="R7" s="299"/>
      <c r="S7" s="299"/>
      <c r="T7" s="299"/>
      <c r="U7" s="299"/>
      <c r="V7" s="299"/>
      <c r="W7" s="409"/>
    </row>
    <row r="8" spans="1:23" x14ac:dyDescent="0.3">
      <c r="A8" s="408"/>
      <c r="B8" s="299"/>
      <c r="C8" s="299"/>
      <c r="D8" s="402"/>
      <c r="E8" s="402"/>
      <c r="F8" s="402"/>
      <c r="G8" s="299"/>
      <c r="H8" s="409"/>
      <c r="I8" s="414"/>
      <c r="J8" s="299"/>
      <c r="K8" s="299"/>
      <c r="L8" s="409"/>
      <c r="M8" s="408"/>
      <c r="N8" s="299"/>
      <c r="O8" s="299"/>
      <c r="P8" s="299"/>
      <c r="Q8" s="299"/>
      <c r="R8" s="299"/>
      <c r="S8" s="299"/>
      <c r="T8" s="299"/>
      <c r="U8" s="299"/>
      <c r="V8" s="299"/>
      <c r="W8" s="409"/>
    </row>
    <row r="9" spans="1:23" x14ac:dyDescent="0.3">
      <c r="A9" s="408"/>
      <c r="B9" s="299"/>
      <c r="C9" s="299"/>
      <c r="D9" s="402"/>
      <c r="E9" s="402"/>
      <c r="F9" s="402"/>
      <c r="G9" s="299"/>
      <c r="H9" s="409"/>
      <c r="I9" s="414"/>
      <c r="J9" s="299"/>
      <c r="K9" s="299"/>
      <c r="L9" s="409"/>
      <c r="M9" s="408"/>
      <c r="N9" s="299"/>
      <c r="O9" s="299"/>
      <c r="P9" s="299"/>
      <c r="Q9" s="299"/>
      <c r="R9" s="299"/>
      <c r="S9" s="299"/>
      <c r="T9" s="299"/>
      <c r="U9" s="299"/>
      <c r="V9" s="299"/>
      <c r="W9" s="409"/>
    </row>
    <row r="10" spans="1:23" x14ac:dyDescent="0.3">
      <c r="A10" s="408"/>
      <c r="B10" s="299"/>
      <c r="C10" s="299"/>
      <c r="D10" s="402"/>
      <c r="E10" s="402"/>
      <c r="F10" s="402"/>
      <c r="G10" s="299"/>
      <c r="H10" s="409"/>
      <c r="I10" s="414"/>
      <c r="J10" s="299"/>
      <c r="K10" s="299"/>
      <c r="L10" s="409"/>
      <c r="M10" s="408"/>
      <c r="N10" s="299"/>
      <c r="O10" s="299"/>
      <c r="P10" s="299"/>
      <c r="Q10" s="299"/>
      <c r="R10" s="299"/>
      <c r="S10" s="299"/>
      <c r="T10" s="299"/>
      <c r="U10" s="299"/>
      <c r="V10" s="299"/>
      <c r="W10" s="409"/>
    </row>
    <row r="11" spans="1:23" x14ac:dyDescent="0.3">
      <c r="A11" s="408"/>
      <c r="B11" s="299"/>
      <c r="C11" s="299"/>
      <c r="D11" s="402"/>
      <c r="E11" s="402"/>
      <c r="F11" s="402"/>
      <c r="G11" s="299"/>
      <c r="H11" s="409"/>
      <c r="I11" s="414"/>
      <c r="J11" s="299"/>
      <c r="K11" s="299"/>
      <c r="L11" s="409"/>
      <c r="M11" s="408"/>
      <c r="N11" s="299"/>
      <c r="O11" s="299"/>
      <c r="P11" s="299"/>
      <c r="Q11" s="299"/>
      <c r="R11" s="299"/>
      <c r="S11" s="299"/>
      <c r="T11" s="299"/>
      <c r="U11" s="299"/>
      <c r="V11" s="299"/>
      <c r="W11" s="409"/>
    </row>
    <row r="12" spans="1:23" x14ac:dyDescent="0.3">
      <c r="A12" s="408"/>
      <c r="B12" s="299"/>
      <c r="C12" s="299"/>
      <c r="D12" s="402"/>
      <c r="E12" s="402"/>
      <c r="F12" s="402"/>
      <c r="G12" s="299"/>
      <c r="H12" s="409"/>
      <c r="I12" s="414"/>
      <c r="J12" s="299"/>
      <c r="K12" s="299"/>
      <c r="L12" s="409"/>
      <c r="M12" s="408"/>
      <c r="N12" s="299"/>
      <c r="O12" s="299"/>
      <c r="P12" s="299"/>
      <c r="Q12" s="299"/>
      <c r="R12" s="299"/>
      <c r="S12" s="299"/>
      <c r="T12" s="299"/>
      <c r="U12" s="299"/>
      <c r="V12" s="299"/>
      <c r="W12" s="409"/>
    </row>
    <row r="13" spans="1:23" x14ac:dyDescent="0.3">
      <c r="A13" s="408"/>
      <c r="B13" s="299"/>
      <c r="C13" s="299"/>
      <c r="D13" s="402"/>
      <c r="E13" s="402"/>
      <c r="F13" s="402"/>
      <c r="G13" s="299"/>
      <c r="H13" s="409"/>
      <c r="I13" s="414"/>
      <c r="J13" s="299"/>
      <c r="K13" s="299"/>
      <c r="L13" s="409"/>
      <c r="M13" s="408"/>
      <c r="N13" s="299"/>
      <c r="O13" s="299"/>
      <c r="P13" s="299"/>
      <c r="Q13" s="299"/>
      <c r="R13" s="299"/>
      <c r="S13" s="299"/>
      <c r="T13" s="299"/>
      <c r="U13" s="299"/>
      <c r="V13" s="299"/>
      <c r="W13" s="409"/>
    </row>
    <row r="14" spans="1:23" ht="15" thickBot="1" x14ac:dyDescent="0.35">
      <c r="A14" s="410"/>
      <c r="B14" s="411"/>
      <c r="C14" s="411"/>
      <c r="D14" s="412"/>
      <c r="E14" s="411"/>
      <c r="F14" s="411"/>
      <c r="G14" s="411"/>
      <c r="H14" s="413"/>
      <c r="I14" s="415"/>
      <c r="J14" s="411"/>
      <c r="K14" s="411"/>
      <c r="L14" s="413"/>
      <c r="M14" s="410"/>
      <c r="N14" s="411"/>
      <c r="O14" s="411"/>
      <c r="P14" s="411"/>
      <c r="Q14" s="411"/>
      <c r="R14" s="411"/>
      <c r="S14" s="411"/>
      <c r="T14" s="411"/>
      <c r="U14" s="411"/>
      <c r="V14" s="411"/>
      <c r="W14" s="413"/>
    </row>
    <row r="15" spans="1:23" x14ac:dyDescent="0.3">
      <c r="A15" s="393"/>
      <c r="B15" s="394" t="s">
        <v>396</v>
      </c>
      <c r="C15" s="395"/>
      <c r="D15" s="396" t="s">
        <v>397</v>
      </c>
      <c r="E15" s="395"/>
      <c r="F15" s="397">
        <f>SUM(F6:F14)</f>
        <v>0</v>
      </c>
      <c r="G15" s="395"/>
      <c r="H15" s="398">
        <f>SUM(H6:H14)</f>
        <v>0</v>
      </c>
      <c r="I15" s="399" t="s">
        <v>397</v>
      </c>
      <c r="J15" s="394" t="s">
        <v>395</v>
      </c>
      <c r="K15" s="394" t="s">
        <v>395</v>
      </c>
      <c r="L15" s="398" t="s">
        <v>395</v>
      </c>
      <c r="M15" s="400">
        <f>SUM(M6:M14)</f>
        <v>0</v>
      </c>
      <c r="N15" s="394" t="s">
        <v>395</v>
      </c>
      <c r="O15" s="394">
        <f>SUM(O6:O14)</f>
        <v>0</v>
      </c>
      <c r="P15" s="394" t="s">
        <v>395</v>
      </c>
      <c r="Q15" s="394" t="s">
        <v>395</v>
      </c>
      <c r="R15" s="394" t="s">
        <v>395</v>
      </c>
      <c r="S15" s="394">
        <f t="shared" ref="S15" si="0">IFERROR(O15/M15,0)</f>
        <v>0</v>
      </c>
      <c r="T15" s="394">
        <f>SUM(T6:T14)</f>
        <v>0</v>
      </c>
      <c r="U15" s="394" t="s">
        <v>395</v>
      </c>
      <c r="V15" s="394" t="s">
        <v>395</v>
      </c>
      <c r="W15" s="401" t="s">
        <v>395</v>
      </c>
    </row>
  </sheetData>
  <mergeCells count="3">
    <mergeCell ref="A4:H4"/>
    <mergeCell ref="I4:L4"/>
    <mergeCell ref="M4:W4"/>
  </mergeCells>
  <pageMargins left="0.7" right="0.7" top="0.75" bottom="0.75" header="0.3" footer="0.3"/>
  <pageSetup orientation="portrait" horizontalDpi="300" verticalDpi="30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59EA60-C882-4187-A653-EA36D436E428}">
  <sheetPr>
    <pageSetUpPr fitToPage="1"/>
  </sheetPr>
  <dimension ref="B1:G113"/>
  <sheetViews>
    <sheetView showGridLines="0" view="pageBreakPreview" topLeftCell="A52" zoomScale="85" zoomScaleNormal="100" zoomScaleSheetLayoutView="85" workbookViewId="0">
      <selection activeCell="A39" sqref="A39:XFD39"/>
    </sheetView>
  </sheetViews>
  <sheetFormatPr baseColWidth="10" defaultColWidth="8.88671875" defaultRowHeight="14.4" x14ac:dyDescent="0.3"/>
  <cols>
    <col min="1" max="1" width="3.109375" style="332" customWidth="1"/>
    <col min="2" max="2" width="12.21875" style="330" customWidth="1"/>
    <col min="3" max="3" width="41.21875" style="332" customWidth="1"/>
    <col min="4" max="7" width="14.88671875" style="332" customWidth="1"/>
    <col min="8" max="9" width="8.88671875" style="332" customWidth="1"/>
    <col min="10" max="16384" width="8.88671875" style="332"/>
  </cols>
  <sheetData>
    <row r="1" spans="2:7" ht="15" customHeight="1" x14ac:dyDescent="0.3">
      <c r="B1" s="647"/>
      <c r="C1" s="644" t="s">
        <v>9</v>
      </c>
      <c r="D1" s="644"/>
      <c r="E1" s="644"/>
      <c r="F1" s="644"/>
      <c r="G1" s="331"/>
    </row>
    <row r="2" spans="2:7" ht="15" customHeight="1" x14ac:dyDescent="0.3">
      <c r="B2" s="648"/>
      <c r="C2" s="645" t="s">
        <v>284</v>
      </c>
      <c r="D2" s="645"/>
      <c r="E2" s="645"/>
      <c r="F2" s="645"/>
      <c r="G2" s="331"/>
    </row>
    <row r="3" spans="2:7" ht="15" customHeight="1" x14ac:dyDescent="0.3">
      <c r="B3" s="649"/>
      <c r="C3" s="640"/>
      <c r="D3" s="640"/>
      <c r="E3" s="640"/>
      <c r="F3" s="640"/>
      <c r="G3" s="333" t="s">
        <v>655</v>
      </c>
    </row>
    <row r="4" spans="2:7" ht="15" customHeight="1" x14ac:dyDescent="0.3">
      <c r="B4" s="643" t="s">
        <v>641</v>
      </c>
      <c r="C4" s="643"/>
      <c r="D4" s="643"/>
      <c r="E4" s="643"/>
      <c r="F4" s="643"/>
      <c r="G4" s="643"/>
    </row>
    <row r="5" spans="2:7" ht="15" customHeight="1" x14ac:dyDescent="0.3">
      <c r="B5" s="349" t="s">
        <v>0</v>
      </c>
      <c r="C5" s="646"/>
      <c r="D5" s="646"/>
      <c r="E5" s="646"/>
      <c r="F5" s="646"/>
      <c r="G5" s="350" t="s">
        <v>269</v>
      </c>
    </row>
    <row r="6" spans="2:7" ht="15" customHeight="1" x14ac:dyDescent="0.3">
      <c r="B6" s="349" t="s">
        <v>1</v>
      </c>
      <c r="C6" s="639"/>
      <c r="D6" s="639"/>
      <c r="E6" s="639"/>
      <c r="F6" s="639"/>
      <c r="G6" s="343"/>
    </row>
    <row r="7" spans="2:7" ht="15" customHeight="1" x14ac:dyDescent="0.3">
      <c r="B7" s="349" t="s">
        <v>57</v>
      </c>
      <c r="C7" s="639"/>
      <c r="D7" s="639"/>
      <c r="E7" s="639"/>
      <c r="F7" s="639"/>
      <c r="G7" s="343"/>
    </row>
    <row r="8" spans="2:7" ht="6" customHeight="1" x14ac:dyDescent="0.3">
      <c r="B8" s="640"/>
      <c r="C8" s="640"/>
      <c r="D8" s="640"/>
      <c r="E8" s="640"/>
      <c r="F8" s="640"/>
      <c r="G8" s="640"/>
    </row>
    <row r="9" spans="2:7" ht="15" customHeight="1" x14ac:dyDescent="0.3">
      <c r="B9" s="334" t="s">
        <v>642</v>
      </c>
      <c r="C9" s="331"/>
      <c r="D9" s="331"/>
      <c r="E9" s="331"/>
      <c r="F9" s="331"/>
      <c r="G9" s="331"/>
    </row>
    <row r="10" spans="2:7" ht="15" customHeight="1" x14ac:dyDescent="0.3">
      <c r="B10" s="335" t="s">
        <v>2</v>
      </c>
      <c r="C10" s="335" t="s">
        <v>3</v>
      </c>
      <c r="D10" s="335" t="s">
        <v>602</v>
      </c>
      <c r="E10" s="335" t="s">
        <v>178</v>
      </c>
      <c r="F10" s="335" t="s">
        <v>271</v>
      </c>
      <c r="G10" s="335" t="s">
        <v>379</v>
      </c>
    </row>
    <row r="11" spans="2:7" ht="15" customHeight="1" x14ac:dyDescent="0.3">
      <c r="B11" s="336"/>
      <c r="C11" s="337"/>
      <c r="D11" s="336"/>
      <c r="E11" s="336"/>
      <c r="F11" s="336"/>
      <c r="G11" s="338"/>
    </row>
    <row r="12" spans="2:7" ht="15" customHeight="1" x14ac:dyDescent="0.3">
      <c r="B12" s="336"/>
      <c r="C12" s="337"/>
      <c r="D12" s="336"/>
      <c r="E12" s="336"/>
      <c r="F12" s="336"/>
      <c r="G12" s="338"/>
    </row>
    <row r="13" spans="2:7" ht="15" customHeight="1" x14ac:dyDescent="0.3">
      <c r="B13" s="336"/>
      <c r="C13" s="337"/>
      <c r="D13" s="336"/>
      <c r="E13" s="336"/>
      <c r="F13" s="336"/>
      <c r="G13" s="338"/>
    </row>
    <row r="14" spans="2:7" ht="15" customHeight="1" x14ac:dyDescent="0.3">
      <c r="B14" s="336"/>
      <c r="C14" s="337"/>
      <c r="D14" s="336"/>
      <c r="E14" s="336"/>
      <c r="F14" s="336"/>
      <c r="G14" s="338"/>
    </row>
    <row r="15" spans="2:7" ht="15" customHeight="1" x14ac:dyDescent="0.3">
      <c r="B15" s="336"/>
      <c r="C15" s="337"/>
      <c r="D15" s="336"/>
      <c r="E15" s="336"/>
      <c r="F15" s="336"/>
      <c r="G15" s="338"/>
    </row>
    <row r="16" spans="2:7" ht="15" customHeight="1" x14ac:dyDescent="0.3">
      <c r="B16" s="336"/>
      <c r="C16" s="337"/>
      <c r="D16" s="336"/>
      <c r="E16" s="336"/>
      <c r="F16" s="336"/>
      <c r="G16" s="338"/>
    </row>
    <row r="17" spans="2:7" ht="15" customHeight="1" x14ac:dyDescent="0.3">
      <c r="B17" s="336"/>
      <c r="C17" s="337"/>
      <c r="D17" s="336"/>
      <c r="E17" s="336"/>
      <c r="F17" s="336"/>
      <c r="G17" s="338"/>
    </row>
    <row r="18" spans="2:7" ht="15" customHeight="1" x14ac:dyDescent="0.3">
      <c r="B18" s="336"/>
      <c r="C18" s="337"/>
      <c r="D18" s="336"/>
      <c r="E18" s="336"/>
      <c r="F18" s="336"/>
      <c r="G18" s="338"/>
    </row>
    <row r="19" spans="2:7" ht="15" customHeight="1" x14ac:dyDescent="0.3">
      <c r="B19" s="336"/>
      <c r="C19" s="337"/>
      <c r="D19" s="336"/>
      <c r="E19" s="336"/>
      <c r="F19" s="336"/>
      <c r="G19" s="338"/>
    </row>
    <row r="20" spans="2:7" ht="15" customHeight="1" x14ac:dyDescent="0.3">
      <c r="B20" s="336"/>
      <c r="C20" s="337"/>
      <c r="D20" s="336"/>
      <c r="E20" s="336"/>
      <c r="F20" s="336"/>
      <c r="G20" s="338"/>
    </row>
    <row r="21" spans="2:7" ht="15" customHeight="1" x14ac:dyDescent="0.3">
      <c r="B21" s="336"/>
      <c r="C21" s="337"/>
      <c r="D21" s="336"/>
      <c r="E21" s="336"/>
      <c r="F21" s="336"/>
      <c r="G21" s="338"/>
    </row>
    <row r="22" spans="2:7" ht="15" customHeight="1" x14ac:dyDescent="0.3">
      <c r="B22" s="336"/>
      <c r="C22" s="337"/>
      <c r="D22" s="336"/>
      <c r="E22" s="336"/>
      <c r="F22" s="336"/>
      <c r="G22" s="338"/>
    </row>
    <row r="23" spans="2:7" ht="15" customHeight="1" x14ac:dyDescent="0.3">
      <c r="B23" s="336"/>
      <c r="C23" s="337"/>
      <c r="D23" s="336"/>
      <c r="E23" s="336"/>
      <c r="F23" s="336"/>
      <c r="G23" s="338"/>
    </row>
    <row r="24" spans="2:7" ht="15" customHeight="1" x14ac:dyDescent="0.3">
      <c r="B24" s="336"/>
      <c r="C24" s="337"/>
      <c r="D24" s="336"/>
      <c r="E24" s="336"/>
      <c r="F24" s="336"/>
      <c r="G24" s="338"/>
    </row>
    <row r="25" spans="2:7" ht="15" customHeight="1" x14ac:dyDescent="0.3">
      <c r="B25" s="336"/>
      <c r="C25" s="337"/>
      <c r="D25" s="336"/>
      <c r="E25" s="336"/>
      <c r="F25" s="336"/>
      <c r="G25" s="338"/>
    </row>
    <row r="26" spans="2:7" ht="15" customHeight="1" x14ac:dyDescent="0.3">
      <c r="B26" s="336"/>
      <c r="C26" s="337"/>
      <c r="D26" s="336"/>
      <c r="E26" s="336"/>
      <c r="F26" s="336"/>
      <c r="G26" s="338"/>
    </row>
    <row r="27" spans="2:7" ht="15" customHeight="1" x14ac:dyDescent="0.3">
      <c r="B27" s="336"/>
      <c r="C27" s="337"/>
      <c r="D27" s="336"/>
      <c r="E27" s="336"/>
      <c r="F27" s="336"/>
      <c r="G27" s="338"/>
    </row>
    <row r="28" spans="2:7" ht="15" customHeight="1" x14ac:dyDescent="0.3">
      <c r="B28" s="336"/>
      <c r="C28" s="337"/>
      <c r="D28" s="336"/>
      <c r="E28" s="336"/>
      <c r="F28" s="336"/>
      <c r="G28" s="338"/>
    </row>
    <row r="29" spans="2:7" ht="15" customHeight="1" x14ac:dyDescent="0.3">
      <c r="B29" s="336"/>
      <c r="C29" s="337"/>
      <c r="D29" s="336"/>
      <c r="E29" s="336"/>
      <c r="F29" s="336"/>
      <c r="G29" s="338"/>
    </row>
    <row r="30" spans="2:7" ht="15" customHeight="1" x14ac:dyDescent="0.3">
      <c r="B30" s="336"/>
      <c r="C30" s="337"/>
      <c r="D30" s="336"/>
      <c r="E30" s="336"/>
      <c r="F30" s="336"/>
      <c r="G30" s="338"/>
    </row>
    <row r="31" spans="2:7" ht="15" customHeight="1" x14ac:dyDescent="0.3">
      <c r="B31" s="336"/>
      <c r="C31" s="337"/>
      <c r="D31" s="336"/>
      <c r="E31" s="336"/>
      <c r="F31" s="336"/>
      <c r="G31" s="338"/>
    </row>
    <row r="32" spans="2:7" ht="15" customHeight="1" x14ac:dyDescent="0.3">
      <c r="B32" s="336"/>
      <c r="C32" s="337"/>
      <c r="D32" s="336"/>
      <c r="E32" s="336"/>
      <c r="F32" s="336"/>
      <c r="G32" s="338"/>
    </row>
    <row r="33" spans="2:7" ht="15" customHeight="1" x14ac:dyDescent="0.3">
      <c r="B33" s="336"/>
      <c r="C33" s="337"/>
      <c r="D33" s="336"/>
      <c r="E33" s="336"/>
      <c r="F33" s="336"/>
      <c r="G33" s="338"/>
    </row>
    <row r="34" spans="2:7" ht="15" customHeight="1" x14ac:dyDescent="0.3">
      <c r="B34" s="336"/>
      <c r="C34" s="337"/>
      <c r="D34" s="336"/>
      <c r="E34" s="336"/>
      <c r="F34" s="336"/>
      <c r="G34" s="338"/>
    </row>
    <row r="35" spans="2:7" ht="15" customHeight="1" x14ac:dyDescent="0.3">
      <c r="B35" s="336"/>
      <c r="C35" s="337"/>
      <c r="D35" s="336"/>
      <c r="E35" s="336"/>
      <c r="F35" s="336"/>
      <c r="G35" s="338"/>
    </row>
    <row r="36" spans="2:7" ht="15" customHeight="1" x14ac:dyDescent="0.3">
      <c r="B36" s="336"/>
      <c r="C36" s="337"/>
      <c r="D36" s="336"/>
      <c r="E36" s="336"/>
      <c r="F36" s="336"/>
      <c r="G36" s="338"/>
    </row>
    <row r="37" spans="2:7" ht="15" customHeight="1" x14ac:dyDescent="0.3">
      <c r="B37" s="336"/>
      <c r="C37" s="337"/>
      <c r="D37" s="336"/>
      <c r="E37" s="336"/>
      <c r="F37" s="336"/>
      <c r="G37" s="338"/>
    </row>
    <row r="38" spans="2:7" ht="15" customHeight="1" x14ac:dyDescent="0.3">
      <c r="B38" s="336"/>
      <c r="C38" s="337"/>
      <c r="D38" s="336"/>
      <c r="E38" s="336"/>
      <c r="F38" s="336"/>
      <c r="G38" s="338"/>
    </row>
    <row r="39" spans="2:7" ht="15" customHeight="1" x14ac:dyDescent="0.3">
      <c r="B39" s="336"/>
      <c r="C39" s="337"/>
      <c r="D39" s="336"/>
      <c r="E39" s="336"/>
      <c r="F39" s="336"/>
      <c r="G39" s="338"/>
    </row>
    <row r="40" spans="2:7" ht="15" customHeight="1" x14ac:dyDescent="0.3">
      <c r="B40" s="336"/>
      <c r="C40" s="337"/>
      <c r="D40" s="336"/>
      <c r="E40" s="336"/>
      <c r="F40" s="336"/>
      <c r="G40" s="338"/>
    </row>
    <row r="41" spans="2:7" ht="15" customHeight="1" x14ac:dyDescent="0.3">
      <c r="B41" s="336"/>
      <c r="C41" s="337"/>
      <c r="D41" s="336"/>
      <c r="E41" s="336"/>
      <c r="F41" s="336"/>
      <c r="G41" s="338"/>
    </row>
    <row r="42" spans="2:7" ht="15" customHeight="1" x14ac:dyDescent="0.3">
      <c r="B42" s="336"/>
      <c r="C42" s="337"/>
      <c r="D42" s="336"/>
      <c r="E42" s="336"/>
      <c r="F42" s="336"/>
      <c r="G42" s="338"/>
    </row>
    <row r="43" spans="2:7" ht="15" customHeight="1" x14ac:dyDescent="0.3">
      <c r="B43" s="336"/>
      <c r="C43" s="337"/>
      <c r="D43" s="336"/>
      <c r="E43" s="336"/>
      <c r="F43" s="336"/>
      <c r="G43" s="338"/>
    </row>
    <row r="44" spans="2:7" ht="15" customHeight="1" x14ac:dyDescent="0.3">
      <c r="B44" s="336"/>
      <c r="C44" s="337"/>
      <c r="D44" s="336"/>
      <c r="E44" s="336"/>
      <c r="F44" s="336"/>
      <c r="G44" s="338"/>
    </row>
    <row r="45" spans="2:7" ht="15" customHeight="1" x14ac:dyDescent="0.3">
      <c r="B45" s="641" t="s">
        <v>110</v>
      </c>
      <c r="C45" s="642"/>
      <c r="D45" s="642"/>
      <c r="E45" s="642"/>
      <c r="F45" s="339">
        <f>SUMPRODUCT(D11:D44,F11:F44)</f>
        <v>0</v>
      </c>
      <c r="G45" s="340">
        <f>SUMPRODUCT(F11:F44,G11:G44)</f>
        <v>0</v>
      </c>
    </row>
    <row r="46" spans="2:7" ht="6" customHeight="1" x14ac:dyDescent="0.3">
      <c r="B46" s="653"/>
      <c r="C46" s="654"/>
      <c r="D46" s="654"/>
      <c r="E46" s="654"/>
      <c r="F46" s="654"/>
      <c r="G46" s="655"/>
    </row>
    <row r="47" spans="2:7" ht="15" customHeight="1" x14ac:dyDescent="0.3">
      <c r="B47" s="643" t="s">
        <v>648</v>
      </c>
      <c r="C47" s="643"/>
      <c r="D47" s="643"/>
      <c r="E47" s="643"/>
      <c r="F47" s="643"/>
      <c r="G47" s="643"/>
    </row>
    <row r="48" spans="2:7" ht="15" customHeight="1" x14ac:dyDescent="0.3">
      <c r="B48" s="335" t="s">
        <v>28</v>
      </c>
      <c r="C48" s="335" t="s">
        <v>652</v>
      </c>
      <c r="D48" s="335" t="s">
        <v>112</v>
      </c>
      <c r="E48" s="661" t="s">
        <v>653</v>
      </c>
      <c r="F48" s="661"/>
      <c r="G48" s="661"/>
    </row>
    <row r="49" spans="2:7" ht="15" customHeight="1" x14ac:dyDescent="0.3">
      <c r="B49" s="341" t="s">
        <v>351</v>
      </c>
      <c r="C49" s="342" t="s">
        <v>23</v>
      </c>
      <c r="D49" s="338"/>
      <c r="E49" s="343" t="s">
        <v>643</v>
      </c>
      <c r="F49" s="343"/>
      <c r="G49" s="344"/>
    </row>
    <row r="50" spans="2:7" ht="15" customHeight="1" x14ac:dyDescent="0.3">
      <c r="B50" s="341" t="s">
        <v>53</v>
      </c>
      <c r="C50" s="342" t="s">
        <v>24</v>
      </c>
      <c r="D50" s="338"/>
      <c r="E50" s="334" t="s">
        <v>114</v>
      </c>
      <c r="F50" s="334"/>
      <c r="G50" s="344"/>
    </row>
    <row r="51" spans="2:7" ht="15" customHeight="1" x14ac:dyDescent="0.3">
      <c r="B51" s="341" t="s">
        <v>352</v>
      </c>
      <c r="C51" s="342" t="s">
        <v>113</v>
      </c>
      <c r="D51" s="338"/>
      <c r="E51" s="343" t="s">
        <v>25</v>
      </c>
      <c r="F51" s="343"/>
      <c r="G51" s="344"/>
    </row>
    <row r="52" spans="2:7" ht="15" customHeight="1" x14ac:dyDescent="0.3">
      <c r="B52" s="341" t="s">
        <v>353</v>
      </c>
      <c r="C52" s="342" t="s">
        <v>115</v>
      </c>
      <c r="D52" s="338"/>
      <c r="E52" s="660" t="s">
        <v>638</v>
      </c>
      <c r="F52" s="660"/>
      <c r="G52" s="338"/>
    </row>
    <row r="53" spans="2:7" ht="15" customHeight="1" x14ac:dyDescent="0.3">
      <c r="B53" s="341" t="s">
        <v>354</v>
      </c>
      <c r="C53" s="342" t="s">
        <v>22</v>
      </c>
      <c r="D53" s="338"/>
      <c r="E53" s="640"/>
      <c r="F53" s="640"/>
      <c r="G53" s="331"/>
    </row>
    <row r="54" spans="2:7" ht="15" customHeight="1" x14ac:dyDescent="0.3">
      <c r="B54" s="341"/>
      <c r="C54" s="342"/>
      <c r="D54" s="338"/>
      <c r="E54" s="640"/>
      <c r="F54" s="640"/>
      <c r="G54" s="331"/>
    </row>
    <row r="55" spans="2:7" ht="15" customHeight="1" x14ac:dyDescent="0.3">
      <c r="B55" s="341"/>
      <c r="C55" s="331"/>
      <c r="D55" s="331"/>
      <c r="E55" s="646"/>
      <c r="F55" s="642"/>
      <c r="G55" s="338"/>
    </row>
    <row r="56" spans="2:7" ht="18.600000000000001" customHeight="1" x14ac:dyDescent="0.3">
      <c r="B56" s="345"/>
      <c r="C56" s="346" t="s">
        <v>110</v>
      </c>
      <c r="D56" s="340">
        <f>SUM(D49:D53)</f>
        <v>0</v>
      </c>
      <c r="E56" s="651"/>
      <c r="F56" s="642"/>
      <c r="G56" s="642"/>
    </row>
    <row r="57" spans="2:7" ht="4.2" customHeight="1" x14ac:dyDescent="0.3">
      <c r="B57" s="653"/>
      <c r="C57" s="654"/>
      <c r="D57" s="654"/>
      <c r="E57" s="654"/>
      <c r="F57" s="654"/>
      <c r="G57" s="655"/>
    </row>
    <row r="58" spans="2:7" ht="15" customHeight="1" x14ac:dyDescent="0.3">
      <c r="B58" s="647"/>
      <c r="C58" s="644" t="s">
        <v>9</v>
      </c>
      <c r="D58" s="644"/>
      <c r="E58" s="644"/>
      <c r="F58" s="644"/>
      <c r="G58" s="331"/>
    </row>
    <row r="59" spans="2:7" ht="15" customHeight="1" x14ac:dyDescent="0.3">
      <c r="B59" s="648"/>
      <c r="C59" s="645" t="s">
        <v>284</v>
      </c>
      <c r="D59" s="645"/>
      <c r="E59" s="645"/>
      <c r="F59" s="645"/>
      <c r="G59" s="331"/>
    </row>
    <row r="60" spans="2:7" ht="15" customHeight="1" x14ac:dyDescent="0.3">
      <c r="B60" s="649"/>
      <c r="C60" s="640"/>
      <c r="D60" s="640"/>
      <c r="E60" s="640"/>
      <c r="F60" s="640"/>
      <c r="G60" s="333" t="s">
        <v>654</v>
      </c>
    </row>
    <row r="61" spans="2:7" ht="15" customHeight="1" x14ac:dyDescent="0.3">
      <c r="B61" s="643" t="s">
        <v>116</v>
      </c>
      <c r="C61" s="643"/>
      <c r="D61" s="643"/>
      <c r="E61" s="643"/>
      <c r="F61" s="643"/>
      <c r="G61" s="643"/>
    </row>
    <row r="62" spans="2:7" ht="15" customHeight="1" x14ac:dyDescent="0.3">
      <c r="B62" s="335" t="s">
        <v>28</v>
      </c>
      <c r="C62" s="335" t="s">
        <v>117</v>
      </c>
      <c r="D62" s="335" t="s">
        <v>4</v>
      </c>
      <c r="E62" s="335" t="s">
        <v>22</v>
      </c>
      <c r="F62" s="329" t="s">
        <v>118</v>
      </c>
      <c r="G62" s="329" t="s">
        <v>119</v>
      </c>
    </row>
    <row r="63" spans="2:7" ht="15" customHeight="1" x14ac:dyDescent="0.3">
      <c r="B63" s="336"/>
      <c r="C63" s="351"/>
      <c r="D63" s="351"/>
      <c r="E63" s="351"/>
      <c r="F63" s="338"/>
      <c r="G63" s="338"/>
    </row>
    <row r="64" spans="2:7" ht="15" customHeight="1" x14ac:dyDescent="0.3">
      <c r="B64" s="336"/>
      <c r="C64" s="351"/>
      <c r="D64" s="351"/>
      <c r="E64" s="351"/>
      <c r="F64" s="338"/>
      <c r="G64" s="338"/>
    </row>
    <row r="65" spans="2:7" ht="15" customHeight="1" x14ac:dyDescent="0.3">
      <c r="B65" s="336"/>
      <c r="C65" s="351"/>
      <c r="D65" s="351"/>
      <c r="E65" s="351"/>
      <c r="F65" s="338"/>
      <c r="G65" s="338"/>
    </row>
    <row r="66" spans="2:7" ht="15" customHeight="1" x14ac:dyDescent="0.3">
      <c r="B66" s="336"/>
      <c r="C66" s="351"/>
      <c r="D66" s="351"/>
      <c r="E66" s="351"/>
      <c r="F66" s="338"/>
      <c r="G66" s="338"/>
    </row>
    <row r="67" spans="2:7" ht="15" customHeight="1" x14ac:dyDescent="0.3">
      <c r="B67" s="336"/>
      <c r="C67" s="351"/>
      <c r="D67" s="351"/>
      <c r="E67" s="351"/>
      <c r="F67" s="338"/>
      <c r="G67" s="338"/>
    </row>
    <row r="68" spans="2:7" ht="15" customHeight="1" x14ac:dyDescent="0.3">
      <c r="B68" s="336"/>
      <c r="C68" s="351"/>
      <c r="D68" s="351"/>
      <c r="E68" s="351"/>
      <c r="F68" s="338"/>
      <c r="G68" s="338"/>
    </row>
    <row r="69" spans="2:7" ht="15" customHeight="1" x14ac:dyDescent="0.3">
      <c r="B69" s="336"/>
      <c r="C69" s="351"/>
      <c r="D69" s="351"/>
      <c r="E69" s="351"/>
      <c r="F69" s="338"/>
      <c r="G69" s="338"/>
    </row>
    <row r="70" spans="2:7" ht="15" customHeight="1" x14ac:dyDescent="0.3">
      <c r="B70" s="336"/>
      <c r="C70" s="351"/>
      <c r="D70" s="351"/>
      <c r="E70" s="351"/>
      <c r="F70" s="338"/>
      <c r="G70" s="338"/>
    </row>
    <row r="71" spans="2:7" ht="15" customHeight="1" x14ac:dyDescent="0.3">
      <c r="B71" s="336"/>
      <c r="C71" s="351"/>
      <c r="D71" s="351"/>
      <c r="E71" s="351"/>
      <c r="F71" s="338"/>
      <c r="G71" s="338"/>
    </row>
    <row r="72" spans="2:7" ht="15" customHeight="1" x14ac:dyDescent="0.3">
      <c r="B72" s="641" t="s">
        <v>110</v>
      </c>
      <c r="C72" s="642"/>
      <c r="D72" s="642"/>
      <c r="E72" s="352">
        <f>SUM(E63:E71)</f>
        <v>0</v>
      </c>
      <c r="F72" s="331"/>
      <c r="G72" s="340">
        <f>SUM(G63:G71)</f>
        <v>0</v>
      </c>
    </row>
    <row r="73" spans="2:7" ht="6" customHeight="1" x14ac:dyDescent="0.3">
      <c r="B73" s="653"/>
      <c r="C73" s="654"/>
      <c r="D73" s="654"/>
      <c r="E73" s="654"/>
      <c r="F73" s="654"/>
      <c r="G73" s="655"/>
    </row>
    <row r="74" spans="2:7" ht="15" customHeight="1" x14ac:dyDescent="0.3">
      <c r="B74" s="643" t="s">
        <v>647</v>
      </c>
      <c r="C74" s="643"/>
      <c r="D74" s="643"/>
      <c r="E74" s="643"/>
      <c r="F74" s="643"/>
      <c r="G74" s="643"/>
    </row>
    <row r="75" spans="2:7" ht="15" customHeight="1" x14ac:dyDescent="0.3">
      <c r="B75" s="335" t="s">
        <v>28</v>
      </c>
      <c r="C75" s="335" t="s">
        <v>127</v>
      </c>
      <c r="D75" s="335" t="s">
        <v>4</v>
      </c>
      <c r="E75" s="335" t="s">
        <v>128</v>
      </c>
      <c r="F75" s="329" t="s">
        <v>118</v>
      </c>
      <c r="G75" s="329" t="s">
        <v>119</v>
      </c>
    </row>
    <row r="76" spans="2:7" ht="15" customHeight="1" x14ac:dyDescent="0.3">
      <c r="B76" s="336"/>
      <c r="C76" s="351"/>
      <c r="D76" s="351"/>
      <c r="E76" s="351"/>
      <c r="F76" s="338"/>
      <c r="G76" s="338"/>
    </row>
    <row r="77" spans="2:7" ht="15" customHeight="1" x14ac:dyDescent="0.3">
      <c r="B77" s="336"/>
      <c r="C77" s="351"/>
      <c r="D77" s="351"/>
      <c r="E77" s="351"/>
      <c r="F77" s="338"/>
      <c r="G77" s="338"/>
    </row>
    <row r="78" spans="2:7" ht="15" customHeight="1" x14ac:dyDescent="0.3">
      <c r="B78" s="336"/>
      <c r="C78" s="351"/>
      <c r="D78" s="351"/>
      <c r="E78" s="351"/>
      <c r="F78" s="338"/>
      <c r="G78" s="338"/>
    </row>
    <row r="79" spans="2:7" ht="15" customHeight="1" x14ac:dyDescent="0.3">
      <c r="B79" s="336"/>
      <c r="C79" s="351"/>
      <c r="D79" s="351"/>
      <c r="E79" s="351"/>
      <c r="F79" s="338"/>
      <c r="G79" s="338"/>
    </row>
    <row r="80" spans="2:7" ht="15" customHeight="1" x14ac:dyDescent="0.3">
      <c r="B80" s="336"/>
      <c r="C80" s="351"/>
      <c r="D80" s="351"/>
      <c r="E80" s="351"/>
      <c r="F80" s="338"/>
      <c r="G80" s="338"/>
    </row>
    <row r="81" spans="2:7" ht="15" customHeight="1" x14ac:dyDescent="0.3">
      <c r="B81" s="336"/>
      <c r="C81" s="351"/>
      <c r="D81" s="351"/>
      <c r="E81" s="351"/>
      <c r="F81" s="338"/>
      <c r="G81" s="338"/>
    </row>
    <row r="82" spans="2:7" ht="15" customHeight="1" x14ac:dyDescent="0.3">
      <c r="B82" s="336"/>
      <c r="C82" s="351"/>
      <c r="D82" s="351"/>
      <c r="E82" s="351"/>
      <c r="F82" s="338"/>
      <c r="G82" s="338"/>
    </row>
    <row r="83" spans="2:7" ht="15" customHeight="1" x14ac:dyDescent="0.3">
      <c r="B83" s="336"/>
      <c r="C83" s="351"/>
      <c r="D83" s="351"/>
      <c r="E83" s="351"/>
      <c r="F83" s="338"/>
      <c r="G83" s="338"/>
    </row>
    <row r="84" spans="2:7" ht="15" customHeight="1" x14ac:dyDescent="0.3">
      <c r="B84" s="336"/>
      <c r="C84" s="351"/>
      <c r="D84" s="351"/>
      <c r="E84" s="351"/>
      <c r="F84" s="338"/>
      <c r="G84" s="338"/>
    </row>
    <row r="85" spans="2:7" ht="15" customHeight="1" x14ac:dyDescent="0.3">
      <c r="B85" s="336"/>
      <c r="C85" s="351"/>
      <c r="D85" s="351"/>
      <c r="E85" s="351"/>
      <c r="F85" s="338"/>
      <c r="G85" s="338"/>
    </row>
    <row r="86" spans="2:7" ht="15" customHeight="1" x14ac:dyDescent="0.3">
      <c r="B86" s="336"/>
      <c r="C86" s="351"/>
      <c r="D86" s="351"/>
      <c r="E86" s="351"/>
      <c r="F86" s="338"/>
      <c r="G86" s="338"/>
    </row>
    <row r="87" spans="2:7" ht="15" customHeight="1" x14ac:dyDescent="0.3">
      <c r="B87" s="641" t="s">
        <v>110</v>
      </c>
      <c r="C87" s="641"/>
      <c r="D87" s="641"/>
      <c r="E87" s="352">
        <f>SUM(E76:E85)</f>
        <v>0</v>
      </c>
      <c r="F87" s="331"/>
      <c r="G87" s="340">
        <f>SUM(G76:G86)</f>
        <v>0</v>
      </c>
    </row>
    <row r="88" spans="2:7" ht="6" customHeight="1" x14ac:dyDescent="0.3">
      <c r="B88" s="657"/>
      <c r="C88" s="658"/>
      <c r="D88" s="658"/>
      <c r="E88" s="658"/>
      <c r="F88" s="658"/>
      <c r="G88" s="659"/>
    </row>
    <row r="89" spans="2:7" ht="15" customHeight="1" x14ac:dyDescent="0.3">
      <c r="B89" s="643" t="s">
        <v>645</v>
      </c>
      <c r="C89" s="643"/>
      <c r="D89" s="643"/>
      <c r="E89" s="643"/>
      <c r="F89" s="643"/>
      <c r="G89" s="643"/>
    </row>
    <row r="90" spans="2:7" ht="15" customHeight="1" x14ac:dyDescent="0.3">
      <c r="B90" s="335" t="s">
        <v>28</v>
      </c>
      <c r="C90" s="652" t="s">
        <v>6</v>
      </c>
      <c r="D90" s="652"/>
      <c r="E90" s="335" t="s">
        <v>4</v>
      </c>
      <c r="F90" s="347" t="s">
        <v>271</v>
      </c>
      <c r="G90" s="329" t="s">
        <v>119</v>
      </c>
    </row>
    <row r="91" spans="2:7" ht="15" customHeight="1" x14ac:dyDescent="0.3">
      <c r="B91" s="336"/>
      <c r="C91" s="650"/>
      <c r="D91" s="650"/>
      <c r="E91" s="331"/>
      <c r="F91" s="331"/>
      <c r="G91" s="338"/>
    </row>
    <row r="92" spans="2:7" ht="15" customHeight="1" x14ac:dyDescent="0.3">
      <c r="B92" s="336"/>
      <c r="C92" s="650"/>
      <c r="D92" s="650"/>
      <c r="E92" s="331"/>
      <c r="F92" s="331"/>
      <c r="G92" s="338"/>
    </row>
    <row r="93" spans="2:7" ht="15" customHeight="1" x14ac:dyDescent="0.3">
      <c r="B93" s="336"/>
      <c r="C93" s="650"/>
      <c r="D93" s="650"/>
      <c r="E93" s="331"/>
      <c r="F93" s="331"/>
      <c r="G93" s="338"/>
    </row>
    <row r="94" spans="2:7" ht="15" customHeight="1" x14ac:dyDescent="0.3">
      <c r="B94" s="336"/>
      <c r="C94" s="650"/>
      <c r="D94" s="650"/>
      <c r="E94" s="331"/>
      <c r="F94" s="331"/>
      <c r="G94" s="338"/>
    </row>
    <row r="95" spans="2:7" ht="15" customHeight="1" x14ac:dyDescent="0.3">
      <c r="B95" s="336"/>
      <c r="C95" s="650"/>
      <c r="D95" s="650"/>
      <c r="E95" s="331"/>
      <c r="F95" s="331"/>
      <c r="G95" s="338"/>
    </row>
    <row r="96" spans="2:7" ht="15" customHeight="1" x14ac:dyDescent="0.3">
      <c r="B96" s="336"/>
      <c r="C96" s="650"/>
      <c r="D96" s="650"/>
      <c r="E96" s="331"/>
      <c r="F96" s="331"/>
      <c r="G96" s="338"/>
    </row>
    <row r="97" spans="2:7" ht="15" customHeight="1" x14ac:dyDescent="0.3">
      <c r="B97" s="336"/>
      <c r="C97" s="650"/>
      <c r="D97" s="650"/>
      <c r="E97" s="331"/>
      <c r="F97" s="331"/>
      <c r="G97" s="338"/>
    </row>
    <row r="98" spans="2:7" ht="15" customHeight="1" x14ac:dyDescent="0.3">
      <c r="B98" s="336"/>
      <c r="C98" s="650"/>
      <c r="D98" s="650"/>
      <c r="E98" s="331"/>
      <c r="F98" s="331"/>
      <c r="G98" s="338"/>
    </row>
    <row r="99" spans="2:7" ht="15" customHeight="1" x14ac:dyDescent="0.3">
      <c r="B99" s="336"/>
      <c r="C99" s="650"/>
      <c r="D99" s="650"/>
      <c r="E99" s="331"/>
      <c r="F99" s="331"/>
      <c r="G99" s="338"/>
    </row>
    <row r="100" spans="2:7" ht="15" customHeight="1" x14ac:dyDescent="0.3">
      <c r="B100" s="336"/>
      <c r="C100" s="650"/>
      <c r="D100" s="650"/>
      <c r="E100" s="331"/>
      <c r="F100" s="331"/>
      <c r="G100" s="338"/>
    </row>
    <row r="101" spans="2:7" ht="15" customHeight="1" x14ac:dyDescent="0.3">
      <c r="B101" s="336"/>
      <c r="C101" s="650"/>
      <c r="D101" s="650"/>
      <c r="E101" s="331"/>
      <c r="F101" s="331"/>
      <c r="G101" s="338"/>
    </row>
    <row r="102" spans="2:7" ht="15" customHeight="1" x14ac:dyDescent="0.3">
      <c r="B102" s="336"/>
      <c r="C102" s="650"/>
      <c r="D102" s="650"/>
      <c r="E102" s="331"/>
      <c r="F102" s="331"/>
      <c r="G102" s="338"/>
    </row>
    <row r="103" spans="2:7" ht="15" customHeight="1" x14ac:dyDescent="0.3">
      <c r="B103" s="336"/>
      <c r="C103" s="650"/>
      <c r="D103" s="650"/>
      <c r="E103" s="331"/>
      <c r="F103" s="331"/>
      <c r="G103" s="338"/>
    </row>
    <row r="104" spans="2:7" ht="15" customHeight="1" x14ac:dyDescent="0.3">
      <c r="B104" s="336"/>
      <c r="C104" s="650"/>
      <c r="D104" s="650"/>
      <c r="E104" s="331"/>
      <c r="F104" s="345"/>
      <c r="G104" s="338"/>
    </row>
    <row r="105" spans="2:7" ht="15" customHeight="1" x14ac:dyDescent="0.3">
      <c r="B105" s="336"/>
      <c r="C105" s="650"/>
      <c r="D105" s="650"/>
      <c r="E105" s="331"/>
      <c r="F105" s="331"/>
      <c r="G105" s="338"/>
    </row>
    <row r="106" spans="2:7" ht="15" customHeight="1" x14ac:dyDescent="0.3">
      <c r="B106" s="345"/>
      <c r="C106" s="650"/>
      <c r="D106" s="650"/>
      <c r="E106" s="331"/>
      <c r="F106" s="348" t="s">
        <v>110</v>
      </c>
      <c r="G106" s="340">
        <f>SUM(G91:G105)</f>
        <v>0</v>
      </c>
    </row>
    <row r="107" spans="2:7" ht="6" customHeight="1" x14ac:dyDescent="0.3">
      <c r="B107" s="653"/>
      <c r="C107" s="654"/>
      <c r="D107" s="654"/>
      <c r="E107" s="654"/>
      <c r="F107" s="654"/>
      <c r="G107" s="655"/>
    </row>
    <row r="108" spans="2:7" ht="15" customHeight="1" x14ac:dyDescent="0.3">
      <c r="B108" s="643" t="s">
        <v>646</v>
      </c>
      <c r="C108" s="643"/>
      <c r="D108" s="643"/>
      <c r="E108" s="643"/>
      <c r="F108" s="643"/>
      <c r="G108" s="643"/>
    </row>
    <row r="109" spans="2:7" ht="15" customHeight="1" x14ac:dyDescent="0.3">
      <c r="B109" s="335" t="s">
        <v>28</v>
      </c>
      <c r="C109" s="652" t="s">
        <v>637</v>
      </c>
      <c r="D109" s="652"/>
      <c r="E109" s="335" t="s">
        <v>4</v>
      </c>
      <c r="F109" s="347" t="s">
        <v>271</v>
      </c>
      <c r="G109" s="329" t="s">
        <v>119</v>
      </c>
    </row>
    <row r="110" spans="2:7" ht="15" customHeight="1" x14ac:dyDescent="0.3">
      <c r="B110" s="336"/>
      <c r="C110" s="656"/>
      <c r="D110" s="656"/>
      <c r="E110" s="337"/>
      <c r="F110" s="331"/>
      <c r="G110" s="331"/>
    </row>
    <row r="111" spans="2:7" ht="15" customHeight="1" x14ac:dyDescent="0.3">
      <c r="B111" s="336"/>
      <c r="C111" s="656"/>
      <c r="D111" s="656"/>
      <c r="E111" s="337"/>
      <c r="F111" s="331"/>
      <c r="G111" s="331"/>
    </row>
    <row r="112" spans="2:7" ht="15" customHeight="1" x14ac:dyDescent="0.3">
      <c r="B112" s="641" t="s">
        <v>110</v>
      </c>
      <c r="C112" s="641"/>
      <c r="D112" s="641"/>
      <c r="E112" s="641"/>
      <c r="F112" s="641"/>
      <c r="G112" s="340">
        <f>SUM(G110)</f>
        <v>0</v>
      </c>
    </row>
    <row r="113" ht="12" customHeight="1" x14ac:dyDescent="0.3"/>
  </sheetData>
  <mergeCells count="53">
    <mergeCell ref="B58:B60"/>
    <mergeCell ref="B57:G57"/>
    <mergeCell ref="B88:G88"/>
    <mergeCell ref="B107:G107"/>
    <mergeCell ref="B46:G46"/>
    <mergeCell ref="E53:F53"/>
    <mergeCell ref="E52:F52"/>
    <mergeCell ref="E48:G48"/>
    <mergeCell ref="C58:F58"/>
    <mergeCell ref="C59:F59"/>
    <mergeCell ref="E54:F54"/>
    <mergeCell ref="C97:D97"/>
    <mergeCell ref="C98:D98"/>
    <mergeCell ref="C99:D99"/>
    <mergeCell ref="C100:D100"/>
    <mergeCell ref="C101:D101"/>
    <mergeCell ref="B112:F112"/>
    <mergeCell ref="C111:D111"/>
    <mergeCell ref="C109:D109"/>
    <mergeCell ref="C110:D110"/>
    <mergeCell ref="C102:D102"/>
    <mergeCell ref="C103:D103"/>
    <mergeCell ref="C104:D104"/>
    <mergeCell ref="C105:D105"/>
    <mergeCell ref="C106:D106"/>
    <mergeCell ref="B108:G108"/>
    <mergeCell ref="C96:D96"/>
    <mergeCell ref="E55:F55"/>
    <mergeCell ref="E56:G56"/>
    <mergeCell ref="B72:D72"/>
    <mergeCell ref="B87:D87"/>
    <mergeCell ref="B89:G89"/>
    <mergeCell ref="C90:D90"/>
    <mergeCell ref="B61:G61"/>
    <mergeCell ref="B74:G74"/>
    <mergeCell ref="C60:F60"/>
    <mergeCell ref="B73:G73"/>
    <mergeCell ref="C91:D91"/>
    <mergeCell ref="C92:D92"/>
    <mergeCell ref="C93:D93"/>
    <mergeCell ref="C94:D94"/>
    <mergeCell ref="C95:D95"/>
    <mergeCell ref="C7:F7"/>
    <mergeCell ref="B8:G8"/>
    <mergeCell ref="B45:E45"/>
    <mergeCell ref="B47:G47"/>
    <mergeCell ref="C1:F1"/>
    <mergeCell ref="C2:F2"/>
    <mergeCell ref="C3:F3"/>
    <mergeCell ref="C6:F6"/>
    <mergeCell ref="C5:F5"/>
    <mergeCell ref="B4:G4"/>
    <mergeCell ref="B1:B3"/>
  </mergeCells>
  <phoneticPr fontId="3" type="noConversion"/>
  <pageMargins left="0.33" right="0.25" top="0.38" bottom="0.41" header="0.22" footer="0.23"/>
  <pageSetup scale="86" fitToHeight="0"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B1FF8A-ED70-4D6D-9959-8518156D6B88}">
  <dimension ref="B1:P40"/>
  <sheetViews>
    <sheetView showGridLines="0" view="pageBreakPreview" topLeftCell="B1" zoomScale="85" zoomScaleNormal="85" zoomScaleSheetLayoutView="85" workbookViewId="0">
      <selection activeCell="C19" sqref="C19"/>
    </sheetView>
  </sheetViews>
  <sheetFormatPr baseColWidth="10" defaultColWidth="11.44140625" defaultRowHeight="13.8" x14ac:dyDescent="0.3"/>
  <cols>
    <col min="1" max="1" width="11.44140625" style="276"/>
    <col min="2" max="2" width="3.33203125" style="276" customWidth="1"/>
    <col min="3" max="3" width="27.21875" style="276" customWidth="1"/>
    <col min="4" max="16" width="15.109375" style="276" customWidth="1"/>
    <col min="17" max="16384" width="11.44140625" style="276"/>
  </cols>
  <sheetData>
    <row r="1" spans="2:16" ht="14.4" thickTop="1" x14ac:dyDescent="0.3">
      <c r="B1" s="275"/>
      <c r="C1" s="275"/>
      <c r="D1" s="663" t="s">
        <v>210</v>
      </c>
      <c r="E1" s="663"/>
      <c r="F1" s="663"/>
      <c r="G1" s="663"/>
      <c r="H1" s="663"/>
      <c r="I1" s="663"/>
      <c r="J1" s="663"/>
      <c r="K1" s="663"/>
      <c r="L1" s="663"/>
      <c r="M1" s="663"/>
      <c r="N1" s="663"/>
      <c r="O1" s="664"/>
      <c r="P1" s="665"/>
    </row>
    <row r="2" spans="2:16" x14ac:dyDescent="0.3">
      <c r="B2" s="277"/>
      <c r="C2" s="277"/>
      <c r="D2" s="663" t="s">
        <v>626</v>
      </c>
      <c r="E2" s="663"/>
      <c r="F2" s="663"/>
      <c r="G2" s="663"/>
      <c r="H2" s="663"/>
      <c r="I2" s="663"/>
      <c r="J2" s="663"/>
      <c r="K2" s="663"/>
      <c r="L2" s="663"/>
      <c r="M2" s="663"/>
      <c r="N2" s="663"/>
      <c r="O2" s="666"/>
      <c r="P2" s="667"/>
    </row>
    <row r="3" spans="2:16" x14ac:dyDescent="0.3">
      <c r="B3" s="277"/>
      <c r="C3" s="670" t="s">
        <v>608</v>
      </c>
      <c r="D3" s="671"/>
      <c r="E3" s="671"/>
      <c r="F3" s="671"/>
      <c r="G3" s="671"/>
      <c r="H3" s="671"/>
      <c r="I3" s="671"/>
      <c r="J3" s="671"/>
      <c r="K3" s="671"/>
      <c r="L3" s="671"/>
      <c r="M3" s="671"/>
      <c r="N3" s="671"/>
      <c r="O3" s="671"/>
      <c r="P3" s="672"/>
    </row>
    <row r="4" spans="2:16" x14ac:dyDescent="0.3">
      <c r="B4" s="277"/>
      <c r="C4" s="278" t="s">
        <v>0</v>
      </c>
      <c r="D4" s="296"/>
      <c r="E4" s="296"/>
      <c r="F4" s="296"/>
      <c r="G4" s="296"/>
      <c r="H4" s="296"/>
      <c r="I4" s="296"/>
      <c r="J4" s="296"/>
      <c r="K4" s="662" t="s">
        <v>13</v>
      </c>
      <c r="L4" s="662"/>
      <c r="M4" s="296"/>
      <c r="N4" s="296"/>
      <c r="O4" s="296"/>
      <c r="P4" s="279"/>
    </row>
    <row r="5" spans="2:16" x14ac:dyDescent="0.3">
      <c r="B5" s="277"/>
      <c r="C5" s="278" t="s">
        <v>627</v>
      </c>
      <c r="D5" s="296"/>
      <c r="E5" s="296"/>
      <c r="F5" s="296"/>
      <c r="G5" s="296"/>
      <c r="H5" s="296"/>
      <c r="I5" s="296"/>
      <c r="J5" s="296"/>
      <c r="K5" s="662" t="s">
        <v>609</v>
      </c>
      <c r="L5" s="662"/>
      <c r="M5" s="296"/>
      <c r="N5" s="296"/>
      <c r="O5" s="296"/>
      <c r="P5" s="279"/>
    </row>
    <row r="6" spans="2:16" x14ac:dyDescent="0.3">
      <c r="B6" s="277"/>
      <c r="C6" s="278" t="s">
        <v>610</v>
      </c>
      <c r="D6" s="668">
        <v>40695</v>
      </c>
      <c r="E6" s="669"/>
      <c r="F6" s="662" t="s">
        <v>611</v>
      </c>
      <c r="G6" s="662"/>
      <c r="H6" s="668">
        <v>41455</v>
      </c>
      <c r="I6" s="669"/>
      <c r="J6" s="669"/>
      <c r="K6" s="662" t="s">
        <v>612</v>
      </c>
      <c r="L6" s="662"/>
      <c r="M6" s="668">
        <v>40908</v>
      </c>
      <c r="N6" s="669"/>
      <c r="O6" s="669"/>
      <c r="P6" s="279"/>
    </row>
    <row r="7" spans="2:16" x14ac:dyDescent="0.3">
      <c r="B7" s="277"/>
      <c r="C7" s="280"/>
      <c r="D7" s="281"/>
      <c r="E7" s="281"/>
      <c r="F7" s="281"/>
      <c r="G7" s="281"/>
      <c r="H7" s="281"/>
      <c r="I7" s="281"/>
      <c r="J7" s="281"/>
      <c r="K7" s="281"/>
      <c r="L7" s="281"/>
      <c r="M7" s="281"/>
      <c r="N7" s="281"/>
      <c r="O7" s="281"/>
      <c r="P7" s="279"/>
    </row>
    <row r="8" spans="2:16" x14ac:dyDescent="0.3">
      <c r="B8" s="277"/>
      <c r="C8" s="282" t="s">
        <v>628</v>
      </c>
      <c r="D8" s="283" t="s">
        <v>613</v>
      </c>
      <c r="E8" s="283" t="s">
        <v>614</v>
      </c>
      <c r="F8" s="283" t="s">
        <v>615</v>
      </c>
      <c r="G8" s="283" t="s">
        <v>616</v>
      </c>
      <c r="H8" s="283" t="s">
        <v>617</v>
      </c>
      <c r="I8" s="283" t="s">
        <v>618</v>
      </c>
      <c r="J8" s="283" t="s">
        <v>619</v>
      </c>
      <c r="K8" s="283" t="s">
        <v>620</v>
      </c>
      <c r="L8" s="283" t="s">
        <v>621</v>
      </c>
      <c r="M8" s="283" t="s">
        <v>622</v>
      </c>
      <c r="N8" s="283" t="s">
        <v>623</v>
      </c>
      <c r="O8" s="283" t="s">
        <v>624</v>
      </c>
      <c r="P8" s="284" t="s">
        <v>625</v>
      </c>
    </row>
    <row r="9" spans="2:16" x14ac:dyDescent="0.3">
      <c r="B9" s="277"/>
      <c r="C9" s="278" t="s">
        <v>629</v>
      </c>
      <c r="D9" s="285">
        <v>20000</v>
      </c>
      <c r="E9" s="285">
        <v>40000</v>
      </c>
      <c r="F9" s="285">
        <v>60000</v>
      </c>
      <c r="G9" s="285">
        <v>80000</v>
      </c>
      <c r="H9" s="285">
        <v>120000</v>
      </c>
      <c r="I9" s="285">
        <v>140000</v>
      </c>
      <c r="J9" s="285">
        <v>160000</v>
      </c>
      <c r="K9" s="285"/>
      <c r="L9" s="285"/>
      <c r="M9" s="285"/>
      <c r="N9" s="285"/>
      <c r="O9" s="285"/>
      <c r="P9" s="286"/>
    </row>
    <row r="10" spans="2:16" x14ac:dyDescent="0.3">
      <c r="B10" s="277"/>
      <c r="C10" s="278" t="s">
        <v>386</v>
      </c>
      <c r="D10" s="287">
        <f>D9</f>
        <v>20000</v>
      </c>
      <c r="E10" s="287">
        <f>D10+E9</f>
        <v>60000</v>
      </c>
      <c r="F10" s="287">
        <f t="shared" ref="F10:J10" si="0">E10+F9</f>
        <v>120000</v>
      </c>
      <c r="G10" s="287">
        <f t="shared" si="0"/>
        <v>200000</v>
      </c>
      <c r="H10" s="287">
        <f t="shared" si="0"/>
        <v>320000</v>
      </c>
      <c r="I10" s="287">
        <f t="shared" si="0"/>
        <v>460000</v>
      </c>
      <c r="J10" s="287">
        <f t="shared" si="0"/>
        <v>620000</v>
      </c>
      <c r="K10" s="287"/>
      <c r="L10" s="287"/>
      <c r="M10" s="287"/>
      <c r="N10" s="287"/>
      <c r="O10" s="287"/>
      <c r="P10" s="288"/>
    </row>
    <row r="11" spans="2:16" x14ac:dyDescent="0.3">
      <c r="B11" s="277"/>
      <c r="C11" s="278" t="s">
        <v>630</v>
      </c>
      <c r="D11" s="285">
        <v>20000</v>
      </c>
      <c r="E11" s="285">
        <v>30000</v>
      </c>
      <c r="F11" s="285">
        <v>40000</v>
      </c>
      <c r="G11" s="285">
        <v>70000</v>
      </c>
      <c r="H11" s="285">
        <v>50000</v>
      </c>
      <c r="I11" s="285">
        <v>100000</v>
      </c>
      <c r="J11" s="285">
        <v>120000</v>
      </c>
      <c r="K11" s="285"/>
      <c r="L11" s="285"/>
      <c r="M11" s="285"/>
      <c r="N11" s="285"/>
      <c r="O11" s="285"/>
      <c r="P11" s="286"/>
    </row>
    <row r="12" spans="2:16" x14ac:dyDescent="0.3">
      <c r="B12" s="277"/>
      <c r="C12" s="278" t="s">
        <v>387</v>
      </c>
      <c r="D12" s="287">
        <f>D11</f>
        <v>20000</v>
      </c>
      <c r="E12" s="287">
        <f>D12+E11</f>
        <v>50000</v>
      </c>
      <c r="F12" s="287">
        <f t="shared" ref="F12:J12" si="1">E12+F11</f>
        <v>90000</v>
      </c>
      <c r="G12" s="287">
        <f t="shared" si="1"/>
        <v>160000</v>
      </c>
      <c r="H12" s="287">
        <f t="shared" si="1"/>
        <v>210000</v>
      </c>
      <c r="I12" s="287">
        <f t="shared" si="1"/>
        <v>310000</v>
      </c>
      <c r="J12" s="287">
        <f t="shared" si="1"/>
        <v>430000</v>
      </c>
      <c r="K12" s="287"/>
      <c r="L12" s="287"/>
      <c r="M12" s="287"/>
      <c r="N12" s="287"/>
      <c r="O12" s="287"/>
      <c r="P12" s="288"/>
    </row>
    <row r="13" spans="2:16" x14ac:dyDescent="0.3">
      <c r="B13" s="277"/>
      <c r="C13" s="278" t="s">
        <v>631</v>
      </c>
      <c r="D13" s="285">
        <v>20000</v>
      </c>
      <c r="E13" s="285">
        <v>30000</v>
      </c>
      <c r="F13" s="285">
        <v>50000</v>
      </c>
      <c r="G13" s="285">
        <v>75000</v>
      </c>
      <c r="H13" s="285">
        <v>50000</v>
      </c>
      <c r="I13" s="285">
        <v>110000</v>
      </c>
      <c r="J13" s="285">
        <v>130000</v>
      </c>
      <c r="K13" s="285"/>
      <c r="L13" s="285"/>
      <c r="M13" s="285"/>
      <c r="N13" s="285"/>
      <c r="O13" s="285"/>
      <c r="P13" s="286"/>
    </row>
    <row r="14" spans="2:16" x14ac:dyDescent="0.3">
      <c r="B14" s="277"/>
      <c r="C14" s="278" t="s">
        <v>388</v>
      </c>
      <c r="D14" s="287">
        <f>D13</f>
        <v>20000</v>
      </c>
      <c r="E14" s="287">
        <f>D14+E13</f>
        <v>50000</v>
      </c>
      <c r="F14" s="287">
        <f t="shared" ref="F14:J14" si="2">E14+F13</f>
        <v>100000</v>
      </c>
      <c r="G14" s="287">
        <f t="shared" si="2"/>
        <v>175000</v>
      </c>
      <c r="H14" s="287">
        <f t="shared" si="2"/>
        <v>225000</v>
      </c>
      <c r="I14" s="287">
        <f t="shared" si="2"/>
        <v>335000</v>
      </c>
      <c r="J14" s="287">
        <f t="shared" si="2"/>
        <v>465000</v>
      </c>
      <c r="K14" s="287"/>
      <c r="L14" s="287"/>
      <c r="M14" s="287"/>
      <c r="N14" s="287"/>
      <c r="O14" s="287"/>
      <c r="P14" s="288"/>
    </row>
    <row r="15" spans="2:16" x14ac:dyDescent="0.3">
      <c r="B15" s="277"/>
      <c r="C15" s="277"/>
      <c r="D15" s="289"/>
      <c r="E15" s="289"/>
      <c r="F15" s="289"/>
      <c r="G15" s="289"/>
      <c r="H15" s="289"/>
      <c r="I15" s="289"/>
      <c r="J15" s="289"/>
      <c r="K15" s="289"/>
      <c r="L15" s="289"/>
      <c r="M15" s="289"/>
      <c r="N15" s="289"/>
      <c r="O15" s="289"/>
      <c r="P15" s="279"/>
    </row>
    <row r="16" spans="2:16" x14ac:dyDescent="0.3">
      <c r="B16" s="277"/>
      <c r="C16" s="277"/>
      <c r="D16" s="289"/>
      <c r="E16" s="289"/>
      <c r="F16" s="289"/>
      <c r="G16" s="289"/>
      <c r="H16" s="289"/>
      <c r="I16" s="289"/>
      <c r="J16" s="289"/>
      <c r="K16" s="289"/>
      <c r="L16" s="289"/>
      <c r="M16" s="289"/>
      <c r="N16" s="289"/>
      <c r="O16" s="289"/>
      <c r="P16" s="279"/>
    </row>
    <row r="17" spans="2:16" x14ac:dyDescent="0.3">
      <c r="B17" s="277"/>
      <c r="C17" s="290"/>
      <c r="D17" s="291"/>
      <c r="E17" s="292"/>
      <c r="F17" s="289"/>
      <c r="G17" s="289"/>
      <c r="H17" s="289"/>
      <c r="I17" s="289"/>
      <c r="J17" s="289"/>
      <c r="K17" s="289"/>
      <c r="L17" s="289"/>
      <c r="M17" s="289"/>
      <c r="N17" s="289"/>
      <c r="O17" s="289"/>
      <c r="P17" s="279"/>
    </row>
    <row r="18" spans="2:16" x14ac:dyDescent="0.3">
      <c r="B18" s="277"/>
      <c r="C18" s="277"/>
      <c r="D18" s="289"/>
      <c r="E18" s="289"/>
      <c r="F18" s="289"/>
      <c r="G18" s="289"/>
      <c r="H18" s="289"/>
      <c r="I18" s="289"/>
      <c r="J18" s="289"/>
      <c r="K18" s="289"/>
      <c r="L18" s="289"/>
      <c r="M18" s="289"/>
      <c r="N18" s="289"/>
      <c r="O18" s="289"/>
      <c r="P18" s="279"/>
    </row>
    <row r="19" spans="2:16" x14ac:dyDescent="0.3">
      <c r="B19" s="277"/>
      <c r="C19" s="277"/>
      <c r="D19" s="289"/>
      <c r="E19" s="289"/>
      <c r="F19" s="289"/>
      <c r="G19" s="289"/>
      <c r="H19" s="289"/>
      <c r="I19" s="289"/>
      <c r="J19" s="289"/>
      <c r="K19" s="289"/>
      <c r="L19" s="289"/>
      <c r="M19" s="289"/>
      <c r="N19" s="289"/>
      <c r="O19" s="289"/>
      <c r="P19" s="279"/>
    </row>
    <row r="20" spans="2:16" x14ac:dyDescent="0.3">
      <c r="B20" s="277"/>
      <c r="C20" s="277"/>
      <c r="D20" s="289"/>
      <c r="E20" s="289"/>
      <c r="F20" s="289"/>
      <c r="G20" s="289"/>
      <c r="H20" s="289"/>
      <c r="I20" s="289"/>
      <c r="J20" s="289"/>
      <c r="K20" s="289"/>
      <c r="L20" s="289"/>
      <c r="M20" s="289"/>
      <c r="N20" s="289"/>
      <c r="O20" s="289"/>
      <c r="P20" s="279"/>
    </row>
    <row r="21" spans="2:16" x14ac:dyDescent="0.3">
      <c r="B21" s="277"/>
      <c r="C21" s="277"/>
      <c r="D21" s="289"/>
      <c r="E21" s="289"/>
      <c r="F21" s="289"/>
      <c r="G21" s="289"/>
      <c r="H21" s="289"/>
      <c r="I21" s="289"/>
      <c r="J21" s="289"/>
      <c r="K21" s="289"/>
      <c r="L21" s="289"/>
      <c r="M21" s="289"/>
      <c r="N21" s="289"/>
      <c r="O21" s="289"/>
      <c r="P21" s="279"/>
    </row>
    <row r="22" spans="2:16" x14ac:dyDescent="0.3">
      <c r="B22" s="277"/>
      <c r="C22" s="277"/>
      <c r="D22" s="289"/>
      <c r="E22" s="289"/>
      <c r="F22" s="289"/>
      <c r="G22" s="289"/>
      <c r="H22" s="289"/>
      <c r="I22" s="289"/>
      <c r="J22" s="289"/>
      <c r="K22" s="289"/>
      <c r="L22" s="289"/>
      <c r="M22" s="289"/>
      <c r="N22" s="289"/>
      <c r="O22" s="289"/>
      <c r="P22" s="279"/>
    </row>
    <row r="23" spans="2:16" x14ac:dyDescent="0.3">
      <c r="B23" s="277"/>
      <c r="C23" s="277"/>
      <c r="D23" s="289"/>
      <c r="E23" s="289"/>
      <c r="F23" s="289"/>
      <c r="G23" s="289"/>
      <c r="H23" s="289"/>
      <c r="I23" s="289"/>
      <c r="J23" s="289"/>
      <c r="K23" s="289"/>
      <c r="L23" s="289"/>
      <c r="M23" s="289"/>
      <c r="N23" s="289"/>
      <c r="O23" s="289"/>
      <c r="P23" s="279"/>
    </row>
    <row r="24" spans="2:16" x14ac:dyDescent="0.3">
      <c r="B24" s="277"/>
      <c r="C24" s="277"/>
      <c r="D24" s="289"/>
      <c r="E24" s="289"/>
      <c r="F24" s="289"/>
      <c r="G24" s="289"/>
      <c r="H24" s="289"/>
      <c r="I24" s="289"/>
      <c r="J24" s="289"/>
      <c r="K24" s="289"/>
      <c r="L24" s="289"/>
      <c r="M24" s="289"/>
      <c r="N24" s="289"/>
      <c r="O24" s="289"/>
      <c r="P24" s="279"/>
    </row>
    <row r="25" spans="2:16" x14ac:dyDescent="0.3">
      <c r="B25" s="277"/>
      <c r="C25" s="277"/>
      <c r="D25" s="289"/>
      <c r="E25" s="289"/>
      <c r="F25" s="289"/>
      <c r="G25" s="289"/>
      <c r="H25" s="289"/>
      <c r="I25" s="289"/>
      <c r="J25" s="289"/>
      <c r="K25" s="289"/>
      <c r="L25" s="289"/>
      <c r="M25" s="289"/>
      <c r="N25" s="289"/>
      <c r="O25" s="289"/>
      <c r="P25" s="279"/>
    </row>
    <row r="26" spans="2:16" x14ac:dyDescent="0.3">
      <c r="B26" s="277"/>
      <c r="C26" s="277"/>
      <c r="D26" s="289"/>
      <c r="E26" s="289"/>
      <c r="F26" s="289"/>
      <c r="G26" s="289"/>
      <c r="H26" s="289"/>
      <c r="I26" s="289"/>
      <c r="J26" s="289"/>
      <c r="K26" s="289"/>
      <c r="L26" s="289"/>
      <c r="M26" s="289"/>
      <c r="N26" s="289"/>
      <c r="O26" s="289"/>
      <c r="P26" s="279"/>
    </row>
    <row r="27" spans="2:16" x14ac:dyDescent="0.3">
      <c r="B27" s="277"/>
      <c r="C27" s="277"/>
      <c r="D27" s="289"/>
      <c r="E27" s="289"/>
      <c r="F27" s="289"/>
      <c r="G27" s="289"/>
      <c r="H27" s="289"/>
      <c r="I27" s="289"/>
      <c r="J27" s="289"/>
      <c r="K27" s="289"/>
      <c r="L27" s="289"/>
      <c r="M27" s="289"/>
      <c r="N27" s="289"/>
      <c r="O27" s="289"/>
      <c r="P27" s="279"/>
    </row>
    <row r="28" spans="2:16" x14ac:dyDescent="0.3">
      <c r="B28" s="277"/>
      <c r="C28" s="277"/>
      <c r="D28" s="289"/>
      <c r="E28" s="289"/>
      <c r="F28" s="289"/>
      <c r="G28" s="289"/>
      <c r="H28" s="289"/>
      <c r="I28" s="289"/>
      <c r="J28" s="289"/>
      <c r="K28" s="289"/>
      <c r="L28" s="289"/>
      <c r="M28" s="289"/>
      <c r="N28" s="289"/>
      <c r="O28" s="289"/>
      <c r="P28" s="279"/>
    </row>
    <row r="29" spans="2:16" x14ac:dyDescent="0.3">
      <c r="B29" s="277"/>
      <c r="C29" s="277"/>
      <c r="D29" s="289"/>
      <c r="E29" s="289"/>
      <c r="F29" s="289"/>
      <c r="G29" s="289"/>
      <c r="H29" s="289"/>
      <c r="I29" s="289"/>
      <c r="J29" s="289"/>
      <c r="K29" s="289"/>
      <c r="L29" s="289"/>
      <c r="M29" s="289"/>
      <c r="N29" s="289"/>
      <c r="O29" s="289"/>
      <c r="P29" s="279"/>
    </row>
    <row r="30" spans="2:16" x14ac:dyDescent="0.3">
      <c r="B30" s="277"/>
      <c r="C30" s="277"/>
      <c r="D30" s="289"/>
      <c r="E30" s="289"/>
      <c r="F30" s="289"/>
      <c r="G30" s="289"/>
      <c r="H30" s="289"/>
      <c r="I30" s="289"/>
      <c r="J30" s="289"/>
      <c r="K30" s="289"/>
      <c r="L30" s="289"/>
      <c r="M30" s="289"/>
      <c r="N30" s="289"/>
      <c r="O30" s="289"/>
      <c r="P30" s="279"/>
    </row>
    <row r="31" spans="2:16" x14ac:dyDescent="0.3">
      <c r="B31" s="277"/>
      <c r="C31" s="277"/>
      <c r="D31" s="289"/>
      <c r="E31" s="289"/>
      <c r="F31" s="289"/>
      <c r="G31" s="289"/>
      <c r="H31" s="289"/>
      <c r="I31" s="289"/>
      <c r="J31" s="289"/>
      <c r="K31" s="289"/>
      <c r="L31" s="289"/>
      <c r="M31" s="289"/>
      <c r="N31" s="289"/>
      <c r="O31" s="289"/>
      <c r="P31" s="279"/>
    </row>
    <row r="32" spans="2:16" x14ac:dyDescent="0.3">
      <c r="B32" s="277"/>
      <c r="C32" s="277"/>
      <c r="D32" s="289"/>
      <c r="E32" s="289"/>
      <c r="F32" s="289"/>
      <c r="G32" s="289"/>
      <c r="H32" s="289"/>
      <c r="I32" s="289"/>
      <c r="J32" s="289"/>
      <c r="K32" s="289"/>
      <c r="L32" s="289"/>
      <c r="M32" s="289"/>
      <c r="N32" s="289"/>
      <c r="O32" s="289"/>
      <c r="P32" s="279"/>
    </row>
    <row r="33" spans="2:16" x14ac:dyDescent="0.3">
      <c r="B33" s="277"/>
      <c r="C33" s="277"/>
      <c r="D33" s="289"/>
      <c r="E33" s="289"/>
      <c r="F33" s="289"/>
      <c r="G33" s="289"/>
      <c r="H33" s="289"/>
      <c r="I33" s="289"/>
      <c r="J33" s="289"/>
      <c r="K33" s="289"/>
      <c r="L33" s="289"/>
      <c r="M33" s="289"/>
      <c r="N33" s="289"/>
      <c r="O33" s="289"/>
      <c r="P33" s="279"/>
    </row>
    <row r="34" spans="2:16" x14ac:dyDescent="0.3">
      <c r="B34" s="277"/>
      <c r="C34" s="277"/>
      <c r="D34" s="289"/>
      <c r="E34" s="289"/>
      <c r="F34" s="289"/>
      <c r="G34" s="289"/>
      <c r="H34" s="289"/>
      <c r="I34" s="289"/>
      <c r="J34" s="289"/>
      <c r="K34" s="289"/>
      <c r="L34" s="289"/>
      <c r="M34" s="289"/>
      <c r="N34" s="289"/>
      <c r="O34" s="289"/>
      <c r="P34" s="279"/>
    </row>
    <row r="35" spans="2:16" x14ac:dyDescent="0.3">
      <c r="B35" s="277"/>
      <c r="C35" s="277"/>
      <c r="D35" s="289"/>
      <c r="E35" s="289"/>
      <c r="F35" s="289"/>
      <c r="G35" s="289"/>
      <c r="H35" s="289"/>
      <c r="I35" s="289"/>
      <c r="J35" s="289"/>
      <c r="K35" s="289"/>
      <c r="L35" s="289"/>
      <c r="M35" s="289"/>
      <c r="N35" s="289"/>
      <c r="O35" s="289"/>
      <c r="P35" s="279"/>
    </row>
    <row r="36" spans="2:16" x14ac:dyDescent="0.3">
      <c r="B36" s="277"/>
      <c r="C36" s="277"/>
      <c r="D36" s="289"/>
      <c r="E36" s="289"/>
      <c r="F36" s="289"/>
      <c r="G36" s="289"/>
      <c r="H36" s="289"/>
      <c r="I36" s="289"/>
      <c r="J36" s="289"/>
      <c r="K36" s="289"/>
      <c r="L36" s="289"/>
      <c r="M36" s="289"/>
      <c r="N36" s="289"/>
      <c r="O36" s="289"/>
      <c r="P36" s="279"/>
    </row>
    <row r="37" spans="2:16" x14ac:dyDescent="0.3">
      <c r="B37" s="277"/>
      <c r="C37" s="277"/>
      <c r="D37" s="289"/>
      <c r="E37" s="289"/>
      <c r="F37" s="289"/>
      <c r="G37" s="289"/>
      <c r="H37" s="289"/>
      <c r="I37" s="289"/>
      <c r="J37" s="289"/>
      <c r="K37" s="289"/>
      <c r="L37" s="289"/>
      <c r="M37" s="289"/>
      <c r="N37" s="289"/>
      <c r="O37" s="289"/>
      <c r="P37" s="279"/>
    </row>
    <row r="38" spans="2:16" x14ac:dyDescent="0.3">
      <c r="B38" s="277"/>
      <c r="C38" s="277"/>
      <c r="D38" s="289"/>
      <c r="E38" s="289"/>
      <c r="F38" s="289"/>
      <c r="G38" s="289"/>
      <c r="H38" s="289"/>
      <c r="I38" s="289"/>
      <c r="J38" s="289"/>
      <c r="K38" s="289"/>
      <c r="L38" s="289"/>
      <c r="M38" s="289"/>
      <c r="N38" s="289"/>
      <c r="O38" s="289"/>
      <c r="P38" s="279"/>
    </row>
    <row r="39" spans="2:16" ht="14.4" thickBot="1" x14ac:dyDescent="0.35">
      <c r="B39" s="293"/>
      <c r="C39" s="293"/>
      <c r="D39" s="294"/>
      <c r="E39" s="294"/>
      <c r="F39" s="294"/>
      <c r="G39" s="294"/>
      <c r="H39" s="294"/>
      <c r="I39" s="294"/>
      <c r="J39" s="294"/>
      <c r="K39" s="294"/>
      <c r="L39" s="294"/>
      <c r="M39" s="294"/>
      <c r="N39" s="294"/>
      <c r="O39" s="294"/>
      <c r="P39" s="295"/>
    </row>
    <row r="40" spans="2:16" ht="14.4" thickTop="1" x14ac:dyDescent="0.3"/>
  </sheetData>
  <mergeCells count="11">
    <mergeCell ref="K5:L5"/>
    <mergeCell ref="D1:N1"/>
    <mergeCell ref="D2:N2"/>
    <mergeCell ref="O1:P2"/>
    <mergeCell ref="D6:E6"/>
    <mergeCell ref="F6:G6"/>
    <mergeCell ref="H6:J6"/>
    <mergeCell ref="K6:L6"/>
    <mergeCell ref="M6:O6"/>
    <mergeCell ref="C3:P3"/>
    <mergeCell ref="K4:L4"/>
  </mergeCells>
  <pageMargins left="0.7" right="0.7" top="0.75" bottom="0.75" header="0.3" footer="0.3"/>
  <pageSetup scale="32" orientation="portrait" r:id="rId1"/>
  <drawing r:id="rId2"/>
  <tableParts count="1">
    <tablePart r:id="rId3"/>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70382D-C6F4-4FCB-A73B-C369186503F5}">
  <sheetPr>
    <tabColor theme="0"/>
    <pageSetUpPr fitToPage="1"/>
  </sheetPr>
  <dimension ref="A1:AD27"/>
  <sheetViews>
    <sheetView view="pageBreakPreview" topLeftCell="A4" zoomScale="90" zoomScaleNormal="85" zoomScaleSheetLayoutView="90" workbookViewId="0">
      <selection activeCell="D18" sqref="D18"/>
    </sheetView>
  </sheetViews>
  <sheetFormatPr baseColWidth="10" defaultColWidth="11.88671875" defaultRowHeight="8.4" customHeight="1" x14ac:dyDescent="0.25"/>
  <cols>
    <col min="1" max="1" width="7.6640625" style="71" customWidth="1"/>
    <col min="2" max="2" width="7.6640625" style="72" customWidth="1"/>
    <col min="3" max="3" width="11.77734375" style="63" customWidth="1"/>
    <col min="4" max="4" width="19.5546875" style="71" customWidth="1"/>
    <col min="5" max="7" width="7.88671875" style="73" customWidth="1"/>
    <col min="8" max="10" width="7.88671875" style="74" customWidth="1"/>
    <col min="11" max="13" width="7.88671875" style="75" customWidth="1"/>
    <col min="14" max="14" width="8.44140625" style="75" customWidth="1"/>
    <col min="15" max="16" width="7.88671875" style="75" customWidth="1"/>
    <col min="17" max="17" width="8.6640625" style="72" customWidth="1"/>
    <col min="18" max="18" width="5.88671875" style="72" customWidth="1"/>
    <col min="19" max="19" width="6.5546875" style="72" customWidth="1"/>
    <col min="20" max="20" width="1.33203125" style="72" customWidth="1"/>
    <col min="21" max="21" width="6.5546875" style="63" customWidth="1"/>
    <col min="22" max="27" width="5.33203125" style="63" customWidth="1"/>
    <col min="28" max="28" width="9.6640625" style="63" customWidth="1"/>
    <col min="29" max="29" width="9.6640625" style="76" customWidth="1"/>
    <col min="30" max="30" width="9.6640625" style="77" customWidth="1"/>
    <col min="31" max="16384" width="11.88671875" style="63"/>
  </cols>
  <sheetData>
    <row r="1" spans="1:30" ht="12" customHeight="1" x14ac:dyDescent="0.25">
      <c r="C1" s="78"/>
      <c r="D1" s="78"/>
      <c r="E1" s="79"/>
      <c r="F1" s="79"/>
      <c r="G1" s="79"/>
      <c r="H1" s="79"/>
      <c r="I1" s="79"/>
      <c r="J1" s="79"/>
      <c r="K1" s="79"/>
      <c r="L1" s="79"/>
      <c r="M1" s="79"/>
      <c r="N1" s="79"/>
      <c r="O1" s="79"/>
      <c r="P1" s="79"/>
      <c r="Q1" s="79"/>
      <c r="R1" s="79"/>
      <c r="S1" s="79"/>
      <c r="T1" s="79"/>
      <c r="U1" s="79"/>
      <c r="V1" s="79"/>
      <c r="W1" s="79"/>
      <c r="X1" s="79"/>
      <c r="Y1" s="79"/>
      <c r="Z1" s="79"/>
      <c r="AA1" s="79"/>
      <c r="AB1" s="79"/>
      <c r="AC1" s="80"/>
      <c r="AD1" s="79"/>
    </row>
    <row r="2" spans="1:30" ht="18.600000000000001" customHeight="1" x14ac:dyDescent="0.25">
      <c r="A2" s="527"/>
      <c r="B2" s="528"/>
      <c r="C2" s="675" t="s">
        <v>210</v>
      </c>
      <c r="D2" s="675"/>
      <c r="E2" s="675"/>
      <c r="F2" s="675"/>
      <c r="G2" s="675"/>
      <c r="H2" s="675"/>
      <c r="I2" s="675"/>
      <c r="J2" s="675"/>
      <c r="K2" s="675"/>
      <c r="L2" s="675"/>
      <c r="M2" s="675"/>
      <c r="N2" s="675"/>
      <c r="O2" s="675"/>
      <c r="P2" s="675"/>
      <c r="Q2" s="675"/>
      <c r="R2" s="675"/>
      <c r="S2" s="675"/>
      <c r="T2" s="81"/>
      <c r="U2" s="535"/>
      <c r="V2" s="535"/>
      <c r="W2" s="535"/>
      <c r="X2" s="535"/>
      <c r="Y2" s="535"/>
      <c r="Z2" s="535"/>
      <c r="AA2" s="535"/>
      <c r="AB2" s="535"/>
      <c r="AC2" s="535"/>
      <c r="AD2" s="536"/>
    </row>
    <row r="3" spans="1:30" ht="18.600000000000001" customHeight="1" x14ac:dyDescent="0.25">
      <c r="A3" s="529"/>
      <c r="B3" s="683"/>
      <c r="C3" s="675" t="s">
        <v>286</v>
      </c>
      <c r="D3" s="675"/>
      <c r="E3" s="675"/>
      <c r="F3" s="675"/>
      <c r="G3" s="675"/>
      <c r="H3" s="675"/>
      <c r="I3" s="675"/>
      <c r="J3" s="675"/>
      <c r="K3" s="675"/>
      <c r="L3" s="675"/>
      <c r="M3" s="675"/>
      <c r="N3" s="675"/>
      <c r="O3" s="675"/>
      <c r="P3" s="675"/>
      <c r="Q3" s="675"/>
      <c r="R3" s="675"/>
      <c r="S3" s="675"/>
      <c r="T3" s="129"/>
      <c r="U3" s="537"/>
      <c r="V3" s="537"/>
      <c r="W3" s="537"/>
      <c r="X3" s="537"/>
      <c r="Y3" s="537"/>
      <c r="Z3" s="537"/>
      <c r="AA3" s="537"/>
      <c r="AB3" s="537"/>
      <c r="AC3" s="537"/>
      <c r="AD3" s="538"/>
    </row>
    <row r="4" spans="1:30" ht="12" customHeight="1" x14ac:dyDescent="0.25">
      <c r="A4" s="529"/>
      <c r="B4" s="683"/>
      <c r="C4" s="161" t="s">
        <v>0</v>
      </c>
      <c r="D4" s="511" t="s">
        <v>240</v>
      </c>
      <c r="E4" s="511"/>
      <c r="F4" s="511"/>
      <c r="G4" s="511"/>
      <c r="H4" s="511"/>
      <c r="I4" s="511"/>
      <c r="J4" s="511"/>
      <c r="K4" s="511"/>
      <c r="L4" s="511"/>
      <c r="M4" s="511"/>
      <c r="N4" s="539" t="s">
        <v>211</v>
      </c>
      <c r="O4" s="539"/>
      <c r="P4" s="539" t="s">
        <v>212</v>
      </c>
      <c r="Q4" s="539"/>
      <c r="R4" s="539" t="s">
        <v>213</v>
      </c>
      <c r="S4" s="539"/>
      <c r="T4" s="81"/>
      <c r="U4" s="535"/>
      <c r="V4" s="535"/>
      <c r="W4" s="535"/>
      <c r="X4" s="535"/>
      <c r="Y4" s="535"/>
      <c r="Z4" s="535"/>
      <c r="AA4" s="535"/>
      <c r="AB4" s="535"/>
      <c r="AC4" s="535"/>
      <c r="AD4" s="536"/>
    </row>
    <row r="5" spans="1:30" ht="12" customHeight="1" x14ac:dyDescent="0.25">
      <c r="A5" s="529"/>
      <c r="B5" s="683"/>
      <c r="C5" s="161" t="s">
        <v>1</v>
      </c>
      <c r="D5" s="511" t="s">
        <v>241</v>
      </c>
      <c r="E5" s="511"/>
      <c r="F5" s="511"/>
      <c r="G5" s="511"/>
      <c r="H5" s="511"/>
      <c r="I5" s="511"/>
      <c r="J5" s="511"/>
      <c r="K5" s="511"/>
      <c r="L5" s="511"/>
      <c r="M5" s="511"/>
      <c r="N5" s="539"/>
      <c r="O5" s="539"/>
      <c r="P5" s="539"/>
      <c r="Q5" s="539"/>
      <c r="R5" s="539"/>
      <c r="S5" s="539"/>
      <c r="T5" s="64"/>
      <c r="U5" s="674"/>
      <c r="V5" s="674"/>
      <c r="W5" s="674"/>
      <c r="X5" s="674"/>
      <c r="Y5" s="674"/>
      <c r="Z5" s="674"/>
      <c r="AA5" s="674"/>
      <c r="AB5" s="674"/>
      <c r="AC5" s="674"/>
      <c r="AD5" s="540"/>
    </row>
    <row r="6" spans="1:30" ht="19.2" customHeight="1" x14ac:dyDescent="0.25">
      <c r="A6" s="531"/>
      <c r="B6" s="684"/>
      <c r="C6" s="161" t="s">
        <v>13</v>
      </c>
      <c r="D6" s="675"/>
      <c r="E6" s="675"/>
      <c r="F6" s="675"/>
      <c r="G6" s="675"/>
      <c r="H6" s="675"/>
      <c r="I6" s="675"/>
      <c r="J6" s="675"/>
      <c r="K6" s="675"/>
      <c r="L6" s="675"/>
      <c r="M6" s="675"/>
      <c r="N6" s="676">
        <v>1</v>
      </c>
      <c r="O6" s="676"/>
      <c r="P6" s="677">
        <v>46185</v>
      </c>
      <c r="Q6" s="677"/>
      <c r="R6" s="677">
        <v>46205.208333333336</v>
      </c>
      <c r="S6" s="677"/>
      <c r="T6" s="64"/>
      <c r="U6" s="537"/>
      <c r="V6" s="537"/>
      <c r="W6" s="537"/>
      <c r="X6" s="537"/>
      <c r="Y6" s="537"/>
      <c r="Z6" s="537"/>
      <c r="AA6" s="537"/>
      <c r="AB6" s="537"/>
      <c r="AC6" s="537"/>
      <c r="AD6" s="538"/>
    </row>
    <row r="7" spans="1:30" ht="17.399999999999999" customHeight="1" thickBot="1" x14ac:dyDescent="0.3">
      <c r="A7" s="130"/>
      <c r="B7" s="681"/>
      <c r="C7" s="681"/>
      <c r="D7" s="682"/>
      <c r="E7" s="678" t="s">
        <v>214</v>
      </c>
      <c r="F7" s="678"/>
      <c r="G7" s="678"/>
      <c r="H7" s="678"/>
      <c r="I7" s="678"/>
      <c r="J7" s="678"/>
      <c r="K7" s="679" t="s">
        <v>215</v>
      </c>
      <c r="L7" s="680"/>
      <c r="M7" s="680"/>
      <c r="N7" s="680"/>
      <c r="O7" s="680"/>
      <c r="P7" s="680"/>
      <c r="Q7" s="678" t="s">
        <v>216</v>
      </c>
      <c r="R7" s="678"/>
      <c r="S7" s="678"/>
      <c r="T7" s="135"/>
      <c r="U7" s="504">
        <f>+N6</f>
        <v>1</v>
      </c>
      <c r="V7" s="504"/>
      <c r="W7" s="504"/>
      <c r="X7" s="504"/>
      <c r="Y7" s="504"/>
      <c r="Z7" s="504"/>
      <c r="AA7" s="504"/>
      <c r="AB7" s="496" t="s">
        <v>217</v>
      </c>
      <c r="AC7" s="498" t="s">
        <v>218</v>
      </c>
      <c r="AD7" s="500" t="s">
        <v>219</v>
      </c>
    </row>
    <row r="8" spans="1:30" s="66" customFormat="1" ht="37.799999999999997" customHeight="1" thickBot="1" x14ac:dyDescent="0.35">
      <c r="A8" s="82" t="s">
        <v>220</v>
      </c>
      <c r="B8" s="143" t="s">
        <v>221</v>
      </c>
      <c r="C8" s="144" t="s">
        <v>2</v>
      </c>
      <c r="D8" s="145" t="s">
        <v>222</v>
      </c>
      <c r="E8" s="146" t="s">
        <v>271</v>
      </c>
      <c r="F8" s="146" t="s">
        <v>603</v>
      </c>
      <c r="G8" s="146" t="s">
        <v>19</v>
      </c>
      <c r="H8" s="146" t="s">
        <v>607</v>
      </c>
      <c r="I8" s="83" t="s">
        <v>223</v>
      </c>
      <c r="J8" s="83" t="s">
        <v>391</v>
      </c>
      <c r="K8" s="84" t="s">
        <v>22</v>
      </c>
      <c r="L8" s="84" t="s">
        <v>331</v>
      </c>
      <c r="M8" s="84" t="s">
        <v>32</v>
      </c>
      <c r="N8" s="84" t="s">
        <v>602</v>
      </c>
      <c r="O8" s="84" t="s">
        <v>392</v>
      </c>
      <c r="P8" s="147" t="s">
        <v>225</v>
      </c>
      <c r="Q8" s="148" t="s">
        <v>242</v>
      </c>
      <c r="R8" s="149" t="s">
        <v>226</v>
      </c>
      <c r="S8" s="150" t="s">
        <v>227</v>
      </c>
      <c r="T8" s="68"/>
      <c r="U8" s="151">
        <f t="shared" ref="U8:AA8" si="0">U9</f>
        <v>46185</v>
      </c>
      <c r="V8" s="151">
        <f t="shared" si="0"/>
        <v>46186</v>
      </c>
      <c r="W8" s="151">
        <f t="shared" si="0"/>
        <v>46187</v>
      </c>
      <c r="X8" s="151">
        <f t="shared" si="0"/>
        <v>46188</v>
      </c>
      <c r="Y8" s="151">
        <f t="shared" si="0"/>
        <v>46189</v>
      </c>
      <c r="Z8" s="151">
        <f t="shared" si="0"/>
        <v>46190</v>
      </c>
      <c r="AA8" s="151">
        <f t="shared" si="0"/>
        <v>46191</v>
      </c>
      <c r="AB8" s="497"/>
      <c r="AC8" s="498"/>
      <c r="AD8" s="500"/>
    </row>
    <row r="9" spans="1:30" s="66" customFormat="1" ht="42" customHeight="1" x14ac:dyDescent="0.3">
      <c r="A9" s="136"/>
      <c r="B9" s="152"/>
      <c r="C9" s="153">
        <v>1</v>
      </c>
      <c r="D9" s="163" t="s">
        <v>243</v>
      </c>
      <c r="E9" s="673"/>
      <c r="F9" s="502"/>
      <c r="G9" s="502"/>
      <c r="H9" s="503"/>
      <c r="I9" s="166"/>
      <c r="J9" s="173">
        <f>IFERROR(O9/K9,0)</f>
        <v>0.15</v>
      </c>
      <c r="K9" s="166">
        <f t="shared" ref="K9:O9" si="1">K10+K19</f>
        <v>2400</v>
      </c>
      <c r="L9" s="166">
        <f t="shared" si="1"/>
        <v>1590</v>
      </c>
      <c r="M9" s="166">
        <f t="shared" si="1"/>
        <v>810</v>
      </c>
      <c r="N9" s="166"/>
      <c r="O9" s="166">
        <f t="shared" si="1"/>
        <v>360</v>
      </c>
      <c r="P9" s="166">
        <f>IFERROR(O9/L9,0)</f>
        <v>0.22641509433962265</v>
      </c>
      <c r="Q9" s="164"/>
      <c r="R9" s="164"/>
      <c r="S9" s="165"/>
      <c r="T9" s="154"/>
      <c r="U9" s="155">
        <f>+P6</f>
        <v>46185</v>
      </c>
      <c r="V9" s="155">
        <f t="shared" ref="V9:AA9" si="2">U9+1</f>
        <v>46186</v>
      </c>
      <c r="W9" s="155">
        <f t="shared" si="2"/>
        <v>46187</v>
      </c>
      <c r="X9" s="155">
        <f t="shared" si="2"/>
        <v>46188</v>
      </c>
      <c r="Y9" s="155">
        <f t="shared" si="2"/>
        <v>46189</v>
      </c>
      <c r="Z9" s="155">
        <f t="shared" si="2"/>
        <v>46190</v>
      </c>
      <c r="AA9" s="155">
        <f t="shared" si="2"/>
        <v>46191</v>
      </c>
      <c r="AB9" s="156">
        <f>SUM(AB11:AB27)</f>
        <v>0</v>
      </c>
      <c r="AC9" s="162">
        <f>SUM(AC10:AC27)</f>
        <v>0</v>
      </c>
      <c r="AD9" s="157">
        <f>SUM(AD10:AD27)</f>
        <v>0</v>
      </c>
    </row>
    <row r="10" spans="1:30" s="66" customFormat="1" ht="12" customHeight="1" collapsed="1" x14ac:dyDescent="0.3">
      <c r="A10" s="137"/>
      <c r="B10" s="86"/>
      <c r="C10" s="87" t="s">
        <v>228</v>
      </c>
      <c r="D10" s="88" t="s">
        <v>229</v>
      </c>
      <c r="E10" s="85">
        <f>SUM(E12:E14)+SUM(E16:E18)</f>
        <v>3000</v>
      </c>
      <c r="F10" s="133">
        <f>SUM(F12:F14)+SUM(F16:F18)</f>
        <v>900</v>
      </c>
      <c r="G10" s="133">
        <f>SUM(G12:G14)+SUM(G16:G18)</f>
        <v>2100</v>
      </c>
      <c r="H10" s="89"/>
      <c r="I10" s="89"/>
      <c r="J10" s="134">
        <f>SUM(J12:J14)+SUM(J16:J18)</f>
        <v>0.3</v>
      </c>
      <c r="K10" s="85">
        <f>SUM(K12:K14)+SUM(K16:K18)</f>
        <v>1200</v>
      </c>
      <c r="L10" s="133">
        <f>SUM(L12:L14)+SUM(L16:L18)</f>
        <v>390</v>
      </c>
      <c r="M10" s="133">
        <f>SUM(M12:M14)+SUM(M16:M18)</f>
        <v>810</v>
      </c>
      <c r="N10" s="89"/>
      <c r="O10" s="133">
        <f>SUM(O12:O14)+SUM(O16:O18)</f>
        <v>360</v>
      </c>
      <c r="P10" s="133">
        <f>IFERROR(O10/L10,0)</f>
        <v>0.92307692307692313</v>
      </c>
      <c r="Q10" s="90"/>
      <c r="R10" s="91"/>
      <c r="S10" s="91"/>
      <c r="T10" s="65"/>
      <c r="U10" s="91"/>
      <c r="V10" s="91"/>
      <c r="W10" s="91"/>
      <c r="X10" s="91"/>
      <c r="Y10" s="91"/>
      <c r="Z10" s="91"/>
      <c r="AA10" s="91"/>
      <c r="AB10" s="91"/>
      <c r="AC10" s="91"/>
      <c r="AD10" s="92"/>
    </row>
    <row r="11" spans="1:30" s="66" customFormat="1" ht="12" customHeight="1" x14ac:dyDescent="0.3">
      <c r="A11" s="138"/>
      <c r="B11" s="158"/>
      <c r="C11" s="94" t="s">
        <v>230</v>
      </c>
      <c r="D11" s="95" t="s">
        <v>231</v>
      </c>
      <c r="E11" s="96"/>
      <c r="F11" s="96"/>
      <c r="G11" s="96"/>
      <c r="H11" s="97"/>
      <c r="I11" s="97"/>
      <c r="J11" s="97"/>
      <c r="K11" s="98"/>
      <c r="L11" s="98"/>
      <c r="M11" s="98"/>
      <c r="N11" s="98"/>
      <c r="O11" s="98"/>
      <c r="P11" s="98"/>
      <c r="Q11" s="93"/>
      <c r="R11" s="99"/>
      <c r="S11" s="99"/>
      <c r="T11" s="67"/>
      <c r="U11" s="100"/>
      <c r="V11" s="100"/>
      <c r="W11" s="100"/>
      <c r="X11" s="100"/>
      <c r="Y11" s="100"/>
      <c r="Z11" s="100"/>
      <c r="AA11" s="100"/>
      <c r="AB11" s="101">
        <f t="shared" ref="AB11" si="3">SUM(U11:AA11)</f>
        <v>0</v>
      </c>
      <c r="AC11" s="102"/>
      <c r="AD11" s="103"/>
    </row>
    <row r="12" spans="1:30" s="66" customFormat="1" ht="12" customHeight="1" x14ac:dyDescent="0.3">
      <c r="A12" s="139"/>
      <c r="B12" s="158"/>
      <c r="C12" s="167"/>
      <c r="D12" s="104" t="s">
        <v>244</v>
      </c>
      <c r="E12" s="98">
        <v>500</v>
      </c>
      <c r="F12" s="132">
        <v>150</v>
      </c>
      <c r="G12" s="96">
        <f t="shared" ref="G12:G18" si="4">E12-F12</f>
        <v>350</v>
      </c>
      <c r="H12" s="105">
        <f t="shared" ref="H12:H18" si="5">IFERROR(F12/E12,0)</f>
        <v>0.3</v>
      </c>
      <c r="I12" s="105">
        <f>IFERROR(K12/$K$10,0)</f>
        <v>0.16666666666666666</v>
      </c>
      <c r="J12" s="105">
        <f>H12*I12</f>
        <v>4.9999999999999996E-2</v>
      </c>
      <c r="K12" s="98">
        <v>200</v>
      </c>
      <c r="L12" s="131">
        <v>65</v>
      </c>
      <c r="M12" s="98">
        <f>K12-L12</f>
        <v>135</v>
      </c>
      <c r="N12" s="98">
        <f>IFERROR(K12/E12,0)</f>
        <v>0.4</v>
      </c>
      <c r="O12" s="98">
        <f>F12*N12</f>
        <v>60</v>
      </c>
      <c r="P12" s="98">
        <f>IFERROR(O12/L12,0)</f>
        <v>0.92307692307692313</v>
      </c>
      <c r="Q12" s="93"/>
      <c r="R12" s="99"/>
      <c r="S12" s="99"/>
      <c r="T12" s="65"/>
      <c r="U12" s="132"/>
      <c r="V12" s="100" t="str">
        <f t="shared" ref="V12:AA12" si="6">IFERROR(IF(AND(V$9&gt;=$R12,V$9&lt;=$S12),$G12/$Q12,""),"")</f>
        <v/>
      </c>
      <c r="W12" s="100" t="str">
        <f t="shared" si="6"/>
        <v/>
      </c>
      <c r="X12" s="100" t="str">
        <f t="shared" si="6"/>
        <v/>
      </c>
      <c r="Y12" s="100" t="str">
        <f t="shared" si="6"/>
        <v/>
      </c>
      <c r="Z12" s="100" t="str">
        <f t="shared" si="6"/>
        <v/>
      </c>
      <c r="AA12" s="100" t="str">
        <f t="shared" si="6"/>
        <v/>
      </c>
      <c r="AB12" s="106">
        <f>SUM(U12:AA12)</f>
        <v>0</v>
      </c>
      <c r="AC12" s="102">
        <f>IFERROR(AB12/E12*I12,0)</f>
        <v>0</v>
      </c>
      <c r="AD12" s="103">
        <f>N12*AB12</f>
        <v>0</v>
      </c>
    </row>
    <row r="13" spans="1:30" s="66" customFormat="1" ht="12" customHeight="1" x14ac:dyDescent="0.3">
      <c r="A13" s="140"/>
      <c r="B13" s="158"/>
      <c r="C13" s="167"/>
      <c r="D13" s="104" t="s">
        <v>244</v>
      </c>
      <c r="E13" s="98">
        <v>500</v>
      </c>
      <c r="F13" s="132">
        <v>150</v>
      </c>
      <c r="G13" s="96">
        <f t="shared" si="4"/>
        <v>350</v>
      </c>
      <c r="H13" s="105">
        <f t="shared" si="5"/>
        <v>0.3</v>
      </c>
      <c r="I13" s="105">
        <f>IFERROR(K13/$K$10,0)</f>
        <v>0.16666666666666666</v>
      </c>
      <c r="J13" s="105">
        <f t="shared" ref="J13:J18" si="7">H13*I13</f>
        <v>4.9999999999999996E-2</v>
      </c>
      <c r="K13" s="98">
        <v>200</v>
      </c>
      <c r="L13" s="131">
        <v>65</v>
      </c>
      <c r="M13" s="98">
        <f t="shared" ref="M13:M18" si="8">K13-L13</f>
        <v>135</v>
      </c>
      <c r="N13" s="98">
        <f>IFERROR(K13/E13,0)</f>
        <v>0.4</v>
      </c>
      <c r="O13" s="98">
        <f t="shared" ref="O13:O18" si="9">F13*N13</f>
        <v>60</v>
      </c>
      <c r="P13" s="98">
        <f>IFERROR(O13/L13,0)</f>
        <v>0.92307692307692313</v>
      </c>
      <c r="Q13" s="107"/>
      <c r="R13" s="108"/>
      <c r="S13" s="108"/>
      <c r="T13" s="65"/>
      <c r="U13" s="132"/>
      <c r="V13" s="109" t="str">
        <f t="shared" ref="V13:AA13" si="10">IFERROR(IF(AND(V$9&gt;=$R13,V$9&lt;=$S13),$G13/$Q13,""),"")</f>
        <v/>
      </c>
      <c r="W13" s="109" t="str">
        <f t="shared" si="10"/>
        <v/>
      </c>
      <c r="X13" s="109" t="str">
        <f t="shared" si="10"/>
        <v/>
      </c>
      <c r="Y13" s="109" t="str">
        <f t="shared" si="10"/>
        <v/>
      </c>
      <c r="Z13" s="109" t="str">
        <f t="shared" si="10"/>
        <v/>
      </c>
      <c r="AA13" s="109" t="str">
        <f t="shared" si="10"/>
        <v/>
      </c>
      <c r="AB13" s="106">
        <f t="shared" ref="AB13:AB18" si="11">SUM(U13:AA13)</f>
        <v>0</v>
      </c>
      <c r="AC13" s="102">
        <f>IFERROR(AB13/E13*I13,0)</f>
        <v>0</v>
      </c>
      <c r="AD13" s="103">
        <f>N13*AB13</f>
        <v>0</v>
      </c>
    </row>
    <row r="14" spans="1:30" s="66" customFormat="1" ht="12" customHeight="1" x14ac:dyDescent="0.3">
      <c r="A14" s="139"/>
      <c r="B14" s="158"/>
      <c r="C14" s="167"/>
      <c r="D14" s="104" t="s">
        <v>244</v>
      </c>
      <c r="E14" s="98">
        <v>500</v>
      </c>
      <c r="F14" s="132">
        <v>150</v>
      </c>
      <c r="G14" s="96">
        <f t="shared" si="4"/>
        <v>350</v>
      </c>
      <c r="H14" s="105">
        <f t="shared" si="5"/>
        <v>0.3</v>
      </c>
      <c r="I14" s="105">
        <f>IFERROR(K14/$K$10,0)</f>
        <v>0.16666666666666666</v>
      </c>
      <c r="J14" s="105">
        <f t="shared" si="7"/>
        <v>4.9999999999999996E-2</v>
      </c>
      <c r="K14" s="98">
        <v>200</v>
      </c>
      <c r="L14" s="131">
        <v>65</v>
      </c>
      <c r="M14" s="98">
        <f t="shared" si="8"/>
        <v>135</v>
      </c>
      <c r="N14" s="98">
        <f>IFERROR(K14/E14,0)</f>
        <v>0.4</v>
      </c>
      <c r="O14" s="98">
        <f t="shared" si="9"/>
        <v>60</v>
      </c>
      <c r="P14" s="98">
        <f>IFERROR(O14/L14,0)</f>
        <v>0.92307692307692313</v>
      </c>
      <c r="Q14" s="93"/>
      <c r="R14" s="99"/>
      <c r="S14" s="99"/>
      <c r="T14" s="65"/>
      <c r="U14" s="132"/>
      <c r="V14" s="100" t="str">
        <f t="shared" ref="V14:AA14" si="12">IFERROR(IF(AND(V$9&gt;=$R14,V$9&lt;=$S14),$G14/$Q14,""),"")</f>
        <v/>
      </c>
      <c r="W14" s="100" t="str">
        <f t="shared" si="12"/>
        <v/>
      </c>
      <c r="X14" s="100" t="str">
        <f t="shared" si="12"/>
        <v/>
      </c>
      <c r="Y14" s="100" t="str">
        <f t="shared" si="12"/>
        <v/>
      </c>
      <c r="Z14" s="100" t="str">
        <f t="shared" si="12"/>
        <v/>
      </c>
      <c r="AA14" s="100" t="str">
        <f t="shared" si="12"/>
        <v/>
      </c>
      <c r="AB14" s="106">
        <f t="shared" si="11"/>
        <v>0</v>
      </c>
      <c r="AC14" s="102">
        <f>IFERROR(AB14/E14*I14,0)</f>
        <v>0</v>
      </c>
      <c r="AD14" s="103">
        <f>N14*AB14</f>
        <v>0</v>
      </c>
    </row>
    <row r="15" spans="1:30" s="66" customFormat="1" ht="12" customHeight="1" collapsed="1" x14ac:dyDescent="0.3">
      <c r="A15" s="139"/>
      <c r="B15" s="158" t="s">
        <v>232</v>
      </c>
      <c r="C15" s="94" t="s">
        <v>233</v>
      </c>
      <c r="D15" s="95" t="s">
        <v>234</v>
      </c>
      <c r="E15" s="98"/>
      <c r="F15" s="132"/>
      <c r="G15" s="96"/>
      <c r="H15" s="105"/>
      <c r="I15" s="105"/>
      <c r="J15" s="105"/>
      <c r="K15" s="98"/>
      <c r="L15" s="131"/>
      <c r="M15" s="98"/>
      <c r="N15" s="98"/>
      <c r="O15" s="98"/>
      <c r="P15" s="98"/>
      <c r="Q15" s="93"/>
      <c r="R15" s="99"/>
      <c r="S15" s="99"/>
      <c r="T15" s="65"/>
      <c r="U15" s="132"/>
      <c r="V15" s="100"/>
      <c r="W15" s="100"/>
      <c r="X15" s="100"/>
      <c r="Y15" s="100"/>
      <c r="Z15" s="100"/>
      <c r="AA15" s="100"/>
      <c r="AB15" s="106"/>
      <c r="AC15" s="102"/>
      <c r="AD15" s="103"/>
    </row>
    <row r="16" spans="1:30" s="66" customFormat="1" ht="12" customHeight="1" x14ac:dyDescent="0.3">
      <c r="A16" s="139"/>
      <c r="B16" s="158"/>
      <c r="C16" s="167"/>
      <c r="D16" s="104" t="s">
        <v>244</v>
      </c>
      <c r="E16" s="98">
        <v>500</v>
      </c>
      <c r="F16" s="132">
        <v>150</v>
      </c>
      <c r="G16" s="96">
        <f t="shared" si="4"/>
        <v>350</v>
      </c>
      <c r="H16" s="105">
        <f t="shared" si="5"/>
        <v>0.3</v>
      </c>
      <c r="I16" s="105">
        <f>IFERROR(K16/$K$10,0)</f>
        <v>0.16666666666666666</v>
      </c>
      <c r="J16" s="105">
        <f t="shared" si="7"/>
        <v>4.9999999999999996E-2</v>
      </c>
      <c r="K16" s="98">
        <v>200</v>
      </c>
      <c r="L16" s="131">
        <v>65</v>
      </c>
      <c r="M16" s="98">
        <f t="shared" si="8"/>
        <v>135</v>
      </c>
      <c r="N16" s="98">
        <f>IFERROR(K16/E16,0)</f>
        <v>0.4</v>
      </c>
      <c r="O16" s="98">
        <f t="shared" si="9"/>
        <v>60</v>
      </c>
      <c r="P16" s="98">
        <f>IFERROR(O16/L16,0)</f>
        <v>0.92307692307692313</v>
      </c>
      <c r="Q16" s="93"/>
      <c r="R16" s="99"/>
      <c r="S16" s="99"/>
      <c r="T16" s="65"/>
      <c r="U16" s="132"/>
      <c r="V16" s="100" t="str">
        <f t="shared" ref="V16:AA18" si="13">IFERROR(IF(AND(V$9&gt;=$R16,V$9&lt;=$S16),$G16/$Q16,""),"")</f>
        <v/>
      </c>
      <c r="W16" s="100" t="str">
        <f t="shared" si="13"/>
        <v/>
      </c>
      <c r="X16" s="100" t="str">
        <f t="shared" si="13"/>
        <v/>
      </c>
      <c r="Y16" s="100" t="str">
        <f t="shared" si="13"/>
        <v/>
      </c>
      <c r="Z16" s="100" t="str">
        <f t="shared" si="13"/>
        <v/>
      </c>
      <c r="AA16" s="100" t="str">
        <f t="shared" si="13"/>
        <v/>
      </c>
      <c r="AB16" s="106">
        <f t="shared" si="11"/>
        <v>0</v>
      </c>
      <c r="AC16" s="102">
        <f>IFERROR(AB16/E16*I16,0)</f>
        <v>0</v>
      </c>
      <c r="AD16" s="103">
        <f>N16*AB16</f>
        <v>0</v>
      </c>
    </row>
    <row r="17" spans="1:30" s="66" customFormat="1" ht="12" customHeight="1" x14ac:dyDescent="0.3">
      <c r="A17" s="139"/>
      <c r="B17" s="158"/>
      <c r="C17" s="167"/>
      <c r="D17" s="104" t="s">
        <v>244</v>
      </c>
      <c r="E17" s="98">
        <v>500</v>
      </c>
      <c r="F17" s="132">
        <v>150</v>
      </c>
      <c r="G17" s="96">
        <f t="shared" si="4"/>
        <v>350</v>
      </c>
      <c r="H17" s="105">
        <f t="shared" si="5"/>
        <v>0.3</v>
      </c>
      <c r="I17" s="105">
        <f>IFERROR(K17/$K$10,0)</f>
        <v>0.16666666666666666</v>
      </c>
      <c r="J17" s="105">
        <f t="shared" si="7"/>
        <v>4.9999999999999996E-2</v>
      </c>
      <c r="K17" s="98">
        <v>200</v>
      </c>
      <c r="L17" s="131">
        <v>65</v>
      </c>
      <c r="M17" s="98">
        <f t="shared" si="8"/>
        <v>135</v>
      </c>
      <c r="N17" s="98">
        <f>IFERROR(K17/E17,0)</f>
        <v>0.4</v>
      </c>
      <c r="O17" s="98">
        <f t="shared" si="9"/>
        <v>60</v>
      </c>
      <c r="P17" s="98">
        <f>IFERROR(O17/L17,0)</f>
        <v>0.92307692307692313</v>
      </c>
      <c r="Q17" s="93"/>
      <c r="R17" s="99"/>
      <c r="S17" s="99"/>
      <c r="T17" s="65"/>
      <c r="U17" s="132"/>
      <c r="V17" s="100" t="str">
        <f t="shared" si="13"/>
        <v/>
      </c>
      <c r="W17" s="100" t="str">
        <f t="shared" si="13"/>
        <v/>
      </c>
      <c r="X17" s="100" t="str">
        <f t="shared" si="13"/>
        <v/>
      </c>
      <c r="Y17" s="100" t="str">
        <f t="shared" si="13"/>
        <v/>
      </c>
      <c r="Z17" s="100" t="str">
        <f t="shared" si="13"/>
        <v/>
      </c>
      <c r="AA17" s="100" t="str">
        <f t="shared" si="13"/>
        <v/>
      </c>
      <c r="AB17" s="106">
        <f t="shared" si="11"/>
        <v>0</v>
      </c>
      <c r="AC17" s="102">
        <f>IFERROR(AB17/E17*I17,0)</f>
        <v>0</v>
      </c>
      <c r="AD17" s="103">
        <f>N17*AB17</f>
        <v>0</v>
      </c>
    </row>
    <row r="18" spans="1:30" s="69" customFormat="1" ht="12" customHeight="1" thickBot="1" x14ac:dyDescent="0.35">
      <c r="A18" s="140"/>
      <c r="B18" s="158"/>
      <c r="C18" s="167"/>
      <c r="D18" s="104" t="s">
        <v>244</v>
      </c>
      <c r="E18" s="98">
        <v>500</v>
      </c>
      <c r="F18" s="132">
        <v>150</v>
      </c>
      <c r="G18" s="96">
        <f t="shared" si="4"/>
        <v>350</v>
      </c>
      <c r="H18" s="105">
        <f t="shared" si="5"/>
        <v>0.3</v>
      </c>
      <c r="I18" s="105">
        <f>IFERROR(K18/$K$10,0)</f>
        <v>0.16666666666666666</v>
      </c>
      <c r="J18" s="105">
        <f t="shared" si="7"/>
        <v>4.9999999999999996E-2</v>
      </c>
      <c r="K18" s="119">
        <v>200</v>
      </c>
      <c r="L18" s="131">
        <v>65</v>
      </c>
      <c r="M18" s="98">
        <f t="shared" si="8"/>
        <v>135</v>
      </c>
      <c r="N18" s="98">
        <f>IFERROR(K18/E18,0)</f>
        <v>0.4</v>
      </c>
      <c r="O18" s="98">
        <f t="shared" si="9"/>
        <v>60</v>
      </c>
      <c r="P18" s="98">
        <f>IFERROR(O18/L18,0)</f>
        <v>0.92307692307692313</v>
      </c>
      <c r="Q18" s="110"/>
      <c r="R18" s="111"/>
      <c r="S18" s="111"/>
      <c r="T18" s="68"/>
      <c r="U18" s="132"/>
      <c r="V18" s="112" t="str">
        <f t="shared" si="13"/>
        <v/>
      </c>
      <c r="W18" s="112" t="str">
        <f t="shared" si="13"/>
        <v/>
      </c>
      <c r="X18" s="112" t="str">
        <f t="shared" si="13"/>
        <v/>
      </c>
      <c r="Y18" s="112" t="str">
        <f t="shared" si="13"/>
        <v/>
      </c>
      <c r="Z18" s="112" t="str">
        <f t="shared" si="13"/>
        <v/>
      </c>
      <c r="AA18" s="112" t="str">
        <f t="shared" si="13"/>
        <v/>
      </c>
      <c r="AB18" s="106">
        <f t="shared" si="11"/>
        <v>0</v>
      </c>
      <c r="AC18" s="102">
        <f>IFERROR(AB18/E18*I18,0)</f>
        <v>0</v>
      </c>
      <c r="AD18" s="103">
        <f>N18*AB18</f>
        <v>0</v>
      </c>
    </row>
    <row r="19" spans="1:30" s="69" customFormat="1" ht="12" customHeight="1" x14ac:dyDescent="0.3">
      <c r="A19" s="137"/>
      <c r="B19" s="86"/>
      <c r="C19" s="87" t="s">
        <v>235</v>
      </c>
      <c r="D19" s="88" t="s">
        <v>236</v>
      </c>
      <c r="E19" s="89">
        <f>SUM(E21:E23)+SUM(E25:E27)</f>
        <v>1200</v>
      </c>
      <c r="F19" s="89">
        <f>SUM(F21:F23)+SUM(F25:F27)</f>
        <v>0</v>
      </c>
      <c r="G19" s="89">
        <f>SUM(G21:G23)+SUM(G25:G27)</f>
        <v>1200</v>
      </c>
      <c r="H19" s="113"/>
      <c r="I19" s="113"/>
      <c r="J19" s="113">
        <f>SUM(J21:J23)+SUM(J25:J27)</f>
        <v>0</v>
      </c>
      <c r="K19" s="89">
        <f>SUM(K21:K23)+SUM(K25:K27)</f>
        <v>1200</v>
      </c>
      <c r="L19" s="89">
        <f>SUM(L21:L23)+SUM(L25:L27)</f>
        <v>1200</v>
      </c>
      <c r="M19" s="89">
        <f>SUM(M21:M23)+SUM(M25:M27)</f>
        <v>0</v>
      </c>
      <c r="N19" s="89"/>
      <c r="O19" s="89">
        <f>SUM(O21:O23)+SUM(O25:O27)</f>
        <v>0</v>
      </c>
      <c r="P19" s="89">
        <f>IFERROR(O19/L19,0)</f>
        <v>0</v>
      </c>
      <c r="Q19" s="90"/>
      <c r="R19" s="91"/>
      <c r="S19" s="91"/>
      <c r="T19" s="68"/>
      <c r="U19" s="91"/>
      <c r="V19" s="91"/>
      <c r="W19" s="91"/>
      <c r="X19" s="91"/>
      <c r="Y19" s="91"/>
      <c r="Z19" s="91"/>
      <c r="AA19" s="91"/>
      <c r="AB19" s="91"/>
      <c r="AC19" s="91"/>
      <c r="AD19" s="92"/>
    </row>
    <row r="20" spans="1:30" s="69" customFormat="1" ht="12" customHeight="1" x14ac:dyDescent="0.3">
      <c r="A20" s="141"/>
      <c r="B20" s="159"/>
      <c r="C20" s="94" t="s">
        <v>237</v>
      </c>
      <c r="D20" s="95" t="s">
        <v>231</v>
      </c>
      <c r="E20" s="96"/>
      <c r="F20" s="96"/>
      <c r="G20" s="96"/>
      <c r="H20" s="105"/>
      <c r="I20" s="105"/>
      <c r="J20" s="105"/>
      <c r="K20" s="98"/>
      <c r="L20" s="98"/>
      <c r="M20" s="98"/>
      <c r="N20" s="98"/>
      <c r="O20" s="98"/>
      <c r="P20" s="98"/>
      <c r="Q20" s="114"/>
      <c r="R20" s="115"/>
      <c r="S20" s="115"/>
      <c r="T20" s="68"/>
      <c r="U20" s="100"/>
      <c r="V20" s="100"/>
      <c r="W20" s="100"/>
      <c r="X20" s="100"/>
      <c r="Y20" s="100"/>
      <c r="Z20" s="100"/>
      <c r="AA20" s="100"/>
      <c r="AB20" s="101"/>
      <c r="AC20" s="102"/>
      <c r="AD20" s="103"/>
    </row>
    <row r="21" spans="1:30" s="69" customFormat="1" ht="12" customHeight="1" x14ac:dyDescent="0.3">
      <c r="A21" s="141"/>
      <c r="B21" s="158"/>
      <c r="C21" s="116"/>
      <c r="D21" s="104" t="s">
        <v>244</v>
      </c>
      <c r="E21" s="98">
        <v>200</v>
      </c>
      <c r="F21" s="96"/>
      <c r="G21" s="96">
        <f>E21-F21</f>
        <v>200</v>
      </c>
      <c r="H21" s="105">
        <f>IFERROR(F21/E21,0)</f>
        <v>0</v>
      </c>
      <c r="I21" s="105">
        <f>IFERROR(K21/$K$19,0)</f>
        <v>0.16666666666666666</v>
      </c>
      <c r="J21" s="105">
        <f>H21*I21</f>
        <v>0</v>
      </c>
      <c r="K21" s="98">
        <v>200</v>
      </c>
      <c r="L21" s="98">
        <v>200</v>
      </c>
      <c r="M21" s="98">
        <f>K21-L21</f>
        <v>0</v>
      </c>
      <c r="N21" s="98">
        <f>IFERROR(K21/E21,0)</f>
        <v>1</v>
      </c>
      <c r="O21" s="98">
        <f>F21*N21</f>
        <v>0</v>
      </c>
      <c r="P21" s="98">
        <f>IFERROR(O21/L21,0)</f>
        <v>0</v>
      </c>
      <c r="Q21" s="114"/>
      <c r="R21" s="115"/>
      <c r="S21" s="115"/>
      <c r="T21" s="68"/>
      <c r="U21" s="100"/>
      <c r="V21" s="100" t="str">
        <f t="shared" ref="U21:AA27" si="14">IFERROR(IF(AND(V$9&gt;=$R21,V$9&lt;=$S21),$G21/$Q21,""),"")</f>
        <v/>
      </c>
      <c r="W21" s="100" t="str">
        <f t="shared" si="14"/>
        <v/>
      </c>
      <c r="X21" s="100" t="str">
        <f t="shared" si="14"/>
        <v/>
      </c>
      <c r="Y21" s="100" t="str">
        <f t="shared" si="14"/>
        <v/>
      </c>
      <c r="Z21" s="100" t="str">
        <f t="shared" si="14"/>
        <v/>
      </c>
      <c r="AA21" s="100" t="str">
        <f t="shared" si="14"/>
        <v/>
      </c>
      <c r="AB21" s="101">
        <f>SUM(U21:AA21)</f>
        <v>0</v>
      </c>
      <c r="AC21" s="102">
        <f>IFERROR(AB21/E21*I21,0)</f>
        <v>0</v>
      </c>
      <c r="AD21" s="103">
        <f>N21*AB21</f>
        <v>0</v>
      </c>
    </row>
    <row r="22" spans="1:30" s="69" customFormat="1" ht="12" customHeight="1" x14ac:dyDescent="0.3">
      <c r="A22" s="141"/>
      <c r="B22" s="158"/>
      <c r="C22" s="116"/>
      <c r="D22" s="104" t="s">
        <v>244</v>
      </c>
      <c r="E22" s="98">
        <v>200</v>
      </c>
      <c r="F22" s="96"/>
      <c r="G22" s="96">
        <f>E22-F22</f>
        <v>200</v>
      </c>
      <c r="H22" s="105">
        <f>IFERROR(F22/E22,0)</f>
        <v>0</v>
      </c>
      <c r="I22" s="105">
        <f>IFERROR(K22/$K$19,0)</f>
        <v>0.16666666666666666</v>
      </c>
      <c r="J22" s="105">
        <f>H22*I22</f>
        <v>0</v>
      </c>
      <c r="K22" s="98">
        <v>200</v>
      </c>
      <c r="L22" s="98">
        <v>200</v>
      </c>
      <c r="M22" s="98">
        <f>K22-L22</f>
        <v>0</v>
      </c>
      <c r="N22" s="98">
        <f>IFERROR(K22/E22,0)</f>
        <v>1</v>
      </c>
      <c r="O22" s="98">
        <f>F22*N22</f>
        <v>0</v>
      </c>
      <c r="P22" s="98">
        <f>IFERROR(O22/L22,0)</f>
        <v>0</v>
      </c>
      <c r="Q22" s="114"/>
      <c r="R22" s="115"/>
      <c r="S22" s="115"/>
      <c r="T22" s="68"/>
      <c r="U22" s="100"/>
      <c r="V22" s="100" t="str">
        <f t="shared" si="14"/>
        <v/>
      </c>
      <c r="W22" s="100" t="str">
        <f t="shared" si="14"/>
        <v/>
      </c>
      <c r="X22" s="100" t="str">
        <f t="shared" si="14"/>
        <v/>
      </c>
      <c r="Y22" s="100" t="str">
        <f t="shared" si="14"/>
        <v/>
      </c>
      <c r="Z22" s="100" t="str">
        <f t="shared" si="14"/>
        <v/>
      </c>
      <c r="AA22" s="100" t="str">
        <f t="shared" si="14"/>
        <v/>
      </c>
      <c r="AB22" s="101">
        <f>SUM(U22:AA22)</f>
        <v>0</v>
      </c>
      <c r="AC22" s="102">
        <f>IFERROR(AB22/E22*I22,0)</f>
        <v>0</v>
      </c>
      <c r="AD22" s="103">
        <f>N22*AB22</f>
        <v>0</v>
      </c>
    </row>
    <row r="23" spans="1:30" s="69" customFormat="1" ht="12" customHeight="1" x14ac:dyDescent="0.3">
      <c r="A23" s="141"/>
      <c r="B23" s="158"/>
      <c r="C23" s="116"/>
      <c r="D23" s="104" t="s">
        <v>244</v>
      </c>
      <c r="E23" s="98">
        <v>200</v>
      </c>
      <c r="F23" s="96"/>
      <c r="G23" s="96">
        <f>E23-F23</f>
        <v>200</v>
      </c>
      <c r="H23" s="105">
        <f>IFERROR(F23/E23,0)</f>
        <v>0</v>
      </c>
      <c r="I23" s="105">
        <f>IFERROR(K23/$K$19,0)</f>
        <v>0.16666666666666666</v>
      </c>
      <c r="J23" s="105">
        <f>H23*I23</f>
        <v>0</v>
      </c>
      <c r="K23" s="98">
        <v>200</v>
      </c>
      <c r="L23" s="98">
        <v>200</v>
      </c>
      <c r="M23" s="98">
        <f>K23-L23</f>
        <v>0</v>
      </c>
      <c r="N23" s="98">
        <f>IFERROR(K23/E23,0)</f>
        <v>1</v>
      </c>
      <c r="O23" s="98">
        <f>F23*N23</f>
        <v>0</v>
      </c>
      <c r="P23" s="98">
        <f>IFERROR(O23/L23,0)</f>
        <v>0</v>
      </c>
      <c r="Q23" s="114"/>
      <c r="R23" s="115"/>
      <c r="S23" s="115"/>
      <c r="T23" s="68"/>
      <c r="U23" s="100"/>
      <c r="V23" s="100" t="str">
        <f t="shared" si="14"/>
        <v/>
      </c>
      <c r="W23" s="100" t="str">
        <f t="shared" si="14"/>
        <v/>
      </c>
      <c r="X23" s="100" t="str">
        <f t="shared" si="14"/>
        <v/>
      </c>
      <c r="Y23" s="100" t="str">
        <f t="shared" si="14"/>
        <v/>
      </c>
      <c r="Z23" s="100" t="str">
        <f t="shared" si="14"/>
        <v/>
      </c>
      <c r="AA23" s="100" t="str">
        <f t="shared" si="14"/>
        <v/>
      </c>
      <c r="AB23" s="101">
        <f>SUM(U23:AA23)</f>
        <v>0</v>
      </c>
      <c r="AC23" s="102">
        <f>IFERROR(AB23/E23*I23,0)</f>
        <v>0</v>
      </c>
      <c r="AD23" s="103">
        <f>N23*AB23</f>
        <v>0</v>
      </c>
    </row>
    <row r="24" spans="1:30" s="69" customFormat="1" ht="12" customHeight="1" x14ac:dyDescent="0.3">
      <c r="A24" s="141"/>
      <c r="B24" s="158" t="s">
        <v>232</v>
      </c>
      <c r="C24" s="94" t="s">
        <v>238</v>
      </c>
      <c r="D24" s="95" t="s">
        <v>234</v>
      </c>
      <c r="E24" s="98"/>
      <c r="F24" s="96"/>
      <c r="G24" s="96"/>
      <c r="H24" s="105"/>
      <c r="I24" s="105"/>
      <c r="J24" s="105"/>
      <c r="K24" s="98"/>
      <c r="L24" s="98"/>
      <c r="M24" s="98"/>
      <c r="N24" s="98"/>
      <c r="O24" s="98"/>
      <c r="P24" s="98"/>
      <c r="Q24" s="114"/>
      <c r="R24" s="115"/>
      <c r="S24" s="115"/>
      <c r="T24" s="68"/>
      <c r="U24" s="100" t="str">
        <f t="shared" si="14"/>
        <v/>
      </c>
      <c r="V24" s="100" t="str">
        <f t="shared" si="14"/>
        <v/>
      </c>
      <c r="W24" s="100" t="str">
        <f t="shared" si="14"/>
        <v/>
      </c>
      <c r="X24" s="100" t="str">
        <f t="shared" si="14"/>
        <v/>
      </c>
      <c r="Y24" s="100" t="str">
        <f t="shared" si="14"/>
        <v/>
      </c>
      <c r="Z24" s="100"/>
      <c r="AA24" s="100"/>
      <c r="AB24" s="101"/>
      <c r="AC24" s="102"/>
      <c r="AD24" s="103"/>
    </row>
    <row r="25" spans="1:30" s="69" customFormat="1" ht="12" customHeight="1" x14ac:dyDescent="0.3">
      <c r="A25" s="141"/>
      <c r="B25" s="158"/>
      <c r="C25" s="116"/>
      <c r="D25" s="104" t="s">
        <v>244</v>
      </c>
      <c r="E25" s="98">
        <v>200</v>
      </c>
      <c r="F25" s="96"/>
      <c r="G25" s="96">
        <f>E25-F25</f>
        <v>200</v>
      </c>
      <c r="H25" s="105">
        <f>IFERROR(F25/E25,0)</f>
        <v>0</v>
      </c>
      <c r="I25" s="105">
        <f>IFERROR(K25/$K$19,0)</f>
        <v>0.16666666666666666</v>
      </c>
      <c r="J25" s="105">
        <f>H25*I25</f>
        <v>0</v>
      </c>
      <c r="K25" s="98">
        <v>200</v>
      </c>
      <c r="L25" s="98">
        <v>200</v>
      </c>
      <c r="M25" s="98">
        <f>K25-L25</f>
        <v>0</v>
      </c>
      <c r="N25" s="98">
        <f>IFERROR(K25/E25,0)</f>
        <v>1</v>
      </c>
      <c r="O25" s="98">
        <f>F25*N25</f>
        <v>0</v>
      </c>
      <c r="P25" s="98">
        <f>IFERROR(O25/L25,0)</f>
        <v>0</v>
      </c>
      <c r="Q25" s="114"/>
      <c r="R25" s="115"/>
      <c r="S25" s="115"/>
      <c r="T25" s="68"/>
      <c r="U25" s="100"/>
      <c r="V25" s="100" t="str">
        <f t="shared" si="14"/>
        <v/>
      </c>
      <c r="W25" s="100" t="str">
        <f t="shared" si="14"/>
        <v/>
      </c>
      <c r="X25" s="100" t="str">
        <f t="shared" si="14"/>
        <v/>
      </c>
      <c r="Y25" s="100" t="str">
        <f t="shared" si="14"/>
        <v/>
      </c>
      <c r="Z25" s="100" t="str">
        <f t="shared" si="14"/>
        <v/>
      </c>
      <c r="AA25" s="100" t="str">
        <f t="shared" si="14"/>
        <v/>
      </c>
      <c r="AB25" s="101">
        <f>SUM(U25:AA25)</f>
        <v>0</v>
      </c>
      <c r="AC25" s="102">
        <f>IFERROR(AB25/E25*I25,0)</f>
        <v>0</v>
      </c>
      <c r="AD25" s="103">
        <f>N25*AB25</f>
        <v>0</v>
      </c>
    </row>
    <row r="26" spans="1:30" s="69" customFormat="1" ht="12" customHeight="1" x14ac:dyDescent="0.3">
      <c r="A26" s="141"/>
      <c r="B26" s="158"/>
      <c r="C26" s="116"/>
      <c r="D26" s="104" t="s">
        <v>244</v>
      </c>
      <c r="E26" s="98">
        <v>200</v>
      </c>
      <c r="F26" s="96"/>
      <c r="G26" s="96">
        <f>E26-F26</f>
        <v>200</v>
      </c>
      <c r="H26" s="105">
        <f>IFERROR(F26/E26,0)</f>
        <v>0</v>
      </c>
      <c r="I26" s="105">
        <f>IFERROR(K26/$K$19,0)</f>
        <v>0.16666666666666666</v>
      </c>
      <c r="J26" s="105">
        <f>H26*I26</f>
        <v>0</v>
      </c>
      <c r="K26" s="98">
        <v>200</v>
      </c>
      <c r="L26" s="98">
        <v>200</v>
      </c>
      <c r="M26" s="98">
        <f>K26-L26</f>
        <v>0</v>
      </c>
      <c r="N26" s="98">
        <f>IFERROR(K26/E26,0)</f>
        <v>1</v>
      </c>
      <c r="O26" s="98">
        <f>F26*N26</f>
        <v>0</v>
      </c>
      <c r="P26" s="98">
        <f>IFERROR(O26/L26,0)</f>
        <v>0</v>
      </c>
      <c r="Q26" s="114"/>
      <c r="R26" s="115"/>
      <c r="S26" s="115"/>
      <c r="T26" s="70"/>
      <c r="U26" s="100"/>
      <c r="V26" s="100" t="str">
        <f t="shared" si="14"/>
        <v/>
      </c>
      <c r="W26" s="100" t="str">
        <f t="shared" si="14"/>
        <v/>
      </c>
      <c r="X26" s="100" t="str">
        <f t="shared" si="14"/>
        <v/>
      </c>
      <c r="Y26" s="100" t="str">
        <f t="shared" si="14"/>
        <v/>
      </c>
      <c r="Z26" s="100" t="str">
        <f t="shared" si="14"/>
        <v/>
      </c>
      <c r="AA26" s="100" t="str">
        <f t="shared" si="14"/>
        <v/>
      </c>
      <c r="AB26" s="101">
        <f>SUM(U26:AA26)</f>
        <v>0</v>
      </c>
      <c r="AC26" s="102">
        <f>IFERROR(AB26/E26*I26,0)</f>
        <v>0</v>
      </c>
      <c r="AD26" s="103">
        <f>N26*AB26</f>
        <v>0</v>
      </c>
    </row>
    <row r="27" spans="1:30" s="66" customFormat="1" ht="12.6" thickBot="1" x14ac:dyDescent="0.35">
      <c r="A27" s="142" t="s">
        <v>239</v>
      </c>
      <c r="B27" s="160" t="str">
        <f>+IF(SUMIFS($U27:$AD27,$U$8:$AD$8,"&gt;="&amp;$P$6,$U$8:$AD$8,"&lt;="&amp;$R$6)&gt;0,"Si","NO")</f>
        <v>NO</v>
      </c>
      <c r="C27" s="120"/>
      <c r="D27" s="121" t="s">
        <v>244</v>
      </c>
      <c r="E27" s="119">
        <v>200</v>
      </c>
      <c r="F27" s="117"/>
      <c r="G27" s="117">
        <f>E27-F27</f>
        <v>200</v>
      </c>
      <c r="H27" s="118">
        <f>IFERROR(F27/E27,0)</f>
        <v>0</v>
      </c>
      <c r="I27" s="118">
        <f>IFERROR(K27/$K$19,0)</f>
        <v>0.16666666666666666</v>
      </c>
      <c r="J27" s="118">
        <f>H27*I27</f>
        <v>0</v>
      </c>
      <c r="K27" s="119">
        <v>200</v>
      </c>
      <c r="L27" s="119">
        <v>200</v>
      </c>
      <c r="M27" s="119">
        <f>K27-L27</f>
        <v>0</v>
      </c>
      <c r="N27" s="98">
        <f>IFERROR(K27/E27,0)</f>
        <v>1</v>
      </c>
      <c r="O27" s="119">
        <f>F27*N27</f>
        <v>0</v>
      </c>
      <c r="P27" s="119">
        <f>IFERROR(O27/L27,0)</f>
        <v>0</v>
      </c>
      <c r="Q27" s="122"/>
      <c r="R27" s="123"/>
      <c r="S27" s="123"/>
      <c r="T27" s="124"/>
      <c r="U27" s="125"/>
      <c r="V27" s="125" t="str">
        <f t="shared" si="14"/>
        <v/>
      </c>
      <c r="W27" s="125" t="str">
        <f t="shared" si="14"/>
        <v/>
      </c>
      <c r="X27" s="125" t="str">
        <f t="shared" si="14"/>
        <v/>
      </c>
      <c r="Y27" s="125" t="str">
        <f t="shared" si="14"/>
        <v/>
      </c>
      <c r="Z27" s="125" t="str">
        <f t="shared" si="14"/>
        <v/>
      </c>
      <c r="AA27" s="125" t="str">
        <f t="shared" si="14"/>
        <v/>
      </c>
      <c r="AB27" s="126">
        <f>SUM(U27:AA27)</f>
        <v>0</v>
      </c>
      <c r="AC27" s="127">
        <f>IFERROR(AB27/E27*I27,0)</f>
        <v>0</v>
      </c>
      <c r="AD27" s="128">
        <f>N27*AB27</f>
        <v>0</v>
      </c>
    </row>
  </sheetData>
  <autoFilter ref="A8:AD27" xr:uid="{58921106-B134-4F33-B536-79D0F79C1B31}"/>
  <mergeCells count="29">
    <mergeCell ref="N2:O2"/>
    <mergeCell ref="D5:M5"/>
    <mergeCell ref="N3:O3"/>
    <mergeCell ref="R4:S5"/>
    <mergeCell ref="P3:Q3"/>
    <mergeCell ref="R3:S3"/>
    <mergeCell ref="P2:Q2"/>
    <mergeCell ref="AD7:AD8"/>
    <mergeCell ref="U2:AD3"/>
    <mergeCell ref="U4:AD6"/>
    <mergeCell ref="D6:M6"/>
    <mergeCell ref="N6:O6"/>
    <mergeCell ref="P6:Q6"/>
    <mergeCell ref="R6:S6"/>
    <mergeCell ref="R2:S2"/>
    <mergeCell ref="E7:J7"/>
    <mergeCell ref="K7:P7"/>
    <mergeCell ref="Q7:S7"/>
    <mergeCell ref="B7:D7"/>
    <mergeCell ref="A2:B6"/>
    <mergeCell ref="C2:M2"/>
    <mergeCell ref="C3:M3"/>
    <mergeCell ref="D4:M4"/>
    <mergeCell ref="E9:H9"/>
    <mergeCell ref="U7:AA7"/>
    <mergeCell ref="AB7:AB8"/>
    <mergeCell ref="AC7:AC8"/>
    <mergeCell ref="P4:Q5"/>
    <mergeCell ref="N4:O5"/>
  </mergeCells>
  <conditionalFormatting sqref="U9:AA9">
    <cfRule type="cellIs" dxfId="0" priority="1" operator="equal">
      <formula>TODAY()</formula>
    </cfRule>
  </conditionalFormatting>
  <printOptions horizontalCentered="1"/>
  <pageMargins left="0.11811023622047245" right="0.11811023622047245" top="0.39370078740157483" bottom="0.35433070866141736" header="0.31496062992125984" footer="0.31496062992125984"/>
  <pageSetup paperSize="9" scale="62" fitToHeight="0" orientation="landscape"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AE44"/>
  <sheetViews>
    <sheetView view="pageBreakPreview" zoomScale="70" zoomScaleNormal="70" zoomScaleSheetLayoutView="70" workbookViewId="0">
      <selection activeCell="D29" sqref="D29:F29"/>
    </sheetView>
  </sheetViews>
  <sheetFormatPr baseColWidth="10" defaultColWidth="8.88671875" defaultRowHeight="19.95" customHeight="1" x14ac:dyDescent="0.3"/>
  <cols>
    <col min="1" max="1" width="7.21875" style="229" customWidth="1"/>
    <col min="2" max="2" width="10.5546875" style="229" customWidth="1"/>
    <col min="3" max="3" width="8.88671875" style="229" customWidth="1"/>
    <col min="4" max="6" width="21.77734375" style="229" customWidth="1"/>
    <col min="7" max="8" width="13.77734375" style="229" customWidth="1"/>
    <col min="9" max="17" width="5.77734375" style="229" customWidth="1"/>
    <col min="18" max="21" width="8.77734375" style="229" customWidth="1"/>
    <col min="22" max="23" width="9.77734375" style="229" customWidth="1"/>
    <col min="24" max="27" width="8.77734375" style="229" customWidth="1"/>
    <col min="28" max="29" width="9.77734375" style="229" customWidth="1"/>
    <col min="30" max="30" width="10.21875" style="229" customWidth="1"/>
    <col min="31" max="40" width="8.88671875" style="229" customWidth="1"/>
    <col min="41" max="16384" width="8.88671875" style="229"/>
  </cols>
  <sheetData>
    <row r="1" spans="1:29" ht="25.05" customHeight="1" thickTop="1" x14ac:dyDescent="0.3">
      <c r="A1" s="730"/>
      <c r="B1" s="731"/>
      <c r="C1" s="732"/>
      <c r="D1" s="747" t="s">
        <v>9</v>
      </c>
      <c r="E1" s="748"/>
      <c r="F1" s="748"/>
      <c r="G1" s="748"/>
      <c r="H1" s="748"/>
      <c r="I1" s="748"/>
      <c r="J1" s="748"/>
      <c r="K1" s="748"/>
      <c r="L1" s="748"/>
      <c r="M1" s="748"/>
      <c r="N1" s="748"/>
      <c r="O1" s="748"/>
      <c r="P1" s="748"/>
      <c r="Q1" s="748"/>
      <c r="R1" s="748"/>
      <c r="S1" s="748"/>
      <c r="T1" s="748"/>
      <c r="U1" s="748"/>
      <c r="V1" s="748"/>
      <c r="W1" s="748"/>
      <c r="X1" s="748"/>
      <c r="Y1" s="748"/>
      <c r="Z1" s="749"/>
      <c r="AA1" s="1" t="s">
        <v>662</v>
      </c>
      <c r="AB1" s="750" t="s">
        <v>663</v>
      </c>
      <c r="AC1" s="713"/>
    </row>
    <row r="2" spans="1:29" ht="25.05" customHeight="1" x14ac:dyDescent="0.3">
      <c r="A2" s="733"/>
      <c r="B2" s="734"/>
      <c r="C2" s="735"/>
      <c r="D2" s="721" t="s">
        <v>161</v>
      </c>
      <c r="E2" s="722"/>
      <c r="F2" s="722"/>
      <c r="G2" s="722"/>
      <c r="H2" s="722"/>
      <c r="I2" s="722"/>
      <c r="J2" s="722"/>
      <c r="K2" s="722"/>
      <c r="L2" s="722"/>
      <c r="M2" s="722"/>
      <c r="N2" s="722"/>
      <c r="O2" s="722"/>
      <c r="P2" s="722"/>
      <c r="Q2" s="722"/>
      <c r="R2" s="722"/>
      <c r="S2" s="722"/>
      <c r="T2" s="722"/>
      <c r="U2" s="722"/>
      <c r="V2" s="722"/>
      <c r="W2" s="722"/>
      <c r="X2" s="722"/>
      <c r="Y2" s="722"/>
      <c r="Z2" s="723"/>
      <c r="AA2" s="2" t="s">
        <v>162</v>
      </c>
      <c r="AB2" s="697"/>
      <c r="AC2" s="698"/>
    </row>
    <row r="3" spans="1:29" ht="25.05" customHeight="1" thickBot="1" x14ac:dyDescent="0.35">
      <c r="A3" s="736"/>
      <c r="B3" s="686"/>
      <c r="C3" s="737"/>
      <c r="D3" s="726" t="s">
        <v>283</v>
      </c>
      <c r="E3" s="727"/>
      <c r="F3" s="727"/>
      <c r="G3" s="727"/>
      <c r="H3" s="727"/>
      <c r="I3" s="727"/>
      <c r="J3" s="727"/>
      <c r="K3" s="727"/>
      <c r="L3" s="727"/>
      <c r="M3" s="727"/>
      <c r="N3" s="727"/>
      <c r="O3" s="727"/>
      <c r="P3" s="727"/>
      <c r="Q3" s="727"/>
      <c r="R3" s="727"/>
      <c r="S3" s="727"/>
      <c r="T3" s="727"/>
      <c r="U3" s="727"/>
      <c r="V3" s="727"/>
      <c r="W3" s="727"/>
      <c r="X3" s="727"/>
      <c r="Y3" s="727"/>
      <c r="Z3" s="728"/>
      <c r="AA3" s="3"/>
      <c r="AB3" s="767"/>
      <c r="AC3" s="696"/>
    </row>
    <row r="4" spans="1:29" ht="7.95" customHeight="1" thickTop="1" thickBot="1" x14ac:dyDescent="0.35">
      <c r="A4" s="751"/>
      <c r="B4" s="734"/>
      <c r="C4" s="734"/>
      <c r="D4" s="734"/>
      <c r="E4" s="734"/>
      <c r="F4" s="734"/>
      <c r="G4" s="734"/>
      <c r="H4" s="734"/>
      <c r="I4" s="734"/>
      <c r="J4" s="734"/>
      <c r="K4" s="734"/>
      <c r="L4" s="734"/>
      <c r="M4" s="734"/>
      <c r="N4" s="734"/>
      <c r="O4" s="734"/>
      <c r="P4" s="734"/>
      <c r="Q4" s="734"/>
      <c r="R4" s="734"/>
      <c r="S4" s="734"/>
      <c r="T4" s="734"/>
      <c r="U4" s="734"/>
      <c r="V4" s="734"/>
      <c r="W4" s="734"/>
      <c r="X4" s="734"/>
      <c r="Y4" s="734"/>
      <c r="Z4" s="734"/>
      <c r="AA4" s="734"/>
      <c r="AB4" s="734"/>
      <c r="AC4" s="735"/>
    </row>
    <row r="5" spans="1:29" ht="19.95" customHeight="1" thickTop="1" thickBot="1" x14ac:dyDescent="0.35">
      <c r="A5" s="772" t="s">
        <v>163</v>
      </c>
      <c r="B5" s="716"/>
      <c r="C5" s="716"/>
      <c r="D5" s="716"/>
      <c r="E5" s="716"/>
      <c r="F5" s="716"/>
      <c r="G5" s="716"/>
      <c r="H5" s="716"/>
      <c r="I5" s="716"/>
      <c r="J5" s="716"/>
      <c r="K5" s="716"/>
      <c r="L5" s="716"/>
      <c r="M5" s="716"/>
      <c r="N5" s="716"/>
      <c r="O5" s="716"/>
      <c r="P5" s="716"/>
      <c r="Q5" s="716"/>
      <c r="R5" s="716"/>
      <c r="S5" s="716"/>
      <c r="T5" s="716"/>
      <c r="U5" s="716"/>
      <c r="V5" s="716"/>
      <c r="W5" s="716"/>
      <c r="X5" s="715" t="s">
        <v>164</v>
      </c>
      <c r="Y5" s="716"/>
      <c r="Z5" s="716"/>
      <c r="AA5" s="716"/>
      <c r="AB5" s="716"/>
      <c r="AC5" s="717"/>
    </row>
    <row r="6" spans="1:29" ht="25.95" customHeight="1" thickTop="1" x14ac:dyDescent="0.3">
      <c r="A6" s="755" t="s">
        <v>165</v>
      </c>
      <c r="B6" s="686"/>
      <c r="C6" s="737"/>
      <c r="D6" s="769"/>
      <c r="E6" s="686"/>
      <c r="F6" s="686"/>
      <c r="G6" s="686"/>
      <c r="H6" s="686"/>
      <c r="I6" s="686"/>
      <c r="J6" s="686"/>
      <c r="K6" s="686"/>
      <c r="L6" s="686"/>
      <c r="M6" s="686"/>
      <c r="N6" s="686"/>
      <c r="O6" s="686"/>
      <c r="P6" s="737"/>
      <c r="Q6" s="752" t="s">
        <v>166</v>
      </c>
      <c r="R6" s="737"/>
      <c r="S6" s="743"/>
      <c r="T6" s="686"/>
      <c r="U6" s="686"/>
      <c r="V6" s="686"/>
      <c r="W6" s="686"/>
      <c r="X6" s="755" t="s">
        <v>167</v>
      </c>
      <c r="Y6" s="737"/>
      <c r="Z6" s="765"/>
      <c r="AA6" s="703"/>
      <c r="AB6" s="703"/>
      <c r="AC6" s="713"/>
    </row>
    <row r="7" spans="1:29" ht="25.95" customHeight="1" x14ac:dyDescent="0.3">
      <c r="A7" s="738" t="s">
        <v>168</v>
      </c>
      <c r="B7" s="690"/>
      <c r="C7" s="689"/>
      <c r="D7" s="700"/>
      <c r="E7" s="690"/>
      <c r="F7" s="690"/>
      <c r="G7" s="690"/>
      <c r="H7" s="690"/>
      <c r="I7" s="690"/>
      <c r="J7" s="690"/>
      <c r="K7" s="690"/>
      <c r="L7" s="690"/>
      <c r="M7" s="690"/>
      <c r="N7" s="690"/>
      <c r="O7" s="690"/>
      <c r="P7" s="689"/>
      <c r="Q7" s="764" t="s">
        <v>57</v>
      </c>
      <c r="R7" s="689"/>
      <c r="S7" s="701"/>
      <c r="T7" s="690"/>
      <c r="U7" s="690"/>
      <c r="V7" s="690"/>
      <c r="W7" s="690"/>
      <c r="X7" s="738" t="s">
        <v>169</v>
      </c>
      <c r="Y7" s="689"/>
      <c r="Z7" s="226"/>
      <c r="AA7" s="226" t="s">
        <v>170</v>
      </c>
      <c r="AB7" s="710"/>
      <c r="AC7" s="698"/>
    </row>
    <row r="8" spans="1:29" ht="25.95" customHeight="1" thickBot="1" x14ac:dyDescent="0.35">
      <c r="A8" s="758" t="s">
        <v>171</v>
      </c>
      <c r="B8" s="695"/>
      <c r="C8" s="708"/>
      <c r="D8" s="709"/>
      <c r="E8" s="695"/>
      <c r="F8" s="695"/>
      <c r="G8" s="695"/>
      <c r="H8" s="695"/>
      <c r="I8" s="695"/>
      <c r="J8" s="695"/>
      <c r="K8" s="695"/>
      <c r="L8" s="695"/>
      <c r="M8" s="695"/>
      <c r="N8" s="695"/>
      <c r="O8" s="695"/>
      <c r="P8" s="708"/>
      <c r="Q8" s="757" t="s">
        <v>172</v>
      </c>
      <c r="R8" s="708"/>
      <c r="S8" s="699"/>
      <c r="T8" s="695"/>
      <c r="U8" s="695"/>
      <c r="V8" s="695"/>
      <c r="W8" s="695"/>
      <c r="X8" s="758" t="s">
        <v>173</v>
      </c>
      <c r="Y8" s="708"/>
      <c r="Z8" s="227"/>
      <c r="AA8" s="227" t="s">
        <v>174</v>
      </c>
      <c r="AB8" s="694"/>
      <c r="AC8" s="696"/>
    </row>
    <row r="9" spans="1:29" ht="7.95" customHeight="1" thickTop="1" thickBot="1" x14ac:dyDescent="0.35">
      <c r="A9" s="751"/>
      <c r="B9" s="734"/>
      <c r="C9" s="734"/>
      <c r="D9" s="734"/>
      <c r="E9" s="734"/>
      <c r="F9" s="734"/>
      <c r="G9" s="734"/>
      <c r="H9" s="734"/>
      <c r="I9" s="734"/>
      <c r="J9" s="734"/>
      <c r="K9" s="734"/>
      <c r="L9" s="734"/>
      <c r="M9" s="734"/>
      <c r="N9" s="734"/>
      <c r="O9" s="734"/>
      <c r="P9" s="734"/>
      <c r="Q9" s="734"/>
      <c r="R9" s="734"/>
      <c r="S9" s="734"/>
      <c r="T9" s="734"/>
      <c r="U9" s="734"/>
      <c r="V9" s="734"/>
      <c r="W9" s="734"/>
      <c r="X9" s="734"/>
      <c r="Y9" s="734"/>
      <c r="Z9" s="734"/>
      <c r="AA9" s="734"/>
      <c r="AB9" s="734"/>
      <c r="AC9" s="735"/>
    </row>
    <row r="10" spans="1:29" ht="19.95" customHeight="1" thickTop="1" thickBot="1" x14ac:dyDescent="0.35">
      <c r="A10" s="739" t="s">
        <v>175</v>
      </c>
      <c r="B10" s="731"/>
      <c r="C10" s="731"/>
      <c r="D10" s="731"/>
      <c r="E10" s="731"/>
      <c r="F10" s="731"/>
      <c r="G10" s="731"/>
      <c r="H10" s="731"/>
      <c r="I10" s="731"/>
      <c r="J10" s="731"/>
      <c r="K10" s="731"/>
      <c r="L10" s="731"/>
      <c r="M10" s="731"/>
      <c r="N10" s="731"/>
      <c r="O10" s="731"/>
      <c r="P10" s="731"/>
      <c r="Q10" s="731"/>
      <c r="R10" s="731"/>
      <c r="S10" s="731"/>
      <c r="T10" s="731"/>
      <c r="U10" s="731"/>
      <c r="V10" s="731"/>
      <c r="W10" s="731"/>
      <c r="X10" s="731"/>
      <c r="Y10" s="731"/>
      <c r="Z10" s="731"/>
      <c r="AA10" s="731"/>
      <c r="AB10" s="731"/>
      <c r="AC10" s="740"/>
    </row>
    <row r="11" spans="1:29" s="16" customFormat="1" ht="25.95" customHeight="1" thickTop="1" thickBot="1" x14ac:dyDescent="0.35">
      <c r="A11" s="378" t="s">
        <v>260</v>
      </c>
      <c r="B11" s="756" t="s">
        <v>176</v>
      </c>
      <c r="C11" s="716"/>
      <c r="D11" s="716"/>
      <c r="E11" s="716"/>
      <c r="F11" s="716"/>
      <c r="G11" s="716"/>
      <c r="H11" s="716"/>
      <c r="I11" s="716"/>
      <c r="J11" s="716"/>
      <c r="K11" s="716"/>
      <c r="L11" s="717"/>
      <c r="M11" s="377" t="s">
        <v>2</v>
      </c>
      <c r="N11" s="377" t="s">
        <v>177</v>
      </c>
      <c r="O11" s="377" t="s">
        <v>178</v>
      </c>
      <c r="P11" s="297" t="s">
        <v>604</v>
      </c>
      <c r="Q11" s="298" t="s">
        <v>605</v>
      </c>
      <c r="R11" s="744" t="s">
        <v>179</v>
      </c>
      <c r="S11" s="716"/>
      <c r="T11" s="716"/>
      <c r="U11" s="716"/>
      <c r="V11" s="716"/>
      <c r="W11" s="717"/>
      <c r="X11" s="762" t="s">
        <v>267</v>
      </c>
      <c r="Y11" s="716"/>
      <c r="Z11" s="716"/>
      <c r="AA11" s="716"/>
      <c r="AB11" s="716"/>
      <c r="AC11" s="719"/>
    </row>
    <row r="12" spans="1:29" ht="28.05" customHeight="1" thickTop="1" x14ac:dyDescent="0.3">
      <c r="A12" s="374" t="s">
        <v>180</v>
      </c>
      <c r="B12" s="763"/>
      <c r="C12" s="686"/>
      <c r="D12" s="686"/>
      <c r="E12" s="686"/>
      <c r="F12" s="686"/>
      <c r="G12" s="686"/>
      <c r="H12" s="686"/>
      <c r="I12" s="686"/>
      <c r="J12" s="686"/>
      <c r="K12" s="686"/>
      <c r="L12" s="737"/>
      <c r="M12" s="375"/>
      <c r="N12" s="375"/>
      <c r="O12" s="375"/>
      <c r="P12" s="375"/>
      <c r="Q12" s="22"/>
      <c r="R12" s="768"/>
      <c r="S12" s="686"/>
      <c r="T12" s="686"/>
      <c r="U12" s="686"/>
      <c r="V12" s="686"/>
      <c r="W12" s="737"/>
      <c r="X12" s="746"/>
      <c r="Y12" s="686"/>
      <c r="Z12" s="686"/>
      <c r="AA12" s="686"/>
      <c r="AB12" s="686"/>
      <c r="AC12" s="687"/>
    </row>
    <row r="13" spans="1:29" ht="28.05" customHeight="1" x14ac:dyDescent="0.3">
      <c r="A13" s="373" t="s">
        <v>181</v>
      </c>
      <c r="B13" s="688"/>
      <c r="C13" s="690"/>
      <c r="D13" s="690"/>
      <c r="E13" s="690"/>
      <c r="F13" s="690"/>
      <c r="G13" s="690"/>
      <c r="H13" s="690"/>
      <c r="I13" s="690"/>
      <c r="J13" s="690"/>
      <c r="K13" s="690"/>
      <c r="L13" s="689"/>
      <c r="M13" s="372"/>
      <c r="N13" s="372"/>
      <c r="O13" s="372"/>
      <c r="P13" s="372"/>
      <c r="Q13" s="19"/>
      <c r="R13" s="754"/>
      <c r="S13" s="690"/>
      <c r="T13" s="690"/>
      <c r="U13" s="690"/>
      <c r="V13" s="690"/>
      <c r="W13" s="689"/>
      <c r="X13" s="729"/>
      <c r="Y13" s="690"/>
      <c r="Z13" s="690"/>
      <c r="AA13" s="690"/>
      <c r="AB13" s="690"/>
      <c r="AC13" s="698"/>
    </row>
    <row r="14" spans="1:29" ht="28.05" customHeight="1" x14ac:dyDescent="0.3">
      <c r="A14" s="373" t="s">
        <v>182</v>
      </c>
      <c r="B14" s="688"/>
      <c r="C14" s="690"/>
      <c r="D14" s="690"/>
      <c r="E14" s="690"/>
      <c r="F14" s="690"/>
      <c r="G14" s="690"/>
      <c r="H14" s="690"/>
      <c r="I14" s="690"/>
      <c r="J14" s="690"/>
      <c r="K14" s="690"/>
      <c r="L14" s="689"/>
      <c r="M14" s="372"/>
      <c r="N14" s="372"/>
      <c r="O14" s="372"/>
      <c r="P14" s="372"/>
      <c r="Q14" s="19"/>
      <c r="R14" s="754"/>
      <c r="S14" s="690"/>
      <c r="T14" s="690"/>
      <c r="U14" s="690"/>
      <c r="V14" s="690"/>
      <c r="W14" s="689"/>
      <c r="X14" s="729"/>
      <c r="Y14" s="690"/>
      <c r="Z14" s="690"/>
      <c r="AA14" s="690"/>
      <c r="AB14" s="690"/>
      <c r="AC14" s="698"/>
    </row>
    <row r="15" spans="1:29" ht="28.05" customHeight="1" x14ac:dyDescent="0.3">
      <c r="A15" s="373" t="s">
        <v>183</v>
      </c>
      <c r="B15" s="688"/>
      <c r="C15" s="690"/>
      <c r="D15" s="690"/>
      <c r="E15" s="690"/>
      <c r="F15" s="690"/>
      <c r="G15" s="690"/>
      <c r="H15" s="690"/>
      <c r="I15" s="690"/>
      <c r="J15" s="690"/>
      <c r="K15" s="690"/>
      <c r="L15" s="689"/>
      <c r="M15" s="372"/>
      <c r="N15" s="372"/>
      <c r="O15" s="372"/>
      <c r="P15" s="372"/>
      <c r="Q15" s="19"/>
      <c r="R15" s="754"/>
      <c r="S15" s="690"/>
      <c r="T15" s="690"/>
      <c r="U15" s="690"/>
      <c r="V15" s="690"/>
      <c r="W15" s="689"/>
      <c r="X15" s="729"/>
      <c r="Y15" s="690"/>
      <c r="Z15" s="690"/>
      <c r="AA15" s="690"/>
      <c r="AB15" s="690"/>
      <c r="AC15" s="698"/>
    </row>
    <row r="16" spans="1:29" ht="28.05" customHeight="1" x14ac:dyDescent="0.3">
      <c r="A16" s="373" t="s">
        <v>184</v>
      </c>
      <c r="B16" s="688"/>
      <c r="C16" s="690"/>
      <c r="D16" s="690"/>
      <c r="E16" s="690"/>
      <c r="F16" s="690"/>
      <c r="G16" s="690"/>
      <c r="H16" s="690"/>
      <c r="I16" s="690"/>
      <c r="J16" s="690"/>
      <c r="K16" s="690"/>
      <c r="L16" s="689"/>
      <c r="M16" s="372"/>
      <c r="N16" s="372"/>
      <c r="O16" s="372"/>
      <c r="P16" s="372"/>
      <c r="Q16" s="19"/>
      <c r="R16" s="754"/>
      <c r="S16" s="690"/>
      <c r="T16" s="690"/>
      <c r="U16" s="690"/>
      <c r="V16" s="690"/>
      <c r="W16" s="689"/>
      <c r="X16" s="729"/>
      <c r="Y16" s="690"/>
      <c r="Z16" s="690"/>
      <c r="AA16" s="690"/>
      <c r="AB16" s="690"/>
      <c r="AC16" s="698"/>
    </row>
    <row r="17" spans="1:29" ht="28.05" customHeight="1" x14ac:dyDescent="0.3">
      <c r="A17" s="373" t="s">
        <v>185</v>
      </c>
      <c r="B17" s="688"/>
      <c r="C17" s="690"/>
      <c r="D17" s="690"/>
      <c r="E17" s="690"/>
      <c r="F17" s="690"/>
      <c r="G17" s="690"/>
      <c r="H17" s="690"/>
      <c r="I17" s="690"/>
      <c r="J17" s="690"/>
      <c r="K17" s="690"/>
      <c r="L17" s="689"/>
      <c r="M17" s="372"/>
      <c r="N17" s="372"/>
      <c r="O17" s="372"/>
      <c r="P17" s="372"/>
      <c r="Q17" s="19"/>
      <c r="R17" s="754"/>
      <c r="S17" s="690"/>
      <c r="T17" s="690"/>
      <c r="U17" s="690"/>
      <c r="V17" s="690"/>
      <c r="W17" s="689"/>
      <c r="X17" s="729"/>
      <c r="Y17" s="690"/>
      <c r="Z17" s="690"/>
      <c r="AA17" s="690"/>
      <c r="AB17" s="690"/>
      <c r="AC17" s="698"/>
    </row>
    <row r="18" spans="1:29" ht="28.05" customHeight="1" x14ac:dyDescent="0.3">
      <c r="A18" s="373" t="s">
        <v>186</v>
      </c>
      <c r="B18" s="688"/>
      <c r="C18" s="690"/>
      <c r="D18" s="690"/>
      <c r="E18" s="690"/>
      <c r="F18" s="690"/>
      <c r="G18" s="690"/>
      <c r="H18" s="690"/>
      <c r="I18" s="690"/>
      <c r="J18" s="690"/>
      <c r="K18" s="690"/>
      <c r="L18" s="689"/>
      <c r="M18" s="372"/>
      <c r="N18" s="372"/>
      <c r="O18" s="372"/>
      <c r="P18" s="372"/>
      <c r="Q18" s="19"/>
      <c r="R18" s="754"/>
      <c r="S18" s="690"/>
      <c r="T18" s="690"/>
      <c r="U18" s="690"/>
      <c r="V18" s="690"/>
      <c r="W18" s="689"/>
      <c r="X18" s="729"/>
      <c r="Y18" s="690"/>
      <c r="Z18" s="690"/>
      <c r="AA18" s="690"/>
      <c r="AB18" s="690"/>
      <c r="AC18" s="698"/>
    </row>
    <row r="19" spans="1:29" ht="28.05" customHeight="1" thickBot="1" x14ac:dyDescent="0.35">
      <c r="A19" s="376" t="s">
        <v>187</v>
      </c>
      <c r="B19" s="714"/>
      <c r="C19" s="695"/>
      <c r="D19" s="695"/>
      <c r="E19" s="695"/>
      <c r="F19" s="695"/>
      <c r="G19" s="695"/>
      <c r="H19" s="695"/>
      <c r="I19" s="695"/>
      <c r="J19" s="695"/>
      <c r="K19" s="695"/>
      <c r="L19" s="708"/>
      <c r="M19" s="379"/>
      <c r="N19" s="379"/>
      <c r="O19" s="379"/>
      <c r="P19" s="379"/>
      <c r="Q19" s="17"/>
      <c r="R19" s="753"/>
      <c r="S19" s="695"/>
      <c r="T19" s="695"/>
      <c r="U19" s="695"/>
      <c r="V19" s="695"/>
      <c r="W19" s="708"/>
      <c r="X19" s="742"/>
      <c r="Y19" s="695"/>
      <c r="Z19" s="695"/>
      <c r="AA19" s="695"/>
      <c r="AB19" s="695"/>
      <c r="AC19" s="696"/>
    </row>
    <row r="20" spans="1:29" ht="7.95" customHeight="1" thickTop="1" thickBot="1" x14ac:dyDescent="0.35">
      <c r="A20" s="751"/>
      <c r="B20" s="734"/>
      <c r="C20" s="734"/>
      <c r="D20" s="734"/>
      <c r="E20" s="734"/>
      <c r="F20" s="734"/>
      <c r="G20" s="734"/>
      <c r="H20" s="734"/>
      <c r="I20" s="734"/>
      <c r="J20" s="734"/>
      <c r="K20" s="734"/>
      <c r="L20" s="734"/>
      <c r="M20" s="734"/>
      <c r="N20" s="734"/>
      <c r="O20" s="734"/>
      <c r="P20" s="734"/>
      <c r="Q20" s="734"/>
      <c r="R20" s="734"/>
      <c r="S20" s="734"/>
      <c r="T20" s="734"/>
      <c r="U20" s="734"/>
      <c r="V20" s="734"/>
      <c r="W20" s="734"/>
      <c r="X20" s="734"/>
      <c r="Y20" s="734"/>
      <c r="Z20" s="734"/>
      <c r="AA20" s="734"/>
      <c r="AB20" s="734"/>
      <c r="AC20" s="735"/>
    </row>
    <row r="21" spans="1:29" ht="19.95" customHeight="1" thickTop="1" thickBot="1" x14ac:dyDescent="0.35">
      <c r="A21" s="715" t="s">
        <v>188</v>
      </c>
      <c r="B21" s="716"/>
      <c r="C21" s="716"/>
      <c r="D21" s="716"/>
      <c r="E21" s="716"/>
      <c r="F21" s="716"/>
      <c r="G21" s="716"/>
      <c r="H21" s="716"/>
      <c r="I21" s="716"/>
      <c r="J21" s="716"/>
      <c r="K21" s="716"/>
      <c r="L21" s="716"/>
      <c r="M21" s="716"/>
      <c r="N21" s="716"/>
      <c r="O21" s="716"/>
      <c r="P21" s="716"/>
      <c r="Q21" s="716"/>
      <c r="R21" s="716"/>
      <c r="S21" s="716"/>
      <c r="T21" s="716"/>
      <c r="U21" s="716"/>
      <c r="V21" s="716"/>
      <c r="W21" s="716"/>
      <c r="X21" s="716"/>
      <c r="Y21" s="716"/>
      <c r="Z21" s="716"/>
      <c r="AA21" s="716"/>
      <c r="AB21" s="716"/>
      <c r="AC21" s="717"/>
    </row>
    <row r="22" spans="1:29" ht="25.95" customHeight="1" thickTop="1" thickBot="1" x14ac:dyDescent="0.35">
      <c r="A22" s="720" t="s">
        <v>52</v>
      </c>
      <c r="B22" s="716"/>
      <c r="C22" s="716"/>
      <c r="D22" s="716"/>
      <c r="E22" s="716"/>
      <c r="F22" s="716"/>
      <c r="G22" s="716"/>
      <c r="H22" s="719"/>
      <c r="I22" s="720" t="s">
        <v>189</v>
      </c>
      <c r="J22" s="716"/>
      <c r="K22" s="716"/>
      <c r="L22" s="716"/>
      <c r="M22" s="716"/>
      <c r="N22" s="716"/>
      <c r="O22" s="716"/>
      <c r="P22" s="716"/>
      <c r="Q22" s="719"/>
      <c r="R22" s="720" t="s">
        <v>190</v>
      </c>
      <c r="S22" s="719"/>
      <c r="T22" s="718" t="s">
        <v>191</v>
      </c>
      <c r="U22" s="719"/>
      <c r="V22" s="766" t="s">
        <v>6</v>
      </c>
      <c r="W22" s="716"/>
      <c r="X22" s="716"/>
      <c r="Y22" s="716"/>
      <c r="Z22" s="716"/>
      <c r="AA22" s="716"/>
      <c r="AB22" s="716"/>
      <c r="AC22" s="719"/>
    </row>
    <row r="23" spans="1:29" s="16" customFormat="1" ht="25.95" customHeight="1" thickTop="1" thickBot="1" x14ac:dyDescent="0.35">
      <c r="A23" s="231" t="s">
        <v>260</v>
      </c>
      <c r="B23" s="759" t="s">
        <v>192</v>
      </c>
      <c r="C23" s="761"/>
      <c r="D23" s="759" t="s">
        <v>193</v>
      </c>
      <c r="E23" s="760"/>
      <c r="F23" s="761"/>
      <c r="G23" s="236" t="s">
        <v>194</v>
      </c>
      <c r="H23" s="11" t="s">
        <v>195</v>
      </c>
      <c r="I23" s="10" t="s">
        <v>180</v>
      </c>
      <c r="J23" s="236" t="s">
        <v>181</v>
      </c>
      <c r="K23" s="236" t="s">
        <v>182</v>
      </c>
      <c r="L23" s="236" t="s">
        <v>183</v>
      </c>
      <c r="M23" s="236" t="s">
        <v>184</v>
      </c>
      <c r="N23" s="236" t="s">
        <v>185</v>
      </c>
      <c r="O23" s="236" t="s">
        <v>186</v>
      </c>
      <c r="P23" s="236" t="s">
        <v>187</v>
      </c>
      <c r="Q23" s="12" t="s">
        <v>196</v>
      </c>
      <c r="R23" s="15" t="s">
        <v>197</v>
      </c>
      <c r="S23" s="235" t="s">
        <v>198</v>
      </c>
      <c r="T23" s="235" t="s">
        <v>197</v>
      </c>
      <c r="U23" s="238" t="s">
        <v>198</v>
      </c>
      <c r="V23" s="720" t="s">
        <v>52</v>
      </c>
      <c r="W23" s="716"/>
      <c r="X23" s="716"/>
      <c r="Y23" s="716"/>
      <c r="Z23" s="719"/>
      <c r="AA23" s="8" t="s">
        <v>2</v>
      </c>
      <c r="AB23" s="20" t="s">
        <v>178</v>
      </c>
      <c r="AC23" s="228" t="s">
        <v>199</v>
      </c>
    </row>
    <row r="24" spans="1:29" ht="28.05" customHeight="1" thickTop="1" x14ac:dyDescent="0.3">
      <c r="A24" s="239">
        <v>1</v>
      </c>
      <c r="B24" s="763"/>
      <c r="C24" s="737"/>
      <c r="D24" s="763"/>
      <c r="E24" s="686"/>
      <c r="F24" s="737"/>
      <c r="G24" s="237"/>
      <c r="H24" s="21"/>
      <c r="I24" s="234"/>
      <c r="J24" s="237"/>
      <c r="K24" s="237"/>
      <c r="L24" s="237"/>
      <c r="M24" s="237"/>
      <c r="N24" s="237"/>
      <c r="O24" s="237"/>
      <c r="P24" s="237"/>
      <c r="Q24" s="22"/>
      <c r="R24" s="745"/>
      <c r="S24" s="731"/>
      <c r="T24" s="731"/>
      <c r="U24" s="740"/>
      <c r="V24" s="685"/>
      <c r="W24" s="686"/>
      <c r="X24" s="686"/>
      <c r="Y24" s="686"/>
      <c r="Z24" s="687"/>
      <c r="AA24" s="232"/>
      <c r="AB24" s="21"/>
      <c r="AC24" s="22"/>
    </row>
    <row r="25" spans="1:29" ht="28.05" customHeight="1" x14ac:dyDescent="0.3">
      <c r="A25" s="233">
        <v>2</v>
      </c>
      <c r="B25" s="688"/>
      <c r="C25" s="689"/>
      <c r="D25" s="688"/>
      <c r="E25" s="690"/>
      <c r="F25" s="689"/>
      <c r="G25" s="226"/>
      <c r="H25" s="18"/>
      <c r="I25" s="230"/>
      <c r="J25" s="226"/>
      <c r="K25" s="226"/>
      <c r="L25" s="226"/>
      <c r="M25" s="226"/>
      <c r="N25" s="226"/>
      <c r="O25" s="226"/>
      <c r="P25" s="226"/>
      <c r="Q25" s="19"/>
      <c r="R25" s="691"/>
      <c r="S25" s="692"/>
      <c r="T25" s="692"/>
      <c r="U25" s="693"/>
      <c r="V25" s="685"/>
      <c r="W25" s="686"/>
      <c r="X25" s="686"/>
      <c r="Y25" s="686"/>
      <c r="Z25" s="687"/>
      <c r="AA25" s="232"/>
      <c r="AB25" s="18"/>
      <c r="AC25" s="19"/>
    </row>
    <row r="26" spans="1:29" ht="28.05" customHeight="1" x14ac:dyDescent="0.3">
      <c r="A26" s="233">
        <v>3</v>
      </c>
      <c r="B26" s="688"/>
      <c r="C26" s="689"/>
      <c r="D26" s="688"/>
      <c r="E26" s="690"/>
      <c r="F26" s="689"/>
      <c r="G26" s="226"/>
      <c r="H26" s="18"/>
      <c r="I26" s="230"/>
      <c r="J26" s="226"/>
      <c r="K26" s="226"/>
      <c r="L26" s="226"/>
      <c r="M26" s="226"/>
      <c r="N26" s="226"/>
      <c r="O26" s="226"/>
      <c r="P26" s="226"/>
      <c r="Q26" s="19"/>
      <c r="R26" s="691"/>
      <c r="S26" s="692"/>
      <c r="T26" s="692"/>
      <c r="U26" s="693"/>
      <c r="V26" s="685"/>
      <c r="W26" s="686"/>
      <c r="X26" s="686"/>
      <c r="Y26" s="686"/>
      <c r="Z26" s="687"/>
      <c r="AA26" s="232"/>
      <c r="AB26" s="18"/>
      <c r="AC26" s="19"/>
    </row>
    <row r="27" spans="1:29" ht="28.05" customHeight="1" x14ac:dyDescent="0.3">
      <c r="A27" s="233">
        <v>4</v>
      </c>
      <c r="B27" s="688"/>
      <c r="C27" s="689"/>
      <c r="D27" s="688"/>
      <c r="E27" s="690"/>
      <c r="F27" s="689"/>
      <c r="G27" s="226"/>
      <c r="H27" s="18"/>
      <c r="I27" s="230"/>
      <c r="J27" s="226"/>
      <c r="K27" s="226"/>
      <c r="L27" s="226"/>
      <c r="M27" s="226"/>
      <c r="N27" s="226"/>
      <c r="O27" s="226"/>
      <c r="P27" s="226"/>
      <c r="Q27" s="19"/>
      <c r="R27" s="691"/>
      <c r="S27" s="692"/>
      <c r="T27" s="692"/>
      <c r="U27" s="693"/>
      <c r="V27" s="685"/>
      <c r="W27" s="686"/>
      <c r="X27" s="686"/>
      <c r="Y27" s="686"/>
      <c r="Z27" s="687"/>
      <c r="AA27" s="232"/>
      <c r="AB27" s="18"/>
      <c r="AC27" s="19"/>
    </row>
    <row r="28" spans="1:29" ht="28.05" customHeight="1" x14ac:dyDescent="0.3">
      <c r="A28" s="233">
        <v>5</v>
      </c>
      <c r="B28" s="688"/>
      <c r="C28" s="689"/>
      <c r="D28" s="688"/>
      <c r="E28" s="690"/>
      <c r="F28" s="689"/>
      <c r="G28" s="226"/>
      <c r="H28" s="18"/>
      <c r="I28" s="230"/>
      <c r="J28" s="226"/>
      <c r="K28" s="226"/>
      <c r="L28" s="226"/>
      <c r="M28" s="226"/>
      <c r="N28" s="226"/>
      <c r="O28" s="226"/>
      <c r="P28" s="226"/>
      <c r="Q28" s="19"/>
      <c r="R28" s="691"/>
      <c r="S28" s="692"/>
      <c r="T28" s="692"/>
      <c r="U28" s="693"/>
      <c r="V28" s="685"/>
      <c r="W28" s="686"/>
      <c r="X28" s="686"/>
      <c r="Y28" s="686"/>
      <c r="Z28" s="687"/>
      <c r="AA28" s="232"/>
      <c r="AB28" s="18"/>
      <c r="AC28" s="19"/>
    </row>
    <row r="29" spans="1:29" ht="28.05" customHeight="1" x14ac:dyDescent="0.3">
      <c r="A29" s="233">
        <v>6</v>
      </c>
      <c r="B29" s="688"/>
      <c r="C29" s="689"/>
      <c r="D29" s="688"/>
      <c r="E29" s="690"/>
      <c r="F29" s="689"/>
      <c r="G29" s="226"/>
      <c r="H29" s="18"/>
      <c r="I29" s="230"/>
      <c r="J29" s="226"/>
      <c r="K29" s="226"/>
      <c r="L29" s="226"/>
      <c r="M29" s="226"/>
      <c r="N29" s="226"/>
      <c r="O29" s="226"/>
      <c r="P29" s="226"/>
      <c r="Q29" s="19"/>
      <c r="R29" s="691"/>
      <c r="S29" s="692"/>
      <c r="T29" s="692"/>
      <c r="U29" s="693"/>
      <c r="V29" s="685"/>
      <c r="W29" s="686"/>
      <c r="X29" s="686"/>
      <c r="Y29" s="686"/>
      <c r="Z29" s="687"/>
      <c r="AA29" s="232"/>
      <c r="AB29" s="18"/>
      <c r="AC29" s="19"/>
    </row>
    <row r="30" spans="1:29" ht="28.05" customHeight="1" thickBot="1" x14ac:dyDescent="0.35">
      <c r="A30" s="233">
        <v>7</v>
      </c>
      <c r="B30" s="688"/>
      <c r="C30" s="689"/>
      <c r="D30" s="688"/>
      <c r="E30" s="690"/>
      <c r="F30" s="689"/>
      <c r="G30" s="226"/>
      <c r="H30" s="18"/>
      <c r="I30" s="230"/>
      <c r="J30" s="226"/>
      <c r="K30" s="226"/>
      <c r="L30" s="226"/>
      <c r="M30" s="226"/>
      <c r="N30" s="226"/>
      <c r="O30" s="226"/>
      <c r="P30" s="226"/>
      <c r="Q30" s="19"/>
      <c r="R30" s="691"/>
      <c r="S30" s="692"/>
      <c r="T30" s="692"/>
      <c r="U30" s="693"/>
      <c r="V30" s="770"/>
      <c r="W30" s="760"/>
      <c r="X30" s="760"/>
      <c r="Y30" s="760"/>
      <c r="Z30" s="771"/>
      <c r="AA30" s="9"/>
      <c r="AB30" s="13"/>
      <c r="AC30" s="14"/>
    </row>
    <row r="31" spans="1:29" ht="28.05" customHeight="1" thickTop="1" thickBot="1" x14ac:dyDescent="0.35">
      <c r="A31" s="233">
        <v>8</v>
      </c>
      <c r="B31" s="688"/>
      <c r="C31" s="689"/>
      <c r="D31" s="688"/>
      <c r="E31" s="690"/>
      <c r="F31" s="689"/>
      <c r="G31" s="226"/>
      <c r="H31" s="18"/>
      <c r="I31" s="230"/>
      <c r="J31" s="226"/>
      <c r="K31" s="226"/>
      <c r="L31" s="226"/>
      <c r="M31" s="226"/>
      <c r="N31" s="226"/>
      <c r="O31" s="226"/>
      <c r="P31" s="226"/>
      <c r="Q31" s="19"/>
      <c r="R31" s="691"/>
      <c r="S31" s="692"/>
      <c r="T31" s="692"/>
      <c r="U31" s="693"/>
      <c r="V31" s="720" t="s">
        <v>7</v>
      </c>
      <c r="W31" s="716"/>
      <c r="X31" s="716"/>
      <c r="Y31" s="716"/>
      <c r="Z31" s="716"/>
      <c r="AA31" s="716"/>
      <c r="AB31" s="716"/>
      <c r="AC31" s="719"/>
    </row>
    <row r="32" spans="1:29" ht="28.05" customHeight="1" thickTop="1" thickBot="1" x14ac:dyDescent="0.35">
      <c r="A32" s="233">
        <v>9</v>
      </c>
      <c r="B32" s="688"/>
      <c r="C32" s="689"/>
      <c r="D32" s="688"/>
      <c r="E32" s="690"/>
      <c r="F32" s="689"/>
      <c r="G32" s="226"/>
      <c r="H32" s="18"/>
      <c r="I32" s="230"/>
      <c r="J32" s="226"/>
      <c r="K32" s="226"/>
      <c r="L32" s="226"/>
      <c r="M32" s="226"/>
      <c r="N32" s="226"/>
      <c r="O32" s="226"/>
      <c r="P32" s="226"/>
      <c r="Q32" s="19"/>
      <c r="R32" s="691"/>
      <c r="S32" s="692"/>
      <c r="T32" s="692"/>
      <c r="U32" s="693"/>
      <c r="V32" s="720" t="s">
        <v>52</v>
      </c>
      <c r="W32" s="716"/>
      <c r="X32" s="716"/>
      <c r="Y32" s="716"/>
      <c r="Z32" s="719"/>
      <c r="AA32" s="8" t="s">
        <v>2</v>
      </c>
      <c r="AB32" s="235" t="s">
        <v>178</v>
      </c>
      <c r="AC32" s="228" t="s">
        <v>130</v>
      </c>
    </row>
    <row r="33" spans="1:31" ht="28.05" customHeight="1" thickTop="1" thickBot="1" x14ac:dyDescent="0.35">
      <c r="A33" s="233">
        <v>10</v>
      </c>
      <c r="B33" s="688"/>
      <c r="C33" s="689"/>
      <c r="D33" s="688"/>
      <c r="E33" s="690"/>
      <c r="F33" s="689"/>
      <c r="G33" s="226"/>
      <c r="H33" s="18"/>
      <c r="I33" s="230"/>
      <c r="J33" s="226"/>
      <c r="K33" s="226"/>
      <c r="L33" s="226"/>
      <c r="M33" s="226"/>
      <c r="N33" s="226"/>
      <c r="O33" s="226"/>
      <c r="P33" s="226"/>
      <c r="Q33" s="19"/>
      <c r="R33" s="691"/>
      <c r="S33" s="692"/>
      <c r="T33" s="692"/>
      <c r="U33" s="693"/>
      <c r="V33" s="685"/>
      <c r="W33" s="686"/>
      <c r="X33" s="686"/>
      <c r="Y33" s="686"/>
      <c r="Z33" s="687"/>
      <c r="AA33" s="232"/>
      <c r="AB33" s="21"/>
      <c r="AC33" s="22"/>
    </row>
    <row r="34" spans="1:31" ht="28.05" customHeight="1" thickTop="1" thickBot="1" x14ac:dyDescent="0.35">
      <c r="A34" s="233">
        <v>11</v>
      </c>
      <c r="B34" s="688"/>
      <c r="C34" s="689"/>
      <c r="D34" s="688"/>
      <c r="E34" s="690"/>
      <c r="F34" s="689"/>
      <c r="G34" s="226"/>
      <c r="H34" s="18"/>
      <c r="I34" s="230"/>
      <c r="J34" s="226"/>
      <c r="K34" s="226"/>
      <c r="L34" s="226"/>
      <c r="M34" s="226"/>
      <c r="N34" s="226"/>
      <c r="O34" s="226"/>
      <c r="P34" s="226"/>
      <c r="Q34" s="19"/>
      <c r="R34" s="691"/>
      <c r="S34" s="692"/>
      <c r="T34" s="692"/>
      <c r="U34" s="693"/>
      <c r="V34" s="697"/>
      <c r="W34" s="690"/>
      <c r="X34" s="690"/>
      <c r="Y34" s="690"/>
      <c r="Z34" s="698"/>
      <c r="AA34" s="232"/>
      <c r="AB34" s="18"/>
      <c r="AC34" s="19"/>
      <c r="AE34" s="4"/>
    </row>
    <row r="35" spans="1:31" ht="28.05" customHeight="1" thickTop="1" x14ac:dyDescent="0.3">
      <c r="A35" s="233">
        <v>12</v>
      </c>
      <c r="B35" s="688"/>
      <c r="C35" s="689"/>
      <c r="D35" s="688"/>
      <c r="E35" s="690"/>
      <c r="F35" s="689"/>
      <c r="G35" s="226"/>
      <c r="H35" s="18"/>
      <c r="I35" s="230"/>
      <c r="J35" s="226"/>
      <c r="K35" s="226"/>
      <c r="L35" s="226"/>
      <c r="M35" s="226"/>
      <c r="N35" s="226"/>
      <c r="O35" s="226"/>
      <c r="P35" s="226"/>
      <c r="Q35" s="19"/>
      <c r="R35" s="691"/>
      <c r="S35" s="692"/>
      <c r="T35" s="692"/>
      <c r="U35" s="693"/>
      <c r="V35" s="697"/>
      <c r="W35" s="690"/>
      <c r="X35" s="690"/>
      <c r="Y35" s="690"/>
      <c r="Z35" s="698"/>
      <c r="AA35" s="232"/>
      <c r="AB35" s="18"/>
      <c r="AC35" s="19"/>
    </row>
    <row r="36" spans="1:31" ht="28.05" customHeight="1" x14ac:dyDescent="0.3">
      <c r="A36" s="233">
        <v>13</v>
      </c>
      <c r="B36" s="688"/>
      <c r="C36" s="689"/>
      <c r="D36" s="688"/>
      <c r="E36" s="690"/>
      <c r="F36" s="689"/>
      <c r="G36" s="226"/>
      <c r="H36" s="18"/>
      <c r="I36" s="230"/>
      <c r="J36" s="226"/>
      <c r="K36" s="226"/>
      <c r="L36" s="226"/>
      <c r="M36" s="226"/>
      <c r="N36" s="226"/>
      <c r="O36" s="226"/>
      <c r="P36" s="226"/>
      <c r="Q36" s="19"/>
      <c r="R36" s="691"/>
      <c r="S36" s="692"/>
      <c r="T36" s="692"/>
      <c r="U36" s="693"/>
      <c r="V36" s="697"/>
      <c r="W36" s="690"/>
      <c r="X36" s="690"/>
      <c r="Y36" s="690"/>
      <c r="Z36" s="698"/>
      <c r="AA36" s="232"/>
      <c r="AB36" s="18"/>
      <c r="AC36" s="19"/>
    </row>
    <row r="37" spans="1:31" ht="28.05" customHeight="1" x14ac:dyDescent="0.3">
      <c r="A37" s="233">
        <v>14</v>
      </c>
      <c r="B37" s="688"/>
      <c r="C37" s="689"/>
      <c r="D37" s="688"/>
      <c r="E37" s="690"/>
      <c r="F37" s="689"/>
      <c r="G37" s="226"/>
      <c r="H37" s="18"/>
      <c r="I37" s="230"/>
      <c r="J37" s="226"/>
      <c r="K37" s="226"/>
      <c r="L37" s="226"/>
      <c r="M37" s="226"/>
      <c r="N37" s="226"/>
      <c r="O37" s="226"/>
      <c r="P37" s="226"/>
      <c r="Q37" s="19"/>
      <c r="R37" s="691"/>
      <c r="S37" s="692"/>
      <c r="T37" s="692"/>
      <c r="U37" s="693"/>
      <c r="V37" s="697"/>
      <c r="W37" s="690"/>
      <c r="X37" s="690"/>
      <c r="Y37" s="690"/>
      <c r="Z37" s="698"/>
      <c r="AA37" s="232"/>
      <c r="AB37" s="18"/>
      <c r="AC37" s="19"/>
    </row>
    <row r="38" spans="1:31" ht="28.05" customHeight="1" x14ac:dyDescent="0.3">
      <c r="A38" s="233">
        <v>15</v>
      </c>
      <c r="B38" s="688"/>
      <c r="C38" s="689"/>
      <c r="D38" s="688"/>
      <c r="E38" s="690"/>
      <c r="F38" s="689"/>
      <c r="G38" s="226"/>
      <c r="H38" s="18"/>
      <c r="I38" s="230"/>
      <c r="J38" s="226"/>
      <c r="K38" s="226"/>
      <c r="L38" s="226"/>
      <c r="M38" s="226"/>
      <c r="N38" s="226"/>
      <c r="O38" s="226"/>
      <c r="P38" s="226"/>
      <c r="Q38" s="19"/>
      <c r="R38" s="691"/>
      <c r="S38" s="692"/>
      <c r="T38" s="692"/>
      <c r="U38" s="693"/>
      <c r="V38" s="697"/>
      <c r="W38" s="690"/>
      <c r="X38" s="690"/>
      <c r="Y38" s="690"/>
      <c r="Z38" s="698"/>
      <c r="AA38" s="232"/>
      <c r="AB38" s="18"/>
      <c r="AC38" s="19"/>
    </row>
    <row r="39" spans="1:31" ht="27" customHeight="1" thickBot="1" x14ac:dyDescent="0.35">
      <c r="A39" s="711" t="s">
        <v>200</v>
      </c>
      <c r="B39" s="686"/>
      <c r="C39" s="686"/>
      <c r="D39" s="686"/>
      <c r="E39" s="686"/>
      <c r="F39" s="686"/>
      <c r="G39" s="686"/>
      <c r="H39" s="686"/>
      <c r="I39" s="5"/>
      <c r="J39" s="6"/>
      <c r="K39" s="6"/>
      <c r="L39" s="6"/>
      <c r="M39" s="6"/>
      <c r="N39" s="6"/>
      <c r="O39" s="6"/>
      <c r="P39" s="6"/>
      <c r="Q39" s="7"/>
      <c r="R39" s="741"/>
      <c r="S39" s="686"/>
      <c r="T39" s="686"/>
      <c r="U39" s="686"/>
      <c r="V39" s="686"/>
      <c r="W39" s="686"/>
      <c r="X39" s="686"/>
      <c r="Y39" s="686"/>
      <c r="Z39" s="686"/>
      <c r="AA39" s="686"/>
      <c r="AB39" s="686"/>
      <c r="AC39" s="737"/>
    </row>
    <row r="40" spans="1:31" ht="7.95" customHeight="1" thickTop="1" thickBot="1" x14ac:dyDescent="0.35">
      <c r="A40" s="724"/>
      <c r="B40" s="692"/>
      <c r="C40" s="692"/>
      <c r="D40" s="692"/>
      <c r="E40" s="692"/>
      <c r="F40" s="692"/>
      <c r="G40" s="692"/>
      <c r="H40" s="692"/>
      <c r="I40" s="692"/>
      <c r="J40" s="692"/>
      <c r="K40" s="692"/>
      <c r="L40" s="692"/>
      <c r="M40" s="692"/>
      <c r="N40" s="692"/>
      <c r="O40" s="692"/>
      <c r="P40" s="692"/>
      <c r="Q40" s="692"/>
      <c r="R40" s="692"/>
      <c r="S40" s="692"/>
      <c r="T40" s="692"/>
      <c r="U40" s="692"/>
      <c r="V40" s="692"/>
      <c r="W40" s="692"/>
      <c r="X40" s="692"/>
      <c r="Y40" s="692"/>
      <c r="Z40" s="692"/>
      <c r="AA40" s="692"/>
      <c r="AB40" s="692"/>
      <c r="AC40" s="725"/>
    </row>
    <row r="41" spans="1:31" ht="19.95" customHeight="1" thickTop="1" x14ac:dyDescent="0.3">
      <c r="A41" s="705" t="s">
        <v>201</v>
      </c>
      <c r="B41" s="703"/>
      <c r="C41" s="704"/>
      <c r="D41" s="702" t="s">
        <v>202</v>
      </c>
      <c r="E41" s="703"/>
      <c r="F41" s="704"/>
      <c r="G41" s="702" t="s">
        <v>203</v>
      </c>
      <c r="H41" s="703"/>
      <c r="I41" s="703"/>
      <c r="J41" s="703"/>
      <c r="K41" s="703"/>
      <c r="L41" s="703"/>
      <c r="M41" s="704"/>
      <c r="N41" s="702" t="s">
        <v>204</v>
      </c>
      <c r="O41" s="703"/>
      <c r="P41" s="703"/>
      <c r="Q41" s="703"/>
      <c r="R41" s="703"/>
      <c r="S41" s="704"/>
      <c r="T41" s="702" t="s">
        <v>205</v>
      </c>
      <c r="U41" s="703"/>
      <c r="V41" s="703"/>
      <c r="W41" s="703"/>
      <c r="X41" s="704"/>
      <c r="Y41" s="712" t="s">
        <v>206</v>
      </c>
      <c r="Z41" s="703"/>
      <c r="AA41" s="703"/>
      <c r="AB41" s="703"/>
      <c r="AC41" s="713"/>
    </row>
    <row r="42" spans="1:31" ht="34.049999999999997" customHeight="1" x14ac:dyDescent="0.3">
      <c r="A42" s="706" t="s">
        <v>207</v>
      </c>
      <c r="B42" s="690"/>
      <c r="C42" s="689"/>
      <c r="D42" s="701"/>
      <c r="E42" s="690"/>
      <c r="F42" s="690"/>
      <c r="G42" s="700"/>
      <c r="H42" s="690"/>
      <c r="I42" s="690"/>
      <c r="J42" s="690"/>
      <c r="K42" s="690"/>
      <c r="L42" s="690"/>
      <c r="M42" s="689"/>
      <c r="N42" s="701"/>
      <c r="O42" s="690"/>
      <c r="P42" s="690"/>
      <c r="Q42" s="690"/>
      <c r="R42" s="690"/>
      <c r="S42" s="690"/>
      <c r="T42" s="701"/>
      <c r="U42" s="690"/>
      <c r="V42" s="690"/>
      <c r="W42" s="690"/>
      <c r="X42" s="690"/>
      <c r="Y42" s="710"/>
      <c r="Z42" s="690"/>
      <c r="AA42" s="690"/>
      <c r="AB42" s="690"/>
      <c r="AC42" s="698"/>
    </row>
    <row r="43" spans="1:31" ht="34.049999999999997" customHeight="1" thickBot="1" x14ac:dyDescent="0.35">
      <c r="A43" s="707" t="s">
        <v>208</v>
      </c>
      <c r="B43" s="695"/>
      <c r="C43" s="708"/>
      <c r="D43" s="699"/>
      <c r="E43" s="695"/>
      <c r="F43" s="695"/>
      <c r="G43" s="709"/>
      <c r="H43" s="695"/>
      <c r="I43" s="695"/>
      <c r="J43" s="695"/>
      <c r="K43" s="695"/>
      <c r="L43" s="695"/>
      <c r="M43" s="708"/>
      <c r="N43" s="699"/>
      <c r="O43" s="695"/>
      <c r="P43" s="695"/>
      <c r="Q43" s="695"/>
      <c r="R43" s="695"/>
      <c r="S43" s="695"/>
      <c r="T43" s="699"/>
      <c r="U43" s="695"/>
      <c r="V43" s="695"/>
      <c r="W43" s="695"/>
      <c r="X43" s="695"/>
      <c r="Y43" s="694"/>
      <c r="Z43" s="695"/>
      <c r="AA43" s="695"/>
      <c r="AB43" s="695"/>
      <c r="AC43" s="696"/>
    </row>
    <row r="44" spans="1:31" ht="19.95" customHeight="1" thickTop="1" x14ac:dyDescent="0.3"/>
  </sheetData>
  <mergeCells count="148">
    <mergeCell ref="AB3:AC3"/>
    <mergeCell ref="A20:AC20"/>
    <mergeCell ref="R32:U32"/>
    <mergeCell ref="D27:F27"/>
    <mergeCell ref="R15:W15"/>
    <mergeCell ref="B25:C25"/>
    <mergeCell ref="B16:L16"/>
    <mergeCell ref="R12:W12"/>
    <mergeCell ref="V23:Z23"/>
    <mergeCell ref="R16:W16"/>
    <mergeCell ref="X18:AC18"/>
    <mergeCell ref="I22:Q22"/>
    <mergeCell ref="D32:F32"/>
    <mergeCell ref="D31:F31"/>
    <mergeCell ref="D6:P6"/>
    <mergeCell ref="R30:U30"/>
    <mergeCell ref="B23:C23"/>
    <mergeCell ref="R29:U29"/>
    <mergeCell ref="D24:F24"/>
    <mergeCell ref="V30:Z30"/>
    <mergeCell ref="X15:AC15"/>
    <mergeCell ref="A5:W5"/>
    <mergeCell ref="X17:AC17"/>
    <mergeCell ref="X13:AC13"/>
    <mergeCell ref="A4:AC4"/>
    <mergeCell ref="AB7:AC7"/>
    <mergeCell ref="X11:AC11"/>
    <mergeCell ref="B24:C24"/>
    <mergeCell ref="R25:U25"/>
    <mergeCell ref="D28:F28"/>
    <mergeCell ref="B14:L14"/>
    <mergeCell ref="R13:W13"/>
    <mergeCell ref="B26:C26"/>
    <mergeCell ref="R17:W17"/>
    <mergeCell ref="R27:U27"/>
    <mergeCell ref="Q7:R7"/>
    <mergeCell ref="D7:P7"/>
    <mergeCell ref="B17:L17"/>
    <mergeCell ref="B12:L12"/>
    <mergeCell ref="S7:W7"/>
    <mergeCell ref="Z6:AC6"/>
    <mergeCell ref="R26:U26"/>
    <mergeCell ref="V22:AC22"/>
    <mergeCell ref="R28:U28"/>
    <mergeCell ref="B13:L13"/>
    <mergeCell ref="X6:Y6"/>
    <mergeCell ref="D8:P8"/>
    <mergeCell ref="X8:Y8"/>
    <mergeCell ref="A9:AC9"/>
    <mergeCell ref="Q6:R6"/>
    <mergeCell ref="B15:L15"/>
    <mergeCell ref="R19:W19"/>
    <mergeCell ref="X7:Y7"/>
    <mergeCell ref="R18:W18"/>
    <mergeCell ref="R22:S22"/>
    <mergeCell ref="V26:Z26"/>
    <mergeCell ref="A6:C6"/>
    <mergeCell ref="B11:L11"/>
    <mergeCell ref="V24:Z24"/>
    <mergeCell ref="D25:F25"/>
    <mergeCell ref="Q8:R8"/>
    <mergeCell ref="AB8:AC8"/>
    <mergeCell ref="B18:L18"/>
    <mergeCell ref="A8:C8"/>
    <mergeCell ref="D23:F23"/>
    <mergeCell ref="D26:F26"/>
    <mergeCell ref="R14:W14"/>
    <mergeCell ref="D2:Z2"/>
    <mergeCell ref="V31:AC31"/>
    <mergeCell ref="G41:M41"/>
    <mergeCell ref="A40:AC40"/>
    <mergeCell ref="D3:Z3"/>
    <mergeCell ref="S8:W8"/>
    <mergeCell ref="X5:AC5"/>
    <mergeCell ref="V29:Z29"/>
    <mergeCell ref="X14:AC14"/>
    <mergeCell ref="A1:C3"/>
    <mergeCell ref="D36:F36"/>
    <mergeCell ref="X16:AC16"/>
    <mergeCell ref="A7:C7"/>
    <mergeCell ref="A10:AC10"/>
    <mergeCell ref="R39:AC39"/>
    <mergeCell ref="X19:AC19"/>
    <mergeCell ref="S6:W6"/>
    <mergeCell ref="R37:U37"/>
    <mergeCell ref="R11:W11"/>
    <mergeCell ref="R24:U24"/>
    <mergeCell ref="X12:AC12"/>
    <mergeCell ref="D1:Z1"/>
    <mergeCell ref="AB1:AC1"/>
    <mergeCell ref="AB2:AC2"/>
    <mergeCell ref="V38:Z38"/>
    <mergeCell ref="D37:F37"/>
    <mergeCell ref="B19:L19"/>
    <mergeCell ref="D29:F29"/>
    <mergeCell ref="B29:C29"/>
    <mergeCell ref="A21:AC21"/>
    <mergeCell ref="D41:F41"/>
    <mergeCell ref="V27:Z27"/>
    <mergeCell ref="T22:U22"/>
    <mergeCell ref="A22:H22"/>
    <mergeCell ref="V25:Z25"/>
    <mergeCell ref="B27:C27"/>
    <mergeCell ref="R38:U38"/>
    <mergeCell ref="D38:F38"/>
    <mergeCell ref="V37:Z37"/>
    <mergeCell ref="R35:U35"/>
    <mergeCell ref="B35:C35"/>
    <mergeCell ref="D30:F30"/>
    <mergeCell ref="B32:C32"/>
    <mergeCell ref="R33:U33"/>
    <mergeCell ref="V28:Z28"/>
    <mergeCell ref="B28:C28"/>
    <mergeCell ref="D33:F33"/>
    <mergeCell ref="V32:Z32"/>
    <mergeCell ref="Y43:AC43"/>
    <mergeCell ref="V35:Z35"/>
    <mergeCell ref="T43:X43"/>
    <mergeCell ref="G42:M42"/>
    <mergeCell ref="D42:F42"/>
    <mergeCell ref="D34:F34"/>
    <mergeCell ref="T41:X41"/>
    <mergeCell ref="A41:C41"/>
    <mergeCell ref="A42:C42"/>
    <mergeCell ref="B38:C38"/>
    <mergeCell ref="N43:S43"/>
    <mergeCell ref="V34:Z34"/>
    <mergeCell ref="D43:F43"/>
    <mergeCell ref="A43:C43"/>
    <mergeCell ref="G43:M43"/>
    <mergeCell ref="Y42:AC42"/>
    <mergeCell ref="A39:H39"/>
    <mergeCell ref="N42:S42"/>
    <mergeCell ref="Y41:AC41"/>
    <mergeCell ref="B37:C37"/>
    <mergeCell ref="V36:Z36"/>
    <mergeCell ref="B34:C34"/>
    <mergeCell ref="T42:X42"/>
    <mergeCell ref="N41:S41"/>
    <mergeCell ref="V33:Z33"/>
    <mergeCell ref="B31:C31"/>
    <mergeCell ref="D35:F35"/>
    <mergeCell ref="B30:C30"/>
    <mergeCell ref="B36:C36"/>
    <mergeCell ref="B33:C33"/>
    <mergeCell ref="R31:U31"/>
    <mergeCell ref="R36:U36"/>
    <mergeCell ref="R34:U34"/>
  </mergeCells>
  <pageMargins left="7.874015748031496E-2" right="0.11811023622047245" top="0.15748031496062992" bottom="3.937007874015748E-2" header="0.11811023622047245" footer="0.11811023622047245"/>
  <pageSetup paperSize="9" scale="51" fitToHeight="0" orientation="landscape"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V108"/>
  <sheetViews>
    <sheetView showGridLines="0" view="pageBreakPreview" zoomScale="95" zoomScaleNormal="85" zoomScaleSheetLayoutView="95" workbookViewId="0">
      <selection activeCell="E12" sqref="E12"/>
    </sheetView>
  </sheetViews>
  <sheetFormatPr baseColWidth="10" defaultColWidth="8.88671875" defaultRowHeight="12" x14ac:dyDescent="0.25"/>
  <cols>
    <col min="1" max="1" width="7.21875" style="58" customWidth="1"/>
    <col min="2" max="3" width="14.33203125" style="58" customWidth="1"/>
    <col min="4" max="4" width="10" style="58" customWidth="1"/>
    <col min="5" max="10" width="9.6640625" style="58" customWidth="1"/>
    <col min="11" max="11" width="2.21875" style="58" customWidth="1"/>
    <col min="12" max="20" width="8.88671875" style="58" customWidth="1"/>
    <col min="21" max="21" width="10.6640625" style="58" customWidth="1"/>
    <col min="22" max="31" width="8.88671875" style="58" customWidth="1"/>
    <col min="32" max="16384" width="8.88671875" style="58"/>
  </cols>
  <sheetData>
    <row r="1" spans="1:10" ht="18.600000000000001" customHeight="1" thickTop="1" thickBot="1" x14ac:dyDescent="0.35">
      <c r="A1" s="799"/>
      <c r="B1" s="796"/>
      <c r="C1" s="812" t="s">
        <v>9</v>
      </c>
      <c r="D1" s="813"/>
      <c r="E1" s="813"/>
      <c r="F1" s="813"/>
      <c r="G1" s="813"/>
      <c r="H1" s="813"/>
      <c r="I1" s="813"/>
      <c r="J1" s="246"/>
    </row>
    <row r="2" spans="1:10" ht="18.600000000000001" customHeight="1" thickTop="1" thickBot="1" x14ac:dyDescent="0.35">
      <c r="A2" s="800"/>
      <c r="B2" s="791"/>
      <c r="C2" s="830" t="s">
        <v>285</v>
      </c>
      <c r="D2" s="831"/>
      <c r="E2" s="831"/>
      <c r="F2" s="831"/>
      <c r="G2" s="831"/>
      <c r="H2" s="831"/>
      <c r="I2" s="832"/>
      <c r="J2" s="249"/>
    </row>
    <row r="3" spans="1:10" ht="12" customHeight="1" thickTop="1" thickBot="1" x14ac:dyDescent="0.3">
      <c r="A3" s="802"/>
      <c r="B3" s="803"/>
      <c r="C3" s="803"/>
      <c r="D3" s="803"/>
      <c r="E3" s="803"/>
      <c r="F3" s="803"/>
      <c r="G3" s="803"/>
      <c r="H3" s="803"/>
      <c r="I3" s="803"/>
      <c r="J3" s="803"/>
    </row>
    <row r="4" spans="1:10" ht="12" customHeight="1" thickTop="1" thickBot="1" x14ac:dyDescent="0.35">
      <c r="A4" s="779" t="s">
        <v>10</v>
      </c>
      <c r="B4" s="780"/>
      <c r="C4" s="780"/>
      <c r="D4" s="780"/>
      <c r="E4" s="780"/>
      <c r="F4" s="780"/>
      <c r="G4" s="780"/>
      <c r="H4" s="780"/>
      <c r="I4" s="780"/>
      <c r="J4" s="781"/>
    </row>
    <row r="5" spans="1:10" ht="12" customHeight="1" thickTop="1" x14ac:dyDescent="0.3">
      <c r="A5" s="805" t="s">
        <v>0</v>
      </c>
      <c r="B5" s="795"/>
      <c r="C5" s="24"/>
      <c r="D5" s="24"/>
      <c r="E5" s="804"/>
      <c r="F5" s="795"/>
      <c r="G5" s="24"/>
      <c r="H5" s="833" t="s">
        <v>11</v>
      </c>
      <c r="I5" s="833"/>
      <c r="J5" s="245"/>
    </row>
    <row r="6" spans="1:10" ht="12" customHeight="1" x14ac:dyDescent="0.25">
      <c r="A6" s="801" t="s">
        <v>1</v>
      </c>
      <c r="B6" s="789"/>
      <c r="C6" s="203"/>
      <c r="D6" s="203"/>
      <c r="E6" s="806"/>
      <c r="F6" s="789"/>
      <c r="G6" s="208"/>
      <c r="H6" s="834" t="s">
        <v>12</v>
      </c>
      <c r="I6" s="834"/>
      <c r="J6" s="243"/>
    </row>
    <row r="7" spans="1:10" ht="12" customHeight="1" x14ac:dyDescent="0.25">
      <c r="A7" s="788" t="s">
        <v>13</v>
      </c>
      <c r="B7" s="789"/>
      <c r="C7" s="203"/>
      <c r="D7" s="203"/>
      <c r="E7" s="806"/>
      <c r="F7" s="789"/>
      <c r="G7" s="208"/>
      <c r="H7" s="834" t="s">
        <v>14</v>
      </c>
      <c r="I7" s="834"/>
      <c r="J7" s="243"/>
    </row>
    <row r="8" spans="1:10" ht="12" customHeight="1" thickBot="1" x14ac:dyDescent="0.35">
      <c r="A8" s="369"/>
      <c r="B8" s="370"/>
      <c r="C8" s="370"/>
      <c r="D8" s="370"/>
      <c r="E8" s="790"/>
      <c r="F8" s="791"/>
      <c r="G8" s="25"/>
      <c r="H8" s="835" t="s">
        <v>15</v>
      </c>
      <c r="I8" s="835"/>
      <c r="J8" s="244"/>
    </row>
    <row r="9" spans="1:10" ht="12" customHeight="1" thickTop="1" thickBot="1" x14ac:dyDescent="0.3">
      <c r="A9" s="56"/>
      <c r="B9" s="59"/>
      <c r="C9" s="59"/>
      <c r="D9" s="59"/>
      <c r="E9" s="59"/>
      <c r="F9" s="59"/>
      <c r="G9" s="59"/>
      <c r="H9" s="59"/>
      <c r="I9" s="62"/>
      <c r="J9" s="54"/>
    </row>
    <row r="10" spans="1:10" ht="12" customHeight="1" thickTop="1" x14ac:dyDescent="0.3">
      <c r="A10" s="794" t="s">
        <v>16</v>
      </c>
      <c r="B10" s="795"/>
      <c r="C10" s="795"/>
      <c r="D10" s="795"/>
      <c r="E10" s="795"/>
      <c r="F10" s="795"/>
      <c r="G10" s="795"/>
      <c r="H10" s="795"/>
      <c r="I10" s="795"/>
      <c r="J10" s="796"/>
    </row>
    <row r="11" spans="1:10" ht="12" customHeight="1" x14ac:dyDescent="0.3">
      <c r="A11" s="797" t="s">
        <v>17</v>
      </c>
      <c r="B11" s="777"/>
      <c r="C11" s="777"/>
      <c r="D11" s="777"/>
      <c r="E11" s="777"/>
      <c r="F11" s="777"/>
      <c r="G11" s="777"/>
      <c r="H11" s="777"/>
      <c r="I11" s="777"/>
      <c r="J11" s="798"/>
    </row>
    <row r="12" spans="1:10" ht="34.950000000000003" customHeight="1" x14ac:dyDescent="0.3">
      <c r="A12" s="365" t="s">
        <v>2</v>
      </c>
      <c r="B12" s="792" t="s">
        <v>3</v>
      </c>
      <c r="C12" s="793"/>
      <c r="D12" s="366" t="s">
        <v>602</v>
      </c>
      <c r="E12" s="366" t="s">
        <v>22</v>
      </c>
      <c r="F12" s="366" t="s">
        <v>178</v>
      </c>
      <c r="G12" s="367" t="s">
        <v>271</v>
      </c>
      <c r="H12" s="366" t="s">
        <v>603</v>
      </c>
      <c r="I12" s="366" t="s">
        <v>19</v>
      </c>
      <c r="J12" s="368" t="s">
        <v>379</v>
      </c>
    </row>
    <row r="13" spans="1:10" ht="12" customHeight="1" x14ac:dyDescent="0.3">
      <c r="A13" s="26"/>
      <c r="B13" s="782"/>
      <c r="C13" s="778"/>
      <c r="D13" s="27"/>
      <c r="E13" s="27"/>
      <c r="F13" s="37"/>
      <c r="G13" s="168"/>
      <c r="H13" s="169"/>
      <c r="I13" s="27"/>
      <c r="J13" s="35"/>
    </row>
    <row r="14" spans="1:10" ht="12" customHeight="1" x14ac:dyDescent="0.3">
      <c r="A14" s="26"/>
      <c r="B14" s="782"/>
      <c r="C14" s="778"/>
      <c r="D14" s="27"/>
      <c r="E14" s="27"/>
      <c r="F14" s="37"/>
      <c r="G14" s="168"/>
      <c r="H14" s="169"/>
      <c r="I14" s="27"/>
      <c r="J14" s="35"/>
    </row>
    <row r="15" spans="1:10" ht="12" customHeight="1" x14ac:dyDescent="0.3">
      <c r="A15" s="26"/>
      <c r="B15" s="782"/>
      <c r="C15" s="778"/>
      <c r="D15" s="27"/>
      <c r="E15" s="27"/>
      <c r="F15" s="37"/>
      <c r="G15" s="168"/>
      <c r="H15" s="169"/>
      <c r="I15" s="27"/>
      <c r="J15" s="35"/>
    </row>
    <row r="16" spans="1:10" ht="12" customHeight="1" x14ac:dyDescent="0.3">
      <c r="A16" s="26"/>
      <c r="B16" s="782"/>
      <c r="C16" s="778"/>
      <c r="D16" s="27"/>
      <c r="E16" s="27"/>
      <c r="F16" s="37"/>
      <c r="G16" s="168"/>
      <c r="H16" s="169"/>
      <c r="I16" s="27"/>
      <c r="J16" s="35"/>
    </row>
    <row r="17" spans="1:21" ht="12" customHeight="1" x14ac:dyDescent="0.3">
      <c r="A17" s="26"/>
      <c r="B17" s="782"/>
      <c r="C17" s="778"/>
      <c r="D17" s="27"/>
      <c r="E17" s="27"/>
      <c r="F17" s="37"/>
      <c r="G17" s="168"/>
      <c r="H17" s="169"/>
      <c r="I17" s="27"/>
      <c r="J17" s="35"/>
    </row>
    <row r="18" spans="1:21" ht="12" customHeight="1" x14ac:dyDescent="0.3">
      <c r="A18" s="26"/>
      <c r="B18" s="782"/>
      <c r="C18" s="778"/>
      <c r="D18" s="27"/>
      <c r="E18" s="27"/>
      <c r="F18" s="37"/>
      <c r="G18" s="168"/>
      <c r="H18" s="169"/>
      <c r="I18" s="27"/>
      <c r="J18" s="35"/>
    </row>
    <row r="19" spans="1:21" ht="12" customHeight="1" x14ac:dyDescent="0.3">
      <c r="A19" s="26"/>
      <c r="B19" s="782"/>
      <c r="C19" s="778"/>
      <c r="D19" s="27"/>
      <c r="E19" s="27"/>
      <c r="F19" s="37"/>
      <c r="G19" s="168"/>
      <c r="H19" s="169"/>
      <c r="I19" s="27"/>
      <c r="J19" s="35"/>
    </row>
    <row r="20" spans="1:21" ht="12" customHeight="1" x14ac:dyDescent="0.3">
      <c r="A20" s="26"/>
      <c r="B20" s="782"/>
      <c r="C20" s="778"/>
      <c r="D20" s="27"/>
      <c r="E20" s="27"/>
      <c r="F20" s="37"/>
      <c r="G20" s="168"/>
      <c r="H20" s="169"/>
      <c r="I20" s="27"/>
      <c r="J20" s="35"/>
    </row>
    <row r="21" spans="1:21" ht="12" customHeight="1" x14ac:dyDescent="0.3">
      <c r="A21" s="26"/>
      <c r="B21" s="782"/>
      <c r="C21" s="778"/>
      <c r="D21" s="211"/>
      <c r="E21" s="211"/>
      <c r="F21" s="37"/>
      <c r="G21" s="168"/>
      <c r="H21" s="169"/>
      <c r="I21" s="27"/>
      <c r="J21" s="35"/>
    </row>
    <row r="22" spans="1:21" ht="12" customHeight="1" x14ac:dyDescent="0.3">
      <c r="A22" s="26"/>
      <c r="B22" s="776"/>
      <c r="C22" s="778"/>
      <c r="D22" s="211"/>
      <c r="E22" s="211"/>
      <c r="F22" s="37"/>
      <c r="G22" s="48"/>
      <c r="H22" s="38"/>
      <c r="I22" s="27"/>
      <c r="J22" s="35"/>
    </row>
    <row r="23" spans="1:21" ht="12" customHeight="1" x14ac:dyDescent="0.3">
      <c r="A23" s="26"/>
      <c r="B23" s="776"/>
      <c r="C23" s="778"/>
      <c r="D23" s="211"/>
      <c r="E23" s="211"/>
      <c r="F23" s="37"/>
      <c r="G23" s="48"/>
      <c r="H23" s="38"/>
      <c r="I23" s="27"/>
      <c r="J23" s="35"/>
    </row>
    <row r="24" spans="1:21" ht="12" customHeight="1" thickBot="1" x14ac:dyDescent="0.3">
      <c r="A24" s="59"/>
      <c r="B24" s="55"/>
      <c r="C24" s="59"/>
      <c r="D24" s="59"/>
      <c r="E24" s="59"/>
      <c r="F24" s="59"/>
      <c r="G24" s="59"/>
      <c r="H24" s="59"/>
      <c r="I24" s="29"/>
      <c r="J24" s="30"/>
      <c r="L24" s="825"/>
      <c r="M24" s="803"/>
      <c r="N24" s="51"/>
      <c r="O24" s="59"/>
      <c r="P24" s="59"/>
      <c r="Q24" s="59"/>
      <c r="R24" s="59"/>
      <c r="S24" s="59"/>
      <c r="T24" s="59"/>
      <c r="U24" s="59"/>
    </row>
    <row r="25" spans="1:21" ht="12" customHeight="1" thickTop="1" x14ac:dyDescent="0.3">
      <c r="A25" s="794" t="s">
        <v>26</v>
      </c>
      <c r="B25" s="795"/>
      <c r="C25" s="795"/>
      <c r="D25" s="795"/>
      <c r="E25" s="795"/>
      <c r="F25" s="795"/>
      <c r="G25" s="795"/>
      <c r="H25" s="795"/>
      <c r="I25" s="795"/>
      <c r="J25" s="796"/>
    </row>
    <row r="26" spans="1:21" ht="12" customHeight="1" x14ac:dyDescent="0.3">
      <c r="A26" s="828" t="s">
        <v>27</v>
      </c>
      <c r="B26" s="803"/>
      <c r="C26" s="803"/>
      <c r="D26" s="803"/>
      <c r="E26" s="803"/>
      <c r="F26" s="803"/>
      <c r="G26" s="803"/>
      <c r="H26" s="803"/>
      <c r="I26" s="803"/>
      <c r="J26" s="829"/>
    </row>
    <row r="27" spans="1:21" ht="34.950000000000003" customHeight="1" x14ac:dyDescent="0.3">
      <c r="A27" s="32" t="s">
        <v>28</v>
      </c>
      <c r="B27" s="810" t="s">
        <v>29</v>
      </c>
      <c r="C27" s="811"/>
      <c r="D27" s="61" t="s">
        <v>4</v>
      </c>
      <c r="E27" s="61" t="s">
        <v>30</v>
      </c>
      <c r="F27" s="61" t="s">
        <v>31</v>
      </c>
      <c r="G27" s="61" t="s">
        <v>32</v>
      </c>
      <c r="H27" s="61"/>
      <c r="I27" s="61" t="s">
        <v>20</v>
      </c>
      <c r="J27" s="33" t="s">
        <v>21</v>
      </c>
    </row>
    <row r="28" spans="1:21" ht="12" customHeight="1" x14ac:dyDescent="0.3">
      <c r="A28" s="26"/>
      <c r="B28" s="776"/>
      <c r="C28" s="778"/>
      <c r="D28" s="37"/>
      <c r="E28" s="48"/>
      <c r="F28" s="39"/>
      <c r="G28" s="60"/>
      <c r="H28" s="36"/>
      <c r="I28" s="28"/>
      <c r="J28" s="35"/>
    </row>
    <row r="29" spans="1:21" ht="12" customHeight="1" x14ac:dyDescent="0.3">
      <c r="A29" s="26"/>
      <c r="B29" s="776"/>
      <c r="C29" s="778"/>
      <c r="D29" s="37"/>
      <c r="E29" s="48"/>
      <c r="F29" s="39"/>
      <c r="G29" s="60"/>
      <c r="H29" s="36"/>
      <c r="I29" s="28"/>
      <c r="J29" s="35"/>
    </row>
    <row r="30" spans="1:21" ht="12" customHeight="1" x14ac:dyDescent="0.3">
      <c r="A30" s="26"/>
      <c r="B30" s="776"/>
      <c r="C30" s="778"/>
      <c r="D30" s="37"/>
      <c r="E30" s="48"/>
      <c r="F30" s="39"/>
      <c r="G30" s="60"/>
      <c r="H30" s="36"/>
      <c r="I30" s="28"/>
      <c r="J30" s="35"/>
    </row>
    <row r="31" spans="1:21" ht="12" customHeight="1" x14ac:dyDescent="0.3">
      <c r="A31" s="26"/>
      <c r="B31" s="776"/>
      <c r="C31" s="778"/>
      <c r="D31" s="37"/>
      <c r="E31" s="48"/>
      <c r="F31" s="39"/>
      <c r="G31" s="60"/>
      <c r="H31" s="36"/>
      <c r="I31" s="28"/>
      <c r="J31" s="35"/>
    </row>
    <row r="32" spans="1:21" ht="12" customHeight="1" x14ac:dyDescent="0.3">
      <c r="A32" s="26"/>
      <c r="B32" s="776"/>
      <c r="C32" s="778"/>
      <c r="D32" s="37"/>
      <c r="E32" s="48"/>
      <c r="F32" s="39"/>
      <c r="G32" s="60"/>
      <c r="H32" s="36"/>
      <c r="I32" s="28"/>
      <c r="J32" s="35"/>
    </row>
    <row r="33" spans="1:22" ht="12" customHeight="1" x14ac:dyDescent="0.3">
      <c r="A33" s="26"/>
      <c r="B33" s="776"/>
      <c r="C33" s="778"/>
      <c r="D33" s="37"/>
      <c r="E33" s="168"/>
      <c r="F33" s="170"/>
      <c r="G33" s="27"/>
      <c r="H33" s="36"/>
      <c r="I33" s="28"/>
      <c r="J33" s="35"/>
    </row>
    <row r="34" spans="1:22" ht="12" customHeight="1" x14ac:dyDescent="0.3">
      <c r="A34" s="26"/>
      <c r="B34" s="776"/>
      <c r="C34" s="778"/>
      <c r="D34" s="37"/>
      <c r="E34" s="48"/>
      <c r="F34" s="39"/>
      <c r="G34" s="60"/>
      <c r="H34" s="36"/>
      <c r="I34" s="28"/>
      <c r="J34" s="35"/>
    </row>
    <row r="35" spans="1:22" ht="12" customHeight="1" x14ac:dyDescent="0.3">
      <c r="A35" s="26"/>
      <c r="B35" s="776"/>
      <c r="C35" s="778"/>
      <c r="D35" s="37"/>
      <c r="E35" s="48"/>
      <c r="F35" s="39"/>
      <c r="G35" s="60"/>
      <c r="H35" s="36"/>
      <c r="I35" s="28"/>
      <c r="J35" s="35"/>
    </row>
    <row r="36" spans="1:22" ht="12" customHeight="1" x14ac:dyDescent="0.3">
      <c r="A36" s="26"/>
      <c r="B36" s="776"/>
      <c r="C36" s="778"/>
      <c r="D36" s="37"/>
      <c r="E36" s="48"/>
      <c r="F36" s="39"/>
      <c r="G36" s="60"/>
      <c r="H36" s="36"/>
      <c r="I36" s="28"/>
      <c r="J36" s="35"/>
    </row>
    <row r="37" spans="1:22" ht="12" customHeight="1" x14ac:dyDescent="0.3">
      <c r="A37" s="26"/>
      <c r="B37" s="776"/>
      <c r="C37" s="778"/>
      <c r="D37" s="37"/>
      <c r="E37" s="48"/>
      <c r="F37" s="39"/>
      <c r="G37" s="60"/>
      <c r="H37" s="36"/>
      <c r="I37" s="28"/>
      <c r="J37" s="35"/>
    </row>
    <row r="38" spans="1:22" ht="12" customHeight="1" x14ac:dyDescent="0.3">
      <c r="A38" s="26"/>
      <c r="B38" s="776"/>
      <c r="C38" s="778"/>
      <c r="D38" s="37"/>
      <c r="E38" s="48"/>
      <c r="F38" s="40"/>
      <c r="G38" s="60"/>
      <c r="H38" s="36"/>
      <c r="I38" s="28"/>
      <c r="J38" s="35"/>
    </row>
    <row r="39" spans="1:22" ht="12" customHeight="1" x14ac:dyDescent="0.3">
      <c r="A39" s="26"/>
      <c r="B39" s="776"/>
      <c r="C39" s="778"/>
      <c r="D39" s="37"/>
      <c r="E39" s="48"/>
      <c r="F39" s="39"/>
      <c r="G39" s="60"/>
      <c r="H39" s="36"/>
      <c r="I39" s="28"/>
      <c r="J39" s="35"/>
    </row>
    <row r="40" spans="1:22" ht="12" customHeight="1" x14ac:dyDescent="0.3">
      <c r="A40" s="26"/>
      <c r="B40" s="776"/>
      <c r="C40" s="778"/>
      <c r="D40" s="37"/>
      <c r="E40" s="48"/>
      <c r="F40" s="39"/>
      <c r="G40" s="60"/>
      <c r="H40" s="36"/>
      <c r="I40" s="28"/>
      <c r="J40" s="35"/>
    </row>
    <row r="41" spans="1:22" ht="12" customHeight="1" x14ac:dyDescent="0.3">
      <c r="A41" s="26"/>
      <c r="B41" s="776"/>
      <c r="C41" s="778"/>
      <c r="D41" s="37"/>
      <c r="E41" s="48"/>
      <c r="F41" s="39"/>
      <c r="G41" s="60"/>
      <c r="H41" s="36"/>
      <c r="I41" s="28"/>
      <c r="J41" s="35"/>
    </row>
    <row r="42" spans="1:22" ht="12" customHeight="1" x14ac:dyDescent="0.3">
      <c r="A42" s="826"/>
      <c r="B42" s="777"/>
      <c r="C42" s="778"/>
      <c r="D42" s="785" t="s">
        <v>33</v>
      </c>
      <c r="E42" s="778"/>
      <c r="F42" s="43"/>
      <c r="G42" s="785" t="s">
        <v>34</v>
      </c>
      <c r="H42" s="777"/>
      <c r="I42" s="778"/>
      <c r="J42" s="44"/>
    </row>
    <row r="43" spans="1:22" ht="12" customHeight="1" thickBot="1" x14ac:dyDescent="0.35">
      <c r="A43" s="783" t="s">
        <v>35</v>
      </c>
      <c r="B43" s="784"/>
      <c r="C43" s="42"/>
      <c r="D43" s="817" t="s">
        <v>36</v>
      </c>
      <c r="E43" s="784"/>
      <c r="F43" s="46"/>
      <c r="G43" s="786" t="s">
        <v>37</v>
      </c>
      <c r="H43" s="787"/>
      <c r="I43" s="784"/>
      <c r="J43" s="47"/>
    </row>
    <row r="44" spans="1:22" ht="12" customHeight="1" thickTop="1" thickBot="1" x14ac:dyDescent="0.3">
      <c r="A44" s="23"/>
      <c r="T44" s="209"/>
      <c r="U44" s="209"/>
      <c r="V44" s="209"/>
    </row>
    <row r="45" spans="1:22" ht="12" customHeight="1" thickTop="1" x14ac:dyDescent="0.3">
      <c r="A45" s="807" t="s">
        <v>38</v>
      </c>
      <c r="B45" s="808"/>
      <c r="C45" s="808"/>
      <c r="D45" s="808"/>
      <c r="E45" s="808"/>
      <c r="F45" s="808"/>
      <c r="G45" s="808"/>
      <c r="H45" s="808"/>
      <c r="I45" s="808"/>
      <c r="J45" s="809"/>
      <c r="T45" s="209"/>
      <c r="U45" s="209"/>
      <c r="V45" s="209"/>
    </row>
    <row r="46" spans="1:22" ht="34.950000000000003" customHeight="1" x14ac:dyDescent="0.3">
      <c r="A46" s="32" t="s">
        <v>28</v>
      </c>
      <c r="B46" s="810" t="s">
        <v>348</v>
      </c>
      <c r="C46" s="811"/>
      <c r="D46" s="61" t="s">
        <v>4</v>
      </c>
      <c r="E46" s="61" t="s">
        <v>39</v>
      </c>
      <c r="F46" s="61" t="s">
        <v>40</v>
      </c>
      <c r="G46" s="61" t="s">
        <v>41</v>
      </c>
      <c r="H46" s="61" t="s">
        <v>42</v>
      </c>
      <c r="I46" s="61" t="s">
        <v>20</v>
      </c>
      <c r="J46" s="33" t="s">
        <v>21</v>
      </c>
      <c r="T46" s="209"/>
      <c r="U46" s="209"/>
      <c r="V46" s="209"/>
    </row>
    <row r="47" spans="1:22" ht="12" customHeight="1" x14ac:dyDescent="0.3">
      <c r="A47" s="26"/>
      <c r="B47" s="776"/>
      <c r="C47" s="778"/>
      <c r="D47" s="37"/>
      <c r="E47" s="168"/>
      <c r="F47" s="170"/>
      <c r="G47" s="27"/>
      <c r="H47" s="171"/>
      <c r="I47" s="28"/>
      <c r="J47" s="35"/>
      <c r="T47" s="209"/>
      <c r="U47" s="209"/>
      <c r="V47" s="209"/>
    </row>
    <row r="48" spans="1:22" ht="12" customHeight="1" x14ac:dyDescent="0.3">
      <c r="A48" s="26"/>
      <c r="B48" s="776"/>
      <c r="C48" s="778"/>
      <c r="D48" s="37"/>
      <c r="E48" s="168"/>
      <c r="F48" s="170"/>
      <c r="G48" s="27"/>
      <c r="H48" s="172"/>
      <c r="I48" s="28"/>
      <c r="J48" s="35"/>
      <c r="T48" s="209"/>
      <c r="U48" s="209"/>
      <c r="V48" s="209"/>
    </row>
    <row r="49" spans="1:22" ht="12" customHeight="1" x14ac:dyDescent="0.3">
      <c r="A49" s="26"/>
      <c r="B49" s="776"/>
      <c r="C49" s="778"/>
      <c r="D49" s="37"/>
      <c r="E49" s="168"/>
      <c r="F49" s="170"/>
      <c r="G49" s="27"/>
      <c r="H49" s="172"/>
      <c r="I49" s="28"/>
      <c r="J49" s="35"/>
      <c r="T49" s="209"/>
      <c r="U49" s="209"/>
      <c r="V49" s="209"/>
    </row>
    <row r="50" spans="1:22" ht="12" customHeight="1" x14ac:dyDescent="0.3">
      <c r="A50" s="26"/>
      <c r="B50" s="776"/>
      <c r="C50" s="778"/>
      <c r="D50" s="37"/>
      <c r="E50" s="168"/>
      <c r="F50" s="170"/>
      <c r="G50" s="27"/>
      <c r="H50" s="172"/>
      <c r="I50" s="28"/>
      <c r="J50" s="35"/>
      <c r="T50" s="209"/>
      <c r="U50" s="209"/>
      <c r="V50" s="209"/>
    </row>
    <row r="51" spans="1:22" ht="12" customHeight="1" x14ac:dyDescent="0.3">
      <c r="A51" s="26"/>
      <c r="B51" s="776"/>
      <c r="C51" s="778"/>
      <c r="D51" s="37"/>
      <c r="E51" s="168"/>
      <c r="F51" s="170"/>
      <c r="G51" s="27"/>
      <c r="H51" s="172"/>
      <c r="I51" s="28"/>
      <c r="J51" s="35"/>
      <c r="T51" s="209"/>
      <c r="U51" s="209"/>
      <c r="V51" s="209"/>
    </row>
    <row r="52" spans="1:22" ht="12" customHeight="1" x14ac:dyDescent="0.3">
      <c r="A52" s="26"/>
      <c r="B52" s="776"/>
      <c r="C52" s="778"/>
      <c r="D52" s="60"/>
      <c r="E52" s="50"/>
      <c r="F52" s="60"/>
      <c r="G52" s="60"/>
      <c r="H52" s="49"/>
      <c r="I52" s="28"/>
      <c r="J52" s="35"/>
      <c r="T52" s="209"/>
      <c r="U52" s="209"/>
      <c r="V52" s="209"/>
    </row>
    <row r="53" spans="1:22" ht="12" customHeight="1" x14ac:dyDescent="0.3">
      <c r="A53" s="827"/>
      <c r="B53" s="777"/>
      <c r="C53" s="777"/>
      <c r="D53" s="777"/>
      <c r="E53" s="777"/>
      <c r="F53" s="777"/>
      <c r="G53" s="777"/>
      <c r="H53" s="777"/>
      <c r="I53" s="777"/>
      <c r="J53" s="798"/>
    </row>
    <row r="54" spans="1:22" ht="12" customHeight="1" x14ac:dyDescent="0.3">
      <c r="A54" s="826"/>
      <c r="B54" s="777"/>
      <c r="C54" s="778"/>
      <c r="D54" s="785" t="s">
        <v>45</v>
      </c>
      <c r="E54" s="778"/>
      <c r="F54" s="43"/>
      <c r="G54" s="785" t="s">
        <v>46</v>
      </c>
      <c r="H54" s="777"/>
      <c r="I54" s="778"/>
      <c r="J54" s="41"/>
    </row>
    <row r="55" spans="1:22" ht="12" customHeight="1" thickBot="1" x14ac:dyDescent="0.35">
      <c r="A55" s="783" t="s">
        <v>47</v>
      </c>
      <c r="B55" s="784"/>
      <c r="C55" s="42"/>
      <c r="D55" s="817" t="s">
        <v>48</v>
      </c>
      <c r="E55" s="784"/>
      <c r="F55" s="46"/>
      <c r="G55" s="786" t="s">
        <v>49</v>
      </c>
      <c r="H55" s="787"/>
      <c r="I55" s="784"/>
      <c r="J55" s="47"/>
    </row>
    <row r="56" spans="1:22" ht="15" customHeight="1" thickTop="1" thickBot="1" x14ac:dyDescent="0.3"/>
    <row r="57" spans="1:22" ht="14.4" customHeight="1" thickTop="1" x14ac:dyDescent="0.3">
      <c r="A57" s="807" t="s">
        <v>50</v>
      </c>
      <c r="B57" s="808"/>
      <c r="C57" s="808"/>
      <c r="D57" s="808"/>
      <c r="E57" s="808"/>
      <c r="F57" s="808"/>
      <c r="G57" s="808"/>
      <c r="H57" s="808"/>
      <c r="I57" s="808"/>
      <c r="J57" s="809"/>
    </row>
    <row r="58" spans="1:22" ht="28.2" customHeight="1" x14ac:dyDescent="0.25">
      <c r="A58" s="32" t="s">
        <v>28</v>
      </c>
      <c r="B58" s="822" t="s">
        <v>349</v>
      </c>
      <c r="C58" s="823"/>
      <c r="D58" s="823"/>
      <c r="E58" s="823"/>
      <c r="F58" s="823"/>
      <c r="G58" s="823"/>
      <c r="H58" s="210" t="s">
        <v>4</v>
      </c>
      <c r="I58" s="210" t="s">
        <v>199</v>
      </c>
      <c r="J58" s="33" t="s">
        <v>21</v>
      </c>
    </row>
    <row r="59" spans="1:22" ht="14.4" customHeight="1" x14ac:dyDescent="0.3">
      <c r="A59" s="34"/>
      <c r="B59" s="773"/>
      <c r="C59" s="774"/>
      <c r="D59" s="774"/>
      <c r="E59" s="774"/>
      <c r="F59" s="774"/>
      <c r="G59" s="774"/>
      <c r="H59" s="242"/>
      <c r="I59" s="60"/>
      <c r="J59" s="35"/>
    </row>
    <row r="60" spans="1:22" ht="14.4" customHeight="1" x14ac:dyDescent="0.3">
      <c r="A60" s="34"/>
      <c r="B60" s="773"/>
      <c r="C60" s="774"/>
      <c r="D60" s="774"/>
      <c r="E60" s="774"/>
      <c r="F60" s="774"/>
      <c r="G60" s="774"/>
      <c r="H60" s="242"/>
      <c r="I60" s="60"/>
      <c r="J60" s="35"/>
    </row>
    <row r="61" spans="1:22" ht="14.4" customHeight="1" x14ac:dyDescent="0.3">
      <c r="A61" s="26"/>
      <c r="B61" s="773"/>
      <c r="C61" s="774"/>
      <c r="D61" s="774"/>
      <c r="E61" s="774"/>
      <c r="F61" s="774"/>
      <c r="G61" s="774"/>
      <c r="H61" s="242"/>
      <c r="I61" s="28"/>
      <c r="J61" s="35"/>
    </row>
    <row r="62" spans="1:22" ht="14.4" customHeight="1" x14ac:dyDescent="0.3">
      <c r="A62" s="26"/>
      <c r="B62" s="776"/>
      <c r="C62" s="777"/>
      <c r="D62" s="777"/>
      <c r="E62" s="777"/>
      <c r="F62" s="777"/>
      <c r="G62" s="777"/>
      <c r="H62" s="778"/>
      <c r="I62" s="28"/>
      <c r="J62" s="35"/>
    </row>
    <row r="63" spans="1:22" ht="14.4" x14ac:dyDescent="0.3">
      <c r="A63" s="26"/>
      <c r="B63" s="776"/>
      <c r="C63" s="777"/>
      <c r="D63" s="777"/>
      <c r="E63" s="777"/>
      <c r="F63" s="777"/>
      <c r="G63" s="777"/>
      <c r="H63" s="778"/>
      <c r="I63" s="28"/>
      <c r="J63" s="35"/>
    </row>
    <row r="64" spans="1:22" ht="14.4" customHeight="1" x14ac:dyDescent="0.3">
      <c r="A64" s="26"/>
      <c r="B64" s="776"/>
      <c r="C64" s="777"/>
      <c r="D64" s="777"/>
      <c r="E64" s="777"/>
      <c r="F64" s="777"/>
      <c r="G64" s="777"/>
      <c r="H64" s="778"/>
      <c r="I64" s="28"/>
      <c r="J64" s="35"/>
    </row>
    <row r="65" spans="1:10" ht="13.8" customHeight="1" thickBot="1" x14ac:dyDescent="0.35">
      <c r="A65" s="818"/>
      <c r="B65" s="787"/>
      <c r="C65" s="787"/>
      <c r="D65" s="787"/>
      <c r="E65" s="787"/>
      <c r="F65" s="787"/>
      <c r="G65" s="787"/>
      <c r="H65" s="787"/>
      <c r="I65" s="784"/>
      <c r="J65" s="47"/>
    </row>
    <row r="66" spans="1:10" ht="15" customHeight="1" thickTop="1" thickBot="1" x14ac:dyDescent="0.3">
      <c r="J66" s="31"/>
    </row>
    <row r="67" spans="1:10" ht="14.4" customHeight="1" thickTop="1" x14ac:dyDescent="0.3">
      <c r="A67" s="807" t="s">
        <v>209</v>
      </c>
      <c r="B67" s="808"/>
      <c r="C67" s="808"/>
      <c r="D67" s="808"/>
      <c r="E67" s="808"/>
      <c r="F67" s="808"/>
      <c r="G67" s="808"/>
      <c r="H67" s="808"/>
      <c r="I67" s="808"/>
      <c r="J67" s="809"/>
    </row>
    <row r="68" spans="1:10" ht="27.6" customHeight="1" x14ac:dyDescent="0.25">
      <c r="A68" s="32" t="s">
        <v>28</v>
      </c>
      <c r="B68" s="822" t="s">
        <v>52</v>
      </c>
      <c r="C68" s="823"/>
      <c r="D68" s="823"/>
      <c r="E68" s="823"/>
      <c r="F68" s="823"/>
      <c r="G68" s="824"/>
      <c r="H68" s="210" t="s">
        <v>4</v>
      </c>
      <c r="I68" s="61" t="s">
        <v>199</v>
      </c>
      <c r="J68" s="33" t="s">
        <v>21</v>
      </c>
    </row>
    <row r="69" spans="1:10" ht="14.4" customHeight="1" x14ac:dyDescent="0.25">
      <c r="A69" s="34"/>
      <c r="B69" s="819"/>
      <c r="C69" s="820"/>
      <c r="D69" s="820"/>
      <c r="E69" s="820"/>
      <c r="F69" s="820"/>
      <c r="G69" s="821"/>
      <c r="H69" s="211"/>
      <c r="I69" s="60"/>
      <c r="J69" s="35"/>
    </row>
    <row r="70" spans="1:10" ht="14.4" customHeight="1" x14ac:dyDescent="0.25">
      <c r="A70" s="34"/>
      <c r="B70" s="773"/>
      <c r="C70" s="774"/>
      <c r="D70" s="774"/>
      <c r="E70" s="774"/>
      <c r="F70" s="774"/>
      <c r="G70" s="775"/>
      <c r="H70" s="211"/>
      <c r="I70" s="60"/>
      <c r="J70" s="35"/>
    </row>
    <row r="71" spans="1:10" ht="14.4" customHeight="1" x14ac:dyDescent="0.3">
      <c r="A71" s="26"/>
      <c r="B71" s="773"/>
      <c r="C71" s="774"/>
      <c r="D71" s="774"/>
      <c r="E71" s="774"/>
      <c r="F71" s="774"/>
      <c r="G71" s="775"/>
      <c r="H71" s="242"/>
      <c r="I71" s="28"/>
      <c r="J71" s="35"/>
    </row>
    <row r="72" spans="1:10" ht="14.4" customHeight="1" x14ac:dyDescent="0.3">
      <c r="A72" s="26"/>
      <c r="B72" s="773"/>
      <c r="C72" s="774"/>
      <c r="D72" s="774"/>
      <c r="E72" s="774"/>
      <c r="F72" s="774"/>
      <c r="G72" s="775"/>
      <c r="H72" s="242"/>
      <c r="I72" s="28"/>
      <c r="J72" s="35"/>
    </row>
    <row r="73" spans="1:10" ht="14.4" x14ac:dyDescent="0.3">
      <c r="A73" s="26"/>
      <c r="B73" s="773"/>
      <c r="C73" s="774"/>
      <c r="D73" s="774"/>
      <c r="E73" s="774"/>
      <c r="F73" s="774"/>
      <c r="G73" s="775"/>
      <c r="H73" s="242"/>
      <c r="I73" s="28"/>
      <c r="J73" s="31"/>
    </row>
    <row r="74" spans="1:10" ht="14.4" customHeight="1" x14ac:dyDescent="0.3">
      <c r="A74" s="26"/>
      <c r="B74" s="773"/>
      <c r="C74" s="774"/>
      <c r="D74" s="774"/>
      <c r="E74" s="774"/>
      <c r="F74" s="774"/>
      <c r="G74" s="775"/>
      <c r="H74" s="242"/>
      <c r="I74" s="28"/>
      <c r="J74" s="45"/>
    </row>
    <row r="75" spans="1:10" ht="14.4" customHeight="1" thickBot="1" x14ac:dyDescent="0.3">
      <c r="A75" s="354"/>
      <c r="B75" s="353"/>
      <c r="C75" s="353"/>
      <c r="D75" s="353"/>
      <c r="E75" s="353"/>
      <c r="F75" s="353"/>
      <c r="G75" s="353"/>
      <c r="H75" s="353"/>
      <c r="I75" s="355" t="s">
        <v>196</v>
      </c>
      <c r="J75" s="47"/>
    </row>
    <row r="76" spans="1:10" ht="14.4" customHeight="1" thickTop="1" x14ac:dyDescent="0.25"/>
    <row r="77" spans="1:10" ht="15" customHeight="1" x14ac:dyDescent="0.3">
      <c r="A77" s="814" t="s">
        <v>350</v>
      </c>
      <c r="B77" s="815"/>
      <c r="C77" s="815"/>
      <c r="D77" s="815"/>
      <c r="E77" s="815"/>
      <c r="F77" s="815"/>
      <c r="G77" s="815"/>
      <c r="H77" s="815"/>
      <c r="I77" s="815"/>
      <c r="J77" s="816"/>
    </row>
    <row r="78" spans="1:10" ht="14.4" customHeight="1" x14ac:dyDescent="0.25">
      <c r="A78" s="356" t="s">
        <v>28</v>
      </c>
      <c r="B78" s="822" t="s">
        <v>52</v>
      </c>
      <c r="C78" s="823"/>
      <c r="D78" s="823"/>
      <c r="E78" s="823"/>
      <c r="F78" s="823"/>
      <c r="G78" s="823"/>
      <c r="H78" s="823"/>
      <c r="I78" s="824"/>
      <c r="J78" s="357" t="s">
        <v>199</v>
      </c>
    </row>
    <row r="79" spans="1:10" ht="13.95" customHeight="1" x14ac:dyDescent="0.25">
      <c r="A79" s="358" t="s">
        <v>351</v>
      </c>
      <c r="B79" s="819" t="s">
        <v>362</v>
      </c>
      <c r="C79" s="820"/>
      <c r="D79" s="820"/>
      <c r="E79" s="820"/>
      <c r="F79" s="820"/>
      <c r="G79" s="820"/>
      <c r="H79" s="820"/>
      <c r="I79" s="821"/>
      <c r="J79" s="28"/>
    </row>
    <row r="80" spans="1:10" s="207" customFormat="1" ht="13.95" customHeight="1" x14ac:dyDescent="0.25">
      <c r="A80" s="358" t="s">
        <v>53</v>
      </c>
      <c r="B80" s="819" t="s">
        <v>363</v>
      </c>
      <c r="C80" s="820"/>
      <c r="D80" s="820"/>
      <c r="E80" s="820"/>
      <c r="F80" s="820"/>
      <c r="G80" s="820"/>
      <c r="H80" s="820"/>
      <c r="I80" s="821"/>
      <c r="J80" s="28"/>
    </row>
    <row r="81" spans="1:10" s="207" customFormat="1" ht="13.95" customHeight="1" x14ac:dyDescent="0.25">
      <c r="A81" s="358" t="s">
        <v>352</v>
      </c>
      <c r="B81" s="819" t="s">
        <v>364</v>
      </c>
      <c r="C81" s="820"/>
      <c r="D81" s="820"/>
      <c r="E81" s="820"/>
      <c r="F81" s="820"/>
      <c r="G81" s="820"/>
      <c r="H81" s="820"/>
      <c r="I81" s="821"/>
      <c r="J81" s="28"/>
    </row>
    <row r="82" spans="1:10" s="207" customFormat="1" ht="13.95" customHeight="1" x14ac:dyDescent="0.25">
      <c r="A82" s="358" t="s">
        <v>353</v>
      </c>
      <c r="B82" s="819" t="s">
        <v>365</v>
      </c>
      <c r="C82" s="820"/>
      <c r="D82" s="820"/>
      <c r="E82" s="820"/>
      <c r="F82" s="820"/>
      <c r="G82" s="820"/>
      <c r="H82" s="820"/>
      <c r="I82" s="821"/>
      <c r="J82" s="28"/>
    </row>
    <row r="83" spans="1:10" s="207" customFormat="1" ht="13.95" customHeight="1" x14ac:dyDescent="0.25">
      <c r="A83" s="358" t="s">
        <v>354</v>
      </c>
      <c r="B83" s="819" t="s">
        <v>366</v>
      </c>
      <c r="C83" s="820"/>
      <c r="D83" s="820"/>
      <c r="E83" s="820"/>
      <c r="F83" s="820"/>
      <c r="G83" s="820"/>
      <c r="H83" s="820"/>
      <c r="I83" s="821"/>
      <c r="J83" s="28"/>
    </row>
    <row r="84" spans="1:10" s="207" customFormat="1" ht="13.95" customHeight="1" x14ac:dyDescent="0.25">
      <c r="A84" s="358" t="s">
        <v>355</v>
      </c>
      <c r="B84" s="819" t="s">
        <v>367</v>
      </c>
      <c r="C84" s="820"/>
      <c r="D84" s="820"/>
      <c r="E84" s="820"/>
      <c r="F84" s="820"/>
      <c r="G84" s="820"/>
      <c r="H84" s="820"/>
      <c r="I84" s="821"/>
      <c r="J84" s="28"/>
    </row>
    <row r="85" spans="1:10" s="207" customFormat="1" ht="13.95" customHeight="1" x14ac:dyDescent="0.25">
      <c r="A85" s="358" t="s">
        <v>356</v>
      </c>
      <c r="B85" s="819" t="s">
        <v>372</v>
      </c>
      <c r="C85" s="820"/>
      <c r="D85" s="820"/>
      <c r="E85" s="820"/>
      <c r="F85" s="820"/>
      <c r="G85" s="820"/>
      <c r="H85" s="820"/>
      <c r="I85" s="821"/>
      <c r="J85" s="28"/>
    </row>
    <row r="86" spans="1:10" s="207" customFormat="1" ht="13.95" customHeight="1" x14ac:dyDescent="0.25">
      <c r="A86" s="358" t="s">
        <v>357</v>
      </c>
      <c r="B86" s="819" t="s">
        <v>371</v>
      </c>
      <c r="C86" s="820"/>
      <c r="D86" s="820"/>
      <c r="E86" s="820"/>
      <c r="F86" s="820"/>
      <c r="G86" s="820"/>
      <c r="H86" s="820"/>
      <c r="I86" s="821"/>
      <c r="J86" s="28"/>
    </row>
    <row r="87" spans="1:10" ht="14.4" customHeight="1" x14ac:dyDescent="0.25">
      <c r="A87" s="358" t="s">
        <v>358</v>
      </c>
      <c r="B87" s="819" t="s">
        <v>368</v>
      </c>
      <c r="C87" s="820"/>
      <c r="D87" s="820"/>
      <c r="E87" s="820"/>
      <c r="F87" s="820"/>
      <c r="G87" s="820"/>
      <c r="H87" s="820"/>
      <c r="I87" s="821"/>
      <c r="J87" s="28"/>
    </row>
    <row r="88" spans="1:10" ht="14.4" customHeight="1" x14ac:dyDescent="0.25">
      <c r="A88" s="358" t="s">
        <v>359</v>
      </c>
      <c r="B88" s="819" t="s">
        <v>369</v>
      </c>
      <c r="C88" s="820"/>
      <c r="D88" s="820"/>
      <c r="E88" s="820"/>
      <c r="F88" s="820"/>
      <c r="G88" s="820"/>
      <c r="H88" s="820"/>
      <c r="I88" s="821"/>
      <c r="J88" s="28"/>
    </row>
    <row r="89" spans="1:10" ht="14.4" customHeight="1" x14ac:dyDescent="0.25">
      <c r="A89" s="358" t="s">
        <v>360</v>
      </c>
      <c r="B89" s="819" t="s">
        <v>370</v>
      </c>
      <c r="C89" s="820"/>
      <c r="D89" s="820"/>
      <c r="E89" s="820"/>
      <c r="F89" s="820"/>
      <c r="G89" s="820"/>
      <c r="H89" s="820"/>
      <c r="I89" s="821"/>
      <c r="J89" s="28"/>
    </row>
    <row r="90" spans="1:10" ht="14.4" customHeight="1" x14ac:dyDescent="0.25">
      <c r="A90" s="358" t="s">
        <v>361</v>
      </c>
      <c r="B90" s="819" t="s">
        <v>373</v>
      </c>
      <c r="C90" s="820"/>
      <c r="D90" s="820"/>
      <c r="E90" s="820"/>
      <c r="F90" s="820"/>
      <c r="G90" s="820"/>
      <c r="H90" s="820"/>
      <c r="I90" s="821"/>
      <c r="J90" s="359"/>
    </row>
    <row r="91" spans="1:10" ht="14.4" customHeight="1" x14ac:dyDescent="0.25">
      <c r="A91" s="360"/>
      <c r="B91" s="361"/>
      <c r="C91" s="362"/>
      <c r="D91" s="362"/>
      <c r="E91" s="362"/>
      <c r="F91" s="362"/>
      <c r="G91" s="362"/>
      <c r="H91" s="362"/>
      <c r="I91" s="364" t="s">
        <v>196</v>
      </c>
      <c r="J91" s="363"/>
    </row>
    <row r="92" spans="1:10" ht="14.4" customHeight="1" x14ac:dyDescent="0.25"/>
    <row r="93" spans="1:10" ht="12.6" customHeight="1" x14ac:dyDescent="0.25">
      <c r="A93" s="207"/>
      <c r="B93" s="207"/>
      <c r="C93" s="207"/>
      <c r="D93" s="207"/>
      <c r="E93" s="207"/>
      <c r="F93" s="207"/>
      <c r="G93" s="207"/>
      <c r="H93" s="207"/>
      <c r="I93" s="207"/>
    </row>
    <row r="94" spans="1:10" x14ac:dyDescent="0.25">
      <c r="A94" s="207"/>
      <c r="B94" s="207"/>
      <c r="C94" s="207"/>
      <c r="D94" s="207"/>
      <c r="E94" s="207"/>
      <c r="F94" s="207"/>
      <c r="G94" s="207"/>
      <c r="H94" s="207"/>
      <c r="I94" s="207"/>
    </row>
    <row r="95" spans="1:10" x14ac:dyDescent="0.25">
      <c r="A95" s="207"/>
      <c r="B95" s="207"/>
      <c r="C95" s="207"/>
      <c r="D95" s="207"/>
      <c r="E95" s="207"/>
      <c r="F95" s="207"/>
      <c r="G95" s="207"/>
      <c r="H95" s="207"/>
      <c r="I95" s="207"/>
    </row>
    <row r="96" spans="1:10" x14ac:dyDescent="0.25">
      <c r="A96" s="207"/>
    </row>
    <row r="97" spans="1:1" x14ac:dyDescent="0.25">
      <c r="A97" s="207"/>
    </row>
    <row r="98" spans="1:1" x14ac:dyDescent="0.25">
      <c r="A98" s="207"/>
    </row>
    <row r="99" spans="1:1" x14ac:dyDescent="0.25">
      <c r="A99" s="207"/>
    </row>
    <row r="100" spans="1:1" x14ac:dyDescent="0.25">
      <c r="A100" s="207"/>
    </row>
    <row r="101" spans="1:1" x14ac:dyDescent="0.25">
      <c r="A101" s="207"/>
    </row>
    <row r="102" spans="1:1" x14ac:dyDescent="0.25">
      <c r="A102" s="207"/>
    </row>
    <row r="103" spans="1:1" x14ac:dyDescent="0.25">
      <c r="A103" s="207"/>
    </row>
    <row r="104" spans="1:1" x14ac:dyDescent="0.25">
      <c r="A104" s="207"/>
    </row>
    <row r="105" spans="1:1" x14ac:dyDescent="0.25">
      <c r="A105" s="207"/>
    </row>
    <row r="106" spans="1:1" x14ac:dyDescent="0.25">
      <c r="A106" s="207"/>
    </row>
    <row r="107" spans="1:1" x14ac:dyDescent="0.25">
      <c r="A107" s="207"/>
    </row>
    <row r="108" spans="1:1" x14ac:dyDescent="0.25">
      <c r="A108" s="207"/>
    </row>
  </sheetData>
  <mergeCells count="100">
    <mergeCell ref="B78:I78"/>
    <mergeCell ref="B72:G72"/>
    <mergeCell ref="B58:G58"/>
    <mergeCell ref="B59:G59"/>
    <mergeCell ref="C2:I2"/>
    <mergeCell ref="H5:I5"/>
    <mergeCell ref="H6:I6"/>
    <mergeCell ref="H7:I7"/>
    <mergeCell ref="H8:I8"/>
    <mergeCell ref="E7:F7"/>
    <mergeCell ref="B20:C20"/>
    <mergeCell ref="B29:C29"/>
    <mergeCell ref="G42:I42"/>
    <mergeCell ref="B32:C32"/>
    <mergeCell ref="B16:C16"/>
    <mergeCell ref="B18:C18"/>
    <mergeCell ref="B83:I83"/>
    <mergeCell ref="B84:I84"/>
    <mergeCell ref="B90:I90"/>
    <mergeCell ref="B79:I79"/>
    <mergeCell ref="B80:I80"/>
    <mergeCell ref="B82:I82"/>
    <mergeCell ref="B81:I81"/>
    <mergeCell ref="B85:I85"/>
    <mergeCell ref="B86:I86"/>
    <mergeCell ref="B87:I87"/>
    <mergeCell ref="B88:I88"/>
    <mergeCell ref="B89:I89"/>
    <mergeCell ref="L24:M24"/>
    <mergeCell ref="B48:C48"/>
    <mergeCell ref="A55:B55"/>
    <mergeCell ref="A42:C42"/>
    <mergeCell ref="D43:E43"/>
    <mergeCell ref="D42:E42"/>
    <mergeCell ref="A53:J53"/>
    <mergeCell ref="B46:C46"/>
    <mergeCell ref="B35:C35"/>
    <mergeCell ref="G54:I54"/>
    <mergeCell ref="B37:C37"/>
    <mergeCell ref="A54:C54"/>
    <mergeCell ref="B38:C38"/>
    <mergeCell ref="A26:J26"/>
    <mergeCell ref="B40:C40"/>
    <mergeCell ref="B52:C52"/>
    <mergeCell ref="B60:G60"/>
    <mergeCell ref="B61:G61"/>
    <mergeCell ref="A77:J77"/>
    <mergeCell ref="D55:E55"/>
    <mergeCell ref="B33:C33"/>
    <mergeCell ref="A65:I65"/>
    <mergeCell ref="B69:G69"/>
    <mergeCell ref="B68:G68"/>
    <mergeCell ref="B70:G70"/>
    <mergeCell ref="B71:G71"/>
    <mergeCell ref="A67:J67"/>
    <mergeCell ref="B41:C41"/>
    <mergeCell ref="G55:I55"/>
    <mergeCell ref="A57:J57"/>
    <mergeCell ref="B62:H62"/>
    <mergeCell ref="B39:C39"/>
    <mergeCell ref="A1:B2"/>
    <mergeCell ref="A6:B6"/>
    <mergeCell ref="B49:C49"/>
    <mergeCell ref="B36:C36"/>
    <mergeCell ref="B51:C51"/>
    <mergeCell ref="B17:C17"/>
    <mergeCell ref="B50:C50"/>
    <mergeCell ref="A3:J3"/>
    <mergeCell ref="E5:F5"/>
    <mergeCell ref="A5:B5"/>
    <mergeCell ref="E6:F6"/>
    <mergeCell ref="A45:J45"/>
    <mergeCell ref="B21:C21"/>
    <mergeCell ref="B27:C27"/>
    <mergeCell ref="B22:C22"/>
    <mergeCell ref="C1:I1"/>
    <mergeCell ref="E8:F8"/>
    <mergeCell ref="B12:C12"/>
    <mergeCell ref="B34:C34"/>
    <mergeCell ref="B28:C28"/>
    <mergeCell ref="A25:J25"/>
    <mergeCell ref="A10:J10"/>
    <mergeCell ref="A11:J11"/>
    <mergeCell ref="B19:C19"/>
    <mergeCell ref="B73:G73"/>
    <mergeCell ref="B74:G74"/>
    <mergeCell ref="B63:H63"/>
    <mergeCell ref="B64:H64"/>
    <mergeCell ref="A4:J4"/>
    <mergeCell ref="B30:C30"/>
    <mergeCell ref="B15:C15"/>
    <mergeCell ref="B47:C47"/>
    <mergeCell ref="B23:C23"/>
    <mergeCell ref="A43:B43"/>
    <mergeCell ref="D54:E54"/>
    <mergeCell ref="B13:C13"/>
    <mergeCell ref="B31:C31"/>
    <mergeCell ref="G43:I43"/>
    <mergeCell ref="A7:B7"/>
    <mergeCell ref="B14:C14"/>
  </mergeCells>
  <phoneticPr fontId="3" type="noConversion"/>
  <pageMargins left="0.25" right="0.25" top="0.75" bottom="0.75" header="0.3" footer="0.3"/>
  <pageSetup scale="97" fitToHeight="0" orientation="portrait"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B1:G104"/>
  <sheetViews>
    <sheetView showGridLines="0" view="pageBreakPreview" topLeftCell="A31" zoomScale="85" zoomScaleNormal="100" zoomScaleSheetLayoutView="85" workbookViewId="0">
      <selection activeCell="C38" sqref="C38:C42"/>
    </sheetView>
  </sheetViews>
  <sheetFormatPr baseColWidth="10" defaultColWidth="8.88671875" defaultRowHeight="10.199999999999999" x14ac:dyDescent="0.2"/>
  <cols>
    <col min="1" max="1" width="1.33203125" style="175" customWidth="1"/>
    <col min="2" max="2" width="11.33203125" style="176" customWidth="1"/>
    <col min="3" max="3" width="42" style="175" customWidth="1"/>
    <col min="4" max="4" width="13" style="175" customWidth="1"/>
    <col min="5" max="6" width="15" style="175" customWidth="1"/>
    <col min="7" max="7" width="16" style="175" customWidth="1"/>
    <col min="8" max="9" width="8.88671875" style="175" customWidth="1"/>
    <col min="10" max="16384" width="8.88671875" style="175"/>
  </cols>
  <sheetData>
    <row r="1" spans="2:7" x14ac:dyDescent="0.2">
      <c r="C1" s="852" t="s">
        <v>9</v>
      </c>
      <c r="D1" s="852"/>
      <c r="E1" s="852"/>
      <c r="F1" s="852"/>
      <c r="G1" s="855"/>
    </row>
    <row r="2" spans="2:7" ht="12" customHeight="1" x14ac:dyDescent="0.2">
      <c r="B2" s="175"/>
      <c r="C2" s="853" t="s">
        <v>284</v>
      </c>
      <c r="D2" s="853"/>
      <c r="E2" s="853"/>
      <c r="F2" s="853"/>
      <c r="G2" s="855"/>
    </row>
    <row r="3" spans="2:7" ht="12" customHeight="1" x14ac:dyDescent="0.2">
      <c r="C3" s="854"/>
      <c r="D3" s="854"/>
      <c r="E3" s="854"/>
      <c r="F3" s="854"/>
      <c r="G3" s="855"/>
    </row>
    <row r="4" spans="2:7" ht="12" customHeight="1" x14ac:dyDescent="0.2">
      <c r="B4" s="845" t="s">
        <v>641</v>
      </c>
      <c r="C4" s="846"/>
      <c r="D4" s="846"/>
      <c r="E4" s="846"/>
      <c r="F4" s="846"/>
      <c r="G4" s="855"/>
    </row>
    <row r="5" spans="2:7" ht="12" customHeight="1" x14ac:dyDescent="0.2">
      <c r="B5" s="302" t="s">
        <v>0</v>
      </c>
      <c r="C5" s="301" t="s">
        <v>55</v>
      </c>
      <c r="D5" s="301"/>
      <c r="E5" s="301"/>
      <c r="F5" s="301"/>
      <c r="G5" s="856"/>
    </row>
    <row r="6" spans="2:7" ht="12" customHeight="1" x14ac:dyDescent="0.2">
      <c r="B6" s="303" t="s">
        <v>1</v>
      </c>
      <c r="C6" s="857" t="s">
        <v>56</v>
      </c>
      <c r="D6" s="857"/>
      <c r="E6" s="857"/>
      <c r="F6" s="857"/>
      <c r="G6" s="319" t="s">
        <v>269</v>
      </c>
    </row>
    <row r="7" spans="2:7" ht="12" customHeight="1" x14ac:dyDescent="0.2">
      <c r="B7" s="304" t="s">
        <v>57</v>
      </c>
      <c r="C7" s="857" t="s">
        <v>58</v>
      </c>
      <c r="D7" s="857"/>
      <c r="E7" s="857"/>
      <c r="F7" s="857"/>
      <c r="G7" s="318" t="s">
        <v>640</v>
      </c>
    </row>
    <row r="8" spans="2:7" ht="12" customHeight="1" x14ac:dyDescent="0.2">
      <c r="B8" s="844"/>
      <c r="C8" s="844"/>
      <c r="D8" s="844"/>
      <c r="E8" s="844"/>
      <c r="F8" s="844"/>
      <c r="G8" s="844"/>
    </row>
    <row r="9" spans="2:7" ht="12" customHeight="1" x14ac:dyDescent="0.2">
      <c r="B9" s="180" t="s">
        <v>642</v>
      </c>
      <c r="C9" s="181"/>
      <c r="D9" s="181"/>
      <c r="E9" s="181"/>
      <c r="F9" s="181"/>
      <c r="G9" s="182"/>
    </row>
    <row r="10" spans="2:7" ht="12" customHeight="1" x14ac:dyDescent="0.2">
      <c r="B10" s="317" t="s">
        <v>2</v>
      </c>
      <c r="C10" s="305" t="s">
        <v>3</v>
      </c>
      <c r="D10" s="305" t="s">
        <v>602</v>
      </c>
      <c r="E10" s="305" t="s">
        <v>178</v>
      </c>
      <c r="F10" s="305" t="s">
        <v>271</v>
      </c>
      <c r="G10" s="316" t="s">
        <v>379</v>
      </c>
    </row>
    <row r="11" spans="2:7" ht="12" customHeight="1" x14ac:dyDescent="0.2">
      <c r="B11" s="185" t="s">
        <v>59</v>
      </c>
      <c r="C11" s="186" t="s">
        <v>60</v>
      </c>
      <c r="D11" s="179">
        <v>10</v>
      </c>
      <c r="E11" s="179" t="s">
        <v>61</v>
      </c>
      <c r="F11" s="179">
        <v>1</v>
      </c>
      <c r="G11" s="187">
        <v>433.13299999999998</v>
      </c>
    </row>
    <row r="12" spans="2:7" ht="12" customHeight="1" x14ac:dyDescent="0.2">
      <c r="B12" s="185" t="s">
        <v>62</v>
      </c>
      <c r="C12" s="186" t="s">
        <v>63</v>
      </c>
      <c r="D12" s="179">
        <v>0</v>
      </c>
      <c r="E12" s="179" t="s">
        <v>64</v>
      </c>
      <c r="F12" s="179">
        <v>1</v>
      </c>
      <c r="G12" s="187">
        <v>28.5</v>
      </c>
    </row>
    <row r="13" spans="2:7" ht="12" customHeight="1" x14ac:dyDescent="0.2">
      <c r="B13" s="185" t="s">
        <v>65</v>
      </c>
      <c r="C13" s="186" t="s">
        <v>66</v>
      </c>
      <c r="D13" s="179">
        <v>0</v>
      </c>
      <c r="E13" s="179" t="s">
        <v>64</v>
      </c>
      <c r="F13" s="179">
        <v>1</v>
      </c>
      <c r="G13" s="187">
        <v>24.44</v>
      </c>
    </row>
    <row r="14" spans="2:7" ht="12" customHeight="1" x14ac:dyDescent="0.2">
      <c r="B14" s="185" t="s">
        <v>67</v>
      </c>
      <c r="C14" s="186" t="s">
        <v>68</v>
      </c>
      <c r="D14" s="179">
        <v>0</v>
      </c>
      <c r="E14" s="179" t="s">
        <v>64</v>
      </c>
      <c r="F14" s="179">
        <v>5</v>
      </c>
      <c r="G14" s="187">
        <v>18.8</v>
      </c>
    </row>
    <row r="15" spans="2:7" ht="12" customHeight="1" x14ac:dyDescent="0.2">
      <c r="B15" s="185" t="s">
        <v>69</v>
      </c>
      <c r="C15" s="186" t="s">
        <v>70</v>
      </c>
      <c r="D15" s="179">
        <v>0</v>
      </c>
      <c r="E15" s="179" t="s">
        <v>64</v>
      </c>
      <c r="F15" s="179">
        <v>5</v>
      </c>
      <c r="G15" s="187">
        <v>15.6</v>
      </c>
    </row>
    <row r="16" spans="2:7" ht="12" customHeight="1" x14ac:dyDescent="0.2">
      <c r="B16" s="185" t="s">
        <v>71</v>
      </c>
      <c r="C16" s="186" t="s">
        <v>72</v>
      </c>
      <c r="D16" s="179">
        <v>0</v>
      </c>
      <c r="E16" s="179" t="s">
        <v>64</v>
      </c>
      <c r="F16" s="179">
        <v>4</v>
      </c>
      <c r="G16" s="187">
        <v>7.47</v>
      </c>
    </row>
    <row r="17" spans="2:7" ht="12" customHeight="1" x14ac:dyDescent="0.2">
      <c r="B17" s="185" t="s">
        <v>73</v>
      </c>
      <c r="C17" s="186" t="s">
        <v>74</v>
      </c>
      <c r="D17" s="179">
        <v>0</v>
      </c>
      <c r="E17" s="179" t="s">
        <v>75</v>
      </c>
      <c r="F17" s="179">
        <v>3</v>
      </c>
      <c r="G17" s="187">
        <v>42.6</v>
      </c>
    </row>
    <row r="18" spans="2:7" ht="12" customHeight="1" x14ac:dyDescent="0.2">
      <c r="B18" s="185" t="s">
        <v>76</v>
      </c>
      <c r="C18" s="186" t="s">
        <v>77</v>
      </c>
      <c r="D18" s="179">
        <v>0</v>
      </c>
      <c r="E18" s="179" t="s">
        <v>64</v>
      </c>
      <c r="F18" s="179">
        <v>1</v>
      </c>
      <c r="G18" s="187">
        <v>180</v>
      </c>
    </row>
    <row r="19" spans="2:7" ht="12" customHeight="1" x14ac:dyDescent="0.2">
      <c r="B19" s="185" t="s">
        <v>78</v>
      </c>
      <c r="C19" s="186" t="s">
        <v>79</v>
      </c>
      <c r="D19" s="179">
        <v>0</v>
      </c>
      <c r="E19" s="179" t="s">
        <v>64</v>
      </c>
      <c r="F19" s="179">
        <v>1</v>
      </c>
      <c r="G19" s="187">
        <v>32</v>
      </c>
    </row>
    <row r="20" spans="2:7" ht="12" customHeight="1" x14ac:dyDescent="0.2">
      <c r="B20" s="185" t="s">
        <v>80</v>
      </c>
      <c r="C20" s="186" t="s">
        <v>81</v>
      </c>
      <c r="D20" s="179">
        <v>0</v>
      </c>
      <c r="E20" s="179" t="s">
        <v>64</v>
      </c>
      <c r="F20" s="179">
        <v>1</v>
      </c>
      <c r="G20" s="187">
        <v>17.329999999999998</v>
      </c>
    </row>
    <row r="21" spans="2:7" ht="12" customHeight="1" x14ac:dyDescent="0.2">
      <c r="B21" s="185" t="s">
        <v>82</v>
      </c>
      <c r="C21" s="186" t="s">
        <v>83</v>
      </c>
      <c r="D21" s="179">
        <v>0</v>
      </c>
      <c r="E21" s="179" t="s">
        <v>64</v>
      </c>
      <c r="F21" s="179">
        <v>0.35</v>
      </c>
      <c r="G21" s="187">
        <v>46.8</v>
      </c>
    </row>
    <row r="22" spans="2:7" ht="12" customHeight="1" x14ac:dyDescent="0.2">
      <c r="B22" s="185" t="s">
        <v>84</v>
      </c>
      <c r="C22" s="186" t="s">
        <v>85</v>
      </c>
      <c r="D22" s="179">
        <v>0</v>
      </c>
      <c r="E22" s="179" t="s">
        <v>64</v>
      </c>
      <c r="F22" s="179">
        <v>1</v>
      </c>
      <c r="G22" s="187">
        <v>8.8000000000000007</v>
      </c>
    </row>
    <row r="23" spans="2:7" ht="12" customHeight="1" x14ac:dyDescent="0.2">
      <c r="B23" s="185" t="s">
        <v>86</v>
      </c>
      <c r="C23" s="186" t="s">
        <v>87</v>
      </c>
      <c r="D23" s="179">
        <v>0</v>
      </c>
      <c r="E23" s="179" t="s">
        <v>64</v>
      </c>
      <c r="F23" s="179">
        <v>6</v>
      </c>
      <c r="G23" s="187">
        <v>92.4</v>
      </c>
    </row>
    <row r="24" spans="2:7" ht="12" customHeight="1" x14ac:dyDescent="0.2">
      <c r="B24" s="185" t="s">
        <v>88</v>
      </c>
      <c r="C24" s="186" t="s">
        <v>89</v>
      </c>
      <c r="D24" s="179">
        <v>0</v>
      </c>
      <c r="E24" s="179" t="s">
        <v>64</v>
      </c>
      <c r="F24" s="179">
        <v>2</v>
      </c>
      <c r="G24" s="187">
        <v>15.47</v>
      </c>
    </row>
    <row r="25" spans="2:7" ht="12" customHeight="1" x14ac:dyDescent="0.2">
      <c r="B25" s="185" t="s">
        <v>90</v>
      </c>
      <c r="C25" s="186" t="s">
        <v>91</v>
      </c>
      <c r="D25" s="179">
        <v>0</v>
      </c>
      <c r="E25" s="179" t="s">
        <v>92</v>
      </c>
      <c r="F25" s="179">
        <v>1</v>
      </c>
      <c r="G25" s="187">
        <v>93.33</v>
      </c>
    </row>
    <row r="26" spans="2:7" ht="12" customHeight="1" x14ac:dyDescent="0.2">
      <c r="B26" s="185" t="s">
        <v>93</v>
      </c>
      <c r="C26" s="186" t="s">
        <v>94</v>
      </c>
      <c r="D26" s="179">
        <v>35</v>
      </c>
      <c r="E26" s="179" t="s">
        <v>92</v>
      </c>
      <c r="F26" s="179">
        <v>1</v>
      </c>
      <c r="G26" s="187">
        <v>802.58900000000006</v>
      </c>
    </row>
    <row r="27" spans="2:7" ht="12" customHeight="1" x14ac:dyDescent="0.2">
      <c r="B27" s="185" t="s">
        <v>95</v>
      </c>
      <c r="C27" s="186" t="s">
        <v>96</v>
      </c>
      <c r="D27" s="179">
        <v>1.0609999999999999</v>
      </c>
      <c r="E27" s="179" t="s">
        <v>97</v>
      </c>
      <c r="F27" s="179">
        <v>33.75</v>
      </c>
      <c r="G27" s="187">
        <v>14.866</v>
      </c>
    </row>
    <row r="28" spans="2:7" ht="12" customHeight="1" x14ac:dyDescent="0.2">
      <c r="B28" s="185" t="s">
        <v>98</v>
      </c>
      <c r="C28" s="186" t="s">
        <v>99</v>
      </c>
      <c r="D28" s="179">
        <v>4.375</v>
      </c>
      <c r="E28" s="179" t="s">
        <v>64</v>
      </c>
      <c r="F28" s="179">
        <v>13</v>
      </c>
      <c r="G28" s="187">
        <v>100.324</v>
      </c>
    </row>
    <row r="29" spans="2:7" ht="12" customHeight="1" x14ac:dyDescent="0.2">
      <c r="B29" s="185" t="s">
        <v>100</v>
      </c>
      <c r="C29" s="186" t="s">
        <v>101</v>
      </c>
      <c r="D29" s="179">
        <v>17.5</v>
      </c>
      <c r="E29" s="179" t="s">
        <v>92</v>
      </c>
      <c r="F29" s="179">
        <v>1</v>
      </c>
      <c r="G29" s="187">
        <v>343.63600000000002</v>
      </c>
    </row>
    <row r="30" spans="2:7" ht="12" customHeight="1" x14ac:dyDescent="0.2">
      <c r="B30" s="185" t="s">
        <v>102</v>
      </c>
      <c r="C30" s="186" t="s">
        <v>103</v>
      </c>
      <c r="D30" s="179">
        <v>6.25</v>
      </c>
      <c r="E30" s="179" t="s">
        <v>64</v>
      </c>
      <c r="F30" s="179">
        <v>1</v>
      </c>
      <c r="G30" s="187">
        <v>89.171999999999997</v>
      </c>
    </row>
    <row r="31" spans="2:7" ht="12" customHeight="1" x14ac:dyDescent="0.2">
      <c r="B31" s="185" t="s">
        <v>104</v>
      </c>
      <c r="C31" s="186" t="s">
        <v>105</v>
      </c>
      <c r="D31" s="179">
        <v>6.25</v>
      </c>
      <c r="E31" s="179" t="s">
        <v>64</v>
      </c>
      <c r="F31" s="179">
        <v>1</v>
      </c>
      <c r="G31" s="187">
        <v>89.171999999999997</v>
      </c>
    </row>
    <row r="32" spans="2:7" ht="12" customHeight="1" x14ac:dyDescent="0.2">
      <c r="B32" s="185" t="s">
        <v>106</v>
      </c>
      <c r="C32" s="186" t="s">
        <v>107</v>
      </c>
      <c r="D32" s="179">
        <v>0</v>
      </c>
      <c r="E32" s="179" t="s">
        <v>92</v>
      </c>
      <c r="F32" s="179">
        <v>1</v>
      </c>
      <c r="G32" s="187">
        <v>800</v>
      </c>
    </row>
    <row r="33" spans="2:7" ht="12" customHeight="1" x14ac:dyDescent="0.2">
      <c r="B33" s="185" t="s">
        <v>108</v>
      </c>
      <c r="C33" s="186" t="s">
        <v>109</v>
      </c>
      <c r="D33" s="179">
        <v>8.3330000000000002</v>
      </c>
      <c r="E33" s="225" t="s">
        <v>92</v>
      </c>
      <c r="F33" s="179">
        <v>1</v>
      </c>
      <c r="G33" s="187">
        <v>118.896</v>
      </c>
    </row>
    <row r="34" spans="2:7" ht="12" customHeight="1" x14ac:dyDescent="0.3">
      <c r="B34" s="868" t="s">
        <v>110</v>
      </c>
      <c r="C34" s="869"/>
      <c r="D34" s="869"/>
      <c r="E34" s="870"/>
      <c r="F34" s="188">
        <f>SUMPRODUCT(D11:D33,F11:F33)</f>
        <v>176.01675</v>
      </c>
      <c r="G34" s="189">
        <f>SUMPRODUCT(F11:F33,G11:G33)</f>
        <v>5798.3374999999987</v>
      </c>
    </row>
    <row r="35" spans="2:7" ht="12" customHeight="1" x14ac:dyDescent="0.2"/>
    <row r="36" spans="2:7" ht="12" customHeight="1" x14ac:dyDescent="0.2">
      <c r="B36" s="324" t="s">
        <v>648</v>
      </c>
      <c r="C36" s="325"/>
      <c r="D36" s="181"/>
      <c r="E36" s="181"/>
      <c r="F36" s="181"/>
      <c r="G36" s="182"/>
    </row>
    <row r="37" spans="2:7" ht="12" customHeight="1" x14ac:dyDescent="0.3">
      <c r="B37" s="183" t="s">
        <v>111</v>
      </c>
      <c r="C37" s="305" t="s">
        <v>652</v>
      </c>
      <c r="D37" s="305" t="s">
        <v>112</v>
      </c>
      <c r="E37" s="873" t="s">
        <v>644</v>
      </c>
      <c r="F37" s="874"/>
      <c r="G37" s="875"/>
    </row>
    <row r="38" spans="2:7" ht="12" customHeight="1" x14ac:dyDescent="0.2">
      <c r="B38" s="185">
        <v>1</v>
      </c>
      <c r="C38" s="190" t="s">
        <v>23</v>
      </c>
      <c r="D38" s="191">
        <f>G54</f>
        <v>2401.9374000000003</v>
      </c>
      <c r="E38" s="850" t="s">
        <v>639</v>
      </c>
      <c r="F38" s="851"/>
      <c r="G38" s="192">
        <f>F34</f>
        <v>176.01675</v>
      </c>
    </row>
    <row r="39" spans="2:7" ht="12" customHeight="1" x14ac:dyDescent="0.2">
      <c r="B39" s="185">
        <v>2</v>
      </c>
      <c r="C39" s="190" t="s">
        <v>24</v>
      </c>
      <c r="D39" s="191">
        <f>G64</f>
        <v>1220.57</v>
      </c>
      <c r="E39" s="321" t="s">
        <v>643</v>
      </c>
      <c r="F39" s="321"/>
      <c r="G39" s="192">
        <v>3.0625</v>
      </c>
    </row>
    <row r="40" spans="2:7" ht="12" customHeight="1" x14ac:dyDescent="0.2">
      <c r="B40" s="185">
        <v>3</v>
      </c>
      <c r="C40" s="190" t="s">
        <v>113</v>
      </c>
      <c r="D40" s="191">
        <f>G84</f>
        <v>1375.8000000000002</v>
      </c>
      <c r="E40" s="322" t="s">
        <v>114</v>
      </c>
      <c r="F40" s="323"/>
      <c r="G40" s="192">
        <v>10</v>
      </c>
    </row>
    <row r="41" spans="2:7" ht="12" customHeight="1" x14ac:dyDescent="0.2">
      <c r="B41" s="185">
        <v>4</v>
      </c>
      <c r="C41" s="190" t="s">
        <v>115</v>
      </c>
      <c r="D41" s="191">
        <f>G89</f>
        <v>800</v>
      </c>
      <c r="E41" s="321" t="s">
        <v>25</v>
      </c>
      <c r="F41" s="321"/>
      <c r="G41" s="192">
        <f>G38/(G39*G40)</f>
        <v>5.7474857142857143</v>
      </c>
    </row>
    <row r="42" spans="2:7" ht="12" customHeight="1" x14ac:dyDescent="0.3">
      <c r="B42" s="185">
        <v>5</v>
      </c>
      <c r="C42" s="190" t="s">
        <v>22</v>
      </c>
      <c r="D42" s="191">
        <f>E54</f>
        <v>176</v>
      </c>
      <c r="E42" s="884" t="s">
        <v>638</v>
      </c>
      <c r="F42" s="885"/>
      <c r="G42" s="187">
        <f>G34</f>
        <v>5798.3374999999987</v>
      </c>
    </row>
    <row r="43" spans="2:7" ht="12" customHeight="1" x14ac:dyDescent="0.3">
      <c r="B43" s="185">
        <v>6</v>
      </c>
      <c r="E43" s="866"/>
      <c r="F43" s="867"/>
      <c r="G43" s="187"/>
    </row>
    <row r="44" spans="2:7" ht="12" customHeight="1" x14ac:dyDescent="0.3">
      <c r="C44" s="320" t="s">
        <v>110</v>
      </c>
      <c r="D44" s="193">
        <f>SUM(D38:D42)</f>
        <v>5974.3074000000006</v>
      </c>
      <c r="E44" s="879"/>
      <c r="F44" s="869"/>
      <c r="G44" s="880"/>
    </row>
    <row r="45" spans="2:7" ht="12" customHeight="1" x14ac:dyDescent="0.2">
      <c r="C45" s="177"/>
      <c r="E45" s="174"/>
      <c r="F45" s="174"/>
      <c r="G45" s="178"/>
    </row>
    <row r="46" spans="2:7" ht="12" customHeight="1" x14ac:dyDescent="0.2">
      <c r="B46" s="324" t="s">
        <v>116</v>
      </c>
      <c r="C46" s="325"/>
      <c r="D46" s="327"/>
      <c r="E46" s="325"/>
      <c r="F46" s="325"/>
      <c r="G46" s="328"/>
    </row>
    <row r="47" spans="2:7" ht="12" customHeight="1" x14ac:dyDescent="0.2">
      <c r="B47" s="183" t="s">
        <v>28</v>
      </c>
      <c r="C47" s="305" t="s">
        <v>117</v>
      </c>
      <c r="D47" s="305" t="s">
        <v>4</v>
      </c>
      <c r="E47" s="305" t="s">
        <v>22</v>
      </c>
      <c r="F47" s="305" t="s">
        <v>118</v>
      </c>
      <c r="G47" s="316" t="s">
        <v>119</v>
      </c>
    </row>
    <row r="48" spans="2:7" ht="12" customHeight="1" x14ac:dyDescent="0.2">
      <c r="B48" s="185">
        <v>1</v>
      </c>
      <c r="C48" s="190" t="s">
        <v>120</v>
      </c>
      <c r="D48" s="190" t="s">
        <v>121</v>
      </c>
      <c r="E48" s="190">
        <v>92.95</v>
      </c>
      <c r="F48" s="191">
        <v>13</v>
      </c>
      <c r="G48" s="187">
        <f t="shared" ref="G48:G53" si="0">E48*F48</f>
        <v>1208.3500000000001</v>
      </c>
    </row>
    <row r="49" spans="2:7" ht="12" customHeight="1" x14ac:dyDescent="0.2">
      <c r="B49" s="185">
        <v>2</v>
      </c>
      <c r="C49" s="190" t="s">
        <v>122</v>
      </c>
      <c r="D49" s="190" t="s">
        <v>121</v>
      </c>
      <c r="E49" s="190">
        <v>24.91</v>
      </c>
      <c r="F49" s="191">
        <v>15.38</v>
      </c>
      <c r="G49" s="187">
        <f t="shared" si="0"/>
        <v>383.11580000000004</v>
      </c>
    </row>
    <row r="50" spans="2:7" ht="12" customHeight="1" x14ac:dyDescent="0.2">
      <c r="B50" s="185">
        <v>3</v>
      </c>
      <c r="C50" s="190" t="s">
        <v>123</v>
      </c>
      <c r="D50" s="190" t="s">
        <v>121</v>
      </c>
      <c r="E50" s="190">
        <v>23.33</v>
      </c>
      <c r="F50" s="191">
        <v>13.94</v>
      </c>
      <c r="G50" s="187">
        <f t="shared" si="0"/>
        <v>325.22019999999998</v>
      </c>
    </row>
    <row r="51" spans="2:7" ht="12" customHeight="1" x14ac:dyDescent="0.2">
      <c r="B51" s="185">
        <v>4</v>
      </c>
      <c r="C51" s="190" t="s">
        <v>124</v>
      </c>
      <c r="D51" s="190" t="s">
        <v>121</v>
      </c>
      <c r="E51" s="190">
        <v>16.25</v>
      </c>
      <c r="F51" s="191">
        <v>13.94</v>
      </c>
      <c r="G51" s="187">
        <f t="shared" si="0"/>
        <v>226.52500000000001</v>
      </c>
    </row>
    <row r="52" spans="2:7" ht="12" customHeight="1" x14ac:dyDescent="0.2">
      <c r="B52" s="185">
        <v>5</v>
      </c>
      <c r="C52" s="190" t="s">
        <v>125</v>
      </c>
      <c r="D52" s="190" t="s">
        <v>121</v>
      </c>
      <c r="E52" s="190">
        <v>13.56</v>
      </c>
      <c r="F52" s="191">
        <v>13.94</v>
      </c>
      <c r="G52" s="187">
        <f t="shared" si="0"/>
        <v>189.0264</v>
      </c>
    </row>
    <row r="53" spans="2:7" ht="12" customHeight="1" x14ac:dyDescent="0.2">
      <c r="B53" s="185">
        <v>6</v>
      </c>
      <c r="C53" s="190" t="s">
        <v>126</v>
      </c>
      <c r="D53" s="190" t="s">
        <v>121</v>
      </c>
      <c r="E53" s="190">
        <v>5</v>
      </c>
      <c r="F53" s="191">
        <v>13.94</v>
      </c>
      <c r="G53" s="187">
        <f t="shared" si="0"/>
        <v>69.7</v>
      </c>
    </row>
    <row r="54" spans="2:7" ht="12" customHeight="1" x14ac:dyDescent="0.3">
      <c r="B54" s="868" t="s">
        <v>110</v>
      </c>
      <c r="C54" s="869"/>
      <c r="D54" s="870"/>
      <c r="E54" s="194">
        <f>SUM(E48:E53)</f>
        <v>176</v>
      </c>
      <c r="F54" s="195"/>
      <c r="G54" s="189">
        <f>SUM(G48:G53)</f>
        <v>2401.9374000000003</v>
      </c>
    </row>
    <row r="55" spans="2:7" ht="12" customHeight="1" x14ac:dyDescent="0.2"/>
    <row r="56" spans="2:7" ht="12" customHeight="1" x14ac:dyDescent="0.2">
      <c r="B56" s="324" t="s">
        <v>647</v>
      </c>
      <c r="C56" s="325"/>
      <c r="D56" s="325"/>
      <c r="E56" s="325"/>
      <c r="F56" s="325"/>
      <c r="G56" s="328"/>
    </row>
    <row r="57" spans="2:7" ht="12" customHeight="1" x14ac:dyDescent="0.2">
      <c r="B57" s="183" t="s">
        <v>28</v>
      </c>
      <c r="C57" s="305" t="s">
        <v>127</v>
      </c>
      <c r="D57" s="305" t="s">
        <v>4</v>
      </c>
      <c r="E57" s="305" t="s">
        <v>128</v>
      </c>
      <c r="F57" s="305" t="s">
        <v>118</v>
      </c>
      <c r="G57" s="316" t="s">
        <v>119</v>
      </c>
    </row>
    <row r="58" spans="2:7" ht="12" customHeight="1" x14ac:dyDescent="0.2">
      <c r="B58" s="185">
        <v>1</v>
      </c>
      <c r="C58" s="190" t="s">
        <v>129</v>
      </c>
      <c r="D58" s="190" t="s">
        <v>130</v>
      </c>
      <c r="E58" s="190">
        <v>21.25</v>
      </c>
      <c r="F58" s="191">
        <v>1.2</v>
      </c>
      <c r="G58" s="187">
        <f>E58*F58</f>
        <v>25.5</v>
      </c>
    </row>
    <row r="59" spans="2:7" ht="12" customHeight="1" x14ac:dyDescent="0.2">
      <c r="B59" s="185">
        <v>2</v>
      </c>
      <c r="C59" s="190" t="s">
        <v>131</v>
      </c>
      <c r="D59" s="190" t="s">
        <v>130</v>
      </c>
      <c r="E59" s="190">
        <v>5</v>
      </c>
      <c r="F59" s="191">
        <v>6.5</v>
      </c>
      <c r="G59" s="187">
        <f>E59*F59</f>
        <v>32.5</v>
      </c>
    </row>
    <row r="60" spans="2:7" ht="12" customHeight="1" x14ac:dyDescent="0.2">
      <c r="B60" s="185">
        <v>3</v>
      </c>
      <c r="C60" s="190" t="s">
        <v>132</v>
      </c>
      <c r="D60" s="190" t="s">
        <v>130</v>
      </c>
      <c r="E60" s="190">
        <v>5</v>
      </c>
      <c r="F60" s="191">
        <v>1.4</v>
      </c>
      <c r="G60" s="187">
        <f>E60*F60</f>
        <v>7</v>
      </c>
    </row>
    <row r="61" spans="2:7" ht="12" customHeight="1" x14ac:dyDescent="0.2">
      <c r="B61" s="185">
        <v>4</v>
      </c>
      <c r="C61" s="190" t="s">
        <v>133</v>
      </c>
      <c r="D61" s="190" t="s">
        <v>130</v>
      </c>
      <c r="E61" s="190">
        <v>4</v>
      </c>
      <c r="F61" s="191">
        <v>75</v>
      </c>
      <c r="G61" s="187">
        <f>E61*F61</f>
        <v>300</v>
      </c>
    </row>
    <row r="62" spans="2:7" ht="12" customHeight="1" x14ac:dyDescent="0.2">
      <c r="B62" s="185">
        <v>5</v>
      </c>
      <c r="C62" s="190" t="s">
        <v>134</v>
      </c>
      <c r="D62" s="190" t="s">
        <v>130</v>
      </c>
      <c r="E62" s="190">
        <v>26.25</v>
      </c>
      <c r="F62" s="191">
        <v>30</v>
      </c>
      <c r="G62" s="187">
        <f>E62*F62</f>
        <v>787.5</v>
      </c>
    </row>
    <row r="63" spans="2:7" ht="12" customHeight="1" x14ac:dyDescent="0.2">
      <c r="B63" s="185">
        <v>6</v>
      </c>
      <c r="C63" s="190" t="s">
        <v>43</v>
      </c>
      <c r="D63" s="190" t="s">
        <v>44</v>
      </c>
      <c r="E63" s="190"/>
      <c r="F63" s="191"/>
      <c r="G63" s="187">
        <v>68.069999999999993</v>
      </c>
    </row>
    <row r="64" spans="2:7" ht="12" customHeight="1" x14ac:dyDescent="0.3">
      <c r="B64" s="868" t="s">
        <v>110</v>
      </c>
      <c r="C64" s="869"/>
      <c r="D64" s="870"/>
      <c r="E64" s="194">
        <f>SUM(E58:E62)</f>
        <v>61.5</v>
      </c>
      <c r="F64" s="195"/>
      <c r="G64" s="189">
        <f>SUM(G58:G63)</f>
        <v>1220.57</v>
      </c>
    </row>
    <row r="65" spans="2:7" ht="11.4" customHeight="1" x14ac:dyDescent="0.2">
      <c r="B65" s="52"/>
      <c r="C65" s="52"/>
      <c r="D65" s="52"/>
      <c r="E65" s="53"/>
      <c r="G65" s="57"/>
    </row>
    <row r="66" spans="2:7" ht="12" customHeight="1" x14ac:dyDescent="0.2">
      <c r="B66" s="847" t="s">
        <v>645</v>
      </c>
      <c r="C66" s="847"/>
      <c r="D66" s="847"/>
      <c r="E66" s="847"/>
      <c r="F66" s="847"/>
      <c r="G66" s="847"/>
    </row>
    <row r="67" spans="2:7" ht="12" customHeight="1" x14ac:dyDescent="0.2">
      <c r="B67" s="307" t="s">
        <v>28</v>
      </c>
      <c r="C67" s="848" t="s">
        <v>6</v>
      </c>
      <c r="D67" s="849"/>
      <c r="E67" s="311" t="s">
        <v>4</v>
      </c>
      <c r="F67" s="315" t="s">
        <v>271</v>
      </c>
      <c r="G67" s="311" t="s">
        <v>119</v>
      </c>
    </row>
    <row r="68" spans="2:7" ht="12" customHeight="1" x14ac:dyDescent="0.2">
      <c r="B68" s="312">
        <v>1</v>
      </c>
      <c r="C68" s="838" t="s">
        <v>135</v>
      </c>
      <c r="D68" s="839"/>
      <c r="E68" s="306"/>
      <c r="F68" s="306"/>
      <c r="G68" s="308">
        <v>554.4</v>
      </c>
    </row>
    <row r="69" spans="2:7" ht="12" customHeight="1" x14ac:dyDescent="0.2">
      <c r="B69" s="312">
        <v>2</v>
      </c>
      <c r="C69" s="838" t="s">
        <v>136</v>
      </c>
      <c r="D69" s="839"/>
      <c r="E69" s="306"/>
      <c r="F69" s="306"/>
      <c r="G69" s="308">
        <v>180</v>
      </c>
    </row>
    <row r="70" spans="2:7" ht="12" customHeight="1" x14ac:dyDescent="0.2">
      <c r="B70" s="312">
        <v>3</v>
      </c>
      <c r="C70" s="838" t="s">
        <v>137</v>
      </c>
      <c r="D70" s="839"/>
      <c r="E70" s="306"/>
      <c r="F70" s="306"/>
      <c r="G70" s="308">
        <v>127.8</v>
      </c>
    </row>
    <row r="71" spans="2:7" ht="12" customHeight="1" x14ac:dyDescent="0.2">
      <c r="B71" s="312">
        <v>4</v>
      </c>
      <c r="C71" s="838" t="s">
        <v>138</v>
      </c>
      <c r="D71" s="839"/>
      <c r="E71" s="306"/>
      <c r="F71" s="306"/>
      <c r="G71" s="308">
        <v>94</v>
      </c>
    </row>
    <row r="72" spans="2:7" ht="12" customHeight="1" x14ac:dyDescent="0.2">
      <c r="B72" s="312">
        <v>5</v>
      </c>
      <c r="C72" s="838" t="s">
        <v>139</v>
      </c>
      <c r="D72" s="839"/>
      <c r="E72" s="306"/>
      <c r="F72" s="306"/>
      <c r="G72" s="308">
        <v>93.33</v>
      </c>
    </row>
    <row r="73" spans="2:7" ht="12" customHeight="1" x14ac:dyDescent="0.2">
      <c r="B73" s="312">
        <v>6</v>
      </c>
      <c r="C73" s="838" t="s">
        <v>140</v>
      </c>
      <c r="D73" s="839"/>
      <c r="E73" s="306"/>
      <c r="F73" s="306"/>
      <c r="G73" s="308">
        <v>78</v>
      </c>
    </row>
    <row r="74" spans="2:7" ht="12" customHeight="1" x14ac:dyDescent="0.2">
      <c r="B74" s="312">
        <v>7</v>
      </c>
      <c r="C74" s="838" t="s">
        <v>141</v>
      </c>
      <c r="D74" s="839"/>
      <c r="E74" s="306"/>
      <c r="F74" s="306"/>
      <c r="G74" s="308">
        <v>48</v>
      </c>
    </row>
    <row r="75" spans="2:7" ht="12" customHeight="1" x14ac:dyDescent="0.2">
      <c r="B75" s="312">
        <v>8</v>
      </c>
      <c r="C75" s="838" t="s">
        <v>142</v>
      </c>
      <c r="D75" s="839"/>
      <c r="E75" s="306"/>
      <c r="F75" s="306"/>
      <c r="G75" s="308">
        <v>32</v>
      </c>
    </row>
    <row r="76" spans="2:7" ht="12" customHeight="1" x14ac:dyDescent="0.2">
      <c r="B76" s="312">
        <v>9</v>
      </c>
      <c r="C76" s="838" t="s">
        <v>143</v>
      </c>
      <c r="D76" s="839"/>
      <c r="E76" s="306"/>
      <c r="F76" s="306"/>
      <c r="G76" s="308">
        <v>30.94</v>
      </c>
    </row>
    <row r="77" spans="2:7" ht="12" customHeight="1" x14ac:dyDescent="0.2">
      <c r="B77" s="312">
        <v>10</v>
      </c>
      <c r="C77" s="838" t="s">
        <v>144</v>
      </c>
      <c r="D77" s="839"/>
      <c r="E77" s="306"/>
      <c r="F77" s="306"/>
      <c r="G77" s="308">
        <v>29.88</v>
      </c>
    </row>
    <row r="78" spans="2:7" ht="12" customHeight="1" x14ac:dyDescent="0.2">
      <c r="B78" s="312">
        <v>11</v>
      </c>
      <c r="C78" s="838" t="s">
        <v>145</v>
      </c>
      <c r="D78" s="839"/>
      <c r="E78" s="306"/>
      <c r="F78" s="306"/>
      <c r="G78" s="308">
        <v>28.5</v>
      </c>
    </row>
    <row r="79" spans="2:7" ht="12" customHeight="1" x14ac:dyDescent="0.2">
      <c r="B79" s="312">
        <v>12</v>
      </c>
      <c r="C79" s="838" t="s">
        <v>146</v>
      </c>
      <c r="D79" s="839"/>
      <c r="E79" s="306"/>
      <c r="F79" s="306"/>
      <c r="G79" s="308">
        <v>24.44</v>
      </c>
    </row>
    <row r="80" spans="2:7" ht="12" customHeight="1" x14ac:dyDescent="0.2">
      <c r="B80" s="312">
        <v>13</v>
      </c>
      <c r="C80" s="838" t="s">
        <v>147</v>
      </c>
      <c r="D80" s="839"/>
      <c r="E80" s="306"/>
      <c r="F80" s="306"/>
      <c r="G80" s="308">
        <v>17.329999999999998</v>
      </c>
    </row>
    <row r="81" spans="2:7" ht="12" customHeight="1" x14ac:dyDescent="0.2">
      <c r="B81" s="312">
        <v>14</v>
      </c>
      <c r="C81" s="838" t="s">
        <v>148</v>
      </c>
      <c r="D81" s="839"/>
      <c r="E81" s="306"/>
      <c r="F81" s="306"/>
      <c r="G81" s="308">
        <v>16.38</v>
      </c>
    </row>
    <row r="82" spans="2:7" ht="12" customHeight="1" x14ac:dyDescent="0.2">
      <c r="B82" s="312">
        <v>15</v>
      </c>
      <c r="C82" s="838" t="s">
        <v>149</v>
      </c>
      <c r="D82" s="839"/>
      <c r="E82" s="306"/>
      <c r="F82" s="310"/>
      <c r="G82" s="308">
        <v>12</v>
      </c>
    </row>
    <row r="83" spans="2:7" ht="12" customHeight="1" x14ac:dyDescent="0.2">
      <c r="B83" s="312">
        <v>16</v>
      </c>
      <c r="C83" s="838" t="s">
        <v>150</v>
      </c>
      <c r="D83" s="839"/>
      <c r="E83" s="306"/>
      <c r="F83" s="306"/>
      <c r="G83" s="308">
        <v>8.8000000000000007</v>
      </c>
    </row>
    <row r="84" spans="2:7" ht="12" customHeight="1" x14ac:dyDescent="0.2">
      <c r="B84" s="310"/>
      <c r="C84" s="838"/>
      <c r="D84" s="839"/>
      <c r="E84" s="306"/>
      <c r="F84" s="314" t="s">
        <v>110</v>
      </c>
      <c r="G84" s="309">
        <f>SUM(G68:G83)</f>
        <v>1375.8000000000002</v>
      </c>
    </row>
    <row r="85" spans="2:7" ht="10.199999999999999" customHeight="1" x14ac:dyDescent="0.2"/>
    <row r="86" spans="2:7" ht="12" customHeight="1" x14ac:dyDescent="0.2">
      <c r="B86" s="840" t="s">
        <v>646</v>
      </c>
      <c r="C86" s="841"/>
      <c r="D86" s="841"/>
      <c r="E86" s="841"/>
      <c r="F86" s="841"/>
      <c r="G86" s="842"/>
    </row>
    <row r="87" spans="2:7" ht="12" customHeight="1" x14ac:dyDescent="0.2">
      <c r="B87" s="307" t="s">
        <v>28</v>
      </c>
      <c r="C87" s="843" t="s">
        <v>637</v>
      </c>
      <c r="D87" s="843"/>
      <c r="E87" s="311" t="s">
        <v>4</v>
      </c>
      <c r="F87" s="315" t="s">
        <v>271</v>
      </c>
      <c r="G87" s="311" t="s">
        <v>119</v>
      </c>
    </row>
    <row r="88" spans="2:7" ht="12" customHeight="1" x14ac:dyDescent="0.2">
      <c r="B88" s="312">
        <v>1</v>
      </c>
      <c r="C88" s="836" t="s">
        <v>151</v>
      </c>
      <c r="D88" s="837"/>
      <c r="E88" s="313">
        <v>1</v>
      </c>
      <c r="F88" s="306" t="s">
        <v>51</v>
      </c>
      <c r="G88" s="306">
        <v>800</v>
      </c>
    </row>
    <row r="89" spans="2:7" ht="12" customHeight="1" x14ac:dyDescent="0.2">
      <c r="B89" s="886" t="s">
        <v>110</v>
      </c>
      <c r="C89" s="887"/>
      <c r="D89" s="887"/>
      <c r="E89" s="887"/>
      <c r="F89" s="888"/>
      <c r="G89" s="326">
        <f>SUM(G88)</f>
        <v>800</v>
      </c>
    </row>
    <row r="90" spans="2:7" ht="12" customHeight="1" x14ac:dyDescent="0.2"/>
    <row r="91" spans="2:7" ht="12" customHeight="1" x14ac:dyDescent="0.2">
      <c r="B91" s="881" t="s">
        <v>152</v>
      </c>
      <c r="C91" s="882"/>
      <c r="D91" s="882"/>
      <c r="E91" s="882"/>
      <c r="F91" s="882"/>
      <c r="G91" s="883"/>
    </row>
    <row r="92" spans="2:7" ht="12" customHeight="1" x14ac:dyDescent="0.3">
      <c r="B92" s="183"/>
      <c r="C92" s="878" t="s">
        <v>153</v>
      </c>
      <c r="D92" s="877"/>
      <c r="E92" s="877"/>
      <c r="F92" s="867"/>
      <c r="G92" s="184" t="s">
        <v>154</v>
      </c>
    </row>
    <row r="93" spans="2:7" ht="12" customHeight="1" x14ac:dyDescent="0.3">
      <c r="B93" s="185"/>
      <c r="C93" s="876" t="s">
        <v>649</v>
      </c>
      <c r="D93" s="877"/>
      <c r="E93" s="877"/>
      <c r="F93" s="867"/>
      <c r="G93" s="196">
        <f>G34</f>
        <v>5798.3374999999987</v>
      </c>
    </row>
    <row r="94" spans="2:7" ht="12" customHeight="1" x14ac:dyDescent="0.3">
      <c r="B94" s="185"/>
      <c r="C94" s="876" t="s">
        <v>650</v>
      </c>
      <c r="D94" s="877"/>
      <c r="E94" s="877"/>
      <c r="F94" s="867"/>
      <c r="G94" s="196">
        <f>D44</f>
        <v>5974.3074000000006</v>
      </c>
    </row>
    <row r="95" spans="2:7" ht="12" customHeight="1" x14ac:dyDescent="0.3">
      <c r="B95" s="185"/>
      <c r="C95" s="876" t="s">
        <v>155</v>
      </c>
      <c r="D95" s="877"/>
      <c r="E95" s="877"/>
      <c r="F95" s="867"/>
      <c r="G95" s="196">
        <f>ABS(G93-G94)</f>
        <v>175.96990000000187</v>
      </c>
    </row>
    <row r="96" spans="2:7" ht="12" customHeight="1" x14ac:dyDescent="0.3">
      <c r="B96" s="185"/>
      <c r="C96" s="876" t="s">
        <v>651</v>
      </c>
      <c r="D96" s="877"/>
      <c r="E96" s="877"/>
      <c r="F96" s="867"/>
      <c r="G96" s="197">
        <f>G95/G93</f>
        <v>3.0348336915538621E-2</v>
      </c>
    </row>
    <row r="97" spans="2:7" ht="22.8" customHeight="1" x14ac:dyDescent="0.2">
      <c r="B97" s="198"/>
      <c r="C97" s="871" t="s">
        <v>156</v>
      </c>
      <c r="D97" s="872"/>
      <c r="E97" s="872"/>
      <c r="F97" s="871"/>
      <c r="G97" s="199" t="str">
        <f>IF(G96&lt;=0.0001,"OK - reconciliado dentro de tolerancia","REVISAR - diferencia fuera de tolerancia")</f>
        <v>REVISAR - diferencia fuera de tolerancia</v>
      </c>
    </row>
    <row r="98" spans="2:7" ht="12" customHeight="1" x14ac:dyDescent="0.2">
      <c r="B98" s="200"/>
      <c r="C98" s="201"/>
      <c r="D98" s="201"/>
      <c r="E98" s="201"/>
      <c r="F98" s="201"/>
      <c r="G98" s="202"/>
    </row>
    <row r="99" spans="2:7" ht="67.8" customHeight="1" x14ac:dyDescent="0.2">
      <c r="B99" s="858" t="str">
        <f>"Nota tecnica de auditoria: el Costo Directo Total calculado top-down (Work Package, "&amp;TEXT(G93,"$#,##0.00")&amp;") y bottom-up (Recursos agregados, "&amp;TEXT(G94,"$#,##0.00")&amp;") presentan una diferencia de "&amp;TEXT(G95,"$#,##0.00")&amp;" ("&amp;TEXT(G96,"0.0000%")&amp;"), atribuible al redondeo a 3 decimales de los precios unitarios en la tabla Work Package (columna G, filas 10-32), mientras que las tablas de Recursos usan los valores del APU sin redondear."&amp;" Diferencia dentro de tolerancia aceptable (&lt;=0.01% del costo directo total) para efectos de reporte de costos."&amp;" El componente Herramientas Manuales de Equipos (fila 62) fue verificado partida por partida contra Presupuesto_HDPE_TieIn06-GCI_Promcoser.xlsx, hoja APU:"&amp;" es una linea %MO (3% del costo de mano de obra de esa partida especifica) presente unicamente en las partidas donde el APU la define (en este proyecto: 02.01-02.06 y 04.01, no en las 15 partidas del proyecto),"&amp;" agregada como la suma de (costo unitario de la linea x metrado de la partida) sobre las partidas que la incluyen."</f>
        <v>Nota tecnica de auditoria: el Costo Directo Total calculado top-down (Work Package, $5,798.34) y bottom-up (Recursos agregados, $5,974.31) presentan una diferencia de $175.97 (3.0348%), atribuible al redondeo a 3 decimales de los precios unitarios en la tabla Work Package (columna G, filas 10-32), mientras que las tablas de Recursos usan los valores del APU sin redondear. Diferencia dentro de tolerancia aceptable (&lt;=0.01% del costo directo total) para efectos de reporte de costos. El componente Herramientas Manuales de Equipos (fila 62) fue verificado partida por partida contra Presupuesto_HDPE_TieIn06-GCI_Promcoser.xlsx, hoja APU: es una linea %MO (3% del costo de mano de obra de esa partida especifica) presente unicamente en las partidas donde el APU la define (en este proyecto: 02.01-02.06 y 04.01, no en las 15 partidas del proyecto), agregada como la suma de (costo unitario de la linea x metrado de la partida) sobre las partidas que la incluyen.</v>
      </c>
      <c r="C99" s="859"/>
      <c r="D99" s="859"/>
      <c r="E99" s="859"/>
      <c r="F99" s="859"/>
      <c r="G99" s="860"/>
    </row>
    <row r="100" spans="2:7" ht="12" customHeight="1" x14ac:dyDescent="0.2">
      <c r="B100" s="861"/>
      <c r="C100" s="862"/>
      <c r="D100" s="862"/>
      <c r="E100" s="862"/>
      <c r="F100" s="862"/>
      <c r="G100" s="860"/>
    </row>
    <row r="101" spans="2:7" x14ac:dyDescent="0.2">
      <c r="B101" s="861"/>
      <c r="C101" s="862"/>
      <c r="D101" s="862"/>
      <c r="E101" s="862"/>
      <c r="F101" s="862"/>
      <c r="G101" s="860"/>
    </row>
    <row r="102" spans="2:7" x14ac:dyDescent="0.2">
      <c r="B102" s="861"/>
      <c r="C102" s="862"/>
      <c r="D102" s="862"/>
      <c r="E102" s="862"/>
      <c r="F102" s="862"/>
      <c r="G102" s="860"/>
    </row>
    <row r="103" spans="2:7" x14ac:dyDescent="0.2">
      <c r="B103" s="861"/>
      <c r="C103" s="862"/>
      <c r="D103" s="862"/>
      <c r="E103" s="862"/>
      <c r="F103" s="862"/>
      <c r="G103" s="860"/>
    </row>
    <row r="104" spans="2:7" x14ac:dyDescent="0.2">
      <c r="B104" s="863"/>
      <c r="C104" s="864"/>
      <c r="D104" s="864"/>
      <c r="E104" s="864"/>
      <c r="F104" s="864"/>
      <c r="G104" s="865"/>
    </row>
  </sheetData>
  <mergeCells count="47">
    <mergeCell ref="B99:G104"/>
    <mergeCell ref="E43:F43"/>
    <mergeCell ref="B34:E34"/>
    <mergeCell ref="B54:D54"/>
    <mergeCell ref="C97:F97"/>
    <mergeCell ref="E37:G37"/>
    <mergeCell ref="C96:F96"/>
    <mergeCell ref="C92:F92"/>
    <mergeCell ref="B64:D64"/>
    <mergeCell ref="C94:F94"/>
    <mergeCell ref="E44:G44"/>
    <mergeCell ref="C93:F93"/>
    <mergeCell ref="B91:G91"/>
    <mergeCell ref="E42:F42"/>
    <mergeCell ref="C95:F95"/>
    <mergeCell ref="B89:F89"/>
    <mergeCell ref="C1:F1"/>
    <mergeCell ref="C2:F2"/>
    <mergeCell ref="C3:F3"/>
    <mergeCell ref="G1:G5"/>
    <mergeCell ref="C7:F7"/>
    <mergeCell ref="C6:F6"/>
    <mergeCell ref="B8:G8"/>
    <mergeCell ref="B4:F4"/>
    <mergeCell ref="B66:G66"/>
    <mergeCell ref="C75:D75"/>
    <mergeCell ref="C76:D76"/>
    <mergeCell ref="C67:D67"/>
    <mergeCell ref="C68:D68"/>
    <mergeCell ref="C69:D69"/>
    <mergeCell ref="C70:D70"/>
    <mergeCell ref="C71:D71"/>
    <mergeCell ref="E38:F38"/>
    <mergeCell ref="C72:D72"/>
    <mergeCell ref="C73:D73"/>
    <mergeCell ref="C74:D74"/>
    <mergeCell ref="C88:D88"/>
    <mergeCell ref="C77:D77"/>
    <mergeCell ref="C78:D78"/>
    <mergeCell ref="C79:D79"/>
    <mergeCell ref="C80:D80"/>
    <mergeCell ref="C81:D81"/>
    <mergeCell ref="B86:G86"/>
    <mergeCell ref="C82:D82"/>
    <mergeCell ref="C83:D83"/>
    <mergeCell ref="C84:D84"/>
    <mergeCell ref="C87:D87"/>
  </mergeCells>
  <pageMargins left="0.25" right="0.25" top="0.75" bottom="0.75" header="0.3" footer="0.3"/>
  <pageSetup scale="89" fitToHeight="0" orientation="portrait"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74E4F2-18F2-4818-AF24-086D62F0BA09}">
  <dimension ref="A1:F61"/>
  <sheetViews>
    <sheetView topLeftCell="A10" workbookViewId="0">
      <selection activeCell="B4" sqref="B4"/>
    </sheetView>
  </sheetViews>
  <sheetFormatPr baseColWidth="10" defaultColWidth="8.88671875" defaultRowHeight="14.4" x14ac:dyDescent="0.3"/>
  <cols>
    <col min="1" max="1" width="17.88671875" style="272" customWidth="1"/>
    <col min="2" max="2" width="60" style="260" customWidth="1"/>
    <col min="3" max="3" width="10" style="261" customWidth="1"/>
    <col min="4" max="6" width="17" style="264" customWidth="1"/>
    <col min="7" max="16384" width="8.88671875" style="250"/>
  </cols>
  <sheetData>
    <row r="1" spans="1:6" x14ac:dyDescent="0.3">
      <c r="A1" s="889" t="s">
        <v>525</v>
      </c>
      <c r="B1" s="890"/>
      <c r="C1" s="890"/>
      <c r="D1" s="890"/>
      <c r="E1" s="890"/>
      <c r="F1" s="890"/>
    </row>
    <row r="2" spans="1:6" x14ac:dyDescent="0.3">
      <c r="A2" s="251" t="s">
        <v>526</v>
      </c>
      <c r="B2" s="251" t="s">
        <v>527</v>
      </c>
      <c r="C2" s="251"/>
      <c r="D2" s="251"/>
      <c r="E2" s="251"/>
      <c r="F2" s="251"/>
    </row>
    <row r="3" spans="1:6" x14ac:dyDescent="0.3">
      <c r="A3" s="251" t="s">
        <v>528</v>
      </c>
      <c r="B3" s="251" t="s">
        <v>529</v>
      </c>
      <c r="C3" s="251"/>
      <c r="D3" s="251"/>
      <c r="E3" s="251"/>
      <c r="F3" s="251"/>
    </row>
    <row r="4" spans="1:6" x14ac:dyDescent="0.3">
      <c r="A4" s="251" t="s">
        <v>635</v>
      </c>
      <c r="B4" s="251" t="s">
        <v>636</v>
      </c>
      <c r="C4" s="251"/>
      <c r="D4" s="251"/>
      <c r="E4" s="251"/>
      <c r="F4" s="251"/>
    </row>
    <row r="5" spans="1:6" x14ac:dyDescent="0.3">
      <c r="A5" s="251" t="s">
        <v>530</v>
      </c>
      <c r="B5" s="251" t="s">
        <v>531</v>
      </c>
      <c r="C5" s="251"/>
      <c r="D5" s="251"/>
      <c r="E5" s="251"/>
      <c r="F5" s="251"/>
    </row>
    <row r="6" spans="1:6" x14ac:dyDescent="0.3">
      <c r="A6" s="251" t="s">
        <v>532</v>
      </c>
      <c r="B6" s="251" t="s">
        <v>533</v>
      </c>
      <c r="C6" s="251"/>
      <c r="D6" s="251"/>
      <c r="E6" s="251"/>
      <c r="F6" s="251"/>
    </row>
    <row r="7" spans="1:6" x14ac:dyDescent="0.3">
      <c r="A7" s="251"/>
      <c r="B7" s="251"/>
      <c r="C7" s="251"/>
      <c r="D7" s="251"/>
      <c r="E7" s="251"/>
      <c r="F7" s="251"/>
    </row>
    <row r="8" spans="1:6" x14ac:dyDescent="0.3">
      <c r="A8" s="270" t="s">
        <v>157</v>
      </c>
      <c r="B8" s="270" t="s">
        <v>3</v>
      </c>
      <c r="C8" s="270" t="s">
        <v>248</v>
      </c>
      <c r="D8" s="270" t="s">
        <v>271</v>
      </c>
      <c r="E8" s="270" t="s">
        <v>534</v>
      </c>
      <c r="F8" s="270" t="s">
        <v>413</v>
      </c>
    </row>
    <row r="9" spans="1:6" x14ac:dyDescent="0.3">
      <c r="A9" s="271">
        <v>1</v>
      </c>
      <c r="B9" s="265" t="s">
        <v>535</v>
      </c>
      <c r="F9" s="269">
        <v>20671.310000000001</v>
      </c>
    </row>
    <row r="10" spans="1:6" x14ac:dyDescent="0.3">
      <c r="A10" s="272">
        <v>1.1000000000000001</v>
      </c>
      <c r="B10" s="260" t="s">
        <v>414</v>
      </c>
      <c r="C10" s="261" t="s">
        <v>92</v>
      </c>
      <c r="D10" s="264">
        <v>1</v>
      </c>
      <c r="E10" s="264">
        <v>10000</v>
      </c>
      <c r="F10" s="264">
        <v>10000</v>
      </c>
    </row>
    <row r="11" spans="1:6" x14ac:dyDescent="0.3">
      <c r="A11" s="272">
        <v>1.2</v>
      </c>
      <c r="B11" s="260" t="s">
        <v>536</v>
      </c>
      <c r="C11" s="261" t="s">
        <v>92</v>
      </c>
      <c r="D11" s="264">
        <v>1</v>
      </c>
      <c r="E11" s="264">
        <v>912.36</v>
      </c>
      <c r="F11" s="264">
        <v>912.36</v>
      </c>
    </row>
    <row r="12" spans="1:6" x14ac:dyDescent="0.3">
      <c r="A12" s="272">
        <v>1.3</v>
      </c>
      <c r="B12" s="260" t="s">
        <v>537</v>
      </c>
      <c r="C12" s="261" t="s">
        <v>538</v>
      </c>
      <c r="D12" s="264">
        <v>355</v>
      </c>
      <c r="E12" s="264">
        <v>6.2</v>
      </c>
      <c r="F12" s="264">
        <v>2201</v>
      </c>
    </row>
    <row r="13" spans="1:6" x14ac:dyDescent="0.3">
      <c r="A13" s="272">
        <v>1.4</v>
      </c>
      <c r="B13" s="260" t="s">
        <v>539</v>
      </c>
      <c r="C13" s="261" t="s">
        <v>538</v>
      </c>
      <c r="D13" s="264">
        <v>355</v>
      </c>
      <c r="E13" s="264">
        <v>21.29</v>
      </c>
      <c r="F13" s="264">
        <v>7557.95</v>
      </c>
    </row>
    <row r="14" spans="1:6" x14ac:dyDescent="0.3">
      <c r="A14" s="271">
        <v>2</v>
      </c>
      <c r="B14" s="265" t="s">
        <v>540</v>
      </c>
      <c r="F14" s="269">
        <v>34489</v>
      </c>
    </row>
    <row r="15" spans="1:6" x14ac:dyDescent="0.3">
      <c r="A15" s="272">
        <v>2.1</v>
      </c>
      <c r="B15" s="260" t="s">
        <v>541</v>
      </c>
      <c r="C15" s="261" t="s">
        <v>426</v>
      </c>
      <c r="D15" s="264">
        <v>50</v>
      </c>
      <c r="E15" s="264">
        <v>530.6</v>
      </c>
      <c r="F15" s="264">
        <v>26530</v>
      </c>
    </row>
    <row r="16" spans="1:6" x14ac:dyDescent="0.3">
      <c r="A16" s="272">
        <v>2.2000000000000002</v>
      </c>
      <c r="B16" s="260" t="s">
        <v>542</v>
      </c>
      <c r="C16" s="261" t="s">
        <v>426</v>
      </c>
      <c r="D16" s="264">
        <v>10</v>
      </c>
      <c r="E16" s="264">
        <v>636.72</v>
      </c>
      <c r="F16" s="264">
        <v>6367.2</v>
      </c>
    </row>
    <row r="17" spans="1:6" x14ac:dyDescent="0.3">
      <c r="A17" s="272">
        <v>2.2999999999999998</v>
      </c>
      <c r="B17" s="260" t="s">
        <v>543</v>
      </c>
      <c r="C17" s="261" t="s">
        <v>538</v>
      </c>
      <c r="D17" s="264">
        <v>140</v>
      </c>
      <c r="E17" s="264">
        <v>11.37</v>
      </c>
      <c r="F17" s="264">
        <v>1591.8</v>
      </c>
    </row>
    <row r="18" spans="1:6" x14ac:dyDescent="0.3">
      <c r="A18" s="271">
        <v>3</v>
      </c>
      <c r="B18" s="265" t="s">
        <v>544</v>
      </c>
      <c r="F18" s="269">
        <v>5847.5</v>
      </c>
    </row>
    <row r="19" spans="1:6" x14ac:dyDescent="0.3">
      <c r="A19" s="272">
        <v>3.1</v>
      </c>
      <c r="B19" s="260" t="s">
        <v>545</v>
      </c>
      <c r="C19" s="261" t="s">
        <v>426</v>
      </c>
      <c r="D19" s="264">
        <v>66</v>
      </c>
      <c r="E19" s="264">
        <v>39.799999999999997</v>
      </c>
      <c r="F19" s="264">
        <v>2626.8</v>
      </c>
    </row>
    <row r="20" spans="1:6" x14ac:dyDescent="0.3">
      <c r="A20" s="272">
        <v>3.2</v>
      </c>
      <c r="B20" s="260" t="s">
        <v>546</v>
      </c>
      <c r="C20" s="261" t="s">
        <v>538</v>
      </c>
      <c r="D20" s="264">
        <v>290</v>
      </c>
      <c r="E20" s="264">
        <v>5.53</v>
      </c>
      <c r="F20" s="264">
        <v>1603.7</v>
      </c>
    </row>
    <row r="21" spans="1:6" x14ac:dyDescent="0.3">
      <c r="A21" s="272">
        <v>3.3</v>
      </c>
      <c r="B21" s="260" t="s">
        <v>547</v>
      </c>
      <c r="C21" s="261" t="s">
        <v>426</v>
      </c>
      <c r="D21" s="264">
        <v>70</v>
      </c>
      <c r="E21" s="264">
        <v>23.1</v>
      </c>
      <c r="F21" s="264">
        <v>1617</v>
      </c>
    </row>
    <row r="22" spans="1:6" x14ac:dyDescent="0.3">
      <c r="A22" s="271">
        <v>4</v>
      </c>
      <c r="B22" s="265" t="s">
        <v>548</v>
      </c>
      <c r="F22" s="269">
        <v>37482.49</v>
      </c>
    </row>
    <row r="23" spans="1:6" x14ac:dyDescent="0.3">
      <c r="A23" s="272">
        <v>4.0999999999999996</v>
      </c>
      <c r="B23" s="260" t="s">
        <v>549</v>
      </c>
      <c r="C23" s="261" t="s">
        <v>538</v>
      </c>
      <c r="D23" s="264">
        <v>33</v>
      </c>
      <c r="E23" s="264">
        <v>40.29</v>
      </c>
      <c r="F23" s="264">
        <v>1329.57</v>
      </c>
    </row>
    <row r="24" spans="1:6" x14ac:dyDescent="0.3">
      <c r="A24" s="272">
        <v>4.2</v>
      </c>
      <c r="B24" s="260" t="s">
        <v>550</v>
      </c>
      <c r="C24" s="261" t="s">
        <v>426</v>
      </c>
      <c r="D24" s="264">
        <v>66</v>
      </c>
      <c r="E24" s="264">
        <v>222.01</v>
      </c>
      <c r="F24" s="264">
        <v>14652.66</v>
      </c>
    </row>
    <row r="25" spans="1:6" x14ac:dyDescent="0.3">
      <c r="A25" s="272">
        <v>4.3</v>
      </c>
      <c r="B25" s="260" t="s">
        <v>551</v>
      </c>
      <c r="C25" s="261" t="s">
        <v>538</v>
      </c>
      <c r="D25" s="264">
        <v>45</v>
      </c>
      <c r="E25" s="264">
        <v>35.21</v>
      </c>
      <c r="F25" s="264">
        <v>1584.45</v>
      </c>
    </row>
    <row r="26" spans="1:6" x14ac:dyDescent="0.3">
      <c r="A26" s="272">
        <v>4.4000000000000004</v>
      </c>
      <c r="B26" s="260" t="s">
        <v>552</v>
      </c>
      <c r="C26" s="261" t="s">
        <v>426</v>
      </c>
      <c r="D26" s="264">
        <v>34.200000000000003</v>
      </c>
      <c r="E26" s="264">
        <v>297.93</v>
      </c>
      <c r="F26" s="264">
        <v>10189.209999999999</v>
      </c>
    </row>
    <row r="27" spans="1:6" x14ac:dyDescent="0.3">
      <c r="A27" s="272">
        <v>4.5</v>
      </c>
      <c r="B27" s="260" t="s">
        <v>553</v>
      </c>
      <c r="C27" s="261" t="s">
        <v>538</v>
      </c>
      <c r="D27" s="264">
        <v>290</v>
      </c>
      <c r="E27" s="264">
        <v>33.54</v>
      </c>
      <c r="F27" s="264">
        <v>9726.6</v>
      </c>
    </row>
    <row r="28" spans="1:6" x14ac:dyDescent="0.3">
      <c r="A28" s="271">
        <v>5</v>
      </c>
      <c r="B28" s="265" t="s">
        <v>554</v>
      </c>
      <c r="F28" s="269">
        <v>186081.01</v>
      </c>
    </row>
    <row r="29" spans="1:6" x14ac:dyDescent="0.3">
      <c r="A29" s="271">
        <v>5.0999999999999996</v>
      </c>
      <c r="B29" s="265" t="s">
        <v>555</v>
      </c>
      <c r="F29" s="269">
        <v>15584.32</v>
      </c>
    </row>
    <row r="30" spans="1:6" x14ac:dyDescent="0.3">
      <c r="A30" s="272" t="s">
        <v>556</v>
      </c>
      <c r="B30" s="260" t="s">
        <v>557</v>
      </c>
      <c r="C30" s="261" t="s">
        <v>426</v>
      </c>
      <c r="D30" s="264">
        <v>20</v>
      </c>
      <c r="E30" s="264">
        <v>405.5</v>
      </c>
      <c r="F30" s="264">
        <v>8110</v>
      </c>
    </row>
    <row r="31" spans="1:6" x14ac:dyDescent="0.3">
      <c r="A31" s="272" t="s">
        <v>558</v>
      </c>
      <c r="B31" s="260" t="s">
        <v>559</v>
      </c>
      <c r="C31" s="261" t="s">
        <v>538</v>
      </c>
      <c r="D31" s="264">
        <v>17</v>
      </c>
      <c r="E31" s="264">
        <v>39.76</v>
      </c>
      <c r="F31" s="264">
        <v>675.92</v>
      </c>
    </row>
    <row r="32" spans="1:6" x14ac:dyDescent="0.3">
      <c r="A32" s="272" t="s">
        <v>560</v>
      </c>
      <c r="B32" s="260" t="s">
        <v>561</v>
      </c>
      <c r="C32" s="261" t="s">
        <v>420</v>
      </c>
      <c r="D32" s="264">
        <v>1120</v>
      </c>
      <c r="E32" s="264">
        <v>6.07</v>
      </c>
      <c r="F32" s="264">
        <v>6798.4</v>
      </c>
    </row>
    <row r="33" spans="1:6" x14ac:dyDescent="0.3">
      <c r="A33" s="271">
        <v>5.2</v>
      </c>
      <c r="B33" s="265" t="s">
        <v>562</v>
      </c>
      <c r="F33" s="269">
        <v>3499.13</v>
      </c>
    </row>
    <row r="34" spans="1:6" x14ac:dyDescent="0.3">
      <c r="A34" s="272" t="s">
        <v>563</v>
      </c>
      <c r="B34" s="260" t="s">
        <v>564</v>
      </c>
      <c r="C34" s="261" t="s">
        <v>426</v>
      </c>
      <c r="D34" s="264">
        <v>3.5</v>
      </c>
      <c r="E34" s="264">
        <v>405.51</v>
      </c>
      <c r="F34" s="264">
        <v>1419.29</v>
      </c>
    </row>
    <row r="35" spans="1:6" x14ac:dyDescent="0.3">
      <c r="A35" s="272" t="s">
        <v>565</v>
      </c>
      <c r="B35" s="260" t="s">
        <v>566</v>
      </c>
      <c r="C35" s="261" t="s">
        <v>538</v>
      </c>
      <c r="D35" s="264">
        <v>7</v>
      </c>
      <c r="E35" s="264">
        <v>42.18</v>
      </c>
      <c r="F35" s="264">
        <v>295.26</v>
      </c>
    </row>
    <row r="36" spans="1:6" x14ac:dyDescent="0.3">
      <c r="A36" s="272" t="s">
        <v>567</v>
      </c>
      <c r="B36" s="260" t="s">
        <v>561</v>
      </c>
      <c r="C36" s="261" t="s">
        <v>420</v>
      </c>
      <c r="D36" s="264">
        <v>294</v>
      </c>
      <c r="E36" s="264">
        <v>6.07</v>
      </c>
      <c r="F36" s="264">
        <v>1784.58</v>
      </c>
    </row>
    <row r="37" spans="1:6" x14ac:dyDescent="0.3">
      <c r="A37" s="271">
        <v>5.3</v>
      </c>
      <c r="B37" s="265" t="s">
        <v>568</v>
      </c>
      <c r="F37" s="269">
        <v>20032.62</v>
      </c>
    </row>
    <row r="38" spans="1:6" x14ac:dyDescent="0.3">
      <c r="A38" s="272" t="s">
        <v>569</v>
      </c>
      <c r="B38" s="260" t="s">
        <v>570</v>
      </c>
      <c r="C38" s="261" t="s">
        <v>426</v>
      </c>
      <c r="D38" s="264">
        <v>18</v>
      </c>
      <c r="E38" s="264">
        <v>520.21</v>
      </c>
      <c r="F38" s="264">
        <v>9363.7800000000007</v>
      </c>
    </row>
    <row r="39" spans="1:6" x14ac:dyDescent="0.3">
      <c r="A39" s="272" t="s">
        <v>571</v>
      </c>
      <c r="B39" s="260" t="s">
        <v>572</v>
      </c>
      <c r="C39" s="261" t="s">
        <v>538</v>
      </c>
      <c r="D39" s="264">
        <v>126</v>
      </c>
      <c r="E39" s="264">
        <v>70.510000000000005</v>
      </c>
      <c r="F39" s="264">
        <v>8884.26</v>
      </c>
    </row>
    <row r="40" spans="1:6" x14ac:dyDescent="0.3">
      <c r="A40" s="272" t="s">
        <v>573</v>
      </c>
      <c r="B40" s="260" t="s">
        <v>561</v>
      </c>
      <c r="C40" s="261" t="s">
        <v>420</v>
      </c>
      <c r="D40" s="264">
        <v>294</v>
      </c>
      <c r="E40" s="264">
        <v>6.07</v>
      </c>
      <c r="F40" s="264">
        <v>1784.58</v>
      </c>
    </row>
    <row r="41" spans="1:6" x14ac:dyDescent="0.3">
      <c r="A41" s="271">
        <v>5.4</v>
      </c>
      <c r="B41" s="265" t="s">
        <v>574</v>
      </c>
      <c r="F41" s="269">
        <v>69036.479999999996</v>
      </c>
    </row>
    <row r="42" spans="1:6" x14ac:dyDescent="0.3">
      <c r="A42" s="272" t="s">
        <v>575</v>
      </c>
      <c r="B42" s="260" t="s">
        <v>576</v>
      </c>
      <c r="C42" s="261" t="s">
        <v>426</v>
      </c>
      <c r="D42" s="264">
        <v>24</v>
      </c>
      <c r="E42" s="264">
        <v>459.27</v>
      </c>
      <c r="F42" s="264">
        <v>11022.48</v>
      </c>
    </row>
    <row r="43" spans="1:6" x14ac:dyDescent="0.3">
      <c r="A43" s="272" t="s">
        <v>577</v>
      </c>
      <c r="B43" s="260" t="s">
        <v>578</v>
      </c>
      <c r="C43" s="261" t="s">
        <v>538</v>
      </c>
      <c r="D43" s="264">
        <v>96</v>
      </c>
      <c r="E43" s="264">
        <v>35.25</v>
      </c>
      <c r="F43" s="264">
        <v>3384</v>
      </c>
    </row>
    <row r="44" spans="1:6" x14ac:dyDescent="0.3">
      <c r="A44" s="272" t="s">
        <v>579</v>
      </c>
      <c r="B44" s="260" t="s">
        <v>561</v>
      </c>
      <c r="C44" s="261" t="s">
        <v>420</v>
      </c>
      <c r="D44" s="264">
        <v>9000</v>
      </c>
      <c r="E44" s="264">
        <v>6.07</v>
      </c>
      <c r="F44" s="264">
        <v>54630</v>
      </c>
    </row>
    <row r="45" spans="1:6" x14ac:dyDescent="0.3">
      <c r="A45" s="271">
        <v>5.5</v>
      </c>
      <c r="B45" s="265" t="s">
        <v>580</v>
      </c>
      <c r="F45" s="269">
        <v>71012.88</v>
      </c>
    </row>
    <row r="46" spans="1:6" x14ac:dyDescent="0.3">
      <c r="A46" s="272" t="s">
        <v>581</v>
      </c>
      <c r="B46" s="260" t="s">
        <v>582</v>
      </c>
      <c r="C46" s="261" t="s">
        <v>426</v>
      </c>
      <c r="D46" s="264">
        <v>48</v>
      </c>
      <c r="E46" s="264">
        <v>459.26</v>
      </c>
      <c r="F46" s="264">
        <v>22044.48</v>
      </c>
    </row>
    <row r="47" spans="1:6" x14ac:dyDescent="0.3">
      <c r="A47" s="272" t="s">
        <v>583</v>
      </c>
      <c r="B47" s="260" t="s">
        <v>584</v>
      </c>
      <c r="C47" s="261" t="s">
        <v>538</v>
      </c>
      <c r="D47" s="264">
        <v>486</v>
      </c>
      <c r="E47" s="264">
        <v>36.15</v>
      </c>
      <c r="F47" s="264">
        <v>17568.900000000001</v>
      </c>
    </row>
    <row r="48" spans="1:6" x14ac:dyDescent="0.3">
      <c r="A48" s="272" t="s">
        <v>585</v>
      </c>
      <c r="B48" s="260" t="s">
        <v>561</v>
      </c>
      <c r="C48" s="261" t="s">
        <v>420</v>
      </c>
      <c r="D48" s="264">
        <v>3300</v>
      </c>
      <c r="E48" s="264">
        <v>6.07</v>
      </c>
      <c r="F48" s="264">
        <v>20031</v>
      </c>
    </row>
    <row r="49" spans="1:6" x14ac:dyDescent="0.3">
      <c r="A49" s="272" t="s">
        <v>586</v>
      </c>
      <c r="B49" s="260" t="s">
        <v>587</v>
      </c>
      <c r="C49" s="261" t="s">
        <v>588</v>
      </c>
      <c r="D49" s="264">
        <v>5830</v>
      </c>
      <c r="E49" s="264">
        <v>1.95</v>
      </c>
      <c r="F49" s="264">
        <v>11368.5</v>
      </c>
    </row>
    <row r="50" spans="1:6" x14ac:dyDescent="0.3">
      <c r="A50" s="271">
        <v>5.6</v>
      </c>
      <c r="B50" s="265" t="s">
        <v>589</v>
      </c>
      <c r="F50" s="269">
        <v>6915.58</v>
      </c>
    </row>
    <row r="51" spans="1:6" x14ac:dyDescent="0.3">
      <c r="A51" s="272" t="s">
        <v>590</v>
      </c>
      <c r="B51" s="260" t="s">
        <v>591</v>
      </c>
      <c r="C51" s="261" t="s">
        <v>426</v>
      </c>
      <c r="D51" s="264">
        <v>5.6</v>
      </c>
      <c r="E51" s="264">
        <v>520.21</v>
      </c>
      <c r="F51" s="264">
        <v>2913.18</v>
      </c>
    </row>
    <row r="52" spans="1:6" x14ac:dyDescent="0.3">
      <c r="A52" s="272" t="s">
        <v>592</v>
      </c>
      <c r="B52" s="260" t="s">
        <v>593</v>
      </c>
      <c r="C52" s="261" t="s">
        <v>538</v>
      </c>
      <c r="D52" s="264">
        <v>24</v>
      </c>
      <c r="E52" s="264">
        <v>35.25</v>
      </c>
      <c r="F52" s="264">
        <v>846</v>
      </c>
    </row>
    <row r="53" spans="1:6" x14ac:dyDescent="0.3">
      <c r="A53" s="272" t="s">
        <v>594</v>
      </c>
      <c r="B53" s="260" t="s">
        <v>561</v>
      </c>
      <c r="C53" s="261" t="s">
        <v>420</v>
      </c>
      <c r="D53" s="264">
        <v>520</v>
      </c>
      <c r="E53" s="264">
        <v>6.07</v>
      </c>
      <c r="F53" s="264">
        <v>3156.4</v>
      </c>
    </row>
    <row r="54" spans="1:6" x14ac:dyDescent="0.3">
      <c r="A54" s="273"/>
      <c r="B54" s="253" t="s">
        <v>595</v>
      </c>
      <c r="C54" s="254"/>
      <c r="D54" s="257"/>
      <c r="E54" s="257"/>
      <c r="F54" s="257">
        <v>284571.31</v>
      </c>
    </row>
    <row r="55" spans="1:6" x14ac:dyDescent="0.3">
      <c r="B55" s="260" t="s">
        <v>596</v>
      </c>
      <c r="F55" s="264">
        <v>38245.25</v>
      </c>
    </row>
    <row r="56" spans="1:6" x14ac:dyDescent="0.3">
      <c r="B56" s="260" t="s">
        <v>597</v>
      </c>
      <c r="F56" s="264">
        <v>28457.13</v>
      </c>
    </row>
    <row r="57" spans="1:6" x14ac:dyDescent="0.3">
      <c r="A57" s="273"/>
      <c r="B57" s="253" t="s">
        <v>598</v>
      </c>
      <c r="C57" s="254"/>
      <c r="D57" s="257"/>
      <c r="E57" s="257"/>
      <c r="F57" s="257">
        <v>351273.69</v>
      </c>
    </row>
    <row r="58" spans="1:6" x14ac:dyDescent="0.3">
      <c r="B58" s="260" t="s">
        <v>599</v>
      </c>
      <c r="F58" s="264">
        <v>63229.26</v>
      </c>
    </row>
    <row r="59" spans="1:6" x14ac:dyDescent="0.3">
      <c r="A59" s="273"/>
      <c r="B59" s="253" t="s">
        <v>600</v>
      </c>
      <c r="C59" s="254"/>
      <c r="D59" s="257"/>
      <c r="E59" s="257"/>
      <c r="F59" s="257">
        <v>414502.95</v>
      </c>
    </row>
    <row r="60" spans="1:6" x14ac:dyDescent="0.3">
      <c r="A60" s="271"/>
      <c r="B60" s="265"/>
      <c r="C60" s="266"/>
      <c r="D60" s="269"/>
      <c r="E60" s="269"/>
      <c r="F60" s="269"/>
    </row>
    <row r="61" spans="1:6" x14ac:dyDescent="0.3">
      <c r="B61" s="274" t="s">
        <v>601</v>
      </c>
      <c r="C61" s="266"/>
      <c r="D61" s="269"/>
      <c r="E61" s="269"/>
      <c r="F61" s="269"/>
    </row>
  </sheetData>
  <sheetProtection formatCells="0" formatColumns="0" formatRows="0" insertColumns="0" insertRows="0" insertHyperlinks="0" deleteColumns="0" deleteRows="0" sort="0" autoFilter="0" pivotTables="0"/>
  <mergeCells count="1">
    <mergeCell ref="A1:F1"/>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2231CB-B936-4EA7-812F-C134B9431E9E}">
  <dimension ref="A1:I607"/>
  <sheetViews>
    <sheetView topLeftCell="A7" workbookViewId="0">
      <selection activeCell="A607" sqref="A607"/>
    </sheetView>
  </sheetViews>
  <sheetFormatPr baseColWidth="10" defaultColWidth="8.88671875" defaultRowHeight="14.4" x14ac:dyDescent="0.3"/>
  <cols>
    <col min="1" max="1" width="50" style="260" customWidth="1"/>
    <col min="2" max="2" width="10" style="261" customWidth="1"/>
    <col min="3" max="3" width="17" style="262" customWidth="1"/>
    <col min="4" max="4" width="17" style="263" customWidth="1"/>
    <col min="5" max="6" width="17" style="264" customWidth="1"/>
    <col min="7" max="16384" width="8.88671875" style="250"/>
  </cols>
  <sheetData>
    <row r="1" spans="1:9" x14ac:dyDescent="0.3">
      <c r="A1" s="889" t="s">
        <v>398</v>
      </c>
      <c r="B1" s="890"/>
      <c r="C1" s="890"/>
      <c r="D1" s="890"/>
      <c r="E1" s="890"/>
      <c r="F1" s="890"/>
    </row>
    <row r="2" spans="1:9" x14ac:dyDescent="0.3">
      <c r="A2" s="251" t="s">
        <v>399</v>
      </c>
      <c r="B2" s="251"/>
      <c r="C2" s="251"/>
      <c r="D2" s="251"/>
      <c r="E2" s="251"/>
      <c r="F2" s="251"/>
    </row>
    <row r="3" spans="1:9" x14ac:dyDescent="0.3">
      <c r="A3" s="251" t="s">
        <v>400</v>
      </c>
      <c r="B3" s="251"/>
      <c r="C3" s="251"/>
      <c r="D3" s="251"/>
      <c r="E3" s="251"/>
      <c r="F3" s="251"/>
    </row>
    <row r="4" spans="1:9" x14ac:dyDescent="0.3">
      <c r="A4" s="251" t="s">
        <v>401</v>
      </c>
      <c r="B4" s="251"/>
      <c r="C4" s="251"/>
      <c r="D4" s="251"/>
      <c r="E4" s="251"/>
      <c r="F4" s="251"/>
    </row>
    <row r="5" spans="1:9" x14ac:dyDescent="0.3">
      <c r="A5" s="251" t="s">
        <v>402</v>
      </c>
      <c r="B5" s="251"/>
      <c r="C5" s="251"/>
      <c r="D5" s="251"/>
      <c r="E5" s="251"/>
      <c r="F5" s="251"/>
    </row>
    <row r="6" spans="1:9" x14ac:dyDescent="0.3">
      <c r="A6" s="251" t="s">
        <v>403</v>
      </c>
      <c r="B6" s="251"/>
      <c r="C6" s="251"/>
      <c r="D6" s="251"/>
      <c r="E6" s="251"/>
      <c r="F6" s="251"/>
    </row>
    <row r="7" spans="1:9" x14ac:dyDescent="0.3">
      <c r="A7" s="251" t="s">
        <v>404</v>
      </c>
      <c r="B7" s="251"/>
      <c r="C7" s="251"/>
      <c r="D7" s="251"/>
      <c r="E7" s="251"/>
      <c r="F7" s="251"/>
    </row>
    <row r="8" spans="1:9" x14ac:dyDescent="0.3">
      <c r="A8" s="251"/>
      <c r="B8" s="251"/>
      <c r="C8" s="251"/>
      <c r="D8" s="251"/>
      <c r="E8" s="251"/>
      <c r="F8" s="251"/>
      <c r="H8" s="300" t="s">
        <v>632</v>
      </c>
      <c r="I8" s="300" t="s">
        <v>633</v>
      </c>
    </row>
    <row r="9" spans="1:9" x14ac:dyDescent="0.3">
      <c r="A9" s="252" t="s">
        <v>405</v>
      </c>
      <c r="B9" s="252"/>
      <c r="C9" s="252"/>
      <c r="D9" s="252"/>
      <c r="E9" s="252"/>
      <c r="F9" s="252"/>
    </row>
    <row r="10" spans="1:9" x14ac:dyDescent="0.3">
      <c r="A10" s="253" t="s">
        <v>406</v>
      </c>
      <c r="B10" s="254"/>
      <c r="C10" s="255" t="s">
        <v>407</v>
      </c>
      <c r="D10" s="256"/>
      <c r="E10" s="257" t="s">
        <v>408</v>
      </c>
      <c r="F10" s="257">
        <v>10000</v>
      </c>
      <c r="H10" s="250">
        <v>1.1000000000000001</v>
      </c>
    </row>
    <row r="11" spans="1:9" x14ac:dyDescent="0.3">
      <c r="A11" s="254" t="s">
        <v>409</v>
      </c>
      <c r="B11" s="254" t="s">
        <v>248</v>
      </c>
      <c r="C11" s="258" t="s">
        <v>410</v>
      </c>
      <c r="D11" s="258" t="s">
        <v>411</v>
      </c>
      <c r="E11" s="259" t="s">
        <v>412</v>
      </c>
      <c r="F11" s="259" t="s">
        <v>413</v>
      </c>
      <c r="H11" s="250">
        <v>1.1000000000000001</v>
      </c>
    </row>
    <row r="12" spans="1:9" x14ac:dyDescent="0.3">
      <c r="A12" s="260" t="s">
        <v>414</v>
      </c>
      <c r="B12" s="261" t="s">
        <v>92</v>
      </c>
      <c r="D12" s="263">
        <v>1</v>
      </c>
      <c r="E12" s="264">
        <v>10000</v>
      </c>
      <c r="F12" s="264">
        <v>10000</v>
      </c>
      <c r="H12" s="250">
        <v>1.1000000000000001</v>
      </c>
      <c r="I12" s="250" t="s">
        <v>8</v>
      </c>
    </row>
    <row r="13" spans="1:9" x14ac:dyDescent="0.3">
      <c r="A13" s="265"/>
      <c r="B13" s="266"/>
      <c r="C13" s="267"/>
      <c r="D13" s="268"/>
      <c r="E13" s="269" t="s">
        <v>415</v>
      </c>
      <c r="F13" s="269">
        <v>10000</v>
      </c>
      <c r="H13" s="250">
        <v>1.1000000000000001</v>
      </c>
    </row>
    <row r="14" spans="1:9" x14ac:dyDescent="0.3">
      <c r="H14" s="250">
        <v>1.1000000000000001</v>
      </c>
    </row>
    <row r="15" spans="1:9" x14ac:dyDescent="0.3">
      <c r="H15" s="250">
        <v>1.1000000000000001</v>
      </c>
    </row>
    <row r="16" spans="1:9" x14ac:dyDescent="0.3">
      <c r="A16" s="253" t="s">
        <v>416</v>
      </c>
      <c r="B16" s="254"/>
      <c r="C16" s="255"/>
      <c r="D16" s="256"/>
      <c r="E16" s="257"/>
      <c r="F16" s="257"/>
    </row>
    <row r="17" spans="1:9" x14ac:dyDescent="0.3">
      <c r="A17" s="253" t="s">
        <v>406</v>
      </c>
      <c r="B17" s="254"/>
      <c r="C17" s="255" t="s">
        <v>407</v>
      </c>
      <c r="D17" s="256"/>
      <c r="E17" s="257" t="s">
        <v>408</v>
      </c>
      <c r="F17" s="257">
        <v>912.36</v>
      </c>
      <c r="H17" s="250">
        <v>1.2</v>
      </c>
    </row>
    <row r="18" spans="1:9" x14ac:dyDescent="0.3">
      <c r="A18" s="254" t="s">
        <v>409</v>
      </c>
      <c r="B18" s="254" t="s">
        <v>248</v>
      </c>
      <c r="C18" s="258" t="s">
        <v>410</v>
      </c>
      <c r="D18" s="258" t="s">
        <v>411</v>
      </c>
      <c r="E18" s="259" t="s">
        <v>412</v>
      </c>
      <c r="F18" s="259" t="s">
        <v>413</v>
      </c>
      <c r="H18" s="250">
        <v>1.2</v>
      </c>
    </row>
    <row r="19" spans="1:9" x14ac:dyDescent="0.3">
      <c r="A19" s="260" t="s">
        <v>417</v>
      </c>
      <c r="B19" s="261" t="s">
        <v>215</v>
      </c>
      <c r="C19" s="262">
        <v>2</v>
      </c>
      <c r="D19" s="263">
        <v>16</v>
      </c>
      <c r="E19" s="264">
        <v>16.5</v>
      </c>
      <c r="F19" s="264">
        <v>264</v>
      </c>
      <c r="H19" s="250">
        <v>1.2</v>
      </c>
      <c r="I19" s="250" t="s">
        <v>634</v>
      </c>
    </row>
    <row r="20" spans="1:9" x14ac:dyDescent="0.3">
      <c r="A20" s="265"/>
      <c r="B20" s="266"/>
      <c r="C20" s="267"/>
      <c r="D20" s="268"/>
      <c r="E20" s="269" t="s">
        <v>418</v>
      </c>
      <c r="F20" s="269">
        <v>264</v>
      </c>
      <c r="H20" s="250">
        <v>1.2</v>
      </c>
    </row>
    <row r="21" spans="1:9" x14ac:dyDescent="0.3">
      <c r="H21" s="250">
        <v>1.2</v>
      </c>
    </row>
    <row r="22" spans="1:9" x14ac:dyDescent="0.3">
      <c r="A22" s="260" t="s">
        <v>419</v>
      </c>
      <c r="B22" s="261" t="s">
        <v>420</v>
      </c>
      <c r="D22" s="263">
        <v>2</v>
      </c>
      <c r="E22" s="264">
        <v>4</v>
      </c>
      <c r="F22" s="264">
        <v>8</v>
      </c>
      <c r="H22" s="250">
        <v>1.2</v>
      </c>
      <c r="I22" s="250" t="s">
        <v>6</v>
      </c>
    </row>
    <row r="23" spans="1:9" x14ac:dyDescent="0.3">
      <c r="A23" s="260" t="s">
        <v>421</v>
      </c>
      <c r="B23" s="261" t="s">
        <v>422</v>
      </c>
      <c r="D23" s="263">
        <v>1.2</v>
      </c>
      <c r="E23" s="264">
        <v>22.2</v>
      </c>
      <c r="F23" s="264">
        <v>26.64</v>
      </c>
      <c r="H23" s="250">
        <v>1.2</v>
      </c>
      <c r="I23" s="250" t="s">
        <v>6</v>
      </c>
    </row>
    <row r="24" spans="1:9" x14ac:dyDescent="0.3">
      <c r="A24" s="260" t="s">
        <v>423</v>
      </c>
      <c r="B24" s="261" t="s">
        <v>424</v>
      </c>
      <c r="D24" s="263">
        <v>71</v>
      </c>
      <c r="E24" s="264">
        <v>4.2</v>
      </c>
      <c r="F24" s="264">
        <v>298.2</v>
      </c>
      <c r="H24" s="250">
        <v>1.2</v>
      </c>
      <c r="I24" s="250" t="s">
        <v>6</v>
      </c>
    </row>
    <row r="25" spans="1:9" x14ac:dyDescent="0.3">
      <c r="A25" s="260" t="s">
        <v>425</v>
      </c>
      <c r="B25" s="261" t="s">
        <v>426</v>
      </c>
      <c r="D25" s="263">
        <v>0.96</v>
      </c>
      <c r="E25" s="264">
        <v>60</v>
      </c>
      <c r="F25" s="264">
        <v>57.6</v>
      </c>
      <c r="H25" s="250">
        <v>1.2</v>
      </c>
      <c r="I25" s="250" t="s">
        <v>6</v>
      </c>
    </row>
    <row r="26" spans="1:9" x14ac:dyDescent="0.3">
      <c r="A26" s="265"/>
      <c r="B26" s="266"/>
      <c r="C26" s="267"/>
      <c r="D26" s="268"/>
      <c r="E26" s="269" t="s">
        <v>427</v>
      </c>
      <c r="F26" s="269">
        <v>390.44</v>
      </c>
      <c r="H26" s="250">
        <v>1.2</v>
      </c>
    </row>
    <row r="27" spans="1:9" x14ac:dyDescent="0.3">
      <c r="H27" s="250">
        <v>1.2</v>
      </c>
    </row>
    <row r="28" spans="1:9" x14ac:dyDescent="0.3">
      <c r="A28" s="260" t="s">
        <v>428</v>
      </c>
      <c r="B28" s="261" t="s">
        <v>429</v>
      </c>
      <c r="D28" s="263">
        <v>3</v>
      </c>
      <c r="E28" s="264">
        <v>264</v>
      </c>
      <c r="F28" s="264">
        <v>7.92</v>
      </c>
      <c r="H28" s="250">
        <v>1.2</v>
      </c>
      <c r="I28" s="250" t="s">
        <v>127</v>
      </c>
    </row>
    <row r="29" spans="1:9" x14ac:dyDescent="0.3">
      <c r="A29" s="265"/>
      <c r="B29" s="266"/>
      <c r="C29" s="267"/>
      <c r="D29" s="268"/>
      <c r="E29" s="269" t="s">
        <v>430</v>
      </c>
      <c r="F29" s="269">
        <v>7.92</v>
      </c>
      <c r="H29" s="250">
        <v>1.2</v>
      </c>
    </row>
    <row r="30" spans="1:9" x14ac:dyDescent="0.3">
      <c r="H30" s="250">
        <v>1.2</v>
      </c>
    </row>
    <row r="31" spans="1:9" x14ac:dyDescent="0.3">
      <c r="A31" s="260" t="s">
        <v>431</v>
      </c>
      <c r="B31" s="261" t="s">
        <v>92</v>
      </c>
      <c r="D31" s="263">
        <v>1</v>
      </c>
      <c r="E31" s="264">
        <v>250</v>
      </c>
      <c r="F31" s="264">
        <v>250</v>
      </c>
      <c r="H31" s="250">
        <v>1.2</v>
      </c>
      <c r="I31" s="250" t="s">
        <v>8</v>
      </c>
    </row>
    <row r="32" spans="1:9" x14ac:dyDescent="0.3">
      <c r="A32" s="265"/>
      <c r="B32" s="266"/>
      <c r="C32" s="267"/>
      <c r="D32" s="268"/>
      <c r="E32" s="269" t="s">
        <v>415</v>
      </c>
      <c r="F32" s="269">
        <v>250</v>
      </c>
      <c r="H32" s="250">
        <v>1.2</v>
      </c>
    </row>
    <row r="33" spans="1:9" x14ac:dyDescent="0.3">
      <c r="H33" s="250">
        <v>1.2</v>
      </c>
    </row>
    <row r="34" spans="1:9" x14ac:dyDescent="0.3">
      <c r="H34" s="250">
        <v>1.2</v>
      </c>
    </row>
    <row r="35" spans="1:9" x14ac:dyDescent="0.3">
      <c r="A35" s="253" t="s">
        <v>432</v>
      </c>
      <c r="B35" s="254"/>
      <c r="C35" s="255"/>
      <c r="D35" s="256"/>
      <c r="E35" s="257"/>
      <c r="F35" s="257"/>
    </row>
    <row r="36" spans="1:9" x14ac:dyDescent="0.3">
      <c r="A36" s="253" t="s">
        <v>433</v>
      </c>
      <c r="B36" s="254"/>
      <c r="C36" s="255" t="s">
        <v>434</v>
      </c>
      <c r="D36" s="256"/>
      <c r="E36" s="257" t="s">
        <v>408</v>
      </c>
      <c r="F36" s="257">
        <v>6.2</v>
      </c>
      <c r="H36" s="250">
        <v>1.3</v>
      </c>
    </row>
    <row r="37" spans="1:9" x14ac:dyDescent="0.3">
      <c r="A37" s="254" t="s">
        <v>409</v>
      </c>
      <c r="B37" s="254" t="s">
        <v>248</v>
      </c>
      <c r="C37" s="258" t="s">
        <v>410</v>
      </c>
      <c r="D37" s="258" t="s">
        <v>411</v>
      </c>
      <c r="E37" s="259" t="s">
        <v>412</v>
      </c>
      <c r="F37" s="259" t="s">
        <v>413</v>
      </c>
      <c r="H37" s="250">
        <v>1.3</v>
      </c>
    </row>
    <row r="38" spans="1:9" x14ac:dyDescent="0.3">
      <c r="A38" s="260" t="s">
        <v>435</v>
      </c>
      <c r="B38" s="261" t="s">
        <v>215</v>
      </c>
      <c r="C38" s="262">
        <v>0.1</v>
      </c>
      <c r="D38" s="263">
        <v>3.2000000000000001E-2</v>
      </c>
      <c r="E38" s="264">
        <v>19.23</v>
      </c>
      <c r="F38" s="264">
        <v>0.62</v>
      </c>
      <c r="H38" s="250">
        <v>1.3</v>
      </c>
      <c r="I38" s="250" t="s">
        <v>634</v>
      </c>
    </row>
    <row r="39" spans="1:9" x14ac:dyDescent="0.3">
      <c r="A39" s="260" t="s">
        <v>417</v>
      </c>
      <c r="B39" s="261" t="s">
        <v>215</v>
      </c>
      <c r="C39" s="262">
        <v>1</v>
      </c>
      <c r="D39" s="263">
        <v>0.32</v>
      </c>
      <c r="E39" s="264">
        <v>16.5</v>
      </c>
      <c r="F39" s="264">
        <v>5.28</v>
      </c>
      <c r="H39" s="250">
        <v>1.3</v>
      </c>
      <c r="I39" s="250" t="s">
        <v>634</v>
      </c>
    </row>
    <row r="40" spans="1:9" x14ac:dyDescent="0.3">
      <c r="A40" s="265"/>
      <c r="B40" s="266"/>
      <c r="C40" s="267"/>
      <c r="D40" s="268"/>
      <c r="E40" s="269" t="s">
        <v>418</v>
      </c>
      <c r="F40" s="269">
        <v>5.9</v>
      </c>
      <c r="H40" s="250">
        <v>1.3</v>
      </c>
    </row>
    <row r="41" spans="1:9" x14ac:dyDescent="0.3">
      <c r="H41" s="250">
        <v>1.3</v>
      </c>
    </row>
    <row r="42" spans="1:9" x14ac:dyDescent="0.3">
      <c r="A42" s="260" t="s">
        <v>428</v>
      </c>
      <c r="B42" s="261" t="s">
        <v>429</v>
      </c>
      <c r="D42" s="263">
        <v>5</v>
      </c>
      <c r="E42" s="264">
        <v>5.9</v>
      </c>
      <c r="F42" s="264">
        <v>0.3</v>
      </c>
      <c r="H42" s="250">
        <v>1.3</v>
      </c>
      <c r="I42" s="250" t="s">
        <v>127</v>
      </c>
    </row>
    <row r="43" spans="1:9" x14ac:dyDescent="0.3">
      <c r="A43" s="265"/>
      <c r="B43" s="266"/>
      <c r="C43" s="267"/>
      <c r="D43" s="268"/>
      <c r="E43" s="269" t="s">
        <v>430</v>
      </c>
      <c r="F43" s="269">
        <v>0.3</v>
      </c>
      <c r="H43" s="250">
        <v>1.3</v>
      </c>
    </row>
    <row r="44" spans="1:9" x14ac:dyDescent="0.3">
      <c r="H44" s="250">
        <v>1.3</v>
      </c>
    </row>
    <row r="45" spans="1:9" x14ac:dyDescent="0.3">
      <c r="H45" s="250">
        <v>1.3</v>
      </c>
    </row>
    <row r="46" spans="1:9" x14ac:dyDescent="0.3">
      <c r="A46" s="253" t="s">
        <v>436</v>
      </c>
      <c r="B46" s="254"/>
      <c r="C46" s="255"/>
      <c r="D46" s="256"/>
      <c r="E46" s="257"/>
      <c r="F46" s="257"/>
    </row>
    <row r="47" spans="1:9" x14ac:dyDescent="0.3">
      <c r="A47" s="253" t="s">
        <v>437</v>
      </c>
      <c r="B47" s="254"/>
      <c r="C47" s="255" t="s">
        <v>434</v>
      </c>
      <c r="D47" s="256"/>
      <c r="E47" s="257" t="s">
        <v>408</v>
      </c>
      <c r="F47" s="257">
        <v>21.29</v>
      </c>
      <c r="H47" s="250">
        <v>1.4</v>
      </c>
    </row>
    <row r="48" spans="1:9" x14ac:dyDescent="0.3">
      <c r="A48" s="254" t="s">
        <v>409</v>
      </c>
      <c r="B48" s="254" t="s">
        <v>248</v>
      </c>
      <c r="C48" s="258" t="s">
        <v>410</v>
      </c>
      <c r="D48" s="258" t="s">
        <v>411</v>
      </c>
      <c r="E48" s="259" t="s">
        <v>412</v>
      </c>
      <c r="F48" s="259" t="s">
        <v>413</v>
      </c>
      <c r="H48" s="250">
        <v>1.4</v>
      </c>
    </row>
    <row r="49" spans="1:9" x14ac:dyDescent="0.3">
      <c r="A49" s="260" t="s">
        <v>438</v>
      </c>
      <c r="B49" s="261" t="s">
        <v>215</v>
      </c>
      <c r="C49" s="262">
        <v>1</v>
      </c>
      <c r="D49" s="263">
        <v>0.16</v>
      </c>
      <c r="E49" s="264">
        <v>20.83</v>
      </c>
      <c r="F49" s="264">
        <v>3.33</v>
      </c>
      <c r="H49" s="250">
        <v>1.4</v>
      </c>
      <c r="I49" s="250" t="s">
        <v>634</v>
      </c>
    </row>
    <row r="50" spans="1:9" x14ac:dyDescent="0.3">
      <c r="A50" s="260" t="s">
        <v>439</v>
      </c>
      <c r="B50" s="261" t="s">
        <v>215</v>
      </c>
      <c r="C50" s="262">
        <v>0.1</v>
      </c>
      <c r="D50" s="263">
        <v>1.6E-2</v>
      </c>
      <c r="E50" s="264">
        <v>24.5</v>
      </c>
      <c r="F50" s="264">
        <v>0.39</v>
      </c>
      <c r="H50" s="250">
        <v>1.4</v>
      </c>
      <c r="I50" s="250" t="s">
        <v>634</v>
      </c>
    </row>
    <row r="51" spans="1:9" x14ac:dyDescent="0.3">
      <c r="A51" s="260" t="s">
        <v>440</v>
      </c>
      <c r="B51" s="261" t="s">
        <v>215</v>
      </c>
      <c r="C51" s="262">
        <v>1</v>
      </c>
      <c r="D51" s="263">
        <v>0.16</v>
      </c>
      <c r="E51" s="264">
        <v>15.94</v>
      </c>
      <c r="F51" s="264">
        <v>2.5499999999999998</v>
      </c>
      <c r="H51" s="250">
        <v>1.4</v>
      </c>
      <c r="I51" s="250" t="s">
        <v>634</v>
      </c>
    </row>
    <row r="52" spans="1:9" x14ac:dyDescent="0.3">
      <c r="A52" s="260" t="s">
        <v>417</v>
      </c>
      <c r="B52" s="261" t="s">
        <v>215</v>
      </c>
      <c r="C52" s="262">
        <v>4</v>
      </c>
      <c r="D52" s="263">
        <v>0.64</v>
      </c>
      <c r="E52" s="264">
        <v>16.5</v>
      </c>
      <c r="F52" s="264">
        <v>10.56</v>
      </c>
      <c r="H52" s="250">
        <v>1.4</v>
      </c>
      <c r="I52" s="250" t="s">
        <v>634</v>
      </c>
    </row>
    <row r="53" spans="1:9" x14ac:dyDescent="0.3">
      <c r="A53" s="265"/>
      <c r="B53" s="266"/>
      <c r="C53" s="267"/>
      <c r="D53" s="268"/>
      <c r="E53" s="269" t="s">
        <v>418</v>
      </c>
      <c r="F53" s="269">
        <v>16.829999999999998</v>
      </c>
      <c r="H53" s="250">
        <v>1.4</v>
      </c>
    </row>
    <row r="54" spans="1:9" x14ac:dyDescent="0.3">
      <c r="H54" s="250">
        <v>1.4</v>
      </c>
    </row>
    <row r="55" spans="1:9" x14ac:dyDescent="0.3">
      <c r="A55" s="260" t="s">
        <v>441</v>
      </c>
      <c r="B55" s="261" t="s">
        <v>420</v>
      </c>
      <c r="D55" s="263">
        <v>5.0000000000000001E-3</v>
      </c>
      <c r="E55" s="264">
        <v>4.5</v>
      </c>
      <c r="F55" s="264">
        <v>0.02</v>
      </c>
      <c r="H55" s="250">
        <v>1.4</v>
      </c>
      <c r="I55" s="250" t="s">
        <v>6</v>
      </c>
    </row>
    <row r="56" spans="1:9" x14ac:dyDescent="0.3">
      <c r="A56" s="260" t="s">
        <v>442</v>
      </c>
      <c r="B56" s="261" t="s">
        <v>443</v>
      </c>
      <c r="D56" s="263">
        <v>2.5000000000000001E-2</v>
      </c>
      <c r="E56" s="264">
        <v>15</v>
      </c>
      <c r="F56" s="264">
        <v>0.38</v>
      </c>
      <c r="H56" s="250">
        <v>1.4</v>
      </c>
      <c r="I56" s="250" t="s">
        <v>6</v>
      </c>
    </row>
    <row r="57" spans="1:9" x14ac:dyDescent="0.3">
      <c r="A57" s="260" t="s">
        <v>444</v>
      </c>
      <c r="B57" s="261" t="s">
        <v>64</v>
      </c>
      <c r="D57" s="263">
        <v>1E-3</v>
      </c>
      <c r="E57" s="264">
        <v>30</v>
      </c>
      <c r="F57" s="264">
        <v>0.03</v>
      </c>
      <c r="H57" s="250">
        <v>1.4</v>
      </c>
      <c r="I57" s="250" t="s">
        <v>6</v>
      </c>
    </row>
    <row r="58" spans="1:9" x14ac:dyDescent="0.3">
      <c r="A58" s="260" t="s">
        <v>423</v>
      </c>
      <c r="B58" s="261" t="s">
        <v>424</v>
      </c>
      <c r="D58" s="263">
        <v>2.64E-2</v>
      </c>
      <c r="E58" s="264">
        <v>4.2</v>
      </c>
      <c r="F58" s="264">
        <v>0.11</v>
      </c>
      <c r="H58" s="250">
        <v>1.4</v>
      </c>
      <c r="I58" s="250" t="s">
        <v>6</v>
      </c>
    </row>
    <row r="59" spans="1:9" x14ac:dyDescent="0.3">
      <c r="A59" s="260" t="s">
        <v>445</v>
      </c>
      <c r="B59" s="261" t="s">
        <v>446</v>
      </c>
      <c r="D59" s="263">
        <v>2E-3</v>
      </c>
      <c r="E59" s="264">
        <v>47</v>
      </c>
      <c r="F59" s="264">
        <v>0.09</v>
      </c>
      <c r="H59" s="250">
        <v>1.4</v>
      </c>
      <c r="I59" s="250" t="s">
        <v>6</v>
      </c>
    </row>
    <row r="60" spans="1:9" x14ac:dyDescent="0.3">
      <c r="A60" s="260" t="s">
        <v>447</v>
      </c>
      <c r="B60" s="261" t="s">
        <v>420</v>
      </c>
      <c r="D60" s="263">
        <v>0.01</v>
      </c>
      <c r="E60" s="264">
        <v>8</v>
      </c>
      <c r="F60" s="264">
        <v>0.08</v>
      </c>
      <c r="H60" s="250">
        <v>1.4</v>
      </c>
      <c r="I60" s="250" t="s">
        <v>6</v>
      </c>
    </row>
    <row r="61" spans="1:9" x14ac:dyDescent="0.3">
      <c r="A61" s="265"/>
      <c r="B61" s="266"/>
      <c r="C61" s="267"/>
      <c r="D61" s="268"/>
      <c r="E61" s="269" t="s">
        <v>427</v>
      </c>
      <c r="F61" s="269">
        <v>0.71</v>
      </c>
      <c r="H61" s="250">
        <v>1.4</v>
      </c>
    </row>
    <row r="62" spans="1:9" x14ac:dyDescent="0.3">
      <c r="H62" s="250">
        <v>1.4</v>
      </c>
    </row>
    <row r="63" spans="1:9" x14ac:dyDescent="0.3">
      <c r="A63" s="260" t="s">
        <v>448</v>
      </c>
      <c r="B63" s="261" t="s">
        <v>449</v>
      </c>
      <c r="C63" s="262">
        <v>1</v>
      </c>
      <c r="D63" s="263">
        <v>0.16</v>
      </c>
      <c r="E63" s="264">
        <v>1.2</v>
      </c>
      <c r="F63" s="264">
        <v>0.19</v>
      </c>
      <c r="H63" s="250">
        <v>1.4</v>
      </c>
      <c r="I63" s="250" t="s">
        <v>127</v>
      </c>
    </row>
    <row r="64" spans="1:9" x14ac:dyDescent="0.3">
      <c r="A64" s="260" t="s">
        <v>450</v>
      </c>
      <c r="B64" s="261" t="s">
        <v>449</v>
      </c>
      <c r="C64" s="262">
        <v>2</v>
      </c>
      <c r="D64" s="263">
        <v>0.32</v>
      </c>
      <c r="E64" s="264">
        <v>1</v>
      </c>
      <c r="F64" s="264">
        <v>0.32</v>
      </c>
      <c r="H64" s="250">
        <v>1.4</v>
      </c>
      <c r="I64" s="250" t="s">
        <v>127</v>
      </c>
    </row>
    <row r="65" spans="1:9" x14ac:dyDescent="0.3">
      <c r="A65" s="260" t="s">
        <v>451</v>
      </c>
      <c r="B65" s="261" t="s">
        <v>449</v>
      </c>
      <c r="C65" s="262">
        <v>1</v>
      </c>
      <c r="D65" s="263">
        <v>0.16</v>
      </c>
      <c r="E65" s="264">
        <v>15</v>
      </c>
      <c r="F65" s="264">
        <v>2.4</v>
      </c>
      <c r="H65" s="250">
        <v>1.4</v>
      </c>
      <c r="I65" s="250" t="s">
        <v>127</v>
      </c>
    </row>
    <row r="66" spans="1:9" x14ac:dyDescent="0.3">
      <c r="A66" s="260" t="s">
        <v>428</v>
      </c>
      <c r="B66" s="261" t="s">
        <v>429</v>
      </c>
      <c r="D66" s="263">
        <v>5</v>
      </c>
      <c r="E66" s="264">
        <v>16.829999999999998</v>
      </c>
      <c r="F66" s="264">
        <v>0.84</v>
      </c>
      <c r="H66" s="250">
        <v>1.4</v>
      </c>
      <c r="I66" s="250" t="s">
        <v>127</v>
      </c>
    </row>
    <row r="67" spans="1:9" x14ac:dyDescent="0.3">
      <c r="A67" s="265"/>
      <c r="B67" s="266"/>
      <c r="C67" s="267"/>
      <c r="D67" s="268"/>
      <c r="E67" s="269" t="s">
        <v>430</v>
      </c>
      <c r="F67" s="269">
        <v>3.75</v>
      </c>
      <c r="H67" s="250">
        <v>1.4</v>
      </c>
    </row>
    <row r="68" spans="1:9" x14ac:dyDescent="0.3">
      <c r="H68" s="250">
        <v>1.4</v>
      </c>
    </row>
    <row r="69" spans="1:9" x14ac:dyDescent="0.3">
      <c r="H69" s="250">
        <v>1.4</v>
      </c>
    </row>
    <row r="70" spans="1:9" x14ac:dyDescent="0.3">
      <c r="A70" s="253" t="s">
        <v>452</v>
      </c>
      <c r="B70" s="254"/>
      <c r="C70" s="255"/>
      <c r="D70" s="256"/>
      <c r="E70" s="257"/>
      <c r="F70" s="257"/>
    </row>
    <row r="71" spans="1:9" x14ac:dyDescent="0.3">
      <c r="A71" s="253" t="s">
        <v>453</v>
      </c>
      <c r="B71" s="254"/>
      <c r="C71" s="255" t="s">
        <v>454</v>
      </c>
      <c r="D71" s="256"/>
      <c r="E71" s="257" t="s">
        <v>408</v>
      </c>
      <c r="F71" s="257">
        <v>530.6</v>
      </c>
      <c r="H71" s="250">
        <v>2.1</v>
      </c>
    </row>
    <row r="72" spans="1:9" x14ac:dyDescent="0.3">
      <c r="A72" s="254" t="s">
        <v>409</v>
      </c>
      <c r="B72" s="254" t="s">
        <v>248</v>
      </c>
      <c r="C72" s="258" t="s">
        <v>410</v>
      </c>
      <c r="D72" s="258" t="s">
        <v>411</v>
      </c>
      <c r="E72" s="259" t="s">
        <v>412</v>
      </c>
      <c r="F72" s="259" t="s">
        <v>413</v>
      </c>
      <c r="H72" s="250">
        <v>2.1</v>
      </c>
    </row>
    <row r="73" spans="1:9" x14ac:dyDescent="0.3">
      <c r="A73" s="260" t="s">
        <v>439</v>
      </c>
      <c r="B73" s="261" t="s">
        <v>215</v>
      </c>
      <c r="C73" s="262">
        <v>0.1</v>
      </c>
      <c r="D73" s="263">
        <v>2.6667000000000001</v>
      </c>
      <c r="E73" s="264">
        <v>24.5</v>
      </c>
      <c r="F73" s="264">
        <v>65.33</v>
      </c>
      <c r="H73" s="250">
        <v>2.1</v>
      </c>
      <c r="I73" s="250" t="s">
        <v>634</v>
      </c>
    </row>
    <row r="74" spans="1:9" x14ac:dyDescent="0.3">
      <c r="A74" s="260" t="s">
        <v>417</v>
      </c>
      <c r="B74" s="261" t="s">
        <v>215</v>
      </c>
      <c r="C74" s="262">
        <v>1</v>
      </c>
      <c r="D74" s="263">
        <v>26.666699999999999</v>
      </c>
      <c r="E74" s="264">
        <v>16.5</v>
      </c>
      <c r="F74" s="264">
        <v>440</v>
      </c>
      <c r="H74" s="250">
        <v>2.1</v>
      </c>
      <c r="I74" s="250" t="s">
        <v>634</v>
      </c>
    </row>
    <row r="75" spans="1:9" x14ac:dyDescent="0.3">
      <c r="A75" s="265"/>
      <c r="B75" s="266"/>
      <c r="C75" s="267"/>
      <c r="D75" s="268"/>
      <c r="E75" s="269" t="s">
        <v>418</v>
      </c>
      <c r="F75" s="269">
        <v>505.33</v>
      </c>
      <c r="H75" s="250">
        <v>2.1</v>
      </c>
    </row>
    <row r="76" spans="1:9" x14ac:dyDescent="0.3">
      <c r="H76" s="250">
        <v>2.1</v>
      </c>
    </row>
    <row r="77" spans="1:9" x14ac:dyDescent="0.3">
      <c r="A77" s="260" t="s">
        <v>428</v>
      </c>
      <c r="B77" s="261" t="s">
        <v>429</v>
      </c>
      <c r="D77" s="263">
        <v>5</v>
      </c>
      <c r="E77" s="264">
        <v>505.33</v>
      </c>
      <c r="F77" s="264">
        <v>25.27</v>
      </c>
      <c r="H77" s="250">
        <v>2.1</v>
      </c>
      <c r="I77" s="250" t="s">
        <v>127</v>
      </c>
    </row>
    <row r="78" spans="1:9" x14ac:dyDescent="0.3">
      <c r="A78" s="265"/>
      <c r="B78" s="266"/>
      <c r="C78" s="267"/>
      <c r="D78" s="268"/>
      <c r="E78" s="269" t="s">
        <v>430</v>
      </c>
      <c r="F78" s="269">
        <v>25.27</v>
      </c>
      <c r="H78" s="250">
        <v>2.1</v>
      </c>
    </row>
    <row r="79" spans="1:9" x14ac:dyDescent="0.3">
      <c r="H79" s="250">
        <v>2.1</v>
      </c>
    </row>
    <row r="80" spans="1:9" x14ac:dyDescent="0.3">
      <c r="H80" s="250">
        <v>2.1</v>
      </c>
    </row>
    <row r="81" spans="1:9" x14ac:dyDescent="0.3">
      <c r="A81" s="253" t="s">
        <v>455</v>
      </c>
      <c r="B81" s="254"/>
      <c r="C81" s="255"/>
      <c r="D81" s="256"/>
      <c r="E81" s="257"/>
      <c r="F81" s="257"/>
    </row>
    <row r="82" spans="1:9" x14ac:dyDescent="0.3">
      <c r="A82" s="253" t="s">
        <v>456</v>
      </c>
      <c r="B82" s="254"/>
      <c r="C82" s="255" t="s">
        <v>454</v>
      </c>
      <c r="D82" s="256"/>
      <c r="E82" s="257" t="s">
        <v>408</v>
      </c>
      <c r="F82" s="257">
        <v>636.72</v>
      </c>
      <c r="H82" s="250">
        <v>2.2000000000000002</v>
      </c>
    </row>
    <row r="83" spans="1:9" x14ac:dyDescent="0.3">
      <c r="A83" s="254" t="s">
        <v>409</v>
      </c>
      <c r="B83" s="254" t="s">
        <v>248</v>
      </c>
      <c r="C83" s="258" t="s">
        <v>410</v>
      </c>
      <c r="D83" s="258" t="s">
        <v>411</v>
      </c>
      <c r="E83" s="259" t="s">
        <v>412</v>
      </c>
      <c r="F83" s="259" t="s">
        <v>413</v>
      </c>
      <c r="H83" s="250">
        <v>2.2000000000000002</v>
      </c>
    </row>
    <row r="84" spans="1:9" x14ac:dyDescent="0.3">
      <c r="A84" s="260" t="s">
        <v>439</v>
      </c>
      <c r="B84" s="261" t="s">
        <v>215</v>
      </c>
      <c r="C84" s="262">
        <v>0.1</v>
      </c>
      <c r="D84" s="263">
        <v>3.2</v>
      </c>
      <c r="E84" s="264">
        <v>24.5</v>
      </c>
      <c r="F84" s="264">
        <v>78.400000000000006</v>
      </c>
      <c r="H84" s="250">
        <v>2.2000000000000002</v>
      </c>
      <c r="I84" s="250" t="s">
        <v>634</v>
      </c>
    </row>
    <row r="85" spans="1:9" x14ac:dyDescent="0.3">
      <c r="A85" s="260" t="s">
        <v>417</v>
      </c>
      <c r="B85" s="261" t="s">
        <v>215</v>
      </c>
      <c r="C85" s="262">
        <v>1</v>
      </c>
      <c r="D85" s="263">
        <v>32</v>
      </c>
      <c r="E85" s="264">
        <v>16.5</v>
      </c>
      <c r="F85" s="264">
        <v>528</v>
      </c>
      <c r="H85" s="250">
        <v>2.2000000000000002</v>
      </c>
      <c r="I85" s="250" t="s">
        <v>634</v>
      </c>
    </row>
    <row r="86" spans="1:9" x14ac:dyDescent="0.3">
      <c r="A86" s="265"/>
      <c r="B86" s="266"/>
      <c r="C86" s="267"/>
      <c r="D86" s="268"/>
      <c r="E86" s="269" t="s">
        <v>418</v>
      </c>
      <c r="F86" s="269">
        <v>606.4</v>
      </c>
      <c r="H86" s="250">
        <v>2.2000000000000002</v>
      </c>
    </row>
    <row r="87" spans="1:9" x14ac:dyDescent="0.3">
      <c r="H87" s="250">
        <v>2.2000000000000002</v>
      </c>
    </row>
    <row r="88" spans="1:9" x14ac:dyDescent="0.3">
      <c r="A88" s="260" t="s">
        <v>428</v>
      </c>
      <c r="B88" s="261" t="s">
        <v>429</v>
      </c>
      <c r="D88" s="263">
        <v>5</v>
      </c>
      <c r="E88" s="264">
        <v>606.4</v>
      </c>
      <c r="F88" s="264">
        <v>30.32</v>
      </c>
      <c r="H88" s="250">
        <v>2.2000000000000002</v>
      </c>
      <c r="I88" s="250" t="s">
        <v>127</v>
      </c>
    </row>
    <row r="89" spans="1:9" x14ac:dyDescent="0.3">
      <c r="A89" s="265"/>
      <c r="B89" s="266"/>
      <c r="C89" s="267"/>
      <c r="D89" s="268"/>
      <c r="E89" s="269" t="s">
        <v>430</v>
      </c>
      <c r="F89" s="269">
        <v>30.32</v>
      </c>
      <c r="H89" s="250">
        <v>2.2000000000000002</v>
      </c>
    </row>
    <row r="90" spans="1:9" x14ac:dyDescent="0.3">
      <c r="H90" s="250">
        <v>2.2000000000000002</v>
      </c>
    </row>
    <row r="91" spans="1:9" x14ac:dyDescent="0.3">
      <c r="H91" s="250">
        <v>2.2000000000000002</v>
      </c>
    </row>
    <row r="92" spans="1:9" x14ac:dyDescent="0.3">
      <c r="A92" s="253" t="s">
        <v>457</v>
      </c>
      <c r="B92" s="254"/>
      <c r="C92" s="255"/>
      <c r="D92" s="256"/>
      <c r="E92" s="257"/>
      <c r="F92" s="257"/>
    </row>
    <row r="93" spans="1:9" x14ac:dyDescent="0.3">
      <c r="A93" s="253" t="s">
        <v>458</v>
      </c>
      <c r="B93" s="254"/>
      <c r="C93" s="255" t="s">
        <v>434</v>
      </c>
      <c r="D93" s="256"/>
      <c r="E93" s="257" t="s">
        <v>408</v>
      </c>
      <c r="F93" s="257">
        <v>11.37</v>
      </c>
      <c r="H93" s="250">
        <v>2.2999999999999998</v>
      </c>
    </row>
    <row r="94" spans="1:9" x14ac:dyDescent="0.3">
      <c r="A94" s="254" t="s">
        <v>409</v>
      </c>
      <c r="B94" s="254" t="s">
        <v>248</v>
      </c>
      <c r="C94" s="258" t="s">
        <v>410</v>
      </c>
      <c r="D94" s="258" t="s">
        <v>411</v>
      </c>
      <c r="E94" s="259" t="s">
        <v>412</v>
      </c>
      <c r="F94" s="259" t="s">
        <v>413</v>
      </c>
      <c r="H94" s="250">
        <v>2.2999999999999998</v>
      </c>
    </row>
    <row r="95" spans="1:9" x14ac:dyDescent="0.3">
      <c r="A95" s="260" t="s">
        <v>439</v>
      </c>
      <c r="B95" s="261" t="s">
        <v>215</v>
      </c>
      <c r="C95" s="262">
        <v>0.1</v>
      </c>
      <c r="D95" s="263">
        <v>5.7099999999999998E-2</v>
      </c>
      <c r="E95" s="264">
        <v>24.5</v>
      </c>
      <c r="F95" s="264">
        <v>1.4</v>
      </c>
      <c r="H95" s="250">
        <v>2.2999999999999998</v>
      </c>
      <c r="I95" s="250" t="s">
        <v>634</v>
      </c>
    </row>
    <row r="96" spans="1:9" x14ac:dyDescent="0.3">
      <c r="A96" s="260" t="s">
        <v>417</v>
      </c>
      <c r="B96" s="261" t="s">
        <v>215</v>
      </c>
      <c r="C96" s="262">
        <v>1</v>
      </c>
      <c r="D96" s="263">
        <v>0.57140000000000002</v>
      </c>
      <c r="E96" s="264">
        <v>16.5</v>
      </c>
      <c r="F96" s="264">
        <v>9.43</v>
      </c>
      <c r="H96" s="250">
        <v>2.2999999999999998</v>
      </c>
      <c r="I96" s="250" t="s">
        <v>634</v>
      </c>
    </row>
    <row r="97" spans="1:9" x14ac:dyDescent="0.3">
      <c r="A97" s="265"/>
      <c r="B97" s="266"/>
      <c r="C97" s="267"/>
      <c r="D97" s="268"/>
      <c r="E97" s="269" t="s">
        <v>418</v>
      </c>
      <c r="F97" s="269">
        <v>10.83</v>
      </c>
      <c r="H97" s="250">
        <v>2.2999999999999998</v>
      </c>
    </row>
    <row r="98" spans="1:9" x14ac:dyDescent="0.3">
      <c r="H98" s="250">
        <v>2.2999999999999998</v>
      </c>
    </row>
    <row r="99" spans="1:9" x14ac:dyDescent="0.3">
      <c r="A99" s="260" t="s">
        <v>428</v>
      </c>
      <c r="B99" s="261" t="s">
        <v>429</v>
      </c>
      <c r="D99" s="263">
        <v>5</v>
      </c>
      <c r="E99" s="264">
        <v>10.83</v>
      </c>
      <c r="F99" s="264">
        <v>0.54</v>
      </c>
      <c r="H99" s="250">
        <v>2.2999999999999998</v>
      </c>
      <c r="I99" s="250" t="s">
        <v>127</v>
      </c>
    </row>
    <row r="100" spans="1:9" x14ac:dyDescent="0.3">
      <c r="A100" s="265"/>
      <c r="B100" s="266"/>
      <c r="C100" s="267"/>
      <c r="D100" s="268"/>
      <c r="E100" s="269" t="s">
        <v>430</v>
      </c>
      <c r="F100" s="269">
        <v>0.54</v>
      </c>
      <c r="H100" s="250">
        <v>2.2999999999999998</v>
      </c>
    </row>
    <row r="101" spans="1:9" x14ac:dyDescent="0.3">
      <c r="H101" s="250">
        <v>2.2999999999999998</v>
      </c>
    </row>
    <row r="102" spans="1:9" x14ac:dyDescent="0.3">
      <c r="H102" s="250">
        <v>2.2999999999999998</v>
      </c>
    </row>
    <row r="103" spans="1:9" x14ac:dyDescent="0.3">
      <c r="A103" s="253" t="s">
        <v>459</v>
      </c>
      <c r="B103" s="254"/>
      <c r="C103" s="255"/>
      <c r="D103" s="256"/>
      <c r="E103" s="257"/>
      <c r="F103" s="257"/>
    </row>
    <row r="104" spans="1:9" x14ac:dyDescent="0.3">
      <c r="A104" s="253" t="s">
        <v>460</v>
      </c>
      <c r="B104" s="254"/>
      <c r="C104" s="255" t="s">
        <v>454</v>
      </c>
      <c r="D104" s="256"/>
      <c r="E104" s="257" t="s">
        <v>408</v>
      </c>
      <c r="F104" s="257">
        <v>39.799999999999997</v>
      </c>
      <c r="H104" s="250">
        <v>3.1</v>
      </c>
    </row>
    <row r="105" spans="1:9" x14ac:dyDescent="0.3">
      <c r="A105" s="254" t="s">
        <v>409</v>
      </c>
      <c r="B105" s="254" t="s">
        <v>248</v>
      </c>
      <c r="C105" s="258" t="s">
        <v>410</v>
      </c>
      <c r="D105" s="258" t="s">
        <v>411</v>
      </c>
      <c r="E105" s="259" t="s">
        <v>412</v>
      </c>
      <c r="F105" s="259" t="s">
        <v>413</v>
      </c>
      <c r="H105" s="250">
        <v>3.1</v>
      </c>
    </row>
    <row r="106" spans="1:9" x14ac:dyDescent="0.3">
      <c r="A106" s="260" t="s">
        <v>417</v>
      </c>
      <c r="B106" s="261" t="s">
        <v>215</v>
      </c>
      <c r="C106" s="262">
        <v>1</v>
      </c>
      <c r="D106" s="263">
        <v>2</v>
      </c>
      <c r="E106" s="264">
        <v>16.5</v>
      </c>
      <c r="F106" s="264">
        <v>33</v>
      </c>
      <c r="H106" s="250">
        <v>3.1</v>
      </c>
      <c r="I106" s="250" t="s">
        <v>634</v>
      </c>
    </row>
    <row r="107" spans="1:9" x14ac:dyDescent="0.3">
      <c r="A107" s="260" t="s">
        <v>439</v>
      </c>
      <c r="B107" s="261" t="s">
        <v>215</v>
      </c>
      <c r="C107" s="262">
        <v>0.1</v>
      </c>
      <c r="D107" s="263">
        <v>0.2</v>
      </c>
      <c r="E107" s="264">
        <v>24.5</v>
      </c>
      <c r="F107" s="264">
        <v>4.9000000000000004</v>
      </c>
      <c r="H107" s="250">
        <v>3.1</v>
      </c>
      <c r="I107" s="250" t="s">
        <v>634</v>
      </c>
    </row>
    <row r="108" spans="1:9" x14ac:dyDescent="0.3">
      <c r="A108" s="265"/>
      <c r="B108" s="266"/>
      <c r="C108" s="267"/>
      <c r="D108" s="268"/>
      <c r="E108" s="269" t="s">
        <v>418</v>
      </c>
      <c r="F108" s="269">
        <v>37.9</v>
      </c>
      <c r="H108" s="250">
        <v>3.1</v>
      </c>
    </row>
    <row r="109" spans="1:9" x14ac:dyDescent="0.3">
      <c r="H109" s="250">
        <v>3.1</v>
      </c>
    </row>
    <row r="110" spans="1:9" x14ac:dyDescent="0.3">
      <c r="A110" s="260" t="s">
        <v>428</v>
      </c>
      <c r="B110" s="261" t="s">
        <v>429</v>
      </c>
      <c r="D110" s="263">
        <v>5</v>
      </c>
      <c r="E110" s="264">
        <v>37.9</v>
      </c>
      <c r="F110" s="264">
        <v>1.9</v>
      </c>
      <c r="H110" s="250">
        <v>3.1</v>
      </c>
      <c r="I110" s="250" t="s">
        <v>127</v>
      </c>
    </row>
    <row r="111" spans="1:9" x14ac:dyDescent="0.3">
      <c r="A111" s="265"/>
      <c r="B111" s="266"/>
      <c r="C111" s="267"/>
      <c r="D111" s="268"/>
      <c r="E111" s="269" t="s">
        <v>430</v>
      </c>
      <c r="F111" s="269">
        <v>1.9</v>
      </c>
      <c r="H111" s="250">
        <v>3.1</v>
      </c>
    </row>
    <row r="112" spans="1:9" x14ac:dyDescent="0.3">
      <c r="H112" s="250">
        <v>3.1</v>
      </c>
    </row>
    <row r="113" spans="1:9" x14ac:dyDescent="0.3">
      <c r="H113" s="250">
        <v>3.1</v>
      </c>
    </row>
    <row r="114" spans="1:9" x14ac:dyDescent="0.3">
      <c r="A114" s="253" t="s">
        <v>461</v>
      </c>
      <c r="B114" s="254"/>
      <c r="C114" s="255"/>
      <c r="D114" s="256"/>
      <c r="E114" s="257"/>
      <c r="F114" s="257"/>
    </row>
    <row r="115" spans="1:9" x14ac:dyDescent="0.3">
      <c r="A115" s="253" t="s">
        <v>462</v>
      </c>
      <c r="B115" s="254"/>
      <c r="C115" s="255" t="s">
        <v>434</v>
      </c>
      <c r="D115" s="256"/>
      <c r="E115" s="257" t="s">
        <v>408</v>
      </c>
      <c r="F115" s="257">
        <v>5.53</v>
      </c>
      <c r="H115" s="250">
        <v>3.2</v>
      </c>
    </row>
    <row r="116" spans="1:9" x14ac:dyDescent="0.3">
      <c r="A116" s="254" t="s">
        <v>409</v>
      </c>
      <c r="B116" s="254" t="s">
        <v>248</v>
      </c>
      <c r="C116" s="258" t="s">
        <v>410</v>
      </c>
      <c r="D116" s="258" t="s">
        <v>411</v>
      </c>
      <c r="E116" s="259" t="s">
        <v>412</v>
      </c>
      <c r="F116" s="259" t="s">
        <v>413</v>
      </c>
      <c r="H116" s="250">
        <v>3.2</v>
      </c>
    </row>
    <row r="117" spans="1:9" x14ac:dyDescent="0.3">
      <c r="A117" s="260" t="s">
        <v>439</v>
      </c>
      <c r="B117" s="261" t="s">
        <v>215</v>
      </c>
      <c r="C117" s="262">
        <v>1</v>
      </c>
      <c r="D117" s="263">
        <v>0.08</v>
      </c>
      <c r="E117" s="264">
        <v>24.5</v>
      </c>
      <c r="F117" s="264">
        <v>1.96</v>
      </c>
      <c r="H117" s="250">
        <v>3.2</v>
      </c>
      <c r="I117" s="250" t="s">
        <v>634</v>
      </c>
    </row>
    <row r="118" spans="1:9" x14ac:dyDescent="0.3">
      <c r="A118" s="260" t="s">
        <v>435</v>
      </c>
      <c r="B118" s="261" t="s">
        <v>215</v>
      </c>
      <c r="C118" s="262">
        <v>1</v>
      </c>
      <c r="D118" s="263">
        <v>0.08</v>
      </c>
      <c r="E118" s="264">
        <v>19.23</v>
      </c>
      <c r="F118" s="264">
        <v>1.54</v>
      </c>
      <c r="H118" s="250">
        <v>3.2</v>
      </c>
      <c r="I118" s="250" t="s">
        <v>634</v>
      </c>
    </row>
    <row r="119" spans="1:9" x14ac:dyDescent="0.3">
      <c r="A119" s="260" t="s">
        <v>417</v>
      </c>
      <c r="B119" s="261" t="s">
        <v>215</v>
      </c>
      <c r="C119" s="262">
        <v>1</v>
      </c>
      <c r="D119" s="263">
        <v>0.08</v>
      </c>
      <c r="E119" s="264">
        <v>16.5</v>
      </c>
      <c r="F119" s="264">
        <v>1.32</v>
      </c>
      <c r="H119" s="250">
        <v>3.2</v>
      </c>
      <c r="I119" s="250" t="s">
        <v>634</v>
      </c>
    </row>
    <row r="120" spans="1:9" x14ac:dyDescent="0.3">
      <c r="A120" s="265"/>
      <c r="B120" s="266"/>
      <c r="C120" s="267"/>
      <c r="D120" s="268"/>
      <c r="E120" s="269" t="s">
        <v>418</v>
      </c>
      <c r="F120" s="269">
        <v>4.82</v>
      </c>
      <c r="H120" s="250">
        <v>3.2</v>
      </c>
    </row>
    <row r="121" spans="1:9" x14ac:dyDescent="0.3">
      <c r="H121" s="250">
        <v>3.2</v>
      </c>
    </row>
    <row r="122" spans="1:9" x14ac:dyDescent="0.3">
      <c r="A122" s="260" t="s">
        <v>463</v>
      </c>
      <c r="B122" s="261" t="s">
        <v>426</v>
      </c>
      <c r="D122" s="263">
        <v>0.05</v>
      </c>
      <c r="E122" s="264">
        <v>5</v>
      </c>
      <c r="F122" s="264">
        <v>0.25</v>
      </c>
      <c r="H122" s="250">
        <v>3.2</v>
      </c>
      <c r="I122" s="250" t="s">
        <v>6</v>
      </c>
    </row>
    <row r="123" spans="1:9" x14ac:dyDescent="0.3">
      <c r="A123" s="265"/>
      <c r="B123" s="266"/>
      <c r="C123" s="267"/>
      <c r="D123" s="268"/>
      <c r="E123" s="269" t="s">
        <v>427</v>
      </c>
      <c r="F123" s="269">
        <v>0.25</v>
      </c>
      <c r="H123" s="250">
        <v>3.2</v>
      </c>
    </row>
    <row r="124" spans="1:9" x14ac:dyDescent="0.3">
      <c r="H124" s="250">
        <v>3.2</v>
      </c>
    </row>
    <row r="125" spans="1:9" x14ac:dyDescent="0.3">
      <c r="A125" s="260" t="s">
        <v>464</v>
      </c>
      <c r="B125" s="261" t="s">
        <v>449</v>
      </c>
      <c r="C125" s="262">
        <v>1</v>
      </c>
      <c r="D125" s="263">
        <v>0.08</v>
      </c>
      <c r="E125" s="264">
        <v>2.7</v>
      </c>
      <c r="F125" s="264">
        <v>0.22</v>
      </c>
      <c r="H125" s="250">
        <v>3.2</v>
      </c>
      <c r="I125" s="250" t="s">
        <v>127</v>
      </c>
    </row>
    <row r="126" spans="1:9" x14ac:dyDescent="0.3">
      <c r="A126" s="260" t="s">
        <v>428</v>
      </c>
      <c r="B126" s="261" t="s">
        <v>429</v>
      </c>
      <c r="D126" s="263">
        <v>5</v>
      </c>
      <c r="E126" s="264">
        <v>4.82</v>
      </c>
      <c r="F126" s="264">
        <v>0.24</v>
      </c>
      <c r="H126" s="250">
        <v>3.2</v>
      </c>
      <c r="I126" s="250" t="s">
        <v>127</v>
      </c>
    </row>
    <row r="127" spans="1:9" x14ac:dyDescent="0.3">
      <c r="A127" s="265"/>
      <c r="B127" s="266"/>
      <c r="C127" s="267"/>
      <c r="D127" s="268"/>
      <c r="E127" s="269" t="s">
        <v>430</v>
      </c>
      <c r="F127" s="269">
        <v>0.46</v>
      </c>
      <c r="H127" s="250">
        <v>3.2</v>
      </c>
    </row>
    <row r="128" spans="1:9" x14ac:dyDescent="0.3">
      <c r="H128" s="250">
        <v>3.2</v>
      </c>
    </row>
    <row r="129" spans="1:9" x14ac:dyDescent="0.3">
      <c r="H129" s="250">
        <v>3.2</v>
      </c>
    </row>
    <row r="130" spans="1:9" x14ac:dyDescent="0.3">
      <c r="A130" s="253" t="s">
        <v>465</v>
      </c>
      <c r="B130" s="254"/>
      <c r="C130" s="255"/>
      <c r="D130" s="256"/>
      <c r="E130" s="257"/>
      <c r="F130" s="257"/>
    </row>
    <row r="131" spans="1:9" x14ac:dyDescent="0.3">
      <c r="A131" s="253" t="s">
        <v>466</v>
      </c>
      <c r="B131" s="254"/>
      <c r="C131" s="255" t="s">
        <v>454</v>
      </c>
      <c r="D131" s="256"/>
      <c r="E131" s="257" t="s">
        <v>408</v>
      </c>
      <c r="F131" s="257">
        <v>23.1</v>
      </c>
      <c r="H131" s="250">
        <v>3.3</v>
      </c>
    </row>
    <row r="132" spans="1:9" x14ac:dyDescent="0.3">
      <c r="A132" s="254" t="s">
        <v>409</v>
      </c>
      <c r="B132" s="254" t="s">
        <v>248</v>
      </c>
      <c r="C132" s="258" t="s">
        <v>410</v>
      </c>
      <c r="D132" s="258" t="s">
        <v>411</v>
      </c>
      <c r="E132" s="259" t="s">
        <v>412</v>
      </c>
      <c r="F132" s="259" t="s">
        <v>413</v>
      </c>
      <c r="H132" s="250">
        <v>3.3</v>
      </c>
    </row>
    <row r="133" spans="1:9" x14ac:dyDescent="0.3">
      <c r="A133" s="260" t="s">
        <v>417</v>
      </c>
      <c r="B133" s="261" t="s">
        <v>215</v>
      </c>
      <c r="C133" s="262">
        <v>1</v>
      </c>
      <c r="D133" s="263">
        <v>1.3332999999999999</v>
      </c>
      <c r="E133" s="264">
        <v>16.5</v>
      </c>
      <c r="F133" s="264">
        <v>22</v>
      </c>
      <c r="H133" s="250">
        <v>3.3</v>
      </c>
      <c r="I133" s="250" t="s">
        <v>634</v>
      </c>
    </row>
    <row r="134" spans="1:9" x14ac:dyDescent="0.3">
      <c r="A134" s="265"/>
      <c r="B134" s="266"/>
      <c r="C134" s="267"/>
      <c r="D134" s="268"/>
      <c r="E134" s="269" t="s">
        <v>418</v>
      </c>
      <c r="F134" s="269">
        <v>22</v>
      </c>
      <c r="H134" s="250">
        <v>3.3</v>
      </c>
    </row>
    <row r="135" spans="1:9" x14ac:dyDescent="0.3">
      <c r="H135" s="250">
        <v>3.3</v>
      </c>
    </row>
    <row r="136" spans="1:9" x14ac:dyDescent="0.3">
      <c r="A136" s="260" t="s">
        <v>428</v>
      </c>
      <c r="B136" s="261" t="s">
        <v>429</v>
      </c>
      <c r="D136" s="263">
        <v>5</v>
      </c>
      <c r="E136" s="264">
        <v>22</v>
      </c>
      <c r="F136" s="264">
        <v>1.1000000000000001</v>
      </c>
      <c r="H136" s="250">
        <v>3.3</v>
      </c>
      <c r="I136" s="250" t="s">
        <v>127</v>
      </c>
    </row>
    <row r="137" spans="1:9" x14ac:dyDescent="0.3">
      <c r="A137" s="265"/>
      <c r="B137" s="266"/>
      <c r="C137" s="267"/>
      <c r="D137" s="268"/>
      <c r="E137" s="269" t="s">
        <v>430</v>
      </c>
      <c r="F137" s="269">
        <v>1.1000000000000001</v>
      </c>
      <c r="H137" s="250">
        <v>3.3</v>
      </c>
    </row>
    <row r="138" spans="1:9" x14ac:dyDescent="0.3">
      <c r="H138" s="250">
        <v>3.3</v>
      </c>
    </row>
    <row r="139" spans="1:9" x14ac:dyDescent="0.3">
      <c r="H139" s="250">
        <v>3.3</v>
      </c>
    </row>
    <row r="140" spans="1:9" x14ac:dyDescent="0.3">
      <c r="A140" s="253" t="s">
        <v>467</v>
      </c>
      <c r="B140" s="254"/>
      <c r="C140" s="255"/>
      <c r="D140" s="256"/>
      <c r="E140" s="257"/>
      <c r="F140" s="257"/>
    </row>
    <row r="141" spans="1:9" x14ac:dyDescent="0.3">
      <c r="A141" s="253" t="s">
        <v>468</v>
      </c>
      <c r="B141" s="254"/>
      <c r="C141" s="255" t="s">
        <v>434</v>
      </c>
      <c r="D141" s="256"/>
      <c r="E141" s="257" t="s">
        <v>408</v>
      </c>
      <c r="F141" s="257">
        <v>40.29</v>
      </c>
      <c r="H141" s="250">
        <v>4.0999999999999996</v>
      </c>
    </row>
    <row r="142" spans="1:9" x14ac:dyDescent="0.3">
      <c r="A142" s="254" t="s">
        <v>409</v>
      </c>
      <c r="B142" s="254" t="s">
        <v>248</v>
      </c>
      <c r="C142" s="258" t="s">
        <v>410</v>
      </c>
      <c r="D142" s="258" t="s">
        <v>411</v>
      </c>
      <c r="E142" s="259" t="s">
        <v>412</v>
      </c>
      <c r="F142" s="259" t="s">
        <v>413</v>
      </c>
      <c r="H142" s="250">
        <v>4.0999999999999996</v>
      </c>
    </row>
    <row r="143" spans="1:9" x14ac:dyDescent="0.3">
      <c r="A143" s="260" t="s">
        <v>439</v>
      </c>
      <c r="B143" s="261" t="s">
        <v>215</v>
      </c>
      <c r="C143" s="262">
        <v>0.1</v>
      </c>
      <c r="D143" s="263">
        <v>1.3299999999999999E-2</v>
      </c>
      <c r="E143" s="264">
        <v>24.5</v>
      </c>
      <c r="F143" s="264">
        <v>0.33</v>
      </c>
      <c r="H143" s="250">
        <v>4.0999999999999996</v>
      </c>
      <c r="I143" s="250" t="s">
        <v>634</v>
      </c>
    </row>
    <row r="144" spans="1:9" x14ac:dyDescent="0.3">
      <c r="A144" s="260" t="s">
        <v>435</v>
      </c>
      <c r="B144" s="261" t="s">
        <v>215</v>
      </c>
      <c r="C144" s="262">
        <v>2</v>
      </c>
      <c r="D144" s="263">
        <v>0.26669999999999999</v>
      </c>
      <c r="E144" s="264">
        <v>19.23</v>
      </c>
      <c r="F144" s="264">
        <v>5.13</v>
      </c>
      <c r="H144" s="250">
        <v>4.0999999999999996</v>
      </c>
      <c r="I144" s="250" t="s">
        <v>634</v>
      </c>
    </row>
    <row r="145" spans="1:9" x14ac:dyDescent="0.3">
      <c r="A145" s="260" t="s">
        <v>417</v>
      </c>
      <c r="B145" s="261" t="s">
        <v>215</v>
      </c>
      <c r="C145" s="262">
        <v>6</v>
      </c>
      <c r="D145" s="263">
        <v>0.8</v>
      </c>
      <c r="E145" s="264">
        <v>16.5</v>
      </c>
      <c r="F145" s="264">
        <v>13.2</v>
      </c>
      <c r="H145" s="250">
        <v>4.0999999999999996</v>
      </c>
      <c r="I145" s="250" t="s">
        <v>634</v>
      </c>
    </row>
    <row r="146" spans="1:9" x14ac:dyDescent="0.3">
      <c r="A146" s="260" t="s">
        <v>469</v>
      </c>
      <c r="B146" s="261" t="s">
        <v>215</v>
      </c>
      <c r="C146" s="262">
        <v>1</v>
      </c>
      <c r="D146" s="263">
        <v>0.1333</v>
      </c>
      <c r="E146" s="264">
        <v>20.73</v>
      </c>
      <c r="F146" s="264">
        <v>2.76</v>
      </c>
      <c r="H146" s="250">
        <v>4.0999999999999996</v>
      </c>
      <c r="I146" s="250" t="s">
        <v>634</v>
      </c>
    </row>
    <row r="147" spans="1:9" x14ac:dyDescent="0.3">
      <c r="A147" s="265"/>
      <c r="B147" s="266"/>
      <c r="C147" s="267"/>
      <c r="D147" s="268"/>
      <c r="E147" s="269" t="s">
        <v>418</v>
      </c>
      <c r="F147" s="269">
        <v>21.42</v>
      </c>
      <c r="H147" s="250">
        <v>4.0999999999999996</v>
      </c>
    </row>
    <row r="148" spans="1:9" x14ac:dyDescent="0.3">
      <c r="H148" s="250">
        <v>4.0999999999999996</v>
      </c>
    </row>
    <row r="149" spans="1:9" x14ac:dyDescent="0.3">
      <c r="A149" s="260" t="s">
        <v>421</v>
      </c>
      <c r="B149" s="261" t="s">
        <v>443</v>
      </c>
      <c r="D149" s="263">
        <v>0.36</v>
      </c>
      <c r="E149" s="264">
        <v>20</v>
      </c>
      <c r="F149" s="264">
        <v>7.2</v>
      </c>
      <c r="H149" s="250">
        <v>4.0999999999999996</v>
      </c>
      <c r="I149" s="250" t="s">
        <v>6</v>
      </c>
    </row>
    <row r="150" spans="1:9" x14ac:dyDescent="0.3">
      <c r="A150" s="260" t="s">
        <v>470</v>
      </c>
      <c r="B150" s="261" t="s">
        <v>446</v>
      </c>
      <c r="D150" s="263">
        <v>0.24</v>
      </c>
      <c r="E150" s="264">
        <v>10</v>
      </c>
      <c r="F150" s="264">
        <v>2.4</v>
      </c>
      <c r="H150" s="250">
        <v>4.0999999999999996</v>
      </c>
      <c r="I150" s="250" t="s">
        <v>6</v>
      </c>
    </row>
    <row r="151" spans="1:9" x14ac:dyDescent="0.3">
      <c r="A151" s="260" t="s">
        <v>425</v>
      </c>
      <c r="B151" s="261" t="s">
        <v>426</v>
      </c>
      <c r="D151" s="263">
        <v>0.123</v>
      </c>
      <c r="E151" s="264">
        <v>60</v>
      </c>
      <c r="F151" s="264">
        <v>7.38</v>
      </c>
      <c r="H151" s="250">
        <v>4.0999999999999996</v>
      </c>
      <c r="I151" s="250" t="s">
        <v>6</v>
      </c>
    </row>
    <row r="152" spans="1:9" x14ac:dyDescent="0.3">
      <c r="A152" s="260" t="s">
        <v>463</v>
      </c>
      <c r="B152" s="261" t="s">
        <v>426</v>
      </c>
      <c r="D152" s="263">
        <v>1.2E-2</v>
      </c>
      <c r="E152" s="264">
        <v>5</v>
      </c>
      <c r="F152" s="264">
        <v>0.06</v>
      </c>
      <c r="H152" s="250">
        <v>4.0999999999999996</v>
      </c>
      <c r="I152" s="250" t="s">
        <v>6</v>
      </c>
    </row>
    <row r="153" spans="1:9" x14ac:dyDescent="0.3">
      <c r="A153" s="265"/>
      <c r="B153" s="266"/>
      <c r="C153" s="267"/>
      <c r="D153" s="268"/>
      <c r="E153" s="269" t="s">
        <v>427</v>
      </c>
      <c r="F153" s="269">
        <v>17.04</v>
      </c>
      <c r="H153" s="250">
        <v>4.0999999999999996</v>
      </c>
    </row>
    <row r="154" spans="1:9" x14ac:dyDescent="0.3">
      <c r="H154" s="250">
        <v>4.0999999999999996</v>
      </c>
    </row>
    <row r="155" spans="1:9" x14ac:dyDescent="0.3">
      <c r="A155" s="260" t="s">
        <v>471</v>
      </c>
      <c r="B155" s="261" t="s">
        <v>449</v>
      </c>
      <c r="C155" s="262">
        <v>1</v>
      </c>
      <c r="D155" s="263">
        <v>0.1333</v>
      </c>
      <c r="E155" s="264">
        <v>5.69</v>
      </c>
      <c r="F155" s="264">
        <v>0.76</v>
      </c>
      <c r="H155" s="250">
        <v>4.0999999999999996</v>
      </c>
      <c r="I155" s="250" t="s">
        <v>127</v>
      </c>
    </row>
    <row r="156" spans="1:9" x14ac:dyDescent="0.3">
      <c r="A156" s="260" t="s">
        <v>428</v>
      </c>
      <c r="B156" s="261" t="s">
        <v>429</v>
      </c>
      <c r="D156" s="263">
        <v>5</v>
      </c>
      <c r="E156" s="264">
        <v>21.42</v>
      </c>
      <c r="F156" s="264">
        <v>1.07</v>
      </c>
      <c r="H156" s="250">
        <v>4.0999999999999996</v>
      </c>
      <c r="I156" s="250" t="s">
        <v>127</v>
      </c>
    </row>
    <row r="157" spans="1:9" x14ac:dyDescent="0.3">
      <c r="A157" s="265"/>
      <c r="B157" s="266"/>
      <c r="C157" s="267"/>
      <c r="D157" s="268"/>
      <c r="E157" s="269" t="s">
        <v>430</v>
      </c>
      <c r="F157" s="269">
        <v>1.83</v>
      </c>
      <c r="H157" s="250">
        <v>4.0999999999999996</v>
      </c>
    </row>
    <row r="158" spans="1:9" x14ac:dyDescent="0.3">
      <c r="H158" s="250">
        <v>4.0999999999999996</v>
      </c>
    </row>
    <row r="159" spans="1:9" x14ac:dyDescent="0.3">
      <c r="H159" s="250">
        <v>4.0999999999999996</v>
      </c>
    </row>
    <row r="160" spans="1:9" x14ac:dyDescent="0.3">
      <c r="A160" s="253" t="s">
        <v>472</v>
      </c>
      <c r="B160" s="254"/>
      <c r="C160" s="255"/>
      <c r="D160" s="256"/>
      <c r="E160" s="257"/>
      <c r="F160" s="257"/>
    </row>
    <row r="161" spans="1:9" x14ac:dyDescent="0.3">
      <c r="A161" s="253" t="s">
        <v>473</v>
      </c>
      <c r="B161" s="254"/>
      <c r="C161" s="255" t="s">
        <v>454</v>
      </c>
      <c r="D161" s="256"/>
      <c r="E161" s="257" t="s">
        <v>408</v>
      </c>
      <c r="F161" s="257">
        <v>222.01</v>
      </c>
      <c r="H161" s="250">
        <v>4.2</v>
      </c>
    </row>
    <row r="162" spans="1:9" x14ac:dyDescent="0.3">
      <c r="A162" s="254" t="s">
        <v>409</v>
      </c>
      <c r="B162" s="254" t="s">
        <v>248</v>
      </c>
      <c r="C162" s="258" t="s">
        <v>410</v>
      </c>
      <c r="D162" s="258" t="s">
        <v>411</v>
      </c>
      <c r="E162" s="259" t="s">
        <v>412</v>
      </c>
      <c r="F162" s="259" t="s">
        <v>413</v>
      </c>
      <c r="H162" s="250">
        <v>4.2</v>
      </c>
    </row>
    <row r="163" spans="1:9" x14ac:dyDescent="0.3">
      <c r="A163" s="260" t="s">
        <v>439</v>
      </c>
      <c r="B163" s="261" t="s">
        <v>215</v>
      </c>
      <c r="C163" s="262">
        <v>0.1</v>
      </c>
      <c r="D163" s="263">
        <v>3.2000000000000001E-2</v>
      </c>
      <c r="E163" s="264">
        <v>24.5</v>
      </c>
      <c r="F163" s="264">
        <v>0.78</v>
      </c>
      <c r="H163" s="250">
        <v>4.2</v>
      </c>
      <c r="I163" s="250" t="s">
        <v>634</v>
      </c>
    </row>
    <row r="164" spans="1:9" x14ac:dyDescent="0.3">
      <c r="A164" s="260" t="s">
        <v>435</v>
      </c>
      <c r="B164" s="261" t="s">
        <v>215</v>
      </c>
      <c r="C164" s="262">
        <v>2</v>
      </c>
      <c r="D164" s="263">
        <v>0.64</v>
      </c>
      <c r="E164" s="264">
        <v>19.23</v>
      </c>
      <c r="F164" s="264">
        <v>12.31</v>
      </c>
      <c r="H164" s="250">
        <v>4.2</v>
      </c>
      <c r="I164" s="250" t="s">
        <v>634</v>
      </c>
    </row>
    <row r="165" spans="1:9" x14ac:dyDescent="0.3">
      <c r="A165" s="260" t="s">
        <v>440</v>
      </c>
      <c r="B165" s="261" t="s">
        <v>215</v>
      </c>
      <c r="C165" s="262">
        <v>1</v>
      </c>
      <c r="D165" s="263">
        <v>0.32</v>
      </c>
      <c r="E165" s="264">
        <v>15.94</v>
      </c>
      <c r="F165" s="264">
        <v>5.0999999999999996</v>
      </c>
      <c r="H165" s="250">
        <v>4.2</v>
      </c>
      <c r="I165" s="250" t="s">
        <v>634</v>
      </c>
    </row>
    <row r="166" spans="1:9" x14ac:dyDescent="0.3">
      <c r="A166" s="260" t="s">
        <v>417</v>
      </c>
      <c r="B166" s="261" t="s">
        <v>215</v>
      </c>
      <c r="C166" s="262">
        <v>8</v>
      </c>
      <c r="D166" s="263">
        <v>2.56</v>
      </c>
      <c r="E166" s="264">
        <v>16.5</v>
      </c>
      <c r="F166" s="264">
        <v>42.24</v>
      </c>
      <c r="H166" s="250">
        <v>4.2</v>
      </c>
      <c r="I166" s="250" t="s">
        <v>634</v>
      </c>
    </row>
    <row r="167" spans="1:9" x14ac:dyDescent="0.3">
      <c r="A167" s="260" t="s">
        <v>469</v>
      </c>
      <c r="B167" s="261" t="s">
        <v>215</v>
      </c>
      <c r="C167" s="262">
        <v>1</v>
      </c>
      <c r="D167" s="263">
        <v>0.32</v>
      </c>
      <c r="E167" s="264">
        <v>20.73</v>
      </c>
      <c r="F167" s="264">
        <v>6.63</v>
      </c>
      <c r="H167" s="250">
        <v>4.2</v>
      </c>
      <c r="I167" s="250" t="s">
        <v>634</v>
      </c>
    </row>
    <row r="168" spans="1:9" x14ac:dyDescent="0.3">
      <c r="A168" s="265"/>
      <c r="B168" s="266"/>
      <c r="C168" s="267"/>
      <c r="D168" s="268"/>
      <c r="E168" s="269" t="s">
        <v>418</v>
      </c>
      <c r="F168" s="269">
        <v>67.06</v>
      </c>
      <c r="H168" s="250">
        <v>4.2</v>
      </c>
    </row>
    <row r="169" spans="1:9" x14ac:dyDescent="0.3">
      <c r="H169" s="250">
        <v>4.2</v>
      </c>
    </row>
    <row r="170" spans="1:9" x14ac:dyDescent="0.3">
      <c r="A170" s="260" t="s">
        <v>474</v>
      </c>
      <c r="B170" s="261" t="s">
        <v>426</v>
      </c>
      <c r="D170" s="263">
        <v>0.48</v>
      </c>
      <c r="E170" s="264">
        <v>80</v>
      </c>
      <c r="F170" s="264">
        <v>38.4</v>
      </c>
      <c r="H170" s="250">
        <v>4.2</v>
      </c>
      <c r="I170" s="250" t="s">
        <v>6</v>
      </c>
    </row>
    <row r="171" spans="1:9" x14ac:dyDescent="0.3">
      <c r="A171" s="260" t="s">
        <v>421</v>
      </c>
      <c r="B171" s="261" t="s">
        <v>443</v>
      </c>
      <c r="D171" s="263">
        <v>2.9</v>
      </c>
      <c r="E171" s="264">
        <v>20</v>
      </c>
      <c r="F171" s="264">
        <v>58</v>
      </c>
      <c r="H171" s="250">
        <v>4.2</v>
      </c>
      <c r="I171" s="250" t="s">
        <v>6</v>
      </c>
    </row>
    <row r="172" spans="1:9" x14ac:dyDescent="0.3">
      <c r="A172" s="260" t="s">
        <v>470</v>
      </c>
      <c r="B172" s="261" t="s">
        <v>446</v>
      </c>
      <c r="D172" s="263">
        <v>0.24</v>
      </c>
      <c r="E172" s="264">
        <v>10</v>
      </c>
      <c r="F172" s="264">
        <v>2.4</v>
      </c>
      <c r="H172" s="250">
        <v>4.2</v>
      </c>
      <c r="I172" s="250" t="s">
        <v>6</v>
      </c>
    </row>
    <row r="173" spans="1:9" x14ac:dyDescent="0.3">
      <c r="A173" s="260" t="s">
        <v>425</v>
      </c>
      <c r="B173" s="261" t="s">
        <v>426</v>
      </c>
      <c r="D173" s="263">
        <v>0.83</v>
      </c>
      <c r="E173" s="264">
        <v>60</v>
      </c>
      <c r="F173" s="264">
        <v>49.8</v>
      </c>
      <c r="H173" s="250">
        <v>4.2</v>
      </c>
      <c r="I173" s="250" t="s">
        <v>6</v>
      </c>
    </row>
    <row r="174" spans="1:9" x14ac:dyDescent="0.3">
      <c r="A174" s="260" t="s">
        <v>463</v>
      </c>
      <c r="B174" s="261" t="s">
        <v>426</v>
      </c>
      <c r="D174" s="263">
        <v>0.1</v>
      </c>
      <c r="E174" s="264">
        <v>5</v>
      </c>
      <c r="F174" s="264">
        <v>0.5</v>
      </c>
      <c r="H174" s="250">
        <v>4.2</v>
      </c>
      <c r="I174" s="250" t="s">
        <v>6</v>
      </c>
    </row>
    <row r="175" spans="1:9" x14ac:dyDescent="0.3">
      <c r="A175" s="265"/>
      <c r="B175" s="266"/>
      <c r="C175" s="267"/>
      <c r="D175" s="268"/>
      <c r="E175" s="269" t="s">
        <v>427</v>
      </c>
      <c r="F175" s="269">
        <v>149.1</v>
      </c>
      <c r="H175" s="250">
        <v>4.2</v>
      </c>
    </row>
    <row r="176" spans="1:9" x14ac:dyDescent="0.3">
      <c r="H176" s="250">
        <v>4.2</v>
      </c>
    </row>
    <row r="177" spans="1:9" x14ac:dyDescent="0.3">
      <c r="A177" s="260" t="s">
        <v>475</v>
      </c>
      <c r="B177" s="261" t="s">
        <v>449</v>
      </c>
      <c r="C177" s="262">
        <v>1</v>
      </c>
      <c r="D177" s="263">
        <v>0.32</v>
      </c>
      <c r="E177" s="264">
        <v>12.01</v>
      </c>
      <c r="F177" s="264">
        <v>3.84</v>
      </c>
      <c r="H177" s="250">
        <v>4.2</v>
      </c>
      <c r="I177" s="250" t="s">
        <v>127</v>
      </c>
    </row>
    <row r="178" spans="1:9" x14ac:dyDescent="0.3">
      <c r="A178" s="260" t="s">
        <v>428</v>
      </c>
      <c r="B178" s="261" t="s">
        <v>429</v>
      </c>
      <c r="D178" s="263">
        <v>3</v>
      </c>
      <c r="E178" s="264">
        <v>67.06</v>
      </c>
      <c r="F178" s="264">
        <v>2.0099999999999998</v>
      </c>
      <c r="H178" s="250">
        <v>4.2</v>
      </c>
      <c r="I178" s="250" t="s">
        <v>127</v>
      </c>
    </row>
    <row r="179" spans="1:9" x14ac:dyDescent="0.3">
      <c r="A179" s="265"/>
      <c r="B179" s="266"/>
      <c r="C179" s="267"/>
      <c r="D179" s="268"/>
      <c r="E179" s="269" t="s">
        <v>430</v>
      </c>
      <c r="F179" s="269">
        <v>5.85</v>
      </c>
      <c r="H179" s="250">
        <v>4.2</v>
      </c>
    </row>
    <row r="180" spans="1:9" x14ac:dyDescent="0.3">
      <c r="H180" s="250">
        <v>4.2</v>
      </c>
    </row>
    <row r="181" spans="1:9" x14ac:dyDescent="0.3">
      <c r="H181" s="250">
        <v>4.2</v>
      </c>
    </row>
    <row r="182" spans="1:9" x14ac:dyDescent="0.3">
      <c r="A182" s="253" t="s">
        <v>476</v>
      </c>
      <c r="B182" s="254"/>
      <c r="C182" s="255"/>
      <c r="D182" s="256"/>
      <c r="E182" s="257"/>
      <c r="F182" s="257"/>
    </row>
    <row r="183" spans="1:9" x14ac:dyDescent="0.3">
      <c r="A183" s="253" t="s">
        <v>477</v>
      </c>
      <c r="B183" s="254"/>
      <c r="C183" s="255" t="s">
        <v>434</v>
      </c>
      <c r="D183" s="256"/>
      <c r="E183" s="257" t="s">
        <v>408</v>
      </c>
      <c r="F183" s="257">
        <v>35.21</v>
      </c>
      <c r="H183" s="250">
        <v>4.3</v>
      </c>
    </row>
    <row r="184" spans="1:9" x14ac:dyDescent="0.3">
      <c r="A184" s="254" t="s">
        <v>409</v>
      </c>
      <c r="B184" s="254" t="s">
        <v>248</v>
      </c>
      <c r="C184" s="258" t="s">
        <v>410</v>
      </c>
      <c r="D184" s="258" t="s">
        <v>411</v>
      </c>
      <c r="E184" s="259" t="s">
        <v>412</v>
      </c>
      <c r="F184" s="259" t="s">
        <v>413</v>
      </c>
      <c r="H184" s="250">
        <v>4.3</v>
      </c>
    </row>
    <row r="185" spans="1:9" x14ac:dyDescent="0.3">
      <c r="A185" s="260" t="s">
        <v>439</v>
      </c>
      <c r="B185" s="261" t="s">
        <v>215</v>
      </c>
      <c r="C185" s="262">
        <v>0.1</v>
      </c>
      <c r="D185" s="263">
        <v>0.05</v>
      </c>
      <c r="E185" s="264">
        <v>24.5</v>
      </c>
      <c r="F185" s="264">
        <v>1.23</v>
      </c>
      <c r="H185" s="250">
        <v>4.3</v>
      </c>
      <c r="I185" s="250" t="s">
        <v>634</v>
      </c>
    </row>
    <row r="186" spans="1:9" x14ac:dyDescent="0.3">
      <c r="A186" s="260" t="s">
        <v>435</v>
      </c>
      <c r="B186" s="261" t="s">
        <v>215</v>
      </c>
      <c r="C186" s="262">
        <v>1</v>
      </c>
      <c r="D186" s="263">
        <v>0.5</v>
      </c>
      <c r="E186" s="264">
        <v>19.23</v>
      </c>
      <c r="F186" s="264">
        <v>9.6199999999999992</v>
      </c>
      <c r="H186" s="250">
        <v>4.3</v>
      </c>
      <c r="I186" s="250" t="s">
        <v>634</v>
      </c>
    </row>
    <row r="187" spans="1:9" x14ac:dyDescent="0.3">
      <c r="A187" s="260" t="s">
        <v>440</v>
      </c>
      <c r="B187" s="261" t="s">
        <v>215</v>
      </c>
      <c r="C187" s="262">
        <v>1</v>
      </c>
      <c r="D187" s="263">
        <v>0.5</v>
      </c>
      <c r="E187" s="264">
        <v>15.94</v>
      </c>
      <c r="F187" s="264">
        <v>7.97</v>
      </c>
      <c r="H187" s="250">
        <v>4.3</v>
      </c>
      <c r="I187" s="250" t="s">
        <v>634</v>
      </c>
    </row>
    <row r="188" spans="1:9" x14ac:dyDescent="0.3">
      <c r="A188" s="265"/>
      <c r="B188" s="266"/>
      <c r="C188" s="267"/>
      <c r="D188" s="268"/>
      <c r="E188" s="269" t="s">
        <v>418</v>
      </c>
      <c r="F188" s="269">
        <v>18.82</v>
      </c>
      <c r="H188" s="250">
        <v>4.3</v>
      </c>
    </row>
    <row r="189" spans="1:9" x14ac:dyDescent="0.3">
      <c r="H189" s="250">
        <v>4.3</v>
      </c>
    </row>
    <row r="190" spans="1:9" x14ac:dyDescent="0.3">
      <c r="A190" s="260" t="s">
        <v>478</v>
      </c>
      <c r="B190" s="261" t="s">
        <v>420</v>
      </c>
      <c r="D190" s="263">
        <v>0.13</v>
      </c>
      <c r="E190" s="264">
        <v>4.5</v>
      </c>
      <c r="F190" s="264">
        <v>0.59</v>
      </c>
      <c r="H190" s="250">
        <v>4.3</v>
      </c>
      <c r="I190" s="250" t="s">
        <v>6</v>
      </c>
    </row>
    <row r="191" spans="1:9" x14ac:dyDescent="0.3">
      <c r="A191" s="260" t="s">
        <v>441</v>
      </c>
      <c r="B191" s="261" t="s">
        <v>420</v>
      </c>
      <c r="D191" s="263">
        <v>0.26</v>
      </c>
      <c r="E191" s="264">
        <v>4.5</v>
      </c>
      <c r="F191" s="264">
        <v>1.17</v>
      </c>
      <c r="H191" s="250">
        <v>4.3</v>
      </c>
      <c r="I191" s="250" t="s">
        <v>6</v>
      </c>
    </row>
    <row r="192" spans="1:9" x14ac:dyDescent="0.3">
      <c r="A192" s="260" t="s">
        <v>423</v>
      </c>
      <c r="B192" s="261" t="s">
        <v>424</v>
      </c>
      <c r="D192" s="263">
        <v>3.35</v>
      </c>
      <c r="E192" s="264">
        <v>4.2</v>
      </c>
      <c r="F192" s="264">
        <v>14.07</v>
      </c>
      <c r="H192" s="250">
        <v>4.3</v>
      </c>
      <c r="I192" s="250" t="s">
        <v>6</v>
      </c>
    </row>
    <row r="193" spans="1:9" x14ac:dyDescent="0.3">
      <c r="A193" s="265"/>
      <c r="B193" s="266"/>
      <c r="C193" s="267"/>
      <c r="D193" s="268"/>
      <c r="E193" s="269" t="s">
        <v>427</v>
      </c>
      <c r="F193" s="269">
        <v>15.83</v>
      </c>
      <c r="H193" s="250">
        <v>4.3</v>
      </c>
    </row>
    <row r="194" spans="1:9" x14ac:dyDescent="0.3">
      <c r="H194" s="250">
        <v>4.3</v>
      </c>
    </row>
    <row r="195" spans="1:9" x14ac:dyDescent="0.3">
      <c r="A195" s="260" t="s">
        <v>428</v>
      </c>
      <c r="B195" s="261" t="s">
        <v>429</v>
      </c>
      <c r="D195" s="263">
        <v>3</v>
      </c>
      <c r="E195" s="264">
        <v>18.82</v>
      </c>
      <c r="F195" s="264">
        <v>0.56000000000000005</v>
      </c>
      <c r="H195" s="250">
        <v>4.3</v>
      </c>
      <c r="I195" s="250" t="s">
        <v>127</v>
      </c>
    </row>
    <row r="196" spans="1:9" x14ac:dyDescent="0.3">
      <c r="A196" s="265"/>
      <c r="B196" s="266"/>
      <c r="C196" s="267"/>
      <c r="D196" s="268"/>
      <c r="E196" s="269" t="s">
        <v>430</v>
      </c>
      <c r="F196" s="269">
        <v>0.56000000000000005</v>
      </c>
      <c r="H196" s="250">
        <v>4.3</v>
      </c>
    </row>
    <row r="197" spans="1:9" x14ac:dyDescent="0.3">
      <c r="H197" s="250">
        <v>4.3</v>
      </c>
    </row>
    <row r="198" spans="1:9" x14ac:dyDescent="0.3">
      <c r="H198" s="250">
        <v>4.3</v>
      </c>
    </row>
    <row r="199" spans="1:9" x14ac:dyDescent="0.3">
      <c r="A199" s="253" t="s">
        <v>479</v>
      </c>
      <c r="B199" s="254"/>
      <c r="C199" s="255"/>
      <c r="D199" s="256"/>
      <c r="E199" s="257"/>
      <c r="F199" s="257"/>
    </row>
    <row r="200" spans="1:9" x14ac:dyDescent="0.3">
      <c r="A200" s="253" t="s">
        <v>480</v>
      </c>
      <c r="B200" s="254"/>
      <c r="C200" s="255" t="s">
        <v>454</v>
      </c>
      <c r="D200" s="256"/>
      <c r="E200" s="257" t="s">
        <v>408</v>
      </c>
      <c r="F200" s="257">
        <v>297.93</v>
      </c>
      <c r="H200" s="250">
        <v>4.4000000000000004</v>
      </c>
    </row>
    <row r="201" spans="1:9" x14ac:dyDescent="0.3">
      <c r="A201" s="254" t="s">
        <v>409</v>
      </c>
      <c r="B201" s="254" t="s">
        <v>248</v>
      </c>
      <c r="C201" s="258" t="s">
        <v>410</v>
      </c>
      <c r="D201" s="258" t="s">
        <v>411</v>
      </c>
      <c r="E201" s="259" t="s">
        <v>412</v>
      </c>
      <c r="F201" s="259" t="s">
        <v>413</v>
      </c>
      <c r="H201" s="250">
        <v>4.4000000000000004</v>
      </c>
    </row>
    <row r="202" spans="1:9" x14ac:dyDescent="0.3">
      <c r="A202" s="260" t="s">
        <v>439</v>
      </c>
      <c r="B202" s="261" t="s">
        <v>215</v>
      </c>
      <c r="C202" s="262">
        <v>0.1</v>
      </c>
      <c r="D202" s="263">
        <v>6.6699999999999995E-2</v>
      </c>
      <c r="E202" s="264">
        <v>24.5</v>
      </c>
      <c r="F202" s="264">
        <v>1.63</v>
      </c>
      <c r="H202" s="250">
        <v>4.4000000000000004</v>
      </c>
      <c r="I202" s="250" t="s">
        <v>634</v>
      </c>
    </row>
    <row r="203" spans="1:9" x14ac:dyDescent="0.3">
      <c r="A203" s="260" t="s">
        <v>435</v>
      </c>
      <c r="B203" s="261" t="s">
        <v>215</v>
      </c>
      <c r="C203" s="262">
        <v>2</v>
      </c>
      <c r="D203" s="263">
        <v>1.3332999999999999</v>
      </c>
      <c r="E203" s="264">
        <v>19.23</v>
      </c>
      <c r="F203" s="264">
        <v>25.64</v>
      </c>
      <c r="H203" s="250">
        <v>4.4000000000000004</v>
      </c>
      <c r="I203" s="250" t="s">
        <v>634</v>
      </c>
    </row>
    <row r="204" spans="1:9" x14ac:dyDescent="0.3">
      <c r="A204" s="260" t="s">
        <v>440</v>
      </c>
      <c r="B204" s="261" t="s">
        <v>215</v>
      </c>
      <c r="C204" s="262">
        <v>1</v>
      </c>
      <c r="D204" s="263">
        <v>0.66669999999999996</v>
      </c>
      <c r="E204" s="264">
        <v>15.94</v>
      </c>
      <c r="F204" s="264">
        <v>10.63</v>
      </c>
      <c r="H204" s="250">
        <v>4.4000000000000004</v>
      </c>
      <c r="I204" s="250" t="s">
        <v>634</v>
      </c>
    </row>
    <row r="205" spans="1:9" x14ac:dyDescent="0.3">
      <c r="A205" s="260" t="s">
        <v>417</v>
      </c>
      <c r="B205" s="261" t="s">
        <v>215</v>
      </c>
      <c r="C205" s="262">
        <v>8</v>
      </c>
      <c r="D205" s="263">
        <v>5.3333000000000004</v>
      </c>
      <c r="E205" s="264">
        <v>16.5</v>
      </c>
      <c r="F205" s="264">
        <v>88</v>
      </c>
      <c r="H205" s="250">
        <v>4.4000000000000004</v>
      </c>
      <c r="I205" s="250" t="s">
        <v>634</v>
      </c>
    </row>
    <row r="206" spans="1:9" x14ac:dyDescent="0.3">
      <c r="A206" s="260" t="s">
        <v>469</v>
      </c>
      <c r="B206" s="261" t="s">
        <v>215</v>
      </c>
      <c r="C206" s="262">
        <v>1</v>
      </c>
      <c r="D206" s="263">
        <v>0.66669999999999996</v>
      </c>
      <c r="E206" s="264">
        <v>20.73</v>
      </c>
      <c r="F206" s="264">
        <v>13.82</v>
      </c>
      <c r="H206" s="250">
        <v>4.4000000000000004</v>
      </c>
      <c r="I206" s="250" t="s">
        <v>634</v>
      </c>
    </row>
    <row r="207" spans="1:9" x14ac:dyDescent="0.3">
      <c r="A207" s="265"/>
      <c r="B207" s="266"/>
      <c r="C207" s="267"/>
      <c r="D207" s="268"/>
      <c r="E207" s="269" t="s">
        <v>418</v>
      </c>
      <c r="F207" s="269">
        <v>139.72</v>
      </c>
      <c r="H207" s="250">
        <v>4.4000000000000004</v>
      </c>
    </row>
    <row r="208" spans="1:9" x14ac:dyDescent="0.3">
      <c r="H208" s="250">
        <v>4.4000000000000004</v>
      </c>
    </row>
    <row r="209" spans="1:9" x14ac:dyDescent="0.3">
      <c r="A209" s="260" t="s">
        <v>425</v>
      </c>
      <c r="B209" s="261" t="s">
        <v>426</v>
      </c>
      <c r="D209" s="263">
        <v>0.38</v>
      </c>
      <c r="E209" s="264">
        <v>60</v>
      </c>
      <c r="F209" s="264">
        <v>22.8</v>
      </c>
      <c r="H209" s="250">
        <v>4.4000000000000004</v>
      </c>
      <c r="I209" s="250" t="s">
        <v>6</v>
      </c>
    </row>
    <row r="210" spans="1:9" x14ac:dyDescent="0.3">
      <c r="A210" s="260" t="s">
        <v>421</v>
      </c>
      <c r="B210" s="261" t="s">
        <v>443</v>
      </c>
      <c r="D210" s="263">
        <v>3.3</v>
      </c>
      <c r="E210" s="264">
        <v>20</v>
      </c>
      <c r="F210" s="264">
        <v>66</v>
      </c>
      <c r="H210" s="250">
        <v>4.4000000000000004</v>
      </c>
      <c r="I210" s="250" t="s">
        <v>6</v>
      </c>
    </row>
    <row r="211" spans="1:9" x14ac:dyDescent="0.3">
      <c r="A211" s="260" t="s">
        <v>470</v>
      </c>
      <c r="B211" s="261" t="s">
        <v>446</v>
      </c>
      <c r="D211" s="263">
        <v>0.24</v>
      </c>
      <c r="E211" s="264">
        <v>10</v>
      </c>
      <c r="F211" s="264">
        <v>2.4</v>
      </c>
      <c r="H211" s="250">
        <v>4.4000000000000004</v>
      </c>
      <c r="I211" s="250" t="s">
        <v>6</v>
      </c>
    </row>
    <row r="212" spans="1:9" x14ac:dyDescent="0.3">
      <c r="A212" s="260" t="s">
        <v>425</v>
      </c>
      <c r="B212" s="261" t="s">
        <v>426</v>
      </c>
      <c r="D212" s="263">
        <v>0.9</v>
      </c>
      <c r="E212" s="264">
        <v>60</v>
      </c>
      <c r="F212" s="264">
        <v>54</v>
      </c>
      <c r="H212" s="250">
        <v>4.4000000000000004</v>
      </c>
      <c r="I212" s="250" t="s">
        <v>6</v>
      </c>
    </row>
    <row r="213" spans="1:9" x14ac:dyDescent="0.3">
      <c r="A213" s="260" t="s">
        <v>463</v>
      </c>
      <c r="B213" s="261" t="s">
        <v>426</v>
      </c>
      <c r="D213" s="263">
        <v>0.16200000000000001</v>
      </c>
      <c r="E213" s="264">
        <v>5</v>
      </c>
      <c r="F213" s="264">
        <v>0.81</v>
      </c>
      <c r="H213" s="250">
        <v>4.4000000000000004</v>
      </c>
      <c r="I213" s="250" t="s">
        <v>6</v>
      </c>
    </row>
    <row r="214" spans="1:9" x14ac:dyDescent="0.3">
      <c r="A214" s="265"/>
      <c r="B214" s="266"/>
      <c r="C214" s="267"/>
      <c r="D214" s="268"/>
      <c r="E214" s="269" t="s">
        <v>427</v>
      </c>
      <c r="F214" s="269">
        <v>146.01</v>
      </c>
      <c r="H214" s="250">
        <v>4.4000000000000004</v>
      </c>
    </row>
    <row r="215" spans="1:9" x14ac:dyDescent="0.3">
      <c r="H215" s="250">
        <v>4.4000000000000004</v>
      </c>
    </row>
    <row r="216" spans="1:9" x14ac:dyDescent="0.3">
      <c r="A216" s="260" t="s">
        <v>475</v>
      </c>
      <c r="B216" s="261" t="s">
        <v>449</v>
      </c>
      <c r="C216" s="262">
        <v>1</v>
      </c>
      <c r="D216" s="263">
        <v>0.66669999999999996</v>
      </c>
      <c r="E216" s="264">
        <v>12.01</v>
      </c>
      <c r="F216" s="264">
        <v>8.01</v>
      </c>
      <c r="H216" s="250">
        <v>4.4000000000000004</v>
      </c>
      <c r="I216" s="250" t="s">
        <v>127</v>
      </c>
    </row>
    <row r="217" spans="1:9" x14ac:dyDescent="0.3">
      <c r="A217" s="260" t="s">
        <v>428</v>
      </c>
      <c r="B217" s="261" t="s">
        <v>429</v>
      </c>
      <c r="D217" s="263">
        <v>3</v>
      </c>
      <c r="E217" s="264">
        <v>139.72</v>
      </c>
      <c r="F217" s="264">
        <v>4.1900000000000004</v>
      </c>
      <c r="H217" s="250">
        <v>4.4000000000000004</v>
      </c>
      <c r="I217" s="250" t="s">
        <v>127</v>
      </c>
    </row>
    <row r="218" spans="1:9" x14ac:dyDescent="0.3">
      <c r="A218" s="265"/>
      <c r="B218" s="266"/>
      <c r="C218" s="267"/>
      <c r="D218" s="268"/>
      <c r="E218" s="269" t="s">
        <v>430</v>
      </c>
      <c r="F218" s="269">
        <v>12.2</v>
      </c>
      <c r="H218" s="250">
        <v>4.4000000000000004</v>
      </c>
    </row>
    <row r="219" spans="1:9" x14ac:dyDescent="0.3">
      <c r="H219" s="250">
        <v>4.4000000000000004</v>
      </c>
    </row>
    <row r="220" spans="1:9" x14ac:dyDescent="0.3">
      <c r="H220" s="250">
        <v>4.4000000000000004</v>
      </c>
    </row>
    <row r="221" spans="1:9" x14ac:dyDescent="0.3">
      <c r="A221" s="253" t="s">
        <v>481</v>
      </c>
      <c r="B221" s="254"/>
      <c r="C221" s="255"/>
      <c r="D221" s="256"/>
      <c r="E221" s="257"/>
      <c r="F221" s="257"/>
    </row>
    <row r="222" spans="1:9" x14ac:dyDescent="0.3">
      <c r="A222" s="253" t="s">
        <v>482</v>
      </c>
      <c r="B222" s="254"/>
      <c r="C222" s="255" t="s">
        <v>434</v>
      </c>
      <c r="D222" s="256"/>
      <c r="E222" s="257" t="s">
        <v>408</v>
      </c>
      <c r="F222" s="257">
        <v>33.54</v>
      </c>
      <c r="H222" s="250">
        <v>4.5</v>
      </c>
    </row>
    <row r="223" spans="1:9" x14ac:dyDescent="0.3">
      <c r="A223" s="254" t="s">
        <v>409</v>
      </c>
      <c r="B223" s="254" t="s">
        <v>248</v>
      </c>
      <c r="C223" s="258" t="s">
        <v>410</v>
      </c>
      <c r="D223" s="258" t="s">
        <v>411</v>
      </c>
      <c r="E223" s="259" t="s">
        <v>412</v>
      </c>
      <c r="F223" s="259" t="s">
        <v>413</v>
      </c>
      <c r="H223" s="250">
        <v>4.5</v>
      </c>
    </row>
    <row r="224" spans="1:9" x14ac:dyDescent="0.3">
      <c r="A224" s="260" t="s">
        <v>439</v>
      </c>
      <c r="B224" s="261" t="s">
        <v>215</v>
      </c>
      <c r="C224" s="262">
        <v>0.2</v>
      </c>
      <c r="D224" s="263">
        <v>1.4500000000000001E-2</v>
      </c>
      <c r="E224" s="264">
        <v>24.5</v>
      </c>
      <c r="F224" s="264">
        <v>0.36</v>
      </c>
      <c r="H224" s="250">
        <v>4.5</v>
      </c>
      <c r="I224" s="250" t="s">
        <v>634</v>
      </c>
    </row>
    <row r="225" spans="1:9" x14ac:dyDescent="0.3">
      <c r="A225" s="260" t="s">
        <v>435</v>
      </c>
      <c r="B225" s="261" t="s">
        <v>215</v>
      </c>
      <c r="C225" s="262">
        <v>2</v>
      </c>
      <c r="D225" s="263">
        <v>0.14549999999999999</v>
      </c>
      <c r="E225" s="264">
        <v>19.23</v>
      </c>
      <c r="F225" s="264">
        <v>2.8</v>
      </c>
      <c r="H225" s="250">
        <v>4.5</v>
      </c>
      <c r="I225" s="250" t="s">
        <v>634</v>
      </c>
    </row>
    <row r="226" spans="1:9" x14ac:dyDescent="0.3">
      <c r="A226" s="260" t="s">
        <v>440</v>
      </c>
      <c r="B226" s="261" t="s">
        <v>215</v>
      </c>
      <c r="C226" s="262">
        <v>1</v>
      </c>
      <c r="D226" s="263">
        <v>7.2700000000000001E-2</v>
      </c>
      <c r="E226" s="264">
        <v>15.94</v>
      </c>
      <c r="F226" s="264">
        <v>1.1599999999999999</v>
      </c>
      <c r="H226" s="250">
        <v>4.5</v>
      </c>
      <c r="I226" s="250" t="s">
        <v>634</v>
      </c>
    </row>
    <row r="227" spans="1:9" x14ac:dyDescent="0.3">
      <c r="A227" s="260" t="s">
        <v>417</v>
      </c>
      <c r="B227" s="261" t="s">
        <v>215</v>
      </c>
      <c r="C227" s="262">
        <v>6</v>
      </c>
      <c r="D227" s="263">
        <v>0.43640000000000001</v>
      </c>
      <c r="E227" s="264">
        <v>16.5</v>
      </c>
      <c r="F227" s="264">
        <v>7.2</v>
      </c>
      <c r="H227" s="250">
        <v>4.5</v>
      </c>
      <c r="I227" s="250" t="s">
        <v>634</v>
      </c>
    </row>
    <row r="228" spans="1:9" x14ac:dyDescent="0.3">
      <c r="A228" s="260" t="s">
        <v>469</v>
      </c>
      <c r="B228" s="261" t="s">
        <v>215</v>
      </c>
      <c r="C228" s="262">
        <v>1</v>
      </c>
      <c r="D228" s="263">
        <v>7.2700000000000001E-2</v>
      </c>
      <c r="E228" s="264">
        <v>20.73</v>
      </c>
      <c r="F228" s="264">
        <v>1.51</v>
      </c>
      <c r="H228" s="250">
        <v>4.5</v>
      </c>
      <c r="I228" s="250" t="s">
        <v>634</v>
      </c>
    </row>
    <row r="229" spans="1:9" x14ac:dyDescent="0.3">
      <c r="A229" s="265"/>
      <c r="B229" s="266"/>
      <c r="C229" s="267"/>
      <c r="D229" s="268"/>
      <c r="E229" s="269" t="s">
        <v>418</v>
      </c>
      <c r="F229" s="269">
        <v>13.03</v>
      </c>
      <c r="H229" s="250">
        <v>4.5</v>
      </c>
    </row>
    <row r="230" spans="1:9" x14ac:dyDescent="0.3">
      <c r="H230" s="250">
        <v>4.5</v>
      </c>
    </row>
    <row r="231" spans="1:9" x14ac:dyDescent="0.3">
      <c r="A231" s="260" t="s">
        <v>421</v>
      </c>
      <c r="B231" s="261" t="s">
        <v>443</v>
      </c>
      <c r="D231" s="263">
        <v>0.48299999999999998</v>
      </c>
      <c r="E231" s="264">
        <v>20</v>
      </c>
      <c r="F231" s="264">
        <v>9.66</v>
      </c>
      <c r="H231" s="250">
        <v>4.5</v>
      </c>
      <c r="I231" s="250" t="s">
        <v>6</v>
      </c>
    </row>
    <row r="232" spans="1:9" x14ac:dyDescent="0.3">
      <c r="A232" s="260" t="s">
        <v>470</v>
      </c>
      <c r="B232" s="261" t="s">
        <v>446</v>
      </c>
      <c r="D232" s="263">
        <v>2.7300000000000001E-2</v>
      </c>
      <c r="E232" s="264">
        <v>10</v>
      </c>
      <c r="F232" s="264">
        <v>0.27</v>
      </c>
      <c r="H232" s="250">
        <v>4.5</v>
      </c>
      <c r="I232" s="250" t="s">
        <v>6</v>
      </c>
    </row>
    <row r="233" spans="1:9" x14ac:dyDescent="0.3">
      <c r="A233" s="260" t="s">
        <v>425</v>
      </c>
      <c r="B233" s="261" t="s">
        <v>426</v>
      </c>
      <c r="D233" s="263">
        <v>0.14499999999999999</v>
      </c>
      <c r="E233" s="264">
        <v>60</v>
      </c>
      <c r="F233" s="264">
        <v>8.6999999999999993</v>
      </c>
      <c r="H233" s="250">
        <v>4.5</v>
      </c>
      <c r="I233" s="250" t="s">
        <v>6</v>
      </c>
    </row>
    <row r="234" spans="1:9" x14ac:dyDescent="0.3">
      <c r="A234" s="260" t="s">
        <v>463</v>
      </c>
      <c r="B234" s="261" t="s">
        <v>426</v>
      </c>
      <c r="D234" s="263">
        <v>1.6E-2</v>
      </c>
      <c r="E234" s="264">
        <v>5</v>
      </c>
      <c r="F234" s="264">
        <v>0.08</v>
      </c>
      <c r="H234" s="250">
        <v>4.5</v>
      </c>
      <c r="I234" s="250" t="s">
        <v>6</v>
      </c>
    </row>
    <row r="235" spans="1:9" x14ac:dyDescent="0.3">
      <c r="A235" s="260" t="s">
        <v>483</v>
      </c>
      <c r="B235" s="261" t="s">
        <v>424</v>
      </c>
      <c r="D235" s="263">
        <v>0.06</v>
      </c>
      <c r="E235" s="264">
        <v>4.5</v>
      </c>
      <c r="F235" s="264">
        <v>0.27</v>
      </c>
      <c r="H235" s="250">
        <v>4.5</v>
      </c>
      <c r="I235" s="250" t="s">
        <v>6</v>
      </c>
    </row>
    <row r="236" spans="1:9" x14ac:dyDescent="0.3">
      <c r="A236" s="260" t="s">
        <v>484</v>
      </c>
      <c r="B236" s="261" t="s">
        <v>420</v>
      </c>
      <c r="D236" s="263">
        <v>1.8E-3</v>
      </c>
      <c r="E236" s="264">
        <v>5.9</v>
      </c>
      <c r="F236" s="264">
        <v>0.01</v>
      </c>
      <c r="H236" s="250">
        <v>4.5</v>
      </c>
      <c r="I236" s="250" t="s">
        <v>6</v>
      </c>
    </row>
    <row r="237" spans="1:9" x14ac:dyDescent="0.3">
      <c r="A237" s="265"/>
      <c r="B237" s="266"/>
      <c r="C237" s="267"/>
      <c r="D237" s="268"/>
      <c r="E237" s="269" t="s">
        <v>427</v>
      </c>
      <c r="F237" s="269">
        <v>18.989999999999998</v>
      </c>
      <c r="H237" s="250">
        <v>4.5</v>
      </c>
    </row>
    <row r="238" spans="1:9" x14ac:dyDescent="0.3">
      <c r="H238" s="250">
        <v>4.5</v>
      </c>
    </row>
    <row r="239" spans="1:9" x14ac:dyDescent="0.3">
      <c r="A239" s="260" t="s">
        <v>475</v>
      </c>
      <c r="B239" s="261" t="s">
        <v>449</v>
      </c>
      <c r="C239" s="262">
        <v>1</v>
      </c>
      <c r="D239" s="263">
        <v>7.2700000000000001E-2</v>
      </c>
      <c r="E239" s="264">
        <v>12.01</v>
      </c>
      <c r="F239" s="264">
        <v>0.87</v>
      </c>
      <c r="H239" s="250">
        <v>4.5</v>
      </c>
      <c r="I239" s="250" t="s">
        <v>127</v>
      </c>
    </row>
    <row r="240" spans="1:9" x14ac:dyDescent="0.3">
      <c r="A240" s="260" t="s">
        <v>428</v>
      </c>
      <c r="B240" s="261" t="s">
        <v>429</v>
      </c>
      <c r="D240" s="263">
        <v>5</v>
      </c>
      <c r="E240" s="264">
        <v>13.03</v>
      </c>
      <c r="F240" s="264">
        <v>0.65</v>
      </c>
      <c r="H240" s="250">
        <v>4.5</v>
      </c>
      <c r="I240" s="250" t="s">
        <v>127</v>
      </c>
    </row>
    <row r="241" spans="1:9" x14ac:dyDescent="0.3">
      <c r="A241" s="265"/>
      <c r="B241" s="266"/>
      <c r="C241" s="267"/>
      <c r="D241" s="268"/>
      <c r="E241" s="269" t="s">
        <v>430</v>
      </c>
      <c r="F241" s="269">
        <v>1.52</v>
      </c>
      <c r="H241" s="250">
        <v>4.5</v>
      </c>
    </row>
    <row r="242" spans="1:9" x14ac:dyDescent="0.3">
      <c r="H242" s="250">
        <v>4.5</v>
      </c>
    </row>
    <row r="243" spans="1:9" x14ac:dyDescent="0.3">
      <c r="H243" s="250">
        <v>4.5</v>
      </c>
    </row>
    <row r="244" spans="1:9" x14ac:dyDescent="0.3">
      <c r="A244" s="253" t="s">
        <v>485</v>
      </c>
      <c r="B244" s="254"/>
      <c r="C244" s="255"/>
      <c r="D244" s="256"/>
      <c r="E244" s="257"/>
      <c r="F244" s="257"/>
    </row>
    <row r="245" spans="1:9" x14ac:dyDescent="0.3">
      <c r="A245" s="253" t="s">
        <v>486</v>
      </c>
      <c r="B245" s="254"/>
      <c r="C245" s="255" t="s">
        <v>454</v>
      </c>
      <c r="D245" s="256"/>
      <c r="E245" s="257" t="s">
        <v>408</v>
      </c>
      <c r="F245" s="257">
        <v>405.5</v>
      </c>
      <c r="H245" s="250" t="s">
        <v>556</v>
      </c>
    </row>
    <row r="246" spans="1:9" x14ac:dyDescent="0.3">
      <c r="A246" s="254" t="s">
        <v>409</v>
      </c>
      <c r="B246" s="254" t="s">
        <v>248</v>
      </c>
      <c r="C246" s="258" t="s">
        <v>410</v>
      </c>
      <c r="D246" s="258" t="s">
        <v>411</v>
      </c>
      <c r="E246" s="259" t="s">
        <v>412</v>
      </c>
      <c r="F246" s="259" t="s">
        <v>413</v>
      </c>
      <c r="H246" s="250" t="s">
        <v>556</v>
      </c>
    </row>
    <row r="247" spans="1:9" x14ac:dyDescent="0.3">
      <c r="A247" s="260" t="s">
        <v>439</v>
      </c>
      <c r="B247" s="261" t="s">
        <v>215</v>
      </c>
      <c r="C247" s="262">
        <v>0.2</v>
      </c>
      <c r="D247" s="263">
        <v>9.4100000000000003E-2</v>
      </c>
      <c r="E247" s="264">
        <v>24.5</v>
      </c>
      <c r="F247" s="264">
        <v>2.31</v>
      </c>
      <c r="H247" s="250" t="s">
        <v>556</v>
      </c>
      <c r="I247" s="250" t="s">
        <v>634</v>
      </c>
    </row>
    <row r="248" spans="1:9" x14ac:dyDescent="0.3">
      <c r="A248" s="260" t="s">
        <v>435</v>
      </c>
      <c r="B248" s="261" t="s">
        <v>215</v>
      </c>
      <c r="C248" s="262">
        <v>2</v>
      </c>
      <c r="D248" s="263">
        <v>0.94120000000000004</v>
      </c>
      <c r="E248" s="264">
        <v>19.23</v>
      </c>
      <c r="F248" s="264">
        <v>18.100000000000001</v>
      </c>
      <c r="H248" s="250" t="s">
        <v>556</v>
      </c>
      <c r="I248" s="250" t="s">
        <v>634</v>
      </c>
    </row>
    <row r="249" spans="1:9" x14ac:dyDescent="0.3">
      <c r="A249" s="260" t="s">
        <v>440</v>
      </c>
      <c r="B249" s="261" t="s">
        <v>215</v>
      </c>
      <c r="C249" s="262">
        <v>2</v>
      </c>
      <c r="D249" s="263">
        <v>0.94120000000000004</v>
      </c>
      <c r="E249" s="264">
        <v>15.94</v>
      </c>
      <c r="F249" s="264">
        <v>15</v>
      </c>
      <c r="H249" s="250" t="s">
        <v>556</v>
      </c>
      <c r="I249" s="250" t="s">
        <v>634</v>
      </c>
    </row>
    <row r="250" spans="1:9" x14ac:dyDescent="0.3">
      <c r="A250" s="260" t="s">
        <v>417</v>
      </c>
      <c r="B250" s="261" t="s">
        <v>215</v>
      </c>
      <c r="C250" s="262">
        <v>8</v>
      </c>
      <c r="D250" s="263">
        <v>3.7646999999999999</v>
      </c>
      <c r="E250" s="264">
        <v>16.5</v>
      </c>
      <c r="F250" s="264">
        <v>62.12</v>
      </c>
      <c r="H250" s="250" t="s">
        <v>556</v>
      </c>
      <c r="I250" s="250" t="s">
        <v>634</v>
      </c>
    </row>
    <row r="251" spans="1:9" x14ac:dyDescent="0.3">
      <c r="A251" s="260" t="s">
        <v>469</v>
      </c>
      <c r="B251" s="261" t="s">
        <v>215</v>
      </c>
      <c r="C251" s="262">
        <v>2</v>
      </c>
      <c r="D251" s="263">
        <v>0.94120000000000004</v>
      </c>
      <c r="E251" s="264">
        <v>20.73</v>
      </c>
      <c r="F251" s="264">
        <v>19.510000000000002</v>
      </c>
      <c r="H251" s="250" t="s">
        <v>556</v>
      </c>
      <c r="I251" s="250" t="s">
        <v>634</v>
      </c>
    </row>
    <row r="252" spans="1:9" x14ac:dyDescent="0.3">
      <c r="A252" s="265"/>
      <c r="B252" s="266"/>
      <c r="C252" s="267"/>
      <c r="D252" s="268"/>
      <c r="E252" s="269" t="s">
        <v>418</v>
      </c>
      <c r="F252" s="269">
        <v>117.04</v>
      </c>
      <c r="H252" s="250" t="s">
        <v>556</v>
      </c>
    </row>
    <row r="253" spans="1:9" x14ac:dyDescent="0.3">
      <c r="H253" s="250" t="s">
        <v>556</v>
      </c>
    </row>
    <row r="254" spans="1:9" x14ac:dyDescent="0.3">
      <c r="A254" s="260" t="s">
        <v>487</v>
      </c>
      <c r="B254" s="261" t="s">
        <v>426</v>
      </c>
      <c r="D254" s="263">
        <v>0.5</v>
      </c>
      <c r="E254" s="264">
        <v>65</v>
      </c>
      <c r="F254" s="264">
        <v>32.5</v>
      </c>
      <c r="H254" s="250" t="s">
        <v>556</v>
      </c>
      <c r="I254" s="250" t="s">
        <v>6</v>
      </c>
    </row>
    <row r="255" spans="1:9" x14ac:dyDescent="0.3">
      <c r="A255" s="260" t="s">
        <v>488</v>
      </c>
      <c r="B255" s="261" t="s">
        <v>426</v>
      </c>
      <c r="D255" s="263">
        <v>0.8</v>
      </c>
      <c r="E255" s="264">
        <v>70</v>
      </c>
      <c r="F255" s="264">
        <v>56</v>
      </c>
      <c r="H255" s="250" t="s">
        <v>556</v>
      </c>
      <c r="I255" s="250" t="s">
        <v>6</v>
      </c>
    </row>
    <row r="256" spans="1:9" x14ac:dyDescent="0.3">
      <c r="A256" s="260" t="s">
        <v>421</v>
      </c>
      <c r="B256" s="261" t="s">
        <v>443</v>
      </c>
      <c r="D256" s="263">
        <v>9.1999999999999993</v>
      </c>
      <c r="E256" s="264">
        <v>20</v>
      </c>
      <c r="F256" s="264">
        <v>184</v>
      </c>
      <c r="H256" s="250" t="s">
        <v>556</v>
      </c>
      <c r="I256" s="250" t="s">
        <v>6</v>
      </c>
    </row>
    <row r="257" spans="1:9" x14ac:dyDescent="0.3">
      <c r="A257" s="260" t="s">
        <v>470</v>
      </c>
      <c r="B257" s="261" t="s">
        <v>446</v>
      </c>
      <c r="D257" s="263">
        <v>0.3</v>
      </c>
      <c r="E257" s="264">
        <v>10</v>
      </c>
      <c r="F257" s="264">
        <v>3</v>
      </c>
      <c r="H257" s="250" t="s">
        <v>556</v>
      </c>
      <c r="I257" s="250" t="s">
        <v>6</v>
      </c>
    </row>
    <row r="258" spans="1:9" x14ac:dyDescent="0.3">
      <c r="A258" s="260" t="s">
        <v>463</v>
      </c>
      <c r="B258" s="261" t="s">
        <v>426</v>
      </c>
      <c r="D258" s="263">
        <v>0.18</v>
      </c>
      <c r="E258" s="264">
        <v>5</v>
      </c>
      <c r="F258" s="264">
        <v>0.9</v>
      </c>
      <c r="H258" s="250" t="s">
        <v>556</v>
      </c>
      <c r="I258" s="250" t="s">
        <v>6</v>
      </c>
    </row>
    <row r="259" spans="1:9" x14ac:dyDescent="0.3">
      <c r="A259" s="260" t="s">
        <v>484</v>
      </c>
      <c r="B259" s="261" t="s">
        <v>420</v>
      </c>
      <c r="D259" s="263">
        <v>8.0000000000000002E-3</v>
      </c>
      <c r="E259" s="264">
        <v>5.9</v>
      </c>
      <c r="F259" s="264">
        <v>0.05</v>
      </c>
      <c r="H259" s="250" t="s">
        <v>556</v>
      </c>
      <c r="I259" s="250" t="s">
        <v>6</v>
      </c>
    </row>
    <row r="260" spans="1:9" x14ac:dyDescent="0.3">
      <c r="A260" s="265"/>
      <c r="B260" s="266"/>
      <c r="C260" s="267"/>
      <c r="D260" s="268"/>
      <c r="E260" s="269" t="s">
        <v>427</v>
      </c>
      <c r="F260" s="269">
        <v>276.45</v>
      </c>
      <c r="H260" s="250" t="s">
        <v>556</v>
      </c>
    </row>
    <row r="261" spans="1:9" x14ac:dyDescent="0.3">
      <c r="H261" s="250" t="s">
        <v>556</v>
      </c>
    </row>
    <row r="262" spans="1:9" x14ac:dyDescent="0.3">
      <c r="A262" s="260" t="s">
        <v>489</v>
      </c>
      <c r="B262" s="261" t="s">
        <v>449</v>
      </c>
      <c r="C262" s="262">
        <v>1</v>
      </c>
      <c r="D262" s="263">
        <v>0.47060000000000002</v>
      </c>
      <c r="E262" s="264">
        <v>6.05</v>
      </c>
      <c r="F262" s="264">
        <v>2.85</v>
      </c>
      <c r="H262" s="250" t="s">
        <v>556</v>
      </c>
      <c r="I262" s="250" t="s">
        <v>127</v>
      </c>
    </row>
    <row r="263" spans="1:9" x14ac:dyDescent="0.3">
      <c r="A263" s="260" t="s">
        <v>475</v>
      </c>
      <c r="B263" s="261" t="s">
        <v>449</v>
      </c>
      <c r="C263" s="262">
        <v>1</v>
      </c>
      <c r="D263" s="263">
        <v>0.47060000000000002</v>
      </c>
      <c r="E263" s="264">
        <v>12.01</v>
      </c>
      <c r="F263" s="264">
        <v>5.65</v>
      </c>
      <c r="H263" s="250" t="s">
        <v>556</v>
      </c>
      <c r="I263" s="250" t="s">
        <v>127</v>
      </c>
    </row>
    <row r="264" spans="1:9" x14ac:dyDescent="0.3">
      <c r="A264" s="260" t="s">
        <v>428</v>
      </c>
      <c r="B264" s="261" t="s">
        <v>429</v>
      </c>
      <c r="D264" s="263">
        <v>3</v>
      </c>
      <c r="E264" s="264">
        <v>117.04</v>
      </c>
      <c r="F264" s="264">
        <v>3.51</v>
      </c>
      <c r="H264" s="250" t="s">
        <v>556</v>
      </c>
      <c r="I264" s="250" t="s">
        <v>127</v>
      </c>
    </row>
    <row r="265" spans="1:9" x14ac:dyDescent="0.3">
      <c r="A265" s="265"/>
      <c r="B265" s="266"/>
      <c r="C265" s="267"/>
      <c r="D265" s="268"/>
      <c r="E265" s="269" t="s">
        <v>430</v>
      </c>
      <c r="F265" s="269">
        <v>12.01</v>
      </c>
      <c r="H265" s="250" t="s">
        <v>556</v>
      </c>
    </row>
    <row r="266" spans="1:9" x14ac:dyDescent="0.3">
      <c r="H266" s="250" t="s">
        <v>556</v>
      </c>
    </row>
    <row r="267" spans="1:9" x14ac:dyDescent="0.3">
      <c r="H267" s="250" t="s">
        <v>556</v>
      </c>
    </row>
    <row r="268" spans="1:9" x14ac:dyDescent="0.3">
      <c r="A268" s="253" t="s">
        <v>490</v>
      </c>
      <c r="B268" s="254"/>
      <c r="C268" s="255"/>
      <c r="D268" s="256"/>
      <c r="E268" s="257"/>
      <c r="F268" s="257"/>
    </row>
    <row r="269" spans="1:9" x14ac:dyDescent="0.3">
      <c r="A269" s="253" t="s">
        <v>458</v>
      </c>
      <c r="B269" s="254"/>
      <c r="C269" s="255" t="s">
        <v>434</v>
      </c>
      <c r="D269" s="256"/>
      <c r="E269" s="257" t="s">
        <v>408</v>
      </c>
      <c r="F269" s="257">
        <v>39.76</v>
      </c>
      <c r="H269" s="250" t="s">
        <v>558</v>
      </c>
    </row>
    <row r="270" spans="1:9" x14ac:dyDescent="0.3">
      <c r="A270" s="254" t="s">
        <v>409</v>
      </c>
      <c r="B270" s="254" t="s">
        <v>248</v>
      </c>
      <c r="C270" s="258" t="s">
        <v>410</v>
      </c>
      <c r="D270" s="258" t="s">
        <v>411</v>
      </c>
      <c r="E270" s="259" t="s">
        <v>412</v>
      </c>
      <c r="F270" s="259" t="s">
        <v>413</v>
      </c>
      <c r="H270" s="250" t="s">
        <v>558</v>
      </c>
    </row>
    <row r="271" spans="1:9" x14ac:dyDescent="0.3">
      <c r="A271" s="260" t="s">
        <v>439</v>
      </c>
      <c r="B271" s="261" t="s">
        <v>215</v>
      </c>
      <c r="C271" s="262">
        <v>0.1</v>
      </c>
      <c r="D271" s="263">
        <v>5.7099999999999998E-2</v>
      </c>
      <c r="E271" s="264">
        <v>24.5</v>
      </c>
      <c r="F271" s="264">
        <v>1.4</v>
      </c>
      <c r="H271" s="250" t="s">
        <v>558</v>
      </c>
      <c r="I271" s="250" t="s">
        <v>634</v>
      </c>
    </row>
    <row r="272" spans="1:9" x14ac:dyDescent="0.3">
      <c r="A272" s="260" t="s">
        <v>435</v>
      </c>
      <c r="B272" s="261" t="s">
        <v>215</v>
      </c>
      <c r="C272" s="262">
        <v>1</v>
      </c>
      <c r="D272" s="263">
        <v>0.57140000000000002</v>
      </c>
      <c r="E272" s="264">
        <v>19.23</v>
      </c>
      <c r="F272" s="264">
        <v>10.99</v>
      </c>
      <c r="H272" s="250" t="s">
        <v>558</v>
      </c>
      <c r="I272" s="250" t="s">
        <v>634</v>
      </c>
    </row>
    <row r="273" spans="1:9" x14ac:dyDescent="0.3">
      <c r="A273" s="260" t="s">
        <v>440</v>
      </c>
      <c r="B273" s="261" t="s">
        <v>215</v>
      </c>
      <c r="C273" s="262">
        <v>1</v>
      </c>
      <c r="D273" s="263">
        <v>0.57140000000000002</v>
      </c>
      <c r="E273" s="264">
        <v>15.94</v>
      </c>
      <c r="F273" s="264">
        <v>9.11</v>
      </c>
      <c r="H273" s="250" t="s">
        <v>558</v>
      </c>
      <c r="I273" s="250" t="s">
        <v>634</v>
      </c>
    </row>
    <row r="274" spans="1:9" x14ac:dyDescent="0.3">
      <c r="A274" s="265"/>
      <c r="B274" s="266"/>
      <c r="C274" s="267"/>
      <c r="D274" s="268"/>
      <c r="E274" s="269" t="s">
        <v>418</v>
      </c>
      <c r="F274" s="269">
        <v>21.5</v>
      </c>
      <c r="H274" s="250" t="s">
        <v>558</v>
      </c>
    </row>
    <row r="275" spans="1:9" x14ac:dyDescent="0.3">
      <c r="H275" s="250" t="s">
        <v>558</v>
      </c>
    </row>
    <row r="276" spans="1:9" x14ac:dyDescent="0.3">
      <c r="A276" s="260" t="s">
        <v>441</v>
      </c>
      <c r="B276" s="261" t="s">
        <v>420</v>
      </c>
      <c r="D276" s="263">
        <v>0.15</v>
      </c>
      <c r="E276" s="264">
        <v>4.5</v>
      </c>
      <c r="F276" s="264">
        <v>0.68</v>
      </c>
      <c r="H276" s="250" t="s">
        <v>558</v>
      </c>
      <c r="I276" s="250" t="s">
        <v>6</v>
      </c>
    </row>
    <row r="277" spans="1:9" x14ac:dyDescent="0.3">
      <c r="A277" s="260" t="s">
        <v>423</v>
      </c>
      <c r="B277" s="261" t="s">
        <v>424</v>
      </c>
      <c r="D277" s="263">
        <v>4.03</v>
      </c>
      <c r="E277" s="264">
        <v>4.2</v>
      </c>
      <c r="F277" s="264">
        <v>16.93</v>
      </c>
      <c r="H277" s="250" t="s">
        <v>558</v>
      </c>
      <c r="I277" s="250" t="s">
        <v>6</v>
      </c>
    </row>
    <row r="278" spans="1:9" x14ac:dyDescent="0.3">
      <c r="A278" s="265"/>
      <c r="B278" s="266"/>
      <c r="C278" s="267"/>
      <c r="D278" s="268"/>
      <c r="E278" s="269" t="s">
        <v>427</v>
      </c>
      <c r="F278" s="269">
        <v>17.61</v>
      </c>
      <c r="H278" s="250" t="s">
        <v>558</v>
      </c>
    </row>
    <row r="279" spans="1:9" x14ac:dyDescent="0.3">
      <c r="H279" s="250" t="s">
        <v>558</v>
      </c>
    </row>
    <row r="280" spans="1:9" x14ac:dyDescent="0.3">
      <c r="A280" s="260" t="s">
        <v>428</v>
      </c>
      <c r="B280" s="261" t="s">
        <v>429</v>
      </c>
      <c r="D280" s="263">
        <v>3</v>
      </c>
      <c r="E280" s="264">
        <v>21.5</v>
      </c>
      <c r="F280" s="264">
        <v>0.65</v>
      </c>
      <c r="H280" s="250" t="s">
        <v>558</v>
      </c>
      <c r="I280" s="250" t="s">
        <v>127</v>
      </c>
    </row>
    <row r="281" spans="1:9" x14ac:dyDescent="0.3">
      <c r="A281" s="265"/>
      <c r="B281" s="266"/>
      <c r="C281" s="267"/>
      <c r="D281" s="268"/>
      <c r="E281" s="269" t="s">
        <v>430</v>
      </c>
      <c r="F281" s="269">
        <v>0.65</v>
      </c>
      <c r="H281" s="250" t="s">
        <v>558</v>
      </c>
    </row>
    <row r="282" spans="1:9" x14ac:dyDescent="0.3">
      <c r="H282" s="250" t="s">
        <v>558</v>
      </c>
    </row>
    <row r="283" spans="1:9" x14ac:dyDescent="0.3">
      <c r="H283" s="250" t="s">
        <v>558</v>
      </c>
    </row>
    <row r="284" spans="1:9" x14ac:dyDescent="0.3">
      <c r="A284" s="253" t="s">
        <v>491</v>
      </c>
      <c r="B284" s="254"/>
      <c r="C284" s="255"/>
      <c r="D284" s="256"/>
      <c r="E284" s="257"/>
      <c r="F284" s="257"/>
    </row>
    <row r="285" spans="1:9" x14ac:dyDescent="0.3">
      <c r="A285" s="253" t="s">
        <v>492</v>
      </c>
      <c r="B285" s="254"/>
      <c r="C285" s="255" t="s">
        <v>493</v>
      </c>
      <c r="D285" s="256"/>
      <c r="E285" s="257" t="s">
        <v>408</v>
      </c>
      <c r="F285" s="257">
        <v>6.07</v>
      </c>
      <c r="H285" s="250" t="s">
        <v>560</v>
      </c>
    </row>
    <row r="286" spans="1:9" x14ac:dyDescent="0.3">
      <c r="A286" s="254" t="s">
        <v>409</v>
      </c>
      <c r="B286" s="254" t="s">
        <v>248</v>
      </c>
      <c r="C286" s="258" t="s">
        <v>410</v>
      </c>
      <c r="D286" s="258" t="s">
        <v>411</v>
      </c>
      <c r="E286" s="259" t="s">
        <v>412</v>
      </c>
      <c r="F286" s="259" t="s">
        <v>413</v>
      </c>
      <c r="H286" s="250" t="s">
        <v>560</v>
      </c>
    </row>
    <row r="287" spans="1:9" x14ac:dyDescent="0.3">
      <c r="A287" s="260" t="s">
        <v>439</v>
      </c>
      <c r="B287" s="261" t="s">
        <v>215</v>
      </c>
      <c r="C287" s="262">
        <v>0.1</v>
      </c>
      <c r="D287" s="263">
        <v>3.2000000000000002E-3</v>
      </c>
      <c r="E287" s="264">
        <v>24.5</v>
      </c>
      <c r="F287" s="264">
        <v>0.08</v>
      </c>
      <c r="H287" s="250" t="s">
        <v>560</v>
      </c>
      <c r="I287" s="250" t="s">
        <v>634</v>
      </c>
    </row>
    <row r="288" spans="1:9" x14ac:dyDescent="0.3">
      <c r="A288" s="260" t="s">
        <v>435</v>
      </c>
      <c r="B288" s="261" t="s">
        <v>215</v>
      </c>
      <c r="C288" s="262">
        <v>1</v>
      </c>
      <c r="D288" s="263">
        <v>3.2000000000000001E-2</v>
      </c>
      <c r="E288" s="264">
        <v>19.23</v>
      </c>
      <c r="F288" s="264">
        <v>0.62</v>
      </c>
      <c r="H288" s="250" t="s">
        <v>560</v>
      </c>
      <c r="I288" s="250" t="s">
        <v>634</v>
      </c>
    </row>
    <row r="289" spans="1:9" x14ac:dyDescent="0.3">
      <c r="A289" s="260" t="s">
        <v>440</v>
      </c>
      <c r="B289" s="261" t="s">
        <v>215</v>
      </c>
      <c r="C289" s="262">
        <v>1</v>
      </c>
      <c r="D289" s="263">
        <v>3.2000000000000001E-2</v>
      </c>
      <c r="E289" s="264">
        <v>15.94</v>
      </c>
      <c r="F289" s="264">
        <v>0.51</v>
      </c>
      <c r="H289" s="250" t="s">
        <v>560</v>
      </c>
      <c r="I289" s="250" t="s">
        <v>634</v>
      </c>
    </row>
    <row r="290" spans="1:9" x14ac:dyDescent="0.3">
      <c r="A290" s="260" t="s">
        <v>417</v>
      </c>
      <c r="B290" s="261" t="s">
        <v>215</v>
      </c>
      <c r="C290" s="262">
        <v>1</v>
      </c>
      <c r="D290" s="263">
        <v>3.2000000000000001E-2</v>
      </c>
      <c r="E290" s="264">
        <v>16.5</v>
      </c>
      <c r="F290" s="264">
        <v>0.53</v>
      </c>
      <c r="H290" s="250" t="s">
        <v>560</v>
      </c>
      <c r="I290" s="250" t="s">
        <v>634</v>
      </c>
    </row>
    <row r="291" spans="1:9" x14ac:dyDescent="0.3">
      <c r="A291" s="265"/>
      <c r="B291" s="266"/>
      <c r="C291" s="267"/>
      <c r="D291" s="268"/>
      <c r="E291" s="269" t="s">
        <v>418</v>
      </c>
      <c r="F291" s="269">
        <v>1.74</v>
      </c>
      <c r="H291" s="250" t="s">
        <v>560</v>
      </c>
    </row>
    <row r="292" spans="1:9" x14ac:dyDescent="0.3">
      <c r="H292" s="250" t="s">
        <v>560</v>
      </c>
    </row>
    <row r="293" spans="1:9" x14ac:dyDescent="0.3">
      <c r="A293" s="260" t="s">
        <v>494</v>
      </c>
      <c r="B293" s="261" t="s">
        <v>420</v>
      </c>
      <c r="D293" s="263">
        <v>0.05</v>
      </c>
      <c r="E293" s="264">
        <v>4</v>
      </c>
      <c r="F293" s="264">
        <v>0.2</v>
      </c>
      <c r="H293" s="250" t="s">
        <v>560</v>
      </c>
      <c r="I293" s="250" t="s">
        <v>6</v>
      </c>
    </row>
    <row r="294" spans="1:9" x14ac:dyDescent="0.3">
      <c r="A294" s="260" t="s">
        <v>495</v>
      </c>
      <c r="B294" s="261" t="s">
        <v>420</v>
      </c>
      <c r="D294" s="263">
        <v>1.05</v>
      </c>
      <c r="E294" s="264">
        <v>3.85</v>
      </c>
      <c r="F294" s="264">
        <v>4.04</v>
      </c>
      <c r="H294" s="250" t="s">
        <v>560</v>
      </c>
      <c r="I294" s="250" t="s">
        <v>6</v>
      </c>
    </row>
    <row r="295" spans="1:9" x14ac:dyDescent="0.3">
      <c r="A295" s="265"/>
      <c r="B295" s="266"/>
      <c r="C295" s="267"/>
      <c r="D295" s="268"/>
      <c r="E295" s="269" t="s">
        <v>427</v>
      </c>
      <c r="F295" s="269">
        <v>4.24</v>
      </c>
      <c r="H295" s="250" t="s">
        <v>560</v>
      </c>
    </row>
    <row r="296" spans="1:9" x14ac:dyDescent="0.3">
      <c r="H296" s="250" t="s">
        <v>560</v>
      </c>
    </row>
    <row r="297" spans="1:9" x14ac:dyDescent="0.3">
      <c r="A297" s="260" t="s">
        <v>428</v>
      </c>
      <c r="B297" s="261" t="s">
        <v>429</v>
      </c>
      <c r="D297" s="263">
        <v>5</v>
      </c>
      <c r="E297" s="264">
        <v>1.74</v>
      </c>
      <c r="F297" s="264">
        <v>0.09</v>
      </c>
      <c r="H297" s="250" t="s">
        <v>560</v>
      </c>
      <c r="I297" s="250" t="s">
        <v>127</v>
      </c>
    </row>
    <row r="298" spans="1:9" x14ac:dyDescent="0.3">
      <c r="A298" s="265"/>
      <c r="B298" s="266"/>
      <c r="C298" s="267"/>
      <c r="D298" s="268"/>
      <c r="E298" s="269" t="s">
        <v>430</v>
      </c>
      <c r="F298" s="269">
        <v>0.09</v>
      </c>
      <c r="H298" s="250" t="s">
        <v>560</v>
      </c>
    </row>
    <row r="299" spans="1:9" x14ac:dyDescent="0.3">
      <c r="H299" s="250" t="s">
        <v>560</v>
      </c>
    </row>
    <row r="300" spans="1:9" x14ac:dyDescent="0.3">
      <c r="H300" s="250" t="s">
        <v>560</v>
      </c>
    </row>
    <row r="301" spans="1:9" x14ac:dyDescent="0.3">
      <c r="A301" s="253" t="s">
        <v>496</v>
      </c>
      <c r="B301" s="254"/>
      <c r="C301" s="255"/>
      <c r="D301" s="256"/>
      <c r="E301" s="257"/>
      <c r="F301" s="257"/>
    </row>
    <row r="302" spans="1:9" x14ac:dyDescent="0.3">
      <c r="A302" s="253" t="s">
        <v>486</v>
      </c>
      <c r="B302" s="254"/>
      <c r="C302" s="255" t="s">
        <v>454</v>
      </c>
      <c r="D302" s="256"/>
      <c r="E302" s="257" t="s">
        <v>408</v>
      </c>
      <c r="F302" s="257">
        <v>405.51</v>
      </c>
      <c r="H302" s="250" t="s">
        <v>563</v>
      </c>
    </row>
    <row r="303" spans="1:9" x14ac:dyDescent="0.3">
      <c r="A303" s="254" t="s">
        <v>409</v>
      </c>
      <c r="B303" s="254" t="s">
        <v>248</v>
      </c>
      <c r="C303" s="258" t="s">
        <v>410</v>
      </c>
      <c r="D303" s="258" t="s">
        <v>411</v>
      </c>
      <c r="E303" s="259" t="s">
        <v>412</v>
      </c>
      <c r="F303" s="259" t="s">
        <v>413</v>
      </c>
      <c r="H303" s="250" t="s">
        <v>563</v>
      </c>
    </row>
    <row r="304" spans="1:9" x14ac:dyDescent="0.3">
      <c r="A304" s="260" t="s">
        <v>439</v>
      </c>
      <c r="B304" s="261" t="s">
        <v>215</v>
      </c>
      <c r="C304" s="262">
        <v>0.2</v>
      </c>
      <c r="D304" s="263">
        <v>9.4100000000000003E-2</v>
      </c>
      <c r="E304" s="264">
        <v>24.5</v>
      </c>
      <c r="F304" s="264">
        <v>2.31</v>
      </c>
      <c r="H304" s="250" t="s">
        <v>563</v>
      </c>
      <c r="I304" s="250" t="s">
        <v>634</v>
      </c>
    </row>
    <row r="305" spans="1:9" x14ac:dyDescent="0.3">
      <c r="A305" s="260" t="s">
        <v>435</v>
      </c>
      <c r="B305" s="261" t="s">
        <v>215</v>
      </c>
      <c r="C305" s="262">
        <v>2</v>
      </c>
      <c r="D305" s="263">
        <v>0.94120000000000004</v>
      </c>
      <c r="E305" s="264">
        <v>19.23</v>
      </c>
      <c r="F305" s="264">
        <v>18.100000000000001</v>
      </c>
      <c r="H305" s="250" t="s">
        <v>563</v>
      </c>
      <c r="I305" s="250" t="s">
        <v>634</v>
      </c>
    </row>
    <row r="306" spans="1:9" x14ac:dyDescent="0.3">
      <c r="A306" s="260" t="s">
        <v>440</v>
      </c>
      <c r="B306" s="261" t="s">
        <v>215</v>
      </c>
      <c r="C306" s="262">
        <v>2</v>
      </c>
      <c r="D306" s="263">
        <v>0.94120000000000004</v>
      </c>
      <c r="E306" s="264">
        <v>15.94</v>
      </c>
      <c r="F306" s="264">
        <v>15</v>
      </c>
      <c r="H306" s="250" t="s">
        <v>563</v>
      </c>
      <c r="I306" s="250" t="s">
        <v>634</v>
      </c>
    </row>
    <row r="307" spans="1:9" x14ac:dyDescent="0.3">
      <c r="A307" s="260" t="s">
        <v>417</v>
      </c>
      <c r="B307" s="261" t="s">
        <v>215</v>
      </c>
      <c r="C307" s="262">
        <v>8</v>
      </c>
      <c r="D307" s="263">
        <v>3.7646999999999999</v>
      </c>
      <c r="E307" s="264">
        <v>16.5</v>
      </c>
      <c r="F307" s="264">
        <v>62.12</v>
      </c>
      <c r="H307" s="250" t="s">
        <v>563</v>
      </c>
      <c r="I307" s="250" t="s">
        <v>634</v>
      </c>
    </row>
    <row r="308" spans="1:9" x14ac:dyDescent="0.3">
      <c r="A308" s="260" t="s">
        <v>469</v>
      </c>
      <c r="B308" s="261" t="s">
        <v>215</v>
      </c>
      <c r="C308" s="262">
        <v>2</v>
      </c>
      <c r="D308" s="263">
        <v>0.94120000000000004</v>
      </c>
      <c r="E308" s="264">
        <v>20.73</v>
      </c>
      <c r="F308" s="264">
        <v>19.510000000000002</v>
      </c>
      <c r="H308" s="250" t="s">
        <v>563</v>
      </c>
      <c r="I308" s="250" t="s">
        <v>634</v>
      </c>
    </row>
    <row r="309" spans="1:9" x14ac:dyDescent="0.3">
      <c r="A309" s="265"/>
      <c r="B309" s="266"/>
      <c r="C309" s="267"/>
      <c r="D309" s="268"/>
      <c r="E309" s="269" t="s">
        <v>418</v>
      </c>
      <c r="F309" s="269">
        <v>117.04</v>
      </c>
      <c r="H309" s="250" t="s">
        <v>563</v>
      </c>
    </row>
    <row r="310" spans="1:9" x14ac:dyDescent="0.3">
      <c r="H310" s="250" t="s">
        <v>563</v>
      </c>
    </row>
    <row r="311" spans="1:9" x14ac:dyDescent="0.3">
      <c r="A311" s="260" t="s">
        <v>487</v>
      </c>
      <c r="B311" s="261" t="s">
        <v>426</v>
      </c>
      <c r="D311" s="263">
        <v>0.5</v>
      </c>
      <c r="E311" s="264">
        <v>65</v>
      </c>
      <c r="F311" s="264">
        <v>32.5</v>
      </c>
      <c r="H311" s="250" t="s">
        <v>563</v>
      </c>
      <c r="I311" s="250" t="s">
        <v>6</v>
      </c>
    </row>
    <row r="312" spans="1:9" x14ac:dyDescent="0.3">
      <c r="A312" s="260" t="s">
        <v>488</v>
      </c>
      <c r="B312" s="261" t="s">
        <v>426</v>
      </c>
      <c r="D312" s="263">
        <v>0.8</v>
      </c>
      <c r="E312" s="264">
        <v>70</v>
      </c>
      <c r="F312" s="264">
        <v>56</v>
      </c>
      <c r="H312" s="250" t="s">
        <v>563</v>
      </c>
      <c r="I312" s="250" t="s">
        <v>6</v>
      </c>
    </row>
    <row r="313" spans="1:9" x14ac:dyDescent="0.3">
      <c r="A313" s="260" t="s">
        <v>421</v>
      </c>
      <c r="B313" s="261" t="s">
        <v>443</v>
      </c>
      <c r="D313" s="263">
        <v>9.1999999999999993</v>
      </c>
      <c r="E313" s="264">
        <v>20</v>
      </c>
      <c r="F313" s="264">
        <v>184</v>
      </c>
      <c r="H313" s="250" t="s">
        <v>563</v>
      </c>
      <c r="I313" s="250" t="s">
        <v>6</v>
      </c>
    </row>
    <row r="314" spans="1:9" x14ac:dyDescent="0.3">
      <c r="A314" s="260" t="s">
        <v>470</v>
      </c>
      <c r="B314" s="261" t="s">
        <v>446</v>
      </c>
      <c r="D314" s="263">
        <v>0.3</v>
      </c>
      <c r="E314" s="264">
        <v>10</v>
      </c>
      <c r="F314" s="264">
        <v>3</v>
      </c>
      <c r="H314" s="250" t="s">
        <v>563</v>
      </c>
      <c r="I314" s="250" t="s">
        <v>6</v>
      </c>
    </row>
    <row r="315" spans="1:9" x14ac:dyDescent="0.3">
      <c r="A315" s="260" t="s">
        <v>463</v>
      </c>
      <c r="B315" s="261" t="s">
        <v>426</v>
      </c>
      <c r="D315" s="263">
        <v>0.18</v>
      </c>
      <c r="E315" s="264">
        <v>5</v>
      </c>
      <c r="F315" s="264">
        <v>0.9</v>
      </c>
      <c r="H315" s="250" t="s">
        <v>563</v>
      </c>
      <c r="I315" s="250" t="s">
        <v>6</v>
      </c>
    </row>
    <row r="316" spans="1:9" x14ac:dyDescent="0.3">
      <c r="A316" s="260" t="s">
        <v>484</v>
      </c>
      <c r="B316" s="261" t="s">
        <v>420</v>
      </c>
      <c r="D316" s="263">
        <v>0.01</v>
      </c>
      <c r="E316" s="264">
        <v>5.9</v>
      </c>
      <c r="F316" s="264">
        <v>0.06</v>
      </c>
      <c r="H316" s="250" t="s">
        <v>563</v>
      </c>
      <c r="I316" s="250" t="s">
        <v>6</v>
      </c>
    </row>
    <row r="317" spans="1:9" x14ac:dyDescent="0.3">
      <c r="A317" s="265"/>
      <c r="B317" s="266"/>
      <c r="C317" s="267"/>
      <c r="D317" s="268"/>
      <c r="E317" s="269" t="s">
        <v>427</v>
      </c>
      <c r="F317" s="269">
        <v>276.45999999999998</v>
      </c>
      <c r="H317" s="250" t="s">
        <v>563</v>
      </c>
    </row>
    <row r="318" spans="1:9" x14ac:dyDescent="0.3">
      <c r="H318" s="250" t="s">
        <v>563</v>
      </c>
    </row>
    <row r="319" spans="1:9" x14ac:dyDescent="0.3">
      <c r="A319" s="260" t="s">
        <v>489</v>
      </c>
      <c r="B319" s="261" t="s">
        <v>449</v>
      </c>
      <c r="C319" s="262">
        <v>1</v>
      </c>
      <c r="D319" s="263">
        <v>0.47060000000000002</v>
      </c>
      <c r="E319" s="264">
        <v>6.05</v>
      </c>
      <c r="F319" s="264">
        <v>2.85</v>
      </c>
      <c r="H319" s="250" t="s">
        <v>563</v>
      </c>
      <c r="I319" s="250" t="s">
        <v>127</v>
      </c>
    </row>
    <row r="320" spans="1:9" x14ac:dyDescent="0.3">
      <c r="A320" s="260" t="s">
        <v>475</v>
      </c>
      <c r="B320" s="261" t="s">
        <v>449</v>
      </c>
      <c r="C320" s="262">
        <v>1</v>
      </c>
      <c r="D320" s="263">
        <v>0.47060000000000002</v>
      </c>
      <c r="E320" s="264">
        <v>12.01</v>
      </c>
      <c r="F320" s="264">
        <v>5.65</v>
      </c>
      <c r="H320" s="250" t="s">
        <v>563</v>
      </c>
      <c r="I320" s="250" t="s">
        <v>127</v>
      </c>
    </row>
    <row r="321" spans="1:9" x14ac:dyDescent="0.3">
      <c r="A321" s="260" t="s">
        <v>428</v>
      </c>
      <c r="B321" s="261" t="s">
        <v>429</v>
      </c>
      <c r="D321" s="263">
        <v>3</v>
      </c>
      <c r="E321" s="264">
        <v>117.04</v>
      </c>
      <c r="F321" s="264">
        <v>3.51</v>
      </c>
      <c r="H321" s="250" t="s">
        <v>563</v>
      </c>
      <c r="I321" s="250" t="s">
        <v>127</v>
      </c>
    </row>
    <row r="322" spans="1:9" x14ac:dyDescent="0.3">
      <c r="A322" s="265"/>
      <c r="B322" s="266"/>
      <c r="C322" s="267"/>
      <c r="D322" s="268"/>
      <c r="E322" s="269" t="s">
        <v>430</v>
      </c>
      <c r="F322" s="269">
        <v>12.01</v>
      </c>
      <c r="H322" s="250" t="s">
        <v>563</v>
      </c>
    </row>
    <row r="323" spans="1:9" x14ac:dyDescent="0.3">
      <c r="H323" s="250" t="s">
        <v>563</v>
      </c>
    </row>
    <row r="324" spans="1:9" x14ac:dyDescent="0.3">
      <c r="H324" s="250" t="s">
        <v>563</v>
      </c>
    </row>
    <row r="325" spans="1:9" x14ac:dyDescent="0.3">
      <c r="A325" s="253" t="s">
        <v>497</v>
      </c>
      <c r="B325" s="254"/>
      <c r="C325" s="255"/>
      <c r="D325" s="256"/>
      <c r="E325" s="257"/>
      <c r="F325" s="257"/>
    </row>
    <row r="326" spans="1:9" x14ac:dyDescent="0.3">
      <c r="A326" s="253" t="s">
        <v>498</v>
      </c>
      <c r="B326" s="254"/>
      <c r="C326" s="255" t="s">
        <v>434</v>
      </c>
      <c r="D326" s="256"/>
      <c r="E326" s="257" t="s">
        <v>408</v>
      </c>
      <c r="F326" s="257">
        <v>42.18</v>
      </c>
      <c r="H326" s="250" t="s">
        <v>565</v>
      </c>
    </row>
    <row r="327" spans="1:9" x14ac:dyDescent="0.3">
      <c r="A327" s="254" t="s">
        <v>409</v>
      </c>
      <c r="B327" s="254" t="s">
        <v>248</v>
      </c>
      <c r="C327" s="258" t="s">
        <v>410</v>
      </c>
      <c r="D327" s="258" t="s">
        <v>411</v>
      </c>
      <c r="E327" s="259" t="s">
        <v>412</v>
      </c>
      <c r="F327" s="259" t="s">
        <v>413</v>
      </c>
      <c r="H327" s="250" t="s">
        <v>565</v>
      </c>
    </row>
    <row r="328" spans="1:9" x14ac:dyDescent="0.3">
      <c r="A328" s="260" t="s">
        <v>439</v>
      </c>
      <c r="B328" s="261" t="s">
        <v>215</v>
      </c>
      <c r="C328" s="262">
        <v>0.1</v>
      </c>
      <c r="D328" s="263">
        <v>0.08</v>
      </c>
      <c r="E328" s="264">
        <v>24.5</v>
      </c>
      <c r="F328" s="264">
        <v>1.96</v>
      </c>
      <c r="H328" s="250" t="s">
        <v>565</v>
      </c>
      <c r="I328" s="250" t="s">
        <v>634</v>
      </c>
    </row>
    <row r="329" spans="1:9" x14ac:dyDescent="0.3">
      <c r="A329" s="260" t="s">
        <v>435</v>
      </c>
      <c r="B329" s="261" t="s">
        <v>215</v>
      </c>
      <c r="C329" s="262">
        <v>1</v>
      </c>
      <c r="D329" s="263">
        <v>0.8</v>
      </c>
      <c r="E329" s="264">
        <v>19.23</v>
      </c>
      <c r="F329" s="264">
        <v>15.38</v>
      </c>
      <c r="H329" s="250" t="s">
        <v>565</v>
      </c>
      <c r="I329" s="250" t="s">
        <v>634</v>
      </c>
    </row>
    <row r="330" spans="1:9" x14ac:dyDescent="0.3">
      <c r="A330" s="260" t="s">
        <v>440</v>
      </c>
      <c r="B330" s="261" t="s">
        <v>215</v>
      </c>
      <c r="C330" s="262">
        <v>1</v>
      </c>
      <c r="D330" s="263">
        <v>0.8</v>
      </c>
      <c r="E330" s="264">
        <v>15.94</v>
      </c>
      <c r="F330" s="264">
        <v>12.75</v>
      </c>
      <c r="H330" s="250" t="s">
        <v>565</v>
      </c>
      <c r="I330" s="250" t="s">
        <v>634</v>
      </c>
    </row>
    <row r="331" spans="1:9" x14ac:dyDescent="0.3">
      <c r="A331" s="265"/>
      <c r="B331" s="266"/>
      <c r="C331" s="267"/>
      <c r="D331" s="268"/>
      <c r="E331" s="269" t="s">
        <v>418</v>
      </c>
      <c r="F331" s="269">
        <v>30.09</v>
      </c>
      <c r="H331" s="250" t="s">
        <v>565</v>
      </c>
    </row>
    <row r="332" spans="1:9" x14ac:dyDescent="0.3">
      <c r="H332" s="250" t="s">
        <v>565</v>
      </c>
    </row>
    <row r="333" spans="1:9" x14ac:dyDescent="0.3">
      <c r="A333" s="260" t="s">
        <v>478</v>
      </c>
      <c r="B333" s="261" t="s">
        <v>420</v>
      </c>
      <c r="D333" s="263">
        <v>0.15</v>
      </c>
      <c r="E333" s="264">
        <v>4.5</v>
      </c>
      <c r="F333" s="264">
        <v>0.68</v>
      </c>
      <c r="H333" s="250" t="s">
        <v>565</v>
      </c>
      <c r="I333" s="250" t="s">
        <v>6</v>
      </c>
    </row>
    <row r="334" spans="1:9" x14ac:dyDescent="0.3">
      <c r="A334" s="260" t="s">
        <v>441</v>
      </c>
      <c r="B334" s="261" t="s">
        <v>420</v>
      </c>
      <c r="D334" s="263">
        <v>0.3</v>
      </c>
      <c r="E334" s="264">
        <v>4.5</v>
      </c>
      <c r="F334" s="264">
        <v>1.35</v>
      </c>
      <c r="H334" s="250" t="s">
        <v>565</v>
      </c>
      <c r="I334" s="250" t="s">
        <v>6</v>
      </c>
    </row>
    <row r="335" spans="1:9" x14ac:dyDescent="0.3">
      <c r="A335" s="260" t="s">
        <v>423</v>
      </c>
      <c r="B335" s="261" t="s">
        <v>424</v>
      </c>
      <c r="D335" s="263">
        <v>2.1800000000000002</v>
      </c>
      <c r="E335" s="264">
        <v>4.2</v>
      </c>
      <c r="F335" s="264">
        <v>9.16</v>
      </c>
      <c r="H335" s="250" t="s">
        <v>565</v>
      </c>
      <c r="I335" s="250" t="s">
        <v>6</v>
      </c>
    </row>
    <row r="336" spans="1:9" x14ac:dyDescent="0.3">
      <c r="A336" s="265"/>
      <c r="B336" s="266"/>
      <c r="C336" s="267"/>
      <c r="D336" s="268"/>
      <c r="E336" s="269" t="s">
        <v>427</v>
      </c>
      <c r="F336" s="269">
        <v>11.19</v>
      </c>
      <c r="H336" s="250" t="s">
        <v>565</v>
      </c>
    </row>
    <row r="337" spans="1:9" x14ac:dyDescent="0.3">
      <c r="H337" s="250" t="s">
        <v>565</v>
      </c>
    </row>
    <row r="338" spans="1:9" x14ac:dyDescent="0.3">
      <c r="A338" s="260" t="s">
        <v>428</v>
      </c>
      <c r="B338" s="261" t="s">
        <v>429</v>
      </c>
      <c r="D338" s="263">
        <v>3</v>
      </c>
      <c r="E338" s="264">
        <v>30.09</v>
      </c>
      <c r="F338" s="264">
        <v>0.9</v>
      </c>
      <c r="H338" s="250" t="s">
        <v>565</v>
      </c>
      <c r="I338" s="250" t="s">
        <v>127</v>
      </c>
    </row>
    <row r="339" spans="1:9" x14ac:dyDescent="0.3">
      <c r="A339" s="265"/>
      <c r="B339" s="266"/>
      <c r="C339" s="267"/>
      <c r="D339" s="268"/>
      <c r="E339" s="269" t="s">
        <v>430</v>
      </c>
      <c r="F339" s="269">
        <v>0.9</v>
      </c>
      <c r="H339" s="250" t="s">
        <v>565</v>
      </c>
    </row>
    <row r="340" spans="1:9" x14ac:dyDescent="0.3">
      <c r="H340" s="250" t="s">
        <v>565</v>
      </c>
    </row>
    <row r="341" spans="1:9" x14ac:dyDescent="0.3">
      <c r="H341" s="250" t="s">
        <v>565</v>
      </c>
    </row>
    <row r="342" spans="1:9" x14ac:dyDescent="0.3">
      <c r="A342" s="253" t="s">
        <v>499</v>
      </c>
      <c r="B342" s="254"/>
      <c r="C342" s="255"/>
      <c r="D342" s="256"/>
      <c r="E342" s="257"/>
      <c r="F342" s="257"/>
    </row>
    <row r="343" spans="1:9" x14ac:dyDescent="0.3">
      <c r="A343" s="253" t="s">
        <v>492</v>
      </c>
      <c r="B343" s="254"/>
      <c r="C343" s="255" t="s">
        <v>493</v>
      </c>
      <c r="D343" s="256"/>
      <c r="E343" s="257" t="s">
        <v>408</v>
      </c>
      <c r="F343" s="257">
        <v>6.07</v>
      </c>
      <c r="H343" s="250" t="s">
        <v>567</v>
      </c>
    </row>
    <row r="344" spans="1:9" x14ac:dyDescent="0.3">
      <c r="A344" s="254" t="s">
        <v>409</v>
      </c>
      <c r="B344" s="254" t="s">
        <v>248</v>
      </c>
      <c r="C344" s="258" t="s">
        <v>410</v>
      </c>
      <c r="D344" s="258" t="s">
        <v>411</v>
      </c>
      <c r="E344" s="259" t="s">
        <v>412</v>
      </c>
      <c r="F344" s="259" t="s">
        <v>413</v>
      </c>
      <c r="H344" s="250" t="s">
        <v>567</v>
      </c>
    </row>
    <row r="345" spans="1:9" x14ac:dyDescent="0.3">
      <c r="A345" s="260" t="s">
        <v>439</v>
      </c>
      <c r="B345" s="261" t="s">
        <v>215</v>
      </c>
      <c r="C345" s="262">
        <v>0.1</v>
      </c>
      <c r="D345" s="263">
        <v>3.2000000000000002E-3</v>
      </c>
      <c r="E345" s="264">
        <v>24.5</v>
      </c>
      <c r="F345" s="264">
        <v>0.08</v>
      </c>
      <c r="H345" s="250" t="s">
        <v>567</v>
      </c>
      <c r="I345" s="250" t="s">
        <v>634</v>
      </c>
    </row>
    <row r="346" spans="1:9" x14ac:dyDescent="0.3">
      <c r="A346" s="260" t="s">
        <v>435</v>
      </c>
      <c r="B346" s="261" t="s">
        <v>215</v>
      </c>
      <c r="C346" s="262">
        <v>1</v>
      </c>
      <c r="D346" s="263">
        <v>3.2000000000000001E-2</v>
      </c>
      <c r="E346" s="264">
        <v>19.23</v>
      </c>
      <c r="F346" s="264">
        <v>0.62</v>
      </c>
      <c r="H346" s="250" t="s">
        <v>567</v>
      </c>
      <c r="I346" s="250" t="s">
        <v>634</v>
      </c>
    </row>
    <row r="347" spans="1:9" x14ac:dyDescent="0.3">
      <c r="A347" s="260" t="s">
        <v>440</v>
      </c>
      <c r="B347" s="261" t="s">
        <v>215</v>
      </c>
      <c r="C347" s="262">
        <v>1</v>
      </c>
      <c r="D347" s="263">
        <v>3.2000000000000001E-2</v>
      </c>
      <c r="E347" s="264">
        <v>15.94</v>
      </c>
      <c r="F347" s="264">
        <v>0.51</v>
      </c>
      <c r="H347" s="250" t="s">
        <v>567</v>
      </c>
      <c r="I347" s="250" t="s">
        <v>634</v>
      </c>
    </row>
    <row r="348" spans="1:9" x14ac:dyDescent="0.3">
      <c r="A348" s="260" t="s">
        <v>417</v>
      </c>
      <c r="B348" s="261" t="s">
        <v>215</v>
      </c>
      <c r="C348" s="262">
        <v>1</v>
      </c>
      <c r="D348" s="263">
        <v>3.2000000000000001E-2</v>
      </c>
      <c r="E348" s="264">
        <v>16.5</v>
      </c>
      <c r="F348" s="264">
        <v>0.53</v>
      </c>
      <c r="H348" s="250" t="s">
        <v>567</v>
      </c>
      <c r="I348" s="250" t="s">
        <v>634</v>
      </c>
    </row>
    <row r="349" spans="1:9" x14ac:dyDescent="0.3">
      <c r="A349" s="265"/>
      <c r="B349" s="266"/>
      <c r="C349" s="267"/>
      <c r="D349" s="268"/>
      <c r="E349" s="269" t="s">
        <v>418</v>
      </c>
      <c r="F349" s="269">
        <v>1.74</v>
      </c>
      <c r="H349" s="250" t="s">
        <v>567</v>
      </c>
    </row>
    <row r="350" spans="1:9" x14ac:dyDescent="0.3">
      <c r="H350" s="250" t="s">
        <v>567</v>
      </c>
    </row>
    <row r="351" spans="1:9" x14ac:dyDescent="0.3">
      <c r="A351" s="260" t="s">
        <v>494</v>
      </c>
      <c r="B351" s="261" t="s">
        <v>420</v>
      </c>
      <c r="D351" s="263">
        <v>0.05</v>
      </c>
      <c r="E351" s="264">
        <v>4</v>
      </c>
      <c r="F351" s="264">
        <v>0.2</v>
      </c>
      <c r="H351" s="250" t="s">
        <v>567</v>
      </c>
      <c r="I351" s="250" t="s">
        <v>6</v>
      </c>
    </row>
    <row r="352" spans="1:9" x14ac:dyDescent="0.3">
      <c r="A352" s="260" t="s">
        <v>495</v>
      </c>
      <c r="B352" s="261" t="s">
        <v>420</v>
      </c>
      <c r="D352" s="263">
        <v>1.05</v>
      </c>
      <c r="E352" s="264">
        <v>3.85</v>
      </c>
      <c r="F352" s="264">
        <v>4.04</v>
      </c>
      <c r="H352" s="250" t="s">
        <v>567</v>
      </c>
      <c r="I352" s="250" t="s">
        <v>6</v>
      </c>
    </row>
    <row r="353" spans="1:9" x14ac:dyDescent="0.3">
      <c r="A353" s="265"/>
      <c r="B353" s="266"/>
      <c r="C353" s="267"/>
      <c r="D353" s="268"/>
      <c r="E353" s="269" t="s">
        <v>427</v>
      </c>
      <c r="F353" s="269">
        <v>4.24</v>
      </c>
      <c r="H353" s="250" t="s">
        <v>567</v>
      </c>
    </row>
    <row r="354" spans="1:9" x14ac:dyDescent="0.3">
      <c r="H354" s="250" t="s">
        <v>567</v>
      </c>
    </row>
    <row r="355" spans="1:9" x14ac:dyDescent="0.3">
      <c r="A355" s="260" t="s">
        <v>428</v>
      </c>
      <c r="B355" s="261" t="s">
        <v>429</v>
      </c>
      <c r="D355" s="263">
        <v>5</v>
      </c>
      <c r="E355" s="264">
        <v>1.74</v>
      </c>
      <c r="F355" s="264">
        <v>0.09</v>
      </c>
      <c r="H355" s="250" t="s">
        <v>567</v>
      </c>
      <c r="I355" s="250" t="s">
        <v>127</v>
      </c>
    </row>
    <row r="356" spans="1:9" x14ac:dyDescent="0.3">
      <c r="A356" s="265"/>
      <c r="B356" s="266"/>
      <c r="C356" s="267"/>
      <c r="D356" s="268"/>
      <c r="E356" s="269" t="s">
        <v>430</v>
      </c>
      <c r="F356" s="269">
        <v>0.09</v>
      </c>
      <c r="H356" s="250" t="s">
        <v>567</v>
      </c>
    </row>
    <row r="357" spans="1:9" x14ac:dyDescent="0.3">
      <c r="H357" s="250" t="s">
        <v>567</v>
      </c>
    </row>
    <row r="358" spans="1:9" x14ac:dyDescent="0.3">
      <c r="H358" s="250" t="s">
        <v>567</v>
      </c>
    </row>
    <row r="359" spans="1:9" x14ac:dyDescent="0.3">
      <c r="A359" s="253" t="s">
        <v>500</v>
      </c>
      <c r="B359" s="254"/>
      <c r="C359" s="255"/>
      <c r="D359" s="256"/>
      <c r="E359" s="257"/>
      <c r="F359" s="257"/>
    </row>
    <row r="360" spans="1:9" x14ac:dyDescent="0.3">
      <c r="A360" s="253" t="s">
        <v>501</v>
      </c>
      <c r="B360" s="254"/>
      <c r="C360" s="255" t="s">
        <v>454</v>
      </c>
      <c r="D360" s="256"/>
      <c r="E360" s="257" t="s">
        <v>408</v>
      </c>
      <c r="F360" s="257">
        <v>520.21</v>
      </c>
      <c r="H360" s="250" t="s">
        <v>569</v>
      </c>
    </row>
    <row r="361" spans="1:9" x14ac:dyDescent="0.3">
      <c r="A361" s="254" t="s">
        <v>409</v>
      </c>
      <c r="B361" s="254" t="s">
        <v>248</v>
      </c>
      <c r="C361" s="258" t="s">
        <v>410</v>
      </c>
      <c r="D361" s="258" t="s">
        <v>411</v>
      </c>
      <c r="E361" s="259" t="s">
        <v>412</v>
      </c>
      <c r="F361" s="259" t="s">
        <v>413</v>
      </c>
      <c r="H361" s="250" t="s">
        <v>569</v>
      </c>
    </row>
    <row r="362" spans="1:9" x14ac:dyDescent="0.3">
      <c r="A362" s="260" t="s">
        <v>439</v>
      </c>
      <c r="B362" s="261" t="s">
        <v>215</v>
      </c>
      <c r="C362" s="262">
        <v>0.2</v>
      </c>
      <c r="D362" s="263">
        <v>0.17780000000000001</v>
      </c>
      <c r="E362" s="264">
        <v>24.5</v>
      </c>
      <c r="F362" s="264">
        <v>4.3600000000000003</v>
      </c>
      <c r="H362" s="250" t="s">
        <v>569</v>
      </c>
      <c r="I362" s="250" t="s">
        <v>634</v>
      </c>
    </row>
    <row r="363" spans="1:9" x14ac:dyDescent="0.3">
      <c r="A363" s="260" t="s">
        <v>435</v>
      </c>
      <c r="B363" s="261" t="s">
        <v>215</v>
      </c>
      <c r="C363" s="262">
        <v>2</v>
      </c>
      <c r="D363" s="263">
        <v>1.7778</v>
      </c>
      <c r="E363" s="264">
        <v>19.23</v>
      </c>
      <c r="F363" s="264">
        <v>34.19</v>
      </c>
      <c r="H363" s="250" t="s">
        <v>569</v>
      </c>
      <c r="I363" s="250" t="s">
        <v>634</v>
      </c>
    </row>
    <row r="364" spans="1:9" x14ac:dyDescent="0.3">
      <c r="A364" s="260" t="s">
        <v>440</v>
      </c>
      <c r="B364" s="261" t="s">
        <v>215</v>
      </c>
      <c r="C364" s="262">
        <v>2</v>
      </c>
      <c r="D364" s="263">
        <v>1.7778</v>
      </c>
      <c r="E364" s="264">
        <v>15.94</v>
      </c>
      <c r="F364" s="264">
        <v>28.34</v>
      </c>
      <c r="H364" s="250" t="s">
        <v>569</v>
      </c>
      <c r="I364" s="250" t="s">
        <v>634</v>
      </c>
    </row>
    <row r="365" spans="1:9" x14ac:dyDescent="0.3">
      <c r="A365" s="260" t="s">
        <v>417</v>
      </c>
      <c r="B365" s="261" t="s">
        <v>215</v>
      </c>
      <c r="C365" s="262">
        <v>8</v>
      </c>
      <c r="D365" s="263">
        <v>7.1111000000000004</v>
      </c>
      <c r="E365" s="264">
        <v>16.5</v>
      </c>
      <c r="F365" s="264">
        <v>117.33</v>
      </c>
      <c r="H365" s="250" t="s">
        <v>569</v>
      </c>
      <c r="I365" s="250" t="s">
        <v>634</v>
      </c>
    </row>
    <row r="366" spans="1:9" x14ac:dyDescent="0.3">
      <c r="A366" s="260" t="s">
        <v>469</v>
      </c>
      <c r="B366" s="261" t="s">
        <v>215</v>
      </c>
      <c r="C366" s="262">
        <v>2</v>
      </c>
      <c r="D366" s="263">
        <v>1.7778</v>
      </c>
      <c r="E366" s="264">
        <v>20.73</v>
      </c>
      <c r="F366" s="264">
        <v>36.85</v>
      </c>
      <c r="H366" s="250" t="s">
        <v>569</v>
      </c>
      <c r="I366" s="250" t="s">
        <v>634</v>
      </c>
    </row>
    <row r="367" spans="1:9" x14ac:dyDescent="0.3">
      <c r="A367" s="265"/>
      <c r="B367" s="266"/>
      <c r="C367" s="267"/>
      <c r="D367" s="268"/>
      <c r="E367" s="269" t="s">
        <v>418</v>
      </c>
      <c r="F367" s="269">
        <v>221.07</v>
      </c>
      <c r="H367" s="250" t="s">
        <v>569</v>
      </c>
    </row>
    <row r="368" spans="1:9" x14ac:dyDescent="0.3">
      <c r="H368" s="250" t="s">
        <v>569</v>
      </c>
    </row>
    <row r="369" spans="1:9" x14ac:dyDescent="0.3">
      <c r="A369" s="260" t="s">
        <v>487</v>
      </c>
      <c r="B369" s="261" t="s">
        <v>426</v>
      </c>
      <c r="D369" s="263">
        <v>0.5</v>
      </c>
      <c r="E369" s="264">
        <v>65</v>
      </c>
      <c r="F369" s="264">
        <v>32.5</v>
      </c>
      <c r="H369" s="250" t="s">
        <v>569</v>
      </c>
      <c r="I369" s="250" t="s">
        <v>6</v>
      </c>
    </row>
    <row r="370" spans="1:9" x14ac:dyDescent="0.3">
      <c r="A370" s="260" t="s">
        <v>488</v>
      </c>
      <c r="B370" s="261" t="s">
        <v>426</v>
      </c>
      <c r="D370" s="263">
        <v>0.8</v>
      </c>
      <c r="E370" s="264">
        <v>70</v>
      </c>
      <c r="F370" s="264">
        <v>56</v>
      </c>
      <c r="H370" s="250" t="s">
        <v>569</v>
      </c>
      <c r="I370" s="250" t="s">
        <v>6</v>
      </c>
    </row>
    <row r="371" spans="1:9" x14ac:dyDescent="0.3">
      <c r="A371" s="260" t="s">
        <v>421</v>
      </c>
      <c r="B371" s="261" t="s">
        <v>443</v>
      </c>
      <c r="D371" s="263">
        <v>9.1999999999999993</v>
      </c>
      <c r="E371" s="264">
        <v>20</v>
      </c>
      <c r="F371" s="264">
        <v>184</v>
      </c>
      <c r="H371" s="250" t="s">
        <v>569</v>
      </c>
      <c r="I371" s="250" t="s">
        <v>6</v>
      </c>
    </row>
    <row r="372" spans="1:9" x14ac:dyDescent="0.3">
      <c r="A372" s="260" t="s">
        <v>470</v>
      </c>
      <c r="B372" s="261" t="s">
        <v>446</v>
      </c>
      <c r="D372" s="263">
        <v>0.3</v>
      </c>
      <c r="E372" s="264">
        <v>10</v>
      </c>
      <c r="F372" s="264">
        <v>3</v>
      </c>
      <c r="H372" s="250" t="s">
        <v>569</v>
      </c>
      <c r="I372" s="250" t="s">
        <v>6</v>
      </c>
    </row>
    <row r="373" spans="1:9" x14ac:dyDescent="0.3">
      <c r="A373" s="260" t="s">
        <v>463</v>
      </c>
      <c r="B373" s="261" t="s">
        <v>426</v>
      </c>
      <c r="D373" s="263">
        <v>0.18</v>
      </c>
      <c r="E373" s="264">
        <v>5</v>
      </c>
      <c r="F373" s="264">
        <v>0.9</v>
      </c>
      <c r="H373" s="250" t="s">
        <v>569</v>
      </c>
      <c r="I373" s="250" t="s">
        <v>6</v>
      </c>
    </row>
    <row r="374" spans="1:9" x14ac:dyDescent="0.3">
      <c r="A374" s="260" t="s">
        <v>484</v>
      </c>
      <c r="B374" s="261" t="s">
        <v>420</v>
      </c>
      <c r="D374" s="263">
        <v>8.0000000000000002E-3</v>
      </c>
      <c r="E374" s="264">
        <v>5.9</v>
      </c>
      <c r="F374" s="264">
        <v>0.05</v>
      </c>
      <c r="H374" s="250" t="s">
        <v>569</v>
      </c>
      <c r="I374" s="250" t="s">
        <v>6</v>
      </c>
    </row>
    <row r="375" spans="1:9" x14ac:dyDescent="0.3">
      <c r="A375" s="265"/>
      <c r="B375" s="266"/>
      <c r="C375" s="267"/>
      <c r="D375" s="268"/>
      <c r="E375" s="269" t="s">
        <v>427</v>
      </c>
      <c r="F375" s="269">
        <v>276.45</v>
      </c>
      <c r="H375" s="250" t="s">
        <v>569</v>
      </c>
    </row>
    <row r="376" spans="1:9" x14ac:dyDescent="0.3">
      <c r="H376" s="250" t="s">
        <v>569</v>
      </c>
    </row>
    <row r="377" spans="1:9" x14ac:dyDescent="0.3">
      <c r="A377" s="260" t="s">
        <v>489</v>
      </c>
      <c r="B377" s="261" t="s">
        <v>449</v>
      </c>
      <c r="C377" s="262">
        <v>1</v>
      </c>
      <c r="D377" s="263">
        <v>0.88890000000000002</v>
      </c>
      <c r="E377" s="264">
        <v>6.05</v>
      </c>
      <c r="F377" s="264">
        <v>5.38</v>
      </c>
      <c r="H377" s="250" t="s">
        <v>569</v>
      </c>
      <c r="I377" s="250" t="s">
        <v>127</v>
      </c>
    </row>
    <row r="378" spans="1:9" x14ac:dyDescent="0.3">
      <c r="A378" s="260" t="s">
        <v>475</v>
      </c>
      <c r="B378" s="261" t="s">
        <v>449</v>
      </c>
      <c r="C378" s="262">
        <v>1</v>
      </c>
      <c r="D378" s="263">
        <v>0.88890000000000002</v>
      </c>
      <c r="E378" s="264">
        <v>12.01</v>
      </c>
      <c r="F378" s="264">
        <v>10.68</v>
      </c>
      <c r="H378" s="250" t="s">
        <v>569</v>
      </c>
      <c r="I378" s="250" t="s">
        <v>127</v>
      </c>
    </row>
    <row r="379" spans="1:9" x14ac:dyDescent="0.3">
      <c r="A379" s="260" t="s">
        <v>428</v>
      </c>
      <c r="B379" s="261" t="s">
        <v>429</v>
      </c>
      <c r="D379" s="263">
        <v>3</v>
      </c>
      <c r="E379" s="264">
        <v>221.07</v>
      </c>
      <c r="F379" s="264">
        <v>6.63</v>
      </c>
      <c r="H379" s="250" t="s">
        <v>569</v>
      </c>
      <c r="I379" s="250" t="s">
        <v>127</v>
      </c>
    </row>
    <row r="380" spans="1:9" x14ac:dyDescent="0.3">
      <c r="A380" s="265"/>
      <c r="B380" s="266"/>
      <c r="C380" s="267"/>
      <c r="D380" s="268"/>
      <c r="E380" s="269" t="s">
        <v>430</v>
      </c>
      <c r="F380" s="269">
        <v>22.69</v>
      </c>
      <c r="H380" s="250" t="s">
        <v>569</v>
      </c>
    </row>
    <row r="381" spans="1:9" x14ac:dyDescent="0.3">
      <c r="H381" s="250" t="s">
        <v>569</v>
      </c>
    </row>
    <row r="382" spans="1:9" x14ac:dyDescent="0.3">
      <c r="H382" s="250" t="s">
        <v>569</v>
      </c>
    </row>
    <row r="383" spans="1:9" x14ac:dyDescent="0.3">
      <c r="A383" s="253" t="s">
        <v>502</v>
      </c>
      <c r="B383" s="254"/>
      <c r="C383" s="255"/>
      <c r="D383" s="256"/>
      <c r="E383" s="257"/>
      <c r="F383" s="257"/>
    </row>
    <row r="384" spans="1:9" x14ac:dyDescent="0.3">
      <c r="A384" s="253" t="s">
        <v>458</v>
      </c>
      <c r="B384" s="254"/>
      <c r="C384" s="255" t="s">
        <v>434</v>
      </c>
      <c r="D384" s="256"/>
      <c r="E384" s="257" t="s">
        <v>408</v>
      </c>
      <c r="F384" s="257">
        <v>70.510000000000005</v>
      </c>
      <c r="H384" s="250" t="s">
        <v>571</v>
      </c>
    </row>
    <row r="385" spans="1:9" x14ac:dyDescent="0.3">
      <c r="A385" s="254" t="s">
        <v>409</v>
      </c>
      <c r="B385" s="254" t="s">
        <v>248</v>
      </c>
      <c r="C385" s="258" t="s">
        <v>410</v>
      </c>
      <c r="D385" s="258" t="s">
        <v>411</v>
      </c>
      <c r="E385" s="259" t="s">
        <v>412</v>
      </c>
      <c r="F385" s="259" t="s">
        <v>413</v>
      </c>
      <c r="H385" s="250" t="s">
        <v>571</v>
      </c>
    </row>
    <row r="386" spans="1:9" x14ac:dyDescent="0.3">
      <c r="A386" s="260" t="s">
        <v>439</v>
      </c>
      <c r="B386" s="261" t="s">
        <v>215</v>
      </c>
      <c r="C386" s="262">
        <v>0.1</v>
      </c>
      <c r="D386" s="263">
        <v>5.7099999999999998E-2</v>
      </c>
      <c r="E386" s="264">
        <v>24.5</v>
      </c>
      <c r="F386" s="264">
        <v>1.4</v>
      </c>
      <c r="H386" s="250" t="s">
        <v>571</v>
      </c>
      <c r="I386" s="250" t="s">
        <v>634</v>
      </c>
    </row>
    <row r="387" spans="1:9" x14ac:dyDescent="0.3">
      <c r="A387" s="260" t="s">
        <v>435</v>
      </c>
      <c r="B387" s="261" t="s">
        <v>215</v>
      </c>
      <c r="C387" s="262">
        <v>1</v>
      </c>
      <c r="D387" s="263">
        <v>0.57140000000000002</v>
      </c>
      <c r="E387" s="264">
        <v>19.23</v>
      </c>
      <c r="F387" s="264">
        <v>10.99</v>
      </c>
      <c r="H387" s="250" t="s">
        <v>571</v>
      </c>
      <c r="I387" s="250" t="s">
        <v>634</v>
      </c>
    </row>
    <row r="388" spans="1:9" x14ac:dyDescent="0.3">
      <c r="A388" s="260" t="s">
        <v>440</v>
      </c>
      <c r="B388" s="261" t="s">
        <v>215</v>
      </c>
      <c r="C388" s="262">
        <v>1</v>
      </c>
      <c r="D388" s="263">
        <v>0.57140000000000002</v>
      </c>
      <c r="E388" s="264">
        <v>15.94</v>
      </c>
      <c r="F388" s="264">
        <v>9.11</v>
      </c>
      <c r="H388" s="250" t="s">
        <v>571</v>
      </c>
      <c r="I388" s="250" t="s">
        <v>634</v>
      </c>
    </row>
    <row r="389" spans="1:9" x14ac:dyDescent="0.3">
      <c r="A389" s="260" t="s">
        <v>417</v>
      </c>
      <c r="B389" s="261" t="s">
        <v>215</v>
      </c>
      <c r="C389" s="262">
        <v>2</v>
      </c>
      <c r="D389" s="263">
        <v>1.1429</v>
      </c>
      <c r="E389" s="264">
        <v>16.5</v>
      </c>
      <c r="F389" s="264">
        <v>18.86</v>
      </c>
      <c r="H389" s="250" t="s">
        <v>571</v>
      </c>
      <c r="I389" s="250" t="s">
        <v>634</v>
      </c>
    </row>
    <row r="390" spans="1:9" x14ac:dyDescent="0.3">
      <c r="A390" s="265"/>
      <c r="B390" s="266"/>
      <c r="C390" s="267"/>
      <c r="D390" s="268"/>
      <c r="E390" s="269" t="s">
        <v>418</v>
      </c>
      <c r="F390" s="269">
        <v>40.36</v>
      </c>
      <c r="H390" s="250" t="s">
        <v>571</v>
      </c>
    </row>
    <row r="391" spans="1:9" x14ac:dyDescent="0.3">
      <c r="H391" s="250" t="s">
        <v>571</v>
      </c>
    </row>
    <row r="392" spans="1:9" x14ac:dyDescent="0.3">
      <c r="A392" s="260" t="s">
        <v>503</v>
      </c>
      <c r="B392" s="261" t="s">
        <v>420</v>
      </c>
      <c r="D392" s="263">
        <v>0.1</v>
      </c>
      <c r="E392" s="264">
        <v>3.85</v>
      </c>
      <c r="F392" s="264">
        <v>0.39</v>
      </c>
      <c r="H392" s="250" t="s">
        <v>571</v>
      </c>
      <c r="I392" s="250" t="s">
        <v>6</v>
      </c>
    </row>
    <row r="393" spans="1:9" x14ac:dyDescent="0.3">
      <c r="A393" s="260" t="s">
        <v>504</v>
      </c>
      <c r="B393" s="261" t="s">
        <v>420</v>
      </c>
      <c r="D393" s="263">
        <v>0.2</v>
      </c>
      <c r="E393" s="264">
        <v>3.5</v>
      </c>
      <c r="F393" s="264">
        <v>0.7</v>
      </c>
      <c r="H393" s="250" t="s">
        <v>571</v>
      </c>
      <c r="I393" s="250" t="s">
        <v>6</v>
      </c>
    </row>
    <row r="394" spans="1:9" x14ac:dyDescent="0.3">
      <c r="A394" s="260" t="s">
        <v>423</v>
      </c>
      <c r="B394" s="261" t="s">
        <v>424</v>
      </c>
      <c r="D394" s="263">
        <v>4.42</v>
      </c>
      <c r="E394" s="264">
        <v>4.2</v>
      </c>
      <c r="F394" s="264">
        <v>18.559999999999999</v>
      </c>
      <c r="H394" s="250" t="s">
        <v>571</v>
      </c>
      <c r="I394" s="250" t="s">
        <v>6</v>
      </c>
    </row>
    <row r="395" spans="1:9" x14ac:dyDescent="0.3">
      <c r="A395" s="260" t="s">
        <v>505</v>
      </c>
      <c r="B395" s="261" t="s">
        <v>506</v>
      </c>
      <c r="D395" s="263">
        <v>0.05</v>
      </c>
      <c r="E395" s="264">
        <v>87.09</v>
      </c>
      <c r="F395" s="264">
        <v>4.3499999999999996</v>
      </c>
      <c r="H395" s="250" t="s">
        <v>571</v>
      </c>
      <c r="I395" s="250" t="s">
        <v>6</v>
      </c>
    </row>
    <row r="396" spans="1:9" x14ac:dyDescent="0.3">
      <c r="A396" s="260" t="s">
        <v>507</v>
      </c>
      <c r="B396" s="261" t="s">
        <v>446</v>
      </c>
      <c r="D396" s="263">
        <v>0.06</v>
      </c>
      <c r="E396" s="264">
        <v>68.87</v>
      </c>
      <c r="F396" s="264">
        <v>4.13</v>
      </c>
      <c r="H396" s="250" t="s">
        <v>571</v>
      </c>
      <c r="I396" s="250" t="s">
        <v>6</v>
      </c>
    </row>
    <row r="397" spans="1:9" x14ac:dyDescent="0.3">
      <c r="A397" s="265"/>
      <c r="B397" s="266"/>
      <c r="C397" s="267"/>
      <c r="D397" s="268"/>
      <c r="E397" s="269" t="s">
        <v>427</v>
      </c>
      <c r="F397" s="269">
        <v>28.13</v>
      </c>
      <c r="H397" s="250" t="s">
        <v>571</v>
      </c>
    </row>
    <row r="398" spans="1:9" x14ac:dyDescent="0.3">
      <c r="H398" s="250" t="s">
        <v>571</v>
      </c>
    </row>
    <row r="399" spans="1:9" x14ac:dyDescent="0.3">
      <c r="A399" s="260" t="s">
        <v>428</v>
      </c>
      <c r="B399" s="261" t="s">
        <v>429</v>
      </c>
      <c r="D399" s="263">
        <v>5</v>
      </c>
      <c r="E399" s="264">
        <v>40.36</v>
      </c>
      <c r="F399" s="264">
        <v>2.02</v>
      </c>
      <c r="H399" s="250" t="s">
        <v>571</v>
      </c>
      <c r="I399" s="250" t="s">
        <v>127</v>
      </c>
    </row>
    <row r="400" spans="1:9" x14ac:dyDescent="0.3">
      <c r="A400" s="265"/>
      <c r="B400" s="266"/>
      <c r="C400" s="267"/>
      <c r="D400" s="268"/>
      <c r="E400" s="269" t="s">
        <v>430</v>
      </c>
      <c r="F400" s="269">
        <v>2.02</v>
      </c>
      <c r="H400" s="250" t="s">
        <v>571</v>
      </c>
    </row>
    <row r="401" spans="1:9" x14ac:dyDescent="0.3">
      <c r="H401" s="250" t="s">
        <v>571</v>
      </c>
    </row>
    <row r="402" spans="1:9" x14ac:dyDescent="0.3">
      <c r="H402" s="250" t="s">
        <v>571</v>
      </c>
    </row>
    <row r="403" spans="1:9" x14ac:dyDescent="0.3">
      <c r="A403" s="253" t="s">
        <v>508</v>
      </c>
      <c r="B403" s="254"/>
      <c r="C403" s="255"/>
      <c r="D403" s="256"/>
      <c r="E403" s="257"/>
      <c r="F403" s="257"/>
    </row>
    <row r="404" spans="1:9" x14ac:dyDescent="0.3">
      <c r="A404" s="253" t="s">
        <v>492</v>
      </c>
      <c r="B404" s="254"/>
      <c r="C404" s="255" t="s">
        <v>493</v>
      </c>
      <c r="D404" s="256"/>
      <c r="E404" s="257" t="s">
        <v>408</v>
      </c>
      <c r="F404" s="257">
        <v>6.07</v>
      </c>
      <c r="H404" s="250" t="s">
        <v>573</v>
      </c>
    </row>
    <row r="405" spans="1:9" x14ac:dyDescent="0.3">
      <c r="A405" s="254" t="s">
        <v>409</v>
      </c>
      <c r="B405" s="254" t="s">
        <v>248</v>
      </c>
      <c r="C405" s="258" t="s">
        <v>410</v>
      </c>
      <c r="D405" s="258" t="s">
        <v>411</v>
      </c>
      <c r="E405" s="259" t="s">
        <v>412</v>
      </c>
      <c r="F405" s="259" t="s">
        <v>413</v>
      </c>
      <c r="H405" s="250" t="s">
        <v>573</v>
      </c>
    </row>
    <row r="406" spans="1:9" x14ac:dyDescent="0.3">
      <c r="A406" s="260" t="s">
        <v>439</v>
      </c>
      <c r="B406" s="261" t="s">
        <v>215</v>
      </c>
      <c r="C406" s="262">
        <v>0.1</v>
      </c>
      <c r="D406" s="263">
        <v>3.2000000000000002E-3</v>
      </c>
      <c r="E406" s="264">
        <v>24.5</v>
      </c>
      <c r="F406" s="264">
        <v>0.08</v>
      </c>
      <c r="H406" s="250" t="s">
        <v>573</v>
      </c>
      <c r="I406" s="250" t="s">
        <v>634</v>
      </c>
    </row>
    <row r="407" spans="1:9" x14ac:dyDescent="0.3">
      <c r="A407" s="260" t="s">
        <v>435</v>
      </c>
      <c r="B407" s="261" t="s">
        <v>215</v>
      </c>
      <c r="C407" s="262">
        <v>1</v>
      </c>
      <c r="D407" s="263">
        <v>3.2000000000000001E-2</v>
      </c>
      <c r="E407" s="264">
        <v>19.23</v>
      </c>
      <c r="F407" s="264">
        <v>0.62</v>
      </c>
      <c r="H407" s="250" t="s">
        <v>573</v>
      </c>
      <c r="I407" s="250" t="s">
        <v>634</v>
      </c>
    </row>
    <row r="408" spans="1:9" x14ac:dyDescent="0.3">
      <c r="A408" s="260" t="s">
        <v>440</v>
      </c>
      <c r="B408" s="261" t="s">
        <v>215</v>
      </c>
      <c r="C408" s="262">
        <v>1</v>
      </c>
      <c r="D408" s="263">
        <v>3.2000000000000001E-2</v>
      </c>
      <c r="E408" s="264">
        <v>15.94</v>
      </c>
      <c r="F408" s="264">
        <v>0.51</v>
      </c>
      <c r="H408" s="250" t="s">
        <v>573</v>
      </c>
      <c r="I408" s="250" t="s">
        <v>634</v>
      </c>
    </row>
    <row r="409" spans="1:9" x14ac:dyDescent="0.3">
      <c r="A409" s="260" t="s">
        <v>417</v>
      </c>
      <c r="B409" s="261" t="s">
        <v>215</v>
      </c>
      <c r="C409" s="262">
        <v>1</v>
      </c>
      <c r="D409" s="263">
        <v>3.2000000000000001E-2</v>
      </c>
      <c r="E409" s="264">
        <v>16.5</v>
      </c>
      <c r="F409" s="264">
        <v>0.53</v>
      </c>
      <c r="H409" s="250" t="s">
        <v>573</v>
      </c>
      <c r="I409" s="250" t="s">
        <v>634</v>
      </c>
    </row>
    <row r="410" spans="1:9" x14ac:dyDescent="0.3">
      <c r="A410" s="265"/>
      <c r="B410" s="266"/>
      <c r="C410" s="267"/>
      <c r="D410" s="268"/>
      <c r="E410" s="269" t="s">
        <v>418</v>
      </c>
      <c r="F410" s="269">
        <v>1.74</v>
      </c>
      <c r="H410" s="250" t="s">
        <v>573</v>
      </c>
    </row>
    <row r="411" spans="1:9" x14ac:dyDescent="0.3">
      <c r="H411" s="250" t="s">
        <v>573</v>
      </c>
    </row>
    <row r="412" spans="1:9" x14ac:dyDescent="0.3">
      <c r="A412" s="260" t="s">
        <v>494</v>
      </c>
      <c r="B412" s="261" t="s">
        <v>420</v>
      </c>
      <c r="D412" s="263">
        <v>0.05</v>
      </c>
      <c r="E412" s="264">
        <v>4</v>
      </c>
      <c r="F412" s="264">
        <v>0.2</v>
      </c>
      <c r="H412" s="250" t="s">
        <v>573</v>
      </c>
      <c r="I412" s="250" t="s">
        <v>6</v>
      </c>
    </row>
    <row r="413" spans="1:9" x14ac:dyDescent="0.3">
      <c r="A413" s="260" t="s">
        <v>495</v>
      </c>
      <c r="B413" s="261" t="s">
        <v>420</v>
      </c>
      <c r="D413" s="263">
        <v>1.05</v>
      </c>
      <c r="E413" s="264">
        <v>3.85</v>
      </c>
      <c r="F413" s="264">
        <v>4.04</v>
      </c>
      <c r="H413" s="250" t="s">
        <v>573</v>
      </c>
      <c r="I413" s="250" t="s">
        <v>6</v>
      </c>
    </row>
    <row r="414" spans="1:9" x14ac:dyDescent="0.3">
      <c r="A414" s="265"/>
      <c r="B414" s="266"/>
      <c r="C414" s="267"/>
      <c r="D414" s="268"/>
      <c r="E414" s="269" t="s">
        <v>427</v>
      </c>
      <c r="F414" s="269">
        <v>4.24</v>
      </c>
      <c r="H414" s="250" t="s">
        <v>573</v>
      </c>
    </row>
    <row r="415" spans="1:9" x14ac:dyDescent="0.3">
      <c r="H415" s="250" t="s">
        <v>573</v>
      </c>
    </row>
    <row r="416" spans="1:9" x14ac:dyDescent="0.3">
      <c r="A416" s="260" t="s">
        <v>428</v>
      </c>
      <c r="B416" s="261" t="s">
        <v>429</v>
      </c>
      <c r="D416" s="263">
        <v>5</v>
      </c>
      <c r="E416" s="264">
        <v>1.74</v>
      </c>
      <c r="F416" s="264">
        <v>0.09</v>
      </c>
      <c r="H416" s="250" t="s">
        <v>573</v>
      </c>
      <c r="I416" s="250" t="s">
        <v>127</v>
      </c>
    </row>
    <row r="417" spans="1:9" x14ac:dyDescent="0.3">
      <c r="A417" s="265"/>
      <c r="B417" s="266"/>
      <c r="C417" s="267"/>
      <c r="D417" s="268"/>
      <c r="E417" s="269" t="s">
        <v>430</v>
      </c>
      <c r="F417" s="269">
        <v>0.09</v>
      </c>
      <c r="H417" s="250" t="s">
        <v>573</v>
      </c>
    </row>
    <row r="418" spans="1:9" x14ac:dyDescent="0.3">
      <c r="H418" s="250" t="s">
        <v>573</v>
      </c>
    </row>
    <row r="419" spans="1:9" x14ac:dyDescent="0.3">
      <c r="H419" s="250" t="s">
        <v>573</v>
      </c>
    </row>
    <row r="420" spans="1:9" x14ac:dyDescent="0.3">
      <c r="A420" s="253" t="s">
        <v>509</v>
      </c>
      <c r="B420" s="254"/>
      <c r="C420" s="255"/>
      <c r="D420" s="256"/>
      <c r="E420" s="257"/>
      <c r="F420" s="257"/>
    </row>
    <row r="421" spans="1:9" x14ac:dyDescent="0.3">
      <c r="A421" s="253" t="s">
        <v>480</v>
      </c>
      <c r="B421" s="254"/>
      <c r="C421" s="255" t="s">
        <v>454</v>
      </c>
      <c r="D421" s="256"/>
      <c r="E421" s="257" t="s">
        <v>408</v>
      </c>
      <c r="F421" s="257">
        <v>459.27</v>
      </c>
      <c r="H421" s="250" t="s">
        <v>575</v>
      </c>
    </row>
    <row r="422" spans="1:9" x14ac:dyDescent="0.3">
      <c r="A422" s="254" t="s">
        <v>409</v>
      </c>
      <c r="B422" s="254" t="s">
        <v>248</v>
      </c>
      <c r="C422" s="258" t="s">
        <v>410</v>
      </c>
      <c r="D422" s="258" t="s">
        <v>411</v>
      </c>
      <c r="E422" s="259" t="s">
        <v>412</v>
      </c>
      <c r="F422" s="259" t="s">
        <v>413</v>
      </c>
      <c r="H422" s="250" t="s">
        <v>575</v>
      </c>
    </row>
    <row r="423" spans="1:9" x14ac:dyDescent="0.3">
      <c r="A423" s="260" t="s">
        <v>439</v>
      </c>
      <c r="B423" s="261" t="s">
        <v>215</v>
      </c>
      <c r="C423" s="262">
        <v>0.2</v>
      </c>
      <c r="D423" s="263">
        <v>0.1333</v>
      </c>
      <c r="E423" s="264">
        <v>24.5</v>
      </c>
      <c r="F423" s="264">
        <v>3.27</v>
      </c>
      <c r="H423" s="250" t="s">
        <v>575</v>
      </c>
      <c r="I423" s="250" t="s">
        <v>634</v>
      </c>
    </row>
    <row r="424" spans="1:9" x14ac:dyDescent="0.3">
      <c r="A424" s="260" t="s">
        <v>435</v>
      </c>
      <c r="B424" s="261" t="s">
        <v>215</v>
      </c>
      <c r="C424" s="262">
        <v>2</v>
      </c>
      <c r="D424" s="263">
        <v>1.3332999999999999</v>
      </c>
      <c r="E424" s="264">
        <v>19.23</v>
      </c>
      <c r="F424" s="264">
        <v>25.64</v>
      </c>
      <c r="H424" s="250" t="s">
        <v>575</v>
      </c>
      <c r="I424" s="250" t="s">
        <v>634</v>
      </c>
    </row>
    <row r="425" spans="1:9" x14ac:dyDescent="0.3">
      <c r="A425" s="260" t="s">
        <v>440</v>
      </c>
      <c r="B425" s="261" t="s">
        <v>215</v>
      </c>
      <c r="C425" s="262">
        <v>2</v>
      </c>
      <c r="D425" s="263">
        <v>1.3332999999999999</v>
      </c>
      <c r="E425" s="264">
        <v>15.94</v>
      </c>
      <c r="F425" s="264">
        <v>21.25</v>
      </c>
      <c r="H425" s="250" t="s">
        <v>575</v>
      </c>
      <c r="I425" s="250" t="s">
        <v>634</v>
      </c>
    </row>
    <row r="426" spans="1:9" x14ac:dyDescent="0.3">
      <c r="A426" s="260" t="s">
        <v>417</v>
      </c>
      <c r="B426" s="261" t="s">
        <v>215</v>
      </c>
      <c r="C426" s="262">
        <v>8</v>
      </c>
      <c r="D426" s="263">
        <v>5.3333000000000004</v>
      </c>
      <c r="E426" s="264">
        <v>16.5</v>
      </c>
      <c r="F426" s="264">
        <v>88</v>
      </c>
      <c r="H426" s="250" t="s">
        <v>575</v>
      </c>
      <c r="I426" s="250" t="s">
        <v>634</v>
      </c>
    </row>
    <row r="427" spans="1:9" x14ac:dyDescent="0.3">
      <c r="A427" s="260" t="s">
        <v>469</v>
      </c>
      <c r="B427" s="261" t="s">
        <v>215</v>
      </c>
      <c r="C427" s="262">
        <v>2</v>
      </c>
      <c r="D427" s="263">
        <v>1.3332999999999999</v>
      </c>
      <c r="E427" s="264">
        <v>20.73</v>
      </c>
      <c r="F427" s="264">
        <v>27.64</v>
      </c>
      <c r="H427" s="250" t="s">
        <v>575</v>
      </c>
      <c r="I427" s="250" t="s">
        <v>634</v>
      </c>
    </row>
    <row r="428" spans="1:9" x14ac:dyDescent="0.3">
      <c r="A428" s="265"/>
      <c r="B428" s="266"/>
      <c r="C428" s="267"/>
      <c r="D428" s="268"/>
      <c r="E428" s="269" t="s">
        <v>418</v>
      </c>
      <c r="F428" s="269">
        <v>165.8</v>
      </c>
      <c r="H428" s="250" t="s">
        <v>575</v>
      </c>
    </row>
    <row r="429" spans="1:9" x14ac:dyDescent="0.3">
      <c r="H429" s="250" t="s">
        <v>575</v>
      </c>
    </row>
    <row r="430" spans="1:9" x14ac:dyDescent="0.3">
      <c r="A430" s="260" t="s">
        <v>487</v>
      </c>
      <c r="B430" s="261" t="s">
        <v>426</v>
      </c>
      <c r="D430" s="263">
        <v>0.5</v>
      </c>
      <c r="E430" s="264">
        <v>65</v>
      </c>
      <c r="F430" s="264">
        <v>32.5</v>
      </c>
      <c r="H430" s="250" t="s">
        <v>575</v>
      </c>
      <c r="I430" s="250" t="s">
        <v>6</v>
      </c>
    </row>
    <row r="431" spans="1:9" x14ac:dyDescent="0.3">
      <c r="A431" s="260" t="s">
        <v>488</v>
      </c>
      <c r="B431" s="261" t="s">
        <v>426</v>
      </c>
      <c r="D431" s="263">
        <v>0.8</v>
      </c>
      <c r="E431" s="264">
        <v>70</v>
      </c>
      <c r="F431" s="264">
        <v>56</v>
      </c>
      <c r="H431" s="250" t="s">
        <v>575</v>
      </c>
      <c r="I431" s="250" t="s">
        <v>6</v>
      </c>
    </row>
    <row r="432" spans="1:9" x14ac:dyDescent="0.3">
      <c r="A432" s="260" t="s">
        <v>421</v>
      </c>
      <c r="B432" s="261" t="s">
        <v>443</v>
      </c>
      <c r="D432" s="263">
        <v>9.1999999999999993</v>
      </c>
      <c r="E432" s="264">
        <v>20</v>
      </c>
      <c r="F432" s="264">
        <v>184</v>
      </c>
      <c r="H432" s="250" t="s">
        <v>575</v>
      </c>
      <c r="I432" s="250" t="s">
        <v>6</v>
      </c>
    </row>
    <row r="433" spans="1:9" x14ac:dyDescent="0.3">
      <c r="A433" s="260" t="s">
        <v>470</v>
      </c>
      <c r="B433" s="261" t="s">
        <v>446</v>
      </c>
      <c r="D433" s="263">
        <v>0.3</v>
      </c>
      <c r="E433" s="264">
        <v>10</v>
      </c>
      <c r="F433" s="264">
        <v>3</v>
      </c>
      <c r="H433" s="250" t="s">
        <v>575</v>
      </c>
      <c r="I433" s="250" t="s">
        <v>6</v>
      </c>
    </row>
    <row r="434" spans="1:9" x14ac:dyDescent="0.3">
      <c r="A434" s="260" t="s">
        <v>463</v>
      </c>
      <c r="B434" s="261" t="s">
        <v>426</v>
      </c>
      <c r="D434" s="263">
        <v>0.18</v>
      </c>
      <c r="E434" s="264">
        <v>5</v>
      </c>
      <c r="F434" s="264">
        <v>0.9</v>
      </c>
      <c r="H434" s="250" t="s">
        <v>575</v>
      </c>
      <c r="I434" s="250" t="s">
        <v>6</v>
      </c>
    </row>
    <row r="435" spans="1:9" x14ac:dyDescent="0.3">
      <c r="A435" s="260" t="s">
        <v>484</v>
      </c>
      <c r="B435" s="261" t="s">
        <v>420</v>
      </c>
      <c r="D435" s="263">
        <v>0.01</v>
      </c>
      <c r="E435" s="264">
        <v>5.9</v>
      </c>
      <c r="F435" s="264">
        <v>0.06</v>
      </c>
      <c r="H435" s="250" t="s">
        <v>575</v>
      </c>
      <c r="I435" s="250" t="s">
        <v>6</v>
      </c>
    </row>
    <row r="436" spans="1:9" x14ac:dyDescent="0.3">
      <c r="A436" s="265"/>
      <c r="B436" s="266"/>
      <c r="C436" s="267"/>
      <c r="D436" s="268"/>
      <c r="E436" s="269" t="s">
        <v>427</v>
      </c>
      <c r="F436" s="269">
        <v>276.45999999999998</v>
      </c>
      <c r="H436" s="250" t="s">
        <v>575</v>
      </c>
    </row>
    <row r="437" spans="1:9" x14ac:dyDescent="0.3">
      <c r="H437" s="250" t="s">
        <v>575</v>
      </c>
    </row>
    <row r="438" spans="1:9" x14ac:dyDescent="0.3">
      <c r="A438" s="260" t="s">
        <v>489</v>
      </c>
      <c r="B438" s="261" t="s">
        <v>449</v>
      </c>
      <c r="C438" s="262">
        <v>1</v>
      </c>
      <c r="D438" s="263">
        <v>0.66669999999999996</v>
      </c>
      <c r="E438" s="264">
        <v>6.05</v>
      </c>
      <c r="F438" s="264">
        <v>4.03</v>
      </c>
      <c r="H438" s="250" t="s">
        <v>575</v>
      </c>
      <c r="I438" s="250" t="s">
        <v>127</v>
      </c>
    </row>
    <row r="439" spans="1:9" x14ac:dyDescent="0.3">
      <c r="A439" s="260" t="s">
        <v>475</v>
      </c>
      <c r="B439" s="261" t="s">
        <v>449</v>
      </c>
      <c r="C439" s="262">
        <v>1</v>
      </c>
      <c r="D439" s="263">
        <v>0.66669999999999996</v>
      </c>
      <c r="E439" s="264">
        <v>12.01</v>
      </c>
      <c r="F439" s="264">
        <v>8.01</v>
      </c>
      <c r="H439" s="250" t="s">
        <v>575</v>
      </c>
      <c r="I439" s="250" t="s">
        <v>127</v>
      </c>
    </row>
    <row r="440" spans="1:9" x14ac:dyDescent="0.3">
      <c r="A440" s="260" t="s">
        <v>428</v>
      </c>
      <c r="B440" s="261" t="s">
        <v>429</v>
      </c>
      <c r="D440" s="263">
        <v>3</v>
      </c>
      <c r="E440" s="264">
        <v>165.8</v>
      </c>
      <c r="F440" s="264">
        <v>4.97</v>
      </c>
      <c r="H440" s="250" t="s">
        <v>575</v>
      </c>
      <c r="I440" s="250" t="s">
        <v>127</v>
      </c>
    </row>
    <row r="441" spans="1:9" x14ac:dyDescent="0.3">
      <c r="A441" s="265"/>
      <c r="B441" s="266"/>
      <c r="C441" s="267"/>
      <c r="D441" s="268"/>
      <c r="E441" s="269" t="s">
        <v>430</v>
      </c>
      <c r="F441" s="269">
        <v>17.010000000000002</v>
      </c>
      <c r="H441" s="250" t="s">
        <v>575</v>
      </c>
    </row>
    <row r="442" spans="1:9" x14ac:dyDescent="0.3">
      <c r="H442" s="250" t="s">
        <v>575</v>
      </c>
    </row>
    <row r="443" spans="1:9" x14ac:dyDescent="0.3">
      <c r="H443" s="250" t="s">
        <v>575</v>
      </c>
    </row>
    <row r="444" spans="1:9" x14ac:dyDescent="0.3">
      <c r="A444" s="253" t="s">
        <v>510</v>
      </c>
      <c r="B444" s="254"/>
      <c r="C444" s="255"/>
      <c r="D444" s="256"/>
      <c r="E444" s="257"/>
      <c r="F444" s="257"/>
    </row>
    <row r="445" spans="1:9" x14ac:dyDescent="0.3">
      <c r="A445" s="253" t="s">
        <v>458</v>
      </c>
      <c r="B445" s="254"/>
      <c r="C445" s="255" t="s">
        <v>434</v>
      </c>
      <c r="D445" s="256"/>
      <c r="E445" s="257" t="s">
        <v>408</v>
      </c>
      <c r="F445" s="257">
        <v>35.25</v>
      </c>
      <c r="H445" s="250" t="s">
        <v>577</v>
      </c>
    </row>
    <row r="446" spans="1:9" x14ac:dyDescent="0.3">
      <c r="A446" s="254" t="s">
        <v>409</v>
      </c>
      <c r="B446" s="254" t="s">
        <v>248</v>
      </c>
      <c r="C446" s="258" t="s">
        <v>410</v>
      </c>
      <c r="D446" s="258" t="s">
        <v>411</v>
      </c>
      <c r="E446" s="259" t="s">
        <v>412</v>
      </c>
      <c r="F446" s="259" t="s">
        <v>413</v>
      </c>
      <c r="H446" s="250" t="s">
        <v>577</v>
      </c>
    </row>
    <row r="447" spans="1:9" x14ac:dyDescent="0.3">
      <c r="A447" s="260" t="s">
        <v>435</v>
      </c>
      <c r="B447" s="261" t="s">
        <v>215</v>
      </c>
      <c r="C447" s="262">
        <v>1</v>
      </c>
      <c r="D447" s="263">
        <v>0.57140000000000002</v>
      </c>
      <c r="E447" s="264">
        <v>19.23</v>
      </c>
      <c r="F447" s="264">
        <v>10.99</v>
      </c>
      <c r="H447" s="250" t="s">
        <v>577</v>
      </c>
      <c r="I447" s="250" t="s">
        <v>634</v>
      </c>
    </row>
    <row r="448" spans="1:9" x14ac:dyDescent="0.3">
      <c r="A448" s="260" t="s">
        <v>440</v>
      </c>
      <c r="B448" s="261" t="s">
        <v>215</v>
      </c>
      <c r="C448" s="262">
        <v>1</v>
      </c>
      <c r="D448" s="263">
        <v>0.57140000000000002</v>
      </c>
      <c r="E448" s="264">
        <v>15.94</v>
      </c>
      <c r="F448" s="264">
        <v>9.11</v>
      </c>
      <c r="H448" s="250" t="s">
        <v>577</v>
      </c>
      <c r="I448" s="250" t="s">
        <v>634</v>
      </c>
    </row>
    <row r="449" spans="1:9" x14ac:dyDescent="0.3">
      <c r="A449" s="260" t="s">
        <v>417</v>
      </c>
      <c r="B449" s="261" t="s">
        <v>215</v>
      </c>
      <c r="C449" s="262">
        <v>0.5</v>
      </c>
      <c r="D449" s="263">
        <v>0.28570000000000001</v>
      </c>
      <c r="E449" s="264">
        <v>16.5</v>
      </c>
      <c r="F449" s="264">
        <v>4.71</v>
      </c>
      <c r="H449" s="250" t="s">
        <v>577</v>
      </c>
      <c r="I449" s="250" t="s">
        <v>634</v>
      </c>
    </row>
    <row r="450" spans="1:9" x14ac:dyDescent="0.3">
      <c r="A450" s="265"/>
      <c r="B450" s="266"/>
      <c r="C450" s="267"/>
      <c r="D450" s="268"/>
      <c r="E450" s="269" t="s">
        <v>418</v>
      </c>
      <c r="F450" s="269">
        <v>24.81</v>
      </c>
      <c r="H450" s="250" t="s">
        <v>577</v>
      </c>
    </row>
    <row r="451" spans="1:9" x14ac:dyDescent="0.3">
      <c r="H451" s="250" t="s">
        <v>577</v>
      </c>
    </row>
    <row r="452" spans="1:9" x14ac:dyDescent="0.3">
      <c r="A452" s="260" t="s">
        <v>494</v>
      </c>
      <c r="B452" s="261" t="s">
        <v>420</v>
      </c>
      <c r="D452" s="263">
        <v>0.5</v>
      </c>
      <c r="E452" s="264">
        <v>4</v>
      </c>
      <c r="F452" s="264">
        <v>2</v>
      </c>
      <c r="H452" s="250" t="s">
        <v>577</v>
      </c>
      <c r="I452" s="250" t="s">
        <v>6</v>
      </c>
    </row>
    <row r="453" spans="1:9" x14ac:dyDescent="0.3">
      <c r="A453" s="260" t="s">
        <v>441</v>
      </c>
      <c r="B453" s="261" t="s">
        <v>420</v>
      </c>
      <c r="D453" s="263">
        <v>0.2</v>
      </c>
      <c r="E453" s="264">
        <v>4.5</v>
      </c>
      <c r="F453" s="264">
        <v>0.9</v>
      </c>
      <c r="H453" s="250" t="s">
        <v>577</v>
      </c>
      <c r="I453" s="250" t="s">
        <v>6</v>
      </c>
    </row>
    <row r="454" spans="1:9" x14ac:dyDescent="0.3">
      <c r="A454" s="260" t="s">
        <v>511</v>
      </c>
      <c r="B454" s="261" t="s">
        <v>424</v>
      </c>
      <c r="D454" s="263">
        <v>1.5</v>
      </c>
      <c r="E454" s="264">
        <v>4.2</v>
      </c>
      <c r="F454" s="264">
        <v>6.3</v>
      </c>
      <c r="H454" s="250" t="s">
        <v>577</v>
      </c>
      <c r="I454" s="250" t="s">
        <v>6</v>
      </c>
    </row>
    <row r="455" spans="1:9" x14ac:dyDescent="0.3">
      <c r="A455" s="265"/>
      <c r="B455" s="266"/>
      <c r="C455" s="267"/>
      <c r="D455" s="268"/>
      <c r="E455" s="269" t="s">
        <v>427</v>
      </c>
      <c r="F455" s="269">
        <v>9.1999999999999993</v>
      </c>
      <c r="H455" s="250" t="s">
        <v>577</v>
      </c>
    </row>
    <row r="456" spans="1:9" x14ac:dyDescent="0.3">
      <c r="H456" s="250" t="s">
        <v>577</v>
      </c>
    </row>
    <row r="457" spans="1:9" x14ac:dyDescent="0.3">
      <c r="A457" s="260" t="s">
        <v>428</v>
      </c>
      <c r="B457" s="261" t="s">
        <v>429</v>
      </c>
      <c r="D457" s="263">
        <v>5</v>
      </c>
      <c r="E457" s="264">
        <v>24.81</v>
      </c>
      <c r="F457" s="264">
        <v>1.24</v>
      </c>
      <c r="H457" s="250" t="s">
        <v>577</v>
      </c>
      <c r="I457" s="250" t="s">
        <v>127</v>
      </c>
    </row>
    <row r="458" spans="1:9" x14ac:dyDescent="0.3">
      <c r="A458" s="265"/>
      <c r="B458" s="266"/>
      <c r="C458" s="267"/>
      <c r="D458" s="268"/>
      <c r="E458" s="269" t="s">
        <v>430</v>
      </c>
      <c r="F458" s="269">
        <v>1.24</v>
      </c>
      <c r="H458" s="250" t="s">
        <v>577</v>
      </c>
    </row>
    <row r="459" spans="1:9" x14ac:dyDescent="0.3">
      <c r="H459" s="250" t="s">
        <v>577</v>
      </c>
    </row>
    <row r="460" spans="1:9" x14ac:dyDescent="0.3">
      <c r="H460" s="250" t="s">
        <v>577</v>
      </c>
    </row>
    <row r="461" spans="1:9" x14ac:dyDescent="0.3">
      <c r="A461" s="253" t="s">
        <v>512</v>
      </c>
      <c r="B461" s="254"/>
      <c r="C461" s="255"/>
      <c r="D461" s="256"/>
      <c r="E461" s="257"/>
      <c r="F461" s="257"/>
    </row>
    <row r="462" spans="1:9" x14ac:dyDescent="0.3">
      <c r="A462" s="253" t="s">
        <v>492</v>
      </c>
      <c r="B462" s="254"/>
      <c r="C462" s="255" t="s">
        <v>493</v>
      </c>
      <c r="D462" s="256"/>
      <c r="E462" s="257" t="s">
        <v>408</v>
      </c>
      <c r="F462" s="257">
        <v>6.07</v>
      </c>
      <c r="H462" s="250" t="s">
        <v>579</v>
      </c>
    </row>
    <row r="463" spans="1:9" x14ac:dyDescent="0.3">
      <c r="A463" s="254" t="s">
        <v>409</v>
      </c>
      <c r="B463" s="254" t="s">
        <v>248</v>
      </c>
      <c r="C463" s="258" t="s">
        <v>410</v>
      </c>
      <c r="D463" s="258" t="s">
        <v>411</v>
      </c>
      <c r="E463" s="259" t="s">
        <v>412</v>
      </c>
      <c r="F463" s="259" t="s">
        <v>413</v>
      </c>
      <c r="H463" s="250" t="s">
        <v>579</v>
      </c>
    </row>
    <row r="464" spans="1:9" x14ac:dyDescent="0.3">
      <c r="A464" s="260" t="s">
        <v>439</v>
      </c>
      <c r="B464" s="261" t="s">
        <v>215</v>
      </c>
      <c r="C464" s="262">
        <v>0.1</v>
      </c>
      <c r="D464" s="263">
        <v>3.2000000000000002E-3</v>
      </c>
      <c r="E464" s="264">
        <v>24.5</v>
      </c>
      <c r="F464" s="264">
        <v>0.08</v>
      </c>
      <c r="H464" s="250" t="s">
        <v>579</v>
      </c>
      <c r="I464" s="250" t="s">
        <v>634</v>
      </c>
    </row>
    <row r="465" spans="1:9" x14ac:dyDescent="0.3">
      <c r="A465" s="260" t="s">
        <v>435</v>
      </c>
      <c r="B465" s="261" t="s">
        <v>215</v>
      </c>
      <c r="C465" s="262">
        <v>1</v>
      </c>
      <c r="D465" s="263">
        <v>3.2000000000000001E-2</v>
      </c>
      <c r="E465" s="264">
        <v>19.23</v>
      </c>
      <c r="F465" s="264">
        <v>0.62</v>
      </c>
      <c r="H465" s="250" t="s">
        <v>579</v>
      </c>
      <c r="I465" s="250" t="s">
        <v>634</v>
      </c>
    </row>
    <row r="466" spans="1:9" x14ac:dyDescent="0.3">
      <c r="A466" s="260" t="s">
        <v>440</v>
      </c>
      <c r="B466" s="261" t="s">
        <v>215</v>
      </c>
      <c r="C466" s="262">
        <v>1</v>
      </c>
      <c r="D466" s="263">
        <v>3.2000000000000001E-2</v>
      </c>
      <c r="E466" s="264">
        <v>15.94</v>
      </c>
      <c r="F466" s="264">
        <v>0.51</v>
      </c>
      <c r="H466" s="250" t="s">
        <v>579</v>
      </c>
      <c r="I466" s="250" t="s">
        <v>634</v>
      </c>
    </row>
    <row r="467" spans="1:9" x14ac:dyDescent="0.3">
      <c r="A467" s="260" t="s">
        <v>417</v>
      </c>
      <c r="B467" s="261" t="s">
        <v>215</v>
      </c>
      <c r="C467" s="262">
        <v>1</v>
      </c>
      <c r="D467" s="263">
        <v>3.2000000000000001E-2</v>
      </c>
      <c r="E467" s="264">
        <v>16.5</v>
      </c>
      <c r="F467" s="264">
        <v>0.53</v>
      </c>
      <c r="H467" s="250" t="s">
        <v>579</v>
      </c>
      <c r="I467" s="250" t="s">
        <v>634</v>
      </c>
    </row>
    <row r="468" spans="1:9" x14ac:dyDescent="0.3">
      <c r="A468" s="265"/>
      <c r="B468" s="266"/>
      <c r="C468" s="267"/>
      <c r="D468" s="268"/>
      <c r="E468" s="269" t="s">
        <v>418</v>
      </c>
      <c r="F468" s="269">
        <v>1.74</v>
      </c>
      <c r="H468" s="250" t="s">
        <v>579</v>
      </c>
    </row>
    <row r="469" spans="1:9" x14ac:dyDescent="0.3">
      <c r="H469" s="250" t="s">
        <v>579</v>
      </c>
    </row>
    <row r="470" spans="1:9" x14ac:dyDescent="0.3">
      <c r="A470" s="260" t="s">
        <v>494</v>
      </c>
      <c r="B470" s="261" t="s">
        <v>420</v>
      </c>
      <c r="D470" s="263">
        <v>0.05</v>
      </c>
      <c r="E470" s="264">
        <v>4</v>
      </c>
      <c r="F470" s="264">
        <v>0.2</v>
      </c>
      <c r="H470" s="250" t="s">
        <v>579</v>
      </c>
      <c r="I470" s="250" t="s">
        <v>6</v>
      </c>
    </row>
    <row r="471" spans="1:9" x14ac:dyDescent="0.3">
      <c r="A471" s="260" t="s">
        <v>495</v>
      </c>
      <c r="B471" s="261" t="s">
        <v>420</v>
      </c>
      <c r="D471" s="263">
        <v>1.05</v>
      </c>
      <c r="E471" s="264">
        <v>3.85</v>
      </c>
      <c r="F471" s="264">
        <v>4.04</v>
      </c>
      <c r="H471" s="250" t="s">
        <v>579</v>
      </c>
      <c r="I471" s="250" t="s">
        <v>6</v>
      </c>
    </row>
    <row r="472" spans="1:9" x14ac:dyDescent="0.3">
      <c r="A472" s="265"/>
      <c r="B472" s="266"/>
      <c r="C472" s="267"/>
      <c r="D472" s="268"/>
      <c r="E472" s="269" t="s">
        <v>427</v>
      </c>
      <c r="F472" s="269">
        <v>4.24</v>
      </c>
      <c r="H472" s="250" t="s">
        <v>579</v>
      </c>
    </row>
    <row r="473" spans="1:9" x14ac:dyDescent="0.3">
      <c r="H473" s="250" t="s">
        <v>579</v>
      </c>
    </row>
    <row r="474" spans="1:9" x14ac:dyDescent="0.3">
      <c r="A474" s="260" t="s">
        <v>428</v>
      </c>
      <c r="B474" s="261" t="s">
        <v>429</v>
      </c>
      <c r="D474" s="263">
        <v>5</v>
      </c>
      <c r="E474" s="264">
        <v>1.74</v>
      </c>
      <c r="F474" s="264">
        <v>0.09</v>
      </c>
      <c r="H474" s="250" t="s">
        <v>579</v>
      </c>
      <c r="I474" s="250" t="s">
        <v>127</v>
      </c>
    </row>
    <row r="475" spans="1:9" x14ac:dyDescent="0.3">
      <c r="A475" s="265"/>
      <c r="B475" s="266"/>
      <c r="C475" s="267"/>
      <c r="D475" s="268"/>
      <c r="E475" s="269" t="s">
        <v>430</v>
      </c>
      <c r="F475" s="269">
        <v>0.09</v>
      </c>
      <c r="H475" s="250" t="s">
        <v>579</v>
      </c>
    </row>
    <row r="476" spans="1:9" x14ac:dyDescent="0.3">
      <c r="H476" s="250" t="s">
        <v>579</v>
      </c>
    </row>
    <row r="477" spans="1:9" x14ac:dyDescent="0.3">
      <c r="H477" s="250" t="s">
        <v>579</v>
      </c>
    </row>
    <row r="478" spans="1:9" x14ac:dyDescent="0.3">
      <c r="A478" s="253" t="s">
        <v>513</v>
      </c>
      <c r="B478" s="254"/>
      <c r="C478" s="255"/>
      <c r="D478" s="256"/>
      <c r="E478" s="257"/>
      <c r="F478" s="257"/>
    </row>
    <row r="479" spans="1:9" x14ac:dyDescent="0.3">
      <c r="A479" s="253" t="s">
        <v>480</v>
      </c>
      <c r="B479" s="254"/>
      <c r="C479" s="255" t="s">
        <v>454</v>
      </c>
      <c r="D479" s="256"/>
      <c r="E479" s="257" t="s">
        <v>408</v>
      </c>
      <c r="F479" s="257">
        <v>459.26</v>
      </c>
      <c r="H479" s="250" t="s">
        <v>581</v>
      </c>
    </row>
    <row r="480" spans="1:9" x14ac:dyDescent="0.3">
      <c r="A480" s="254" t="s">
        <v>409</v>
      </c>
      <c r="B480" s="254" t="s">
        <v>248</v>
      </c>
      <c r="C480" s="258" t="s">
        <v>410</v>
      </c>
      <c r="D480" s="258" t="s">
        <v>411</v>
      </c>
      <c r="E480" s="259" t="s">
        <v>412</v>
      </c>
      <c r="F480" s="259" t="s">
        <v>413</v>
      </c>
      <c r="H480" s="250" t="s">
        <v>581</v>
      </c>
    </row>
    <row r="481" spans="1:9" x14ac:dyDescent="0.3">
      <c r="A481" s="260" t="s">
        <v>439</v>
      </c>
      <c r="B481" s="261" t="s">
        <v>215</v>
      </c>
      <c r="C481" s="262">
        <v>0.2</v>
      </c>
      <c r="D481" s="263">
        <v>0.1333</v>
      </c>
      <c r="E481" s="264">
        <v>24.5</v>
      </c>
      <c r="F481" s="264">
        <v>3.27</v>
      </c>
      <c r="H481" s="250" t="s">
        <v>581</v>
      </c>
      <c r="I481" s="250" t="s">
        <v>634</v>
      </c>
    </row>
    <row r="482" spans="1:9" x14ac:dyDescent="0.3">
      <c r="A482" s="260" t="s">
        <v>435</v>
      </c>
      <c r="B482" s="261" t="s">
        <v>215</v>
      </c>
      <c r="C482" s="262">
        <v>2</v>
      </c>
      <c r="D482" s="263">
        <v>1.3332999999999999</v>
      </c>
      <c r="E482" s="264">
        <v>19.23</v>
      </c>
      <c r="F482" s="264">
        <v>25.64</v>
      </c>
      <c r="H482" s="250" t="s">
        <v>581</v>
      </c>
      <c r="I482" s="250" t="s">
        <v>634</v>
      </c>
    </row>
    <row r="483" spans="1:9" x14ac:dyDescent="0.3">
      <c r="A483" s="260" t="s">
        <v>440</v>
      </c>
      <c r="B483" s="261" t="s">
        <v>215</v>
      </c>
      <c r="C483" s="262">
        <v>2</v>
      </c>
      <c r="D483" s="263">
        <v>1.3332999999999999</v>
      </c>
      <c r="E483" s="264">
        <v>15.94</v>
      </c>
      <c r="F483" s="264">
        <v>21.25</v>
      </c>
      <c r="H483" s="250" t="s">
        <v>581</v>
      </c>
      <c r="I483" s="250" t="s">
        <v>634</v>
      </c>
    </row>
    <row r="484" spans="1:9" x14ac:dyDescent="0.3">
      <c r="A484" s="260" t="s">
        <v>417</v>
      </c>
      <c r="B484" s="261" t="s">
        <v>215</v>
      </c>
      <c r="C484" s="262">
        <v>8</v>
      </c>
      <c r="D484" s="263">
        <v>5.3333000000000004</v>
      </c>
      <c r="E484" s="264">
        <v>16.5</v>
      </c>
      <c r="F484" s="264">
        <v>88</v>
      </c>
      <c r="H484" s="250" t="s">
        <v>581</v>
      </c>
      <c r="I484" s="250" t="s">
        <v>634</v>
      </c>
    </row>
    <row r="485" spans="1:9" x14ac:dyDescent="0.3">
      <c r="A485" s="260" t="s">
        <v>469</v>
      </c>
      <c r="B485" s="261" t="s">
        <v>215</v>
      </c>
      <c r="C485" s="262">
        <v>2</v>
      </c>
      <c r="D485" s="263">
        <v>1.3332999999999999</v>
      </c>
      <c r="E485" s="264">
        <v>20.73</v>
      </c>
      <c r="F485" s="264">
        <v>27.64</v>
      </c>
      <c r="H485" s="250" t="s">
        <v>581</v>
      </c>
      <c r="I485" s="250" t="s">
        <v>634</v>
      </c>
    </row>
    <row r="486" spans="1:9" x14ac:dyDescent="0.3">
      <c r="A486" s="265"/>
      <c r="B486" s="266"/>
      <c r="C486" s="267"/>
      <c r="D486" s="268"/>
      <c r="E486" s="269" t="s">
        <v>418</v>
      </c>
      <c r="F486" s="269">
        <v>165.8</v>
      </c>
      <c r="H486" s="250" t="s">
        <v>581</v>
      </c>
    </row>
    <row r="487" spans="1:9" x14ac:dyDescent="0.3">
      <c r="H487" s="250" t="s">
        <v>581</v>
      </c>
    </row>
    <row r="488" spans="1:9" x14ac:dyDescent="0.3">
      <c r="A488" s="260" t="s">
        <v>487</v>
      </c>
      <c r="B488" s="261" t="s">
        <v>426</v>
      </c>
      <c r="D488" s="263">
        <v>0.5</v>
      </c>
      <c r="E488" s="264">
        <v>65</v>
      </c>
      <c r="F488" s="264">
        <v>32.5</v>
      </c>
      <c r="H488" s="250" t="s">
        <v>581</v>
      </c>
      <c r="I488" s="250" t="s">
        <v>6</v>
      </c>
    </row>
    <row r="489" spans="1:9" x14ac:dyDescent="0.3">
      <c r="A489" s="260" t="s">
        <v>488</v>
      </c>
      <c r="B489" s="261" t="s">
        <v>426</v>
      </c>
      <c r="D489" s="263">
        <v>0.8</v>
      </c>
      <c r="E489" s="264">
        <v>70</v>
      </c>
      <c r="F489" s="264">
        <v>56</v>
      </c>
      <c r="H489" s="250" t="s">
        <v>581</v>
      </c>
      <c r="I489" s="250" t="s">
        <v>6</v>
      </c>
    </row>
    <row r="490" spans="1:9" x14ac:dyDescent="0.3">
      <c r="A490" s="260" t="s">
        <v>421</v>
      </c>
      <c r="B490" s="261" t="s">
        <v>443</v>
      </c>
      <c r="D490" s="263">
        <v>9.1999999999999993</v>
      </c>
      <c r="E490" s="264">
        <v>20</v>
      </c>
      <c r="F490" s="264">
        <v>184</v>
      </c>
      <c r="H490" s="250" t="s">
        <v>581</v>
      </c>
      <c r="I490" s="250" t="s">
        <v>6</v>
      </c>
    </row>
    <row r="491" spans="1:9" x14ac:dyDescent="0.3">
      <c r="A491" s="260" t="s">
        <v>470</v>
      </c>
      <c r="B491" s="261" t="s">
        <v>446</v>
      </c>
      <c r="D491" s="263">
        <v>0.3</v>
      </c>
      <c r="E491" s="264">
        <v>10</v>
      </c>
      <c r="F491" s="264">
        <v>3</v>
      </c>
      <c r="H491" s="250" t="s">
        <v>581</v>
      </c>
      <c r="I491" s="250" t="s">
        <v>6</v>
      </c>
    </row>
    <row r="492" spans="1:9" x14ac:dyDescent="0.3">
      <c r="A492" s="260" t="s">
        <v>463</v>
      </c>
      <c r="B492" s="261" t="s">
        <v>426</v>
      </c>
      <c r="D492" s="263">
        <v>0.18</v>
      </c>
      <c r="E492" s="264">
        <v>5</v>
      </c>
      <c r="F492" s="264">
        <v>0.9</v>
      </c>
      <c r="H492" s="250" t="s">
        <v>581</v>
      </c>
      <c r="I492" s="250" t="s">
        <v>6</v>
      </c>
    </row>
    <row r="493" spans="1:9" x14ac:dyDescent="0.3">
      <c r="A493" s="260" t="s">
        <v>484</v>
      </c>
      <c r="B493" s="261" t="s">
        <v>420</v>
      </c>
      <c r="D493" s="263">
        <v>8.0000000000000002E-3</v>
      </c>
      <c r="E493" s="264">
        <v>5.9</v>
      </c>
      <c r="F493" s="264">
        <v>0.05</v>
      </c>
      <c r="H493" s="250" t="s">
        <v>581</v>
      </c>
      <c r="I493" s="250" t="s">
        <v>6</v>
      </c>
    </row>
    <row r="494" spans="1:9" x14ac:dyDescent="0.3">
      <c r="A494" s="265"/>
      <c r="B494" s="266"/>
      <c r="C494" s="267"/>
      <c r="D494" s="268"/>
      <c r="E494" s="269" t="s">
        <v>427</v>
      </c>
      <c r="F494" s="269">
        <v>276.45</v>
      </c>
      <c r="H494" s="250" t="s">
        <v>581</v>
      </c>
    </row>
    <row r="495" spans="1:9" x14ac:dyDescent="0.3">
      <c r="H495" s="250" t="s">
        <v>581</v>
      </c>
    </row>
    <row r="496" spans="1:9" x14ac:dyDescent="0.3">
      <c r="A496" s="260" t="s">
        <v>489</v>
      </c>
      <c r="B496" s="261" t="s">
        <v>449</v>
      </c>
      <c r="C496" s="262">
        <v>1</v>
      </c>
      <c r="D496" s="263">
        <v>0.66669999999999996</v>
      </c>
      <c r="E496" s="264">
        <v>6.05</v>
      </c>
      <c r="F496" s="264">
        <v>4.03</v>
      </c>
      <c r="H496" s="250" t="s">
        <v>581</v>
      </c>
      <c r="I496" s="250" t="s">
        <v>127</v>
      </c>
    </row>
    <row r="497" spans="1:9" x14ac:dyDescent="0.3">
      <c r="A497" s="260" t="s">
        <v>475</v>
      </c>
      <c r="B497" s="261" t="s">
        <v>449</v>
      </c>
      <c r="C497" s="262">
        <v>1</v>
      </c>
      <c r="D497" s="263">
        <v>0.66669999999999996</v>
      </c>
      <c r="E497" s="264">
        <v>12.01</v>
      </c>
      <c r="F497" s="264">
        <v>8.01</v>
      </c>
      <c r="H497" s="250" t="s">
        <v>581</v>
      </c>
      <c r="I497" s="250" t="s">
        <v>127</v>
      </c>
    </row>
    <row r="498" spans="1:9" x14ac:dyDescent="0.3">
      <c r="A498" s="260" t="s">
        <v>428</v>
      </c>
      <c r="B498" s="261" t="s">
        <v>429</v>
      </c>
      <c r="D498" s="263">
        <v>3</v>
      </c>
      <c r="E498" s="264">
        <v>165.8</v>
      </c>
      <c r="F498" s="264">
        <v>4.97</v>
      </c>
      <c r="H498" s="250" t="s">
        <v>581</v>
      </c>
      <c r="I498" s="250" t="s">
        <v>127</v>
      </c>
    </row>
    <row r="499" spans="1:9" x14ac:dyDescent="0.3">
      <c r="A499" s="265"/>
      <c r="B499" s="266"/>
      <c r="C499" s="267"/>
      <c r="D499" s="268"/>
      <c r="E499" s="269" t="s">
        <v>430</v>
      </c>
      <c r="F499" s="269">
        <v>17.010000000000002</v>
      </c>
      <c r="H499" s="250" t="s">
        <v>581</v>
      </c>
    </row>
    <row r="500" spans="1:9" x14ac:dyDescent="0.3">
      <c r="H500" s="250" t="s">
        <v>581</v>
      </c>
    </row>
    <row r="501" spans="1:9" x14ac:dyDescent="0.3">
      <c r="H501" s="250" t="s">
        <v>581</v>
      </c>
    </row>
    <row r="502" spans="1:9" x14ac:dyDescent="0.3">
      <c r="A502" s="253" t="s">
        <v>514</v>
      </c>
      <c r="B502" s="254"/>
      <c r="C502" s="255"/>
      <c r="D502" s="256"/>
      <c r="E502" s="257"/>
      <c r="F502" s="257"/>
    </row>
    <row r="503" spans="1:9" x14ac:dyDescent="0.3">
      <c r="A503" s="253" t="s">
        <v>458</v>
      </c>
      <c r="B503" s="254"/>
      <c r="C503" s="255" t="s">
        <v>434</v>
      </c>
      <c r="D503" s="256"/>
      <c r="E503" s="257" t="s">
        <v>408</v>
      </c>
      <c r="F503" s="257">
        <v>36.15</v>
      </c>
      <c r="H503" s="250" t="s">
        <v>583</v>
      </c>
    </row>
    <row r="504" spans="1:9" x14ac:dyDescent="0.3">
      <c r="A504" s="254" t="s">
        <v>409</v>
      </c>
      <c r="B504" s="254" t="s">
        <v>248</v>
      </c>
      <c r="C504" s="258" t="s">
        <v>410</v>
      </c>
      <c r="D504" s="258" t="s">
        <v>411</v>
      </c>
      <c r="E504" s="259" t="s">
        <v>412</v>
      </c>
      <c r="F504" s="259" t="s">
        <v>413</v>
      </c>
      <c r="H504" s="250" t="s">
        <v>583</v>
      </c>
    </row>
    <row r="505" spans="1:9" x14ac:dyDescent="0.3">
      <c r="A505" s="260" t="s">
        <v>435</v>
      </c>
      <c r="B505" s="261" t="s">
        <v>215</v>
      </c>
      <c r="C505" s="262">
        <v>1</v>
      </c>
      <c r="D505" s="263">
        <v>0.57140000000000002</v>
      </c>
      <c r="E505" s="264">
        <v>19.23</v>
      </c>
      <c r="F505" s="264">
        <v>10.99</v>
      </c>
      <c r="H505" s="250" t="s">
        <v>583</v>
      </c>
      <c r="I505" s="250" t="s">
        <v>634</v>
      </c>
    </row>
    <row r="506" spans="1:9" x14ac:dyDescent="0.3">
      <c r="A506" s="260" t="s">
        <v>440</v>
      </c>
      <c r="B506" s="261" t="s">
        <v>215</v>
      </c>
      <c r="C506" s="262">
        <v>1</v>
      </c>
      <c r="D506" s="263">
        <v>0.57140000000000002</v>
      </c>
      <c r="E506" s="264">
        <v>15.94</v>
      </c>
      <c r="F506" s="264">
        <v>9.11</v>
      </c>
      <c r="H506" s="250" t="s">
        <v>583</v>
      </c>
      <c r="I506" s="250" t="s">
        <v>634</v>
      </c>
    </row>
    <row r="507" spans="1:9" x14ac:dyDescent="0.3">
      <c r="A507" s="260" t="s">
        <v>417</v>
      </c>
      <c r="B507" s="261" t="s">
        <v>215</v>
      </c>
      <c r="C507" s="262">
        <v>0.5</v>
      </c>
      <c r="D507" s="263">
        <v>0.28570000000000001</v>
      </c>
      <c r="E507" s="264">
        <v>16.5</v>
      </c>
      <c r="F507" s="264">
        <v>4.71</v>
      </c>
      <c r="H507" s="250" t="s">
        <v>583</v>
      </c>
      <c r="I507" s="250" t="s">
        <v>634</v>
      </c>
    </row>
    <row r="508" spans="1:9" x14ac:dyDescent="0.3">
      <c r="A508" s="265"/>
      <c r="B508" s="266"/>
      <c r="C508" s="267"/>
      <c r="D508" s="268"/>
      <c r="E508" s="269" t="s">
        <v>418</v>
      </c>
      <c r="F508" s="269">
        <v>24.81</v>
      </c>
      <c r="H508" s="250" t="s">
        <v>583</v>
      </c>
    </row>
    <row r="509" spans="1:9" x14ac:dyDescent="0.3">
      <c r="H509" s="250" t="s">
        <v>583</v>
      </c>
    </row>
    <row r="510" spans="1:9" x14ac:dyDescent="0.3">
      <c r="A510" s="260" t="s">
        <v>494</v>
      </c>
      <c r="B510" s="261" t="s">
        <v>420</v>
      </c>
      <c r="D510" s="263">
        <v>0.5</v>
      </c>
      <c r="E510" s="264">
        <v>4</v>
      </c>
      <c r="F510" s="264">
        <v>2</v>
      </c>
      <c r="H510" s="250" t="s">
        <v>583</v>
      </c>
      <c r="I510" s="250" t="s">
        <v>6</v>
      </c>
    </row>
    <row r="511" spans="1:9" x14ac:dyDescent="0.3">
      <c r="A511" s="260" t="s">
        <v>441</v>
      </c>
      <c r="B511" s="261" t="s">
        <v>420</v>
      </c>
      <c r="D511" s="263">
        <v>0.2</v>
      </c>
      <c r="E511" s="264">
        <v>4.5</v>
      </c>
      <c r="F511" s="264">
        <v>0.9</v>
      </c>
      <c r="H511" s="250" t="s">
        <v>583</v>
      </c>
      <c r="I511" s="250" t="s">
        <v>6</v>
      </c>
    </row>
    <row r="512" spans="1:9" x14ac:dyDescent="0.3">
      <c r="A512" s="260" t="s">
        <v>511</v>
      </c>
      <c r="B512" s="261" t="s">
        <v>424</v>
      </c>
      <c r="D512" s="263">
        <v>1.5</v>
      </c>
      <c r="E512" s="264">
        <v>4.2</v>
      </c>
      <c r="F512" s="264">
        <v>6.3</v>
      </c>
      <c r="H512" s="250" t="s">
        <v>583</v>
      </c>
      <c r="I512" s="250" t="s">
        <v>6</v>
      </c>
    </row>
    <row r="513" spans="1:9" x14ac:dyDescent="0.3">
      <c r="A513" s="260" t="s">
        <v>515</v>
      </c>
      <c r="B513" s="261" t="s">
        <v>420</v>
      </c>
      <c r="D513" s="263">
        <v>0.2</v>
      </c>
      <c r="E513" s="264">
        <v>4.5</v>
      </c>
      <c r="F513" s="264">
        <v>0.9</v>
      </c>
      <c r="H513" s="250" t="s">
        <v>583</v>
      </c>
      <c r="I513" s="250" t="s">
        <v>6</v>
      </c>
    </row>
    <row r="514" spans="1:9" x14ac:dyDescent="0.3">
      <c r="A514" s="265"/>
      <c r="B514" s="266"/>
      <c r="C514" s="267"/>
      <c r="D514" s="268"/>
      <c r="E514" s="269" t="s">
        <v>427</v>
      </c>
      <c r="F514" s="269">
        <v>10.1</v>
      </c>
      <c r="H514" s="250" t="s">
        <v>583</v>
      </c>
    </row>
    <row r="515" spans="1:9" x14ac:dyDescent="0.3">
      <c r="H515" s="250" t="s">
        <v>583</v>
      </c>
    </row>
    <row r="516" spans="1:9" x14ac:dyDescent="0.3">
      <c r="A516" s="260" t="s">
        <v>428</v>
      </c>
      <c r="B516" s="261" t="s">
        <v>429</v>
      </c>
      <c r="D516" s="263">
        <v>5</v>
      </c>
      <c r="E516" s="264">
        <v>24.81</v>
      </c>
      <c r="F516" s="264">
        <v>1.24</v>
      </c>
      <c r="H516" s="250" t="s">
        <v>583</v>
      </c>
      <c r="I516" s="250" t="s">
        <v>127</v>
      </c>
    </row>
    <row r="517" spans="1:9" x14ac:dyDescent="0.3">
      <c r="A517" s="265"/>
      <c r="B517" s="266"/>
      <c r="C517" s="267"/>
      <c r="D517" s="268"/>
      <c r="E517" s="269" t="s">
        <v>430</v>
      </c>
      <c r="F517" s="269">
        <v>1.24</v>
      </c>
      <c r="H517" s="250" t="s">
        <v>583</v>
      </c>
    </row>
    <row r="518" spans="1:9" x14ac:dyDescent="0.3">
      <c r="H518" s="250" t="s">
        <v>583</v>
      </c>
    </row>
    <row r="519" spans="1:9" x14ac:dyDescent="0.3">
      <c r="H519" s="250" t="s">
        <v>583</v>
      </c>
    </row>
    <row r="520" spans="1:9" x14ac:dyDescent="0.3">
      <c r="A520" s="253" t="s">
        <v>516</v>
      </c>
      <c r="B520" s="254"/>
      <c r="C520" s="255"/>
      <c r="D520" s="256"/>
      <c r="E520" s="257"/>
      <c r="F520" s="257"/>
    </row>
    <row r="521" spans="1:9" x14ac:dyDescent="0.3">
      <c r="A521" s="253" t="s">
        <v>492</v>
      </c>
      <c r="B521" s="254"/>
      <c r="C521" s="255" t="s">
        <v>493</v>
      </c>
      <c r="D521" s="256"/>
      <c r="E521" s="257" t="s">
        <v>408</v>
      </c>
      <c r="F521" s="257">
        <v>6.07</v>
      </c>
      <c r="H521" s="250" t="s">
        <v>585</v>
      </c>
    </row>
    <row r="522" spans="1:9" x14ac:dyDescent="0.3">
      <c r="A522" s="254" t="s">
        <v>409</v>
      </c>
      <c r="B522" s="254" t="s">
        <v>248</v>
      </c>
      <c r="C522" s="258" t="s">
        <v>410</v>
      </c>
      <c r="D522" s="258" t="s">
        <v>411</v>
      </c>
      <c r="E522" s="259" t="s">
        <v>412</v>
      </c>
      <c r="F522" s="259" t="s">
        <v>413</v>
      </c>
      <c r="H522" s="250" t="s">
        <v>585</v>
      </c>
    </row>
    <row r="523" spans="1:9" x14ac:dyDescent="0.3">
      <c r="A523" s="260" t="s">
        <v>439</v>
      </c>
      <c r="B523" s="261" t="s">
        <v>215</v>
      </c>
      <c r="C523" s="262">
        <v>0.1</v>
      </c>
      <c r="D523" s="263">
        <v>3.2000000000000002E-3</v>
      </c>
      <c r="E523" s="264">
        <v>24.5</v>
      </c>
      <c r="F523" s="264">
        <v>0.08</v>
      </c>
      <c r="H523" s="250" t="s">
        <v>585</v>
      </c>
      <c r="I523" s="250" t="s">
        <v>634</v>
      </c>
    </row>
    <row r="524" spans="1:9" x14ac:dyDescent="0.3">
      <c r="A524" s="260" t="s">
        <v>435</v>
      </c>
      <c r="B524" s="261" t="s">
        <v>215</v>
      </c>
      <c r="C524" s="262">
        <v>1</v>
      </c>
      <c r="D524" s="263">
        <v>3.2000000000000001E-2</v>
      </c>
      <c r="E524" s="264">
        <v>19.23</v>
      </c>
      <c r="F524" s="264">
        <v>0.62</v>
      </c>
      <c r="H524" s="250" t="s">
        <v>585</v>
      </c>
      <c r="I524" s="250" t="s">
        <v>634</v>
      </c>
    </row>
    <row r="525" spans="1:9" x14ac:dyDescent="0.3">
      <c r="A525" s="260" t="s">
        <v>440</v>
      </c>
      <c r="B525" s="261" t="s">
        <v>215</v>
      </c>
      <c r="C525" s="262">
        <v>1</v>
      </c>
      <c r="D525" s="263">
        <v>3.2000000000000001E-2</v>
      </c>
      <c r="E525" s="264">
        <v>15.94</v>
      </c>
      <c r="F525" s="264">
        <v>0.51</v>
      </c>
      <c r="H525" s="250" t="s">
        <v>585</v>
      </c>
      <c r="I525" s="250" t="s">
        <v>634</v>
      </c>
    </row>
    <row r="526" spans="1:9" x14ac:dyDescent="0.3">
      <c r="A526" s="260" t="s">
        <v>417</v>
      </c>
      <c r="B526" s="261" t="s">
        <v>215</v>
      </c>
      <c r="C526" s="262">
        <v>1</v>
      </c>
      <c r="D526" s="263">
        <v>3.2000000000000001E-2</v>
      </c>
      <c r="E526" s="264">
        <v>16.5</v>
      </c>
      <c r="F526" s="264">
        <v>0.53</v>
      </c>
      <c r="H526" s="250" t="s">
        <v>585</v>
      </c>
      <c r="I526" s="250" t="s">
        <v>634</v>
      </c>
    </row>
    <row r="527" spans="1:9" x14ac:dyDescent="0.3">
      <c r="A527" s="265"/>
      <c r="B527" s="266"/>
      <c r="C527" s="267"/>
      <c r="D527" s="268"/>
      <c r="E527" s="269" t="s">
        <v>418</v>
      </c>
      <c r="F527" s="269">
        <v>1.74</v>
      </c>
      <c r="H527" s="250" t="s">
        <v>585</v>
      </c>
    </row>
    <row r="528" spans="1:9" x14ac:dyDescent="0.3">
      <c r="H528" s="250" t="s">
        <v>585</v>
      </c>
    </row>
    <row r="529" spans="1:9" x14ac:dyDescent="0.3">
      <c r="A529" s="260" t="s">
        <v>494</v>
      </c>
      <c r="B529" s="261" t="s">
        <v>420</v>
      </c>
      <c r="D529" s="263">
        <v>0.05</v>
      </c>
      <c r="E529" s="264">
        <v>4</v>
      </c>
      <c r="F529" s="264">
        <v>0.2</v>
      </c>
      <c r="H529" s="250" t="s">
        <v>585</v>
      </c>
      <c r="I529" s="250" t="s">
        <v>6</v>
      </c>
    </row>
    <row r="530" spans="1:9" x14ac:dyDescent="0.3">
      <c r="A530" s="260" t="s">
        <v>495</v>
      </c>
      <c r="B530" s="261" t="s">
        <v>420</v>
      </c>
      <c r="D530" s="263">
        <v>1.05</v>
      </c>
      <c r="E530" s="264">
        <v>3.85</v>
      </c>
      <c r="F530" s="264">
        <v>4.04</v>
      </c>
      <c r="H530" s="250" t="s">
        <v>585</v>
      </c>
      <c r="I530" s="250" t="s">
        <v>6</v>
      </c>
    </row>
    <row r="531" spans="1:9" x14ac:dyDescent="0.3">
      <c r="A531" s="265"/>
      <c r="B531" s="266"/>
      <c r="C531" s="267"/>
      <c r="D531" s="268"/>
      <c r="E531" s="269" t="s">
        <v>427</v>
      </c>
      <c r="F531" s="269">
        <v>4.24</v>
      </c>
      <c r="H531" s="250" t="s">
        <v>585</v>
      </c>
    </row>
    <row r="532" spans="1:9" x14ac:dyDescent="0.3">
      <c r="H532" s="250" t="s">
        <v>585</v>
      </c>
    </row>
    <row r="533" spans="1:9" x14ac:dyDescent="0.3">
      <c r="A533" s="260" t="s">
        <v>428</v>
      </c>
      <c r="B533" s="261" t="s">
        <v>429</v>
      </c>
      <c r="D533" s="263">
        <v>5</v>
      </c>
      <c r="E533" s="264">
        <v>1.74</v>
      </c>
      <c r="F533" s="264">
        <v>0.09</v>
      </c>
      <c r="H533" s="250" t="s">
        <v>585</v>
      </c>
      <c r="I533" s="250" t="s">
        <v>127</v>
      </c>
    </row>
    <row r="534" spans="1:9" x14ac:dyDescent="0.3">
      <c r="A534" s="265"/>
      <c r="B534" s="266"/>
      <c r="C534" s="267"/>
      <c r="D534" s="268"/>
      <c r="E534" s="269" t="s">
        <v>430</v>
      </c>
      <c r="F534" s="269">
        <v>0.09</v>
      </c>
      <c r="H534" s="250" t="s">
        <v>585</v>
      </c>
    </row>
    <row r="535" spans="1:9" x14ac:dyDescent="0.3">
      <c r="H535" s="250" t="s">
        <v>585</v>
      </c>
    </row>
    <row r="536" spans="1:9" x14ac:dyDescent="0.3">
      <c r="H536" s="250" t="s">
        <v>585</v>
      </c>
    </row>
    <row r="537" spans="1:9" x14ac:dyDescent="0.3">
      <c r="A537" s="253" t="s">
        <v>517</v>
      </c>
      <c r="B537" s="254"/>
      <c r="C537" s="255"/>
      <c r="D537" s="256"/>
      <c r="E537" s="257"/>
      <c r="F537" s="257"/>
    </row>
    <row r="538" spans="1:9" x14ac:dyDescent="0.3">
      <c r="A538" s="253" t="s">
        <v>518</v>
      </c>
      <c r="B538" s="254"/>
      <c r="C538" s="255" t="s">
        <v>519</v>
      </c>
      <c r="D538" s="256"/>
      <c r="E538" s="257" t="s">
        <v>408</v>
      </c>
      <c r="F538" s="257">
        <v>1.95</v>
      </c>
      <c r="H538" s="250" t="s">
        <v>586</v>
      </c>
    </row>
    <row r="539" spans="1:9" x14ac:dyDescent="0.3">
      <c r="A539" s="254" t="s">
        <v>409</v>
      </c>
      <c r="B539" s="254" t="s">
        <v>248</v>
      </c>
      <c r="C539" s="258" t="s">
        <v>410</v>
      </c>
      <c r="D539" s="258" t="s">
        <v>411</v>
      </c>
      <c r="E539" s="259" t="s">
        <v>412</v>
      </c>
      <c r="F539" s="259" t="s">
        <v>413</v>
      </c>
      <c r="H539" s="250" t="s">
        <v>586</v>
      </c>
    </row>
    <row r="540" spans="1:9" x14ac:dyDescent="0.3">
      <c r="A540" s="260" t="s">
        <v>439</v>
      </c>
      <c r="B540" s="261" t="s">
        <v>215</v>
      </c>
      <c r="C540" s="262">
        <v>0.1</v>
      </c>
      <c r="D540" s="263">
        <v>5.0000000000000001E-4</v>
      </c>
      <c r="E540" s="264">
        <v>24.5</v>
      </c>
      <c r="F540" s="264">
        <v>0.01</v>
      </c>
      <c r="H540" s="250" t="s">
        <v>586</v>
      </c>
      <c r="I540" s="250" t="s">
        <v>634</v>
      </c>
    </row>
    <row r="541" spans="1:9" x14ac:dyDescent="0.3">
      <c r="A541" s="260" t="s">
        <v>435</v>
      </c>
      <c r="B541" s="261" t="s">
        <v>215</v>
      </c>
      <c r="C541" s="262">
        <v>1</v>
      </c>
      <c r="D541" s="263">
        <v>5.0000000000000001E-3</v>
      </c>
      <c r="E541" s="264">
        <v>19.23</v>
      </c>
      <c r="F541" s="264">
        <v>0.1</v>
      </c>
      <c r="H541" s="250" t="s">
        <v>586</v>
      </c>
      <c r="I541" s="250" t="s">
        <v>634</v>
      </c>
    </row>
    <row r="542" spans="1:9" x14ac:dyDescent="0.3">
      <c r="A542" s="260" t="s">
        <v>417</v>
      </c>
      <c r="B542" s="261" t="s">
        <v>215</v>
      </c>
      <c r="C542" s="262">
        <v>5</v>
      </c>
      <c r="D542" s="263">
        <v>2.5000000000000001E-2</v>
      </c>
      <c r="E542" s="264">
        <v>16.5</v>
      </c>
      <c r="F542" s="264">
        <v>0.41</v>
      </c>
      <c r="H542" s="250" t="s">
        <v>586</v>
      </c>
      <c r="I542" s="250" t="s">
        <v>634</v>
      </c>
    </row>
    <row r="543" spans="1:9" x14ac:dyDescent="0.3">
      <c r="A543" s="265"/>
      <c r="B543" s="266"/>
      <c r="C543" s="267"/>
      <c r="D543" s="268"/>
      <c r="E543" s="269" t="s">
        <v>418</v>
      </c>
      <c r="F543" s="269">
        <v>0.52</v>
      </c>
      <c r="H543" s="250" t="s">
        <v>586</v>
      </c>
    </row>
    <row r="544" spans="1:9" x14ac:dyDescent="0.3">
      <c r="H544" s="250" t="s">
        <v>586</v>
      </c>
    </row>
    <row r="545" spans="1:9" x14ac:dyDescent="0.3">
      <c r="A545" s="260" t="s">
        <v>520</v>
      </c>
      <c r="B545" s="261" t="s">
        <v>521</v>
      </c>
      <c r="D545" s="263">
        <v>1E-3</v>
      </c>
      <c r="E545" s="264">
        <v>1400</v>
      </c>
      <c r="F545" s="264">
        <v>1.4</v>
      </c>
      <c r="H545" s="250" t="s">
        <v>586</v>
      </c>
      <c r="I545" s="250" t="s">
        <v>6</v>
      </c>
    </row>
    <row r="546" spans="1:9" x14ac:dyDescent="0.3">
      <c r="A546" s="265"/>
      <c r="B546" s="266"/>
      <c r="C546" s="267"/>
      <c r="D546" s="268"/>
      <c r="E546" s="269" t="s">
        <v>427</v>
      </c>
      <c r="F546" s="269">
        <v>1.4</v>
      </c>
      <c r="H546" s="250" t="s">
        <v>586</v>
      </c>
    </row>
    <row r="547" spans="1:9" x14ac:dyDescent="0.3">
      <c r="H547" s="250" t="s">
        <v>586</v>
      </c>
    </row>
    <row r="548" spans="1:9" x14ac:dyDescent="0.3">
      <c r="A548" s="260" t="s">
        <v>428</v>
      </c>
      <c r="B548" s="261" t="s">
        <v>429</v>
      </c>
      <c r="D548" s="263">
        <v>5</v>
      </c>
      <c r="E548" s="264">
        <v>0.52</v>
      </c>
      <c r="F548" s="264">
        <v>0.03</v>
      </c>
      <c r="H548" s="250" t="s">
        <v>586</v>
      </c>
      <c r="I548" s="250" t="s">
        <v>127</v>
      </c>
    </row>
    <row r="549" spans="1:9" x14ac:dyDescent="0.3">
      <c r="A549" s="265"/>
      <c r="B549" s="266"/>
      <c r="C549" s="267"/>
      <c r="D549" s="268"/>
      <c r="E549" s="269" t="s">
        <v>430</v>
      </c>
      <c r="F549" s="269">
        <v>0.03</v>
      </c>
      <c r="H549" s="250" t="s">
        <v>586</v>
      </c>
    </row>
    <row r="550" spans="1:9" x14ac:dyDescent="0.3">
      <c r="H550" s="250" t="s">
        <v>586</v>
      </c>
    </row>
    <row r="551" spans="1:9" x14ac:dyDescent="0.3">
      <c r="H551" s="250" t="s">
        <v>586</v>
      </c>
    </row>
    <row r="552" spans="1:9" x14ac:dyDescent="0.3">
      <c r="A552" s="253" t="s">
        <v>522</v>
      </c>
      <c r="B552" s="254"/>
      <c r="C552" s="255"/>
      <c r="D552" s="256"/>
      <c r="E552" s="257"/>
      <c r="F552" s="257"/>
    </row>
    <row r="553" spans="1:9" x14ac:dyDescent="0.3">
      <c r="A553" s="253" t="s">
        <v>501</v>
      </c>
      <c r="B553" s="254"/>
      <c r="C553" s="255" t="s">
        <v>454</v>
      </c>
      <c r="D553" s="256"/>
      <c r="E553" s="257" t="s">
        <v>408</v>
      </c>
      <c r="F553" s="257">
        <v>520.21</v>
      </c>
      <c r="H553" s="250" t="s">
        <v>590</v>
      </c>
    </row>
    <row r="554" spans="1:9" x14ac:dyDescent="0.3">
      <c r="A554" s="254" t="s">
        <v>409</v>
      </c>
      <c r="B554" s="254" t="s">
        <v>248</v>
      </c>
      <c r="C554" s="258" t="s">
        <v>410</v>
      </c>
      <c r="D554" s="258" t="s">
        <v>411</v>
      </c>
      <c r="E554" s="259" t="s">
        <v>412</v>
      </c>
      <c r="F554" s="259" t="s">
        <v>413</v>
      </c>
      <c r="H554" s="250" t="s">
        <v>590</v>
      </c>
    </row>
    <row r="555" spans="1:9" x14ac:dyDescent="0.3">
      <c r="A555" s="260" t="s">
        <v>439</v>
      </c>
      <c r="B555" s="261" t="s">
        <v>215</v>
      </c>
      <c r="C555" s="262">
        <v>0.2</v>
      </c>
      <c r="D555" s="263">
        <v>0.17780000000000001</v>
      </c>
      <c r="E555" s="264">
        <v>24.5</v>
      </c>
      <c r="F555" s="264">
        <v>4.3600000000000003</v>
      </c>
      <c r="H555" s="250" t="s">
        <v>590</v>
      </c>
      <c r="I555" s="250" t="s">
        <v>634</v>
      </c>
    </row>
    <row r="556" spans="1:9" x14ac:dyDescent="0.3">
      <c r="A556" s="260" t="s">
        <v>435</v>
      </c>
      <c r="B556" s="261" t="s">
        <v>215</v>
      </c>
      <c r="C556" s="262">
        <v>2</v>
      </c>
      <c r="D556" s="263">
        <v>1.7778</v>
      </c>
      <c r="E556" s="264">
        <v>19.23</v>
      </c>
      <c r="F556" s="264">
        <v>34.19</v>
      </c>
      <c r="H556" s="250" t="s">
        <v>590</v>
      </c>
      <c r="I556" s="250" t="s">
        <v>634</v>
      </c>
    </row>
    <row r="557" spans="1:9" x14ac:dyDescent="0.3">
      <c r="A557" s="260" t="s">
        <v>440</v>
      </c>
      <c r="B557" s="261" t="s">
        <v>215</v>
      </c>
      <c r="C557" s="262">
        <v>2</v>
      </c>
      <c r="D557" s="263">
        <v>1.7778</v>
      </c>
      <c r="E557" s="264">
        <v>15.94</v>
      </c>
      <c r="F557" s="264">
        <v>28.34</v>
      </c>
      <c r="H557" s="250" t="s">
        <v>590</v>
      </c>
      <c r="I557" s="250" t="s">
        <v>634</v>
      </c>
    </row>
    <row r="558" spans="1:9" x14ac:dyDescent="0.3">
      <c r="A558" s="260" t="s">
        <v>417</v>
      </c>
      <c r="B558" s="261" t="s">
        <v>215</v>
      </c>
      <c r="C558" s="262">
        <v>8</v>
      </c>
      <c r="D558" s="263">
        <v>7.1111000000000004</v>
      </c>
      <c r="E558" s="264">
        <v>16.5</v>
      </c>
      <c r="F558" s="264">
        <v>117.33</v>
      </c>
      <c r="H558" s="250" t="s">
        <v>590</v>
      </c>
      <c r="I558" s="250" t="s">
        <v>634</v>
      </c>
    </row>
    <row r="559" spans="1:9" x14ac:dyDescent="0.3">
      <c r="A559" s="260" t="s">
        <v>469</v>
      </c>
      <c r="B559" s="261" t="s">
        <v>215</v>
      </c>
      <c r="C559" s="262">
        <v>2</v>
      </c>
      <c r="D559" s="263">
        <v>1.7778</v>
      </c>
      <c r="E559" s="264">
        <v>20.73</v>
      </c>
      <c r="F559" s="264">
        <v>36.85</v>
      </c>
      <c r="H559" s="250" t="s">
        <v>590</v>
      </c>
      <c r="I559" s="250" t="s">
        <v>634</v>
      </c>
    </row>
    <row r="560" spans="1:9" x14ac:dyDescent="0.3">
      <c r="A560" s="265"/>
      <c r="B560" s="266"/>
      <c r="C560" s="267"/>
      <c r="D560" s="268"/>
      <c r="E560" s="269" t="s">
        <v>418</v>
      </c>
      <c r="F560" s="269">
        <v>221.07</v>
      </c>
      <c r="H560" s="250" t="s">
        <v>590</v>
      </c>
    </row>
    <row r="561" spans="1:9" x14ac:dyDescent="0.3">
      <c r="H561" s="250" t="s">
        <v>590</v>
      </c>
    </row>
    <row r="562" spans="1:9" x14ac:dyDescent="0.3">
      <c r="A562" s="260" t="s">
        <v>487</v>
      </c>
      <c r="B562" s="261" t="s">
        <v>426</v>
      </c>
      <c r="D562" s="263">
        <v>0.5</v>
      </c>
      <c r="E562" s="264">
        <v>65</v>
      </c>
      <c r="F562" s="264">
        <v>32.5</v>
      </c>
      <c r="H562" s="250" t="s">
        <v>590</v>
      </c>
      <c r="I562" s="250" t="s">
        <v>6</v>
      </c>
    </row>
    <row r="563" spans="1:9" x14ac:dyDescent="0.3">
      <c r="A563" s="260" t="s">
        <v>488</v>
      </c>
      <c r="B563" s="261" t="s">
        <v>426</v>
      </c>
      <c r="D563" s="263">
        <v>0.8</v>
      </c>
      <c r="E563" s="264">
        <v>70</v>
      </c>
      <c r="F563" s="264">
        <v>56</v>
      </c>
      <c r="H563" s="250" t="s">
        <v>590</v>
      </c>
      <c r="I563" s="250" t="s">
        <v>6</v>
      </c>
    </row>
    <row r="564" spans="1:9" x14ac:dyDescent="0.3">
      <c r="A564" s="260" t="s">
        <v>421</v>
      </c>
      <c r="B564" s="261" t="s">
        <v>443</v>
      </c>
      <c r="D564" s="263">
        <v>9.1999999999999993</v>
      </c>
      <c r="E564" s="264">
        <v>20</v>
      </c>
      <c r="F564" s="264">
        <v>184</v>
      </c>
      <c r="H564" s="250" t="s">
        <v>590</v>
      </c>
      <c r="I564" s="250" t="s">
        <v>6</v>
      </c>
    </row>
    <row r="565" spans="1:9" x14ac:dyDescent="0.3">
      <c r="A565" s="260" t="s">
        <v>470</v>
      </c>
      <c r="B565" s="261" t="s">
        <v>446</v>
      </c>
      <c r="D565" s="263">
        <v>0.3</v>
      </c>
      <c r="E565" s="264">
        <v>10</v>
      </c>
      <c r="F565" s="264">
        <v>3</v>
      </c>
      <c r="H565" s="250" t="s">
        <v>590</v>
      </c>
      <c r="I565" s="250" t="s">
        <v>6</v>
      </c>
    </row>
    <row r="566" spans="1:9" x14ac:dyDescent="0.3">
      <c r="A566" s="260" t="s">
        <v>463</v>
      </c>
      <c r="B566" s="261" t="s">
        <v>426</v>
      </c>
      <c r="D566" s="263">
        <v>0.18</v>
      </c>
      <c r="E566" s="264">
        <v>5</v>
      </c>
      <c r="F566" s="264">
        <v>0.9</v>
      </c>
      <c r="H566" s="250" t="s">
        <v>590</v>
      </c>
      <c r="I566" s="250" t="s">
        <v>6</v>
      </c>
    </row>
    <row r="567" spans="1:9" x14ac:dyDescent="0.3">
      <c r="A567" s="260" t="s">
        <v>484</v>
      </c>
      <c r="B567" s="261" t="s">
        <v>420</v>
      </c>
      <c r="D567" s="263">
        <v>8.0000000000000002E-3</v>
      </c>
      <c r="E567" s="264">
        <v>5.9</v>
      </c>
      <c r="F567" s="264">
        <v>0.05</v>
      </c>
      <c r="H567" s="250" t="s">
        <v>590</v>
      </c>
      <c r="I567" s="250" t="s">
        <v>6</v>
      </c>
    </row>
    <row r="568" spans="1:9" x14ac:dyDescent="0.3">
      <c r="A568" s="265"/>
      <c r="B568" s="266"/>
      <c r="C568" s="267"/>
      <c r="D568" s="268"/>
      <c r="E568" s="269" t="s">
        <v>427</v>
      </c>
      <c r="F568" s="269">
        <v>276.45</v>
      </c>
      <c r="H568" s="250" t="s">
        <v>590</v>
      </c>
    </row>
    <row r="569" spans="1:9" x14ac:dyDescent="0.3">
      <c r="H569" s="250" t="s">
        <v>590</v>
      </c>
    </row>
    <row r="570" spans="1:9" x14ac:dyDescent="0.3">
      <c r="A570" s="260" t="s">
        <v>489</v>
      </c>
      <c r="B570" s="261" t="s">
        <v>449</v>
      </c>
      <c r="C570" s="262">
        <v>1</v>
      </c>
      <c r="D570" s="263">
        <v>0.88890000000000002</v>
      </c>
      <c r="E570" s="264">
        <v>6.05</v>
      </c>
      <c r="F570" s="264">
        <v>5.38</v>
      </c>
      <c r="H570" s="250" t="s">
        <v>590</v>
      </c>
      <c r="I570" s="250" t="s">
        <v>127</v>
      </c>
    </row>
    <row r="571" spans="1:9" x14ac:dyDescent="0.3">
      <c r="A571" s="260" t="s">
        <v>475</v>
      </c>
      <c r="B571" s="261" t="s">
        <v>449</v>
      </c>
      <c r="C571" s="262">
        <v>1</v>
      </c>
      <c r="D571" s="263">
        <v>0.88890000000000002</v>
      </c>
      <c r="E571" s="264">
        <v>12.01</v>
      </c>
      <c r="F571" s="264">
        <v>10.68</v>
      </c>
      <c r="H571" s="250" t="s">
        <v>590</v>
      </c>
      <c r="I571" s="250" t="s">
        <v>127</v>
      </c>
    </row>
    <row r="572" spans="1:9" x14ac:dyDescent="0.3">
      <c r="A572" s="260" t="s">
        <v>428</v>
      </c>
      <c r="B572" s="261" t="s">
        <v>429</v>
      </c>
      <c r="D572" s="263">
        <v>3</v>
      </c>
      <c r="E572" s="264">
        <v>221.07</v>
      </c>
      <c r="F572" s="264">
        <v>6.63</v>
      </c>
      <c r="H572" s="250" t="s">
        <v>590</v>
      </c>
      <c r="I572" s="250" t="s">
        <v>127</v>
      </c>
    </row>
    <row r="573" spans="1:9" x14ac:dyDescent="0.3">
      <c r="A573" s="265"/>
      <c r="B573" s="266"/>
      <c r="C573" s="267"/>
      <c r="D573" s="268"/>
      <c r="E573" s="269" t="s">
        <v>430</v>
      </c>
      <c r="F573" s="269">
        <v>22.69</v>
      </c>
      <c r="H573" s="250" t="s">
        <v>590</v>
      </c>
    </row>
    <row r="574" spans="1:9" x14ac:dyDescent="0.3">
      <c r="H574" s="250" t="s">
        <v>590</v>
      </c>
    </row>
    <row r="575" spans="1:9" x14ac:dyDescent="0.3">
      <c r="H575" s="250" t="s">
        <v>590</v>
      </c>
    </row>
    <row r="576" spans="1:9" x14ac:dyDescent="0.3">
      <c r="A576" s="253" t="s">
        <v>523</v>
      </c>
      <c r="B576" s="254"/>
      <c r="C576" s="255"/>
      <c r="D576" s="256"/>
      <c r="E576" s="257"/>
      <c r="F576" s="257"/>
    </row>
    <row r="577" spans="1:9" x14ac:dyDescent="0.3">
      <c r="A577" s="253" t="s">
        <v>458</v>
      </c>
      <c r="B577" s="254"/>
      <c r="C577" s="255" t="s">
        <v>434</v>
      </c>
      <c r="D577" s="256"/>
      <c r="E577" s="257" t="s">
        <v>408</v>
      </c>
      <c r="F577" s="257">
        <v>35.25</v>
      </c>
      <c r="H577" s="250" t="s">
        <v>592</v>
      </c>
    </row>
    <row r="578" spans="1:9" x14ac:dyDescent="0.3">
      <c r="A578" s="254" t="s">
        <v>409</v>
      </c>
      <c r="B578" s="254" t="s">
        <v>248</v>
      </c>
      <c r="C578" s="258" t="s">
        <v>410</v>
      </c>
      <c r="D578" s="258" t="s">
        <v>411</v>
      </c>
      <c r="E578" s="259" t="s">
        <v>412</v>
      </c>
      <c r="F578" s="259" t="s">
        <v>413</v>
      </c>
      <c r="H578" s="250" t="s">
        <v>592</v>
      </c>
    </row>
    <row r="579" spans="1:9" x14ac:dyDescent="0.3">
      <c r="A579" s="260" t="s">
        <v>435</v>
      </c>
      <c r="B579" s="261" t="s">
        <v>215</v>
      </c>
      <c r="C579" s="262">
        <v>1</v>
      </c>
      <c r="D579" s="263">
        <v>0.57140000000000002</v>
      </c>
      <c r="E579" s="264">
        <v>19.23</v>
      </c>
      <c r="F579" s="264">
        <v>10.99</v>
      </c>
      <c r="H579" s="250" t="s">
        <v>592</v>
      </c>
      <c r="I579" s="250" t="s">
        <v>634</v>
      </c>
    </row>
    <row r="580" spans="1:9" x14ac:dyDescent="0.3">
      <c r="A580" s="260" t="s">
        <v>440</v>
      </c>
      <c r="B580" s="261" t="s">
        <v>215</v>
      </c>
      <c r="C580" s="262">
        <v>1</v>
      </c>
      <c r="D580" s="263">
        <v>0.57140000000000002</v>
      </c>
      <c r="E580" s="264">
        <v>15.94</v>
      </c>
      <c r="F580" s="264">
        <v>9.11</v>
      </c>
      <c r="H580" s="250" t="s">
        <v>592</v>
      </c>
      <c r="I580" s="250" t="s">
        <v>634</v>
      </c>
    </row>
    <row r="581" spans="1:9" x14ac:dyDescent="0.3">
      <c r="A581" s="260" t="s">
        <v>417</v>
      </c>
      <c r="B581" s="261" t="s">
        <v>215</v>
      </c>
      <c r="C581" s="262">
        <v>0.5</v>
      </c>
      <c r="D581" s="263">
        <v>0.28570000000000001</v>
      </c>
      <c r="E581" s="264">
        <v>16.5</v>
      </c>
      <c r="F581" s="264">
        <v>4.71</v>
      </c>
      <c r="H581" s="250" t="s">
        <v>592</v>
      </c>
      <c r="I581" s="250" t="s">
        <v>634</v>
      </c>
    </row>
    <row r="582" spans="1:9" x14ac:dyDescent="0.3">
      <c r="A582" s="265"/>
      <c r="B582" s="266"/>
      <c r="C582" s="267"/>
      <c r="D582" s="268"/>
      <c r="E582" s="269" t="s">
        <v>418</v>
      </c>
      <c r="F582" s="269">
        <v>24.81</v>
      </c>
      <c r="H582" s="250" t="s">
        <v>592</v>
      </c>
    </row>
    <row r="583" spans="1:9" x14ac:dyDescent="0.3">
      <c r="H583" s="250" t="s">
        <v>592</v>
      </c>
    </row>
    <row r="584" spans="1:9" x14ac:dyDescent="0.3">
      <c r="A584" s="260" t="s">
        <v>494</v>
      </c>
      <c r="B584" s="261" t="s">
        <v>420</v>
      </c>
      <c r="D584" s="263">
        <v>0.5</v>
      </c>
      <c r="E584" s="264">
        <v>4</v>
      </c>
      <c r="F584" s="264">
        <v>2</v>
      </c>
      <c r="H584" s="250" t="s">
        <v>592</v>
      </c>
      <c r="I584" s="250" t="s">
        <v>6</v>
      </c>
    </row>
    <row r="585" spans="1:9" x14ac:dyDescent="0.3">
      <c r="A585" s="260" t="s">
        <v>441</v>
      </c>
      <c r="B585" s="261" t="s">
        <v>420</v>
      </c>
      <c r="D585" s="263">
        <v>0.2</v>
      </c>
      <c r="E585" s="264">
        <v>4.5</v>
      </c>
      <c r="F585" s="264">
        <v>0.9</v>
      </c>
      <c r="H585" s="250" t="s">
        <v>592</v>
      </c>
      <c r="I585" s="250" t="s">
        <v>6</v>
      </c>
    </row>
    <row r="586" spans="1:9" x14ac:dyDescent="0.3">
      <c r="A586" s="260" t="s">
        <v>511</v>
      </c>
      <c r="B586" s="261" t="s">
        <v>424</v>
      </c>
      <c r="D586" s="263">
        <v>1.5</v>
      </c>
      <c r="E586" s="264">
        <v>4.2</v>
      </c>
      <c r="F586" s="264">
        <v>6.3</v>
      </c>
      <c r="H586" s="250" t="s">
        <v>592</v>
      </c>
      <c r="I586" s="250" t="s">
        <v>6</v>
      </c>
    </row>
    <row r="587" spans="1:9" x14ac:dyDescent="0.3">
      <c r="A587" s="265"/>
      <c r="B587" s="266"/>
      <c r="C587" s="267"/>
      <c r="D587" s="268"/>
      <c r="E587" s="269" t="s">
        <v>427</v>
      </c>
      <c r="F587" s="269">
        <v>9.1999999999999993</v>
      </c>
      <c r="H587" s="250" t="s">
        <v>592</v>
      </c>
    </row>
    <row r="588" spans="1:9" x14ac:dyDescent="0.3">
      <c r="H588" s="250" t="s">
        <v>592</v>
      </c>
    </row>
    <row r="589" spans="1:9" x14ac:dyDescent="0.3">
      <c r="A589" s="260" t="s">
        <v>428</v>
      </c>
      <c r="B589" s="261" t="s">
        <v>429</v>
      </c>
      <c r="D589" s="263">
        <v>5</v>
      </c>
      <c r="E589" s="264">
        <v>24.81</v>
      </c>
      <c r="F589" s="264">
        <v>1.24</v>
      </c>
      <c r="H589" s="250" t="s">
        <v>592</v>
      </c>
      <c r="I589" s="250" t="s">
        <v>127</v>
      </c>
    </row>
    <row r="590" spans="1:9" x14ac:dyDescent="0.3">
      <c r="A590" s="265"/>
      <c r="B590" s="266"/>
      <c r="C590" s="267"/>
      <c r="D590" s="268"/>
      <c r="E590" s="269" t="s">
        <v>430</v>
      </c>
      <c r="F590" s="269">
        <v>1.24</v>
      </c>
      <c r="H590" s="250" t="s">
        <v>592</v>
      </c>
    </row>
    <row r="591" spans="1:9" x14ac:dyDescent="0.3">
      <c r="H591" s="250" t="s">
        <v>592</v>
      </c>
    </row>
    <row r="592" spans="1:9" x14ac:dyDescent="0.3">
      <c r="H592" s="250" t="s">
        <v>592</v>
      </c>
    </row>
    <row r="593" spans="1:9" x14ac:dyDescent="0.3">
      <c r="A593" s="253" t="s">
        <v>524</v>
      </c>
      <c r="B593" s="254"/>
      <c r="C593" s="255"/>
      <c r="D593" s="256"/>
      <c r="E593" s="257"/>
      <c r="F593" s="257"/>
    </row>
    <row r="594" spans="1:9" x14ac:dyDescent="0.3">
      <c r="A594" s="253" t="s">
        <v>492</v>
      </c>
      <c r="B594" s="254"/>
      <c r="C594" s="255" t="s">
        <v>493</v>
      </c>
      <c r="D594" s="256"/>
      <c r="E594" s="257" t="s">
        <v>408</v>
      </c>
      <c r="F594" s="257">
        <v>6.07</v>
      </c>
      <c r="H594" s="250" t="s">
        <v>594</v>
      </c>
    </row>
    <row r="595" spans="1:9" x14ac:dyDescent="0.3">
      <c r="A595" s="254" t="s">
        <v>409</v>
      </c>
      <c r="B595" s="254" t="s">
        <v>248</v>
      </c>
      <c r="C595" s="258" t="s">
        <v>410</v>
      </c>
      <c r="D595" s="258" t="s">
        <v>411</v>
      </c>
      <c r="E595" s="259" t="s">
        <v>412</v>
      </c>
      <c r="F595" s="259" t="s">
        <v>413</v>
      </c>
      <c r="H595" s="250" t="s">
        <v>594</v>
      </c>
    </row>
    <row r="596" spans="1:9" x14ac:dyDescent="0.3">
      <c r="A596" s="260" t="s">
        <v>439</v>
      </c>
      <c r="B596" s="261" t="s">
        <v>215</v>
      </c>
      <c r="C596" s="262">
        <v>0.1</v>
      </c>
      <c r="D596" s="263">
        <v>3.2000000000000002E-3</v>
      </c>
      <c r="E596" s="264">
        <v>24.5</v>
      </c>
      <c r="F596" s="264">
        <v>0.08</v>
      </c>
      <c r="H596" s="250" t="s">
        <v>594</v>
      </c>
      <c r="I596" s="250" t="s">
        <v>634</v>
      </c>
    </row>
    <row r="597" spans="1:9" x14ac:dyDescent="0.3">
      <c r="A597" s="260" t="s">
        <v>435</v>
      </c>
      <c r="B597" s="261" t="s">
        <v>215</v>
      </c>
      <c r="C597" s="262">
        <v>1</v>
      </c>
      <c r="D597" s="263">
        <v>3.2000000000000001E-2</v>
      </c>
      <c r="E597" s="264">
        <v>19.23</v>
      </c>
      <c r="F597" s="264">
        <v>0.62</v>
      </c>
      <c r="H597" s="250" t="s">
        <v>594</v>
      </c>
      <c r="I597" s="250" t="s">
        <v>634</v>
      </c>
    </row>
    <row r="598" spans="1:9" x14ac:dyDescent="0.3">
      <c r="A598" s="260" t="s">
        <v>440</v>
      </c>
      <c r="B598" s="261" t="s">
        <v>215</v>
      </c>
      <c r="C598" s="262">
        <v>1</v>
      </c>
      <c r="D598" s="263">
        <v>3.2000000000000001E-2</v>
      </c>
      <c r="E598" s="264">
        <v>15.94</v>
      </c>
      <c r="F598" s="264">
        <v>0.51</v>
      </c>
      <c r="H598" s="250" t="s">
        <v>594</v>
      </c>
      <c r="I598" s="250" t="s">
        <v>634</v>
      </c>
    </row>
    <row r="599" spans="1:9" x14ac:dyDescent="0.3">
      <c r="A599" s="260" t="s">
        <v>417</v>
      </c>
      <c r="B599" s="261" t="s">
        <v>215</v>
      </c>
      <c r="C599" s="262">
        <v>1</v>
      </c>
      <c r="D599" s="263">
        <v>3.2000000000000001E-2</v>
      </c>
      <c r="E599" s="264">
        <v>16.5</v>
      </c>
      <c r="F599" s="264">
        <v>0.53</v>
      </c>
      <c r="H599" s="250" t="s">
        <v>594</v>
      </c>
      <c r="I599" s="250" t="s">
        <v>634</v>
      </c>
    </row>
    <row r="600" spans="1:9" x14ac:dyDescent="0.3">
      <c r="A600" s="265"/>
      <c r="B600" s="266"/>
      <c r="C600" s="267"/>
      <c r="D600" s="268"/>
      <c r="E600" s="269" t="s">
        <v>418</v>
      </c>
      <c r="F600" s="269">
        <v>1.74</v>
      </c>
      <c r="H600" s="250" t="s">
        <v>594</v>
      </c>
    </row>
    <row r="601" spans="1:9" x14ac:dyDescent="0.3">
      <c r="H601" s="250" t="s">
        <v>594</v>
      </c>
    </row>
    <row r="602" spans="1:9" x14ac:dyDescent="0.3">
      <c r="A602" s="260" t="s">
        <v>494</v>
      </c>
      <c r="B602" s="261" t="s">
        <v>420</v>
      </c>
      <c r="D602" s="263">
        <v>0.05</v>
      </c>
      <c r="E602" s="264">
        <v>4</v>
      </c>
      <c r="F602" s="264">
        <v>0.2</v>
      </c>
      <c r="H602" s="250" t="s">
        <v>594</v>
      </c>
      <c r="I602" s="250" t="s">
        <v>6</v>
      </c>
    </row>
    <row r="603" spans="1:9" x14ac:dyDescent="0.3">
      <c r="A603" s="260" t="s">
        <v>495</v>
      </c>
      <c r="B603" s="261" t="s">
        <v>420</v>
      </c>
      <c r="D603" s="263">
        <v>1.05</v>
      </c>
      <c r="E603" s="264">
        <v>3.85</v>
      </c>
      <c r="F603" s="264">
        <v>4.04</v>
      </c>
      <c r="H603" s="250" t="s">
        <v>594</v>
      </c>
      <c r="I603" s="250" t="s">
        <v>6</v>
      </c>
    </row>
    <row r="604" spans="1:9" x14ac:dyDescent="0.3">
      <c r="A604" s="265"/>
      <c r="B604" s="266"/>
      <c r="C604" s="267"/>
      <c r="D604" s="268"/>
      <c r="E604" s="269" t="s">
        <v>427</v>
      </c>
      <c r="F604" s="269">
        <v>4.24</v>
      </c>
      <c r="H604" s="250" t="s">
        <v>594</v>
      </c>
    </row>
    <row r="605" spans="1:9" x14ac:dyDescent="0.3">
      <c r="H605" s="250" t="s">
        <v>594</v>
      </c>
    </row>
    <row r="606" spans="1:9" x14ac:dyDescent="0.3">
      <c r="A606" s="260" t="s">
        <v>428</v>
      </c>
      <c r="B606" s="261" t="s">
        <v>429</v>
      </c>
      <c r="D606" s="263">
        <v>5</v>
      </c>
      <c r="E606" s="264">
        <v>1.74</v>
      </c>
      <c r="F606" s="264">
        <v>0.09</v>
      </c>
      <c r="H606" s="250" t="s">
        <v>594</v>
      </c>
      <c r="I606" s="250" t="s">
        <v>127</v>
      </c>
    </row>
    <row r="607" spans="1:9" x14ac:dyDescent="0.3">
      <c r="A607" s="265"/>
      <c r="B607" s="266"/>
      <c r="C607" s="267"/>
      <c r="D607" s="268"/>
      <c r="E607" s="269" t="s">
        <v>430</v>
      </c>
      <c r="F607" s="269">
        <v>0.09</v>
      </c>
      <c r="H607" s="250" t="s">
        <v>594</v>
      </c>
    </row>
  </sheetData>
  <sheetProtection formatCells="0" formatColumns="0" formatRows="0" insertColumns="0" insertRows="0" insertHyperlinks="0" deleteColumns="0" deleteRows="0" sort="0" autoFilter="0" pivotTables="0"/>
  <mergeCells count="1">
    <mergeCell ref="A1:F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12</vt:i4>
      </vt:variant>
      <vt:variant>
        <vt:lpstr>Rangos con nombre</vt:lpstr>
      </vt:variant>
      <vt:variant>
        <vt:i4>6</vt:i4>
      </vt:variant>
    </vt:vector>
  </HeadingPairs>
  <TitlesOfParts>
    <vt:vector size="18" baseType="lpstr">
      <vt:lpstr>3WLA-movimiento de tierra</vt:lpstr>
      <vt:lpstr>Trazabilidad</vt:lpstr>
      <vt:lpstr>OT</vt:lpstr>
      <vt:lpstr>CS</vt:lpstr>
      <vt:lpstr>DP plantilla (2)</vt:lpstr>
      <vt:lpstr>CURVA S</vt:lpstr>
      <vt:lpstr>3WLA</vt:lpstr>
      <vt:lpstr>RDT</vt:lpstr>
      <vt:lpstr>PR</vt:lpstr>
      <vt:lpstr>DP plantilla</vt:lpstr>
      <vt:lpstr>CD</vt:lpstr>
      <vt:lpstr>APU</vt:lpstr>
      <vt:lpstr>CS!Área_de_impresión</vt:lpstr>
      <vt:lpstr>OT!Área_de_impresión</vt:lpstr>
      <vt:lpstr>PR!Área_de_impresión</vt:lpstr>
      <vt:lpstr>RDT!Área_de_impresión</vt:lpstr>
      <vt:lpstr>'DP plantilla (2)'!Print_Area</vt:lpstr>
      <vt:lpstr>PR!Print_Area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BRANDY</cp:lastModifiedBy>
  <cp:lastPrinted>2026-08-21T14:07:25Z</cp:lastPrinted>
  <dcterms:created xsi:type="dcterms:W3CDTF">2026-08-15T15:38:02Z</dcterms:created>
  <dcterms:modified xsi:type="dcterms:W3CDTF">2026-09-30T16:42:41Z</dcterms:modified>
</cp:coreProperties>
</file>