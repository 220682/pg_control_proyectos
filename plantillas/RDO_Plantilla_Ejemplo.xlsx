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94" firstSheet="0" activeTab="11" autoFilterDateGrouping="1"/>
  </bookViews>
  <sheets>
    <sheet xmlns:r="http://schemas.openxmlformats.org/officeDocument/2006/relationships" name="RDO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Mano_Obra" sheetId="3" state="visible" r:id="rId3"/>
    <sheet xmlns:r="http://schemas.openxmlformats.org/officeDocument/2006/relationships" name="Actividades_Dia" sheetId="4" state="visible" r:id="rId4"/>
    <sheet xmlns:r="http://schemas.openxmlformats.org/officeDocument/2006/relationships" name="Partidas" sheetId="5" state="visible" r:id="rId5"/>
    <sheet xmlns:r="http://schemas.openxmlformats.org/officeDocument/2006/relationships" name="Equipos" sheetId="6" state="visible" r:id="rId6"/>
    <sheet xmlns:r="http://schemas.openxmlformats.org/officeDocument/2006/relationships" name="Materiales" sheetId="7" state="visible" r:id="rId7"/>
    <sheet xmlns:r="http://schemas.openxmlformats.org/officeDocument/2006/relationships" name="SSOMA_Calidad" sheetId="8" state="visible" r:id="rId8"/>
    <sheet xmlns:r="http://schemas.openxmlformats.org/officeDocument/2006/relationships" name="Restricciones_Reuniones" sheetId="9" state="visible" r:id="rId9"/>
    <sheet xmlns:r="http://schemas.openxmlformats.org/officeDocument/2006/relationships" name="Fotos" sheetId="10" state="visible" r:id="rId10"/>
    <sheet xmlns:r="http://schemas.openxmlformats.org/officeDocument/2006/relationships" name="Personal_Offsite" sheetId="11" state="visible" r:id="rId11"/>
    <sheet xmlns:r="http://schemas.openxmlformats.org/officeDocument/2006/relationships" name="Ejercicio_Hibrido" sheetId="12" state="visible" r:id="rId12"/>
  </sheets>
  <definedNames>
    <definedName name="AC_Real_Acumulado">Ejercicio_Hibrido!$F$29</definedName>
    <definedName name="Avance_Planificado_Pct">Ejercicio_Hibrido!$F$30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&quot;S/&quot;\ #,##0.00"/>
    <numFmt numFmtId="167" formatCode="0.000"/>
    <numFmt numFmtId="168" formatCode="&quot;S/&quot; #,##0.00"/>
  </numFmts>
  <fonts count="23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b val="1"/>
      <color rgb="FF1F4E78"/>
      <sz val="10"/>
    </font>
    <font>
      <name val="Calibri"/>
      <b val="1"/>
      <color rgb="FFFFFFFF"/>
      <sz val="11"/>
    </font>
    <font>
      <name val="Calibri"/>
      <b val="1"/>
      <sz val="9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7F7F7F"/>
      <sz val="8"/>
    </font>
    <font>
      <name val="Calibri"/>
      <b val="1"/>
      <color rgb="FFFFFFFF"/>
      <sz val="16"/>
    </font>
    <font>
      <name val="Calibri"/>
      <i val="1"/>
      <color rgb="FF1F4E78"/>
      <sz val="10"/>
    </font>
    <font>
      <name val="Calibri"/>
      <sz val="9"/>
    </font>
    <font>
      <name val="Calibri"/>
      <family val="2"/>
      <b val="1"/>
      <color rgb="FFFFFFFF"/>
      <sz val="9"/>
    </font>
    <font>
      <name val="Calibri"/>
      <family val="2"/>
      <color theme="1"/>
      <sz val="9"/>
      <scheme val="minor"/>
    </font>
    <font>
      <name val="Calibri"/>
      <family val="2"/>
      <i val="1"/>
      <color rgb="FF7F7F7F"/>
      <sz val="9"/>
    </font>
    <font>
      <name val="Calibri"/>
      <family val="2"/>
      <b val="1"/>
      <sz val="9"/>
    </font>
    <font>
      <name val="Calibri"/>
      <family val="2"/>
      <i val="1"/>
      <color rgb="FFC00000"/>
      <sz val="9"/>
    </font>
    <font>
      <b val="1"/>
      <color rgb="00FFFFFF"/>
      <sz val="13"/>
    </font>
    <font>
      <i val="1"/>
      <color rgb="007F7F7F"/>
      <sz val="8"/>
    </font>
    <font>
      <b val="1"/>
      <color rgb="00FFFFFF"/>
      <sz val="11"/>
    </font>
    <font>
      <b val="1"/>
      <sz val="8"/>
    </font>
    <font>
      <b val="1"/>
    </font>
    <font>
      <b val="1"/>
      <sz val="9"/>
    </font>
    <font>
      <i val="1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B4E6B4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7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6" fontId="5" fillId="4" borderId="0" pivotButton="0" quotePrefix="0" xfId="0"/>
    <xf numFmtId="2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4" borderId="0" pivotButton="0" quotePrefix="0" xfId="0"/>
    <xf numFmtId="4" fontId="0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6" fillId="5" borderId="0" pivotButton="0" quotePrefix="0" xfId="0"/>
    <xf numFmtId="4" fontId="6" fillId="5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7" borderId="0" pivotButton="0" quotePrefix="0" xfId="0"/>
    <xf numFmtId="0" fontId="5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4" fontId="0" fillId="9" borderId="1" pivotButton="0" quotePrefix="0" xfId="0"/>
    <xf numFmtId="165" fontId="0" fillId="0" borderId="1" pivotButton="0" quotePrefix="0" xfId="0"/>
    <xf numFmtId="164" fontId="0" fillId="9" borderId="1" pivotButton="0" quotePrefix="0" xfId="0"/>
    <xf numFmtId="167" fontId="0" fillId="0" borderId="1" pivotButton="0" quotePrefix="0" xfId="0"/>
    <xf numFmtId="2" fontId="0" fillId="0" borderId="1" pivotButton="0" quotePrefix="0" xfId="0"/>
    <xf numFmtId="4" fontId="0" fillId="7" borderId="0" pivotButton="0" quotePrefix="0" xfId="0"/>
    <xf numFmtId="166" fontId="0" fillId="7" borderId="0" pivotButton="0" quotePrefix="0" xfId="0"/>
    <xf numFmtId="165" fontId="0" fillId="7" borderId="0" pivotButton="0" quotePrefix="0" xfId="0"/>
    <xf numFmtId="167" fontId="0" fillId="7" borderId="0" pivotButton="0" quotePrefix="0" xfId="0"/>
    <xf numFmtId="2" fontId="0" fillId="7" borderId="0" pivotButton="0" quotePrefix="0" xfId="0"/>
    <xf numFmtId="0" fontId="7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0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6" fillId="5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2" borderId="0" applyAlignment="1" pivotButton="0" quotePrefix="0" xfId="0">
      <alignment horizontal="left" vertical="center" indent="1"/>
    </xf>
    <xf numFmtId="0" fontId="14" fillId="3" borderId="2" applyAlignment="1" pivotButton="0" quotePrefix="0" xfId="0">
      <alignment horizontal="center" vertical="center" wrapText="1"/>
    </xf>
    <xf numFmtId="0" fontId="12" fillId="0" borderId="2" pivotButton="0" quotePrefix="0" xfId="0"/>
    <xf numFmtId="0" fontId="12" fillId="0" borderId="2" applyAlignment="1" pivotButton="0" quotePrefix="0" xfId="0">
      <alignment vertical="center" wrapText="1"/>
    </xf>
    <xf numFmtId="4" fontId="12" fillId="0" borderId="2" pivotButton="0" quotePrefix="0" xfId="0"/>
    <xf numFmtId="166" fontId="12" fillId="0" borderId="2" pivotButton="0" quotePrefix="0" xfId="0"/>
    <xf numFmtId="4" fontId="12" fillId="4" borderId="2" pivotButton="0" quotePrefix="0" xfId="0"/>
    <xf numFmtId="4" fontId="12" fillId="9" borderId="2" pivotButton="0" quotePrefix="0" xfId="0"/>
    <xf numFmtId="0" fontId="12" fillId="0" borderId="2" applyAlignment="1" pivotButton="0" quotePrefix="0" xfId="0">
      <alignment horizontal="center"/>
    </xf>
    <xf numFmtId="165" fontId="12" fillId="0" borderId="2" pivotButton="0" quotePrefix="0" xfId="0"/>
    <xf numFmtId="164" fontId="12" fillId="0" borderId="2" pivotButton="0" quotePrefix="0" xfId="0"/>
    <xf numFmtId="164" fontId="12" fillId="4" borderId="2" pivotButton="0" quotePrefix="0" xfId="0"/>
    <xf numFmtId="164" fontId="12" fillId="9" borderId="2" pivotButton="0" quotePrefix="0" xfId="0"/>
    <xf numFmtId="167" fontId="12" fillId="0" borderId="2" pivotButton="0" quotePrefix="0" xfId="0"/>
    <xf numFmtId="2" fontId="12" fillId="0" borderId="2" pivotButton="0" quotePrefix="0" xfId="0"/>
    <xf numFmtId="165" fontId="12" fillId="8" borderId="2" pivotButton="0" quotePrefix="0" xfId="0"/>
    <xf numFmtId="166" fontId="12" fillId="8" borderId="2" pivotButton="0" quotePrefix="0" xfId="0"/>
    <xf numFmtId="0" fontId="12" fillId="7" borderId="2" pivotButton="0" quotePrefix="0" xfId="0"/>
    <xf numFmtId="0" fontId="14" fillId="7" borderId="0" pivotButton="0" quotePrefix="0" xfId="0"/>
    <xf numFmtId="0" fontId="12" fillId="7" borderId="0" pivotButton="0" quotePrefix="0" xfId="0"/>
    <xf numFmtId="4" fontId="12" fillId="7" borderId="0" pivotButton="0" quotePrefix="0" xfId="0"/>
    <xf numFmtId="166" fontId="12" fillId="7" borderId="0" pivotButton="0" quotePrefix="0" xfId="0"/>
    <xf numFmtId="165" fontId="12" fillId="7" borderId="0" pivotButton="0" quotePrefix="0" xfId="0"/>
    <xf numFmtId="164" fontId="12" fillId="7" borderId="0" pivotButton="0" quotePrefix="0" xfId="0"/>
    <xf numFmtId="167" fontId="12" fillId="7" borderId="0" pivotButton="0" quotePrefix="0" xfId="0"/>
    <xf numFmtId="2" fontId="12" fillId="7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166" fontId="14" fillId="4" borderId="2" pivotButton="0" quotePrefix="0" xfId="0"/>
    <xf numFmtId="166" fontId="14" fillId="8" borderId="2" pivotButton="0" quotePrefix="0" xfId="0"/>
    <xf numFmtId="0" fontId="13" fillId="0" borderId="0" pivotButton="0" quotePrefix="0" xfId="0"/>
    <xf numFmtId="2" fontId="14" fillId="8" borderId="2" pivotButton="0" quotePrefix="0" xfId="0"/>
    <xf numFmtId="165" fontId="14" fillId="6" borderId="2" pivotButton="0" quotePrefix="0" xfId="0"/>
    <xf numFmtId="167" fontId="14" fillId="6" borderId="2" pivotButton="0" quotePrefix="0" xfId="0"/>
    <xf numFmtId="2" fontId="14" fillId="6" borderId="2" pivotButton="0" quotePrefix="0" xfId="0"/>
    <xf numFmtId="0" fontId="15" fillId="0" borderId="0" applyAlignment="1" pivotButton="0" quotePrefix="0" xfId="0">
      <alignment vertical="top" wrapText="1"/>
    </xf>
    <xf numFmtId="0" fontId="16" fillId="11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wrapText="1"/>
    </xf>
    <xf numFmtId="0" fontId="18" fillId="12" borderId="0" applyAlignment="1" pivotButton="0" quotePrefix="0" xfId="0">
      <alignment horizontal="left" vertical="center" indent="1"/>
    </xf>
    <xf numFmtId="0" fontId="19" fillId="1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3" applyAlignment="1" pivotButton="0" quotePrefix="0" xfId="0">
      <alignment vertical="center" wrapText="1"/>
    </xf>
    <xf numFmtId="4" fontId="0" fillId="0" borderId="3" pivotButton="0" quotePrefix="0" xfId="0"/>
    <xf numFmtId="168" fontId="0" fillId="0" borderId="3" pivotButton="0" quotePrefix="0" xfId="0"/>
    <xf numFmtId="4" fontId="0" fillId="14" borderId="3" pivotButton="0" quotePrefix="0" xfId="0"/>
    <xf numFmtId="4" fontId="0" fillId="15" borderId="3" pivotButton="0" quotePrefix="0" xfId="0"/>
    <xf numFmtId="0" fontId="0" fillId="0" borderId="3" applyAlignment="1" pivotButton="0" quotePrefix="0" xfId="0">
      <alignment horizontal="center"/>
    </xf>
    <xf numFmtId="165" fontId="0" fillId="0" borderId="3" pivotButton="0" quotePrefix="0" xfId="0"/>
    <xf numFmtId="164" fontId="0" fillId="0" borderId="3" pivotButton="0" quotePrefix="0" xfId="0"/>
    <xf numFmtId="164" fontId="0" fillId="14" borderId="3" pivotButton="0" quotePrefix="0" xfId="0"/>
    <xf numFmtId="164" fontId="0" fillId="15" borderId="3" pivotButton="0" quotePrefix="0" xfId="0"/>
    <xf numFmtId="167" fontId="0" fillId="0" borderId="3" pivotButton="0" quotePrefix="0" xfId="0"/>
    <xf numFmtId="2" fontId="0" fillId="0" borderId="3" pivotButton="0" quotePrefix="0" xfId="0"/>
    <xf numFmtId="0" fontId="0" fillId="16" borderId="0" pivotButton="0" quotePrefix="0" xfId="0"/>
    <xf numFmtId="0" fontId="20" fillId="16" borderId="0" pivotButton="0" quotePrefix="0" xfId="0"/>
    <xf numFmtId="4" fontId="0" fillId="16" borderId="0" pivotButton="0" quotePrefix="0" xfId="0"/>
    <xf numFmtId="168" fontId="0" fillId="16" borderId="0" pivotButton="0" quotePrefix="0" xfId="0"/>
    <xf numFmtId="165" fontId="0" fillId="16" borderId="0" pivotButton="0" quotePrefix="0" xfId="0"/>
    <xf numFmtId="164" fontId="0" fillId="16" borderId="0" pivotButton="0" quotePrefix="0" xfId="0"/>
    <xf numFmtId="167" fontId="0" fillId="16" borderId="0" pivotButton="0" quotePrefix="0" xfId="0"/>
    <xf numFmtId="2" fontId="0" fillId="16" borderId="0" pivotButton="0" quotePrefix="0" xfId="0"/>
    <xf numFmtId="0" fontId="0" fillId="15" borderId="3" pivotButton="0" quotePrefix="0" xfId="0"/>
    <xf numFmtId="0" fontId="19" fillId="13" borderId="0" pivotButton="0" quotePrefix="0" xfId="0"/>
    <xf numFmtId="168" fontId="20" fillId="17" borderId="3" pivotButton="0" quotePrefix="0" xfId="0"/>
    <xf numFmtId="0" fontId="17" fillId="0" borderId="0" pivotButton="0" quotePrefix="0" xfId="0"/>
    <xf numFmtId="165" fontId="20" fillId="17" borderId="3" pivotButton="0" quotePrefix="0" xfId="0"/>
    <xf numFmtId="0" fontId="21" fillId="0" borderId="0" pivotButton="0" quotePrefix="0" xfId="0"/>
    <xf numFmtId="168" fontId="20" fillId="14" borderId="3" pivotButton="0" quotePrefix="0" xfId="0"/>
    <xf numFmtId="168" fontId="20" fillId="18" borderId="3" pivotButton="0" quotePrefix="0" xfId="0"/>
    <xf numFmtId="2" fontId="20" fillId="18" borderId="3" pivotButton="0" quotePrefix="0" xfId="0"/>
    <xf numFmtId="165" fontId="20" fillId="19" borderId="3" pivotButton="0" quotePrefix="0" xfId="0"/>
    <xf numFmtId="2" fontId="20" fillId="19" borderId="3" pivotButton="0" quotePrefix="0" xfId="0"/>
    <xf numFmtId="0" fontId="2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H33"/>
  <sheetViews>
    <sheetView showGridLines="0" workbookViewId="0">
      <selection activeCell="A1" sqref="A1:H1"/>
    </sheetView>
  </sheetViews>
  <sheetFormatPr baseColWidth="10" defaultColWidth="8.88671875" defaultRowHeight="14.4"/>
  <cols>
    <col width="22" customWidth="1" style="44" min="1" max="1"/>
    <col width="16" customWidth="1" style="44" min="2" max="6"/>
    <col width="22" customWidth="1" style="44" min="7" max="7"/>
    <col width="16" customWidth="1" style="44" min="8" max="8"/>
  </cols>
  <sheetData>
    <row r="1" ht="25.95" customHeight="1" s="44">
      <c r="A1" s="46" t="inlineStr">
        <is>
          <t>REPORTE DIARIO DE OBRA (RDO)</t>
        </is>
      </c>
    </row>
    <row r="2">
      <c r="A2" s="47" t="inlineStr">
        <is>
          <t>Marcobre — Proyecto Movimiento de Tierras, Fabricación e Instalación de Bancoductos (EJEMPLO / DATOS FICTICIOS)</t>
        </is>
      </c>
    </row>
    <row r="4" ht="18" customHeight="1" s="44">
      <c r="A4" s="43" t="inlineStr">
        <is>
          <t>DATOS GENERALES</t>
        </is>
      </c>
    </row>
    <row r="5" ht="18" customHeight="1" s="44">
      <c r="A5" s="1" t="inlineStr">
        <is>
          <t>Contratista</t>
        </is>
      </c>
      <c r="B5" t="inlineStr">
        <is>
          <t>PROMCOSER</t>
        </is>
      </c>
      <c r="C5" s="1" t="inlineStr">
        <is>
          <t>Contrato N.º</t>
        </is>
      </c>
      <c r="D5" t="inlineStr">
        <is>
          <t>CT-2026-0458</t>
        </is>
      </c>
      <c r="E5" s="43" t="inlineStr">
        <is>
          <t>CLIMA</t>
        </is>
      </c>
    </row>
    <row r="6">
      <c r="A6" s="1" t="inlineStr">
        <is>
          <t>Ubicación</t>
        </is>
      </c>
      <c r="B6" t="inlineStr">
        <is>
          <t>Marcona</t>
        </is>
      </c>
      <c r="C6" s="1" t="inlineStr">
        <is>
          <t>Fecha de RDO</t>
        </is>
      </c>
      <c r="D6" t="inlineStr">
        <is>
          <t>05/08/2026</t>
        </is>
      </c>
      <c r="E6" s="1" t="inlineStr">
        <is>
          <t>T mín.</t>
        </is>
      </c>
      <c r="F6" t="inlineStr">
        <is>
          <t>11°</t>
        </is>
      </c>
    </row>
    <row r="7">
      <c r="A7" s="1" t="inlineStr">
        <is>
          <t>Fecha de Inicio</t>
        </is>
      </c>
      <c r="B7" t="inlineStr">
        <is>
          <t>04/08/2026</t>
        </is>
      </c>
      <c r="C7" s="1" t="inlineStr">
        <is>
          <t>RDO N.º</t>
        </is>
      </c>
      <c r="D7" t="n">
        <v>22</v>
      </c>
      <c r="E7" s="1" t="inlineStr">
        <is>
          <t>T máx.</t>
        </is>
      </c>
      <c r="F7" t="inlineStr">
        <is>
          <t>24°</t>
        </is>
      </c>
    </row>
    <row r="8">
      <c r="A8" s="1" t="inlineStr">
        <is>
          <t>Turno</t>
        </is>
      </c>
      <c r="B8" t="inlineStr">
        <is>
          <t>Día</t>
        </is>
      </c>
      <c r="C8" s="1" t="inlineStr">
        <is>
          <t>Régimen</t>
        </is>
      </c>
      <c r="D8" t="inlineStr">
        <is>
          <t>6x1</t>
        </is>
      </c>
      <c r="E8" s="1" t="inlineStr">
        <is>
          <t>Viento</t>
        </is>
      </c>
      <c r="F8" t="inlineStr">
        <is>
          <t>15 Km/h</t>
        </is>
      </c>
    </row>
    <row r="9">
      <c r="E9" s="1" t="inlineStr">
        <is>
          <t>Lluvia</t>
        </is>
      </c>
      <c r="F9" t="inlineStr">
        <is>
          <t>--</t>
        </is>
      </c>
    </row>
    <row r="10" ht="18" customHeight="1" s="44">
      <c r="A10" s="43" t="inlineStr">
        <is>
          <t>RESUMEN EJECUTIVO DEL DÍA — se calcula solo, no se llena a mano</t>
        </is>
      </c>
    </row>
    <row r="11">
      <c r="A11" s="45" t="inlineStr">
        <is>
          <t>Personal en obra hoy (headcount real, según Roster)</t>
        </is>
      </c>
      <c r="F11" s="2">
        <f>COUNTIF(Personal_Offsite!G3:G28,"A")</f>
        <v/>
      </c>
      <c r="G11" s="3" t="inlineStr">
        <is>
          <t>personas</t>
        </is>
      </c>
    </row>
    <row r="12">
      <c r="A12" s="45" t="inlineStr">
        <is>
          <t>HH trabajadas hoy (todas las actividades)</t>
        </is>
      </c>
      <c r="F12" s="4">
        <f>Actividades_Dia!H13</f>
        <v/>
      </c>
      <c r="G12" s="3" t="inlineStr">
        <is>
          <t>HH</t>
        </is>
      </c>
    </row>
    <row r="13">
      <c r="A13" s="45" t="inlineStr">
        <is>
          <t>% Trabajo Productivo del día (Directo a partida)</t>
        </is>
      </c>
      <c r="F13" s="5">
        <f>Actividades_Dia!G17</f>
        <v/>
      </c>
      <c r="G13" s="3" t="inlineStr">
        <is>
          <t>%</t>
        </is>
      </c>
    </row>
    <row r="14">
      <c r="A14" s="45" t="inlineStr">
        <is>
          <t>% Trabajo Contributorio del día</t>
        </is>
      </c>
      <c r="F14" s="5">
        <f>Actividades_Dia!G18</f>
        <v/>
      </c>
      <c r="G14" s="3" t="inlineStr">
        <is>
          <t>%</t>
        </is>
      </c>
    </row>
    <row r="15">
      <c r="A15" s="45" t="inlineStr">
        <is>
          <t>% Trabajo No Contributorio del día</t>
        </is>
      </c>
      <c r="F15" s="5">
        <f>Actividades_Dia!G19</f>
        <v/>
      </c>
      <c r="G15" s="3" t="inlineStr">
        <is>
          <t>%</t>
        </is>
      </c>
    </row>
    <row r="16">
      <c r="A16" s="45" t="inlineStr">
        <is>
          <t>Avance físico ponderado acumulado del proyecto</t>
        </is>
      </c>
      <c r="F16" s="5">
        <f>Partidas!M8</f>
        <v/>
      </c>
      <c r="G16" s="3" t="inlineStr">
        <is>
          <t>%</t>
        </is>
      </c>
    </row>
    <row r="17">
      <c r="A17" s="45" t="inlineStr">
        <is>
          <t>Monto ejecutado acumulado (Venta a la fecha)</t>
        </is>
      </c>
      <c r="F17" s="6">
        <f>Partidas!O8</f>
        <v/>
      </c>
      <c r="G17" s="3" t="inlineStr">
        <is>
          <t>S/.</t>
        </is>
      </c>
    </row>
    <row r="18">
      <c r="A18" s="45" t="inlineStr">
        <is>
          <t>Monto contractual total (Meta)</t>
        </is>
      </c>
      <c r="F18" s="6">
        <f>Partidas!G8</f>
        <v/>
      </c>
      <c r="G18" s="3" t="inlineStr">
        <is>
          <t>S/.</t>
        </is>
      </c>
    </row>
    <row r="19">
      <c r="A19" s="45" t="inlineStr">
        <is>
          <t>HH Meta acumuladas (según avance ejecutado)</t>
        </is>
      </c>
      <c r="F19" s="4">
        <f>Partidas!P8</f>
        <v/>
      </c>
      <c r="G19" s="3" t="inlineStr">
        <is>
          <t>HH</t>
        </is>
      </c>
    </row>
    <row r="20">
      <c r="A20" s="45" t="inlineStr">
        <is>
          <t>HH Reales acumuladas (solo directas a partida)</t>
        </is>
      </c>
      <c r="F20" s="4">
        <f>Partidas!S8</f>
        <v/>
      </c>
      <c r="G20" s="3" t="inlineStr">
        <is>
          <t>HH</t>
        </is>
      </c>
    </row>
    <row r="21">
      <c r="A21" s="45" t="inlineStr">
        <is>
          <t>Índice de Productividad de MO (Meta / Real)</t>
        </is>
      </c>
      <c r="F21" s="7">
        <f>Partidas!U8</f>
        <v/>
      </c>
      <c r="G21" s="3" t="inlineStr">
        <is>
          <t>índice</t>
        </is>
      </c>
    </row>
    <row r="22">
      <c r="A22" s="45" t="inlineStr">
        <is>
          <t>Restricciones abiertas</t>
        </is>
      </c>
      <c r="F22" s="2">
        <f>COUNTIF(Restricciones_Reuniones!G3:G5,"Abierta")</f>
        <v/>
      </c>
      <c r="G22" s="3" t="inlineStr">
        <is>
          <t>und</t>
        </is>
      </c>
    </row>
    <row r="23">
      <c r="A23" s="45" t="inlineStr">
        <is>
          <t>Cumplimiento control de alcohol y drogas</t>
        </is>
      </c>
      <c r="F23" s="5">
        <f>SSOMA_Calidad!E4</f>
        <v/>
      </c>
      <c r="G23" s="3" t="inlineStr">
        <is>
          <t>%</t>
        </is>
      </c>
    </row>
    <row r="25" ht="18" customHeight="1" s="44">
      <c r="A25" s="43" t="inlineStr">
        <is>
          <t>ACTIVIDADES MÁS RELEVANTES DEL DÍA (texto libre corto, no reemplaza Partidas/Actividades_Dia)</t>
        </is>
      </c>
    </row>
    <row r="26">
      <c r="A26" s="48" t="inlineStr">
        <is>
          <t>Se continúa excavación en PART-01 (tramo km 0+450), fabricación de bancoductos en cantera Marcona, izaje e instalación en Rampa Sur, vaciado de concreto en pedestal L-12 (Almacén Norte) y avance de montaje de estructura metálica columna C-08. Restricción activa: falta de tubería HDPE limita avance de PART-03.</t>
        </is>
      </c>
    </row>
    <row r="27"/>
    <row r="28"/>
    <row r="30" ht="18" customHeight="1" s="44">
      <c r="A30" s="43" t="inlineStr">
        <is>
          <t>FIRMAS</t>
        </is>
      </c>
    </row>
    <row r="31">
      <c r="A31" s="1" t="inlineStr">
        <is>
          <t>Reportado por:</t>
        </is>
      </c>
      <c r="E31" s="1" t="inlineStr">
        <is>
          <t>Revisado por:</t>
        </is>
      </c>
    </row>
    <row r="33">
      <c r="A33" t="inlineStr">
        <is>
          <t>Ing. Residente PROMCOSER</t>
        </is>
      </c>
      <c r="E33" t="inlineStr">
        <is>
          <t>Supervisión AESA / Marcobre</t>
        </is>
      </c>
    </row>
  </sheetData>
  <mergeCells count="21">
    <mergeCell ref="A30:H30"/>
    <mergeCell ref="A15:E15"/>
    <mergeCell ref="A11:E11"/>
    <mergeCell ref="A1:H1"/>
    <mergeCell ref="A16:E16"/>
    <mergeCell ref="A25:H25"/>
    <mergeCell ref="A18:E18"/>
    <mergeCell ref="E5:H5"/>
    <mergeCell ref="A21:E21"/>
    <mergeCell ref="A12:E12"/>
    <mergeCell ref="A2:H2"/>
    <mergeCell ref="A23:E23"/>
    <mergeCell ref="A14:E14"/>
    <mergeCell ref="A22:E22"/>
    <mergeCell ref="A17:E17"/>
    <mergeCell ref="A26:H28"/>
    <mergeCell ref="A4:H4"/>
    <mergeCell ref="A20:E20"/>
    <mergeCell ref="A19:E19"/>
    <mergeCell ref="A10:H10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A47"/>
  <sheetViews>
    <sheetView workbookViewId="0">
      <selection activeCell="A1" sqref="A1"/>
    </sheetView>
  </sheetViews>
  <sheetFormatPr baseColWidth="10" defaultColWidth="8.88671875" defaultRowHeight="14.4"/>
  <cols>
    <col width="112" customWidth="1" style="44" min="1" max="1"/>
  </cols>
  <sheetData>
    <row r="1" ht="22.05" customHeight="1" s="44">
      <c r="A1" s="9" t="inlineStr">
        <is>
          <t>CÓMO SE LLENA ESTE RDO</t>
        </is>
      </c>
    </row>
    <row r="2">
      <c r="A2" s="48" t="n"/>
    </row>
    <row r="3">
      <c r="A3" s="48" t="inlineStr">
        <is>
          <t>PROPÓSITO: este archivo es la FUENTE PRIMARIA diaria de datos del proyecto. Todo lo que se necesita para el</t>
        </is>
      </c>
    </row>
    <row r="4">
      <c r="A4" s="48" t="inlineStr">
        <is>
          <t>Cronograma, el Control de Costos / Resultado Operativo, Seguridad y Calidad sale de aquí — no de fotos sueltas ni de WhatsApp.</t>
        </is>
      </c>
    </row>
    <row r="5">
      <c r="A5" s="48" t="n"/>
    </row>
    <row r="6">
      <c r="A6" s="48" t="inlineStr">
        <is>
          <t>ORDEN DE LLENADO (cada hoja alimenta a la siguiente — este es el cambio clave frente a la versión anterior):</t>
        </is>
      </c>
    </row>
    <row r="7">
      <c r="A7" s="48" t="inlineStr">
        <is>
          <t xml:space="preserve">  1. Partidas — tabla maestra del proyecto: código, partida, área, unidad y metrado contractual. Se llena una vez</t>
        </is>
      </c>
    </row>
    <row r="8">
      <c r="A8" s="48" t="inlineStr">
        <is>
          <t xml:space="preserve">     al inicio del proyecto y casi no cambia día a día (solo el metrado acumulado de ayer, que se actualiza solo).</t>
        </is>
      </c>
    </row>
    <row r="9">
      <c r="A9" s="48" t="inlineStr">
        <is>
          <t xml:space="preserve">  2. Actividades_Dia — QUÉ se hizo hoy: una fila por actividad (T1, T2, T3...), con su descripción, y muy importante,</t>
        </is>
      </c>
    </row>
    <row r="10">
      <c r="A10" s="48" t="inlineStr">
        <is>
          <t xml:space="preserve">     su CLASIFICACIÓN: 'D' (Directo a una partida), 'C' (Contributorio) o 'NC' (No Contributorio). Solo si es 'D' se</t>
        </is>
      </c>
    </row>
    <row r="11">
      <c r="A11" s="48" t="inlineStr">
        <is>
          <t xml:space="preserve">     liga a un código de Partidas y se anota el metrado ejecutado hoy.</t>
        </is>
      </c>
    </row>
    <row r="12">
      <c r="A12" s="48" t="inlineStr">
        <is>
          <t xml:space="preserve">  3. Mano_Obra — QUIÉN trabajó y CUÁNTAS HORAS, ligado al código de actividad (T1, T2...) de Actividades_Dia, NO a la</t>
        </is>
      </c>
    </row>
    <row r="13">
      <c r="A13" s="48" t="inlineStr">
        <is>
          <t xml:space="preserve">     partida directamente. Un mismo trabajador puede aparecer en más de una fila si repartió su turno entre dos</t>
        </is>
      </c>
    </row>
    <row r="14">
      <c r="A14" s="48" t="inlineStr">
        <is>
          <t xml:space="preserve">     actividades (ej. 8h instalando + 2h en espera de material).</t>
        </is>
      </c>
    </row>
    <row r="15">
      <c r="A15" s="48" t="inlineStr">
        <is>
          <t xml:space="preserve">  4. Equipos, Materiales, SSOMA_Calidad, Restricciones_Reuniones, Fotos, Personal_Offsite — independientes, cada uno</t>
        </is>
      </c>
    </row>
    <row r="16">
      <c r="A16" s="48" t="inlineStr">
        <is>
          <t xml:space="preserve">     registra su propio dato del día.</t>
        </is>
      </c>
    </row>
    <row r="17">
      <c r="A17" s="48" t="inlineStr">
        <is>
          <t xml:space="preserve">  5. La hoja RDO (portada) no se llena a mano salvo la cabecera — el resumen ejecutivo se arma solo.</t>
        </is>
      </c>
    </row>
    <row r="18">
      <c r="A18" s="48" t="n"/>
    </row>
    <row r="19">
      <c r="A19" s="48" t="inlineStr">
        <is>
          <t>POR QUÉ SE SEPARÓ 'QUÉ SE HIZO' (Actividades_Dia) DE 'QUIÉN LO HIZO' (Mano_Obra):</t>
        </is>
      </c>
    </row>
    <row r="20">
      <c r="A20" s="48" t="inlineStr">
        <is>
          <t xml:space="preserve">  Antes, toda hora de un trabajador asignado a una partida se contaba como 100% productiva para esa partida. En la</t>
        </is>
      </c>
    </row>
    <row r="21">
      <c r="A21" s="48" t="inlineStr">
        <is>
          <t xml:space="preserve">  realidad, dentro del mismo turno hay tiempo de transporte de materiales, charlas, esperas por falta de insumos,</t>
        </is>
      </c>
    </row>
    <row r="22">
      <c r="A22" s="48" t="inlineStr">
        <is>
          <t xml:space="preserve">  orden y limpieza — trabajo necesario pero que NO avanza metrado. Si esas horas se cuentan como directas, el</t>
        </is>
      </c>
    </row>
    <row r="23">
      <c r="A23" s="48" t="inlineStr">
        <is>
          <t xml:space="preserve">  rendimiento real (HH/unidad) sale mejor de lo que es en verdad, y se pierde la alerta de sobrecosto a tiempo.</t>
        </is>
      </c>
    </row>
    <row r="24">
      <c r="A24" s="48" t="inlineStr">
        <is>
          <t xml:space="preserve">  Por eso cada actividad del día se clasifica:</t>
        </is>
      </c>
    </row>
    <row r="25">
      <c r="A25" s="48" t="inlineStr">
        <is>
          <t xml:space="preserve">    D  = Directo:          avanza metrado de una partida -&gt; entra al cálculo de rendimiento de esa partida.</t>
        </is>
      </c>
    </row>
    <row r="26">
      <c r="A26" s="48" t="inlineStr">
        <is>
          <t xml:space="preserve">    C  = Contributorio:    necesario pero no avanza metrado (transporte, charla, orden y limpieza, supervisión).</t>
        </is>
      </c>
    </row>
    <row r="27">
      <c r="A27" s="48" t="inlineStr">
        <is>
          <t xml:space="preserve">    NC = No Contributorio: tiempo perdido (espera, standby por falta de material o equipo, interferencias).</t>
        </is>
      </c>
    </row>
    <row r="28">
      <c r="A28" s="48" t="inlineStr">
        <is>
          <t xml:space="preserve">  Esto es exactamente lo que en Last Planner se llama muestreo de trabajo / Nivel General de Actividad (TP/TC/TNC),</t>
        </is>
      </c>
    </row>
    <row r="29">
      <c r="A29" s="48" t="inlineStr">
        <is>
          <t xml:space="preserve">  y ahora se calcula solo en la hoja Actividades_Dia (ver bloque 'RESUMEN TP/TC/TNC' al final de esa hoja).</t>
        </is>
      </c>
    </row>
    <row r="30">
      <c r="A30" s="48" t="n"/>
    </row>
    <row r="31">
      <c r="A31" s="10" t="inlineStr">
        <is>
          <t>QUÉ ES EL 'RENDIMIENTO' Y POR QUÉ IMPORTA:</t>
        </is>
      </c>
    </row>
    <row r="32">
      <c r="A32" s="48" t="inlineStr">
        <is>
          <t xml:space="preserve">  Cada partida tiene un rendimiento META en HH por unidad (ej. 2.8 HH por bancoducto fabricado), que sale del</t>
        </is>
      </c>
    </row>
    <row r="33">
      <c r="A33" s="48" t="inlineStr">
        <is>
          <t xml:space="preserve">  presupuesto. Cada día, solo las HH de actividades clasificadas 'D' y ligadas a esa partida se acumulan y se</t>
        </is>
      </c>
    </row>
    <row r="34">
      <c r="A34" s="48" t="inlineStr">
        <is>
          <t xml:space="preserve">  dividen entre el metrado acumulado ejecutado -&gt; ese es el RENDIMIENTO REAL. Compararlo contra la meta dice si esa</t>
        </is>
      </c>
    </row>
    <row r="35">
      <c r="A35" s="48" t="inlineStr">
        <is>
          <t xml:space="preserve">  partida está gastando más o menos mano de obra de la presupuestada -&gt; es la alerta temprana de sobrecosto de mano</t>
        </is>
      </c>
    </row>
    <row r="36">
      <c r="A36" s="48" t="inlineStr">
        <is>
          <t xml:space="preserve">  de obra, antes de que se vea en la facturación o en el Resultado Operativo mensual.</t>
        </is>
      </c>
    </row>
    <row r="37">
      <c r="A37" s="48" t="inlineStr">
        <is>
          <t xml:space="preserve">  'Índice de Productividad MO' = HH Meta Acumulada / HH Real Acumulada. &gt;1 = se gasta MENOS HH que lo presupuestado</t>
        </is>
      </c>
    </row>
    <row r="38">
      <c r="A38" s="48" t="inlineStr">
        <is>
          <t xml:space="preserve">  (bien). &lt;1 = se gasta MÁS HH que lo presupuestado (alerta).</t>
        </is>
      </c>
    </row>
    <row r="39">
      <c r="A39" s="48" t="n"/>
    </row>
    <row r="40">
      <c r="A40" s="48" t="inlineStr">
        <is>
          <t>CÓDIGOS usados en este ejemplo (deben coincidir EXACTO en todas las hojas, es lo que conecta todo):</t>
        </is>
      </c>
    </row>
    <row r="41">
      <c r="A41" s="48" t="inlineStr">
        <is>
          <t xml:space="preserve">  Partidas:    PART-01 Excavación | PART-02 Fabricación bancoductos | PART-03 Instalación bancoductos |</t>
        </is>
      </c>
    </row>
    <row r="42">
      <c r="A42" s="48" t="inlineStr">
        <is>
          <t xml:space="preserve">               PART-04 Vaciado de concreto | PART-05 Montaje de estructuras metálicas.</t>
        </is>
      </c>
    </row>
    <row r="43">
      <c r="A43" s="48" t="inlineStr">
        <is>
          <t xml:space="preserve">  Actividades: T1..T5 son 'D' (una por cada partida). T6 (transporte), T7 (charla), T9 (orden y limpieza) y T10</t>
        </is>
      </c>
    </row>
    <row r="44">
      <c r="A44" s="48" t="inlineStr">
        <is>
          <t xml:space="preserve">               (supervisión/calidad/SSOMA) son 'C'. T8 (espera de material) es 'NC'.</t>
        </is>
      </c>
    </row>
    <row r="45">
      <c r="A45" s="48" t="n"/>
    </row>
    <row r="46">
      <c r="A46" s="48" t="inlineStr">
        <is>
          <t>Todos los datos de este archivo (nombres, cantidades, montos) son FICTICIOS — es un ejemplo para validar el flujo,</t>
        </is>
      </c>
    </row>
    <row r="47">
      <c r="A47" s="48" t="inlineStr">
        <is>
          <t>no información real del proyecto.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8671875" defaultRowHeight="14.4"/>
  <cols>
    <col width="10" customWidth="1" style="44" min="1" max="1"/>
    <col width="30" customWidth="1" style="44" min="2" max="2"/>
    <col width="8" customWidth="1" style="44" min="3" max="3"/>
    <col width="10" customWidth="1" style="44" min="4" max="5"/>
    <col width="40" customWidth="1" style="44" min="6" max="6"/>
  </cols>
  <sheetData>
    <row r="1" ht="18" customHeight="1" s="44">
      <c r="A1" s="43" t="inlineStr">
        <is>
          <t>MANO DE OBRA DEL DÍA — ligada a la ACTIVIDAD (T1, T2...), no directo a la partida</t>
        </is>
      </c>
    </row>
    <row r="2" ht="24" customHeight="1" s="44">
      <c r="A2" s="11" t="inlineStr">
        <is>
          <t>Código
Actividad</t>
        </is>
      </c>
      <c r="B2" s="11" t="inlineStr">
        <is>
          <t>Cargo</t>
        </is>
      </c>
      <c r="C2" s="11" t="inlineStr">
        <is>
          <t>Cant.</t>
        </is>
      </c>
      <c r="D2" s="11" t="inlineStr">
        <is>
          <t>HH/
persona</t>
        </is>
      </c>
      <c r="E2" s="11" t="inlineStr">
        <is>
          <t>HH Día</t>
        </is>
      </c>
      <c r="F2" s="11" t="inlineStr">
        <is>
          <t>Observaciones</t>
        </is>
      </c>
    </row>
    <row r="3">
      <c r="A3" s="12" t="inlineStr">
        <is>
          <t>T1</t>
        </is>
      </c>
      <c r="B3" s="12" t="inlineStr">
        <is>
          <t>Operador Excavadora</t>
        </is>
      </c>
      <c r="C3" s="12" t="n">
        <v>1</v>
      </c>
      <c r="D3" s="13" t="n">
        <v>10</v>
      </c>
      <c r="E3" s="14">
        <f>C3*D3</f>
        <v/>
      </c>
      <c r="F3" s="12" t="n"/>
    </row>
    <row r="4">
      <c r="A4" s="12" t="inlineStr">
        <is>
          <t>T1</t>
        </is>
      </c>
      <c r="B4" s="12" t="inlineStr">
        <is>
          <t>Ayudante</t>
        </is>
      </c>
      <c r="C4" s="12" t="n">
        <v>1</v>
      </c>
      <c r="D4" s="13" t="n">
        <v>10</v>
      </c>
      <c r="E4" s="14">
        <f>C4*D4</f>
        <v/>
      </c>
      <c r="F4" s="12" t="n"/>
    </row>
    <row r="5">
      <c r="A5" s="12" t="inlineStr">
        <is>
          <t>T1</t>
        </is>
      </c>
      <c r="B5" s="12" t="inlineStr">
        <is>
          <t>Vigía</t>
        </is>
      </c>
      <c r="C5" s="12" t="n">
        <v>1</v>
      </c>
      <c r="D5" s="13" t="n">
        <v>10</v>
      </c>
      <c r="E5" s="14">
        <f>C5*D5</f>
        <v/>
      </c>
      <c r="F5" s="12" t="n"/>
    </row>
    <row r="6">
      <c r="A6" s="15" t="n"/>
      <c r="B6" s="2" t="inlineStr">
        <is>
          <t>Subtotal T1</t>
        </is>
      </c>
      <c r="C6" s="16">
        <f>SUM(C3:C5)</f>
        <v/>
      </c>
      <c r="D6" s="17" t="n"/>
      <c r="E6" s="18">
        <f>SUM(E3:E5)</f>
        <v/>
      </c>
      <c r="F6" s="15" t="n"/>
    </row>
    <row r="7">
      <c r="A7" s="12" t="inlineStr">
        <is>
          <t>T2</t>
        </is>
      </c>
      <c r="B7" s="12" t="inlineStr">
        <is>
          <t>Operario Civil</t>
        </is>
      </c>
      <c r="C7" s="12" t="n">
        <v>2</v>
      </c>
      <c r="D7" s="13" t="n">
        <v>10</v>
      </c>
      <c r="E7" s="14">
        <f>C7*D7</f>
        <v/>
      </c>
      <c r="F7" s="12" t="n"/>
    </row>
    <row r="8">
      <c r="A8" s="12" t="inlineStr">
        <is>
          <t>T2</t>
        </is>
      </c>
      <c r="B8" s="12" t="inlineStr">
        <is>
          <t>Oficial</t>
        </is>
      </c>
      <c r="C8" s="12" t="n">
        <v>3</v>
      </c>
      <c r="D8" s="13" t="n">
        <v>10</v>
      </c>
      <c r="E8" s="14">
        <f>C8*D8</f>
        <v/>
      </c>
      <c r="F8" s="12" t="n"/>
    </row>
    <row r="9">
      <c r="A9" s="12" t="inlineStr">
        <is>
          <t>T2</t>
        </is>
      </c>
      <c r="B9" s="12" t="inlineStr">
        <is>
          <t>Ayudante</t>
        </is>
      </c>
      <c r="C9" s="12" t="n">
        <v>2</v>
      </c>
      <c r="D9" s="13" t="n">
        <v>8</v>
      </c>
      <c r="E9" s="14">
        <f>C9*D9</f>
        <v/>
      </c>
      <c r="F9" s="12" t="inlineStr">
        <is>
          <t>Últimas 2h del turno -&gt; T9 (orden y limpieza)</t>
        </is>
      </c>
    </row>
    <row r="10">
      <c r="A10" s="15" t="n"/>
      <c r="B10" s="2" t="inlineStr">
        <is>
          <t>Subtotal T2</t>
        </is>
      </c>
      <c r="C10" s="16">
        <f>SUM(C7:C9)</f>
        <v/>
      </c>
      <c r="D10" s="17" t="n"/>
      <c r="E10" s="18">
        <f>SUM(E7:E9)</f>
        <v/>
      </c>
      <c r="F10" s="15" t="n"/>
    </row>
    <row r="11">
      <c r="A11" s="12" t="inlineStr">
        <is>
          <t>T3</t>
        </is>
      </c>
      <c r="B11" s="12" t="inlineStr">
        <is>
          <t>Operario Civil</t>
        </is>
      </c>
      <c r="C11" s="12" t="n">
        <v>1</v>
      </c>
      <c r="D11" s="13" t="n">
        <v>10</v>
      </c>
      <c r="E11" s="14">
        <f>C11*D11</f>
        <v/>
      </c>
      <c r="F11" s="12" t="n"/>
    </row>
    <row r="12">
      <c r="A12" s="12" t="inlineStr">
        <is>
          <t>T3</t>
        </is>
      </c>
      <c r="B12" s="12" t="inlineStr">
        <is>
          <t>Oficial</t>
        </is>
      </c>
      <c r="C12" s="12" t="n">
        <v>2</v>
      </c>
      <c r="D12" s="13" t="n">
        <v>10</v>
      </c>
      <c r="E12" s="14">
        <f>C12*D12</f>
        <v/>
      </c>
      <c r="F12" s="12" t="n"/>
    </row>
    <row r="13">
      <c r="A13" s="12" t="inlineStr">
        <is>
          <t>T3</t>
        </is>
      </c>
      <c r="B13" s="12" t="inlineStr">
        <is>
          <t>Operador Grúa</t>
        </is>
      </c>
      <c r="C13" s="12" t="n">
        <v>1</v>
      </c>
      <c r="D13" s="13" t="n">
        <v>8</v>
      </c>
      <c r="E13" s="14">
        <f>C13*D13</f>
        <v/>
      </c>
      <c r="F13" s="12" t="inlineStr">
        <is>
          <t>Últimas 2h del turno -&gt; T8 (espera tubería HDPE)</t>
        </is>
      </c>
    </row>
    <row r="14">
      <c r="A14" s="15" t="n"/>
      <c r="B14" s="2" t="inlineStr">
        <is>
          <t>Subtotal T3</t>
        </is>
      </c>
      <c r="C14" s="16">
        <f>SUM(C11:C13)</f>
        <v/>
      </c>
      <c r="D14" s="17" t="n"/>
      <c r="E14" s="18">
        <f>SUM(E11:E13)</f>
        <v/>
      </c>
      <c r="F14" s="15" t="n"/>
    </row>
    <row r="15">
      <c r="A15" s="12" t="inlineStr">
        <is>
          <t>T4</t>
        </is>
      </c>
      <c r="B15" s="12" t="inlineStr">
        <is>
          <t>Operario Civil</t>
        </is>
      </c>
      <c r="C15" s="12" t="n">
        <v>1</v>
      </c>
      <c r="D15" s="13" t="n">
        <v>10</v>
      </c>
      <c r="E15" s="14">
        <f>C15*D15</f>
        <v/>
      </c>
      <c r="F15" s="12" t="n"/>
    </row>
    <row r="16">
      <c r="A16" s="12" t="inlineStr">
        <is>
          <t>T4</t>
        </is>
      </c>
      <c r="B16" s="12" t="inlineStr">
        <is>
          <t>Oficial</t>
        </is>
      </c>
      <c r="C16" s="12" t="n">
        <v>2</v>
      </c>
      <c r="D16" s="13" t="n">
        <v>10</v>
      </c>
      <c r="E16" s="14">
        <f>C16*D16</f>
        <v/>
      </c>
      <c r="F16" s="12" t="n"/>
    </row>
    <row r="17">
      <c r="A17" s="12" t="inlineStr">
        <is>
          <t>T4</t>
        </is>
      </c>
      <c r="B17" s="12" t="inlineStr">
        <is>
          <t>Ayudante</t>
        </is>
      </c>
      <c r="C17" s="12" t="n">
        <v>1</v>
      </c>
      <c r="D17" s="13" t="n">
        <v>10</v>
      </c>
      <c r="E17" s="14">
        <f>C17*D17</f>
        <v/>
      </c>
      <c r="F17" s="12" t="n"/>
    </row>
    <row r="18">
      <c r="A18" s="15" t="n"/>
      <c r="B18" s="2" t="inlineStr">
        <is>
          <t>Subtotal T4</t>
        </is>
      </c>
      <c r="C18" s="16">
        <f>SUM(C15:C17)</f>
        <v/>
      </c>
      <c r="D18" s="17" t="n"/>
      <c r="E18" s="18">
        <f>SUM(E15:E17)</f>
        <v/>
      </c>
      <c r="F18" s="15" t="n"/>
    </row>
    <row r="19">
      <c r="A19" s="12" t="inlineStr">
        <is>
          <t>T5</t>
        </is>
      </c>
      <c r="B19" s="12" t="inlineStr">
        <is>
          <t>Op. Mecánico / Eléctrico</t>
        </is>
      </c>
      <c r="C19" s="12" t="n">
        <v>1</v>
      </c>
      <c r="D19" s="13" t="n">
        <v>10</v>
      </c>
      <c r="E19" s="14">
        <f>C19*D19</f>
        <v/>
      </c>
      <c r="F19" s="12" t="n"/>
    </row>
    <row r="20">
      <c r="A20" s="12" t="inlineStr">
        <is>
          <t>T5</t>
        </is>
      </c>
      <c r="B20" s="12" t="inlineStr">
        <is>
          <t>Oficial</t>
        </is>
      </c>
      <c r="C20" s="12" t="n">
        <v>2</v>
      </c>
      <c r="D20" s="13" t="n">
        <v>10</v>
      </c>
      <c r="E20" s="14">
        <f>C20*D20</f>
        <v/>
      </c>
      <c r="F20" s="12" t="n"/>
    </row>
    <row r="21">
      <c r="A21" s="12" t="inlineStr">
        <is>
          <t>T5</t>
        </is>
      </c>
      <c r="B21" s="12" t="inlineStr">
        <is>
          <t>Ayudante</t>
        </is>
      </c>
      <c r="C21" s="12" t="n">
        <v>1</v>
      </c>
      <c r="D21" s="13" t="n">
        <v>10</v>
      </c>
      <c r="E21" s="14">
        <f>C21*D21</f>
        <v/>
      </c>
      <c r="F21" s="12" t="n"/>
    </row>
    <row r="22">
      <c r="A22" s="15" t="n"/>
      <c r="B22" s="2" t="inlineStr">
        <is>
          <t>Subtotal T5</t>
        </is>
      </c>
      <c r="C22" s="16">
        <f>SUM(C19:C21)</f>
        <v/>
      </c>
      <c r="D22" s="17" t="n"/>
      <c r="E22" s="18">
        <f>SUM(E19:E21)</f>
        <v/>
      </c>
      <c r="F22" s="15" t="n"/>
    </row>
    <row r="23">
      <c r="A23" s="12" t="inlineStr">
        <is>
          <t>T6</t>
        </is>
      </c>
      <c r="B23" s="12" t="inlineStr">
        <is>
          <t>Cond. Camión Baranda</t>
        </is>
      </c>
      <c r="C23" s="12" t="n">
        <v>1</v>
      </c>
      <c r="D23" s="13" t="n">
        <v>10</v>
      </c>
      <c r="E23" s="14">
        <f>C23*D23</f>
        <v/>
      </c>
      <c r="F23" s="12" t="inlineStr">
        <is>
          <t>Transporte interno de materiales todo el turno</t>
        </is>
      </c>
    </row>
    <row r="24">
      <c r="A24" s="12" t="inlineStr">
        <is>
          <t>T7</t>
        </is>
      </c>
      <c r="B24" s="12" t="inlineStr">
        <is>
          <t>Personal operativo (23 pers.)</t>
        </is>
      </c>
      <c r="C24" s="12" t="n">
        <v>23</v>
      </c>
      <c r="D24" s="13" t="n">
        <v>0.5</v>
      </c>
      <c r="E24" s="14">
        <f>C24*D24</f>
        <v/>
      </c>
      <c r="F24" s="12" t="inlineStr">
        <is>
          <t>Charla previa al inicio de labores, todo el personal operativo</t>
        </is>
      </c>
    </row>
    <row r="25">
      <c r="A25" s="12" t="inlineStr">
        <is>
          <t>T8</t>
        </is>
      </c>
      <c r="B25" s="12" t="inlineStr">
        <is>
          <t>Operador Grúa</t>
        </is>
      </c>
      <c r="C25" s="12" t="n">
        <v>1</v>
      </c>
      <c r="D25" s="13" t="n">
        <v>2</v>
      </c>
      <c r="E25" s="14">
        <f>C25*D25</f>
        <v/>
      </c>
      <c r="F25" s="12" t="inlineStr">
        <is>
          <t>Mismo operador de T3, standby por falta de tubería HDPE (ver R-01)</t>
        </is>
      </c>
    </row>
    <row r="26">
      <c r="A26" s="12" t="inlineStr">
        <is>
          <t>T9</t>
        </is>
      </c>
      <c r="B26" s="12" t="inlineStr">
        <is>
          <t>Ayudante</t>
        </is>
      </c>
      <c r="C26" s="12" t="n">
        <v>2</v>
      </c>
      <c r="D26" s="13" t="n">
        <v>2</v>
      </c>
      <c r="E26" s="14">
        <f>C26*D26</f>
        <v/>
      </c>
      <c r="F26" s="12" t="inlineStr">
        <is>
          <t>Mismos 2 ayudantes de T2, orden y limpieza en cantera</t>
        </is>
      </c>
    </row>
    <row r="27">
      <c r="A27" s="12" t="inlineStr">
        <is>
          <t>T10</t>
        </is>
      </c>
      <c r="B27" s="12" t="inlineStr">
        <is>
          <t>Sup. Operativo</t>
        </is>
      </c>
      <c r="C27" s="12" t="n">
        <v>1</v>
      </c>
      <c r="D27" s="13" t="n">
        <v>10</v>
      </c>
      <c r="E27" s="14">
        <f>C27*D27</f>
        <v/>
      </c>
      <c r="F27" s="12" t="n"/>
    </row>
    <row r="28">
      <c r="A28" s="12" t="inlineStr">
        <is>
          <t>T10</t>
        </is>
      </c>
      <c r="B28" s="12" t="inlineStr">
        <is>
          <t>Sup. SSOMA</t>
        </is>
      </c>
      <c r="C28" s="12" t="n">
        <v>1</v>
      </c>
      <c r="D28" s="13" t="n">
        <v>10</v>
      </c>
      <c r="E28" s="14">
        <f>C28*D28</f>
        <v/>
      </c>
      <c r="F28" s="12" t="n"/>
    </row>
    <row r="29">
      <c r="A29" s="12" t="inlineStr">
        <is>
          <t>T10</t>
        </is>
      </c>
      <c r="B29" s="12" t="inlineStr">
        <is>
          <t>Ingeniero de Calidad</t>
        </is>
      </c>
      <c r="C29" s="12" t="n">
        <v>1</v>
      </c>
      <c r="D29" s="13" t="n">
        <v>10</v>
      </c>
      <c r="E29" s="14">
        <f>C29*D29</f>
        <v/>
      </c>
      <c r="F29" s="12" t="n"/>
    </row>
    <row r="30">
      <c r="A30" s="15" t="n"/>
      <c r="B30" s="2" t="inlineStr">
        <is>
          <t>Subtotal T10</t>
        </is>
      </c>
      <c r="C30" s="16">
        <f>SUM(C27:C29)</f>
        <v/>
      </c>
      <c r="D30" s="17" t="n"/>
      <c r="E30" s="18">
        <f>SUM(E27:E29)</f>
        <v/>
      </c>
      <c r="F30" s="15" t="n"/>
    </row>
    <row r="31" ht="15.6" customHeight="1" s="44">
      <c r="A31" s="19" t="n"/>
      <c r="B31" s="19" t="inlineStr">
        <is>
          <t>TOTAL GENERAL DEL DÍA (HH-persona, no es headcount único)</t>
        </is>
      </c>
      <c r="C31" s="20">
        <f>SUMIF($A$3:$A$30,"&lt;&gt;",C3:C30)</f>
        <v/>
      </c>
      <c r="D31" s="21" t="n"/>
      <c r="E31" s="22">
        <f>SUMIF($A$3:$A$30,"&lt;&gt;",E3:E30)</f>
        <v/>
      </c>
      <c r="F31" s="19" t="n"/>
    </row>
    <row r="33">
      <c r="A33" s="3" t="inlineStr">
        <is>
          <t>La columna Cant. suma bloques persona-actividad (una persona puede aparecer 2 veces). Para headcount real ver Personal_Offsite.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:I1"/>
    </sheetView>
  </sheetViews>
  <sheetFormatPr baseColWidth="10" defaultColWidth="8.88671875" defaultRowHeight="14.4"/>
  <cols>
    <col width="8" customWidth="1" style="44" min="1" max="1"/>
    <col width="38" customWidth="1" style="44" min="2" max="2"/>
    <col width="12" customWidth="1" style="44" min="3" max="3"/>
    <col width="10" customWidth="1" style="44" min="4" max="4"/>
    <col width="16" customWidth="1" style="44" min="5" max="5"/>
    <col width="8" customWidth="1" style="44" min="6" max="6"/>
    <col width="14" customWidth="1" style="44" min="7" max="7"/>
    <col width="10" customWidth="1" style="44" min="8" max="8"/>
    <col width="34" customWidth="1" style="44" min="9" max="9"/>
  </cols>
  <sheetData>
    <row r="1" ht="18" customHeight="1" s="44">
      <c r="A1" s="43" t="inlineStr">
        <is>
          <t>ACTIVIDADES DEL DÍA — qué se hizo, si fue directo a una partida, contributorio o no contributorio</t>
        </is>
      </c>
    </row>
    <row r="2" ht="30" customHeight="1" s="44">
      <c r="A2" s="11" t="inlineStr">
        <is>
          <t>Código</t>
        </is>
      </c>
      <c r="B2" s="11" t="inlineStr">
        <is>
          <t>Descripción de la Actividad</t>
        </is>
      </c>
      <c r="C2" s="11" t="inlineStr">
        <is>
          <t>Clasif.
(D/C/NC)</t>
        </is>
      </c>
      <c r="D2" s="11" t="inlineStr">
        <is>
          <t>Partida
Asociada</t>
        </is>
      </c>
      <c r="E2" s="11" t="inlineStr">
        <is>
          <t>Área</t>
        </is>
      </c>
      <c r="F2" s="11" t="inlineStr">
        <is>
          <t>Und.</t>
        </is>
      </c>
      <c r="G2" s="11" t="inlineStr">
        <is>
          <t>Metrado
Ejecutado Hoy</t>
        </is>
      </c>
      <c r="H2" s="11" t="inlineStr">
        <is>
          <t>HH
Día</t>
        </is>
      </c>
      <c r="I2" s="11" t="inlineStr">
        <is>
          <t>Observaciones</t>
        </is>
      </c>
    </row>
    <row r="3">
      <c r="A3" s="12" t="inlineStr">
        <is>
          <t>T1</t>
        </is>
      </c>
      <c r="B3" s="12" t="inlineStr">
        <is>
          <t>Excavación de zanja para bancoductos - tramo km 0+450</t>
        </is>
      </c>
      <c r="C3" s="23" t="inlineStr">
        <is>
          <t>D</t>
        </is>
      </c>
      <c r="D3" s="12" t="inlineStr">
        <is>
          <t>PART-01</t>
        </is>
      </c>
      <c r="E3" s="12" t="inlineStr">
        <is>
          <t>Rampa Sur</t>
        </is>
      </c>
      <c r="F3" s="12" t="inlineStr">
        <is>
          <t>m3</t>
        </is>
      </c>
      <c r="G3" s="13" t="n">
        <v>48</v>
      </c>
      <c r="H3" s="14">
        <f>SUMIF(Mano_Obra!$A$3:$A$30,A3,Mano_Obra!$E$3:$E$30)</f>
        <v/>
      </c>
      <c r="I3" s="12" t="n"/>
    </row>
    <row r="4">
      <c r="A4" s="12" t="inlineStr">
        <is>
          <t>T2</t>
        </is>
      </c>
      <c r="B4" s="12" t="inlineStr">
        <is>
          <t>Fabricación y curado de bancoductos prefabricados</t>
        </is>
      </c>
      <c r="C4" s="23" t="inlineStr">
        <is>
          <t>D</t>
        </is>
      </c>
      <c r="D4" s="12" t="inlineStr">
        <is>
          <t>PART-02</t>
        </is>
      </c>
      <c r="E4" s="12" t="inlineStr">
        <is>
          <t>Cantera Marcona</t>
        </is>
      </c>
      <c r="F4" s="12" t="inlineStr">
        <is>
          <t>und</t>
        </is>
      </c>
      <c r="G4" s="13" t="n">
        <v>22</v>
      </c>
      <c r="H4" s="14">
        <f>SUMIF(Mano_Obra!$A$3:$A$30,A4,Mano_Obra!$E$3:$E$30)</f>
        <v/>
      </c>
      <c r="I4" s="12" t="n"/>
    </row>
    <row r="5">
      <c r="A5" s="12" t="inlineStr">
        <is>
          <t>T3</t>
        </is>
      </c>
      <c r="B5" s="12" t="inlineStr">
        <is>
          <t>Izaje e instalación de bancoductos con grúa</t>
        </is>
      </c>
      <c r="C5" s="23" t="inlineStr">
        <is>
          <t>D</t>
        </is>
      </c>
      <c r="D5" s="12" t="inlineStr">
        <is>
          <t>PART-03</t>
        </is>
      </c>
      <c r="E5" s="12" t="inlineStr">
        <is>
          <t>Rampa Sur</t>
        </is>
      </c>
      <c r="F5" s="12" t="inlineStr">
        <is>
          <t>ml</t>
        </is>
      </c>
      <c r="G5" s="13" t="n">
        <v>12</v>
      </c>
      <c r="H5" s="14">
        <f>SUMIF(Mano_Obra!$A$3:$A$30,A5,Mano_Obra!$E$3:$E$30)</f>
        <v/>
      </c>
      <c r="I5" s="12" t="n"/>
    </row>
    <row r="6">
      <c r="A6" s="12" t="inlineStr">
        <is>
          <t>T4</t>
        </is>
      </c>
      <c r="B6" s="12" t="inlineStr">
        <is>
          <t>Vaciado de concreto f'c=210 - pedestal L-12</t>
        </is>
      </c>
      <c r="C6" s="23" t="inlineStr">
        <is>
          <t>D</t>
        </is>
      </c>
      <c r="D6" s="12" t="inlineStr">
        <is>
          <t>PART-04</t>
        </is>
      </c>
      <c r="E6" s="12" t="inlineStr">
        <is>
          <t>Almacén Norte</t>
        </is>
      </c>
      <c r="F6" s="12" t="inlineStr">
        <is>
          <t>m3</t>
        </is>
      </c>
      <c r="G6" s="13" t="n">
        <v>6</v>
      </c>
      <c r="H6" s="14">
        <f>SUMIF(Mano_Obra!$A$3:$A$30,A6,Mano_Obra!$E$3:$E$30)</f>
        <v/>
      </c>
      <c r="I6" s="12" t="n"/>
    </row>
    <row r="7">
      <c r="A7" s="12" t="inlineStr">
        <is>
          <t>T5</t>
        </is>
      </c>
      <c r="B7" s="12" t="inlineStr">
        <is>
          <t>Montaje de estructura metálica - columna C-08</t>
        </is>
      </c>
      <c r="C7" s="23" t="inlineStr">
        <is>
          <t>D</t>
        </is>
      </c>
      <c r="D7" s="12" t="inlineStr">
        <is>
          <t>PART-05</t>
        </is>
      </c>
      <c r="E7" s="12" t="inlineStr">
        <is>
          <t>Almacén Norte</t>
        </is>
      </c>
      <c r="F7" s="12" t="inlineStr">
        <is>
          <t>kg</t>
        </is>
      </c>
      <c r="G7" s="13" t="n">
        <v>300</v>
      </c>
      <c r="H7" s="14">
        <f>SUMIF(Mano_Obra!$A$3:$A$30,A7,Mano_Obra!$E$3:$E$30)</f>
        <v/>
      </c>
      <c r="I7" s="12" t="n"/>
    </row>
    <row r="8">
      <c r="A8" s="12" t="inlineStr">
        <is>
          <t>T6</t>
        </is>
      </c>
      <c r="B8" s="12" t="inlineStr">
        <is>
          <t>Transporte interno de materiales y herramientas</t>
        </is>
      </c>
      <c r="C8" s="24" t="inlineStr">
        <is>
          <t>C</t>
        </is>
      </c>
      <c r="D8" s="12" t="inlineStr">
        <is>
          <t>--</t>
        </is>
      </c>
      <c r="E8" s="12" t="inlineStr">
        <is>
          <t>Varios frentes</t>
        </is>
      </c>
      <c r="F8" s="12" t="inlineStr">
        <is>
          <t>--</t>
        </is>
      </c>
      <c r="G8" s="13" t="n"/>
      <c r="H8" s="14">
        <f>SUMIF(Mano_Obra!$A$3:$A$30,A8,Mano_Obra!$E$3:$E$30)</f>
        <v/>
      </c>
      <c r="I8" s="12" t="n"/>
    </row>
    <row r="9">
      <c r="A9" s="12" t="inlineStr">
        <is>
          <t>T7</t>
        </is>
      </c>
      <c r="B9" s="12" t="inlineStr">
        <is>
          <t>Charla de seguridad e instrucciones de trabajo</t>
        </is>
      </c>
      <c r="C9" s="24" t="inlineStr">
        <is>
          <t>C</t>
        </is>
      </c>
      <c r="D9" s="12" t="inlineStr">
        <is>
          <t>--</t>
        </is>
      </c>
      <c r="E9" s="12" t="inlineStr">
        <is>
          <t>Varios frentes</t>
        </is>
      </c>
      <c r="F9" s="12" t="inlineStr">
        <is>
          <t>--</t>
        </is>
      </c>
      <c r="G9" s="13" t="n"/>
      <c r="H9" s="14">
        <f>SUMIF(Mano_Obra!$A$3:$A$30,A9,Mano_Obra!$E$3:$E$30)</f>
        <v/>
      </c>
      <c r="I9" s="12" t="n"/>
    </row>
    <row r="10">
      <c r="A10" s="12" t="inlineStr">
        <is>
          <t>T8</t>
        </is>
      </c>
      <c r="B10" s="12" t="inlineStr">
        <is>
          <t>Espera de tubería HDPE (grúa parada)</t>
        </is>
      </c>
      <c r="C10" s="25" t="inlineStr">
        <is>
          <t>NC</t>
        </is>
      </c>
      <c r="D10" s="12" t="inlineStr">
        <is>
          <t>--</t>
        </is>
      </c>
      <c r="E10" s="12" t="inlineStr">
        <is>
          <t>Rampa Sur</t>
        </is>
      </c>
      <c r="F10" s="12" t="inlineStr">
        <is>
          <t>--</t>
        </is>
      </c>
      <c r="G10" s="13" t="n"/>
      <c r="H10" s="14">
        <f>SUMIF(Mano_Obra!$A$3:$A$30,A10,Mano_Obra!$E$3:$E$30)</f>
        <v/>
      </c>
      <c r="I10" s="12" t="inlineStr">
        <is>
          <t>Vinculado a restricción R-01</t>
        </is>
      </c>
    </row>
    <row r="11">
      <c r="A11" s="12" t="inlineStr">
        <is>
          <t>T9</t>
        </is>
      </c>
      <c r="B11" s="12" t="inlineStr">
        <is>
          <t>Orden y limpieza de zona de trabajo</t>
        </is>
      </c>
      <c r="C11" s="24" t="inlineStr">
        <is>
          <t>C</t>
        </is>
      </c>
      <c r="D11" s="12" t="inlineStr">
        <is>
          <t>--</t>
        </is>
      </c>
      <c r="E11" s="12" t="inlineStr">
        <is>
          <t>Cantera Marcona</t>
        </is>
      </c>
      <c r="F11" s="12" t="inlineStr">
        <is>
          <t>--</t>
        </is>
      </c>
      <c r="G11" s="13" t="n"/>
      <c r="H11" s="14">
        <f>SUMIF(Mano_Obra!$A$3:$A$30,A11,Mano_Obra!$E$3:$E$30)</f>
        <v/>
      </c>
      <c r="I11" s="12" t="n"/>
    </row>
    <row r="12">
      <c r="A12" s="12" t="inlineStr">
        <is>
          <t>T10</t>
        </is>
      </c>
      <c r="B12" s="12" t="inlineStr">
        <is>
          <t>Supervisión, control de calidad y SSOMA</t>
        </is>
      </c>
      <c r="C12" s="24" t="inlineStr">
        <is>
          <t>C</t>
        </is>
      </c>
      <c r="D12" s="12" t="inlineStr">
        <is>
          <t>--</t>
        </is>
      </c>
      <c r="E12" s="12" t="inlineStr">
        <is>
          <t>Varios frentes</t>
        </is>
      </c>
      <c r="F12" s="12" t="inlineStr">
        <is>
          <t>--</t>
        </is>
      </c>
      <c r="G12" s="13" t="n"/>
      <c r="H12" s="14">
        <f>SUMIF(Mano_Obra!$A$3:$A$30,A12,Mano_Obra!$E$3:$E$30)</f>
        <v/>
      </c>
      <c r="I12" s="12" t="n"/>
    </row>
    <row r="13">
      <c r="A13" s="51" t="n"/>
      <c r="B13" s="27" t="inlineStr">
        <is>
          <t>TOTAL</t>
        </is>
      </c>
      <c r="C13" s="51" t="n"/>
      <c r="D13" s="51" t="n"/>
      <c r="E13" s="51" t="n"/>
      <c r="F13" s="51" t="n"/>
      <c r="G13" s="51" t="n"/>
      <c r="H13" s="28">
        <f>SUM(H3:H12)</f>
        <v/>
      </c>
      <c r="I13" s="51" t="n"/>
    </row>
    <row r="15" ht="16.05" customHeight="1" s="44">
      <c r="A15" s="49" t="inlineStr">
        <is>
          <t>RESUMEN NIVEL GENERAL DE ACTIVIDAD (Last Planner: TP / TC / TNC)</t>
        </is>
      </c>
    </row>
    <row r="16" ht="24" customHeight="1" s="44">
      <c r="A16" s="11" t="inlineStr">
        <is>
          <t>Clasificación</t>
        </is>
      </c>
      <c r="B16" s="11" t="n"/>
      <c r="C16" s="11" t="n"/>
      <c r="D16" s="11" t="inlineStr">
        <is>
          <t>HH</t>
        </is>
      </c>
      <c r="E16" s="11" t="n"/>
      <c r="F16" s="11" t="n"/>
      <c r="G16" s="11" t="inlineStr">
        <is>
          <t>% del día</t>
        </is>
      </c>
      <c r="H16" s="11" t="n"/>
      <c r="I16" s="11" t="n"/>
    </row>
    <row r="17">
      <c r="A17" s="52" t="inlineStr">
        <is>
          <t>Directo (Trabajo Productivo)</t>
        </is>
      </c>
      <c r="D17" s="29">
        <f>SUMIF($C$3:$C$12,"D",$H$3:$H$12)</f>
        <v/>
      </c>
      <c r="G17" s="30">
        <f>D17/H13</f>
        <v/>
      </c>
    </row>
    <row r="18">
      <c r="A18" s="51" t="inlineStr">
        <is>
          <t>Contributorio</t>
        </is>
      </c>
      <c r="D18" s="29">
        <f>SUMIF($C$3:$C$12,"C",$H$3:$H$12)</f>
        <v/>
      </c>
      <c r="G18" s="30">
        <f>D18/H13</f>
        <v/>
      </c>
    </row>
    <row r="19">
      <c r="A19" s="50" t="inlineStr">
        <is>
          <t>No Contributorio</t>
        </is>
      </c>
      <c r="D19" s="29">
        <f>SUMIF($C$3:$C$12,"NC",$H$3:$H$12)</f>
        <v/>
      </c>
      <c r="G19" s="30">
        <f>D19/H13</f>
        <v/>
      </c>
    </row>
  </sheetData>
  <mergeCells count="5">
    <mergeCell ref="A15:I15"/>
    <mergeCell ref="A19:C19"/>
    <mergeCell ref="A1:I1"/>
    <mergeCell ref="A18:C18"/>
    <mergeCell ref="A17:C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U10"/>
  <sheetViews>
    <sheetView workbookViewId="0">
      <pane ySplit="2" topLeftCell="A3" activePane="bottomLeft" state="frozen"/>
      <selection pane="bottomLeft" activeCell="A1" sqref="A1:U1"/>
    </sheetView>
  </sheetViews>
  <sheetFormatPr baseColWidth="10" defaultColWidth="8.88671875" defaultRowHeight="14.4"/>
  <cols>
    <col width="10" customWidth="1" style="44" min="1" max="1"/>
    <col width="32" customWidth="1" style="44" min="2" max="2"/>
    <col width="16" customWidth="1" style="44" min="3" max="3"/>
    <col width="8" customWidth="1" style="44" min="4" max="4"/>
    <col width="12" customWidth="1" style="44" min="5" max="5"/>
    <col width="10" customWidth="1" style="44" min="6" max="6"/>
    <col width="14" customWidth="1" style="44" min="7" max="7"/>
    <col width="12" customWidth="1" style="44" min="8" max="9"/>
    <col width="10" customWidth="1" style="44" min="10" max="11"/>
    <col width="12" customWidth="1" style="44" min="12" max="12"/>
    <col width="10" customWidth="1" style="44" min="13" max="13"/>
    <col width="14" customWidth="1" style="44" min="14" max="14"/>
    <col width="15" customWidth="1" style="44" min="15" max="15"/>
    <col width="12" customWidth="1" style="44" min="16" max="20"/>
    <col width="30" customWidth="1" style="44" min="21" max="21"/>
  </cols>
  <sheetData>
    <row r="1" ht="18" customHeight="1" s="44">
      <c r="A1" s="43" t="inlineStr">
        <is>
          <t>PARTIDAS DEL PROYECTO — catálogo, avance físico y rendimiento de mano de obra</t>
        </is>
      </c>
    </row>
    <row r="2" ht="42" customHeight="1" s="44">
      <c r="A2" s="11" t="inlineStr">
        <is>
          <t>Código</t>
        </is>
      </c>
      <c r="B2" s="11" t="inlineStr">
        <is>
          <t>Partida</t>
        </is>
      </c>
      <c r="C2" s="11" t="inlineStr">
        <is>
          <t>Área</t>
        </is>
      </c>
      <c r="D2" s="11" t="inlineStr">
        <is>
          <t>Und.</t>
        </is>
      </c>
      <c r="E2" s="11" t="inlineStr">
        <is>
          <t>Metrado
Contractual</t>
        </is>
      </c>
      <c r="F2" s="11" t="inlineStr">
        <is>
          <t>P.U.
(S/.)</t>
        </is>
      </c>
      <c r="G2" s="11" t="inlineStr">
        <is>
          <t>Monto
Contractual (S/.)</t>
        </is>
      </c>
      <c r="H2" s="11" t="inlineStr">
        <is>
          <t>Rendim.
Meta
(HH/Und)</t>
        </is>
      </c>
      <c r="I2" s="11" t="inlineStr">
        <is>
          <t>Metrado
Acum.
Anterior</t>
        </is>
      </c>
      <c r="J2" s="11" t="inlineStr">
        <is>
          <t>Metrado
Prog.
Día</t>
        </is>
      </c>
      <c r="K2" s="11" t="inlineStr">
        <is>
          <t>Metrado
Ejec.
Día</t>
        </is>
      </c>
      <c r="L2" s="11" t="inlineStr">
        <is>
          <t>Metrado
Acum.
Actual</t>
        </is>
      </c>
      <c r="M2" s="11" t="inlineStr">
        <is>
          <t>% Avance
Acum.</t>
        </is>
      </c>
      <c r="N2" s="11" t="inlineStr">
        <is>
          <t>Por
Ejecutar</t>
        </is>
      </c>
      <c r="O2" s="11" t="inlineStr">
        <is>
          <t>Monto Ejec.
Acum. (Venta)
(S/.)</t>
        </is>
      </c>
      <c r="P2" s="11" t="inlineStr">
        <is>
          <t>HH Meta
Acum.</t>
        </is>
      </c>
      <c r="Q2" s="11" t="inlineStr">
        <is>
          <t>HH Real
Acum.
Anterior</t>
        </is>
      </c>
      <c r="R2" s="11" t="inlineStr">
        <is>
          <t>HH Real
Día</t>
        </is>
      </c>
      <c r="S2" s="11" t="inlineStr">
        <is>
          <t>HH Real
Acum.
Actual</t>
        </is>
      </c>
      <c r="T2" s="11" t="inlineStr">
        <is>
          <t>Rendim.
Real
(HH/Und)</t>
        </is>
      </c>
      <c r="U2" s="11" t="inlineStr">
        <is>
          <t>Índice
Product.
MO</t>
        </is>
      </c>
    </row>
    <row r="3">
      <c r="A3" s="12" t="inlineStr">
        <is>
          <t>PART-01</t>
        </is>
      </c>
      <c r="B3" s="12" t="inlineStr">
        <is>
          <t>Excavación para bancoductos</t>
        </is>
      </c>
      <c r="C3" s="12" t="inlineStr">
        <is>
          <t>Rampa Sur</t>
        </is>
      </c>
      <c r="D3" s="12" t="inlineStr">
        <is>
          <t>m3</t>
        </is>
      </c>
      <c r="E3" s="13" t="n">
        <v>1200</v>
      </c>
      <c r="F3" s="31" t="n">
        <v>18.5</v>
      </c>
      <c r="G3" s="12">
        <f>E3*F3</f>
        <v/>
      </c>
      <c r="H3" s="12" t="n">
        <v>0.35</v>
      </c>
      <c r="I3" s="32" t="n">
        <v>640</v>
      </c>
      <c r="J3" s="32" t="n">
        <v>45</v>
      </c>
      <c r="K3" s="13">
        <f>SUMIF(Actividades_Dia!$D$3:$D$12,$A3,Actividades_Dia!$G$3:$G$12)</f>
        <v/>
      </c>
      <c r="L3" s="13">
        <f>I3+K3</f>
        <v/>
      </c>
      <c r="M3" s="33">
        <f>L3/E3</f>
        <v/>
      </c>
      <c r="N3" s="13">
        <f>E3-L3</f>
        <v/>
      </c>
      <c r="O3" s="31">
        <f>L3*F3</f>
        <v/>
      </c>
      <c r="P3" s="14">
        <f>L3*H3</f>
        <v/>
      </c>
      <c r="Q3" s="34" t="n">
        <v>225</v>
      </c>
      <c r="R3" s="14">
        <f>SUMIF(Actividades_Dia!$D$3:$D$12,$A3,Actividades_Dia!$H$3:$H$12)</f>
        <v/>
      </c>
      <c r="S3" s="14">
        <f>Q3+R3</f>
        <v/>
      </c>
      <c r="T3" s="35">
        <f>S3/L3</f>
        <v/>
      </c>
      <c r="U3" s="36">
        <f>P3/S3</f>
        <v/>
      </c>
    </row>
    <row r="4">
      <c r="A4" s="12" t="inlineStr">
        <is>
          <t>PART-02</t>
        </is>
      </c>
      <c r="B4" s="12" t="inlineStr">
        <is>
          <t>Fabricación de bancoductos 0.20x0.20x1.00m</t>
        </is>
      </c>
      <c r="C4" s="12" t="inlineStr">
        <is>
          <t>Cantera Marcona</t>
        </is>
      </c>
      <c r="D4" s="12" t="inlineStr">
        <is>
          <t>und</t>
        </is>
      </c>
      <c r="E4" s="13" t="n">
        <v>400</v>
      </c>
      <c r="F4" s="31" t="n">
        <v>145</v>
      </c>
      <c r="G4" s="12">
        <f>E4*F4</f>
        <v/>
      </c>
      <c r="H4" s="12" t="n">
        <v>2.8</v>
      </c>
      <c r="I4" s="32" t="n">
        <v>120</v>
      </c>
      <c r="J4" s="32" t="n">
        <v>20</v>
      </c>
      <c r="K4" s="13">
        <f>SUMIF(Actividades_Dia!$D$3:$D$12,$A4,Actividades_Dia!$G$3:$G$12)</f>
        <v/>
      </c>
      <c r="L4" s="13">
        <f>I4+K4</f>
        <v/>
      </c>
      <c r="M4" s="33">
        <f>L4/E4</f>
        <v/>
      </c>
      <c r="N4" s="13">
        <f>E4-L4</f>
        <v/>
      </c>
      <c r="O4" s="31">
        <f>L4*F4</f>
        <v/>
      </c>
      <c r="P4" s="14">
        <f>L4*H4</f>
        <v/>
      </c>
      <c r="Q4" s="34" t="n">
        <v>310</v>
      </c>
      <c r="R4" s="14">
        <f>SUMIF(Actividades_Dia!$D$3:$D$12,$A4,Actividades_Dia!$H$3:$H$12)</f>
        <v/>
      </c>
      <c r="S4" s="14">
        <f>Q4+R4</f>
        <v/>
      </c>
      <c r="T4" s="35">
        <f>S4/L4</f>
        <v/>
      </c>
      <c r="U4" s="36">
        <f>P4/S4</f>
        <v/>
      </c>
    </row>
    <row r="5">
      <c r="A5" s="12" t="inlineStr">
        <is>
          <t>PART-03</t>
        </is>
      </c>
      <c r="B5" s="12" t="inlineStr">
        <is>
          <t>Instalación de bancoductos</t>
        </is>
      </c>
      <c r="C5" s="12" t="inlineStr">
        <is>
          <t>Rampa Sur</t>
        </is>
      </c>
      <c r="D5" s="12" t="inlineStr">
        <is>
          <t>ml</t>
        </is>
      </c>
      <c r="E5" s="13" t="n">
        <v>600</v>
      </c>
      <c r="F5" s="31" t="n">
        <v>95</v>
      </c>
      <c r="G5" s="12">
        <f>E5*F5</f>
        <v/>
      </c>
      <c r="H5" s="12" t="n">
        <v>3.2</v>
      </c>
      <c r="I5" s="32" t="n">
        <v>80</v>
      </c>
      <c r="J5" s="32" t="n">
        <v>15</v>
      </c>
      <c r="K5" s="13">
        <f>SUMIF(Actividades_Dia!$D$3:$D$12,$A5,Actividades_Dia!$G$3:$G$12)</f>
        <v/>
      </c>
      <c r="L5" s="13">
        <f>I5+K5</f>
        <v/>
      </c>
      <c r="M5" s="33">
        <f>L5/E5</f>
        <v/>
      </c>
      <c r="N5" s="13">
        <f>E5-L5</f>
        <v/>
      </c>
      <c r="O5" s="31">
        <f>L5*F5</f>
        <v/>
      </c>
      <c r="P5" s="14">
        <f>L5*H5</f>
        <v/>
      </c>
      <c r="Q5" s="34" t="n">
        <v>270</v>
      </c>
      <c r="R5" s="14">
        <f>SUMIF(Actividades_Dia!$D$3:$D$12,$A5,Actividades_Dia!$H$3:$H$12)</f>
        <v/>
      </c>
      <c r="S5" s="14">
        <f>Q5+R5</f>
        <v/>
      </c>
      <c r="T5" s="35">
        <f>S5/L5</f>
        <v/>
      </c>
      <c r="U5" s="36">
        <f>P5/S5</f>
        <v/>
      </c>
    </row>
    <row r="6">
      <c r="A6" s="12" t="inlineStr">
        <is>
          <t>PART-04</t>
        </is>
      </c>
      <c r="B6" s="12" t="inlineStr">
        <is>
          <t>Vaciado de concreto f'c=210 kg/cm2</t>
        </is>
      </c>
      <c r="C6" s="12" t="inlineStr">
        <is>
          <t>Almacén Norte</t>
        </is>
      </c>
      <c r="D6" s="12" t="inlineStr">
        <is>
          <t>m3</t>
        </is>
      </c>
      <c r="E6" s="13" t="n">
        <v>85</v>
      </c>
      <c r="F6" s="31" t="n">
        <v>380</v>
      </c>
      <c r="G6" s="12">
        <f>E6*F6</f>
        <v/>
      </c>
      <c r="H6" s="12" t="n">
        <v>6.5</v>
      </c>
      <c r="I6" s="32" t="n">
        <v>22</v>
      </c>
      <c r="J6" s="32" t="n">
        <v>6</v>
      </c>
      <c r="K6" s="13">
        <f>SUMIF(Actividades_Dia!$D$3:$D$12,$A6,Actividades_Dia!$G$3:$G$12)</f>
        <v/>
      </c>
      <c r="L6" s="13">
        <f>I6+K6</f>
        <v/>
      </c>
      <c r="M6" s="33">
        <f>L6/E6</f>
        <v/>
      </c>
      <c r="N6" s="13">
        <f>E6-L6</f>
        <v/>
      </c>
      <c r="O6" s="31">
        <f>L6*F6</f>
        <v/>
      </c>
      <c r="P6" s="14">
        <f>L6*H6</f>
        <v/>
      </c>
      <c r="Q6" s="34" t="n">
        <v>155</v>
      </c>
      <c r="R6" s="14">
        <f>SUMIF(Actividades_Dia!$D$3:$D$12,$A6,Actividades_Dia!$H$3:$H$12)</f>
        <v/>
      </c>
      <c r="S6" s="14">
        <f>Q6+R6</f>
        <v/>
      </c>
      <c r="T6" s="35">
        <f>S6/L6</f>
        <v/>
      </c>
      <c r="U6" s="36">
        <f>P6/S6</f>
        <v/>
      </c>
    </row>
    <row r="7">
      <c r="A7" s="12" t="inlineStr">
        <is>
          <t>PART-05</t>
        </is>
      </c>
      <c r="B7" s="12" t="inlineStr">
        <is>
          <t>Montaje de estructuras metálicas</t>
        </is>
      </c>
      <c r="C7" s="12" t="inlineStr">
        <is>
          <t>Almacén Norte</t>
        </is>
      </c>
      <c r="D7" s="12" t="inlineStr">
        <is>
          <t>kg</t>
        </is>
      </c>
      <c r="E7" s="13" t="n">
        <v>12000</v>
      </c>
      <c r="F7" s="31" t="n">
        <v>8.199999999999999</v>
      </c>
      <c r="G7" s="12">
        <f>E7*F7</f>
        <v/>
      </c>
      <c r="H7" s="12" t="n">
        <v>0.45</v>
      </c>
      <c r="I7" s="32" t="n">
        <v>3100</v>
      </c>
      <c r="J7" s="32" t="n">
        <v>350</v>
      </c>
      <c r="K7" s="13">
        <f>SUMIF(Actividades_Dia!$D$3:$D$12,$A7,Actividades_Dia!$G$3:$G$12)</f>
        <v/>
      </c>
      <c r="L7" s="13">
        <f>I7+K7</f>
        <v/>
      </c>
      <c r="M7" s="33">
        <f>L7/E7</f>
        <v/>
      </c>
      <c r="N7" s="13">
        <f>E7-L7</f>
        <v/>
      </c>
      <c r="O7" s="31">
        <f>L7*F7</f>
        <v/>
      </c>
      <c r="P7" s="14">
        <f>L7*H7</f>
        <v/>
      </c>
      <c r="Q7" s="34" t="n">
        <v>1450</v>
      </c>
      <c r="R7" s="14">
        <f>SUMIF(Actividades_Dia!$D$3:$D$12,$A7,Actividades_Dia!$H$3:$H$12)</f>
        <v/>
      </c>
      <c r="S7" s="14">
        <f>Q7+R7</f>
        <v/>
      </c>
      <c r="T7" s="35">
        <f>S7/L7</f>
        <v/>
      </c>
      <c r="U7" s="36">
        <f>P7/S7</f>
        <v/>
      </c>
    </row>
    <row r="8">
      <c r="A8" s="51" t="n"/>
      <c r="B8" s="27" t="inlineStr">
        <is>
          <t>TOTAL PROYECTO</t>
        </is>
      </c>
      <c r="C8" s="51" t="n"/>
      <c r="D8" s="51" t="n"/>
      <c r="E8" s="37">
        <f>SUM(E3:E7)</f>
        <v/>
      </c>
      <c r="F8" s="51" t="n"/>
      <c r="G8" s="38">
        <f>SUM(G3:G7)</f>
        <v/>
      </c>
      <c r="H8" s="51" t="n"/>
      <c r="I8" s="37">
        <f>SUM(I3:I7)</f>
        <v/>
      </c>
      <c r="J8" s="37">
        <f>SUM(J3:J7)</f>
        <v/>
      </c>
      <c r="K8" s="37">
        <f>SUM(K3:K7)</f>
        <v/>
      </c>
      <c r="L8" s="37">
        <f>SUM(L3:L7)</f>
        <v/>
      </c>
      <c r="M8" s="39">
        <f>O8/G8</f>
        <v/>
      </c>
      <c r="N8" s="51" t="n"/>
      <c r="O8" s="38">
        <f>SUM(O3:O7)</f>
        <v/>
      </c>
      <c r="P8" s="28">
        <f>SUM(P3:P7)</f>
        <v/>
      </c>
      <c r="Q8" s="28">
        <f>SUM(Q3:Q7)</f>
        <v/>
      </c>
      <c r="R8" s="28">
        <f>SUM(R3:R7)</f>
        <v/>
      </c>
      <c r="S8" s="28">
        <f>SUM(S3:S7)</f>
        <v/>
      </c>
      <c r="T8" s="40">
        <f>S8/L8</f>
        <v/>
      </c>
      <c r="U8" s="41">
        <f>P8/S8</f>
        <v/>
      </c>
    </row>
    <row r="10">
      <c r="A10" s="3" t="inlineStr">
        <is>
          <t>Amarillo = captura manual (metrado acumulado de ayer, programado de hoy, HH real acumulada de ayer). El resto se calcula solo, jalando de Actividades_Dia.</t>
        </is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8671875" defaultRowHeight="14.4"/>
  <cols>
    <col width="26" customWidth="1" style="44" min="1" max="1"/>
    <col width="12" customWidth="1" style="44" min="2" max="2"/>
    <col width="14" customWidth="1" style="44" min="3" max="3"/>
    <col width="12" customWidth="1" style="44" min="4" max="4"/>
    <col width="14" customWidth="1" style="44" min="5" max="6"/>
    <col width="34" customWidth="1" style="44" min="7" max="7"/>
  </cols>
  <sheetData>
    <row r="1" ht="18" customHeight="1" s="44">
      <c r="A1" s="43" t="inlineStr">
        <is>
          <t>HISTOGRAMA DE EQUIPOS DEL DÍA</t>
        </is>
      </c>
    </row>
    <row r="2" ht="24" customHeight="1" s="44">
      <c r="A2" s="11" t="inlineStr">
        <is>
          <t>Equipo</t>
        </is>
      </c>
      <c r="B2" s="11" t="inlineStr">
        <is>
          <t>Código
Partida</t>
        </is>
      </c>
      <c r="C2" s="11" t="inlineStr">
        <is>
          <t>Estado</t>
        </is>
      </c>
      <c r="D2" s="11" t="inlineStr">
        <is>
          <t>HH Turno
Día</t>
        </is>
      </c>
      <c r="E2" s="11" t="inlineStr">
        <is>
          <t>HH Acum.
Anterior</t>
        </is>
      </c>
      <c r="F2" s="11" t="inlineStr">
        <is>
          <t>HH Acum.
Actual</t>
        </is>
      </c>
      <c r="G2" s="11" t="inlineStr">
        <is>
          <t>Observaciones</t>
        </is>
      </c>
    </row>
    <row r="3">
      <c r="A3" s="12" t="inlineStr">
        <is>
          <t>Retroexcavadora</t>
        </is>
      </c>
      <c r="B3" s="12" t="inlineStr">
        <is>
          <t>PART-01</t>
        </is>
      </c>
      <c r="C3" s="12" t="inlineStr">
        <is>
          <t>Operativo</t>
        </is>
      </c>
      <c r="D3" s="14" t="n">
        <v>8.5</v>
      </c>
      <c r="E3" s="14" t="n">
        <v>137</v>
      </c>
      <c r="F3" s="14">
        <f>E3+D3</f>
        <v/>
      </c>
      <c r="G3" s="12" t="n"/>
    </row>
    <row r="4">
      <c r="A4" s="12" t="inlineStr">
        <is>
          <t>Minicargador</t>
        </is>
      </c>
      <c r="B4" s="12" t="inlineStr">
        <is>
          <t>PART-01</t>
        </is>
      </c>
      <c r="C4" s="12" t="inlineStr">
        <is>
          <t>Operativo</t>
        </is>
      </c>
      <c r="D4" s="14" t="n">
        <v>6.5</v>
      </c>
      <c r="E4" s="14" t="n">
        <v>91.5</v>
      </c>
      <c r="F4" s="14">
        <f>E4+D4</f>
        <v/>
      </c>
      <c r="G4" s="12" t="n"/>
    </row>
    <row r="5">
      <c r="A5" s="12" t="inlineStr">
        <is>
          <t>Compactadora de plancha</t>
        </is>
      </c>
      <c r="B5" s="12" t="inlineStr">
        <is>
          <t>PART-01</t>
        </is>
      </c>
      <c r="C5" s="12" t="inlineStr">
        <is>
          <t>Operativo</t>
        </is>
      </c>
      <c r="D5" s="14" t="n">
        <v>3</v>
      </c>
      <c r="E5" s="14" t="n">
        <v>19</v>
      </c>
      <c r="F5" s="14">
        <f>E5+D5</f>
        <v/>
      </c>
      <c r="G5" s="12" t="n"/>
    </row>
    <row r="6">
      <c r="A6" s="12" t="inlineStr">
        <is>
          <t>Grúa telescópica 25T</t>
        </is>
      </c>
      <c r="B6" s="12" t="inlineStr">
        <is>
          <t>PART-03</t>
        </is>
      </c>
      <c r="C6" s="12" t="inlineStr">
        <is>
          <t>Operativo</t>
        </is>
      </c>
      <c r="D6" s="14" t="n">
        <v>5</v>
      </c>
      <c r="E6" s="14" t="n">
        <v>57</v>
      </c>
      <c r="F6" s="14">
        <f>E6+D6</f>
        <v/>
      </c>
      <c r="G6" s="12" t="inlineStr">
        <is>
          <t>Con tiempos muertos por falta de tubería (ver R-01)</t>
        </is>
      </c>
    </row>
    <row r="7">
      <c r="A7" s="12" t="inlineStr">
        <is>
          <t>Camión grúa</t>
        </is>
      </c>
      <c r="B7" s="12" t="inlineStr">
        <is>
          <t>PART-05</t>
        </is>
      </c>
      <c r="C7" s="12" t="inlineStr">
        <is>
          <t>Operativo</t>
        </is>
      </c>
      <c r="D7" s="14" t="n">
        <v>4.5</v>
      </c>
      <c r="E7" s="14" t="n">
        <v>35.5</v>
      </c>
      <c r="F7" s="14">
        <f>E7+D7</f>
        <v/>
      </c>
      <c r="G7" s="12" t="n"/>
    </row>
    <row r="8">
      <c r="A8" s="12" t="inlineStr">
        <is>
          <t>Vibrador de concreto</t>
        </is>
      </c>
      <c r="B8" s="12" t="inlineStr">
        <is>
          <t>PART-04</t>
        </is>
      </c>
      <c r="C8" s="12" t="inlineStr">
        <is>
          <t>Operativo</t>
        </is>
      </c>
      <c r="D8" s="14" t="n">
        <v>4</v>
      </c>
      <c r="E8" s="14" t="n">
        <v>26</v>
      </c>
      <c r="F8" s="14">
        <f>E8+D8</f>
        <v/>
      </c>
      <c r="G8" s="12" t="n"/>
    </row>
    <row r="9">
      <c r="A9" s="12" t="inlineStr">
        <is>
          <t>Equipo de soldar</t>
        </is>
      </c>
      <c r="B9" s="12" t="inlineStr">
        <is>
          <t>PART-05</t>
        </is>
      </c>
      <c r="C9" s="12" t="inlineStr">
        <is>
          <t>Operativo</t>
        </is>
      </c>
      <c r="D9" s="14" t="n">
        <v>6</v>
      </c>
      <c r="E9" s="14" t="n">
        <v>44</v>
      </c>
      <c r="F9" s="14">
        <f>E9+D9</f>
        <v/>
      </c>
      <c r="G9" s="12" t="n"/>
    </row>
    <row r="10">
      <c r="A10" s="27" t="inlineStr">
        <is>
          <t>TOTAL</t>
        </is>
      </c>
      <c r="B10" s="51" t="n"/>
      <c r="C10" s="51" t="n"/>
      <c r="D10" s="28">
        <f>SUM(D3:D9)</f>
        <v/>
      </c>
      <c r="E10" s="51" t="n"/>
      <c r="F10" s="28">
        <f>SUM(F3:F9)</f>
        <v/>
      </c>
      <c r="G10" s="51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8671875" defaultRowHeight="14.4"/>
  <cols>
    <col width="30" customWidth="1" style="44" min="1" max="1"/>
    <col width="10" customWidth="1" style="44" min="2" max="2"/>
    <col width="12" customWidth="1" style="44" min="3" max="4"/>
    <col width="16" customWidth="1" style="44" min="5" max="6"/>
    <col width="14" customWidth="1" style="44" min="7" max="7"/>
    <col width="34" customWidth="1" style="44" min="8" max="8"/>
  </cols>
  <sheetData>
    <row r="1" ht="18" customHeight="1" s="44">
      <c r="A1" s="43" t="inlineStr">
        <is>
          <t>CONSUMO DE MATERIALES DEL DÍA</t>
        </is>
      </c>
    </row>
    <row r="2" ht="24" customHeight="1" s="44">
      <c r="A2" s="11" t="inlineStr">
        <is>
          <t>Insumo</t>
        </is>
      </c>
      <c r="B2" s="11" t="inlineStr">
        <is>
          <t>Unidad</t>
        </is>
      </c>
      <c r="C2" s="11" t="inlineStr">
        <is>
          <t>Código
Partida</t>
        </is>
      </c>
      <c r="D2" s="11" t="inlineStr">
        <is>
          <t>Consumo
Día</t>
        </is>
      </c>
      <c r="E2" s="11" t="inlineStr">
        <is>
          <t>Consumo Acum.
Anterior</t>
        </is>
      </c>
      <c r="F2" s="11" t="inlineStr">
        <is>
          <t>Consumo Acum.
Actual</t>
        </is>
      </c>
      <c r="G2" s="11" t="inlineStr">
        <is>
          <t>Saldo en
Stock</t>
        </is>
      </c>
      <c r="H2" s="11" t="inlineStr">
        <is>
          <t>Observaciones</t>
        </is>
      </c>
    </row>
    <row r="3">
      <c r="A3" s="12" t="inlineStr">
        <is>
          <t>Cemento Tipo I</t>
        </is>
      </c>
      <c r="B3" s="12" t="inlineStr">
        <is>
          <t>bls</t>
        </is>
      </c>
      <c r="C3" s="12" t="inlineStr">
        <is>
          <t>PART-04</t>
        </is>
      </c>
      <c r="D3" s="13" t="n">
        <v>45</v>
      </c>
      <c r="E3" s="13" t="n">
        <v>165</v>
      </c>
      <c r="F3" s="13">
        <f>E3+D3</f>
        <v/>
      </c>
      <c r="G3" s="12" t="n">
        <v>180</v>
      </c>
      <c r="H3" s="12" t="n"/>
    </row>
    <row r="4">
      <c r="A4" s="12" t="inlineStr">
        <is>
          <t>Fierro corrugado 3/8"</t>
        </is>
      </c>
      <c r="B4" s="12" t="inlineStr">
        <is>
          <t>kg</t>
        </is>
      </c>
      <c r="C4" s="12" t="inlineStr">
        <is>
          <t>PART-04</t>
        </is>
      </c>
      <c r="D4" s="13" t="n">
        <v>850</v>
      </c>
      <c r="E4" s="13" t="n">
        <v>3350</v>
      </c>
      <c r="F4" s="13">
        <f>E4+D4</f>
        <v/>
      </c>
      <c r="G4" s="12" t="n">
        <v>3100</v>
      </c>
      <c r="H4" s="12" t="n"/>
    </row>
    <row r="5">
      <c r="A5" s="12" t="inlineStr">
        <is>
          <t>Tubería HDPE para bancoducto</t>
        </is>
      </c>
      <c r="B5" s="12" t="inlineStr">
        <is>
          <t>ml</t>
        </is>
      </c>
      <c r="C5" s="12" t="inlineStr">
        <is>
          <t>PART-03</t>
        </is>
      </c>
      <c r="D5" s="13" t="n">
        <v>12</v>
      </c>
      <c r="E5" s="13" t="n">
        <v>80</v>
      </c>
      <c r="F5" s="13">
        <f>E5+D5</f>
        <v/>
      </c>
      <c r="G5" s="12" t="n">
        <v>8</v>
      </c>
      <c r="H5" s="12" t="inlineStr">
        <is>
          <t>Stock crítico — ver restricción R-01</t>
        </is>
      </c>
    </row>
    <row r="6">
      <c r="A6" s="12" t="inlineStr">
        <is>
          <t>Electrodos de soldadura 6011</t>
        </is>
      </c>
      <c r="B6" s="12" t="inlineStr">
        <is>
          <t>kg</t>
        </is>
      </c>
      <c r="C6" s="12" t="inlineStr">
        <is>
          <t>PART-05</t>
        </is>
      </c>
      <c r="D6" s="13" t="n">
        <v>15</v>
      </c>
      <c r="E6" s="13" t="n">
        <v>195</v>
      </c>
      <c r="F6" s="13">
        <f>E6+D6</f>
        <v/>
      </c>
      <c r="G6" s="12" t="n">
        <v>90</v>
      </c>
      <c r="H6" s="12" t="n"/>
    </row>
    <row r="7">
      <c r="A7" s="12" t="inlineStr">
        <is>
          <t>Encofrado metálico (uso propio)</t>
        </is>
      </c>
      <c r="B7" s="12" t="inlineStr">
        <is>
          <t>m2</t>
        </is>
      </c>
      <c r="C7" s="12" t="inlineStr">
        <is>
          <t>PART-04</t>
        </is>
      </c>
      <c r="D7" s="13" t="n">
        <v>0</v>
      </c>
      <c r="E7" s="13" t="n">
        <v>0</v>
      </c>
      <c r="F7" s="13">
        <f>E7+D7</f>
        <v/>
      </c>
      <c r="G7" s="12" t="inlineStr">
        <is>
          <t>--</t>
        </is>
      </c>
      <c r="H7" s="12" t="inlineStr">
        <is>
          <t>No es consumible, no aplica saldo</t>
        </is>
      </c>
    </row>
    <row r="9" ht="16.05" customHeight="1" s="44">
      <c r="A9" s="49" t="inlineStr">
        <is>
          <t>ENTREGAS / RECEPCIONES DEL DÍA</t>
        </is>
      </c>
    </row>
    <row r="10" ht="24" customHeight="1" s="44">
      <c r="A10" s="11" t="inlineStr">
        <is>
          <t>Proveedor</t>
        </is>
      </c>
      <c r="B10" s="11" t="inlineStr">
        <is>
          <t>Material</t>
        </is>
      </c>
      <c r="C10" s="11" t="inlineStr">
        <is>
          <t>Cantidad</t>
        </is>
      </c>
      <c r="D10" s="11" t="inlineStr">
        <is>
          <t>Unidad</t>
        </is>
      </c>
      <c r="E10" s="11" t="inlineStr">
        <is>
          <t>Hora
Prog.</t>
        </is>
      </c>
      <c r="F10" s="11" t="inlineStr">
        <is>
          <t>Hora
Real</t>
        </is>
      </c>
      <c r="G10" s="11" t="inlineStr">
        <is>
          <t>Guía / Remisión
N°</t>
        </is>
      </c>
      <c r="H10" s="11" t="inlineStr">
        <is>
          <t>Recibido por</t>
        </is>
      </c>
    </row>
    <row r="11">
      <c r="A11" s="12" t="inlineStr">
        <is>
          <t>Ferretería Marcona SAC</t>
        </is>
      </c>
      <c r="B11" s="12" t="inlineStr">
        <is>
          <t>Cemento Tipo I</t>
        </is>
      </c>
      <c r="C11" s="13" t="n">
        <v>100</v>
      </c>
      <c r="D11" s="12" t="inlineStr">
        <is>
          <t>bls</t>
        </is>
      </c>
      <c r="E11" s="12" t="inlineStr">
        <is>
          <t>09:00</t>
        </is>
      </c>
      <c r="F11" s="12" t="inlineStr">
        <is>
          <t>09:40</t>
        </is>
      </c>
      <c r="G11" s="12" t="inlineStr">
        <is>
          <t>GR-004521</t>
        </is>
      </c>
      <c r="H11" s="12" t="inlineStr">
        <is>
          <t>J. Torres (Almacenero)</t>
        </is>
      </c>
    </row>
    <row r="12">
      <c r="A12" s="12" t="inlineStr">
        <is>
          <t>Aceros Arequipa - Distribuidor local</t>
        </is>
      </c>
      <c r="B12" s="12" t="inlineStr">
        <is>
          <t>Fierro corrugado 3/8"</t>
        </is>
      </c>
      <c r="C12" s="13" t="n">
        <v>1000</v>
      </c>
      <c r="D12" s="12" t="inlineStr">
        <is>
          <t>kg</t>
        </is>
      </c>
      <c r="E12" s="12" t="inlineStr">
        <is>
          <t>11:00</t>
        </is>
      </c>
      <c r="F12" s="12" t="inlineStr">
        <is>
          <t>11:15</t>
        </is>
      </c>
      <c r="G12" s="12" t="inlineStr">
        <is>
          <t>GR-008832</t>
        </is>
      </c>
      <c r="H12" s="12" t="inlineStr">
        <is>
          <t>J. Torres (Almacenero)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style="44" min="1" max="1"/>
    <col width="30" customWidth="1" style="44" min="2" max="2"/>
    <col width="14" customWidth="1" style="44" min="3" max="3"/>
    <col width="12" customWidth="1" style="44" min="4" max="6"/>
    <col width="30" customWidth="1" style="44" min="7" max="7"/>
  </cols>
  <sheetData>
    <row r="1" ht="18" customHeight="1" s="44">
      <c r="A1" s="53" t="inlineStr">
        <is>
          <t>SEGURIDAD (SSOMA)</t>
        </is>
      </c>
    </row>
    <row r="2" ht="16.05" customHeight="1" s="44">
      <c r="A2" s="49" t="inlineStr">
        <is>
          <t>Control de Alcohol y Drogas</t>
        </is>
      </c>
    </row>
    <row r="3" ht="24" customHeight="1" s="44">
      <c r="A3" s="11" t="inlineStr">
        <is>
          <t>N° Programados</t>
        </is>
      </c>
      <c r="B3" s="11" t="inlineStr">
        <is>
          <t>N° Evaluados</t>
        </is>
      </c>
      <c r="C3" s="11" t="inlineStr">
        <is>
          <t>N° Positivos</t>
        </is>
      </c>
      <c r="D3" s="11" t="inlineStr">
        <is>
          <t>N° Negativos</t>
        </is>
      </c>
      <c r="E3" s="11" t="inlineStr">
        <is>
          <t>% Cumplimiento</t>
        </is>
      </c>
      <c r="F3" s="11" t="n"/>
      <c r="G3" s="11" t="n"/>
    </row>
    <row r="4">
      <c r="A4" s="12" t="n">
        <v>26</v>
      </c>
      <c r="B4" s="12" t="n">
        <v>26</v>
      </c>
      <c r="C4" s="12" t="n">
        <v>0</v>
      </c>
      <c r="D4" s="12" t="n">
        <v>26</v>
      </c>
      <c r="E4" s="33">
        <f>B4/A4</f>
        <v/>
      </c>
    </row>
    <row r="6" ht="16.05" customHeight="1" s="44">
      <c r="A6" s="49" t="inlineStr">
        <is>
          <t>Charlas de Seguridad</t>
        </is>
      </c>
    </row>
    <row r="7">
      <c r="A7" s="11" t="inlineStr">
        <is>
          <t>Hora</t>
        </is>
      </c>
      <c r="B7" s="11" t="inlineStr">
        <is>
          <t>Tema</t>
        </is>
      </c>
      <c r="C7" s="11" t="inlineStr">
        <is>
          <t>Responsable</t>
        </is>
      </c>
      <c r="D7" s="11" t="inlineStr">
        <is>
          <t>N° Asistentes</t>
        </is>
      </c>
      <c r="E7" s="11" t="inlineStr">
        <is>
          <t>Duración (min)</t>
        </is>
      </c>
      <c r="F7" s="11" t="n"/>
      <c r="G7" s="11" t="n"/>
    </row>
    <row r="8">
      <c r="A8" s="12" t="inlineStr">
        <is>
          <t>06:30</t>
        </is>
      </c>
      <c r="B8" s="12" t="inlineStr">
        <is>
          <t>Trabajos en caliente - soldadura y esmerilado</t>
        </is>
      </c>
      <c r="C8" s="12" t="inlineStr">
        <is>
          <t>Sup. SSOMA</t>
        </is>
      </c>
      <c r="D8" s="12" t="n">
        <v>23</v>
      </c>
      <c r="E8" s="12" t="n">
        <v>15</v>
      </c>
    </row>
    <row r="9">
      <c r="A9" s="12" t="inlineStr">
        <is>
          <t>06:45</t>
        </is>
      </c>
      <c r="B9" s="12" t="inlineStr">
        <is>
          <t>Buenos Días Mina Justa (BDMJ) - Uso correcto de EPP</t>
        </is>
      </c>
      <c r="C9" s="12" t="inlineStr">
        <is>
          <t>Sup. SSOMA</t>
        </is>
      </c>
      <c r="D9" s="12" t="n">
        <v>23</v>
      </c>
      <c r="E9" s="12" t="n">
        <v>10</v>
      </c>
    </row>
    <row r="11" ht="16.05" customHeight="1" s="44">
      <c r="A11" s="49" t="inlineStr">
        <is>
          <t>Inspecciones</t>
        </is>
      </c>
    </row>
    <row r="12">
      <c r="A12" s="11" t="inlineStr">
        <is>
          <t>N°</t>
        </is>
      </c>
      <c r="B12" s="11" t="inlineStr">
        <is>
          <t>Área / Partida</t>
        </is>
      </c>
      <c r="C12" s="11" t="inlineStr">
        <is>
          <t>Hallazgo</t>
        </is>
      </c>
      <c r="D12" s="11" t="inlineStr">
        <is>
          <t>Riesgo</t>
        </is>
      </c>
      <c r="E12" s="11" t="inlineStr">
        <is>
          <t>Estado</t>
        </is>
      </c>
      <c r="F12" s="11" t="inlineStr">
        <is>
          <t>Responsable</t>
        </is>
      </c>
      <c r="G12" s="11" t="inlineStr">
        <is>
          <t>Fecha Cierre</t>
        </is>
      </c>
    </row>
    <row r="13">
      <c r="A13" s="12" t="inlineStr">
        <is>
          <t>INS-01</t>
        </is>
      </c>
      <c r="B13" s="12" t="inlineStr">
        <is>
          <t>PART-01 (Excavación)</t>
        </is>
      </c>
      <c r="C13" s="12" t="inlineStr">
        <is>
          <t>Falta de señalización perimetral en talud</t>
        </is>
      </c>
      <c r="D13" s="12" t="inlineStr">
        <is>
          <t>Medio</t>
        </is>
      </c>
      <c r="E13" s="23" t="inlineStr">
        <is>
          <t>Cerrado</t>
        </is>
      </c>
      <c r="F13" s="12" t="inlineStr">
        <is>
          <t>Sup. SSOMA</t>
        </is>
      </c>
      <c r="G13" s="12" t="inlineStr">
        <is>
          <t>05/08/2026</t>
        </is>
      </c>
    </row>
    <row r="14">
      <c r="A14" s="12" t="inlineStr">
        <is>
          <t>INS-02</t>
        </is>
      </c>
      <c r="B14" s="12" t="inlineStr">
        <is>
          <t>PART-05 (Montaje)</t>
        </is>
      </c>
      <c r="C14" s="12" t="inlineStr">
        <is>
          <t>Amarre de andamio insuficiente</t>
        </is>
      </c>
      <c r="D14" s="12" t="inlineStr">
        <is>
          <t>Alto</t>
        </is>
      </c>
      <c r="E14" s="23" t="inlineStr">
        <is>
          <t>Cerrado</t>
        </is>
      </c>
      <c r="F14" s="12" t="inlineStr">
        <is>
          <t>Sup. SSOMA</t>
        </is>
      </c>
      <c r="G14" s="12" t="inlineStr">
        <is>
          <t>05/08/2026</t>
        </is>
      </c>
    </row>
    <row r="15">
      <c r="A15" s="12" t="inlineStr">
        <is>
          <t>INS-03</t>
        </is>
      </c>
      <c r="B15" s="12" t="inlineStr">
        <is>
          <t>Almacén Norte</t>
        </is>
      </c>
      <c r="C15" s="12" t="inlineStr">
        <is>
          <t>Orden y limpieza deficiente en zona de acopio</t>
        </is>
      </c>
      <c r="D15" s="12" t="inlineStr">
        <is>
          <t>Bajo</t>
        </is>
      </c>
      <c r="E15" s="25" t="inlineStr">
        <is>
          <t>Abierto</t>
        </is>
      </c>
      <c r="F15" s="12" t="inlineStr">
        <is>
          <t>Sup. Operativo</t>
        </is>
      </c>
      <c r="G15" s="12" t="inlineStr">
        <is>
          <t>Pendiente</t>
        </is>
      </c>
    </row>
    <row r="17" ht="16.05" customHeight="1" s="44">
      <c r="A17" s="49" t="inlineStr">
        <is>
          <t>Incidentes / Casi Accidentes</t>
        </is>
      </c>
    </row>
    <row r="18">
      <c r="A18" s="11" t="inlineStr">
        <is>
          <t>N°</t>
        </is>
      </c>
      <c r="B18" s="11" t="inlineStr">
        <is>
          <t>Tipo</t>
        </is>
      </c>
      <c r="C18" s="11" t="inlineStr">
        <is>
          <t>Descripción</t>
        </is>
      </c>
      <c r="D18" s="11" t="inlineStr">
        <is>
          <t>Partida</t>
        </is>
      </c>
      <c r="E18" s="11" t="inlineStr">
        <is>
          <t>Severidad</t>
        </is>
      </c>
      <c r="F18" s="11" t="inlineStr">
        <is>
          <t>Acción Tomada</t>
        </is>
      </c>
      <c r="G18" s="11" t="n"/>
    </row>
    <row r="19">
      <c r="A19" s="12" t="inlineStr">
        <is>
          <t>CA-01</t>
        </is>
      </c>
      <c r="B19" s="12" t="inlineStr">
        <is>
          <t>Casi accidente</t>
        </is>
      </c>
      <c r="C19" s="12" t="inlineStr">
        <is>
          <t>Caída de material menor desde andamio, sin lesionados</t>
        </is>
      </c>
      <c r="D19" s="12" t="inlineStr">
        <is>
          <t>PART-05</t>
        </is>
      </c>
      <c r="E19" s="12" t="inlineStr">
        <is>
          <t>Leve</t>
        </is>
      </c>
      <c r="F19" s="12" t="inlineStr">
        <is>
          <t>Charla de refuerzo de amarre de herramientas y materiales en altura</t>
        </is>
      </c>
    </row>
    <row r="21" ht="18" customHeight="1" s="44">
      <c r="A21" s="53" t="inlineStr">
        <is>
          <t>CALIDAD</t>
        </is>
      </c>
    </row>
    <row r="22" ht="16.05" customHeight="1" s="44">
      <c r="A22" s="49" t="inlineStr">
        <is>
          <t>Ensayos</t>
        </is>
      </c>
    </row>
    <row r="23">
      <c r="A23" s="11" t="inlineStr">
        <is>
          <t>N°</t>
        </is>
      </c>
      <c r="B23" s="11" t="inlineStr">
        <is>
          <t>Tipo de Ensayo</t>
        </is>
      </c>
      <c r="C23" s="11" t="inlineStr">
        <is>
          <t>Partida</t>
        </is>
      </c>
      <c r="D23" s="11" t="inlineStr">
        <is>
          <t>Resultado</t>
        </is>
      </c>
      <c r="E23" s="11" t="inlineStr">
        <is>
          <t>Estado</t>
        </is>
      </c>
      <c r="F23" s="11" t="n"/>
      <c r="G23" s="11" t="n"/>
    </row>
    <row r="24">
      <c r="A24" s="12" t="inlineStr">
        <is>
          <t>EN-01</t>
        </is>
      </c>
      <c r="B24" s="12" t="inlineStr">
        <is>
          <t>Prueba de asentamiento (slump)</t>
        </is>
      </c>
      <c r="C24" s="12" t="inlineStr">
        <is>
          <t>PART-04</t>
        </is>
      </c>
      <c r="D24" s="12" t="inlineStr">
        <is>
          <t>4 pulgadas</t>
        </is>
      </c>
      <c r="E24" s="12" t="inlineStr">
        <is>
          <t>Conforme</t>
        </is>
      </c>
    </row>
    <row r="25">
      <c r="A25" s="12" t="inlineStr">
        <is>
          <t>EN-02</t>
        </is>
      </c>
      <c r="B25" s="12" t="inlineStr">
        <is>
          <t>Ensayo de compresión - probetas 7 días</t>
        </is>
      </c>
      <c r="C25" s="12" t="inlineStr">
        <is>
          <t>PART-04</t>
        </is>
      </c>
      <c r="D25" s="12" t="inlineStr">
        <is>
          <t>Programado 12/08/2026</t>
        </is>
      </c>
      <c r="E25" s="12" t="inlineStr">
        <is>
          <t>Pendiente</t>
        </is>
      </c>
    </row>
    <row r="27" ht="16.05" customHeight="1" s="44">
      <c r="A27" s="49" t="inlineStr">
        <is>
          <t>No Conformidades</t>
        </is>
      </c>
    </row>
    <row r="28">
      <c r="A28" s="11" t="inlineStr">
        <is>
          <t>N°</t>
        </is>
      </c>
      <c r="B28" s="11" t="inlineStr">
        <is>
          <t>Descripción</t>
        </is>
      </c>
      <c r="C28" s="11" t="inlineStr">
        <is>
          <t>Partida</t>
        </is>
      </c>
      <c r="D28" s="11" t="inlineStr">
        <is>
          <t>Responsable</t>
        </is>
      </c>
      <c r="E28" s="11" t="inlineStr">
        <is>
          <t>Estado</t>
        </is>
      </c>
      <c r="F28" s="11" t="inlineStr">
        <is>
          <t>Fecha Límite</t>
        </is>
      </c>
      <c r="G28" s="11" t="n"/>
    </row>
    <row r="29">
      <c r="A29" s="12" t="inlineStr">
        <is>
          <t>NC-014</t>
        </is>
      </c>
      <c r="B29" s="12" t="inlineStr">
        <is>
          <t>Recubrimiento de bancoducto fuera de tolerancia especificada</t>
        </is>
      </c>
      <c r="C29" s="12" t="inlineStr">
        <is>
          <t>PART-02</t>
        </is>
      </c>
      <c r="D29" s="12" t="inlineStr">
        <is>
          <t>Ing. Calidad</t>
        </is>
      </c>
      <c r="E29" s="25" t="inlineStr">
        <is>
          <t>Abierta</t>
        </is>
      </c>
      <c r="F29" s="12" t="inlineStr">
        <is>
          <t>08/08/2026</t>
        </is>
      </c>
    </row>
    <row r="31" ht="16.05" customHeight="1" s="44">
      <c r="A31" s="49" t="inlineStr">
        <is>
          <t>Liberaciones</t>
        </is>
      </c>
    </row>
    <row r="32">
      <c r="A32" s="11" t="inlineStr">
        <is>
          <t>N°</t>
        </is>
      </c>
      <c r="B32" s="11" t="inlineStr">
        <is>
          <t>Elemento</t>
        </is>
      </c>
      <c r="C32" s="11" t="inlineStr">
        <is>
          <t>Partida</t>
        </is>
      </c>
      <c r="D32" s="11" t="inlineStr">
        <is>
          <t>Aprobado por</t>
        </is>
      </c>
      <c r="E32" s="11" t="inlineStr">
        <is>
          <t>Resultado</t>
        </is>
      </c>
      <c r="F32" s="11" t="n"/>
      <c r="G32" s="11" t="n"/>
    </row>
    <row r="33">
      <c r="A33" s="12" t="inlineStr">
        <is>
          <t>LIB-09</t>
        </is>
      </c>
      <c r="B33" s="12" t="inlineStr">
        <is>
          <t>Encofrado y acero de pedestal L-12</t>
        </is>
      </c>
      <c r="C33" s="12" t="inlineStr">
        <is>
          <t>PART-04</t>
        </is>
      </c>
      <c r="D33" s="12" t="inlineStr">
        <is>
          <t>Ing. Calidad (V. Pérez Contreras)</t>
        </is>
      </c>
      <c r="E33" s="12" t="inlineStr">
        <is>
          <t>Liberado para vaciado</t>
        </is>
      </c>
    </row>
  </sheetData>
  <mergeCells count="9">
    <mergeCell ref="A1:G1"/>
    <mergeCell ref="A17:G17"/>
    <mergeCell ref="A27:G27"/>
    <mergeCell ref="A31:G31"/>
    <mergeCell ref="A6:G6"/>
    <mergeCell ref="A21:G21"/>
    <mergeCell ref="A22:G22"/>
    <mergeCell ref="A2:G2"/>
    <mergeCell ref="A11:G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C00000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0" customWidth="1" style="44" min="1" max="1"/>
    <col width="40" customWidth="1" style="44" min="2" max="2"/>
    <col width="14" customWidth="1" style="44" min="3" max="3"/>
    <col width="18" customWidth="1" style="44" min="4" max="4"/>
    <col width="16" customWidth="1" style="44" min="5" max="5"/>
    <col width="14" customWidth="1" style="44" min="6" max="6"/>
    <col width="12" customWidth="1" style="44" min="7" max="8"/>
  </cols>
  <sheetData>
    <row r="1" ht="18" customHeight="1" s="44">
      <c r="A1" s="53" t="inlineStr">
        <is>
          <t>RESTRICCIONES / INTERFERENCIAS (compromisos tipo Last Planner)</t>
        </is>
      </c>
    </row>
    <row r="2" ht="24" customHeight="1" s="44">
      <c r="A2" s="11" t="inlineStr">
        <is>
          <t>N°</t>
        </is>
      </c>
      <c r="B2" s="11" t="inlineStr">
        <is>
          <t>Restricción</t>
        </is>
      </c>
      <c r="C2" s="11" t="inlineStr">
        <is>
          <t>Partida
Afectada</t>
        </is>
      </c>
      <c r="D2" s="11" t="inlineStr">
        <is>
          <t>Responsable</t>
        </is>
      </c>
      <c r="E2" s="11" t="inlineStr">
        <is>
          <t>Atribuible a</t>
        </is>
      </c>
      <c r="F2" s="11" t="inlineStr">
        <is>
          <t>Fecha
Compromiso</t>
        </is>
      </c>
      <c r="G2" s="11" t="inlineStr">
        <is>
          <t>Estado</t>
        </is>
      </c>
      <c r="H2" s="11" t="inlineStr">
        <is>
          <t>Impacto
(días)</t>
        </is>
      </c>
    </row>
    <row r="3">
      <c r="A3" s="12" t="inlineStr">
        <is>
          <t>R-01</t>
        </is>
      </c>
      <c r="B3" s="12" t="inlineStr">
        <is>
          <t>Falta de tubería HDPE para completar instalación</t>
        </is>
      </c>
      <c r="C3" s="12" t="inlineStr">
        <is>
          <t>PART-03</t>
        </is>
      </c>
      <c r="D3" s="12" t="inlineStr">
        <is>
          <t>Logística PROMCOSER</t>
        </is>
      </c>
      <c r="E3" s="12" t="inlineStr">
        <is>
          <t>PROMCOSER</t>
        </is>
      </c>
      <c r="F3" s="12" t="inlineStr">
        <is>
          <t>07/08/2026</t>
        </is>
      </c>
      <c r="G3" s="25" t="inlineStr">
        <is>
          <t>Abierta</t>
        </is>
      </c>
      <c r="H3" s="12" t="n">
        <v>2</v>
      </c>
    </row>
    <row r="4">
      <c r="A4" s="12" t="inlineStr">
        <is>
          <t>R-02</t>
        </is>
      </c>
      <c r="B4" s="12" t="inlineStr">
        <is>
          <t>Aprobación de diseño de pedestal pendiente por cliente</t>
        </is>
      </c>
      <c r="C4" s="12" t="inlineStr">
        <is>
          <t>PART-04</t>
        </is>
      </c>
      <c r="D4" s="12" t="inlineStr">
        <is>
          <t>Oficina Técnica</t>
        </is>
      </c>
      <c r="E4" s="12" t="inlineStr">
        <is>
          <t>Cliente (Marcobre)</t>
        </is>
      </c>
      <c r="F4" s="12" t="inlineStr">
        <is>
          <t>06/08/2026</t>
        </is>
      </c>
      <c r="G4" s="25" t="inlineStr">
        <is>
          <t>Abierta</t>
        </is>
      </c>
      <c r="H4" s="12" t="n">
        <v>1</v>
      </c>
    </row>
    <row r="5">
      <c r="A5" s="12" t="inlineStr">
        <is>
          <t>R-03</t>
        </is>
      </c>
      <c r="B5" s="12" t="inlineStr">
        <is>
          <t>Interferencia con tendido eléctrico existente en zona de excavación</t>
        </is>
      </c>
      <c r="C5" s="12" t="inlineStr">
        <is>
          <t>PART-01</t>
        </is>
      </c>
      <c r="D5" s="12" t="inlineStr">
        <is>
          <t>Ing. Residente</t>
        </is>
      </c>
      <c r="E5" s="12" t="inlineStr">
        <is>
          <t>AESA</t>
        </is>
      </c>
      <c r="F5" s="12" t="inlineStr">
        <is>
          <t>04/08/2026</t>
        </is>
      </c>
      <c r="G5" s="23" t="inlineStr">
        <is>
          <t>Cerrada</t>
        </is>
      </c>
      <c r="H5" s="12" t="n">
        <v>0</v>
      </c>
    </row>
    <row r="7" ht="16.05" customHeight="1" s="44">
      <c r="A7" s="49" t="inlineStr">
        <is>
          <t>REUNIONES</t>
        </is>
      </c>
    </row>
    <row r="8">
      <c r="A8" s="11" t="inlineStr">
        <is>
          <t>Hora</t>
        </is>
      </c>
      <c r="B8" s="11" t="inlineStr">
        <is>
          <t>Tipo</t>
        </is>
      </c>
      <c r="C8" s="11" t="inlineStr">
        <is>
          <t>Asistentes</t>
        </is>
      </c>
      <c r="D8" s="11" t="inlineStr">
        <is>
          <t>Temas Tratados</t>
        </is>
      </c>
      <c r="E8" s="11" t="inlineStr">
        <is>
          <t>Acuerdos</t>
        </is>
      </c>
      <c r="F8" s="11" t="n"/>
      <c r="G8" s="11" t="n"/>
      <c r="H8" s="11" t="n"/>
    </row>
    <row r="9">
      <c r="A9" s="12" t="inlineStr">
        <is>
          <t>07:00</t>
        </is>
      </c>
      <c r="B9" s="12" t="inlineStr">
        <is>
          <t>Charla de inicio + coordinación diaria</t>
        </is>
      </c>
      <c r="C9" s="12" t="n">
        <v>23</v>
      </c>
      <c r="D9" s="12" t="inlineStr">
        <is>
          <t>Plan del día, riesgos en PART-05 (trabajos en altura)</t>
        </is>
      </c>
      <c r="E9" s="12" t="inlineStr">
        <is>
          <t>Reforzar señalización en excavación PART-01</t>
        </is>
      </c>
    </row>
    <row r="10">
      <c r="A10" s="12" t="inlineStr">
        <is>
          <t>15:30</t>
        </is>
      </c>
      <c r="B10" s="12" t="inlineStr">
        <is>
          <t>Coordinación con supervisión AESA</t>
        </is>
      </c>
      <c r="C10" s="12" t="n">
        <v>4</v>
      </c>
      <c r="D10" s="12" t="inlineStr">
        <is>
          <t>Avance de la semana, restricción de tubería HDPE</t>
        </is>
      </c>
      <c r="E10" s="12" t="inlineStr">
        <is>
          <t>AESA gestiona compra urgente de tubería</t>
        </is>
      </c>
    </row>
    <row r="12" ht="16.05" customHeight="1" s="44">
      <c r="A12" s="49" t="inlineStr">
        <is>
          <t>VISITANTES</t>
        </is>
      </c>
    </row>
    <row r="13">
      <c r="A13" s="11" t="inlineStr">
        <is>
          <t>Nombre</t>
        </is>
      </c>
      <c r="B13" s="11" t="inlineStr">
        <is>
          <t>Empresa</t>
        </is>
      </c>
      <c r="C13" s="11" t="inlineStr">
        <is>
          <t>Motivo</t>
        </is>
      </c>
      <c r="D13" s="11" t="inlineStr">
        <is>
          <t>Hora Ingreso</t>
        </is>
      </c>
      <c r="E13" s="11" t="inlineStr">
        <is>
          <t>Hora Salida</t>
        </is>
      </c>
      <c r="F13" s="11" t="n"/>
      <c r="G13" s="11" t="n"/>
      <c r="H13" s="11" t="n"/>
    </row>
    <row r="14">
      <c r="A14" s="12" t="inlineStr">
        <is>
          <t>Ing. Carlos Ramos Dávila</t>
        </is>
      </c>
      <c r="B14" s="12" t="inlineStr">
        <is>
          <t>AESA (Supervisión)</t>
        </is>
      </c>
      <c r="C14" s="12" t="inlineStr">
        <is>
          <t>Inspección de avance de obra</t>
        </is>
      </c>
      <c r="D14" s="12" t="inlineStr">
        <is>
          <t>10:00</t>
        </is>
      </c>
      <c r="E14" s="12" t="inlineStr">
        <is>
          <t>11:30</t>
        </is>
      </c>
    </row>
    <row r="15">
      <c r="A15" s="12" t="inlineStr">
        <is>
          <t>Ing. Lucía Fernández Soto</t>
        </is>
      </c>
      <c r="B15" s="12" t="inlineStr">
        <is>
          <t>Marcobre (Cliente)</t>
        </is>
      </c>
      <c r="C15" s="12" t="inlineStr">
        <is>
          <t>Visita de verificación SSOMA</t>
        </is>
      </c>
      <c r="D15" s="12" t="inlineStr">
        <is>
          <t>14:00</t>
        </is>
      </c>
      <c r="E15" s="12" t="inlineStr">
        <is>
          <t>14:45</t>
        </is>
      </c>
    </row>
  </sheetData>
  <mergeCells count="3">
    <mergeCell ref="A7:H7"/>
    <mergeCell ref="A12:H1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8671875" defaultRowHeight="14.4"/>
  <cols>
    <col width="6" customWidth="1" style="44" min="1" max="1"/>
    <col width="12" customWidth="1" style="44" min="2" max="2"/>
    <col width="22" customWidth="1" style="44" min="3" max="3"/>
    <col width="40" customWidth="1" style="44" min="4" max="4"/>
    <col width="45" customWidth="1" style="44" min="5" max="5"/>
  </cols>
  <sheetData>
    <row r="1" ht="18" customHeight="1" s="44">
      <c r="A1" s="43" t="inlineStr">
        <is>
          <t>REGISTRO FOTOGRÁFICO DEL DÍA</t>
        </is>
      </c>
    </row>
    <row r="2" ht="24" customHeight="1" s="44">
      <c r="A2" s="11" t="inlineStr">
        <is>
          <t>N°</t>
        </is>
      </c>
      <c r="B2" s="11" t="inlineStr">
        <is>
          <t>Código
Partida</t>
        </is>
      </c>
      <c r="C2" s="11" t="inlineStr">
        <is>
          <t>Frente / Ubicación</t>
        </is>
      </c>
      <c r="D2" s="11" t="inlineStr">
        <is>
          <t>Descripción</t>
        </is>
      </c>
      <c r="E2" s="11" t="inlineStr">
        <is>
          <t>Fotografía</t>
        </is>
      </c>
    </row>
    <row r="3" ht="60" customHeight="1" s="44">
      <c r="A3" s="12" t="n">
        <v>1</v>
      </c>
      <c r="B3" s="12" t="inlineStr">
        <is>
          <t>PART-01</t>
        </is>
      </c>
      <c r="C3" s="12" t="inlineStr">
        <is>
          <t>Excavación bancoductos</t>
        </is>
      </c>
      <c r="D3" s="12" t="inlineStr">
        <is>
          <t>Avance de excavación tramo km 0+450</t>
        </is>
      </c>
      <c r="E3" s="42" t="inlineStr">
        <is>
          <t>[Insertar fotografía aquí]</t>
        </is>
      </c>
    </row>
    <row r="4" ht="60" customHeight="1" s="44">
      <c r="A4" s="12" t="n">
        <v>2</v>
      </c>
      <c r="B4" s="12" t="inlineStr">
        <is>
          <t>PART-02</t>
        </is>
      </c>
      <c r="C4" s="12" t="inlineStr">
        <is>
          <t>Cantera Marcona</t>
        </is>
      </c>
      <c r="D4" s="12" t="inlineStr">
        <is>
          <t>Curado y limpieza de bancoductos prefabricados</t>
        </is>
      </c>
      <c r="E4" s="42" t="inlineStr">
        <is>
          <t>[Insertar fotografía aquí]</t>
        </is>
      </c>
    </row>
    <row r="5" ht="60" customHeight="1" s="44">
      <c r="A5" s="12" t="n">
        <v>3</v>
      </c>
      <c r="B5" s="12" t="inlineStr">
        <is>
          <t>PART-03</t>
        </is>
      </c>
      <c r="C5" s="12" t="inlineStr">
        <is>
          <t>Rampa Sur</t>
        </is>
      </c>
      <c r="D5" s="12" t="inlineStr">
        <is>
          <t>Izaje e instalación de bancoducto con grúa</t>
        </is>
      </c>
      <c r="E5" s="42" t="inlineStr">
        <is>
          <t>[Insertar fotografía aquí]</t>
        </is>
      </c>
    </row>
    <row r="6" ht="60" customHeight="1" s="44">
      <c r="A6" s="12" t="n">
        <v>4</v>
      </c>
      <c r="B6" s="12" t="inlineStr">
        <is>
          <t>PART-04</t>
        </is>
      </c>
      <c r="C6" s="12" t="inlineStr">
        <is>
          <t>Almacén Norte</t>
        </is>
      </c>
      <c r="D6" s="12" t="inlineStr">
        <is>
          <t>Vaciado de concreto f'c=210 en pedestal L-12</t>
        </is>
      </c>
      <c r="E6" s="42" t="inlineStr">
        <is>
          <t>[Insertar fotografía aquí]</t>
        </is>
      </c>
    </row>
    <row r="7" ht="60" customHeight="1" s="44">
      <c r="A7" s="12" t="n">
        <v>5</v>
      </c>
      <c r="B7" s="12" t="inlineStr">
        <is>
          <t>PART-05</t>
        </is>
      </c>
      <c r="C7" s="12" t="inlineStr">
        <is>
          <t>Almacén Norte</t>
        </is>
      </c>
      <c r="D7" s="12" t="inlineStr">
        <is>
          <t>Montaje de estructura metálica - columna C-08</t>
        </is>
      </c>
      <c r="E7" s="42" t="inlineStr">
        <is>
          <t>[Insertar fotografía aquí]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8671875" defaultRowHeight="14.4"/>
  <cols>
    <col width="5" customWidth="1" style="44" min="1" max="1"/>
    <col width="12" customWidth="1" style="44" min="2" max="2"/>
    <col width="32" customWidth="1" style="44" min="3" max="3"/>
    <col width="26" customWidth="1" style="44" min="4" max="4"/>
    <col width="12" customWidth="1" style="44" min="5" max="7"/>
  </cols>
  <sheetData>
    <row r="1" ht="18" customHeight="1" s="44">
      <c r="A1" s="43" t="inlineStr">
        <is>
          <t>ROSTER NOMINAL DEL DÍA — fuente oficial de headcount (Mano_Obra es por actividad, no por persona única)</t>
        </is>
      </c>
    </row>
    <row r="2" ht="24" customHeight="1" s="44">
      <c r="A2" s="11" t="inlineStr">
        <is>
          <t>N°</t>
        </is>
      </c>
      <c r="B2" s="11" t="inlineStr">
        <is>
          <t>DNI</t>
        </is>
      </c>
      <c r="C2" s="11" t="inlineStr">
        <is>
          <t>Apellidos y Nombres</t>
        </is>
      </c>
      <c r="D2" s="11" t="inlineStr">
        <is>
          <t>Cargo</t>
        </is>
      </c>
      <c r="E2" s="11" t="inlineStr">
        <is>
          <t>Actividad
Principal</t>
        </is>
      </c>
      <c r="F2" s="11" t="inlineStr">
        <is>
          <t>Condición</t>
        </is>
      </c>
      <c r="G2" s="11" t="inlineStr">
        <is>
          <t>Asistencia</t>
        </is>
      </c>
    </row>
    <row r="3">
      <c r="A3" s="12" t="n">
        <v>1</v>
      </c>
      <c r="B3" s="12" t="n">
        <v>71234567</v>
      </c>
      <c r="C3" s="12" t="inlineStr">
        <is>
          <t>RAMOS QUISPE, Jhonny</t>
        </is>
      </c>
      <c r="D3" s="12" t="inlineStr">
        <is>
          <t>Operador Excavadora</t>
        </is>
      </c>
      <c r="E3" s="12" t="inlineStr">
        <is>
          <t>T1</t>
        </is>
      </c>
      <c r="F3" s="12" t="inlineStr">
        <is>
          <t>Activo</t>
        </is>
      </c>
      <c r="G3" s="12" t="inlineStr">
        <is>
          <t>A</t>
        </is>
      </c>
    </row>
    <row r="4">
      <c r="A4" s="12" t="n">
        <v>2</v>
      </c>
      <c r="B4" s="12" t="n">
        <v>72345678</v>
      </c>
      <c r="C4" s="12" t="inlineStr">
        <is>
          <t>HUARANCCA TORRES, Elmer</t>
        </is>
      </c>
      <c r="D4" s="12" t="inlineStr">
        <is>
          <t>Ayudante</t>
        </is>
      </c>
      <c r="E4" s="12" t="inlineStr">
        <is>
          <t>T1</t>
        </is>
      </c>
      <c r="F4" s="12" t="inlineStr">
        <is>
          <t>Activo</t>
        </is>
      </c>
      <c r="G4" s="12" t="inlineStr">
        <is>
          <t>A</t>
        </is>
      </c>
    </row>
    <row r="5">
      <c r="A5" s="12" t="n">
        <v>3</v>
      </c>
      <c r="B5" s="12" t="n">
        <v>73456789</v>
      </c>
      <c r="C5" s="12" t="inlineStr">
        <is>
          <t>PACHECO LIMA, Rosa</t>
        </is>
      </c>
      <c r="D5" s="12" t="inlineStr">
        <is>
          <t>Vigía</t>
        </is>
      </c>
      <c r="E5" s="12" t="inlineStr">
        <is>
          <t>T1</t>
        </is>
      </c>
      <c r="F5" s="12" t="inlineStr">
        <is>
          <t>Activo</t>
        </is>
      </c>
      <c r="G5" s="12" t="inlineStr">
        <is>
          <t>A</t>
        </is>
      </c>
    </row>
    <row r="6">
      <c r="A6" s="12" t="n">
        <v>4</v>
      </c>
      <c r="B6" s="12" t="n">
        <v>73095782</v>
      </c>
      <c r="C6" s="12" t="inlineStr">
        <is>
          <t>BARDALES TRUJILLO, Sandro Luis</t>
        </is>
      </c>
      <c r="D6" s="12" t="inlineStr">
        <is>
          <t>Operario Civil</t>
        </is>
      </c>
      <c r="E6" s="12" t="inlineStr">
        <is>
          <t>T2</t>
        </is>
      </c>
      <c r="F6" s="12" t="inlineStr">
        <is>
          <t>Activo</t>
        </is>
      </c>
      <c r="G6" s="12" t="inlineStr">
        <is>
          <t>A</t>
        </is>
      </c>
    </row>
    <row r="7">
      <c r="A7" s="12" t="n">
        <v>5</v>
      </c>
      <c r="B7" s="12" t="n">
        <v>75715613</v>
      </c>
      <c r="C7" s="12" t="inlineStr">
        <is>
          <t>ALVAREZ CRESPO, Moises Juan</t>
        </is>
      </c>
      <c r="D7" s="12" t="inlineStr">
        <is>
          <t>Operario Civil</t>
        </is>
      </c>
      <c r="E7" s="12" t="inlineStr">
        <is>
          <t>T2</t>
        </is>
      </c>
      <c r="F7" s="12" t="inlineStr">
        <is>
          <t>Activo</t>
        </is>
      </c>
      <c r="G7" s="12" t="inlineStr">
        <is>
          <t>A</t>
        </is>
      </c>
    </row>
    <row r="8">
      <c r="A8" s="12" t="n">
        <v>6</v>
      </c>
      <c r="B8" s="12" t="n">
        <v>76891111</v>
      </c>
      <c r="C8" s="12" t="inlineStr">
        <is>
          <t>FARIAS ULFE, Joshua Manuel Humberto</t>
        </is>
      </c>
      <c r="D8" s="12" t="inlineStr">
        <is>
          <t>Oficial</t>
        </is>
      </c>
      <c r="E8" s="12" t="inlineStr">
        <is>
          <t>T2</t>
        </is>
      </c>
      <c r="F8" s="12" t="inlineStr">
        <is>
          <t>Activo</t>
        </is>
      </c>
      <c r="G8" s="12" t="inlineStr">
        <is>
          <t>A</t>
        </is>
      </c>
    </row>
    <row r="9">
      <c r="A9" s="12" t="n">
        <v>7</v>
      </c>
      <c r="B9" s="12" t="n">
        <v>71831041</v>
      </c>
      <c r="C9" s="12" t="inlineStr">
        <is>
          <t>ROMUCHO HUAMAN, Porfirio Jose</t>
        </is>
      </c>
      <c r="D9" s="12" t="inlineStr">
        <is>
          <t>Oficial</t>
        </is>
      </c>
      <c r="E9" s="12" t="inlineStr">
        <is>
          <t>T2</t>
        </is>
      </c>
      <c r="F9" s="12" t="inlineStr">
        <is>
          <t>Activo</t>
        </is>
      </c>
      <c r="G9" s="12" t="inlineStr">
        <is>
          <t>A</t>
        </is>
      </c>
    </row>
    <row r="10">
      <c r="A10" s="12" t="n">
        <v>8</v>
      </c>
      <c r="B10" s="12" t="n">
        <v>73261821</v>
      </c>
      <c r="C10" s="12" t="inlineStr">
        <is>
          <t>CASTRO LEON, Abran</t>
        </is>
      </c>
      <c r="D10" s="12" t="inlineStr">
        <is>
          <t>Oficial</t>
        </is>
      </c>
      <c r="E10" s="12" t="inlineStr">
        <is>
          <t>T2</t>
        </is>
      </c>
      <c r="F10" s="12" t="inlineStr">
        <is>
          <t>Activo</t>
        </is>
      </c>
      <c r="G10" s="12" t="inlineStr">
        <is>
          <t>A</t>
        </is>
      </c>
    </row>
    <row r="11">
      <c r="A11" s="12" t="n">
        <v>9</v>
      </c>
      <c r="B11" s="12" t="n">
        <v>60741098</v>
      </c>
      <c r="C11" s="12" t="inlineStr">
        <is>
          <t>ALVARADO AGREDA, Ronald Martin</t>
        </is>
      </c>
      <c r="D11" s="12" t="inlineStr">
        <is>
          <t>Ayudante</t>
        </is>
      </c>
      <c r="E11" s="12" t="inlineStr">
        <is>
          <t>T2 / T9</t>
        </is>
      </c>
      <c r="F11" s="12" t="inlineStr">
        <is>
          <t>Activo</t>
        </is>
      </c>
      <c r="G11" s="12" t="inlineStr">
        <is>
          <t>A</t>
        </is>
      </c>
    </row>
    <row r="12">
      <c r="A12" s="12" t="n">
        <v>10</v>
      </c>
      <c r="B12" s="12" t="n">
        <v>74562849</v>
      </c>
      <c r="C12" s="12" t="inlineStr">
        <is>
          <t>COTRINA ALTAMIRANO, Jose Alfredo</t>
        </is>
      </c>
      <c r="D12" s="12" t="inlineStr">
        <is>
          <t>Ayudante</t>
        </is>
      </c>
      <c r="E12" s="12" t="inlineStr">
        <is>
          <t>T2 / T9</t>
        </is>
      </c>
      <c r="F12" s="12" t="inlineStr">
        <is>
          <t>Activo</t>
        </is>
      </c>
      <c r="G12" s="12" t="inlineStr">
        <is>
          <t>A</t>
        </is>
      </c>
    </row>
    <row r="13">
      <c r="A13" s="12" t="n">
        <v>11</v>
      </c>
      <c r="B13" s="12" t="n">
        <v>70521512</v>
      </c>
      <c r="C13" s="12" t="inlineStr">
        <is>
          <t>CAYO GUTIERREZ, Juan Wilfredo</t>
        </is>
      </c>
      <c r="D13" s="12" t="inlineStr">
        <is>
          <t>Operario Civil</t>
        </is>
      </c>
      <c r="E13" s="12" t="inlineStr">
        <is>
          <t>T3</t>
        </is>
      </c>
      <c r="F13" s="12" t="inlineStr">
        <is>
          <t>Activo</t>
        </is>
      </c>
      <c r="G13" s="12" t="inlineStr">
        <is>
          <t>A</t>
        </is>
      </c>
    </row>
    <row r="14">
      <c r="A14" s="12" t="n">
        <v>12</v>
      </c>
      <c r="B14" s="12" t="n">
        <v>43141186</v>
      </c>
      <c r="C14" s="12" t="inlineStr">
        <is>
          <t>GARRIAZO OSCO, Richard Felix</t>
        </is>
      </c>
      <c r="D14" s="12" t="inlineStr">
        <is>
          <t>Oficial</t>
        </is>
      </c>
      <c r="E14" s="12" t="inlineStr">
        <is>
          <t>T3</t>
        </is>
      </c>
      <c r="F14" s="12" t="inlineStr">
        <is>
          <t>Activo</t>
        </is>
      </c>
      <c r="G14" s="12" t="inlineStr">
        <is>
          <t>A</t>
        </is>
      </c>
    </row>
    <row r="15">
      <c r="A15" s="12" t="n">
        <v>13</v>
      </c>
      <c r="B15" s="12" t="n">
        <v>74001122</v>
      </c>
      <c r="C15" s="12" t="inlineStr">
        <is>
          <t>MENDOZA SILVA, Percy</t>
        </is>
      </c>
      <c r="D15" s="12" t="inlineStr">
        <is>
          <t>Oficial</t>
        </is>
      </c>
      <c r="E15" s="12" t="inlineStr">
        <is>
          <t>T3</t>
        </is>
      </c>
      <c r="F15" s="12" t="inlineStr">
        <is>
          <t>Activo</t>
        </is>
      </c>
      <c r="G15" s="12" t="inlineStr">
        <is>
          <t>A</t>
        </is>
      </c>
    </row>
    <row r="16">
      <c r="A16" s="12" t="n">
        <v>14</v>
      </c>
      <c r="B16" s="12" t="n">
        <v>48380481</v>
      </c>
      <c r="C16" s="12" t="inlineStr">
        <is>
          <t>GALVEZ RAVINES, Hector</t>
        </is>
      </c>
      <c r="D16" s="12" t="inlineStr">
        <is>
          <t>Operador Grúa</t>
        </is>
      </c>
      <c r="E16" s="12" t="inlineStr">
        <is>
          <t>T3 / T8</t>
        </is>
      </c>
      <c r="F16" s="12" t="inlineStr">
        <is>
          <t>Activo</t>
        </is>
      </c>
      <c r="G16" s="12" t="inlineStr">
        <is>
          <t>A</t>
        </is>
      </c>
    </row>
    <row r="17">
      <c r="A17" s="12" t="n">
        <v>15</v>
      </c>
      <c r="B17" s="12" t="n">
        <v>75002233</v>
      </c>
      <c r="C17" s="12" t="inlineStr">
        <is>
          <t>QUISPE MAMANI, Edgar</t>
        </is>
      </c>
      <c r="D17" s="12" t="inlineStr">
        <is>
          <t>Operario Civil</t>
        </is>
      </c>
      <c r="E17" s="12" t="inlineStr">
        <is>
          <t>T4</t>
        </is>
      </c>
      <c r="F17" s="12" t="inlineStr">
        <is>
          <t>Activo</t>
        </is>
      </c>
      <c r="G17" s="12" t="inlineStr">
        <is>
          <t>A</t>
        </is>
      </c>
    </row>
    <row r="18">
      <c r="A18" s="12" t="n">
        <v>16</v>
      </c>
      <c r="B18" s="12" t="n">
        <v>76003344</v>
      </c>
      <c r="C18" s="12" t="inlineStr">
        <is>
          <t>TORRES VEGA, Luis</t>
        </is>
      </c>
      <c r="D18" s="12" t="inlineStr">
        <is>
          <t>Oficial</t>
        </is>
      </c>
      <c r="E18" s="12" t="inlineStr">
        <is>
          <t>T4</t>
        </is>
      </c>
      <c r="F18" s="12" t="inlineStr">
        <is>
          <t>Activo</t>
        </is>
      </c>
      <c r="G18" s="12" t="inlineStr">
        <is>
          <t>A</t>
        </is>
      </c>
    </row>
    <row r="19">
      <c r="A19" s="12" t="n">
        <v>17</v>
      </c>
      <c r="B19" s="12" t="n">
        <v>77004455</v>
      </c>
      <c r="C19" s="12" t="inlineStr">
        <is>
          <t>CONDORI FLORES, Marco</t>
        </is>
      </c>
      <c r="D19" s="12" t="inlineStr">
        <is>
          <t>Oficial</t>
        </is>
      </c>
      <c r="E19" s="12" t="inlineStr">
        <is>
          <t>T4</t>
        </is>
      </c>
      <c r="F19" s="12" t="inlineStr">
        <is>
          <t>Activo</t>
        </is>
      </c>
      <c r="G19" s="12" t="inlineStr">
        <is>
          <t>A</t>
        </is>
      </c>
    </row>
    <row r="20">
      <c r="A20" s="12" t="n">
        <v>18</v>
      </c>
      <c r="B20" s="12" t="n">
        <v>78005566</v>
      </c>
      <c r="C20" s="12" t="inlineStr">
        <is>
          <t>RIOS CASTILLO, Jimmy</t>
        </is>
      </c>
      <c r="D20" s="12" t="inlineStr">
        <is>
          <t>Ayudante</t>
        </is>
      </c>
      <c r="E20" s="12" t="inlineStr">
        <is>
          <t>T4</t>
        </is>
      </c>
      <c r="F20" s="12" t="inlineStr">
        <is>
          <t>Activo</t>
        </is>
      </c>
      <c r="G20" s="12" t="inlineStr">
        <is>
          <t>A</t>
        </is>
      </c>
    </row>
    <row r="21">
      <c r="A21" s="12" t="n">
        <v>19</v>
      </c>
      <c r="B21" s="12" t="n">
        <v>47665722</v>
      </c>
      <c r="C21" s="12" t="inlineStr">
        <is>
          <t>CALACHIHUA HUAYCHAY, Ciro Alexander</t>
        </is>
      </c>
      <c r="D21" s="12" t="inlineStr">
        <is>
          <t>Op. Mecánico / Eléctrico</t>
        </is>
      </c>
      <c r="E21" s="12" t="inlineStr">
        <is>
          <t>T5</t>
        </is>
      </c>
      <c r="F21" s="12" t="inlineStr">
        <is>
          <t>Activo</t>
        </is>
      </c>
      <c r="G21" s="12" t="inlineStr">
        <is>
          <t>A</t>
        </is>
      </c>
    </row>
    <row r="22">
      <c r="A22" s="12" t="n">
        <v>20</v>
      </c>
      <c r="B22" s="12" t="n">
        <v>79006677</v>
      </c>
      <c r="C22" s="12" t="inlineStr">
        <is>
          <t>VARGAS PEÑA, Anthony</t>
        </is>
      </c>
      <c r="D22" s="12" t="inlineStr">
        <is>
          <t>Oficial</t>
        </is>
      </c>
      <c r="E22" s="12" t="inlineStr">
        <is>
          <t>T5</t>
        </is>
      </c>
      <c r="F22" s="12" t="inlineStr">
        <is>
          <t>Activo</t>
        </is>
      </c>
      <c r="G22" s="12" t="inlineStr">
        <is>
          <t>A</t>
        </is>
      </c>
    </row>
    <row r="23">
      <c r="A23" s="12" t="n">
        <v>21</v>
      </c>
      <c r="B23" s="12" t="n">
        <v>70007788</v>
      </c>
      <c r="C23" s="12" t="inlineStr">
        <is>
          <t>SOTO RAMIREZ, Diego</t>
        </is>
      </c>
      <c r="D23" s="12" t="inlineStr">
        <is>
          <t>Oficial</t>
        </is>
      </c>
      <c r="E23" s="12" t="inlineStr">
        <is>
          <t>T5</t>
        </is>
      </c>
      <c r="F23" s="12" t="inlineStr">
        <is>
          <t>Activo</t>
        </is>
      </c>
      <c r="G23" s="12" t="inlineStr">
        <is>
          <t>A</t>
        </is>
      </c>
    </row>
    <row r="24">
      <c r="A24" s="12" t="n">
        <v>22</v>
      </c>
      <c r="B24" s="12" t="n">
        <v>71008899</v>
      </c>
      <c r="C24" s="12" t="inlineStr">
        <is>
          <t>NUÑEZ CARBAJAL, Kevin</t>
        </is>
      </c>
      <c r="D24" s="12" t="inlineStr">
        <is>
          <t>Ayudante</t>
        </is>
      </c>
      <c r="E24" s="12" t="inlineStr">
        <is>
          <t>T5</t>
        </is>
      </c>
      <c r="F24" s="12" t="inlineStr">
        <is>
          <t>Activo</t>
        </is>
      </c>
      <c r="G24" s="12" t="inlineStr">
        <is>
          <t>A</t>
        </is>
      </c>
    </row>
    <row r="25">
      <c r="A25" s="12" t="n">
        <v>23</v>
      </c>
      <c r="B25" s="12" t="n">
        <v>72009900</v>
      </c>
      <c r="C25" s="12" t="inlineStr">
        <is>
          <t>FLORES ESPINOZA, Walter</t>
        </is>
      </c>
      <c r="D25" s="12" t="inlineStr">
        <is>
          <t>Cond. Camión Baranda</t>
        </is>
      </c>
      <c r="E25" s="12" t="inlineStr">
        <is>
          <t>T6</t>
        </is>
      </c>
      <c r="F25" s="12" t="inlineStr">
        <is>
          <t>Activo</t>
        </is>
      </c>
      <c r="G25" s="12" t="inlineStr">
        <is>
          <t>A</t>
        </is>
      </c>
    </row>
    <row r="26">
      <c r="A26" s="12" t="n">
        <v>24</v>
      </c>
      <c r="B26" s="12" t="n">
        <v>21520749</v>
      </c>
      <c r="C26" s="12" t="inlineStr">
        <is>
          <t>HUAMAN DIAZ, Braulio</t>
        </is>
      </c>
      <c r="D26" s="12" t="inlineStr">
        <is>
          <t>Sup. Operativo</t>
        </is>
      </c>
      <c r="E26" s="12" t="inlineStr">
        <is>
          <t>T10</t>
        </is>
      </c>
      <c r="F26" s="12" t="inlineStr">
        <is>
          <t>Activo</t>
        </is>
      </c>
      <c r="G26" s="12" t="inlineStr">
        <is>
          <t>A</t>
        </is>
      </c>
    </row>
    <row r="27">
      <c r="A27" s="12" t="n">
        <v>25</v>
      </c>
      <c r="B27" s="12" t="n">
        <v>76068227</v>
      </c>
      <c r="C27" s="12" t="inlineStr">
        <is>
          <t>PACAYA, Zoila Jean</t>
        </is>
      </c>
      <c r="D27" s="12" t="inlineStr">
        <is>
          <t>Sup. SSOMA</t>
        </is>
      </c>
      <c r="E27" s="12" t="inlineStr">
        <is>
          <t>T10</t>
        </is>
      </c>
      <c r="F27" s="12" t="inlineStr">
        <is>
          <t>Activo</t>
        </is>
      </c>
      <c r="G27" s="12" t="inlineStr">
        <is>
          <t>A</t>
        </is>
      </c>
    </row>
    <row r="28">
      <c r="A28" s="12" t="n">
        <v>26</v>
      </c>
      <c r="B28" s="12" t="n">
        <v>41531893</v>
      </c>
      <c r="C28" s="12" t="inlineStr">
        <is>
          <t>PEREZ CONTRERA, Victor Raul</t>
        </is>
      </c>
      <c r="D28" s="12" t="inlineStr">
        <is>
          <t>Ingeniero de Calidad</t>
        </is>
      </c>
      <c r="E28" s="12" t="inlineStr">
        <is>
          <t>T10</t>
        </is>
      </c>
      <c r="F28" s="12" t="inlineStr">
        <is>
          <t>Activo</t>
        </is>
      </c>
      <c r="G28" s="12" t="inlineStr">
        <is>
          <t>A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T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style="44" min="1" max="1"/>
    <col width="26" customWidth="1" style="44" min="2" max="2"/>
    <col width="7" customWidth="1" style="44" min="3" max="3"/>
    <col width="11" customWidth="1" style="44" min="4" max="4"/>
    <col width="8" customWidth="1" style="44" min="5" max="5"/>
    <col width="12" customWidth="1" style="44" min="6" max="6"/>
    <col width="8" customWidth="1" style="44" min="7" max="7"/>
    <col width="11" customWidth="1" style="44" min="8" max="8"/>
    <col width="9" customWidth="1" style="44" min="9" max="9"/>
    <col width="9" customWidth="1" style="44" min="10" max="10"/>
    <col width="9" customWidth="1" style="44" min="11" max="11"/>
    <col width="10" customWidth="1" style="44" min="12" max="12"/>
    <col width="9" customWidth="1" style="44" min="13" max="13"/>
    <col width="11" customWidth="1" style="44" min="14" max="14"/>
    <col width="9" customWidth="1" style="44" min="15" max="15"/>
    <col width="11" customWidth="1" style="44" min="16" max="16"/>
    <col width="8" customWidth="1" style="44" min="17" max="17"/>
    <col width="10" customWidth="1" style="44" min="18" max="18"/>
    <col width="8" customWidth="1" style="44" min="19" max="19"/>
    <col width="8" customWidth="1" style="44" min="20" max="20"/>
  </cols>
  <sheetData>
    <row r="1" ht="24" customHeight="1" s="44">
      <c r="A1" s="94" t="inlineStr">
        <is>
          <t>EJERCICIO — RDT (otro archivo) → RDO: trazabilidad real + parámetros únicos para EVM</t>
        </is>
      </c>
    </row>
    <row r="3" ht="26" customHeight="1" s="44">
      <c r="A3" s="95" t="inlineStr">
        <is>
          <t>Verde = viene POR FÓRMULA de otro archivo (RDT_Ejemplo_Relleno.xlsx). Azul = viene de la hoja Partidas (mismo archivo). Amarillo = parámetro único con nombre — cámbialo y todo lo que depende de él se recalcula solo. Si Excel te pregunta 'Actualizar vínculos' al abrir este archivo, dile que sí (es normal en archivos vinculados).</t>
        </is>
      </c>
    </row>
    <row r="5" ht="18" customHeight="1" s="44">
      <c r="A5" s="96" t="inlineStr">
        <is>
          <t>AVANCE FÍSICO Y PRODUCTIVIDAD DEL DÍA</t>
        </is>
      </c>
    </row>
    <row r="6" ht="42" customHeight="1" s="44">
      <c r="A6" s="97" t="inlineStr">
        <is>
          <t>Código</t>
        </is>
      </c>
      <c r="B6" s="97" t="inlineStr">
        <is>
          <t>Partida</t>
        </is>
      </c>
      <c r="C6" s="97" t="inlineStr">
        <is>
          <t>Und.</t>
        </is>
      </c>
      <c r="D6" s="97" t="inlineStr">
        <is>
          <t>Metrado
Contractual</t>
        </is>
      </c>
      <c r="E6" s="97" t="inlineStr">
        <is>
          <t>P.U.
(S/.)</t>
        </is>
      </c>
      <c r="F6" s="97" t="inlineStr">
        <is>
          <t>Monto
Contractual
(BAC) (S/.)</t>
        </is>
      </c>
      <c r="G6" s="97" t="inlineStr">
        <is>
          <t>Rendim.
Meta
(HH/Und)</t>
        </is>
      </c>
      <c r="H6" s="97" t="inlineStr">
        <is>
          <t>Metrado
Acum. Anterior
(=Partidas!L)</t>
        </is>
      </c>
      <c r="I6" s="97" t="inlineStr">
        <is>
          <t>Metrado
Prog. Día
(=RDT)</t>
        </is>
      </c>
      <c r="J6" s="97" t="inlineStr">
        <is>
          <t>Metrado
Ejec. Día
(=RDT)</t>
        </is>
      </c>
      <c r="K6" s="97" t="inlineStr">
        <is>
          <t>¿Cumplió
programa?
(PPC)</t>
        </is>
      </c>
      <c r="L6" s="97" t="inlineStr">
        <is>
          <t>Metrado
Acum. Actual</t>
        </is>
      </c>
      <c r="M6" s="97" t="inlineStr">
        <is>
          <t>% Avance
Físico Acum.</t>
        </is>
      </c>
      <c r="N6" s="97" t="inlineStr">
        <is>
          <t>Monto Ejec.
Acum. = EV
(S/.)</t>
        </is>
      </c>
      <c r="O6" s="97" t="inlineStr">
        <is>
          <t>HH Meta
Acum.</t>
        </is>
      </c>
      <c r="P6" s="97" t="inlineStr">
        <is>
          <t>HH Real Acum.
Anterior
(=Partidas!S)</t>
        </is>
      </c>
      <c r="Q6" s="97" t="inlineStr">
        <is>
          <t>HH Real Día
(=RDT, puente)</t>
        </is>
      </c>
      <c r="R6" s="97" t="inlineStr">
        <is>
          <t>HH Real
Acum. Actual</t>
        </is>
      </c>
      <c r="S6" s="97" t="inlineStr">
        <is>
          <t>Rendim.
Real (HH/Und)</t>
        </is>
      </c>
      <c r="T6" s="97" t="inlineStr">
        <is>
          <t>Índice
Product. MO</t>
        </is>
      </c>
    </row>
    <row r="7">
      <c r="A7" s="98" t="inlineStr">
        <is>
          <t>PART-01</t>
        </is>
      </c>
      <c r="B7" s="99" t="inlineStr">
        <is>
          <t>Excavación para bancoductos</t>
        </is>
      </c>
      <c r="C7" s="98" t="inlineStr">
        <is>
          <t>m3</t>
        </is>
      </c>
      <c r="D7" s="100" t="n">
        <v>1200</v>
      </c>
      <c r="E7" s="101" t="n">
        <v>18.5</v>
      </c>
      <c r="F7" s="101">
        <f>D7*E7</f>
        <v/>
      </c>
      <c r="G7" s="100" t="n">
        <v>0.35</v>
      </c>
      <c r="H7" s="102">
        <f>Partidas!L3</f>
        <v/>
      </c>
      <c r="I7" s="103">
        <f>SUMIF('[RDT_Ejemplo_Relleno.xlsx]RDT'!$N$12:$N$19,$A7,'[RDT_Ejemplo_Relleno.xlsx]RDT'!$Q$12:$Q$19)</f>
        <v/>
      </c>
      <c r="J7" s="103">
        <f>SUMIF('[RDT_Ejemplo_Relleno.xlsx]RDT'!$N$12:$N$19,$A7,'[RDT_Ejemplo_Relleno.xlsx]RDT'!$R$12:$R$19)</f>
        <v/>
      </c>
      <c r="K7" s="104">
        <f>IF(J7&gt;=I7,"SI","NO")</f>
        <v/>
      </c>
      <c r="L7" s="100">
        <f>H7+J7</f>
        <v/>
      </c>
      <c r="M7" s="105">
        <f>L7/D7</f>
        <v/>
      </c>
      <c r="N7" s="101">
        <f>L7*E7</f>
        <v/>
      </c>
      <c r="O7" s="106">
        <f>L7*G7</f>
        <v/>
      </c>
      <c r="P7" s="107">
        <f>Partidas!S3</f>
        <v/>
      </c>
      <c r="Q7" s="108">
        <f>SUMIF($B$16:$B$23,$A7,$C$16:$C$23)</f>
        <v/>
      </c>
      <c r="R7" s="106">
        <f>P7+Q7</f>
        <v/>
      </c>
      <c r="S7" s="109">
        <f>R7/L7</f>
        <v/>
      </c>
      <c r="T7" s="110">
        <f>O7/R7</f>
        <v/>
      </c>
    </row>
    <row r="8">
      <c r="A8" s="98" t="inlineStr">
        <is>
          <t>PART-02</t>
        </is>
      </c>
      <c r="B8" s="99" t="inlineStr">
        <is>
          <t>Fabricación de bancoductos 0.20x0.20x1.00m</t>
        </is>
      </c>
      <c r="C8" s="98" t="inlineStr">
        <is>
          <t>und</t>
        </is>
      </c>
      <c r="D8" s="100" t="n">
        <v>400</v>
      </c>
      <c r="E8" s="101" t="n">
        <v>145</v>
      </c>
      <c r="F8" s="101">
        <f>D8*E8</f>
        <v/>
      </c>
      <c r="G8" s="100" t="n">
        <v>2.8</v>
      </c>
      <c r="H8" s="102">
        <f>Partidas!L4</f>
        <v/>
      </c>
      <c r="I8" s="103">
        <f>SUMIF('[RDT_Ejemplo_Relleno.xlsx]RDT'!$N$12:$N$19,$A8,'[RDT_Ejemplo_Relleno.xlsx]RDT'!$Q$12:$Q$19)</f>
        <v/>
      </c>
      <c r="J8" s="103">
        <f>SUMIF('[RDT_Ejemplo_Relleno.xlsx]RDT'!$N$12:$N$19,$A8,'[RDT_Ejemplo_Relleno.xlsx]RDT'!$R$12:$R$19)</f>
        <v/>
      </c>
      <c r="K8" s="104">
        <f>IF(J8&gt;=I8,"SI","NO")</f>
        <v/>
      </c>
      <c r="L8" s="100">
        <f>H8+J8</f>
        <v/>
      </c>
      <c r="M8" s="105">
        <f>L8/D8</f>
        <v/>
      </c>
      <c r="N8" s="101">
        <f>L8*E8</f>
        <v/>
      </c>
      <c r="O8" s="106">
        <f>L8*G8</f>
        <v/>
      </c>
      <c r="P8" s="107">
        <f>Partidas!S4</f>
        <v/>
      </c>
      <c r="Q8" s="108">
        <f>SUMIF($B$16:$B$23,$A8,$C$16:$C$23)</f>
        <v/>
      </c>
      <c r="R8" s="106">
        <f>P8+Q8</f>
        <v/>
      </c>
      <c r="S8" s="109">
        <f>R8/L8</f>
        <v/>
      </c>
      <c r="T8" s="110">
        <f>O8/R8</f>
        <v/>
      </c>
    </row>
    <row r="9">
      <c r="A9" s="98" t="inlineStr">
        <is>
          <t>PART-03</t>
        </is>
      </c>
      <c r="B9" s="99" t="inlineStr">
        <is>
          <t>Instalación de bancoductos</t>
        </is>
      </c>
      <c r="C9" s="98" t="inlineStr">
        <is>
          <t>ml</t>
        </is>
      </c>
      <c r="D9" s="100" t="n">
        <v>600</v>
      </c>
      <c r="E9" s="101" t="n">
        <v>95</v>
      </c>
      <c r="F9" s="101">
        <f>D9*E9</f>
        <v/>
      </c>
      <c r="G9" s="100" t="n">
        <v>3.2</v>
      </c>
      <c r="H9" s="102">
        <f>Partidas!L5</f>
        <v/>
      </c>
      <c r="I9" s="103">
        <f>SUMIF('[RDT_Ejemplo_Relleno.xlsx]RDT'!$N$12:$N$19,$A9,'[RDT_Ejemplo_Relleno.xlsx]RDT'!$Q$12:$Q$19)</f>
        <v/>
      </c>
      <c r="J9" s="103">
        <f>SUMIF('[RDT_Ejemplo_Relleno.xlsx]RDT'!$N$12:$N$19,$A9,'[RDT_Ejemplo_Relleno.xlsx]RDT'!$R$12:$R$19)</f>
        <v/>
      </c>
      <c r="K9" s="104">
        <f>IF(J9&gt;=I9,"SI","NO")</f>
        <v/>
      </c>
      <c r="L9" s="100">
        <f>H9+J9</f>
        <v/>
      </c>
      <c r="M9" s="105">
        <f>L9/D9</f>
        <v/>
      </c>
      <c r="N9" s="101">
        <f>L9*E9</f>
        <v/>
      </c>
      <c r="O9" s="106">
        <f>L9*G9</f>
        <v/>
      </c>
      <c r="P9" s="107">
        <f>Partidas!S5</f>
        <v/>
      </c>
      <c r="Q9" s="108">
        <f>SUMIF($B$16:$B$23,$A9,$C$16:$C$23)</f>
        <v/>
      </c>
      <c r="R9" s="106">
        <f>P9+Q9</f>
        <v/>
      </c>
      <c r="S9" s="109">
        <f>R9/L9</f>
        <v/>
      </c>
      <c r="T9" s="110">
        <f>O9/R9</f>
        <v/>
      </c>
    </row>
    <row r="10">
      <c r="A10" s="98" t="inlineStr">
        <is>
          <t>PART-04</t>
        </is>
      </c>
      <c r="B10" s="99" t="inlineStr">
        <is>
          <t>Vaciado de concreto f'c=210 kg/cm2</t>
        </is>
      </c>
      <c r="C10" s="98" t="inlineStr">
        <is>
          <t>m3</t>
        </is>
      </c>
      <c r="D10" s="100" t="n">
        <v>85</v>
      </c>
      <c r="E10" s="101" t="n">
        <v>380</v>
      </c>
      <c r="F10" s="101">
        <f>D10*E10</f>
        <v/>
      </c>
      <c r="G10" s="100" t="n">
        <v>6.5</v>
      </c>
      <c r="H10" s="102">
        <f>Partidas!L6</f>
        <v/>
      </c>
      <c r="I10" s="103">
        <f>SUMIF('[RDT_Ejemplo_Relleno.xlsx]RDT'!$N$12:$N$19,$A10,'[RDT_Ejemplo_Relleno.xlsx]RDT'!$Q$12:$Q$19)</f>
        <v/>
      </c>
      <c r="J10" s="103">
        <f>SUMIF('[RDT_Ejemplo_Relleno.xlsx]RDT'!$N$12:$N$19,$A10,'[RDT_Ejemplo_Relleno.xlsx]RDT'!$R$12:$R$19)</f>
        <v/>
      </c>
      <c r="K10" s="104">
        <f>IF(J10&gt;=I10,"SI","NO")</f>
        <v/>
      </c>
      <c r="L10" s="100">
        <f>H10+J10</f>
        <v/>
      </c>
      <c r="M10" s="105">
        <f>L10/D10</f>
        <v/>
      </c>
      <c r="N10" s="101">
        <f>L10*E10</f>
        <v/>
      </c>
      <c r="O10" s="106">
        <f>L10*G10</f>
        <v/>
      </c>
      <c r="P10" s="107">
        <f>Partidas!S6</f>
        <v/>
      </c>
      <c r="Q10" s="108">
        <f>SUMIF($B$16:$B$23,$A10,$C$16:$C$23)</f>
        <v/>
      </c>
      <c r="R10" s="106">
        <f>P10+Q10</f>
        <v/>
      </c>
      <c r="S10" s="109">
        <f>R10/L10</f>
        <v/>
      </c>
      <c r="T10" s="110">
        <f>O10/R10</f>
        <v/>
      </c>
    </row>
    <row r="11">
      <c r="A11" s="98" t="inlineStr">
        <is>
          <t>PART-05</t>
        </is>
      </c>
      <c r="B11" s="99" t="inlineStr">
        <is>
          <t>Montaje de estructuras metálicas</t>
        </is>
      </c>
      <c r="C11" s="98" t="inlineStr">
        <is>
          <t>kg</t>
        </is>
      </c>
      <c r="D11" s="100" t="n">
        <v>12000</v>
      </c>
      <c r="E11" s="101" t="n">
        <v>8.199999999999999</v>
      </c>
      <c r="F11" s="101">
        <f>D11*E11</f>
        <v/>
      </c>
      <c r="G11" s="100" t="n">
        <v>0.45</v>
      </c>
      <c r="H11" s="102">
        <f>Partidas!L7</f>
        <v/>
      </c>
      <c r="I11" s="103">
        <f>SUMIF('[RDT_Ejemplo_Relleno.xlsx]RDT'!$N$12:$N$19,$A11,'[RDT_Ejemplo_Relleno.xlsx]RDT'!$Q$12:$Q$19)</f>
        <v/>
      </c>
      <c r="J11" s="103">
        <f>SUMIF('[RDT_Ejemplo_Relleno.xlsx]RDT'!$N$12:$N$19,$A11,'[RDT_Ejemplo_Relleno.xlsx]RDT'!$R$12:$R$19)</f>
        <v/>
      </c>
      <c r="K11" s="104">
        <f>IF(J11&gt;=I11,"SI","NO")</f>
        <v/>
      </c>
      <c r="L11" s="100">
        <f>H11+J11</f>
        <v/>
      </c>
      <c r="M11" s="105">
        <f>L11/D11</f>
        <v/>
      </c>
      <c r="N11" s="101">
        <f>L11*E11</f>
        <v/>
      </c>
      <c r="O11" s="106">
        <f>L11*G11</f>
        <v/>
      </c>
      <c r="P11" s="107">
        <f>Partidas!S7</f>
        <v/>
      </c>
      <c r="Q11" s="108">
        <f>SUMIF($B$16:$B$23,$A11,$C$16:$C$23)</f>
        <v/>
      </c>
      <c r="R11" s="106">
        <f>P11+Q11</f>
        <v/>
      </c>
      <c r="S11" s="109">
        <f>R11/L11</f>
        <v/>
      </c>
      <c r="T11" s="110">
        <f>O11/R11</f>
        <v/>
      </c>
    </row>
    <row r="12">
      <c r="A12" s="111" t="n"/>
      <c r="B12" s="112" t="inlineStr">
        <is>
          <t>TOTAL PROYECTO</t>
        </is>
      </c>
      <c r="C12" s="111" t="n"/>
      <c r="D12" s="113">
        <f>SUM(D7:D11)</f>
        <v/>
      </c>
      <c r="E12" s="111" t="n"/>
      <c r="F12" s="114">
        <f>SUM(F7:F11)</f>
        <v/>
      </c>
      <c r="G12" s="111" t="n"/>
      <c r="H12" s="113">
        <f>SUM(H7:H11)</f>
        <v/>
      </c>
      <c r="I12" s="113">
        <f>SUM(I7:I11)</f>
        <v/>
      </c>
      <c r="J12" s="113">
        <f>SUM(J7:J11)</f>
        <v/>
      </c>
      <c r="K12" s="111" t="n"/>
      <c r="L12" s="113">
        <f>SUM(L7:L11)</f>
        <v/>
      </c>
      <c r="M12" s="115">
        <f>N12/F12</f>
        <v/>
      </c>
      <c r="N12" s="114">
        <f>SUM(N7:N11)</f>
        <v/>
      </c>
      <c r="O12" s="116">
        <f>SUM(O7:O11)</f>
        <v/>
      </c>
      <c r="P12" s="116">
        <f>SUM(P7:P11)</f>
        <v/>
      </c>
      <c r="Q12" s="116">
        <f>SUM(Q7:Q11)</f>
        <v/>
      </c>
      <c r="R12" s="116">
        <f>SUM(R7:R11)</f>
        <v/>
      </c>
      <c r="S12" s="117">
        <f>R12/L12</f>
        <v/>
      </c>
      <c r="T12" s="118">
        <f>O12/R12</f>
        <v/>
      </c>
    </row>
    <row r="14" ht="18" customHeight="1" s="44">
      <c r="A14" s="96" t="inlineStr">
        <is>
          <t>PUENTE RDT → RDO (trazabilidad entre archivos)</t>
        </is>
      </c>
    </row>
    <row r="15" ht="24" customHeight="1" s="44">
      <c r="A15" s="97" t="inlineStr">
        <is>
          <t>Ítem
(T1..T8)</t>
        </is>
      </c>
      <c r="B15" s="97" t="inlineStr">
        <is>
          <t>WBS
(=RDT, Avance)</t>
        </is>
      </c>
      <c r="C15" s="97" t="inlineStr">
        <is>
          <t>HH Total del día
(=RDT, suma Tareo)</t>
        </is>
      </c>
      <c r="D15" s="97" t="inlineStr"/>
    </row>
    <row r="16">
      <c r="A16" s="98" t="inlineStr">
        <is>
          <t>T1</t>
        </is>
      </c>
      <c r="B16" s="119">
        <f>'[RDT_Ejemplo_Relleno.xlsx]RDT'!N12</f>
        <v/>
      </c>
      <c r="C16" s="108">
        <f>SUM('[RDT_Ejemplo_Relleno.xlsx]RDT'!J24:J39)</f>
        <v/>
      </c>
    </row>
    <row r="17">
      <c r="A17" s="98" t="inlineStr">
        <is>
          <t>T2</t>
        </is>
      </c>
      <c r="B17" s="119">
        <f>'[RDT_Ejemplo_Relleno.xlsx]RDT'!N13</f>
        <v/>
      </c>
      <c r="C17" s="108">
        <f>SUM('[RDT_Ejemplo_Relleno.xlsx]RDT'!K24:K39)</f>
        <v/>
      </c>
    </row>
    <row r="18">
      <c r="A18" s="98" t="inlineStr">
        <is>
          <t>T3</t>
        </is>
      </c>
      <c r="B18" s="119">
        <f>'[RDT_Ejemplo_Relleno.xlsx]RDT'!N14</f>
        <v/>
      </c>
      <c r="C18" s="108">
        <f>SUM('[RDT_Ejemplo_Relleno.xlsx]RDT'!L24:L39)</f>
        <v/>
      </c>
    </row>
    <row r="19">
      <c r="A19" s="98" t="inlineStr">
        <is>
          <t>T4</t>
        </is>
      </c>
      <c r="B19" s="119">
        <f>'[RDT_Ejemplo_Relleno.xlsx]RDT'!N15</f>
        <v/>
      </c>
      <c r="C19" s="108">
        <f>SUM('[RDT_Ejemplo_Relleno.xlsx]RDT'!M24:M39)</f>
        <v/>
      </c>
    </row>
    <row r="20">
      <c r="A20" s="98" t="inlineStr">
        <is>
          <t>T5</t>
        </is>
      </c>
      <c r="B20" s="119">
        <f>'[RDT_Ejemplo_Relleno.xlsx]RDT'!N16</f>
        <v/>
      </c>
      <c r="C20" s="108">
        <f>SUM('[RDT_Ejemplo_Relleno.xlsx]RDT'!N24:N39)</f>
        <v/>
      </c>
    </row>
    <row r="21">
      <c r="A21" s="98" t="inlineStr">
        <is>
          <t>T6</t>
        </is>
      </c>
      <c r="B21" s="119">
        <f>'[RDT_Ejemplo_Relleno.xlsx]RDT'!N17</f>
        <v/>
      </c>
      <c r="C21" s="108">
        <f>SUM('[RDT_Ejemplo_Relleno.xlsx]RDT'!O24:O39)</f>
        <v/>
      </c>
    </row>
    <row r="22">
      <c r="A22" s="98" t="inlineStr">
        <is>
          <t>T7</t>
        </is>
      </c>
      <c r="B22" s="119">
        <f>'[RDT_Ejemplo_Relleno.xlsx]RDT'!N18</f>
        <v/>
      </c>
      <c r="C22" s="108">
        <f>SUM('[RDT_Ejemplo_Relleno.xlsx]RDT'!P24:P39)</f>
        <v/>
      </c>
    </row>
    <row r="23">
      <c r="A23" s="98" t="inlineStr">
        <is>
          <t>T8</t>
        </is>
      </c>
      <c r="B23" s="119">
        <f>'[RDT_Ejemplo_Relleno.xlsx]RDT'!N19</f>
        <v/>
      </c>
      <c r="C23" s="108">
        <f>SUM('[RDT_Ejemplo_Relleno.xlsx]RDT'!Q24:Q39)</f>
        <v/>
      </c>
    </row>
    <row r="24" ht="28" customHeight="1" s="44">
      <c r="A24" s="95" t="inlineStr">
        <is>
          <t>Columna WBS: se lee directo de la fila de ese ítem en 2.0 Reporte de Avance del RDT. Columna HH Total: se suma directo de la columna de ese ítem en 3.0 Tareo Personal del RDT (filas 24 a 39, los trabajadores). Con esas dos columnas alineadas aquí, arriba se puede hacer un SUMIF normal por WBS — sin fórmulas de matriz.</t>
        </is>
      </c>
    </row>
    <row r="27" ht="18" customHeight="1" s="44">
      <c r="A27" s="96" t="inlineStr">
        <is>
          <t>PARÁMETROS DE ENTRADA (los dos datos que faltan — cámbialos y mira qué se mueve)</t>
        </is>
      </c>
    </row>
    <row r="28">
      <c r="A28" s="120" t="inlineStr">
        <is>
          <t>Nombre del dato</t>
        </is>
      </c>
      <c r="F28" s="120" t="inlineStr">
        <is>
          <t>Valor</t>
        </is>
      </c>
      <c r="G28" s="120" t="inlineStr">
        <is>
          <t>Fuente real (todavía no existe)</t>
        </is>
      </c>
    </row>
    <row r="29">
      <c r="A29" t="inlineStr">
        <is>
          <t>AC_Real_Acumulado — Costo Real Acumulado del Proyecto (S/.)</t>
        </is>
      </c>
      <c r="F29" s="121" t="n">
        <v>89000</v>
      </c>
      <c r="G29" s="122" t="inlineStr">
        <is>
          <t>Planilla de costos (HH × costo-hora cargado) + materiales + equipos — no capturado hoy</t>
        </is>
      </c>
    </row>
    <row r="30">
      <c r="A30" t="inlineStr">
        <is>
          <t>Avance_Planificado_Pct — % Avance Planificado Acumulado (curva S / cronograma valorizado)</t>
        </is>
      </c>
      <c r="F30" s="123" t="n">
        <v>0.34</v>
      </c>
      <c r="G30" s="122" t="inlineStr">
        <is>
          <t>Cronograma valorizado (baseline) — no existe todavía en ningún RDT/RDO</t>
        </is>
      </c>
    </row>
    <row r="32" ht="18" customHeight="1" s="44">
      <c r="A32" s="96" t="inlineStr">
        <is>
          <t>TABLERO DE KPIs — SISTEMA HÍBRIDO EVM + LPS</t>
        </is>
      </c>
    </row>
    <row r="33">
      <c r="A33" s="124" t="inlineStr">
        <is>
          <t>BAC — Presupuesto total</t>
        </is>
      </c>
      <c r="G33" s="125">
        <f>F12</f>
        <v/>
      </c>
    </row>
    <row r="34">
      <c r="A34" s="124" t="inlineStr">
        <is>
          <t>PV — Valor Planificado acumulado (=BAC × Avance_Planificado_Pct)</t>
        </is>
      </c>
      <c r="G34" s="126">
        <f>F12*Avance_Planificado_Pct</f>
        <v/>
      </c>
      <c r="H34" s="122" t="inlineStr">
        <is>
          <t>(depende del parámetro de arriba)</t>
        </is>
      </c>
    </row>
    <row r="35">
      <c r="A35" s="124" t="inlineStr">
        <is>
          <t>EV — Valor Ganado acumulado (Venta)</t>
        </is>
      </c>
      <c r="G35" s="125">
        <f>N12</f>
        <v/>
      </c>
    </row>
    <row r="36">
      <c r="A36" s="124" t="inlineStr">
        <is>
          <t>AC — Costo Real acumulado (=AC_Real_Acumulado)</t>
        </is>
      </c>
      <c r="G36" s="126">
        <f>AC_Real_Acumulado</f>
        <v/>
      </c>
      <c r="H36" s="122" t="inlineStr">
        <is>
          <t>(depende del parámetro de arriba)</t>
        </is>
      </c>
    </row>
    <row r="37">
      <c r="A37" s="124" t="inlineStr">
        <is>
          <t>SV = EV - PV</t>
        </is>
      </c>
      <c r="G37" s="126">
        <f>N12-F12*Avance_Planificado_Pct</f>
        <v/>
      </c>
      <c r="H37" s="122" t="inlineStr">
        <is>
          <t>(depende del parámetro de arriba)</t>
        </is>
      </c>
    </row>
    <row r="38">
      <c r="A38" s="124" t="inlineStr">
        <is>
          <t>CV = EV - AC</t>
        </is>
      </c>
      <c r="G38" s="126">
        <f>N12-AC_Real_Acumulado</f>
        <v/>
      </c>
      <c r="H38" s="122" t="inlineStr">
        <is>
          <t>(depende del parámetro de arriba)</t>
        </is>
      </c>
    </row>
    <row r="39">
      <c r="A39" s="124" t="inlineStr">
        <is>
          <t>SPI = EV / PV</t>
        </is>
      </c>
      <c r="G39" s="127">
        <f>N12/(F12*Avance_Planificado_Pct)</f>
        <v/>
      </c>
      <c r="H39" s="122" t="inlineStr">
        <is>
          <t>(depende del parámetro de arriba)</t>
        </is>
      </c>
    </row>
    <row r="40">
      <c r="A40" s="124" t="inlineStr">
        <is>
          <t>CPI = EV / AC</t>
        </is>
      </c>
      <c r="G40" s="127">
        <f>N12/AC_Real_Acumulado</f>
        <v/>
      </c>
      <c r="H40" s="122" t="inlineStr">
        <is>
          <t>(depende del parámetro de arriba)</t>
        </is>
      </c>
    </row>
    <row r="41">
      <c r="A41" s="124" t="inlineStr">
        <is>
          <t>EAC = BAC / CPI (proyección al cierre)</t>
        </is>
      </c>
      <c r="G41" s="126">
        <f>F12/(N12/AC_Real_Acumulado)</f>
        <v/>
      </c>
      <c r="H41" s="122" t="inlineStr">
        <is>
          <t>(depende del parámetro de arriba)</t>
        </is>
      </c>
    </row>
    <row r="42">
      <c r="A42" s="124" t="inlineStr">
        <is>
          <t>VAC = BAC - EAC</t>
        </is>
      </c>
      <c r="G42" s="126">
        <f>F12-(F12/(N12/AC_Real_Acumulado))</f>
        <v/>
      </c>
      <c r="H42" s="122" t="inlineStr">
        <is>
          <t>(depende del parámetro de arriba)</t>
        </is>
      </c>
    </row>
    <row r="44">
      <c r="A44" s="124" t="inlineStr">
        <is>
          <t>% Avance físico acumulado (EV/BAC)</t>
        </is>
      </c>
      <c r="G44" s="128">
        <f>N12/F12</f>
        <v/>
      </c>
    </row>
    <row r="45">
      <c r="A45" s="124" t="inlineStr">
        <is>
          <t>Índice de Productividad MO global (HH Meta/HH Real)</t>
        </is>
      </c>
      <c r="G45" s="129">
        <f>O12/R12</f>
        <v/>
      </c>
    </row>
    <row r="46">
      <c r="A46" s="124" t="inlineStr">
        <is>
          <t>% PPC (partidas que cumplieron lo programado hoy)</t>
        </is>
      </c>
      <c r="G46" s="128">
        <f>COUNTIF(K7:K11,"SI")/COUNTA(K7:K11)</f>
        <v/>
      </c>
    </row>
    <row r="49">
      <c r="A49" s="130" t="inlineStr">
        <is>
          <t>AHORA la trazabilidad es completa en dos niveles: (1) entre archivos — Prog./Ejec./HH del día se leen en vivo del RDT_Ejemplo_Relleno.xlsx, cambia un número ahí y se mueve todo aquí; (2) dentro del RDO — AC y % Avance Planificado son dos celdas únicas y nombradas (Parámetros de Entrada), cambia cualquiera de las dos y se recalculan solos SV, CV, SPI, CPI, EAC y VAC. Esos dos parámetros siguen siendo el único dato que hoy no sale de ningún RDT/RDO real — hay que decidir de dónde los vamos a sacar de verdad (costos y cronograma valorizado).</t>
        </is>
      </c>
    </row>
    <row r="50"/>
    <row r="51"/>
    <row r="52"/>
  </sheetData>
  <mergeCells count="27">
    <mergeCell ref="A30:E30"/>
    <mergeCell ref="A41:F41"/>
    <mergeCell ref="A46:F46"/>
    <mergeCell ref="G28:L28"/>
    <mergeCell ref="A37:F37"/>
    <mergeCell ref="G30:L30"/>
    <mergeCell ref="A1:T1"/>
    <mergeCell ref="A33:F33"/>
    <mergeCell ref="A42:F42"/>
    <mergeCell ref="A35:F35"/>
    <mergeCell ref="A24:J24"/>
    <mergeCell ref="G29:L29"/>
    <mergeCell ref="A38:F38"/>
    <mergeCell ref="A44:F44"/>
    <mergeCell ref="A3:T3"/>
    <mergeCell ref="A34:F34"/>
    <mergeCell ref="A40:F40"/>
    <mergeCell ref="A39:F39"/>
    <mergeCell ref="A49:T52"/>
    <mergeCell ref="A5:T5"/>
    <mergeCell ref="A32:T32"/>
    <mergeCell ref="A29:E29"/>
    <mergeCell ref="A36:F36"/>
    <mergeCell ref="A27:J27"/>
    <mergeCell ref="A28:E28"/>
    <mergeCell ref="A45:F45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2026-08-14T06:08:02Z</dcterms:created>
  <dcterms:modified xmlns:dcterms="http://purl.org/dc/terms/" xmlns:xsi="http://www.w3.org/2001/XMLSchema-instance" xsi:type="dcterms:W3CDTF">2026-08-15T00:40:47Z</dcterms:modified>
  <cp:lastModifiedBy>BRANDY</cp:lastModifiedBy>
</cp:coreProperties>
</file>